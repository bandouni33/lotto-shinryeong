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lotto-app\"/>
    </mc:Choice>
  </mc:AlternateContent>
  <xr:revisionPtr revIDLastSave="0" documentId="13_ncr:1_{A2E289AB-E1DE-4D28-BF1F-464E9DDEB68A}" xr6:coauthVersionLast="47" xr6:coauthVersionMax="47" xr10:uidLastSave="{00000000-0000-0000-0000-000000000000}"/>
  <bookViews>
    <workbookView xWindow="-120" yWindow="-120" windowWidth="29040" windowHeight="15720" activeTab="1" xr2:uid="{27773E60-2B49-45F9-9574-90C92AA05171}"/>
  </bookViews>
  <sheets>
    <sheet name="홀짝 소자배 기본" sheetId="1" r:id="rId1"/>
    <sheet name="최근 상중하" sheetId="2" r:id="rId2"/>
  </sheets>
  <externalReferences>
    <externalReference r:id="rId3"/>
    <externalReference r:id="rId4"/>
  </externalReferences>
  <definedNames>
    <definedName name="_xlnm._FilterDatabase" localSheetId="1" hidden="1">'최근 상중하'!$J$395:$K$395</definedName>
    <definedName name="_xlnm._FilterDatabase" localSheetId="0" hidden="1">'홀짝 소자배 기본'!$A$3:$DT$3</definedName>
    <definedName name="A11000000">#REF!</definedName>
    <definedName name="B11000000">#REF!</definedName>
    <definedName name="B1200000">#REF!</definedName>
    <definedName name="B9034357">#REF!</definedName>
    <definedName name="B9934357">#REF!</definedName>
    <definedName name="bizforms">"bizforms.co.kr"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6" i="2" l="1"/>
  <c r="H451" i="2" l="1"/>
  <c r="H450" i="2"/>
  <c r="H449" i="2"/>
  <c r="H448" i="2"/>
  <c r="H447" i="2"/>
  <c r="Z446" i="2"/>
  <c r="T446" i="2"/>
  <c r="P446" i="2"/>
  <c r="H446" i="2"/>
  <c r="Z445" i="2"/>
  <c r="T445" i="2"/>
  <c r="P445" i="2"/>
  <c r="H445" i="2"/>
  <c r="Z444" i="2"/>
  <c r="T444" i="2"/>
  <c r="P444" i="2"/>
  <c r="H444" i="2"/>
  <c r="Z443" i="2"/>
  <c r="T443" i="2"/>
  <c r="P443" i="2"/>
  <c r="H443" i="2"/>
  <c r="Z442" i="2"/>
  <c r="T442" i="2"/>
  <c r="P442" i="2"/>
  <c r="H442" i="2"/>
  <c r="Z441" i="2"/>
  <c r="T441" i="2"/>
  <c r="P441" i="2"/>
  <c r="H441" i="2"/>
  <c r="Z440" i="2"/>
  <c r="T440" i="2"/>
  <c r="P440" i="2"/>
  <c r="H440" i="2"/>
  <c r="Z439" i="2"/>
  <c r="T439" i="2"/>
  <c r="P439" i="2"/>
  <c r="H439" i="2"/>
  <c r="Z438" i="2"/>
  <c r="T438" i="2"/>
  <c r="P438" i="2"/>
  <c r="H438" i="2"/>
  <c r="Z437" i="2"/>
  <c r="T437" i="2"/>
  <c r="P437" i="2"/>
  <c r="H437" i="2"/>
  <c r="Z436" i="2"/>
  <c r="T436" i="2"/>
  <c r="P436" i="2"/>
  <c r="H436" i="2"/>
  <c r="Z435" i="2"/>
  <c r="T435" i="2"/>
  <c r="P435" i="2"/>
  <c r="H435" i="2"/>
  <c r="Z434" i="2"/>
  <c r="T434" i="2"/>
  <c r="P434" i="2"/>
  <c r="H434" i="2"/>
  <c r="Z433" i="2"/>
  <c r="T433" i="2"/>
  <c r="P433" i="2"/>
  <c r="H433" i="2"/>
  <c r="Z432" i="2"/>
  <c r="T432" i="2"/>
  <c r="P432" i="2"/>
  <c r="H432" i="2"/>
  <c r="Z431" i="2"/>
  <c r="T431" i="2"/>
  <c r="P431" i="2"/>
  <c r="H431" i="2"/>
  <c r="Z430" i="2"/>
  <c r="T430" i="2"/>
  <c r="P430" i="2"/>
  <c r="H430" i="2"/>
  <c r="Z429" i="2"/>
  <c r="T429" i="2"/>
  <c r="P429" i="2"/>
  <c r="H429" i="2"/>
  <c r="Z428" i="2"/>
  <c r="T428" i="2"/>
  <c r="P428" i="2"/>
  <c r="H428" i="2"/>
  <c r="Z427" i="2"/>
  <c r="T427" i="2"/>
  <c r="P427" i="2"/>
  <c r="H427" i="2"/>
  <c r="Z426" i="2"/>
  <c r="T426" i="2"/>
  <c r="P426" i="2"/>
  <c r="H426" i="2"/>
  <c r="Z425" i="2"/>
  <c r="T425" i="2"/>
  <c r="P425" i="2"/>
  <c r="H425" i="2"/>
  <c r="Z424" i="2"/>
  <c r="T424" i="2"/>
  <c r="P424" i="2"/>
  <c r="H424" i="2"/>
  <c r="Z423" i="2"/>
  <c r="T423" i="2"/>
  <c r="P423" i="2"/>
  <c r="H423" i="2"/>
  <c r="Z422" i="2"/>
  <c r="T422" i="2"/>
  <c r="P422" i="2"/>
  <c r="H422" i="2"/>
  <c r="Z421" i="2"/>
  <c r="T421" i="2"/>
  <c r="P421" i="2"/>
  <c r="H421" i="2"/>
  <c r="Z420" i="2"/>
  <c r="T420" i="2"/>
  <c r="P420" i="2"/>
  <c r="H420" i="2"/>
  <c r="Z419" i="2"/>
  <c r="T419" i="2"/>
  <c r="P419" i="2"/>
  <c r="H419" i="2"/>
  <c r="Z418" i="2"/>
  <c r="T418" i="2"/>
  <c r="P418" i="2"/>
  <c r="H418" i="2"/>
  <c r="Z417" i="2"/>
  <c r="T417" i="2"/>
  <c r="P417" i="2"/>
  <c r="H417" i="2"/>
  <c r="Z416" i="2"/>
  <c r="T416" i="2"/>
  <c r="P416" i="2"/>
  <c r="H416" i="2"/>
  <c r="Z415" i="2"/>
  <c r="T415" i="2"/>
  <c r="P415" i="2"/>
  <c r="H415" i="2"/>
  <c r="Z414" i="2"/>
  <c r="T414" i="2"/>
  <c r="P414" i="2"/>
  <c r="H414" i="2"/>
  <c r="Z413" i="2"/>
  <c r="T413" i="2"/>
  <c r="P413" i="2"/>
  <c r="H413" i="2"/>
  <c r="Z412" i="2"/>
  <c r="T412" i="2"/>
  <c r="P412" i="2"/>
  <c r="H412" i="2"/>
  <c r="Z411" i="2"/>
  <c r="T411" i="2"/>
  <c r="P411" i="2"/>
  <c r="Z410" i="2"/>
  <c r="T410" i="2"/>
  <c r="P410" i="2"/>
  <c r="Z409" i="2"/>
  <c r="T409" i="2"/>
  <c r="P409" i="2"/>
  <c r="BD3" i="2"/>
  <c r="K401" i="2" s="1"/>
  <c r="BC3" i="2"/>
  <c r="K418" i="2" s="1"/>
  <c r="BB3" i="2"/>
  <c r="K431" i="2" s="1"/>
  <c r="BA3" i="2"/>
  <c r="K416" i="2" s="1"/>
  <c r="AZ3" i="2"/>
  <c r="K435" i="2" s="1"/>
  <c r="AY3" i="2"/>
  <c r="K432" i="2" s="1"/>
  <c r="AX3" i="2"/>
  <c r="K409" i="2" s="1"/>
  <c r="AW3" i="2"/>
  <c r="AV3" i="2"/>
  <c r="K422" i="2" s="1"/>
  <c r="AU3" i="2"/>
  <c r="K414" i="2" s="1"/>
  <c r="AT3" i="2"/>
  <c r="K405" i="2" s="1"/>
  <c r="AS3" i="2"/>
  <c r="K423" i="2" s="1"/>
  <c r="AR3" i="2"/>
  <c r="K404" i="2" s="1"/>
  <c r="AQ3" i="2"/>
  <c r="K428" i="2" s="1"/>
  <c r="AP3" i="2"/>
  <c r="K412" i="2" s="1"/>
  <c r="AO3" i="2"/>
  <c r="K403" i="2" s="1"/>
  <c r="AN3" i="2"/>
  <c r="K419" i="2" s="1"/>
  <c r="AM3" i="2"/>
  <c r="K408" i="2" s="1"/>
  <c r="AL3" i="2"/>
  <c r="K417" i="2" s="1"/>
  <c r="AK3" i="2"/>
  <c r="K411" i="2" s="1"/>
  <c r="AJ3" i="2"/>
  <c r="K436" i="2" s="1"/>
  <c r="AI3" i="2"/>
  <c r="K421" i="2" s="1"/>
  <c r="AH3" i="2"/>
  <c r="K433" i="2" s="1"/>
  <c r="AG3" i="2"/>
  <c r="K424" i="2" s="1"/>
  <c r="AF3" i="2"/>
  <c r="K406" i="2" s="1"/>
  <c r="AE3" i="2"/>
  <c r="K438" i="2" s="1"/>
  <c r="AD3" i="2"/>
  <c r="K410" i="2" s="1"/>
  <c r="AC3" i="2"/>
  <c r="K402" i="2" s="1"/>
  <c r="AB3" i="2"/>
  <c r="K426" i="2" s="1"/>
  <c r="AA3" i="2"/>
  <c r="K399" i="2" s="1"/>
  <c r="Z3" i="2"/>
  <c r="K420" i="2" s="1"/>
  <c r="Y3" i="2"/>
  <c r="K415" i="2" s="1"/>
  <c r="X3" i="2"/>
  <c r="K398" i="2" s="1"/>
  <c r="W3" i="2"/>
  <c r="K397" i="2" s="1"/>
  <c r="V3" i="2"/>
  <c r="K425" i="2" s="1"/>
  <c r="U3" i="2"/>
  <c r="K430" i="2" s="1"/>
  <c r="T3" i="2"/>
  <c r="K427" i="2" s="1"/>
  <c r="S3" i="2"/>
  <c r="K439" i="2" s="1"/>
  <c r="R3" i="2"/>
  <c r="K413" i="2" s="1"/>
  <c r="Q3" i="2"/>
  <c r="K407" i="2" s="1"/>
  <c r="P3" i="2"/>
  <c r="K440" i="2" s="1"/>
  <c r="O3" i="2"/>
  <c r="K437" i="2" s="1"/>
  <c r="N3" i="2"/>
  <c r="K400" i="2" s="1"/>
  <c r="M3" i="2"/>
  <c r="K434" i="2" s="1"/>
  <c r="L3" i="2"/>
  <c r="BE2" i="1"/>
  <c r="BG2" i="1"/>
  <c r="CB2" i="1"/>
  <c r="CD2" i="1"/>
  <c r="I4" i="1"/>
  <c r="J4" i="1"/>
  <c r="K4" i="1"/>
  <c r="L4" i="1"/>
  <c r="M4" i="1"/>
  <c r="N4" i="1"/>
  <c r="P4" i="1" a="1"/>
  <c r="P4" i="1" s="1"/>
  <c r="S4" i="1"/>
  <c r="T4" i="1" s="1"/>
  <c r="V4" i="1" a="1"/>
  <c r="V4" i="1" s="1"/>
  <c r="W4" i="1" s="1"/>
  <c r="Y4" i="1" a="1"/>
  <c r="Y4" i="1" s="1"/>
  <c r="Z4" i="1" a="1"/>
  <c r="Z4" i="1" s="1"/>
  <c r="AA4" i="1" a="1"/>
  <c r="AA4" i="1" s="1"/>
  <c r="AJ4" i="1"/>
  <c r="AK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H4" i="1"/>
  <c r="CI4" i="1"/>
  <c r="CJ4" i="1"/>
  <c r="CK4" i="1"/>
  <c r="CL4" i="1"/>
  <c r="CR4" i="1" s="1"/>
  <c r="CN4" i="1"/>
  <c r="DD4" i="1"/>
  <c r="DE4" i="1"/>
  <c r="DF4" i="1"/>
  <c r="DG4" i="1"/>
  <c r="DH4" i="1"/>
  <c r="DI4" i="1"/>
  <c r="DJ4" i="1"/>
  <c r="DK4" i="1"/>
  <c r="DL4" i="1"/>
  <c r="DM4" i="1"/>
  <c r="I5" i="1"/>
  <c r="J5" i="1"/>
  <c r="K5" i="1"/>
  <c r="L5" i="1"/>
  <c r="M5" i="1"/>
  <c r="N5" i="1"/>
  <c r="P5" i="1" a="1"/>
  <c r="P5" i="1" s="1"/>
  <c r="S5" i="1"/>
  <c r="T5" i="1" s="1"/>
  <c r="V5" i="1" a="1"/>
  <c r="V5" i="1" s="1"/>
  <c r="W5" i="1" s="1"/>
  <c r="Y5" i="1" a="1"/>
  <c r="Y5" i="1" s="1"/>
  <c r="Z5" i="1" a="1"/>
  <c r="Z5" i="1" s="1"/>
  <c r="AA5" i="1" a="1"/>
  <c r="AA5" i="1" s="1"/>
  <c r="AJ5" i="1"/>
  <c r="AK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H5" i="1"/>
  <c r="CI5" i="1"/>
  <c r="CJ5" i="1"/>
  <c r="CP5" i="1" s="1"/>
  <c r="CK5" i="1"/>
  <c r="CQ5" i="1" s="1"/>
  <c r="CL5" i="1"/>
  <c r="CR5" i="1" s="1"/>
  <c r="DD5" i="1"/>
  <c r="DE5" i="1"/>
  <c r="DF5" i="1"/>
  <c r="DG5" i="1"/>
  <c r="DH5" i="1"/>
  <c r="DI5" i="1"/>
  <c r="DJ5" i="1"/>
  <c r="DK5" i="1"/>
  <c r="DL5" i="1"/>
  <c r="DM5" i="1"/>
  <c r="I6" i="1"/>
  <c r="J6" i="1"/>
  <c r="K6" i="1"/>
  <c r="L6" i="1"/>
  <c r="M6" i="1"/>
  <c r="N6" i="1"/>
  <c r="P6" i="1" a="1"/>
  <c r="P6" i="1" s="1"/>
  <c r="S6" i="1"/>
  <c r="T6" i="1" s="1"/>
  <c r="V6" i="1" a="1"/>
  <c r="V6" i="1" s="1"/>
  <c r="W6" i="1" s="1"/>
  <c r="Y6" i="1" a="1"/>
  <c r="Y6" i="1" s="1"/>
  <c r="Z6" i="1" a="1"/>
  <c r="Z6" i="1" s="1"/>
  <c r="AA6" i="1" a="1"/>
  <c r="AA6" i="1" s="1"/>
  <c r="AJ6" i="1"/>
  <c r="AK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H6" i="1"/>
  <c r="CN6" i="1" s="1"/>
  <c r="CI6" i="1"/>
  <c r="CO6" i="1" s="1"/>
  <c r="CJ6" i="1"/>
  <c r="CP6" i="1" s="1"/>
  <c r="CK6" i="1"/>
  <c r="CQ6" i="1" s="1"/>
  <c r="CL6" i="1"/>
  <c r="CR6" i="1" s="1"/>
  <c r="DD6" i="1"/>
  <c r="DE6" i="1"/>
  <c r="DF6" i="1"/>
  <c r="DG6" i="1"/>
  <c r="DH6" i="1"/>
  <c r="DI6" i="1"/>
  <c r="DJ6" i="1"/>
  <c r="DK6" i="1"/>
  <c r="DL6" i="1"/>
  <c r="DM6" i="1"/>
  <c r="I7" i="1"/>
  <c r="J7" i="1"/>
  <c r="K7" i="1"/>
  <c r="L7" i="1"/>
  <c r="M7" i="1"/>
  <c r="N7" i="1"/>
  <c r="P7" i="1" a="1"/>
  <c r="P7" i="1" s="1"/>
  <c r="Q7" i="1" s="1"/>
  <c r="S7" i="1"/>
  <c r="T7" i="1" s="1"/>
  <c r="V7" i="1" a="1"/>
  <c r="V7" i="1" s="1"/>
  <c r="Y7" i="1" a="1"/>
  <c r="Y7" i="1" s="1"/>
  <c r="Z7" i="1" a="1"/>
  <c r="Z7" i="1" s="1"/>
  <c r="AA7" i="1" a="1"/>
  <c r="AA7" i="1" s="1"/>
  <c r="AJ7" i="1"/>
  <c r="AK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H7" i="1"/>
  <c r="CI7" i="1"/>
  <c r="CJ7" i="1"/>
  <c r="CP7" i="1" s="1"/>
  <c r="CK7" i="1"/>
  <c r="CQ7" i="1" s="1"/>
  <c r="CL7" i="1"/>
  <c r="CR7" i="1" s="1"/>
  <c r="DD7" i="1"/>
  <c r="DE7" i="1"/>
  <c r="DF7" i="1"/>
  <c r="DG7" i="1"/>
  <c r="DH7" i="1"/>
  <c r="DI7" i="1"/>
  <c r="DJ7" i="1"/>
  <c r="DK7" i="1"/>
  <c r="DL7" i="1"/>
  <c r="DM7" i="1"/>
  <c r="I8" i="1"/>
  <c r="J8" i="1"/>
  <c r="K8" i="1"/>
  <c r="L8" i="1"/>
  <c r="M8" i="1"/>
  <c r="N8" i="1"/>
  <c r="P8" i="1" a="1"/>
  <c r="P8" i="1" s="1"/>
  <c r="S8" i="1"/>
  <c r="T8" i="1" s="1"/>
  <c r="V8" i="1" a="1"/>
  <c r="V8" i="1" s="1"/>
  <c r="W8" i="1" s="1"/>
  <c r="Y8" i="1" a="1"/>
  <c r="Y8" i="1" s="1"/>
  <c r="Z8" i="1" a="1"/>
  <c r="Z8" i="1" s="1"/>
  <c r="AA8" i="1" a="1"/>
  <c r="AA8" i="1" s="1"/>
  <c r="AJ8" i="1"/>
  <c r="AK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H8" i="1"/>
  <c r="CI8" i="1"/>
  <c r="CO8" i="1" s="1"/>
  <c r="CJ8" i="1"/>
  <c r="CP8" i="1" s="1"/>
  <c r="CK8" i="1"/>
  <c r="CQ8" i="1" s="1"/>
  <c r="CL8" i="1"/>
  <c r="CR8" i="1" s="1"/>
  <c r="DD8" i="1"/>
  <c r="DE8" i="1"/>
  <c r="DF8" i="1"/>
  <c r="DG8" i="1"/>
  <c r="DH8" i="1"/>
  <c r="DI8" i="1"/>
  <c r="DJ8" i="1"/>
  <c r="DK8" i="1"/>
  <c r="DL8" i="1"/>
  <c r="DM8" i="1"/>
  <c r="I9" i="1"/>
  <c r="J9" i="1"/>
  <c r="K9" i="1"/>
  <c r="L9" i="1"/>
  <c r="M9" i="1"/>
  <c r="N9" i="1"/>
  <c r="P9" i="1" a="1"/>
  <c r="P9" i="1" s="1"/>
  <c r="Q9" i="1" s="1"/>
  <c r="S9" i="1"/>
  <c r="T9" i="1" s="1"/>
  <c r="V9" i="1" a="1"/>
  <c r="V9" i="1" s="1"/>
  <c r="Y9" i="1" a="1"/>
  <c r="Y9" i="1" s="1"/>
  <c r="Z9" i="1" a="1"/>
  <c r="Z9" i="1" s="1"/>
  <c r="AA9" i="1" a="1"/>
  <c r="AA9" i="1" s="1"/>
  <c r="AJ9" i="1"/>
  <c r="AK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H9" i="1"/>
  <c r="CI9" i="1"/>
  <c r="CJ9" i="1"/>
  <c r="CP9" i="1" s="1"/>
  <c r="CK9" i="1"/>
  <c r="CQ9" i="1" s="1"/>
  <c r="CL9" i="1"/>
  <c r="CR9" i="1" s="1"/>
  <c r="DD9" i="1"/>
  <c r="DE9" i="1"/>
  <c r="DF9" i="1"/>
  <c r="DG9" i="1"/>
  <c r="DH9" i="1"/>
  <c r="DI9" i="1"/>
  <c r="DJ9" i="1"/>
  <c r="DK9" i="1"/>
  <c r="DL9" i="1"/>
  <c r="DM9" i="1"/>
  <c r="I10" i="1"/>
  <c r="J10" i="1"/>
  <c r="K10" i="1"/>
  <c r="L10" i="1"/>
  <c r="M10" i="1"/>
  <c r="N10" i="1"/>
  <c r="P10" i="1" a="1"/>
  <c r="P10" i="1" s="1"/>
  <c r="S10" i="1"/>
  <c r="T10" i="1" s="1"/>
  <c r="V10" i="1" a="1"/>
  <c r="V10" i="1" s="1"/>
  <c r="W10" i="1" s="1"/>
  <c r="Y10" i="1" a="1"/>
  <c r="Y10" i="1" s="1"/>
  <c r="Z10" i="1" a="1"/>
  <c r="Z10" i="1" s="1"/>
  <c r="AA10" i="1" a="1"/>
  <c r="AA10" i="1" s="1"/>
  <c r="AJ10" i="1"/>
  <c r="AK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H10" i="1"/>
  <c r="CI10" i="1"/>
  <c r="CJ10" i="1"/>
  <c r="CK10" i="1"/>
  <c r="CQ10" i="1" s="1"/>
  <c r="CL10" i="1"/>
  <c r="CR10" i="1" s="1"/>
  <c r="CN10" i="1"/>
  <c r="CO10" i="1"/>
  <c r="DB10" i="1" a="1"/>
  <c r="DB10" i="1" s="1"/>
  <c r="DD10" i="1"/>
  <c r="DE10" i="1"/>
  <c r="DF10" i="1"/>
  <c r="DG10" i="1"/>
  <c r="DH10" i="1"/>
  <c r="DI10" i="1"/>
  <c r="DJ10" i="1"/>
  <c r="DK10" i="1"/>
  <c r="DL10" i="1"/>
  <c r="DM10" i="1"/>
  <c r="I11" i="1"/>
  <c r="J11" i="1"/>
  <c r="K11" i="1"/>
  <c r="L11" i="1"/>
  <c r="M11" i="1"/>
  <c r="N11" i="1"/>
  <c r="P11" i="1" a="1"/>
  <c r="P11" i="1" s="1"/>
  <c r="Q11" i="1" s="1"/>
  <c r="S11" i="1"/>
  <c r="T11" i="1" s="1"/>
  <c r="V11" i="1" a="1"/>
  <c r="V11" i="1" s="1"/>
  <c r="Y11" i="1" a="1"/>
  <c r="Y11" i="1" s="1"/>
  <c r="Z11" i="1" a="1"/>
  <c r="Z11" i="1" s="1"/>
  <c r="AA11" i="1" a="1"/>
  <c r="AA11" i="1" s="1"/>
  <c r="AJ11" i="1"/>
  <c r="AK11" i="1"/>
  <c r="AL11" i="1" s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H11" i="1"/>
  <c r="CI11" i="1"/>
  <c r="CJ11" i="1"/>
  <c r="CP11" i="1" s="1"/>
  <c r="CK11" i="1"/>
  <c r="CQ11" i="1" s="1"/>
  <c r="CL11" i="1"/>
  <c r="CR11" i="1" s="1"/>
  <c r="DD11" i="1"/>
  <c r="DE11" i="1"/>
  <c r="DF11" i="1"/>
  <c r="DG11" i="1"/>
  <c r="DH11" i="1"/>
  <c r="DI11" i="1"/>
  <c r="DJ11" i="1"/>
  <c r="DK11" i="1"/>
  <c r="DL11" i="1"/>
  <c r="DM11" i="1"/>
  <c r="I12" i="1"/>
  <c r="J12" i="1"/>
  <c r="K12" i="1"/>
  <c r="L12" i="1"/>
  <c r="M12" i="1"/>
  <c r="N12" i="1"/>
  <c r="P12" i="1" a="1"/>
  <c r="P12" i="1" s="1"/>
  <c r="S12" i="1"/>
  <c r="T12" i="1" s="1"/>
  <c r="V12" i="1" a="1"/>
  <c r="V12" i="1" s="1"/>
  <c r="W12" i="1" s="1"/>
  <c r="Y12" i="1" a="1"/>
  <c r="Y12" i="1" s="1"/>
  <c r="Z12" i="1" a="1"/>
  <c r="Z12" i="1" s="1"/>
  <c r="AA12" i="1" a="1"/>
  <c r="AA12" i="1" s="1"/>
  <c r="AJ12" i="1"/>
  <c r="AK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H12" i="1"/>
  <c r="CN12" i="1" s="1"/>
  <c r="CI12" i="1"/>
  <c r="CO12" i="1" s="1"/>
  <c r="CJ12" i="1"/>
  <c r="CP12" i="1" s="1"/>
  <c r="CK12" i="1"/>
  <c r="CQ12" i="1" s="1"/>
  <c r="CL12" i="1"/>
  <c r="CR12" i="1" s="1"/>
  <c r="DD12" i="1"/>
  <c r="DE12" i="1"/>
  <c r="DF12" i="1"/>
  <c r="DG12" i="1"/>
  <c r="DH12" i="1"/>
  <c r="DI12" i="1"/>
  <c r="DJ12" i="1"/>
  <c r="DK12" i="1"/>
  <c r="DL12" i="1"/>
  <c r="DM12" i="1"/>
  <c r="I13" i="1"/>
  <c r="J13" i="1"/>
  <c r="K13" i="1"/>
  <c r="L13" i="1"/>
  <c r="M13" i="1"/>
  <c r="N13" i="1"/>
  <c r="P13" i="1" a="1"/>
  <c r="P13" i="1" s="1"/>
  <c r="Q13" i="1" s="1"/>
  <c r="S13" i="1"/>
  <c r="T13" i="1" s="1"/>
  <c r="V13" i="1" a="1"/>
  <c r="V13" i="1" s="1"/>
  <c r="Y13" i="1" a="1"/>
  <c r="Y13" i="1" s="1"/>
  <c r="Z13" i="1" a="1"/>
  <c r="Z13" i="1" s="1"/>
  <c r="AA13" i="1" a="1"/>
  <c r="AA13" i="1" s="1"/>
  <c r="AJ13" i="1"/>
  <c r="AK13" i="1"/>
  <c r="AL13" i="1" s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H13" i="1"/>
  <c r="CI13" i="1"/>
  <c r="CJ13" i="1"/>
  <c r="CP13" i="1" s="1"/>
  <c r="CK13" i="1"/>
  <c r="CQ13" i="1" s="1"/>
  <c r="CL13" i="1"/>
  <c r="CR13" i="1" s="1"/>
  <c r="DD13" i="1"/>
  <c r="DE13" i="1"/>
  <c r="DF13" i="1"/>
  <c r="DG13" i="1"/>
  <c r="DH13" i="1"/>
  <c r="DI13" i="1"/>
  <c r="DJ13" i="1"/>
  <c r="DK13" i="1"/>
  <c r="DL13" i="1"/>
  <c r="DM13" i="1"/>
  <c r="I14" i="1"/>
  <c r="J14" i="1"/>
  <c r="K14" i="1"/>
  <c r="L14" i="1"/>
  <c r="M14" i="1"/>
  <c r="N14" i="1"/>
  <c r="P14" i="1" a="1"/>
  <c r="P14" i="1" s="1"/>
  <c r="S14" i="1"/>
  <c r="T14" i="1" s="1"/>
  <c r="V14" i="1" a="1"/>
  <c r="V14" i="1" s="1"/>
  <c r="W14" i="1" s="1"/>
  <c r="Y14" i="1" a="1"/>
  <c r="Y14" i="1" s="1"/>
  <c r="Z14" i="1" a="1"/>
  <c r="Z14" i="1" s="1"/>
  <c r="AA14" i="1" a="1"/>
  <c r="AA14" i="1" s="1"/>
  <c r="AJ14" i="1"/>
  <c r="AK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H14" i="1"/>
  <c r="CW14" i="1" s="1" a="1"/>
  <c r="CW14" i="1" s="1"/>
  <c r="CX14" i="1" s="1"/>
  <c r="CI14" i="1"/>
  <c r="CO14" i="1" s="1"/>
  <c r="CJ14" i="1"/>
  <c r="CP14" i="1" s="1"/>
  <c r="CK14" i="1"/>
  <c r="CQ14" i="1" s="1"/>
  <c r="CL14" i="1"/>
  <c r="CR14" i="1" s="1"/>
  <c r="DD14" i="1"/>
  <c r="DE14" i="1"/>
  <c r="DF14" i="1"/>
  <c r="DG14" i="1"/>
  <c r="DH14" i="1"/>
  <c r="DI14" i="1"/>
  <c r="DJ14" i="1"/>
  <c r="DK14" i="1"/>
  <c r="DL14" i="1"/>
  <c r="DM14" i="1"/>
  <c r="I15" i="1"/>
  <c r="J15" i="1"/>
  <c r="K15" i="1"/>
  <c r="L15" i="1"/>
  <c r="M15" i="1"/>
  <c r="N15" i="1"/>
  <c r="P15" i="1" a="1"/>
  <c r="P15" i="1" s="1"/>
  <c r="Q15" i="1" s="1"/>
  <c r="S15" i="1"/>
  <c r="T15" i="1" s="1"/>
  <c r="V15" i="1" a="1"/>
  <c r="V15" i="1" s="1"/>
  <c r="Y15" i="1" a="1"/>
  <c r="Y15" i="1" s="1"/>
  <c r="Z15" i="1" a="1"/>
  <c r="Z15" i="1" s="1"/>
  <c r="AA15" i="1" a="1"/>
  <c r="AA15" i="1" s="1"/>
  <c r="AJ15" i="1"/>
  <c r="AK15" i="1"/>
  <c r="AL15" i="1" s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H15" i="1"/>
  <c r="CI15" i="1"/>
  <c r="CJ15" i="1"/>
  <c r="CK15" i="1"/>
  <c r="CQ15" i="1" s="1"/>
  <c r="CL15" i="1"/>
  <c r="CR15" i="1" s="1"/>
  <c r="CP15" i="1"/>
  <c r="DD15" i="1"/>
  <c r="DE15" i="1"/>
  <c r="DF15" i="1"/>
  <c r="DG15" i="1"/>
  <c r="DH15" i="1"/>
  <c r="DI15" i="1"/>
  <c r="DJ15" i="1"/>
  <c r="DK15" i="1"/>
  <c r="DL15" i="1"/>
  <c r="DM15" i="1"/>
  <c r="I16" i="1"/>
  <c r="J16" i="1"/>
  <c r="K16" i="1"/>
  <c r="L16" i="1"/>
  <c r="M16" i="1"/>
  <c r="N16" i="1"/>
  <c r="P16" i="1" a="1"/>
  <c r="P16" i="1" s="1"/>
  <c r="S16" i="1"/>
  <c r="T16" i="1" s="1"/>
  <c r="V16" i="1" a="1"/>
  <c r="V16" i="1" s="1"/>
  <c r="W16" i="1" s="1"/>
  <c r="Y16" i="1" a="1"/>
  <c r="Y16" i="1" s="1"/>
  <c r="Z16" i="1" a="1"/>
  <c r="Z16" i="1" s="1"/>
  <c r="AA16" i="1" a="1"/>
  <c r="AA16" i="1" s="1"/>
  <c r="AJ16" i="1"/>
  <c r="AK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H16" i="1"/>
  <c r="CN16" i="1" s="1"/>
  <c r="CI16" i="1"/>
  <c r="CO16" i="1" s="1"/>
  <c r="CJ16" i="1"/>
  <c r="CP16" i="1" s="1"/>
  <c r="CK16" i="1"/>
  <c r="CQ16" i="1" s="1"/>
  <c r="CL16" i="1"/>
  <c r="CR16" i="1" s="1"/>
  <c r="DD16" i="1"/>
  <c r="DE16" i="1"/>
  <c r="DF16" i="1"/>
  <c r="DG16" i="1"/>
  <c r="DH16" i="1"/>
  <c r="DI16" i="1"/>
  <c r="DJ16" i="1"/>
  <c r="DK16" i="1"/>
  <c r="DL16" i="1"/>
  <c r="DM16" i="1"/>
  <c r="I17" i="1"/>
  <c r="J17" i="1"/>
  <c r="K17" i="1"/>
  <c r="L17" i="1"/>
  <c r="M17" i="1"/>
  <c r="N17" i="1"/>
  <c r="P17" i="1" a="1"/>
  <c r="P17" i="1" s="1"/>
  <c r="Q17" i="1" s="1"/>
  <c r="S17" i="1"/>
  <c r="T17" i="1" s="1"/>
  <c r="V17" i="1" a="1"/>
  <c r="V17" i="1" s="1"/>
  <c r="Y17" i="1" a="1"/>
  <c r="Y17" i="1" s="1"/>
  <c r="Z17" i="1" a="1"/>
  <c r="Z17" i="1" s="1"/>
  <c r="AA17" i="1" a="1"/>
  <c r="AA17" i="1" s="1"/>
  <c r="AJ17" i="1"/>
  <c r="AK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H17" i="1"/>
  <c r="CI17" i="1"/>
  <c r="CJ17" i="1"/>
  <c r="CP17" i="1" s="1"/>
  <c r="CK17" i="1"/>
  <c r="CQ17" i="1" s="1"/>
  <c r="CL17" i="1"/>
  <c r="CR17" i="1" s="1"/>
  <c r="DD17" i="1"/>
  <c r="DE17" i="1"/>
  <c r="DF17" i="1"/>
  <c r="DG17" i="1"/>
  <c r="DH17" i="1"/>
  <c r="DI17" i="1"/>
  <c r="DJ17" i="1"/>
  <c r="DK17" i="1"/>
  <c r="DL17" i="1"/>
  <c r="DM17" i="1"/>
  <c r="I18" i="1"/>
  <c r="J18" i="1"/>
  <c r="K18" i="1"/>
  <c r="L18" i="1"/>
  <c r="M18" i="1"/>
  <c r="N18" i="1"/>
  <c r="P18" i="1" a="1"/>
  <c r="P18" i="1" s="1"/>
  <c r="S18" i="1"/>
  <c r="T18" i="1" s="1"/>
  <c r="V18" i="1" a="1"/>
  <c r="V18" i="1" s="1"/>
  <c r="W18" i="1" s="1"/>
  <c r="Y18" i="1" a="1"/>
  <c r="Y18" i="1" s="1"/>
  <c r="Z18" i="1" a="1"/>
  <c r="Z18" i="1" s="1"/>
  <c r="AA18" i="1" a="1"/>
  <c r="AA18" i="1" s="1"/>
  <c r="AJ18" i="1"/>
  <c r="AK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H18" i="1"/>
  <c r="CI18" i="1"/>
  <c r="CO18" i="1" s="1"/>
  <c r="CJ18" i="1"/>
  <c r="CP18" i="1" s="1"/>
  <c r="CK18" i="1"/>
  <c r="CQ18" i="1" s="1"/>
  <c r="CL18" i="1"/>
  <c r="CR18" i="1" s="1"/>
  <c r="DD18" i="1"/>
  <c r="DE18" i="1"/>
  <c r="DF18" i="1"/>
  <c r="DG18" i="1"/>
  <c r="DH18" i="1"/>
  <c r="DI18" i="1"/>
  <c r="DJ18" i="1"/>
  <c r="DK18" i="1"/>
  <c r="DL18" i="1"/>
  <c r="DM18" i="1"/>
  <c r="I19" i="1"/>
  <c r="J19" i="1"/>
  <c r="K19" i="1"/>
  <c r="L19" i="1"/>
  <c r="M19" i="1"/>
  <c r="N19" i="1"/>
  <c r="P19" i="1" a="1"/>
  <c r="P19" i="1" s="1"/>
  <c r="Q19" i="1" s="1"/>
  <c r="S19" i="1"/>
  <c r="T19" i="1" s="1"/>
  <c r="V19" i="1" a="1"/>
  <c r="V19" i="1" s="1"/>
  <c r="W19" i="1" s="1"/>
  <c r="Y19" i="1" a="1"/>
  <c r="Y19" i="1" s="1"/>
  <c r="Z19" i="1" a="1"/>
  <c r="Z19" i="1" s="1"/>
  <c r="AA19" i="1" a="1"/>
  <c r="AA19" i="1" s="1"/>
  <c r="AJ19" i="1"/>
  <c r="AK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H19" i="1"/>
  <c r="CI19" i="1"/>
  <c r="CO19" i="1" s="1"/>
  <c r="CJ19" i="1"/>
  <c r="CK19" i="1"/>
  <c r="CQ19" i="1" s="1"/>
  <c r="CL19" i="1"/>
  <c r="CR19" i="1" s="1"/>
  <c r="CP19" i="1"/>
  <c r="DD19" i="1"/>
  <c r="DE19" i="1"/>
  <c r="DF19" i="1"/>
  <c r="DG19" i="1"/>
  <c r="DH19" i="1"/>
  <c r="DI19" i="1"/>
  <c r="DJ19" i="1"/>
  <c r="DK19" i="1"/>
  <c r="DL19" i="1"/>
  <c r="DM19" i="1"/>
  <c r="I20" i="1"/>
  <c r="J20" i="1"/>
  <c r="K20" i="1"/>
  <c r="L20" i="1"/>
  <c r="M20" i="1"/>
  <c r="N20" i="1"/>
  <c r="P20" i="1" a="1"/>
  <c r="P20" i="1" s="1"/>
  <c r="S20" i="1"/>
  <c r="T20" i="1" s="1"/>
  <c r="V20" i="1" a="1"/>
  <c r="V20" i="1" s="1"/>
  <c r="W20" i="1" s="1"/>
  <c r="Y20" i="1" a="1"/>
  <c r="Y20" i="1" s="1"/>
  <c r="Z20" i="1" a="1"/>
  <c r="Z20" i="1" s="1"/>
  <c r="AA20" i="1" a="1"/>
  <c r="AA20" i="1" s="1"/>
  <c r="AJ20" i="1"/>
  <c r="AK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H20" i="1"/>
  <c r="CI20" i="1"/>
  <c r="CO20" i="1" s="1"/>
  <c r="CJ20" i="1"/>
  <c r="CP20" i="1" s="1"/>
  <c r="CK20" i="1"/>
  <c r="CQ20" i="1" s="1"/>
  <c r="CL20" i="1"/>
  <c r="CR20" i="1" s="1"/>
  <c r="DD20" i="1"/>
  <c r="DE20" i="1"/>
  <c r="DF20" i="1"/>
  <c r="DG20" i="1"/>
  <c r="DH20" i="1"/>
  <c r="DI20" i="1"/>
  <c r="DJ20" i="1"/>
  <c r="DK20" i="1"/>
  <c r="DL20" i="1"/>
  <c r="DM20" i="1"/>
  <c r="I21" i="1"/>
  <c r="J21" i="1"/>
  <c r="K21" i="1"/>
  <c r="L21" i="1"/>
  <c r="M21" i="1"/>
  <c r="N21" i="1"/>
  <c r="P21" i="1" a="1"/>
  <c r="P21" i="1" s="1"/>
  <c r="Q21" i="1" s="1"/>
  <c r="S21" i="1"/>
  <c r="T21" i="1" s="1"/>
  <c r="V21" i="1" a="1"/>
  <c r="V21" i="1" s="1"/>
  <c r="W21" i="1" s="1"/>
  <c r="Y21" i="1" a="1"/>
  <c r="Y21" i="1" s="1"/>
  <c r="Z21" i="1" a="1"/>
  <c r="Z21" i="1" s="1"/>
  <c r="AA21" i="1" a="1"/>
  <c r="AA21" i="1" s="1"/>
  <c r="AJ21" i="1"/>
  <c r="AK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H21" i="1"/>
  <c r="CI21" i="1"/>
  <c r="CO21" i="1" s="1"/>
  <c r="CJ21" i="1"/>
  <c r="CP21" i="1" s="1"/>
  <c r="CK21" i="1"/>
  <c r="CQ21" i="1" s="1"/>
  <c r="CL21" i="1"/>
  <c r="CR21" i="1" s="1"/>
  <c r="DD21" i="1"/>
  <c r="DE21" i="1"/>
  <c r="DF21" i="1"/>
  <c r="DG21" i="1"/>
  <c r="DH21" i="1"/>
  <c r="DI21" i="1"/>
  <c r="DJ21" i="1"/>
  <c r="DK21" i="1"/>
  <c r="DL21" i="1"/>
  <c r="DM21" i="1"/>
  <c r="I22" i="1"/>
  <c r="J22" i="1"/>
  <c r="K22" i="1"/>
  <c r="L22" i="1"/>
  <c r="M22" i="1"/>
  <c r="N22" i="1"/>
  <c r="P22" i="1" a="1"/>
  <c r="P22" i="1" s="1"/>
  <c r="Q22" i="1" s="1"/>
  <c r="S22" i="1"/>
  <c r="T22" i="1" s="1"/>
  <c r="V22" i="1" a="1"/>
  <c r="V22" i="1" s="1"/>
  <c r="W22" i="1" s="1"/>
  <c r="Y22" i="1" a="1"/>
  <c r="Y22" i="1" s="1"/>
  <c r="Z22" i="1" a="1"/>
  <c r="Z22" i="1" s="1"/>
  <c r="AA22" i="1" a="1"/>
  <c r="AA22" i="1" s="1"/>
  <c r="AJ22" i="1"/>
  <c r="AK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H22" i="1"/>
  <c r="CI22" i="1"/>
  <c r="CO22" i="1" s="1"/>
  <c r="CJ22" i="1"/>
  <c r="CK22" i="1"/>
  <c r="CQ22" i="1" s="1"/>
  <c r="CL22" i="1"/>
  <c r="CR22" i="1" s="1"/>
  <c r="CP22" i="1"/>
  <c r="DD22" i="1"/>
  <c r="DE22" i="1"/>
  <c r="DF22" i="1"/>
  <c r="DG22" i="1"/>
  <c r="DH22" i="1"/>
  <c r="DI22" i="1"/>
  <c r="DJ22" i="1"/>
  <c r="DK22" i="1"/>
  <c r="DL22" i="1"/>
  <c r="DM22" i="1"/>
  <c r="I23" i="1"/>
  <c r="J23" i="1"/>
  <c r="K23" i="1"/>
  <c r="L23" i="1"/>
  <c r="M23" i="1"/>
  <c r="N23" i="1"/>
  <c r="P23" i="1" a="1"/>
  <c r="P23" i="1" s="1"/>
  <c r="Q23" i="1" s="1"/>
  <c r="S23" i="1"/>
  <c r="T23" i="1" s="1"/>
  <c r="V23" i="1" a="1"/>
  <c r="V23" i="1" s="1"/>
  <c r="W23" i="1" s="1"/>
  <c r="Y23" i="1" a="1"/>
  <c r="Y23" i="1" s="1"/>
  <c r="Z23" i="1" a="1"/>
  <c r="Z23" i="1" s="1"/>
  <c r="AA23" i="1" a="1"/>
  <c r="AA23" i="1" s="1"/>
  <c r="AJ23" i="1"/>
  <c r="AK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H23" i="1"/>
  <c r="CI23" i="1"/>
  <c r="CO23" i="1" s="1"/>
  <c r="CJ23" i="1"/>
  <c r="CP23" i="1" s="1"/>
  <c r="CK23" i="1"/>
  <c r="CQ23" i="1" s="1"/>
  <c r="CL23" i="1"/>
  <c r="CR23" i="1" s="1"/>
  <c r="DD23" i="1"/>
  <c r="DE23" i="1"/>
  <c r="DF23" i="1"/>
  <c r="DG23" i="1"/>
  <c r="DH23" i="1"/>
  <c r="DI23" i="1"/>
  <c r="DJ23" i="1"/>
  <c r="DK23" i="1"/>
  <c r="DL23" i="1"/>
  <c r="DM23" i="1"/>
  <c r="I24" i="1"/>
  <c r="J24" i="1"/>
  <c r="K24" i="1"/>
  <c r="L24" i="1"/>
  <c r="M24" i="1"/>
  <c r="N24" i="1"/>
  <c r="P24" i="1" a="1"/>
  <c r="P24" i="1" s="1"/>
  <c r="S24" i="1"/>
  <c r="T24" i="1" s="1"/>
  <c r="V24" i="1" a="1"/>
  <c r="V24" i="1" s="1"/>
  <c r="W24" i="1" s="1"/>
  <c r="Y24" i="1" a="1"/>
  <c r="Y24" i="1" s="1"/>
  <c r="Z24" i="1" a="1"/>
  <c r="Z24" i="1" s="1"/>
  <c r="AA24" i="1" a="1"/>
  <c r="AA24" i="1" s="1"/>
  <c r="AJ24" i="1"/>
  <c r="AK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H24" i="1"/>
  <c r="CI24" i="1"/>
  <c r="CO24" i="1" s="1"/>
  <c r="CJ24" i="1"/>
  <c r="CP24" i="1" s="1"/>
  <c r="CK24" i="1"/>
  <c r="CQ24" i="1" s="1"/>
  <c r="CL24" i="1"/>
  <c r="CR24" i="1" s="1"/>
  <c r="DD24" i="1"/>
  <c r="DE24" i="1"/>
  <c r="DF24" i="1"/>
  <c r="DG24" i="1"/>
  <c r="DH24" i="1"/>
  <c r="DI24" i="1"/>
  <c r="DJ24" i="1"/>
  <c r="DK24" i="1"/>
  <c r="DL24" i="1"/>
  <c r="DM24" i="1"/>
  <c r="I25" i="1"/>
  <c r="J25" i="1"/>
  <c r="K25" i="1"/>
  <c r="L25" i="1"/>
  <c r="M25" i="1"/>
  <c r="N25" i="1"/>
  <c r="P25" i="1" a="1"/>
  <c r="P25" i="1" s="1"/>
  <c r="S25" i="1"/>
  <c r="T25" i="1" s="1"/>
  <c r="V25" i="1" a="1"/>
  <c r="V25" i="1" s="1"/>
  <c r="W25" i="1" s="1"/>
  <c r="Y25" i="1" a="1"/>
  <c r="Y25" i="1" s="1"/>
  <c r="Z25" i="1" a="1"/>
  <c r="Z25" i="1" s="1"/>
  <c r="AA25" i="1" a="1"/>
  <c r="AA25" i="1" s="1"/>
  <c r="AJ25" i="1"/>
  <c r="AK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H25" i="1"/>
  <c r="CN25" i="1" s="1"/>
  <c r="CI25" i="1"/>
  <c r="CO25" i="1" s="1"/>
  <c r="CJ25" i="1"/>
  <c r="CP25" i="1" s="1"/>
  <c r="CK25" i="1"/>
  <c r="CQ25" i="1" s="1"/>
  <c r="CL25" i="1"/>
  <c r="CR25" i="1" s="1"/>
  <c r="DD25" i="1"/>
  <c r="DE25" i="1"/>
  <c r="DF25" i="1"/>
  <c r="DG25" i="1"/>
  <c r="DH25" i="1"/>
  <c r="DI25" i="1"/>
  <c r="DJ25" i="1"/>
  <c r="DK25" i="1"/>
  <c r="DL25" i="1"/>
  <c r="DM25" i="1"/>
  <c r="I26" i="1"/>
  <c r="J26" i="1"/>
  <c r="K26" i="1"/>
  <c r="L26" i="1"/>
  <c r="M26" i="1"/>
  <c r="N26" i="1"/>
  <c r="P26" i="1" a="1"/>
  <c r="P26" i="1" s="1"/>
  <c r="Q26" i="1" s="1"/>
  <c r="S26" i="1"/>
  <c r="T26" i="1" s="1"/>
  <c r="V26" i="1" a="1"/>
  <c r="V26" i="1" s="1"/>
  <c r="W26" i="1" s="1"/>
  <c r="Y26" i="1" a="1"/>
  <c r="Y26" i="1" s="1"/>
  <c r="Z26" i="1" a="1"/>
  <c r="Z26" i="1" s="1"/>
  <c r="AA26" i="1" a="1"/>
  <c r="AA26" i="1" s="1"/>
  <c r="AJ26" i="1"/>
  <c r="AK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H26" i="1"/>
  <c r="CI26" i="1"/>
  <c r="CO26" i="1" s="1"/>
  <c r="CJ26" i="1"/>
  <c r="CP26" i="1" s="1"/>
  <c r="CK26" i="1"/>
  <c r="CQ26" i="1" s="1"/>
  <c r="CL26" i="1"/>
  <c r="CR26" i="1" s="1"/>
  <c r="DD26" i="1"/>
  <c r="DE26" i="1"/>
  <c r="DF26" i="1"/>
  <c r="DG26" i="1"/>
  <c r="DH26" i="1"/>
  <c r="DI26" i="1"/>
  <c r="DJ26" i="1"/>
  <c r="DK26" i="1"/>
  <c r="DL26" i="1"/>
  <c r="DM26" i="1"/>
  <c r="I27" i="1"/>
  <c r="J27" i="1"/>
  <c r="K27" i="1"/>
  <c r="L27" i="1"/>
  <c r="M27" i="1"/>
  <c r="N27" i="1"/>
  <c r="P27" i="1" a="1"/>
  <c r="P27" i="1" s="1"/>
  <c r="Q27" i="1" s="1"/>
  <c r="S27" i="1"/>
  <c r="T27" i="1" s="1"/>
  <c r="V27" i="1" a="1"/>
  <c r="V27" i="1" s="1"/>
  <c r="Y27" i="1" a="1"/>
  <c r="Y27" i="1" s="1"/>
  <c r="Z27" i="1" a="1"/>
  <c r="Z27" i="1" s="1"/>
  <c r="AA27" i="1" a="1"/>
  <c r="AA27" i="1" s="1"/>
  <c r="AJ27" i="1"/>
  <c r="AK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H27" i="1"/>
  <c r="CI27" i="1"/>
  <c r="CJ27" i="1"/>
  <c r="CP27" i="1" s="1"/>
  <c r="CK27" i="1"/>
  <c r="CQ27" i="1" s="1"/>
  <c r="CL27" i="1"/>
  <c r="CR27" i="1"/>
  <c r="DD27" i="1"/>
  <c r="DE27" i="1"/>
  <c r="DF27" i="1"/>
  <c r="DG27" i="1"/>
  <c r="DH27" i="1"/>
  <c r="DI27" i="1"/>
  <c r="DJ27" i="1"/>
  <c r="DK27" i="1"/>
  <c r="DL27" i="1"/>
  <c r="DM27" i="1"/>
  <c r="I28" i="1"/>
  <c r="J28" i="1"/>
  <c r="K28" i="1"/>
  <c r="L28" i="1"/>
  <c r="M28" i="1"/>
  <c r="N28" i="1"/>
  <c r="P28" i="1" a="1"/>
  <c r="P28" i="1" s="1"/>
  <c r="Q28" i="1" s="1"/>
  <c r="S28" i="1"/>
  <c r="T28" i="1" s="1"/>
  <c r="V28" i="1" a="1"/>
  <c r="V28" i="1" s="1"/>
  <c r="W28" i="1" s="1"/>
  <c r="Y28" i="1" a="1"/>
  <c r="Y28" i="1" s="1"/>
  <c r="Z28" i="1" a="1"/>
  <c r="Z28" i="1" s="1"/>
  <c r="AA28" i="1" a="1"/>
  <c r="AA28" i="1" s="1"/>
  <c r="AJ28" i="1"/>
  <c r="AK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H28" i="1"/>
  <c r="CN28" i="1" s="1"/>
  <c r="CI28" i="1"/>
  <c r="CO28" i="1" s="1"/>
  <c r="CJ28" i="1"/>
  <c r="CP28" i="1" s="1"/>
  <c r="CK28" i="1"/>
  <c r="CQ28" i="1" s="1"/>
  <c r="CL28" i="1"/>
  <c r="CR28" i="1" s="1"/>
  <c r="DD28" i="1"/>
  <c r="DE28" i="1"/>
  <c r="DF28" i="1"/>
  <c r="DG28" i="1"/>
  <c r="DH28" i="1"/>
  <c r="DI28" i="1"/>
  <c r="DJ28" i="1"/>
  <c r="DK28" i="1"/>
  <c r="DL28" i="1"/>
  <c r="DM28" i="1"/>
  <c r="I29" i="1"/>
  <c r="J29" i="1"/>
  <c r="K29" i="1"/>
  <c r="L29" i="1"/>
  <c r="M29" i="1"/>
  <c r="N29" i="1"/>
  <c r="P29" i="1" a="1"/>
  <c r="P29" i="1" s="1"/>
  <c r="Q29" i="1" s="1"/>
  <c r="S29" i="1"/>
  <c r="T29" i="1" s="1"/>
  <c r="V29" i="1" a="1"/>
  <c r="V29" i="1" s="1"/>
  <c r="Y29" i="1" a="1"/>
  <c r="Y29" i="1" s="1"/>
  <c r="Z29" i="1" a="1"/>
  <c r="Z29" i="1" s="1"/>
  <c r="AA29" i="1" a="1"/>
  <c r="AA29" i="1" s="1"/>
  <c r="AJ29" i="1"/>
  <c r="AK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H29" i="1"/>
  <c r="CI29" i="1"/>
  <c r="CJ29" i="1"/>
  <c r="CP29" i="1" s="1"/>
  <c r="CK29" i="1"/>
  <c r="CQ29" i="1" s="1"/>
  <c r="CL29" i="1"/>
  <c r="CR29" i="1" s="1"/>
  <c r="DD29" i="1"/>
  <c r="DE29" i="1"/>
  <c r="DF29" i="1"/>
  <c r="DG29" i="1"/>
  <c r="DH29" i="1"/>
  <c r="DI29" i="1"/>
  <c r="DJ29" i="1"/>
  <c r="DK29" i="1"/>
  <c r="DL29" i="1"/>
  <c r="DM29" i="1"/>
  <c r="I30" i="1"/>
  <c r="J30" i="1"/>
  <c r="K30" i="1"/>
  <c r="L30" i="1"/>
  <c r="M30" i="1"/>
  <c r="N30" i="1"/>
  <c r="P30" i="1" a="1"/>
  <c r="P30" i="1" s="1"/>
  <c r="Q30" i="1" s="1"/>
  <c r="S30" i="1"/>
  <c r="T30" i="1" s="1"/>
  <c r="V30" i="1" a="1"/>
  <c r="V30" i="1" s="1"/>
  <c r="Y30" i="1" a="1"/>
  <c r="Y30" i="1" s="1"/>
  <c r="Z30" i="1" a="1"/>
  <c r="Z30" i="1" s="1"/>
  <c r="AA30" i="1" a="1"/>
  <c r="AA30" i="1" s="1"/>
  <c r="AJ30" i="1"/>
  <c r="AK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H30" i="1"/>
  <c r="CI30" i="1"/>
  <c r="CO30" i="1" s="1"/>
  <c r="CJ30" i="1"/>
  <c r="CP30" i="1" s="1"/>
  <c r="CK30" i="1"/>
  <c r="CQ30" i="1" s="1"/>
  <c r="CL30" i="1"/>
  <c r="CR30" i="1" s="1"/>
  <c r="DD30" i="1"/>
  <c r="DE30" i="1"/>
  <c r="DF30" i="1"/>
  <c r="DG30" i="1"/>
  <c r="DH30" i="1"/>
  <c r="DI30" i="1"/>
  <c r="DJ30" i="1"/>
  <c r="DK30" i="1"/>
  <c r="DL30" i="1"/>
  <c r="DM30" i="1"/>
  <c r="I31" i="1"/>
  <c r="J31" i="1"/>
  <c r="K31" i="1"/>
  <c r="L31" i="1"/>
  <c r="M31" i="1"/>
  <c r="N31" i="1"/>
  <c r="P31" i="1" a="1"/>
  <c r="P31" i="1" s="1"/>
  <c r="Q31" i="1" s="1"/>
  <c r="S31" i="1"/>
  <c r="T31" i="1" s="1"/>
  <c r="V31" i="1" a="1"/>
  <c r="V31" i="1" s="1"/>
  <c r="Y31" i="1" a="1"/>
  <c r="Y31" i="1" s="1"/>
  <c r="Z31" i="1" a="1"/>
  <c r="Z31" i="1" s="1"/>
  <c r="AA31" i="1" a="1"/>
  <c r="AA31" i="1" s="1"/>
  <c r="AJ31" i="1"/>
  <c r="AK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H31" i="1"/>
  <c r="CI31" i="1"/>
  <c r="CJ31" i="1"/>
  <c r="CK31" i="1"/>
  <c r="CQ31" i="1" s="1"/>
  <c r="CL31" i="1"/>
  <c r="CR31" i="1" s="1"/>
  <c r="CP31" i="1"/>
  <c r="DD31" i="1"/>
  <c r="DE31" i="1"/>
  <c r="DF31" i="1"/>
  <c r="DG31" i="1"/>
  <c r="DH31" i="1"/>
  <c r="DI31" i="1"/>
  <c r="DJ31" i="1"/>
  <c r="DK31" i="1"/>
  <c r="DL31" i="1"/>
  <c r="DM31" i="1"/>
  <c r="I32" i="1"/>
  <c r="J32" i="1"/>
  <c r="K32" i="1"/>
  <c r="L32" i="1"/>
  <c r="M32" i="1"/>
  <c r="N32" i="1"/>
  <c r="P32" i="1" a="1"/>
  <c r="P32" i="1" s="1"/>
  <c r="Q32" i="1" s="1"/>
  <c r="S32" i="1"/>
  <c r="T32" i="1" s="1"/>
  <c r="V32" i="1" a="1"/>
  <c r="V32" i="1" s="1"/>
  <c r="W32" i="1" s="1"/>
  <c r="Y32" i="1" a="1"/>
  <c r="Y32" i="1" s="1"/>
  <c r="Z32" i="1" a="1"/>
  <c r="Z32" i="1" s="1"/>
  <c r="AA32" i="1" a="1"/>
  <c r="AA32" i="1" s="1"/>
  <c r="AJ32" i="1"/>
  <c r="AK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H32" i="1"/>
  <c r="CI32" i="1"/>
  <c r="CO32" i="1" s="1"/>
  <c r="CJ32" i="1"/>
  <c r="CP32" i="1" s="1"/>
  <c r="CK32" i="1"/>
  <c r="CQ32" i="1" s="1"/>
  <c r="CL32" i="1"/>
  <c r="CR32" i="1" s="1"/>
  <c r="DD32" i="1"/>
  <c r="DE32" i="1"/>
  <c r="DF32" i="1"/>
  <c r="DG32" i="1"/>
  <c r="DH32" i="1"/>
  <c r="DI32" i="1"/>
  <c r="DJ32" i="1"/>
  <c r="DK32" i="1"/>
  <c r="DL32" i="1"/>
  <c r="DM32" i="1"/>
  <c r="I33" i="1"/>
  <c r="J33" i="1"/>
  <c r="K33" i="1"/>
  <c r="L33" i="1"/>
  <c r="M33" i="1"/>
  <c r="N33" i="1"/>
  <c r="P33" i="1" a="1"/>
  <c r="P33" i="1" s="1"/>
  <c r="Q33" i="1" s="1"/>
  <c r="S33" i="1"/>
  <c r="T33" i="1" s="1"/>
  <c r="V33" i="1" a="1"/>
  <c r="V33" i="1" s="1"/>
  <c r="Y33" i="1" a="1"/>
  <c r="Y33" i="1" s="1"/>
  <c r="Z33" i="1" a="1"/>
  <c r="Z33" i="1" s="1"/>
  <c r="AA33" i="1" a="1"/>
  <c r="AA33" i="1" s="1"/>
  <c r="AJ33" i="1"/>
  <c r="AK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H33" i="1"/>
  <c r="CI33" i="1"/>
  <c r="CJ33" i="1"/>
  <c r="CP33" i="1" s="1"/>
  <c r="CK33" i="1"/>
  <c r="CQ33" i="1" s="1"/>
  <c r="CL33" i="1"/>
  <c r="DD33" i="1"/>
  <c r="DE33" i="1"/>
  <c r="DF33" i="1"/>
  <c r="DG33" i="1"/>
  <c r="DH33" i="1"/>
  <c r="DI33" i="1"/>
  <c r="DJ33" i="1"/>
  <c r="DK33" i="1"/>
  <c r="DL33" i="1"/>
  <c r="DM33" i="1"/>
  <c r="I34" i="1"/>
  <c r="J34" i="1"/>
  <c r="K34" i="1"/>
  <c r="L34" i="1"/>
  <c r="M34" i="1"/>
  <c r="N34" i="1"/>
  <c r="P34" i="1" a="1"/>
  <c r="P34" i="1" s="1"/>
  <c r="Q34" i="1" s="1"/>
  <c r="S34" i="1"/>
  <c r="T34" i="1" s="1"/>
  <c r="V34" i="1" a="1"/>
  <c r="V34" i="1"/>
  <c r="W34" i="1" s="1"/>
  <c r="Y34" i="1" a="1"/>
  <c r="Y34" i="1" s="1"/>
  <c r="Z34" i="1" a="1"/>
  <c r="Z34" i="1" s="1"/>
  <c r="AA34" i="1" a="1"/>
  <c r="AA34" i="1" s="1"/>
  <c r="AJ34" i="1"/>
  <c r="AK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H34" i="1"/>
  <c r="CI34" i="1"/>
  <c r="CO34" i="1" s="1"/>
  <c r="CJ34" i="1"/>
  <c r="CP34" i="1" s="1"/>
  <c r="CK34" i="1"/>
  <c r="CQ34" i="1" s="1"/>
  <c r="CL34" i="1"/>
  <c r="CR34" i="1" s="1"/>
  <c r="DD34" i="1"/>
  <c r="DE34" i="1"/>
  <c r="DF34" i="1"/>
  <c r="DG34" i="1"/>
  <c r="DH34" i="1"/>
  <c r="DI34" i="1"/>
  <c r="DJ34" i="1"/>
  <c r="DK34" i="1"/>
  <c r="DL34" i="1"/>
  <c r="DM34" i="1"/>
  <c r="I35" i="1"/>
  <c r="J35" i="1"/>
  <c r="K35" i="1"/>
  <c r="L35" i="1"/>
  <c r="M35" i="1"/>
  <c r="N35" i="1"/>
  <c r="P35" i="1" a="1"/>
  <c r="P35" i="1" s="1"/>
  <c r="Q35" i="1" s="1"/>
  <c r="S35" i="1"/>
  <c r="T35" i="1" s="1"/>
  <c r="V35" i="1" a="1"/>
  <c r="V35" i="1" s="1"/>
  <c r="W35" i="1" s="1"/>
  <c r="Y35" i="1" a="1"/>
  <c r="Y35" i="1" s="1"/>
  <c r="Z35" i="1" a="1"/>
  <c r="Z35" i="1" s="1"/>
  <c r="AA35" i="1" a="1"/>
  <c r="AA35" i="1" s="1"/>
  <c r="AJ35" i="1"/>
  <c r="AK35" i="1"/>
  <c r="AL35" i="1" s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H35" i="1"/>
  <c r="CI35" i="1"/>
  <c r="CO35" i="1" s="1"/>
  <c r="CJ35" i="1"/>
  <c r="CP35" i="1" s="1"/>
  <c r="CK35" i="1"/>
  <c r="CQ35" i="1" s="1"/>
  <c r="CL35" i="1"/>
  <c r="CR35" i="1"/>
  <c r="DD35" i="1"/>
  <c r="DE35" i="1"/>
  <c r="DF35" i="1"/>
  <c r="DG35" i="1"/>
  <c r="DH35" i="1"/>
  <c r="DI35" i="1"/>
  <c r="DJ35" i="1"/>
  <c r="DK35" i="1"/>
  <c r="DL35" i="1"/>
  <c r="DM35" i="1"/>
  <c r="I36" i="1"/>
  <c r="J36" i="1"/>
  <c r="K36" i="1"/>
  <c r="L36" i="1"/>
  <c r="M36" i="1"/>
  <c r="N36" i="1"/>
  <c r="P36" i="1" a="1"/>
  <c r="P36" i="1" s="1"/>
  <c r="S36" i="1"/>
  <c r="T36" i="1"/>
  <c r="V36" i="1" a="1"/>
  <c r="V36" i="1" s="1"/>
  <c r="W36" i="1" s="1"/>
  <c r="Y36" i="1" a="1"/>
  <c r="Y36" i="1" s="1"/>
  <c r="Z36" i="1" a="1"/>
  <c r="Z36" i="1" s="1"/>
  <c r="AA36" i="1" a="1"/>
  <c r="AA36" i="1" s="1"/>
  <c r="AJ36" i="1"/>
  <c r="AK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H36" i="1"/>
  <c r="CI36" i="1"/>
  <c r="CO36" i="1" s="1"/>
  <c r="CJ36" i="1"/>
  <c r="CP36" i="1" s="1"/>
  <c r="CK36" i="1"/>
  <c r="CQ36" i="1" s="1"/>
  <c r="CL36" i="1"/>
  <c r="CR36" i="1"/>
  <c r="DD36" i="1"/>
  <c r="DE36" i="1"/>
  <c r="DF36" i="1"/>
  <c r="DG36" i="1"/>
  <c r="DH36" i="1"/>
  <c r="DI36" i="1"/>
  <c r="DJ36" i="1"/>
  <c r="DK36" i="1"/>
  <c r="DL36" i="1"/>
  <c r="DM36" i="1"/>
  <c r="I37" i="1"/>
  <c r="J37" i="1"/>
  <c r="K37" i="1"/>
  <c r="L37" i="1"/>
  <c r="M37" i="1"/>
  <c r="N37" i="1"/>
  <c r="P37" i="1" a="1"/>
  <c r="P37" i="1" s="1"/>
  <c r="Q37" i="1" s="1"/>
  <c r="S37" i="1"/>
  <c r="T37" i="1" s="1"/>
  <c r="V37" i="1" a="1"/>
  <c r="V37" i="1" s="1"/>
  <c r="W37" i="1" s="1"/>
  <c r="Y37" i="1" a="1"/>
  <c r="Y37" i="1" s="1"/>
  <c r="Z37" i="1" a="1"/>
  <c r="Z37" i="1" s="1"/>
  <c r="AA37" i="1" a="1"/>
  <c r="AA37" i="1" s="1"/>
  <c r="AJ37" i="1"/>
  <c r="AK37" i="1"/>
  <c r="AL37" i="1" s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H37" i="1"/>
  <c r="CN37" i="1" s="1"/>
  <c r="CI37" i="1"/>
  <c r="CO37" i="1" s="1"/>
  <c r="CJ37" i="1"/>
  <c r="CP37" i="1" s="1"/>
  <c r="CK37" i="1"/>
  <c r="CQ37" i="1" s="1"/>
  <c r="CL37" i="1"/>
  <c r="CR37" i="1" s="1"/>
  <c r="DD37" i="1"/>
  <c r="DE37" i="1"/>
  <c r="DF37" i="1"/>
  <c r="DG37" i="1"/>
  <c r="DH37" i="1"/>
  <c r="DI37" i="1"/>
  <c r="DJ37" i="1"/>
  <c r="DK37" i="1"/>
  <c r="DL37" i="1"/>
  <c r="DM37" i="1"/>
  <c r="I38" i="1"/>
  <c r="J38" i="1"/>
  <c r="K38" i="1"/>
  <c r="L38" i="1"/>
  <c r="M38" i="1"/>
  <c r="N38" i="1"/>
  <c r="P38" i="1" a="1"/>
  <c r="P38" i="1" s="1"/>
  <c r="S38" i="1"/>
  <c r="T38" i="1" s="1"/>
  <c r="V38" i="1" a="1"/>
  <c r="V38" i="1" s="1"/>
  <c r="W38" i="1" s="1"/>
  <c r="Y38" i="1" a="1"/>
  <c r="Y38" i="1" s="1"/>
  <c r="Z38" i="1" a="1"/>
  <c r="Z38" i="1" s="1"/>
  <c r="AA38" i="1" a="1"/>
  <c r="AA38" i="1" s="1"/>
  <c r="AJ38" i="1"/>
  <c r="AK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H38" i="1"/>
  <c r="CI38" i="1"/>
  <c r="CO38" i="1" s="1"/>
  <c r="CJ38" i="1"/>
  <c r="CP38" i="1" s="1"/>
  <c r="CK38" i="1"/>
  <c r="CQ38" i="1" s="1"/>
  <c r="CL38" i="1"/>
  <c r="CR38" i="1" s="1"/>
  <c r="DD38" i="1"/>
  <c r="DE38" i="1"/>
  <c r="DF38" i="1"/>
  <c r="DG38" i="1"/>
  <c r="DH38" i="1"/>
  <c r="DI38" i="1"/>
  <c r="DJ38" i="1"/>
  <c r="DK38" i="1"/>
  <c r="DL38" i="1"/>
  <c r="DM38" i="1"/>
  <c r="I39" i="1"/>
  <c r="J39" i="1"/>
  <c r="K39" i="1"/>
  <c r="L39" i="1"/>
  <c r="M39" i="1"/>
  <c r="N39" i="1"/>
  <c r="P39" i="1" a="1"/>
  <c r="P39" i="1" s="1"/>
  <c r="S39" i="1"/>
  <c r="T39" i="1" s="1"/>
  <c r="V39" i="1" a="1"/>
  <c r="V39" i="1" s="1"/>
  <c r="W39" i="1" s="1"/>
  <c r="Y39" i="1" a="1"/>
  <c r="Y39" i="1" s="1"/>
  <c r="Z39" i="1" a="1"/>
  <c r="Z39" i="1" s="1"/>
  <c r="AA39" i="1" a="1"/>
  <c r="AA39" i="1" s="1"/>
  <c r="AJ39" i="1"/>
  <c r="AK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H39" i="1"/>
  <c r="CI39" i="1"/>
  <c r="CO39" i="1" s="1"/>
  <c r="CJ39" i="1"/>
  <c r="CP39" i="1" s="1"/>
  <c r="CK39" i="1"/>
  <c r="CQ39" i="1" s="1"/>
  <c r="CL39" i="1"/>
  <c r="CR39" i="1" s="1"/>
  <c r="DD39" i="1"/>
  <c r="DE39" i="1"/>
  <c r="DF39" i="1"/>
  <c r="DG39" i="1"/>
  <c r="DH39" i="1"/>
  <c r="DI39" i="1"/>
  <c r="DJ39" i="1"/>
  <c r="DK39" i="1"/>
  <c r="DL39" i="1"/>
  <c r="DM39" i="1"/>
  <c r="I40" i="1"/>
  <c r="J40" i="1"/>
  <c r="K40" i="1"/>
  <c r="L40" i="1"/>
  <c r="M40" i="1"/>
  <c r="N40" i="1"/>
  <c r="P40" i="1" a="1"/>
  <c r="P40" i="1" s="1"/>
  <c r="S40" i="1"/>
  <c r="T40" i="1" s="1"/>
  <c r="V40" i="1" a="1"/>
  <c r="V40" i="1" s="1"/>
  <c r="W40" i="1" s="1"/>
  <c r="Y40" i="1" a="1"/>
  <c r="Y40" i="1" s="1"/>
  <c r="Z40" i="1" a="1"/>
  <c r="Z40" i="1" s="1"/>
  <c r="AA40" i="1" a="1"/>
  <c r="AA40" i="1" s="1"/>
  <c r="AJ40" i="1"/>
  <c r="AK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H40" i="1"/>
  <c r="CI40" i="1"/>
  <c r="CO40" i="1" s="1"/>
  <c r="CJ40" i="1"/>
  <c r="CP40" i="1" s="1"/>
  <c r="CK40" i="1"/>
  <c r="CL40" i="1"/>
  <c r="CR40" i="1" s="1"/>
  <c r="DD40" i="1"/>
  <c r="DE40" i="1"/>
  <c r="DF40" i="1"/>
  <c r="DG40" i="1"/>
  <c r="DH40" i="1"/>
  <c r="DI40" i="1"/>
  <c r="DJ40" i="1"/>
  <c r="DK40" i="1"/>
  <c r="DL40" i="1"/>
  <c r="DM40" i="1"/>
  <c r="I41" i="1"/>
  <c r="J41" i="1"/>
  <c r="K41" i="1"/>
  <c r="L41" i="1"/>
  <c r="M41" i="1"/>
  <c r="N41" i="1"/>
  <c r="P41" i="1" a="1"/>
  <c r="P41" i="1" s="1"/>
  <c r="S41" i="1"/>
  <c r="T41" i="1" s="1"/>
  <c r="V41" i="1" a="1"/>
  <c r="V41" i="1" s="1"/>
  <c r="W41" i="1" s="1"/>
  <c r="Y41" i="1" a="1"/>
  <c r="Y41" i="1" s="1"/>
  <c r="Z41" i="1" a="1"/>
  <c r="Z41" i="1" s="1"/>
  <c r="AA41" i="1" a="1"/>
  <c r="AA41" i="1" s="1"/>
  <c r="AJ41" i="1"/>
  <c r="AK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H41" i="1"/>
  <c r="CI41" i="1"/>
  <c r="CO41" i="1" s="1"/>
  <c r="CJ41" i="1"/>
  <c r="CP41" i="1" s="1"/>
  <c r="CK41" i="1"/>
  <c r="CQ41" i="1" s="1"/>
  <c r="CL41" i="1"/>
  <c r="CR41" i="1" s="1"/>
  <c r="DD41" i="1"/>
  <c r="DE41" i="1"/>
  <c r="DF41" i="1"/>
  <c r="DG41" i="1"/>
  <c r="DH41" i="1"/>
  <c r="DI41" i="1"/>
  <c r="DJ41" i="1"/>
  <c r="DK41" i="1"/>
  <c r="DL41" i="1"/>
  <c r="DM41" i="1"/>
  <c r="I42" i="1"/>
  <c r="J42" i="1"/>
  <c r="K42" i="1"/>
  <c r="L42" i="1"/>
  <c r="M42" i="1"/>
  <c r="N42" i="1"/>
  <c r="P42" i="1" a="1"/>
  <c r="P42" i="1" s="1"/>
  <c r="S42" i="1"/>
  <c r="T42" i="1" s="1"/>
  <c r="V42" i="1" a="1"/>
  <c r="V42" i="1" s="1"/>
  <c r="W42" i="1" s="1"/>
  <c r="Y42" i="1" a="1"/>
  <c r="Y42" i="1" s="1"/>
  <c r="Z42" i="1" a="1"/>
  <c r="Z42" i="1" s="1"/>
  <c r="AA42" i="1" a="1"/>
  <c r="AA42" i="1" s="1"/>
  <c r="AJ42" i="1"/>
  <c r="AK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H42" i="1"/>
  <c r="CI42" i="1"/>
  <c r="CO42" i="1" s="1"/>
  <c r="CJ42" i="1"/>
  <c r="CP42" i="1" s="1"/>
  <c r="CK42" i="1"/>
  <c r="CL42" i="1"/>
  <c r="CR42" i="1" s="1"/>
  <c r="DD42" i="1"/>
  <c r="DE42" i="1"/>
  <c r="DF42" i="1"/>
  <c r="DG42" i="1"/>
  <c r="DH42" i="1"/>
  <c r="DI42" i="1"/>
  <c r="DJ42" i="1"/>
  <c r="DK42" i="1"/>
  <c r="DL42" i="1"/>
  <c r="DM42" i="1"/>
  <c r="I43" i="1"/>
  <c r="J43" i="1"/>
  <c r="K43" i="1"/>
  <c r="L43" i="1"/>
  <c r="M43" i="1"/>
  <c r="N43" i="1"/>
  <c r="P43" i="1" a="1"/>
  <c r="P43" i="1" s="1"/>
  <c r="S43" i="1"/>
  <c r="T43" i="1" s="1"/>
  <c r="V43" i="1" a="1"/>
  <c r="V43" i="1" s="1"/>
  <c r="W43" i="1" s="1"/>
  <c r="Y43" i="1" a="1"/>
  <c r="Y43" i="1" s="1"/>
  <c r="Z43" i="1" a="1"/>
  <c r="Z43" i="1" s="1"/>
  <c r="AA43" i="1" a="1"/>
  <c r="AA43" i="1" s="1"/>
  <c r="AJ43" i="1"/>
  <c r="AK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H43" i="1"/>
  <c r="DO43" i="1" s="1" a="1"/>
  <c r="DO43" i="1" s="1"/>
  <c r="CI43" i="1"/>
  <c r="CO43" i="1" s="1"/>
  <c r="CJ43" i="1"/>
  <c r="CK43" i="1"/>
  <c r="DR43" i="1" s="1" a="1"/>
  <c r="DR43" i="1" s="1"/>
  <c r="CL43" i="1"/>
  <c r="CR43" i="1" s="1"/>
  <c r="CP43" i="1"/>
  <c r="DD43" i="1"/>
  <c r="DE43" i="1"/>
  <c r="DF43" i="1"/>
  <c r="DG43" i="1"/>
  <c r="DH43" i="1"/>
  <c r="DI43" i="1"/>
  <c r="DJ43" i="1"/>
  <c r="DK43" i="1"/>
  <c r="DL43" i="1"/>
  <c r="DM43" i="1"/>
  <c r="DQ43" i="1" a="1"/>
  <c r="DQ43" i="1" s="1"/>
  <c r="I44" i="1"/>
  <c r="J44" i="1"/>
  <c r="K44" i="1"/>
  <c r="L44" i="1"/>
  <c r="M44" i="1"/>
  <c r="N44" i="1"/>
  <c r="P44" i="1" a="1"/>
  <c r="P44" i="1" s="1"/>
  <c r="Q44" i="1" s="1"/>
  <c r="S44" i="1"/>
  <c r="T44" i="1" s="1"/>
  <c r="V44" i="1" a="1"/>
  <c r="V44" i="1" s="1"/>
  <c r="W44" i="1" s="1"/>
  <c r="Y44" i="1" a="1"/>
  <c r="Y44" i="1" s="1"/>
  <c r="Z44" i="1" a="1"/>
  <c r="Z44" i="1" s="1"/>
  <c r="AA44" i="1" a="1"/>
  <c r="AA44" i="1" s="1"/>
  <c r="AC44" i="1" a="1"/>
  <c r="AC44" i="1" s="1"/>
  <c r="AD44" i="1" a="1"/>
  <c r="AD44" i="1" s="1"/>
  <c r="AE44" i="1" a="1"/>
  <c r="AE44" i="1" s="1"/>
  <c r="AF44" i="1" a="1"/>
  <c r="AF44" i="1" s="1"/>
  <c r="AG44" i="1" a="1"/>
  <c r="AG44" i="1" s="1"/>
  <c r="AH44" i="1" a="1"/>
  <c r="AH44" i="1" s="1"/>
  <c r="AJ44" i="1"/>
  <c r="AK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H44" i="1"/>
  <c r="DO44" i="1" s="1" a="1"/>
  <c r="DO44" i="1" s="1"/>
  <c r="CI44" i="1"/>
  <c r="CJ44" i="1"/>
  <c r="DQ44" i="1" s="1" a="1"/>
  <c r="DQ44" i="1" s="1"/>
  <c r="CK44" i="1"/>
  <c r="DR44" i="1" s="1" a="1"/>
  <c r="DR44" i="1" s="1"/>
  <c r="CL44" i="1"/>
  <c r="CR44" i="1" s="1"/>
  <c r="DD44" i="1"/>
  <c r="DE44" i="1"/>
  <c r="DF44" i="1"/>
  <c r="DG44" i="1"/>
  <c r="DH44" i="1"/>
  <c r="DI44" i="1"/>
  <c r="DJ44" i="1"/>
  <c r="DK44" i="1"/>
  <c r="DL44" i="1"/>
  <c r="DM44" i="1"/>
  <c r="I45" i="1"/>
  <c r="J45" i="1"/>
  <c r="K45" i="1"/>
  <c r="L45" i="1"/>
  <c r="M45" i="1"/>
  <c r="N45" i="1"/>
  <c r="P45" i="1" a="1"/>
  <c r="P45" i="1" s="1"/>
  <c r="S45" i="1"/>
  <c r="T45" i="1" s="1"/>
  <c r="V45" i="1" a="1"/>
  <c r="V45" i="1" s="1"/>
  <c r="W45" i="1" s="1"/>
  <c r="Y45" i="1" a="1"/>
  <c r="Y45" i="1" s="1"/>
  <c r="Z45" i="1" a="1"/>
  <c r="Z45" i="1" s="1"/>
  <c r="AA45" i="1" a="1"/>
  <c r="AA45" i="1" s="1"/>
  <c r="AC45" i="1" a="1"/>
  <c r="AC45" i="1" s="1"/>
  <c r="AD45" i="1" a="1"/>
  <c r="AD45" i="1" s="1"/>
  <c r="AE45" i="1" a="1"/>
  <c r="AE45" i="1" s="1"/>
  <c r="AF45" i="1" a="1"/>
  <c r="AF45" i="1" s="1"/>
  <c r="AG45" i="1" a="1"/>
  <c r="AG45" i="1" s="1"/>
  <c r="AH45" i="1" a="1"/>
  <c r="AH45" i="1" s="1"/>
  <c r="AJ45" i="1"/>
  <c r="AK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H45" i="1"/>
  <c r="DO45" i="1" s="1" a="1"/>
  <c r="DO45" i="1" s="1"/>
  <c r="CI45" i="1"/>
  <c r="DP45" i="1" s="1" a="1"/>
  <c r="DP45" i="1" s="1"/>
  <c r="CJ45" i="1"/>
  <c r="CP45" i="1" s="1"/>
  <c r="CK45" i="1"/>
  <c r="CL45" i="1"/>
  <c r="CR45" i="1" s="1"/>
  <c r="DD45" i="1"/>
  <c r="DE45" i="1"/>
  <c r="DF45" i="1"/>
  <c r="DG45" i="1"/>
  <c r="DH45" i="1"/>
  <c r="DI45" i="1"/>
  <c r="DJ45" i="1"/>
  <c r="DK45" i="1"/>
  <c r="DL45" i="1"/>
  <c r="DM45" i="1"/>
  <c r="DS45" i="1" a="1"/>
  <c r="DS45" i="1" s="1"/>
  <c r="I46" i="1"/>
  <c r="J46" i="1"/>
  <c r="K46" i="1"/>
  <c r="L46" i="1"/>
  <c r="M46" i="1"/>
  <c r="N46" i="1"/>
  <c r="P46" i="1" a="1"/>
  <c r="P46" i="1" s="1"/>
  <c r="Q46" i="1" s="1"/>
  <c r="S46" i="1"/>
  <c r="T46" i="1" s="1"/>
  <c r="V46" i="1" a="1"/>
  <c r="V46" i="1" s="1"/>
  <c r="W46" i="1" s="1"/>
  <c r="Y46" i="1" a="1"/>
  <c r="Y46" i="1" s="1"/>
  <c r="Z46" i="1" a="1"/>
  <c r="Z46" i="1" s="1"/>
  <c r="AA46" i="1" a="1"/>
  <c r="AA46" i="1" s="1"/>
  <c r="AC46" i="1" a="1"/>
  <c r="AC46" i="1" s="1"/>
  <c r="AD46" i="1" a="1"/>
  <c r="AD46" i="1" s="1"/>
  <c r="AE46" i="1" a="1"/>
  <c r="AE46" i="1" s="1"/>
  <c r="AF46" i="1" a="1"/>
  <c r="AF46" i="1" s="1"/>
  <c r="AG46" i="1" a="1"/>
  <c r="AG46" i="1" s="1"/>
  <c r="AH46" i="1" a="1"/>
  <c r="AH46" i="1" s="1"/>
  <c r="AJ46" i="1"/>
  <c r="AK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H46" i="1"/>
  <c r="CN46" i="1" s="1"/>
  <c r="CI46" i="1"/>
  <c r="CJ46" i="1"/>
  <c r="DQ46" i="1" s="1" a="1"/>
  <c r="DQ46" i="1" s="1"/>
  <c r="CK46" i="1"/>
  <c r="CQ46" i="1" s="1"/>
  <c r="CL46" i="1"/>
  <c r="DS46" i="1" s="1" a="1"/>
  <c r="DS46" i="1" s="1"/>
  <c r="DD46" i="1"/>
  <c r="DE46" i="1"/>
  <c r="DF46" i="1"/>
  <c r="DG46" i="1"/>
  <c r="DH46" i="1"/>
  <c r="DI46" i="1"/>
  <c r="DJ46" i="1"/>
  <c r="DK46" i="1"/>
  <c r="DL46" i="1"/>
  <c r="DM46" i="1"/>
  <c r="I47" i="1"/>
  <c r="J47" i="1"/>
  <c r="K47" i="1"/>
  <c r="L47" i="1"/>
  <c r="M47" i="1"/>
  <c r="N47" i="1"/>
  <c r="P47" i="1" a="1"/>
  <c r="P47" i="1" s="1"/>
  <c r="S47" i="1"/>
  <c r="T47" i="1" s="1"/>
  <c r="V47" i="1" a="1"/>
  <c r="V47" i="1" s="1"/>
  <c r="W47" i="1" s="1"/>
  <c r="Y47" i="1" a="1"/>
  <c r="Y47" i="1" s="1"/>
  <c r="Z47" i="1" a="1"/>
  <c r="Z47" i="1" s="1"/>
  <c r="AA47" i="1" a="1"/>
  <c r="AA47" i="1" s="1"/>
  <c r="AC47" i="1" a="1"/>
  <c r="AC47" i="1" s="1"/>
  <c r="AD47" i="1" a="1"/>
  <c r="AD47" i="1" s="1"/>
  <c r="AE47" i="1" a="1"/>
  <c r="AE47" i="1" s="1"/>
  <c r="AF47" i="1" a="1"/>
  <c r="AF47" i="1" s="1"/>
  <c r="AG47" i="1" a="1"/>
  <c r="AG47" i="1" s="1"/>
  <c r="AH47" i="1" a="1"/>
  <c r="AH47" i="1" s="1"/>
  <c r="AJ47" i="1"/>
  <c r="AK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H47" i="1"/>
  <c r="CI47" i="1"/>
  <c r="CO47" i="1" s="1"/>
  <c r="CJ47" i="1"/>
  <c r="CP47" i="1" s="1"/>
  <c r="CK47" i="1"/>
  <c r="DR47" i="1" s="1" a="1"/>
  <c r="DR47" i="1" s="1"/>
  <c r="CL47" i="1"/>
  <c r="CR47" i="1" s="1"/>
  <c r="CQ47" i="1"/>
  <c r="DD47" i="1"/>
  <c r="DE47" i="1"/>
  <c r="DF47" i="1"/>
  <c r="DG47" i="1"/>
  <c r="DH47" i="1"/>
  <c r="DI47" i="1"/>
  <c r="DJ47" i="1"/>
  <c r="DK47" i="1"/>
  <c r="DL47" i="1"/>
  <c r="DM47" i="1"/>
  <c r="DQ47" i="1" a="1"/>
  <c r="DQ47" i="1" s="1"/>
  <c r="DS47" i="1" a="1"/>
  <c r="DS47" i="1" s="1"/>
  <c r="I48" i="1"/>
  <c r="J48" i="1"/>
  <c r="K48" i="1"/>
  <c r="L48" i="1"/>
  <c r="M48" i="1"/>
  <c r="N48" i="1"/>
  <c r="P48" i="1" a="1"/>
  <c r="P48" i="1" s="1"/>
  <c r="Q48" i="1" s="1"/>
  <c r="S48" i="1"/>
  <c r="T48" i="1" s="1"/>
  <c r="V48" i="1" a="1"/>
  <c r="V48" i="1" s="1"/>
  <c r="W48" i="1" s="1"/>
  <c r="Y48" i="1" a="1"/>
  <c r="Y48" i="1" s="1"/>
  <c r="Z48" i="1" a="1"/>
  <c r="Z48" i="1" s="1"/>
  <c r="AA48" i="1" a="1"/>
  <c r="AA48" i="1" s="1"/>
  <c r="AC48" i="1" a="1"/>
  <c r="AC48" i="1" s="1"/>
  <c r="AD48" i="1" a="1"/>
  <c r="AD48" i="1" s="1"/>
  <c r="AE48" i="1" a="1"/>
  <c r="AE48" i="1" s="1"/>
  <c r="AF48" i="1" a="1"/>
  <c r="AF48" i="1" s="1"/>
  <c r="AG48" i="1" a="1"/>
  <c r="AG48" i="1" s="1"/>
  <c r="AH48" i="1" a="1"/>
  <c r="AH48" i="1" s="1"/>
  <c r="AJ48" i="1"/>
  <c r="AK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H48" i="1"/>
  <c r="DO48" i="1" s="1" a="1"/>
  <c r="DO48" i="1" s="1"/>
  <c r="CI48" i="1"/>
  <c r="CJ48" i="1"/>
  <c r="DQ48" i="1" s="1" a="1"/>
  <c r="DQ48" i="1" s="1"/>
  <c r="CK48" i="1"/>
  <c r="CQ48" i="1" s="1"/>
  <c r="CL48" i="1"/>
  <c r="DS48" i="1" s="1" a="1"/>
  <c r="DS48" i="1" s="1"/>
  <c r="DD48" i="1"/>
  <c r="DE48" i="1"/>
  <c r="DF48" i="1"/>
  <c r="DG48" i="1"/>
  <c r="DH48" i="1"/>
  <c r="DI48" i="1"/>
  <c r="DJ48" i="1"/>
  <c r="DK48" i="1"/>
  <c r="DL48" i="1"/>
  <c r="DM48" i="1"/>
  <c r="I49" i="1"/>
  <c r="J49" i="1"/>
  <c r="K49" i="1"/>
  <c r="L49" i="1"/>
  <c r="M49" i="1"/>
  <c r="N49" i="1"/>
  <c r="P49" i="1" a="1"/>
  <c r="P49" i="1" s="1"/>
  <c r="S49" i="1"/>
  <c r="T49" i="1" s="1"/>
  <c r="V49" i="1" a="1"/>
  <c r="V49" i="1" s="1"/>
  <c r="W49" i="1" s="1"/>
  <c r="Y49" i="1" a="1"/>
  <c r="Y49" i="1" s="1"/>
  <c r="Z49" i="1" a="1"/>
  <c r="Z49" i="1" s="1"/>
  <c r="AA49" i="1" a="1"/>
  <c r="AA49" i="1" s="1"/>
  <c r="AC49" i="1" a="1"/>
  <c r="AC49" i="1" s="1"/>
  <c r="AD49" i="1" a="1"/>
  <c r="AD49" i="1" s="1"/>
  <c r="AE49" i="1" a="1"/>
  <c r="AE49" i="1" s="1"/>
  <c r="AF49" i="1" a="1"/>
  <c r="AF49" i="1" s="1"/>
  <c r="AG49" i="1" a="1"/>
  <c r="AG49" i="1" s="1"/>
  <c r="AH49" i="1" a="1"/>
  <c r="AH49" i="1" s="1"/>
  <c r="AJ49" i="1"/>
  <c r="AK49" i="1"/>
  <c r="AL49" i="1" s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H49" i="1"/>
  <c r="CI49" i="1"/>
  <c r="DP49" i="1" s="1" a="1"/>
  <c r="DP49" i="1" s="1"/>
  <c r="CJ49" i="1"/>
  <c r="CK49" i="1"/>
  <c r="CQ49" i="1" s="1"/>
  <c r="CL49" i="1"/>
  <c r="DS49" i="1" s="1" a="1"/>
  <c r="DS49" i="1" s="1"/>
  <c r="CP49" i="1"/>
  <c r="DD49" i="1"/>
  <c r="DE49" i="1"/>
  <c r="DF49" i="1"/>
  <c r="DG49" i="1"/>
  <c r="DH49" i="1"/>
  <c r="DI49" i="1"/>
  <c r="DJ49" i="1"/>
  <c r="DK49" i="1"/>
  <c r="DL49" i="1"/>
  <c r="DM49" i="1"/>
  <c r="DQ49" i="1" a="1"/>
  <c r="DQ49" i="1" s="1"/>
  <c r="I50" i="1"/>
  <c r="J50" i="1"/>
  <c r="K50" i="1"/>
  <c r="L50" i="1"/>
  <c r="M50" i="1"/>
  <c r="N50" i="1"/>
  <c r="P50" i="1" a="1"/>
  <c r="P50" i="1" s="1"/>
  <c r="S50" i="1"/>
  <c r="T50" i="1" s="1"/>
  <c r="V50" i="1" a="1"/>
  <c r="V50" i="1" s="1"/>
  <c r="W50" i="1" s="1"/>
  <c r="Y50" i="1" a="1"/>
  <c r="Y50" i="1" s="1"/>
  <c r="Z50" i="1" a="1"/>
  <c r="Z50" i="1" s="1"/>
  <c r="AA50" i="1" a="1"/>
  <c r="AA50" i="1" s="1"/>
  <c r="AC50" i="1" a="1"/>
  <c r="AC50" i="1" s="1"/>
  <c r="AD50" i="1" a="1"/>
  <c r="AD50" i="1" s="1"/>
  <c r="AE50" i="1" a="1"/>
  <c r="AE50" i="1" s="1"/>
  <c r="AF50" i="1" a="1"/>
  <c r="AF50" i="1" s="1"/>
  <c r="AG50" i="1" a="1"/>
  <c r="AG50" i="1" s="1"/>
  <c r="AH50" i="1" a="1"/>
  <c r="AH50" i="1" s="1"/>
  <c r="AJ50" i="1"/>
  <c r="AK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H50" i="1"/>
  <c r="CN50" i="1" s="1"/>
  <c r="CI50" i="1"/>
  <c r="CO50" i="1" s="1"/>
  <c r="CJ50" i="1"/>
  <c r="CK50" i="1"/>
  <c r="CQ50" i="1" s="1"/>
  <c r="CL50" i="1"/>
  <c r="DS50" i="1" s="1" a="1"/>
  <c r="DS50" i="1" s="1"/>
  <c r="DD50" i="1"/>
  <c r="DE50" i="1"/>
  <c r="DF50" i="1"/>
  <c r="DG50" i="1"/>
  <c r="DH50" i="1"/>
  <c r="DI50" i="1"/>
  <c r="DJ50" i="1"/>
  <c r="DK50" i="1"/>
  <c r="DL50" i="1"/>
  <c r="DM50" i="1"/>
  <c r="DO50" i="1" a="1"/>
  <c r="DO50" i="1" s="1"/>
  <c r="I51" i="1"/>
  <c r="J51" i="1"/>
  <c r="K51" i="1"/>
  <c r="L51" i="1"/>
  <c r="M51" i="1"/>
  <c r="N51" i="1"/>
  <c r="P51" i="1" a="1"/>
  <c r="P51" i="1" s="1"/>
  <c r="S51" i="1"/>
  <c r="T51" i="1" s="1"/>
  <c r="V51" i="1" a="1"/>
  <c r="V51" i="1" s="1"/>
  <c r="W51" i="1" s="1"/>
  <c r="Y51" i="1" a="1"/>
  <c r="Y51" i="1" s="1"/>
  <c r="Z51" i="1" a="1"/>
  <c r="Z51" i="1" s="1"/>
  <c r="AA51" i="1" a="1"/>
  <c r="AA51" i="1" s="1"/>
  <c r="AC51" i="1" a="1"/>
  <c r="AC51" i="1"/>
  <c r="AD51" i="1" a="1"/>
  <c r="AD51" i="1" s="1"/>
  <c r="AE51" i="1" a="1"/>
  <c r="AE51" i="1" s="1"/>
  <c r="AF51" i="1" a="1"/>
  <c r="AF51" i="1" s="1"/>
  <c r="AG51" i="1" a="1"/>
  <c r="AG51" i="1" s="1"/>
  <c r="AH51" i="1" a="1"/>
  <c r="AH51" i="1" s="1"/>
  <c r="AJ51" i="1"/>
  <c r="AK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H51" i="1"/>
  <c r="DO51" i="1" s="1" a="1"/>
  <c r="DO51" i="1" s="1"/>
  <c r="CI51" i="1"/>
  <c r="CO51" i="1" s="1"/>
  <c r="CJ51" i="1"/>
  <c r="CK51" i="1"/>
  <c r="DR51" i="1" s="1" a="1"/>
  <c r="DR51" i="1" s="1"/>
  <c r="CL51" i="1"/>
  <c r="DS51" i="1" s="1" a="1"/>
  <c r="DS51" i="1" s="1"/>
  <c r="DD51" i="1"/>
  <c r="DE51" i="1"/>
  <c r="DF51" i="1"/>
  <c r="DG51" i="1"/>
  <c r="DH51" i="1"/>
  <c r="DI51" i="1"/>
  <c r="DJ51" i="1"/>
  <c r="DK51" i="1"/>
  <c r="DL51" i="1"/>
  <c r="DM51" i="1"/>
  <c r="I52" i="1"/>
  <c r="J52" i="1"/>
  <c r="K52" i="1"/>
  <c r="L52" i="1"/>
  <c r="M52" i="1"/>
  <c r="N52" i="1"/>
  <c r="P52" i="1" a="1"/>
  <c r="P52" i="1" s="1"/>
  <c r="S52" i="1"/>
  <c r="T52" i="1" s="1"/>
  <c r="V52" i="1" a="1"/>
  <c r="V52" i="1" s="1"/>
  <c r="W52" i="1" s="1"/>
  <c r="Y52" i="1" a="1"/>
  <c r="Y52" i="1" s="1"/>
  <c r="Z52" i="1" a="1"/>
  <c r="Z52" i="1" s="1"/>
  <c r="AA52" i="1" a="1"/>
  <c r="AA52" i="1" s="1"/>
  <c r="AC52" i="1" a="1"/>
  <c r="AC52" i="1" s="1"/>
  <c r="AD52" i="1" a="1"/>
  <c r="AD52" i="1" s="1"/>
  <c r="AE52" i="1" a="1"/>
  <c r="AE52" i="1" s="1"/>
  <c r="AF52" i="1" a="1"/>
  <c r="AF52" i="1" s="1"/>
  <c r="AG52" i="1" a="1"/>
  <c r="AG52" i="1" s="1"/>
  <c r="AH52" i="1" a="1"/>
  <c r="AH52" i="1" s="1"/>
  <c r="AJ52" i="1"/>
  <c r="AK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H52" i="1"/>
  <c r="CI52" i="1"/>
  <c r="CO52" i="1" s="1"/>
  <c r="CJ52" i="1"/>
  <c r="CK52" i="1"/>
  <c r="CL52" i="1"/>
  <c r="DS52" i="1" s="1" a="1"/>
  <c r="DS52" i="1" s="1"/>
  <c r="CP52" i="1"/>
  <c r="DD52" i="1"/>
  <c r="DE52" i="1"/>
  <c r="DF52" i="1"/>
  <c r="DG52" i="1"/>
  <c r="DH52" i="1"/>
  <c r="DI52" i="1"/>
  <c r="DJ52" i="1"/>
  <c r="DK52" i="1"/>
  <c r="DL52" i="1"/>
  <c r="DM52" i="1"/>
  <c r="DO52" i="1" a="1"/>
  <c r="DO52" i="1" s="1"/>
  <c r="DQ52" i="1" a="1"/>
  <c r="DQ52" i="1" s="1"/>
  <c r="I53" i="1"/>
  <c r="J53" i="1"/>
  <c r="K53" i="1"/>
  <c r="L53" i="1"/>
  <c r="M53" i="1"/>
  <c r="N53" i="1"/>
  <c r="P53" i="1" a="1"/>
  <c r="P53" i="1" s="1"/>
  <c r="S53" i="1"/>
  <c r="T53" i="1" s="1"/>
  <c r="V53" i="1" a="1"/>
  <c r="V53" i="1" s="1"/>
  <c r="W53" i="1" s="1"/>
  <c r="Y53" i="1" a="1"/>
  <c r="Y53" i="1" s="1"/>
  <c r="Z53" i="1" a="1"/>
  <c r="Z53" i="1" s="1"/>
  <c r="AA53" i="1" a="1"/>
  <c r="AA53" i="1" s="1"/>
  <c r="AC53" i="1" a="1"/>
  <c r="AC53" i="1" s="1"/>
  <c r="AD53" i="1" a="1"/>
  <c r="AD53" i="1" s="1"/>
  <c r="AE53" i="1" a="1"/>
  <c r="AE53" i="1" s="1"/>
  <c r="AF53" i="1" a="1"/>
  <c r="AF53" i="1" s="1"/>
  <c r="AG53" i="1" a="1"/>
  <c r="AG53" i="1" s="1"/>
  <c r="AH53" i="1" a="1"/>
  <c r="AH53" i="1" s="1"/>
  <c r="AJ53" i="1"/>
  <c r="AK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H53" i="1"/>
  <c r="CI53" i="1"/>
  <c r="CJ53" i="1"/>
  <c r="CP53" i="1" s="1"/>
  <c r="CK53" i="1"/>
  <c r="CQ53" i="1" s="1"/>
  <c r="CL53" i="1"/>
  <c r="DD53" i="1"/>
  <c r="DE53" i="1"/>
  <c r="DF53" i="1"/>
  <c r="DG53" i="1"/>
  <c r="DH53" i="1"/>
  <c r="DI53" i="1"/>
  <c r="DJ53" i="1"/>
  <c r="DK53" i="1"/>
  <c r="DL53" i="1"/>
  <c r="DM53" i="1"/>
  <c r="I54" i="1"/>
  <c r="J54" i="1"/>
  <c r="K54" i="1"/>
  <c r="L54" i="1"/>
  <c r="M54" i="1"/>
  <c r="N54" i="1"/>
  <c r="P54" i="1" a="1"/>
  <c r="P54" i="1" s="1"/>
  <c r="S54" i="1"/>
  <c r="T54" i="1"/>
  <c r="V54" i="1" a="1"/>
  <c r="V54" i="1" s="1"/>
  <c r="W54" i="1" s="1"/>
  <c r="Y54" i="1" a="1"/>
  <c r="Y54" i="1" s="1"/>
  <c r="Z54" i="1" a="1"/>
  <c r="Z54" i="1" s="1"/>
  <c r="AA54" i="1" a="1"/>
  <c r="AA54" i="1" s="1"/>
  <c r="AC54" i="1" a="1"/>
  <c r="AC54" i="1" s="1"/>
  <c r="AD54" i="1" a="1"/>
  <c r="AD54" i="1" s="1"/>
  <c r="AE54" i="1" a="1"/>
  <c r="AE54" i="1" s="1"/>
  <c r="AF54" i="1" a="1"/>
  <c r="AF54" i="1" s="1"/>
  <c r="AG54" i="1" a="1"/>
  <c r="AG54" i="1" s="1"/>
  <c r="AH54" i="1" a="1"/>
  <c r="AH54" i="1" s="1"/>
  <c r="AJ54" i="1"/>
  <c r="AK54" i="1"/>
  <c r="AL54" i="1" s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H54" i="1"/>
  <c r="CI54" i="1"/>
  <c r="CJ54" i="1"/>
  <c r="CP54" i="1" s="1"/>
  <c r="CK54" i="1"/>
  <c r="CQ54" i="1" s="1"/>
  <c r="CL54" i="1"/>
  <c r="DS54" i="1" s="1" a="1"/>
  <c r="DS54" i="1" s="1"/>
  <c r="DD54" i="1"/>
  <c r="DE54" i="1"/>
  <c r="DF54" i="1"/>
  <c r="DG54" i="1"/>
  <c r="DH54" i="1"/>
  <c r="DI54" i="1"/>
  <c r="DJ54" i="1"/>
  <c r="DK54" i="1"/>
  <c r="DL54" i="1"/>
  <c r="DM54" i="1"/>
  <c r="DQ54" i="1" a="1"/>
  <c r="DQ54" i="1" s="1"/>
  <c r="I55" i="1"/>
  <c r="J55" i="1"/>
  <c r="K55" i="1"/>
  <c r="L55" i="1"/>
  <c r="M55" i="1"/>
  <c r="N55" i="1"/>
  <c r="P55" i="1" a="1"/>
  <c r="P55" i="1" s="1"/>
  <c r="Q55" i="1" s="1"/>
  <c r="S55" i="1"/>
  <c r="T55" i="1" s="1"/>
  <c r="V55" i="1" a="1"/>
  <c r="V55" i="1" s="1"/>
  <c r="W55" i="1" s="1"/>
  <c r="Y55" i="1" a="1"/>
  <c r="Y55" i="1" s="1"/>
  <c r="Z55" i="1" a="1"/>
  <c r="Z55" i="1" s="1"/>
  <c r="AA55" i="1" a="1"/>
  <c r="AA55" i="1" s="1"/>
  <c r="AC55" i="1" a="1"/>
  <c r="AC55" i="1" s="1"/>
  <c r="AD55" i="1" a="1"/>
  <c r="AD55" i="1" s="1"/>
  <c r="AE55" i="1" a="1"/>
  <c r="AE55" i="1" s="1"/>
  <c r="AF55" i="1" a="1"/>
  <c r="AF55" i="1" s="1"/>
  <c r="AG55" i="1" a="1"/>
  <c r="AG55" i="1" s="1"/>
  <c r="AH55" i="1" a="1"/>
  <c r="AH55" i="1" s="1"/>
  <c r="AJ55" i="1"/>
  <c r="AK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H55" i="1"/>
  <c r="CN55" i="1" s="1"/>
  <c r="CI55" i="1"/>
  <c r="CJ55" i="1"/>
  <c r="CK55" i="1"/>
  <c r="DR55" i="1" s="1" a="1"/>
  <c r="DR55" i="1" s="1"/>
  <c r="CL55" i="1"/>
  <c r="CR55" i="1" s="1"/>
  <c r="DD55" i="1"/>
  <c r="DE55" i="1"/>
  <c r="DF55" i="1"/>
  <c r="DG55" i="1"/>
  <c r="DH55" i="1"/>
  <c r="DI55" i="1"/>
  <c r="DJ55" i="1"/>
  <c r="DK55" i="1"/>
  <c r="DL55" i="1"/>
  <c r="DM55" i="1"/>
  <c r="DS55" i="1" a="1"/>
  <c r="DS55" i="1" s="1"/>
  <c r="I56" i="1"/>
  <c r="J56" i="1"/>
  <c r="K56" i="1"/>
  <c r="L56" i="1"/>
  <c r="M56" i="1"/>
  <c r="N56" i="1"/>
  <c r="P56" i="1" a="1"/>
  <c r="P56" i="1" s="1"/>
  <c r="S56" i="1"/>
  <c r="T56" i="1" s="1"/>
  <c r="V56" i="1" a="1"/>
  <c r="V56" i="1" s="1"/>
  <c r="W56" i="1" s="1"/>
  <c r="Y56" i="1" a="1"/>
  <c r="Y56" i="1" s="1"/>
  <c r="Z56" i="1" a="1"/>
  <c r="Z56" i="1" s="1"/>
  <c r="AA56" i="1" a="1"/>
  <c r="AA56" i="1" s="1"/>
  <c r="AC56" i="1" a="1"/>
  <c r="AC56" i="1" s="1"/>
  <c r="AD56" i="1" a="1"/>
  <c r="AD56" i="1" s="1"/>
  <c r="AE56" i="1" a="1"/>
  <c r="AE56" i="1" s="1"/>
  <c r="AF56" i="1" a="1"/>
  <c r="AF56" i="1" s="1"/>
  <c r="AG56" i="1" a="1"/>
  <c r="AG56" i="1" s="1"/>
  <c r="AH56" i="1" a="1"/>
  <c r="AH56" i="1" s="1"/>
  <c r="AJ56" i="1"/>
  <c r="AL56" i="1" s="1"/>
  <c r="AK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H56" i="1"/>
  <c r="DO56" i="1" s="1" a="1"/>
  <c r="DO56" i="1" s="1"/>
  <c r="CI56" i="1"/>
  <c r="CO56" i="1" s="1"/>
  <c r="CJ56" i="1"/>
  <c r="CK56" i="1"/>
  <c r="DR56" i="1" s="1" a="1"/>
  <c r="DR56" i="1" s="1"/>
  <c r="CL56" i="1"/>
  <c r="DS56" i="1" s="1" a="1"/>
  <c r="DS56" i="1" s="1"/>
  <c r="DD56" i="1"/>
  <c r="DE56" i="1"/>
  <c r="DF56" i="1"/>
  <c r="DG56" i="1"/>
  <c r="DH56" i="1"/>
  <c r="DI56" i="1"/>
  <c r="DJ56" i="1"/>
  <c r="DK56" i="1"/>
  <c r="DL56" i="1"/>
  <c r="DM56" i="1"/>
  <c r="I57" i="1"/>
  <c r="J57" i="1"/>
  <c r="K57" i="1"/>
  <c r="L57" i="1"/>
  <c r="M57" i="1"/>
  <c r="N57" i="1"/>
  <c r="P57" i="1" a="1"/>
  <c r="P57" i="1" s="1"/>
  <c r="S57" i="1"/>
  <c r="T57" i="1" s="1"/>
  <c r="V57" i="1" a="1"/>
  <c r="V57" i="1" s="1"/>
  <c r="W57" i="1" s="1"/>
  <c r="Y57" i="1" a="1"/>
  <c r="Y57" i="1" s="1"/>
  <c r="Z57" i="1" a="1"/>
  <c r="Z57" i="1" s="1"/>
  <c r="AA57" i="1" a="1"/>
  <c r="AA57" i="1" s="1"/>
  <c r="AC57" i="1" a="1"/>
  <c r="AC57" i="1" s="1"/>
  <c r="AD57" i="1" a="1"/>
  <c r="AD57" i="1" s="1"/>
  <c r="AE57" i="1" a="1"/>
  <c r="AE57" i="1" s="1"/>
  <c r="AF57" i="1" a="1"/>
  <c r="AF57" i="1" s="1"/>
  <c r="AG57" i="1" a="1"/>
  <c r="AG57" i="1" s="1"/>
  <c r="AH57" i="1" a="1"/>
  <c r="AH57" i="1" s="1"/>
  <c r="AJ57" i="1"/>
  <c r="AK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H57" i="1"/>
  <c r="CN57" i="1" s="1"/>
  <c r="CI57" i="1"/>
  <c r="CO57" i="1" s="1"/>
  <c r="CJ57" i="1"/>
  <c r="DQ57" i="1" s="1" a="1"/>
  <c r="DQ57" i="1" s="1"/>
  <c r="CK57" i="1"/>
  <c r="CQ57" i="1" s="1"/>
  <c r="CL57" i="1"/>
  <c r="DS57" i="1" s="1" a="1"/>
  <c r="DS57" i="1" s="1"/>
  <c r="DD57" i="1"/>
  <c r="DE57" i="1"/>
  <c r="DF57" i="1"/>
  <c r="DG57" i="1"/>
  <c r="DH57" i="1"/>
  <c r="DI57" i="1"/>
  <c r="DJ57" i="1"/>
  <c r="DK57" i="1"/>
  <c r="DL57" i="1"/>
  <c r="DM57" i="1"/>
  <c r="I58" i="1"/>
  <c r="J58" i="1"/>
  <c r="K58" i="1"/>
  <c r="L58" i="1"/>
  <c r="M58" i="1"/>
  <c r="N58" i="1"/>
  <c r="P58" i="1" a="1"/>
  <c r="P58" i="1" s="1"/>
  <c r="Q58" i="1" s="1"/>
  <c r="S58" i="1"/>
  <c r="T58" i="1" s="1"/>
  <c r="V58" i="1" a="1"/>
  <c r="V58" i="1" s="1"/>
  <c r="W58" i="1" s="1"/>
  <c r="Y58" i="1" a="1"/>
  <c r="Y58" i="1" s="1"/>
  <c r="Z58" i="1" a="1"/>
  <c r="Z58" i="1" s="1"/>
  <c r="AA58" i="1" a="1"/>
  <c r="AA58" i="1" s="1"/>
  <c r="AC58" i="1" a="1"/>
  <c r="AC58" i="1" s="1"/>
  <c r="AD58" i="1" a="1"/>
  <c r="AD58" i="1" s="1"/>
  <c r="AE58" i="1" a="1"/>
  <c r="AE58" i="1" s="1"/>
  <c r="AF58" i="1" a="1"/>
  <c r="AF58" i="1" s="1"/>
  <c r="AG58" i="1" a="1"/>
  <c r="AG58" i="1" s="1"/>
  <c r="AH58" i="1" a="1"/>
  <c r="AH58" i="1" s="1"/>
  <c r="AJ58" i="1"/>
  <c r="AK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H58" i="1"/>
  <c r="DO58" i="1" s="1" a="1"/>
  <c r="DO58" i="1" s="1"/>
  <c r="CI58" i="1"/>
  <c r="CJ58" i="1"/>
  <c r="DQ58" i="1" s="1" a="1"/>
  <c r="DQ58" i="1" s="1"/>
  <c r="CK58" i="1"/>
  <c r="CL58" i="1"/>
  <c r="DS58" i="1" s="1" a="1"/>
  <c r="DS58" i="1" s="1"/>
  <c r="DD58" i="1"/>
  <c r="DE58" i="1"/>
  <c r="DF58" i="1"/>
  <c r="DG58" i="1"/>
  <c r="DH58" i="1"/>
  <c r="DI58" i="1"/>
  <c r="DJ58" i="1"/>
  <c r="DK58" i="1"/>
  <c r="DL58" i="1"/>
  <c r="DM58" i="1"/>
  <c r="I59" i="1"/>
  <c r="J59" i="1"/>
  <c r="K59" i="1"/>
  <c r="L59" i="1"/>
  <c r="M59" i="1"/>
  <c r="N59" i="1"/>
  <c r="P59" i="1" a="1"/>
  <c r="P59" i="1" s="1"/>
  <c r="Q59" i="1" s="1"/>
  <c r="S59" i="1"/>
  <c r="T59" i="1" s="1"/>
  <c r="V59" i="1" a="1"/>
  <c r="V59" i="1" s="1"/>
  <c r="Y59" i="1" a="1"/>
  <c r="Y59" i="1" s="1"/>
  <c r="Z59" i="1" a="1"/>
  <c r="Z59" i="1" s="1"/>
  <c r="AA59" i="1" a="1"/>
  <c r="AA59" i="1" s="1"/>
  <c r="AC59" i="1" a="1"/>
  <c r="AC59" i="1" s="1"/>
  <c r="AD59" i="1" a="1"/>
  <c r="AD59" i="1" s="1"/>
  <c r="AE59" i="1" a="1"/>
  <c r="AE59" i="1" s="1"/>
  <c r="AF59" i="1" a="1"/>
  <c r="AF59" i="1" s="1"/>
  <c r="AG59" i="1" a="1"/>
  <c r="AG59" i="1" s="1"/>
  <c r="AH59" i="1" a="1"/>
  <c r="AH59" i="1" s="1"/>
  <c r="AJ59" i="1"/>
  <c r="AK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H59" i="1"/>
  <c r="CI59" i="1"/>
  <c r="CO59" i="1" s="1"/>
  <c r="CJ59" i="1"/>
  <c r="DQ59" i="1" s="1" a="1"/>
  <c r="DQ59" i="1" s="1"/>
  <c r="CK59" i="1"/>
  <c r="CL59" i="1"/>
  <c r="CR59" i="1" s="1"/>
  <c r="DD59" i="1"/>
  <c r="DE59" i="1"/>
  <c r="DF59" i="1"/>
  <c r="DG59" i="1"/>
  <c r="DH59" i="1"/>
  <c r="DI59" i="1"/>
  <c r="DJ59" i="1"/>
  <c r="DK59" i="1"/>
  <c r="DL59" i="1"/>
  <c r="DM59" i="1"/>
  <c r="DS59" i="1" a="1"/>
  <c r="DS59" i="1" s="1"/>
  <c r="I60" i="1"/>
  <c r="J60" i="1"/>
  <c r="K60" i="1"/>
  <c r="L60" i="1"/>
  <c r="M60" i="1"/>
  <c r="N60" i="1"/>
  <c r="P60" i="1" a="1"/>
  <c r="P60" i="1" s="1"/>
  <c r="Q60" i="1" s="1"/>
  <c r="S60" i="1"/>
  <c r="T60" i="1" s="1"/>
  <c r="V60" i="1" a="1"/>
  <c r="V60" i="1" s="1"/>
  <c r="W60" i="1" s="1"/>
  <c r="Y60" i="1" a="1"/>
  <c r="Y60" i="1" s="1"/>
  <c r="Z60" i="1" a="1"/>
  <c r="Z60" i="1" s="1"/>
  <c r="AA60" i="1" a="1"/>
  <c r="AA60" i="1" s="1"/>
  <c r="AC60" i="1" a="1"/>
  <c r="AC60" i="1" s="1"/>
  <c r="AD60" i="1" a="1"/>
  <c r="AD60" i="1" s="1"/>
  <c r="AE60" i="1" a="1"/>
  <c r="AE60" i="1" s="1"/>
  <c r="AF60" i="1" a="1"/>
  <c r="AF60" i="1" s="1"/>
  <c r="AG60" i="1" a="1"/>
  <c r="AG60" i="1" s="1"/>
  <c r="AH60" i="1" a="1"/>
  <c r="AH60" i="1" s="1"/>
  <c r="AJ60" i="1"/>
  <c r="AK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H60" i="1"/>
  <c r="CI60" i="1"/>
  <c r="DP60" i="1" s="1" a="1"/>
  <c r="DP60" i="1" s="1"/>
  <c r="CJ60" i="1"/>
  <c r="DQ60" i="1" s="1" a="1"/>
  <c r="DQ60" i="1" s="1"/>
  <c r="CK60" i="1"/>
  <c r="CQ60" i="1" s="1"/>
  <c r="CL60" i="1"/>
  <c r="DD60" i="1"/>
  <c r="DE60" i="1"/>
  <c r="DF60" i="1"/>
  <c r="DG60" i="1"/>
  <c r="DH60" i="1"/>
  <c r="DI60" i="1"/>
  <c r="DJ60" i="1"/>
  <c r="DK60" i="1"/>
  <c r="DL60" i="1"/>
  <c r="DM60" i="1"/>
  <c r="DO60" i="1" a="1"/>
  <c r="DO60" i="1" s="1"/>
  <c r="I61" i="1"/>
  <c r="J61" i="1"/>
  <c r="K61" i="1"/>
  <c r="L61" i="1"/>
  <c r="M61" i="1"/>
  <c r="N61" i="1"/>
  <c r="P61" i="1" a="1"/>
  <c r="P61" i="1" s="1"/>
  <c r="S61" i="1"/>
  <c r="T61" i="1" s="1"/>
  <c r="V61" i="1" a="1"/>
  <c r="V61" i="1" s="1"/>
  <c r="W61" i="1" s="1"/>
  <c r="Y61" i="1" a="1"/>
  <c r="Y61" i="1" s="1"/>
  <c r="Z61" i="1" a="1"/>
  <c r="Z61" i="1" s="1"/>
  <c r="AA61" i="1" a="1"/>
  <c r="AA61" i="1" s="1"/>
  <c r="AC61" i="1" a="1"/>
  <c r="AC61" i="1" s="1"/>
  <c r="AD61" i="1" a="1"/>
  <c r="AD61" i="1" s="1"/>
  <c r="AE61" i="1" a="1"/>
  <c r="AE61" i="1" s="1"/>
  <c r="AF61" i="1" a="1"/>
  <c r="AF61" i="1" s="1"/>
  <c r="AG61" i="1" a="1"/>
  <c r="AG61" i="1" s="1"/>
  <c r="AH61" i="1" a="1"/>
  <c r="AH61" i="1" s="1"/>
  <c r="AJ61" i="1"/>
  <c r="AK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H61" i="1"/>
  <c r="CI61" i="1"/>
  <c r="CO61" i="1" s="1"/>
  <c r="CJ61" i="1"/>
  <c r="CK61" i="1"/>
  <c r="CL61" i="1"/>
  <c r="DS61" i="1" s="1" a="1"/>
  <c r="DS61" i="1" s="1"/>
  <c r="DD61" i="1"/>
  <c r="DE61" i="1"/>
  <c r="DF61" i="1"/>
  <c r="DG61" i="1"/>
  <c r="DH61" i="1"/>
  <c r="DI61" i="1"/>
  <c r="DJ61" i="1"/>
  <c r="DK61" i="1"/>
  <c r="DL61" i="1"/>
  <c r="DM61" i="1"/>
  <c r="I62" i="1"/>
  <c r="J62" i="1"/>
  <c r="K62" i="1"/>
  <c r="L62" i="1"/>
  <c r="M62" i="1"/>
  <c r="N62" i="1"/>
  <c r="P62" i="1" a="1"/>
  <c r="P62" i="1"/>
  <c r="Q62" i="1" s="1"/>
  <c r="S62" i="1"/>
  <c r="T62" i="1" s="1"/>
  <c r="V62" i="1" a="1"/>
  <c r="V62" i="1" s="1"/>
  <c r="W62" i="1" s="1"/>
  <c r="Y62" i="1" a="1"/>
  <c r="Y62" i="1" s="1"/>
  <c r="Z62" i="1" a="1"/>
  <c r="Z62" i="1" s="1"/>
  <c r="AA62" i="1" a="1"/>
  <c r="AA62" i="1" s="1"/>
  <c r="AC62" i="1" a="1"/>
  <c r="AC62" i="1" s="1"/>
  <c r="AD62" i="1" a="1"/>
  <c r="AD62" i="1" s="1"/>
  <c r="AE62" i="1" a="1"/>
  <c r="AE62" i="1" s="1"/>
  <c r="AF62" i="1" a="1"/>
  <c r="AF62" i="1" s="1"/>
  <c r="AG62" i="1" a="1"/>
  <c r="AG62" i="1" s="1"/>
  <c r="AH62" i="1" a="1"/>
  <c r="AH62" i="1" s="1"/>
  <c r="AJ62" i="1"/>
  <c r="AK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H62" i="1"/>
  <c r="DO62" i="1" s="1" a="1"/>
  <c r="DO62" i="1" s="1"/>
  <c r="CI62" i="1"/>
  <c r="CJ62" i="1"/>
  <c r="CP62" i="1" s="1"/>
  <c r="CK62" i="1"/>
  <c r="DR62" i="1" s="1" a="1"/>
  <c r="DR62" i="1" s="1"/>
  <c r="CL62" i="1"/>
  <c r="DS62" i="1" s="1" a="1"/>
  <c r="DS62" i="1" s="1"/>
  <c r="DD62" i="1"/>
  <c r="DE62" i="1"/>
  <c r="DF62" i="1"/>
  <c r="DG62" i="1"/>
  <c r="DH62" i="1"/>
  <c r="DI62" i="1"/>
  <c r="DJ62" i="1"/>
  <c r="DK62" i="1"/>
  <c r="DL62" i="1"/>
  <c r="DM62" i="1"/>
  <c r="I63" i="1"/>
  <c r="J63" i="1"/>
  <c r="K63" i="1"/>
  <c r="L63" i="1"/>
  <c r="M63" i="1"/>
  <c r="N63" i="1"/>
  <c r="P63" i="1" a="1"/>
  <c r="P63" i="1" s="1"/>
  <c r="S63" i="1"/>
  <c r="T63" i="1"/>
  <c r="V63" i="1" a="1"/>
  <c r="V63" i="1" s="1"/>
  <c r="W63" i="1" s="1"/>
  <c r="Y63" i="1" a="1"/>
  <c r="Y63" i="1" s="1"/>
  <c r="Z63" i="1" a="1"/>
  <c r="Z63" i="1" s="1"/>
  <c r="AA63" i="1" a="1"/>
  <c r="AA63" i="1" s="1"/>
  <c r="AC63" i="1" a="1"/>
  <c r="AC63" i="1" s="1"/>
  <c r="AD63" i="1" a="1"/>
  <c r="AD63" i="1" s="1"/>
  <c r="AE63" i="1" a="1"/>
  <c r="AE63" i="1" s="1"/>
  <c r="AF63" i="1" a="1"/>
  <c r="AF63" i="1" s="1"/>
  <c r="AG63" i="1" a="1"/>
  <c r="AG63" i="1"/>
  <c r="AH63" i="1" a="1"/>
  <c r="AH63" i="1" s="1"/>
  <c r="AJ63" i="1"/>
  <c r="AL63" i="1" s="1"/>
  <c r="AK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H63" i="1"/>
  <c r="CN63" i="1" s="1"/>
  <c r="CI63" i="1"/>
  <c r="CO63" i="1" s="1"/>
  <c r="CJ63" i="1"/>
  <c r="DQ63" i="1" s="1" a="1"/>
  <c r="DQ63" i="1" s="1"/>
  <c r="CK63" i="1"/>
  <c r="CL63" i="1"/>
  <c r="DS63" i="1" s="1" a="1"/>
  <c r="DS63" i="1" s="1"/>
  <c r="DD63" i="1"/>
  <c r="DE63" i="1"/>
  <c r="DF63" i="1"/>
  <c r="DG63" i="1"/>
  <c r="DH63" i="1"/>
  <c r="DI63" i="1"/>
  <c r="DJ63" i="1"/>
  <c r="DK63" i="1"/>
  <c r="DL63" i="1"/>
  <c r="DM63" i="1"/>
  <c r="DR63" i="1" a="1"/>
  <c r="DR63" i="1" s="1"/>
  <c r="I64" i="1"/>
  <c r="J64" i="1"/>
  <c r="K64" i="1"/>
  <c r="L64" i="1"/>
  <c r="M64" i="1"/>
  <c r="N64" i="1"/>
  <c r="P64" i="1" a="1"/>
  <c r="P64" i="1" s="1"/>
  <c r="Q64" i="1" s="1"/>
  <c r="S64" i="1"/>
  <c r="T64" i="1" s="1"/>
  <c r="V64" i="1" a="1"/>
  <c r="V64" i="1" s="1"/>
  <c r="W64" i="1" s="1"/>
  <c r="Y64" i="1" a="1"/>
  <c r="Y64" i="1" s="1"/>
  <c r="Z64" i="1" a="1"/>
  <c r="Z64" i="1" s="1"/>
  <c r="AA64" i="1" a="1"/>
  <c r="AA64" i="1" s="1"/>
  <c r="AC64" i="1" a="1"/>
  <c r="AC64" i="1" s="1"/>
  <c r="AD64" i="1" a="1"/>
  <c r="AD64" i="1" s="1"/>
  <c r="AE64" i="1" a="1"/>
  <c r="AE64" i="1" s="1"/>
  <c r="AF64" i="1" a="1"/>
  <c r="AF64" i="1" s="1"/>
  <c r="AG64" i="1" a="1"/>
  <c r="AG64" i="1" s="1"/>
  <c r="AH64" i="1" a="1"/>
  <c r="AH64" i="1" s="1"/>
  <c r="AJ64" i="1"/>
  <c r="AK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H64" i="1"/>
  <c r="CI64" i="1"/>
  <c r="DP64" i="1" s="1" a="1"/>
  <c r="DP64" i="1" s="1"/>
  <c r="CJ64" i="1"/>
  <c r="CP64" i="1" s="1"/>
  <c r="CK64" i="1"/>
  <c r="DR64" i="1" s="1" a="1"/>
  <c r="DR64" i="1" s="1"/>
  <c r="CL64" i="1"/>
  <c r="DS64" i="1" s="1" a="1"/>
  <c r="DS64" i="1" s="1"/>
  <c r="DD64" i="1"/>
  <c r="DE64" i="1"/>
  <c r="DF64" i="1"/>
  <c r="DG64" i="1"/>
  <c r="DH64" i="1"/>
  <c r="DI64" i="1"/>
  <c r="DJ64" i="1"/>
  <c r="DK64" i="1"/>
  <c r="DL64" i="1"/>
  <c r="DM64" i="1"/>
  <c r="I65" i="1"/>
  <c r="J65" i="1"/>
  <c r="K65" i="1"/>
  <c r="L65" i="1"/>
  <c r="M65" i="1"/>
  <c r="N65" i="1"/>
  <c r="P65" i="1" a="1"/>
  <c r="P65" i="1" s="1"/>
  <c r="Q65" i="1" s="1"/>
  <c r="S65" i="1"/>
  <c r="T65" i="1" s="1"/>
  <c r="V65" i="1" a="1"/>
  <c r="V65" i="1" s="1"/>
  <c r="W65" i="1" s="1"/>
  <c r="Y65" i="1" a="1"/>
  <c r="Y65" i="1" s="1"/>
  <c r="Z65" i="1" a="1"/>
  <c r="Z65" i="1" s="1"/>
  <c r="AA65" i="1" a="1"/>
  <c r="AA65" i="1" s="1"/>
  <c r="AC65" i="1" a="1"/>
  <c r="AC65" i="1" s="1"/>
  <c r="AD65" i="1" a="1"/>
  <c r="AD65" i="1" s="1"/>
  <c r="AE65" i="1" a="1"/>
  <c r="AE65" i="1" s="1"/>
  <c r="AF65" i="1" a="1"/>
  <c r="AF65" i="1" s="1"/>
  <c r="AG65" i="1" a="1"/>
  <c r="AG65" i="1" s="1"/>
  <c r="AH65" i="1" a="1"/>
  <c r="AH65" i="1" s="1"/>
  <c r="AJ65" i="1"/>
  <c r="AK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H65" i="1"/>
  <c r="DO65" i="1" s="1" a="1"/>
  <c r="DO65" i="1" s="1"/>
  <c r="CI65" i="1"/>
  <c r="DP65" i="1" s="1" a="1"/>
  <c r="DP65" i="1" s="1"/>
  <c r="CJ65" i="1"/>
  <c r="CK65" i="1"/>
  <c r="CL65" i="1"/>
  <c r="CR65" i="1" s="1"/>
  <c r="DD65" i="1"/>
  <c r="DE65" i="1"/>
  <c r="DF65" i="1"/>
  <c r="DG65" i="1"/>
  <c r="DH65" i="1"/>
  <c r="DI65" i="1"/>
  <c r="DJ65" i="1"/>
  <c r="DK65" i="1"/>
  <c r="DL65" i="1"/>
  <c r="DM65" i="1"/>
  <c r="I66" i="1"/>
  <c r="J66" i="1"/>
  <c r="K66" i="1"/>
  <c r="L66" i="1"/>
  <c r="M66" i="1"/>
  <c r="N66" i="1"/>
  <c r="P66" i="1" a="1"/>
  <c r="P66" i="1" s="1"/>
  <c r="Q66" i="1" s="1"/>
  <c r="S66" i="1"/>
  <c r="T66" i="1" s="1"/>
  <c r="V66" i="1" a="1"/>
  <c r="V66" i="1"/>
  <c r="W66" i="1" s="1"/>
  <c r="Y66" i="1" a="1"/>
  <c r="Y66" i="1" s="1"/>
  <c r="Z66" i="1" a="1"/>
  <c r="Z66" i="1" s="1"/>
  <c r="AA66" i="1" a="1"/>
  <c r="AA66" i="1" s="1"/>
  <c r="AC66" i="1" a="1"/>
  <c r="AC66" i="1" s="1"/>
  <c r="AD66" i="1" a="1"/>
  <c r="AD66" i="1" s="1"/>
  <c r="AE66" i="1" a="1"/>
  <c r="AE66" i="1" s="1"/>
  <c r="AF66" i="1" a="1"/>
  <c r="AF66" i="1"/>
  <c r="AG66" i="1" a="1"/>
  <c r="AG66" i="1" s="1"/>
  <c r="AH66" i="1" a="1"/>
  <c r="AH66" i="1" s="1"/>
  <c r="AJ66" i="1"/>
  <c r="AK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H66" i="1"/>
  <c r="DO66" i="1" s="1" a="1"/>
  <c r="DO66" i="1" s="1"/>
  <c r="CI66" i="1"/>
  <c r="CJ66" i="1"/>
  <c r="CP66" i="1" s="1"/>
  <c r="CK66" i="1"/>
  <c r="DR66" i="1" s="1" a="1"/>
  <c r="DR66" i="1" s="1"/>
  <c r="CL66" i="1"/>
  <c r="DS66" i="1" s="1" a="1"/>
  <c r="DS66" i="1" s="1"/>
  <c r="DD66" i="1"/>
  <c r="DE66" i="1"/>
  <c r="DF66" i="1"/>
  <c r="DG66" i="1"/>
  <c r="DH66" i="1"/>
  <c r="DI66" i="1"/>
  <c r="DJ66" i="1"/>
  <c r="DK66" i="1"/>
  <c r="DL66" i="1"/>
  <c r="DM66" i="1"/>
  <c r="I67" i="1"/>
  <c r="J67" i="1"/>
  <c r="K67" i="1"/>
  <c r="L67" i="1"/>
  <c r="M67" i="1"/>
  <c r="N67" i="1"/>
  <c r="P67" i="1" a="1"/>
  <c r="P67" i="1" s="1"/>
  <c r="Q67" i="1" s="1"/>
  <c r="S67" i="1"/>
  <c r="T67" i="1"/>
  <c r="V67" i="1" a="1"/>
  <c r="V67" i="1" s="1"/>
  <c r="W67" i="1" s="1"/>
  <c r="Y67" i="1" a="1"/>
  <c r="Y67" i="1" s="1"/>
  <c r="Z67" i="1" a="1"/>
  <c r="Z67" i="1"/>
  <c r="AA67" i="1" a="1"/>
  <c r="AA67" i="1" s="1"/>
  <c r="AC67" i="1" a="1"/>
  <c r="AC67" i="1" s="1"/>
  <c r="AD67" i="1" a="1"/>
  <c r="AD67" i="1" s="1"/>
  <c r="AE67" i="1" a="1"/>
  <c r="AE67" i="1" s="1"/>
  <c r="AF67" i="1" a="1"/>
  <c r="AF67" i="1" s="1"/>
  <c r="AG67" i="1" a="1"/>
  <c r="AG67" i="1" s="1"/>
  <c r="AH67" i="1" a="1"/>
  <c r="AH67" i="1" s="1"/>
  <c r="AJ67" i="1"/>
  <c r="AK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H67" i="1"/>
  <c r="CI67" i="1"/>
  <c r="CJ67" i="1"/>
  <c r="DQ67" i="1" s="1" a="1"/>
  <c r="DQ67" i="1" s="1"/>
  <c r="CK67" i="1"/>
  <c r="CQ67" i="1" s="1"/>
  <c r="CL67" i="1"/>
  <c r="CR67" i="1" s="1"/>
  <c r="CN67" i="1"/>
  <c r="DD67" i="1"/>
  <c r="DE67" i="1"/>
  <c r="DF67" i="1"/>
  <c r="DG67" i="1"/>
  <c r="DH67" i="1"/>
  <c r="DI67" i="1"/>
  <c r="DJ67" i="1"/>
  <c r="DK67" i="1"/>
  <c r="DL67" i="1"/>
  <c r="DM67" i="1"/>
  <c r="DO67" i="1" a="1"/>
  <c r="DO67" i="1" s="1"/>
  <c r="DP67" i="1" a="1"/>
  <c r="DP67" i="1" s="1"/>
  <c r="I68" i="1"/>
  <c r="J68" i="1"/>
  <c r="K68" i="1"/>
  <c r="L68" i="1"/>
  <c r="M68" i="1"/>
  <c r="N68" i="1"/>
  <c r="P68" i="1" a="1"/>
  <c r="P68" i="1" s="1"/>
  <c r="S68" i="1"/>
  <c r="T68" i="1" s="1"/>
  <c r="V68" i="1" a="1"/>
  <c r="V68" i="1" s="1"/>
  <c r="W68" i="1" s="1"/>
  <c r="Y68" i="1" a="1"/>
  <c r="Y68" i="1" s="1"/>
  <c r="Z68" i="1" a="1"/>
  <c r="Z68" i="1" s="1"/>
  <c r="AA68" i="1" a="1"/>
  <c r="AA68" i="1" s="1"/>
  <c r="AC68" i="1" a="1"/>
  <c r="AC68" i="1" s="1"/>
  <c r="AD68" i="1" a="1"/>
  <c r="AD68" i="1" s="1"/>
  <c r="AE68" i="1" a="1"/>
  <c r="AE68" i="1" s="1"/>
  <c r="AF68" i="1" a="1"/>
  <c r="AF68" i="1" s="1"/>
  <c r="AG68" i="1" a="1"/>
  <c r="AG68" i="1" s="1"/>
  <c r="AH68" i="1" a="1"/>
  <c r="AH68" i="1" s="1"/>
  <c r="AJ68" i="1"/>
  <c r="AK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H68" i="1"/>
  <c r="DO68" i="1" s="1" a="1"/>
  <c r="DO68" i="1" s="1"/>
  <c r="CI68" i="1"/>
  <c r="CJ68" i="1"/>
  <c r="CP68" i="1" s="1"/>
  <c r="CK68" i="1"/>
  <c r="DR68" i="1" s="1" a="1"/>
  <c r="DR68" i="1" s="1"/>
  <c r="CL68" i="1"/>
  <c r="CR68" i="1" s="1"/>
  <c r="DD68" i="1"/>
  <c r="DE68" i="1"/>
  <c r="DF68" i="1"/>
  <c r="DG68" i="1"/>
  <c r="DH68" i="1"/>
  <c r="DI68" i="1"/>
  <c r="DJ68" i="1"/>
  <c r="DK68" i="1"/>
  <c r="DL68" i="1"/>
  <c r="DM68" i="1"/>
  <c r="I69" i="1"/>
  <c r="J69" i="1"/>
  <c r="K69" i="1"/>
  <c r="L69" i="1"/>
  <c r="M69" i="1"/>
  <c r="N69" i="1"/>
  <c r="P69" i="1" a="1"/>
  <c r="P69" i="1" s="1"/>
  <c r="Q69" i="1" s="1"/>
  <c r="S69" i="1"/>
  <c r="T69" i="1" s="1"/>
  <c r="V69" i="1" a="1"/>
  <c r="V69" i="1"/>
  <c r="W69" i="1" s="1"/>
  <c r="Y69" i="1" a="1"/>
  <c r="Y69" i="1" s="1"/>
  <c r="Z69" i="1" a="1"/>
  <c r="Z69" i="1" s="1"/>
  <c r="AA69" i="1" a="1"/>
  <c r="AA69" i="1" s="1"/>
  <c r="AC69" i="1" a="1"/>
  <c r="AC69" i="1" s="1"/>
  <c r="AD69" i="1" a="1"/>
  <c r="AD69" i="1" s="1"/>
  <c r="AE69" i="1" a="1"/>
  <c r="AE69" i="1" s="1"/>
  <c r="AF69" i="1" a="1"/>
  <c r="AF69" i="1" s="1"/>
  <c r="AG69" i="1" a="1"/>
  <c r="AG69" i="1" s="1"/>
  <c r="AH69" i="1" a="1"/>
  <c r="AH69" i="1" s="1"/>
  <c r="AJ69" i="1"/>
  <c r="AK69" i="1"/>
  <c r="AL69" i="1" s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H69" i="1"/>
  <c r="CI69" i="1"/>
  <c r="CO69" i="1" s="1"/>
  <c r="CJ69" i="1"/>
  <c r="DQ69" i="1" s="1" a="1"/>
  <c r="DQ69" i="1" s="1"/>
  <c r="CK69" i="1"/>
  <c r="DR69" i="1" s="1" a="1"/>
  <c r="DR69" i="1" s="1"/>
  <c r="CL69" i="1"/>
  <c r="CR69" i="1" s="1"/>
  <c r="DD69" i="1"/>
  <c r="DE69" i="1"/>
  <c r="DF69" i="1"/>
  <c r="DG69" i="1"/>
  <c r="DH69" i="1"/>
  <c r="DI69" i="1"/>
  <c r="DJ69" i="1"/>
  <c r="DK69" i="1"/>
  <c r="DL69" i="1"/>
  <c r="DM69" i="1"/>
  <c r="DP69" i="1" a="1"/>
  <c r="DP69" i="1" s="1"/>
  <c r="I70" i="1"/>
  <c r="J70" i="1"/>
  <c r="K70" i="1"/>
  <c r="L70" i="1"/>
  <c r="M70" i="1"/>
  <c r="N70" i="1"/>
  <c r="P70" i="1" a="1"/>
  <c r="P70" i="1" s="1"/>
  <c r="S70" i="1"/>
  <c r="T70" i="1" s="1"/>
  <c r="V70" i="1" a="1"/>
  <c r="V70" i="1" s="1"/>
  <c r="W70" i="1" s="1"/>
  <c r="Y70" i="1" a="1"/>
  <c r="Y70" i="1" s="1"/>
  <c r="Z70" i="1" a="1"/>
  <c r="Z70" i="1" s="1"/>
  <c r="AA70" i="1" a="1"/>
  <c r="AA70" i="1" s="1"/>
  <c r="AC70" i="1" a="1"/>
  <c r="AC70" i="1" s="1"/>
  <c r="AD70" i="1" a="1"/>
  <c r="AD70" i="1" s="1"/>
  <c r="AE70" i="1" a="1"/>
  <c r="AE70" i="1" s="1"/>
  <c r="AF70" i="1" a="1"/>
  <c r="AF70" i="1" s="1"/>
  <c r="AG70" i="1" a="1"/>
  <c r="AG70" i="1" s="1"/>
  <c r="AH70" i="1" a="1"/>
  <c r="AH70" i="1" s="1"/>
  <c r="AJ70" i="1"/>
  <c r="AK70" i="1"/>
  <c r="AL70" i="1" s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H70" i="1"/>
  <c r="DO70" i="1" s="1" a="1"/>
  <c r="DO70" i="1" s="1"/>
  <c r="CI70" i="1"/>
  <c r="CJ70" i="1"/>
  <c r="DQ70" i="1" s="1" a="1"/>
  <c r="DQ70" i="1" s="1"/>
  <c r="CK70" i="1"/>
  <c r="CQ70" i="1" s="1"/>
  <c r="CL70" i="1"/>
  <c r="CR70" i="1" s="1"/>
  <c r="DD70" i="1"/>
  <c r="DE70" i="1"/>
  <c r="DF70" i="1"/>
  <c r="DG70" i="1"/>
  <c r="DH70" i="1"/>
  <c r="DI70" i="1"/>
  <c r="DJ70" i="1"/>
  <c r="DK70" i="1"/>
  <c r="DL70" i="1"/>
  <c r="DM70" i="1"/>
  <c r="I71" i="1"/>
  <c r="J71" i="1"/>
  <c r="K71" i="1"/>
  <c r="L71" i="1"/>
  <c r="M71" i="1"/>
  <c r="N71" i="1"/>
  <c r="P71" i="1" a="1"/>
  <c r="P71" i="1" s="1"/>
  <c r="S71" i="1"/>
  <c r="T71" i="1" s="1"/>
  <c r="V71" i="1" a="1"/>
  <c r="V71" i="1" s="1"/>
  <c r="W71" i="1" s="1"/>
  <c r="Y71" i="1" a="1"/>
  <c r="Y71" i="1" s="1"/>
  <c r="Z71" i="1" a="1"/>
  <c r="Z71" i="1" s="1"/>
  <c r="AA71" i="1" a="1"/>
  <c r="AA71" i="1" s="1"/>
  <c r="AC71" i="1" a="1"/>
  <c r="AC71" i="1" s="1"/>
  <c r="AD71" i="1" a="1"/>
  <c r="AD71" i="1" s="1"/>
  <c r="AE71" i="1" a="1"/>
  <c r="AE71" i="1" s="1"/>
  <c r="AF71" i="1" a="1"/>
  <c r="AF71" i="1" s="1"/>
  <c r="AG71" i="1" a="1"/>
  <c r="AG71" i="1" s="1"/>
  <c r="AH71" i="1" a="1"/>
  <c r="AH71" i="1" s="1"/>
  <c r="AJ71" i="1"/>
  <c r="AK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H71" i="1"/>
  <c r="CI71" i="1"/>
  <c r="CJ71" i="1"/>
  <c r="CP71" i="1" s="1"/>
  <c r="CK71" i="1"/>
  <c r="DR71" i="1" s="1" a="1"/>
  <c r="DR71" i="1" s="1"/>
  <c r="CL71" i="1"/>
  <c r="CR71" i="1" s="1"/>
  <c r="CO71" i="1"/>
  <c r="DD71" i="1"/>
  <c r="DE71" i="1"/>
  <c r="DF71" i="1"/>
  <c r="DG71" i="1"/>
  <c r="DH71" i="1"/>
  <c r="DI71" i="1"/>
  <c r="DJ71" i="1"/>
  <c r="DK71" i="1"/>
  <c r="DL71" i="1"/>
  <c r="DM71" i="1"/>
  <c r="I72" i="1"/>
  <c r="J72" i="1"/>
  <c r="K72" i="1"/>
  <c r="L72" i="1"/>
  <c r="M72" i="1"/>
  <c r="N72" i="1"/>
  <c r="P72" i="1" a="1"/>
  <c r="P72" i="1" s="1"/>
  <c r="Q72" i="1" s="1"/>
  <c r="S72" i="1"/>
  <c r="T72" i="1" s="1"/>
  <c r="V72" i="1" a="1"/>
  <c r="V72" i="1" s="1"/>
  <c r="W72" i="1" s="1"/>
  <c r="Y72" i="1" a="1"/>
  <c r="Y72" i="1" s="1"/>
  <c r="Z72" i="1" a="1"/>
  <c r="Z72" i="1" s="1"/>
  <c r="AA72" i="1" a="1"/>
  <c r="AA72" i="1" s="1"/>
  <c r="AC72" i="1" a="1"/>
  <c r="AC72" i="1" s="1"/>
  <c r="AD72" i="1" a="1"/>
  <c r="AD72" i="1" s="1"/>
  <c r="AE72" i="1" a="1"/>
  <c r="AE72" i="1" s="1"/>
  <c r="AF72" i="1" a="1"/>
  <c r="AF72" i="1" s="1"/>
  <c r="AG72" i="1" a="1"/>
  <c r="AG72" i="1" s="1"/>
  <c r="AH72" i="1" a="1"/>
  <c r="AH72" i="1" s="1"/>
  <c r="AJ72" i="1"/>
  <c r="AK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H72" i="1"/>
  <c r="CI72" i="1"/>
  <c r="CJ72" i="1"/>
  <c r="CP72" i="1" s="1"/>
  <c r="CK72" i="1"/>
  <c r="CQ72" i="1" s="1"/>
  <c r="CL72" i="1"/>
  <c r="DS72" i="1" s="1" a="1"/>
  <c r="DS72" i="1" s="1"/>
  <c r="DD72" i="1"/>
  <c r="DE72" i="1"/>
  <c r="DF72" i="1"/>
  <c r="DG72" i="1"/>
  <c r="DH72" i="1"/>
  <c r="DI72" i="1"/>
  <c r="DJ72" i="1"/>
  <c r="DK72" i="1"/>
  <c r="DL72" i="1"/>
  <c r="DM72" i="1"/>
  <c r="I73" i="1"/>
  <c r="J73" i="1"/>
  <c r="K73" i="1"/>
  <c r="L73" i="1"/>
  <c r="M73" i="1"/>
  <c r="N73" i="1"/>
  <c r="P73" i="1" a="1"/>
  <c r="P73" i="1" s="1"/>
  <c r="S73" i="1"/>
  <c r="T73" i="1" s="1"/>
  <c r="V73" i="1" a="1"/>
  <c r="V73" i="1" s="1"/>
  <c r="W73" i="1" s="1"/>
  <c r="Y73" i="1" a="1"/>
  <c r="Y73" i="1" s="1"/>
  <c r="Z73" i="1" a="1"/>
  <c r="Z73" i="1" s="1"/>
  <c r="AA73" i="1" a="1"/>
  <c r="AA73" i="1" s="1"/>
  <c r="AC73" i="1" a="1"/>
  <c r="AC73" i="1" s="1"/>
  <c r="AD73" i="1" a="1"/>
  <c r="AD73" i="1" s="1"/>
  <c r="AE73" i="1" a="1"/>
  <c r="AE73" i="1" s="1"/>
  <c r="AF73" i="1" a="1"/>
  <c r="AF73" i="1" s="1"/>
  <c r="AG73" i="1" a="1"/>
  <c r="AG73" i="1" s="1"/>
  <c r="AH73" i="1" a="1"/>
  <c r="AH73" i="1" s="1"/>
  <c r="AJ73" i="1"/>
  <c r="AK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H73" i="1"/>
  <c r="CN73" i="1" s="1"/>
  <c r="CI73" i="1"/>
  <c r="CO73" i="1" s="1"/>
  <c r="CJ73" i="1"/>
  <c r="CP73" i="1" s="1"/>
  <c r="CK73" i="1"/>
  <c r="CL73" i="1"/>
  <c r="DS73" i="1" s="1" a="1"/>
  <c r="DS73" i="1" s="1"/>
  <c r="DD73" i="1"/>
  <c r="DE73" i="1"/>
  <c r="DF73" i="1"/>
  <c r="DG73" i="1"/>
  <c r="DH73" i="1"/>
  <c r="DI73" i="1"/>
  <c r="DJ73" i="1"/>
  <c r="DK73" i="1"/>
  <c r="DL73" i="1"/>
  <c r="DM73" i="1"/>
  <c r="I74" i="1"/>
  <c r="J74" i="1"/>
  <c r="K74" i="1"/>
  <c r="L74" i="1"/>
  <c r="M74" i="1"/>
  <c r="N74" i="1"/>
  <c r="P74" i="1" a="1"/>
  <c r="P74" i="1" s="1"/>
  <c r="S74" i="1"/>
  <c r="T74" i="1" s="1"/>
  <c r="V74" i="1" a="1"/>
  <c r="V74" i="1" s="1"/>
  <c r="W74" i="1" s="1"/>
  <c r="Y74" i="1" a="1"/>
  <c r="Y74" i="1" s="1"/>
  <c r="Z74" i="1" a="1"/>
  <c r="Z74" i="1" s="1"/>
  <c r="AA74" i="1" a="1"/>
  <c r="AA74" i="1" s="1"/>
  <c r="AC74" i="1" a="1"/>
  <c r="AC74" i="1" s="1"/>
  <c r="AD74" i="1" a="1"/>
  <c r="AD74" i="1" s="1"/>
  <c r="AE74" i="1" a="1"/>
  <c r="AE74" i="1" s="1"/>
  <c r="AF74" i="1" a="1"/>
  <c r="AF74" i="1" s="1"/>
  <c r="AG74" i="1" a="1"/>
  <c r="AG74" i="1" s="1"/>
  <c r="AH74" i="1" a="1"/>
  <c r="AH74" i="1" s="1"/>
  <c r="AJ74" i="1"/>
  <c r="AK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H74" i="1"/>
  <c r="DO74" i="1" s="1" a="1"/>
  <c r="DO74" i="1" s="1"/>
  <c r="CI74" i="1"/>
  <c r="CJ74" i="1"/>
  <c r="DQ74" i="1" s="1" a="1"/>
  <c r="DQ74" i="1" s="1"/>
  <c r="CK74" i="1"/>
  <c r="DR74" i="1" s="1" a="1"/>
  <c r="DR74" i="1" s="1"/>
  <c r="CL74" i="1"/>
  <c r="CR74" i="1" s="1"/>
  <c r="DD74" i="1"/>
  <c r="DE74" i="1"/>
  <c r="DF74" i="1"/>
  <c r="DG74" i="1"/>
  <c r="DH74" i="1"/>
  <c r="DI74" i="1"/>
  <c r="DJ74" i="1"/>
  <c r="DK74" i="1"/>
  <c r="DL74" i="1"/>
  <c r="DM74" i="1"/>
  <c r="I75" i="1"/>
  <c r="J75" i="1"/>
  <c r="K75" i="1"/>
  <c r="L75" i="1"/>
  <c r="M75" i="1"/>
  <c r="N75" i="1"/>
  <c r="P75" i="1" a="1"/>
  <c r="P75" i="1" s="1"/>
  <c r="S75" i="1"/>
  <c r="T75" i="1" s="1"/>
  <c r="V75" i="1" a="1"/>
  <c r="V75" i="1" s="1"/>
  <c r="W75" i="1" s="1"/>
  <c r="Y75" i="1" a="1"/>
  <c r="Y75" i="1" s="1"/>
  <c r="Z75" i="1" a="1"/>
  <c r="Z75" i="1" s="1"/>
  <c r="AA75" i="1" a="1"/>
  <c r="AA75" i="1" s="1"/>
  <c r="AC75" i="1" a="1"/>
  <c r="AC75" i="1" s="1"/>
  <c r="AD75" i="1" a="1"/>
  <c r="AD75" i="1" s="1"/>
  <c r="AE75" i="1" a="1"/>
  <c r="AE75" i="1" s="1"/>
  <c r="AF75" i="1" a="1"/>
  <c r="AF75" i="1" s="1"/>
  <c r="AG75" i="1" a="1"/>
  <c r="AG75" i="1" s="1"/>
  <c r="AH75" i="1" a="1"/>
  <c r="AH75" i="1" s="1"/>
  <c r="AJ75" i="1"/>
  <c r="AK75" i="1"/>
  <c r="AL75" i="1" s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H75" i="1"/>
  <c r="CN75" i="1" s="1"/>
  <c r="CI75" i="1"/>
  <c r="DP75" i="1" s="1" a="1"/>
  <c r="DP75" i="1" s="1"/>
  <c r="CJ75" i="1"/>
  <c r="DQ75" i="1" s="1" a="1"/>
  <c r="DQ75" i="1" s="1"/>
  <c r="CK75" i="1"/>
  <c r="CQ75" i="1" s="1"/>
  <c r="CL75" i="1"/>
  <c r="CR75" i="1" s="1"/>
  <c r="DD75" i="1"/>
  <c r="DE75" i="1"/>
  <c r="DF75" i="1"/>
  <c r="DG75" i="1"/>
  <c r="DH75" i="1"/>
  <c r="DI75" i="1"/>
  <c r="DJ75" i="1"/>
  <c r="DK75" i="1"/>
  <c r="DL75" i="1"/>
  <c r="DM75" i="1"/>
  <c r="DO75" i="1" a="1"/>
  <c r="DO75" i="1" s="1"/>
  <c r="DS75" i="1" a="1"/>
  <c r="DS75" i="1" s="1"/>
  <c r="I76" i="1"/>
  <c r="J76" i="1"/>
  <c r="K76" i="1"/>
  <c r="L76" i="1"/>
  <c r="M76" i="1"/>
  <c r="N76" i="1"/>
  <c r="P76" i="1" a="1"/>
  <c r="P76" i="1" s="1"/>
  <c r="Q76" i="1" s="1"/>
  <c r="S76" i="1"/>
  <c r="T76" i="1" s="1"/>
  <c r="V76" i="1" a="1"/>
  <c r="V76" i="1" s="1"/>
  <c r="W76" i="1" s="1"/>
  <c r="Y76" i="1" a="1"/>
  <c r="Y76" i="1" s="1"/>
  <c r="Z76" i="1" a="1"/>
  <c r="Z76" i="1" s="1"/>
  <c r="AA76" i="1" a="1"/>
  <c r="AA76" i="1" s="1"/>
  <c r="AC76" i="1" a="1"/>
  <c r="AC76" i="1" s="1"/>
  <c r="AD76" i="1" a="1"/>
  <c r="AD76" i="1" s="1"/>
  <c r="AE76" i="1" a="1"/>
  <c r="AE76" i="1" s="1"/>
  <c r="AF76" i="1" a="1"/>
  <c r="AF76" i="1" s="1"/>
  <c r="AG76" i="1" a="1"/>
  <c r="AG76" i="1" s="1"/>
  <c r="AH76" i="1" a="1"/>
  <c r="AH76" i="1" s="1"/>
  <c r="AJ76" i="1"/>
  <c r="AK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H76" i="1"/>
  <c r="CI76" i="1"/>
  <c r="CJ76" i="1"/>
  <c r="CP76" i="1" s="1"/>
  <c r="CK76" i="1"/>
  <c r="CQ76" i="1" s="1"/>
  <c r="CL76" i="1"/>
  <c r="DS76" i="1" s="1" a="1"/>
  <c r="DS76" i="1" s="1"/>
  <c r="DD76" i="1"/>
  <c r="DE76" i="1"/>
  <c r="DF76" i="1"/>
  <c r="DG76" i="1"/>
  <c r="DH76" i="1"/>
  <c r="DI76" i="1"/>
  <c r="DJ76" i="1"/>
  <c r="DK76" i="1"/>
  <c r="DL76" i="1"/>
  <c r="DM76" i="1"/>
  <c r="DO76" i="1" a="1"/>
  <c r="DO76" i="1" s="1"/>
  <c r="I77" i="1"/>
  <c r="J77" i="1"/>
  <c r="K77" i="1"/>
  <c r="L77" i="1"/>
  <c r="M77" i="1"/>
  <c r="N77" i="1"/>
  <c r="P77" i="1" a="1"/>
  <c r="P77" i="1" s="1"/>
  <c r="S77" i="1"/>
  <c r="T77" i="1" s="1"/>
  <c r="V77" i="1" a="1"/>
  <c r="V77" i="1" s="1"/>
  <c r="W77" i="1" s="1"/>
  <c r="Y77" i="1" a="1"/>
  <c r="Y77" i="1" s="1"/>
  <c r="Z77" i="1" a="1"/>
  <c r="Z77" i="1" s="1"/>
  <c r="AA77" i="1" a="1"/>
  <c r="AA77" i="1" s="1"/>
  <c r="AC77" i="1" a="1"/>
  <c r="AC77" i="1" s="1"/>
  <c r="AD77" i="1" a="1"/>
  <c r="AD77" i="1" s="1"/>
  <c r="AE77" i="1" a="1"/>
  <c r="AE77" i="1" s="1"/>
  <c r="AF77" i="1" a="1"/>
  <c r="AF77" i="1" s="1"/>
  <c r="AG77" i="1" a="1"/>
  <c r="AG77" i="1" s="1"/>
  <c r="AH77" i="1" a="1"/>
  <c r="AH77" i="1" s="1"/>
  <c r="AJ77" i="1"/>
  <c r="AK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H77" i="1"/>
  <c r="CN77" i="1" s="1"/>
  <c r="CI77" i="1"/>
  <c r="CJ77" i="1"/>
  <c r="CP77" i="1" s="1"/>
  <c r="CK77" i="1"/>
  <c r="CL77" i="1"/>
  <c r="DS77" i="1" s="1" a="1"/>
  <c r="DS77" i="1" s="1"/>
  <c r="DD77" i="1"/>
  <c r="DE77" i="1"/>
  <c r="DF77" i="1"/>
  <c r="DG77" i="1"/>
  <c r="DH77" i="1"/>
  <c r="DI77" i="1"/>
  <c r="DJ77" i="1"/>
  <c r="DK77" i="1"/>
  <c r="DL77" i="1"/>
  <c r="DM77" i="1"/>
  <c r="I78" i="1"/>
  <c r="J78" i="1"/>
  <c r="K78" i="1"/>
  <c r="L78" i="1"/>
  <c r="M78" i="1"/>
  <c r="N78" i="1"/>
  <c r="P78" i="1" a="1"/>
  <c r="P78" i="1" s="1"/>
  <c r="S78" i="1"/>
  <c r="T78" i="1" s="1"/>
  <c r="V78" i="1" a="1"/>
  <c r="V78" i="1" s="1"/>
  <c r="W78" i="1" s="1"/>
  <c r="Y78" i="1" a="1"/>
  <c r="Y78" i="1" s="1"/>
  <c r="Z78" i="1" a="1"/>
  <c r="Z78" i="1" s="1"/>
  <c r="AA78" i="1" a="1"/>
  <c r="AA78" i="1" s="1"/>
  <c r="AC78" i="1" a="1"/>
  <c r="AC78" i="1" s="1"/>
  <c r="AD78" i="1" a="1"/>
  <c r="AD78" i="1" s="1"/>
  <c r="AE78" i="1" a="1"/>
  <c r="AE78" i="1" s="1"/>
  <c r="AF78" i="1" a="1"/>
  <c r="AF78" i="1" s="1"/>
  <c r="AG78" i="1" a="1"/>
  <c r="AG78" i="1" s="1"/>
  <c r="AH78" i="1" a="1"/>
  <c r="AH78" i="1" s="1"/>
  <c r="AJ78" i="1"/>
  <c r="AL78" i="1" s="1"/>
  <c r="AK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H78" i="1"/>
  <c r="DO78" i="1" s="1" a="1"/>
  <c r="DO78" i="1" s="1"/>
  <c r="CI78" i="1"/>
  <c r="CJ78" i="1"/>
  <c r="DQ78" i="1" s="1" a="1"/>
  <c r="DQ78" i="1" s="1"/>
  <c r="CK78" i="1"/>
  <c r="DR78" i="1" s="1" a="1"/>
  <c r="DR78" i="1" s="1"/>
  <c r="CL78" i="1"/>
  <c r="CR78" i="1" s="1"/>
  <c r="DD78" i="1"/>
  <c r="DE78" i="1"/>
  <c r="DF78" i="1"/>
  <c r="DG78" i="1"/>
  <c r="DH78" i="1"/>
  <c r="DI78" i="1"/>
  <c r="DJ78" i="1"/>
  <c r="DK78" i="1"/>
  <c r="DL78" i="1"/>
  <c r="DM78" i="1"/>
  <c r="I79" i="1"/>
  <c r="J79" i="1"/>
  <c r="K79" i="1"/>
  <c r="L79" i="1"/>
  <c r="M79" i="1"/>
  <c r="N79" i="1"/>
  <c r="P79" i="1" a="1"/>
  <c r="P79" i="1" s="1"/>
  <c r="Q79" i="1" s="1"/>
  <c r="S79" i="1"/>
  <c r="T79" i="1" s="1"/>
  <c r="V79" i="1" a="1"/>
  <c r="V79" i="1" s="1"/>
  <c r="W79" i="1" s="1"/>
  <c r="Y79" i="1" a="1"/>
  <c r="Y79" i="1" s="1"/>
  <c r="Z79" i="1" a="1"/>
  <c r="Z79" i="1" s="1"/>
  <c r="AA79" i="1" a="1"/>
  <c r="AA79" i="1" s="1"/>
  <c r="AC79" i="1" a="1"/>
  <c r="AC79" i="1" s="1"/>
  <c r="AD79" i="1" a="1"/>
  <c r="AD79" i="1" s="1"/>
  <c r="AE79" i="1" a="1"/>
  <c r="AE79" i="1" s="1"/>
  <c r="AF79" i="1" a="1"/>
  <c r="AF79" i="1" s="1"/>
  <c r="AG79" i="1" a="1"/>
  <c r="AG79" i="1" s="1"/>
  <c r="AH79" i="1" a="1"/>
  <c r="AH79" i="1" s="1"/>
  <c r="AJ79" i="1"/>
  <c r="AK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H79" i="1"/>
  <c r="CN79" i="1" s="1"/>
  <c r="CI79" i="1"/>
  <c r="DP79" i="1" s="1" a="1"/>
  <c r="DP79" i="1" s="1"/>
  <c r="CJ79" i="1"/>
  <c r="CP79" i="1" s="1"/>
  <c r="CK79" i="1"/>
  <c r="CQ79" i="1" s="1"/>
  <c r="CL79" i="1"/>
  <c r="DS79" i="1" s="1" a="1"/>
  <c r="DS79" i="1" s="1"/>
  <c r="DD79" i="1"/>
  <c r="DE79" i="1"/>
  <c r="DF79" i="1"/>
  <c r="DG79" i="1"/>
  <c r="DH79" i="1"/>
  <c r="DI79" i="1"/>
  <c r="DJ79" i="1"/>
  <c r="DK79" i="1"/>
  <c r="DL79" i="1"/>
  <c r="DM79" i="1"/>
  <c r="I80" i="1"/>
  <c r="J80" i="1"/>
  <c r="K80" i="1"/>
  <c r="L80" i="1"/>
  <c r="M80" i="1"/>
  <c r="N80" i="1"/>
  <c r="P80" i="1" a="1"/>
  <c r="P80" i="1" s="1"/>
  <c r="Q80" i="1" s="1"/>
  <c r="S80" i="1"/>
  <c r="T80" i="1" s="1"/>
  <c r="V80" i="1" a="1"/>
  <c r="V80" i="1" s="1"/>
  <c r="W80" i="1" s="1"/>
  <c r="Y80" i="1" a="1"/>
  <c r="Y80" i="1" s="1"/>
  <c r="Z80" i="1" a="1"/>
  <c r="Z80" i="1" s="1"/>
  <c r="AA80" i="1" a="1"/>
  <c r="AA80" i="1" s="1"/>
  <c r="AC80" i="1" a="1"/>
  <c r="AC80" i="1" s="1"/>
  <c r="AD80" i="1" a="1"/>
  <c r="AD80" i="1" s="1"/>
  <c r="AE80" i="1" a="1"/>
  <c r="AE80" i="1" s="1"/>
  <c r="AF80" i="1" a="1"/>
  <c r="AF80" i="1" s="1"/>
  <c r="AG80" i="1" a="1"/>
  <c r="AG80" i="1" s="1"/>
  <c r="AH80" i="1" a="1"/>
  <c r="AH80" i="1" s="1"/>
  <c r="AJ80" i="1"/>
  <c r="AK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H80" i="1"/>
  <c r="CN80" i="1" s="1"/>
  <c r="CI80" i="1"/>
  <c r="CJ80" i="1"/>
  <c r="CP80" i="1" s="1"/>
  <c r="CK80" i="1"/>
  <c r="CL80" i="1"/>
  <c r="DS80" i="1" s="1" a="1"/>
  <c r="DS80" i="1" s="1"/>
  <c r="DD80" i="1"/>
  <c r="DE80" i="1"/>
  <c r="DF80" i="1"/>
  <c r="DG80" i="1"/>
  <c r="DH80" i="1"/>
  <c r="DI80" i="1"/>
  <c r="DJ80" i="1"/>
  <c r="DK80" i="1"/>
  <c r="DL80" i="1"/>
  <c r="DM80" i="1"/>
  <c r="DQ80" i="1" a="1"/>
  <c r="DQ80" i="1" s="1"/>
  <c r="I81" i="1"/>
  <c r="J81" i="1"/>
  <c r="K81" i="1"/>
  <c r="L81" i="1"/>
  <c r="M81" i="1"/>
  <c r="N81" i="1"/>
  <c r="P81" i="1" a="1"/>
  <c r="P81" i="1" s="1"/>
  <c r="Q81" i="1" s="1"/>
  <c r="S81" i="1"/>
  <c r="T81" i="1" s="1"/>
  <c r="V81" i="1" a="1"/>
  <c r="V81" i="1" s="1"/>
  <c r="W81" i="1" s="1"/>
  <c r="Y81" i="1" a="1"/>
  <c r="Y81" i="1" s="1"/>
  <c r="Z81" i="1" a="1"/>
  <c r="Z81" i="1" s="1"/>
  <c r="AA81" i="1" a="1"/>
  <c r="AA81" i="1" s="1"/>
  <c r="AC81" i="1" a="1"/>
  <c r="AC81" i="1" s="1"/>
  <c r="AD81" i="1" a="1"/>
  <c r="AD81" i="1" s="1"/>
  <c r="AE81" i="1" a="1"/>
  <c r="AE81" i="1" s="1"/>
  <c r="AF81" i="1" a="1"/>
  <c r="AF81" i="1" s="1"/>
  <c r="AG81" i="1" a="1"/>
  <c r="AG81" i="1" s="1"/>
  <c r="AH81" i="1" a="1"/>
  <c r="AH81" i="1" s="1"/>
  <c r="AJ81" i="1"/>
  <c r="AK81" i="1"/>
  <c r="AL81" i="1" s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H81" i="1"/>
  <c r="DO81" i="1" s="1" a="1"/>
  <c r="DO81" i="1" s="1"/>
  <c r="CI81" i="1"/>
  <c r="DP81" i="1" s="1" a="1"/>
  <c r="DP81" i="1" s="1"/>
  <c r="CJ81" i="1"/>
  <c r="CK81" i="1"/>
  <c r="CL81" i="1"/>
  <c r="DS81" i="1" s="1" a="1"/>
  <c r="DS81" i="1" s="1"/>
  <c r="DD81" i="1"/>
  <c r="DE81" i="1"/>
  <c r="DF81" i="1"/>
  <c r="DG81" i="1"/>
  <c r="DH81" i="1"/>
  <c r="DI81" i="1"/>
  <c r="DJ81" i="1"/>
  <c r="DK81" i="1"/>
  <c r="DL81" i="1"/>
  <c r="DM81" i="1"/>
  <c r="I82" i="1"/>
  <c r="J82" i="1"/>
  <c r="K82" i="1"/>
  <c r="L82" i="1"/>
  <c r="M82" i="1"/>
  <c r="N82" i="1"/>
  <c r="P82" i="1" a="1"/>
  <c r="P82" i="1" s="1"/>
  <c r="S82" i="1"/>
  <c r="T82" i="1"/>
  <c r="V82" i="1" a="1"/>
  <c r="V82" i="1" s="1"/>
  <c r="W82" i="1" s="1"/>
  <c r="Y82" i="1" a="1"/>
  <c r="Y82" i="1" s="1"/>
  <c r="Z82" i="1" a="1"/>
  <c r="Z82" i="1" s="1"/>
  <c r="AA82" i="1" a="1"/>
  <c r="AA82" i="1" s="1"/>
  <c r="AC82" i="1" a="1"/>
  <c r="AC82" i="1" s="1"/>
  <c r="AD82" i="1" a="1"/>
  <c r="AD82" i="1" s="1"/>
  <c r="AE82" i="1" a="1"/>
  <c r="AE82" i="1" s="1"/>
  <c r="AF82" i="1" a="1"/>
  <c r="AF82" i="1" s="1"/>
  <c r="AG82" i="1" a="1"/>
  <c r="AG82" i="1" s="1"/>
  <c r="AH82" i="1" a="1"/>
  <c r="AH82" i="1" s="1"/>
  <c r="AJ82" i="1"/>
  <c r="AK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H82" i="1"/>
  <c r="CI82" i="1"/>
  <c r="CJ82" i="1"/>
  <c r="DQ82" i="1" s="1" a="1"/>
  <c r="DQ82" i="1" s="1"/>
  <c r="CK82" i="1"/>
  <c r="DR82" i="1" s="1" a="1"/>
  <c r="DR82" i="1" s="1"/>
  <c r="CL82" i="1"/>
  <c r="CR82" i="1" s="1"/>
  <c r="DD82" i="1"/>
  <c r="DE82" i="1"/>
  <c r="DF82" i="1"/>
  <c r="DG82" i="1"/>
  <c r="DH82" i="1"/>
  <c r="DI82" i="1"/>
  <c r="DJ82" i="1"/>
  <c r="DK82" i="1"/>
  <c r="DL82" i="1"/>
  <c r="DM82" i="1"/>
  <c r="I83" i="1"/>
  <c r="J83" i="1"/>
  <c r="K83" i="1"/>
  <c r="L83" i="1"/>
  <c r="M83" i="1"/>
  <c r="N83" i="1"/>
  <c r="P83" i="1" a="1"/>
  <c r="P83" i="1" s="1"/>
  <c r="Q83" i="1" s="1"/>
  <c r="S83" i="1"/>
  <c r="T83" i="1" s="1"/>
  <c r="V83" i="1" a="1"/>
  <c r="V83" i="1" s="1"/>
  <c r="W83" i="1" s="1"/>
  <c r="Y83" i="1" a="1"/>
  <c r="Y83" i="1" s="1"/>
  <c r="Z83" i="1" a="1"/>
  <c r="Z83" i="1" s="1"/>
  <c r="AA83" i="1" a="1"/>
  <c r="AA83" i="1" s="1"/>
  <c r="AC83" i="1" a="1"/>
  <c r="AC83" i="1" s="1"/>
  <c r="AD83" i="1" a="1"/>
  <c r="AD83" i="1" s="1"/>
  <c r="AE83" i="1" a="1"/>
  <c r="AE83" i="1" s="1"/>
  <c r="AF83" i="1" a="1"/>
  <c r="AF83" i="1" s="1"/>
  <c r="AG83" i="1" a="1"/>
  <c r="AG83" i="1" s="1"/>
  <c r="AH83" i="1" a="1"/>
  <c r="AH83" i="1" s="1"/>
  <c r="AJ83" i="1"/>
  <c r="AK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H83" i="1"/>
  <c r="CN83" i="1" s="1"/>
  <c r="CI83" i="1"/>
  <c r="CO83" i="1" s="1"/>
  <c r="CJ83" i="1"/>
  <c r="DQ83" i="1" s="1" a="1"/>
  <c r="DQ83" i="1" s="1"/>
  <c r="CK83" i="1"/>
  <c r="CQ83" i="1" s="1"/>
  <c r="CL83" i="1"/>
  <c r="DS83" i="1" s="1" a="1"/>
  <c r="DS83" i="1" s="1"/>
  <c r="DD83" i="1"/>
  <c r="DE83" i="1"/>
  <c r="DF83" i="1"/>
  <c r="DG83" i="1"/>
  <c r="DH83" i="1"/>
  <c r="DI83" i="1"/>
  <c r="DJ83" i="1"/>
  <c r="DK83" i="1"/>
  <c r="DL83" i="1"/>
  <c r="DM83" i="1"/>
  <c r="I84" i="1"/>
  <c r="J84" i="1"/>
  <c r="K84" i="1"/>
  <c r="L84" i="1"/>
  <c r="M84" i="1"/>
  <c r="N84" i="1"/>
  <c r="P84" i="1" a="1"/>
  <c r="P84" i="1"/>
  <c r="Q84" i="1" s="1"/>
  <c r="S84" i="1"/>
  <c r="T84" i="1" s="1"/>
  <c r="V84" i="1" a="1"/>
  <c r="V84" i="1" s="1"/>
  <c r="W84" i="1" s="1"/>
  <c r="Y84" i="1" a="1"/>
  <c r="Y84" i="1" s="1"/>
  <c r="Z84" i="1" a="1"/>
  <c r="Z84" i="1" s="1"/>
  <c r="AA84" i="1" a="1"/>
  <c r="AA84" i="1" s="1"/>
  <c r="AC84" i="1" a="1"/>
  <c r="AC84" i="1" s="1"/>
  <c r="AD84" i="1" a="1"/>
  <c r="AD84" i="1" s="1"/>
  <c r="AE84" i="1" a="1"/>
  <c r="AE84" i="1" s="1"/>
  <c r="AF84" i="1" a="1"/>
  <c r="AF84" i="1" s="1"/>
  <c r="AG84" i="1" a="1"/>
  <c r="AG84" i="1" s="1"/>
  <c r="AH84" i="1" a="1"/>
  <c r="AH84" i="1" s="1"/>
  <c r="AJ84" i="1"/>
  <c r="AK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H84" i="1"/>
  <c r="CN84" i="1" s="1"/>
  <c r="CI84" i="1"/>
  <c r="CJ84" i="1"/>
  <c r="DQ84" i="1" s="1" a="1"/>
  <c r="DQ84" i="1" s="1"/>
  <c r="CK84" i="1"/>
  <c r="CL84" i="1"/>
  <c r="DS84" i="1" s="1" a="1"/>
  <c r="DS84" i="1" s="1"/>
  <c r="DD84" i="1"/>
  <c r="DE84" i="1"/>
  <c r="DF84" i="1"/>
  <c r="DG84" i="1"/>
  <c r="DH84" i="1"/>
  <c r="DI84" i="1"/>
  <c r="DJ84" i="1"/>
  <c r="DK84" i="1"/>
  <c r="DL84" i="1"/>
  <c r="DM84" i="1"/>
  <c r="DO84" i="1" a="1"/>
  <c r="DO84" i="1" s="1"/>
  <c r="I85" i="1"/>
  <c r="J85" i="1"/>
  <c r="K85" i="1"/>
  <c r="L85" i="1"/>
  <c r="M85" i="1"/>
  <c r="N85" i="1"/>
  <c r="P85" i="1" a="1"/>
  <c r="P85" i="1" s="1"/>
  <c r="Q85" i="1" s="1"/>
  <c r="S85" i="1"/>
  <c r="T85" i="1" s="1"/>
  <c r="V85" i="1" a="1"/>
  <c r="V85" i="1" s="1"/>
  <c r="W85" i="1" s="1"/>
  <c r="Y85" i="1" a="1"/>
  <c r="Y85" i="1" s="1"/>
  <c r="Z85" i="1" a="1"/>
  <c r="Z85" i="1" s="1"/>
  <c r="AA85" i="1" a="1"/>
  <c r="AA85" i="1" s="1"/>
  <c r="AC85" i="1" a="1"/>
  <c r="AC85" i="1" s="1"/>
  <c r="AD85" i="1" a="1"/>
  <c r="AD85" i="1" s="1"/>
  <c r="AE85" i="1" a="1"/>
  <c r="AE85" i="1" s="1"/>
  <c r="AF85" i="1" a="1"/>
  <c r="AF85" i="1" s="1"/>
  <c r="AG85" i="1" a="1"/>
  <c r="AG85" i="1" s="1"/>
  <c r="AH85" i="1" a="1"/>
  <c r="AH85" i="1" s="1"/>
  <c r="AJ85" i="1"/>
  <c r="AK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H85" i="1"/>
  <c r="CI85" i="1"/>
  <c r="DP85" i="1" s="1" a="1"/>
  <c r="DP85" i="1" s="1"/>
  <c r="CJ85" i="1"/>
  <c r="DQ85" i="1" s="1" a="1"/>
  <c r="DQ85" i="1" s="1"/>
  <c r="CK85" i="1"/>
  <c r="CL85" i="1"/>
  <c r="CR85" i="1" s="1"/>
  <c r="DD85" i="1"/>
  <c r="DE85" i="1"/>
  <c r="DF85" i="1"/>
  <c r="DG85" i="1"/>
  <c r="DH85" i="1"/>
  <c r="DI85" i="1"/>
  <c r="DJ85" i="1"/>
  <c r="DK85" i="1"/>
  <c r="DL85" i="1"/>
  <c r="DM85" i="1"/>
  <c r="I86" i="1"/>
  <c r="J86" i="1"/>
  <c r="K86" i="1"/>
  <c r="L86" i="1"/>
  <c r="M86" i="1"/>
  <c r="N86" i="1"/>
  <c r="P86" i="1" a="1"/>
  <c r="P86" i="1" s="1"/>
  <c r="Q86" i="1" s="1"/>
  <c r="S86" i="1"/>
  <c r="T86" i="1"/>
  <c r="V86" i="1" a="1"/>
  <c r="V86" i="1" s="1"/>
  <c r="W86" i="1" s="1"/>
  <c r="Y86" i="1" a="1"/>
  <c r="Y86" i="1" s="1"/>
  <c r="Z86" i="1" a="1"/>
  <c r="Z86" i="1" s="1"/>
  <c r="AA86" i="1" a="1"/>
  <c r="AA86" i="1" s="1"/>
  <c r="AC86" i="1" a="1"/>
  <c r="AC86" i="1" s="1"/>
  <c r="AD86" i="1" a="1"/>
  <c r="AD86" i="1" s="1"/>
  <c r="AE86" i="1" a="1"/>
  <c r="AE86" i="1" s="1"/>
  <c r="AF86" i="1" a="1"/>
  <c r="AF86" i="1" s="1"/>
  <c r="AG86" i="1" a="1"/>
  <c r="AG86" i="1" s="1"/>
  <c r="AH86" i="1" a="1"/>
  <c r="AH86" i="1" s="1"/>
  <c r="AJ86" i="1"/>
  <c r="AL86" i="1" s="1"/>
  <c r="AK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H86" i="1"/>
  <c r="DO86" i="1" s="1" a="1"/>
  <c r="DO86" i="1" s="1"/>
  <c r="CI86" i="1"/>
  <c r="DP86" i="1" s="1" a="1"/>
  <c r="DP86" i="1" s="1"/>
  <c r="CJ86" i="1"/>
  <c r="DQ86" i="1" s="1" a="1"/>
  <c r="DQ86" i="1" s="1"/>
  <c r="CK86" i="1"/>
  <c r="CQ86" i="1" s="1"/>
  <c r="CL86" i="1"/>
  <c r="CR86" i="1" s="1"/>
  <c r="DD86" i="1"/>
  <c r="DE86" i="1"/>
  <c r="DF86" i="1"/>
  <c r="DG86" i="1"/>
  <c r="DH86" i="1"/>
  <c r="DI86" i="1"/>
  <c r="DJ86" i="1"/>
  <c r="DK86" i="1"/>
  <c r="DL86" i="1"/>
  <c r="DM86" i="1"/>
  <c r="I87" i="1"/>
  <c r="J87" i="1"/>
  <c r="K87" i="1"/>
  <c r="L87" i="1"/>
  <c r="M87" i="1"/>
  <c r="N87" i="1"/>
  <c r="P87" i="1" a="1"/>
  <c r="P87" i="1" s="1"/>
  <c r="S87" i="1"/>
  <c r="T87" i="1"/>
  <c r="V87" i="1" a="1"/>
  <c r="V87" i="1" s="1"/>
  <c r="W87" i="1" s="1"/>
  <c r="Y87" i="1" a="1"/>
  <c r="Y87" i="1" s="1"/>
  <c r="Z87" i="1" a="1"/>
  <c r="Z87" i="1" s="1"/>
  <c r="AA87" i="1" a="1"/>
  <c r="AA87" i="1" s="1"/>
  <c r="AC87" i="1" a="1"/>
  <c r="AC87" i="1" s="1"/>
  <c r="AD87" i="1" a="1"/>
  <c r="AD87" i="1" s="1"/>
  <c r="AE87" i="1" a="1"/>
  <c r="AE87" i="1" s="1"/>
  <c r="AF87" i="1" a="1"/>
  <c r="AF87" i="1" s="1"/>
  <c r="AG87" i="1" a="1"/>
  <c r="AG87" i="1" s="1"/>
  <c r="AH87" i="1" a="1"/>
  <c r="AH87" i="1" s="1"/>
  <c r="AJ87" i="1"/>
  <c r="AK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H87" i="1"/>
  <c r="DO87" i="1" s="1" a="1"/>
  <c r="DO87" i="1" s="1"/>
  <c r="CI87" i="1"/>
  <c r="CJ87" i="1"/>
  <c r="CP87" i="1" s="1"/>
  <c r="CK87" i="1"/>
  <c r="CQ87" i="1" s="1"/>
  <c r="CL87" i="1"/>
  <c r="DS87" i="1" s="1" a="1"/>
  <c r="DS87" i="1" s="1"/>
  <c r="DD87" i="1"/>
  <c r="DE87" i="1"/>
  <c r="DF87" i="1"/>
  <c r="DG87" i="1"/>
  <c r="DH87" i="1"/>
  <c r="DI87" i="1"/>
  <c r="DJ87" i="1"/>
  <c r="DK87" i="1"/>
  <c r="DL87" i="1"/>
  <c r="DM87" i="1"/>
  <c r="I88" i="1"/>
  <c r="J88" i="1"/>
  <c r="K88" i="1"/>
  <c r="L88" i="1"/>
  <c r="M88" i="1"/>
  <c r="N88" i="1"/>
  <c r="P88" i="1" a="1"/>
  <c r="P88" i="1" s="1"/>
  <c r="Q88" i="1" s="1"/>
  <c r="S88" i="1"/>
  <c r="T88" i="1" s="1"/>
  <c r="V88" i="1" a="1"/>
  <c r="V88" i="1" s="1"/>
  <c r="W88" i="1" s="1"/>
  <c r="Y88" i="1" a="1"/>
  <c r="Y88" i="1" s="1"/>
  <c r="Z88" i="1" a="1"/>
  <c r="Z88" i="1" s="1"/>
  <c r="AA88" i="1" a="1"/>
  <c r="AA88" i="1" s="1"/>
  <c r="AC88" i="1" a="1"/>
  <c r="AC88" i="1" s="1"/>
  <c r="AD88" i="1" a="1"/>
  <c r="AD88" i="1" s="1"/>
  <c r="AE88" i="1" a="1"/>
  <c r="AE88" i="1" s="1"/>
  <c r="AF88" i="1" a="1"/>
  <c r="AF88" i="1" s="1"/>
  <c r="AG88" i="1" a="1"/>
  <c r="AG88" i="1" s="1"/>
  <c r="AH88" i="1" a="1"/>
  <c r="AH88" i="1" s="1"/>
  <c r="AJ88" i="1"/>
  <c r="AK88" i="1"/>
  <c r="AL88" i="1" s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H88" i="1"/>
  <c r="CN88" i="1" s="1"/>
  <c r="CI88" i="1"/>
  <c r="CJ88" i="1"/>
  <c r="DQ88" i="1" s="1" a="1"/>
  <c r="DQ88" i="1" s="1"/>
  <c r="CK88" i="1"/>
  <c r="CL88" i="1"/>
  <c r="DD88" i="1"/>
  <c r="DE88" i="1"/>
  <c r="DF88" i="1"/>
  <c r="DG88" i="1"/>
  <c r="DH88" i="1"/>
  <c r="DI88" i="1"/>
  <c r="DJ88" i="1"/>
  <c r="DK88" i="1"/>
  <c r="DL88" i="1"/>
  <c r="DM88" i="1"/>
  <c r="I89" i="1"/>
  <c r="J89" i="1"/>
  <c r="K89" i="1"/>
  <c r="L89" i="1"/>
  <c r="M89" i="1"/>
  <c r="N89" i="1"/>
  <c r="P89" i="1" a="1"/>
  <c r="P89" i="1" s="1"/>
  <c r="Q89" i="1" s="1"/>
  <c r="S89" i="1"/>
  <c r="T89" i="1" s="1"/>
  <c r="V89" i="1" a="1"/>
  <c r="V89" i="1" s="1"/>
  <c r="W89" i="1" s="1"/>
  <c r="Y89" i="1" a="1"/>
  <c r="Y89" i="1" s="1"/>
  <c r="Z89" i="1" a="1"/>
  <c r="Z89" i="1" s="1"/>
  <c r="AA89" i="1" a="1"/>
  <c r="AA89" i="1" s="1"/>
  <c r="AC89" i="1" a="1"/>
  <c r="AC89" i="1" s="1"/>
  <c r="AD89" i="1" a="1"/>
  <c r="AD89" i="1" s="1"/>
  <c r="AE89" i="1" a="1"/>
  <c r="AE89" i="1" s="1"/>
  <c r="AF89" i="1" a="1"/>
  <c r="AF89" i="1" s="1"/>
  <c r="AG89" i="1" a="1"/>
  <c r="AG89" i="1" s="1"/>
  <c r="AH89" i="1" a="1"/>
  <c r="AH89" i="1" s="1"/>
  <c r="AJ89" i="1"/>
  <c r="AK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H89" i="1"/>
  <c r="CI89" i="1"/>
  <c r="CJ89" i="1"/>
  <c r="DQ89" i="1" s="1" a="1"/>
  <c r="DQ89" i="1" s="1"/>
  <c r="CK89" i="1"/>
  <c r="DR89" i="1" s="1" a="1"/>
  <c r="DR89" i="1" s="1"/>
  <c r="CL89" i="1"/>
  <c r="DS89" i="1" s="1" a="1"/>
  <c r="DS89" i="1" s="1"/>
  <c r="DD89" i="1"/>
  <c r="DE89" i="1"/>
  <c r="DF89" i="1"/>
  <c r="DG89" i="1"/>
  <c r="DH89" i="1"/>
  <c r="DI89" i="1"/>
  <c r="DJ89" i="1"/>
  <c r="DK89" i="1"/>
  <c r="DL89" i="1"/>
  <c r="DM89" i="1"/>
  <c r="K90" i="1"/>
  <c r="AG90" i="1" a="1"/>
  <c r="AG90" i="1" s="1"/>
  <c r="M90" i="1"/>
  <c r="N90" i="1"/>
  <c r="AC90" i="1" a="1"/>
  <c r="AC90" i="1" s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DD90" i="1"/>
  <c r="DE90" i="1"/>
  <c r="DF90" i="1"/>
  <c r="DG90" i="1"/>
  <c r="DH90" i="1"/>
  <c r="DI90" i="1"/>
  <c r="DJ90" i="1"/>
  <c r="DK90" i="1"/>
  <c r="DL90" i="1"/>
  <c r="DM90" i="1"/>
  <c r="V91" i="1" a="1"/>
  <c r="V91" i="1" s="1"/>
  <c r="W91" i="1" s="1"/>
  <c r="CH91" i="1"/>
  <c r="DO91" i="1" s="1" a="1"/>
  <c r="DO91" i="1" s="1"/>
  <c r="K91" i="1"/>
  <c r="AF91" i="1" a="1"/>
  <c r="AF91" i="1" s="1"/>
  <c r="L91" i="1"/>
  <c r="AE91" i="1" a="1"/>
  <c r="AE91" i="1" s="1"/>
  <c r="AK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D91" i="1"/>
  <c r="DD91" i="1"/>
  <c r="DE91" i="1"/>
  <c r="DF91" i="1"/>
  <c r="DG91" i="1"/>
  <c r="DH91" i="1"/>
  <c r="DI91" i="1"/>
  <c r="DJ91" i="1"/>
  <c r="DK91" i="1"/>
  <c r="DL91" i="1"/>
  <c r="DM91" i="1"/>
  <c r="I92" i="1"/>
  <c r="K92" i="1"/>
  <c r="AF92" i="1" a="1"/>
  <c r="AF92" i="1" s="1"/>
  <c r="AC92" i="1" a="1"/>
  <c r="AC92" i="1" s="1"/>
  <c r="AD92" i="1" a="1"/>
  <c r="AD92" i="1" s="1"/>
  <c r="AE92" i="1" a="1"/>
  <c r="AE92" i="1" s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C92" i="1"/>
  <c r="CJ92" i="1"/>
  <c r="CP92" i="1" s="1"/>
  <c r="DD92" i="1"/>
  <c r="DE92" i="1"/>
  <c r="DF92" i="1"/>
  <c r="DG92" i="1"/>
  <c r="DH92" i="1"/>
  <c r="DI92" i="1"/>
  <c r="DJ92" i="1"/>
  <c r="DK92" i="1"/>
  <c r="DL92" i="1"/>
  <c r="DM92" i="1"/>
  <c r="CC93" i="1"/>
  <c r="K93" i="1"/>
  <c r="AF93" i="1" a="1"/>
  <c r="AF93" i="1" s="1"/>
  <c r="I93" i="1"/>
  <c r="AC93" i="1" a="1"/>
  <c r="AC93" i="1" s="1"/>
  <c r="AD93" i="1" a="1"/>
  <c r="AD93" i="1" s="1"/>
  <c r="AE93" i="1" a="1"/>
  <c r="AE93" i="1" s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DD93" i="1"/>
  <c r="DE93" i="1"/>
  <c r="DF93" i="1"/>
  <c r="DG93" i="1"/>
  <c r="DH93" i="1"/>
  <c r="DI93" i="1"/>
  <c r="DJ93" i="1"/>
  <c r="DK93" i="1"/>
  <c r="DL93" i="1"/>
  <c r="DM93" i="1"/>
  <c r="Y94" i="1" a="1"/>
  <c r="Y94" i="1" s="1"/>
  <c r="AJ94" i="1"/>
  <c r="AF94" i="1" a="1"/>
  <c r="AF94" i="1" s="1"/>
  <c r="CL94" i="1"/>
  <c r="DS94" i="1" s="1" a="1"/>
  <c r="DS94" i="1" s="1"/>
  <c r="L94" i="1"/>
  <c r="M94" i="1"/>
  <c r="AC94" i="1" a="1"/>
  <c r="AC94" i="1" s="1"/>
  <c r="AG94" i="1" a="1"/>
  <c r="AG94" i="1" s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H94" i="1"/>
  <c r="CK94" i="1"/>
  <c r="DR94" i="1" s="1" a="1"/>
  <c r="DR94" i="1" s="1"/>
  <c r="DD94" i="1"/>
  <c r="DE94" i="1"/>
  <c r="DF94" i="1"/>
  <c r="DG94" i="1"/>
  <c r="DH94" i="1"/>
  <c r="DI94" i="1"/>
  <c r="DJ94" i="1"/>
  <c r="DK94" i="1"/>
  <c r="DL94" i="1"/>
  <c r="DM94" i="1"/>
  <c r="BK95" i="1"/>
  <c r="K95" i="1"/>
  <c r="N95" i="1"/>
  <c r="AC95" i="1" a="1"/>
  <c r="AC95" i="1" s="1"/>
  <c r="AD95" i="1" a="1"/>
  <c r="AD95" i="1" s="1"/>
  <c r="AE95" i="1" a="1"/>
  <c r="AE95" i="1" s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DD95" i="1"/>
  <c r="DE95" i="1"/>
  <c r="DF95" i="1"/>
  <c r="DG95" i="1"/>
  <c r="DH95" i="1"/>
  <c r="DI95" i="1"/>
  <c r="DJ95" i="1"/>
  <c r="DK95" i="1"/>
  <c r="DL95" i="1"/>
  <c r="DM95" i="1"/>
  <c r="J96" i="1"/>
  <c r="AE96" i="1" a="1"/>
  <c r="AE96" i="1" s="1"/>
  <c r="AF96" i="1" a="1"/>
  <c r="AF96" i="1" s="1"/>
  <c r="M96" i="1"/>
  <c r="CL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F96" i="1"/>
  <c r="DD96" i="1"/>
  <c r="DE96" i="1"/>
  <c r="DF96" i="1"/>
  <c r="DG96" i="1"/>
  <c r="DH96" i="1"/>
  <c r="DI96" i="1"/>
  <c r="DJ96" i="1"/>
  <c r="DK96" i="1"/>
  <c r="DL96" i="1"/>
  <c r="DM96" i="1"/>
  <c r="AC97" i="1" a="1"/>
  <c r="AC97" i="1" s="1"/>
  <c r="J97" i="1"/>
  <c r="AE97" i="1" a="1"/>
  <c r="AE97" i="1" s="1"/>
  <c r="AF97" i="1" a="1"/>
  <c r="AF97" i="1" s="1"/>
  <c r="M97" i="1"/>
  <c r="AH97" i="1" a="1"/>
  <c r="AH97" i="1" s="1"/>
  <c r="K97" i="1"/>
  <c r="N97" i="1"/>
  <c r="AP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L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F97" i="1"/>
  <c r="CJ97" i="1"/>
  <c r="DQ97" i="1" s="1" a="1"/>
  <c r="DQ97" i="1" s="1"/>
  <c r="DD97" i="1"/>
  <c r="DE97" i="1"/>
  <c r="DF97" i="1"/>
  <c r="DG97" i="1"/>
  <c r="DH97" i="1"/>
  <c r="DI97" i="1"/>
  <c r="DJ97" i="1"/>
  <c r="DK97" i="1"/>
  <c r="DL97" i="1"/>
  <c r="DM97" i="1"/>
  <c r="J98" i="1"/>
  <c r="CC98" i="1"/>
  <c r="AG98" i="1" a="1"/>
  <c r="AG98" i="1" s="1"/>
  <c r="N98" i="1"/>
  <c r="I98" i="1"/>
  <c r="AC98" i="1" a="1"/>
  <c r="AC98" i="1" s="1"/>
  <c r="AF98" i="1" a="1"/>
  <c r="AF98" i="1" s="1"/>
  <c r="AH98" i="1" a="1"/>
  <c r="AH98" i="1" s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DD98" i="1"/>
  <c r="DE98" i="1"/>
  <c r="DF98" i="1"/>
  <c r="DG98" i="1"/>
  <c r="DH98" i="1"/>
  <c r="DI98" i="1"/>
  <c r="DJ98" i="1"/>
  <c r="DK98" i="1"/>
  <c r="DL98" i="1"/>
  <c r="DM98" i="1"/>
  <c r="AO99" i="1"/>
  <c r="J99" i="1"/>
  <c r="K99" i="1"/>
  <c r="CJ99" i="1"/>
  <c r="CF99" i="1"/>
  <c r="N99" i="1"/>
  <c r="AC99" i="1" a="1"/>
  <c r="AC99" i="1" s="1"/>
  <c r="AE99" i="1" a="1"/>
  <c r="AE99" i="1" s="1"/>
  <c r="AF99" i="1" a="1"/>
  <c r="AF99" i="1" s="1"/>
  <c r="AG99" i="1" a="1"/>
  <c r="AG99" i="1" s="1"/>
  <c r="AH99" i="1" a="1"/>
  <c r="AH99" i="1" s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DD99" i="1"/>
  <c r="DE99" i="1"/>
  <c r="DF99" i="1"/>
  <c r="DG99" i="1"/>
  <c r="DH99" i="1"/>
  <c r="DI99" i="1"/>
  <c r="DJ99" i="1"/>
  <c r="DK99" i="1"/>
  <c r="DL99" i="1"/>
  <c r="DM99" i="1"/>
  <c r="AC100" i="1" a="1"/>
  <c r="AC100" i="1" s="1"/>
  <c r="CI100" i="1"/>
  <c r="L100" i="1"/>
  <c r="N100" i="1"/>
  <c r="M100" i="1"/>
  <c r="AG100" i="1" a="1"/>
  <c r="AG100" i="1" s="1"/>
  <c r="AQ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F100" i="1"/>
  <c r="CK100" i="1"/>
  <c r="DR100" i="1" s="1" a="1"/>
  <c r="DR100" i="1" s="1"/>
  <c r="DD100" i="1"/>
  <c r="DE100" i="1"/>
  <c r="DF100" i="1"/>
  <c r="DG100" i="1"/>
  <c r="DH100" i="1"/>
  <c r="DI100" i="1"/>
  <c r="DJ100" i="1"/>
  <c r="DK100" i="1"/>
  <c r="DL100" i="1"/>
  <c r="DM100" i="1"/>
  <c r="AC101" i="1" a="1"/>
  <c r="AC101" i="1" s="1"/>
  <c r="J101" i="1"/>
  <c r="AG101" i="1" a="1"/>
  <c r="AG101" i="1" s="1"/>
  <c r="N101" i="1"/>
  <c r="AD101" i="1" a="1"/>
  <c r="AD101" i="1" s="1"/>
  <c r="AH101" i="1" a="1"/>
  <c r="AH101" i="1" s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DD101" i="1"/>
  <c r="DE101" i="1"/>
  <c r="DF101" i="1"/>
  <c r="DG101" i="1"/>
  <c r="DH101" i="1"/>
  <c r="DI101" i="1"/>
  <c r="DJ101" i="1"/>
  <c r="DK101" i="1"/>
  <c r="DL101" i="1"/>
  <c r="DM101" i="1"/>
  <c r="Z102" i="1" a="1"/>
  <c r="Z102" i="1" s="1"/>
  <c r="L102" i="1"/>
  <c r="CK102" i="1"/>
  <c r="DR102" i="1" s="1" a="1"/>
  <c r="DR102" i="1" s="1"/>
  <c r="N102" i="1"/>
  <c r="AF102" i="1" a="1"/>
  <c r="AF102" i="1" s="1"/>
  <c r="AH102" i="1" a="1"/>
  <c r="AH102" i="1" s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DD102" i="1"/>
  <c r="DE102" i="1"/>
  <c r="DF102" i="1"/>
  <c r="DG102" i="1"/>
  <c r="DH102" i="1"/>
  <c r="DI102" i="1"/>
  <c r="DJ102" i="1"/>
  <c r="DK102" i="1"/>
  <c r="DL102" i="1"/>
  <c r="DM102" i="1"/>
  <c r="AE103" i="1" a="1"/>
  <c r="AE103" i="1" s="1"/>
  <c r="L103" i="1"/>
  <c r="CE103" i="1"/>
  <c r="N103" i="1"/>
  <c r="J103" i="1"/>
  <c r="M103" i="1"/>
  <c r="AD103" i="1" a="1"/>
  <c r="AD103" i="1" s="1"/>
  <c r="AF103" i="1" a="1"/>
  <c r="AF103" i="1" s="1"/>
  <c r="AG103" i="1" a="1"/>
  <c r="AG103" i="1" s="1"/>
  <c r="AH103" i="1" a="1"/>
  <c r="AH103" i="1" s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K103" i="1"/>
  <c r="CQ103" i="1" s="1"/>
  <c r="DD103" i="1"/>
  <c r="DE103" i="1"/>
  <c r="DF103" i="1"/>
  <c r="DG103" i="1"/>
  <c r="DH103" i="1"/>
  <c r="DI103" i="1"/>
  <c r="DJ103" i="1"/>
  <c r="DK103" i="1"/>
  <c r="DL103" i="1"/>
  <c r="DM103" i="1"/>
  <c r="S104" i="1"/>
  <c r="T104" i="1" s="1"/>
  <c r="AE104" i="1" a="1"/>
  <c r="AE104" i="1" s="1"/>
  <c r="L104" i="1"/>
  <c r="M104" i="1"/>
  <c r="J104" i="1"/>
  <c r="N104" i="1"/>
  <c r="AD104" i="1" a="1"/>
  <c r="AD104" i="1" s="1"/>
  <c r="AF104" i="1" a="1"/>
  <c r="AF104" i="1" s="1"/>
  <c r="AH104" i="1" a="1"/>
  <c r="AH104" i="1" s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J104" i="1"/>
  <c r="DQ104" i="1" s="1" a="1"/>
  <c r="DQ104" i="1" s="1"/>
  <c r="DD104" i="1"/>
  <c r="DE104" i="1"/>
  <c r="DF104" i="1"/>
  <c r="DG104" i="1"/>
  <c r="DH104" i="1"/>
  <c r="DI104" i="1"/>
  <c r="DJ104" i="1"/>
  <c r="DK104" i="1"/>
  <c r="DL104" i="1"/>
  <c r="DM104" i="1"/>
  <c r="AD105" i="1" a="1"/>
  <c r="AD105" i="1" s="1"/>
  <c r="AE105" i="1" a="1"/>
  <c r="AE105" i="1" s="1"/>
  <c r="L105" i="1"/>
  <c r="M105" i="1"/>
  <c r="CF105" i="1"/>
  <c r="K105" i="1"/>
  <c r="AA105" i="1" a="1"/>
  <c r="AA105" i="1" s="1"/>
  <c r="AH105" i="1" a="1"/>
  <c r="AH105" i="1" s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J105" i="1"/>
  <c r="DQ105" i="1" s="1" a="1"/>
  <c r="DQ105" i="1" s="1"/>
  <c r="DD105" i="1"/>
  <c r="DE105" i="1"/>
  <c r="DF105" i="1"/>
  <c r="DG105" i="1"/>
  <c r="DH105" i="1"/>
  <c r="DI105" i="1"/>
  <c r="DJ105" i="1"/>
  <c r="DK105" i="1"/>
  <c r="DL105" i="1"/>
  <c r="DM105" i="1"/>
  <c r="AD106" i="1" a="1"/>
  <c r="AD106" i="1" s="1"/>
  <c r="AE106" i="1" a="1"/>
  <c r="AE106" i="1" s="1"/>
  <c r="L106" i="1"/>
  <c r="N106" i="1"/>
  <c r="K106" i="1"/>
  <c r="Y106" i="1" a="1"/>
  <c r="Y106" i="1" s="1"/>
  <c r="AH106" i="1" a="1"/>
  <c r="AH106" i="1" s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J106" i="1"/>
  <c r="DQ106" i="1" s="1" a="1"/>
  <c r="DQ106" i="1" s="1"/>
  <c r="DD106" i="1"/>
  <c r="DE106" i="1"/>
  <c r="DF106" i="1"/>
  <c r="DG106" i="1"/>
  <c r="DH106" i="1"/>
  <c r="DI106" i="1"/>
  <c r="DJ106" i="1"/>
  <c r="DK106" i="1"/>
  <c r="DL106" i="1"/>
  <c r="DM106" i="1"/>
  <c r="P107" i="1" a="1"/>
  <c r="P107" i="1" s="1"/>
  <c r="AE107" i="1" a="1"/>
  <c r="AE107" i="1" s="1"/>
  <c r="L107" i="1"/>
  <c r="S107" i="1"/>
  <c r="T107" i="1" s="1"/>
  <c r="AH107" i="1" a="1"/>
  <c r="AH107" i="1" s="1"/>
  <c r="J107" i="1"/>
  <c r="N107" i="1"/>
  <c r="AD107" i="1" a="1"/>
  <c r="AD107" i="1" s="1"/>
  <c r="AF107" i="1" a="1"/>
  <c r="AF107" i="1" s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DD107" i="1"/>
  <c r="DE107" i="1"/>
  <c r="DF107" i="1"/>
  <c r="DG107" i="1"/>
  <c r="DH107" i="1"/>
  <c r="DI107" i="1"/>
  <c r="DJ107" i="1"/>
  <c r="DK107" i="1"/>
  <c r="DL107" i="1"/>
  <c r="DM107" i="1"/>
  <c r="AK108" i="1"/>
  <c r="AE108" i="1" a="1"/>
  <c r="AE108" i="1" s="1"/>
  <c r="L108" i="1"/>
  <c r="J108" i="1"/>
  <c r="N108" i="1"/>
  <c r="AD108" i="1" a="1"/>
  <c r="AD108" i="1" s="1"/>
  <c r="AH108" i="1" a="1"/>
  <c r="AH108" i="1" s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DD108" i="1"/>
  <c r="DE108" i="1"/>
  <c r="DF108" i="1"/>
  <c r="DG108" i="1"/>
  <c r="DH108" i="1"/>
  <c r="DI108" i="1"/>
  <c r="DJ108" i="1"/>
  <c r="DK108" i="1"/>
  <c r="DL108" i="1"/>
  <c r="DM108" i="1"/>
  <c r="V109" i="1" a="1"/>
  <c r="V109" i="1" s="1"/>
  <c r="W109" i="1" s="1"/>
  <c r="AE109" i="1" a="1"/>
  <c r="AE109" i="1" s="1"/>
  <c r="CE109" i="1"/>
  <c r="CF109" i="1"/>
  <c r="K109" i="1"/>
  <c r="N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D109" i="1"/>
  <c r="CJ109" i="1"/>
  <c r="CP109" i="1" s="1"/>
  <c r="DD109" i="1"/>
  <c r="DE109" i="1"/>
  <c r="DF109" i="1"/>
  <c r="DG109" i="1"/>
  <c r="DH109" i="1"/>
  <c r="DI109" i="1"/>
  <c r="DJ109" i="1"/>
  <c r="DK109" i="1"/>
  <c r="DL109" i="1"/>
  <c r="DM109" i="1"/>
  <c r="BM110" i="1"/>
  <c r="AE110" i="1" a="1"/>
  <c r="AE110" i="1" s="1"/>
  <c r="AF110" i="1" a="1"/>
  <c r="AF110" i="1" s="1"/>
  <c r="CE110" i="1"/>
  <c r="CL110" i="1"/>
  <c r="L110" i="1"/>
  <c r="Y110" i="1" a="1"/>
  <c r="Y110" i="1" s="1"/>
  <c r="AH110" i="1" a="1"/>
  <c r="AH110" i="1" s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J110" i="1"/>
  <c r="DQ110" i="1" s="1" a="1"/>
  <c r="DQ110" i="1" s="1"/>
  <c r="DD110" i="1"/>
  <c r="DE110" i="1"/>
  <c r="DF110" i="1"/>
  <c r="DG110" i="1"/>
  <c r="DH110" i="1"/>
  <c r="DI110" i="1"/>
  <c r="DJ110" i="1"/>
  <c r="DK110" i="1"/>
  <c r="DL110" i="1"/>
  <c r="DM110" i="1"/>
  <c r="AN111" i="1"/>
  <c r="CH111" i="1"/>
  <c r="AE111" i="1" a="1"/>
  <c r="AE111" i="1" s="1"/>
  <c r="BK111" i="1"/>
  <c r="CF111" i="1"/>
  <c r="K111" i="1"/>
  <c r="AF111" i="1" a="1"/>
  <c r="AF111" i="1" s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C111" i="1"/>
  <c r="DD111" i="1"/>
  <c r="DE111" i="1"/>
  <c r="DF111" i="1"/>
  <c r="DG111" i="1"/>
  <c r="DH111" i="1"/>
  <c r="DI111" i="1"/>
  <c r="DJ111" i="1"/>
  <c r="DK111" i="1"/>
  <c r="DL111" i="1"/>
  <c r="DM111" i="1"/>
  <c r="AE112" i="1" a="1"/>
  <c r="AE112" i="1" s="1"/>
  <c r="L112" i="1"/>
  <c r="AG112" i="1" a="1"/>
  <c r="AG112" i="1" s="1"/>
  <c r="N112" i="1"/>
  <c r="M112" i="1"/>
  <c r="AF112" i="1" a="1"/>
  <c r="AF112" i="1" s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E112" i="1"/>
  <c r="DD112" i="1"/>
  <c r="DE112" i="1"/>
  <c r="DF112" i="1"/>
  <c r="DG112" i="1"/>
  <c r="DH112" i="1"/>
  <c r="DI112" i="1"/>
  <c r="DJ112" i="1"/>
  <c r="DK112" i="1"/>
  <c r="DL112" i="1"/>
  <c r="DM112" i="1"/>
  <c r="I113" i="1"/>
  <c r="J113" i="1"/>
  <c r="K113" i="1"/>
  <c r="CF113" i="1"/>
  <c r="N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E113" i="1"/>
  <c r="CH113" i="1"/>
  <c r="CN113" i="1" s="1"/>
  <c r="DD113" i="1"/>
  <c r="DE113" i="1"/>
  <c r="DF113" i="1"/>
  <c r="DG113" i="1"/>
  <c r="DH113" i="1"/>
  <c r="DI113" i="1"/>
  <c r="DJ113" i="1"/>
  <c r="DK113" i="1"/>
  <c r="DL113" i="1"/>
  <c r="DM113" i="1"/>
  <c r="AC114" i="1" a="1"/>
  <c r="AC114" i="1" s="1"/>
  <c r="J114" i="1"/>
  <c r="K114" i="1"/>
  <c r="AF114" i="1" a="1"/>
  <c r="AF114" i="1" s="1"/>
  <c r="M114" i="1"/>
  <c r="L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D114" i="1"/>
  <c r="CK114" i="1"/>
  <c r="DR114" i="1" s="1" a="1"/>
  <c r="DR114" i="1" s="1"/>
  <c r="DD114" i="1"/>
  <c r="DE114" i="1"/>
  <c r="DF114" i="1"/>
  <c r="DG114" i="1"/>
  <c r="DH114" i="1"/>
  <c r="DI114" i="1"/>
  <c r="DJ114" i="1"/>
  <c r="DK114" i="1"/>
  <c r="DL114" i="1"/>
  <c r="DM114" i="1"/>
  <c r="AJ115" i="1"/>
  <c r="K115" i="1"/>
  <c r="AF115" i="1" a="1"/>
  <c r="AF115" i="1" s="1"/>
  <c r="M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L115" i="1"/>
  <c r="CR115" i="1" s="1"/>
  <c r="DD115" i="1"/>
  <c r="DE115" i="1"/>
  <c r="DF115" i="1"/>
  <c r="DG115" i="1"/>
  <c r="DH115" i="1"/>
  <c r="DI115" i="1"/>
  <c r="DJ115" i="1"/>
  <c r="DK115" i="1"/>
  <c r="DL115" i="1"/>
  <c r="DM115" i="1"/>
  <c r="AC116" i="1" a="1"/>
  <c r="AC116" i="1" s="1"/>
  <c r="K116" i="1"/>
  <c r="AF116" i="1" a="1"/>
  <c r="AF116" i="1" s="1"/>
  <c r="M116" i="1"/>
  <c r="Z116" i="1" a="1"/>
  <c r="Z116" i="1" s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F116" i="1"/>
  <c r="CK116" i="1"/>
  <c r="CQ116" i="1" s="1"/>
  <c r="DD116" i="1"/>
  <c r="DE116" i="1"/>
  <c r="DF116" i="1"/>
  <c r="DG116" i="1"/>
  <c r="DH116" i="1"/>
  <c r="DI116" i="1"/>
  <c r="DJ116" i="1"/>
  <c r="DK116" i="1"/>
  <c r="DL116" i="1"/>
  <c r="DM116" i="1"/>
  <c r="I117" i="1"/>
  <c r="S117" i="1"/>
  <c r="T117" i="1" s="1"/>
  <c r="K117" i="1"/>
  <c r="AF117" i="1" a="1"/>
  <c r="AF117" i="1" s="1"/>
  <c r="M117" i="1"/>
  <c r="Z117" i="1" a="1"/>
  <c r="Z117" i="1" s="1"/>
  <c r="AC117" i="1" a="1"/>
  <c r="AC117" i="1" s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E117" i="1"/>
  <c r="CF117" i="1"/>
  <c r="CJ117" i="1"/>
  <c r="CP117" i="1" s="1"/>
  <c r="CL117" i="1"/>
  <c r="CR117" i="1" s="1"/>
  <c r="DD117" i="1"/>
  <c r="DE117" i="1"/>
  <c r="DF117" i="1"/>
  <c r="DG117" i="1"/>
  <c r="DH117" i="1"/>
  <c r="DI117" i="1"/>
  <c r="DJ117" i="1"/>
  <c r="DK117" i="1"/>
  <c r="DL117" i="1"/>
  <c r="DM117" i="1"/>
  <c r="S118" i="1"/>
  <c r="T118" i="1" s="1"/>
  <c r="K118" i="1"/>
  <c r="AF118" i="1" a="1"/>
  <c r="AF118" i="1" s="1"/>
  <c r="M118" i="1"/>
  <c r="I118" i="1"/>
  <c r="J118" i="1"/>
  <c r="L118" i="1"/>
  <c r="AC118" i="1" a="1"/>
  <c r="AC118" i="1" s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K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D118" i="1"/>
  <c r="CF118" i="1"/>
  <c r="CH118" i="1"/>
  <c r="DO118" i="1" s="1" a="1"/>
  <c r="DO118" i="1" s="1"/>
  <c r="DD118" i="1"/>
  <c r="DE118" i="1"/>
  <c r="DF118" i="1"/>
  <c r="DG118" i="1"/>
  <c r="DH118" i="1"/>
  <c r="DI118" i="1"/>
  <c r="DJ118" i="1"/>
  <c r="DK118" i="1"/>
  <c r="DL118" i="1"/>
  <c r="DM118" i="1"/>
  <c r="K119" i="1"/>
  <c r="AF119" i="1" a="1"/>
  <c r="AF119" i="1" s="1"/>
  <c r="M119" i="1"/>
  <c r="CL119" i="1"/>
  <c r="I119" i="1"/>
  <c r="L119" i="1"/>
  <c r="AC119" i="1" a="1"/>
  <c r="AC119" i="1" s="1"/>
  <c r="AD119" i="1" a="1"/>
  <c r="AD119" i="1" s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DD119" i="1"/>
  <c r="DE119" i="1"/>
  <c r="DF119" i="1"/>
  <c r="DG119" i="1"/>
  <c r="DH119" i="1"/>
  <c r="DI119" i="1"/>
  <c r="DJ119" i="1"/>
  <c r="DK119" i="1"/>
  <c r="DL119" i="1"/>
  <c r="DM119" i="1"/>
  <c r="K120" i="1"/>
  <c r="AH120" i="1" a="1"/>
  <c r="AH120" i="1" s="1"/>
  <c r="I120" i="1"/>
  <c r="J120" i="1"/>
  <c r="AC120" i="1" a="1"/>
  <c r="AC120" i="1" s="1"/>
  <c r="AD120" i="1" a="1"/>
  <c r="AD120" i="1" s="1"/>
  <c r="AE120" i="1" a="1"/>
  <c r="AE120" i="1" s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C120" i="1"/>
  <c r="CH120" i="1"/>
  <c r="DD120" i="1"/>
  <c r="DE120" i="1"/>
  <c r="DF120" i="1"/>
  <c r="DG120" i="1"/>
  <c r="DH120" i="1"/>
  <c r="DI120" i="1"/>
  <c r="DJ120" i="1"/>
  <c r="DK120" i="1"/>
  <c r="DL120" i="1"/>
  <c r="DM120" i="1"/>
  <c r="Y121" i="1" a="1"/>
  <c r="Y121" i="1" s="1"/>
  <c r="K121" i="1"/>
  <c r="AF121" i="1" a="1"/>
  <c r="AF121" i="1" s="1"/>
  <c r="CK121" i="1"/>
  <c r="AH121" i="1" a="1"/>
  <c r="AH121" i="1" s="1"/>
  <c r="I121" i="1"/>
  <c r="L121" i="1"/>
  <c r="N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N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DD121" i="1"/>
  <c r="DE121" i="1"/>
  <c r="DF121" i="1"/>
  <c r="DG121" i="1"/>
  <c r="DH121" i="1"/>
  <c r="DI121" i="1"/>
  <c r="DJ121" i="1"/>
  <c r="DK121" i="1"/>
  <c r="DL121" i="1"/>
  <c r="DM121" i="1"/>
  <c r="BO122" i="1"/>
  <c r="K122" i="1"/>
  <c r="AF122" i="1" a="1"/>
  <c r="AF122" i="1" s="1"/>
  <c r="M122" i="1"/>
  <c r="I122" i="1"/>
  <c r="L122" i="1"/>
  <c r="AC122" i="1" a="1"/>
  <c r="AC122" i="1" s="1"/>
  <c r="AE122" i="1" a="1"/>
  <c r="AE122" i="1" s="1"/>
  <c r="AG122" i="1" a="1"/>
  <c r="AG122" i="1" s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D122" i="1"/>
  <c r="CH122" i="1"/>
  <c r="CN122" i="1" s="1"/>
  <c r="DD122" i="1"/>
  <c r="DE122" i="1"/>
  <c r="DF122" i="1"/>
  <c r="DG122" i="1"/>
  <c r="DH122" i="1"/>
  <c r="DI122" i="1"/>
  <c r="DJ122" i="1"/>
  <c r="DK122" i="1"/>
  <c r="DL122" i="1"/>
  <c r="DM122" i="1"/>
  <c r="AJ123" i="1"/>
  <c r="K123" i="1"/>
  <c r="CE123" i="1"/>
  <c r="I123" i="1"/>
  <c r="L123" i="1"/>
  <c r="AF123" i="1" a="1"/>
  <c r="AF123" i="1" s="1"/>
  <c r="AG123" i="1" a="1"/>
  <c r="AG123" i="1" s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DD123" i="1"/>
  <c r="DE123" i="1"/>
  <c r="DF123" i="1"/>
  <c r="DG123" i="1"/>
  <c r="DH123" i="1"/>
  <c r="DI123" i="1"/>
  <c r="DJ123" i="1"/>
  <c r="DK123" i="1"/>
  <c r="DL123" i="1"/>
  <c r="DM123" i="1"/>
  <c r="V124" i="1" a="1"/>
  <c r="V124" i="1" s="1"/>
  <c r="W124" i="1" s="1"/>
  <c r="K124" i="1"/>
  <c r="AG124" i="1" a="1"/>
  <c r="AG124" i="1" s="1"/>
  <c r="CF124" i="1"/>
  <c r="I124" i="1"/>
  <c r="L124" i="1"/>
  <c r="AE124" i="1" a="1"/>
  <c r="AE124" i="1" s="1"/>
  <c r="AF124" i="1" a="1"/>
  <c r="AF124" i="1" s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K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H124" i="1"/>
  <c r="DO124" i="1" s="1" a="1"/>
  <c r="DO124" i="1" s="1"/>
  <c r="DD124" i="1"/>
  <c r="DE124" i="1"/>
  <c r="DF124" i="1"/>
  <c r="DG124" i="1"/>
  <c r="DH124" i="1"/>
  <c r="DI124" i="1"/>
  <c r="DJ124" i="1"/>
  <c r="DK124" i="1"/>
  <c r="DL124" i="1"/>
  <c r="DM124" i="1"/>
  <c r="I125" i="1"/>
  <c r="K125" i="1"/>
  <c r="AG125" i="1" a="1"/>
  <c r="AG125" i="1" s="1"/>
  <c r="L125" i="1"/>
  <c r="AE125" i="1" a="1"/>
  <c r="AE125" i="1" s="1"/>
  <c r="AF125" i="1" a="1"/>
  <c r="AF125" i="1" s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H125" i="1"/>
  <c r="DO125" i="1" s="1" a="1"/>
  <c r="DO125" i="1" s="1"/>
  <c r="DD125" i="1"/>
  <c r="DE125" i="1"/>
  <c r="DF125" i="1"/>
  <c r="DG125" i="1"/>
  <c r="DH125" i="1"/>
  <c r="DI125" i="1"/>
  <c r="DJ125" i="1"/>
  <c r="DK125" i="1"/>
  <c r="DL125" i="1"/>
  <c r="DM125" i="1"/>
  <c r="CB126" i="1"/>
  <c r="K126" i="1"/>
  <c r="L126" i="1"/>
  <c r="AG126" i="1" a="1"/>
  <c r="AG126" i="1" s="1"/>
  <c r="CL126" i="1"/>
  <c r="M126" i="1"/>
  <c r="AE126" i="1" a="1"/>
  <c r="AE126" i="1" s="1"/>
  <c r="AF126" i="1" a="1"/>
  <c r="AF126" i="1" s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E126" i="1"/>
  <c r="CK126" i="1"/>
  <c r="DR126" i="1" s="1" a="1"/>
  <c r="DR126" i="1" s="1"/>
  <c r="DD126" i="1"/>
  <c r="DE126" i="1"/>
  <c r="DF126" i="1"/>
  <c r="DG126" i="1"/>
  <c r="DH126" i="1"/>
  <c r="DI126" i="1"/>
  <c r="DJ126" i="1"/>
  <c r="DK126" i="1"/>
  <c r="DL126" i="1"/>
  <c r="DM126" i="1"/>
  <c r="AC127" i="1" a="1"/>
  <c r="AC127" i="1" s="1"/>
  <c r="L127" i="1"/>
  <c r="CF127" i="1"/>
  <c r="I127" i="1"/>
  <c r="M127" i="1"/>
  <c r="AE127" i="1" a="1"/>
  <c r="AE127" i="1" s="1"/>
  <c r="AG127" i="1" a="1"/>
  <c r="AG127" i="1" s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H127" i="1"/>
  <c r="DD127" i="1"/>
  <c r="DE127" i="1"/>
  <c r="DF127" i="1"/>
  <c r="DG127" i="1"/>
  <c r="DH127" i="1"/>
  <c r="DI127" i="1"/>
  <c r="DJ127" i="1"/>
  <c r="DK127" i="1"/>
  <c r="DL127" i="1"/>
  <c r="DM127" i="1"/>
  <c r="CB128" i="1"/>
  <c r="J128" i="1"/>
  <c r="CD128" i="1"/>
  <c r="AG128" i="1" a="1"/>
  <c r="AG128" i="1" s="1"/>
  <c r="L128" i="1"/>
  <c r="AC128" i="1" a="1"/>
  <c r="AC128" i="1" s="1"/>
  <c r="AD128" i="1" a="1"/>
  <c r="AD128" i="1" s="1"/>
  <c r="AE128" i="1" a="1"/>
  <c r="AE128" i="1" s="1"/>
  <c r="AF128" i="1" a="1"/>
  <c r="AF128" i="1" s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DD128" i="1"/>
  <c r="DE128" i="1"/>
  <c r="DF128" i="1"/>
  <c r="DG128" i="1"/>
  <c r="DH128" i="1"/>
  <c r="DI128" i="1"/>
  <c r="DJ128" i="1"/>
  <c r="DK128" i="1"/>
  <c r="DL128" i="1"/>
  <c r="DM128" i="1"/>
  <c r="AO129" i="1"/>
  <c r="J129" i="1"/>
  <c r="K129" i="1"/>
  <c r="AF129" i="1" a="1"/>
  <c r="AF129" i="1" s="1"/>
  <c r="CE129" i="1"/>
  <c r="L129" i="1"/>
  <c r="AE129" i="1" a="1"/>
  <c r="AE129" i="1" s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K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D129" i="1"/>
  <c r="CH129" i="1"/>
  <c r="CN129" i="1" s="1"/>
  <c r="CI129" i="1"/>
  <c r="DD129" i="1"/>
  <c r="DE129" i="1"/>
  <c r="DF129" i="1"/>
  <c r="DG129" i="1"/>
  <c r="DH129" i="1"/>
  <c r="DI129" i="1"/>
  <c r="DJ129" i="1"/>
  <c r="DK129" i="1"/>
  <c r="DL129" i="1"/>
  <c r="DM129" i="1"/>
  <c r="I130" i="1"/>
  <c r="J130" i="1"/>
  <c r="CI130" i="1"/>
  <c r="L130" i="1"/>
  <c r="AC130" i="1" a="1"/>
  <c r="AC130" i="1" s="1"/>
  <c r="AD130" i="1" a="1"/>
  <c r="AD130" i="1" s="1"/>
  <c r="AF130" i="1" a="1"/>
  <c r="AF130" i="1" s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D130" i="1"/>
  <c r="DD130" i="1"/>
  <c r="DE130" i="1"/>
  <c r="DF130" i="1"/>
  <c r="DG130" i="1"/>
  <c r="DH130" i="1"/>
  <c r="DI130" i="1"/>
  <c r="DJ130" i="1"/>
  <c r="DK130" i="1"/>
  <c r="DL130" i="1"/>
  <c r="DM130" i="1"/>
  <c r="I131" i="1"/>
  <c r="J131" i="1"/>
  <c r="CI131" i="1"/>
  <c r="N131" i="1"/>
  <c r="L131" i="1"/>
  <c r="AC131" i="1" a="1"/>
  <c r="AC131" i="1" s="1"/>
  <c r="AF131" i="1" a="1"/>
  <c r="AF131" i="1" s="1"/>
  <c r="AG131" i="1" a="1"/>
  <c r="AG131" i="1" s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DD131" i="1"/>
  <c r="DE131" i="1"/>
  <c r="DF131" i="1"/>
  <c r="DG131" i="1"/>
  <c r="DH131" i="1"/>
  <c r="DI131" i="1"/>
  <c r="DJ131" i="1"/>
  <c r="DK131" i="1"/>
  <c r="DL131" i="1"/>
  <c r="DM131" i="1"/>
  <c r="K132" i="1"/>
  <c r="CD132" i="1"/>
  <c r="N132" i="1"/>
  <c r="P132" i="1" a="1"/>
  <c r="P132" i="1" s="1"/>
  <c r="Q132" i="1" s="1"/>
  <c r="AD132" i="1" a="1"/>
  <c r="AD132" i="1" s="1"/>
  <c r="AF132" i="1" a="1"/>
  <c r="AF132" i="1" s="1"/>
  <c r="AH132" i="1" a="1"/>
  <c r="AH132" i="1" s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E132" i="1"/>
  <c r="CH132" i="1"/>
  <c r="CN132" i="1" s="1"/>
  <c r="CK132" i="1"/>
  <c r="CQ132" i="1" s="1"/>
  <c r="CL132" i="1"/>
  <c r="CR132" i="1" s="1"/>
  <c r="DD132" i="1"/>
  <c r="DE132" i="1"/>
  <c r="DF132" i="1"/>
  <c r="DG132" i="1"/>
  <c r="DH132" i="1"/>
  <c r="DI132" i="1"/>
  <c r="DJ132" i="1"/>
  <c r="DK132" i="1"/>
  <c r="DL132" i="1"/>
  <c r="DM132" i="1"/>
  <c r="P133" i="1" a="1"/>
  <c r="P133" i="1" s="1"/>
  <c r="CB133" i="1"/>
  <c r="CJ133" i="1"/>
  <c r="N133" i="1"/>
  <c r="I133" i="1"/>
  <c r="K133" i="1"/>
  <c r="Z133" i="1" a="1"/>
  <c r="Z133" i="1" s="1"/>
  <c r="AE133" i="1" a="1"/>
  <c r="AE133" i="1" s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D133" i="1"/>
  <c r="CH133" i="1"/>
  <c r="CN133" i="1" s="1"/>
  <c r="DD133" i="1"/>
  <c r="DE133" i="1"/>
  <c r="DF133" i="1"/>
  <c r="DG133" i="1"/>
  <c r="DH133" i="1"/>
  <c r="DI133" i="1"/>
  <c r="DJ133" i="1"/>
  <c r="DK133" i="1"/>
  <c r="DL133" i="1"/>
  <c r="DM133" i="1"/>
  <c r="P134" i="1" a="1"/>
  <c r="P134" i="1" s="1"/>
  <c r="Q134" i="1" s="1"/>
  <c r="CB134" i="1"/>
  <c r="CJ134" i="1"/>
  <c r="N134" i="1"/>
  <c r="I134" i="1"/>
  <c r="K134" i="1"/>
  <c r="Z134" i="1" a="1"/>
  <c r="Z134" i="1" s="1"/>
  <c r="AE134" i="1" a="1"/>
  <c r="AE134" i="1" s="1"/>
  <c r="AQ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F134" i="1"/>
  <c r="DD134" i="1"/>
  <c r="DE134" i="1"/>
  <c r="DF134" i="1"/>
  <c r="DG134" i="1"/>
  <c r="DH134" i="1"/>
  <c r="DI134" i="1"/>
  <c r="DJ134" i="1"/>
  <c r="DK134" i="1"/>
  <c r="DL134" i="1"/>
  <c r="DM134" i="1"/>
  <c r="AC135" i="1" a="1"/>
  <c r="AC135" i="1" s="1"/>
  <c r="AJ135" i="1"/>
  <c r="L135" i="1"/>
  <c r="V135" i="1" a="1"/>
  <c r="V135" i="1" s="1"/>
  <c r="W135" i="1" s="1"/>
  <c r="N135" i="1"/>
  <c r="J135" i="1"/>
  <c r="S135" i="1"/>
  <c r="T135" i="1" s="1"/>
  <c r="AD135" i="1" a="1"/>
  <c r="AD135" i="1" s="1"/>
  <c r="AF135" i="1" a="1"/>
  <c r="AF135" i="1" s="1"/>
  <c r="AH135" i="1" a="1"/>
  <c r="AH135" i="1" s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H135" i="1"/>
  <c r="DO135" i="1" s="1" a="1"/>
  <c r="DO135" i="1" s="1"/>
  <c r="DD135" i="1"/>
  <c r="DE135" i="1"/>
  <c r="DF135" i="1"/>
  <c r="DG135" i="1"/>
  <c r="DH135" i="1"/>
  <c r="DI135" i="1"/>
  <c r="DJ135" i="1"/>
  <c r="DK135" i="1"/>
  <c r="DL135" i="1"/>
  <c r="DM135" i="1"/>
  <c r="AC136" i="1" a="1"/>
  <c r="AC136" i="1" s="1"/>
  <c r="CB136" i="1"/>
  <c r="K136" i="1"/>
  <c r="CD136" i="1"/>
  <c r="CK136" i="1"/>
  <c r="N136" i="1"/>
  <c r="L136" i="1"/>
  <c r="AF136" i="1" a="1"/>
  <c r="AF136" i="1" s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F136" i="1"/>
  <c r="CJ136" i="1"/>
  <c r="CP136" i="1" s="1"/>
  <c r="DD136" i="1"/>
  <c r="DE136" i="1"/>
  <c r="DF136" i="1"/>
  <c r="DG136" i="1"/>
  <c r="DH136" i="1"/>
  <c r="DI136" i="1"/>
  <c r="DJ136" i="1"/>
  <c r="DK136" i="1"/>
  <c r="DL136" i="1"/>
  <c r="DM136" i="1"/>
  <c r="AC137" i="1" a="1"/>
  <c r="AC137" i="1" s="1"/>
  <c r="J137" i="1"/>
  <c r="AE137" i="1" a="1"/>
  <c r="AE137" i="1" s="1"/>
  <c r="CJ137" i="1"/>
  <c r="CF137" i="1"/>
  <c r="N137" i="1"/>
  <c r="K137" i="1"/>
  <c r="L137" i="1"/>
  <c r="AD137" i="1" a="1"/>
  <c r="AD137" i="1" s="1"/>
  <c r="AF137" i="1" a="1"/>
  <c r="AF137" i="1" s="1"/>
  <c r="AH137" i="1" a="1"/>
  <c r="AH137" i="1" s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D137" i="1"/>
  <c r="CK137" i="1"/>
  <c r="CQ137" i="1" s="1"/>
  <c r="DD137" i="1"/>
  <c r="DE137" i="1"/>
  <c r="DF137" i="1"/>
  <c r="DG137" i="1"/>
  <c r="DH137" i="1"/>
  <c r="DI137" i="1"/>
  <c r="DJ137" i="1"/>
  <c r="DK137" i="1"/>
  <c r="DL137" i="1"/>
  <c r="DM137" i="1"/>
  <c r="AC138" i="1" a="1"/>
  <c r="AC138" i="1" s="1"/>
  <c r="CB138" i="1"/>
  <c r="AF138" i="1" a="1"/>
  <c r="AF138" i="1" s="1"/>
  <c r="N138" i="1"/>
  <c r="J138" i="1"/>
  <c r="K138" i="1"/>
  <c r="Z138" i="1" a="1"/>
  <c r="Z138" i="1" s="1"/>
  <c r="AE138" i="1" a="1"/>
  <c r="AE138" i="1" s="1"/>
  <c r="AQ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N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F138" i="1"/>
  <c r="CJ138" i="1"/>
  <c r="CP138" i="1" s="1"/>
  <c r="DD138" i="1"/>
  <c r="DE138" i="1"/>
  <c r="DF138" i="1"/>
  <c r="DG138" i="1"/>
  <c r="DH138" i="1"/>
  <c r="DI138" i="1"/>
  <c r="DJ138" i="1"/>
  <c r="DK138" i="1"/>
  <c r="DL138" i="1"/>
  <c r="DM138" i="1"/>
  <c r="AC139" i="1" a="1"/>
  <c r="AC139" i="1" s="1"/>
  <c r="CB139" i="1"/>
  <c r="AF139" i="1" a="1"/>
  <c r="AF139" i="1" s="1"/>
  <c r="N139" i="1"/>
  <c r="J139" i="1"/>
  <c r="K139" i="1"/>
  <c r="Z139" i="1" a="1"/>
  <c r="Z139" i="1" s="1"/>
  <c r="AE139" i="1" a="1"/>
  <c r="AE139" i="1" s="1"/>
  <c r="AQ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N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F139" i="1"/>
  <c r="CJ139" i="1"/>
  <c r="CP139" i="1" s="1"/>
  <c r="DD139" i="1"/>
  <c r="DE139" i="1"/>
  <c r="DF139" i="1"/>
  <c r="DG139" i="1"/>
  <c r="DH139" i="1"/>
  <c r="DI139" i="1"/>
  <c r="DJ139" i="1"/>
  <c r="DK139" i="1"/>
  <c r="DL139" i="1"/>
  <c r="DM139" i="1"/>
  <c r="AC140" i="1" a="1"/>
  <c r="AC140" i="1" s="1"/>
  <c r="AD140" i="1" a="1"/>
  <c r="AD140" i="1" s="1"/>
  <c r="AF140" i="1" a="1"/>
  <c r="AF140" i="1" s="1"/>
  <c r="N140" i="1"/>
  <c r="J140" i="1"/>
  <c r="K140" i="1"/>
  <c r="Z140" i="1" a="1"/>
  <c r="Z140" i="1" s="1"/>
  <c r="AE140" i="1" a="1"/>
  <c r="AE140" i="1" s="1"/>
  <c r="AQ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N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F140" i="1"/>
  <c r="CJ140" i="1"/>
  <c r="CP140" i="1" s="1"/>
  <c r="DD140" i="1"/>
  <c r="DE140" i="1"/>
  <c r="DF140" i="1"/>
  <c r="DG140" i="1"/>
  <c r="DH140" i="1"/>
  <c r="DI140" i="1"/>
  <c r="DJ140" i="1"/>
  <c r="DK140" i="1"/>
  <c r="DL140" i="1"/>
  <c r="DM140" i="1"/>
  <c r="AC141" i="1" a="1"/>
  <c r="AC141" i="1" s="1"/>
  <c r="AD141" i="1" a="1"/>
  <c r="AD141" i="1" s="1"/>
  <c r="AF141" i="1" a="1"/>
  <c r="AF141" i="1" s="1"/>
  <c r="N141" i="1"/>
  <c r="J141" i="1"/>
  <c r="K141" i="1"/>
  <c r="Z141" i="1" a="1"/>
  <c r="Z141" i="1" s="1"/>
  <c r="AE141" i="1" a="1"/>
  <c r="AE141" i="1" s="1"/>
  <c r="AN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F141" i="1"/>
  <c r="CH141" i="1"/>
  <c r="CN141" i="1" s="1"/>
  <c r="DD141" i="1"/>
  <c r="DE141" i="1"/>
  <c r="DF141" i="1"/>
  <c r="DG141" i="1"/>
  <c r="DH141" i="1"/>
  <c r="DI141" i="1"/>
  <c r="DJ141" i="1"/>
  <c r="DK141" i="1"/>
  <c r="DL141" i="1"/>
  <c r="DM141" i="1"/>
  <c r="AC142" i="1" a="1"/>
  <c r="AC142" i="1" s="1"/>
  <c r="CD142" i="1"/>
  <c r="L142" i="1"/>
  <c r="S142" i="1"/>
  <c r="T142" i="1" s="1"/>
  <c r="N142" i="1"/>
  <c r="J142" i="1"/>
  <c r="AD142" i="1" a="1"/>
  <c r="AD142" i="1" s="1"/>
  <c r="AE142" i="1" a="1"/>
  <c r="AE142" i="1" s="1"/>
  <c r="AF142" i="1" a="1"/>
  <c r="AF142" i="1" s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DD142" i="1"/>
  <c r="DE142" i="1"/>
  <c r="DF142" i="1"/>
  <c r="DG142" i="1"/>
  <c r="DH142" i="1"/>
  <c r="DI142" i="1"/>
  <c r="DJ142" i="1"/>
  <c r="DK142" i="1"/>
  <c r="DL142" i="1"/>
  <c r="DM142" i="1"/>
  <c r="P143" i="1" a="1"/>
  <c r="P143" i="1" s="1"/>
  <c r="Q143" i="1" s="1"/>
  <c r="V143" i="1" a="1"/>
  <c r="V143" i="1" s="1"/>
  <c r="W143" i="1" s="1"/>
  <c r="L143" i="1"/>
  <c r="N143" i="1"/>
  <c r="I143" i="1"/>
  <c r="K143" i="1"/>
  <c r="AD143" i="1" a="1"/>
  <c r="AD143" i="1" s="1"/>
  <c r="AE143" i="1" a="1"/>
  <c r="AE143" i="1" s="1"/>
  <c r="AH143" i="1" a="1"/>
  <c r="AH143" i="1" s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J143" i="1"/>
  <c r="CP143" i="1" s="1"/>
  <c r="DD143" i="1"/>
  <c r="DE143" i="1"/>
  <c r="DF143" i="1"/>
  <c r="DG143" i="1"/>
  <c r="DH143" i="1"/>
  <c r="DI143" i="1"/>
  <c r="DJ143" i="1"/>
  <c r="DK143" i="1"/>
  <c r="DL143" i="1"/>
  <c r="DM143" i="1"/>
  <c r="BK144" i="1"/>
  <c r="AE144" i="1" a="1"/>
  <c r="AE144" i="1" s="1"/>
  <c r="CJ144" i="1"/>
  <c r="N144" i="1"/>
  <c r="J144" i="1"/>
  <c r="L144" i="1"/>
  <c r="Y144" i="1" a="1"/>
  <c r="Y144" i="1" s="1"/>
  <c r="AD144" i="1" a="1"/>
  <c r="AD144" i="1" s="1"/>
  <c r="AF144" i="1" a="1"/>
  <c r="AF144" i="1" s="1"/>
  <c r="AH144" i="1" a="1"/>
  <c r="AH144" i="1" s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E144" i="1"/>
  <c r="CF144" i="1"/>
  <c r="DD144" i="1"/>
  <c r="DE144" i="1"/>
  <c r="DF144" i="1"/>
  <c r="DG144" i="1"/>
  <c r="DH144" i="1"/>
  <c r="DI144" i="1"/>
  <c r="DJ144" i="1"/>
  <c r="DK144" i="1"/>
  <c r="DL144" i="1"/>
  <c r="DM144" i="1"/>
  <c r="I145" i="1"/>
  <c r="P145" i="1" a="1"/>
  <c r="P145" i="1" s="1"/>
  <c r="Q145" i="1" s="1"/>
  <c r="K145" i="1"/>
  <c r="CJ145" i="1"/>
  <c r="CE145" i="1"/>
  <c r="N145" i="1"/>
  <c r="L145" i="1"/>
  <c r="AE145" i="1" a="1"/>
  <c r="AE145" i="1" s="1"/>
  <c r="AF145" i="1" a="1"/>
  <c r="AF145" i="1" s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D145" i="1"/>
  <c r="CK145" i="1"/>
  <c r="DR145" i="1" s="1" a="1"/>
  <c r="DR145" i="1" s="1"/>
  <c r="CL145" i="1"/>
  <c r="DD145" i="1"/>
  <c r="DE145" i="1"/>
  <c r="DF145" i="1"/>
  <c r="DG145" i="1"/>
  <c r="DH145" i="1"/>
  <c r="DI145" i="1"/>
  <c r="DJ145" i="1"/>
  <c r="DK145" i="1"/>
  <c r="DL145" i="1"/>
  <c r="DM145" i="1"/>
  <c r="S146" i="1"/>
  <c r="T146" i="1" s="1"/>
  <c r="K146" i="1"/>
  <c r="I146" i="1"/>
  <c r="L146" i="1"/>
  <c r="AD146" i="1" a="1"/>
  <c r="AD146" i="1" s="1"/>
  <c r="AF146" i="1" a="1"/>
  <c r="AF146" i="1" s="1"/>
  <c r="AJ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D146" i="1"/>
  <c r="CK146" i="1"/>
  <c r="DD146" i="1"/>
  <c r="DE146" i="1"/>
  <c r="DF146" i="1"/>
  <c r="DG146" i="1"/>
  <c r="DH146" i="1"/>
  <c r="DI146" i="1"/>
  <c r="DJ146" i="1"/>
  <c r="DK146" i="1"/>
  <c r="DL146" i="1"/>
  <c r="DM146" i="1"/>
  <c r="AA147" i="1" a="1"/>
  <c r="AA147" i="1" s="1"/>
  <c r="CJ147" i="1"/>
  <c r="L147" i="1"/>
  <c r="AF147" i="1" a="1"/>
  <c r="AF147" i="1" s="1"/>
  <c r="AH147" i="1" a="1"/>
  <c r="AH147" i="1" s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D147" i="1"/>
  <c r="DD147" i="1"/>
  <c r="DE147" i="1"/>
  <c r="DF147" i="1"/>
  <c r="DG147" i="1"/>
  <c r="DH147" i="1"/>
  <c r="DI147" i="1"/>
  <c r="DJ147" i="1"/>
  <c r="DK147" i="1"/>
  <c r="DL147" i="1"/>
  <c r="DM147" i="1"/>
  <c r="AA148" i="1" a="1"/>
  <c r="AA148" i="1" s="1"/>
  <c r="CD148" i="1"/>
  <c r="CE148" i="1"/>
  <c r="N148" i="1"/>
  <c r="J148" i="1"/>
  <c r="L148" i="1"/>
  <c r="AE148" i="1" a="1"/>
  <c r="AE148" i="1" s="1"/>
  <c r="AF148" i="1" a="1"/>
  <c r="AF148" i="1" s="1"/>
  <c r="AH148" i="1" a="1"/>
  <c r="AH148" i="1" s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DD148" i="1"/>
  <c r="DE148" i="1"/>
  <c r="DF148" i="1"/>
  <c r="DG148" i="1"/>
  <c r="DH148" i="1"/>
  <c r="DI148" i="1"/>
  <c r="DJ148" i="1"/>
  <c r="DK148" i="1"/>
  <c r="DL148" i="1"/>
  <c r="DM148" i="1"/>
  <c r="BN149" i="1"/>
  <c r="K149" i="1"/>
  <c r="AQ149" i="1"/>
  <c r="N149" i="1"/>
  <c r="I149" i="1"/>
  <c r="J149" i="1"/>
  <c r="L149" i="1"/>
  <c r="V149" i="1" a="1"/>
  <c r="V149" i="1" s="1"/>
  <c r="W149" i="1" s="1"/>
  <c r="AD149" i="1" a="1"/>
  <c r="AD149" i="1" s="1"/>
  <c r="AF149" i="1" a="1"/>
  <c r="AF149" i="1" s="1"/>
  <c r="AJ149" i="1"/>
  <c r="AN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H149" i="1"/>
  <c r="CN149" i="1" s="1"/>
  <c r="CK149" i="1"/>
  <c r="DR149" i="1" s="1" a="1"/>
  <c r="DR149" i="1" s="1"/>
  <c r="DD149" i="1"/>
  <c r="DE149" i="1"/>
  <c r="DF149" i="1"/>
  <c r="DG149" i="1"/>
  <c r="DH149" i="1"/>
  <c r="DI149" i="1"/>
  <c r="DJ149" i="1"/>
  <c r="DK149" i="1"/>
  <c r="DL149" i="1"/>
  <c r="DM149" i="1"/>
  <c r="AR150" i="1"/>
  <c r="J150" i="1"/>
  <c r="CJ150" i="1"/>
  <c r="N150" i="1"/>
  <c r="K150" i="1"/>
  <c r="AD150" i="1" a="1"/>
  <c r="AD150" i="1" s="1"/>
  <c r="AE150" i="1" a="1"/>
  <c r="AE150" i="1" s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C150" i="1"/>
  <c r="DD150" i="1"/>
  <c r="DE150" i="1"/>
  <c r="DF150" i="1"/>
  <c r="DG150" i="1"/>
  <c r="DH150" i="1"/>
  <c r="DI150" i="1"/>
  <c r="DJ150" i="1"/>
  <c r="DK150" i="1"/>
  <c r="DL150" i="1"/>
  <c r="DM150" i="1"/>
  <c r="V151" i="1" a="1"/>
  <c r="V151" i="1" s="1"/>
  <c r="W151" i="1" s="1"/>
  <c r="AD151" i="1" a="1"/>
  <c r="AD151" i="1" s="1"/>
  <c r="AE151" i="1" a="1"/>
  <c r="AE151" i="1" s="1"/>
  <c r="N151" i="1"/>
  <c r="K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C151" i="1"/>
  <c r="CJ151" i="1"/>
  <c r="DQ151" i="1" s="1" a="1"/>
  <c r="DQ151" i="1" s="1"/>
  <c r="DD151" i="1"/>
  <c r="DE151" i="1"/>
  <c r="DF151" i="1"/>
  <c r="DG151" i="1"/>
  <c r="DH151" i="1"/>
  <c r="DI151" i="1"/>
  <c r="DJ151" i="1"/>
  <c r="DK151" i="1"/>
  <c r="DL151" i="1"/>
  <c r="DM151" i="1"/>
  <c r="CC152" i="1"/>
  <c r="Z152" i="1" a="1"/>
  <c r="Z152" i="1" s="1"/>
  <c r="CF152" i="1"/>
  <c r="N152" i="1"/>
  <c r="K152" i="1"/>
  <c r="AD152" i="1" a="1"/>
  <c r="AD152" i="1" s="1"/>
  <c r="AE152" i="1" a="1"/>
  <c r="AE152" i="1" s="1"/>
  <c r="AH152" i="1" a="1"/>
  <c r="AH152" i="1" s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DD152" i="1"/>
  <c r="DE152" i="1"/>
  <c r="DF152" i="1"/>
  <c r="DG152" i="1"/>
  <c r="DH152" i="1"/>
  <c r="DI152" i="1"/>
  <c r="DJ152" i="1"/>
  <c r="DK152" i="1"/>
  <c r="DL152" i="1"/>
  <c r="DM152" i="1"/>
  <c r="AD153" i="1" a="1"/>
  <c r="AD153" i="1" s="1"/>
  <c r="AE153" i="1" a="1"/>
  <c r="AE153" i="1" s="1"/>
  <c r="AH153" i="1" a="1"/>
  <c r="AH153" i="1" s="1"/>
  <c r="K153" i="1"/>
  <c r="P153" i="1" a="1"/>
  <c r="P153" i="1" s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F153" i="1"/>
  <c r="CK153" i="1"/>
  <c r="CQ153" i="1" s="1"/>
  <c r="DD153" i="1"/>
  <c r="DE153" i="1"/>
  <c r="DF153" i="1"/>
  <c r="DG153" i="1"/>
  <c r="DH153" i="1"/>
  <c r="DI153" i="1"/>
  <c r="DJ153" i="1"/>
  <c r="DK153" i="1"/>
  <c r="DL153" i="1"/>
  <c r="DM153" i="1"/>
  <c r="CE154" i="1"/>
  <c r="AG154" i="1" a="1"/>
  <c r="AG154" i="1" s="1"/>
  <c r="K154" i="1"/>
  <c r="AC154" i="1" a="1"/>
  <c r="AC154" i="1" s="1"/>
  <c r="AE154" i="1" a="1"/>
  <c r="AE154" i="1" s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DD154" i="1"/>
  <c r="DE154" i="1"/>
  <c r="DF154" i="1"/>
  <c r="DG154" i="1"/>
  <c r="DH154" i="1"/>
  <c r="DI154" i="1"/>
  <c r="DJ154" i="1"/>
  <c r="DK154" i="1"/>
  <c r="DL154" i="1"/>
  <c r="DM154" i="1"/>
  <c r="AN155" i="1"/>
  <c r="AF155" i="1" a="1"/>
  <c r="AF155" i="1" s="1"/>
  <c r="M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DD155" i="1"/>
  <c r="DE155" i="1"/>
  <c r="DF155" i="1"/>
  <c r="DG155" i="1"/>
  <c r="DH155" i="1"/>
  <c r="DI155" i="1"/>
  <c r="DJ155" i="1"/>
  <c r="DK155" i="1"/>
  <c r="DL155" i="1"/>
  <c r="DM155" i="1"/>
  <c r="BM156" i="1"/>
  <c r="AE156" i="1" a="1"/>
  <c r="AE156" i="1" s="1"/>
  <c r="AF156" i="1" a="1"/>
  <c r="AF156" i="1" s="1"/>
  <c r="AH156" i="1" a="1"/>
  <c r="AH156" i="1" s="1"/>
  <c r="M156" i="1"/>
  <c r="Y156" i="1" a="1"/>
  <c r="Y156" i="1" s="1"/>
  <c r="AC156" i="1" a="1"/>
  <c r="AC156" i="1" s="1"/>
  <c r="AG156" i="1" a="1"/>
  <c r="AG156" i="1" s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DD156" i="1"/>
  <c r="DE156" i="1"/>
  <c r="DF156" i="1"/>
  <c r="DG156" i="1"/>
  <c r="DH156" i="1"/>
  <c r="DI156" i="1"/>
  <c r="DJ156" i="1"/>
  <c r="DK156" i="1"/>
  <c r="DL156" i="1"/>
  <c r="DM156" i="1"/>
  <c r="AC157" i="1" a="1"/>
  <c r="AC157" i="1" s="1"/>
  <c r="K157" i="1"/>
  <c r="AF157" i="1" a="1"/>
  <c r="AF157" i="1" s="1"/>
  <c r="M157" i="1"/>
  <c r="AH157" i="1" a="1"/>
  <c r="AH157" i="1" s="1"/>
  <c r="N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M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F157" i="1"/>
  <c r="DD157" i="1"/>
  <c r="DE157" i="1"/>
  <c r="DF157" i="1"/>
  <c r="DG157" i="1"/>
  <c r="DH157" i="1"/>
  <c r="DI157" i="1"/>
  <c r="DJ157" i="1"/>
  <c r="DK157" i="1"/>
  <c r="DL157" i="1"/>
  <c r="DM157" i="1"/>
  <c r="CC158" i="1"/>
  <c r="L158" i="1"/>
  <c r="CE158" i="1"/>
  <c r="J158" i="1"/>
  <c r="K158" i="1"/>
  <c r="N158" i="1"/>
  <c r="AD158" i="1" a="1"/>
  <c r="AD158" i="1" s="1"/>
  <c r="AE158" i="1" a="1"/>
  <c r="AE158" i="1" s="1"/>
  <c r="AF158" i="1" a="1"/>
  <c r="AF158" i="1" s="1"/>
  <c r="AG158" i="1" a="1"/>
  <c r="AG158" i="1" s="1"/>
  <c r="AH158" i="1" a="1"/>
  <c r="AH158" i="1" s="1"/>
  <c r="AO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CF158" i="1"/>
  <c r="CI158" i="1"/>
  <c r="CO158" i="1" s="1"/>
  <c r="DD158" i="1"/>
  <c r="DE158" i="1"/>
  <c r="DF158" i="1"/>
  <c r="DG158" i="1"/>
  <c r="DH158" i="1"/>
  <c r="DI158" i="1"/>
  <c r="DJ158" i="1"/>
  <c r="DK158" i="1"/>
  <c r="DL158" i="1"/>
  <c r="DM158" i="1"/>
  <c r="I159" i="1"/>
  <c r="J159" i="1"/>
  <c r="L159" i="1"/>
  <c r="N159" i="1"/>
  <c r="K159" i="1"/>
  <c r="AE159" i="1" a="1"/>
  <c r="AE159" i="1" s="1"/>
  <c r="AH159" i="1" a="1"/>
  <c r="AH159" i="1" s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DD159" i="1"/>
  <c r="DE159" i="1"/>
  <c r="DF159" i="1"/>
  <c r="DG159" i="1"/>
  <c r="DH159" i="1"/>
  <c r="DI159" i="1"/>
  <c r="DJ159" i="1"/>
  <c r="DK159" i="1"/>
  <c r="DL159" i="1"/>
  <c r="DM159" i="1"/>
  <c r="Z160" i="1" a="1"/>
  <c r="Z160" i="1" s="1"/>
  <c r="J160" i="1"/>
  <c r="K160" i="1"/>
  <c r="AF160" i="1" a="1"/>
  <c r="AF160" i="1" s="1"/>
  <c r="N160" i="1"/>
  <c r="M160" i="1"/>
  <c r="AC160" i="1" a="1"/>
  <c r="AC160" i="1" s="1"/>
  <c r="AD160" i="1" a="1"/>
  <c r="AD160" i="1" s="1"/>
  <c r="AG160" i="1" a="1"/>
  <c r="AG160" i="1" s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I160" i="1"/>
  <c r="CO160" i="1" s="1"/>
  <c r="CK160" i="1"/>
  <c r="CQ160" i="1" s="1"/>
  <c r="DD160" i="1"/>
  <c r="DE160" i="1"/>
  <c r="DF160" i="1"/>
  <c r="DG160" i="1"/>
  <c r="DH160" i="1"/>
  <c r="DI160" i="1"/>
  <c r="DJ160" i="1"/>
  <c r="DK160" i="1"/>
  <c r="DL160" i="1"/>
  <c r="DM160" i="1"/>
  <c r="BN161" i="1"/>
  <c r="CC161" i="1"/>
  <c r="L161" i="1"/>
  <c r="M161" i="1"/>
  <c r="N161" i="1"/>
  <c r="J161" i="1"/>
  <c r="AD161" i="1" a="1"/>
  <c r="AD161" i="1" s="1"/>
  <c r="AF161" i="1" a="1"/>
  <c r="AF161" i="1" s="1"/>
  <c r="AH161" i="1" a="1"/>
  <c r="AH161" i="1" s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D161" i="1"/>
  <c r="DD161" i="1"/>
  <c r="DE161" i="1"/>
  <c r="DF161" i="1"/>
  <c r="DG161" i="1"/>
  <c r="DH161" i="1"/>
  <c r="DI161" i="1"/>
  <c r="DJ161" i="1"/>
  <c r="DK161" i="1"/>
  <c r="DL161" i="1"/>
  <c r="DM161" i="1"/>
  <c r="J162" i="1"/>
  <c r="CD162" i="1"/>
  <c r="M162" i="1"/>
  <c r="N162" i="1"/>
  <c r="I162" i="1"/>
  <c r="AC162" i="1" a="1"/>
  <c r="AC162" i="1" s="1"/>
  <c r="AF162" i="1" a="1"/>
  <c r="AF162" i="1" s="1"/>
  <c r="AG162" i="1" a="1"/>
  <c r="AG162" i="1" s="1"/>
  <c r="AH162" i="1" a="1"/>
  <c r="AH162" i="1" s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I162" i="1"/>
  <c r="CO162" i="1" s="1"/>
  <c r="DD162" i="1"/>
  <c r="DE162" i="1"/>
  <c r="DF162" i="1"/>
  <c r="DG162" i="1"/>
  <c r="DH162" i="1"/>
  <c r="DI162" i="1"/>
  <c r="DJ162" i="1"/>
  <c r="DK162" i="1"/>
  <c r="DL162" i="1"/>
  <c r="DM162" i="1"/>
  <c r="CC163" i="1"/>
  <c r="L163" i="1"/>
  <c r="CF163" i="1"/>
  <c r="J163" i="1"/>
  <c r="K163" i="1"/>
  <c r="N163" i="1"/>
  <c r="AD163" i="1" a="1"/>
  <c r="AD163" i="1" s="1"/>
  <c r="AE163" i="1" a="1"/>
  <c r="AE163" i="1" s="1"/>
  <c r="AF163" i="1" a="1"/>
  <c r="AF163" i="1" s="1"/>
  <c r="AH163" i="1" a="1"/>
  <c r="AH163" i="1" s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D163" i="1"/>
  <c r="DD163" i="1"/>
  <c r="DE163" i="1"/>
  <c r="DF163" i="1"/>
  <c r="DG163" i="1"/>
  <c r="DH163" i="1"/>
  <c r="DI163" i="1"/>
  <c r="DJ163" i="1"/>
  <c r="DK163" i="1"/>
  <c r="DL163" i="1"/>
  <c r="DM163" i="1"/>
  <c r="Z164" i="1" a="1"/>
  <c r="Z164" i="1" s="1"/>
  <c r="J164" i="1"/>
  <c r="K164" i="1"/>
  <c r="CD164" i="1"/>
  <c r="CE164" i="1"/>
  <c r="N164" i="1"/>
  <c r="L164" i="1"/>
  <c r="M164" i="1"/>
  <c r="AE164" i="1" a="1"/>
  <c r="AE164" i="1" s="1"/>
  <c r="AG164" i="1" a="1"/>
  <c r="AG164" i="1" s="1"/>
  <c r="AH164" i="1" a="1"/>
  <c r="AH164" i="1" s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F164" i="1"/>
  <c r="CK164" i="1"/>
  <c r="CQ164" i="1" s="1"/>
  <c r="DD164" i="1"/>
  <c r="DE164" i="1"/>
  <c r="DF164" i="1"/>
  <c r="DG164" i="1"/>
  <c r="DH164" i="1"/>
  <c r="DI164" i="1"/>
  <c r="DJ164" i="1"/>
  <c r="DK164" i="1"/>
  <c r="DL164" i="1"/>
  <c r="DM164" i="1"/>
  <c r="Y165" i="1" a="1"/>
  <c r="Y165" i="1" s="1"/>
  <c r="AE165" i="1" a="1"/>
  <c r="AE165" i="1" s="1"/>
  <c r="L165" i="1"/>
  <c r="AG165" i="1" a="1"/>
  <c r="AG165" i="1" s="1"/>
  <c r="N165" i="1"/>
  <c r="J165" i="1"/>
  <c r="K165" i="1"/>
  <c r="M165" i="1"/>
  <c r="AD165" i="1" a="1"/>
  <c r="AD165" i="1" s="1"/>
  <c r="AH165" i="1" a="1"/>
  <c r="AH165" i="1" s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D165" i="1"/>
  <c r="CI165" i="1"/>
  <c r="CO165" i="1" s="1"/>
  <c r="DD165" i="1"/>
  <c r="DE165" i="1"/>
  <c r="DF165" i="1"/>
  <c r="DG165" i="1"/>
  <c r="DH165" i="1"/>
  <c r="DI165" i="1"/>
  <c r="DJ165" i="1"/>
  <c r="DK165" i="1"/>
  <c r="DL165" i="1"/>
  <c r="DM165" i="1"/>
  <c r="AC166" i="1" a="1"/>
  <c r="AC166" i="1" s="1"/>
  <c r="J166" i="1"/>
  <c r="AA166" i="1" a="1"/>
  <c r="AA166" i="1" s="1"/>
  <c r="AG166" i="1" a="1"/>
  <c r="AG166" i="1" s="1"/>
  <c r="N166" i="1"/>
  <c r="L166" i="1"/>
  <c r="AD166" i="1" a="1"/>
  <c r="AD166" i="1" s="1"/>
  <c r="AF166" i="1" a="1"/>
  <c r="AF166" i="1" s="1"/>
  <c r="AH166" i="1" a="1"/>
  <c r="AH166" i="1" s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K166" i="1"/>
  <c r="CQ166" i="1" s="1"/>
  <c r="DD166" i="1"/>
  <c r="DE166" i="1"/>
  <c r="DF166" i="1"/>
  <c r="DG166" i="1"/>
  <c r="DH166" i="1"/>
  <c r="DI166" i="1"/>
  <c r="DJ166" i="1"/>
  <c r="DK166" i="1"/>
  <c r="DL166" i="1"/>
  <c r="DM166" i="1"/>
  <c r="AQ167" i="1"/>
  <c r="L167" i="1"/>
  <c r="N167" i="1"/>
  <c r="J167" i="1"/>
  <c r="AC167" i="1" a="1"/>
  <c r="AC167" i="1" s="1"/>
  <c r="AG167" i="1" a="1"/>
  <c r="AG167" i="1" s="1"/>
  <c r="AH167" i="1" a="1"/>
  <c r="AH167" i="1" s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P167" i="1"/>
  <c r="BQ167" i="1"/>
  <c r="BR167" i="1"/>
  <c r="BS167" i="1"/>
  <c r="BT167" i="1"/>
  <c r="BU167" i="1"/>
  <c r="BV167" i="1"/>
  <c r="BW167" i="1"/>
  <c r="BX167" i="1"/>
  <c r="BY167" i="1"/>
  <c r="BZ167" i="1"/>
  <c r="CA167" i="1"/>
  <c r="CF167" i="1"/>
  <c r="DD167" i="1"/>
  <c r="DE167" i="1"/>
  <c r="DF167" i="1"/>
  <c r="DG167" i="1"/>
  <c r="DH167" i="1"/>
  <c r="DI167" i="1"/>
  <c r="DJ167" i="1"/>
  <c r="DK167" i="1"/>
  <c r="DL167" i="1"/>
  <c r="DM167" i="1"/>
  <c r="J168" i="1"/>
  <c r="L168" i="1"/>
  <c r="N168" i="1"/>
  <c r="I168" i="1"/>
  <c r="K168" i="1"/>
  <c r="AC168" i="1" a="1"/>
  <c r="AC168" i="1" s="1"/>
  <c r="AE168" i="1" a="1"/>
  <c r="AE168" i="1" s="1"/>
  <c r="AH168" i="1" a="1"/>
  <c r="AH168" i="1" s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CH168" i="1"/>
  <c r="CN168" i="1" s="1"/>
  <c r="CI168" i="1"/>
  <c r="CO168" i="1" s="1"/>
  <c r="DD168" i="1"/>
  <c r="DE168" i="1"/>
  <c r="DF168" i="1"/>
  <c r="DG168" i="1"/>
  <c r="DH168" i="1"/>
  <c r="DI168" i="1"/>
  <c r="DJ168" i="1"/>
  <c r="DK168" i="1"/>
  <c r="DL168" i="1"/>
  <c r="DM168" i="1"/>
  <c r="AC169" i="1" a="1"/>
  <c r="AC169" i="1" s="1"/>
  <c r="K169" i="1"/>
  <c r="AF169" i="1" a="1"/>
  <c r="AF169" i="1" s="1"/>
  <c r="M169" i="1"/>
  <c r="CL169" i="1"/>
  <c r="CR169" i="1" s="1"/>
  <c r="L169" i="1"/>
  <c r="AE169" i="1" a="1"/>
  <c r="AE169" i="1" s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E169" i="1"/>
  <c r="DD169" i="1"/>
  <c r="DE169" i="1"/>
  <c r="DF169" i="1"/>
  <c r="DG169" i="1"/>
  <c r="DH169" i="1"/>
  <c r="DI169" i="1"/>
  <c r="DJ169" i="1"/>
  <c r="DK169" i="1"/>
  <c r="DL169" i="1"/>
  <c r="DM169" i="1"/>
  <c r="S170" i="1"/>
  <c r="T170" i="1" s="1"/>
  <c r="AD170" i="1" a="1"/>
  <c r="AD170" i="1" s="1"/>
  <c r="AE170" i="1" a="1"/>
  <c r="AE170" i="1" s="1"/>
  <c r="AG170" i="1" a="1"/>
  <c r="AG170" i="1" s="1"/>
  <c r="AH170" i="1" a="1"/>
  <c r="AH170" i="1" s="1"/>
  <c r="J170" i="1"/>
  <c r="M170" i="1"/>
  <c r="N170" i="1"/>
  <c r="AF170" i="1" a="1"/>
  <c r="AF170" i="1" s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P170" i="1"/>
  <c r="BQ170" i="1"/>
  <c r="BR170" i="1"/>
  <c r="BS170" i="1"/>
  <c r="BT170" i="1"/>
  <c r="BU170" i="1"/>
  <c r="BV170" i="1"/>
  <c r="BW170" i="1"/>
  <c r="BX170" i="1"/>
  <c r="BY170" i="1"/>
  <c r="BZ170" i="1"/>
  <c r="CA170" i="1"/>
  <c r="CE170" i="1"/>
  <c r="CJ170" i="1"/>
  <c r="CP170" i="1" s="1"/>
  <c r="CL170" i="1"/>
  <c r="CR170" i="1" s="1"/>
  <c r="DD170" i="1"/>
  <c r="DE170" i="1"/>
  <c r="DF170" i="1"/>
  <c r="DG170" i="1"/>
  <c r="DH170" i="1"/>
  <c r="DI170" i="1"/>
  <c r="DJ170" i="1"/>
  <c r="DK170" i="1"/>
  <c r="DL170" i="1"/>
  <c r="DM170" i="1"/>
  <c r="I171" i="1"/>
  <c r="CI171" i="1"/>
  <c r="CO171" i="1" s="1"/>
  <c r="AF171" i="1" a="1"/>
  <c r="AF171" i="1" s="1"/>
  <c r="CL171" i="1"/>
  <c r="CR171" i="1" s="1"/>
  <c r="AH171" i="1" a="1"/>
  <c r="AH171" i="1" s="1"/>
  <c r="AC171" i="1" a="1"/>
  <c r="AC171" i="1" s="1"/>
  <c r="AG171" i="1" a="1"/>
  <c r="AG171" i="1" s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H171" i="1"/>
  <c r="DD171" i="1"/>
  <c r="DE171" i="1"/>
  <c r="DF171" i="1"/>
  <c r="DG171" i="1"/>
  <c r="DH171" i="1"/>
  <c r="DI171" i="1"/>
  <c r="DJ171" i="1"/>
  <c r="DK171" i="1"/>
  <c r="DL171" i="1"/>
  <c r="DM171" i="1"/>
  <c r="P172" i="1" a="1"/>
  <c r="P172" i="1" s="1"/>
  <c r="AD172" i="1" a="1"/>
  <c r="AD172" i="1" s="1"/>
  <c r="K172" i="1"/>
  <c r="N172" i="1"/>
  <c r="AH172" i="1" a="1"/>
  <c r="AH172" i="1" s="1"/>
  <c r="AQ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D172" i="1"/>
  <c r="CJ172" i="1"/>
  <c r="CP172" i="1" s="1"/>
  <c r="DD172" i="1"/>
  <c r="DE172" i="1"/>
  <c r="DF172" i="1"/>
  <c r="DG172" i="1"/>
  <c r="DH172" i="1"/>
  <c r="DI172" i="1"/>
  <c r="DJ172" i="1"/>
  <c r="DK172" i="1"/>
  <c r="DL172" i="1"/>
  <c r="DM172" i="1"/>
  <c r="AC173" i="1" a="1"/>
  <c r="AC173" i="1" s="1"/>
  <c r="K173" i="1"/>
  <c r="AF173" i="1" a="1"/>
  <c r="AF173" i="1" s="1"/>
  <c r="M173" i="1"/>
  <c r="L173" i="1"/>
  <c r="AE173" i="1" a="1"/>
  <c r="AE173" i="1" s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P173" i="1"/>
  <c r="BQ173" i="1"/>
  <c r="BR173" i="1"/>
  <c r="BS173" i="1"/>
  <c r="BT173" i="1"/>
  <c r="BU173" i="1"/>
  <c r="BV173" i="1"/>
  <c r="BW173" i="1"/>
  <c r="BX173" i="1"/>
  <c r="BY173" i="1"/>
  <c r="BZ173" i="1"/>
  <c r="CA173" i="1"/>
  <c r="CE173" i="1"/>
  <c r="DD173" i="1"/>
  <c r="DE173" i="1"/>
  <c r="DF173" i="1"/>
  <c r="DG173" i="1"/>
  <c r="DH173" i="1"/>
  <c r="DI173" i="1"/>
  <c r="DJ173" i="1"/>
  <c r="DK173" i="1"/>
  <c r="DL173" i="1"/>
  <c r="DM173" i="1"/>
  <c r="AD174" i="1" a="1"/>
  <c r="AD174" i="1" s="1"/>
  <c r="AE174" i="1" a="1"/>
  <c r="AE174" i="1" s="1"/>
  <c r="AF174" i="1" a="1"/>
  <c r="AF174" i="1" s="1"/>
  <c r="M174" i="1"/>
  <c r="AH174" i="1" a="1"/>
  <c r="AH174" i="1" s="1"/>
  <c r="K174" i="1"/>
  <c r="N174" i="1"/>
  <c r="AG174" i="1" a="1"/>
  <c r="AG174" i="1" s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P174" i="1"/>
  <c r="BQ174" i="1"/>
  <c r="BR174" i="1"/>
  <c r="BS174" i="1"/>
  <c r="BT174" i="1"/>
  <c r="BU174" i="1"/>
  <c r="BV174" i="1"/>
  <c r="BW174" i="1"/>
  <c r="BX174" i="1"/>
  <c r="BY174" i="1"/>
  <c r="BZ174" i="1"/>
  <c r="CA174" i="1"/>
  <c r="CJ174" i="1"/>
  <c r="CP174" i="1" s="1"/>
  <c r="DD174" i="1"/>
  <c r="DE174" i="1"/>
  <c r="DF174" i="1"/>
  <c r="DG174" i="1"/>
  <c r="DH174" i="1"/>
  <c r="DI174" i="1"/>
  <c r="DJ174" i="1"/>
  <c r="DK174" i="1"/>
  <c r="DL174" i="1"/>
  <c r="DM174" i="1"/>
  <c r="I175" i="1"/>
  <c r="AF175" i="1" a="1"/>
  <c r="AF175" i="1" s="1"/>
  <c r="CL175" i="1"/>
  <c r="CR175" i="1" s="1"/>
  <c r="AH175" i="1" a="1"/>
  <c r="AH175" i="1" s="1"/>
  <c r="L175" i="1"/>
  <c r="AC175" i="1" a="1"/>
  <c r="AC175" i="1" s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P175" i="1"/>
  <c r="BQ175" i="1"/>
  <c r="BR175" i="1"/>
  <c r="BS175" i="1"/>
  <c r="BT175" i="1"/>
  <c r="BU175" i="1"/>
  <c r="BV175" i="1"/>
  <c r="BW175" i="1"/>
  <c r="BX175" i="1"/>
  <c r="BY175" i="1"/>
  <c r="BZ175" i="1"/>
  <c r="CA175" i="1"/>
  <c r="CK175" i="1"/>
  <c r="CQ175" i="1" s="1"/>
  <c r="DD175" i="1"/>
  <c r="DE175" i="1"/>
  <c r="DF175" i="1"/>
  <c r="DG175" i="1"/>
  <c r="DH175" i="1"/>
  <c r="DI175" i="1"/>
  <c r="DJ175" i="1"/>
  <c r="DK175" i="1"/>
  <c r="DL175" i="1"/>
  <c r="DM175" i="1"/>
  <c r="CH176" i="1"/>
  <c r="CN176" i="1" s="1"/>
  <c r="J176" i="1"/>
  <c r="K176" i="1"/>
  <c r="CD176" i="1"/>
  <c r="N176" i="1"/>
  <c r="AD176" i="1" a="1"/>
  <c r="AD176" i="1" s="1"/>
  <c r="AH176" i="1" a="1"/>
  <c r="AH176" i="1" s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P176" i="1"/>
  <c r="BQ176" i="1"/>
  <c r="BR176" i="1"/>
  <c r="BS176" i="1"/>
  <c r="BT176" i="1"/>
  <c r="BU176" i="1"/>
  <c r="BV176" i="1"/>
  <c r="BW176" i="1"/>
  <c r="BX176" i="1"/>
  <c r="BY176" i="1"/>
  <c r="BZ176" i="1"/>
  <c r="CA176" i="1"/>
  <c r="DD176" i="1"/>
  <c r="DE176" i="1"/>
  <c r="DF176" i="1"/>
  <c r="DG176" i="1"/>
  <c r="DH176" i="1"/>
  <c r="DI176" i="1"/>
  <c r="DJ176" i="1"/>
  <c r="DK176" i="1"/>
  <c r="DL176" i="1"/>
  <c r="DM176" i="1"/>
  <c r="AC177" i="1" a="1"/>
  <c r="AC177" i="1" s="1"/>
  <c r="AA177" i="1" a="1"/>
  <c r="AA177" i="1" s="1"/>
  <c r="CJ177" i="1"/>
  <c r="CP177" i="1" s="1"/>
  <c r="AF177" i="1" a="1"/>
  <c r="AF177" i="1" s="1"/>
  <c r="M177" i="1"/>
  <c r="CL177" i="1"/>
  <c r="CR177" i="1" s="1"/>
  <c r="K177" i="1"/>
  <c r="Z177" i="1" a="1"/>
  <c r="Z177" i="1" s="1"/>
  <c r="AE177" i="1" a="1"/>
  <c r="AE177" i="1" s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P177" i="1"/>
  <c r="BQ177" i="1"/>
  <c r="BR177" i="1"/>
  <c r="BS177" i="1"/>
  <c r="BT177" i="1"/>
  <c r="BU177" i="1"/>
  <c r="BV177" i="1"/>
  <c r="BW177" i="1"/>
  <c r="BX177" i="1"/>
  <c r="BY177" i="1"/>
  <c r="BZ177" i="1"/>
  <c r="CA177" i="1"/>
  <c r="CE177" i="1"/>
  <c r="CF177" i="1"/>
  <c r="DD177" i="1"/>
  <c r="DE177" i="1"/>
  <c r="DF177" i="1"/>
  <c r="DG177" i="1"/>
  <c r="DH177" i="1"/>
  <c r="DI177" i="1"/>
  <c r="DJ177" i="1"/>
  <c r="DK177" i="1"/>
  <c r="DL177" i="1"/>
  <c r="DM177" i="1"/>
  <c r="S178" i="1"/>
  <c r="T178" i="1" s="1"/>
  <c r="AD178" i="1" a="1"/>
  <c r="AD178" i="1" s="1"/>
  <c r="AE178" i="1" a="1"/>
  <c r="AE178" i="1" s="1"/>
  <c r="CD178" i="1"/>
  <c r="AH178" i="1" a="1"/>
  <c r="AH178" i="1" s="1"/>
  <c r="K178" i="1"/>
  <c r="M178" i="1"/>
  <c r="AG178" i="1" a="1"/>
  <c r="AG178" i="1" s="1"/>
  <c r="AK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C178" i="1"/>
  <c r="CJ178" i="1"/>
  <c r="CP178" i="1" s="1"/>
  <c r="CL178" i="1"/>
  <c r="CR178" i="1" s="1"/>
  <c r="DD178" i="1"/>
  <c r="DE178" i="1"/>
  <c r="DF178" i="1"/>
  <c r="DG178" i="1"/>
  <c r="DH178" i="1"/>
  <c r="DI178" i="1"/>
  <c r="DJ178" i="1"/>
  <c r="DK178" i="1"/>
  <c r="DL178" i="1"/>
  <c r="DM178" i="1"/>
  <c r="I179" i="1"/>
  <c r="CI179" i="1"/>
  <c r="CO179" i="1" s="1"/>
  <c r="L179" i="1"/>
  <c r="CE179" i="1"/>
  <c r="AH179" i="1" a="1"/>
  <c r="AH179" i="1" s="1"/>
  <c r="AF179" i="1" a="1"/>
  <c r="AF179" i="1" s="1"/>
  <c r="AG179" i="1" a="1"/>
  <c r="AG179" i="1" s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P179" i="1"/>
  <c r="BQ179" i="1"/>
  <c r="BR179" i="1"/>
  <c r="BS179" i="1"/>
  <c r="BT179" i="1"/>
  <c r="BU179" i="1"/>
  <c r="BV179" i="1"/>
  <c r="BW179" i="1"/>
  <c r="BX179" i="1"/>
  <c r="BY179" i="1"/>
  <c r="BZ179" i="1"/>
  <c r="CA179" i="1"/>
  <c r="CK179" i="1"/>
  <c r="CQ179" i="1" s="1"/>
  <c r="DD179" i="1"/>
  <c r="DE179" i="1"/>
  <c r="DF179" i="1"/>
  <c r="DG179" i="1"/>
  <c r="DH179" i="1"/>
  <c r="DI179" i="1"/>
  <c r="DJ179" i="1"/>
  <c r="DK179" i="1"/>
  <c r="DL179" i="1"/>
  <c r="DM179" i="1"/>
  <c r="P180" i="1" a="1"/>
  <c r="P180" i="1" s="1"/>
  <c r="K180" i="1"/>
  <c r="Y180" i="1" a="1"/>
  <c r="Y180" i="1" s="1"/>
  <c r="N180" i="1"/>
  <c r="I180" i="1"/>
  <c r="J180" i="1"/>
  <c r="AD180" i="1" a="1"/>
  <c r="AD180" i="1" s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N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D180" i="1"/>
  <c r="CJ180" i="1"/>
  <c r="CP180" i="1" s="1"/>
  <c r="DD180" i="1"/>
  <c r="DE180" i="1"/>
  <c r="DF180" i="1"/>
  <c r="DG180" i="1"/>
  <c r="DH180" i="1"/>
  <c r="DI180" i="1"/>
  <c r="DJ180" i="1"/>
  <c r="DK180" i="1"/>
  <c r="DL180" i="1"/>
  <c r="DM180" i="1"/>
  <c r="AC181" i="1" a="1"/>
  <c r="AC181" i="1" s="1"/>
  <c r="AR181" i="1"/>
  <c r="AF181" i="1" a="1"/>
  <c r="AF181" i="1" s="1"/>
  <c r="M181" i="1"/>
  <c r="CL181" i="1"/>
  <c r="CR181" i="1" s="1"/>
  <c r="I181" i="1"/>
  <c r="K181" i="1"/>
  <c r="AE181" i="1" a="1"/>
  <c r="AE181" i="1" s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P181" i="1"/>
  <c r="BQ181" i="1"/>
  <c r="BR181" i="1"/>
  <c r="BS181" i="1"/>
  <c r="BT181" i="1"/>
  <c r="BU181" i="1"/>
  <c r="BV181" i="1"/>
  <c r="BW181" i="1"/>
  <c r="BX181" i="1"/>
  <c r="BY181" i="1"/>
  <c r="BZ181" i="1"/>
  <c r="CA181" i="1"/>
  <c r="CJ181" i="1"/>
  <c r="CP181" i="1" s="1"/>
  <c r="DD181" i="1"/>
  <c r="DE181" i="1"/>
  <c r="DF181" i="1"/>
  <c r="DG181" i="1"/>
  <c r="DH181" i="1"/>
  <c r="DI181" i="1"/>
  <c r="DJ181" i="1"/>
  <c r="DK181" i="1"/>
  <c r="DL181" i="1"/>
  <c r="DM181" i="1"/>
  <c r="AA182" i="1" a="1"/>
  <c r="AA182" i="1" s="1"/>
  <c r="AD182" i="1" a="1"/>
  <c r="AD182" i="1" s="1"/>
  <c r="CD182" i="1"/>
  <c r="AG182" i="1" a="1"/>
  <c r="AG182" i="1" s="1"/>
  <c r="AH182" i="1" a="1"/>
  <c r="AH182" i="1" s="1"/>
  <c r="K182" i="1"/>
  <c r="N182" i="1"/>
  <c r="AE182" i="1" a="1"/>
  <c r="AE182" i="1" s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P182" i="1"/>
  <c r="BQ182" i="1"/>
  <c r="BR182" i="1"/>
  <c r="BS182" i="1"/>
  <c r="BT182" i="1"/>
  <c r="BU182" i="1"/>
  <c r="BV182" i="1"/>
  <c r="BW182" i="1"/>
  <c r="BX182" i="1"/>
  <c r="BY182" i="1"/>
  <c r="BZ182" i="1"/>
  <c r="CA182" i="1"/>
  <c r="CL182" i="1"/>
  <c r="CR182" i="1" s="1"/>
  <c r="DD182" i="1"/>
  <c r="DE182" i="1"/>
  <c r="DF182" i="1"/>
  <c r="DG182" i="1"/>
  <c r="DH182" i="1"/>
  <c r="DI182" i="1"/>
  <c r="DJ182" i="1"/>
  <c r="DK182" i="1"/>
  <c r="DL182" i="1"/>
  <c r="DM182" i="1"/>
  <c r="L183" i="1"/>
  <c r="AH183" i="1" a="1"/>
  <c r="AH183" i="1" s="1"/>
  <c r="M183" i="1"/>
  <c r="AC183" i="1" a="1"/>
  <c r="AC183" i="1" s="1"/>
  <c r="AG183" i="1" a="1"/>
  <c r="AG183" i="1" s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L183" i="1"/>
  <c r="BP183" i="1"/>
  <c r="BQ183" i="1"/>
  <c r="BR183" i="1"/>
  <c r="BS183" i="1"/>
  <c r="BT183" i="1"/>
  <c r="BU183" i="1"/>
  <c r="BV183" i="1"/>
  <c r="BW183" i="1"/>
  <c r="BX183" i="1"/>
  <c r="BY183" i="1"/>
  <c r="BZ183" i="1"/>
  <c r="CA183" i="1"/>
  <c r="CI183" i="1"/>
  <c r="CO183" i="1" s="1"/>
  <c r="CL183" i="1"/>
  <c r="CR183" i="1" s="1"/>
  <c r="DD183" i="1"/>
  <c r="DE183" i="1"/>
  <c r="DF183" i="1"/>
  <c r="DG183" i="1"/>
  <c r="DH183" i="1"/>
  <c r="DI183" i="1"/>
  <c r="DJ183" i="1"/>
  <c r="DK183" i="1"/>
  <c r="DL183" i="1"/>
  <c r="DM183" i="1"/>
  <c r="AD184" i="1" a="1"/>
  <c r="AD184" i="1" s="1"/>
  <c r="AE184" i="1" a="1"/>
  <c r="AE184" i="1" s="1"/>
  <c r="BM184" i="1"/>
  <c r="N184" i="1"/>
  <c r="I184" i="1"/>
  <c r="AC184" i="1" a="1"/>
  <c r="AC184" i="1" s="1"/>
  <c r="AH184" i="1" a="1"/>
  <c r="AH184" i="1" s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P184" i="1"/>
  <c r="BQ184" i="1"/>
  <c r="BR184" i="1"/>
  <c r="BS184" i="1"/>
  <c r="BT184" i="1"/>
  <c r="BU184" i="1"/>
  <c r="BV184" i="1"/>
  <c r="BW184" i="1"/>
  <c r="BX184" i="1"/>
  <c r="BY184" i="1"/>
  <c r="BZ184" i="1"/>
  <c r="CA184" i="1"/>
  <c r="DD184" i="1"/>
  <c r="DE184" i="1"/>
  <c r="DF184" i="1"/>
  <c r="DG184" i="1"/>
  <c r="DH184" i="1"/>
  <c r="DI184" i="1"/>
  <c r="DJ184" i="1"/>
  <c r="DK184" i="1"/>
  <c r="DL184" i="1"/>
  <c r="DM184" i="1"/>
  <c r="AC185" i="1" a="1"/>
  <c r="AC185" i="1" s="1"/>
  <c r="CH185" i="1"/>
  <c r="CN185" i="1" s="1"/>
  <c r="CD185" i="1"/>
  <c r="AF185" i="1" a="1"/>
  <c r="AF185" i="1" s="1"/>
  <c r="M185" i="1"/>
  <c r="L185" i="1"/>
  <c r="AE185" i="1" a="1"/>
  <c r="AE185" i="1" s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P185" i="1"/>
  <c r="BQ185" i="1"/>
  <c r="BR185" i="1"/>
  <c r="BS185" i="1"/>
  <c r="BT185" i="1"/>
  <c r="BU185" i="1"/>
  <c r="BV185" i="1"/>
  <c r="BW185" i="1"/>
  <c r="BX185" i="1"/>
  <c r="BY185" i="1"/>
  <c r="BZ185" i="1"/>
  <c r="CA185" i="1"/>
  <c r="CE185" i="1"/>
  <c r="CJ185" i="1"/>
  <c r="CP185" i="1" s="1"/>
  <c r="DD185" i="1"/>
  <c r="DE185" i="1"/>
  <c r="DF185" i="1"/>
  <c r="DG185" i="1"/>
  <c r="DH185" i="1"/>
  <c r="DI185" i="1"/>
  <c r="DJ185" i="1"/>
  <c r="DK185" i="1"/>
  <c r="DL185" i="1"/>
  <c r="DM185" i="1"/>
  <c r="AK186" i="1"/>
  <c r="AD186" i="1" a="1"/>
  <c r="AD186" i="1" s="1"/>
  <c r="K186" i="1"/>
  <c r="AG186" i="1" a="1"/>
  <c r="AG186" i="1" s="1"/>
  <c r="AH186" i="1" a="1"/>
  <c r="AH186" i="1" s="1"/>
  <c r="J186" i="1"/>
  <c r="AE186" i="1" a="1"/>
  <c r="AE186" i="1" s="1"/>
  <c r="AF186" i="1" a="1"/>
  <c r="AF186" i="1" s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J186" i="1"/>
  <c r="CP186" i="1" s="1"/>
  <c r="DD186" i="1"/>
  <c r="DE186" i="1"/>
  <c r="DF186" i="1"/>
  <c r="DG186" i="1"/>
  <c r="DH186" i="1"/>
  <c r="DI186" i="1"/>
  <c r="DJ186" i="1"/>
  <c r="DK186" i="1"/>
  <c r="DL186" i="1"/>
  <c r="DM186" i="1"/>
  <c r="M187" i="1"/>
  <c r="L187" i="1"/>
  <c r="AC187" i="1" a="1"/>
  <c r="AC187" i="1" s="1"/>
  <c r="AF187" i="1" a="1"/>
  <c r="AF187" i="1" s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I187" i="1"/>
  <c r="CO187" i="1" s="1"/>
  <c r="DD187" i="1"/>
  <c r="DE187" i="1"/>
  <c r="DF187" i="1"/>
  <c r="DG187" i="1"/>
  <c r="DH187" i="1"/>
  <c r="DI187" i="1"/>
  <c r="DJ187" i="1"/>
  <c r="DK187" i="1"/>
  <c r="DL187" i="1"/>
  <c r="DM187" i="1"/>
  <c r="AD188" i="1" a="1"/>
  <c r="AD188" i="1" s="1"/>
  <c r="AE188" i="1" a="1"/>
  <c r="AE188" i="1" s="1"/>
  <c r="BN188" i="1"/>
  <c r="N188" i="1"/>
  <c r="I188" i="1"/>
  <c r="J188" i="1"/>
  <c r="AC188" i="1" a="1"/>
  <c r="AC188" i="1" s="1"/>
  <c r="AH188" i="1" a="1"/>
  <c r="AH188" i="1" s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C188" i="1"/>
  <c r="CH188" i="1"/>
  <c r="CN188" i="1" s="1"/>
  <c r="CI188" i="1"/>
  <c r="CO188" i="1" s="1"/>
  <c r="DD188" i="1"/>
  <c r="DE188" i="1"/>
  <c r="DF188" i="1"/>
  <c r="DG188" i="1"/>
  <c r="DH188" i="1"/>
  <c r="DI188" i="1"/>
  <c r="DJ188" i="1"/>
  <c r="DK188" i="1"/>
  <c r="DL188" i="1"/>
  <c r="DM188" i="1"/>
  <c r="AC189" i="1" a="1"/>
  <c r="AC189" i="1" s="1"/>
  <c r="K189" i="1"/>
  <c r="AF189" i="1" a="1"/>
  <c r="AF189" i="1" s="1"/>
  <c r="M189" i="1"/>
  <c r="L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E189" i="1"/>
  <c r="CH189" i="1"/>
  <c r="DD189" i="1"/>
  <c r="DE189" i="1"/>
  <c r="DF189" i="1"/>
  <c r="DG189" i="1"/>
  <c r="DH189" i="1"/>
  <c r="DI189" i="1"/>
  <c r="DJ189" i="1"/>
  <c r="DK189" i="1"/>
  <c r="DL189" i="1"/>
  <c r="DM189" i="1"/>
  <c r="S190" i="1"/>
  <c r="T190" i="1" s="1"/>
  <c r="AD190" i="1" a="1"/>
  <c r="AD190" i="1" s="1"/>
  <c r="AE190" i="1" a="1"/>
  <c r="AE190" i="1" s="1"/>
  <c r="AF190" i="1" a="1"/>
  <c r="AF190" i="1" s="1"/>
  <c r="AG190" i="1" a="1"/>
  <c r="AG190" i="1" s="1"/>
  <c r="AH190" i="1" a="1"/>
  <c r="AH190" i="1" s="1"/>
  <c r="J190" i="1"/>
  <c r="M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M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F190" i="1"/>
  <c r="DD190" i="1"/>
  <c r="DE190" i="1"/>
  <c r="DF190" i="1"/>
  <c r="DG190" i="1"/>
  <c r="DH190" i="1"/>
  <c r="DI190" i="1"/>
  <c r="DJ190" i="1"/>
  <c r="DK190" i="1"/>
  <c r="DL190" i="1"/>
  <c r="DM190" i="1"/>
  <c r="AD191" i="1" a="1"/>
  <c r="AD191" i="1" s="1"/>
  <c r="K191" i="1"/>
  <c r="AF191" i="1" a="1"/>
  <c r="AF191" i="1" s="1"/>
  <c r="CL191" i="1"/>
  <c r="CR191" i="1" s="1"/>
  <c r="L191" i="1"/>
  <c r="M191" i="1"/>
  <c r="S191" i="1"/>
  <c r="T191" i="1" s="1"/>
  <c r="AC191" i="1" a="1"/>
  <c r="AC191" i="1" s="1"/>
  <c r="AG191" i="1" a="1"/>
  <c r="AG191" i="1" s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E191" i="1"/>
  <c r="CK191" i="1"/>
  <c r="CQ191" i="1" s="1"/>
  <c r="DD191" i="1"/>
  <c r="DE191" i="1"/>
  <c r="DF191" i="1"/>
  <c r="DG191" i="1"/>
  <c r="DH191" i="1"/>
  <c r="DI191" i="1"/>
  <c r="DJ191" i="1"/>
  <c r="DK191" i="1"/>
  <c r="DL191" i="1"/>
  <c r="DM191" i="1"/>
  <c r="I192" i="1"/>
  <c r="BL192" i="1"/>
  <c r="N192" i="1"/>
  <c r="AC192" i="1" a="1"/>
  <c r="AC192" i="1" s="1"/>
  <c r="AH192" i="1" a="1"/>
  <c r="AH192" i="1" s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P192" i="1"/>
  <c r="BQ192" i="1"/>
  <c r="BR192" i="1"/>
  <c r="BS192" i="1"/>
  <c r="BT192" i="1"/>
  <c r="BU192" i="1"/>
  <c r="BV192" i="1"/>
  <c r="BW192" i="1"/>
  <c r="BX192" i="1"/>
  <c r="BY192" i="1"/>
  <c r="BZ192" i="1"/>
  <c r="CA192" i="1"/>
  <c r="CC192" i="1"/>
  <c r="DD192" i="1"/>
  <c r="DE192" i="1"/>
  <c r="DF192" i="1"/>
  <c r="DG192" i="1"/>
  <c r="DH192" i="1"/>
  <c r="DI192" i="1"/>
  <c r="DJ192" i="1"/>
  <c r="DK192" i="1"/>
  <c r="DL192" i="1"/>
  <c r="DM192" i="1"/>
  <c r="Y193" i="1" a="1"/>
  <c r="Y193" i="1" s="1"/>
  <c r="CD193" i="1"/>
  <c r="CL193" i="1"/>
  <c r="CR193" i="1" s="1"/>
  <c r="K193" i="1"/>
  <c r="L193" i="1"/>
  <c r="N193" i="1"/>
  <c r="AE193" i="1" a="1"/>
  <c r="AE193" i="1" s="1"/>
  <c r="AF193" i="1" a="1"/>
  <c r="AF193" i="1" s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N193" i="1"/>
  <c r="BO193" i="1"/>
  <c r="BP193" i="1"/>
  <c r="BQ193" i="1"/>
  <c r="BR193" i="1"/>
  <c r="BS193" i="1"/>
  <c r="BT193" i="1"/>
  <c r="BU193" i="1"/>
  <c r="BV193" i="1"/>
  <c r="BW193" i="1"/>
  <c r="BX193" i="1"/>
  <c r="BY193" i="1"/>
  <c r="BZ193" i="1"/>
  <c r="CA193" i="1"/>
  <c r="CC193" i="1"/>
  <c r="CE193" i="1"/>
  <c r="CF193" i="1"/>
  <c r="CJ193" i="1"/>
  <c r="CP193" i="1" s="1"/>
  <c r="DD193" i="1"/>
  <c r="DE193" i="1"/>
  <c r="DF193" i="1"/>
  <c r="DG193" i="1"/>
  <c r="DH193" i="1"/>
  <c r="DI193" i="1"/>
  <c r="DJ193" i="1"/>
  <c r="DK193" i="1"/>
  <c r="DL193" i="1"/>
  <c r="DM193" i="1"/>
  <c r="AO194" i="1"/>
  <c r="AD194" i="1" a="1"/>
  <c r="AD194" i="1" s="1"/>
  <c r="AE194" i="1" a="1"/>
  <c r="AE194" i="1" s="1"/>
  <c r="AG194" i="1" a="1"/>
  <c r="AG194" i="1" s="1"/>
  <c r="AH194" i="1" a="1"/>
  <c r="AH194" i="1" s="1"/>
  <c r="K194" i="1"/>
  <c r="M194" i="1"/>
  <c r="N194" i="1"/>
  <c r="AF194" i="1" a="1"/>
  <c r="AF194" i="1" s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P194" i="1"/>
  <c r="BQ194" i="1"/>
  <c r="BR194" i="1"/>
  <c r="BS194" i="1"/>
  <c r="BT194" i="1"/>
  <c r="BU194" i="1"/>
  <c r="BV194" i="1"/>
  <c r="BW194" i="1"/>
  <c r="BX194" i="1"/>
  <c r="BY194" i="1"/>
  <c r="BZ194" i="1"/>
  <c r="CA194" i="1"/>
  <c r="CE194" i="1"/>
  <c r="CL194" i="1"/>
  <c r="CR194" i="1" s="1"/>
  <c r="DD194" i="1"/>
  <c r="DE194" i="1"/>
  <c r="DF194" i="1"/>
  <c r="DG194" i="1"/>
  <c r="DH194" i="1"/>
  <c r="DI194" i="1"/>
  <c r="DJ194" i="1"/>
  <c r="DK194" i="1"/>
  <c r="DL194" i="1"/>
  <c r="DM194" i="1"/>
  <c r="AC195" i="1" a="1"/>
  <c r="AC195" i="1" s="1"/>
  <c r="V195" i="1" a="1"/>
  <c r="V195" i="1" s="1"/>
  <c r="W195" i="1" s="1"/>
  <c r="CI195" i="1"/>
  <c r="CO195" i="1" s="1"/>
  <c r="CE195" i="1"/>
  <c r="AA195" i="1" a="1"/>
  <c r="AA195" i="1" s="1"/>
  <c r="J195" i="1"/>
  <c r="K195" i="1"/>
  <c r="M195" i="1"/>
  <c r="AD195" i="1" a="1"/>
  <c r="AD195" i="1" s="1"/>
  <c r="AF195" i="1" a="1"/>
  <c r="AF195" i="1" s="1"/>
  <c r="AG195" i="1" a="1"/>
  <c r="AG195" i="1" s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P195" i="1"/>
  <c r="BQ195" i="1"/>
  <c r="BR195" i="1"/>
  <c r="BS195" i="1"/>
  <c r="BT195" i="1"/>
  <c r="BU195" i="1"/>
  <c r="BV195" i="1"/>
  <c r="BW195" i="1"/>
  <c r="BX195" i="1"/>
  <c r="BY195" i="1"/>
  <c r="BZ195" i="1"/>
  <c r="CA195" i="1"/>
  <c r="CB195" i="1"/>
  <c r="DD195" i="1"/>
  <c r="DE195" i="1"/>
  <c r="DF195" i="1"/>
  <c r="DG195" i="1"/>
  <c r="DH195" i="1"/>
  <c r="DI195" i="1"/>
  <c r="DJ195" i="1"/>
  <c r="DK195" i="1"/>
  <c r="DL195" i="1"/>
  <c r="DM195" i="1"/>
  <c r="Y196" i="1" a="1"/>
  <c r="Y196" i="1" s="1"/>
  <c r="CI196" i="1"/>
  <c r="CO196" i="1" s="1"/>
  <c r="L196" i="1"/>
  <c r="AG196" i="1" a="1"/>
  <c r="AG196" i="1" s="1"/>
  <c r="CF196" i="1"/>
  <c r="I196" i="1"/>
  <c r="P196" i="1" a="1"/>
  <c r="P196" i="1" s="1"/>
  <c r="Q196" i="1" s="1"/>
  <c r="AC196" i="1" a="1"/>
  <c r="AC196" i="1" s="1"/>
  <c r="AH196" i="1" a="1"/>
  <c r="AH196" i="1" s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P196" i="1"/>
  <c r="BQ196" i="1"/>
  <c r="BR196" i="1"/>
  <c r="BS196" i="1"/>
  <c r="BT196" i="1"/>
  <c r="BU196" i="1"/>
  <c r="BV196" i="1"/>
  <c r="BW196" i="1"/>
  <c r="BX196" i="1"/>
  <c r="BY196" i="1"/>
  <c r="BZ196" i="1"/>
  <c r="CA196" i="1"/>
  <c r="CL196" i="1"/>
  <c r="CR196" i="1" s="1"/>
  <c r="DD196" i="1"/>
  <c r="DE196" i="1"/>
  <c r="DF196" i="1"/>
  <c r="DG196" i="1"/>
  <c r="DH196" i="1"/>
  <c r="DI196" i="1"/>
  <c r="DJ196" i="1"/>
  <c r="DK196" i="1"/>
  <c r="DL196" i="1"/>
  <c r="DM196" i="1"/>
  <c r="S197" i="1"/>
  <c r="T197" i="1" s="1"/>
  <c r="CJ197" i="1"/>
  <c r="CP197" i="1" s="1"/>
  <c r="I197" i="1"/>
  <c r="K197" i="1"/>
  <c r="L197" i="1"/>
  <c r="AD197" i="1" a="1"/>
  <c r="AD197" i="1" s="1"/>
  <c r="AE197" i="1" a="1"/>
  <c r="AE197" i="1" s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N197" i="1"/>
  <c r="BP197" i="1"/>
  <c r="BQ197" i="1"/>
  <c r="BR197" i="1"/>
  <c r="BS197" i="1"/>
  <c r="BT197" i="1"/>
  <c r="BU197" i="1"/>
  <c r="BV197" i="1"/>
  <c r="BW197" i="1"/>
  <c r="BX197" i="1"/>
  <c r="BY197" i="1"/>
  <c r="BZ197" i="1"/>
  <c r="CA197" i="1"/>
  <c r="CD197" i="1"/>
  <c r="DD197" i="1"/>
  <c r="DE197" i="1"/>
  <c r="DF197" i="1"/>
  <c r="DG197" i="1"/>
  <c r="DH197" i="1"/>
  <c r="DI197" i="1"/>
  <c r="DJ197" i="1"/>
  <c r="DK197" i="1"/>
  <c r="DL197" i="1"/>
  <c r="DM197" i="1"/>
  <c r="AO198" i="1"/>
  <c r="AD198" i="1" a="1"/>
  <c r="AD198" i="1" s="1"/>
  <c r="CC198" i="1"/>
  <c r="M198" i="1"/>
  <c r="AH198" i="1" a="1"/>
  <c r="AH198" i="1" s="1"/>
  <c r="J198" i="1"/>
  <c r="K198" i="1"/>
  <c r="N198" i="1"/>
  <c r="AE198" i="1" a="1"/>
  <c r="AE198" i="1" s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P198" i="1"/>
  <c r="BQ198" i="1"/>
  <c r="BR198" i="1"/>
  <c r="BS198" i="1"/>
  <c r="BT198" i="1"/>
  <c r="BU198" i="1"/>
  <c r="BV198" i="1"/>
  <c r="BW198" i="1"/>
  <c r="BX198" i="1"/>
  <c r="BY198" i="1"/>
  <c r="BZ198" i="1"/>
  <c r="CA198" i="1"/>
  <c r="CE198" i="1"/>
  <c r="CJ198" i="1"/>
  <c r="CP198" i="1" s="1"/>
  <c r="DD198" i="1"/>
  <c r="DE198" i="1"/>
  <c r="DF198" i="1"/>
  <c r="DG198" i="1"/>
  <c r="DH198" i="1"/>
  <c r="DI198" i="1"/>
  <c r="DJ198" i="1"/>
  <c r="DK198" i="1"/>
  <c r="DL198" i="1"/>
  <c r="DM198" i="1"/>
  <c r="AC199" i="1" a="1"/>
  <c r="AC199" i="1" s="1"/>
  <c r="AE199" i="1" a="1"/>
  <c r="AE199" i="1" s="1"/>
  <c r="AF199" i="1" a="1"/>
  <c r="AF199" i="1" s="1"/>
  <c r="AG199" i="1" a="1"/>
  <c r="AG199" i="1" s="1"/>
  <c r="AH199" i="1" a="1"/>
  <c r="AH199" i="1" s="1"/>
  <c r="L199" i="1"/>
  <c r="M199" i="1"/>
  <c r="AD199" i="1" a="1"/>
  <c r="AD199" i="1" s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P199" i="1"/>
  <c r="BQ199" i="1"/>
  <c r="BR199" i="1"/>
  <c r="BS199" i="1"/>
  <c r="BT199" i="1"/>
  <c r="BU199" i="1"/>
  <c r="BV199" i="1"/>
  <c r="BW199" i="1"/>
  <c r="BX199" i="1"/>
  <c r="BY199" i="1"/>
  <c r="BZ199" i="1"/>
  <c r="CA199" i="1"/>
  <c r="CE199" i="1"/>
  <c r="DD199" i="1"/>
  <c r="DE199" i="1"/>
  <c r="DF199" i="1"/>
  <c r="DG199" i="1"/>
  <c r="DH199" i="1"/>
  <c r="DI199" i="1"/>
  <c r="DJ199" i="1"/>
  <c r="DK199" i="1"/>
  <c r="DL199" i="1"/>
  <c r="DM199" i="1"/>
  <c r="AK200" i="1"/>
  <c r="AE200" i="1" a="1"/>
  <c r="AE200" i="1" s="1"/>
  <c r="CD200" i="1"/>
  <c r="M200" i="1"/>
  <c r="J200" i="1"/>
  <c r="N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P200" i="1"/>
  <c r="BQ200" i="1"/>
  <c r="BR200" i="1"/>
  <c r="BS200" i="1"/>
  <c r="BT200" i="1"/>
  <c r="BU200" i="1"/>
  <c r="BV200" i="1"/>
  <c r="BW200" i="1"/>
  <c r="BX200" i="1"/>
  <c r="BY200" i="1"/>
  <c r="BZ200" i="1"/>
  <c r="CA200" i="1"/>
  <c r="DD200" i="1"/>
  <c r="DE200" i="1"/>
  <c r="DF200" i="1"/>
  <c r="DG200" i="1"/>
  <c r="DH200" i="1"/>
  <c r="DI200" i="1"/>
  <c r="DJ200" i="1"/>
  <c r="DK200" i="1"/>
  <c r="DL200" i="1"/>
  <c r="DM200" i="1"/>
  <c r="S201" i="1"/>
  <c r="T201" i="1" s="1"/>
  <c r="K201" i="1"/>
  <c r="AG201" i="1" a="1"/>
  <c r="AG201" i="1" s="1"/>
  <c r="AH201" i="1" a="1"/>
  <c r="AH201" i="1" s="1"/>
  <c r="L201" i="1"/>
  <c r="M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P201" i="1"/>
  <c r="BQ201" i="1"/>
  <c r="BR201" i="1"/>
  <c r="BS201" i="1"/>
  <c r="BT201" i="1"/>
  <c r="BU201" i="1"/>
  <c r="BV201" i="1"/>
  <c r="BW201" i="1"/>
  <c r="BX201" i="1"/>
  <c r="BY201" i="1"/>
  <c r="BZ201" i="1"/>
  <c r="CA201" i="1"/>
  <c r="CB201" i="1"/>
  <c r="CE201" i="1"/>
  <c r="CJ201" i="1"/>
  <c r="CP201" i="1" s="1"/>
  <c r="DD201" i="1"/>
  <c r="DE201" i="1"/>
  <c r="DF201" i="1"/>
  <c r="DG201" i="1"/>
  <c r="DH201" i="1"/>
  <c r="DI201" i="1"/>
  <c r="DJ201" i="1"/>
  <c r="DK201" i="1"/>
  <c r="DL201" i="1"/>
  <c r="DM201" i="1"/>
  <c r="AE202" i="1" a="1"/>
  <c r="AE202" i="1" s="1"/>
  <c r="J202" i="1"/>
  <c r="N202" i="1"/>
  <c r="AD202" i="1" a="1"/>
  <c r="AD202" i="1" s="1"/>
  <c r="AH202" i="1" a="1"/>
  <c r="AH202" i="1" s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P202" i="1"/>
  <c r="BQ202" i="1"/>
  <c r="BR202" i="1"/>
  <c r="BS202" i="1"/>
  <c r="BT202" i="1"/>
  <c r="BU202" i="1"/>
  <c r="BV202" i="1"/>
  <c r="BW202" i="1"/>
  <c r="BX202" i="1"/>
  <c r="BY202" i="1"/>
  <c r="BZ202" i="1"/>
  <c r="CA202" i="1"/>
  <c r="CC202" i="1"/>
  <c r="CH202" i="1"/>
  <c r="DD202" i="1"/>
  <c r="DE202" i="1"/>
  <c r="DF202" i="1"/>
  <c r="DG202" i="1"/>
  <c r="DH202" i="1"/>
  <c r="DI202" i="1"/>
  <c r="DJ202" i="1"/>
  <c r="DK202" i="1"/>
  <c r="DL202" i="1"/>
  <c r="DM202" i="1"/>
  <c r="AO203" i="1"/>
  <c r="L203" i="1"/>
  <c r="CF203" i="1"/>
  <c r="AH203" i="1" a="1"/>
  <c r="AH203" i="1" s="1"/>
  <c r="I203" i="1"/>
  <c r="AC203" i="1" a="1"/>
  <c r="AC203" i="1" s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P203" i="1"/>
  <c r="BQ203" i="1"/>
  <c r="BR203" i="1"/>
  <c r="BS203" i="1"/>
  <c r="BT203" i="1"/>
  <c r="BU203" i="1"/>
  <c r="BV203" i="1"/>
  <c r="BW203" i="1"/>
  <c r="BX203" i="1"/>
  <c r="BY203" i="1"/>
  <c r="BZ203" i="1"/>
  <c r="CA203" i="1"/>
  <c r="CE203" i="1"/>
  <c r="DD203" i="1"/>
  <c r="DE203" i="1"/>
  <c r="DF203" i="1"/>
  <c r="DG203" i="1"/>
  <c r="DH203" i="1"/>
  <c r="DI203" i="1"/>
  <c r="DJ203" i="1"/>
  <c r="DK203" i="1"/>
  <c r="DL203" i="1"/>
  <c r="DM203" i="1"/>
  <c r="Y204" i="1" a="1"/>
  <c r="Y204" i="1" s="1"/>
  <c r="K204" i="1"/>
  <c r="AF204" i="1" a="1"/>
  <c r="AF204" i="1" s="1"/>
  <c r="CK204" i="1"/>
  <c r="CQ204" i="1" s="1"/>
  <c r="CL204" i="1"/>
  <c r="CR204" i="1" s="1"/>
  <c r="AE204" i="1" a="1"/>
  <c r="AE204" i="1" s="1"/>
  <c r="AH204" i="1" a="1"/>
  <c r="AH204" i="1" s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P204" i="1"/>
  <c r="BQ204" i="1"/>
  <c r="BR204" i="1"/>
  <c r="BS204" i="1"/>
  <c r="BT204" i="1"/>
  <c r="BU204" i="1"/>
  <c r="BV204" i="1"/>
  <c r="BW204" i="1"/>
  <c r="BX204" i="1"/>
  <c r="BY204" i="1"/>
  <c r="BZ204" i="1"/>
  <c r="CA204" i="1"/>
  <c r="CF204" i="1"/>
  <c r="CJ204" i="1"/>
  <c r="CP204" i="1" s="1"/>
  <c r="DD204" i="1"/>
  <c r="DE204" i="1"/>
  <c r="DF204" i="1"/>
  <c r="DG204" i="1"/>
  <c r="DH204" i="1"/>
  <c r="DI204" i="1"/>
  <c r="DJ204" i="1"/>
  <c r="DK204" i="1"/>
  <c r="DL204" i="1"/>
  <c r="DM204" i="1"/>
  <c r="AC205" i="1" a="1"/>
  <c r="AC205" i="1" s="1"/>
  <c r="CC205" i="1"/>
  <c r="AF205" i="1" a="1"/>
  <c r="AF205" i="1" s="1"/>
  <c r="AG205" i="1" a="1"/>
  <c r="AG205" i="1" s="1"/>
  <c r="AH205" i="1" a="1"/>
  <c r="AH205" i="1" s="1"/>
  <c r="M205" i="1"/>
  <c r="N205" i="1"/>
  <c r="V205" i="1" a="1"/>
  <c r="V205" i="1" s="1"/>
  <c r="W205" i="1" s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P205" i="1"/>
  <c r="BQ205" i="1"/>
  <c r="BR205" i="1"/>
  <c r="BS205" i="1"/>
  <c r="BT205" i="1"/>
  <c r="BU205" i="1"/>
  <c r="BV205" i="1"/>
  <c r="BW205" i="1"/>
  <c r="BX205" i="1"/>
  <c r="BY205" i="1"/>
  <c r="BZ205" i="1"/>
  <c r="CA205" i="1"/>
  <c r="CL205" i="1"/>
  <c r="CR205" i="1" s="1"/>
  <c r="DD205" i="1"/>
  <c r="DE205" i="1"/>
  <c r="DF205" i="1"/>
  <c r="DG205" i="1"/>
  <c r="DH205" i="1"/>
  <c r="DI205" i="1"/>
  <c r="DJ205" i="1"/>
  <c r="DK205" i="1"/>
  <c r="DL205" i="1"/>
  <c r="DM205" i="1"/>
  <c r="CH206" i="1"/>
  <c r="AE206" i="1" a="1"/>
  <c r="AE206" i="1" s="1"/>
  <c r="AN206" i="1"/>
  <c r="J206" i="1"/>
  <c r="K206" i="1"/>
  <c r="M206" i="1"/>
  <c r="AC206" i="1" a="1"/>
  <c r="AC206" i="1" s="1"/>
  <c r="AD206" i="1" a="1"/>
  <c r="AD206" i="1" s="1"/>
  <c r="AF206" i="1" a="1"/>
  <c r="AF206" i="1" s="1"/>
  <c r="AG206" i="1" a="1"/>
  <c r="AG206" i="1" s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P206" i="1"/>
  <c r="BQ206" i="1"/>
  <c r="BR206" i="1"/>
  <c r="BS206" i="1"/>
  <c r="BT206" i="1"/>
  <c r="BU206" i="1"/>
  <c r="BV206" i="1"/>
  <c r="BW206" i="1"/>
  <c r="BX206" i="1"/>
  <c r="BY206" i="1"/>
  <c r="BZ206" i="1"/>
  <c r="CA206" i="1"/>
  <c r="CB206" i="1"/>
  <c r="CD206" i="1"/>
  <c r="CI206" i="1"/>
  <c r="CO206" i="1" s="1"/>
  <c r="CK206" i="1"/>
  <c r="CQ206" i="1" s="1"/>
  <c r="DD206" i="1"/>
  <c r="DE206" i="1"/>
  <c r="DF206" i="1"/>
  <c r="DG206" i="1"/>
  <c r="DH206" i="1"/>
  <c r="DI206" i="1"/>
  <c r="DJ206" i="1"/>
  <c r="DK206" i="1"/>
  <c r="DL206" i="1"/>
  <c r="DM206" i="1"/>
  <c r="AP207" i="1"/>
  <c r="AH207" i="1" a="1"/>
  <c r="AH207" i="1" s="1"/>
  <c r="I207" i="1"/>
  <c r="J207" i="1"/>
  <c r="M207" i="1"/>
  <c r="AC207" i="1" a="1"/>
  <c r="AC207" i="1" s="1"/>
  <c r="AG207" i="1" a="1"/>
  <c r="AG207" i="1" s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P207" i="1"/>
  <c r="BQ207" i="1"/>
  <c r="BR207" i="1"/>
  <c r="BS207" i="1"/>
  <c r="BT207" i="1"/>
  <c r="BU207" i="1"/>
  <c r="BV207" i="1"/>
  <c r="BW207" i="1"/>
  <c r="BX207" i="1"/>
  <c r="BY207" i="1"/>
  <c r="BZ207" i="1"/>
  <c r="CA207" i="1"/>
  <c r="CI207" i="1"/>
  <c r="CO207" i="1" s="1"/>
  <c r="DD207" i="1"/>
  <c r="DE207" i="1"/>
  <c r="DF207" i="1"/>
  <c r="DG207" i="1"/>
  <c r="DH207" i="1"/>
  <c r="DI207" i="1"/>
  <c r="DJ207" i="1"/>
  <c r="DK207" i="1"/>
  <c r="DL207" i="1"/>
  <c r="DM207" i="1"/>
  <c r="P208" i="1" a="1"/>
  <c r="P208" i="1" s="1"/>
  <c r="AD208" i="1" a="1"/>
  <c r="AD208" i="1" s="1"/>
  <c r="AE208" i="1" a="1"/>
  <c r="AE208" i="1" s="1"/>
  <c r="CD208" i="1"/>
  <c r="AH208" i="1" a="1"/>
  <c r="AH208" i="1" s="1"/>
  <c r="K208" i="1"/>
  <c r="L208" i="1"/>
  <c r="AF208" i="1" a="1"/>
  <c r="AF208" i="1" s="1"/>
  <c r="AQ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P208" i="1"/>
  <c r="BQ208" i="1"/>
  <c r="BR208" i="1"/>
  <c r="BS208" i="1"/>
  <c r="BT208" i="1"/>
  <c r="BU208" i="1"/>
  <c r="BV208" i="1"/>
  <c r="BW208" i="1"/>
  <c r="BX208" i="1"/>
  <c r="BY208" i="1"/>
  <c r="BZ208" i="1"/>
  <c r="CA208" i="1"/>
  <c r="CE208" i="1"/>
  <c r="CI208" i="1"/>
  <c r="CO208" i="1" s="1"/>
  <c r="CL208" i="1"/>
  <c r="CR208" i="1" s="1"/>
  <c r="DD208" i="1"/>
  <c r="DE208" i="1"/>
  <c r="DF208" i="1"/>
  <c r="DG208" i="1"/>
  <c r="DH208" i="1"/>
  <c r="DI208" i="1"/>
  <c r="DJ208" i="1"/>
  <c r="DK208" i="1"/>
  <c r="DL208" i="1"/>
  <c r="DM208" i="1"/>
  <c r="AD209" i="1" a="1"/>
  <c r="AD209" i="1" s="1"/>
  <c r="CC209" i="1"/>
  <c r="L209" i="1"/>
  <c r="J209" i="1"/>
  <c r="M209" i="1"/>
  <c r="N209" i="1"/>
  <c r="AG209" i="1" a="1"/>
  <c r="AG209" i="1" s="1"/>
  <c r="AH209" i="1" a="1"/>
  <c r="AH209" i="1" s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P209" i="1"/>
  <c r="BQ209" i="1"/>
  <c r="BR209" i="1"/>
  <c r="BS209" i="1"/>
  <c r="BT209" i="1"/>
  <c r="BU209" i="1"/>
  <c r="BV209" i="1"/>
  <c r="BW209" i="1"/>
  <c r="BX209" i="1"/>
  <c r="BY209" i="1"/>
  <c r="BZ209" i="1"/>
  <c r="CA209" i="1"/>
  <c r="CF209" i="1"/>
  <c r="DD209" i="1"/>
  <c r="DE209" i="1"/>
  <c r="DF209" i="1"/>
  <c r="DG209" i="1"/>
  <c r="DH209" i="1"/>
  <c r="DI209" i="1"/>
  <c r="DJ209" i="1"/>
  <c r="DK209" i="1"/>
  <c r="DL209" i="1"/>
  <c r="DM209" i="1"/>
  <c r="CH210" i="1"/>
  <c r="K210" i="1"/>
  <c r="L210" i="1"/>
  <c r="AG210" i="1" a="1"/>
  <c r="AG210" i="1" s="1"/>
  <c r="N210" i="1"/>
  <c r="M210" i="1"/>
  <c r="V210" i="1" a="1"/>
  <c r="V210" i="1" s="1"/>
  <c r="W210" i="1" s="1"/>
  <c r="AF210" i="1" a="1"/>
  <c r="AF210" i="1" s="1"/>
  <c r="AH210" i="1" a="1"/>
  <c r="AH210" i="1" s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P210" i="1"/>
  <c r="BQ210" i="1"/>
  <c r="BR210" i="1"/>
  <c r="BS210" i="1"/>
  <c r="BT210" i="1"/>
  <c r="BU210" i="1"/>
  <c r="BV210" i="1"/>
  <c r="BW210" i="1"/>
  <c r="BX210" i="1"/>
  <c r="BY210" i="1"/>
  <c r="BZ210" i="1"/>
  <c r="CA210" i="1"/>
  <c r="DD210" i="1"/>
  <c r="DE210" i="1"/>
  <c r="DF210" i="1"/>
  <c r="DG210" i="1"/>
  <c r="DH210" i="1"/>
  <c r="DI210" i="1"/>
  <c r="DJ210" i="1"/>
  <c r="DK210" i="1"/>
  <c r="DL210" i="1"/>
  <c r="DM210" i="1"/>
  <c r="AC211" i="1" a="1"/>
  <c r="AC211" i="1" s="1"/>
  <c r="AD211" i="1" a="1"/>
  <c r="AD211" i="1" s="1"/>
  <c r="CK211" i="1"/>
  <c r="CQ211" i="1" s="1"/>
  <c r="N211" i="1"/>
  <c r="J211" i="1"/>
  <c r="M211" i="1"/>
  <c r="AG211" i="1" a="1"/>
  <c r="AG211" i="1" s="1"/>
  <c r="AH211" i="1" a="1"/>
  <c r="AH211" i="1" s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P211" i="1"/>
  <c r="BQ211" i="1"/>
  <c r="BR211" i="1"/>
  <c r="BS211" i="1"/>
  <c r="BT211" i="1"/>
  <c r="BU211" i="1"/>
  <c r="BV211" i="1"/>
  <c r="BW211" i="1"/>
  <c r="BX211" i="1"/>
  <c r="BY211" i="1"/>
  <c r="BZ211" i="1"/>
  <c r="CA211" i="1"/>
  <c r="DD211" i="1"/>
  <c r="DE211" i="1"/>
  <c r="DF211" i="1"/>
  <c r="DG211" i="1"/>
  <c r="DH211" i="1"/>
  <c r="DI211" i="1"/>
  <c r="DJ211" i="1"/>
  <c r="DK211" i="1"/>
  <c r="DL211" i="1"/>
  <c r="DM211" i="1"/>
  <c r="I212" i="1"/>
  <c r="AD212" i="1" a="1"/>
  <c r="AD212" i="1" s="1"/>
  <c r="AE212" i="1" a="1"/>
  <c r="AE212" i="1" s="1"/>
  <c r="N212" i="1"/>
  <c r="K212" i="1"/>
  <c r="L212" i="1"/>
  <c r="AF212" i="1" a="1"/>
  <c r="AF212" i="1" s="1"/>
  <c r="AH212" i="1" a="1"/>
  <c r="AH212" i="1" s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P212" i="1"/>
  <c r="BQ212" i="1"/>
  <c r="BR212" i="1"/>
  <c r="BS212" i="1"/>
  <c r="BT212" i="1"/>
  <c r="BU212" i="1"/>
  <c r="BV212" i="1"/>
  <c r="BW212" i="1"/>
  <c r="BX212" i="1"/>
  <c r="BY212" i="1"/>
  <c r="BZ212" i="1"/>
  <c r="CA212" i="1"/>
  <c r="CL212" i="1"/>
  <c r="CR212" i="1" s="1"/>
  <c r="DD212" i="1"/>
  <c r="DE212" i="1"/>
  <c r="DF212" i="1"/>
  <c r="DG212" i="1"/>
  <c r="DH212" i="1"/>
  <c r="DI212" i="1"/>
  <c r="DJ212" i="1"/>
  <c r="DK212" i="1"/>
  <c r="DL212" i="1"/>
  <c r="DM212" i="1"/>
  <c r="AD213" i="1" a="1"/>
  <c r="AD213" i="1" s="1"/>
  <c r="AE213" i="1" a="1"/>
  <c r="AE213" i="1" s="1"/>
  <c r="AF213" i="1" a="1"/>
  <c r="AF213" i="1" s="1"/>
  <c r="CF213" i="1"/>
  <c r="M213" i="1"/>
  <c r="N213" i="1"/>
  <c r="AG213" i="1" a="1"/>
  <c r="AG213" i="1" s="1"/>
  <c r="AH213" i="1" a="1"/>
  <c r="AH213" i="1" s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P213" i="1"/>
  <c r="BQ213" i="1"/>
  <c r="BR213" i="1"/>
  <c r="BS213" i="1"/>
  <c r="BT213" i="1"/>
  <c r="BU213" i="1"/>
  <c r="BV213" i="1"/>
  <c r="BW213" i="1"/>
  <c r="BX213" i="1"/>
  <c r="BY213" i="1"/>
  <c r="BZ213" i="1"/>
  <c r="CA213" i="1"/>
  <c r="DD213" i="1"/>
  <c r="DE213" i="1"/>
  <c r="DF213" i="1"/>
  <c r="DG213" i="1"/>
  <c r="DH213" i="1"/>
  <c r="DI213" i="1"/>
  <c r="DJ213" i="1"/>
  <c r="DK213" i="1"/>
  <c r="DL213" i="1"/>
  <c r="DM213" i="1"/>
  <c r="AA214" i="1" a="1"/>
  <c r="AA214" i="1" s="1"/>
  <c r="CE214" i="1"/>
  <c r="K214" i="1"/>
  <c r="L214" i="1"/>
  <c r="AF214" i="1" a="1"/>
  <c r="AF214" i="1" s="1"/>
  <c r="AH214" i="1" a="1"/>
  <c r="AH214" i="1" s="1"/>
  <c r="AN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P214" i="1"/>
  <c r="BQ214" i="1"/>
  <c r="BR214" i="1"/>
  <c r="BS214" i="1"/>
  <c r="BT214" i="1"/>
  <c r="BU214" i="1"/>
  <c r="BV214" i="1"/>
  <c r="BW214" i="1"/>
  <c r="BX214" i="1"/>
  <c r="BY214" i="1"/>
  <c r="BZ214" i="1"/>
  <c r="CA214" i="1"/>
  <c r="CI214" i="1"/>
  <c r="CO214" i="1" s="1"/>
  <c r="DD214" i="1"/>
  <c r="DE214" i="1"/>
  <c r="DF214" i="1"/>
  <c r="DG214" i="1"/>
  <c r="DH214" i="1"/>
  <c r="DI214" i="1"/>
  <c r="DJ214" i="1"/>
  <c r="DK214" i="1"/>
  <c r="DL214" i="1"/>
  <c r="DM214" i="1"/>
  <c r="CB215" i="1"/>
  <c r="CJ215" i="1"/>
  <c r="CP215" i="1" s="1"/>
  <c r="CK215" i="1"/>
  <c r="CQ215" i="1" s="1"/>
  <c r="J215" i="1"/>
  <c r="M215" i="1"/>
  <c r="N215" i="1"/>
  <c r="AC215" i="1" a="1"/>
  <c r="AC215" i="1" s="1"/>
  <c r="AD215" i="1" a="1"/>
  <c r="AD215" i="1" s="1"/>
  <c r="AH215" i="1" a="1"/>
  <c r="AH215" i="1" s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P215" i="1"/>
  <c r="BQ215" i="1"/>
  <c r="BR215" i="1"/>
  <c r="BS215" i="1"/>
  <c r="BT215" i="1"/>
  <c r="BU215" i="1"/>
  <c r="BV215" i="1"/>
  <c r="BW215" i="1"/>
  <c r="BX215" i="1"/>
  <c r="BY215" i="1"/>
  <c r="BZ215" i="1"/>
  <c r="CA215" i="1"/>
  <c r="DD215" i="1"/>
  <c r="DE215" i="1"/>
  <c r="DF215" i="1"/>
  <c r="DG215" i="1"/>
  <c r="DH215" i="1"/>
  <c r="DI215" i="1"/>
  <c r="DJ215" i="1"/>
  <c r="DK215" i="1"/>
  <c r="DL215" i="1"/>
  <c r="DM215" i="1"/>
  <c r="S216" i="1"/>
  <c r="T216" i="1" s="1"/>
  <c r="AD216" i="1" a="1"/>
  <c r="AD216" i="1" s="1"/>
  <c r="CD216" i="1"/>
  <c r="N216" i="1"/>
  <c r="J216" i="1"/>
  <c r="K216" i="1"/>
  <c r="L216" i="1"/>
  <c r="AE216" i="1" a="1"/>
  <c r="AE216" i="1" s="1"/>
  <c r="AF216" i="1" a="1"/>
  <c r="AF216" i="1" s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P216" i="1"/>
  <c r="BQ216" i="1"/>
  <c r="BR216" i="1"/>
  <c r="BS216" i="1"/>
  <c r="BT216" i="1"/>
  <c r="BU216" i="1"/>
  <c r="BV216" i="1"/>
  <c r="BW216" i="1"/>
  <c r="BX216" i="1"/>
  <c r="BY216" i="1"/>
  <c r="BZ216" i="1"/>
  <c r="CA216" i="1"/>
  <c r="CL216" i="1"/>
  <c r="CR216" i="1" s="1"/>
  <c r="DD216" i="1"/>
  <c r="DE216" i="1"/>
  <c r="DF216" i="1"/>
  <c r="DG216" i="1"/>
  <c r="DH216" i="1"/>
  <c r="DI216" i="1"/>
  <c r="DJ216" i="1"/>
  <c r="DK216" i="1"/>
  <c r="DL216" i="1"/>
  <c r="DM216" i="1"/>
  <c r="AD217" i="1" a="1"/>
  <c r="AD217" i="1" s="1"/>
  <c r="CD217" i="1"/>
  <c r="AH217" i="1" a="1"/>
  <c r="AH217" i="1" s="1"/>
  <c r="J217" i="1"/>
  <c r="K217" i="1"/>
  <c r="M217" i="1"/>
  <c r="AE217" i="1" a="1"/>
  <c r="AE217" i="1" s="1"/>
  <c r="AG217" i="1" a="1"/>
  <c r="AG217" i="1" s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P217" i="1"/>
  <c r="BQ217" i="1"/>
  <c r="BR217" i="1"/>
  <c r="BS217" i="1"/>
  <c r="BT217" i="1"/>
  <c r="BU217" i="1"/>
  <c r="BV217" i="1"/>
  <c r="BW217" i="1"/>
  <c r="BX217" i="1"/>
  <c r="BY217" i="1"/>
  <c r="BZ217" i="1"/>
  <c r="CA217" i="1"/>
  <c r="CF217" i="1"/>
  <c r="CI217" i="1"/>
  <c r="CO217" i="1" s="1"/>
  <c r="DD217" i="1"/>
  <c r="DE217" i="1"/>
  <c r="DF217" i="1"/>
  <c r="DG217" i="1"/>
  <c r="DH217" i="1"/>
  <c r="DI217" i="1"/>
  <c r="DJ217" i="1"/>
  <c r="DK217" i="1"/>
  <c r="DL217" i="1"/>
  <c r="DM217" i="1"/>
  <c r="AC218" i="1" a="1"/>
  <c r="AC218" i="1" s="1"/>
  <c r="J218" i="1"/>
  <c r="CD218" i="1"/>
  <c r="N218" i="1"/>
  <c r="L218" i="1"/>
  <c r="AF218" i="1" a="1"/>
  <c r="AF218" i="1" s="1"/>
  <c r="AH218" i="1" a="1"/>
  <c r="AH218" i="1" s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P218" i="1"/>
  <c r="BQ218" i="1"/>
  <c r="BR218" i="1"/>
  <c r="BS218" i="1"/>
  <c r="BT218" i="1"/>
  <c r="BU218" i="1"/>
  <c r="BV218" i="1"/>
  <c r="BW218" i="1"/>
  <c r="BX218" i="1"/>
  <c r="BY218" i="1"/>
  <c r="BZ218" i="1"/>
  <c r="CA218" i="1"/>
  <c r="CB218" i="1"/>
  <c r="DD218" i="1"/>
  <c r="DE218" i="1"/>
  <c r="DF218" i="1"/>
  <c r="DG218" i="1"/>
  <c r="DH218" i="1"/>
  <c r="DI218" i="1"/>
  <c r="DJ218" i="1"/>
  <c r="DK218" i="1"/>
  <c r="DL218" i="1"/>
  <c r="DM218" i="1"/>
  <c r="AC219" i="1" a="1"/>
  <c r="AC219" i="1" s="1"/>
  <c r="AE219" i="1" a="1"/>
  <c r="AE219" i="1" s="1"/>
  <c r="CF219" i="1"/>
  <c r="I219" i="1"/>
  <c r="J219" i="1"/>
  <c r="N219" i="1"/>
  <c r="AD219" i="1" a="1"/>
  <c r="AD219" i="1" s="1"/>
  <c r="AG219" i="1" a="1"/>
  <c r="AG219" i="1" s="1"/>
  <c r="AH219" i="1" a="1"/>
  <c r="AH219" i="1" s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P219" i="1"/>
  <c r="BQ219" i="1"/>
  <c r="BR219" i="1"/>
  <c r="BS219" i="1"/>
  <c r="BT219" i="1"/>
  <c r="BU219" i="1"/>
  <c r="BV219" i="1"/>
  <c r="BW219" i="1"/>
  <c r="BX219" i="1"/>
  <c r="BY219" i="1"/>
  <c r="BZ219" i="1"/>
  <c r="CA219" i="1"/>
  <c r="CB219" i="1"/>
  <c r="CC219" i="1"/>
  <c r="CD219" i="1"/>
  <c r="DD219" i="1"/>
  <c r="DE219" i="1"/>
  <c r="DF219" i="1"/>
  <c r="DG219" i="1"/>
  <c r="DH219" i="1"/>
  <c r="DI219" i="1"/>
  <c r="DJ219" i="1"/>
  <c r="DK219" i="1"/>
  <c r="DL219" i="1"/>
  <c r="DM219" i="1"/>
  <c r="I220" i="1"/>
  <c r="CC220" i="1"/>
  <c r="AF220" i="1" a="1"/>
  <c r="AF220" i="1" s="1"/>
  <c r="J220" i="1"/>
  <c r="AD220" i="1" a="1"/>
  <c r="AD220" i="1" s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P220" i="1"/>
  <c r="BQ220" i="1"/>
  <c r="BR220" i="1"/>
  <c r="BS220" i="1"/>
  <c r="BT220" i="1"/>
  <c r="BU220" i="1"/>
  <c r="BV220" i="1"/>
  <c r="BW220" i="1"/>
  <c r="BX220" i="1"/>
  <c r="BY220" i="1"/>
  <c r="BZ220" i="1"/>
  <c r="CA220" i="1"/>
  <c r="CD220" i="1"/>
  <c r="CE220" i="1"/>
  <c r="DD220" i="1"/>
  <c r="DE220" i="1"/>
  <c r="DF220" i="1"/>
  <c r="DG220" i="1"/>
  <c r="DH220" i="1"/>
  <c r="DI220" i="1"/>
  <c r="DJ220" i="1"/>
  <c r="DK220" i="1"/>
  <c r="DL220" i="1"/>
  <c r="DM220" i="1"/>
  <c r="CB221" i="1"/>
  <c r="AD221" i="1" a="1"/>
  <c r="AD221" i="1" s="1"/>
  <c r="AE221" i="1" a="1"/>
  <c r="AE221" i="1" s="1"/>
  <c r="CE221" i="1"/>
  <c r="AH221" i="1" a="1"/>
  <c r="AH221" i="1" s="1"/>
  <c r="I221" i="1"/>
  <c r="L221" i="1"/>
  <c r="AC221" i="1" a="1"/>
  <c r="AC221" i="1" s="1"/>
  <c r="AF221" i="1" a="1"/>
  <c r="AF221" i="1" s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K221" i="1"/>
  <c r="BP221" i="1"/>
  <c r="BQ221" i="1"/>
  <c r="BR221" i="1"/>
  <c r="BS221" i="1"/>
  <c r="BT221" i="1"/>
  <c r="BU221" i="1"/>
  <c r="BV221" i="1"/>
  <c r="BW221" i="1"/>
  <c r="BX221" i="1"/>
  <c r="BY221" i="1"/>
  <c r="BZ221" i="1"/>
  <c r="CA221" i="1"/>
  <c r="CI221" i="1"/>
  <c r="CO221" i="1" s="1"/>
  <c r="DD221" i="1"/>
  <c r="DE221" i="1"/>
  <c r="DF221" i="1"/>
  <c r="DG221" i="1"/>
  <c r="DH221" i="1"/>
  <c r="DI221" i="1"/>
  <c r="DJ221" i="1"/>
  <c r="DK221" i="1"/>
  <c r="DL221" i="1"/>
  <c r="DM221" i="1"/>
  <c r="J222" i="1"/>
  <c r="AE222" i="1" a="1"/>
  <c r="AE222" i="1" s="1"/>
  <c r="M222" i="1"/>
  <c r="N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P222" i="1"/>
  <c r="BQ222" i="1"/>
  <c r="BR222" i="1"/>
  <c r="BS222" i="1"/>
  <c r="BT222" i="1"/>
  <c r="BU222" i="1"/>
  <c r="BV222" i="1"/>
  <c r="BW222" i="1"/>
  <c r="BX222" i="1"/>
  <c r="BY222" i="1"/>
  <c r="BZ222" i="1"/>
  <c r="CA222" i="1"/>
  <c r="DD222" i="1"/>
  <c r="DE222" i="1"/>
  <c r="DF222" i="1"/>
  <c r="DG222" i="1"/>
  <c r="DH222" i="1"/>
  <c r="DI222" i="1"/>
  <c r="DJ222" i="1"/>
  <c r="DK222" i="1"/>
  <c r="DL222" i="1"/>
  <c r="DM222" i="1"/>
  <c r="AC223" i="1" a="1"/>
  <c r="AC223" i="1" s="1"/>
  <c r="AD223" i="1" a="1"/>
  <c r="AD223" i="1" s="1"/>
  <c r="CF223" i="1"/>
  <c r="N223" i="1"/>
  <c r="AH223" i="1" a="1"/>
  <c r="AH223" i="1" s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P223" i="1"/>
  <c r="BQ223" i="1"/>
  <c r="BR223" i="1"/>
  <c r="BS223" i="1"/>
  <c r="BT223" i="1"/>
  <c r="BU223" i="1"/>
  <c r="BV223" i="1"/>
  <c r="BW223" i="1"/>
  <c r="BX223" i="1"/>
  <c r="BY223" i="1"/>
  <c r="BZ223" i="1"/>
  <c r="CA223" i="1"/>
  <c r="CL223" i="1"/>
  <c r="CR223" i="1" s="1"/>
  <c r="DD223" i="1"/>
  <c r="DE223" i="1"/>
  <c r="DF223" i="1"/>
  <c r="DG223" i="1"/>
  <c r="DH223" i="1"/>
  <c r="DI223" i="1"/>
  <c r="DJ223" i="1"/>
  <c r="DK223" i="1"/>
  <c r="DL223" i="1"/>
  <c r="DM223" i="1"/>
  <c r="AQ224" i="1"/>
  <c r="AD224" i="1" a="1"/>
  <c r="AD224" i="1" s="1"/>
  <c r="AF224" i="1" a="1"/>
  <c r="AF224" i="1" s="1"/>
  <c r="N224" i="1"/>
  <c r="J224" i="1"/>
  <c r="K224" i="1"/>
  <c r="L224" i="1"/>
  <c r="AE224" i="1" a="1"/>
  <c r="AE224" i="1" s="1"/>
  <c r="AH224" i="1" a="1"/>
  <c r="AH224" i="1" s="1"/>
  <c r="AK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P224" i="1"/>
  <c r="BQ224" i="1"/>
  <c r="BR224" i="1"/>
  <c r="BS224" i="1"/>
  <c r="BT224" i="1"/>
  <c r="BU224" i="1"/>
  <c r="BV224" i="1"/>
  <c r="BW224" i="1"/>
  <c r="BX224" i="1"/>
  <c r="BY224" i="1"/>
  <c r="BZ224" i="1"/>
  <c r="CA224" i="1"/>
  <c r="CD224" i="1"/>
  <c r="DD224" i="1"/>
  <c r="DE224" i="1"/>
  <c r="DF224" i="1"/>
  <c r="DG224" i="1"/>
  <c r="DH224" i="1"/>
  <c r="DI224" i="1"/>
  <c r="DJ224" i="1"/>
  <c r="DK224" i="1"/>
  <c r="DL224" i="1"/>
  <c r="DM224" i="1"/>
  <c r="AD225" i="1" a="1"/>
  <c r="AD225" i="1" s="1"/>
  <c r="AE225" i="1" a="1"/>
  <c r="AE225" i="1" s="1"/>
  <c r="L225" i="1"/>
  <c r="CF225" i="1"/>
  <c r="M225" i="1"/>
  <c r="N225" i="1"/>
  <c r="AF225" i="1" a="1"/>
  <c r="AF225" i="1" s="1"/>
  <c r="AG225" i="1" a="1"/>
  <c r="AG225" i="1" s="1"/>
  <c r="AH225" i="1" a="1"/>
  <c r="AH225" i="1" s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P225" i="1"/>
  <c r="BQ225" i="1"/>
  <c r="BR225" i="1"/>
  <c r="BS225" i="1"/>
  <c r="BT225" i="1"/>
  <c r="BU225" i="1"/>
  <c r="BV225" i="1"/>
  <c r="BW225" i="1"/>
  <c r="BX225" i="1"/>
  <c r="BY225" i="1"/>
  <c r="BZ225" i="1"/>
  <c r="CA225" i="1"/>
  <c r="DD225" i="1"/>
  <c r="DE225" i="1"/>
  <c r="DF225" i="1"/>
  <c r="DG225" i="1"/>
  <c r="DH225" i="1"/>
  <c r="DI225" i="1"/>
  <c r="DJ225" i="1"/>
  <c r="DK225" i="1"/>
  <c r="DL225" i="1"/>
  <c r="DM225" i="1"/>
  <c r="J226" i="1"/>
  <c r="CF226" i="1"/>
  <c r="M226" i="1"/>
  <c r="AG226" i="1" a="1"/>
  <c r="AG226" i="1" s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P226" i="1"/>
  <c r="BQ226" i="1"/>
  <c r="BR226" i="1"/>
  <c r="BS226" i="1"/>
  <c r="BT226" i="1"/>
  <c r="BU226" i="1"/>
  <c r="BV226" i="1"/>
  <c r="BW226" i="1"/>
  <c r="BX226" i="1"/>
  <c r="BY226" i="1"/>
  <c r="BZ226" i="1"/>
  <c r="CA226" i="1"/>
  <c r="DD226" i="1"/>
  <c r="DE226" i="1"/>
  <c r="DF226" i="1"/>
  <c r="DG226" i="1"/>
  <c r="DH226" i="1"/>
  <c r="DI226" i="1"/>
  <c r="DJ226" i="1"/>
  <c r="DK226" i="1"/>
  <c r="DL226" i="1"/>
  <c r="DM226" i="1"/>
  <c r="I227" i="1"/>
  <c r="AE227" i="1" a="1"/>
  <c r="AE227" i="1" s="1"/>
  <c r="J227" i="1"/>
  <c r="N227" i="1"/>
  <c r="AD227" i="1" a="1"/>
  <c r="AD227" i="1" s="1"/>
  <c r="AH227" i="1" a="1"/>
  <c r="AH227" i="1" s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M227" i="1"/>
  <c r="BP227" i="1"/>
  <c r="BQ227" i="1"/>
  <c r="BR227" i="1"/>
  <c r="BS227" i="1"/>
  <c r="BT227" i="1"/>
  <c r="BU227" i="1"/>
  <c r="BV227" i="1"/>
  <c r="BW227" i="1"/>
  <c r="BX227" i="1"/>
  <c r="BY227" i="1"/>
  <c r="BZ227" i="1"/>
  <c r="CA227" i="1"/>
  <c r="CK227" i="1"/>
  <c r="CQ227" i="1" s="1"/>
  <c r="CL227" i="1"/>
  <c r="CR227" i="1" s="1"/>
  <c r="DD227" i="1"/>
  <c r="DE227" i="1"/>
  <c r="DF227" i="1"/>
  <c r="DG227" i="1"/>
  <c r="DH227" i="1"/>
  <c r="DI227" i="1"/>
  <c r="DJ227" i="1"/>
  <c r="DK227" i="1"/>
  <c r="DL227" i="1"/>
  <c r="DM227" i="1"/>
  <c r="AA228" i="1" a="1"/>
  <c r="AA228" i="1" s="1"/>
  <c r="K228" i="1"/>
  <c r="N228" i="1"/>
  <c r="I228" i="1"/>
  <c r="L228" i="1"/>
  <c r="AE228" i="1" a="1"/>
  <c r="AE228" i="1" s="1"/>
  <c r="AF228" i="1" a="1"/>
  <c r="AF228" i="1" s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P228" i="1"/>
  <c r="BQ228" i="1"/>
  <c r="BR228" i="1"/>
  <c r="BS228" i="1"/>
  <c r="BT228" i="1"/>
  <c r="BU228" i="1"/>
  <c r="BV228" i="1"/>
  <c r="BW228" i="1"/>
  <c r="BX228" i="1"/>
  <c r="BY228" i="1"/>
  <c r="BZ228" i="1"/>
  <c r="CA228" i="1"/>
  <c r="CD228" i="1"/>
  <c r="CH228" i="1"/>
  <c r="DD228" i="1"/>
  <c r="DE228" i="1"/>
  <c r="DF228" i="1"/>
  <c r="DG228" i="1"/>
  <c r="DH228" i="1"/>
  <c r="DI228" i="1"/>
  <c r="DJ228" i="1"/>
  <c r="DK228" i="1"/>
  <c r="DL228" i="1"/>
  <c r="DM228" i="1"/>
  <c r="AA229" i="1" a="1"/>
  <c r="AA229" i="1" s="1"/>
  <c r="AD229" i="1" a="1"/>
  <c r="AD229" i="1" s="1"/>
  <c r="CI229" i="1"/>
  <c r="CO229" i="1" s="1"/>
  <c r="CE229" i="1"/>
  <c r="N229" i="1"/>
  <c r="AE229" i="1" a="1"/>
  <c r="AE229" i="1" s="1"/>
  <c r="AG229" i="1" a="1"/>
  <c r="AG229" i="1" s="1"/>
  <c r="AH229" i="1" a="1"/>
  <c r="AH229" i="1" s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P229" i="1"/>
  <c r="BQ229" i="1"/>
  <c r="BR229" i="1"/>
  <c r="BS229" i="1"/>
  <c r="BT229" i="1"/>
  <c r="BU229" i="1"/>
  <c r="BV229" i="1"/>
  <c r="BW229" i="1"/>
  <c r="BX229" i="1"/>
  <c r="BY229" i="1"/>
  <c r="BZ229" i="1"/>
  <c r="CA229" i="1"/>
  <c r="CH229" i="1"/>
  <c r="DD229" i="1"/>
  <c r="DE229" i="1"/>
  <c r="DF229" i="1"/>
  <c r="DG229" i="1"/>
  <c r="DH229" i="1"/>
  <c r="DI229" i="1"/>
  <c r="DJ229" i="1"/>
  <c r="DK229" i="1"/>
  <c r="DL229" i="1"/>
  <c r="DM229" i="1"/>
  <c r="AR230" i="1"/>
  <c r="J230" i="1"/>
  <c r="BO230" i="1"/>
  <c r="M230" i="1"/>
  <c r="CL230" i="1"/>
  <c r="CR230" i="1" s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P230" i="1"/>
  <c r="BQ230" i="1"/>
  <c r="BR230" i="1"/>
  <c r="BS230" i="1"/>
  <c r="BT230" i="1"/>
  <c r="BU230" i="1"/>
  <c r="BV230" i="1"/>
  <c r="BW230" i="1"/>
  <c r="BX230" i="1"/>
  <c r="BY230" i="1"/>
  <c r="BZ230" i="1"/>
  <c r="CA230" i="1"/>
  <c r="DD230" i="1"/>
  <c r="DE230" i="1"/>
  <c r="DF230" i="1"/>
  <c r="DG230" i="1"/>
  <c r="DH230" i="1"/>
  <c r="DI230" i="1"/>
  <c r="DJ230" i="1"/>
  <c r="DK230" i="1"/>
  <c r="DL230" i="1"/>
  <c r="DM230" i="1"/>
  <c r="AJ231" i="1"/>
  <c r="AE231" i="1" a="1"/>
  <c r="AE231" i="1" s="1"/>
  <c r="L231" i="1"/>
  <c r="AH231" i="1" a="1"/>
  <c r="AH231" i="1" s="1"/>
  <c r="I231" i="1"/>
  <c r="J231" i="1"/>
  <c r="AC231" i="1" a="1"/>
  <c r="AC231" i="1" s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P231" i="1"/>
  <c r="BQ231" i="1"/>
  <c r="BR231" i="1"/>
  <c r="BS231" i="1"/>
  <c r="BT231" i="1"/>
  <c r="BU231" i="1"/>
  <c r="BV231" i="1"/>
  <c r="BW231" i="1"/>
  <c r="BX231" i="1"/>
  <c r="BY231" i="1"/>
  <c r="BZ231" i="1"/>
  <c r="CA231" i="1"/>
  <c r="CC231" i="1"/>
  <c r="CE231" i="1"/>
  <c r="DD231" i="1"/>
  <c r="DE231" i="1"/>
  <c r="DF231" i="1"/>
  <c r="DG231" i="1"/>
  <c r="DH231" i="1"/>
  <c r="DI231" i="1"/>
  <c r="DJ231" i="1"/>
  <c r="DK231" i="1"/>
  <c r="DL231" i="1"/>
  <c r="DM231" i="1"/>
  <c r="AC232" i="1" a="1"/>
  <c r="AC232" i="1" s="1"/>
  <c r="S232" i="1"/>
  <c r="T232" i="1" s="1"/>
  <c r="K232" i="1"/>
  <c r="AF232" i="1" a="1"/>
  <c r="AF232" i="1" s="1"/>
  <c r="AA232" i="1" a="1"/>
  <c r="AA232" i="1" s="1"/>
  <c r="I232" i="1"/>
  <c r="J232" i="1"/>
  <c r="M232" i="1"/>
  <c r="AD232" i="1" a="1"/>
  <c r="AD232" i="1" s="1"/>
  <c r="AG232" i="1" a="1"/>
  <c r="AG232" i="1" s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P232" i="1"/>
  <c r="BQ232" i="1"/>
  <c r="BR232" i="1"/>
  <c r="BS232" i="1"/>
  <c r="BT232" i="1"/>
  <c r="BU232" i="1"/>
  <c r="BV232" i="1"/>
  <c r="BW232" i="1"/>
  <c r="BX232" i="1"/>
  <c r="BY232" i="1"/>
  <c r="BZ232" i="1"/>
  <c r="CA232" i="1"/>
  <c r="CB232" i="1"/>
  <c r="CI232" i="1"/>
  <c r="CO232" i="1" s="1"/>
  <c r="DD232" i="1"/>
  <c r="DE232" i="1"/>
  <c r="DF232" i="1"/>
  <c r="DG232" i="1"/>
  <c r="DH232" i="1"/>
  <c r="DI232" i="1"/>
  <c r="DJ232" i="1"/>
  <c r="DK232" i="1"/>
  <c r="DL232" i="1"/>
  <c r="DM232" i="1"/>
  <c r="AC233" i="1" a="1"/>
  <c r="AC233" i="1" s="1"/>
  <c r="N233" i="1"/>
  <c r="L233" i="1"/>
  <c r="M233" i="1"/>
  <c r="AF233" i="1" a="1"/>
  <c r="AF233" i="1" s="1"/>
  <c r="AG233" i="1" a="1"/>
  <c r="AG233" i="1" s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P233" i="1"/>
  <c r="BQ233" i="1"/>
  <c r="BR233" i="1"/>
  <c r="BS233" i="1"/>
  <c r="BT233" i="1"/>
  <c r="BU233" i="1"/>
  <c r="BV233" i="1"/>
  <c r="BW233" i="1"/>
  <c r="BX233" i="1"/>
  <c r="BY233" i="1"/>
  <c r="BZ233" i="1"/>
  <c r="CA233" i="1"/>
  <c r="CK233" i="1"/>
  <c r="CQ233" i="1" s="1"/>
  <c r="DD233" i="1"/>
  <c r="DE233" i="1"/>
  <c r="DF233" i="1"/>
  <c r="DG233" i="1"/>
  <c r="DH233" i="1"/>
  <c r="DI233" i="1"/>
  <c r="DJ233" i="1"/>
  <c r="DK233" i="1"/>
  <c r="DL233" i="1"/>
  <c r="DM233" i="1"/>
  <c r="I234" i="1"/>
  <c r="CH234" i="1"/>
  <c r="CN234" i="1" s="1"/>
  <c r="CK234" i="1"/>
  <c r="CQ234" i="1" s="1"/>
  <c r="K234" i="1"/>
  <c r="N234" i="1"/>
  <c r="AD234" i="1" a="1"/>
  <c r="AD234" i="1" s="1"/>
  <c r="AE234" i="1" a="1"/>
  <c r="AE234" i="1" s="1"/>
  <c r="AH234" i="1" a="1"/>
  <c r="AH234" i="1" s="1"/>
  <c r="AP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M234" i="1"/>
  <c r="BP234" i="1"/>
  <c r="BQ234" i="1"/>
  <c r="BR234" i="1"/>
  <c r="BS234" i="1"/>
  <c r="BT234" i="1"/>
  <c r="BU234" i="1"/>
  <c r="BV234" i="1"/>
  <c r="BW234" i="1"/>
  <c r="BX234" i="1"/>
  <c r="BY234" i="1"/>
  <c r="BZ234" i="1"/>
  <c r="CA234" i="1"/>
  <c r="CC234" i="1"/>
  <c r="DD234" i="1"/>
  <c r="DE234" i="1"/>
  <c r="DF234" i="1"/>
  <c r="DG234" i="1"/>
  <c r="DH234" i="1"/>
  <c r="DI234" i="1"/>
  <c r="DJ234" i="1"/>
  <c r="DK234" i="1"/>
  <c r="DL234" i="1"/>
  <c r="DM234" i="1"/>
  <c r="AC235" i="1" a="1"/>
  <c r="AC235" i="1" s="1"/>
  <c r="K235" i="1"/>
  <c r="AF235" i="1" a="1"/>
  <c r="AF235" i="1" s="1"/>
  <c r="M235" i="1"/>
  <c r="I235" i="1"/>
  <c r="J235" i="1"/>
  <c r="AD235" i="1" a="1"/>
  <c r="AD235" i="1" s="1"/>
  <c r="AG235" i="1" a="1"/>
  <c r="AG235" i="1" s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P235" i="1"/>
  <c r="BQ235" i="1"/>
  <c r="BR235" i="1"/>
  <c r="BS235" i="1"/>
  <c r="BT235" i="1"/>
  <c r="BU235" i="1"/>
  <c r="BV235" i="1"/>
  <c r="BW235" i="1"/>
  <c r="BX235" i="1"/>
  <c r="BY235" i="1"/>
  <c r="BZ235" i="1"/>
  <c r="CA235" i="1"/>
  <c r="CB235" i="1"/>
  <c r="CC235" i="1"/>
  <c r="CJ235" i="1"/>
  <c r="CP235" i="1" s="1"/>
  <c r="DD235" i="1"/>
  <c r="DE235" i="1"/>
  <c r="DF235" i="1"/>
  <c r="DG235" i="1"/>
  <c r="DH235" i="1"/>
  <c r="DI235" i="1"/>
  <c r="DJ235" i="1"/>
  <c r="DK235" i="1"/>
  <c r="DL235" i="1"/>
  <c r="DM235" i="1"/>
  <c r="J236" i="1"/>
  <c r="CI236" i="1"/>
  <c r="CO236" i="1" s="1"/>
  <c r="M236" i="1"/>
  <c r="L236" i="1"/>
  <c r="AD236" i="1" a="1"/>
  <c r="AD236" i="1" s="1"/>
  <c r="AF236" i="1" a="1"/>
  <c r="AF236" i="1" s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P236" i="1"/>
  <c r="BQ236" i="1"/>
  <c r="BR236" i="1"/>
  <c r="BS236" i="1"/>
  <c r="BT236" i="1"/>
  <c r="BU236" i="1"/>
  <c r="BV236" i="1"/>
  <c r="BW236" i="1"/>
  <c r="BX236" i="1"/>
  <c r="BY236" i="1"/>
  <c r="BZ236" i="1"/>
  <c r="CA236" i="1"/>
  <c r="CD236" i="1"/>
  <c r="CE236" i="1"/>
  <c r="CK236" i="1"/>
  <c r="CQ236" i="1" s="1"/>
  <c r="DD236" i="1"/>
  <c r="DE236" i="1"/>
  <c r="DF236" i="1"/>
  <c r="DG236" i="1"/>
  <c r="DH236" i="1"/>
  <c r="DI236" i="1"/>
  <c r="DJ236" i="1"/>
  <c r="DK236" i="1"/>
  <c r="DL236" i="1"/>
  <c r="DM236" i="1"/>
  <c r="AR237" i="1"/>
  <c r="CH237" i="1"/>
  <c r="AF237" i="1" a="1"/>
  <c r="AF237" i="1" s="1"/>
  <c r="AG237" i="1" a="1"/>
  <c r="AG237" i="1" s="1"/>
  <c r="N237" i="1"/>
  <c r="L237" i="1"/>
  <c r="M237" i="1"/>
  <c r="AH237" i="1" a="1"/>
  <c r="AH237" i="1" s="1"/>
  <c r="AK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P237" i="1"/>
  <c r="BQ237" i="1"/>
  <c r="BR237" i="1"/>
  <c r="BS237" i="1"/>
  <c r="BT237" i="1"/>
  <c r="BU237" i="1"/>
  <c r="BV237" i="1"/>
  <c r="BW237" i="1"/>
  <c r="BX237" i="1"/>
  <c r="BY237" i="1"/>
  <c r="BZ237" i="1"/>
  <c r="CA237" i="1"/>
  <c r="CK237" i="1"/>
  <c r="CQ237" i="1" s="1"/>
  <c r="DD237" i="1"/>
  <c r="DE237" i="1"/>
  <c r="DF237" i="1"/>
  <c r="DG237" i="1"/>
  <c r="DH237" i="1"/>
  <c r="DI237" i="1"/>
  <c r="DJ237" i="1"/>
  <c r="DK237" i="1"/>
  <c r="DL237" i="1"/>
  <c r="DM237" i="1"/>
  <c r="I238" i="1"/>
  <c r="CH238" i="1"/>
  <c r="AE238" i="1" a="1"/>
  <c r="AE238" i="1" s="1"/>
  <c r="AF238" i="1" a="1"/>
  <c r="AF238" i="1" s="1"/>
  <c r="K238" i="1"/>
  <c r="L238" i="1"/>
  <c r="N238" i="1"/>
  <c r="AD238" i="1" a="1"/>
  <c r="AD238" i="1" s="1"/>
  <c r="AH238" i="1" a="1"/>
  <c r="AH238" i="1" s="1"/>
  <c r="AP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P238" i="1"/>
  <c r="BQ238" i="1"/>
  <c r="BR238" i="1"/>
  <c r="BS238" i="1"/>
  <c r="BT238" i="1"/>
  <c r="BU238" i="1"/>
  <c r="BV238" i="1"/>
  <c r="BW238" i="1"/>
  <c r="BX238" i="1"/>
  <c r="BY238" i="1"/>
  <c r="BZ238" i="1"/>
  <c r="CA238" i="1"/>
  <c r="CC238" i="1"/>
  <c r="CJ238" i="1"/>
  <c r="CP238" i="1" s="1"/>
  <c r="DD238" i="1"/>
  <c r="DE238" i="1"/>
  <c r="DF238" i="1"/>
  <c r="DG238" i="1"/>
  <c r="DH238" i="1"/>
  <c r="DI238" i="1"/>
  <c r="DJ238" i="1"/>
  <c r="DK238" i="1"/>
  <c r="DL238" i="1"/>
  <c r="DM238" i="1"/>
  <c r="CI239" i="1"/>
  <c r="CO239" i="1" s="1"/>
  <c r="K239" i="1"/>
  <c r="Z239" i="1" a="1"/>
  <c r="Z239" i="1" s="1"/>
  <c r="AH239" i="1" a="1"/>
  <c r="AH239" i="1" s="1"/>
  <c r="I239" i="1"/>
  <c r="J239" i="1"/>
  <c r="M239" i="1"/>
  <c r="AC239" i="1" a="1"/>
  <c r="AC239" i="1" s="1"/>
  <c r="AE239" i="1" a="1"/>
  <c r="AE239" i="1" s="1"/>
  <c r="AG239" i="1" a="1"/>
  <c r="AG239" i="1" s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P239" i="1"/>
  <c r="BQ239" i="1"/>
  <c r="BR239" i="1"/>
  <c r="BS239" i="1"/>
  <c r="BT239" i="1"/>
  <c r="BU239" i="1"/>
  <c r="BV239" i="1"/>
  <c r="BW239" i="1"/>
  <c r="BX239" i="1"/>
  <c r="BY239" i="1"/>
  <c r="BZ239" i="1"/>
  <c r="CA239" i="1"/>
  <c r="CB239" i="1"/>
  <c r="CJ239" i="1"/>
  <c r="CP239" i="1" s="1"/>
  <c r="DD239" i="1"/>
  <c r="DE239" i="1"/>
  <c r="DF239" i="1"/>
  <c r="DG239" i="1"/>
  <c r="DH239" i="1"/>
  <c r="DI239" i="1"/>
  <c r="DJ239" i="1"/>
  <c r="DK239" i="1"/>
  <c r="DL239" i="1"/>
  <c r="DM239" i="1"/>
  <c r="S240" i="1"/>
  <c r="T240" i="1" s="1"/>
  <c r="J240" i="1"/>
  <c r="CI240" i="1"/>
  <c r="CO240" i="1" s="1"/>
  <c r="L240" i="1"/>
  <c r="M240" i="1"/>
  <c r="K240" i="1"/>
  <c r="AA240" i="1" a="1"/>
  <c r="AA240" i="1" s="1"/>
  <c r="AD240" i="1" a="1"/>
  <c r="AD240" i="1" s="1"/>
  <c r="AE240" i="1" a="1"/>
  <c r="AE240" i="1" s="1"/>
  <c r="AF240" i="1" a="1"/>
  <c r="AF240" i="1" s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O240" i="1"/>
  <c r="BP240" i="1"/>
  <c r="BQ240" i="1"/>
  <c r="BR240" i="1"/>
  <c r="BS240" i="1"/>
  <c r="BT240" i="1"/>
  <c r="BU240" i="1"/>
  <c r="BV240" i="1"/>
  <c r="BW240" i="1"/>
  <c r="BX240" i="1"/>
  <c r="BY240" i="1"/>
  <c r="BZ240" i="1"/>
  <c r="CA240" i="1"/>
  <c r="CE240" i="1"/>
  <c r="CK240" i="1"/>
  <c r="CQ240" i="1" s="1"/>
  <c r="CL240" i="1"/>
  <c r="CR240" i="1" s="1"/>
  <c r="DD240" i="1"/>
  <c r="DE240" i="1"/>
  <c r="DF240" i="1"/>
  <c r="DG240" i="1"/>
  <c r="DH240" i="1"/>
  <c r="DI240" i="1"/>
  <c r="DJ240" i="1"/>
  <c r="DK240" i="1"/>
  <c r="DL240" i="1"/>
  <c r="DM240" i="1"/>
  <c r="I241" i="1"/>
  <c r="AJ241" i="1"/>
  <c r="AF241" i="1" a="1"/>
  <c r="AF241" i="1" s="1"/>
  <c r="AG241" i="1" a="1"/>
  <c r="AG241" i="1" s="1"/>
  <c r="AH241" i="1" a="1"/>
  <c r="AH241" i="1" s="1"/>
  <c r="AE241" i="1" a="1"/>
  <c r="AE241" i="1" s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P241" i="1"/>
  <c r="BQ241" i="1"/>
  <c r="BR241" i="1"/>
  <c r="BS241" i="1"/>
  <c r="BT241" i="1"/>
  <c r="BU241" i="1"/>
  <c r="BV241" i="1"/>
  <c r="BW241" i="1"/>
  <c r="BX241" i="1"/>
  <c r="BY241" i="1"/>
  <c r="BZ241" i="1"/>
  <c r="CA241" i="1"/>
  <c r="DD241" i="1"/>
  <c r="DE241" i="1"/>
  <c r="DF241" i="1"/>
  <c r="DG241" i="1"/>
  <c r="DH241" i="1"/>
  <c r="DI241" i="1"/>
  <c r="DJ241" i="1"/>
  <c r="DK241" i="1"/>
  <c r="DL241" i="1"/>
  <c r="DM241" i="1"/>
  <c r="AO242" i="1"/>
  <c r="J242" i="1"/>
  <c r="AE242" i="1" a="1"/>
  <c r="AE242" i="1" s="1"/>
  <c r="AF242" i="1" a="1"/>
  <c r="AF242" i="1" s="1"/>
  <c r="AH242" i="1" a="1"/>
  <c r="AH242" i="1" s="1"/>
  <c r="N242" i="1"/>
  <c r="AC242" i="1" a="1"/>
  <c r="AC242" i="1" s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P242" i="1"/>
  <c r="BQ242" i="1"/>
  <c r="BR242" i="1"/>
  <c r="BS242" i="1"/>
  <c r="BT242" i="1"/>
  <c r="BU242" i="1"/>
  <c r="BV242" i="1"/>
  <c r="BW242" i="1"/>
  <c r="BX242" i="1"/>
  <c r="BY242" i="1"/>
  <c r="BZ242" i="1"/>
  <c r="CA242" i="1"/>
  <c r="DD242" i="1"/>
  <c r="DE242" i="1"/>
  <c r="DF242" i="1"/>
  <c r="DG242" i="1"/>
  <c r="DH242" i="1"/>
  <c r="DI242" i="1"/>
  <c r="DJ242" i="1"/>
  <c r="DK242" i="1"/>
  <c r="DL242" i="1"/>
  <c r="DM242" i="1"/>
  <c r="AC243" i="1" a="1"/>
  <c r="AC243" i="1" s="1"/>
  <c r="J243" i="1"/>
  <c r="L243" i="1"/>
  <c r="M243" i="1"/>
  <c r="CF243" i="1"/>
  <c r="K243" i="1"/>
  <c r="N243" i="1"/>
  <c r="AF243" i="1" a="1"/>
  <c r="AF243" i="1" s="1"/>
  <c r="AP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P243" i="1"/>
  <c r="BQ243" i="1"/>
  <c r="BR243" i="1"/>
  <c r="BS243" i="1"/>
  <c r="BT243" i="1"/>
  <c r="BU243" i="1"/>
  <c r="BV243" i="1"/>
  <c r="BW243" i="1"/>
  <c r="BX243" i="1"/>
  <c r="BY243" i="1"/>
  <c r="BZ243" i="1"/>
  <c r="CA243" i="1"/>
  <c r="CB243" i="1"/>
  <c r="CC243" i="1"/>
  <c r="CK243" i="1"/>
  <c r="CQ243" i="1" s="1"/>
  <c r="DD243" i="1"/>
  <c r="DE243" i="1"/>
  <c r="DF243" i="1"/>
  <c r="DG243" i="1"/>
  <c r="DH243" i="1"/>
  <c r="DI243" i="1"/>
  <c r="DJ243" i="1"/>
  <c r="DK243" i="1"/>
  <c r="DL243" i="1"/>
  <c r="DM243" i="1"/>
  <c r="AA244" i="1" a="1"/>
  <c r="AA244" i="1" s="1"/>
  <c r="L244" i="1"/>
  <c r="N244" i="1"/>
  <c r="I244" i="1"/>
  <c r="J244" i="1"/>
  <c r="AD244" i="1" a="1"/>
  <c r="AD244" i="1" s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P244" i="1"/>
  <c r="BQ244" i="1"/>
  <c r="BR244" i="1"/>
  <c r="BS244" i="1"/>
  <c r="BT244" i="1"/>
  <c r="BU244" i="1"/>
  <c r="BV244" i="1"/>
  <c r="BW244" i="1"/>
  <c r="BX244" i="1"/>
  <c r="BY244" i="1"/>
  <c r="BZ244" i="1"/>
  <c r="CA244" i="1"/>
  <c r="CB244" i="1"/>
  <c r="DD244" i="1"/>
  <c r="DE244" i="1"/>
  <c r="DF244" i="1"/>
  <c r="DG244" i="1"/>
  <c r="DH244" i="1"/>
  <c r="DI244" i="1"/>
  <c r="DJ244" i="1"/>
  <c r="DK244" i="1"/>
  <c r="DL244" i="1"/>
  <c r="DM244" i="1"/>
  <c r="Y245" i="1" a="1"/>
  <c r="Y245" i="1" s="1"/>
  <c r="CI245" i="1"/>
  <c r="CO245" i="1" s="1"/>
  <c r="M245" i="1"/>
  <c r="L245" i="1"/>
  <c r="N245" i="1"/>
  <c r="AF245" i="1" a="1"/>
  <c r="AF245" i="1" s="1"/>
  <c r="AG245" i="1" a="1"/>
  <c r="AG245" i="1" s="1"/>
  <c r="AH245" i="1" a="1"/>
  <c r="AH245" i="1" s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P245" i="1"/>
  <c r="BQ245" i="1"/>
  <c r="BR245" i="1"/>
  <c r="BS245" i="1"/>
  <c r="BT245" i="1"/>
  <c r="BU245" i="1"/>
  <c r="BV245" i="1"/>
  <c r="BW245" i="1"/>
  <c r="BX245" i="1"/>
  <c r="BY245" i="1"/>
  <c r="BZ245" i="1"/>
  <c r="CA245" i="1"/>
  <c r="CF245" i="1"/>
  <c r="CK245" i="1"/>
  <c r="CQ245" i="1" s="1"/>
  <c r="DD245" i="1"/>
  <c r="DE245" i="1"/>
  <c r="DF245" i="1"/>
  <c r="DG245" i="1"/>
  <c r="DH245" i="1"/>
  <c r="DI245" i="1"/>
  <c r="DJ245" i="1"/>
  <c r="DK245" i="1"/>
  <c r="DL245" i="1"/>
  <c r="DM245" i="1"/>
  <c r="J246" i="1"/>
  <c r="CK246" i="1"/>
  <c r="CQ246" i="1" s="1"/>
  <c r="N246" i="1"/>
  <c r="L246" i="1"/>
  <c r="AF246" i="1" a="1"/>
  <c r="AF246" i="1" s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P246" i="1"/>
  <c r="BQ246" i="1"/>
  <c r="BR246" i="1"/>
  <c r="BS246" i="1"/>
  <c r="BT246" i="1"/>
  <c r="BU246" i="1"/>
  <c r="BV246" i="1"/>
  <c r="BW246" i="1"/>
  <c r="BX246" i="1"/>
  <c r="BY246" i="1"/>
  <c r="BZ246" i="1"/>
  <c r="CA246" i="1"/>
  <c r="DD246" i="1"/>
  <c r="DE246" i="1"/>
  <c r="DF246" i="1"/>
  <c r="DG246" i="1"/>
  <c r="DH246" i="1"/>
  <c r="DI246" i="1"/>
  <c r="DJ246" i="1"/>
  <c r="DK246" i="1"/>
  <c r="DL246" i="1"/>
  <c r="DM246" i="1"/>
  <c r="J247" i="1"/>
  <c r="AE247" i="1" a="1"/>
  <c r="AE247" i="1" s="1"/>
  <c r="L247" i="1"/>
  <c r="M247" i="1"/>
  <c r="N247" i="1"/>
  <c r="AD247" i="1" a="1"/>
  <c r="AD247" i="1" s="1"/>
  <c r="AF247" i="1" a="1"/>
  <c r="AF247" i="1" s="1"/>
  <c r="AG247" i="1" a="1"/>
  <c r="AG247" i="1" s="1"/>
  <c r="AH247" i="1" a="1"/>
  <c r="AH247" i="1" s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M247" i="1"/>
  <c r="BP247" i="1"/>
  <c r="BQ247" i="1"/>
  <c r="BR247" i="1"/>
  <c r="BS247" i="1"/>
  <c r="BT247" i="1"/>
  <c r="BU247" i="1"/>
  <c r="BV247" i="1"/>
  <c r="BW247" i="1"/>
  <c r="BX247" i="1"/>
  <c r="BY247" i="1"/>
  <c r="BZ247" i="1"/>
  <c r="CA247" i="1"/>
  <c r="CE247" i="1"/>
  <c r="CL247" i="1"/>
  <c r="CR247" i="1" s="1"/>
  <c r="DD247" i="1"/>
  <c r="DE247" i="1"/>
  <c r="DF247" i="1"/>
  <c r="DG247" i="1"/>
  <c r="DH247" i="1"/>
  <c r="DI247" i="1"/>
  <c r="DJ247" i="1"/>
  <c r="DK247" i="1"/>
  <c r="DL247" i="1"/>
  <c r="DM247" i="1"/>
  <c r="AD248" i="1" a="1"/>
  <c r="AD248" i="1" s="1"/>
  <c r="L248" i="1"/>
  <c r="N248" i="1"/>
  <c r="I248" i="1"/>
  <c r="J248" i="1"/>
  <c r="AC248" i="1" a="1"/>
  <c r="AC248" i="1" s="1"/>
  <c r="AF248" i="1" a="1"/>
  <c r="AF248" i="1" s="1"/>
  <c r="AG248" i="1" a="1"/>
  <c r="AG248" i="1" s="1"/>
  <c r="AH248" i="1" a="1"/>
  <c r="AH248" i="1" s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P248" i="1"/>
  <c r="BQ248" i="1"/>
  <c r="BR248" i="1"/>
  <c r="BS248" i="1"/>
  <c r="BT248" i="1"/>
  <c r="BU248" i="1"/>
  <c r="BV248" i="1"/>
  <c r="BW248" i="1"/>
  <c r="BX248" i="1"/>
  <c r="BY248" i="1"/>
  <c r="BZ248" i="1"/>
  <c r="CA248" i="1"/>
  <c r="CB248" i="1"/>
  <c r="DD248" i="1"/>
  <c r="DE248" i="1"/>
  <c r="DF248" i="1"/>
  <c r="DG248" i="1"/>
  <c r="DH248" i="1"/>
  <c r="DI248" i="1"/>
  <c r="DJ248" i="1"/>
  <c r="DK248" i="1"/>
  <c r="DL248" i="1"/>
  <c r="DM248" i="1"/>
  <c r="Y249" i="1" a="1"/>
  <c r="Y249" i="1" s="1"/>
  <c r="AG249" i="1" a="1"/>
  <c r="AG249" i="1" s="1"/>
  <c r="BN249" i="1"/>
  <c r="L249" i="1"/>
  <c r="M249" i="1"/>
  <c r="AN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P249" i="1"/>
  <c r="BQ249" i="1"/>
  <c r="BR249" i="1"/>
  <c r="BS249" i="1"/>
  <c r="BT249" i="1"/>
  <c r="BU249" i="1"/>
  <c r="BV249" i="1"/>
  <c r="BW249" i="1"/>
  <c r="BX249" i="1"/>
  <c r="BY249" i="1"/>
  <c r="BZ249" i="1"/>
  <c r="CA249" i="1"/>
  <c r="DD249" i="1"/>
  <c r="DE249" i="1"/>
  <c r="DF249" i="1"/>
  <c r="DG249" i="1"/>
  <c r="DH249" i="1"/>
  <c r="DI249" i="1"/>
  <c r="DJ249" i="1"/>
  <c r="DK249" i="1"/>
  <c r="DL249" i="1"/>
  <c r="DM249" i="1"/>
  <c r="CF250" i="1"/>
  <c r="K250" i="1"/>
  <c r="L250" i="1"/>
  <c r="M250" i="1"/>
  <c r="N250" i="1"/>
  <c r="AE250" i="1" a="1"/>
  <c r="AE250" i="1" s="1"/>
  <c r="AF250" i="1" a="1"/>
  <c r="AF250" i="1" s="1"/>
  <c r="AG250" i="1" a="1"/>
  <c r="AG250" i="1" s="1"/>
  <c r="AH250" i="1" a="1"/>
  <c r="AH250" i="1" s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N250" i="1"/>
  <c r="BP250" i="1"/>
  <c r="BQ250" i="1"/>
  <c r="BR250" i="1"/>
  <c r="BS250" i="1"/>
  <c r="BT250" i="1"/>
  <c r="BU250" i="1"/>
  <c r="BV250" i="1"/>
  <c r="BW250" i="1"/>
  <c r="BX250" i="1"/>
  <c r="BY250" i="1"/>
  <c r="BZ250" i="1"/>
  <c r="CA250" i="1"/>
  <c r="CD250" i="1"/>
  <c r="DD250" i="1"/>
  <c r="DE250" i="1"/>
  <c r="DF250" i="1"/>
  <c r="DG250" i="1"/>
  <c r="DH250" i="1"/>
  <c r="DI250" i="1"/>
  <c r="DJ250" i="1"/>
  <c r="DK250" i="1"/>
  <c r="DL250" i="1"/>
  <c r="DM250" i="1"/>
  <c r="Y251" i="1" a="1"/>
  <c r="Y251" i="1" s="1"/>
  <c r="K251" i="1"/>
  <c r="L251" i="1"/>
  <c r="I251" i="1"/>
  <c r="J251" i="1"/>
  <c r="M251" i="1"/>
  <c r="AD251" i="1" a="1"/>
  <c r="AD251" i="1" s="1"/>
  <c r="AF251" i="1" a="1"/>
  <c r="AF251" i="1" s="1"/>
  <c r="AH251" i="1" a="1"/>
  <c r="AH251" i="1" s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P251" i="1"/>
  <c r="BQ251" i="1"/>
  <c r="BR251" i="1"/>
  <c r="BS251" i="1"/>
  <c r="BT251" i="1"/>
  <c r="BU251" i="1"/>
  <c r="BV251" i="1"/>
  <c r="BW251" i="1"/>
  <c r="BX251" i="1"/>
  <c r="BY251" i="1"/>
  <c r="BZ251" i="1"/>
  <c r="CA251" i="1"/>
  <c r="CI251" i="1"/>
  <c r="CO251" i="1" s="1"/>
  <c r="CK251" i="1"/>
  <c r="CQ251" i="1" s="1"/>
  <c r="DD251" i="1"/>
  <c r="DE251" i="1"/>
  <c r="DF251" i="1"/>
  <c r="DG251" i="1"/>
  <c r="DH251" i="1"/>
  <c r="DI251" i="1"/>
  <c r="DJ251" i="1"/>
  <c r="DK251" i="1"/>
  <c r="DL251" i="1"/>
  <c r="DM251" i="1"/>
  <c r="P252" i="1" a="1"/>
  <c r="P252" i="1" s="1"/>
  <c r="L252" i="1"/>
  <c r="N252" i="1"/>
  <c r="J252" i="1"/>
  <c r="M252" i="1"/>
  <c r="AC252" i="1" a="1"/>
  <c r="AC252" i="1" s="1"/>
  <c r="AD252" i="1" a="1"/>
  <c r="AD252" i="1" s="1"/>
  <c r="AF252" i="1" a="1"/>
  <c r="AF252" i="1" s="1"/>
  <c r="AG252" i="1" a="1"/>
  <c r="AG252" i="1" s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P252" i="1"/>
  <c r="BQ252" i="1"/>
  <c r="BR252" i="1"/>
  <c r="BS252" i="1"/>
  <c r="BT252" i="1"/>
  <c r="BU252" i="1"/>
  <c r="BV252" i="1"/>
  <c r="BW252" i="1"/>
  <c r="BX252" i="1"/>
  <c r="BY252" i="1"/>
  <c r="BZ252" i="1"/>
  <c r="CA252" i="1"/>
  <c r="CE252" i="1"/>
  <c r="DD252" i="1"/>
  <c r="DE252" i="1"/>
  <c r="DF252" i="1"/>
  <c r="DG252" i="1"/>
  <c r="DH252" i="1"/>
  <c r="DI252" i="1"/>
  <c r="DJ252" i="1"/>
  <c r="DK252" i="1"/>
  <c r="DL252" i="1"/>
  <c r="DM252" i="1"/>
  <c r="L253" i="1"/>
  <c r="M253" i="1"/>
  <c r="N253" i="1"/>
  <c r="AH253" i="1" a="1"/>
  <c r="AH253" i="1" s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G253" i="1"/>
  <c r="BH253" i="1"/>
  <c r="BI253" i="1"/>
  <c r="BP253" i="1"/>
  <c r="BQ253" i="1"/>
  <c r="BR253" i="1"/>
  <c r="BS253" i="1"/>
  <c r="BT253" i="1"/>
  <c r="BU253" i="1"/>
  <c r="BV253" i="1"/>
  <c r="BW253" i="1"/>
  <c r="BX253" i="1"/>
  <c r="BY253" i="1"/>
  <c r="BZ253" i="1"/>
  <c r="CA253" i="1"/>
  <c r="DD253" i="1"/>
  <c r="DE253" i="1"/>
  <c r="DF253" i="1"/>
  <c r="DG253" i="1"/>
  <c r="DH253" i="1"/>
  <c r="DI253" i="1"/>
  <c r="DJ253" i="1"/>
  <c r="DK253" i="1"/>
  <c r="DL253" i="1"/>
  <c r="DM253" i="1"/>
  <c r="AA254" i="1" a="1"/>
  <c r="AA254" i="1" s="1"/>
  <c r="AG254" i="1" a="1"/>
  <c r="AG254" i="1" s="1"/>
  <c r="K254" i="1"/>
  <c r="M254" i="1"/>
  <c r="N254" i="1"/>
  <c r="AE254" i="1" a="1"/>
  <c r="AE254" i="1" s="1"/>
  <c r="AH254" i="1" a="1"/>
  <c r="AH254" i="1" s="1"/>
  <c r="AJ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BI254" i="1"/>
  <c r="BK254" i="1"/>
  <c r="BP254" i="1"/>
  <c r="BQ254" i="1"/>
  <c r="BR254" i="1"/>
  <c r="BS254" i="1"/>
  <c r="BT254" i="1"/>
  <c r="BU254" i="1"/>
  <c r="BV254" i="1"/>
  <c r="BW254" i="1"/>
  <c r="BX254" i="1"/>
  <c r="BY254" i="1"/>
  <c r="BZ254" i="1"/>
  <c r="CA254" i="1"/>
  <c r="CF254" i="1"/>
  <c r="CH254" i="1"/>
  <c r="CN254" i="1" s="1"/>
  <c r="CL254" i="1"/>
  <c r="CR254" i="1" s="1"/>
  <c r="DD254" i="1"/>
  <c r="DE254" i="1"/>
  <c r="DF254" i="1"/>
  <c r="DG254" i="1"/>
  <c r="DH254" i="1"/>
  <c r="DI254" i="1"/>
  <c r="DJ254" i="1"/>
  <c r="DK254" i="1"/>
  <c r="DL254" i="1"/>
  <c r="DM254" i="1"/>
  <c r="AP255" i="1"/>
  <c r="AF255" i="1" a="1"/>
  <c r="AF255" i="1" s="1"/>
  <c r="M255" i="1"/>
  <c r="CF255" i="1"/>
  <c r="N255" i="1"/>
  <c r="AH255" i="1" a="1"/>
  <c r="AH255" i="1" s="1"/>
  <c r="AS255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F255" i="1"/>
  <c r="BG255" i="1"/>
  <c r="BH255" i="1"/>
  <c r="BI255" i="1"/>
  <c r="BP255" i="1"/>
  <c r="BQ255" i="1"/>
  <c r="BR255" i="1"/>
  <c r="BS255" i="1"/>
  <c r="BT255" i="1"/>
  <c r="BU255" i="1"/>
  <c r="BV255" i="1"/>
  <c r="BW255" i="1"/>
  <c r="BX255" i="1"/>
  <c r="BY255" i="1"/>
  <c r="BZ255" i="1"/>
  <c r="CA255" i="1"/>
  <c r="CH255" i="1"/>
  <c r="DD255" i="1"/>
  <c r="DE255" i="1"/>
  <c r="DF255" i="1"/>
  <c r="DG255" i="1"/>
  <c r="DH255" i="1"/>
  <c r="DI255" i="1"/>
  <c r="DJ255" i="1"/>
  <c r="DK255" i="1"/>
  <c r="DL255" i="1"/>
  <c r="DM255" i="1"/>
  <c r="AR256" i="1"/>
  <c r="CC256" i="1"/>
  <c r="CE256" i="1"/>
  <c r="BL256" i="1"/>
  <c r="M256" i="1"/>
  <c r="AC256" i="1" a="1"/>
  <c r="AC256" i="1" s="1"/>
  <c r="AG256" i="1" a="1"/>
  <c r="AG256" i="1" s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BI256" i="1"/>
  <c r="BP256" i="1"/>
  <c r="BQ256" i="1"/>
  <c r="BR256" i="1"/>
  <c r="BS256" i="1"/>
  <c r="BT256" i="1"/>
  <c r="BU256" i="1"/>
  <c r="BV256" i="1"/>
  <c r="BW256" i="1"/>
  <c r="BX256" i="1"/>
  <c r="BY256" i="1"/>
  <c r="BZ256" i="1"/>
  <c r="CA256" i="1"/>
  <c r="CB256" i="1"/>
  <c r="CL256" i="1"/>
  <c r="CR256" i="1" s="1"/>
  <c r="DD256" i="1"/>
  <c r="DE256" i="1"/>
  <c r="DF256" i="1"/>
  <c r="DG256" i="1"/>
  <c r="DH256" i="1"/>
  <c r="DI256" i="1"/>
  <c r="DJ256" i="1"/>
  <c r="DK256" i="1"/>
  <c r="DL256" i="1"/>
  <c r="DM256" i="1"/>
  <c r="I257" i="1"/>
  <c r="Y257" i="1" a="1"/>
  <c r="Y257" i="1" s="1"/>
  <c r="AE257" i="1" a="1"/>
  <c r="AE257" i="1" s="1"/>
  <c r="CJ257" i="1"/>
  <c r="CP257" i="1" s="1"/>
  <c r="M257" i="1"/>
  <c r="AH257" i="1" a="1"/>
  <c r="AH257" i="1" s="1"/>
  <c r="J257" i="1"/>
  <c r="AC257" i="1" a="1"/>
  <c r="AC257" i="1" s="1"/>
  <c r="AD257" i="1" a="1"/>
  <c r="AD257" i="1" s="1"/>
  <c r="AG257" i="1" a="1"/>
  <c r="AG257" i="1" s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BI257" i="1"/>
  <c r="BP257" i="1"/>
  <c r="BQ257" i="1"/>
  <c r="BR257" i="1"/>
  <c r="BS257" i="1"/>
  <c r="BT257" i="1"/>
  <c r="BU257" i="1"/>
  <c r="BV257" i="1"/>
  <c r="BW257" i="1"/>
  <c r="BX257" i="1"/>
  <c r="BY257" i="1"/>
  <c r="BZ257" i="1"/>
  <c r="CA257" i="1"/>
  <c r="CB257" i="1"/>
  <c r="CC257" i="1"/>
  <c r="CI257" i="1"/>
  <c r="CO257" i="1" s="1"/>
  <c r="DD257" i="1"/>
  <c r="DE257" i="1"/>
  <c r="DF257" i="1"/>
  <c r="DG257" i="1"/>
  <c r="DH257" i="1"/>
  <c r="DI257" i="1"/>
  <c r="DJ257" i="1"/>
  <c r="DK257" i="1"/>
  <c r="DL257" i="1"/>
  <c r="DM257" i="1"/>
  <c r="BK258" i="1"/>
  <c r="K258" i="1"/>
  <c r="AF258" i="1" a="1"/>
  <c r="AF258" i="1" s="1"/>
  <c r="N258" i="1"/>
  <c r="I258" i="1"/>
  <c r="AC258" i="1" a="1"/>
  <c r="AC258" i="1" s="1"/>
  <c r="AH258" i="1" a="1"/>
  <c r="AH258" i="1" s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BI258" i="1"/>
  <c r="BP258" i="1"/>
  <c r="BQ258" i="1"/>
  <c r="BR258" i="1"/>
  <c r="BS258" i="1"/>
  <c r="BT258" i="1"/>
  <c r="BU258" i="1"/>
  <c r="BV258" i="1"/>
  <c r="BW258" i="1"/>
  <c r="BX258" i="1"/>
  <c r="BY258" i="1"/>
  <c r="BZ258" i="1"/>
  <c r="CA258" i="1"/>
  <c r="DD258" i="1"/>
  <c r="DE258" i="1"/>
  <c r="DF258" i="1"/>
  <c r="DG258" i="1"/>
  <c r="DH258" i="1"/>
  <c r="DI258" i="1"/>
  <c r="DJ258" i="1"/>
  <c r="DK258" i="1"/>
  <c r="DL258" i="1"/>
  <c r="DM258" i="1"/>
  <c r="Y259" i="1" a="1"/>
  <c r="Y259" i="1" s="1"/>
  <c r="CC259" i="1"/>
  <c r="CF259" i="1"/>
  <c r="J259" i="1"/>
  <c r="K259" i="1"/>
  <c r="N259" i="1"/>
  <c r="AD259" i="1" a="1"/>
  <c r="AD259" i="1" s="1"/>
  <c r="AE259" i="1" a="1"/>
  <c r="AE259" i="1" s="1"/>
  <c r="AF259" i="1" a="1"/>
  <c r="AF259" i="1" s="1"/>
  <c r="AH259" i="1" a="1"/>
  <c r="AH259" i="1" s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I259" i="1"/>
  <c r="BM259" i="1"/>
  <c r="BP259" i="1"/>
  <c r="BQ259" i="1"/>
  <c r="BR259" i="1"/>
  <c r="BS259" i="1"/>
  <c r="BT259" i="1"/>
  <c r="BU259" i="1"/>
  <c r="BV259" i="1"/>
  <c r="BW259" i="1"/>
  <c r="BX259" i="1"/>
  <c r="BY259" i="1"/>
  <c r="BZ259" i="1"/>
  <c r="CA259" i="1"/>
  <c r="CD259" i="1"/>
  <c r="CK259" i="1"/>
  <c r="CQ259" i="1" s="1"/>
  <c r="DD259" i="1"/>
  <c r="DE259" i="1"/>
  <c r="DF259" i="1"/>
  <c r="DG259" i="1"/>
  <c r="DH259" i="1"/>
  <c r="DI259" i="1"/>
  <c r="DJ259" i="1"/>
  <c r="DK259" i="1"/>
  <c r="DL259" i="1"/>
  <c r="DM259" i="1"/>
  <c r="J260" i="1"/>
  <c r="CJ260" i="1"/>
  <c r="CP260" i="1" s="1"/>
  <c r="N260" i="1"/>
  <c r="K260" i="1"/>
  <c r="L260" i="1"/>
  <c r="M260" i="1"/>
  <c r="AD260" i="1" a="1"/>
  <c r="AD260" i="1" s="1"/>
  <c r="AE260" i="1" a="1"/>
  <c r="AE260" i="1" s="1"/>
  <c r="AF260" i="1" a="1"/>
  <c r="AF260" i="1" s="1"/>
  <c r="AG260" i="1" a="1"/>
  <c r="AG260" i="1" s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G260" i="1"/>
  <c r="BH260" i="1"/>
  <c r="BI260" i="1"/>
  <c r="BP260" i="1"/>
  <c r="BQ260" i="1"/>
  <c r="BR260" i="1"/>
  <c r="BS260" i="1"/>
  <c r="BT260" i="1"/>
  <c r="BU260" i="1"/>
  <c r="BV260" i="1"/>
  <c r="BW260" i="1"/>
  <c r="BX260" i="1"/>
  <c r="BY260" i="1"/>
  <c r="BZ260" i="1"/>
  <c r="CA260" i="1"/>
  <c r="CD260" i="1"/>
  <c r="CI260" i="1"/>
  <c r="CO260" i="1" s="1"/>
  <c r="CK260" i="1"/>
  <c r="CQ260" i="1" s="1"/>
  <c r="DD260" i="1"/>
  <c r="DE260" i="1"/>
  <c r="DF260" i="1"/>
  <c r="DG260" i="1"/>
  <c r="DH260" i="1"/>
  <c r="DI260" i="1"/>
  <c r="DJ260" i="1"/>
  <c r="DK260" i="1"/>
  <c r="DL260" i="1"/>
  <c r="DM260" i="1"/>
  <c r="BK261" i="1"/>
  <c r="AE261" i="1" a="1"/>
  <c r="AE261" i="1" s="1"/>
  <c r="AF261" i="1" a="1"/>
  <c r="AF261" i="1" s="1"/>
  <c r="CF261" i="1"/>
  <c r="N261" i="1"/>
  <c r="V261" i="1" a="1"/>
  <c r="V261" i="1" s="1"/>
  <c r="W261" i="1" s="1"/>
  <c r="AH261" i="1" a="1"/>
  <c r="AH261" i="1" s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BI261" i="1"/>
  <c r="BP261" i="1"/>
  <c r="BQ261" i="1"/>
  <c r="BR261" i="1"/>
  <c r="BS261" i="1"/>
  <c r="BT261" i="1"/>
  <c r="BU261" i="1"/>
  <c r="BV261" i="1"/>
  <c r="BW261" i="1"/>
  <c r="BX261" i="1"/>
  <c r="BY261" i="1"/>
  <c r="BZ261" i="1"/>
  <c r="CA261" i="1"/>
  <c r="CH261" i="1"/>
  <c r="CK261" i="1"/>
  <c r="CQ261" i="1" s="1"/>
  <c r="DD261" i="1"/>
  <c r="DE261" i="1"/>
  <c r="DF261" i="1"/>
  <c r="DG261" i="1"/>
  <c r="DH261" i="1"/>
  <c r="DI261" i="1"/>
  <c r="DJ261" i="1"/>
  <c r="DK261" i="1"/>
  <c r="DL261" i="1"/>
  <c r="DM261" i="1"/>
  <c r="J262" i="1"/>
  <c r="AE262" i="1" a="1"/>
  <c r="AE262" i="1" s="1"/>
  <c r="CE262" i="1"/>
  <c r="M262" i="1"/>
  <c r="AH262" i="1" a="1"/>
  <c r="AH262" i="1" s="1"/>
  <c r="K262" i="1"/>
  <c r="AP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BI262" i="1"/>
  <c r="BP262" i="1"/>
  <c r="BQ262" i="1"/>
  <c r="BR262" i="1"/>
  <c r="BS262" i="1"/>
  <c r="BT262" i="1"/>
  <c r="BU262" i="1"/>
  <c r="BV262" i="1"/>
  <c r="BW262" i="1"/>
  <c r="BX262" i="1"/>
  <c r="BY262" i="1"/>
  <c r="BZ262" i="1"/>
  <c r="CA262" i="1"/>
  <c r="CC262" i="1"/>
  <c r="CF262" i="1"/>
  <c r="CH262" i="1"/>
  <c r="DD262" i="1"/>
  <c r="DE262" i="1"/>
  <c r="DF262" i="1"/>
  <c r="DG262" i="1"/>
  <c r="DH262" i="1"/>
  <c r="DI262" i="1"/>
  <c r="DJ262" i="1"/>
  <c r="DK262" i="1"/>
  <c r="DL262" i="1"/>
  <c r="DM262" i="1"/>
  <c r="S263" i="1"/>
  <c r="T263" i="1" s="1"/>
  <c r="CB263" i="1"/>
  <c r="K263" i="1"/>
  <c r="AF263" i="1" a="1"/>
  <c r="AF263" i="1" s="1"/>
  <c r="CE263" i="1"/>
  <c r="M263" i="1"/>
  <c r="AC263" i="1" a="1"/>
  <c r="AC263" i="1" s="1"/>
  <c r="AD263" i="1" a="1"/>
  <c r="AD263" i="1" s="1"/>
  <c r="AG263" i="1" a="1"/>
  <c r="AG263" i="1" s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G263" i="1"/>
  <c r="BH263" i="1"/>
  <c r="BI263" i="1"/>
  <c r="BP263" i="1"/>
  <c r="BQ263" i="1"/>
  <c r="BR263" i="1"/>
  <c r="BS263" i="1"/>
  <c r="BT263" i="1"/>
  <c r="BU263" i="1"/>
  <c r="BV263" i="1"/>
  <c r="BW263" i="1"/>
  <c r="BX263" i="1"/>
  <c r="BY263" i="1"/>
  <c r="BZ263" i="1"/>
  <c r="CA263" i="1"/>
  <c r="CD263" i="1"/>
  <c r="CI263" i="1"/>
  <c r="CO263" i="1" s="1"/>
  <c r="CJ263" i="1"/>
  <c r="CP263" i="1" s="1"/>
  <c r="CK263" i="1"/>
  <c r="CQ263" i="1" s="1"/>
  <c r="DD263" i="1"/>
  <c r="DE263" i="1"/>
  <c r="DF263" i="1"/>
  <c r="DG263" i="1"/>
  <c r="DH263" i="1"/>
  <c r="DI263" i="1"/>
  <c r="DJ263" i="1"/>
  <c r="DK263" i="1"/>
  <c r="DL263" i="1"/>
  <c r="DM263" i="1"/>
  <c r="BN264" i="1"/>
  <c r="V264" i="1" a="1"/>
  <c r="V264" i="1" s="1"/>
  <c r="W264" i="1" s="1"/>
  <c r="AF264" i="1" a="1"/>
  <c r="AF264" i="1" s="1"/>
  <c r="CE264" i="1"/>
  <c r="N264" i="1"/>
  <c r="J264" i="1"/>
  <c r="Y264" i="1" a="1"/>
  <c r="Y264" i="1" s="1"/>
  <c r="AC264" i="1" a="1"/>
  <c r="AC264" i="1" s="1"/>
  <c r="AD264" i="1" a="1"/>
  <c r="AD264" i="1" s="1"/>
  <c r="AH264" i="1" a="1"/>
  <c r="AH264" i="1" s="1"/>
  <c r="AQ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BI264" i="1"/>
  <c r="BP264" i="1"/>
  <c r="BQ264" i="1"/>
  <c r="BR264" i="1"/>
  <c r="BS264" i="1"/>
  <c r="BT264" i="1"/>
  <c r="BU264" i="1"/>
  <c r="BV264" i="1"/>
  <c r="BW264" i="1"/>
  <c r="BX264" i="1"/>
  <c r="BY264" i="1"/>
  <c r="BZ264" i="1"/>
  <c r="CA264" i="1"/>
  <c r="CB264" i="1"/>
  <c r="CL264" i="1"/>
  <c r="CR264" i="1" s="1"/>
  <c r="DD264" i="1"/>
  <c r="DE264" i="1"/>
  <c r="DF264" i="1"/>
  <c r="DG264" i="1"/>
  <c r="DH264" i="1"/>
  <c r="DI264" i="1"/>
  <c r="DJ264" i="1"/>
  <c r="DK264" i="1"/>
  <c r="DL264" i="1"/>
  <c r="DM264" i="1"/>
  <c r="V265" i="1" a="1"/>
  <c r="V265" i="1" s="1"/>
  <c r="W265" i="1" s="1"/>
  <c r="CC265" i="1"/>
  <c r="AF265" i="1" a="1"/>
  <c r="AF265" i="1" s="1"/>
  <c r="CK265" i="1"/>
  <c r="CQ265" i="1" s="1"/>
  <c r="AH265" i="1" a="1"/>
  <c r="AH265" i="1" s="1"/>
  <c r="K265" i="1"/>
  <c r="AE265" i="1" a="1"/>
  <c r="AE265" i="1" s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G265" i="1"/>
  <c r="BH265" i="1"/>
  <c r="BI265" i="1"/>
  <c r="BP265" i="1"/>
  <c r="BQ265" i="1"/>
  <c r="BR265" i="1"/>
  <c r="BS265" i="1"/>
  <c r="BT265" i="1"/>
  <c r="BU265" i="1"/>
  <c r="BV265" i="1"/>
  <c r="BW265" i="1"/>
  <c r="BX265" i="1"/>
  <c r="BY265" i="1"/>
  <c r="BZ265" i="1"/>
  <c r="CA265" i="1"/>
  <c r="DD265" i="1"/>
  <c r="DE265" i="1"/>
  <c r="DF265" i="1"/>
  <c r="DG265" i="1"/>
  <c r="DH265" i="1"/>
  <c r="DI265" i="1"/>
  <c r="DJ265" i="1"/>
  <c r="DK265" i="1"/>
  <c r="DL265" i="1"/>
  <c r="DM265" i="1"/>
  <c r="AP266" i="1"/>
  <c r="J266" i="1"/>
  <c r="AE266" i="1" a="1"/>
  <c r="AE266" i="1" s="1"/>
  <c r="BM266" i="1"/>
  <c r="AH266" i="1" a="1"/>
  <c r="AH266" i="1" s="1"/>
  <c r="K266" i="1"/>
  <c r="AS266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F266" i="1"/>
  <c r="BG266" i="1"/>
  <c r="BH266" i="1"/>
  <c r="BI266" i="1"/>
  <c r="BP266" i="1"/>
  <c r="BQ266" i="1"/>
  <c r="BR266" i="1"/>
  <c r="BS266" i="1"/>
  <c r="BT266" i="1"/>
  <c r="BU266" i="1"/>
  <c r="BV266" i="1"/>
  <c r="BW266" i="1"/>
  <c r="BX266" i="1"/>
  <c r="BY266" i="1"/>
  <c r="BZ266" i="1"/>
  <c r="CA266" i="1"/>
  <c r="CC266" i="1"/>
  <c r="CI266" i="1"/>
  <c r="CO266" i="1" s="1"/>
  <c r="CJ266" i="1"/>
  <c r="CP266" i="1" s="1"/>
  <c r="DD266" i="1"/>
  <c r="DE266" i="1"/>
  <c r="DF266" i="1"/>
  <c r="DG266" i="1"/>
  <c r="DH266" i="1"/>
  <c r="DI266" i="1"/>
  <c r="DJ266" i="1"/>
  <c r="DK266" i="1"/>
  <c r="DL266" i="1"/>
  <c r="DM266" i="1"/>
  <c r="K267" i="1"/>
  <c r="AF267" i="1" a="1"/>
  <c r="AF267" i="1" s="1"/>
  <c r="CE267" i="1"/>
  <c r="J267" i="1"/>
  <c r="AC267" i="1" a="1"/>
  <c r="AC267" i="1" s="1"/>
  <c r="AD267" i="1" a="1"/>
  <c r="AD267" i="1" s="1"/>
  <c r="AG267" i="1" a="1"/>
  <c r="AG267" i="1" s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BI267" i="1"/>
  <c r="BP267" i="1"/>
  <c r="BQ267" i="1"/>
  <c r="BR267" i="1"/>
  <c r="BS267" i="1"/>
  <c r="BT267" i="1"/>
  <c r="BU267" i="1"/>
  <c r="BV267" i="1"/>
  <c r="BW267" i="1"/>
  <c r="BX267" i="1"/>
  <c r="BY267" i="1"/>
  <c r="BZ267" i="1"/>
  <c r="CA267" i="1"/>
  <c r="CB267" i="1"/>
  <c r="DD267" i="1"/>
  <c r="DE267" i="1"/>
  <c r="DF267" i="1"/>
  <c r="DG267" i="1"/>
  <c r="DH267" i="1"/>
  <c r="DI267" i="1"/>
  <c r="DJ267" i="1"/>
  <c r="DK267" i="1"/>
  <c r="DL267" i="1"/>
  <c r="DM267" i="1"/>
  <c r="P268" i="1" a="1"/>
  <c r="P268" i="1" s="1"/>
  <c r="CB268" i="1"/>
  <c r="AF268" i="1" a="1"/>
  <c r="AF268" i="1" s="1"/>
  <c r="M268" i="1"/>
  <c r="N268" i="1"/>
  <c r="J268" i="1"/>
  <c r="L268" i="1"/>
  <c r="AE268" i="1" a="1"/>
  <c r="AE268" i="1"/>
  <c r="AH268" i="1" a="1"/>
  <c r="AH268" i="1" s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G268" i="1"/>
  <c r="BH268" i="1"/>
  <c r="BI268" i="1"/>
  <c r="BP268" i="1"/>
  <c r="BQ268" i="1"/>
  <c r="BR268" i="1"/>
  <c r="BS268" i="1"/>
  <c r="BT268" i="1"/>
  <c r="BU268" i="1"/>
  <c r="BV268" i="1"/>
  <c r="BW268" i="1"/>
  <c r="BX268" i="1"/>
  <c r="BY268" i="1"/>
  <c r="BZ268" i="1"/>
  <c r="CA268" i="1"/>
  <c r="CD268" i="1"/>
  <c r="CK268" i="1"/>
  <c r="CQ268" i="1" s="1"/>
  <c r="DD268" i="1"/>
  <c r="DE268" i="1"/>
  <c r="DF268" i="1"/>
  <c r="DG268" i="1"/>
  <c r="DH268" i="1"/>
  <c r="DI268" i="1"/>
  <c r="DJ268" i="1"/>
  <c r="DK268" i="1"/>
  <c r="DL268" i="1"/>
  <c r="DM268" i="1"/>
  <c r="I269" i="1"/>
  <c r="CH269" i="1"/>
  <c r="AF269" i="1" a="1"/>
  <c r="AF269" i="1" s="1"/>
  <c r="CK269" i="1"/>
  <c r="CQ269" i="1" s="1"/>
  <c r="AH269" i="1" a="1"/>
  <c r="AH269" i="1" s="1"/>
  <c r="K269" i="1"/>
  <c r="AE269" i="1" a="1"/>
  <c r="AE269" i="1" s="1"/>
  <c r="AS269" i="1"/>
  <c r="AT269" i="1"/>
  <c r="AU269" i="1"/>
  <c r="AV269" i="1"/>
  <c r="AW269" i="1"/>
  <c r="AX269" i="1"/>
  <c r="AY269" i="1"/>
  <c r="AZ269" i="1"/>
  <c r="BA269" i="1"/>
  <c r="BB269" i="1"/>
  <c r="BC269" i="1"/>
  <c r="BD269" i="1"/>
  <c r="BE269" i="1"/>
  <c r="BF269" i="1"/>
  <c r="BG269" i="1"/>
  <c r="BH269" i="1"/>
  <c r="BI269" i="1"/>
  <c r="BP269" i="1"/>
  <c r="BQ269" i="1"/>
  <c r="BR269" i="1"/>
  <c r="BS269" i="1"/>
  <c r="BT269" i="1"/>
  <c r="BU269" i="1"/>
  <c r="BV269" i="1"/>
  <c r="BW269" i="1"/>
  <c r="BX269" i="1"/>
  <c r="BY269" i="1"/>
  <c r="BZ269" i="1"/>
  <c r="CA269" i="1"/>
  <c r="DD269" i="1"/>
  <c r="DE269" i="1"/>
  <c r="DF269" i="1"/>
  <c r="DG269" i="1"/>
  <c r="DH269" i="1"/>
  <c r="DI269" i="1"/>
  <c r="DJ269" i="1"/>
  <c r="DK269" i="1"/>
  <c r="DL269" i="1"/>
  <c r="DM269" i="1"/>
  <c r="J270" i="1"/>
  <c r="AE270" i="1" a="1"/>
  <c r="AE270" i="1" s="1"/>
  <c r="CJ270" i="1"/>
  <c r="CP270" i="1" s="1"/>
  <c r="AH270" i="1" a="1"/>
  <c r="AH270" i="1" s="1"/>
  <c r="K270" i="1"/>
  <c r="M270" i="1"/>
  <c r="AG270" i="1" a="1"/>
  <c r="AG270" i="1" s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BI270" i="1"/>
  <c r="BP270" i="1"/>
  <c r="BQ270" i="1"/>
  <c r="BR270" i="1"/>
  <c r="BS270" i="1"/>
  <c r="BT270" i="1"/>
  <c r="BU270" i="1"/>
  <c r="BV270" i="1"/>
  <c r="BW270" i="1"/>
  <c r="BX270" i="1"/>
  <c r="BY270" i="1"/>
  <c r="BZ270" i="1"/>
  <c r="CA270" i="1"/>
  <c r="CC270" i="1"/>
  <c r="CI270" i="1"/>
  <c r="CO270" i="1" s="1"/>
  <c r="CL270" i="1"/>
  <c r="CR270" i="1" s="1"/>
  <c r="DD270" i="1"/>
  <c r="DE270" i="1"/>
  <c r="DF270" i="1"/>
  <c r="DG270" i="1"/>
  <c r="DH270" i="1"/>
  <c r="DI270" i="1"/>
  <c r="DJ270" i="1"/>
  <c r="DK270" i="1"/>
  <c r="DL270" i="1"/>
  <c r="DM270" i="1"/>
  <c r="K271" i="1"/>
  <c r="AF271" i="1" a="1"/>
  <c r="AF271" i="1" s="1"/>
  <c r="BO271" i="1"/>
  <c r="J271" i="1"/>
  <c r="AC271" i="1" a="1"/>
  <c r="AC271" i="1" s="1"/>
  <c r="AD271" i="1" a="1"/>
  <c r="AD271" i="1" s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BI271" i="1"/>
  <c r="BP271" i="1"/>
  <c r="BQ271" i="1"/>
  <c r="BR271" i="1"/>
  <c r="BS271" i="1"/>
  <c r="BT271" i="1"/>
  <c r="BU271" i="1"/>
  <c r="BV271" i="1"/>
  <c r="BW271" i="1"/>
  <c r="BX271" i="1"/>
  <c r="BY271" i="1"/>
  <c r="BZ271" i="1"/>
  <c r="CA271" i="1"/>
  <c r="CB271" i="1"/>
  <c r="CI271" i="1"/>
  <c r="CO271" i="1" s="1"/>
  <c r="DD271" i="1"/>
  <c r="DE271" i="1"/>
  <c r="DF271" i="1"/>
  <c r="DG271" i="1"/>
  <c r="DH271" i="1"/>
  <c r="DI271" i="1"/>
  <c r="DJ271" i="1"/>
  <c r="DK271" i="1"/>
  <c r="DL271" i="1"/>
  <c r="DM271" i="1"/>
  <c r="P272" i="1" a="1"/>
  <c r="P272" i="1" s="1"/>
  <c r="CB272" i="1"/>
  <c r="M272" i="1"/>
  <c r="N272" i="1"/>
  <c r="I272" i="1"/>
  <c r="L272" i="1"/>
  <c r="AC272" i="1" a="1"/>
  <c r="AC272" i="1" s="1"/>
  <c r="AD272" i="1" a="1"/>
  <c r="AD272" i="1" s="1"/>
  <c r="AE272" i="1" a="1"/>
  <c r="AE272" i="1" s="1"/>
  <c r="AF272" i="1" a="1"/>
  <c r="AF272" i="1" s="1"/>
  <c r="AQ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G272" i="1"/>
  <c r="BH272" i="1"/>
  <c r="BI272" i="1"/>
  <c r="BP272" i="1"/>
  <c r="BQ272" i="1"/>
  <c r="BR272" i="1"/>
  <c r="BS272" i="1"/>
  <c r="BT272" i="1"/>
  <c r="BU272" i="1"/>
  <c r="BV272" i="1"/>
  <c r="BW272" i="1"/>
  <c r="BX272" i="1"/>
  <c r="BY272" i="1"/>
  <c r="BZ272" i="1"/>
  <c r="CA272" i="1"/>
  <c r="CD272" i="1"/>
  <c r="CH272" i="1"/>
  <c r="CN272" i="1" s="1"/>
  <c r="CI272" i="1"/>
  <c r="CO272" i="1" s="1"/>
  <c r="DD272" i="1"/>
  <c r="DE272" i="1"/>
  <c r="DF272" i="1"/>
  <c r="DG272" i="1"/>
  <c r="DH272" i="1"/>
  <c r="DI272" i="1"/>
  <c r="DJ272" i="1"/>
  <c r="DK272" i="1"/>
  <c r="DL272" i="1"/>
  <c r="DM272" i="1"/>
  <c r="I273" i="1"/>
  <c r="CH273" i="1"/>
  <c r="CD273" i="1"/>
  <c r="CE273" i="1"/>
  <c r="L273" i="1"/>
  <c r="N273" i="1"/>
  <c r="AE273" i="1" a="1"/>
  <c r="AE273" i="1" s="1"/>
  <c r="AF273" i="1" a="1"/>
  <c r="AF273" i="1" s="1"/>
  <c r="AH273" i="1" a="1"/>
  <c r="AH273" i="1" s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G273" i="1"/>
  <c r="BH273" i="1"/>
  <c r="BI273" i="1"/>
  <c r="BP273" i="1"/>
  <c r="BQ273" i="1"/>
  <c r="BR273" i="1"/>
  <c r="BS273" i="1"/>
  <c r="BT273" i="1"/>
  <c r="BU273" i="1"/>
  <c r="BV273" i="1"/>
  <c r="BW273" i="1"/>
  <c r="BX273" i="1"/>
  <c r="BY273" i="1"/>
  <c r="BZ273" i="1"/>
  <c r="CA273" i="1"/>
  <c r="CF273" i="1"/>
  <c r="DD273" i="1"/>
  <c r="DE273" i="1"/>
  <c r="DF273" i="1"/>
  <c r="DG273" i="1"/>
  <c r="DH273" i="1"/>
  <c r="DI273" i="1"/>
  <c r="DJ273" i="1"/>
  <c r="DK273" i="1"/>
  <c r="DL273" i="1"/>
  <c r="DM273" i="1"/>
  <c r="J274" i="1"/>
  <c r="AE274" i="1" a="1"/>
  <c r="AE274" i="1" s="1"/>
  <c r="CL274" i="1"/>
  <c r="CR274" i="1" s="1"/>
  <c r="AH274" i="1" a="1"/>
  <c r="AH274" i="1" s="1"/>
  <c r="K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BI274" i="1"/>
  <c r="BM274" i="1"/>
  <c r="BP274" i="1"/>
  <c r="BQ274" i="1"/>
  <c r="BR274" i="1"/>
  <c r="BS274" i="1"/>
  <c r="BT274" i="1"/>
  <c r="BU274" i="1"/>
  <c r="BV274" i="1"/>
  <c r="BW274" i="1"/>
  <c r="BX274" i="1"/>
  <c r="BY274" i="1"/>
  <c r="BZ274" i="1"/>
  <c r="CA274" i="1"/>
  <c r="CJ274" i="1"/>
  <c r="CP274" i="1" s="1"/>
  <c r="DD274" i="1"/>
  <c r="DE274" i="1"/>
  <c r="DF274" i="1"/>
  <c r="DG274" i="1"/>
  <c r="DH274" i="1"/>
  <c r="DI274" i="1"/>
  <c r="DJ274" i="1"/>
  <c r="DK274" i="1"/>
  <c r="DL274" i="1"/>
  <c r="DM274" i="1"/>
  <c r="J275" i="1"/>
  <c r="K275" i="1"/>
  <c r="AF275" i="1" a="1"/>
  <c r="AF275" i="1" s="1"/>
  <c r="CK275" i="1"/>
  <c r="CQ275" i="1" s="1"/>
  <c r="CL275" i="1"/>
  <c r="CR275" i="1" s="1"/>
  <c r="AC275" i="1" a="1"/>
  <c r="AC275" i="1" s="1"/>
  <c r="AD275" i="1" a="1"/>
  <c r="AD275" i="1" s="1"/>
  <c r="AG275" i="1" a="1"/>
  <c r="AG275" i="1" s="1"/>
  <c r="AS275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F275" i="1"/>
  <c r="BG275" i="1"/>
  <c r="BH275" i="1"/>
  <c r="BI275" i="1"/>
  <c r="BP275" i="1"/>
  <c r="BQ275" i="1"/>
  <c r="BR275" i="1"/>
  <c r="BS275" i="1"/>
  <c r="BT275" i="1"/>
  <c r="BU275" i="1"/>
  <c r="BV275" i="1"/>
  <c r="BW275" i="1"/>
  <c r="BX275" i="1"/>
  <c r="BY275" i="1"/>
  <c r="BZ275" i="1"/>
  <c r="CA275" i="1"/>
  <c r="CB275" i="1"/>
  <c r="CI275" i="1"/>
  <c r="CO275" i="1" s="1"/>
  <c r="DD275" i="1"/>
  <c r="DE275" i="1"/>
  <c r="DF275" i="1"/>
  <c r="DG275" i="1"/>
  <c r="DH275" i="1"/>
  <c r="DI275" i="1"/>
  <c r="DJ275" i="1"/>
  <c r="DK275" i="1"/>
  <c r="DL275" i="1"/>
  <c r="DM275" i="1"/>
  <c r="AP276" i="1"/>
  <c r="AE276" i="1" a="1"/>
  <c r="AE276" i="1" s="1"/>
  <c r="CD276" i="1"/>
  <c r="M276" i="1"/>
  <c r="N276" i="1"/>
  <c r="I276" i="1"/>
  <c r="P276" i="1" a="1"/>
  <c r="P276" i="1" s="1"/>
  <c r="AC276" i="1" a="1"/>
  <c r="AC276" i="1" s="1"/>
  <c r="AH276" i="1" a="1"/>
  <c r="AH276" i="1" s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BI276" i="1"/>
  <c r="BP276" i="1"/>
  <c r="BQ276" i="1"/>
  <c r="BR276" i="1"/>
  <c r="BS276" i="1"/>
  <c r="BT276" i="1"/>
  <c r="BU276" i="1"/>
  <c r="BV276" i="1"/>
  <c r="BW276" i="1"/>
  <c r="BX276" i="1"/>
  <c r="BY276" i="1"/>
  <c r="BZ276" i="1"/>
  <c r="CA276" i="1"/>
  <c r="DD276" i="1"/>
  <c r="DE276" i="1"/>
  <c r="DF276" i="1"/>
  <c r="DG276" i="1"/>
  <c r="DH276" i="1"/>
  <c r="DI276" i="1"/>
  <c r="DJ276" i="1"/>
  <c r="DK276" i="1"/>
  <c r="DL276" i="1"/>
  <c r="DM276" i="1"/>
  <c r="Z277" i="1" a="1"/>
  <c r="Z277" i="1" s="1"/>
  <c r="L277" i="1"/>
  <c r="AH277" i="1" a="1"/>
  <c r="AH277" i="1" s="1"/>
  <c r="I277" i="1"/>
  <c r="K277" i="1"/>
  <c r="AE277" i="1" a="1"/>
  <c r="AE277" i="1" s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I277" i="1"/>
  <c r="BP277" i="1"/>
  <c r="BQ277" i="1"/>
  <c r="BR277" i="1"/>
  <c r="BS277" i="1"/>
  <c r="BT277" i="1"/>
  <c r="BU277" i="1"/>
  <c r="BV277" i="1"/>
  <c r="BW277" i="1"/>
  <c r="BX277" i="1"/>
  <c r="BY277" i="1"/>
  <c r="BZ277" i="1"/>
  <c r="CA277" i="1"/>
  <c r="CD277" i="1"/>
  <c r="CH277" i="1"/>
  <c r="CN277" i="1" s="1"/>
  <c r="DD277" i="1"/>
  <c r="DE277" i="1"/>
  <c r="DF277" i="1"/>
  <c r="DG277" i="1"/>
  <c r="DH277" i="1"/>
  <c r="DI277" i="1"/>
  <c r="DJ277" i="1"/>
  <c r="DK277" i="1"/>
  <c r="DL277" i="1"/>
  <c r="DM277" i="1"/>
  <c r="AO278" i="1"/>
  <c r="J278" i="1"/>
  <c r="AE278" i="1" a="1"/>
  <c r="AE278" i="1" s="1"/>
  <c r="AG278" i="1" a="1"/>
  <c r="AG278" i="1" s="1"/>
  <c r="AH278" i="1" a="1"/>
  <c r="AH278" i="1" s="1"/>
  <c r="M278" i="1"/>
  <c r="N278" i="1"/>
  <c r="AF278" i="1" a="1"/>
  <c r="AF278" i="1" s="1"/>
  <c r="AS278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F278" i="1"/>
  <c r="BG278" i="1"/>
  <c r="BH278" i="1"/>
  <c r="BI278" i="1"/>
  <c r="BP278" i="1"/>
  <c r="BQ278" i="1"/>
  <c r="BR278" i="1"/>
  <c r="BS278" i="1"/>
  <c r="BT278" i="1"/>
  <c r="BU278" i="1"/>
  <c r="BV278" i="1"/>
  <c r="BW278" i="1"/>
  <c r="BX278" i="1"/>
  <c r="BY278" i="1"/>
  <c r="BZ278" i="1"/>
  <c r="CA278" i="1"/>
  <c r="CJ278" i="1"/>
  <c r="CP278" i="1" s="1"/>
  <c r="DD278" i="1"/>
  <c r="DE278" i="1"/>
  <c r="DF278" i="1"/>
  <c r="DG278" i="1"/>
  <c r="DH278" i="1"/>
  <c r="DI278" i="1"/>
  <c r="DJ278" i="1"/>
  <c r="DK278" i="1"/>
  <c r="DL278" i="1"/>
  <c r="DM278" i="1"/>
  <c r="BO279" i="1"/>
  <c r="AQ279" i="1"/>
  <c r="AF279" i="1" a="1"/>
  <c r="AF279" i="1" s="1"/>
  <c r="M279" i="1"/>
  <c r="AH279" i="1" a="1"/>
  <c r="AH279" i="1" s="1"/>
  <c r="J279" i="1"/>
  <c r="AC279" i="1" a="1"/>
  <c r="AC279" i="1" s="1"/>
  <c r="AD279" i="1" a="1"/>
  <c r="AD279" i="1" s="1"/>
  <c r="AG279" i="1" a="1"/>
  <c r="AG279" i="1" s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BI279" i="1"/>
  <c r="BP279" i="1"/>
  <c r="BQ279" i="1"/>
  <c r="BR279" i="1"/>
  <c r="BS279" i="1"/>
  <c r="BT279" i="1"/>
  <c r="BU279" i="1"/>
  <c r="BV279" i="1"/>
  <c r="BW279" i="1"/>
  <c r="BX279" i="1"/>
  <c r="BY279" i="1"/>
  <c r="BZ279" i="1"/>
  <c r="CA279" i="1"/>
  <c r="CB279" i="1"/>
  <c r="CI279" i="1"/>
  <c r="CO279" i="1" s="1"/>
  <c r="DD279" i="1"/>
  <c r="DE279" i="1"/>
  <c r="DF279" i="1"/>
  <c r="DG279" i="1"/>
  <c r="DH279" i="1"/>
  <c r="DI279" i="1"/>
  <c r="DJ279" i="1"/>
  <c r="DK279" i="1"/>
  <c r="DL279" i="1"/>
  <c r="DM279" i="1"/>
  <c r="P280" i="1" a="1"/>
  <c r="P280" i="1" s="1"/>
  <c r="Q280" i="1" s="1"/>
  <c r="AD280" i="1" a="1"/>
  <c r="AD280" i="1" s="1"/>
  <c r="CD280" i="1"/>
  <c r="N280" i="1"/>
  <c r="I280" i="1"/>
  <c r="J280" i="1"/>
  <c r="L280" i="1"/>
  <c r="AE280" i="1" a="1"/>
  <c r="AE280" i="1" s="1"/>
  <c r="AF280" i="1" a="1"/>
  <c r="AF280" i="1" s="1"/>
  <c r="AH280" i="1" a="1"/>
  <c r="AH280" i="1" s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BI280" i="1"/>
  <c r="BP280" i="1"/>
  <c r="BQ280" i="1"/>
  <c r="BR280" i="1"/>
  <c r="BS280" i="1"/>
  <c r="BT280" i="1"/>
  <c r="BU280" i="1"/>
  <c r="BV280" i="1"/>
  <c r="BW280" i="1"/>
  <c r="BX280" i="1"/>
  <c r="BY280" i="1"/>
  <c r="BZ280" i="1"/>
  <c r="CA280" i="1"/>
  <c r="CB280" i="1"/>
  <c r="CI280" i="1"/>
  <c r="CO280" i="1"/>
  <c r="DD280" i="1"/>
  <c r="DE280" i="1"/>
  <c r="DF280" i="1"/>
  <c r="DG280" i="1"/>
  <c r="DH280" i="1"/>
  <c r="DI280" i="1"/>
  <c r="DJ280" i="1"/>
  <c r="DK280" i="1"/>
  <c r="DL280" i="1"/>
  <c r="DM280" i="1"/>
  <c r="CH281" i="1"/>
  <c r="CN281" i="1" s="1"/>
  <c r="AF281" i="1" a="1"/>
  <c r="AF281" i="1" s="1"/>
  <c r="N281" i="1"/>
  <c r="K281" i="1"/>
  <c r="L281" i="1"/>
  <c r="AE281" i="1" a="1"/>
  <c r="AE281" i="1" s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G281" i="1"/>
  <c r="BH281" i="1"/>
  <c r="BI281" i="1"/>
  <c r="BK281" i="1"/>
  <c r="BP281" i="1"/>
  <c r="BQ281" i="1"/>
  <c r="BR281" i="1"/>
  <c r="BS281" i="1"/>
  <c r="BT281" i="1"/>
  <c r="BU281" i="1"/>
  <c r="BV281" i="1"/>
  <c r="BW281" i="1"/>
  <c r="BX281" i="1"/>
  <c r="BY281" i="1"/>
  <c r="BZ281" i="1"/>
  <c r="CA281" i="1"/>
  <c r="CJ281" i="1"/>
  <c r="CP281" i="1" s="1"/>
  <c r="CK281" i="1"/>
  <c r="CQ281" i="1" s="1"/>
  <c r="DD281" i="1"/>
  <c r="DE281" i="1"/>
  <c r="DF281" i="1"/>
  <c r="DG281" i="1"/>
  <c r="DH281" i="1"/>
  <c r="DI281" i="1"/>
  <c r="DJ281" i="1"/>
  <c r="DK281" i="1"/>
  <c r="DL281" i="1"/>
  <c r="DM281" i="1"/>
  <c r="CB282" i="1"/>
  <c r="J282" i="1"/>
  <c r="AE282" i="1" a="1"/>
  <c r="AE282" i="1" s="1"/>
  <c r="AF282" i="1" a="1"/>
  <c r="AF282" i="1" s="1"/>
  <c r="M282" i="1"/>
  <c r="AH282" i="1" a="1"/>
  <c r="AH282" i="1" s="1"/>
  <c r="N282" i="1"/>
  <c r="AC282" i="1" a="1"/>
  <c r="AC282" i="1" s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I282" i="1"/>
  <c r="BP282" i="1"/>
  <c r="BQ282" i="1"/>
  <c r="BR282" i="1"/>
  <c r="BS282" i="1"/>
  <c r="BT282" i="1"/>
  <c r="BU282" i="1"/>
  <c r="BV282" i="1"/>
  <c r="BW282" i="1"/>
  <c r="BX282" i="1"/>
  <c r="BY282" i="1"/>
  <c r="BZ282" i="1"/>
  <c r="CA282" i="1"/>
  <c r="CF282" i="1"/>
  <c r="CL282" i="1"/>
  <c r="CR282" i="1" s="1"/>
  <c r="DD282" i="1"/>
  <c r="DE282" i="1"/>
  <c r="DF282" i="1"/>
  <c r="DG282" i="1"/>
  <c r="DH282" i="1"/>
  <c r="DI282" i="1"/>
  <c r="DJ282" i="1"/>
  <c r="DK282" i="1"/>
  <c r="DL282" i="1"/>
  <c r="DM282" i="1"/>
  <c r="AR283" i="1"/>
  <c r="J283" i="1"/>
  <c r="AF283" i="1" a="1"/>
  <c r="AF283" i="1" s="1"/>
  <c r="AH283" i="1" a="1"/>
  <c r="AH283" i="1" s="1"/>
  <c r="AC283" i="1" a="1"/>
  <c r="AC283" i="1" s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G283" i="1"/>
  <c r="BH283" i="1"/>
  <c r="BI283" i="1"/>
  <c r="BP283" i="1"/>
  <c r="BQ283" i="1"/>
  <c r="BR283" i="1"/>
  <c r="BS283" i="1"/>
  <c r="BT283" i="1"/>
  <c r="BU283" i="1"/>
  <c r="BV283" i="1"/>
  <c r="BW283" i="1"/>
  <c r="BX283" i="1"/>
  <c r="BY283" i="1"/>
  <c r="BZ283" i="1"/>
  <c r="CA283" i="1"/>
  <c r="DD283" i="1"/>
  <c r="DE283" i="1"/>
  <c r="DF283" i="1"/>
  <c r="DG283" i="1"/>
  <c r="DH283" i="1"/>
  <c r="DI283" i="1"/>
  <c r="DJ283" i="1"/>
  <c r="DK283" i="1"/>
  <c r="DL283" i="1"/>
  <c r="DM283" i="1"/>
  <c r="P284" i="1" a="1"/>
  <c r="P284" i="1" s="1"/>
  <c r="Q284" i="1" s="1"/>
  <c r="CH284" i="1"/>
  <c r="CN284" i="1" s="1"/>
  <c r="CD284" i="1"/>
  <c r="N284" i="1"/>
  <c r="I284" i="1"/>
  <c r="J284" i="1"/>
  <c r="L284" i="1"/>
  <c r="AD284" i="1" a="1"/>
  <c r="AD284" i="1" s="1"/>
  <c r="AE284" i="1" a="1"/>
  <c r="AE284" i="1" s="1"/>
  <c r="AF284" i="1" a="1"/>
  <c r="AF284" i="1" s="1"/>
  <c r="AH284" i="1" a="1"/>
  <c r="AH284" i="1" s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G284" i="1"/>
  <c r="BH284" i="1"/>
  <c r="BI284" i="1"/>
  <c r="BP284" i="1"/>
  <c r="BQ284" i="1"/>
  <c r="BR284" i="1"/>
  <c r="BS284" i="1"/>
  <c r="BT284" i="1"/>
  <c r="BU284" i="1"/>
  <c r="BV284" i="1"/>
  <c r="BW284" i="1"/>
  <c r="BX284" i="1"/>
  <c r="BY284" i="1"/>
  <c r="BZ284" i="1"/>
  <c r="CA284" i="1"/>
  <c r="CF284" i="1"/>
  <c r="CI284" i="1"/>
  <c r="CO284" i="1" s="1"/>
  <c r="CK284" i="1"/>
  <c r="CQ284" i="1" s="1"/>
  <c r="DD284" i="1"/>
  <c r="DE284" i="1"/>
  <c r="DF284" i="1"/>
  <c r="DG284" i="1"/>
  <c r="DH284" i="1"/>
  <c r="DI284" i="1"/>
  <c r="DJ284" i="1"/>
  <c r="DK284" i="1"/>
  <c r="DL284" i="1"/>
  <c r="DM284" i="1"/>
  <c r="V285" i="1" a="1"/>
  <c r="V285" i="1" s="1"/>
  <c r="W285" i="1" s="1"/>
  <c r="AE285" i="1" a="1"/>
  <c r="AE285" i="1" s="1"/>
  <c r="AF285" i="1" a="1"/>
  <c r="AF285" i="1" s="1"/>
  <c r="CF285" i="1"/>
  <c r="N285" i="1"/>
  <c r="Z285" i="1" a="1"/>
  <c r="Z285" i="1" s="1"/>
  <c r="AH285" i="1" a="1"/>
  <c r="AH285" i="1" s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BI285" i="1"/>
  <c r="BP285" i="1"/>
  <c r="BQ285" i="1"/>
  <c r="BR285" i="1"/>
  <c r="BS285" i="1"/>
  <c r="BT285" i="1"/>
  <c r="BU285" i="1"/>
  <c r="BV285" i="1"/>
  <c r="BW285" i="1"/>
  <c r="BX285" i="1"/>
  <c r="BY285" i="1"/>
  <c r="BZ285" i="1"/>
  <c r="CA285" i="1"/>
  <c r="DD285" i="1"/>
  <c r="DE285" i="1"/>
  <c r="DF285" i="1"/>
  <c r="DG285" i="1"/>
  <c r="DH285" i="1"/>
  <c r="DI285" i="1"/>
  <c r="DJ285" i="1"/>
  <c r="DK285" i="1"/>
  <c r="DL285" i="1"/>
  <c r="DM285" i="1"/>
  <c r="AC286" i="1" a="1"/>
  <c r="AC286" i="1" s="1"/>
  <c r="AE286" i="1" a="1"/>
  <c r="AE286" i="1" s="1"/>
  <c r="L286" i="1"/>
  <c r="AG286" i="1" a="1"/>
  <c r="AG286" i="1" s="1"/>
  <c r="AH286" i="1" a="1"/>
  <c r="AH286" i="1" s="1"/>
  <c r="M286" i="1"/>
  <c r="N286" i="1"/>
  <c r="V286" i="1" a="1"/>
  <c r="V286" i="1" s="1"/>
  <c r="W286" i="1" s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BI286" i="1"/>
  <c r="BP286" i="1"/>
  <c r="BQ286" i="1"/>
  <c r="BR286" i="1"/>
  <c r="BS286" i="1"/>
  <c r="BT286" i="1"/>
  <c r="BU286" i="1"/>
  <c r="BV286" i="1"/>
  <c r="BW286" i="1"/>
  <c r="BX286" i="1"/>
  <c r="BY286" i="1"/>
  <c r="BZ286" i="1"/>
  <c r="CA286" i="1"/>
  <c r="DD286" i="1"/>
  <c r="DE286" i="1"/>
  <c r="DF286" i="1"/>
  <c r="DG286" i="1"/>
  <c r="DH286" i="1"/>
  <c r="DI286" i="1"/>
  <c r="DJ286" i="1"/>
  <c r="DK286" i="1"/>
  <c r="DL286" i="1"/>
  <c r="DM286" i="1"/>
  <c r="CB287" i="1"/>
  <c r="CD287" i="1"/>
  <c r="CF287" i="1"/>
  <c r="J287" i="1"/>
  <c r="M287" i="1"/>
  <c r="AC287" i="1" a="1"/>
  <c r="AC287" i="1" s="1"/>
  <c r="AD287" i="1" a="1"/>
  <c r="AD287" i="1" s="1"/>
  <c r="AG287" i="1" a="1"/>
  <c r="AG287" i="1" s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G287" i="1"/>
  <c r="BH287" i="1"/>
  <c r="BI287" i="1"/>
  <c r="BP287" i="1"/>
  <c r="BQ287" i="1"/>
  <c r="BR287" i="1"/>
  <c r="BS287" i="1"/>
  <c r="BT287" i="1"/>
  <c r="BU287" i="1"/>
  <c r="BV287" i="1"/>
  <c r="BW287" i="1"/>
  <c r="BX287" i="1"/>
  <c r="BY287" i="1"/>
  <c r="BZ287" i="1"/>
  <c r="CA287" i="1"/>
  <c r="DD287" i="1"/>
  <c r="DE287" i="1"/>
  <c r="DF287" i="1"/>
  <c r="DG287" i="1"/>
  <c r="DH287" i="1"/>
  <c r="DI287" i="1"/>
  <c r="DJ287" i="1"/>
  <c r="DK287" i="1"/>
  <c r="DL287" i="1"/>
  <c r="DM287" i="1"/>
  <c r="P288" i="1" a="1"/>
  <c r="P288" i="1" s="1"/>
  <c r="AD288" i="1" a="1"/>
  <c r="AD288" i="1" s="1"/>
  <c r="AE288" i="1" a="1"/>
  <c r="AE288" i="1" s="1"/>
  <c r="CE288" i="1"/>
  <c r="N288" i="1"/>
  <c r="J288" i="1"/>
  <c r="L288" i="1"/>
  <c r="AF288" i="1" a="1"/>
  <c r="AF288" i="1" s="1"/>
  <c r="AH288" i="1" a="1"/>
  <c r="AH288" i="1" s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G288" i="1"/>
  <c r="BH288" i="1"/>
  <c r="BI288" i="1"/>
  <c r="BO288" i="1"/>
  <c r="BP288" i="1"/>
  <c r="BQ288" i="1"/>
  <c r="BR288" i="1"/>
  <c r="BS288" i="1"/>
  <c r="BT288" i="1"/>
  <c r="BU288" i="1"/>
  <c r="BV288" i="1"/>
  <c r="BW288" i="1"/>
  <c r="BX288" i="1"/>
  <c r="BY288" i="1"/>
  <c r="BZ288" i="1"/>
  <c r="CA288" i="1"/>
  <c r="CD288" i="1"/>
  <c r="CF288" i="1"/>
  <c r="CH288" i="1"/>
  <c r="CN288" i="1" s="1"/>
  <c r="CI288" i="1"/>
  <c r="CO288" i="1" s="1"/>
  <c r="DD288" i="1"/>
  <c r="DE288" i="1"/>
  <c r="DF288" i="1"/>
  <c r="DG288" i="1"/>
  <c r="DH288" i="1"/>
  <c r="DI288" i="1"/>
  <c r="DJ288" i="1"/>
  <c r="DK288" i="1"/>
  <c r="DL288" i="1"/>
  <c r="DM288" i="1"/>
  <c r="S289" i="1"/>
  <c r="T289" i="1" s="1"/>
  <c r="AE289" i="1" a="1"/>
  <c r="AE289" i="1" s="1"/>
  <c r="AF289" i="1" a="1"/>
  <c r="AF289" i="1" s="1"/>
  <c r="CF289" i="1"/>
  <c r="N289" i="1"/>
  <c r="AH289" i="1" a="1"/>
  <c r="AH289" i="1" s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G289" i="1"/>
  <c r="BH289" i="1"/>
  <c r="BI289" i="1"/>
  <c r="BP289" i="1"/>
  <c r="BQ289" i="1"/>
  <c r="BR289" i="1"/>
  <c r="BS289" i="1"/>
  <c r="BT289" i="1"/>
  <c r="BU289" i="1"/>
  <c r="BV289" i="1"/>
  <c r="BW289" i="1"/>
  <c r="BX289" i="1"/>
  <c r="BY289" i="1"/>
  <c r="BZ289" i="1"/>
  <c r="CA289" i="1"/>
  <c r="CH289" i="1"/>
  <c r="CJ289" i="1"/>
  <c r="CP289" i="1" s="1"/>
  <c r="CK289" i="1"/>
  <c r="CQ289" i="1" s="1"/>
  <c r="DD289" i="1"/>
  <c r="DE289" i="1"/>
  <c r="DF289" i="1"/>
  <c r="DG289" i="1"/>
  <c r="DH289" i="1"/>
  <c r="DI289" i="1"/>
  <c r="DJ289" i="1"/>
  <c r="DK289" i="1"/>
  <c r="DL289" i="1"/>
  <c r="DM289" i="1"/>
  <c r="CB290" i="1"/>
  <c r="AE290" i="1" a="1"/>
  <c r="AE290" i="1" s="1"/>
  <c r="AF290" i="1" a="1"/>
  <c r="AF290" i="1" s="1"/>
  <c r="M290" i="1"/>
  <c r="AH290" i="1" a="1"/>
  <c r="AH290" i="1" s="1"/>
  <c r="N290" i="1"/>
  <c r="AC290" i="1" a="1"/>
  <c r="AC290" i="1" s="1"/>
  <c r="AG290" i="1" a="1"/>
  <c r="AG290" i="1" s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G290" i="1"/>
  <c r="BH290" i="1"/>
  <c r="BI290" i="1"/>
  <c r="BL290" i="1"/>
  <c r="BP290" i="1"/>
  <c r="BQ290" i="1"/>
  <c r="BR290" i="1"/>
  <c r="BS290" i="1"/>
  <c r="BT290" i="1"/>
  <c r="BU290" i="1"/>
  <c r="BV290" i="1"/>
  <c r="BW290" i="1"/>
  <c r="BX290" i="1"/>
  <c r="BY290" i="1"/>
  <c r="BZ290" i="1"/>
  <c r="CA290" i="1"/>
  <c r="CF290" i="1"/>
  <c r="CJ290" i="1"/>
  <c r="CP290" i="1" s="1"/>
  <c r="CL290" i="1"/>
  <c r="CR290" i="1" s="1"/>
  <c r="DD290" i="1"/>
  <c r="DE290" i="1"/>
  <c r="DF290" i="1"/>
  <c r="DG290" i="1"/>
  <c r="DH290" i="1"/>
  <c r="DI290" i="1"/>
  <c r="DJ290" i="1"/>
  <c r="DK290" i="1"/>
  <c r="DL290" i="1"/>
  <c r="DM290" i="1"/>
  <c r="J291" i="1"/>
  <c r="CD291" i="1"/>
  <c r="M291" i="1"/>
  <c r="AC291" i="1" a="1"/>
  <c r="AC291" i="1" s="1"/>
  <c r="AD291" i="1" a="1"/>
  <c r="AD291" i="1" s="1"/>
  <c r="AH291" i="1" a="1"/>
  <c r="AH291" i="1" s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G291" i="1"/>
  <c r="BH291" i="1"/>
  <c r="BI291" i="1"/>
  <c r="BP291" i="1"/>
  <c r="BQ291" i="1"/>
  <c r="BR291" i="1"/>
  <c r="BS291" i="1"/>
  <c r="BT291" i="1"/>
  <c r="BU291" i="1"/>
  <c r="BV291" i="1"/>
  <c r="BW291" i="1"/>
  <c r="BX291" i="1"/>
  <c r="BY291" i="1"/>
  <c r="BZ291" i="1"/>
  <c r="CA291" i="1"/>
  <c r="CB291" i="1"/>
  <c r="DD291" i="1"/>
  <c r="DE291" i="1"/>
  <c r="DF291" i="1"/>
  <c r="DG291" i="1"/>
  <c r="DH291" i="1"/>
  <c r="DI291" i="1"/>
  <c r="DJ291" i="1"/>
  <c r="DK291" i="1"/>
  <c r="DL291" i="1"/>
  <c r="DM291" i="1"/>
  <c r="AR292" i="1"/>
  <c r="AE292" i="1" a="1"/>
  <c r="AE292" i="1" s="1"/>
  <c r="CD292" i="1"/>
  <c r="N292" i="1"/>
  <c r="I292" i="1"/>
  <c r="J292" i="1"/>
  <c r="L292" i="1"/>
  <c r="AD292" i="1" a="1"/>
  <c r="AD292" i="1" s="1"/>
  <c r="AH292" i="1" a="1"/>
  <c r="AH292" i="1" s="1"/>
  <c r="AQ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G292" i="1"/>
  <c r="BH292" i="1"/>
  <c r="BI292" i="1"/>
  <c r="BP292" i="1"/>
  <c r="BQ292" i="1"/>
  <c r="BR292" i="1"/>
  <c r="BS292" i="1"/>
  <c r="BT292" i="1"/>
  <c r="BU292" i="1"/>
  <c r="BV292" i="1"/>
  <c r="BW292" i="1"/>
  <c r="BX292" i="1"/>
  <c r="BY292" i="1"/>
  <c r="BZ292" i="1"/>
  <c r="CA292" i="1"/>
  <c r="CB292" i="1"/>
  <c r="CL292" i="1"/>
  <c r="CR292" i="1" s="1"/>
  <c r="DD292" i="1"/>
  <c r="DE292" i="1"/>
  <c r="DF292" i="1"/>
  <c r="DG292" i="1"/>
  <c r="DH292" i="1"/>
  <c r="DI292" i="1"/>
  <c r="DJ292" i="1"/>
  <c r="DK292" i="1"/>
  <c r="DL292" i="1"/>
  <c r="DM292" i="1"/>
  <c r="Z293" i="1" a="1"/>
  <c r="Z293" i="1" s="1"/>
  <c r="CJ293" i="1"/>
  <c r="CP293" i="1" s="1"/>
  <c r="J293" i="1"/>
  <c r="K293" i="1"/>
  <c r="L293" i="1"/>
  <c r="N293" i="1"/>
  <c r="AD293" i="1" a="1"/>
  <c r="AD293" i="1" s="1"/>
  <c r="AE293" i="1" a="1"/>
  <c r="AE293" i="1" s="1"/>
  <c r="AF293" i="1" a="1"/>
  <c r="AF293" i="1" s="1"/>
  <c r="AH293" i="1" a="1"/>
  <c r="AH293" i="1" s="1"/>
  <c r="AK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G293" i="1"/>
  <c r="BH293" i="1"/>
  <c r="BI293" i="1"/>
  <c r="BP293" i="1"/>
  <c r="BQ293" i="1"/>
  <c r="BR293" i="1"/>
  <c r="BS293" i="1"/>
  <c r="BT293" i="1"/>
  <c r="BU293" i="1"/>
  <c r="BV293" i="1"/>
  <c r="BW293" i="1"/>
  <c r="BX293" i="1"/>
  <c r="BY293" i="1"/>
  <c r="BZ293" i="1"/>
  <c r="CA293" i="1"/>
  <c r="CD293" i="1"/>
  <c r="CH293" i="1"/>
  <c r="CN293" i="1" s="1"/>
  <c r="DD293" i="1"/>
  <c r="DE293" i="1"/>
  <c r="DF293" i="1"/>
  <c r="DG293" i="1"/>
  <c r="DH293" i="1"/>
  <c r="DI293" i="1"/>
  <c r="DJ293" i="1"/>
  <c r="DK293" i="1"/>
  <c r="DL293" i="1"/>
  <c r="DM293" i="1"/>
  <c r="CI294" i="1"/>
  <c r="K294" i="1"/>
  <c r="CE294" i="1"/>
  <c r="M294" i="1"/>
  <c r="AH294" i="1" a="1"/>
  <c r="AH294" i="1" s="1"/>
  <c r="I294" i="1"/>
  <c r="N294" i="1"/>
  <c r="AN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G294" i="1"/>
  <c r="BH294" i="1"/>
  <c r="BI294" i="1"/>
  <c r="BP294" i="1"/>
  <c r="BQ294" i="1"/>
  <c r="BR294" i="1"/>
  <c r="BS294" i="1"/>
  <c r="BT294" i="1"/>
  <c r="BU294" i="1"/>
  <c r="BV294" i="1"/>
  <c r="BW294" i="1"/>
  <c r="BX294" i="1"/>
  <c r="BY294" i="1"/>
  <c r="BZ294" i="1"/>
  <c r="CA294" i="1"/>
  <c r="CF294" i="1"/>
  <c r="CL294" i="1"/>
  <c r="CR294" i="1" s="1"/>
  <c r="DD294" i="1"/>
  <c r="DE294" i="1"/>
  <c r="DF294" i="1"/>
  <c r="DG294" i="1"/>
  <c r="DH294" i="1"/>
  <c r="DI294" i="1"/>
  <c r="DJ294" i="1"/>
  <c r="DK294" i="1"/>
  <c r="DL294" i="1"/>
  <c r="DM294" i="1"/>
  <c r="AK295" i="1"/>
  <c r="AD295" i="1" a="1"/>
  <c r="AD295" i="1" s="1"/>
  <c r="AE295" i="1" a="1"/>
  <c r="AE295" i="1" s="1"/>
  <c r="L295" i="1"/>
  <c r="CF295" i="1"/>
  <c r="J295" i="1"/>
  <c r="M295" i="1"/>
  <c r="AG295" i="1" a="1"/>
  <c r="AG295" i="1" s="1"/>
  <c r="AO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BI295" i="1"/>
  <c r="BP295" i="1"/>
  <c r="BQ295" i="1"/>
  <c r="BR295" i="1"/>
  <c r="BS295" i="1"/>
  <c r="BT295" i="1"/>
  <c r="BU295" i="1"/>
  <c r="BV295" i="1"/>
  <c r="BW295" i="1"/>
  <c r="BX295" i="1"/>
  <c r="BY295" i="1"/>
  <c r="BZ295" i="1"/>
  <c r="CA295" i="1"/>
  <c r="CD295" i="1"/>
  <c r="CE295" i="1"/>
  <c r="CI295" i="1"/>
  <c r="CO295" i="1" s="1"/>
  <c r="DD295" i="1"/>
  <c r="DE295" i="1"/>
  <c r="DF295" i="1"/>
  <c r="DG295" i="1"/>
  <c r="DH295" i="1"/>
  <c r="DI295" i="1"/>
  <c r="DJ295" i="1"/>
  <c r="DK295" i="1"/>
  <c r="DL295" i="1"/>
  <c r="DM295" i="1"/>
  <c r="AR296" i="1"/>
  <c r="CI296" i="1"/>
  <c r="CO296" i="1" s="1"/>
  <c r="CE296" i="1"/>
  <c r="N296" i="1"/>
  <c r="I296" i="1"/>
  <c r="M296" i="1"/>
  <c r="AC296" i="1" a="1"/>
  <c r="AC296" i="1" s="1"/>
  <c r="AG296" i="1" a="1"/>
  <c r="AG296" i="1" s="1"/>
  <c r="AH296" i="1" a="1"/>
  <c r="AH296" i="1" s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G296" i="1"/>
  <c r="BH296" i="1"/>
  <c r="BI296" i="1"/>
  <c r="BP296" i="1"/>
  <c r="BQ296" i="1"/>
  <c r="BR296" i="1"/>
  <c r="BS296" i="1"/>
  <c r="BT296" i="1"/>
  <c r="BU296" i="1"/>
  <c r="BV296" i="1"/>
  <c r="BW296" i="1"/>
  <c r="BX296" i="1"/>
  <c r="BY296" i="1"/>
  <c r="BZ296" i="1"/>
  <c r="CA296" i="1"/>
  <c r="CF296" i="1"/>
  <c r="DD296" i="1"/>
  <c r="DE296" i="1"/>
  <c r="DF296" i="1"/>
  <c r="DG296" i="1"/>
  <c r="DH296" i="1"/>
  <c r="DI296" i="1"/>
  <c r="DJ296" i="1"/>
  <c r="DK296" i="1"/>
  <c r="DL296" i="1"/>
  <c r="DM296" i="1"/>
  <c r="Y297" i="1" a="1"/>
  <c r="Y297" i="1" s="1"/>
  <c r="CC297" i="1"/>
  <c r="L297" i="1"/>
  <c r="J297" i="1"/>
  <c r="K297" i="1"/>
  <c r="N297" i="1"/>
  <c r="AD297" i="1" a="1"/>
  <c r="AD297" i="1" s="1"/>
  <c r="AE297" i="1" a="1"/>
  <c r="AE297" i="1" s="1"/>
  <c r="AF297" i="1" a="1"/>
  <c r="AF297" i="1" s="1"/>
  <c r="AH297" i="1" a="1"/>
  <c r="AH297" i="1" s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BI297" i="1"/>
  <c r="BL297" i="1"/>
  <c r="BP297" i="1"/>
  <c r="BQ297" i="1"/>
  <c r="BR297" i="1"/>
  <c r="BS297" i="1"/>
  <c r="BT297" i="1"/>
  <c r="BU297" i="1"/>
  <c r="BV297" i="1"/>
  <c r="BW297" i="1"/>
  <c r="BX297" i="1"/>
  <c r="BY297" i="1"/>
  <c r="BZ297" i="1"/>
  <c r="CA297" i="1"/>
  <c r="CF297" i="1"/>
  <c r="CJ297" i="1"/>
  <c r="CP297" i="1" s="1"/>
  <c r="CK297" i="1"/>
  <c r="CQ297" i="1" s="1"/>
  <c r="DD297" i="1"/>
  <c r="DE297" i="1"/>
  <c r="DF297" i="1"/>
  <c r="DG297" i="1"/>
  <c r="DH297" i="1"/>
  <c r="DI297" i="1"/>
  <c r="DJ297" i="1"/>
  <c r="DK297" i="1"/>
  <c r="DL297" i="1"/>
  <c r="DM297" i="1"/>
  <c r="I298" i="1"/>
  <c r="J298" i="1"/>
  <c r="AE298" i="1" a="1"/>
  <c r="AE298" i="1" s="1"/>
  <c r="L298" i="1"/>
  <c r="CF298" i="1"/>
  <c r="AH298" i="1" a="1"/>
  <c r="AH298" i="1" s="1"/>
  <c r="K298" i="1"/>
  <c r="AD298" i="1" a="1"/>
  <c r="AD298" i="1" s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BI298" i="1"/>
  <c r="BP298" i="1"/>
  <c r="BQ298" i="1"/>
  <c r="BR298" i="1"/>
  <c r="BS298" i="1"/>
  <c r="BT298" i="1"/>
  <c r="BU298" i="1"/>
  <c r="BV298" i="1"/>
  <c r="BW298" i="1"/>
  <c r="BX298" i="1"/>
  <c r="BY298" i="1"/>
  <c r="BZ298" i="1"/>
  <c r="CA298" i="1"/>
  <c r="CI298" i="1"/>
  <c r="CO298" i="1" s="1"/>
  <c r="DD298" i="1"/>
  <c r="DE298" i="1"/>
  <c r="DF298" i="1"/>
  <c r="DG298" i="1"/>
  <c r="DH298" i="1"/>
  <c r="DI298" i="1"/>
  <c r="DJ298" i="1"/>
  <c r="DK298" i="1"/>
  <c r="DL298" i="1"/>
  <c r="DM298" i="1"/>
  <c r="AD299" i="1" a="1"/>
  <c r="AD299" i="1" s="1"/>
  <c r="K299" i="1"/>
  <c r="L299" i="1"/>
  <c r="AG299" i="1" a="1"/>
  <c r="AG299" i="1" s="1"/>
  <c r="N299" i="1"/>
  <c r="AC299" i="1" a="1"/>
  <c r="AC299" i="1" s="1"/>
  <c r="AF299" i="1" a="1"/>
  <c r="AF299" i="1" s="1"/>
  <c r="AS299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F299" i="1"/>
  <c r="BG299" i="1"/>
  <c r="BH299" i="1"/>
  <c r="BI299" i="1"/>
  <c r="BP299" i="1"/>
  <c r="BQ299" i="1"/>
  <c r="BR299" i="1"/>
  <c r="BS299" i="1"/>
  <c r="BT299" i="1"/>
  <c r="BU299" i="1"/>
  <c r="BV299" i="1"/>
  <c r="BW299" i="1"/>
  <c r="BX299" i="1"/>
  <c r="BY299" i="1"/>
  <c r="BZ299" i="1"/>
  <c r="CA299" i="1"/>
  <c r="DD299" i="1"/>
  <c r="DE299" i="1"/>
  <c r="DF299" i="1"/>
  <c r="DG299" i="1"/>
  <c r="DH299" i="1"/>
  <c r="DI299" i="1"/>
  <c r="DJ299" i="1"/>
  <c r="DK299" i="1"/>
  <c r="DL299" i="1"/>
  <c r="DM299" i="1"/>
  <c r="AC300" i="1" a="1"/>
  <c r="AC300" i="1" s="1"/>
  <c r="AD300" i="1" a="1"/>
  <c r="AD300" i="1" s="1"/>
  <c r="M300" i="1"/>
  <c r="AH300" i="1" a="1"/>
  <c r="AH300" i="1" s="1"/>
  <c r="J300" i="1"/>
  <c r="K300" i="1"/>
  <c r="N300" i="1"/>
  <c r="AE300" i="1" a="1"/>
  <c r="AE300" i="1" s="1"/>
  <c r="AQ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G300" i="1"/>
  <c r="BH300" i="1"/>
  <c r="BI300" i="1"/>
  <c r="BP300" i="1"/>
  <c r="BQ300" i="1"/>
  <c r="BR300" i="1"/>
  <c r="BS300" i="1"/>
  <c r="BT300" i="1"/>
  <c r="BU300" i="1"/>
  <c r="BV300" i="1"/>
  <c r="BW300" i="1"/>
  <c r="BX300" i="1"/>
  <c r="BY300" i="1"/>
  <c r="BZ300" i="1"/>
  <c r="CA300" i="1"/>
  <c r="CD300" i="1"/>
  <c r="CI300" i="1"/>
  <c r="CO300" i="1" s="1"/>
  <c r="CJ300" i="1"/>
  <c r="CP300" i="1" s="1"/>
  <c r="DD300" i="1"/>
  <c r="DE300" i="1"/>
  <c r="DF300" i="1"/>
  <c r="DG300" i="1"/>
  <c r="DH300" i="1"/>
  <c r="DI300" i="1"/>
  <c r="DJ300" i="1"/>
  <c r="DK300" i="1"/>
  <c r="DL300" i="1"/>
  <c r="DM300" i="1"/>
  <c r="AD301" i="1" a="1"/>
  <c r="AD301" i="1" s="1"/>
  <c r="CD301" i="1"/>
  <c r="AF301" i="1" a="1"/>
  <c r="AF301" i="1" s="1"/>
  <c r="AH301" i="1" a="1"/>
  <c r="AH301" i="1" s="1"/>
  <c r="I301" i="1"/>
  <c r="M301" i="1"/>
  <c r="AG301" i="1" a="1"/>
  <c r="AG301" i="1" s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G301" i="1"/>
  <c r="BH301" i="1"/>
  <c r="BI301" i="1"/>
  <c r="BP301" i="1"/>
  <c r="BQ301" i="1"/>
  <c r="BR301" i="1"/>
  <c r="BS301" i="1"/>
  <c r="BT301" i="1"/>
  <c r="BU301" i="1"/>
  <c r="BV301" i="1"/>
  <c r="BW301" i="1"/>
  <c r="BX301" i="1"/>
  <c r="BY301" i="1"/>
  <c r="BZ301" i="1"/>
  <c r="CA301" i="1"/>
  <c r="CK301" i="1"/>
  <c r="CQ301" i="1" s="1"/>
  <c r="CL301" i="1"/>
  <c r="CR301" i="1" s="1"/>
  <c r="DD301" i="1"/>
  <c r="DE301" i="1"/>
  <c r="DF301" i="1"/>
  <c r="DG301" i="1"/>
  <c r="DH301" i="1"/>
  <c r="DI301" i="1"/>
  <c r="DJ301" i="1"/>
  <c r="DK301" i="1"/>
  <c r="DL301" i="1"/>
  <c r="DM301" i="1"/>
  <c r="I302" i="1"/>
  <c r="J302" i="1"/>
  <c r="AE302" i="1" a="1"/>
  <c r="AE302" i="1" s="1"/>
  <c r="L302" i="1"/>
  <c r="CF302" i="1"/>
  <c r="AH302" i="1" a="1"/>
  <c r="AH302" i="1" s="1"/>
  <c r="K302" i="1"/>
  <c r="AD302" i="1" a="1"/>
  <c r="AD302" i="1" s="1"/>
  <c r="AF302" i="1" a="1"/>
  <c r="AF302" i="1" s="1"/>
  <c r="AS302" i="1"/>
  <c r="AT302" i="1"/>
  <c r="AU302" i="1"/>
  <c r="AV302" i="1"/>
  <c r="AW302" i="1"/>
  <c r="AX302" i="1"/>
  <c r="AY302" i="1"/>
  <c r="AZ302" i="1"/>
  <c r="BA302" i="1"/>
  <c r="BB302" i="1"/>
  <c r="BC302" i="1"/>
  <c r="BD302" i="1"/>
  <c r="BE302" i="1"/>
  <c r="BF302" i="1"/>
  <c r="BG302" i="1"/>
  <c r="BH302" i="1"/>
  <c r="BI302" i="1"/>
  <c r="BP302" i="1"/>
  <c r="BQ302" i="1"/>
  <c r="BR302" i="1"/>
  <c r="BS302" i="1"/>
  <c r="BT302" i="1"/>
  <c r="BU302" i="1"/>
  <c r="BV302" i="1"/>
  <c r="BW302" i="1"/>
  <c r="BX302" i="1"/>
  <c r="BY302" i="1"/>
  <c r="BZ302" i="1"/>
  <c r="CA302" i="1"/>
  <c r="CI302" i="1"/>
  <c r="CO302" i="1" s="1"/>
  <c r="DD302" i="1"/>
  <c r="DE302" i="1"/>
  <c r="DF302" i="1"/>
  <c r="DG302" i="1"/>
  <c r="DH302" i="1"/>
  <c r="DI302" i="1"/>
  <c r="DJ302" i="1"/>
  <c r="DK302" i="1"/>
  <c r="DL302" i="1"/>
  <c r="DM302" i="1"/>
  <c r="AC303" i="1" a="1"/>
  <c r="AC303" i="1" s="1"/>
  <c r="K303" i="1"/>
  <c r="L303" i="1"/>
  <c r="CE303" i="1"/>
  <c r="N303" i="1"/>
  <c r="I303" i="1"/>
  <c r="AD303" i="1" a="1"/>
  <c r="AD303" i="1" s="1"/>
  <c r="AF303" i="1" a="1"/>
  <c r="AF303" i="1"/>
  <c r="AG303" i="1" a="1"/>
  <c r="AG303" i="1" s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G303" i="1"/>
  <c r="BH303" i="1"/>
  <c r="BI303" i="1"/>
  <c r="BP303" i="1"/>
  <c r="BQ303" i="1"/>
  <c r="BR303" i="1"/>
  <c r="BS303" i="1"/>
  <c r="BT303" i="1"/>
  <c r="BU303" i="1"/>
  <c r="BV303" i="1"/>
  <c r="BW303" i="1"/>
  <c r="BX303" i="1"/>
  <c r="BY303" i="1"/>
  <c r="BZ303" i="1"/>
  <c r="CA303" i="1"/>
  <c r="CB303" i="1"/>
  <c r="DD303" i="1"/>
  <c r="DE303" i="1"/>
  <c r="DF303" i="1"/>
  <c r="DG303" i="1"/>
  <c r="DH303" i="1"/>
  <c r="DI303" i="1"/>
  <c r="DJ303" i="1"/>
  <c r="DK303" i="1"/>
  <c r="DL303" i="1"/>
  <c r="DM303" i="1"/>
  <c r="DO77" i="1" l="1" a="1"/>
  <c r="DO77" i="1" s="1"/>
  <c r="CN44" i="1"/>
  <c r="CP84" i="1"/>
  <c r="CN81" i="1"/>
  <c r="CR79" i="1"/>
  <c r="DO63" i="1" a="1"/>
  <c r="DO63" i="1" s="1"/>
  <c r="CR49" i="1"/>
  <c r="DO46" i="1" a="1"/>
  <c r="DO46" i="1" s="1"/>
  <c r="DS44" i="1" a="1"/>
  <c r="DS44" i="1" s="1"/>
  <c r="AL50" i="1"/>
  <c r="AL89" i="1"/>
  <c r="AL79" i="1"/>
  <c r="AL65" i="1"/>
  <c r="DP50" i="1" a="1"/>
  <c r="DP50" i="1" s="1"/>
  <c r="CQ44" i="1"/>
  <c r="AL83" i="1"/>
  <c r="CP82" i="1"/>
  <c r="CR77" i="1"/>
  <c r="CP74" i="1"/>
  <c r="DS70" i="1" a="1"/>
  <c r="DS70" i="1" s="1"/>
  <c r="AL68" i="1"/>
  <c r="CW32" i="1" a="1"/>
  <c r="CW32" i="1" s="1"/>
  <c r="CX32" i="1" s="1"/>
  <c r="AL23" i="1"/>
  <c r="DO80" i="1" a="1"/>
  <c r="DO80" i="1" s="1"/>
  <c r="AL77" i="1"/>
  <c r="DP51" i="1" a="1"/>
  <c r="DP51" i="1" s="1"/>
  <c r="DS82" i="1" a="1"/>
  <c r="DS82" i="1" s="1"/>
  <c r="AL32" i="1"/>
  <c r="AL25" i="1"/>
  <c r="AL22" i="1"/>
  <c r="AL21" i="1"/>
  <c r="DB8" i="1" a="1"/>
  <c r="DB8" i="1" s="1"/>
  <c r="DO141" i="1" a="1"/>
  <c r="DO141" i="1" s="1"/>
  <c r="DR87" i="1" a="1"/>
  <c r="DR87" i="1" s="1"/>
  <c r="DS74" i="1" a="1"/>
  <c r="DS74" i="1" s="1"/>
  <c r="DS65" i="1" a="1"/>
  <c r="DS65" i="1" s="1"/>
  <c r="CN58" i="1"/>
  <c r="DR57" i="1" a="1"/>
  <c r="DR57" i="1" s="1"/>
  <c r="CP88" i="1"/>
  <c r="CO79" i="1"/>
  <c r="CP75" i="1"/>
  <c r="AL20" i="1"/>
  <c r="DO73" i="1" a="1"/>
  <c r="DO73" i="1" s="1"/>
  <c r="DQ62" i="1" a="1"/>
  <c r="DQ62" i="1" s="1"/>
  <c r="DR53" i="1" a="1"/>
  <c r="DR53" i="1" s="1"/>
  <c r="AL47" i="1"/>
  <c r="CR46" i="1"/>
  <c r="AL41" i="1"/>
  <c r="AL5" i="1"/>
  <c r="CR81" i="1"/>
  <c r="CW72" i="1" a="1"/>
  <c r="CW72" i="1" s="1"/>
  <c r="CX72" i="1" s="1"/>
  <c r="CZ56" i="1" a="1"/>
  <c r="CZ56" i="1" s="1"/>
  <c r="AL55" i="1"/>
  <c r="CR52" i="1"/>
  <c r="CT31" i="1" a="1"/>
  <c r="CT31" i="1" s="1"/>
  <c r="CU31" i="1" s="1"/>
  <c r="AL28" i="1"/>
  <c r="DB23" i="1" a="1"/>
  <c r="DB23" i="1" s="1"/>
  <c r="CW8" i="1" a="1"/>
  <c r="CW8" i="1" s="1"/>
  <c r="CX8" i="1" s="1"/>
  <c r="AL71" i="1"/>
  <c r="DS67" i="1" a="1"/>
  <c r="DS67" i="1" s="1"/>
  <c r="AL67" i="1"/>
  <c r="DQ66" i="1" a="1"/>
  <c r="DQ66" i="1" s="1"/>
  <c r="DB64" i="1" a="1"/>
  <c r="DB64" i="1" s="1"/>
  <c r="CR62" i="1"/>
  <c r="AL58" i="1"/>
  <c r="DO57" i="1" a="1"/>
  <c r="DO57" i="1" s="1"/>
  <c r="CR56" i="1"/>
  <c r="DO55" i="1" a="1"/>
  <c r="DO55" i="1" s="1"/>
  <c r="DQ53" i="1" a="1"/>
  <c r="DQ53" i="1" s="1"/>
  <c r="DQ45" i="1" a="1"/>
  <c r="DQ45" i="1" s="1"/>
  <c r="AL40" i="1"/>
  <c r="CT38" i="1" a="1"/>
  <c r="CT38" i="1" s="1"/>
  <c r="CU38" i="1" s="1"/>
  <c r="AL16" i="1"/>
  <c r="CT9" i="1" a="1"/>
  <c r="CT9" i="1" s="1"/>
  <c r="CU9" i="1" s="1"/>
  <c r="AL4" i="1"/>
  <c r="DS78" i="1" a="1"/>
  <c r="DS78" i="1" s="1"/>
  <c r="CN65" i="1"/>
  <c r="DA60" i="1" a="1"/>
  <c r="DA60" i="1" s="1"/>
  <c r="DB26" i="1" a="1"/>
  <c r="DB26" i="1" s="1"/>
  <c r="CZ24" i="1" a="1"/>
  <c r="CZ24" i="1" s="1"/>
  <c r="DB18" i="1" a="1"/>
  <c r="DB18" i="1" s="1"/>
  <c r="CT89" i="1" a="1"/>
  <c r="CT89" i="1" s="1"/>
  <c r="CU89" i="1" s="1"/>
  <c r="AL76" i="1"/>
  <c r="DQ71" i="1" a="1"/>
  <c r="DQ71" i="1" s="1"/>
  <c r="AL62" i="1"/>
  <c r="CR51" i="1"/>
  <c r="DR50" i="1" a="1"/>
  <c r="DR50" i="1" s="1"/>
  <c r="CZ50" i="1" a="1"/>
  <c r="CZ50" i="1" s="1"/>
  <c r="AL43" i="1"/>
  <c r="AL39" i="1"/>
  <c r="CZ30" i="1" a="1"/>
  <c r="CZ30" i="1" s="1"/>
  <c r="CZ28" i="1" a="1"/>
  <c r="CZ28" i="1" s="1"/>
  <c r="AL19" i="1"/>
  <c r="AL17" i="1"/>
  <c r="DB16" i="1" a="1"/>
  <c r="DB16" i="1" s="1"/>
  <c r="CQ126" i="1"/>
  <c r="DO122" i="1" a="1"/>
  <c r="DO122" i="1" s="1"/>
  <c r="DS85" i="1" a="1"/>
  <c r="DS85" i="1" s="1"/>
  <c r="CW85" i="1" a="1"/>
  <c r="CW85" i="1" s="1"/>
  <c r="CX85" i="1" s="1"/>
  <c r="CW71" i="1" a="1"/>
  <c r="CW71" i="1" s="1"/>
  <c r="CX71" i="1" s="1"/>
  <c r="CQ66" i="1"/>
  <c r="CR57" i="1"/>
  <c r="CW44" i="1" a="1"/>
  <c r="CW44" i="1" s="1"/>
  <c r="CX44" i="1" s="1"/>
  <c r="CT40" i="1" a="1"/>
  <c r="CT40" i="1" s="1"/>
  <c r="CU40" i="1" s="1"/>
  <c r="CZ32" i="1" a="1"/>
  <c r="CZ32" i="1" s="1"/>
  <c r="DA24" i="1" a="1"/>
  <c r="DA24" i="1" s="1"/>
  <c r="AL10" i="1"/>
  <c r="DR103" i="1" a="1"/>
  <c r="DR103" i="1" s="1"/>
  <c r="CR83" i="1"/>
  <c r="CW83" i="1" a="1"/>
  <c r="CW83" i="1" s="1"/>
  <c r="CX83" i="1" s="1"/>
  <c r="CW79" i="1" a="1"/>
  <c r="CW79" i="1" s="1"/>
  <c r="CX79" i="1" s="1"/>
  <c r="DQ76" i="1" a="1"/>
  <c r="DQ76" i="1" s="1"/>
  <c r="CW76" i="1" a="1"/>
  <c r="CW76" i="1" s="1"/>
  <c r="CX76" i="1" s="1"/>
  <c r="AL74" i="1"/>
  <c r="CP70" i="1"/>
  <c r="AL61" i="1"/>
  <c r="CO60" i="1"/>
  <c r="CP57" i="1"/>
  <c r="CZ47" i="1" a="1"/>
  <c r="CZ47" i="1" s="1"/>
  <c r="AL42" i="1"/>
  <c r="CZ26" i="1" a="1"/>
  <c r="CZ26" i="1" s="1"/>
  <c r="CW18" i="1" a="1"/>
  <c r="CW18" i="1" s="1"/>
  <c r="CX18" i="1" s="1"/>
  <c r="DB14" i="1" a="1"/>
  <c r="DB14" i="1" s="1"/>
  <c r="CW10" i="1" a="1"/>
  <c r="CW10" i="1" s="1"/>
  <c r="CX10" i="1" s="1"/>
  <c r="DQ109" i="1" a="1"/>
  <c r="DQ109" i="1" s="1"/>
  <c r="CP83" i="1"/>
  <c r="AL82" i="1"/>
  <c r="CP78" i="1"/>
  <c r="AL73" i="1"/>
  <c r="DS69" i="1" a="1"/>
  <c r="DS69" i="1" s="1"/>
  <c r="AL66" i="1"/>
  <c r="CP58" i="1"/>
  <c r="CW51" i="1" a="1"/>
  <c r="CW51" i="1" s="1"/>
  <c r="CX51" i="1" s="1"/>
  <c r="AL45" i="1"/>
  <c r="CT39" i="1" a="1"/>
  <c r="CT39" i="1" s="1"/>
  <c r="CU39" i="1" s="1"/>
  <c r="AL38" i="1"/>
  <c r="AL9" i="1"/>
  <c r="DO132" i="1" a="1"/>
  <c r="DO132" i="1" s="1"/>
  <c r="DQ117" i="1" a="1"/>
  <c r="DQ117" i="1" s="1"/>
  <c r="CQ114" i="1"/>
  <c r="DO88" i="1" a="1"/>
  <c r="DO88" i="1" s="1"/>
  <c r="DQ87" i="1" a="1"/>
  <c r="DQ87" i="1" s="1"/>
  <c r="CN87" i="1"/>
  <c r="CN86" i="1"/>
  <c r="DR79" i="1" a="1"/>
  <c r="DR79" i="1" s="1"/>
  <c r="CT79" i="1" a="1"/>
  <c r="CT79" i="1" s="1"/>
  <c r="CU79" i="1" s="1"/>
  <c r="CN76" i="1"/>
  <c r="CQ74" i="1"/>
  <c r="CR73" i="1"/>
  <c r="CN72" i="1"/>
  <c r="CT71" i="1" a="1"/>
  <c r="CT71" i="1" s="1"/>
  <c r="CU71" i="1" s="1"/>
  <c r="DB70" i="1" a="1"/>
  <c r="DB70" i="1" s="1"/>
  <c r="DQ68" i="1" a="1"/>
  <c r="DQ68" i="1" s="1"/>
  <c r="CO65" i="1"/>
  <c r="CT63" i="1" a="1"/>
  <c r="CT63" i="1" s="1"/>
  <c r="CU63" i="1" s="1"/>
  <c r="AL60" i="1"/>
  <c r="DS53" i="1" a="1"/>
  <c r="DS53" i="1" s="1"/>
  <c r="CR53" i="1"/>
  <c r="AL87" i="1"/>
  <c r="CZ86" i="1" a="1"/>
  <c r="CZ86" i="1" s="1"/>
  <c r="AL85" i="1"/>
  <c r="AL84" i="1"/>
  <c r="CQ82" i="1"/>
  <c r="AL80" i="1"/>
  <c r="DQ79" i="1" a="1"/>
  <c r="DQ79" i="1" s="1"/>
  <c r="DB78" i="1" a="1"/>
  <c r="DB78" i="1" s="1"/>
  <c r="DQ72" i="1" a="1"/>
  <c r="DQ72" i="1" s="1"/>
  <c r="DR70" i="1" a="1"/>
  <c r="DR70" i="1" s="1"/>
  <c r="CR66" i="1"/>
  <c r="DB63" i="1" a="1"/>
  <c r="DB63" i="1" s="1"/>
  <c r="CR61" i="1"/>
  <c r="CT85" i="1" a="1"/>
  <c r="CT85" i="1" s="1"/>
  <c r="DB85" i="1" a="1"/>
  <c r="DB85" i="1" s="1"/>
  <c r="DA81" i="1" a="1"/>
  <c r="DA81" i="1" s="1"/>
  <c r="CW75" i="1" a="1"/>
  <c r="CW75" i="1" s="1"/>
  <c r="CX75" i="1" s="1"/>
  <c r="CW64" i="1" a="1"/>
  <c r="CW64" i="1" s="1"/>
  <c r="CX64" i="1" s="1"/>
  <c r="CT64" i="1" a="1"/>
  <c r="CT64" i="1" s="1"/>
  <c r="CU64" i="1" s="1"/>
  <c r="CQ62" i="1"/>
  <c r="CO55" i="1"/>
  <c r="DP55" i="1" a="1"/>
  <c r="DP55" i="1" s="1"/>
  <c r="CQ94" i="1"/>
  <c r="CR89" i="1"/>
  <c r="CW86" i="1" a="1"/>
  <c r="CW86" i="1" s="1"/>
  <c r="CX86" i="1" s="1"/>
  <c r="DO83" i="1" a="1"/>
  <c r="DO83" i="1" s="1"/>
  <c r="DB81" i="1" a="1"/>
  <c r="DB81" i="1" s="1"/>
  <c r="DO79" i="1" a="1"/>
  <c r="DO79" i="1" s="1"/>
  <c r="CQ78" i="1"/>
  <c r="CZ76" i="1" a="1"/>
  <c r="CZ76" i="1" s="1"/>
  <c r="DR75" i="1" a="1"/>
  <c r="DR75" i="1" s="1"/>
  <c r="CT75" i="1" a="1"/>
  <c r="CT75" i="1" s="1"/>
  <c r="CU75" i="1" s="1"/>
  <c r="DO72" i="1" a="1"/>
  <c r="DO72" i="1" s="1"/>
  <c r="CZ72" i="1" a="1"/>
  <c r="CZ72" i="1" s="1"/>
  <c r="CN71" i="1"/>
  <c r="CW65" i="1" a="1"/>
  <c r="CW65" i="1" s="1"/>
  <c r="CX65" i="1" s="1"/>
  <c r="CQ64" i="1"/>
  <c r="CR63" i="1"/>
  <c r="CT53" i="1" a="1"/>
  <c r="CT53" i="1" s="1"/>
  <c r="CU53" i="1" s="1"/>
  <c r="CN53" i="1"/>
  <c r="DO53" i="1" a="1"/>
  <c r="DO53" i="1" s="1"/>
  <c r="DB87" i="1" a="1"/>
  <c r="DB87" i="1" s="1"/>
  <c r="CT87" i="1" a="1"/>
  <c r="CT87" i="1" s="1"/>
  <c r="CU87" i="1" s="1"/>
  <c r="DS86" i="1" a="1"/>
  <c r="DS86" i="1" s="1"/>
  <c r="CP85" i="1"/>
  <c r="DO71" i="1" a="1"/>
  <c r="DO71" i="1" s="1"/>
  <c r="CQ69" i="1"/>
  <c r="CW68" i="1" a="1"/>
  <c r="CW68" i="1" s="1"/>
  <c r="CX68" i="1" s="1"/>
  <c r="CZ68" i="1" a="1"/>
  <c r="CZ68" i="1" s="1"/>
  <c r="DQ64" i="1" a="1"/>
  <c r="DQ64" i="1" s="1"/>
  <c r="CP63" i="1"/>
  <c r="DQ56" i="1" a="1"/>
  <c r="DQ56" i="1" s="1"/>
  <c r="CP56" i="1"/>
  <c r="DR137" i="1" a="1"/>
  <c r="DR137" i="1" s="1"/>
  <c r="CR87" i="1"/>
  <c r="CP86" i="1"/>
  <c r="CN85" i="1"/>
  <c r="CO75" i="1"/>
  <c r="DB71" i="1" a="1"/>
  <c r="DB71" i="1" s="1"/>
  <c r="CP69" i="1"/>
  <c r="DS68" i="1" a="1"/>
  <c r="DS68" i="1" s="1"/>
  <c r="DO64" i="1" a="1"/>
  <c r="DO64" i="1" s="1"/>
  <c r="CN64" i="1"/>
  <c r="DR59" i="1" a="1"/>
  <c r="DR59" i="1" s="1"/>
  <c r="CQ59" i="1"/>
  <c r="CO86" i="1"/>
  <c r="DO85" i="1" a="1"/>
  <c r="DO85" i="1" s="1"/>
  <c r="CQ68" i="1"/>
  <c r="CZ64" i="1" a="1"/>
  <c r="CZ64" i="1" s="1"/>
  <c r="DP63" i="1" a="1"/>
  <c r="DP63" i="1" s="1"/>
  <c r="DP61" i="1" a="1"/>
  <c r="DP61" i="1" s="1"/>
  <c r="DO61" i="1" a="1"/>
  <c r="DO61" i="1" s="1"/>
  <c r="CN61" i="1"/>
  <c r="AL57" i="1"/>
  <c r="CN54" i="1"/>
  <c r="DB54" i="1" a="1"/>
  <c r="DB54" i="1" s="1"/>
  <c r="DO54" i="1" a="1"/>
  <c r="DO54" i="1" s="1"/>
  <c r="CW56" i="1" a="1"/>
  <c r="CW56" i="1" s="1"/>
  <c r="CX56" i="1" s="1"/>
  <c r="AL53" i="1"/>
  <c r="AL52" i="1"/>
  <c r="DB50" i="1" a="1"/>
  <c r="DB50" i="1" s="1"/>
  <c r="CZ48" i="1" a="1"/>
  <c r="CZ48" i="1" s="1"/>
  <c r="DP43" i="1" a="1"/>
  <c r="DP43" i="1" s="1"/>
  <c r="CT42" i="1" a="1"/>
  <c r="CT42" i="1" s="1"/>
  <c r="CU42" i="1" s="1"/>
  <c r="CT41" i="1" a="1"/>
  <c r="CT41" i="1" s="1"/>
  <c r="CU41" i="1" s="1"/>
  <c r="DB37" i="1" a="1"/>
  <c r="DB37" i="1" s="1"/>
  <c r="DA36" i="1" a="1"/>
  <c r="DA36" i="1" s="1"/>
  <c r="AL33" i="1"/>
  <c r="CZ23" i="1" a="1"/>
  <c r="CZ23" i="1" s="1"/>
  <c r="CZ21" i="1" a="1"/>
  <c r="CZ21" i="1" s="1"/>
  <c r="DB12" i="1" a="1"/>
  <c r="DB12" i="1" s="1"/>
  <c r="CN8" i="1"/>
  <c r="AL7" i="1"/>
  <c r="CZ54" i="1" a="1"/>
  <c r="CZ54" i="1" s="1"/>
  <c r="AL51" i="1"/>
  <c r="CP50" i="1"/>
  <c r="DR49" i="1" a="1"/>
  <c r="DR49" i="1" s="1"/>
  <c r="AL46" i="1"/>
  <c r="DB45" i="1" a="1"/>
  <c r="DB45" i="1" s="1"/>
  <c r="CZ37" i="1" a="1"/>
  <c r="CZ37" i="1" s="1"/>
  <c r="CN32" i="1"/>
  <c r="CW30" i="1" a="1"/>
  <c r="CW30" i="1" s="1"/>
  <c r="CX30" i="1" s="1"/>
  <c r="DB30" i="1" a="1"/>
  <c r="DB30" i="1" s="1"/>
  <c r="AL27" i="1"/>
  <c r="CN26" i="1"/>
  <c r="CZ22" i="1" a="1"/>
  <c r="CZ22" i="1" s="1"/>
  <c r="CN18" i="1"/>
  <c r="CN14" i="1"/>
  <c r="CW12" i="1" a="1"/>
  <c r="CW12" i="1" s="1"/>
  <c r="CX12" i="1" s="1"/>
  <c r="CZ10" i="1" a="1"/>
  <c r="CZ10" i="1" s="1"/>
  <c r="CT48" i="1" a="1"/>
  <c r="CT48" i="1" s="1"/>
  <c r="CU48" i="1" s="1"/>
  <c r="CT43" i="1" a="1"/>
  <c r="CT43" i="1" s="1"/>
  <c r="CU43" i="1" s="1"/>
  <c r="AL34" i="1"/>
  <c r="CW22" i="1" a="1"/>
  <c r="CW22" i="1" s="1"/>
  <c r="CX22" i="1" s="1"/>
  <c r="CW16" i="1" a="1"/>
  <c r="CW16" i="1" s="1"/>
  <c r="CX16" i="1" s="1"/>
  <c r="CT16" i="1" a="1"/>
  <c r="CT16" i="1" s="1"/>
  <c r="CU16" i="1" s="1"/>
  <c r="AL59" i="1"/>
  <c r="DB52" i="1" a="1"/>
  <c r="DB52" i="1" s="1"/>
  <c r="DQ50" i="1" a="1"/>
  <c r="DQ50" i="1" s="1"/>
  <c r="CR48" i="1"/>
  <c r="DB40" i="1" a="1"/>
  <c r="DB40" i="1" s="1"/>
  <c r="DB36" i="1" a="1"/>
  <c r="DB36" i="1" s="1"/>
  <c r="AL31" i="1"/>
  <c r="CW28" i="1" a="1"/>
  <c r="CW28" i="1" s="1"/>
  <c r="CX28" i="1" s="1"/>
  <c r="DB28" i="1" a="1"/>
  <c r="DB28" i="1" s="1"/>
  <c r="CZ27" i="1" a="1"/>
  <c r="CZ27" i="1" s="1"/>
  <c r="DB20" i="1" a="1"/>
  <c r="DB20" i="1" s="1"/>
  <c r="AL8" i="1"/>
  <c r="CT7" i="1" a="1"/>
  <c r="CT7" i="1" s="1"/>
  <c r="CU7" i="1" s="1"/>
  <c r="AL6" i="1"/>
  <c r="CP60" i="1"/>
  <c r="DA51" i="1" a="1"/>
  <c r="DA51" i="1" s="1"/>
  <c r="DB51" i="1" a="1"/>
  <c r="DB51" i="1" s="1"/>
  <c r="CN48" i="1"/>
  <c r="CT45" i="1" a="1"/>
  <c r="CT45" i="1" s="1"/>
  <c r="CU45" i="1" s="1"/>
  <c r="AL44" i="1"/>
  <c r="CN30" i="1"/>
  <c r="CT27" i="1" a="1"/>
  <c r="CT27" i="1" s="1"/>
  <c r="CU27" i="1" s="1"/>
  <c r="AL26" i="1"/>
  <c r="AL24" i="1"/>
  <c r="CT20" i="1" a="1"/>
  <c r="CT20" i="1" s="1"/>
  <c r="CU20" i="1" s="1"/>
  <c r="AL18" i="1"/>
  <c r="CZ14" i="1" a="1"/>
  <c r="CZ14" i="1" s="1"/>
  <c r="AL14" i="1"/>
  <c r="CP10" i="1"/>
  <c r="CZ8" i="1" a="1"/>
  <c r="CZ8" i="1" s="1"/>
  <c r="CT51" i="1" a="1"/>
  <c r="CT51" i="1" s="1"/>
  <c r="CU51" i="1" s="1"/>
  <c r="DB49" i="1" a="1"/>
  <c r="DB49" i="1" s="1"/>
  <c r="DR48" i="1" a="1"/>
  <c r="DR48" i="1" s="1"/>
  <c r="CW46" i="1" a="1"/>
  <c r="CW46" i="1" s="1"/>
  <c r="CX46" i="1" s="1"/>
  <c r="DS43" i="1" a="1"/>
  <c r="DS43" i="1" s="1"/>
  <c r="DB42" i="1" a="1"/>
  <c r="DB42" i="1" s="1"/>
  <c r="CZ35" i="1" a="1"/>
  <c r="CZ35" i="1" s="1"/>
  <c r="CW34" i="1" a="1"/>
  <c r="CW34" i="1" s="1"/>
  <c r="CX34" i="1" s="1"/>
  <c r="AL29" i="1"/>
  <c r="CN22" i="1"/>
  <c r="DB6" i="1" a="1"/>
  <c r="DB6" i="1" s="1"/>
  <c r="CW6" i="1" a="1"/>
  <c r="CW6" i="1" s="1"/>
  <c r="CX6" i="1" s="1"/>
  <c r="CN51" i="1"/>
  <c r="AL48" i="1"/>
  <c r="DR46" i="1" a="1"/>
  <c r="DR46" i="1" s="1"/>
  <c r="CO45" i="1"/>
  <c r="DB44" i="1" a="1"/>
  <c r="DB44" i="1" s="1"/>
  <c r="DB33" i="1" a="1"/>
  <c r="DB33" i="1" s="1"/>
  <c r="AL30" i="1"/>
  <c r="CW26" i="1" a="1"/>
  <c r="CW26" i="1" s="1"/>
  <c r="CX26" i="1" s="1"/>
  <c r="CN20" i="1"/>
  <c r="CZ12" i="1" a="1"/>
  <c r="CZ12" i="1" s="1"/>
  <c r="AL12" i="1"/>
  <c r="CP145" i="1"/>
  <c r="DQ145" i="1" a="1"/>
  <c r="DQ145" i="1" s="1"/>
  <c r="DS126" i="1" a="1"/>
  <c r="DS126" i="1" s="1"/>
  <c r="CR126" i="1"/>
  <c r="CP147" i="1"/>
  <c r="DQ147" i="1" a="1"/>
  <c r="DQ147" i="1" s="1"/>
  <c r="DQ134" i="1" a="1"/>
  <c r="DQ134" i="1" s="1"/>
  <c r="CP134" i="1"/>
  <c r="CP137" i="1"/>
  <c r="DQ137" i="1" a="1"/>
  <c r="DQ137" i="1" s="1"/>
  <c r="CQ136" i="1"/>
  <c r="DR136" i="1" a="1"/>
  <c r="DR136" i="1" s="1"/>
  <c r="CP144" i="1"/>
  <c r="DQ144" i="1" a="1"/>
  <c r="DQ144" i="1" s="1"/>
  <c r="CR96" i="1"/>
  <c r="DS96" i="1" a="1"/>
  <c r="DS96" i="1" s="1"/>
  <c r="CP133" i="1"/>
  <c r="DQ133" i="1" a="1"/>
  <c r="DQ133" i="1" s="1"/>
  <c r="AA302" i="1" a="1"/>
  <c r="AA302" i="1" s="1"/>
  <c r="CF301" i="1"/>
  <c r="AR301" i="1"/>
  <c r="L301" i="1"/>
  <c r="P301" i="1" a="1"/>
  <c r="P301" i="1" s="1"/>
  <c r="CC300" i="1"/>
  <c r="I300" i="1"/>
  <c r="AA298" i="1" a="1"/>
  <c r="AA298" i="1" s="1"/>
  <c r="CI297" i="1"/>
  <c r="CO297" i="1" s="1"/>
  <c r="L296" i="1"/>
  <c r="CC295" i="1"/>
  <c r="CK295" i="1"/>
  <c r="CQ295" i="1" s="1"/>
  <c r="AG294" i="1" a="1"/>
  <c r="AG294" i="1" s="1"/>
  <c r="AA294" i="1" a="1"/>
  <c r="AA294" i="1" s="1"/>
  <c r="AF292" i="1" a="1"/>
  <c r="AF292" i="1" s="1"/>
  <c r="CI290" i="1"/>
  <c r="CO290" i="1" s="1"/>
  <c r="AP290" i="1"/>
  <c r="AJ289" i="1"/>
  <c r="L289" i="1"/>
  <c r="AA289" i="1" a="1"/>
  <c r="AA289" i="1" s="1"/>
  <c r="BN288" i="1"/>
  <c r="I288" i="1"/>
  <c r="AH287" i="1" a="1"/>
  <c r="AH287" i="1" s="1"/>
  <c r="CL286" i="1"/>
  <c r="CR286" i="1" s="1"/>
  <c r="AC284" i="1" a="1"/>
  <c r="AC284" i="1" s="1"/>
  <c r="CI283" i="1"/>
  <c r="CO283" i="1" s="1"/>
  <c r="AG282" i="1" a="1"/>
  <c r="AG282" i="1" s="1"/>
  <c r="CE281" i="1"/>
  <c r="CL279" i="1"/>
  <c r="CR279" i="1" s="1"/>
  <c r="CL278" i="1"/>
  <c r="CR278" i="1" s="1"/>
  <c r="K278" i="1"/>
  <c r="AF277" i="1" a="1"/>
  <c r="AF277" i="1" s="1"/>
  <c r="CE277" i="1"/>
  <c r="AF276" i="1" a="1"/>
  <c r="AF276" i="1" s="1"/>
  <c r="L276" i="1"/>
  <c r="CI274" i="1"/>
  <c r="CO274" i="1" s="1"/>
  <c r="CK273" i="1"/>
  <c r="CQ273" i="1" s="1"/>
  <c r="K273" i="1"/>
  <c r="AK272" i="1"/>
  <c r="Y272" i="1" a="1"/>
  <c r="Y272" i="1" s="1"/>
  <c r="CE271" i="1"/>
  <c r="AG271" i="1" a="1"/>
  <c r="AG271" i="1" s="1"/>
  <c r="BM270" i="1"/>
  <c r="V269" i="1" a="1"/>
  <c r="V269" i="1" s="1"/>
  <c r="W269" i="1" s="1"/>
  <c r="CI268" i="1"/>
  <c r="CO268" i="1" s="1"/>
  <c r="I268" i="1"/>
  <c r="CF266" i="1"/>
  <c r="CE266" i="1"/>
  <c r="CK264" i="1"/>
  <c r="CQ264" i="1" s="1"/>
  <c r="AK264" i="1"/>
  <c r="S264" i="1"/>
  <c r="T264" i="1" s="1"/>
  <c r="AP264" i="1"/>
  <c r="BO263" i="1"/>
  <c r="J263" i="1"/>
  <c r="CB262" i="1"/>
  <c r="CJ261" i="1"/>
  <c r="CP261" i="1" s="1"/>
  <c r="CC261" i="1"/>
  <c r="CE260" i="1"/>
  <c r="CF258" i="1"/>
  <c r="AJ258" i="1"/>
  <c r="S258" i="1"/>
  <c r="T258" i="1" s="1"/>
  <c r="CF253" i="1"/>
  <c r="AF253" i="1" a="1"/>
  <c r="AF253" i="1" s="1"/>
  <c r="Y253" i="1" a="1"/>
  <c r="Y253" i="1" s="1"/>
  <c r="CJ251" i="1"/>
  <c r="CP251" i="1" s="1"/>
  <c r="BN251" i="1"/>
  <c r="AE251" i="1" a="1"/>
  <c r="AE251" i="1" s="1"/>
  <c r="CL251" i="1"/>
  <c r="CR251" i="1" s="1"/>
  <c r="CF249" i="1"/>
  <c r="AH249" i="1" a="1"/>
  <c r="AH249" i="1" s="1"/>
  <c r="CK247" i="1"/>
  <c r="CQ247" i="1" s="1"/>
  <c r="K247" i="1"/>
  <c r="AH246" i="1" a="1"/>
  <c r="AH246" i="1" s="1"/>
  <c r="AO245" i="1"/>
  <c r="CL243" i="1"/>
  <c r="CR243" i="1" s="1"/>
  <c r="AJ243" i="1"/>
  <c r="I243" i="1"/>
  <c r="K242" i="1"/>
  <c r="BK241" i="1"/>
  <c r="AC241" i="1" a="1"/>
  <c r="AC241" i="1" s="1"/>
  <c r="AD239" i="1" a="1"/>
  <c r="AD239" i="1" s="1"/>
  <c r="AN238" i="1"/>
  <c r="I237" i="1"/>
  <c r="K236" i="1"/>
  <c r="AE235" i="1" a="1"/>
  <c r="AE235" i="1" s="1"/>
  <c r="AR235" i="1"/>
  <c r="AQ234" i="1"/>
  <c r="AH233" i="1" a="1"/>
  <c r="AH233" i="1" s="1"/>
  <c r="I233" i="1"/>
  <c r="CI231" i="1"/>
  <c r="CO231" i="1" s="1"/>
  <c r="CK231" i="1"/>
  <c r="CQ231" i="1" s="1"/>
  <c r="CI227" i="1"/>
  <c r="CO227" i="1" s="1"/>
  <c r="BL227" i="1"/>
  <c r="AC227" i="1" a="1"/>
  <c r="AC227" i="1" s="1"/>
  <c r="CJ225" i="1"/>
  <c r="CP225" i="1" s="1"/>
  <c r="I224" i="1"/>
  <c r="BM223" i="1"/>
  <c r="J223" i="1"/>
  <c r="AH222" i="1" a="1"/>
  <c r="AH222" i="1" s="1"/>
  <c r="AN222" i="1"/>
  <c r="CH221" i="1"/>
  <c r="CN221" i="1" s="1"/>
  <c r="S221" i="1"/>
  <c r="T221" i="1" s="1"/>
  <c r="CD221" i="1"/>
  <c r="L220" i="1"/>
  <c r="CB220" i="1"/>
  <c r="CI218" i="1"/>
  <c r="CO218" i="1" s="1"/>
  <c r="AF217" i="1" a="1"/>
  <c r="AF217" i="1" s="1"/>
  <c r="CE217" i="1"/>
  <c r="AH216" i="1" a="1"/>
  <c r="AH216" i="1" s="1"/>
  <c r="I216" i="1"/>
  <c r="AG214" i="1" a="1"/>
  <c r="AG214" i="1" s="1"/>
  <c r="CF214" i="1"/>
  <c r="AK213" i="1"/>
  <c r="L213" i="1"/>
  <c r="AA213" i="1" a="1"/>
  <c r="AA213" i="1" s="1"/>
  <c r="J212" i="1"/>
  <c r="I211" i="1"/>
  <c r="BK210" i="1"/>
  <c r="AA210" i="1" a="1"/>
  <c r="AA210" i="1" s="1"/>
  <c r="AF209" i="1" a="1"/>
  <c r="AF209" i="1" s="1"/>
  <c r="J208" i="1"/>
  <c r="AD207" i="1" a="1"/>
  <c r="AD207" i="1" s="1"/>
  <c r="AR205" i="1"/>
  <c r="CC204" i="1"/>
  <c r="AG203" i="1" a="1"/>
  <c r="AG203" i="1" s="1"/>
  <c r="S200" i="1"/>
  <c r="T200" i="1" s="1"/>
  <c r="V200" i="1" a="1"/>
  <c r="V200" i="1" s="1"/>
  <c r="W200" i="1" s="1"/>
  <c r="K199" i="1"/>
  <c r="AG198" i="1" a="1"/>
  <c r="AG198" i="1" s="1"/>
  <c r="AP197" i="1"/>
  <c r="N196" i="1"/>
  <c r="CI194" i="1"/>
  <c r="CO194" i="1" s="1"/>
  <c r="BM194" i="1"/>
  <c r="J194" i="1"/>
  <c r="AK192" i="1"/>
  <c r="CB191" i="1"/>
  <c r="AN191" i="1"/>
  <c r="AK191" i="1"/>
  <c r="CE190" i="1"/>
  <c r="CD189" i="1"/>
  <c r="AE189" i="1" a="1"/>
  <c r="AE189" i="1" s="1"/>
  <c r="CB188" i="1"/>
  <c r="CK187" i="1"/>
  <c r="CQ187" i="1" s="1"/>
  <c r="AG187" i="1" a="1"/>
  <c r="AG187" i="1" s="1"/>
  <c r="CL186" i="1"/>
  <c r="CR186" i="1" s="1"/>
  <c r="AA186" i="1" a="1"/>
  <c r="AA186" i="1" s="1"/>
  <c r="CD186" i="1"/>
  <c r="CK185" i="1"/>
  <c r="CQ185" i="1" s="1"/>
  <c r="K185" i="1"/>
  <c r="CK183" i="1"/>
  <c r="CQ183" i="1" s="1"/>
  <c r="CH181" i="1"/>
  <c r="CN181" i="1" s="1"/>
  <c r="CH180" i="1"/>
  <c r="CN180" i="1" s="1"/>
  <c r="BM180" i="1"/>
  <c r="AC180" i="1" a="1"/>
  <c r="AC180" i="1" s="1"/>
  <c r="AQ180" i="1"/>
  <c r="CL179" i="1"/>
  <c r="CR179" i="1" s="1"/>
  <c r="AC179" i="1" a="1"/>
  <c r="AC179" i="1" s="1"/>
  <c r="BK179" i="1"/>
  <c r="CI178" i="1"/>
  <c r="CO178" i="1" s="1"/>
  <c r="J178" i="1"/>
  <c r="L177" i="1"/>
  <c r="AC176" i="1" a="1"/>
  <c r="AC176" i="1" s="1"/>
  <c r="CH175" i="1"/>
  <c r="AG175" i="1" a="1"/>
  <c r="AG175" i="1" s="1"/>
  <c r="CL174" i="1"/>
  <c r="CR174" i="1" s="1"/>
  <c r="Z173" i="1" a="1"/>
  <c r="Z173" i="1" s="1"/>
  <c r="CC172" i="1"/>
  <c r="J172" i="1"/>
  <c r="CE171" i="1"/>
  <c r="CI170" i="1"/>
  <c r="CO170" i="1" s="1"/>
  <c r="AK170" i="1"/>
  <c r="K170" i="1"/>
  <c r="CC169" i="1"/>
  <c r="AJ169" i="1"/>
  <c r="CD168" i="1"/>
  <c r="AF168" i="1" a="1"/>
  <c r="AF168" i="1" s="1"/>
  <c r="CD166" i="1"/>
  <c r="AE166" i="1" a="1"/>
  <c r="AE166" i="1" s="1"/>
  <c r="CF165" i="1"/>
  <c r="AF165" i="1" a="1"/>
  <c r="AF165" i="1" s="1"/>
  <c r="CI164" i="1"/>
  <c r="CO164" i="1" s="1"/>
  <c r="BN164" i="1"/>
  <c r="AF164" i="1" a="1"/>
  <c r="AF164" i="1" s="1"/>
  <c r="CK162" i="1"/>
  <c r="CQ162" i="1" s="1"/>
  <c r="AD162" i="1" a="1"/>
  <c r="AD162" i="1" s="1"/>
  <c r="Z162" i="1" a="1"/>
  <c r="Z162" i="1" s="1"/>
  <c r="CF160" i="1"/>
  <c r="AO160" i="1"/>
  <c r="AD159" i="1" a="1"/>
  <c r="AD159" i="1" s="1"/>
  <c r="CC159" i="1"/>
  <c r="CD158" i="1"/>
  <c r="CK157" i="1"/>
  <c r="CQ157" i="1" s="1"/>
  <c r="L157" i="1"/>
  <c r="N156" i="1"/>
  <c r="BO155" i="1"/>
  <c r="AJ155" i="1"/>
  <c r="CC153" i="1"/>
  <c r="AJ153" i="1"/>
  <c r="N153" i="1"/>
  <c r="AK153" i="1"/>
  <c r="CF151" i="1"/>
  <c r="AH151" i="1" a="1"/>
  <c r="AH151" i="1" s="1"/>
  <c r="J151" i="1"/>
  <c r="CF150" i="1"/>
  <c r="DO149" i="1" a="1"/>
  <c r="DO149" i="1" s="1"/>
  <c r="CJ149" i="1"/>
  <c r="AK149" i="1"/>
  <c r="AL149" i="1" s="1"/>
  <c r="Z149" i="1" a="1"/>
  <c r="Z149" i="1" s="1"/>
  <c r="AE147" i="1" a="1"/>
  <c r="AE147" i="1" s="1"/>
  <c r="CH147" i="1"/>
  <c r="CJ146" i="1"/>
  <c r="BK145" i="1"/>
  <c r="AD145" i="1" a="1"/>
  <c r="AD145" i="1" s="1"/>
  <c r="CD144" i="1"/>
  <c r="AK144" i="1"/>
  <c r="V144" i="1" a="1"/>
  <c r="V144" i="1" s="1"/>
  <c r="W144" i="1" s="1"/>
  <c r="CK143" i="1"/>
  <c r="DR143" i="1" s="1" a="1"/>
  <c r="DR143" i="1" s="1"/>
  <c r="BN143" i="1"/>
  <c r="AF143" i="1" a="1"/>
  <c r="AF143" i="1" s="1"/>
  <c r="S143" i="1"/>
  <c r="T143" i="1" s="1"/>
  <c r="CD141" i="1"/>
  <c r="AQ141" i="1"/>
  <c r="I141" i="1"/>
  <c r="DQ140" i="1" a="1"/>
  <c r="DQ140" i="1" s="1"/>
  <c r="CH140" i="1"/>
  <c r="I140" i="1"/>
  <c r="DQ139" i="1" a="1"/>
  <c r="DQ139" i="1" s="1"/>
  <c r="CH139" i="1"/>
  <c r="AD139" i="1" a="1"/>
  <c r="AD139" i="1" s="1"/>
  <c r="I139" i="1"/>
  <c r="DQ138" i="1" a="1"/>
  <c r="DQ138" i="1" s="1"/>
  <c r="CH138" i="1"/>
  <c r="AD138" i="1" a="1"/>
  <c r="AD138" i="1" s="1"/>
  <c r="I138" i="1"/>
  <c r="BN137" i="1"/>
  <c r="AE136" i="1" a="1"/>
  <c r="AE136" i="1" s="1"/>
  <c r="CN135" i="1"/>
  <c r="CD134" i="1"/>
  <c r="AK134" i="1"/>
  <c r="Y134" i="1" a="1"/>
  <c r="Y134" i="1" s="1"/>
  <c r="AN134" i="1"/>
  <c r="DO133" i="1" a="1"/>
  <c r="DO133" i="1" s="1"/>
  <c r="CF133" i="1"/>
  <c r="AQ133" i="1"/>
  <c r="Y133" i="1" a="1"/>
  <c r="Y133" i="1" s="1"/>
  <c r="AN133" i="1"/>
  <c r="CJ132" i="1"/>
  <c r="AE132" i="1" a="1"/>
  <c r="AE132" i="1" s="1"/>
  <c r="L132" i="1"/>
  <c r="CB132" i="1"/>
  <c r="AA131" i="1" a="1"/>
  <c r="AA131" i="1" s="1"/>
  <c r="CK127" i="1"/>
  <c r="BO127" i="1"/>
  <c r="AF127" i="1" a="1"/>
  <c r="AF127" i="1" s="1"/>
  <c r="AC126" i="1" a="1"/>
  <c r="AC126" i="1" s="1"/>
  <c r="AR126" i="1"/>
  <c r="CE125" i="1"/>
  <c r="CK124" i="1"/>
  <c r="BO124" i="1"/>
  <c r="CL123" i="1"/>
  <c r="CE122" i="1"/>
  <c r="CJ121" i="1"/>
  <c r="CP121" i="1" s="1"/>
  <c r="BM121" i="1"/>
  <c r="AC121" i="1" a="1"/>
  <c r="AC121" i="1" s="1"/>
  <c r="CE118" i="1"/>
  <c r="Z118" i="1" a="1"/>
  <c r="Z118" i="1" s="1"/>
  <c r="CD117" i="1"/>
  <c r="AN117" i="1"/>
  <c r="L117" i="1"/>
  <c r="CJ116" i="1"/>
  <c r="BK116" i="1"/>
  <c r="L116" i="1"/>
  <c r="DS115" i="1" a="1"/>
  <c r="DS115" i="1" s="1"/>
  <c r="CK115" i="1"/>
  <c r="AC115" i="1" a="1"/>
  <c r="AC115" i="1" s="1"/>
  <c r="AA115" i="1" a="1"/>
  <c r="AA115" i="1" s="1"/>
  <c r="DO113" i="1" a="1"/>
  <c r="DO113" i="1" s="1"/>
  <c r="CC113" i="1"/>
  <c r="AE113" i="1" a="1"/>
  <c r="AE113" i="1" s="1"/>
  <c r="AJ113" i="1"/>
  <c r="CB111" i="1"/>
  <c r="CP110" i="1"/>
  <c r="BN110" i="1"/>
  <c r="N110" i="1"/>
  <c r="CC109" i="1"/>
  <c r="AP109" i="1"/>
  <c r="L109" i="1"/>
  <c r="AA109" i="1" a="1"/>
  <c r="AA109" i="1" s="1"/>
  <c r="AA108" i="1" a="1"/>
  <c r="AA108" i="1" s="1"/>
  <c r="Y107" i="1" a="1"/>
  <c r="Y107" i="1" s="1"/>
  <c r="CK105" i="1"/>
  <c r="N105" i="1"/>
  <c r="S105" i="1"/>
  <c r="T105" i="1" s="1"/>
  <c r="CK104" i="1"/>
  <c r="K104" i="1"/>
  <c r="CL103" i="1"/>
  <c r="M102" i="1"/>
  <c r="AH100" i="1" a="1"/>
  <c r="AH100" i="1" s="1"/>
  <c r="I100" i="1"/>
  <c r="AE98" i="1" a="1"/>
  <c r="AE98" i="1" s="1"/>
  <c r="CI97" i="1"/>
  <c r="CC96" i="1"/>
  <c r="AH96" i="1" a="1"/>
  <c r="AH96" i="1" s="1"/>
  <c r="CE94" i="1"/>
  <c r="I94" i="1"/>
  <c r="J91" i="1"/>
  <c r="CL90" i="1"/>
  <c r="AJ301" i="1"/>
  <c r="K301" i="1"/>
  <c r="BL299" i="1"/>
  <c r="CK296" i="1"/>
  <c r="CQ296" i="1" s="1"/>
  <c r="AF296" i="1" a="1"/>
  <c r="AF296" i="1" s="1"/>
  <c r="J296" i="1"/>
  <c r="L294" i="1"/>
  <c r="Y292" i="1" a="1"/>
  <c r="Y292" i="1" s="1"/>
  <c r="CJ291" i="1"/>
  <c r="CP291" i="1" s="1"/>
  <c r="AO290" i="1"/>
  <c r="L290" i="1"/>
  <c r="CD289" i="1"/>
  <c r="BK285" i="1"/>
  <c r="AQ284" i="1"/>
  <c r="Z280" i="1" a="1"/>
  <c r="Z280" i="1" s="1"/>
  <c r="BL278" i="1"/>
  <c r="CK276" i="1"/>
  <c r="CQ276" i="1" s="1"/>
  <c r="J276" i="1"/>
  <c r="CJ273" i="1"/>
  <c r="CP273" i="1" s="1"/>
  <c r="AH272" i="1" a="1"/>
  <c r="AH272" i="1" s="1"/>
  <c r="S272" i="1"/>
  <c r="T272" i="1" s="1"/>
  <c r="N269" i="1"/>
  <c r="BN268" i="1"/>
  <c r="AD268" i="1" a="1"/>
  <c r="AD268" i="1" s="1"/>
  <c r="CL267" i="1"/>
  <c r="CR267" i="1" s="1"/>
  <c r="S267" i="1"/>
  <c r="T267" i="1" s="1"/>
  <c r="BK265" i="1"/>
  <c r="CI264" i="1"/>
  <c r="CO264" i="1" s="1"/>
  <c r="AO263" i="1"/>
  <c r="AG262" i="1" a="1"/>
  <c r="AG262" i="1" s="1"/>
  <c r="AP261" i="1"/>
  <c r="CD258" i="1"/>
  <c r="BL251" i="1"/>
  <c r="AP251" i="1"/>
  <c r="AH244" i="1" a="1"/>
  <c r="AH244" i="1" s="1"/>
  <c r="CE230" i="1"/>
  <c r="CC227" i="1"/>
  <c r="AQ226" i="1"/>
  <c r="CH225" i="1"/>
  <c r="K225" i="1"/>
  <c r="I223" i="1"/>
  <c r="AG222" i="1" a="1"/>
  <c r="AG222" i="1" s="1"/>
  <c r="CF221" i="1"/>
  <c r="K220" i="1"/>
  <c r="V215" i="1" a="1"/>
  <c r="V215" i="1" s="1"/>
  <c r="W215" i="1" s="1"/>
  <c r="K213" i="1"/>
  <c r="V209" i="1" a="1"/>
  <c r="V209" i="1" s="1"/>
  <c r="W209" i="1" s="1"/>
  <c r="BM207" i="1"/>
  <c r="BM200" i="1"/>
  <c r="AE196" i="1" a="1"/>
  <c r="AE196" i="1" s="1"/>
  <c r="J196" i="1"/>
  <c r="BL194" i="1"/>
  <c r="AN193" i="1"/>
  <c r="AK190" i="1"/>
  <c r="BO185" i="1"/>
  <c r="I185" i="1"/>
  <c r="V179" i="1" a="1"/>
  <c r="V179" i="1" s="1"/>
  <c r="W179" i="1" s="1"/>
  <c r="CE175" i="1"/>
  <c r="AF167" i="1" a="1"/>
  <c r="AF167" i="1" s="1"/>
  <c r="BL164" i="1"/>
  <c r="BN162" i="1"/>
  <c r="AJ160" i="1"/>
  <c r="P159" i="1" a="1"/>
  <c r="P159" i="1" s="1"/>
  <c r="Z154" i="1" a="1"/>
  <c r="Z154" i="1" s="1"/>
  <c r="AH150" i="1" a="1"/>
  <c r="AH150" i="1" s="1"/>
  <c r="CH145" i="1"/>
  <c r="I137" i="1"/>
  <c r="BN136" i="1"/>
  <c r="AD136" i="1" a="1"/>
  <c r="AD136" i="1" s="1"/>
  <c r="J136" i="1"/>
  <c r="CK135" i="1"/>
  <c r="P135" i="1" a="1"/>
  <c r="P135" i="1" s="1"/>
  <c r="Q135" i="1" s="1"/>
  <c r="AJ134" i="1"/>
  <c r="S134" i="1"/>
  <c r="T134" i="1" s="1"/>
  <c r="AK133" i="1"/>
  <c r="S133" i="1"/>
  <c r="T133" i="1" s="1"/>
  <c r="BN132" i="1"/>
  <c r="V132" i="1" a="1"/>
  <c r="V132" i="1" s="1"/>
  <c r="W132" i="1" s="1"/>
  <c r="DO129" i="1" a="1"/>
  <c r="DO129" i="1" s="1"/>
  <c r="I129" i="1"/>
  <c r="BL127" i="1"/>
  <c r="CE121" i="1"/>
  <c r="CK119" i="1"/>
  <c r="BK119" i="1"/>
  <c r="AR118" i="1"/>
  <c r="V118" i="1" a="1"/>
  <c r="V118" i="1" s="1"/>
  <c r="W118" i="1" s="1"/>
  <c r="AK117" i="1"/>
  <c r="J117" i="1"/>
  <c r="DR116" i="1" a="1"/>
  <c r="DR116" i="1" s="1"/>
  <c r="I116" i="1"/>
  <c r="CJ115" i="1"/>
  <c r="BO115" i="1"/>
  <c r="Z115" i="1" a="1"/>
  <c r="Z115" i="1" s="1"/>
  <c r="I114" i="1"/>
  <c r="AN109" i="1"/>
  <c r="BK108" i="1"/>
  <c r="BM107" i="1"/>
  <c r="BM106" i="1"/>
  <c r="BN105" i="1"/>
  <c r="BN102" i="1"/>
  <c r="I102" i="1"/>
  <c r="CJ93" i="1"/>
  <c r="CP93" i="1" s="1"/>
  <c r="I91" i="1"/>
  <c r="N302" i="1"/>
  <c r="CE301" i="1"/>
  <c r="CK299" i="1"/>
  <c r="CQ299" i="1" s="1"/>
  <c r="AA299" i="1" a="1"/>
  <c r="AA299" i="1" s="1"/>
  <c r="N298" i="1"/>
  <c r="V293" i="1" a="1"/>
  <c r="V293" i="1" s="1"/>
  <c r="W293" i="1" s="1"/>
  <c r="K289" i="1"/>
  <c r="CL287" i="1"/>
  <c r="CR287" i="1" s="1"/>
  <c r="CH286" i="1"/>
  <c r="AK284" i="1"/>
  <c r="CD283" i="1"/>
  <c r="CF281" i="1"/>
  <c r="AH281" i="1" a="1"/>
  <c r="AH281" i="1" s="1"/>
  <c r="AC280" i="1" a="1"/>
  <c r="AC280" i="1" s="1"/>
  <c r="BN279" i="1"/>
  <c r="CF274" i="1"/>
  <c r="V272" i="1" a="1"/>
  <c r="V272" i="1" s="1"/>
  <c r="W272" i="1" s="1"/>
  <c r="AP270" i="1"/>
  <c r="CH268" i="1"/>
  <c r="CN268" i="1" s="1"/>
  <c r="CJ265" i="1"/>
  <c r="CP265" i="1" s="1"/>
  <c r="N265" i="1"/>
  <c r="AJ264" i="1"/>
  <c r="L264" i="1"/>
  <c r="L261" i="1"/>
  <c r="L258" i="1"/>
  <c r="AE255" i="1" a="1"/>
  <c r="AE255" i="1" s="1"/>
  <c r="S255" i="1"/>
  <c r="T255" i="1" s="1"/>
  <c r="AN245" i="1"/>
  <c r="CH242" i="1"/>
  <c r="CN242" i="1" s="1"/>
  <c r="N241" i="1"/>
  <c r="BO231" i="1"/>
  <c r="AQ230" i="1"/>
  <c r="AO225" i="1"/>
  <c r="AK221" i="1"/>
  <c r="N221" i="1"/>
  <c r="BL215" i="1"/>
  <c r="CI213" i="1"/>
  <c r="CO213" i="1" s="1"/>
  <c r="AE209" i="1" a="1"/>
  <c r="AE209" i="1" s="1"/>
  <c r="K209" i="1"/>
  <c r="I208" i="1"/>
  <c r="AO207" i="1"/>
  <c r="I201" i="1"/>
  <c r="I194" i="1"/>
  <c r="CC190" i="1"/>
  <c r="Z190" i="1" a="1"/>
  <c r="Z190" i="1" s="1"/>
  <c r="Y184" i="1" a="1"/>
  <c r="Y184" i="1" s="1"/>
  <c r="CF181" i="1"/>
  <c r="AJ181" i="1"/>
  <c r="BL179" i="1"/>
  <c r="AK174" i="1"/>
  <c r="I172" i="1"/>
  <c r="I164" i="1"/>
  <c r="V160" i="1" a="1"/>
  <c r="V160" i="1" s="1"/>
  <c r="W160" i="1" s="1"/>
  <c r="AR157" i="1"/>
  <c r="I157" i="1"/>
  <c r="AN148" i="1"/>
  <c r="Z145" i="1" a="1"/>
  <c r="Z145" i="1" s="1"/>
  <c r="J145" i="1"/>
  <c r="BK143" i="1"/>
  <c r="CH137" i="1"/>
  <c r="CK303" i="1"/>
  <c r="CQ303" i="1" s="1"/>
  <c r="BL303" i="1"/>
  <c r="AA303" i="1" a="1"/>
  <c r="AA303" i="1" s="1"/>
  <c r="M302" i="1"/>
  <c r="CI299" i="1"/>
  <c r="M299" i="1"/>
  <c r="AP299" i="1"/>
  <c r="M298" i="1"/>
  <c r="BO296" i="1"/>
  <c r="AD296" i="1" a="1"/>
  <c r="AD296" i="1" s="1"/>
  <c r="AF295" i="1" a="1"/>
  <c r="AF295" i="1" s="1"/>
  <c r="CH294" i="1"/>
  <c r="CN294" i="1" s="1"/>
  <c r="BM294" i="1"/>
  <c r="AF294" i="1" a="1"/>
  <c r="AF294" i="1" s="1"/>
  <c r="CI292" i="1"/>
  <c r="CO292" i="1" s="1"/>
  <c r="BL292" i="1"/>
  <c r="AC292" i="1" a="1"/>
  <c r="AC292" i="1" s="1"/>
  <c r="CI291" i="1"/>
  <c r="CO291" i="1" s="1"/>
  <c r="BN291" i="1"/>
  <c r="K290" i="1"/>
  <c r="J289" i="1"/>
  <c r="CB288" i="1"/>
  <c r="AQ288" i="1"/>
  <c r="Y288" i="1" a="1"/>
  <c r="Y288" i="1" s="1"/>
  <c r="BL287" i="1"/>
  <c r="CF286" i="1"/>
  <c r="CK285" i="1"/>
  <c r="CQ285" i="1" s="1"/>
  <c r="L285" i="1"/>
  <c r="AJ284" i="1"/>
  <c r="Z284" i="1" a="1"/>
  <c r="Z284" i="1" s="1"/>
  <c r="CB283" i="1"/>
  <c r="AD283" i="1" a="1"/>
  <c r="AD283" i="1" s="1"/>
  <c r="CD281" i="1"/>
  <c r="CH280" i="1"/>
  <c r="CN280" i="1" s="1"/>
  <c r="Y280" i="1" a="1"/>
  <c r="Y280" i="1" s="1"/>
  <c r="CE279" i="1"/>
  <c r="CI278" i="1"/>
  <c r="CO278" i="1" s="1"/>
  <c r="CI276" i="1"/>
  <c r="CO276" i="1" s="1"/>
  <c r="BN276" i="1"/>
  <c r="S275" i="1"/>
  <c r="T275" i="1" s="1"/>
  <c r="CC274" i="1"/>
  <c r="AG274" i="1" a="1"/>
  <c r="AG274" i="1" s="1"/>
  <c r="AP272" i="1"/>
  <c r="CF270" i="1"/>
  <c r="CJ269" i="1"/>
  <c r="CP269" i="1" s="1"/>
  <c r="BK269" i="1"/>
  <c r="L269" i="1"/>
  <c r="CF268" i="1"/>
  <c r="AC268" i="1" a="1"/>
  <c r="AC268" i="1" s="1"/>
  <c r="CK267" i="1"/>
  <c r="CQ267" i="1" s="1"/>
  <c r="M267" i="1"/>
  <c r="AG266" i="1" a="1"/>
  <c r="AG266" i="1" s="1"/>
  <c r="CH265" i="1"/>
  <c r="L265" i="1"/>
  <c r="AP265" i="1"/>
  <c r="CH264" i="1"/>
  <c r="CN264" i="1" s="1"/>
  <c r="CC263" i="1"/>
  <c r="AR263" i="1"/>
  <c r="CL262" i="1"/>
  <c r="CR262" i="1" s="1"/>
  <c r="N262" i="1"/>
  <c r="AR262" i="1"/>
  <c r="AN261" i="1"/>
  <c r="K261" i="1"/>
  <c r="CC260" i="1"/>
  <c r="CJ259" i="1"/>
  <c r="CP259" i="1" s="1"/>
  <c r="Z252" i="1" a="1"/>
  <c r="Z252" i="1" s="1"/>
  <c r="CD251" i="1"/>
  <c r="CJ250" i="1"/>
  <c r="CP250" i="1" s="1"/>
  <c r="AF249" i="1" a="1"/>
  <c r="AF249" i="1" s="1"/>
  <c r="CC247" i="1"/>
  <c r="CF247" i="1"/>
  <c r="CF246" i="1"/>
  <c r="CI244" i="1"/>
  <c r="CO244" i="1" s="1"/>
  <c r="AF244" i="1" a="1"/>
  <c r="AF244" i="1" s="1"/>
  <c r="CJ243" i="1"/>
  <c r="CP243" i="1" s="1"/>
  <c r="CD242" i="1"/>
  <c r="CK241" i="1"/>
  <c r="CQ241" i="1" s="1"/>
  <c r="M241" i="1"/>
  <c r="CD240" i="1"/>
  <c r="CI237" i="1"/>
  <c r="CO237" i="1" s="1"/>
  <c r="BL237" i="1"/>
  <c r="CE237" i="1"/>
  <c r="CL236" i="1"/>
  <c r="CR236" i="1" s="1"/>
  <c r="CL235" i="1"/>
  <c r="CR235" i="1" s="1"/>
  <c r="BN234" i="1"/>
  <c r="CF233" i="1"/>
  <c r="CE233" i="1"/>
  <c r="CK232" i="1"/>
  <c r="CQ232" i="1" s="1"/>
  <c r="CD231" i="1"/>
  <c r="AD231" i="1" a="1"/>
  <c r="AD231" i="1" s="1"/>
  <c r="AG230" i="1" a="1"/>
  <c r="AG230" i="1" s="1"/>
  <c r="AP230" i="1"/>
  <c r="CB227" i="1"/>
  <c r="AK227" i="1"/>
  <c r="BO226" i="1"/>
  <c r="AN225" i="1"/>
  <c r="J225" i="1"/>
  <c r="BO224" i="1"/>
  <c r="S224" i="1"/>
  <c r="T224" i="1" s="1"/>
  <c r="CE223" i="1"/>
  <c r="CC222" i="1"/>
  <c r="M221" i="1"/>
  <c r="V218" i="1" a="1"/>
  <c r="V218" i="1" s="1"/>
  <c r="W218" i="1" s="1"/>
  <c r="N217" i="1"/>
  <c r="CC217" i="1"/>
  <c r="Y216" i="1" a="1"/>
  <c r="Y216" i="1" s="1"/>
  <c r="CI215" i="1"/>
  <c r="CO215" i="1" s="1"/>
  <c r="J213" i="1"/>
  <c r="CE211" i="1"/>
  <c r="CK210" i="1"/>
  <c r="CQ210" i="1" s="1"/>
  <c r="AN210" i="1"/>
  <c r="AA209" i="1" a="1"/>
  <c r="AA209" i="1" s="1"/>
  <c r="CJ207" i="1"/>
  <c r="CP207" i="1" s="1"/>
  <c r="BL207" i="1"/>
  <c r="CJ206" i="1"/>
  <c r="CP206" i="1" s="1"/>
  <c r="CJ205" i="1"/>
  <c r="CP205" i="1" s="1"/>
  <c r="L205" i="1"/>
  <c r="N203" i="1"/>
  <c r="Z203" i="1" a="1"/>
  <c r="Z203" i="1" s="1"/>
  <c r="K202" i="1"/>
  <c r="AE201" i="1" a="1"/>
  <c r="AE201" i="1" s="1"/>
  <c r="CL200" i="1"/>
  <c r="CR200" i="1" s="1"/>
  <c r="BK200" i="1"/>
  <c r="K200" i="1"/>
  <c r="CL198" i="1"/>
  <c r="CR198" i="1" s="1"/>
  <c r="CK197" i="1"/>
  <c r="CQ197" i="1" s="1"/>
  <c r="BK196" i="1"/>
  <c r="CC194" i="1"/>
  <c r="AH193" i="1" a="1"/>
  <c r="AH193" i="1" s="1"/>
  <c r="CK193" i="1"/>
  <c r="CQ193" i="1" s="1"/>
  <c r="AJ190" i="1"/>
  <c r="K190" i="1"/>
  <c r="CE187" i="1"/>
  <c r="BO187" i="1"/>
  <c r="CI186" i="1"/>
  <c r="CO186" i="1" s="1"/>
  <c r="N186" i="1"/>
  <c r="CL185" i="1"/>
  <c r="CR185" i="1" s="1"/>
  <c r="CE183" i="1"/>
  <c r="CJ182" i="1"/>
  <c r="CP182" i="1" s="1"/>
  <c r="AK182" i="1"/>
  <c r="M182" i="1"/>
  <c r="S182" i="1"/>
  <c r="T182" i="1" s="1"/>
  <c r="CE181" i="1"/>
  <c r="CC180" i="1"/>
  <c r="AP180" i="1"/>
  <c r="Z180" i="1" a="1"/>
  <c r="Z180" i="1" s="1"/>
  <c r="M179" i="1"/>
  <c r="AF178" i="1" a="1"/>
  <c r="AF178" i="1" s="1"/>
  <c r="I177" i="1"/>
  <c r="CB175" i="1"/>
  <c r="CI174" i="1"/>
  <c r="CO174" i="1" s="1"/>
  <c r="J174" i="1"/>
  <c r="AE172" i="1" a="1"/>
  <c r="AE172" i="1" s="1"/>
  <c r="M171" i="1"/>
  <c r="CC170" i="1"/>
  <c r="Z169" i="1" a="1"/>
  <c r="Z169" i="1" s="1"/>
  <c r="AA169" i="1" a="1"/>
  <c r="AA169" i="1" s="1"/>
  <c r="AD168" i="1" a="1"/>
  <c r="AD168" i="1" s="1"/>
  <c r="AD167" i="1" a="1"/>
  <c r="AD167" i="1" s="1"/>
  <c r="AD164" i="1" a="1"/>
  <c r="AD164" i="1" s="1"/>
  <c r="CI163" i="1"/>
  <c r="CO163" i="1" s="1"/>
  <c r="CF162" i="1"/>
  <c r="AR162" i="1"/>
  <c r="AA161" i="1" a="1"/>
  <c r="AA161" i="1" s="1"/>
  <c r="AH160" i="1" a="1"/>
  <c r="AH160" i="1" s="1"/>
  <c r="L160" i="1"/>
  <c r="BN159" i="1"/>
  <c r="CC157" i="1"/>
  <c r="AN157" i="1"/>
  <c r="K156" i="1"/>
  <c r="M154" i="1"/>
  <c r="AR154" i="1"/>
  <c r="J153" i="1"/>
  <c r="V152" i="1" a="1"/>
  <c r="V152" i="1" s="1"/>
  <c r="W152" i="1" s="1"/>
  <c r="BK151" i="1"/>
  <c r="CF149" i="1"/>
  <c r="AH149" i="1" a="1"/>
  <c r="AH149" i="1" s="1"/>
  <c r="K148" i="1"/>
  <c r="AE146" i="1" a="1"/>
  <c r="AE146" i="1" s="1"/>
  <c r="AR145" i="1"/>
  <c r="V145" i="1" a="1"/>
  <c r="V145" i="1" s="1"/>
  <c r="W145" i="1" s="1"/>
  <c r="K144" i="1"/>
  <c r="DQ143" i="1" a="1"/>
  <c r="DQ143" i="1" s="1"/>
  <c r="CH143" i="1"/>
  <c r="AK141" i="1"/>
  <c r="Y141" i="1" a="1"/>
  <c r="Y141" i="1" s="1"/>
  <c r="CD140" i="1"/>
  <c r="AK140" i="1"/>
  <c r="Y140" i="1" a="1"/>
  <c r="Y140" i="1" s="1"/>
  <c r="CD139" i="1"/>
  <c r="AK139" i="1"/>
  <c r="Y139" i="1" a="1"/>
  <c r="Y139" i="1" s="1"/>
  <c r="CD138" i="1"/>
  <c r="AK138" i="1"/>
  <c r="Y138" i="1" a="1"/>
  <c r="Y138" i="1" s="1"/>
  <c r="V138" i="1" a="1"/>
  <c r="V138" i="1" s="1"/>
  <c r="W138" i="1" s="1"/>
  <c r="AQ137" i="1"/>
  <c r="Z137" i="1" a="1"/>
  <c r="Z137" i="1" s="1"/>
  <c r="DQ136" i="1" a="1"/>
  <c r="DQ136" i="1" s="1"/>
  <c r="CH136" i="1"/>
  <c r="I136" i="1"/>
  <c r="CJ135" i="1"/>
  <c r="BN135" i="1"/>
  <c r="AE135" i="1" a="1"/>
  <c r="AE135" i="1" s="1"/>
  <c r="CB135" i="1"/>
  <c r="AH134" i="1" a="1"/>
  <c r="AH134" i="1" s="1"/>
  <c r="AJ133" i="1"/>
  <c r="CF132" i="1"/>
  <c r="J132" i="1"/>
  <c r="CB129" i="1"/>
  <c r="AJ129" i="1"/>
  <c r="CK128" i="1"/>
  <c r="DR128" i="1" s="1" a="1"/>
  <c r="DR128" i="1" s="1"/>
  <c r="M128" i="1"/>
  <c r="BK127" i="1"/>
  <c r="AC125" i="1" a="1"/>
  <c r="AC125" i="1" s="1"/>
  <c r="AC124" i="1" a="1"/>
  <c r="AC124" i="1" s="1"/>
  <c r="AE123" i="1" a="1"/>
  <c r="AE123" i="1" s="1"/>
  <c r="CD121" i="1"/>
  <c r="AN121" i="1"/>
  <c r="CJ119" i="1"/>
  <c r="AQ119" i="1"/>
  <c r="AN118" i="1"/>
  <c r="CE116" i="1"/>
  <c r="CH115" i="1"/>
  <c r="CN115" i="1" s="1"/>
  <c r="L115" i="1"/>
  <c r="CJ114" i="1"/>
  <c r="BO114" i="1"/>
  <c r="AC113" i="1" a="1"/>
  <c r="AC113" i="1" s="1"/>
  <c r="K110" i="1"/>
  <c r="AH109" i="1" a="1"/>
  <c r="AH109" i="1" s="1"/>
  <c r="J109" i="1"/>
  <c r="K108" i="1"/>
  <c r="CB107" i="1"/>
  <c r="CI106" i="1"/>
  <c r="J106" i="1"/>
  <c r="CI105" i="1"/>
  <c r="J105" i="1"/>
  <c r="CI104" i="1"/>
  <c r="AK104" i="1"/>
  <c r="CF104" i="1"/>
  <c r="CJ103" i="1"/>
  <c r="K103" i="1"/>
  <c r="CH101" i="1"/>
  <c r="DO101" i="1" s="1" a="1"/>
  <c r="DO101" i="1" s="1"/>
  <c r="AF100" i="1" a="1"/>
  <c r="AF100" i="1" s="1"/>
  <c r="CE100" i="1"/>
  <c r="CB97" i="1"/>
  <c r="AG96" i="1" a="1"/>
  <c r="AG96" i="1" s="1"/>
  <c r="AD94" i="1" a="1"/>
  <c r="AD94" i="1" s="1"/>
  <c r="CH93" i="1"/>
  <c r="AR93" i="1"/>
  <c r="L93" i="1"/>
  <c r="BO91" i="1"/>
  <c r="AD91" i="1" a="1"/>
  <c r="AD91" i="1" s="1"/>
  <c r="CF91" i="1"/>
  <c r="CI303" i="1"/>
  <c r="AP303" i="1"/>
  <c r="Z300" i="1" a="1"/>
  <c r="Z300" i="1" s="1"/>
  <c r="CH299" i="1"/>
  <c r="CL295" i="1"/>
  <c r="CR295" i="1" s="1"/>
  <c r="BL294" i="1"/>
  <c r="AE294" i="1" a="1"/>
  <c r="AE294" i="1" s="1"/>
  <c r="BN293" i="1"/>
  <c r="CH292" i="1"/>
  <c r="CN292" i="1" s="1"/>
  <c r="BM291" i="1"/>
  <c r="AK288" i="1"/>
  <c r="AJ285" i="1"/>
  <c r="K285" i="1"/>
  <c r="CB284" i="1"/>
  <c r="V284" i="1" a="1"/>
  <c r="V284" i="1" s="1"/>
  <c r="W284" i="1" s="1"/>
  <c r="CF280" i="1"/>
  <c r="Y279" i="1" a="1"/>
  <c r="Y279" i="1" s="1"/>
  <c r="CF278" i="1"/>
  <c r="CK277" i="1"/>
  <c r="CQ277" i="1" s="1"/>
  <c r="N277" i="1"/>
  <c r="AD276" i="1" a="1"/>
  <c r="AD276" i="1" s="1"/>
  <c r="AR274" i="1"/>
  <c r="AQ268" i="1"/>
  <c r="CI267" i="1"/>
  <c r="CO267" i="1" s="1"/>
  <c r="N266" i="1"/>
  <c r="AN265" i="1"/>
  <c r="BO264" i="1"/>
  <c r="CJ262" i="1"/>
  <c r="CP262" i="1" s="1"/>
  <c r="CD261" i="1"/>
  <c r="BK256" i="1"/>
  <c r="K255" i="1"/>
  <c r="AR252" i="1"/>
  <c r="CB251" i="1"/>
  <c r="P249" i="1" a="1"/>
  <c r="P249" i="1" s="1"/>
  <c r="BO243" i="1"/>
  <c r="AD243" i="1" a="1"/>
  <c r="AD243" i="1" s="1"/>
  <c r="CC242" i="1"/>
  <c r="CE239" i="1"/>
  <c r="AC237" i="1" a="1"/>
  <c r="AC237" i="1" s="1"/>
  <c r="AQ231" i="1"/>
  <c r="AA230" i="1" a="1"/>
  <c r="AA230" i="1" s="1"/>
  <c r="CL224" i="1"/>
  <c r="CR224" i="1" s="1"/>
  <c r="CB223" i="1"/>
  <c r="BK222" i="1"/>
  <c r="AG221" i="1" a="1"/>
  <c r="AG221" i="1" s="1"/>
  <c r="CC215" i="1"/>
  <c r="BL214" i="1"/>
  <c r="CB211" i="1"/>
  <c r="I209" i="1"/>
  <c r="K205" i="1"/>
  <c r="N204" i="1"/>
  <c r="M203" i="1"/>
  <c r="AA197" i="1" a="1"/>
  <c r="AA197" i="1" s="1"/>
  <c r="CH196" i="1"/>
  <c r="AD196" i="1" a="1"/>
  <c r="AD196" i="1" s="1"/>
  <c r="CK195" i="1"/>
  <c r="CQ195" i="1" s="1"/>
  <c r="I189" i="1"/>
  <c r="S188" i="1"/>
  <c r="T188" i="1" s="1"/>
  <c r="CF186" i="1"/>
  <c r="M186" i="1"/>
  <c r="AR185" i="1"/>
  <c r="BN184" i="1"/>
  <c r="J184" i="1"/>
  <c r="AF183" i="1" a="1"/>
  <c r="AF183" i="1" s="1"/>
  <c r="AA181" i="1" a="1"/>
  <c r="AA181" i="1" s="1"/>
  <c r="AH180" i="1" a="1"/>
  <c r="AH180" i="1" s="1"/>
  <c r="AJ177" i="1"/>
  <c r="I176" i="1"/>
  <c r="AQ162" i="1"/>
  <c r="L162" i="1"/>
  <c r="L154" i="1"/>
  <c r="CE149" i="1"/>
  <c r="P149" i="1" a="1"/>
  <c r="P149" i="1" s="1"/>
  <c r="Q149" i="1" s="1"/>
  <c r="CJ148" i="1"/>
  <c r="K147" i="1"/>
  <c r="CQ145" i="1"/>
  <c r="AQ145" i="1"/>
  <c r="CD143" i="1"/>
  <c r="AQ143" i="1"/>
  <c r="CJ142" i="1"/>
  <c r="AN142" i="1"/>
  <c r="K142" i="1"/>
  <c r="AJ141" i="1"/>
  <c r="S141" i="1"/>
  <c r="T141" i="1" s="1"/>
  <c r="AJ140" i="1"/>
  <c r="AL140" i="1" s="1"/>
  <c r="S140" i="1"/>
  <c r="T140" i="1" s="1"/>
  <c r="AJ139" i="1"/>
  <c r="S139" i="1"/>
  <c r="T139" i="1" s="1"/>
  <c r="AJ138" i="1"/>
  <c r="S138" i="1"/>
  <c r="T138" i="1" s="1"/>
  <c r="AK137" i="1"/>
  <c r="Y137" i="1" a="1"/>
  <c r="Y137" i="1" s="1"/>
  <c r="V137" i="1" a="1"/>
  <c r="V137" i="1" s="1"/>
  <c r="W137" i="1" s="1"/>
  <c r="AQ136" i="1"/>
  <c r="Z136" i="1" a="1"/>
  <c r="Z136" i="1" s="1"/>
  <c r="K135" i="1"/>
  <c r="AF134" i="1" a="1"/>
  <c r="AF134" i="1" s="1"/>
  <c r="L134" i="1"/>
  <c r="AH133" i="1" a="1"/>
  <c r="AH133" i="1" s="1"/>
  <c r="L133" i="1"/>
  <c r="AQ132" i="1"/>
  <c r="Z132" i="1" a="1"/>
  <c r="Z132" i="1" s="1"/>
  <c r="I132" i="1"/>
  <c r="AR131" i="1"/>
  <c r="Y129" i="1" a="1"/>
  <c r="Y129" i="1" s="1"/>
  <c r="CI128" i="1"/>
  <c r="BK128" i="1"/>
  <c r="CE127" i="1"/>
  <c r="Z127" i="1" a="1"/>
  <c r="Z127" i="1" s="1"/>
  <c r="AR127" i="1"/>
  <c r="I126" i="1"/>
  <c r="M125" i="1"/>
  <c r="CE124" i="1"/>
  <c r="AR124" i="1"/>
  <c r="Z124" i="1" a="1"/>
  <c r="Z124" i="1" s="1"/>
  <c r="CK123" i="1"/>
  <c r="BO123" i="1"/>
  <c r="AC123" i="1" a="1"/>
  <c r="AC123" i="1" s="1"/>
  <c r="AK121" i="1"/>
  <c r="CE119" i="1"/>
  <c r="AJ119" i="1"/>
  <c r="V119" i="1" a="1"/>
  <c r="V119" i="1" s="1"/>
  <c r="W119" i="1" s="1"/>
  <c r="CL118" i="1"/>
  <c r="CR118" i="1" s="1"/>
  <c r="AJ118" i="1"/>
  <c r="AE117" i="1" a="1"/>
  <c r="AE117" i="1" s="1"/>
  <c r="CD116" i="1"/>
  <c r="CE115" i="1"/>
  <c r="AR115" i="1"/>
  <c r="I115" i="1"/>
  <c r="CH114" i="1"/>
  <c r="Z113" i="1" a="1"/>
  <c r="Z113" i="1" s="1"/>
  <c r="CL111" i="1"/>
  <c r="Y111" i="1" a="1"/>
  <c r="Y111" i="1" s="1"/>
  <c r="CD110" i="1"/>
  <c r="AF109" i="1" a="1"/>
  <c r="AF109" i="1" s="1"/>
  <c r="CD108" i="1"/>
  <c r="AQ107" i="1"/>
  <c r="CD106" i="1"/>
  <c r="CD105" i="1"/>
  <c r="CD104" i="1"/>
  <c r="CI103" i="1"/>
  <c r="CI99" i="1"/>
  <c r="M99" i="1"/>
  <c r="M98" i="1"/>
  <c r="AG97" i="1" a="1"/>
  <c r="AG97" i="1" s="1"/>
  <c r="N96" i="1"/>
  <c r="I95" i="1"/>
  <c r="CD93" i="1"/>
  <c r="J93" i="1"/>
  <c r="BM91" i="1"/>
  <c r="M303" i="1"/>
  <c r="Y300" i="1" a="1"/>
  <c r="Y300" i="1" s="1"/>
  <c r="AO299" i="1"/>
  <c r="S293" i="1"/>
  <c r="T293" i="1" s="1"/>
  <c r="Z292" i="1" a="1"/>
  <c r="Z292" i="1" s="1"/>
  <c r="Y291" i="1" a="1"/>
  <c r="Y291" i="1" s="1"/>
  <c r="AC288" i="1" a="1"/>
  <c r="AC288" i="1" s="1"/>
  <c r="CB286" i="1"/>
  <c r="CJ285" i="1"/>
  <c r="CP285" i="1" s="1"/>
  <c r="Y284" i="1" a="1"/>
  <c r="Y284" i="1" s="1"/>
  <c r="V280" i="1" a="1"/>
  <c r="V280" i="1" s="1"/>
  <c r="W280" i="1" s="1"/>
  <c r="AR279" i="1"/>
  <c r="AJ277" i="1"/>
  <c r="CH276" i="1"/>
  <c r="CN276" i="1" s="1"/>
  <c r="M275" i="1"/>
  <c r="N274" i="1"/>
  <c r="S271" i="1"/>
  <c r="T271" i="1" s="1"/>
  <c r="Y268" i="1" a="1"/>
  <c r="Y268" i="1" s="1"/>
  <c r="BO267" i="1"/>
  <c r="AR266" i="1"/>
  <c r="CF265" i="1"/>
  <c r="CF264" i="1"/>
  <c r="I264" i="1"/>
  <c r="I261" i="1"/>
  <c r="AO251" i="1"/>
  <c r="AC251" i="1" a="1"/>
  <c r="AC251" i="1" s="1"/>
  <c r="CI243" i="1"/>
  <c r="CO243" i="1" s="1"/>
  <c r="CF241" i="1"/>
  <c r="L241" i="1"/>
  <c r="BK237" i="1"/>
  <c r="Z229" i="1" a="1"/>
  <c r="Z229" i="1" s="1"/>
  <c r="AJ227" i="1"/>
  <c r="CC225" i="1"/>
  <c r="AC222" i="1" a="1"/>
  <c r="AC222" i="1" s="1"/>
  <c r="AJ221" i="1"/>
  <c r="AO215" i="1"/>
  <c r="I215" i="1"/>
  <c r="V214" i="1" a="1"/>
  <c r="V214" i="1" s="1"/>
  <c r="W214" i="1" s="1"/>
  <c r="AR208" i="1"/>
  <c r="N207" i="1"/>
  <c r="AK204" i="1"/>
  <c r="AC198" i="1" a="1"/>
  <c r="AC198" i="1" s="1"/>
  <c r="Y195" i="1" a="1"/>
  <c r="Y195" i="1" s="1"/>
  <c r="CB194" i="1"/>
  <c r="AP194" i="1"/>
  <c r="S186" i="1"/>
  <c r="T186" i="1" s="1"/>
  <c r="CI184" i="1"/>
  <c r="CO184" i="1" s="1"/>
  <c r="BK183" i="1"/>
  <c r="CI182" i="1"/>
  <c r="CO182" i="1" s="1"/>
  <c r="Z181" i="1" a="1"/>
  <c r="Z181" i="1" s="1"/>
  <c r="AO179" i="1"/>
  <c r="BO177" i="1"/>
  <c r="CC174" i="1"/>
  <c r="I173" i="1"/>
  <c r="BM172" i="1"/>
  <c r="L171" i="1"/>
  <c r="CB164" i="1"/>
  <c r="AQ164" i="1"/>
  <c r="AC164" i="1" a="1"/>
  <c r="AC164" i="1" s="1"/>
  <c r="I160" i="1"/>
  <c r="CD156" i="1"/>
  <c r="CQ149" i="1"/>
  <c r="BK149" i="1"/>
  <c r="CH303" i="1"/>
  <c r="AO303" i="1"/>
  <c r="AE301" i="1" a="1"/>
  <c r="AE301" i="1" s="1"/>
  <c r="CK300" i="1"/>
  <c r="CQ300" i="1" s="1"/>
  <c r="P300" i="1" a="1"/>
  <c r="P300" i="1" s="1"/>
  <c r="CB299" i="1"/>
  <c r="AH299" i="1" a="1"/>
  <c r="AH299" i="1" s="1"/>
  <c r="I299" i="1"/>
  <c r="CH297" i="1"/>
  <c r="AQ296" i="1"/>
  <c r="CJ295" i="1"/>
  <c r="CP295" i="1" s="1"/>
  <c r="AP295" i="1"/>
  <c r="Z294" i="1" a="1"/>
  <c r="Z294" i="1" s="1"/>
  <c r="M292" i="1"/>
  <c r="AP292" i="1"/>
  <c r="CC291" i="1"/>
  <c r="CE289" i="1"/>
  <c r="S288" i="1"/>
  <c r="T288" i="1" s="1"/>
  <c r="BK286" i="1"/>
  <c r="AP284" i="1"/>
  <c r="V281" i="1" a="1"/>
  <c r="V281" i="1" s="1"/>
  <c r="W281" i="1" s="1"/>
  <c r="AP280" i="1"/>
  <c r="S279" i="1"/>
  <c r="T279" i="1" s="1"/>
  <c r="CC278" i="1"/>
  <c r="CJ277" i="1"/>
  <c r="CP277" i="1" s="1"/>
  <c r="BK277" i="1"/>
  <c r="AP277" i="1"/>
  <c r="AQ276" i="1"/>
  <c r="BO275" i="1"/>
  <c r="M274" i="1"/>
  <c r="CK272" i="1"/>
  <c r="CQ272" i="1" s="1"/>
  <c r="J272" i="1"/>
  <c r="M271" i="1"/>
  <c r="N270" i="1"/>
  <c r="AR270" i="1"/>
  <c r="CF269" i="1"/>
  <c r="AK268" i="1"/>
  <c r="S268" i="1"/>
  <c r="T268" i="1" s="1"/>
  <c r="V268" i="1" a="1"/>
  <c r="V268" i="1" s="1"/>
  <c r="W268" i="1" s="1"/>
  <c r="AO267" i="1"/>
  <c r="M266" i="1"/>
  <c r="CD265" i="1"/>
  <c r="I265" i="1"/>
  <c r="AE264" i="1" a="1"/>
  <c r="AE264" i="1" s="1"/>
  <c r="CL263" i="1"/>
  <c r="CR263" i="1" s="1"/>
  <c r="CI262" i="1"/>
  <c r="CO262" i="1" s="1"/>
  <c r="Y260" i="1" a="1"/>
  <c r="Y260" i="1" s="1"/>
  <c r="CD257" i="1"/>
  <c r="AR257" i="1"/>
  <c r="V256" i="1" a="1"/>
  <c r="V256" i="1" s="1"/>
  <c r="W256" i="1" s="1"/>
  <c r="BO254" i="1"/>
  <c r="Y254" i="1" a="1"/>
  <c r="Y254" i="1" s="1"/>
  <c r="P254" i="1" a="1"/>
  <c r="P254" i="1" s="1"/>
  <c r="CK252" i="1"/>
  <c r="CQ252" i="1" s="1"/>
  <c r="AQ252" i="1"/>
  <c r="AJ251" i="1"/>
  <c r="Y250" i="1" a="1"/>
  <c r="Y250" i="1" s="1"/>
  <c r="N249" i="1"/>
  <c r="M246" i="1"/>
  <c r="CE243" i="1"/>
  <c r="BM243" i="1"/>
  <c r="Y243" i="1" a="1"/>
  <c r="Y243" i="1" s="1"/>
  <c r="CB242" i="1"/>
  <c r="AD242" i="1" a="1"/>
  <c r="AD242" i="1" s="1"/>
  <c r="CC240" i="1"/>
  <c r="CC239" i="1"/>
  <c r="Y238" i="1" a="1"/>
  <c r="Y238" i="1" s="1"/>
  <c r="CF237" i="1"/>
  <c r="S237" i="1"/>
  <c r="T237" i="1" s="1"/>
  <c r="CI235" i="1"/>
  <c r="CO235" i="1" s="1"/>
  <c r="AJ234" i="1"/>
  <c r="CE232" i="1"/>
  <c r="L232" i="1"/>
  <c r="CB231" i="1"/>
  <c r="N231" i="1"/>
  <c r="AP229" i="1"/>
  <c r="M229" i="1"/>
  <c r="CF227" i="1"/>
  <c r="AP226" i="1"/>
  <c r="CE225" i="1"/>
  <c r="CK224" i="1"/>
  <c r="CQ224" i="1" s="1"/>
  <c r="AR224" i="1"/>
  <c r="Y224" i="1" a="1"/>
  <c r="Y224" i="1" s="1"/>
  <c r="CC224" i="1"/>
  <c r="AG223" i="1" a="1"/>
  <c r="AG223" i="1" s="1"/>
  <c r="J221" i="1"/>
  <c r="CI219" i="1"/>
  <c r="CO219" i="1" s="1"/>
  <c r="BM219" i="1"/>
  <c r="L217" i="1"/>
  <c r="Z216" i="1" a="1"/>
  <c r="Z216" i="1" s="1"/>
  <c r="CC216" i="1"/>
  <c r="N214" i="1"/>
  <c r="CE213" i="1"/>
  <c r="CD212" i="1"/>
  <c r="CF210" i="1"/>
  <c r="AK209" i="1"/>
  <c r="Z209" i="1" a="1"/>
  <c r="Z209" i="1" s="1"/>
  <c r="Y208" i="1" a="1"/>
  <c r="Y208" i="1" s="1"/>
  <c r="CB207" i="1"/>
  <c r="V207" i="1" a="1"/>
  <c r="V207" i="1" s="1"/>
  <c r="W207" i="1" s="1"/>
  <c r="L206" i="1"/>
  <c r="L204" i="1"/>
  <c r="CL201" i="1"/>
  <c r="CR201" i="1" s="1"/>
  <c r="BK201" i="1"/>
  <c r="AC201" i="1" a="1"/>
  <c r="AC201" i="1" s="1"/>
  <c r="CC200" i="1"/>
  <c r="CL199" i="1"/>
  <c r="CR199" i="1" s="1"/>
  <c r="CI198" i="1"/>
  <c r="CO198" i="1" s="1"/>
  <c r="AR196" i="1"/>
  <c r="CK196" i="1"/>
  <c r="CQ196" i="1" s="1"/>
  <c r="AR195" i="1"/>
  <c r="L195" i="1"/>
  <c r="AK194" i="1"/>
  <c r="AA194" i="1" a="1"/>
  <c r="AA194" i="1" s="1"/>
  <c r="CJ194" i="1"/>
  <c r="CP194" i="1" s="1"/>
  <c r="CK189" i="1"/>
  <c r="CQ189" i="1" s="1"/>
  <c r="CF189" i="1"/>
  <c r="CC186" i="1"/>
  <c r="AJ185" i="1"/>
  <c r="CH184" i="1"/>
  <c r="CN184" i="1" s="1"/>
  <c r="CC182" i="1"/>
  <c r="J182" i="1"/>
  <c r="L181" i="1"/>
  <c r="CB179" i="1"/>
  <c r="AN179" i="1"/>
  <c r="CH177" i="1"/>
  <c r="CN177" i="1" s="1"/>
  <c r="M175" i="1"/>
  <c r="CL173" i="1"/>
  <c r="CR173" i="1" s="1"/>
  <c r="BO173" i="1"/>
  <c r="CK172" i="1"/>
  <c r="CQ172" i="1" s="1"/>
  <c r="AA170" i="1" a="1"/>
  <c r="AA170" i="1" s="1"/>
  <c r="CD170" i="1"/>
  <c r="CJ169" i="1"/>
  <c r="CP169" i="1" s="1"/>
  <c r="P167" i="1" a="1"/>
  <c r="P167" i="1" s="1"/>
  <c r="AA167" i="1" a="1"/>
  <c r="AA167" i="1" s="1"/>
  <c r="M166" i="1"/>
  <c r="BN165" i="1"/>
  <c r="AO164" i="1"/>
  <c r="AA164" i="1" a="1"/>
  <c r="AA164" i="1" s="1"/>
  <c r="CB162" i="1"/>
  <c r="AJ162" i="1"/>
  <c r="K161" i="1"/>
  <c r="CI159" i="1"/>
  <c r="CO159" i="1" s="1"/>
  <c r="AQ159" i="1"/>
  <c r="AG157" i="1" a="1"/>
  <c r="AG157" i="1" s="1"/>
  <c r="CJ152" i="1"/>
  <c r="DQ152" i="1" s="1" a="1"/>
  <c r="DQ152" i="1" s="1"/>
  <c r="AR152" i="1"/>
  <c r="J152" i="1"/>
  <c r="V150" i="1" a="1"/>
  <c r="V150" i="1" s="1"/>
  <c r="W150" i="1" s="1"/>
  <c r="CD149" i="1"/>
  <c r="AE149" i="1" a="1"/>
  <c r="AE149" i="1" s="1"/>
  <c r="CH148" i="1"/>
  <c r="CN148" i="1" s="1"/>
  <c r="P146" i="1" a="1"/>
  <c r="P146" i="1" s="1"/>
  <c r="AK145" i="1"/>
  <c r="S145" i="1"/>
  <c r="T145" i="1" s="1"/>
  <c r="AN143" i="1"/>
  <c r="AA143" i="1" a="1"/>
  <c r="AA143" i="1" s="1"/>
  <c r="CH142" i="1"/>
  <c r="DO142" i="1" s="1" a="1"/>
  <c r="DO142" i="1" s="1"/>
  <c r="AH142" i="1" a="1"/>
  <c r="AH142" i="1" s="1"/>
  <c r="CK141" i="1"/>
  <c r="AH141" i="1" a="1"/>
  <c r="AH141" i="1" s="1"/>
  <c r="P141" i="1" a="1"/>
  <c r="P141" i="1" s="1"/>
  <c r="AH140" i="1" a="1"/>
  <c r="AH140" i="1" s="1"/>
  <c r="P140" i="1" a="1"/>
  <c r="P140" i="1" s="1"/>
  <c r="AH139" i="1" a="1"/>
  <c r="AH139" i="1" s="1"/>
  <c r="P139" i="1" a="1"/>
  <c r="P139" i="1" s="1"/>
  <c r="AH138" i="1" a="1"/>
  <c r="AH138" i="1" s="1"/>
  <c r="P138" i="1" a="1"/>
  <c r="P138" i="1" s="1"/>
  <c r="Q138" i="1" s="1"/>
  <c r="AJ137" i="1"/>
  <c r="S137" i="1"/>
  <c r="T137" i="1" s="1"/>
  <c r="AK136" i="1"/>
  <c r="Y136" i="1" a="1"/>
  <c r="Y136" i="1" s="1"/>
  <c r="V136" i="1" a="1"/>
  <c r="V136" i="1" s="1"/>
  <c r="W136" i="1" s="1"/>
  <c r="CF135" i="1"/>
  <c r="AQ135" i="1"/>
  <c r="CK134" i="1"/>
  <c r="V134" i="1" a="1"/>
  <c r="V134" i="1" s="1"/>
  <c r="W134" i="1" s="1"/>
  <c r="AF133" i="1" a="1"/>
  <c r="AF133" i="1" s="1"/>
  <c r="V133" i="1" a="1"/>
  <c r="V133" i="1" s="1"/>
  <c r="W133" i="1" s="1"/>
  <c r="AK132" i="1"/>
  <c r="Y132" i="1" a="1"/>
  <c r="Y132" i="1" s="1"/>
  <c r="AH131" i="1" a="1"/>
  <c r="AH131" i="1" s="1"/>
  <c r="CL129" i="1"/>
  <c r="AD129" i="1" a="1"/>
  <c r="AD129" i="1" s="1"/>
  <c r="CE128" i="1"/>
  <c r="K128" i="1"/>
  <c r="AO127" i="1"/>
  <c r="CF126" i="1"/>
  <c r="AN124" i="1"/>
  <c r="AA124" i="1" a="1"/>
  <c r="AA124" i="1" s="1"/>
  <c r="CH123" i="1"/>
  <c r="Z123" i="1" a="1"/>
  <c r="Z123" i="1" s="1"/>
  <c r="N120" i="1"/>
  <c r="CC119" i="1"/>
  <c r="CK118" i="1"/>
  <c r="AE118" i="1" a="1"/>
  <c r="AE118" i="1" s="1"/>
  <c r="DS117" i="1" a="1"/>
  <c r="DS117" i="1" s="1"/>
  <c r="CK117" i="1"/>
  <c r="AE116" i="1" a="1"/>
  <c r="AE116" i="1" s="1"/>
  <c r="CD115" i="1"/>
  <c r="BK115" i="1"/>
  <c r="CE114" i="1"/>
  <c r="AE114" i="1" a="1"/>
  <c r="AE114" i="1" s="1"/>
  <c r="CL113" i="1"/>
  <c r="P113" i="1" a="1"/>
  <c r="P113" i="1" s="1"/>
  <c r="AH112" i="1" a="1"/>
  <c r="AH112" i="1" s="1"/>
  <c r="CK111" i="1"/>
  <c r="N111" i="1"/>
  <c r="CK110" i="1"/>
  <c r="CC108" i="1"/>
  <c r="CF108" i="1"/>
  <c r="CC107" i="1"/>
  <c r="K107" i="1"/>
  <c r="CC106" i="1"/>
  <c r="AF106" i="1" a="1"/>
  <c r="AF106" i="1" s="1"/>
  <c r="CC105" i="1"/>
  <c r="AF105" i="1" a="1"/>
  <c r="AF105" i="1" s="1"/>
  <c r="CC104" i="1"/>
  <c r="CF103" i="1"/>
  <c r="CF102" i="1"/>
  <c r="CI98" i="1"/>
  <c r="CO98" i="1" s="1"/>
  <c r="K98" i="1"/>
  <c r="CL95" i="1"/>
  <c r="DS95" i="1" s="1" a="1"/>
  <c r="DS95" i="1" s="1"/>
  <c r="CR94" i="1"/>
  <c r="CE92" i="1"/>
  <c r="AC91" i="1" a="1"/>
  <c r="AC91" i="1" s="1"/>
  <c r="AE90" i="1" a="1"/>
  <c r="AE90" i="1" s="1"/>
  <c r="AH303" i="1" a="1"/>
  <c r="AH303" i="1" s="1"/>
  <c r="AG302" i="1" a="1"/>
  <c r="AG302" i="1" s="1"/>
  <c r="AA301" i="1" a="1"/>
  <c r="AA301" i="1" s="1"/>
  <c r="BN300" i="1"/>
  <c r="AG298" i="1" a="1"/>
  <c r="AG298" i="1" s="1"/>
  <c r="CB296" i="1"/>
  <c r="AO296" i="1"/>
  <c r="Z296" i="1" a="1"/>
  <c r="Z296" i="1" s="1"/>
  <c r="BM295" i="1"/>
  <c r="CC294" i="1"/>
  <c r="AR294" i="1"/>
  <c r="CF291" i="1"/>
  <c r="AP288" i="1"/>
  <c r="CD285" i="1"/>
  <c r="CE285" i="1"/>
  <c r="AO279" i="1"/>
  <c r="P279" i="1" a="1"/>
  <c r="P279" i="1" s="1"/>
  <c r="CB276" i="1"/>
  <c r="AK276" i="1"/>
  <c r="Y276" i="1" a="1"/>
  <c r="Y276" i="1" s="1"/>
  <c r="BN272" i="1"/>
  <c r="CD269" i="1"/>
  <c r="AJ268" i="1"/>
  <c r="AP268" i="1"/>
  <c r="CD267" i="1"/>
  <c r="AR267" i="1"/>
  <c r="CL266" i="1"/>
  <c r="CR266" i="1" s="1"/>
  <c r="CD264" i="1"/>
  <c r="AN264" i="1"/>
  <c r="BM262" i="1"/>
  <c r="CE261" i="1"/>
  <c r="CL260" i="1"/>
  <c r="CR260" i="1" s="1"/>
  <c r="AE258" i="1" a="1"/>
  <c r="AE258" i="1" s="1"/>
  <c r="N257" i="1"/>
  <c r="N256" i="1"/>
  <c r="AR248" i="1"/>
  <c r="Z245" i="1" a="1"/>
  <c r="Z245" i="1" s="1"/>
  <c r="BL243" i="1"/>
  <c r="CB237" i="1"/>
  <c r="AO237" i="1"/>
  <c r="V237" i="1" a="1"/>
  <c r="V237" i="1" s="1"/>
  <c r="W237" i="1" s="1"/>
  <c r="CC236" i="1"/>
  <c r="CE235" i="1"/>
  <c r="AJ235" i="1"/>
  <c r="P234" i="1" a="1"/>
  <c r="P234" i="1" s="1"/>
  <c r="Q234" i="1" s="1"/>
  <c r="CD232" i="1"/>
  <c r="CF230" i="1"/>
  <c r="AO229" i="1"/>
  <c r="K229" i="1"/>
  <c r="AH228" i="1" a="1"/>
  <c r="AH228" i="1" s="1"/>
  <c r="AP227" i="1"/>
  <c r="CL226" i="1"/>
  <c r="CR226" i="1" s="1"/>
  <c r="AA226" i="1" a="1"/>
  <c r="AA226" i="1" s="1"/>
  <c r="CB224" i="1"/>
  <c r="CC223" i="1"/>
  <c r="BL219" i="1"/>
  <c r="K218" i="1"/>
  <c r="AK217" i="1"/>
  <c r="CB216" i="1"/>
  <c r="AP215" i="1"/>
  <c r="CK214" i="1"/>
  <c r="CQ214" i="1" s="1"/>
  <c r="AO214" i="1"/>
  <c r="M214" i="1"/>
  <c r="BK214" i="1"/>
  <c r="CD213" i="1"/>
  <c r="CC212" i="1"/>
  <c r="CE210" i="1"/>
  <c r="CI209" i="1"/>
  <c r="CO209" i="1" s="1"/>
  <c r="AJ209" i="1"/>
  <c r="S209" i="1"/>
  <c r="T209" i="1" s="1"/>
  <c r="CE209" i="1"/>
  <c r="BN208" i="1"/>
  <c r="CC208" i="1"/>
  <c r="CE206" i="1"/>
  <c r="AE205" i="1" a="1"/>
  <c r="AE205" i="1" s="1"/>
  <c r="BK204" i="1"/>
  <c r="V201" i="1" a="1"/>
  <c r="V201" i="1" s="1"/>
  <c r="W201" i="1" s="1"/>
  <c r="CF198" i="1"/>
  <c r="AK198" i="1"/>
  <c r="AR198" i="1"/>
  <c r="CB196" i="1"/>
  <c r="AK196" i="1"/>
  <c r="AJ194" i="1"/>
  <c r="BO191" i="1"/>
  <c r="CJ190" i="1"/>
  <c r="CP190" i="1" s="1"/>
  <c r="CJ189" i="1"/>
  <c r="CP189" i="1" s="1"/>
  <c r="BO189" i="1"/>
  <c r="CC184" i="1"/>
  <c r="AF182" i="1" a="1"/>
  <c r="AF182" i="1" s="1"/>
  <c r="AE180" i="1" a="1"/>
  <c r="AE180" i="1" s="1"/>
  <c r="N178" i="1"/>
  <c r="AR177" i="1"/>
  <c r="CC176" i="1"/>
  <c r="AE176" i="1" a="1"/>
  <c r="AE176" i="1" s="1"/>
  <c r="AQ176" i="1"/>
  <c r="AA174" i="1" a="1"/>
  <c r="AA174" i="1" s="1"/>
  <c r="CD174" i="1"/>
  <c r="CJ173" i="1"/>
  <c r="CP173" i="1" s="1"/>
  <c r="BN172" i="1"/>
  <c r="AC172" i="1" a="1"/>
  <c r="AC172" i="1" s="1"/>
  <c r="CK171" i="1"/>
  <c r="CQ171" i="1" s="1"/>
  <c r="BL171" i="1"/>
  <c r="CH169" i="1"/>
  <c r="CN169" i="1" s="1"/>
  <c r="BO169" i="1"/>
  <c r="I169" i="1"/>
  <c r="AJ164" i="1"/>
  <c r="BN163" i="1"/>
  <c r="CK161" i="1"/>
  <c r="CQ161" i="1" s="1"/>
  <c r="AE160" i="1" a="1"/>
  <c r="AE160" i="1" s="1"/>
  <c r="CE160" i="1"/>
  <c r="CD159" i="1"/>
  <c r="CK158" i="1"/>
  <c r="CQ158" i="1" s="1"/>
  <c r="CJ156" i="1"/>
  <c r="CP156" i="1" s="1"/>
  <c r="CK155" i="1"/>
  <c r="CQ155" i="1" s="1"/>
  <c r="CJ154" i="1"/>
  <c r="CP154" i="1" s="1"/>
  <c r="AF154" i="1" a="1"/>
  <c r="AF154" i="1" s="1"/>
  <c r="CF154" i="1"/>
  <c r="BK153" i="1"/>
  <c r="CJ153" i="1"/>
  <c r="CP153" i="1" s="1"/>
  <c r="AR149" i="1"/>
  <c r="AR148" i="1"/>
  <c r="S147" i="1"/>
  <c r="T147" i="1" s="1"/>
  <c r="AJ145" i="1"/>
  <c r="BN144" i="1"/>
  <c r="CK144" i="1"/>
  <c r="DR144" i="1" s="1" a="1"/>
  <c r="DR144" i="1" s="1"/>
  <c r="AK143" i="1"/>
  <c r="Y143" i="1" a="1"/>
  <c r="Y143" i="1" s="1"/>
  <c r="J143" i="1"/>
  <c r="I142" i="1"/>
  <c r="CJ141" i="1"/>
  <c r="BN141" i="1"/>
  <c r="L141" i="1"/>
  <c r="CB141" i="1"/>
  <c r="L140" i="1"/>
  <c r="CB140" i="1"/>
  <c r="L139" i="1"/>
  <c r="L138" i="1"/>
  <c r="P137" i="1" a="1"/>
  <c r="P137" i="1" s="1"/>
  <c r="Q137" i="1" s="1"/>
  <c r="AJ136" i="1"/>
  <c r="S136" i="1"/>
  <c r="T136" i="1" s="1"/>
  <c r="CD135" i="1"/>
  <c r="AK135" i="1"/>
  <c r="Z135" i="1" a="1"/>
  <c r="Z135" i="1" s="1"/>
  <c r="I135" i="1"/>
  <c r="BN134" i="1"/>
  <c r="J134" i="1"/>
  <c r="CK133" i="1"/>
  <c r="J133" i="1"/>
  <c r="DS132" i="1" a="1"/>
  <c r="DS132" i="1" s="1"/>
  <c r="AJ132" i="1"/>
  <c r="S132" i="1"/>
  <c r="T132" i="1" s="1"/>
  <c r="BK132" i="1"/>
  <c r="CH131" i="1"/>
  <c r="CH130" i="1"/>
  <c r="DO130" i="1" s="1" a="1"/>
  <c r="DO130" i="1" s="1"/>
  <c r="CK129" i="1"/>
  <c r="AC129" i="1" a="1"/>
  <c r="AC129" i="1" s="1"/>
  <c r="I128" i="1"/>
  <c r="AJ127" i="1"/>
  <c r="CN125" i="1"/>
  <c r="AJ124" i="1"/>
  <c r="M124" i="1"/>
  <c r="AP124" i="1"/>
  <c r="CF123" i="1"/>
  <c r="AR123" i="1"/>
  <c r="M123" i="1"/>
  <c r="CK122" i="1"/>
  <c r="CJ118" i="1"/>
  <c r="BO117" i="1"/>
  <c r="BO113" i="1"/>
  <c r="CJ111" i="1"/>
  <c r="BM111" i="1"/>
  <c r="L111" i="1"/>
  <c r="BO109" i="1"/>
  <c r="AD109" i="1" a="1"/>
  <c r="AD109" i="1" s="1"/>
  <c r="CD103" i="1"/>
  <c r="AC102" i="1" a="1"/>
  <c r="AC102" i="1" s="1"/>
  <c r="AA100" i="1" a="1"/>
  <c r="AA100" i="1" s="1"/>
  <c r="CC99" i="1"/>
  <c r="CF98" i="1"/>
  <c r="BM97" i="1"/>
  <c r="CJ96" i="1"/>
  <c r="DQ96" i="1" s="1" a="1"/>
  <c r="DQ96" i="1" s="1"/>
  <c r="BM96" i="1"/>
  <c r="K96" i="1"/>
  <c r="N94" i="1"/>
  <c r="AQ91" i="1"/>
  <c r="Y91" i="1" a="1"/>
  <c r="Y91" i="1" s="1"/>
  <c r="CK90" i="1"/>
  <c r="P405" i="2" a="1"/>
  <c r="P405" i="2" s="1"/>
  <c r="BO301" i="1"/>
  <c r="Z301" i="1" a="1"/>
  <c r="Z301" i="1" s="1"/>
  <c r="CE299" i="1"/>
  <c r="AF298" i="1" a="1"/>
  <c r="AF298" i="1" s="1"/>
  <c r="S296" i="1"/>
  <c r="T296" i="1" s="1"/>
  <c r="V296" i="1" a="1"/>
  <c r="V296" i="1" s="1"/>
  <c r="W296" i="1" s="1"/>
  <c r="AP294" i="1"/>
  <c r="V294" i="1" a="1"/>
  <c r="V294" i="1" s="1"/>
  <c r="W294" i="1" s="1"/>
  <c r="BM290" i="1"/>
  <c r="AA290" i="1" a="1"/>
  <c r="AA290" i="1" s="1"/>
  <c r="BK289" i="1"/>
  <c r="Y283" i="1" a="1"/>
  <c r="Y283" i="1" s="1"/>
  <c r="AO282" i="1"/>
  <c r="CF277" i="1"/>
  <c r="S276" i="1"/>
  <c r="T276" i="1" s="1"/>
  <c r="V276" i="1" a="1"/>
  <c r="V276" i="1" s="1"/>
  <c r="W276" i="1" s="1"/>
  <c r="CE275" i="1"/>
  <c r="AR275" i="1"/>
  <c r="V273" i="1" a="1"/>
  <c r="V273" i="1" s="1"/>
  <c r="W273" i="1" s="1"/>
  <c r="CK271" i="1"/>
  <c r="CQ271" i="1" s="1"/>
  <c r="CE269" i="1"/>
  <c r="CE265" i="1"/>
  <c r="AR264" i="1"/>
  <c r="BN258" i="1"/>
  <c r="AD258" i="1" a="1"/>
  <c r="AD258" i="1" s="1"/>
  <c r="BN245" i="1"/>
  <c r="CH245" i="1"/>
  <c r="CE241" i="1"/>
  <c r="CF229" i="1"/>
  <c r="S227" i="1"/>
  <c r="T227" i="1" s="1"/>
  <c r="CF222" i="1"/>
  <c r="AA221" i="1" a="1"/>
  <c r="AA221" i="1" s="1"/>
  <c r="AE220" i="1" a="1"/>
  <c r="AE220" i="1" s="1"/>
  <c r="CC213" i="1"/>
  <c r="CB212" i="1"/>
  <c r="CD209" i="1"/>
  <c r="AJ201" i="1"/>
  <c r="Z201" i="1" a="1"/>
  <c r="Z201" i="1" s="1"/>
  <c r="AP200" i="1"/>
  <c r="AJ196" i="1"/>
  <c r="BL191" i="1"/>
  <c r="AA191" i="1" a="1"/>
  <c r="AA191" i="1" s="1"/>
  <c r="CI190" i="1"/>
  <c r="CO190" i="1" s="1"/>
  <c r="BO190" i="1"/>
  <c r="Z185" i="1" a="1"/>
  <c r="Z185" i="1" s="1"/>
  <c r="AA185" i="1" a="1"/>
  <c r="AA185" i="1" s="1"/>
  <c r="CB184" i="1"/>
  <c r="AA178" i="1" a="1"/>
  <c r="AA178" i="1" s="1"/>
  <c r="S174" i="1"/>
  <c r="T174" i="1" s="1"/>
  <c r="CH173" i="1"/>
  <c r="CN173" i="1" s="1"/>
  <c r="AJ173" i="1"/>
  <c r="CH172" i="1"/>
  <c r="CN172" i="1" s="1"/>
  <c r="Z172" i="1" a="1"/>
  <c r="Z172" i="1" s="1"/>
  <c r="CF169" i="1"/>
  <c r="AO167" i="1"/>
  <c r="CK165" i="1"/>
  <c r="CQ165" i="1" s="1"/>
  <c r="CE162" i="1"/>
  <c r="CI161" i="1"/>
  <c r="CO161" i="1" s="1"/>
  <c r="AQ161" i="1"/>
  <c r="BL160" i="1"/>
  <c r="AF159" i="1" a="1"/>
  <c r="AF159" i="1" s="1"/>
  <c r="CK159" i="1"/>
  <c r="CQ159" i="1" s="1"/>
  <c r="P157" i="1" a="1"/>
  <c r="P157" i="1" s="1"/>
  <c r="CH153" i="1"/>
  <c r="CP151" i="1"/>
  <c r="BK150" i="1"/>
  <c r="CL149" i="1"/>
  <c r="AJ143" i="1"/>
  <c r="BK141" i="1"/>
  <c r="CK140" i="1"/>
  <c r="CQ140" i="1" s="1"/>
  <c r="CK139" i="1"/>
  <c r="CQ139" i="1" s="1"/>
  <c r="CK138" i="1"/>
  <c r="CQ138" i="1" s="1"/>
  <c r="CB137" i="1"/>
  <c r="AH136" i="1" a="1"/>
  <c r="AH136" i="1" s="1"/>
  <c r="P136" i="1" a="1"/>
  <c r="P136" i="1" s="1"/>
  <c r="Q136" i="1" s="1"/>
  <c r="Y135" i="1" a="1"/>
  <c r="Y135" i="1" s="1"/>
  <c r="CH134" i="1"/>
  <c r="AD134" i="1" a="1"/>
  <c r="AD134" i="1" s="1"/>
  <c r="BN133" i="1"/>
  <c r="AD133" i="1" a="1"/>
  <c r="AD133" i="1" s="1"/>
  <c r="DR132" i="1" a="1"/>
  <c r="DR132" i="1" s="1"/>
  <c r="V129" i="1" a="1"/>
  <c r="V129" i="1" s="1"/>
  <c r="W129" i="1" s="1"/>
  <c r="CK125" i="1"/>
  <c r="CJ122" i="1"/>
  <c r="AE121" i="1" a="1"/>
  <c r="AE121" i="1" s="1"/>
  <c r="CL121" i="1"/>
  <c r="AE119" i="1" a="1"/>
  <c r="AE119" i="1" s="1"/>
  <c r="BO118" i="1"/>
  <c r="AK118" i="1"/>
  <c r="AL118" i="1" s="1"/>
  <c r="BK117" i="1"/>
  <c r="AN116" i="1"/>
  <c r="AE115" i="1" a="1"/>
  <c r="AE115" i="1" s="1"/>
  <c r="CD111" i="1"/>
  <c r="BN109" i="1"/>
  <c r="CF107" i="1"/>
  <c r="CP105" i="1"/>
  <c r="CP104" i="1"/>
  <c r="CC103" i="1"/>
  <c r="CI96" i="1"/>
  <c r="BL96" i="1"/>
  <c r="CI95" i="1"/>
  <c r="Z95" i="1" a="1"/>
  <c r="Z95" i="1" s="1"/>
  <c r="S93" i="1"/>
  <c r="T93" i="1" s="1"/>
  <c r="CD92" i="1"/>
  <c r="AP91" i="1"/>
  <c r="CE90" i="1"/>
  <c r="K2" i="2"/>
  <c r="K3" i="2" s="1"/>
  <c r="P396" i="2" a="1"/>
  <c r="P396" i="2" s="1"/>
  <c r="P403" i="2" a="1"/>
  <c r="P403" i="2" s="1"/>
  <c r="P400" i="2" a="1"/>
  <c r="P400" i="2" s="1"/>
  <c r="P406" i="2" a="1"/>
  <c r="P406" i="2" s="1"/>
  <c r="P398" i="2" a="1"/>
  <c r="P398" i="2" s="1"/>
  <c r="P404" i="2" a="1"/>
  <c r="P404" i="2" s="1"/>
  <c r="K429" i="2"/>
  <c r="P402" i="2" a="1"/>
  <c r="P402" i="2" s="1"/>
  <c r="P399" i="2" a="1"/>
  <c r="P399" i="2" s="1"/>
  <c r="Q300" i="1"/>
  <c r="CN297" i="1"/>
  <c r="Q288" i="1"/>
  <c r="CO294" i="1"/>
  <c r="Q301" i="1"/>
  <c r="CO303" i="1"/>
  <c r="AK303" i="1"/>
  <c r="S303" i="1"/>
  <c r="T303" i="1" s="1"/>
  <c r="J303" i="1"/>
  <c r="CL302" i="1"/>
  <c r="CR302" i="1" s="1"/>
  <c r="CE302" i="1"/>
  <c r="BO302" i="1"/>
  <c r="AR302" i="1"/>
  <c r="CJ301" i="1"/>
  <c r="CP301" i="1" s="1"/>
  <c r="CC301" i="1"/>
  <c r="BM301" i="1"/>
  <c r="AP301" i="1"/>
  <c r="N301" i="1"/>
  <c r="CH300" i="1"/>
  <c r="BK300" i="1"/>
  <c r="AN300" i="1"/>
  <c r="V300" i="1" a="1"/>
  <c r="V300" i="1" s="1"/>
  <c r="W300" i="1" s="1"/>
  <c r="L300" i="1"/>
  <c r="CO299" i="1"/>
  <c r="AK299" i="1"/>
  <c r="S299" i="1"/>
  <c r="T299" i="1" s="1"/>
  <c r="J299" i="1"/>
  <c r="CL298" i="1"/>
  <c r="CR298" i="1" s="1"/>
  <c r="CE298" i="1"/>
  <c r="BO298" i="1"/>
  <c r="AR298" i="1"/>
  <c r="S297" i="1"/>
  <c r="T297" i="1" s="1"/>
  <c r="CD296" i="1"/>
  <c r="BL296" i="1"/>
  <c r="AK296" i="1"/>
  <c r="AE296" i="1" a="1"/>
  <c r="AE296" i="1" s="1"/>
  <c r="Y296" i="1" a="1"/>
  <c r="Y296" i="1" s="1"/>
  <c r="AR295" i="1"/>
  <c r="AA295" i="1" a="1"/>
  <c r="AA295" i="1" s="1"/>
  <c r="CJ294" i="1"/>
  <c r="CP294" i="1" s="1"/>
  <c r="AC294" i="1" a="1"/>
  <c r="AC294" i="1" s="1"/>
  <c r="CD294" i="1"/>
  <c r="CK294" i="1"/>
  <c r="CQ294" i="1" s="1"/>
  <c r="CF293" i="1"/>
  <c r="CF292" i="1"/>
  <c r="BO292" i="1"/>
  <c r="AK292" i="1"/>
  <c r="CK291" i="1"/>
  <c r="CQ291" i="1" s="1"/>
  <c r="AG291" i="1" a="1"/>
  <c r="AG291" i="1" s="1"/>
  <c r="AF291" i="1" a="1"/>
  <c r="AF291" i="1" s="1"/>
  <c r="L291" i="1"/>
  <c r="V290" i="1" a="1"/>
  <c r="V290" i="1" s="1"/>
  <c r="W290" i="1" s="1"/>
  <c r="CE290" i="1"/>
  <c r="CD290" i="1"/>
  <c r="CK290" i="1"/>
  <c r="CQ290" i="1" s="1"/>
  <c r="CL288" i="1"/>
  <c r="CR288" i="1" s="1"/>
  <c r="CI287" i="1"/>
  <c r="CO287" i="1" s="1"/>
  <c r="AP287" i="1"/>
  <c r="N287" i="1"/>
  <c r="S287" i="1"/>
  <c r="T287" i="1" s="1"/>
  <c r="CI286" i="1"/>
  <c r="AO286" i="1"/>
  <c r="AR286" i="1"/>
  <c r="BO286" i="1"/>
  <c r="I286" i="1"/>
  <c r="Z286" i="1" a="1"/>
  <c r="Z286" i="1" s="1"/>
  <c r="AJ286" i="1"/>
  <c r="S286" i="1"/>
  <c r="T286" i="1" s="1"/>
  <c r="AK286" i="1"/>
  <c r="P286" i="1" a="1"/>
  <c r="P286" i="1" s="1"/>
  <c r="Y286" i="1" a="1"/>
  <c r="Y286" i="1" s="1"/>
  <c r="AQ286" i="1"/>
  <c r="BN286" i="1"/>
  <c r="BN284" i="1"/>
  <c r="S284" i="1"/>
  <c r="T284" i="1" s="1"/>
  <c r="CK283" i="1"/>
  <c r="CQ283" i="1" s="1"/>
  <c r="K283" i="1"/>
  <c r="AA283" i="1" a="1"/>
  <c r="AA283" i="1" s="1"/>
  <c r="AP283" i="1"/>
  <c r="BM283" i="1"/>
  <c r="CC283" i="1"/>
  <c r="CJ283" i="1"/>
  <c r="CP283" i="1" s="1"/>
  <c r="AE283" i="1" a="1"/>
  <c r="AE283" i="1" s="1"/>
  <c r="BM282" i="1"/>
  <c r="AR282" i="1"/>
  <c r="BO282" i="1"/>
  <c r="I282" i="1"/>
  <c r="Z282" i="1" a="1"/>
  <c r="Z282" i="1" s="1"/>
  <c r="AJ282" i="1"/>
  <c r="S282" i="1"/>
  <c r="T282" i="1" s="1"/>
  <c r="AK282" i="1"/>
  <c r="V282" i="1" a="1"/>
  <c r="V282" i="1" s="1"/>
  <c r="W282" i="1" s="1"/>
  <c r="AN282" i="1"/>
  <c r="BK282" i="1"/>
  <c r="CH282" i="1"/>
  <c r="P282" i="1" a="1"/>
  <c r="P282" i="1" s="1"/>
  <c r="Y282" i="1" a="1"/>
  <c r="Y282" i="1" s="1"/>
  <c r="AQ282" i="1"/>
  <c r="BN282" i="1"/>
  <c r="AN281" i="1"/>
  <c r="AA281" i="1" a="1"/>
  <c r="AA281" i="1" s="1"/>
  <c r="I281" i="1"/>
  <c r="AK280" i="1"/>
  <c r="AP278" i="1"/>
  <c r="AO275" i="1"/>
  <c r="BL275" i="1"/>
  <c r="N275" i="1"/>
  <c r="AH275" i="1" a="1"/>
  <c r="AH275" i="1" s="1"/>
  <c r="CF275" i="1"/>
  <c r="Q254" i="1"/>
  <c r="CN303" i="1"/>
  <c r="CF303" i="1"/>
  <c r="AJ303" i="1"/>
  <c r="AE303" i="1" a="1"/>
  <c r="AE303" i="1" s="1"/>
  <c r="Z303" i="1" a="1"/>
  <c r="Z303" i="1" s="1"/>
  <c r="CK302" i="1"/>
  <c r="CQ302" i="1" s="1"/>
  <c r="CD302" i="1"/>
  <c r="BN302" i="1"/>
  <c r="AQ302" i="1"/>
  <c r="Y302" i="1" a="1"/>
  <c r="Y302" i="1" s="1"/>
  <c r="P302" i="1" a="1"/>
  <c r="P302" i="1" s="1"/>
  <c r="CI301" i="1"/>
  <c r="CO301" i="1" s="1"/>
  <c r="CB301" i="1"/>
  <c r="BL301" i="1"/>
  <c r="AO301" i="1"/>
  <c r="AC301" i="1" a="1"/>
  <c r="AC301" i="1" s="1"/>
  <c r="AF300" i="1" a="1"/>
  <c r="AF300" i="1" s="1"/>
  <c r="AA300" i="1" a="1"/>
  <c r="AA300" i="1" s="1"/>
  <c r="CN299" i="1"/>
  <c r="CF299" i="1"/>
  <c r="AJ299" i="1"/>
  <c r="AE299" i="1" a="1"/>
  <c r="AE299" i="1" s="1"/>
  <c r="Z299" i="1" a="1"/>
  <c r="Z299" i="1" s="1"/>
  <c r="CK298" i="1"/>
  <c r="CQ298" i="1" s="1"/>
  <c r="CD298" i="1"/>
  <c r="BN298" i="1"/>
  <c r="AQ298" i="1"/>
  <c r="Y298" i="1" a="1"/>
  <c r="Y298" i="1" s="1"/>
  <c r="P298" i="1" a="1"/>
  <c r="P298" i="1" s="1"/>
  <c r="AA297" i="1" a="1"/>
  <c r="AA297" i="1" s="1"/>
  <c r="CE297" i="1"/>
  <c r="CL297" i="1"/>
  <c r="CR297" i="1" s="1"/>
  <c r="M297" i="1"/>
  <c r="AG297" i="1" a="1"/>
  <c r="AG297" i="1" s="1"/>
  <c r="CL296" i="1"/>
  <c r="CR296" i="1" s="1"/>
  <c r="BK296" i="1"/>
  <c r="AJ296" i="1"/>
  <c r="BO295" i="1"/>
  <c r="AQ295" i="1"/>
  <c r="P295" i="1" a="1"/>
  <c r="P295" i="1" s="1"/>
  <c r="CC293" i="1"/>
  <c r="CB293" i="1"/>
  <c r="CI293" i="1"/>
  <c r="CE292" i="1"/>
  <c r="BN292" i="1"/>
  <c r="AJ292" i="1"/>
  <c r="S292" i="1"/>
  <c r="T292" i="1" s="1"/>
  <c r="AR291" i="1"/>
  <c r="K291" i="1"/>
  <c r="AA291" i="1" a="1"/>
  <c r="AA291" i="1" s="1"/>
  <c r="AE291" i="1" a="1"/>
  <c r="AE291" i="1" s="1"/>
  <c r="AK289" i="1"/>
  <c r="AL289" i="1" s="1"/>
  <c r="CC289" i="1"/>
  <c r="AD289" i="1" a="1"/>
  <c r="AD289" i="1" s="1"/>
  <c r="CB289" i="1"/>
  <c r="CI289" i="1"/>
  <c r="CK288" i="1"/>
  <c r="CQ288" i="1" s="1"/>
  <c r="AR288" i="1"/>
  <c r="CE287" i="1"/>
  <c r="BO287" i="1"/>
  <c r="AO287" i="1"/>
  <c r="CN286" i="1"/>
  <c r="AN286" i="1"/>
  <c r="CC285" i="1"/>
  <c r="AD285" i="1" a="1"/>
  <c r="AD285" i="1" s="1"/>
  <c r="J285" i="1"/>
  <c r="CB285" i="1"/>
  <c r="CI285" i="1"/>
  <c r="CO285" i="1" s="1"/>
  <c r="BO283" i="1"/>
  <c r="BL282" i="1"/>
  <c r="Z281" i="1" a="1"/>
  <c r="Z281" i="1" s="1"/>
  <c r="CK280" i="1"/>
  <c r="CQ280" i="1" s="1"/>
  <c r="AJ280" i="1"/>
  <c r="N279" i="1"/>
  <c r="CF279" i="1"/>
  <c r="CC277" i="1"/>
  <c r="AD277" i="1" a="1"/>
  <c r="AD277" i="1" s="1"/>
  <c r="J277" i="1"/>
  <c r="AA277" i="1" a="1"/>
  <c r="AA277" i="1" s="1"/>
  <c r="CB277" i="1"/>
  <c r="CI277" i="1"/>
  <c r="CO277" i="1" s="1"/>
  <c r="CE274" i="1"/>
  <c r="AA274" i="1" a="1"/>
  <c r="AA274" i="1" s="1"/>
  <c r="AF274" i="1" a="1"/>
  <c r="AF274" i="1" s="1"/>
  <c r="L274" i="1"/>
  <c r="CD274" i="1"/>
  <c r="CK274" i="1"/>
  <c r="CQ274" i="1" s="1"/>
  <c r="AO271" i="1"/>
  <c r="BL271" i="1"/>
  <c r="N271" i="1"/>
  <c r="AH271" i="1" a="1"/>
  <c r="AH271" i="1" s="1"/>
  <c r="CF271" i="1"/>
  <c r="CL303" i="1"/>
  <c r="CR303" i="1" s="1"/>
  <c r="BO303" i="1"/>
  <c r="AR303" i="1"/>
  <c r="CJ302" i="1"/>
  <c r="CP302" i="1" s="1"/>
  <c r="CC302" i="1"/>
  <c r="BM302" i="1"/>
  <c r="AP302" i="1"/>
  <c r="CH301" i="1"/>
  <c r="BK301" i="1"/>
  <c r="AN301" i="1"/>
  <c r="V301" i="1" a="1"/>
  <c r="V301" i="1" s="1"/>
  <c r="W301" i="1" s="1"/>
  <c r="AK300" i="1"/>
  <c r="S300" i="1"/>
  <c r="T300" i="1" s="1"/>
  <c r="CL299" i="1"/>
  <c r="CR299" i="1" s="1"/>
  <c r="BO299" i="1"/>
  <c r="AR299" i="1"/>
  <c r="CJ298" i="1"/>
  <c r="CP298" i="1" s="1"/>
  <c r="CC298" i="1"/>
  <c r="BM298" i="1"/>
  <c r="AP298" i="1"/>
  <c r="AQ297" i="1"/>
  <c r="P297" i="1" a="1"/>
  <c r="P297" i="1" s="1"/>
  <c r="BN295" i="1"/>
  <c r="N295" i="1"/>
  <c r="J294" i="1"/>
  <c r="AD294" i="1" a="1"/>
  <c r="AD294" i="1" s="1"/>
  <c r="Y293" i="1" a="1"/>
  <c r="Y293" i="1" s="1"/>
  <c r="AP293" i="1"/>
  <c r="BM293" i="1"/>
  <c r="AR293" i="1"/>
  <c r="BO293" i="1"/>
  <c r="AC293" i="1" a="1"/>
  <c r="AC293" i="1" s="1"/>
  <c r="AO293" i="1"/>
  <c r="BL293" i="1"/>
  <c r="AQ291" i="1"/>
  <c r="P291" i="1" a="1"/>
  <c r="P291" i="1" s="1"/>
  <c r="J290" i="1"/>
  <c r="AD290" i="1" a="1"/>
  <c r="AD290" i="1" s="1"/>
  <c r="AP289" i="1"/>
  <c r="BM289" i="1"/>
  <c r="P289" i="1" a="1"/>
  <c r="P289" i="1" s="1"/>
  <c r="Y289" i="1" a="1"/>
  <c r="Y289" i="1" s="1"/>
  <c r="AQ289" i="1"/>
  <c r="BN289" i="1"/>
  <c r="AR289" i="1"/>
  <c r="BO289" i="1"/>
  <c r="AC289" i="1" a="1"/>
  <c r="AC289" i="1" s="1"/>
  <c r="AO289" i="1"/>
  <c r="BL289" i="1"/>
  <c r="M288" i="1"/>
  <c r="AG288" i="1" a="1"/>
  <c r="AG288" i="1" s="1"/>
  <c r="AO288" i="1"/>
  <c r="BL288" i="1"/>
  <c r="BN287" i="1"/>
  <c r="BM286" i="1"/>
  <c r="AA286" i="1" a="1"/>
  <c r="AA286" i="1" s="1"/>
  <c r="K286" i="1"/>
  <c r="AP285" i="1"/>
  <c r="BM285" i="1"/>
  <c r="P285" i="1" a="1"/>
  <c r="P285" i="1" s="1"/>
  <c r="Y285" i="1" a="1"/>
  <c r="Y285" i="1" s="1"/>
  <c r="AQ285" i="1"/>
  <c r="BN285" i="1"/>
  <c r="AR285" i="1"/>
  <c r="BO285" i="1"/>
  <c r="S285" i="1"/>
  <c r="T285" i="1" s="1"/>
  <c r="AK285" i="1"/>
  <c r="AL285" i="1" s="1"/>
  <c r="AC285" i="1" a="1"/>
  <c r="AC285" i="1" s="1"/>
  <c r="AO285" i="1"/>
  <c r="BL285" i="1"/>
  <c r="CE283" i="1"/>
  <c r="BN283" i="1"/>
  <c r="AG283" i="1" a="1"/>
  <c r="AG283" i="1" s="1"/>
  <c r="P283" i="1" a="1"/>
  <c r="P283" i="1" s="1"/>
  <c r="S283" i="1"/>
  <c r="T283" i="1" s="1"/>
  <c r="CC282" i="1"/>
  <c r="K282" i="1"/>
  <c r="AJ281" i="1"/>
  <c r="AR278" i="1"/>
  <c r="BO278" i="1"/>
  <c r="I278" i="1"/>
  <c r="Z278" i="1" a="1"/>
  <c r="Z278" i="1" s="1"/>
  <c r="AJ278" i="1"/>
  <c r="S278" i="1"/>
  <c r="T278" i="1" s="1"/>
  <c r="AK278" i="1"/>
  <c r="V278" i="1" a="1"/>
  <c r="V278" i="1" s="1"/>
  <c r="W278" i="1" s="1"/>
  <c r="AN278" i="1"/>
  <c r="BK278" i="1"/>
  <c r="CH278" i="1"/>
  <c r="AC278" i="1" a="1"/>
  <c r="AC278" i="1" s="1"/>
  <c r="P278" i="1" a="1"/>
  <c r="P278" i="1" s="1"/>
  <c r="Y278" i="1" a="1"/>
  <c r="Y278" i="1" s="1"/>
  <c r="AQ278" i="1"/>
  <c r="BN278" i="1"/>
  <c r="CE270" i="1"/>
  <c r="AA270" i="1" a="1"/>
  <c r="AA270" i="1" s="1"/>
  <c r="AF270" i="1" a="1"/>
  <c r="AF270" i="1" s="1"/>
  <c r="L270" i="1"/>
  <c r="CD270" i="1"/>
  <c r="CK270" i="1"/>
  <c r="CQ270" i="1" s="1"/>
  <c r="CD303" i="1"/>
  <c r="BN303" i="1"/>
  <c r="AQ303" i="1"/>
  <c r="Y303" i="1" a="1"/>
  <c r="Y303" i="1" s="1"/>
  <c r="P303" i="1" a="1"/>
  <c r="P303" i="1" s="1"/>
  <c r="CB302" i="1"/>
  <c r="BL302" i="1"/>
  <c r="AO302" i="1"/>
  <c r="AC302" i="1" a="1"/>
  <c r="AC302" i="1" s="1"/>
  <c r="CF300" i="1"/>
  <c r="AJ300" i="1"/>
  <c r="CD299" i="1"/>
  <c r="BN299" i="1"/>
  <c r="AQ299" i="1"/>
  <c r="Y299" i="1" a="1"/>
  <c r="Y299" i="1" s="1"/>
  <c r="P299" i="1" a="1"/>
  <c r="P299" i="1" s="1"/>
  <c r="CB298" i="1"/>
  <c r="BL298" i="1"/>
  <c r="AO298" i="1"/>
  <c r="AC298" i="1" a="1"/>
  <c r="AC298" i="1" s="1"/>
  <c r="BN297" i="1"/>
  <c r="AP297" i="1"/>
  <c r="Z297" i="1" a="1"/>
  <c r="Z297" i="1" s="1"/>
  <c r="Y295" i="1" a="1"/>
  <c r="Y295" i="1" s="1"/>
  <c r="V295" i="1" a="1"/>
  <c r="V295" i="1" s="1"/>
  <c r="W295" i="1" s="1"/>
  <c r="AN295" i="1"/>
  <c r="BK295" i="1"/>
  <c r="CH295" i="1"/>
  <c r="I295" i="1"/>
  <c r="Z295" i="1" a="1"/>
  <c r="Z295" i="1" s="1"/>
  <c r="AJ295" i="1"/>
  <c r="AL295" i="1" s="1"/>
  <c r="S294" i="1"/>
  <c r="T294" i="1" s="1"/>
  <c r="AK294" i="1"/>
  <c r="P294" i="1" a="1"/>
  <c r="P294" i="1" s="1"/>
  <c r="Y294" i="1" a="1"/>
  <c r="Y294" i="1" s="1"/>
  <c r="AQ294" i="1"/>
  <c r="BN294" i="1"/>
  <c r="CK293" i="1"/>
  <c r="CQ293" i="1" s="1"/>
  <c r="AQ293" i="1"/>
  <c r="AP291" i="1"/>
  <c r="N291" i="1"/>
  <c r="S291" i="1"/>
  <c r="T291" i="1" s="1"/>
  <c r="AR290" i="1"/>
  <c r="BO290" i="1"/>
  <c r="I290" i="1"/>
  <c r="Z290" i="1" a="1"/>
  <c r="Z290" i="1" s="1"/>
  <c r="AJ290" i="1"/>
  <c r="S290" i="1"/>
  <c r="T290" i="1" s="1"/>
  <c r="AK290" i="1"/>
  <c r="P290" i="1" a="1"/>
  <c r="P290" i="1" s="1"/>
  <c r="Y290" i="1" a="1"/>
  <c r="Y290" i="1" s="1"/>
  <c r="AQ290" i="1"/>
  <c r="BN290" i="1"/>
  <c r="Z289" i="1" a="1"/>
  <c r="Z289" i="1" s="1"/>
  <c r="CC287" i="1"/>
  <c r="BM287" i="1"/>
  <c r="Y287" i="1" a="1"/>
  <c r="Y287" i="1" s="1"/>
  <c r="BL286" i="1"/>
  <c r="BL283" i="1"/>
  <c r="M283" i="1"/>
  <c r="M280" i="1"/>
  <c r="AG280" i="1" a="1"/>
  <c r="AG280" i="1" s="1"/>
  <c r="AO280" i="1"/>
  <c r="BL280" i="1"/>
  <c r="AR280" i="1"/>
  <c r="BO280" i="1"/>
  <c r="CE280" i="1"/>
  <c r="CL280" i="1"/>
  <c r="CR280" i="1" s="1"/>
  <c r="CJ303" i="1"/>
  <c r="CP303" i="1" s="1"/>
  <c r="CC303" i="1"/>
  <c r="BM303" i="1"/>
  <c r="CH302" i="1"/>
  <c r="BK302" i="1"/>
  <c r="AN302" i="1"/>
  <c r="V302" i="1" a="1"/>
  <c r="V302" i="1" s="1"/>
  <c r="W302" i="1" s="1"/>
  <c r="AK301" i="1"/>
  <c r="AL301" i="1" s="1"/>
  <c r="S301" i="1"/>
  <c r="T301" i="1" s="1"/>
  <c r="J301" i="1"/>
  <c r="CL300" i="1"/>
  <c r="CR300" i="1" s="1"/>
  <c r="CE300" i="1"/>
  <c r="BO300" i="1"/>
  <c r="AR300" i="1"/>
  <c r="CJ299" i="1"/>
  <c r="CP299" i="1" s="1"/>
  <c r="CC299" i="1"/>
  <c r="BM299" i="1"/>
  <c r="CH298" i="1"/>
  <c r="BK298" i="1"/>
  <c r="AN298" i="1"/>
  <c r="V298" i="1" a="1"/>
  <c r="V298" i="1" s="1"/>
  <c r="W298" i="1" s="1"/>
  <c r="CD297" i="1"/>
  <c r="BM297" i="1"/>
  <c r="AN297" i="1"/>
  <c r="CH296" i="1"/>
  <c r="CB295" i="1"/>
  <c r="BL295" i="1"/>
  <c r="K295" i="1"/>
  <c r="BO294" i="1"/>
  <c r="AO294" i="1"/>
  <c r="AN293" i="1"/>
  <c r="I293" i="1"/>
  <c r="CK292" i="1"/>
  <c r="CQ292" i="1" s="1"/>
  <c r="AG292" i="1" a="1"/>
  <c r="AG292" i="1" s="1"/>
  <c r="P292" i="1" a="1"/>
  <c r="P292" i="1" s="1"/>
  <c r="V292" i="1" a="1"/>
  <c r="V292" i="1" s="1"/>
  <c r="W292" i="1" s="1"/>
  <c r="AN292" i="1"/>
  <c r="BK292" i="1"/>
  <c r="CC292" i="1"/>
  <c r="CJ292" i="1"/>
  <c r="K292" i="1"/>
  <c r="CE291" i="1"/>
  <c r="BO291" i="1"/>
  <c r="AO291" i="1"/>
  <c r="CH290" i="1"/>
  <c r="AN290" i="1"/>
  <c r="V289" i="1" a="1"/>
  <c r="V289" i="1" s="1"/>
  <c r="W289" i="1" s="1"/>
  <c r="I289" i="1"/>
  <c r="AJ288" i="1"/>
  <c r="V288" i="1" a="1"/>
  <c r="V288" i="1" s="1"/>
  <c r="W288" i="1" s="1"/>
  <c r="CC286" i="1"/>
  <c r="AN285" i="1"/>
  <c r="AA285" i="1" a="1"/>
  <c r="AA285" i="1" s="1"/>
  <c r="I285" i="1"/>
  <c r="AP282" i="1"/>
  <c r="AA282" i="1" a="1"/>
  <c r="AA282" i="1" s="1"/>
  <c r="BN280" i="1"/>
  <c r="S280" i="1"/>
  <c r="T280" i="1" s="1"/>
  <c r="CK279" i="1"/>
  <c r="CQ279" i="1" s="1"/>
  <c r="K279" i="1"/>
  <c r="AA279" i="1" a="1"/>
  <c r="AA279" i="1" s="1"/>
  <c r="AP279" i="1"/>
  <c r="BM279" i="1"/>
  <c r="CC279" i="1"/>
  <c r="CJ279" i="1"/>
  <c r="CP279" i="1" s="1"/>
  <c r="AE279" i="1" a="1"/>
  <c r="AE279" i="1" s="1"/>
  <c r="BM278" i="1"/>
  <c r="Q276" i="1"/>
  <c r="BK273" i="1"/>
  <c r="CL271" i="1"/>
  <c r="CR271" i="1" s="1"/>
  <c r="AR297" i="1"/>
  <c r="BO297" i="1"/>
  <c r="AC297" i="1" a="1"/>
  <c r="AC297" i="1" s="1"/>
  <c r="AO297" i="1"/>
  <c r="AF287" i="1" a="1"/>
  <c r="AF287" i="1" s="1"/>
  <c r="L287" i="1"/>
  <c r="CE286" i="1"/>
  <c r="CD286" i="1"/>
  <c r="CK286" i="1"/>
  <c r="CQ286" i="1" s="1"/>
  <c r="N283" i="1"/>
  <c r="CF283" i="1"/>
  <c r="CE282" i="1"/>
  <c r="L282" i="1"/>
  <c r="CD282" i="1"/>
  <c r="CK282" i="1"/>
  <c r="CQ282" i="1" s="1"/>
  <c r="CC281" i="1"/>
  <c r="AD281" i="1" a="1"/>
  <c r="AD281" i="1" s="1"/>
  <c r="J281" i="1"/>
  <c r="CB281" i="1"/>
  <c r="CI281" i="1"/>
  <c r="Q279" i="1"/>
  <c r="CN273" i="1"/>
  <c r="CC273" i="1"/>
  <c r="AD273" i="1" a="1"/>
  <c r="AD273" i="1" s="1"/>
  <c r="Z273" i="1" a="1"/>
  <c r="Z273" i="1" s="1"/>
  <c r="AJ273" i="1"/>
  <c r="J273" i="1"/>
  <c r="AA273" i="1" a="1"/>
  <c r="AA273" i="1" s="1"/>
  <c r="CB273" i="1"/>
  <c r="CI273" i="1"/>
  <c r="CO273" i="1" s="1"/>
  <c r="Q272" i="1"/>
  <c r="BK303" i="1"/>
  <c r="AN303" i="1"/>
  <c r="V303" i="1" a="1"/>
  <c r="V303" i="1" s="1"/>
  <c r="W303" i="1" s="1"/>
  <c r="AK302" i="1"/>
  <c r="S302" i="1"/>
  <c r="T302" i="1" s="1"/>
  <c r="BM300" i="1"/>
  <c r="AP300" i="1"/>
  <c r="BK299" i="1"/>
  <c r="AN299" i="1"/>
  <c r="V299" i="1" a="1"/>
  <c r="V299" i="1" s="1"/>
  <c r="W299" i="1" s="1"/>
  <c r="AK298" i="1"/>
  <c r="S298" i="1"/>
  <c r="T298" i="1" s="1"/>
  <c r="CB297" i="1"/>
  <c r="BK297" i="1"/>
  <c r="AK297" i="1"/>
  <c r="V297" i="1" a="1"/>
  <c r="V297" i="1" s="1"/>
  <c r="W297" i="1" s="1"/>
  <c r="P296" i="1" a="1"/>
  <c r="P296" i="1" s="1"/>
  <c r="CC296" i="1"/>
  <c r="CJ296" i="1"/>
  <c r="CP296" i="1" s="1"/>
  <c r="K296" i="1"/>
  <c r="CE293" i="1"/>
  <c r="CL293" i="1"/>
  <c r="CR293" i="1" s="1"/>
  <c r="M293" i="1"/>
  <c r="AG293" i="1" a="1"/>
  <c r="AG293" i="1" s="1"/>
  <c r="CK287" i="1"/>
  <c r="CQ287" i="1" s="1"/>
  <c r="AR287" i="1"/>
  <c r="K287" i="1"/>
  <c r="AA287" i="1" a="1"/>
  <c r="AA287" i="1" s="1"/>
  <c r="AE287" i="1" a="1"/>
  <c r="AE287" i="1" s="1"/>
  <c r="AF286" i="1" a="1"/>
  <c r="AF286" i="1" s="1"/>
  <c r="AQ283" i="1"/>
  <c r="CJ282" i="1"/>
  <c r="CP282" i="1" s="1"/>
  <c r="AP281" i="1"/>
  <c r="BM281" i="1"/>
  <c r="P281" i="1" a="1"/>
  <c r="P281" i="1" s="1"/>
  <c r="Y281" i="1" a="1"/>
  <c r="Y281" i="1" s="1"/>
  <c r="AQ281" i="1"/>
  <c r="BN281" i="1"/>
  <c r="AR281" i="1"/>
  <c r="BO281" i="1"/>
  <c r="S281" i="1"/>
  <c r="T281" i="1" s="1"/>
  <c r="AK281" i="1"/>
  <c r="AC281" i="1" a="1"/>
  <c r="AC281" i="1" s="1"/>
  <c r="AO281" i="1"/>
  <c r="BL281" i="1"/>
  <c r="AN273" i="1"/>
  <c r="AP273" i="1"/>
  <c r="CN269" i="1"/>
  <c r="CC269" i="1"/>
  <c r="AD269" i="1" a="1"/>
  <c r="AD269" i="1" s="1"/>
  <c r="Z269" i="1" a="1"/>
  <c r="Z269" i="1" s="1"/>
  <c r="AJ269" i="1"/>
  <c r="J269" i="1"/>
  <c r="AA269" i="1" a="1"/>
  <c r="AA269" i="1" s="1"/>
  <c r="CB269" i="1"/>
  <c r="CI269" i="1"/>
  <c r="CO269" i="1" s="1"/>
  <c r="Q268" i="1"/>
  <c r="AJ302" i="1"/>
  <c r="Z302" i="1" a="1"/>
  <c r="Z302" i="1" s="1"/>
  <c r="BN301" i="1"/>
  <c r="AQ301" i="1"/>
  <c r="Y301" i="1" a="1"/>
  <c r="Y301" i="1" s="1"/>
  <c r="CB300" i="1"/>
  <c r="BL300" i="1"/>
  <c r="AO300" i="1"/>
  <c r="AG300" i="1" a="1"/>
  <c r="AG300" i="1" s="1"/>
  <c r="AJ298" i="1"/>
  <c r="Z298" i="1" a="1"/>
  <c r="Z298" i="1" s="1"/>
  <c r="AJ297" i="1"/>
  <c r="I297" i="1"/>
  <c r="BN296" i="1"/>
  <c r="AN296" i="1"/>
  <c r="AP296" i="1"/>
  <c r="BM296" i="1"/>
  <c r="AA296" i="1" a="1"/>
  <c r="AA296" i="1" s="1"/>
  <c r="AH295" i="1" a="1"/>
  <c r="AH295" i="1" s="1"/>
  <c r="AC295" i="1" a="1"/>
  <c r="AC295" i="1" s="1"/>
  <c r="S295" i="1"/>
  <c r="T295" i="1" s="1"/>
  <c r="CB294" i="1"/>
  <c r="BK294" i="1"/>
  <c r="AJ294" i="1"/>
  <c r="BK293" i="1"/>
  <c r="AJ293" i="1"/>
  <c r="AL293" i="1" s="1"/>
  <c r="AA293" i="1" a="1"/>
  <c r="AA293" i="1" s="1"/>
  <c r="P293" i="1" a="1"/>
  <c r="P293" i="1" s="1"/>
  <c r="AO292" i="1"/>
  <c r="CL291" i="1"/>
  <c r="CR291" i="1" s="1"/>
  <c r="BL291" i="1"/>
  <c r="CC290" i="1"/>
  <c r="BK290" i="1"/>
  <c r="CN289" i="1"/>
  <c r="AN289" i="1"/>
  <c r="Z288" i="1" a="1"/>
  <c r="Z288" i="1" s="1"/>
  <c r="CJ287" i="1"/>
  <c r="CP287" i="1" s="1"/>
  <c r="AQ287" i="1"/>
  <c r="P287" i="1" a="1"/>
  <c r="P287" i="1" s="1"/>
  <c r="CJ286" i="1"/>
  <c r="CP286" i="1" s="1"/>
  <c r="AP286" i="1"/>
  <c r="J286" i="1"/>
  <c r="AD286" i="1" a="1"/>
  <c r="AD286" i="1" s="1"/>
  <c r="CH285" i="1"/>
  <c r="M284" i="1"/>
  <c r="AG284" i="1" a="1"/>
  <c r="AG284" i="1" s="1"/>
  <c r="AO284" i="1"/>
  <c r="BL284" i="1"/>
  <c r="AR284" i="1"/>
  <c r="BO284" i="1"/>
  <c r="CE284" i="1"/>
  <c r="CL284" i="1"/>
  <c r="CR284" i="1" s="1"/>
  <c r="CL283" i="1"/>
  <c r="CR283" i="1" s="1"/>
  <c r="AO283" i="1"/>
  <c r="CI282" i="1"/>
  <c r="CO282" i="1" s="1"/>
  <c r="AQ280" i="1"/>
  <c r="CD279" i="1"/>
  <c r="BL279" i="1"/>
  <c r="CB278" i="1"/>
  <c r="AA278" i="1" a="1"/>
  <c r="AA278" i="1" s="1"/>
  <c r="CE278" i="1"/>
  <c r="L278" i="1"/>
  <c r="CD278" i="1"/>
  <c r="CK278" i="1"/>
  <c r="CQ278" i="1" s="1"/>
  <c r="AN277" i="1"/>
  <c r="V277" i="1" a="1"/>
  <c r="V277" i="1" s="1"/>
  <c r="W277" i="1" s="1"/>
  <c r="AP274" i="1"/>
  <c r="AR271" i="1"/>
  <c r="AN269" i="1"/>
  <c r="AP269" i="1"/>
  <c r="AA292" i="1" a="1"/>
  <c r="AA292" i="1" s="1"/>
  <c r="AJ291" i="1"/>
  <c r="Z291" i="1" a="1"/>
  <c r="Z291" i="1" s="1"/>
  <c r="I291" i="1"/>
  <c r="AG289" i="1" a="1"/>
  <c r="AG289" i="1" s="1"/>
  <c r="M289" i="1"/>
  <c r="AA288" i="1" a="1"/>
  <c r="AA288" i="1" s="1"/>
  <c r="K288" i="1"/>
  <c r="AJ287" i="1"/>
  <c r="Z287" i="1" a="1"/>
  <c r="Z287" i="1" s="1"/>
  <c r="I287" i="1"/>
  <c r="AG285" i="1" a="1"/>
  <c r="AG285" i="1" s="1"/>
  <c r="M285" i="1"/>
  <c r="AA284" i="1" a="1"/>
  <c r="AA284" i="1" s="1"/>
  <c r="K284" i="1"/>
  <c r="AJ283" i="1"/>
  <c r="Z283" i="1" a="1"/>
  <c r="Z283" i="1" s="1"/>
  <c r="I283" i="1"/>
  <c r="AD282" i="1" a="1"/>
  <c r="AD282" i="1" s="1"/>
  <c r="AG281" i="1" a="1"/>
  <c r="AG281" i="1" s="1"/>
  <c r="M281" i="1"/>
  <c r="AA280" i="1" a="1"/>
  <c r="AA280" i="1" s="1"/>
  <c r="K280" i="1"/>
  <c r="AJ279" i="1"/>
  <c r="Z279" i="1" a="1"/>
  <c r="Z279" i="1" s="1"/>
  <c r="I279" i="1"/>
  <c r="AD278" i="1" a="1"/>
  <c r="AD278" i="1" s="1"/>
  <c r="BL277" i="1"/>
  <c r="AO277" i="1"/>
  <c r="AG277" i="1" a="1"/>
  <c r="AG277" i="1" s="1"/>
  <c r="AC277" i="1" a="1"/>
  <c r="AC277" i="1" s="1"/>
  <c r="M277" i="1"/>
  <c r="AA276" i="1" a="1"/>
  <c r="AA276" i="1" s="1"/>
  <c r="K276" i="1"/>
  <c r="AJ275" i="1"/>
  <c r="AE275" i="1" a="1"/>
  <c r="AE275" i="1" s="1"/>
  <c r="Z275" i="1" a="1"/>
  <c r="Z275" i="1" s="1"/>
  <c r="I275" i="1"/>
  <c r="BN274" i="1"/>
  <c r="AQ274" i="1"/>
  <c r="AD274" i="1" a="1"/>
  <c r="AD274" i="1" s="1"/>
  <c r="Y274" i="1" a="1"/>
  <c r="Y274" i="1" s="1"/>
  <c r="P274" i="1" a="1"/>
  <c r="P274" i="1" s="1"/>
  <c r="BL273" i="1"/>
  <c r="AO273" i="1"/>
  <c r="AG273" i="1" a="1"/>
  <c r="AG273" i="1" s="1"/>
  <c r="AC273" i="1" a="1"/>
  <c r="AC273" i="1" s="1"/>
  <c r="M273" i="1"/>
  <c r="AA272" i="1" a="1"/>
  <c r="AA272" i="1" s="1"/>
  <c r="K272" i="1"/>
  <c r="AJ271" i="1"/>
  <c r="AE271" i="1" a="1"/>
  <c r="AE271" i="1" s="1"/>
  <c r="Z271" i="1" a="1"/>
  <c r="Z271" i="1" s="1"/>
  <c r="I271" i="1"/>
  <c r="BN270" i="1"/>
  <c r="AQ270" i="1"/>
  <c r="AD270" i="1" a="1"/>
  <c r="AD270" i="1" s="1"/>
  <c r="Y270" i="1" a="1"/>
  <c r="Y270" i="1" s="1"/>
  <c r="P270" i="1" a="1"/>
  <c r="P270" i="1" s="1"/>
  <c r="BL269" i="1"/>
  <c r="AO269" i="1"/>
  <c r="AG269" i="1" a="1"/>
  <c r="AG269" i="1" s="1"/>
  <c r="AC269" i="1" a="1"/>
  <c r="AC269" i="1" s="1"/>
  <c r="M269" i="1"/>
  <c r="AA268" i="1" a="1"/>
  <c r="AA268" i="1" s="1"/>
  <c r="K268" i="1"/>
  <c r="CF267" i="1"/>
  <c r="AJ267" i="1"/>
  <c r="AE267" i="1" a="1"/>
  <c r="AE267" i="1" s="1"/>
  <c r="Z267" i="1" a="1"/>
  <c r="Z267" i="1" s="1"/>
  <c r="I267" i="1"/>
  <c r="CK266" i="1"/>
  <c r="CQ266" i="1" s="1"/>
  <c r="CD266" i="1"/>
  <c r="BN266" i="1"/>
  <c r="AQ266" i="1"/>
  <c r="AD266" i="1" a="1"/>
  <c r="AD266" i="1" s="1"/>
  <c r="Y266" i="1" a="1"/>
  <c r="Y266" i="1" s="1"/>
  <c r="P266" i="1" a="1"/>
  <c r="P266" i="1" s="1"/>
  <c r="CI265" i="1"/>
  <c r="CB265" i="1"/>
  <c r="BL265" i="1"/>
  <c r="AO265" i="1"/>
  <c r="AG265" i="1" a="1"/>
  <c r="AG265" i="1" s="1"/>
  <c r="AC265" i="1" a="1"/>
  <c r="AC265" i="1" s="1"/>
  <c r="M265" i="1"/>
  <c r="AA264" i="1" a="1"/>
  <c r="AA264" i="1" s="1"/>
  <c r="K264" i="1"/>
  <c r="CF263" i="1"/>
  <c r="AJ263" i="1"/>
  <c r="AE263" i="1" a="1"/>
  <c r="AE263" i="1" s="1"/>
  <c r="Z263" i="1" a="1"/>
  <c r="Z263" i="1" s="1"/>
  <c r="I263" i="1"/>
  <c r="CK262" i="1"/>
  <c r="CD262" i="1"/>
  <c r="BN262" i="1"/>
  <c r="AQ262" i="1"/>
  <c r="AD262" i="1" a="1"/>
  <c r="AD262" i="1" s="1"/>
  <c r="Y262" i="1" a="1"/>
  <c r="Y262" i="1" s="1"/>
  <c r="P262" i="1" a="1"/>
  <c r="P262" i="1" s="1"/>
  <c r="CI261" i="1"/>
  <c r="CB261" i="1"/>
  <c r="BL261" i="1"/>
  <c r="AO261" i="1"/>
  <c r="AG261" i="1" a="1"/>
  <c r="AG261" i="1" s="1"/>
  <c r="AC261" i="1" a="1"/>
  <c r="AC261" i="1" s="1"/>
  <c r="M261" i="1"/>
  <c r="AJ260" i="1"/>
  <c r="BN259" i="1"/>
  <c r="AN259" i="1"/>
  <c r="L259" i="1"/>
  <c r="CB259" i="1"/>
  <c r="CI259" i="1"/>
  <c r="CO259" i="1" s="1"/>
  <c r="BO258" i="1"/>
  <c r="AK258" i="1"/>
  <c r="AL258" i="1" s="1"/>
  <c r="V258" i="1" a="1"/>
  <c r="V258" i="1" s="1"/>
  <c r="W258" i="1" s="1"/>
  <c r="CF257" i="1"/>
  <c r="BM256" i="1"/>
  <c r="AH256" i="1" a="1"/>
  <c r="AH256" i="1" s="1"/>
  <c r="CF256" i="1"/>
  <c r="V255" i="1" a="1"/>
  <c r="V255" i="1" s="1"/>
  <c r="W255" i="1" s="1"/>
  <c r="AK254" i="1"/>
  <c r="AL254" i="1" s="1"/>
  <c r="AN253" i="1"/>
  <c r="S248" i="1"/>
  <c r="T248" i="1" s="1"/>
  <c r="CK248" i="1"/>
  <c r="CQ248" i="1" s="1"/>
  <c r="CL248" i="1"/>
  <c r="CR248" i="1" s="1"/>
  <c r="CE248" i="1"/>
  <c r="M248" i="1"/>
  <c r="AO248" i="1"/>
  <c r="BO248" i="1"/>
  <c r="CF248" i="1"/>
  <c r="P248" i="1" a="1"/>
  <c r="P248" i="1" s="1"/>
  <c r="Z248" i="1" a="1"/>
  <c r="Z248" i="1" s="1"/>
  <c r="AQ248" i="1"/>
  <c r="P260" i="1" a="1"/>
  <c r="P260" i="1" s="1"/>
  <c r="S260" i="1"/>
  <c r="T260" i="1" s="1"/>
  <c r="AK260" i="1"/>
  <c r="AC259" i="1" a="1"/>
  <c r="AC259" i="1" s="1"/>
  <c r="AO259" i="1"/>
  <c r="BL259" i="1"/>
  <c r="AR259" i="1"/>
  <c r="BO259" i="1"/>
  <c r="M258" i="1"/>
  <c r="AG258" i="1" a="1"/>
  <c r="AG258" i="1" s="1"/>
  <c r="CD255" i="1"/>
  <c r="CK255" i="1"/>
  <c r="CQ255" i="1" s="1"/>
  <c r="CC253" i="1"/>
  <c r="CJ253" i="1"/>
  <c r="CP253" i="1" s="1"/>
  <c r="CI253" i="1"/>
  <c r="CO253" i="1" s="1"/>
  <c r="K253" i="1"/>
  <c r="CD253" i="1"/>
  <c r="CF276" i="1"/>
  <c r="AJ276" i="1"/>
  <c r="Z276" i="1" a="1"/>
  <c r="Z276" i="1" s="1"/>
  <c r="CD275" i="1"/>
  <c r="BN275" i="1"/>
  <c r="AQ275" i="1"/>
  <c r="Y275" i="1" a="1"/>
  <c r="Y275" i="1" s="1"/>
  <c r="P275" i="1" a="1"/>
  <c r="P275" i="1" s="1"/>
  <c r="CB274" i="1"/>
  <c r="BL274" i="1"/>
  <c r="AO274" i="1"/>
  <c r="AC274" i="1" a="1"/>
  <c r="AC274" i="1" s="1"/>
  <c r="CF272" i="1"/>
  <c r="AJ272" i="1"/>
  <c r="Z272" i="1" a="1"/>
  <c r="Z272" i="1" s="1"/>
  <c r="CD271" i="1"/>
  <c r="BN271" i="1"/>
  <c r="AQ271" i="1"/>
  <c r="Y271" i="1" a="1"/>
  <c r="Y271" i="1" s="1"/>
  <c r="P271" i="1" a="1"/>
  <c r="P271" i="1" s="1"/>
  <c r="CB270" i="1"/>
  <c r="BL270" i="1"/>
  <c r="AO270" i="1"/>
  <c r="AC270" i="1" a="1"/>
  <c r="AC270" i="1" s="1"/>
  <c r="Z268" i="1" a="1"/>
  <c r="Z268" i="1" s="1"/>
  <c r="BN267" i="1"/>
  <c r="AQ267" i="1"/>
  <c r="AH267" i="1" a="1"/>
  <c r="AH267" i="1" s="1"/>
  <c r="Y267" i="1" a="1"/>
  <c r="Y267" i="1" s="1"/>
  <c r="P267" i="1" a="1"/>
  <c r="P267" i="1" s="1"/>
  <c r="CB266" i="1"/>
  <c r="BL266" i="1"/>
  <c r="AO266" i="1"/>
  <c r="AC266" i="1" a="1"/>
  <c r="AC266" i="1" s="1"/>
  <c r="AA265" i="1" a="1"/>
  <c r="AA265" i="1" s="1"/>
  <c r="Z264" i="1" a="1"/>
  <c r="Z264" i="1" s="1"/>
  <c r="BN263" i="1"/>
  <c r="AQ263" i="1"/>
  <c r="AH263" i="1" a="1"/>
  <c r="AH263" i="1" s="1"/>
  <c r="Y263" i="1" a="1"/>
  <c r="Y263" i="1" s="1"/>
  <c r="P263" i="1" a="1"/>
  <c r="P263" i="1" s="1"/>
  <c r="BL262" i="1"/>
  <c r="AO262" i="1"/>
  <c r="AC262" i="1" a="1"/>
  <c r="AC262" i="1" s="1"/>
  <c r="AA261" i="1" a="1"/>
  <c r="AA261" i="1" s="1"/>
  <c r="CF260" i="1"/>
  <c r="AR260" i="1"/>
  <c r="AH260" i="1" a="1"/>
  <c r="AH260" i="1" s="1"/>
  <c r="BK259" i="1"/>
  <c r="AK259" i="1"/>
  <c r="V259" i="1" a="1"/>
  <c r="V259" i="1" s="1"/>
  <c r="W259" i="1" s="1"/>
  <c r="CE258" i="1"/>
  <c r="AQ257" i="1"/>
  <c r="AF257" i="1" a="1"/>
  <c r="AF257" i="1" s="1"/>
  <c r="L257" i="1"/>
  <c r="CD256" i="1"/>
  <c r="CK256" i="1"/>
  <c r="CQ256" i="1" s="1"/>
  <c r="AF256" i="1" a="1"/>
  <c r="AF256" i="1" s="1"/>
  <c r="CJ255" i="1"/>
  <c r="CP255" i="1" s="1"/>
  <c r="AN255" i="1"/>
  <c r="AF254" i="1" a="1"/>
  <c r="AF254" i="1" s="1"/>
  <c r="CJ254" i="1"/>
  <c r="CP254" i="1" s="1"/>
  <c r="CD254" i="1"/>
  <c r="CK254" i="1"/>
  <c r="CQ254" i="1" s="1"/>
  <c r="P253" i="1" a="1"/>
  <c r="P253" i="1" s="1"/>
  <c r="J253" i="1"/>
  <c r="CB253" i="1"/>
  <c r="V253" i="1" a="1"/>
  <c r="V253" i="1" s="1"/>
  <c r="W253" i="1" s="1"/>
  <c r="AD253" i="1" a="1"/>
  <c r="AD253" i="1" s="1"/>
  <c r="AK253" i="1"/>
  <c r="BK253" i="1"/>
  <c r="CI246" i="1"/>
  <c r="CO246" i="1" s="1"/>
  <c r="CJ246" i="1"/>
  <c r="CP246" i="1" s="1"/>
  <c r="K246" i="1"/>
  <c r="CC246" i="1"/>
  <c r="AE246" i="1" a="1"/>
  <c r="AE246" i="1" s="1"/>
  <c r="CD246" i="1"/>
  <c r="Y246" i="1" a="1"/>
  <c r="Y246" i="1" s="1"/>
  <c r="AO246" i="1"/>
  <c r="BN246" i="1"/>
  <c r="CN245" i="1"/>
  <c r="CE242" i="1"/>
  <c r="CL242" i="1"/>
  <c r="CR242" i="1" s="1"/>
  <c r="AG242" i="1" a="1"/>
  <c r="AG242" i="1" s="1"/>
  <c r="M242" i="1"/>
  <c r="CK242" i="1"/>
  <c r="CQ242" i="1" s="1"/>
  <c r="AN242" i="1"/>
  <c r="BM242" i="1"/>
  <c r="AK277" i="1"/>
  <c r="S277" i="1"/>
  <c r="T277" i="1" s="1"/>
  <c r="CL276" i="1"/>
  <c r="CR276" i="1" s="1"/>
  <c r="CE276" i="1"/>
  <c r="BO276" i="1"/>
  <c r="AR276" i="1"/>
  <c r="CJ275" i="1"/>
  <c r="CP275" i="1" s="1"/>
  <c r="CC275" i="1"/>
  <c r="BM275" i="1"/>
  <c r="AP275" i="1"/>
  <c r="CH274" i="1"/>
  <c r="BK274" i="1"/>
  <c r="AN274" i="1"/>
  <c r="V274" i="1" a="1"/>
  <c r="V274" i="1" s="1"/>
  <c r="W274" i="1" s="1"/>
  <c r="AK273" i="1"/>
  <c r="AL273" i="1" s="1"/>
  <c r="S273" i="1"/>
  <c r="T273" i="1" s="1"/>
  <c r="CL272" i="1"/>
  <c r="CR272" i="1" s="1"/>
  <c r="CE272" i="1"/>
  <c r="BO272" i="1"/>
  <c r="AR272" i="1"/>
  <c r="CJ271" i="1"/>
  <c r="CP271" i="1" s="1"/>
  <c r="CC271" i="1"/>
  <c r="BM271" i="1"/>
  <c r="AP271" i="1"/>
  <c r="CH270" i="1"/>
  <c r="BK270" i="1"/>
  <c r="AN270" i="1"/>
  <c r="V270" i="1" a="1"/>
  <c r="V270" i="1" s="1"/>
  <c r="W270" i="1" s="1"/>
  <c r="AK269" i="1"/>
  <c r="S269" i="1"/>
  <c r="T269" i="1" s="1"/>
  <c r="CL268" i="1"/>
  <c r="CR268" i="1" s="1"/>
  <c r="CE268" i="1"/>
  <c r="BO268" i="1"/>
  <c r="AR268" i="1"/>
  <c r="CJ267" i="1"/>
  <c r="CP267" i="1" s="1"/>
  <c r="CC267" i="1"/>
  <c r="BM267" i="1"/>
  <c r="AP267" i="1"/>
  <c r="N267" i="1"/>
  <c r="CH266" i="1"/>
  <c r="BK266" i="1"/>
  <c r="AN266" i="1"/>
  <c r="V266" i="1" a="1"/>
  <c r="V266" i="1" s="1"/>
  <c r="W266" i="1" s="1"/>
  <c r="L266" i="1"/>
  <c r="AK265" i="1"/>
  <c r="S265" i="1"/>
  <c r="T265" i="1" s="1"/>
  <c r="J265" i="1"/>
  <c r="BM263" i="1"/>
  <c r="AP263" i="1"/>
  <c r="N263" i="1"/>
  <c r="BK262" i="1"/>
  <c r="AN262" i="1"/>
  <c r="V262" i="1" a="1"/>
  <c r="V262" i="1" s="1"/>
  <c r="W262" i="1" s="1"/>
  <c r="L262" i="1"/>
  <c r="AK261" i="1"/>
  <c r="S261" i="1"/>
  <c r="T261" i="1" s="1"/>
  <c r="J261" i="1"/>
  <c r="BO260" i="1"/>
  <c r="AQ260" i="1"/>
  <c r="AC260" i="1" a="1"/>
  <c r="AC260" i="1" s="1"/>
  <c r="V260" i="1" a="1"/>
  <c r="V260" i="1" s="1"/>
  <c r="W260" i="1" s="1"/>
  <c r="I260" i="1"/>
  <c r="AJ259" i="1"/>
  <c r="I259" i="1"/>
  <c r="CE257" i="1"/>
  <c r="BO257" i="1"/>
  <c r="AP257" i="1"/>
  <c r="S257" i="1"/>
  <c r="T257" i="1" s="1"/>
  <c r="AE256" i="1" a="1"/>
  <c r="AE256" i="1" s="1"/>
  <c r="K256" i="1"/>
  <c r="CN255" i="1"/>
  <c r="CB255" i="1"/>
  <c r="CI255" i="1"/>
  <c r="AD255" i="1" a="1"/>
  <c r="AD255" i="1" s="1"/>
  <c r="J250" i="1"/>
  <c r="CH250" i="1"/>
  <c r="CI250" i="1"/>
  <c r="CO250" i="1" s="1"/>
  <c r="CB250" i="1"/>
  <c r="AD250" i="1" a="1"/>
  <c r="AD250" i="1" s="1"/>
  <c r="CC250" i="1"/>
  <c r="AN250" i="1"/>
  <c r="BM250" i="1"/>
  <c r="V247" i="1" a="1"/>
  <c r="V247" i="1" s="1"/>
  <c r="W247" i="1" s="1"/>
  <c r="AN247" i="1"/>
  <c r="BK247" i="1"/>
  <c r="CH247" i="1"/>
  <c r="S247" i="1"/>
  <c r="T247" i="1" s="1"/>
  <c r="AK247" i="1"/>
  <c r="Y247" i="1" a="1"/>
  <c r="Y247" i="1" s="1"/>
  <c r="AO247" i="1"/>
  <c r="BN247" i="1"/>
  <c r="AP247" i="1"/>
  <c r="BO247" i="1"/>
  <c r="P247" i="1" a="1"/>
  <c r="P247" i="1" s="1"/>
  <c r="Z247" i="1" a="1"/>
  <c r="Z247" i="1" s="1"/>
  <c r="AQ247" i="1"/>
  <c r="AA247" i="1" a="1"/>
  <c r="AA247" i="1" s="1"/>
  <c r="AR247" i="1"/>
  <c r="AC247" i="1" a="1"/>
  <c r="AC247" i="1" s="1"/>
  <c r="I247" i="1"/>
  <c r="AJ247" i="1"/>
  <c r="BL247" i="1"/>
  <c r="CB247" i="1"/>
  <c r="Z246" i="1" a="1"/>
  <c r="Z246" i="1" s="1"/>
  <c r="AD241" i="1" a="1"/>
  <c r="AD241" i="1" s="1"/>
  <c r="AA241" i="1" a="1"/>
  <c r="AA241" i="1" s="1"/>
  <c r="AK241" i="1"/>
  <c r="AL241" i="1" s="1"/>
  <c r="BL241" i="1"/>
  <c r="CH241" i="1"/>
  <c r="S241" i="1"/>
  <c r="T241" i="1" s="1"/>
  <c r="AN241" i="1"/>
  <c r="CI241" i="1"/>
  <c r="CO241" i="1" s="1"/>
  <c r="V241" i="1" a="1"/>
  <c r="V241" i="1" s="1"/>
  <c r="W241" i="1" s="1"/>
  <c r="AO241" i="1"/>
  <c r="J241" i="1"/>
  <c r="Z241" i="1" a="1"/>
  <c r="Z241" i="1" s="1"/>
  <c r="CB241" i="1"/>
  <c r="S236" i="1"/>
  <c r="T236" i="1" s="1"/>
  <c r="BL267" i="1"/>
  <c r="AF266" i="1" a="1"/>
  <c r="AF266" i="1" s="1"/>
  <c r="AA266" i="1" a="1"/>
  <c r="AA266" i="1" s="1"/>
  <c r="CN265" i="1"/>
  <c r="AJ265" i="1"/>
  <c r="Z265" i="1" a="1"/>
  <c r="Z265" i="1" s="1"/>
  <c r="P264" i="1" a="1"/>
  <c r="P264" i="1" s="1"/>
  <c r="BL263" i="1"/>
  <c r="AF262" i="1" a="1"/>
  <c r="AF262" i="1" s="1"/>
  <c r="AA262" i="1" a="1"/>
  <c r="AA262" i="1" s="1"/>
  <c r="CN261" i="1"/>
  <c r="AJ261" i="1"/>
  <c r="Z261" i="1" a="1"/>
  <c r="Z261" i="1" s="1"/>
  <c r="BN260" i="1"/>
  <c r="AP260" i="1"/>
  <c r="S259" i="1"/>
  <c r="T259" i="1" s="1"/>
  <c r="P258" i="1" a="1"/>
  <c r="P258" i="1" s="1"/>
  <c r="AA258" i="1" a="1"/>
  <c r="AA258" i="1" s="1"/>
  <c r="AO258" i="1"/>
  <c r="BL258" i="1"/>
  <c r="CB258" i="1"/>
  <c r="CI258" i="1"/>
  <c r="CO258" i="1" s="1"/>
  <c r="AP258" i="1"/>
  <c r="BM258" i="1"/>
  <c r="BN257" i="1"/>
  <c r="AO257" i="1"/>
  <c r="AD256" i="1" a="1"/>
  <c r="AD256" i="1" s="1"/>
  <c r="J256" i="1"/>
  <c r="AA256" i="1" a="1"/>
  <c r="AA256" i="1" s="1"/>
  <c r="BM255" i="1"/>
  <c r="AK255" i="1"/>
  <c r="L255" i="1"/>
  <c r="AC255" i="1" a="1"/>
  <c r="AC255" i="1" s="1"/>
  <c r="AO255" i="1"/>
  <c r="BL255" i="1"/>
  <c r="P255" i="1" a="1"/>
  <c r="P255" i="1" s="1"/>
  <c r="Y255" i="1" a="1"/>
  <c r="Y255" i="1" s="1"/>
  <c r="AQ255" i="1"/>
  <c r="BN255" i="1"/>
  <c r="AR255" i="1"/>
  <c r="BO255" i="1"/>
  <c r="I255" i="1"/>
  <c r="Z255" i="1" a="1"/>
  <c r="Z255" i="1" s="1"/>
  <c r="AJ255" i="1"/>
  <c r="J254" i="1"/>
  <c r="CB254" i="1"/>
  <c r="CI254" i="1"/>
  <c r="CC254" i="1"/>
  <c r="AD254" i="1" a="1"/>
  <c r="AD254" i="1" s="1"/>
  <c r="BN253" i="1"/>
  <c r="BM292" i="1"/>
  <c r="CH291" i="1"/>
  <c r="BK291" i="1"/>
  <c r="AN291" i="1"/>
  <c r="V291" i="1" a="1"/>
  <c r="V291" i="1" s="1"/>
  <c r="W291" i="1" s="1"/>
  <c r="CL289" i="1"/>
  <c r="CR289" i="1" s="1"/>
  <c r="CJ288" i="1"/>
  <c r="CT288" i="1" s="1" a="1"/>
  <c r="CT288" i="1" s="1"/>
  <c r="CU288" i="1" s="1"/>
  <c r="CC288" i="1"/>
  <c r="BM288" i="1"/>
  <c r="CH287" i="1"/>
  <c r="BK287" i="1"/>
  <c r="AN287" i="1"/>
  <c r="V287" i="1" a="1"/>
  <c r="V287" i="1" s="1"/>
  <c r="W287" i="1" s="1"/>
  <c r="CL285" i="1"/>
  <c r="CR285" i="1" s="1"/>
  <c r="CJ284" i="1"/>
  <c r="DA284" i="1" s="1" a="1"/>
  <c r="DA284" i="1" s="1"/>
  <c r="CC284" i="1"/>
  <c r="BM284" i="1"/>
  <c r="CH283" i="1"/>
  <c r="BK283" i="1"/>
  <c r="AN283" i="1"/>
  <c r="V283" i="1" a="1"/>
  <c r="V283" i="1" s="1"/>
  <c r="W283" i="1" s="1"/>
  <c r="L283" i="1"/>
  <c r="CL281" i="1"/>
  <c r="CR281" i="1" s="1"/>
  <c r="CJ280" i="1"/>
  <c r="CZ280" i="1" s="1" a="1"/>
  <c r="CZ280" i="1" s="1"/>
  <c r="CC280" i="1"/>
  <c r="BM280" i="1"/>
  <c r="CH279" i="1"/>
  <c r="BK279" i="1"/>
  <c r="AN279" i="1"/>
  <c r="V279" i="1" a="1"/>
  <c r="V279" i="1" s="1"/>
  <c r="W279" i="1" s="1"/>
  <c r="L279" i="1"/>
  <c r="CL277" i="1"/>
  <c r="CR277" i="1" s="1"/>
  <c r="BO277" i="1"/>
  <c r="AR277" i="1"/>
  <c r="CJ276" i="1"/>
  <c r="CC276" i="1"/>
  <c r="BM276" i="1"/>
  <c r="CH275" i="1"/>
  <c r="BK275" i="1"/>
  <c r="AN275" i="1"/>
  <c r="V275" i="1" a="1"/>
  <c r="V275" i="1" s="1"/>
  <c r="W275" i="1" s="1"/>
  <c r="L275" i="1"/>
  <c r="AK274" i="1"/>
  <c r="S274" i="1"/>
  <c r="T274" i="1" s="1"/>
  <c r="CL273" i="1"/>
  <c r="CR273" i="1" s="1"/>
  <c r="BO273" i="1"/>
  <c r="AR273" i="1"/>
  <c r="CJ272" i="1"/>
  <c r="CC272" i="1"/>
  <c r="BM272" i="1"/>
  <c r="CH271" i="1"/>
  <c r="BK271" i="1"/>
  <c r="AN271" i="1"/>
  <c r="V271" i="1" a="1"/>
  <c r="V271" i="1" s="1"/>
  <c r="W271" i="1" s="1"/>
  <c r="L271" i="1"/>
  <c r="AK270" i="1"/>
  <c r="S270" i="1"/>
  <c r="T270" i="1" s="1"/>
  <c r="CL269" i="1"/>
  <c r="CR269" i="1" s="1"/>
  <c r="BO269" i="1"/>
  <c r="AR269" i="1"/>
  <c r="CJ268" i="1"/>
  <c r="CC268" i="1"/>
  <c r="BM268" i="1"/>
  <c r="CH267" i="1"/>
  <c r="BK267" i="1"/>
  <c r="AN267" i="1"/>
  <c r="V267" i="1" a="1"/>
  <c r="V267" i="1" s="1"/>
  <c r="W267" i="1" s="1"/>
  <c r="L267" i="1"/>
  <c r="AK266" i="1"/>
  <c r="S266" i="1"/>
  <c r="T266" i="1" s="1"/>
  <c r="CL265" i="1"/>
  <c r="CR265" i="1" s="1"/>
  <c r="BO265" i="1"/>
  <c r="AR265" i="1"/>
  <c r="CJ264" i="1"/>
  <c r="CC264" i="1"/>
  <c r="BM264" i="1"/>
  <c r="CH263" i="1"/>
  <c r="BK263" i="1"/>
  <c r="AN263" i="1"/>
  <c r="V263" i="1" a="1"/>
  <c r="V263" i="1" s="1"/>
  <c r="W263" i="1" s="1"/>
  <c r="L263" i="1"/>
  <c r="AK262" i="1"/>
  <c r="S262" i="1"/>
  <c r="T262" i="1" s="1"/>
  <c r="CL261" i="1"/>
  <c r="CR261" i="1" s="1"/>
  <c r="BO261" i="1"/>
  <c r="AR261" i="1"/>
  <c r="BM260" i="1"/>
  <c r="AO260" i="1"/>
  <c r="AA260" i="1" a="1"/>
  <c r="AA260" i="1" s="1"/>
  <c r="AA259" i="1" a="1"/>
  <c r="AA259" i="1" s="1"/>
  <c r="M259" i="1"/>
  <c r="AG259" i="1" a="1"/>
  <c r="AG259" i="1" s="1"/>
  <c r="CE259" i="1"/>
  <c r="CL259" i="1"/>
  <c r="CR259" i="1" s="1"/>
  <c r="CL258" i="1"/>
  <c r="CR258" i="1" s="1"/>
  <c r="AR258" i="1"/>
  <c r="Z258" i="1" a="1"/>
  <c r="Z258" i="1" s="1"/>
  <c r="BM257" i="1"/>
  <c r="AK257" i="1"/>
  <c r="P257" i="1" a="1"/>
  <c r="P257" i="1" s="1"/>
  <c r="CJ256" i="1"/>
  <c r="CP256" i="1" s="1"/>
  <c r="AP256" i="1"/>
  <c r="P256" i="1" a="1"/>
  <c r="P256" i="1" s="1"/>
  <c r="BK255" i="1"/>
  <c r="AA255" i="1" a="1"/>
  <c r="AA255" i="1" s="1"/>
  <c r="S254" i="1"/>
  <c r="T254" i="1" s="1"/>
  <c r="Z254" i="1" a="1"/>
  <c r="Z254" i="1" s="1"/>
  <c r="AO254" i="1"/>
  <c r="BL254" i="1"/>
  <c r="AC254" i="1" a="1"/>
  <c r="AC254" i="1" s="1"/>
  <c r="AP254" i="1"/>
  <c r="BM254" i="1"/>
  <c r="I254" i="1"/>
  <c r="V254" i="1" a="1"/>
  <c r="V254" i="1" s="1"/>
  <c r="W254" i="1" s="1"/>
  <c r="AQ254" i="1"/>
  <c r="BN254" i="1"/>
  <c r="AR254" i="1"/>
  <c r="CH253" i="1"/>
  <c r="BL253" i="1"/>
  <c r="CC252" i="1"/>
  <c r="CJ252" i="1"/>
  <c r="CP252" i="1" s="1"/>
  <c r="CI252" i="1"/>
  <c r="CO252" i="1" s="1"/>
  <c r="S252" i="1"/>
  <c r="T252" i="1" s="1"/>
  <c r="CD252" i="1"/>
  <c r="K252" i="1"/>
  <c r="Y252" i="1" a="1"/>
  <c r="Y252" i="1" s="1"/>
  <c r="AE252" i="1" a="1"/>
  <c r="AE252" i="1" s="1"/>
  <c r="BN252" i="1"/>
  <c r="AO252" i="1"/>
  <c r="BO252" i="1"/>
  <c r="AO250" i="1"/>
  <c r="CC249" i="1"/>
  <c r="CJ249" i="1"/>
  <c r="CP249" i="1" s="1"/>
  <c r="CI249" i="1"/>
  <c r="CO249" i="1" s="1"/>
  <c r="K249" i="1"/>
  <c r="CD249" i="1"/>
  <c r="AE249" i="1" a="1"/>
  <c r="AE249" i="1" s="1"/>
  <c r="BL249" i="1"/>
  <c r="P233" i="1" a="1"/>
  <c r="P233" i="1" s="1"/>
  <c r="Y233" i="1" a="1"/>
  <c r="Y233" i="1" s="1"/>
  <c r="AD233" i="1" a="1"/>
  <c r="AD233" i="1" s="1"/>
  <c r="AQ233" i="1"/>
  <c r="BN233" i="1"/>
  <c r="Z233" i="1" a="1"/>
  <c r="Z233" i="1" s="1"/>
  <c r="AJ233" i="1"/>
  <c r="J233" i="1"/>
  <c r="S233" i="1"/>
  <c r="T233" i="1" s="1"/>
  <c r="AK233" i="1"/>
  <c r="AA233" i="1" a="1"/>
  <c r="AA233" i="1" s="1"/>
  <c r="V233" i="1" a="1"/>
  <c r="V233" i="1" s="1"/>
  <c r="W233" i="1" s="1"/>
  <c r="AN233" i="1"/>
  <c r="AO233" i="1"/>
  <c r="CB233" i="1"/>
  <c r="BK233" i="1"/>
  <c r="CH233" i="1"/>
  <c r="BL233" i="1"/>
  <c r="CI233" i="1"/>
  <c r="CO233" i="1" s="1"/>
  <c r="BN277" i="1"/>
  <c r="AQ277" i="1"/>
  <c r="Y277" i="1" a="1"/>
  <c r="Y277" i="1" s="1"/>
  <c r="P277" i="1" a="1"/>
  <c r="P277" i="1" s="1"/>
  <c r="BL276" i="1"/>
  <c r="AO276" i="1"/>
  <c r="AG276" i="1" a="1"/>
  <c r="AG276" i="1" s="1"/>
  <c r="AA275" i="1" a="1"/>
  <c r="AA275" i="1" s="1"/>
  <c r="AJ274" i="1"/>
  <c r="Z274" i="1" a="1"/>
  <c r="Z274" i="1" s="1"/>
  <c r="I274" i="1"/>
  <c r="BN273" i="1"/>
  <c r="AQ273" i="1"/>
  <c r="Y273" i="1" a="1"/>
  <c r="Y273" i="1" s="1"/>
  <c r="P273" i="1" a="1"/>
  <c r="P273" i="1" s="1"/>
  <c r="BL272" i="1"/>
  <c r="AO272" i="1"/>
  <c r="AG272" i="1" a="1"/>
  <c r="AG272" i="1" s="1"/>
  <c r="AA271" i="1" a="1"/>
  <c r="AA271" i="1" s="1"/>
  <c r="AJ270" i="1"/>
  <c r="Z270" i="1" a="1"/>
  <c r="Z270" i="1" s="1"/>
  <c r="I270" i="1"/>
  <c r="BN269" i="1"/>
  <c r="AQ269" i="1"/>
  <c r="Y269" i="1" a="1"/>
  <c r="Y269" i="1" s="1"/>
  <c r="P269" i="1" a="1"/>
  <c r="P269" i="1" s="1"/>
  <c r="BL268" i="1"/>
  <c r="AO268" i="1"/>
  <c r="AG268" i="1" a="1"/>
  <c r="AG268" i="1" s="1"/>
  <c r="AA267" i="1" a="1"/>
  <c r="AA267" i="1" s="1"/>
  <c r="AJ266" i="1"/>
  <c r="Z266" i="1" a="1"/>
  <c r="Z266" i="1" s="1"/>
  <c r="I266" i="1"/>
  <c r="BN265" i="1"/>
  <c r="AQ265" i="1"/>
  <c r="AD265" i="1" a="1"/>
  <c r="AD265" i="1" s="1"/>
  <c r="Y265" i="1" a="1"/>
  <c r="Y265" i="1" s="1"/>
  <c r="P265" i="1" a="1"/>
  <c r="P265" i="1" s="1"/>
  <c r="BL264" i="1"/>
  <c r="AO264" i="1"/>
  <c r="AG264" i="1" a="1"/>
  <c r="AG264" i="1" s="1"/>
  <c r="M264" i="1"/>
  <c r="AA263" i="1" a="1"/>
  <c r="AA263" i="1" s="1"/>
  <c r="CN262" i="1"/>
  <c r="AJ262" i="1"/>
  <c r="Z262" i="1" a="1"/>
  <c r="Z262" i="1" s="1"/>
  <c r="I262" i="1"/>
  <c r="BN261" i="1"/>
  <c r="AQ261" i="1"/>
  <c r="AD261" i="1" a="1"/>
  <c r="AD261" i="1" s="1"/>
  <c r="Y261" i="1" a="1"/>
  <c r="Y261" i="1" s="1"/>
  <c r="P261" i="1" a="1"/>
  <c r="P261" i="1" s="1"/>
  <c r="CB260" i="1"/>
  <c r="BL260" i="1"/>
  <c r="AN260" i="1"/>
  <c r="Z260" i="1" a="1"/>
  <c r="Z260" i="1" s="1"/>
  <c r="CH259" i="1"/>
  <c r="AQ259" i="1"/>
  <c r="P259" i="1" a="1"/>
  <c r="P259" i="1" s="1"/>
  <c r="CK258" i="1"/>
  <c r="CQ258" i="1" s="1"/>
  <c r="AQ258" i="1"/>
  <c r="J258" i="1"/>
  <c r="CL257" i="1"/>
  <c r="CR257" i="1" s="1"/>
  <c r="BL257" i="1"/>
  <c r="CI256" i="1"/>
  <c r="CO256" i="1" s="1"/>
  <c r="AO256" i="1"/>
  <c r="J255" i="1"/>
  <c r="CE254" i="1"/>
  <c r="L254" i="1"/>
  <c r="AE253" i="1" a="1"/>
  <c r="AE253" i="1" s="1"/>
  <c r="Q252" i="1"/>
  <c r="Q249" i="1"/>
  <c r="CK244" i="1"/>
  <c r="CQ244" i="1" s="1"/>
  <c r="AJ244" i="1"/>
  <c r="CL244" i="1"/>
  <c r="CR244" i="1" s="1"/>
  <c r="CE244" i="1"/>
  <c r="M244" i="1"/>
  <c r="CF244" i="1"/>
  <c r="P244" i="1" a="1"/>
  <c r="P244" i="1" s="1"/>
  <c r="Z244" i="1" a="1"/>
  <c r="Z244" i="1" s="1"/>
  <c r="AQ244" i="1"/>
  <c r="AG244" i="1" a="1"/>
  <c r="AG244" i="1" s="1"/>
  <c r="AR244" i="1"/>
  <c r="V242" i="1" a="1"/>
  <c r="V242" i="1" s="1"/>
  <c r="W242" i="1" s="1"/>
  <c r="N236" i="1"/>
  <c r="AH236" i="1" a="1"/>
  <c r="AH236" i="1" s="1"/>
  <c r="CF236" i="1"/>
  <c r="BO236" i="1"/>
  <c r="AK236" i="1"/>
  <c r="AK291" i="1"/>
  <c r="AL291" i="1" s="1"/>
  <c r="BK288" i="1"/>
  <c r="AN288" i="1"/>
  <c r="AK287" i="1"/>
  <c r="AL287" i="1" s="1"/>
  <c r="BK284" i="1"/>
  <c r="AN284" i="1"/>
  <c r="AK283" i="1"/>
  <c r="AL283" i="1" s="1"/>
  <c r="BK280" i="1"/>
  <c r="AN280" i="1"/>
  <c r="AK279" i="1"/>
  <c r="AL279" i="1" s="1"/>
  <c r="BM277" i="1"/>
  <c r="BK276" i="1"/>
  <c r="AN276" i="1"/>
  <c r="AK275" i="1"/>
  <c r="AL275" i="1" s="1"/>
  <c r="BO274" i="1"/>
  <c r="BM273" i="1"/>
  <c r="BK272" i="1"/>
  <c r="AN272" i="1"/>
  <c r="AK271" i="1"/>
  <c r="AL271" i="1" s="1"/>
  <c r="BO270" i="1"/>
  <c r="BM269" i="1"/>
  <c r="BK268" i="1"/>
  <c r="AN268" i="1"/>
  <c r="AK267" i="1"/>
  <c r="AL267" i="1" s="1"/>
  <c r="BO266" i="1"/>
  <c r="BM265" i="1"/>
  <c r="BK264" i="1"/>
  <c r="AK263" i="1"/>
  <c r="BO262" i="1"/>
  <c r="BM261" i="1"/>
  <c r="CH260" i="1"/>
  <c r="BK260" i="1"/>
  <c r="AP259" i="1"/>
  <c r="Z259" i="1" a="1"/>
  <c r="Z259" i="1" s="1"/>
  <c r="CH258" i="1"/>
  <c r="AN258" i="1"/>
  <c r="Y258" i="1" a="1"/>
  <c r="Y258" i="1" s="1"/>
  <c r="CK257" i="1"/>
  <c r="CQ257" i="1" s="1"/>
  <c r="CH256" i="1"/>
  <c r="BO256" i="1"/>
  <c r="AN256" i="1"/>
  <c r="L256" i="1"/>
  <c r="CC255" i="1"/>
  <c r="AN254" i="1"/>
  <c r="AQ253" i="1"/>
  <c r="CE253" i="1"/>
  <c r="CL253" i="1"/>
  <c r="CR253" i="1" s="1"/>
  <c r="AG253" i="1" a="1"/>
  <c r="AG253" i="1" s="1"/>
  <c r="CK253" i="1"/>
  <c r="CQ253" i="1" s="1"/>
  <c r="AP246" i="1"/>
  <c r="CF242" i="1"/>
  <c r="BN242" i="1"/>
  <c r="S250" i="1"/>
  <c r="T250" i="1" s="1"/>
  <c r="AK250" i="1"/>
  <c r="AR250" i="1"/>
  <c r="BO250" i="1"/>
  <c r="CC245" i="1"/>
  <c r="CJ245" i="1"/>
  <c r="CP245" i="1" s="1"/>
  <c r="P241" i="1" a="1"/>
  <c r="P241" i="1" s="1"/>
  <c r="CF238" i="1"/>
  <c r="M238" i="1"/>
  <c r="AG238" i="1" a="1"/>
  <c r="AG238" i="1" s="1"/>
  <c r="CE238" i="1"/>
  <c r="CL238" i="1"/>
  <c r="CR238" i="1" s="1"/>
  <c r="AR233" i="1"/>
  <c r="M228" i="1"/>
  <c r="AG228" i="1" a="1"/>
  <c r="AG228" i="1" s="1"/>
  <c r="CE228" i="1"/>
  <c r="CF228" i="1"/>
  <c r="AN228" i="1"/>
  <c r="BO228" i="1"/>
  <c r="CL228" i="1"/>
  <c r="CR228" i="1" s="1"/>
  <c r="CN225" i="1"/>
  <c r="N220" i="1"/>
  <c r="CL220" i="1"/>
  <c r="CR220" i="1" s="1"/>
  <c r="AH220" i="1" a="1"/>
  <c r="AH220" i="1" s="1"/>
  <c r="CF220" i="1"/>
  <c r="AH206" i="1" a="1"/>
  <c r="AH206" i="1" s="1"/>
  <c r="AQ206" i="1"/>
  <c r="BN206" i="1"/>
  <c r="N206" i="1"/>
  <c r="CL206" i="1"/>
  <c r="CR206" i="1" s="1"/>
  <c r="CF206" i="1"/>
  <c r="AO206" i="1"/>
  <c r="BL206" i="1"/>
  <c r="BK206" i="1"/>
  <c r="S206" i="1"/>
  <c r="T206" i="1" s="1"/>
  <c r="AA206" i="1" a="1"/>
  <c r="AA206" i="1" s="1"/>
  <c r="AR253" i="1"/>
  <c r="BO253" i="1"/>
  <c r="AP253" i="1"/>
  <c r="BM253" i="1"/>
  <c r="CF252" i="1"/>
  <c r="BL250" i="1"/>
  <c r="BK249" i="1"/>
  <c r="AK249" i="1"/>
  <c r="AD249" i="1" a="1"/>
  <c r="AD249" i="1" s="1"/>
  <c r="V249" i="1" a="1"/>
  <c r="V249" i="1" s="1"/>
  <c r="W249" i="1" s="1"/>
  <c r="AR249" i="1"/>
  <c r="BO249" i="1"/>
  <c r="AP249" i="1"/>
  <c r="BM249" i="1"/>
  <c r="CC248" i="1"/>
  <c r="CJ248" i="1"/>
  <c r="CP248" i="1" s="1"/>
  <c r="CJ247" i="1"/>
  <c r="CP247" i="1" s="1"/>
  <c r="BM246" i="1"/>
  <c r="AN246" i="1"/>
  <c r="S246" i="1"/>
  <c r="T246" i="1" s="1"/>
  <c r="AK246" i="1"/>
  <c r="AR246" i="1"/>
  <c r="BO246" i="1"/>
  <c r="BL245" i="1"/>
  <c r="AE245" i="1" a="1"/>
  <c r="AE245" i="1" s="1"/>
  <c r="CC244" i="1"/>
  <c r="CJ244" i="1"/>
  <c r="CP244" i="1" s="1"/>
  <c r="BL242" i="1"/>
  <c r="P242" i="1" a="1"/>
  <c r="P242" i="1" s="1"/>
  <c r="CF239" i="1"/>
  <c r="BO239" i="1"/>
  <c r="CK238" i="1"/>
  <c r="CQ238" i="1" s="1"/>
  <c r="CN237" i="1"/>
  <c r="P226" i="1" a="1"/>
  <c r="P226" i="1" s="1"/>
  <c r="BM222" i="1"/>
  <c r="Y220" i="1" a="1"/>
  <c r="Y220" i="1" s="1"/>
  <c r="CE218" i="1"/>
  <c r="CL218" i="1"/>
  <c r="CR218" i="1" s="1"/>
  <c r="M218" i="1"/>
  <c r="AN218" i="1"/>
  <c r="CK218" i="1"/>
  <c r="CQ218" i="1" s="1"/>
  <c r="AG218" i="1" a="1"/>
  <c r="AG218" i="1" s="1"/>
  <c r="V217" i="1" a="1"/>
  <c r="V217" i="1" s="1"/>
  <c r="W217" i="1" s="1"/>
  <c r="AN217" i="1"/>
  <c r="BK217" i="1"/>
  <c r="CH217" i="1"/>
  <c r="AC217" i="1" a="1"/>
  <c r="AC217" i="1" s="1"/>
  <c r="AP217" i="1"/>
  <c r="BM217" i="1"/>
  <c r="P217" i="1" a="1"/>
  <c r="P217" i="1" s="1"/>
  <c r="Y217" i="1" a="1"/>
  <c r="Y217" i="1" s="1"/>
  <c r="AQ217" i="1"/>
  <c r="BN217" i="1"/>
  <c r="AR217" i="1"/>
  <c r="BO217" i="1"/>
  <c r="AO217" i="1"/>
  <c r="CB217" i="1"/>
  <c r="S217" i="1"/>
  <c r="T217" i="1" s="1"/>
  <c r="I217" i="1"/>
  <c r="BL217" i="1"/>
  <c r="Z217" i="1" a="1"/>
  <c r="Z217" i="1" s="1"/>
  <c r="AJ217" i="1"/>
  <c r="AL217" i="1" s="1"/>
  <c r="AA217" i="1" a="1"/>
  <c r="AA217" i="1" s="1"/>
  <c r="AR211" i="1"/>
  <c r="BO211" i="1"/>
  <c r="Z211" i="1" a="1"/>
  <c r="Z211" i="1" s="1"/>
  <c r="AE211" i="1" a="1"/>
  <c r="AE211" i="1" s="1"/>
  <c r="AJ211" i="1"/>
  <c r="S211" i="1"/>
  <c r="T211" i="1" s="1"/>
  <c r="AK211" i="1"/>
  <c r="K211" i="1"/>
  <c r="AA211" i="1" a="1"/>
  <c r="AA211" i="1" s="1"/>
  <c r="P211" i="1" a="1"/>
  <c r="P211" i="1" s="1"/>
  <c r="Y211" i="1" a="1"/>
  <c r="Y211" i="1" s="1"/>
  <c r="AQ211" i="1"/>
  <c r="BL211" i="1"/>
  <c r="CC211" i="1"/>
  <c r="BM211" i="1"/>
  <c r="CD211" i="1"/>
  <c r="BN211" i="1"/>
  <c r="CI211" i="1"/>
  <c r="CO211" i="1" s="1"/>
  <c r="CJ211" i="1"/>
  <c r="CP211" i="1" s="1"/>
  <c r="AP211" i="1"/>
  <c r="CN202" i="1"/>
  <c r="AJ253" i="1"/>
  <c r="AC253" i="1" a="1"/>
  <c r="AC253" i="1" s="1"/>
  <c r="AP252" i="1"/>
  <c r="BM252" i="1"/>
  <c r="V252" i="1" a="1"/>
  <c r="V252" i="1" s="1"/>
  <c r="W252" i="1" s="1"/>
  <c r="AN252" i="1"/>
  <c r="BK252" i="1"/>
  <c r="CH252" i="1"/>
  <c r="AR251" i="1"/>
  <c r="AA251" i="1" a="1"/>
  <c r="AA251" i="1" s="1"/>
  <c r="CK250" i="1"/>
  <c r="CQ250" i="1" s="1"/>
  <c r="BK250" i="1"/>
  <c r="AJ250" i="1"/>
  <c r="V250" i="1" a="1"/>
  <c r="V250" i="1" s="1"/>
  <c r="W250" i="1" s="1"/>
  <c r="I250" i="1"/>
  <c r="CB249" i="1"/>
  <c r="AJ249" i="1"/>
  <c r="AC249" i="1" a="1"/>
  <c r="AC249" i="1" s="1"/>
  <c r="J249" i="1"/>
  <c r="BN248" i="1"/>
  <c r="AE248" i="1" a="1"/>
  <c r="AE248" i="1" s="1"/>
  <c r="Y248" i="1" a="1"/>
  <c r="Y248" i="1" s="1"/>
  <c r="CI247" i="1"/>
  <c r="CO247" i="1" s="1"/>
  <c r="BL246" i="1"/>
  <c r="AD246" i="1" a="1"/>
  <c r="AD246" i="1" s="1"/>
  <c r="CD245" i="1"/>
  <c r="BK245" i="1"/>
  <c r="AK245" i="1"/>
  <c r="AD245" i="1" a="1"/>
  <c r="AD245" i="1" s="1"/>
  <c r="V245" i="1" a="1"/>
  <c r="V245" i="1" s="1"/>
  <c r="W245" i="1" s="1"/>
  <c r="K245" i="1"/>
  <c r="AR245" i="1"/>
  <c r="BO245" i="1"/>
  <c r="AP245" i="1"/>
  <c r="BM245" i="1"/>
  <c r="BO244" i="1"/>
  <c r="AO244" i="1"/>
  <c r="AH243" i="1" a="1"/>
  <c r="AH243" i="1" s="1"/>
  <c r="BK242" i="1"/>
  <c r="AC240" i="1" a="1"/>
  <c r="AC240" i="1" s="1"/>
  <c r="AO240" i="1"/>
  <c r="BL240" i="1"/>
  <c r="CB240" i="1"/>
  <c r="AP240" i="1"/>
  <c r="BM240" i="1"/>
  <c r="P240" i="1" a="1"/>
  <c r="P240" i="1" s="1"/>
  <c r="Y240" i="1" a="1"/>
  <c r="Y240" i="1" s="1"/>
  <c r="AQ240" i="1"/>
  <c r="BN240" i="1"/>
  <c r="I240" i="1"/>
  <c r="Z240" i="1" a="1"/>
  <c r="Z240" i="1" s="1"/>
  <c r="AJ240" i="1"/>
  <c r="V240" i="1" a="1"/>
  <c r="V240" i="1" s="1"/>
  <c r="W240" i="1" s="1"/>
  <c r="AN240" i="1"/>
  <c r="BK240" i="1"/>
  <c r="CH240" i="1"/>
  <c r="BM239" i="1"/>
  <c r="AF239" i="1" a="1"/>
  <c r="AF239" i="1" s="1"/>
  <c r="L239" i="1"/>
  <c r="AO239" i="1"/>
  <c r="BL239" i="1"/>
  <c r="BN239" i="1"/>
  <c r="CD239" i="1"/>
  <c r="CK239" i="1"/>
  <c r="CQ239" i="1" s="1"/>
  <c r="BN238" i="1"/>
  <c r="V238" i="1" a="1"/>
  <c r="V238" i="1" s="1"/>
  <c r="W238" i="1" s="1"/>
  <c r="CF235" i="1"/>
  <c r="BO235" i="1"/>
  <c r="V235" i="1" a="1"/>
  <c r="V235" i="1" s="1"/>
  <c r="W235" i="1" s="1"/>
  <c r="AP232" i="1"/>
  <c r="CJ230" i="1"/>
  <c r="CP230" i="1" s="1"/>
  <c r="L230" i="1"/>
  <c r="CK230" i="1"/>
  <c r="CQ230" i="1" s="1"/>
  <c r="AF230" i="1" a="1"/>
  <c r="AF230" i="1" s="1"/>
  <c r="CD230" i="1"/>
  <c r="CD229" i="1"/>
  <c r="CK229" i="1"/>
  <c r="CQ229" i="1" s="1"/>
  <c r="CJ229" i="1"/>
  <c r="L229" i="1"/>
  <c r="BL229" i="1"/>
  <c r="AF229" i="1" a="1"/>
  <c r="AF229" i="1" s="1"/>
  <c r="CK228" i="1"/>
  <c r="CQ228" i="1" s="1"/>
  <c r="AR228" i="1"/>
  <c r="AR226" i="1"/>
  <c r="AP225" i="1"/>
  <c r="P225" i="1" a="1"/>
  <c r="P225" i="1" s="1"/>
  <c r="Y225" i="1" a="1"/>
  <c r="Y225" i="1" s="1"/>
  <c r="AQ225" i="1"/>
  <c r="BN225" i="1"/>
  <c r="AR225" i="1"/>
  <c r="BO225" i="1"/>
  <c r="AA225" i="1" a="1"/>
  <c r="AA225" i="1" s="1"/>
  <c r="AJ225" i="1"/>
  <c r="BK225" i="1"/>
  <c r="S225" i="1"/>
  <c r="T225" i="1" s="1"/>
  <c r="AC225" i="1" a="1"/>
  <c r="AC225" i="1" s="1"/>
  <c r="AK225" i="1"/>
  <c r="BL225" i="1"/>
  <c r="I225" i="1"/>
  <c r="BM225" i="1"/>
  <c r="V225" i="1" a="1"/>
  <c r="V225" i="1" s="1"/>
  <c r="W225" i="1" s="1"/>
  <c r="Z225" i="1" a="1"/>
  <c r="Z225" i="1" s="1"/>
  <c r="CJ258" i="1"/>
  <c r="CP258" i="1" s="1"/>
  <c r="CC258" i="1"/>
  <c r="CH257" i="1"/>
  <c r="BK257" i="1"/>
  <c r="AN257" i="1"/>
  <c r="V257" i="1" a="1"/>
  <c r="V257" i="1" s="1"/>
  <c r="W257" i="1" s="1"/>
  <c r="AK256" i="1"/>
  <c r="S256" i="1"/>
  <c r="T256" i="1" s="1"/>
  <c r="CL255" i="1"/>
  <c r="CR255" i="1" s="1"/>
  <c r="CE255" i="1"/>
  <c r="S253" i="1"/>
  <c r="T253" i="1" s="1"/>
  <c r="I253" i="1"/>
  <c r="BL252" i="1"/>
  <c r="AK252" i="1"/>
  <c r="CF251" i="1"/>
  <c r="AQ251" i="1"/>
  <c r="AG251" i="1" a="1"/>
  <c r="AG251" i="1" s="1"/>
  <c r="Z251" i="1" a="1"/>
  <c r="Z251" i="1" s="1"/>
  <c r="P251" i="1" a="1"/>
  <c r="P251" i="1" s="1"/>
  <c r="AC250" i="1" a="1"/>
  <c r="AC250" i="1" s="1"/>
  <c r="CK249" i="1"/>
  <c r="CQ249" i="1" s="1"/>
  <c r="S249" i="1"/>
  <c r="T249" i="1" s="1"/>
  <c r="I249" i="1"/>
  <c r="CD248" i="1"/>
  <c r="BL248" i="1"/>
  <c r="AK248" i="1"/>
  <c r="K248" i="1"/>
  <c r="AP248" i="1"/>
  <c r="BM248" i="1"/>
  <c r="V248" i="1" a="1"/>
  <c r="V248" i="1" s="1"/>
  <c r="W248" i="1" s="1"/>
  <c r="AN248" i="1"/>
  <c r="BK248" i="1"/>
  <c r="CH248" i="1"/>
  <c r="CB246" i="1"/>
  <c r="BK246" i="1"/>
  <c r="AJ246" i="1"/>
  <c r="V246" i="1" a="1"/>
  <c r="V246" i="1" s="1"/>
  <c r="W246" i="1" s="1"/>
  <c r="I246" i="1"/>
  <c r="CB245" i="1"/>
  <c r="AJ245" i="1"/>
  <c r="AC245" i="1" a="1"/>
  <c r="AC245" i="1" s="1"/>
  <c r="J245" i="1"/>
  <c r="BN244" i="1"/>
  <c r="AE244" i="1" a="1"/>
  <c r="AE244" i="1" s="1"/>
  <c r="Y244" i="1" a="1"/>
  <c r="Y244" i="1" s="1"/>
  <c r="K244" i="1"/>
  <c r="AP244" i="1"/>
  <c r="BM244" i="1"/>
  <c r="V244" i="1" a="1"/>
  <c r="V244" i="1" s="1"/>
  <c r="W244" i="1" s="1"/>
  <c r="AN244" i="1"/>
  <c r="BK244" i="1"/>
  <c r="CH244" i="1"/>
  <c r="AR243" i="1"/>
  <c r="AA243" i="1" a="1"/>
  <c r="AA243" i="1" s="1"/>
  <c r="CJ242" i="1"/>
  <c r="CP242" i="1" s="1"/>
  <c r="AA242" i="1" a="1"/>
  <c r="AA242" i="1" s="1"/>
  <c r="I242" i="1"/>
  <c r="Z242" i="1" a="1"/>
  <c r="Z242" i="1" s="1"/>
  <c r="AJ242" i="1"/>
  <c r="S242" i="1"/>
  <c r="T242" i="1" s="1"/>
  <c r="AK242" i="1"/>
  <c r="AR242" i="1"/>
  <c r="BO242" i="1"/>
  <c r="CN238" i="1"/>
  <c r="BM238" i="1"/>
  <c r="P238" i="1" a="1"/>
  <c r="P238" i="1" s="1"/>
  <c r="J238" i="1"/>
  <c r="AA238" i="1" a="1"/>
  <c r="AA238" i="1" s="1"/>
  <c r="CB238" i="1"/>
  <c r="CI238" i="1"/>
  <c r="DB238" i="1" s="1" a="1"/>
  <c r="DB238" i="1" s="1"/>
  <c r="CD237" i="1"/>
  <c r="AE237" i="1" a="1"/>
  <c r="AE237" i="1" s="1"/>
  <c r="K237" i="1"/>
  <c r="CC237" i="1"/>
  <c r="CJ237" i="1"/>
  <c r="CP237" i="1" s="1"/>
  <c r="AE230" i="1" a="1"/>
  <c r="AE230" i="1" s="1"/>
  <c r="CI230" i="1"/>
  <c r="CO230" i="1" s="1"/>
  <c r="K230" i="1"/>
  <c r="Y230" i="1" a="1"/>
  <c r="Y230" i="1" s="1"/>
  <c r="AO230" i="1"/>
  <c r="BM230" i="1"/>
  <c r="CC230" i="1"/>
  <c r="CN229" i="1"/>
  <c r="CN228" i="1"/>
  <c r="CE226" i="1"/>
  <c r="CD222" i="1"/>
  <c r="AA257" i="1" a="1"/>
  <c r="AA257" i="1" s="1"/>
  <c r="K257" i="1"/>
  <c r="AJ256" i="1"/>
  <c r="Z256" i="1" a="1"/>
  <c r="Z256" i="1" s="1"/>
  <c r="I256" i="1"/>
  <c r="AA253" i="1" a="1"/>
  <c r="AA253" i="1" s="1"/>
  <c r="CL252" i="1"/>
  <c r="CR252" i="1" s="1"/>
  <c r="CB252" i="1"/>
  <c r="AJ252" i="1"/>
  <c r="I252" i="1"/>
  <c r="CE251" i="1"/>
  <c r="BO251" i="1"/>
  <c r="N251" i="1"/>
  <c r="CE250" i="1"/>
  <c r="CL250" i="1"/>
  <c r="CR250" i="1" s="1"/>
  <c r="AA249" i="1" a="1"/>
  <c r="AA249" i="1" s="1"/>
  <c r="AJ248" i="1"/>
  <c r="AC246" i="1" a="1"/>
  <c r="AC246" i="1" s="1"/>
  <c r="S245" i="1"/>
  <c r="T245" i="1" s="1"/>
  <c r="I245" i="1"/>
  <c r="CD244" i="1"/>
  <c r="BL244" i="1"/>
  <c r="AK244" i="1"/>
  <c r="AQ243" i="1"/>
  <c r="AG243" i="1" a="1"/>
  <c r="AG243" i="1" s="1"/>
  <c r="Z243" i="1" a="1"/>
  <c r="Z243" i="1" s="1"/>
  <c r="P243" i="1" a="1"/>
  <c r="P243" i="1" s="1"/>
  <c r="CI242" i="1"/>
  <c r="Y242" i="1" a="1"/>
  <c r="Y242" i="1" s="1"/>
  <c r="L242" i="1"/>
  <c r="AR240" i="1"/>
  <c r="AR239" i="1"/>
  <c r="N239" i="1"/>
  <c r="CD238" i="1"/>
  <c r="BK238" i="1"/>
  <c r="P237" i="1" a="1"/>
  <c r="P237" i="1" s="1"/>
  <c r="Y237" i="1" a="1"/>
  <c r="Y237" i="1" s="1"/>
  <c r="AD237" i="1" a="1"/>
  <c r="AD237" i="1" s="1"/>
  <c r="AQ237" i="1"/>
  <c r="BN237" i="1"/>
  <c r="Z237" i="1" a="1"/>
  <c r="Z237" i="1" s="1"/>
  <c r="AJ237" i="1"/>
  <c r="AL237" i="1" s="1"/>
  <c r="AA237" i="1" a="1"/>
  <c r="AA237" i="1" s="1"/>
  <c r="AC236" i="1" a="1"/>
  <c r="AC236" i="1" s="1"/>
  <c r="AO236" i="1"/>
  <c r="BL236" i="1"/>
  <c r="CB236" i="1"/>
  <c r="AP236" i="1"/>
  <c r="BM236" i="1"/>
  <c r="P236" i="1" a="1"/>
  <c r="P236" i="1" s="1"/>
  <c r="Y236" i="1" a="1"/>
  <c r="Y236" i="1" s="1"/>
  <c r="AQ236" i="1"/>
  <c r="BN236" i="1"/>
  <c r="I236" i="1"/>
  <c r="Z236" i="1" a="1"/>
  <c r="Z236" i="1" s="1"/>
  <c r="AJ236" i="1"/>
  <c r="V236" i="1" a="1"/>
  <c r="V236" i="1" s="1"/>
  <c r="W236" i="1" s="1"/>
  <c r="AN236" i="1"/>
  <c r="BK236" i="1"/>
  <c r="CH236" i="1"/>
  <c r="CJ234" i="1"/>
  <c r="CP234" i="1" s="1"/>
  <c r="CF234" i="1"/>
  <c r="M234" i="1"/>
  <c r="AG234" i="1" a="1"/>
  <c r="AG234" i="1" s="1"/>
  <c r="CE234" i="1"/>
  <c r="CL234" i="1"/>
  <c r="CR234" i="1" s="1"/>
  <c r="P228" i="1" a="1"/>
  <c r="P228" i="1" s="1"/>
  <c r="AO211" i="1"/>
  <c r="Q208" i="1"/>
  <c r="K203" i="1"/>
  <c r="CI203" i="1"/>
  <c r="CO203" i="1" s="1"/>
  <c r="CJ203" i="1"/>
  <c r="CP203" i="1" s="1"/>
  <c r="CC203" i="1"/>
  <c r="AE203" i="1" a="1"/>
  <c r="AE203" i="1" s="1"/>
  <c r="AQ250" i="1"/>
  <c r="AA250" i="1" a="1"/>
  <c r="AA250" i="1" s="1"/>
  <c r="P250" i="1" a="1"/>
  <c r="P250" i="1" s="1"/>
  <c r="CH249" i="1"/>
  <c r="AQ249" i="1"/>
  <c r="CE249" i="1"/>
  <c r="CL249" i="1"/>
  <c r="CR249" i="1" s="1"/>
  <c r="CE246" i="1"/>
  <c r="CL246" i="1"/>
  <c r="CR246" i="1" s="1"/>
  <c r="AA245" i="1" a="1"/>
  <c r="AA245" i="1" s="1"/>
  <c r="AQ242" i="1"/>
  <c r="N240" i="1"/>
  <c r="AH240" i="1" a="1"/>
  <c r="AH240" i="1" s="1"/>
  <c r="CF240" i="1"/>
  <c r="AP239" i="1"/>
  <c r="V239" i="1" a="1"/>
  <c r="V239" i="1" s="1"/>
  <c r="W239" i="1" s="1"/>
  <c r="N235" i="1"/>
  <c r="AP235" i="1"/>
  <c r="BM235" i="1"/>
  <c r="AH235" i="1" a="1"/>
  <c r="AH235" i="1" s="1"/>
  <c r="AF234" i="1" a="1"/>
  <c r="AF234" i="1" s="1"/>
  <c r="L234" i="1"/>
  <c r="V234" i="1" a="1"/>
  <c r="V234" i="1" s="1"/>
  <c r="W234" i="1" s="1"/>
  <c r="AN234" i="1"/>
  <c r="BK234" i="1"/>
  <c r="N232" i="1"/>
  <c r="AO232" i="1"/>
  <c r="BL232" i="1"/>
  <c r="Y232" i="1" a="1"/>
  <c r="Y232" i="1" s="1"/>
  <c r="AH232" i="1" a="1"/>
  <c r="AH232" i="1" s="1"/>
  <c r="AQ232" i="1"/>
  <c r="BN232" i="1"/>
  <c r="P232" i="1" a="1"/>
  <c r="P232" i="1" s="1"/>
  <c r="AR232" i="1"/>
  <c r="BO232" i="1"/>
  <c r="CL232" i="1"/>
  <c r="CR232" i="1" s="1"/>
  <c r="CF232" i="1"/>
  <c r="CJ226" i="1"/>
  <c r="CP226" i="1" s="1"/>
  <c r="L226" i="1"/>
  <c r="CK226" i="1"/>
  <c r="CQ226" i="1" s="1"/>
  <c r="AF226" i="1" a="1"/>
  <c r="AF226" i="1" s="1"/>
  <c r="CD226" i="1"/>
  <c r="S223" i="1"/>
  <c r="T223" i="1" s="1"/>
  <c r="AK223" i="1"/>
  <c r="K223" i="1"/>
  <c r="AA223" i="1" a="1"/>
  <c r="AA223" i="1" s="1"/>
  <c r="AO223" i="1"/>
  <c r="BO223" i="1"/>
  <c r="AP223" i="1"/>
  <c r="AE223" i="1" a="1"/>
  <c r="AE223" i="1" s="1"/>
  <c r="AQ223" i="1"/>
  <c r="CI223" i="1"/>
  <c r="CO223" i="1" s="1"/>
  <c r="Y223" i="1" a="1"/>
  <c r="Y223" i="1" s="1"/>
  <c r="AR223" i="1"/>
  <c r="CJ223" i="1"/>
  <c r="CP223" i="1" s="1"/>
  <c r="Z223" i="1" a="1"/>
  <c r="Z223" i="1" s="1"/>
  <c r="BL223" i="1"/>
  <c r="AJ223" i="1"/>
  <c r="BN223" i="1"/>
  <c r="CD223" i="1"/>
  <c r="AF222" i="1" a="1"/>
  <c r="AF222" i="1" s="1"/>
  <c r="L222" i="1"/>
  <c r="CJ222" i="1"/>
  <c r="CP222" i="1" s="1"/>
  <c r="CK222" i="1"/>
  <c r="CQ222" i="1" s="1"/>
  <c r="P222" i="1" a="1"/>
  <c r="P222" i="1" s="1"/>
  <c r="BL222" i="1"/>
  <c r="AJ257" i="1"/>
  <c r="Z257" i="1" a="1"/>
  <c r="Z257" i="1" s="1"/>
  <c r="BN256" i="1"/>
  <c r="AQ256" i="1"/>
  <c r="Y256" i="1" a="1"/>
  <c r="Y256" i="1" s="1"/>
  <c r="AG255" i="1" a="1"/>
  <c r="AG255" i="1" s="1"/>
  <c r="AO253" i="1"/>
  <c r="Z253" i="1" a="1"/>
  <c r="Z253" i="1" s="1"/>
  <c r="AH252" i="1" a="1"/>
  <c r="AH252" i="1" s="1"/>
  <c r="AA252" i="1" a="1"/>
  <c r="AA252" i="1" s="1"/>
  <c r="CC251" i="1"/>
  <c r="BM251" i="1"/>
  <c r="V251" i="1" a="1"/>
  <c r="V251" i="1" s="1"/>
  <c r="W251" i="1" s="1"/>
  <c r="AN251" i="1"/>
  <c r="BK251" i="1"/>
  <c r="CH251" i="1"/>
  <c r="S251" i="1"/>
  <c r="T251" i="1" s="1"/>
  <c r="AK251" i="1"/>
  <c r="AP250" i="1"/>
  <c r="Z250" i="1" a="1"/>
  <c r="Z250" i="1" s="1"/>
  <c r="AO249" i="1"/>
  <c r="Z249" i="1" a="1"/>
  <c r="Z249" i="1" s="1"/>
  <c r="CI248" i="1"/>
  <c r="CO248" i="1" s="1"/>
  <c r="AA248" i="1" a="1"/>
  <c r="AA248" i="1" s="1"/>
  <c r="CD247" i="1"/>
  <c r="CH246" i="1"/>
  <c r="AQ246" i="1"/>
  <c r="AG246" i="1" a="1"/>
  <c r="AG246" i="1" s="1"/>
  <c r="AA246" i="1" a="1"/>
  <c r="AA246" i="1" s="1"/>
  <c r="P246" i="1" a="1"/>
  <c r="P246" i="1" s="1"/>
  <c r="AQ245" i="1"/>
  <c r="P245" i="1" a="1"/>
  <c r="P245" i="1" s="1"/>
  <c r="CE245" i="1"/>
  <c r="CL245" i="1"/>
  <c r="CR245" i="1" s="1"/>
  <c r="AC244" i="1" a="1"/>
  <c r="AC244" i="1" s="1"/>
  <c r="S244" i="1"/>
  <c r="T244" i="1" s="1"/>
  <c r="CD243" i="1"/>
  <c r="BN243" i="1"/>
  <c r="AO243" i="1"/>
  <c r="AE243" i="1" a="1"/>
  <c r="AE243" i="1" s="1"/>
  <c r="V243" i="1" a="1"/>
  <c r="V243" i="1" s="1"/>
  <c r="W243" i="1" s="1"/>
  <c r="AN243" i="1"/>
  <c r="BK243" i="1"/>
  <c r="CH243" i="1"/>
  <c r="S243" i="1"/>
  <c r="T243" i="1" s="1"/>
  <c r="AK243" i="1"/>
  <c r="AL243" i="1" s="1"/>
  <c r="AP242" i="1"/>
  <c r="CD241" i="1"/>
  <c r="K241" i="1"/>
  <c r="CC241" i="1"/>
  <c r="CJ241" i="1"/>
  <c r="CP241" i="1" s="1"/>
  <c r="AK240" i="1"/>
  <c r="CL239" i="1"/>
  <c r="CR239" i="1" s="1"/>
  <c r="AJ239" i="1"/>
  <c r="AQ238" i="1"/>
  <c r="AN237" i="1"/>
  <c r="J237" i="1"/>
  <c r="AR236" i="1"/>
  <c r="AA236" i="1" a="1"/>
  <c r="AA236" i="1" s="1"/>
  <c r="Z235" i="1" a="1"/>
  <c r="Z235" i="1" s="1"/>
  <c r="CD234" i="1"/>
  <c r="Y234" i="1" a="1"/>
  <c r="Y234" i="1" s="1"/>
  <c r="CD233" i="1"/>
  <c r="AE233" i="1" a="1"/>
  <c r="AE233" i="1" s="1"/>
  <c r="K233" i="1"/>
  <c r="CC233" i="1"/>
  <c r="CJ233" i="1"/>
  <c r="CP233" i="1" s="1"/>
  <c r="AK232" i="1"/>
  <c r="P230" i="1" a="1"/>
  <c r="P230" i="1" s="1"/>
  <c r="AL227" i="1"/>
  <c r="AE226" i="1" a="1"/>
  <c r="AE226" i="1" s="1"/>
  <c r="CI226" i="1"/>
  <c r="CO226" i="1" s="1"/>
  <c r="K226" i="1"/>
  <c r="Y226" i="1" a="1"/>
  <c r="Y226" i="1" s="1"/>
  <c r="AO226" i="1"/>
  <c r="BM226" i="1"/>
  <c r="CC226" i="1"/>
  <c r="P223" i="1" a="1"/>
  <c r="P223" i="1" s="1"/>
  <c r="AA212" i="1" a="1"/>
  <c r="AA212" i="1" s="1"/>
  <c r="M212" i="1"/>
  <c r="AG212" i="1" a="1"/>
  <c r="AG212" i="1" s="1"/>
  <c r="AJ212" i="1"/>
  <c r="Z212" i="1" a="1"/>
  <c r="Z212" i="1" s="1"/>
  <c r="AQ212" i="1"/>
  <c r="AR212" i="1"/>
  <c r="CE212" i="1"/>
  <c r="P212" i="1" a="1"/>
  <c r="P212" i="1" s="1"/>
  <c r="BN212" i="1"/>
  <c r="CF212" i="1"/>
  <c r="BO212" i="1"/>
  <c r="CK212" i="1"/>
  <c r="CQ212" i="1" s="1"/>
  <c r="Y212" i="1" a="1"/>
  <c r="Y212" i="1" s="1"/>
  <c r="BM241" i="1"/>
  <c r="AP241" i="1"/>
  <c r="AK239" i="1"/>
  <c r="S239" i="1"/>
  <c r="T239" i="1" s="1"/>
  <c r="BO238" i="1"/>
  <c r="AR238" i="1"/>
  <c r="BM237" i="1"/>
  <c r="AP237" i="1"/>
  <c r="AK235" i="1"/>
  <c r="AL235" i="1" s="1"/>
  <c r="S235" i="1"/>
  <c r="T235" i="1" s="1"/>
  <c r="BO234" i="1"/>
  <c r="AR234" i="1"/>
  <c r="BM233" i="1"/>
  <c r="AP233" i="1"/>
  <c r="CH232" i="1"/>
  <c r="BK232" i="1"/>
  <c r="AN232" i="1"/>
  <c r="AK231" i="1"/>
  <c r="AL231" i="1" s="1"/>
  <c r="Y231" i="1" a="1"/>
  <c r="Y231" i="1" s="1"/>
  <c r="M231" i="1"/>
  <c r="V231" i="1" a="1"/>
  <c r="V231" i="1" s="1"/>
  <c r="W231" i="1" s="1"/>
  <c r="CH230" i="1"/>
  <c r="AH230" i="1" a="1"/>
  <c r="AH230" i="1" s="1"/>
  <c r="AC230" i="1" a="1"/>
  <c r="AC230" i="1" s="1"/>
  <c r="S229" i="1"/>
  <c r="T229" i="1" s="1"/>
  <c r="S228" i="1"/>
  <c r="T228" i="1" s="1"/>
  <c r="CD227" i="1"/>
  <c r="BN227" i="1"/>
  <c r="AO227" i="1"/>
  <c r="Y227" i="1" a="1"/>
  <c r="Y227" i="1" s="1"/>
  <c r="M227" i="1"/>
  <c r="V227" i="1" a="1"/>
  <c r="V227" i="1" s="1"/>
  <c r="W227" i="1" s="1"/>
  <c r="CH226" i="1"/>
  <c r="AH226" i="1" a="1"/>
  <c r="AH226" i="1" s="1"/>
  <c r="AC226" i="1" a="1"/>
  <c r="AC226" i="1" s="1"/>
  <c r="CI225" i="1"/>
  <c r="CO225" i="1" s="1"/>
  <c r="V224" i="1" a="1"/>
  <c r="V224" i="1" s="1"/>
  <c r="W224" i="1" s="1"/>
  <c r="AN224" i="1"/>
  <c r="BK224" i="1"/>
  <c r="CH224" i="1"/>
  <c r="AC224" i="1" a="1"/>
  <c r="AC224" i="1" s="1"/>
  <c r="AO224" i="1"/>
  <c r="BL224" i="1"/>
  <c r="AP224" i="1"/>
  <c r="BM224" i="1"/>
  <c r="AF223" i="1" a="1"/>
  <c r="AF223" i="1" s="1"/>
  <c r="L223" i="1"/>
  <c r="BN222" i="1"/>
  <c r="AO222" i="1"/>
  <c r="AD222" i="1" a="1"/>
  <c r="AD222" i="1" s="1"/>
  <c r="V222" i="1" a="1"/>
  <c r="V222" i="1" s="1"/>
  <c r="W222" i="1" s="1"/>
  <c r="CE222" i="1"/>
  <c r="CL222" i="1"/>
  <c r="CR222" i="1" s="1"/>
  <c r="BN220" i="1"/>
  <c r="BN219" i="1"/>
  <c r="Y219" i="1" a="1"/>
  <c r="Y219" i="1" s="1"/>
  <c r="BK218" i="1"/>
  <c r="CF218" i="1"/>
  <c r="CE216" i="1"/>
  <c r="CD215" i="1"/>
  <c r="BM215" i="1"/>
  <c r="AG215" i="1" a="1"/>
  <c r="AG215" i="1" s="1"/>
  <c r="CB214" i="1"/>
  <c r="AC214" i="1" a="1"/>
  <c r="AC214" i="1" s="1"/>
  <c r="S213" i="1"/>
  <c r="T213" i="1" s="1"/>
  <c r="AF211" i="1" a="1"/>
  <c r="AF211" i="1" s="1"/>
  <c r="L211" i="1"/>
  <c r="AP210" i="1"/>
  <c r="BM210" i="1"/>
  <c r="P210" i="1" a="1"/>
  <c r="P210" i="1" s="1"/>
  <c r="Y210" i="1" a="1"/>
  <c r="Y210" i="1" s="1"/>
  <c r="AQ210" i="1"/>
  <c r="BN210" i="1"/>
  <c r="AR210" i="1"/>
  <c r="BO210" i="1"/>
  <c r="I210" i="1"/>
  <c r="Z210" i="1" a="1"/>
  <c r="Z210" i="1" s="1"/>
  <c r="AJ210" i="1"/>
  <c r="S210" i="1"/>
  <c r="T210" i="1" s="1"/>
  <c r="AK210" i="1"/>
  <c r="AC210" i="1" a="1"/>
  <c r="AC210" i="1" s="1"/>
  <c r="AO210" i="1"/>
  <c r="BL210" i="1"/>
  <c r="AR207" i="1"/>
  <c r="BO207" i="1"/>
  <c r="Z207" i="1" a="1"/>
  <c r="Z207" i="1" s="1"/>
  <c r="AE207" i="1" a="1"/>
  <c r="AE207" i="1" s="1"/>
  <c r="AJ207" i="1"/>
  <c r="S207" i="1"/>
  <c r="T207" i="1" s="1"/>
  <c r="AK207" i="1"/>
  <c r="K207" i="1"/>
  <c r="AA207" i="1" a="1"/>
  <c r="AA207" i="1" s="1"/>
  <c r="P207" i="1" a="1"/>
  <c r="P207" i="1" s="1"/>
  <c r="Y207" i="1" a="1"/>
  <c r="Y207" i="1" s="1"/>
  <c r="AQ207" i="1"/>
  <c r="BN207" i="1"/>
  <c r="AP203" i="1"/>
  <c r="BO199" i="1"/>
  <c r="M220" i="1"/>
  <c r="AG220" i="1" a="1"/>
  <c r="AG220" i="1" s="1"/>
  <c r="CE219" i="1"/>
  <c r="CL219" i="1"/>
  <c r="CR219" i="1" s="1"/>
  <c r="AA203" i="1" a="1"/>
  <c r="AA203" i="1" s="1"/>
  <c r="P203" i="1" a="1"/>
  <c r="P203" i="1" s="1"/>
  <c r="Y203" i="1" a="1"/>
  <c r="Y203" i="1" s="1"/>
  <c r="AD203" i="1" a="1"/>
  <c r="AD203" i="1" s="1"/>
  <c r="AQ203" i="1"/>
  <c r="BN203" i="1"/>
  <c r="S203" i="1"/>
  <c r="T203" i="1" s="1"/>
  <c r="V203" i="1" a="1"/>
  <c r="V203" i="1" s="1"/>
  <c r="W203" i="1" s="1"/>
  <c r="AJ203" i="1"/>
  <c r="BK203" i="1"/>
  <c r="CB203" i="1"/>
  <c r="J203" i="1"/>
  <c r="AK203" i="1"/>
  <c r="BL203" i="1"/>
  <c r="AN203" i="1"/>
  <c r="BM203" i="1"/>
  <c r="AR203" i="1"/>
  <c r="CH203" i="1"/>
  <c r="M202" i="1"/>
  <c r="AG202" i="1" a="1"/>
  <c r="AG202" i="1" s="1"/>
  <c r="CK202" i="1"/>
  <c r="CQ202" i="1" s="1"/>
  <c r="CL202" i="1"/>
  <c r="CR202" i="1" s="1"/>
  <c r="CE202" i="1"/>
  <c r="AA202" i="1" a="1"/>
  <c r="AA202" i="1" s="1"/>
  <c r="AR202" i="1"/>
  <c r="AQ239" i="1"/>
  <c r="Y239" i="1" a="1"/>
  <c r="Y239" i="1" s="1"/>
  <c r="P239" i="1" a="1"/>
  <c r="P239" i="1" s="1"/>
  <c r="BL238" i="1"/>
  <c r="AO238" i="1"/>
  <c r="AC238" i="1" a="1"/>
  <c r="AC238" i="1" s="1"/>
  <c r="AE236" i="1" a="1"/>
  <c r="AE236" i="1" s="1"/>
  <c r="CK235" i="1"/>
  <c r="CQ235" i="1" s="1"/>
  <c r="CD235" i="1"/>
  <c r="BN235" i="1"/>
  <c r="AQ235" i="1"/>
  <c r="Y235" i="1" a="1"/>
  <c r="Y235" i="1" s="1"/>
  <c r="P235" i="1" a="1"/>
  <c r="P235" i="1" s="1"/>
  <c r="CI234" i="1"/>
  <c r="CB234" i="1"/>
  <c r="BL234" i="1"/>
  <c r="AO234" i="1"/>
  <c r="AC234" i="1" a="1"/>
  <c r="AC234" i="1" s="1"/>
  <c r="AJ232" i="1"/>
  <c r="AE232" i="1" a="1"/>
  <c r="AE232" i="1" s="1"/>
  <c r="Z232" i="1" a="1"/>
  <c r="Z232" i="1" s="1"/>
  <c r="CF231" i="1"/>
  <c r="AR231" i="1"/>
  <c r="S231" i="1"/>
  <c r="T231" i="1" s="1"/>
  <c r="BN230" i="1"/>
  <c r="N230" i="1"/>
  <c r="BM229" i="1"/>
  <c r="AN229" i="1"/>
  <c r="AQ228" i="1"/>
  <c r="Z228" i="1" a="1"/>
  <c r="Z228" i="1" s="1"/>
  <c r="CC228" i="1"/>
  <c r="CJ227" i="1"/>
  <c r="CP227" i="1" s="1"/>
  <c r="BN226" i="1"/>
  <c r="N226" i="1"/>
  <c r="CK223" i="1"/>
  <c r="CQ223" i="1" s="1"/>
  <c r="M223" i="1"/>
  <c r="V223" i="1" a="1"/>
  <c r="V223" i="1" s="1"/>
  <c r="W223" i="1" s="1"/>
  <c r="CB222" i="1"/>
  <c r="AO221" i="1"/>
  <c r="AR220" i="1"/>
  <c r="AF219" i="1" a="1"/>
  <c r="AF219" i="1" s="1"/>
  <c r="L219" i="1"/>
  <c r="AQ218" i="1"/>
  <c r="AD218" i="1" a="1"/>
  <c r="AD218" i="1" s="1"/>
  <c r="P218" i="1" a="1"/>
  <c r="P218" i="1" s="1"/>
  <c r="CC218" i="1"/>
  <c r="CJ218" i="1"/>
  <c r="CP218" i="1" s="1"/>
  <c r="AE218" i="1" a="1"/>
  <c r="AE218" i="1" s="1"/>
  <c r="AJ216" i="1"/>
  <c r="AQ215" i="1"/>
  <c r="V211" i="1" a="1"/>
  <c r="V211" i="1" s="1"/>
  <c r="W211" i="1" s="1"/>
  <c r="CK208" i="1"/>
  <c r="CQ208" i="1" s="1"/>
  <c r="BO208" i="1"/>
  <c r="S208" i="1"/>
  <c r="T208" i="1" s="1"/>
  <c r="AD205" i="1" a="1"/>
  <c r="AD205" i="1" s="1"/>
  <c r="CI205" i="1"/>
  <c r="CO205" i="1" s="1"/>
  <c r="CB205" i="1"/>
  <c r="J205" i="1"/>
  <c r="CH205" i="1"/>
  <c r="V202" i="1" a="1"/>
  <c r="V202" i="1" s="1"/>
  <c r="W202" i="1" s="1"/>
  <c r="CD175" i="1"/>
  <c r="AE175" i="1" a="1"/>
  <c r="AE175" i="1" s="1"/>
  <c r="K175" i="1"/>
  <c r="CC175" i="1"/>
  <c r="CJ175" i="1"/>
  <c r="CP175" i="1" s="1"/>
  <c r="AN175" i="1"/>
  <c r="V175" i="1" a="1"/>
  <c r="V175" i="1" s="1"/>
  <c r="W175" i="1" s="1"/>
  <c r="AO175" i="1"/>
  <c r="BL175" i="1"/>
  <c r="CI175" i="1"/>
  <c r="CO175" i="1" s="1"/>
  <c r="BK175" i="1"/>
  <c r="I230" i="1"/>
  <c r="Z230" i="1" a="1"/>
  <c r="Z230" i="1" s="1"/>
  <c r="AJ230" i="1"/>
  <c r="S230" i="1"/>
  <c r="T230" i="1" s="1"/>
  <c r="AK230" i="1"/>
  <c r="CB228" i="1"/>
  <c r="CI228" i="1"/>
  <c r="I226" i="1"/>
  <c r="Z226" i="1" a="1"/>
  <c r="Z226" i="1" s="1"/>
  <c r="AJ226" i="1"/>
  <c r="S226" i="1"/>
  <c r="T226" i="1" s="1"/>
  <c r="AK226" i="1"/>
  <c r="M224" i="1"/>
  <c r="AG224" i="1" a="1"/>
  <c r="AG224" i="1" s="1"/>
  <c r="AA222" i="1" a="1"/>
  <c r="AA222" i="1" s="1"/>
  <c r="AR222" i="1"/>
  <c r="BO222" i="1"/>
  <c r="I222" i="1"/>
  <c r="Z222" i="1" a="1"/>
  <c r="Z222" i="1" s="1"/>
  <c r="AJ222" i="1"/>
  <c r="S222" i="1"/>
  <c r="T222" i="1" s="1"/>
  <c r="AK222" i="1"/>
  <c r="AQ220" i="1"/>
  <c r="P220" i="1" a="1"/>
  <c r="P220" i="1" s="1"/>
  <c r="AQ219" i="1"/>
  <c r="P219" i="1" a="1"/>
  <c r="P219" i="1" s="1"/>
  <c r="AR219" i="1"/>
  <c r="BO219" i="1"/>
  <c r="S219" i="1"/>
  <c r="T219" i="1" s="1"/>
  <c r="AK219" i="1"/>
  <c r="K219" i="1"/>
  <c r="AA219" i="1" a="1"/>
  <c r="AA219" i="1" s="1"/>
  <c r="AO218" i="1"/>
  <c r="Y215" i="1" a="1"/>
  <c r="Y215" i="1" s="1"/>
  <c r="CN210" i="1"/>
  <c r="P205" i="1" a="1"/>
  <c r="P205" i="1" s="1"/>
  <c r="Y205" i="1" a="1"/>
  <c r="Y205" i="1" s="1"/>
  <c r="AQ205" i="1"/>
  <c r="BN205" i="1"/>
  <c r="AK205" i="1"/>
  <c r="Z205" i="1" a="1"/>
  <c r="Z205" i="1" s="1"/>
  <c r="BK205" i="1"/>
  <c r="AN205" i="1"/>
  <c r="BL205" i="1"/>
  <c r="I205" i="1"/>
  <c r="S205" i="1"/>
  <c r="T205" i="1" s="1"/>
  <c r="AA205" i="1" a="1"/>
  <c r="AA205" i="1" s="1"/>
  <c r="AO205" i="1"/>
  <c r="BM205" i="1"/>
  <c r="AP205" i="1"/>
  <c r="BO205" i="1"/>
  <c r="AJ205" i="1"/>
  <c r="BL235" i="1"/>
  <c r="AO235" i="1"/>
  <c r="AA234" i="1" a="1"/>
  <c r="AA234" i="1" s="1"/>
  <c r="CL231" i="1"/>
  <c r="CR231" i="1" s="1"/>
  <c r="BN231" i="1"/>
  <c r="AP231" i="1"/>
  <c r="AG231" i="1" a="1"/>
  <c r="AG231" i="1" s="1"/>
  <c r="CB230" i="1"/>
  <c r="BL230" i="1"/>
  <c r="AN230" i="1"/>
  <c r="CC229" i="1"/>
  <c r="BK229" i="1"/>
  <c r="AK229" i="1"/>
  <c r="P229" i="1" a="1"/>
  <c r="P229" i="1" s="1"/>
  <c r="Y229" i="1" a="1"/>
  <c r="Y229" i="1" s="1"/>
  <c r="AQ229" i="1"/>
  <c r="BN229" i="1"/>
  <c r="AR229" i="1"/>
  <c r="BO229" i="1"/>
  <c r="BN228" i="1"/>
  <c r="Y228" i="1" a="1"/>
  <c r="Y228" i="1" s="1"/>
  <c r="AC228" i="1" a="1"/>
  <c r="AC228" i="1" s="1"/>
  <c r="AO228" i="1"/>
  <c r="BL228" i="1"/>
  <c r="AP228" i="1"/>
  <c r="BM228" i="1"/>
  <c r="AR227" i="1"/>
  <c r="AF227" i="1" a="1"/>
  <c r="AF227" i="1" s="1"/>
  <c r="L227" i="1"/>
  <c r="CB226" i="1"/>
  <c r="BL226" i="1"/>
  <c r="AN226" i="1"/>
  <c r="CF224" i="1"/>
  <c r="BN224" i="1"/>
  <c r="AJ224" i="1"/>
  <c r="AL224" i="1" s="1"/>
  <c r="AA224" i="1" a="1"/>
  <c r="AA224" i="1" s="1"/>
  <c r="Y222" i="1" a="1"/>
  <c r="Y222" i="1" s="1"/>
  <c r="CC221" i="1"/>
  <c r="CJ221" i="1"/>
  <c r="CP221" i="1" s="1"/>
  <c r="AA220" i="1" a="1"/>
  <c r="AA220" i="1" s="1"/>
  <c r="CK219" i="1"/>
  <c r="CQ219" i="1" s="1"/>
  <c r="AP219" i="1"/>
  <c r="AP218" i="1"/>
  <c r="BM218" i="1"/>
  <c r="AR218" i="1"/>
  <c r="BO218" i="1"/>
  <c r="I218" i="1"/>
  <c r="Z218" i="1" a="1"/>
  <c r="Z218" i="1" s="1"/>
  <c r="AJ218" i="1"/>
  <c r="S218" i="1"/>
  <c r="T218" i="1" s="1"/>
  <c r="AK218" i="1"/>
  <c r="AA216" i="1" a="1"/>
  <c r="AA216" i="1" s="1"/>
  <c r="M216" i="1"/>
  <c r="AG216" i="1" a="1"/>
  <c r="AG216" i="1" s="1"/>
  <c r="CE215" i="1"/>
  <c r="CL215" i="1"/>
  <c r="CR215" i="1" s="1"/>
  <c r="CF215" i="1"/>
  <c r="CC214" i="1"/>
  <c r="CJ214" i="1"/>
  <c r="CP214" i="1" s="1"/>
  <c r="CD214" i="1"/>
  <c r="AE214" i="1" a="1"/>
  <c r="AE214" i="1" s="1"/>
  <c r="V213" i="1" a="1"/>
  <c r="V213" i="1" s="1"/>
  <c r="W213" i="1" s="1"/>
  <c r="AN213" i="1"/>
  <c r="BK213" i="1"/>
  <c r="CH213" i="1"/>
  <c r="AC213" i="1" a="1"/>
  <c r="AC213" i="1" s="1"/>
  <c r="AO213" i="1"/>
  <c r="BL213" i="1"/>
  <c r="CB213" i="1"/>
  <c r="AP213" i="1"/>
  <c r="BM213" i="1"/>
  <c r="P213" i="1" a="1"/>
  <c r="P213" i="1" s="1"/>
  <c r="Y213" i="1" a="1"/>
  <c r="Y213" i="1" s="1"/>
  <c r="AQ213" i="1"/>
  <c r="BN213" i="1"/>
  <c r="AR213" i="1"/>
  <c r="BO213" i="1"/>
  <c r="S212" i="1"/>
  <c r="T212" i="1" s="1"/>
  <c r="CN206" i="1"/>
  <c r="AP206" i="1"/>
  <c r="S202" i="1"/>
  <c r="T202" i="1" s="1"/>
  <c r="P202" i="1" a="1"/>
  <c r="P202" i="1" s="1"/>
  <c r="CL241" i="1"/>
  <c r="CR241" i="1" s="1"/>
  <c r="BO241" i="1"/>
  <c r="AR241" i="1"/>
  <c r="CJ240" i="1"/>
  <c r="CP240" i="1" s="1"/>
  <c r="CH239" i="1"/>
  <c r="BK239" i="1"/>
  <c r="AN239" i="1"/>
  <c r="AK238" i="1"/>
  <c r="S238" i="1"/>
  <c r="T238" i="1" s="1"/>
  <c r="CL237" i="1"/>
  <c r="CR237" i="1" s="1"/>
  <c r="BO237" i="1"/>
  <c r="CJ236" i="1"/>
  <c r="CP236" i="1" s="1"/>
  <c r="CH235" i="1"/>
  <c r="BK235" i="1"/>
  <c r="AN235" i="1"/>
  <c r="L235" i="1"/>
  <c r="AK234" i="1"/>
  <c r="AL234" i="1" s="1"/>
  <c r="S234" i="1"/>
  <c r="T234" i="1" s="1"/>
  <c r="J234" i="1"/>
  <c r="CL233" i="1"/>
  <c r="CR233" i="1" s="1"/>
  <c r="BO233" i="1"/>
  <c r="CJ232" i="1"/>
  <c r="CP232" i="1" s="1"/>
  <c r="CC232" i="1"/>
  <c r="BM232" i="1"/>
  <c r="BM231" i="1"/>
  <c r="AO231" i="1"/>
  <c r="AF231" i="1" a="1"/>
  <c r="AF231" i="1" s="1"/>
  <c r="Z231" i="1" a="1"/>
  <c r="Z231" i="1" s="1"/>
  <c r="P231" i="1" a="1"/>
  <c r="P231" i="1" s="1"/>
  <c r="K231" i="1"/>
  <c r="AA231" i="1" a="1"/>
  <c r="AA231" i="1" s="1"/>
  <c r="BK230" i="1"/>
  <c r="AD230" i="1" a="1"/>
  <c r="AD230" i="1" s="1"/>
  <c r="CB229" i="1"/>
  <c r="AJ229" i="1"/>
  <c r="V229" i="1" a="1"/>
  <c r="V229" i="1" s="1"/>
  <c r="W229" i="1" s="1"/>
  <c r="J229" i="1"/>
  <c r="BK228" i="1"/>
  <c r="AK228" i="1"/>
  <c r="V228" i="1" a="1"/>
  <c r="V228" i="1" s="1"/>
  <c r="W228" i="1" s="1"/>
  <c r="J228" i="1"/>
  <c r="AQ227" i="1"/>
  <c r="AG227" i="1" a="1"/>
  <c r="AG227" i="1" s="1"/>
  <c r="Z227" i="1" a="1"/>
  <c r="Z227" i="1" s="1"/>
  <c r="P227" i="1" a="1"/>
  <c r="P227" i="1" s="1"/>
  <c r="K227" i="1"/>
  <c r="AA227" i="1" a="1"/>
  <c r="AA227" i="1" s="1"/>
  <c r="BK226" i="1"/>
  <c r="AD226" i="1" a="1"/>
  <c r="AD226" i="1" s="1"/>
  <c r="CB225" i="1"/>
  <c r="CD225" i="1"/>
  <c r="CE224" i="1"/>
  <c r="P224" i="1" a="1"/>
  <c r="P224" i="1" s="1"/>
  <c r="CI222" i="1"/>
  <c r="CO222" i="1" s="1"/>
  <c r="AQ222" i="1"/>
  <c r="K222" i="1"/>
  <c r="BL221" i="1"/>
  <c r="CK220" i="1"/>
  <c r="CQ220" i="1" s="1"/>
  <c r="AJ220" i="1"/>
  <c r="Z220" i="1" a="1"/>
  <c r="Z220" i="1" s="1"/>
  <c r="S220" i="1"/>
  <c r="T220" i="1" s="1"/>
  <c r="AK220" i="1"/>
  <c r="V220" i="1" a="1"/>
  <c r="V220" i="1" s="1"/>
  <c r="W220" i="1" s="1"/>
  <c r="AN220" i="1"/>
  <c r="BK220" i="1"/>
  <c r="CH220" i="1"/>
  <c r="AC220" i="1" a="1"/>
  <c r="AC220" i="1" s="1"/>
  <c r="AO220" i="1"/>
  <c r="BL220" i="1"/>
  <c r="AP220" i="1"/>
  <c r="BM220" i="1"/>
  <c r="CJ219" i="1"/>
  <c r="CP219" i="1" s="1"/>
  <c r="AO219" i="1"/>
  <c r="M219" i="1"/>
  <c r="V219" i="1" a="1"/>
  <c r="V219" i="1" s="1"/>
  <c r="W219" i="1" s="1"/>
  <c r="CH218" i="1"/>
  <c r="BN218" i="1"/>
  <c r="AA218" i="1" a="1"/>
  <c r="AA218" i="1" s="1"/>
  <c r="CK216" i="1"/>
  <c r="CQ216" i="1" s="1"/>
  <c r="BO216" i="1"/>
  <c r="AF215" i="1" a="1"/>
  <c r="AF215" i="1" s="1"/>
  <c r="L215" i="1"/>
  <c r="CH214" i="1"/>
  <c r="AD214" i="1" a="1"/>
  <c r="AD214" i="1" s="1"/>
  <c r="J214" i="1"/>
  <c r="AJ213" i="1"/>
  <c r="Z213" i="1" a="1"/>
  <c r="Z213" i="1" s="1"/>
  <c r="CC210" i="1"/>
  <c r="N208" i="1"/>
  <c r="CF208" i="1"/>
  <c r="CC207" i="1"/>
  <c r="CE207" i="1"/>
  <c r="Y206" i="1" a="1"/>
  <c r="Y206" i="1" s="1"/>
  <c r="BO203" i="1"/>
  <c r="BN241" i="1"/>
  <c r="AQ241" i="1"/>
  <c r="Y241" i="1" a="1"/>
  <c r="Y241" i="1" s="1"/>
  <c r="AG240" i="1" a="1"/>
  <c r="AG240" i="1" s="1"/>
  <c r="AA239" i="1" a="1"/>
  <c r="AA239" i="1" s="1"/>
  <c r="AJ238" i="1"/>
  <c r="Z238" i="1" a="1"/>
  <c r="Z238" i="1" s="1"/>
  <c r="AG236" i="1" a="1"/>
  <c r="AG236" i="1" s="1"/>
  <c r="AA235" i="1" a="1"/>
  <c r="AA235" i="1" s="1"/>
  <c r="Z234" i="1" a="1"/>
  <c r="Z234" i="1" s="1"/>
  <c r="V232" i="1" a="1"/>
  <c r="V232" i="1" s="1"/>
  <c r="W232" i="1" s="1"/>
  <c r="CJ231" i="1"/>
  <c r="CP231" i="1" s="1"/>
  <c r="BL231" i="1"/>
  <c r="V230" i="1" a="1"/>
  <c r="V230" i="1" s="1"/>
  <c r="W230" i="1" s="1"/>
  <c r="AC229" i="1" a="1"/>
  <c r="AC229" i="1" s="1"/>
  <c r="I229" i="1"/>
  <c r="AJ228" i="1"/>
  <c r="AD228" i="1" a="1"/>
  <c r="AD228" i="1" s="1"/>
  <c r="CE227" i="1"/>
  <c r="BO227" i="1"/>
  <c r="V226" i="1" a="1"/>
  <c r="V226" i="1" s="1"/>
  <c r="W226" i="1" s="1"/>
  <c r="Z224" i="1" a="1"/>
  <c r="Z224" i="1" s="1"/>
  <c r="CH222" i="1"/>
  <c r="AP222" i="1"/>
  <c r="Z221" i="1" a="1"/>
  <c r="Z221" i="1" s="1"/>
  <c r="K221" i="1"/>
  <c r="V221" i="1" a="1"/>
  <c r="V221" i="1" s="1"/>
  <c r="W221" i="1" s="1"/>
  <c r="AN221" i="1"/>
  <c r="AP221" i="1"/>
  <c r="BM221" i="1"/>
  <c r="P221" i="1" a="1"/>
  <c r="P221" i="1" s="1"/>
  <c r="Y221" i="1" a="1"/>
  <c r="Y221" i="1" s="1"/>
  <c r="AQ221" i="1"/>
  <c r="BN221" i="1"/>
  <c r="AR221" i="1"/>
  <c r="BO221" i="1"/>
  <c r="BO220" i="1"/>
  <c r="AJ219" i="1"/>
  <c r="Z219" i="1" a="1"/>
  <c r="Z219" i="1" s="1"/>
  <c r="BL218" i="1"/>
  <c r="Y218" i="1" a="1"/>
  <c r="Y218" i="1" s="1"/>
  <c r="CF216" i="1"/>
  <c r="BN216" i="1"/>
  <c r="P216" i="1" a="1"/>
  <c r="P216" i="1" s="1"/>
  <c r="BN215" i="1"/>
  <c r="P215" i="1" a="1"/>
  <c r="P215" i="1" s="1"/>
  <c r="AR215" i="1"/>
  <c r="BO215" i="1"/>
  <c r="Z215" i="1" a="1"/>
  <c r="Z215" i="1" s="1"/>
  <c r="AE215" i="1" a="1"/>
  <c r="AE215" i="1" s="1"/>
  <c r="AJ215" i="1"/>
  <c r="S215" i="1"/>
  <c r="T215" i="1" s="1"/>
  <c r="AK215" i="1"/>
  <c r="K215" i="1"/>
  <c r="AA215" i="1" a="1"/>
  <c r="AA215" i="1" s="1"/>
  <c r="AP214" i="1"/>
  <c r="BM214" i="1"/>
  <c r="P214" i="1" a="1"/>
  <c r="P214" i="1" s="1"/>
  <c r="Y214" i="1" a="1"/>
  <c r="Y214" i="1" s="1"/>
  <c r="AQ214" i="1"/>
  <c r="BN214" i="1"/>
  <c r="AR214" i="1"/>
  <c r="BO214" i="1"/>
  <c r="I214" i="1"/>
  <c r="Z214" i="1" a="1"/>
  <c r="Z214" i="1" s="1"/>
  <c r="AJ214" i="1"/>
  <c r="S214" i="1"/>
  <c r="T214" i="1" s="1"/>
  <c r="AK214" i="1"/>
  <c r="I213" i="1"/>
  <c r="AD210" i="1" a="1"/>
  <c r="AD210" i="1" s="1"/>
  <c r="J210" i="1"/>
  <c r="CB210" i="1"/>
  <c r="CI210" i="1"/>
  <c r="AA208" i="1" a="1"/>
  <c r="AA208" i="1" s="1"/>
  <c r="M208" i="1"/>
  <c r="AG208" i="1" a="1"/>
  <c r="AG208" i="1" s="1"/>
  <c r="Z208" i="1" a="1"/>
  <c r="Z208" i="1" s="1"/>
  <c r="AJ208" i="1"/>
  <c r="AF207" i="1" a="1"/>
  <c r="AF207" i="1" s="1"/>
  <c r="L207" i="1"/>
  <c r="CD207" i="1"/>
  <c r="CK207" i="1"/>
  <c r="CQ207" i="1" s="1"/>
  <c r="AC204" i="1" a="1"/>
  <c r="AC204" i="1" s="1"/>
  <c r="AO204" i="1"/>
  <c r="BL204" i="1"/>
  <c r="I204" i="1"/>
  <c r="Z204" i="1" a="1"/>
  <c r="Z204" i="1" s="1"/>
  <c r="AJ204" i="1"/>
  <c r="AL204" i="1" s="1"/>
  <c r="P204" i="1" a="1"/>
  <c r="P204" i="1" s="1"/>
  <c r="AP204" i="1"/>
  <c r="BN204" i="1"/>
  <c r="AA204" i="1" a="1"/>
  <c r="AA204" i="1" s="1"/>
  <c r="AQ204" i="1"/>
  <c r="BO204" i="1"/>
  <c r="S204" i="1"/>
  <c r="T204" i="1" s="1"/>
  <c r="AR204" i="1"/>
  <c r="V204" i="1" a="1"/>
  <c r="V204" i="1" s="1"/>
  <c r="W204" i="1" s="1"/>
  <c r="AN204" i="1"/>
  <c r="BM204" i="1"/>
  <c r="I199" i="1"/>
  <c r="Z199" i="1" a="1"/>
  <c r="Z199" i="1" s="1"/>
  <c r="AJ199" i="1"/>
  <c r="Y199" i="1" a="1"/>
  <c r="Y199" i="1" s="1"/>
  <c r="AK199" i="1"/>
  <c r="AN199" i="1"/>
  <c r="BK199" i="1"/>
  <c r="AP199" i="1"/>
  <c r="BM199" i="1"/>
  <c r="S199" i="1"/>
  <c r="T199" i="1" s="1"/>
  <c r="AQ199" i="1"/>
  <c r="V199" i="1" a="1"/>
  <c r="V199" i="1" s="1"/>
  <c r="W199" i="1" s="1"/>
  <c r="AR199" i="1"/>
  <c r="CB199" i="1"/>
  <c r="BL199" i="1"/>
  <c r="AA199" i="1" a="1"/>
  <c r="AA199" i="1" s="1"/>
  <c r="BN199" i="1"/>
  <c r="P199" i="1" a="1"/>
  <c r="P199" i="1" s="1"/>
  <c r="AO199" i="1"/>
  <c r="CH199" i="1"/>
  <c r="V206" i="1" a="1"/>
  <c r="V206" i="1" s="1"/>
  <c r="W206" i="1" s="1"/>
  <c r="CD204" i="1"/>
  <c r="CB204" i="1"/>
  <c r="CI204" i="1"/>
  <c r="CO204" i="1" s="1"/>
  <c r="AF203" i="1" a="1"/>
  <c r="AF203" i="1" s="1"/>
  <c r="CD203" i="1"/>
  <c r="CK203" i="1"/>
  <c r="CQ203" i="1" s="1"/>
  <c r="CJ202" i="1"/>
  <c r="CP202" i="1" s="1"/>
  <c r="CF202" i="1"/>
  <c r="CC201" i="1"/>
  <c r="BL201" i="1"/>
  <c r="AK201" i="1"/>
  <c r="AL201" i="1" s="1"/>
  <c r="J201" i="1"/>
  <c r="CE200" i="1"/>
  <c r="BN200" i="1"/>
  <c r="AN200" i="1"/>
  <c r="AH200" i="1" a="1"/>
  <c r="AH200" i="1" s="1"/>
  <c r="CF200" i="1"/>
  <c r="CI199" i="1"/>
  <c r="CO199" i="1" s="1"/>
  <c r="J199" i="1"/>
  <c r="CC199" i="1"/>
  <c r="CE197" i="1"/>
  <c r="P197" i="1" a="1"/>
  <c r="P197" i="1" s="1"/>
  <c r="CB197" i="1"/>
  <c r="CI197" i="1"/>
  <c r="CO197" i="1" s="1"/>
  <c r="J197" i="1"/>
  <c r="AQ197" i="1"/>
  <c r="BO197" i="1"/>
  <c r="V197" i="1" a="1"/>
  <c r="V197" i="1" s="1"/>
  <c r="W197" i="1" s="1"/>
  <c r="AR197" i="1"/>
  <c r="Y197" i="1" a="1"/>
  <c r="Y197" i="1" s="1"/>
  <c r="AJ197" i="1"/>
  <c r="CH197" i="1"/>
  <c r="Z197" i="1" a="1"/>
  <c r="Z197" i="1" s="1"/>
  <c r="BK197" i="1"/>
  <c r="CC197" i="1"/>
  <c r="AC193" i="1" a="1"/>
  <c r="AC193" i="1" s="1"/>
  <c r="AO193" i="1"/>
  <c r="BL193" i="1"/>
  <c r="S193" i="1"/>
  <c r="T193" i="1" s="1"/>
  <c r="AK193" i="1"/>
  <c r="P193" i="1" a="1"/>
  <c r="P193" i="1" s="1"/>
  <c r="Z193" i="1" a="1"/>
  <c r="Z193" i="1" s="1"/>
  <c r="AQ193" i="1"/>
  <c r="AA193" i="1" a="1"/>
  <c r="AA193" i="1" s="1"/>
  <c r="AR193" i="1"/>
  <c r="I193" i="1"/>
  <c r="V193" i="1" a="1"/>
  <c r="V193" i="1" s="1"/>
  <c r="W193" i="1" s="1"/>
  <c r="AJ193" i="1"/>
  <c r="BK193" i="1"/>
  <c r="BM193" i="1"/>
  <c r="AP193" i="1"/>
  <c r="CE168" i="1"/>
  <c r="CL168" i="1"/>
  <c r="CR168" i="1" s="1"/>
  <c r="Y168" i="1" a="1"/>
  <c r="Y168" i="1" s="1"/>
  <c r="BN168" i="1"/>
  <c r="Z168" i="1" a="1"/>
  <c r="Z168" i="1" s="1"/>
  <c r="AJ168" i="1"/>
  <c r="AA168" i="1" a="1"/>
  <c r="AA168" i="1" s="1"/>
  <c r="M168" i="1"/>
  <c r="AO168" i="1"/>
  <c r="CK168" i="1"/>
  <c r="CQ168" i="1" s="1"/>
  <c r="AQ168" i="1"/>
  <c r="AG168" i="1" a="1"/>
  <c r="AG168" i="1" s="1"/>
  <c r="BL168" i="1"/>
  <c r="CF168" i="1"/>
  <c r="P198" i="1" a="1"/>
  <c r="P198" i="1" s="1"/>
  <c r="Y198" i="1" a="1"/>
  <c r="Y198" i="1" s="1"/>
  <c r="AQ198" i="1"/>
  <c r="BN198" i="1"/>
  <c r="Z198" i="1" a="1"/>
  <c r="Z198" i="1" s="1"/>
  <c r="BK198" i="1"/>
  <c r="AN198" i="1"/>
  <c r="BL198" i="1"/>
  <c r="AP198" i="1"/>
  <c r="BO198" i="1"/>
  <c r="CN189" i="1"/>
  <c r="CH231" i="1"/>
  <c r="BK231" i="1"/>
  <c r="AN231" i="1"/>
  <c r="CL229" i="1"/>
  <c r="CR229" i="1" s="1"/>
  <c r="CJ228" i="1"/>
  <c r="CP228" i="1" s="1"/>
  <c r="CH227" i="1"/>
  <c r="BK227" i="1"/>
  <c r="AN227" i="1"/>
  <c r="CL225" i="1"/>
  <c r="CR225" i="1" s="1"/>
  <c r="CJ224" i="1"/>
  <c r="CP224" i="1" s="1"/>
  <c r="CH223" i="1"/>
  <c r="BK223" i="1"/>
  <c r="AN223" i="1"/>
  <c r="CL221" i="1"/>
  <c r="CR221" i="1" s="1"/>
  <c r="CJ220" i="1"/>
  <c r="CP220" i="1" s="1"/>
  <c r="CH219" i="1"/>
  <c r="BK219" i="1"/>
  <c r="AN219" i="1"/>
  <c r="CL217" i="1"/>
  <c r="CR217" i="1" s="1"/>
  <c r="CJ216" i="1"/>
  <c r="CP216" i="1" s="1"/>
  <c r="BM216" i="1"/>
  <c r="AP216" i="1"/>
  <c r="CH215" i="1"/>
  <c r="BK215" i="1"/>
  <c r="AN215" i="1"/>
  <c r="CL213" i="1"/>
  <c r="CR213" i="1" s="1"/>
  <c r="CJ212" i="1"/>
  <c r="CP212" i="1" s="1"/>
  <c r="BM212" i="1"/>
  <c r="AP212" i="1"/>
  <c r="CH211" i="1"/>
  <c r="BK211" i="1"/>
  <c r="AN211" i="1"/>
  <c r="CL209" i="1"/>
  <c r="CR209" i="1" s="1"/>
  <c r="BO209" i="1"/>
  <c r="AR209" i="1"/>
  <c r="CJ208" i="1"/>
  <c r="CP208" i="1" s="1"/>
  <c r="BM208" i="1"/>
  <c r="AP208" i="1"/>
  <c r="CH207" i="1"/>
  <c r="BK207" i="1"/>
  <c r="AN207" i="1"/>
  <c r="AK206" i="1"/>
  <c r="CF205" i="1"/>
  <c r="CH204" i="1"/>
  <c r="AD204" i="1" a="1"/>
  <c r="AD204" i="1" s="1"/>
  <c r="J204" i="1"/>
  <c r="BO202" i="1"/>
  <c r="AQ202" i="1"/>
  <c r="CI201" i="1"/>
  <c r="CO201" i="1" s="1"/>
  <c r="CK200" i="1"/>
  <c r="CQ200" i="1" s="1"/>
  <c r="CD199" i="1"/>
  <c r="CH198" i="1"/>
  <c r="AJ198" i="1"/>
  <c r="AL198" i="1" s="1"/>
  <c r="AA198" i="1" a="1"/>
  <c r="AA198" i="1" s="1"/>
  <c r="AN197" i="1"/>
  <c r="CF195" i="1"/>
  <c r="N195" i="1"/>
  <c r="BK195" i="1"/>
  <c r="CL195" i="1"/>
  <c r="CR195" i="1" s="1"/>
  <c r="AO195" i="1"/>
  <c r="BN195" i="1"/>
  <c r="AH195" i="1" a="1"/>
  <c r="AH195" i="1" s="1"/>
  <c r="CF176" i="1"/>
  <c r="M176" i="1"/>
  <c r="AG176" i="1" a="1"/>
  <c r="AG176" i="1" s="1"/>
  <c r="CE176" i="1"/>
  <c r="CL176" i="1"/>
  <c r="CR176" i="1" s="1"/>
  <c r="BM176" i="1"/>
  <c r="CK176" i="1"/>
  <c r="CQ176" i="1" s="1"/>
  <c r="P176" i="1" a="1"/>
  <c r="P176" i="1" s="1"/>
  <c r="Y176" i="1" a="1"/>
  <c r="Y176" i="1" s="1"/>
  <c r="AP176" i="1"/>
  <c r="CK225" i="1"/>
  <c r="CQ225" i="1" s="1"/>
  <c r="CI224" i="1"/>
  <c r="CO224" i="1" s="1"/>
  <c r="CK221" i="1"/>
  <c r="CQ221" i="1" s="1"/>
  <c r="CI220" i="1"/>
  <c r="CO220" i="1" s="1"/>
  <c r="CK217" i="1"/>
  <c r="CQ217" i="1" s="1"/>
  <c r="CI216" i="1"/>
  <c r="CO216" i="1" s="1"/>
  <c r="BL216" i="1"/>
  <c r="AO216" i="1"/>
  <c r="AC216" i="1" a="1"/>
  <c r="AC216" i="1" s="1"/>
  <c r="CK213" i="1"/>
  <c r="CQ213" i="1" s="1"/>
  <c r="CI212" i="1"/>
  <c r="CO212" i="1" s="1"/>
  <c r="BL212" i="1"/>
  <c r="AO212" i="1"/>
  <c r="AC212" i="1" a="1"/>
  <c r="AC212" i="1" s="1"/>
  <c r="AE210" i="1" a="1"/>
  <c r="AE210" i="1" s="1"/>
  <c r="CK209" i="1"/>
  <c r="CQ209" i="1" s="1"/>
  <c r="BN209" i="1"/>
  <c r="AQ209" i="1"/>
  <c r="Y209" i="1" a="1"/>
  <c r="Y209" i="1" s="1"/>
  <c r="P209" i="1" a="1"/>
  <c r="P209" i="1" s="1"/>
  <c r="CB208" i="1"/>
  <c r="BL208" i="1"/>
  <c r="AO208" i="1"/>
  <c r="AC208" i="1" a="1"/>
  <c r="AC208" i="1" s="1"/>
  <c r="AJ206" i="1"/>
  <c r="P206" i="1" a="1"/>
  <c r="P206" i="1" s="1"/>
  <c r="CE205" i="1"/>
  <c r="BN202" i="1"/>
  <c r="AP202" i="1"/>
  <c r="AF202" i="1" a="1"/>
  <c r="AF202" i="1" s="1"/>
  <c r="CB202" i="1"/>
  <c r="CI202" i="1"/>
  <c r="CO202" i="1" s="1"/>
  <c r="CH201" i="1"/>
  <c r="AR201" i="1"/>
  <c r="CD201" i="1"/>
  <c r="CK201" i="1"/>
  <c r="CQ201" i="1" s="1"/>
  <c r="AF201" i="1" a="1"/>
  <c r="AF201" i="1" s="1"/>
  <c r="CJ200" i="1"/>
  <c r="CP200" i="1" s="1"/>
  <c r="AA200" i="1" a="1"/>
  <c r="AA200" i="1" s="1"/>
  <c r="CB200" i="1"/>
  <c r="CI200" i="1"/>
  <c r="CO200" i="1" s="1"/>
  <c r="AD200" i="1" a="1"/>
  <c r="AD200" i="1" s="1"/>
  <c r="CF199" i="1"/>
  <c r="N199" i="1"/>
  <c r="BM198" i="1"/>
  <c r="I198" i="1"/>
  <c r="AK197" i="1"/>
  <c r="CF197" i="1"/>
  <c r="AH197" i="1" a="1"/>
  <c r="AH197" i="1" s="1"/>
  <c r="N197" i="1"/>
  <c r="AF192" i="1" a="1"/>
  <c r="AF192" i="1" s="1"/>
  <c r="L192" i="1"/>
  <c r="CJ192" i="1"/>
  <c r="CP192" i="1" s="1"/>
  <c r="S192" i="1"/>
  <c r="T192" i="1" s="1"/>
  <c r="AN192" i="1"/>
  <c r="BM192" i="1"/>
  <c r="CD192" i="1"/>
  <c r="Q180" i="1"/>
  <c r="CJ217" i="1"/>
  <c r="CP217" i="1" s="1"/>
  <c r="CH216" i="1"/>
  <c r="BK216" i="1"/>
  <c r="AN216" i="1"/>
  <c r="V216" i="1" a="1"/>
  <c r="V216" i="1" s="1"/>
  <c r="W216" i="1" s="1"/>
  <c r="CL214" i="1"/>
  <c r="CR214" i="1" s="1"/>
  <c r="CJ213" i="1"/>
  <c r="CP213" i="1" s="1"/>
  <c r="CH212" i="1"/>
  <c r="BK212" i="1"/>
  <c r="AN212" i="1"/>
  <c r="V212" i="1" a="1"/>
  <c r="V212" i="1" s="1"/>
  <c r="W212" i="1" s="1"/>
  <c r="CL210" i="1"/>
  <c r="CR210" i="1" s="1"/>
  <c r="CJ209" i="1"/>
  <c r="CP209" i="1" s="1"/>
  <c r="BM209" i="1"/>
  <c r="AP209" i="1"/>
  <c r="CH208" i="1"/>
  <c r="BK208" i="1"/>
  <c r="AN208" i="1"/>
  <c r="V208" i="1" a="1"/>
  <c r="V208" i="1" s="1"/>
  <c r="W208" i="1" s="1"/>
  <c r="BO206" i="1"/>
  <c r="AR206" i="1"/>
  <c r="M204" i="1"/>
  <c r="AG204" i="1" a="1"/>
  <c r="AG204" i="1" s="1"/>
  <c r="CL203" i="1"/>
  <c r="CR203" i="1" s="1"/>
  <c r="CD202" i="1"/>
  <c r="BM202" i="1"/>
  <c r="AN202" i="1"/>
  <c r="Y202" i="1" a="1"/>
  <c r="Y202" i="1" s="1"/>
  <c r="L202" i="1"/>
  <c r="I202" i="1"/>
  <c r="Z202" i="1" a="1"/>
  <c r="Z202" i="1" s="1"/>
  <c r="AJ202" i="1"/>
  <c r="AC202" i="1" a="1"/>
  <c r="AC202" i="1" s="1"/>
  <c r="AO202" i="1"/>
  <c r="BL202" i="1"/>
  <c r="AP201" i="1"/>
  <c r="N201" i="1"/>
  <c r="CH200" i="1"/>
  <c r="L200" i="1"/>
  <c r="AC200" i="1" a="1"/>
  <c r="AC200" i="1" s="1"/>
  <c r="AO200" i="1"/>
  <c r="BL200" i="1"/>
  <c r="P200" i="1" a="1"/>
  <c r="P200" i="1" s="1"/>
  <c r="Y200" i="1" a="1"/>
  <c r="Y200" i="1" s="1"/>
  <c r="AQ200" i="1"/>
  <c r="I200" i="1"/>
  <c r="Z200" i="1" a="1"/>
  <c r="Z200" i="1" s="1"/>
  <c r="AJ200" i="1"/>
  <c r="AL200" i="1" s="1"/>
  <c r="CL197" i="1"/>
  <c r="CR197" i="1" s="1"/>
  <c r="AF196" i="1" a="1"/>
  <c r="AF196" i="1" s="1"/>
  <c r="CJ196" i="1"/>
  <c r="CD196" i="1"/>
  <c r="AK195" i="1"/>
  <c r="AA189" i="1" a="1"/>
  <c r="AA189" i="1" s="1"/>
  <c r="CB189" i="1"/>
  <c r="CI189" i="1"/>
  <c r="CO189" i="1" s="1"/>
  <c r="AP189" i="1"/>
  <c r="BM189" i="1"/>
  <c r="CC189" i="1"/>
  <c r="P189" i="1" a="1"/>
  <c r="P189" i="1" s="1"/>
  <c r="Y189" i="1" a="1"/>
  <c r="Y189" i="1" s="1"/>
  <c r="AD189" i="1" a="1"/>
  <c r="AD189" i="1" s="1"/>
  <c r="AQ189" i="1"/>
  <c r="J189" i="1"/>
  <c r="V189" i="1" a="1"/>
  <c r="V189" i="1" s="1"/>
  <c r="W189" i="1" s="1"/>
  <c r="AJ189" i="1"/>
  <c r="AN189" i="1"/>
  <c r="Z189" i="1" a="1"/>
  <c r="Z189" i="1" s="1"/>
  <c r="AR189" i="1"/>
  <c r="BK189" i="1"/>
  <c r="BN189" i="1"/>
  <c r="AD187" i="1" a="1"/>
  <c r="AD187" i="1" s="1"/>
  <c r="J187" i="1"/>
  <c r="S187" i="1"/>
  <c r="T187" i="1" s="1"/>
  <c r="AK187" i="1"/>
  <c r="AA187" i="1" a="1"/>
  <c r="AA187" i="1" s="1"/>
  <c r="AN187" i="1"/>
  <c r="AO187" i="1"/>
  <c r="AR187" i="1"/>
  <c r="CB187" i="1"/>
  <c r="BK187" i="1"/>
  <c r="BL187" i="1"/>
  <c r="CH187" i="1"/>
  <c r="CF211" i="1"/>
  <c r="CD210" i="1"/>
  <c r="CB209" i="1"/>
  <c r="BL209" i="1"/>
  <c r="AO209" i="1"/>
  <c r="AC209" i="1" a="1"/>
  <c r="AC209" i="1" s="1"/>
  <c r="CF207" i="1"/>
  <c r="BK202" i="1"/>
  <c r="CF201" i="1"/>
  <c r="BO201" i="1"/>
  <c r="AO201" i="1"/>
  <c r="AD201" i="1" a="1"/>
  <c r="AD201" i="1" s="1"/>
  <c r="AA201" i="1" a="1"/>
  <c r="AA201" i="1" s="1"/>
  <c r="AR200" i="1"/>
  <c r="AF200" i="1" a="1"/>
  <c r="AF200" i="1" s="1"/>
  <c r="V198" i="1" a="1"/>
  <c r="V198" i="1" s="1"/>
  <c r="W198" i="1" s="1"/>
  <c r="K196" i="1"/>
  <c r="Z196" i="1" a="1"/>
  <c r="Z196" i="1" s="1"/>
  <c r="AN196" i="1"/>
  <c r="BL196" i="1"/>
  <c r="CC196" i="1"/>
  <c r="S196" i="1"/>
  <c r="AP196" i="1"/>
  <c r="BN196" i="1"/>
  <c r="V196" i="1" a="1"/>
  <c r="V196" i="1" s="1"/>
  <c r="W196" i="1" s="1"/>
  <c r="AQ196" i="1"/>
  <c r="BO196" i="1"/>
  <c r="BK192" i="1"/>
  <c r="V187" i="1" a="1"/>
  <c r="V187" i="1" s="1"/>
  <c r="W187" i="1" s="1"/>
  <c r="CN175" i="1"/>
  <c r="AK216" i="1"/>
  <c r="AK212" i="1"/>
  <c r="CL211" i="1"/>
  <c r="CR211" i="1" s="1"/>
  <c r="CJ210" i="1"/>
  <c r="CP210" i="1" s="1"/>
  <c r="CH209" i="1"/>
  <c r="BK209" i="1"/>
  <c r="AN209" i="1"/>
  <c r="AK208" i="1"/>
  <c r="CL207" i="1"/>
  <c r="CR207" i="1" s="1"/>
  <c r="CC206" i="1"/>
  <c r="BM206" i="1"/>
  <c r="I206" i="1"/>
  <c r="Z206" i="1" a="1"/>
  <c r="Z206" i="1" s="1"/>
  <c r="CD205" i="1"/>
  <c r="CK205" i="1"/>
  <c r="CQ205" i="1" s="1"/>
  <c r="CE204" i="1"/>
  <c r="AK202" i="1"/>
  <c r="BM201" i="1"/>
  <c r="AN201" i="1"/>
  <c r="P201" i="1" a="1"/>
  <c r="P201" i="1" s="1"/>
  <c r="BO200" i="1"/>
  <c r="CJ199" i="1"/>
  <c r="CP199" i="1" s="1"/>
  <c r="CB198" i="1"/>
  <c r="S198" i="1"/>
  <c r="T198" i="1" s="1"/>
  <c r="CD198" i="1"/>
  <c r="CK198" i="1"/>
  <c r="CQ198" i="1" s="1"/>
  <c r="AF198" i="1" a="1"/>
  <c r="AF198" i="1" s="1"/>
  <c r="L198" i="1"/>
  <c r="BM197" i="1"/>
  <c r="AF197" i="1" a="1"/>
  <c r="AF197" i="1" s="1"/>
  <c r="CN196" i="1"/>
  <c r="P192" i="1" a="1"/>
  <c r="P192" i="1" s="1"/>
  <c r="CB193" i="1"/>
  <c r="CI193" i="1"/>
  <c r="CO193" i="1" s="1"/>
  <c r="J193" i="1"/>
  <c r="CF192" i="1"/>
  <c r="CE192" i="1"/>
  <c r="CL192" i="1"/>
  <c r="CR192" i="1" s="1"/>
  <c r="AF188" i="1" a="1"/>
  <c r="AF188" i="1" s="1"/>
  <c r="L188" i="1"/>
  <c r="AN188" i="1"/>
  <c r="BK188" i="1"/>
  <c r="AO188" i="1"/>
  <c r="BL188" i="1"/>
  <c r="CD187" i="1"/>
  <c r="AE187" i="1" a="1"/>
  <c r="AE187" i="1" s="1"/>
  <c r="K187" i="1"/>
  <c r="CC187" i="1"/>
  <c r="CJ187" i="1"/>
  <c r="CP187" i="1" s="1"/>
  <c r="Q167" i="1"/>
  <c r="Z165" i="1" a="1"/>
  <c r="Z165" i="1" s="1"/>
  <c r="CK199" i="1"/>
  <c r="CQ199" i="1" s="1"/>
  <c r="M197" i="1"/>
  <c r="AG197" i="1" a="1"/>
  <c r="AG197" i="1" s="1"/>
  <c r="M196" i="1"/>
  <c r="AA196" i="1" a="1"/>
  <c r="AA196" i="1" s="1"/>
  <c r="CH195" i="1"/>
  <c r="S195" i="1"/>
  <c r="T195" i="1" s="1"/>
  <c r="AC194" i="1" a="1"/>
  <c r="AC194" i="1" s="1"/>
  <c r="S194" i="1"/>
  <c r="T194" i="1" s="1"/>
  <c r="CB192" i="1"/>
  <c r="AE192" i="1" a="1"/>
  <c r="AE192" i="1" s="1"/>
  <c r="K192" i="1"/>
  <c r="BK191" i="1"/>
  <c r="CD191" i="1"/>
  <c r="AE191" i="1" a="1"/>
  <c r="AE191" i="1" s="1"/>
  <c r="CC191" i="1"/>
  <c r="CJ191" i="1"/>
  <c r="CP191" i="1" s="1"/>
  <c r="AA190" i="1" a="1"/>
  <c r="AA190" i="1" s="1"/>
  <c r="CD190" i="1"/>
  <c r="CK190" i="1"/>
  <c r="CQ190" i="1" s="1"/>
  <c r="L190" i="1"/>
  <c r="CD188" i="1"/>
  <c r="BM188" i="1"/>
  <c r="P188" i="1" a="1"/>
  <c r="P188" i="1" s="1"/>
  <c r="Z188" i="1" a="1"/>
  <c r="Z188" i="1" s="1"/>
  <c r="P187" i="1" a="1"/>
  <c r="P187" i="1" s="1"/>
  <c r="CF185" i="1"/>
  <c r="CD184" i="1"/>
  <c r="CF184" i="1"/>
  <c r="M184" i="1"/>
  <c r="AG184" i="1" a="1"/>
  <c r="AG184" i="1" s="1"/>
  <c r="CE184" i="1"/>
  <c r="CL184" i="1"/>
  <c r="CR184" i="1" s="1"/>
  <c r="CH183" i="1"/>
  <c r="CD183" i="1"/>
  <c r="AE183" i="1" a="1"/>
  <c r="AE183" i="1" s="1"/>
  <c r="K183" i="1"/>
  <c r="CC183" i="1"/>
  <c r="CJ183" i="1"/>
  <c r="CP183" i="1" s="1"/>
  <c r="CK180" i="1"/>
  <c r="CQ180" i="1" s="1"/>
  <c r="S176" i="1"/>
  <c r="T176" i="1" s="1"/>
  <c r="AK176" i="1"/>
  <c r="AF176" i="1" a="1"/>
  <c r="AF176" i="1" s="1"/>
  <c r="L176" i="1"/>
  <c r="V176" i="1" a="1"/>
  <c r="V176" i="1" s="1"/>
  <c r="W176" i="1" s="1"/>
  <c r="AN176" i="1"/>
  <c r="BK176" i="1"/>
  <c r="P175" i="1" a="1"/>
  <c r="P175" i="1" s="1"/>
  <c r="Y175" i="1" a="1"/>
  <c r="Y175" i="1" s="1"/>
  <c r="AD175" i="1" a="1"/>
  <c r="AD175" i="1" s="1"/>
  <c r="AQ175" i="1"/>
  <c r="BN175" i="1"/>
  <c r="AR175" i="1"/>
  <c r="BO175" i="1"/>
  <c r="J175" i="1"/>
  <c r="S175" i="1"/>
  <c r="T175" i="1" s="1"/>
  <c r="AK175" i="1"/>
  <c r="AA175" i="1" a="1"/>
  <c r="AA175" i="1" s="1"/>
  <c r="AP175" i="1"/>
  <c r="BM175" i="1"/>
  <c r="AC174" i="1" a="1"/>
  <c r="AC174" i="1" s="1"/>
  <c r="AO174" i="1"/>
  <c r="BL174" i="1"/>
  <c r="CB174" i="1"/>
  <c r="AP174" i="1"/>
  <c r="BM174" i="1"/>
  <c r="P174" i="1" a="1"/>
  <c r="P174" i="1" s="1"/>
  <c r="Y174" i="1" a="1"/>
  <c r="Y174" i="1" s="1"/>
  <c r="AQ174" i="1"/>
  <c r="BN174" i="1"/>
  <c r="AR174" i="1"/>
  <c r="BO174" i="1"/>
  <c r="I174" i="1"/>
  <c r="Z174" i="1" a="1"/>
  <c r="Z174" i="1" s="1"/>
  <c r="AJ174" i="1"/>
  <c r="AL174" i="1" s="1"/>
  <c r="V174" i="1" a="1"/>
  <c r="V174" i="1" s="1"/>
  <c r="W174" i="1" s="1"/>
  <c r="AN174" i="1"/>
  <c r="BK174" i="1"/>
  <c r="CH174" i="1"/>
  <c r="V173" i="1" a="1"/>
  <c r="V173" i="1" s="1"/>
  <c r="W173" i="1" s="1"/>
  <c r="AN173" i="1"/>
  <c r="BK173" i="1"/>
  <c r="N173" i="1"/>
  <c r="AH173" i="1" a="1"/>
  <c r="AH173" i="1" s="1"/>
  <c r="AD193" i="1" a="1"/>
  <c r="AD193" i="1" s="1"/>
  <c r="CK192" i="1"/>
  <c r="CQ192" i="1" s="1"/>
  <c r="M192" i="1"/>
  <c r="Z192" i="1" a="1"/>
  <c r="Z192" i="1" s="1"/>
  <c r="AJ192" i="1"/>
  <c r="AL192" i="1" s="1"/>
  <c r="AA192" i="1" a="1"/>
  <c r="AA192" i="1" s="1"/>
  <c r="AR192" i="1"/>
  <c r="BO192" i="1"/>
  <c r="N190" i="1"/>
  <c r="S184" i="1"/>
  <c r="T184" i="1" s="1"/>
  <c r="AK184" i="1"/>
  <c r="AF184" i="1" a="1"/>
  <c r="AF184" i="1" s="1"/>
  <c r="L184" i="1"/>
  <c r="V184" i="1" a="1"/>
  <c r="V184" i="1" s="1"/>
  <c r="W184" i="1" s="1"/>
  <c r="AN184" i="1"/>
  <c r="BK184" i="1"/>
  <c r="AO184" i="1"/>
  <c r="BL184" i="1"/>
  <c r="AD183" i="1" a="1"/>
  <c r="AD183" i="1" s="1"/>
  <c r="AQ183" i="1"/>
  <c r="BN183" i="1"/>
  <c r="AR183" i="1"/>
  <c r="BO183" i="1"/>
  <c r="J183" i="1"/>
  <c r="S183" i="1"/>
  <c r="T183" i="1" s="1"/>
  <c r="AK183" i="1"/>
  <c r="AA183" i="1" a="1"/>
  <c r="AA183" i="1" s="1"/>
  <c r="CD171" i="1"/>
  <c r="AE171" i="1" a="1"/>
  <c r="AE171" i="1" s="1"/>
  <c r="K171" i="1"/>
  <c r="CC171" i="1"/>
  <c r="CJ171" i="1"/>
  <c r="CP171" i="1" s="1"/>
  <c r="AP165" i="1"/>
  <c r="BM165" i="1"/>
  <c r="AR165" i="1"/>
  <c r="BO165" i="1"/>
  <c r="S165" i="1"/>
  <c r="T165" i="1" s="1"/>
  <c r="AK165" i="1"/>
  <c r="V165" i="1" a="1"/>
  <c r="V165" i="1" s="1"/>
  <c r="W165" i="1" s="1"/>
  <c r="AN165" i="1"/>
  <c r="BK165" i="1"/>
  <c r="CH165" i="1"/>
  <c r="AC165" i="1" a="1"/>
  <c r="AC165" i="1" s="1"/>
  <c r="AO165" i="1"/>
  <c r="P165" i="1" a="1"/>
  <c r="P165" i="1" s="1"/>
  <c r="AQ165" i="1"/>
  <c r="CB165" i="1"/>
  <c r="I165" i="1"/>
  <c r="BL165" i="1"/>
  <c r="AA165" i="1" a="1"/>
  <c r="AA165" i="1" s="1"/>
  <c r="CE196" i="1"/>
  <c r="BO195" i="1"/>
  <c r="AQ195" i="1"/>
  <c r="P195" i="1" a="1"/>
  <c r="P195" i="1" s="1"/>
  <c r="AE195" i="1" a="1"/>
  <c r="AE195" i="1" s="1"/>
  <c r="CC195" i="1"/>
  <c r="CJ195" i="1"/>
  <c r="CP195" i="1" s="1"/>
  <c r="AR194" i="1"/>
  <c r="CD194" i="1"/>
  <c r="CK194" i="1"/>
  <c r="CQ194" i="1" s="1"/>
  <c r="L194" i="1"/>
  <c r="AG192" i="1" a="1"/>
  <c r="AG192" i="1" s="1"/>
  <c r="Y192" i="1" a="1"/>
  <c r="Y192" i="1" s="1"/>
  <c r="P191" i="1" a="1"/>
  <c r="P191" i="1" s="1"/>
  <c r="Y191" i="1" a="1"/>
  <c r="Y191" i="1" s="1"/>
  <c r="AQ191" i="1"/>
  <c r="BN191" i="1"/>
  <c r="I191" i="1"/>
  <c r="Z191" i="1" a="1"/>
  <c r="Z191" i="1" s="1"/>
  <c r="AJ191" i="1"/>
  <c r="AL191" i="1" s="1"/>
  <c r="AP191" i="1"/>
  <c r="BM191" i="1"/>
  <c r="CL190" i="1"/>
  <c r="CR190" i="1" s="1"/>
  <c r="AC186" i="1" a="1"/>
  <c r="AC186" i="1" s="1"/>
  <c r="AO186" i="1"/>
  <c r="BL186" i="1"/>
  <c r="CB186" i="1"/>
  <c r="AP186" i="1"/>
  <c r="BM186" i="1"/>
  <c r="P186" i="1" a="1"/>
  <c r="P186" i="1" s="1"/>
  <c r="Y186" i="1" a="1"/>
  <c r="Y186" i="1" s="1"/>
  <c r="AQ186" i="1"/>
  <c r="BN186" i="1"/>
  <c r="AR186" i="1"/>
  <c r="BO186" i="1"/>
  <c r="I186" i="1"/>
  <c r="Z186" i="1" a="1"/>
  <c r="Z186" i="1" s="1"/>
  <c r="AJ186" i="1"/>
  <c r="AL186" i="1" s="1"/>
  <c r="V186" i="1" a="1"/>
  <c r="V186" i="1" s="1"/>
  <c r="W186" i="1" s="1"/>
  <c r="AN186" i="1"/>
  <c r="BK186" i="1"/>
  <c r="CH186" i="1"/>
  <c r="AQ184" i="1"/>
  <c r="CB183" i="1"/>
  <c r="AO183" i="1"/>
  <c r="V183" i="1" a="1"/>
  <c r="V183" i="1" s="1"/>
  <c r="W183" i="1" s="1"/>
  <c r="P183" i="1" a="1"/>
  <c r="P183" i="1" s="1"/>
  <c r="AC182" i="1" a="1"/>
  <c r="AC182" i="1" s="1"/>
  <c r="AO182" i="1"/>
  <c r="BL182" i="1"/>
  <c r="CB182" i="1"/>
  <c r="AP182" i="1"/>
  <c r="BM182" i="1"/>
  <c r="P182" i="1" a="1"/>
  <c r="P182" i="1" s="1"/>
  <c r="Y182" i="1" a="1"/>
  <c r="Y182" i="1" s="1"/>
  <c r="AQ182" i="1"/>
  <c r="BN182" i="1"/>
  <c r="AR182" i="1"/>
  <c r="BO182" i="1"/>
  <c r="I182" i="1"/>
  <c r="Z182" i="1" a="1"/>
  <c r="Z182" i="1" s="1"/>
  <c r="AJ182" i="1"/>
  <c r="AL182" i="1" s="1"/>
  <c r="V182" i="1" a="1"/>
  <c r="V182" i="1" s="1"/>
  <c r="W182" i="1" s="1"/>
  <c r="AN182" i="1"/>
  <c r="BK182" i="1"/>
  <c r="CH182" i="1"/>
  <c r="V181" i="1" a="1"/>
  <c r="V181" i="1" s="1"/>
  <c r="W181" i="1" s="1"/>
  <c r="AN181" i="1"/>
  <c r="BK181" i="1"/>
  <c r="N181" i="1"/>
  <c r="AH181" i="1" a="1"/>
  <c r="AH181" i="1" s="1"/>
  <c r="Z176" i="1" a="1"/>
  <c r="Z176" i="1" s="1"/>
  <c r="CF172" i="1"/>
  <c r="M172" i="1"/>
  <c r="AG172" i="1" a="1"/>
  <c r="AG172" i="1" s="1"/>
  <c r="CE172" i="1"/>
  <c r="CL172" i="1"/>
  <c r="CR172" i="1" s="1"/>
  <c r="CN171" i="1"/>
  <c r="BK171" i="1"/>
  <c r="P171" i="1" a="1"/>
  <c r="P171" i="1" s="1"/>
  <c r="Y171" i="1" a="1"/>
  <c r="Y171" i="1" s="1"/>
  <c r="AD171" i="1" a="1"/>
  <c r="AD171" i="1" s="1"/>
  <c r="AQ171" i="1"/>
  <c r="BN171" i="1"/>
  <c r="AR171" i="1"/>
  <c r="BO171" i="1"/>
  <c r="J171" i="1"/>
  <c r="S171" i="1"/>
  <c r="T171" i="1" s="1"/>
  <c r="AK171" i="1"/>
  <c r="AA171" i="1" a="1"/>
  <c r="AA171" i="1" s="1"/>
  <c r="AP171" i="1"/>
  <c r="BM171" i="1"/>
  <c r="AR166" i="1"/>
  <c r="BO166" i="1"/>
  <c r="S166" i="1"/>
  <c r="T166" i="1" s="1"/>
  <c r="AK166" i="1"/>
  <c r="V166" i="1" a="1"/>
  <c r="V166" i="1" s="1"/>
  <c r="W166" i="1" s="1"/>
  <c r="AN166" i="1"/>
  <c r="BK166" i="1"/>
  <c r="CH166" i="1"/>
  <c r="AP166" i="1"/>
  <c r="BM166" i="1"/>
  <c r="CB166" i="1"/>
  <c r="BL166" i="1"/>
  <c r="I166" i="1"/>
  <c r="Y166" i="1" a="1"/>
  <c r="Y166" i="1" s="1"/>
  <c r="BN166" i="1"/>
  <c r="Z166" i="1" a="1"/>
  <c r="Z166" i="1" s="1"/>
  <c r="AJ166" i="1"/>
  <c r="P166" i="1" a="1"/>
  <c r="P166" i="1" s="1"/>
  <c r="AQ166" i="1"/>
  <c r="AJ165" i="1"/>
  <c r="Q146" i="1"/>
  <c r="Z194" i="1" a="1"/>
  <c r="Z194" i="1" s="1"/>
  <c r="M193" i="1"/>
  <c r="AG193" i="1" a="1"/>
  <c r="AG193" i="1" s="1"/>
  <c r="CI192" i="1"/>
  <c r="CO192" i="1" s="1"/>
  <c r="AQ192" i="1"/>
  <c r="J192" i="1"/>
  <c r="AR190" i="1"/>
  <c r="AC190" i="1" a="1"/>
  <c r="AC190" i="1" s="1"/>
  <c r="AO190" i="1"/>
  <c r="BL190" i="1"/>
  <c r="CB190" i="1"/>
  <c r="P190" i="1" a="1"/>
  <c r="P190" i="1" s="1"/>
  <c r="Y190" i="1" a="1"/>
  <c r="Y190" i="1" s="1"/>
  <c r="AQ190" i="1"/>
  <c r="BN190" i="1"/>
  <c r="V190" i="1" a="1"/>
  <c r="V190" i="1" s="1"/>
  <c r="W190" i="1" s="1"/>
  <c r="AN190" i="1"/>
  <c r="BK190" i="1"/>
  <c r="CH190" i="1"/>
  <c r="N189" i="1"/>
  <c r="AH189" i="1" a="1"/>
  <c r="AH189" i="1" s="1"/>
  <c r="CK188" i="1"/>
  <c r="CQ188" i="1" s="1"/>
  <c r="AQ188" i="1"/>
  <c r="AH187" i="1" a="1"/>
  <c r="AH187" i="1" s="1"/>
  <c r="CF187" i="1"/>
  <c r="N187" i="1"/>
  <c r="AP184" i="1"/>
  <c r="P184" i="1" a="1"/>
  <c r="P184" i="1" s="1"/>
  <c r="Z184" i="1" a="1"/>
  <c r="Z184" i="1" s="1"/>
  <c r="AN183" i="1"/>
  <c r="AP172" i="1"/>
  <c r="Y172" i="1" a="1"/>
  <c r="Y172" i="1" s="1"/>
  <c r="AJ172" i="1"/>
  <c r="S172" i="1"/>
  <c r="T172" i="1" s="1"/>
  <c r="AK172" i="1"/>
  <c r="AF172" i="1" a="1"/>
  <c r="AF172" i="1" s="1"/>
  <c r="L172" i="1"/>
  <c r="V172" i="1" a="1"/>
  <c r="V172" i="1" s="1"/>
  <c r="W172" i="1" s="1"/>
  <c r="AN172" i="1"/>
  <c r="BK172" i="1"/>
  <c r="V171" i="1" a="1"/>
  <c r="V171" i="1" s="1"/>
  <c r="W171" i="1" s="1"/>
  <c r="AC170" i="1" a="1"/>
  <c r="AC170" i="1" s="1"/>
  <c r="AO170" i="1"/>
  <c r="BL170" i="1"/>
  <c r="CB170" i="1"/>
  <c r="AP170" i="1"/>
  <c r="BM170" i="1"/>
  <c r="P170" i="1" a="1"/>
  <c r="P170" i="1" s="1"/>
  <c r="Y170" i="1" a="1"/>
  <c r="Y170" i="1" s="1"/>
  <c r="AQ170" i="1"/>
  <c r="BN170" i="1"/>
  <c r="AR170" i="1"/>
  <c r="BO170" i="1"/>
  <c r="I170" i="1"/>
  <c r="Z170" i="1" a="1"/>
  <c r="Z170" i="1" s="1"/>
  <c r="AJ170" i="1"/>
  <c r="AL170" i="1" s="1"/>
  <c r="V170" i="1" a="1"/>
  <c r="V170" i="1" s="1"/>
  <c r="W170" i="1" s="1"/>
  <c r="AN170" i="1"/>
  <c r="BK170" i="1"/>
  <c r="CH170" i="1"/>
  <c r="P168" i="1" a="1"/>
  <c r="P168" i="1" s="1"/>
  <c r="AO166" i="1"/>
  <c r="V158" i="1" a="1"/>
  <c r="V158" i="1" s="1"/>
  <c r="W158" i="1" s="1"/>
  <c r="Y158" i="1" a="1"/>
  <c r="Y158" i="1" s="1"/>
  <c r="AQ158" i="1"/>
  <c r="BN158" i="1"/>
  <c r="P158" i="1" a="1"/>
  <c r="P158" i="1" s="1"/>
  <c r="AR158" i="1"/>
  <c r="BO158" i="1"/>
  <c r="Z158" i="1" a="1"/>
  <c r="Z158" i="1" s="1"/>
  <c r="AJ158" i="1"/>
  <c r="AK158" i="1"/>
  <c r="I158" i="1"/>
  <c r="S158" i="1"/>
  <c r="T158" i="1" s="1"/>
  <c r="AA158" i="1" a="1"/>
  <c r="AA158" i="1" s="1"/>
  <c r="AN158" i="1"/>
  <c r="BK158" i="1"/>
  <c r="CH158" i="1"/>
  <c r="AP158" i="1"/>
  <c r="BM158" i="1"/>
  <c r="AC158" i="1" a="1"/>
  <c r="AC158" i="1" s="1"/>
  <c r="BL158" i="1"/>
  <c r="BN201" i="1"/>
  <c r="AQ201" i="1"/>
  <c r="Y201" i="1" a="1"/>
  <c r="Y201" i="1" s="1"/>
  <c r="AG200" i="1" a="1"/>
  <c r="AG200" i="1" s="1"/>
  <c r="AC197" i="1" a="1"/>
  <c r="AC197" i="1" s="1"/>
  <c r="AO197" i="1"/>
  <c r="BL197" i="1"/>
  <c r="BM196" i="1"/>
  <c r="AO196" i="1"/>
  <c r="CD195" i="1"/>
  <c r="BL195" i="1"/>
  <c r="AN195" i="1"/>
  <c r="I195" i="1"/>
  <c r="Z195" i="1" a="1"/>
  <c r="Z195" i="1" s="1"/>
  <c r="AJ195" i="1"/>
  <c r="AP195" i="1"/>
  <c r="BM195" i="1"/>
  <c r="CF194" i="1"/>
  <c r="BO194" i="1"/>
  <c r="CH193" i="1"/>
  <c r="CH192" i="1"/>
  <c r="AP192" i="1"/>
  <c r="CI191" i="1"/>
  <c r="CO191" i="1" s="1"/>
  <c r="AR191" i="1"/>
  <c r="J191" i="1"/>
  <c r="AP190" i="1"/>
  <c r="CL189" i="1"/>
  <c r="CR189" i="1" s="1"/>
  <c r="CJ188" i="1"/>
  <c r="AP188" i="1"/>
  <c r="CK184" i="1"/>
  <c r="CQ184" i="1" s="1"/>
  <c r="BO181" i="1"/>
  <c r="CF180" i="1"/>
  <c r="M180" i="1"/>
  <c r="AG180" i="1" a="1"/>
  <c r="AG180" i="1" s="1"/>
  <c r="CE180" i="1"/>
  <c r="CL180" i="1"/>
  <c r="CR180" i="1" s="1"/>
  <c r="CH179" i="1"/>
  <c r="CD179" i="1"/>
  <c r="AE179" i="1" a="1"/>
  <c r="AE179" i="1" s="1"/>
  <c r="K179" i="1"/>
  <c r="CC179" i="1"/>
  <c r="CJ179" i="1"/>
  <c r="CP179" i="1" s="1"/>
  <c r="CJ176" i="1"/>
  <c r="CP176" i="1" s="1"/>
  <c r="BN176" i="1"/>
  <c r="CF173" i="1"/>
  <c r="AR173" i="1"/>
  <c r="AA173" i="1" a="1"/>
  <c r="AA173" i="1" s="1"/>
  <c r="CB171" i="1"/>
  <c r="AO171" i="1"/>
  <c r="V169" i="1" a="1"/>
  <c r="V169" i="1" s="1"/>
  <c r="W169" i="1" s="1"/>
  <c r="AN169" i="1"/>
  <c r="BK169" i="1"/>
  <c r="N169" i="1"/>
  <c r="AP169" i="1"/>
  <c r="BM169" i="1"/>
  <c r="AH169" i="1" a="1"/>
  <c r="AH169" i="1" s="1"/>
  <c r="CC167" i="1"/>
  <c r="CJ167" i="1"/>
  <c r="CP167" i="1" s="1"/>
  <c r="CD167" i="1"/>
  <c r="BL167" i="1"/>
  <c r="K167" i="1"/>
  <c r="Z167" i="1" a="1"/>
  <c r="Z167" i="1" s="1"/>
  <c r="AJ167" i="1"/>
  <c r="CI167" i="1"/>
  <c r="CO167" i="1" s="1"/>
  <c r="AE167" i="1" a="1"/>
  <c r="AE167" i="1" s="1"/>
  <c r="P194" i="1" a="1"/>
  <c r="P194" i="1" s="1"/>
  <c r="Y194" i="1" a="1"/>
  <c r="Y194" i="1" s="1"/>
  <c r="AQ194" i="1"/>
  <c r="BN194" i="1"/>
  <c r="V194" i="1" a="1"/>
  <c r="V194" i="1" s="1"/>
  <c r="W194" i="1" s="1"/>
  <c r="AN194" i="1"/>
  <c r="BK194" i="1"/>
  <c r="CH194" i="1"/>
  <c r="BN192" i="1"/>
  <c r="AO192" i="1"/>
  <c r="AD192" i="1" a="1"/>
  <c r="AD192" i="1" s="1"/>
  <c r="V192" i="1" a="1"/>
  <c r="V192" i="1" s="1"/>
  <c r="W192" i="1" s="1"/>
  <c r="CH191" i="1"/>
  <c r="AO191" i="1"/>
  <c r="V191" i="1" a="1"/>
  <c r="V191" i="1" s="1"/>
  <c r="W191" i="1" s="1"/>
  <c r="AH191" i="1" a="1"/>
  <c r="AH191" i="1" s="1"/>
  <c r="CF191" i="1"/>
  <c r="N191" i="1"/>
  <c r="I190" i="1"/>
  <c r="AK188" i="1"/>
  <c r="Y188" i="1" a="1"/>
  <c r="Y188" i="1" s="1"/>
  <c r="CF188" i="1"/>
  <c r="M188" i="1"/>
  <c r="AG188" i="1" a="1"/>
  <c r="AG188" i="1" s="1"/>
  <c r="CE188" i="1"/>
  <c r="CL188" i="1"/>
  <c r="CR188" i="1" s="1"/>
  <c r="CL187" i="1"/>
  <c r="CR187" i="1" s="1"/>
  <c r="V185" i="1" a="1"/>
  <c r="V185" i="1" s="1"/>
  <c r="W185" i="1" s="1"/>
  <c r="AN185" i="1"/>
  <c r="BK185" i="1"/>
  <c r="N185" i="1"/>
  <c r="AH185" i="1" a="1"/>
  <c r="AH185" i="1" s="1"/>
  <c r="CJ184" i="1"/>
  <c r="S180" i="1"/>
  <c r="T180" i="1" s="1"/>
  <c r="AK180" i="1"/>
  <c r="AF180" i="1" a="1"/>
  <c r="AF180" i="1" s="1"/>
  <c r="L180" i="1"/>
  <c r="V180" i="1" a="1"/>
  <c r="V180" i="1" s="1"/>
  <c r="W180" i="1" s="1"/>
  <c r="AN180" i="1"/>
  <c r="BK180" i="1"/>
  <c r="P179" i="1" a="1"/>
  <c r="P179" i="1" s="1"/>
  <c r="Y179" i="1" a="1"/>
  <c r="Y179" i="1" s="1"/>
  <c r="AD179" i="1" a="1"/>
  <c r="AD179" i="1" s="1"/>
  <c r="AQ179" i="1"/>
  <c r="BN179" i="1"/>
  <c r="AR179" i="1"/>
  <c r="BO179" i="1"/>
  <c r="J179" i="1"/>
  <c r="S179" i="1"/>
  <c r="T179" i="1" s="1"/>
  <c r="AK179" i="1"/>
  <c r="AA179" i="1" a="1"/>
  <c r="AA179" i="1" s="1"/>
  <c r="AC178" i="1" a="1"/>
  <c r="AC178" i="1" s="1"/>
  <c r="AO178" i="1"/>
  <c r="BL178" i="1"/>
  <c r="CB178" i="1"/>
  <c r="AP178" i="1"/>
  <c r="BM178" i="1"/>
  <c r="P178" i="1" a="1"/>
  <c r="P178" i="1" s="1"/>
  <c r="Y178" i="1" a="1"/>
  <c r="Y178" i="1" s="1"/>
  <c r="AQ178" i="1"/>
  <c r="BN178" i="1"/>
  <c r="AR178" i="1"/>
  <c r="BO178" i="1"/>
  <c r="I178" i="1"/>
  <c r="Z178" i="1" a="1"/>
  <c r="Z178" i="1" s="1"/>
  <c r="AJ178" i="1"/>
  <c r="AL178" i="1" s="1"/>
  <c r="V178" i="1" a="1"/>
  <c r="V178" i="1" s="1"/>
  <c r="W178" i="1" s="1"/>
  <c r="AN178" i="1"/>
  <c r="BK178" i="1"/>
  <c r="CH178" i="1"/>
  <c r="V177" i="1" a="1"/>
  <c r="V177" i="1" s="1"/>
  <c r="W177" i="1" s="1"/>
  <c r="AN177" i="1"/>
  <c r="BK177" i="1"/>
  <c r="N177" i="1"/>
  <c r="AH177" i="1" a="1"/>
  <c r="AH177" i="1" s="1"/>
  <c r="Q172" i="1"/>
  <c r="AN171" i="1"/>
  <c r="S163" i="1"/>
  <c r="T163" i="1" s="1"/>
  <c r="AK163" i="1"/>
  <c r="AL163" i="1" s="1"/>
  <c r="V163" i="1" a="1"/>
  <c r="V163" i="1" s="1"/>
  <c r="W163" i="1" s="1"/>
  <c r="AN163" i="1"/>
  <c r="BK163" i="1"/>
  <c r="CH163" i="1"/>
  <c r="AC163" i="1" a="1"/>
  <c r="AC163" i="1" s="1"/>
  <c r="AO163" i="1"/>
  <c r="BL163" i="1"/>
  <c r="CB163" i="1"/>
  <c r="AP163" i="1"/>
  <c r="BM163" i="1"/>
  <c r="AR163" i="1"/>
  <c r="BO163" i="1"/>
  <c r="AJ163" i="1"/>
  <c r="Y163" i="1" a="1"/>
  <c r="Y163" i="1" s="1"/>
  <c r="I163" i="1"/>
  <c r="Z163" i="1" a="1"/>
  <c r="Z163" i="1" s="1"/>
  <c r="AQ163" i="1"/>
  <c r="AA163" i="1" a="1"/>
  <c r="AA163" i="1" s="1"/>
  <c r="P163" i="1" a="1"/>
  <c r="P163" i="1" s="1"/>
  <c r="P156" i="1" a="1"/>
  <c r="P156" i="1" s="1"/>
  <c r="AA156" i="1" a="1"/>
  <c r="AA156" i="1" s="1"/>
  <c r="AQ156" i="1"/>
  <c r="CH156" i="1"/>
  <c r="CI156" i="1"/>
  <c r="CO156" i="1" s="1"/>
  <c r="J156" i="1"/>
  <c r="AD156" i="1" a="1"/>
  <c r="AD156" i="1" s="1"/>
  <c r="CB156" i="1"/>
  <c r="AN156" i="1"/>
  <c r="BL156" i="1"/>
  <c r="CC156" i="1"/>
  <c r="AO156" i="1"/>
  <c r="DQ150" i="1" a="1"/>
  <c r="DQ150" i="1" s="1"/>
  <c r="CP150" i="1"/>
  <c r="AK189" i="1"/>
  <c r="AL189" i="1" s="1"/>
  <c r="S189" i="1"/>
  <c r="T189" i="1" s="1"/>
  <c r="BO188" i="1"/>
  <c r="AR188" i="1"/>
  <c r="BM187" i="1"/>
  <c r="AP187" i="1"/>
  <c r="L186" i="1"/>
  <c r="AK185" i="1"/>
  <c r="AL185" i="1" s="1"/>
  <c r="S185" i="1"/>
  <c r="T185" i="1" s="1"/>
  <c r="J185" i="1"/>
  <c r="BO184" i="1"/>
  <c r="AR184" i="1"/>
  <c r="BM183" i="1"/>
  <c r="AP183" i="1"/>
  <c r="N183" i="1"/>
  <c r="L182" i="1"/>
  <c r="AK181" i="1"/>
  <c r="AL181" i="1" s="1"/>
  <c r="S181" i="1"/>
  <c r="T181" i="1" s="1"/>
  <c r="J181" i="1"/>
  <c r="BO180" i="1"/>
  <c r="AR180" i="1"/>
  <c r="BM179" i="1"/>
  <c r="AP179" i="1"/>
  <c r="N179" i="1"/>
  <c r="L178" i="1"/>
  <c r="AK177" i="1"/>
  <c r="AL177" i="1" s="1"/>
  <c r="S177" i="1"/>
  <c r="T177" i="1" s="1"/>
  <c r="J177" i="1"/>
  <c r="BO176" i="1"/>
  <c r="AR176" i="1"/>
  <c r="N175" i="1"/>
  <c r="L174" i="1"/>
  <c r="AK173" i="1"/>
  <c r="AL173" i="1" s="1"/>
  <c r="S173" i="1"/>
  <c r="T173" i="1" s="1"/>
  <c r="J173" i="1"/>
  <c r="BO172" i="1"/>
  <c r="AR172" i="1"/>
  <c r="N171" i="1"/>
  <c r="L170" i="1"/>
  <c r="AK169" i="1"/>
  <c r="AL169" i="1" s="1"/>
  <c r="S169" i="1"/>
  <c r="T169" i="1" s="1"/>
  <c r="J169" i="1"/>
  <c r="CB167" i="1"/>
  <c r="CE167" i="1"/>
  <c r="CL167" i="1"/>
  <c r="CR167" i="1" s="1"/>
  <c r="CC166" i="1"/>
  <c r="CJ166" i="1"/>
  <c r="CP166" i="1" s="1"/>
  <c r="CK163" i="1"/>
  <c r="CQ163" i="1" s="1"/>
  <c r="BL162" i="1"/>
  <c r="AE162" i="1" a="1"/>
  <c r="AE162" i="1" s="1"/>
  <c r="AC161" i="1" a="1"/>
  <c r="AC161" i="1" s="1"/>
  <c r="AO161" i="1"/>
  <c r="BL161" i="1"/>
  <c r="CB161" i="1"/>
  <c r="AP161" i="1"/>
  <c r="BM161" i="1"/>
  <c r="P161" i="1" a="1"/>
  <c r="P161" i="1" s="1"/>
  <c r="Y161" i="1" a="1"/>
  <c r="Y161" i="1" s="1"/>
  <c r="AR161" i="1"/>
  <c r="BO161" i="1"/>
  <c r="I161" i="1"/>
  <c r="Z161" i="1" a="1"/>
  <c r="Z161" i="1" s="1"/>
  <c r="AJ161" i="1"/>
  <c r="S161" i="1"/>
  <c r="T161" i="1" s="1"/>
  <c r="AK161" i="1"/>
  <c r="V161" i="1" a="1"/>
  <c r="V161" i="1" s="1"/>
  <c r="W161" i="1" s="1"/>
  <c r="AN161" i="1"/>
  <c r="BK161" i="1"/>
  <c r="CH161" i="1"/>
  <c r="CQ143" i="1"/>
  <c r="BN185" i="1"/>
  <c r="AQ185" i="1"/>
  <c r="AD185" i="1" a="1"/>
  <c r="AD185" i="1" s="1"/>
  <c r="Y185" i="1" a="1"/>
  <c r="Y185" i="1" s="1"/>
  <c r="P185" i="1" a="1"/>
  <c r="P185" i="1" s="1"/>
  <c r="CF182" i="1"/>
  <c r="CK181" i="1"/>
  <c r="CQ181" i="1" s="1"/>
  <c r="CD181" i="1"/>
  <c r="BN181" i="1"/>
  <c r="AQ181" i="1"/>
  <c r="AD181" i="1" a="1"/>
  <c r="AD181" i="1" s="1"/>
  <c r="Y181" i="1" a="1"/>
  <c r="Y181" i="1" s="1"/>
  <c r="P181" i="1" a="1"/>
  <c r="P181" i="1" s="1"/>
  <c r="CI180" i="1"/>
  <c r="CB180" i="1"/>
  <c r="BL180" i="1"/>
  <c r="AO180" i="1"/>
  <c r="CF178" i="1"/>
  <c r="CK177" i="1"/>
  <c r="CQ177" i="1" s="1"/>
  <c r="CD177" i="1"/>
  <c r="BN177" i="1"/>
  <c r="AQ177" i="1"/>
  <c r="AD177" i="1" a="1"/>
  <c r="AD177" i="1" s="1"/>
  <c r="Y177" i="1" a="1"/>
  <c r="Y177" i="1" s="1"/>
  <c r="P177" i="1" a="1"/>
  <c r="P177" i="1" s="1"/>
  <c r="CI176" i="1"/>
  <c r="CB176" i="1"/>
  <c r="BL176" i="1"/>
  <c r="AO176" i="1"/>
  <c r="CF174" i="1"/>
  <c r="CK173" i="1"/>
  <c r="CQ173" i="1" s="1"/>
  <c r="CD173" i="1"/>
  <c r="BN173" i="1"/>
  <c r="AQ173" i="1"/>
  <c r="AD173" i="1" a="1"/>
  <c r="AD173" i="1" s="1"/>
  <c r="Y173" i="1" a="1"/>
  <c r="Y173" i="1" s="1"/>
  <c r="P173" i="1" a="1"/>
  <c r="P173" i="1" s="1"/>
  <c r="CI172" i="1"/>
  <c r="CB172" i="1"/>
  <c r="BL172" i="1"/>
  <c r="AO172" i="1"/>
  <c r="CF170" i="1"/>
  <c r="CK169" i="1"/>
  <c r="CQ169" i="1" s="1"/>
  <c r="CD169" i="1"/>
  <c r="BN169" i="1"/>
  <c r="AQ169" i="1"/>
  <c r="AD169" i="1" a="1"/>
  <c r="AD169" i="1" s="1"/>
  <c r="Y169" i="1" a="1"/>
  <c r="Y169" i="1" s="1"/>
  <c r="P169" i="1" a="1"/>
  <c r="P169" i="1" s="1"/>
  <c r="CC168" i="1"/>
  <c r="CJ168" i="1"/>
  <c r="DB168" i="1" s="1" a="1"/>
  <c r="DB168" i="1" s="1"/>
  <c r="CK167" i="1"/>
  <c r="CQ167" i="1" s="1"/>
  <c r="M167" i="1"/>
  <c r="CI166" i="1"/>
  <c r="CO166" i="1" s="1"/>
  <c r="K166" i="1"/>
  <c r="CC164" i="1"/>
  <c r="CJ164" i="1"/>
  <c r="CP164" i="1" s="1"/>
  <c r="AO162" i="1"/>
  <c r="AP156" i="1"/>
  <c r="AH155" i="1" a="1"/>
  <c r="AH155" i="1" s="1"/>
  <c r="N155" i="1"/>
  <c r="P155" i="1" a="1"/>
  <c r="P155" i="1" s="1"/>
  <c r="AA155" i="1" a="1"/>
  <c r="AA155" i="1" s="1"/>
  <c r="CL155" i="1"/>
  <c r="CR155" i="1" s="1"/>
  <c r="CF155" i="1"/>
  <c r="V188" i="1" a="1"/>
  <c r="V188" i="1" s="1"/>
  <c r="W188" i="1" s="1"/>
  <c r="CE186" i="1"/>
  <c r="CC185" i="1"/>
  <c r="BM185" i="1"/>
  <c r="AP185" i="1"/>
  <c r="CE182" i="1"/>
  <c r="CC181" i="1"/>
  <c r="BM181" i="1"/>
  <c r="AP181" i="1"/>
  <c r="CE178" i="1"/>
  <c r="CC177" i="1"/>
  <c r="BM177" i="1"/>
  <c r="AP177" i="1"/>
  <c r="CE174" i="1"/>
  <c r="CC173" i="1"/>
  <c r="BM173" i="1"/>
  <c r="AP173" i="1"/>
  <c r="S167" i="1"/>
  <c r="T167" i="1" s="1"/>
  <c r="AK167" i="1"/>
  <c r="V167" i="1" a="1"/>
  <c r="V167" i="1" s="1"/>
  <c r="W167" i="1" s="1"/>
  <c r="AN167" i="1"/>
  <c r="BK167" i="1"/>
  <c r="CH167" i="1"/>
  <c r="AP167" i="1"/>
  <c r="BM167" i="1"/>
  <c r="AR167" i="1"/>
  <c r="BO167" i="1"/>
  <c r="P162" i="1" a="1"/>
  <c r="P162" i="1" s="1"/>
  <c r="Y162" i="1" a="1"/>
  <c r="Y162" i="1" s="1"/>
  <c r="K162" i="1"/>
  <c r="AA162" i="1" a="1"/>
  <c r="AA162" i="1" s="1"/>
  <c r="CC162" i="1"/>
  <c r="CJ162" i="1"/>
  <c r="CP162" i="1" s="1"/>
  <c r="AJ159" i="1"/>
  <c r="CF159" i="1"/>
  <c r="AA159" i="1" a="1"/>
  <c r="AA159" i="1" s="1"/>
  <c r="M159" i="1"/>
  <c r="AG159" i="1" a="1"/>
  <c r="AG159" i="1" s="1"/>
  <c r="CE159" i="1"/>
  <c r="CL159" i="1"/>
  <c r="CR159" i="1" s="1"/>
  <c r="AD154" i="1" a="1"/>
  <c r="AD154" i="1" s="1"/>
  <c r="CH154" i="1"/>
  <c r="CI154" i="1"/>
  <c r="CO154" i="1" s="1"/>
  <c r="AA154" i="1" a="1"/>
  <c r="AA154" i="1" s="1"/>
  <c r="CB154" i="1"/>
  <c r="S154" i="1"/>
  <c r="T154" i="1" s="1"/>
  <c r="BL154" i="1"/>
  <c r="CC154" i="1"/>
  <c r="J154" i="1"/>
  <c r="AO154" i="1"/>
  <c r="BL189" i="1"/>
  <c r="AO189" i="1"/>
  <c r="AG189" i="1" a="1"/>
  <c r="AG189" i="1" s="1"/>
  <c r="AA188" i="1" a="1"/>
  <c r="AA188" i="1" s="1"/>
  <c r="K188" i="1"/>
  <c r="AJ187" i="1"/>
  <c r="Z187" i="1" a="1"/>
  <c r="Z187" i="1" s="1"/>
  <c r="I187" i="1"/>
  <c r="CK186" i="1"/>
  <c r="CQ186" i="1" s="1"/>
  <c r="CI185" i="1"/>
  <c r="CB185" i="1"/>
  <c r="BL185" i="1"/>
  <c r="AO185" i="1"/>
  <c r="AG185" i="1" a="1"/>
  <c r="AG185" i="1" s="1"/>
  <c r="AA184" i="1" a="1"/>
  <c r="AA184" i="1" s="1"/>
  <c r="K184" i="1"/>
  <c r="CF183" i="1"/>
  <c r="AJ183" i="1"/>
  <c r="Z183" i="1" a="1"/>
  <c r="Z183" i="1" s="1"/>
  <c r="I183" i="1"/>
  <c r="CK182" i="1"/>
  <c r="CQ182" i="1" s="1"/>
  <c r="CI181" i="1"/>
  <c r="CB181" i="1"/>
  <c r="BL181" i="1"/>
  <c r="AO181" i="1"/>
  <c r="AG181" i="1" a="1"/>
  <c r="AG181" i="1" s="1"/>
  <c r="AA180" i="1" a="1"/>
  <c r="AA180" i="1" s="1"/>
  <c r="CF179" i="1"/>
  <c r="AJ179" i="1"/>
  <c r="Z179" i="1" a="1"/>
  <c r="Z179" i="1" s="1"/>
  <c r="CK178" i="1"/>
  <c r="CQ178" i="1" s="1"/>
  <c r="CI177" i="1"/>
  <c r="CB177" i="1"/>
  <c r="BL177" i="1"/>
  <c r="AO177" i="1"/>
  <c r="AG177" i="1" a="1"/>
  <c r="AG177" i="1" s="1"/>
  <c r="AA176" i="1" a="1"/>
  <c r="AA176" i="1" s="1"/>
  <c r="CF175" i="1"/>
  <c r="AJ175" i="1"/>
  <c r="Z175" i="1" a="1"/>
  <c r="Z175" i="1" s="1"/>
  <c r="CK174" i="1"/>
  <c r="CQ174" i="1" s="1"/>
  <c r="CI173" i="1"/>
  <c r="CB173" i="1"/>
  <c r="BL173" i="1"/>
  <c r="AO173" i="1"/>
  <c r="AG173" i="1" a="1"/>
  <c r="AG173" i="1" s="1"/>
  <c r="AA172" i="1" a="1"/>
  <c r="AA172" i="1" s="1"/>
  <c r="CF171" i="1"/>
  <c r="AJ171" i="1"/>
  <c r="Z171" i="1" a="1"/>
  <c r="Z171" i="1" s="1"/>
  <c r="CK170" i="1"/>
  <c r="CQ170" i="1" s="1"/>
  <c r="CI169" i="1"/>
  <c r="CB169" i="1"/>
  <c r="BL169" i="1"/>
  <c r="AO169" i="1"/>
  <c r="AG169" i="1" a="1"/>
  <c r="AG169" i="1" s="1"/>
  <c r="V168" i="1" a="1"/>
  <c r="V168" i="1" s="1"/>
  <c r="W168" i="1" s="1"/>
  <c r="AN168" i="1"/>
  <c r="BK168" i="1"/>
  <c r="AP168" i="1"/>
  <c r="BM168" i="1"/>
  <c r="AR168" i="1"/>
  <c r="BO168" i="1"/>
  <c r="S168" i="1"/>
  <c r="T168" i="1" s="1"/>
  <c r="AK168" i="1"/>
  <c r="AL168" i="1" s="1"/>
  <c r="BN167" i="1"/>
  <c r="Y167" i="1" a="1"/>
  <c r="Y167" i="1" s="1"/>
  <c r="CF166" i="1"/>
  <c r="CE165" i="1"/>
  <c r="CL165" i="1"/>
  <c r="CR165" i="1" s="1"/>
  <c r="V164" i="1" a="1"/>
  <c r="V164" i="1" s="1"/>
  <c r="W164" i="1" s="1"/>
  <c r="AN164" i="1"/>
  <c r="BK164" i="1"/>
  <c r="CH164" i="1"/>
  <c r="AP164" i="1"/>
  <c r="BM164" i="1"/>
  <c r="P164" i="1" a="1"/>
  <c r="P164" i="1" s="1"/>
  <c r="Y164" i="1" a="1"/>
  <c r="Y164" i="1" s="1"/>
  <c r="AR164" i="1"/>
  <c r="BO164" i="1"/>
  <c r="S164" i="1"/>
  <c r="T164" i="1" s="1"/>
  <c r="AK164" i="1"/>
  <c r="I167" i="1"/>
  <c r="CE166" i="1"/>
  <c r="CL166" i="1"/>
  <c r="CR166" i="1" s="1"/>
  <c r="M163" i="1"/>
  <c r="AG163" i="1" a="1"/>
  <c r="AG163" i="1" s="1"/>
  <c r="CE163" i="1"/>
  <c r="CL163" i="1"/>
  <c r="CR163" i="1" s="1"/>
  <c r="Y159" i="1" a="1"/>
  <c r="Y159" i="1" s="1"/>
  <c r="Q157" i="1"/>
  <c r="AP154" i="1"/>
  <c r="Q153" i="1"/>
  <c r="AJ188" i="1"/>
  <c r="BN187" i="1"/>
  <c r="AQ187" i="1"/>
  <c r="Y187" i="1" a="1"/>
  <c r="Y187" i="1" s="1"/>
  <c r="AJ184" i="1"/>
  <c r="Y183" i="1" a="1"/>
  <c r="Y183" i="1" s="1"/>
  <c r="AJ180" i="1"/>
  <c r="AJ176" i="1"/>
  <c r="CC165" i="1"/>
  <c r="CJ165" i="1"/>
  <c r="CP165" i="1" s="1"/>
  <c r="Q159" i="1"/>
  <c r="BM162" i="1"/>
  <c r="AP162" i="1"/>
  <c r="AK160" i="1"/>
  <c r="S160" i="1"/>
  <c r="T160" i="1" s="1"/>
  <c r="BO159" i="1"/>
  <c r="AR159" i="1"/>
  <c r="CJ158" i="1"/>
  <c r="CP158" i="1" s="1"/>
  <c r="M158" i="1"/>
  <c r="CL157" i="1"/>
  <c r="CR157" i="1" s="1"/>
  <c r="CD157" i="1"/>
  <c r="BN157" i="1"/>
  <c r="AO157" i="1"/>
  <c r="AE157" i="1" a="1"/>
  <c r="AE157" i="1" s="1"/>
  <c r="Y157" i="1" a="1"/>
  <c r="Y157" i="1" s="1"/>
  <c r="S157" i="1"/>
  <c r="T157" i="1" s="1"/>
  <c r="BN156" i="1"/>
  <c r="AO155" i="1"/>
  <c r="Y155" i="1" a="1"/>
  <c r="Y155" i="1" s="1"/>
  <c r="J155" i="1"/>
  <c r="BO153" i="1"/>
  <c r="AF151" i="1" a="1"/>
  <c r="AF151" i="1" s="1"/>
  <c r="CD151" i="1"/>
  <c r="L151" i="1"/>
  <c r="CR145" i="1"/>
  <c r="DS145" i="1" a="1"/>
  <c r="DS145" i="1" s="1"/>
  <c r="CL164" i="1"/>
  <c r="CR164" i="1" s="1"/>
  <c r="CJ163" i="1"/>
  <c r="CP163" i="1" s="1"/>
  <c r="CH162" i="1"/>
  <c r="BK162" i="1"/>
  <c r="AN162" i="1"/>
  <c r="V162" i="1" a="1"/>
  <c r="V162" i="1" s="1"/>
  <c r="W162" i="1" s="1"/>
  <c r="CL160" i="1"/>
  <c r="CR160" i="1" s="1"/>
  <c r="BO160" i="1"/>
  <c r="AR160" i="1"/>
  <c r="CJ159" i="1"/>
  <c r="CP159" i="1" s="1"/>
  <c r="BM159" i="1"/>
  <c r="AP159" i="1"/>
  <c r="CJ157" i="1"/>
  <c r="CP157" i="1" s="1"/>
  <c r="CB157" i="1"/>
  <c r="BL157" i="1"/>
  <c r="AJ157" i="1"/>
  <c r="AD157" i="1" a="1"/>
  <c r="AD157" i="1" s="1"/>
  <c r="L156" i="1"/>
  <c r="AR156" i="1"/>
  <c r="BO156" i="1"/>
  <c r="I156" i="1"/>
  <c r="Z156" i="1" a="1"/>
  <c r="Z156" i="1" s="1"/>
  <c r="AJ156" i="1"/>
  <c r="BL155" i="1"/>
  <c r="P154" i="1" a="1"/>
  <c r="P154" i="1" s="1"/>
  <c r="Y154" i="1" a="1"/>
  <c r="Y154" i="1" s="1"/>
  <c r="AQ154" i="1"/>
  <c r="BN154" i="1"/>
  <c r="AJ154" i="1"/>
  <c r="AK154" i="1"/>
  <c r="AC153" i="1" a="1"/>
  <c r="AC153" i="1" s="1"/>
  <c r="AO153" i="1"/>
  <c r="BL153" i="1"/>
  <c r="AN153" i="1"/>
  <c r="BM153" i="1"/>
  <c r="I153" i="1"/>
  <c r="S153" i="1"/>
  <c r="T153" i="1" s="1"/>
  <c r="AA153" i="1" a="1"/>
  <c r="AA153" i="1" s="1"/>
  <c r="AP153" i="1"/>
  <c r="BN153" i="1"/>
  <c r="CP152" i="1"/>
  <c r="AQ152" i="1"/>
  <c r="P152" i="1" a="1"/>
  <c r="P152" i="1" s="1"/>
  <c r="AC152" i="1" a="1"/>
  <c r="AC152" i="1" s="1"/>
  <c r="AO152" i="1"/>
  <c r="BL152" i="1"/>
  <c r="Y152" i="1" a="1"/>
  <c r="Y152" i="1" s="1"/>
  <c r="AJ152" i="1"/>
  <c r="CH152" i="1"/>
  <c r="AN152" i="1"/>
  <c r="BM152" i="1"/>
  <c r="I152" i="1"/>
  <c r="S152" i="1"/>
  <c r="T152" i="1" s="1"/>
  <c r="AA152" i="1" a="1"/>
  <c r="AA152" i="1" s="1"/>
  <c r="AP152" i="1"/>
  <c r="BN152" i="1"/>
  <c r="AQ151" i="1"/>
  <c r="P151" i="1" a="1"/>
  <c r="P151" i="1" s="1"/>
  <c r="P150" i="1" a="1"/>
  <c r="P150" i="1" s="1"/>
  <c r="AC150" i="1" a="1"/>
  <c r="AC150" i="1" s="1"/>
  <c r="AO150" i="1"/>
  <c r="BL150" i="1"/>
  <c r="Y150" i="1" a="1"/>
  <c r="Y150" i="1" s="1"/>
  <c r="AJ150" i="1"/>
  <c r="CH150" i="1"/>
  <c r="AN150" i="1"/>
  <c r="BM150" i="1"/>
  <c r="I150" i="1"/>
  <c r="S150" i="1"/>
  <c r="T150" i="1" s="1"/>
  <c r="AA150" i="1" a="1"/>
  <c r="AA150" i="1" s="1"/>
  <c r="AP150" i="1"/>
  <c r="BN150" i="1"/>
  <c r="CK147" i="1"/>
  <c r="DO147" i="1" a="1"/>
  <c r="DO147" i="1" s="1"/>
  <c r="CN147" i="1"/>
  <c r="BL130" i="1"/>
  <c r="CE130" i="1"/>
  <c r="M130" i="1"/>
  <c r="P130" i="1" a="1"/>
  <c r="P130" i="1" s="1"/>
  <c r="Z130" i="1" a="1"/>
  <c r="Z130" i="1" s="1"/>
  <c r="AQ130" i="1"/>
  <c r="AG130" i="1" a="1"/>
  <c r="AG130" i="1" s="1"/>
  <c r="AR130" i="1"/>
  <c r="AJ130" i="1"/>
  <c r="BK130" i="1"/>
  <c r="CK130" i="1"/>
  <c r="CF161" i="1"/>
  <c r="AE161" i="1" a="1"/>
  <c r="AE161" i="1" s="1"/>
  <c r="CD160" i="1"/>
  <c r="BN160" i="1"/>
  <c r="AQ160" i="1"/>
  <c r="Y160" i="1" a="1"/>
  <c r="Y160" i="1" s="1"/>
  <c r="P160" i="1" a="1"/>
  <c r="P160" i="1" s="1"/>
  <c r="CB159" i="1"/>
  <c r="BL159" i="1"/>
  <c r="AO159" i="1"/>
  <c r="AC159" i="1" a="1"/>
  <c r="AC159" i="1" s="1"/>
  <c r="CI157" i="1"/>
  <c r="CO157" i="1" s="1"/>
  <c r="BK157" i="1"/>
  <c r="V157" i="1" a="1"/>
  <c r="V157" i="1" s="1"/>
  <c r="W157" i="1" s="1"/>
  <c r="CK156" i="1"/>
  <c r="CQ156" i="1" s="1"/>
  <c r="BK156" i="1"/>
  <c r="CE155" i="1"/>
  <c r="BK155" i="1"/>
  <c r="AK155" i="1"/>
  <c r="AL155" i="1" s="1"/>
  <c r="AD155" i="1" a="1"/>
  <c r="AD155" i="1" s="1"/>
  <c r="S155" i="1"/>
  <c r="T155" i="1" s="1"/>
  <c r="CJ155" i="1"/>
  <c r="CP155" i="1" s="1"/>
  <c r="L155" i="1"/>
  <c r="CD155" i="1"/>
  <c r="BO154" i="1"/>
  <c r="AN154" i="1"/>
  <c r="V154" i="1" a="1"/>
  <c r="V154" i="1" s="1"/>
  <c r="W154" i="1" s="1"/>
  <c r="Z153" i="1" a="1"/>
  <c r="Z153" i="1" s="1"/>
  <c r="AC151" i="1" a="1"/>
  <c r="AC151" i="1" s="1"/>
  <c r="AO151" i="1"/>
  <c r="BL151" i="1"/>
  <c r="AN151" i="1"/>
  <c r="BM151" i="1"/>
  <c r="I151" i="1"/>
  <c r="S151" i="1"/>
  <c r="T151" i="1" s="1"/>
  <c r="AA151" i="1" a="1"/>
  <c r="AA151" i="1" s="1"/>
  <c r="AP151" i="1"/>
  <c r="BN151" i="1"/>
  <c r="Y151" i="1" a="1"/>
  <c r="Y151" i="1" s="1"/>
  <c r="AJ151" i="1"/>
  <c r="CH151" i="1"/>
  <c r="AQ150" i="1"/>
  <c r="P147" i="1" a="1"/>
  <c r="P147" i="1" s="1"/>
  <c r="AK162" i="1"/>
  <c r="AL162" i="1" s="1"/>
  <c r="S162" i="1"/>
  <c r="T162" i="1" s="1"/>
  <c r="CL161" i="1"/>
  <c r="CR161" i="1" s="1"/>
  <c r="CE161" i="1"/>
  <c r="CJ160" i="1"/>
  <c r="CP160" i="1" s="1"/>
  <c r="CC160" i="1"/>
  <c r="BM160" i="1"/>
  <c r="AP160" i="1"/>
  <c r="CH159" i="1"/>
  <c r="BK159" i="1"/>
  <c r="AN159" i="1"/>
  <c r="V159" i="1" a="1"/>
  <c r="V159" i="1" s="1"/>
  <c r="W159" i="1" s="1"/>
  <c r="CH157" i="1"/>
  <c r="AK156" i="1"/>
  <c r="AL156" i="1" s="1"/>
  <c r="V156" i="1" a="1"/>
  <c r="V156" i="1" s="1"/>
  <c r="W156" i="1" s="1"/>
  <c r="CB155" i="1"/>
  <c r="AE155" i="1" a="1"/>
  <c r="AE155" i="1" s="1"/>
  <c r="K155" i="1"/>
  <c r="CC155" i="1"/>
  <c r="BM154" i="1"/>
  <c r="I154" i="1"/>
  <c r="CK152" i="1"/>
  <c r="AK152" i="1"/>
  <c r="AL152" i="1" s="1"/>
  <c r="CK151" i="1"/>
  <c r="AK151" i="1"/>
  <c r="AQ155" i="1"/>
  <c r="BN155" i="1"/>
  <c r="AH154" i="1" a="1"/>
  <c r="AH154" i="1" s="1"/>
  <c r="N154" i="1"/>
  <c r="Y153" i="1" a="1"/>
  <c r="Y153" i="1" s="1"/>
  <c r="BO152" i="1"/>
  <c r="BO151" i="1"/>
  <c r="Z151" i="1" a="1"/>
  <c r="Z151" i="1" s="1"/>
  <c r="CK150" i="1"/>
  <c r="AK150" i="1"/>
  <c r="Z150" i="1" a="1"/>
  <c r="Z150" i="1" s="1"/>
  <c r="CR149" i="1"/>
  <c r="DS149" i="1" a="1"/>
  <c r="DS149" i="1" s="1"/>
  <c r="M148" i="1"/>
  <c r="AG148" i="1" a="1"/>
  <c r="AG148" i="1" s="1"/>
  <c r="CK148" i="1"/>
  <c r="CL148" i="1"/>
  <c r="V148" i="1" a="1"/>
  <c r="V148" i="1" s="1"/>
  <c r="W148" i="1" s="1"/>
  <c r="AK148" i="1"/>
  <c r="BK148" i="1"/>
  <c r="Y148" i="1" a="1"/>
  <c r="Y148" i="1" s="1"/>
  <c r="BN148" i="1"/>
  <c r="CF148" i="1"/>
  <c r="N146" i="1"/>
  <c r="CF146" i="1"/>
  <c r="AN146" i="1"/>
  <c r="BO146" i="1"/>
  <c r="AQ146" i="1"/>
  <c r="AH146" i="1" a="1"/>
  <c r="AH146" i="1" s="1"/>
  <c r="N128" i="1"/>
  <c r="AO128" i="1"/>
  <c r="BO128" i="1"/>
  <c r="CF128" i="1"/>
  <c r="AH128" i="1" a="1"/>
  <c r="AH128" i="1" s="1"/>
  <c r="AN128" i="1"/>
  <c r="BN128" i="1"/>
  <c r="CL128" i="1"/>
  <c r="V128" i="1" a="1"/>
  <c r="V128" i="1" s="1"/>
  <c r="W128" i="1" s="1"/>
  <c r="AJ128" i="1"/>
  <c r="BL128" i="1"/>
  <c r="CL162" i="1"/>
  <c r="CR162" i="1" s="1"/>
  <c r="BO162" i="1"/>
  <c r="CJ161" i="1"/>
  <c r="CP161" i="1" s="1"/>
  <c r="CH160" i="1"/>
  <c r="BK160" i="1"/>
  <c r="AN160" i="1"/>
  <c r="AK159" i="1"/>
  <c r="S159" i="1"/>
  <c r="T159" i="1" s="1"/>
  <c r="CL158" i="1"/>
  <c r="CR158" i="1" s="1"/>
  <c r="AQ157" i="1"/>
  <c r="Z157" i="1" a="1"/>
  <c r="Z157" i="1" s="1"/>
  <c r="S156" i="1"/>
  <c r="T156" i="1" s="1"/>
  <c r="CE156" i="1"/>
  <c r="CL156" i="1"/>
  <c r="CR156" i="1" s="1"/>
  <c r="CF156" i="1"/>
  <c r="CI155" i="1"/>
  <c r="CO155" i="1" s="1"/>
  <c r="AG155" i="1" a="1"/>
  <c r="AG155" i="1" s="1"/>
  <c r="BK154" i="1"/>
  <c r="AQ153" i="1"/>
  <c r="V153" i="1" a="1"/>
  <c r="V153" i="1" s="1"/>
  <c r="W153" i="1" s="1"/>
  <c r="M153" i="1"/>
  <c r="AG153" i="1" a="1"/>
  <c r="AG153" i="1" s="1"/>
  <c r="CL153" i="1"/>
  <c r="CR153" i="1" s="1"/>
  <c r="CE153" i="1"/>
  <c r="BK152" i="1"/>
  <c r="M152" i="1"/>
  <c r="AG152" i="1" a="1"/>
  <c r="AG152" i="1" s="1"/>
  <c r="CL152" i="1"/>
  <c r="CE152" i="1"/>
  <c r="BO150" i="1"/>
  <c r="M150" i="1"/>
  <c r="AG150" i="1" a="1"/>
  <c r="AG150" i="1" s="1"/>
  <c r="CL150" i="1"/>
  <c r="CE150" i="1"/>
  <c r="N147" i="1"/>
  <c r="CL147" i="1"/>
  <c r="CF147" i="1"/>
  <c r="CL146" i="1"/>
  <c r="N125" i="1"/>
  <c r="AH125" i="1" a="1"/>
  <c r="AH125" i="1" s="1"/>
  <c r="AN125" i="1"/>
  <c r="CF125" i="1"/>
  <c r="BK125" i="1"/>
  <c r="V125" i="1" a="1"/>
  <c r="V125" i="1" s="1"/>
  <c r="W125" i="1" s="1"/>
  <c r="BO125" i="1"/>
  <c r="AJ125" i="1"/>
  <c r="CL125" i="1"/>
  <c r="Z125" i="1" a="1"/>
  <c r="Z125" i="1" s="1"/>
  <c r="AG161" i="1" a="1"/>
  <c r="AG161" i="1" s="1"/>
  <c r="AA160" i="1" a="1"/>
  <c r="AA160" i="1" s="1"/>
  <c r="Z159" i="1" a="1"/>
  <c r="Z159" i="1" s="1"/>
  <c r="CE157" i="1"/>
  <c r="BO157" i="1"/>
  <c r="AP157" i="1"/>
  <c r="J157" i="1"/>
  <c r="AA157" i="1" a="1"/>
  <c r="AA157" i="1" s="1"/>
  <c r="CH155" i="1"/>
  <c r="AR155" i="1"/>
  <c r="CL154" i="1"/>
  <c r="CR154" i="1" s="1"/>
  <c r="CN153" i="1"/>
  <c r="AF153" i="1" a="1"/>
  <c r="AF153" i="1" s="1"/>
  <c r="CD153" i="1"/>
  <c r="L153" i="1"/>
  <c r="L152" i="1"/>
  <c r="AF152" i="1" a="1"/>
  <c r="AF152" i="1" s="1"/>
  <c r="CD152" i="1"/>
  <c r="M151" i="1"/>
  <c r="AG151" i="1" a="1"/>
  <c r="AG151" i="1" s="1"/>
  <c r="CL151" i="1"/>
  <c r="CE151" i="1"/>
  <c r="L150" i="1"/>
  <c r="AF150" i="1" a="1"/>
  <c r="AF150" i="1" s="1"/>
  <c r="CD150" i="1"/>
  <c r="M147" i="1"/>
  <c r="AG147" i="1" a="1"/>
  <c r="AG147" i="1" s="1"/>
  <c r="CE147" i="1"/>
  <c r="Y147" i="1" a="1"/>
  <c r="Y147" i="1" s="1"/>
  <c r="BN147" i="1"/>
  <c r="AN147" i="1"/>
  <c r="BO147" i="1"/>
  <c r="CQ146" i="1"/>
  <c r="DR146" i="1" a="1"/>
  <c r="DR146" i="1" s="1"/>
  <c r="CN142" i="1"/>
  <c r="AC144" i="1" a="1"/>
  <c r="AC144" i="1" s="1"/>
  <c r="AO144" i="1"/>
  <c r="BL144" i="1"/>
  <c r="AP144" i="1"/>
  <c r="BM144" i="1"/>
  <c r="M142" i="1"/>
  <c r="AG142" i="1" a="1"/>
  <c r="AG142" i="1" s="1"/>
  <c r="CE142" i="1"/>
  <c r="CL142" i="1"/>
  <c r="N130" i="1"/>
  <c r="CF130" i="1"/>
  <c r="CL130" i="1"/>
  <c r="CN127" i="1"/>
  <c r="DO127" i="1" a="1"/>
  <c r="DO127" i="1" s="1"/>
  <c r="AP126" i="1"/>
  <c r="DR121" i="1" a="1"/>
  <c r="DR121" i="1" s="1"/>
  <c r="CQ121" i="1"/>
  <c r="CB149" i="1"/>
  <c r="CI149" i="1"/>
  <c r="CW149" i="1" s="1" a="1"/>
  <c r="CW149" i="1" s="1"/>
  <c r="CX149" i="1" s="1"/>
  <c r="CC149" i="1"/>
  <c r="AQ148" i="1"/>
  <c r="Z148" i="1" a="1"/>
  <c r="Z148" i="1" s="1"/>
  <c r="P148" i="1" a="1"/>
  <c r="P148" i="1" s="1"/>
  <c r="AR147" i="1"/>
  <c r="AA146" i="1" a="1"/>
  <c r="AA146" i="1" s="1"/>
  <c r="M146" i="1"/>
  <c r="AG146" i="1" a="1"/>
  <c r="AG146" i="1" s="1"/>
  <c r="CL144" i="1"/>
  <c r="AJ144" i="1"/>
  <c r="I144" i="1"/>
  <c r="BN142" i="1"/>
  <c r="AK142" i="1"/>
  <c r="P142" i="1" a="1"/>
  <c r="P142" i="1" s="1"/>
  <c r="CO82" i="1"/>
  <c r="DP82" i="1" a="1"/>
  <c r="DP82" i="1" s="1"/>
  <c r="CZ82" i="1" a="1"/>
  <c r="CZ82" i="1" s="1"/>
  <c r="CB153" i="1"/>
  <c r="CI153" i="1"/>
  <c r="CB151" i="1"/>
  <c r="CI151" i="1"/>
  <c r="Y149" i="1" a="1"/>
  <c r="Y149" i="1" s="1"/>
  <c r="AC149" i="1" a="1"/>
  <c r="AC149" i="1" s="1"/>
  <c r="AO149" i="1"/>
  <c r="BL149" i="1"/>
  <c r="AP149" i="1"/>
  <c r="BM149" i="1"/>
  <c r="BO148" i="1"/>
  <c r="CB148" i="1"/>
  <c r="CI148" i="1"/>
  <c r="CC148" i="1"/>
  <c r="AQ147" i="1"/>
  <c r="Z147" i="1" a="1"/>
  <c r="Z147" i="1" s="1"/>
  <c r="CH146" i="1"/>
  <c r="AR146" i="1"/>
  <c r="AH145" i="1" a="1"/>
  <c r="AH145" i="1" s="1"/>
  <c r="AA145" i="1" a="1"/>
  <c r="AA145" i="1" s="1"/>
  <c r="M145" i="1"/>
  <c r="AG145" i="1" a="1"/>
  <c r="AG145" i="1" s="1"/>
  <c r="S144" i="1"/>
  <c r="T144" i="1" s="1"/>
  <c r="M143" i="1"/>
  <c r="AG143" i="1" a="1"/>
  <c r="AG143" i="1" s="1"/>
  <c r="CE143" i="1"/>
  <c r="CL143" i="1"/>
  <c r="BK142" i="1"/>
  <c r="AJ142" i="1"/>
  <c r="AA142" i="1" a="1"/>
  <c r="AA142" i="1" s="1"/>
  <c r="CB142" i="1"/>
  <c r="CI142" i="1"/>
  <c r="CC142" i="1"/>
  <c r="AL139" i="1"/>
  <c r="AL138" i="1"/>
  <c r="AL136" i="1"/>
  <c r="CO131" i="1"/>
  <c r="DP131" i="1" a="1"/>
  <c r="DP131" i="1" s="1"/>
  <c r="DP130" i="1" a="1"/>
  <c r="DP130" i="1" s="1"/>
  <c r="CO130" i="1"/>
  <c r="AA130" i="1" a="1"/>
  <c r="AA130" i="1" s="1"/>
  <c r="DS123" i="1" a="1"/>
  <c r="DS123" i="1" s="1"/>
  <c r="CR123" i="1"/>
  <c r="AC148" i="1" a="1"/>
  <c r="AC148" i="1" s="1"/>
  <c r="AO148" i="1"/>
  <c r="BL148" i="1"/>
  <c r="AP148" i="1"/>
  <c r="BM148" i="1"/>
  <c r="CB147" i="1"/>
  <c r="CI147" i="1"/>
  <c r="CC147" i="1"/>
  <c r="Z146" i="1" a="1"/>
  <c r="Z146" i="1" s="1"/>
  <c r="AA144" i="1" a="1"/>
  <c r="AA144" i="1" s="1"/>
  <c r="M144" i="1"/>
  <c r="AG144" i="1" a="1"/>
  <c r="AG144" i="1" s="1"/>
  <c r="CF142" i="1"/>
  <c r="AL133" i="1"/>
  <c r="CN131" i="1"/>
  <c r="DO131" i="1" a="1"/>
  <c r="DO131" i="1" s="1"/>
  <c r="CN118" i="1"/>
  <c r="AC147" i="1" a="1"/>
  <c r="AC147" i="1" s="1"/>
  <c r="AO147" i="1"/>
  <c r="BL147" i="1"/>
  <c r="AP147" i="1"/>
  <c r="BM147" i="1"/>
  <c r="CB146" i="1"/>
  <c r="CI146" i="1"/>
  <c r="CC146" i="1"/>
  <c r="CH144" i="1"/>
  <c r="AR144" i="1"/>
  <c r="Z142" i="1" a="1"/>
  <c r="Z142" i="1" s="1"/>
  <c r="CR129" i="1"/>
  <c r="DS129" i="1" a="1"/>
  <c r="DS129" i="1" s="1"/>
  <c r="M120" i="1"/>
  <c r="AG120" i="1" a="1"/>
  <c r="AG120" i="1" s="1"/>
  <c r="CK120" i="1"/>
  <c r="CL120" i="1"/>
  <c r="CE120" i="1"/>
  <c r="CF120" i="1"/>
  <c r="I155" i="1"/>
  <c r="Z155" i="1" a="1"/>
  <c r="Z155" i="1" s="1"/>
  <c r="CD154" i="1"/>
  <c r="CK154" i="1"/>
  <c r="CQ154" i="1" s="1"/>
  <c r="S149" i="1"/>
  <c r="AJ148" i="1"/>
  <c r="AD148" i="1" a="1"/>
  <c r="AD148" i="1" s="1"/>
  <c r="I148" i="1"/>
  <c r="BK147" i="1"/>
  <c r="AK147" i="1"/>
  <c r="V147" i="1" a="1"/>
  <c r="V147" i="1" s="1"/>
  <c r="W147" i="1" s="1"/>
  <c r="J147" i="1"/>
  <c r="BN146" i="1"/>
  <c r="Y146" i="1" a="1"/>
  <c r="Y146" i="1" s="1"/>
  <c r="AC146" i="1" a="1"/>
  <c r="AC146" i="1" s="1"/>
  <c r="AO146" i="1"/>
  <c r="BL146" i="1"/>
  <c r="AP146" i="1"/>
  <c r="BM146" i="1"/>
  <c r="BO145" i="1"/>
  <c r="AN145" i="1"/>
  <c r="CB145" i="1"/>
  <c r="CI145" i="1"/>
  <c r="CZ145" i="1" s="1" a="1"/>
  <c r="CZ145" i="1" s="1"/>
  <c r="CC145" i="1"/>
  <c r="AQ144" i="1"/>
  <c r="Z144" i="1" a="1"/>
  <c r="Z144" i="1" s="1"/>
  <c r="P144" i="1" a="1"/>
  <c r="P144" i="1" s="1"/>
  <c r="CF143" i="1"/>
  <c r="CB143" i="1"/>
  <c r="CI143" i="1"/>
  <c r="CC143" i="1"/>
  <c r="Y142" i="1" a="1"/>
  <c r="Y142" i="1" s="1"/>
  <c r="V141" i="1" a="1"/>
  <c r="V141" i="1" s="1"/>
  <c r="W141" i="1" s="1"/>
  <c r="M141" i="1"/>
  <c r="AG141" i="1" a="1"/>
  <c r="AG141" i="1" s="1"/>
  <c r="CE141" i="1"/>
  <c r="CL141" i="1"/>
  <c r="DR140" i="1" a="1"/>
  <c r="DR140" i="1" s="1"/>
  <c r="V140" i="1" a="1"/>
  <c r="V140" i="1" s="1"/>
  <c r="W140" i="1" s="1"/>
  <c r="AN140" i="1"/>
  <c r="BK140" i="1"/>
  <c r="M140" i="1"/>
  <c r="AG140" i="1" a="1"/>
  <c r="AG140" i="1" s="1"/>
  <c r="CE140" i="1"/>
  <c r="CL140" i="1"/>
  <c r="DR139" i="1" a="1"/>
  <c r="DR139" i="1" s="1"/>
  <c r="V139" i="1" a="1"/>
  <c r="V139" i="1" s="1"/>
  <c r="W139" i="1" s="1"/>
  <c r="AN139" i="1"/>
  <c r="BK139" i="1"/>
  <c r="M139" i="1"/>
  <c r="AG139" i="1" a="1"/>
  <c r="AG139" i="1" s="1"/>
  <c r="CE139" i="1"/>
  <c r="CL139" i="1"/>
  <c r="DR138" i="1" a="1"/>
  <c r="DR138" i="1" s="1"/>
  <c r="AL135" i="1"/>
  <c r="CE131" i="1"/>
  <c r="M131" i="1"/>
  <c r="AO131" i="1"/>
  <c r="BO131" i="1"/>
  <c r="CF131" i="1"/>
  <c r="AQ131" i="1"/>
  <c r="CK131" i="1"/>
  <c r="AH130" i="1" a="1"/>
  <c r="AH130" i="1" s="1"/>
  <c r="DR129" i="1" a="1"/>
  <c r="DR129" i="1" s="1"/>
  <c r="CQ129" i="1"/>
  <c r="Z128" i="1" a="1"/>
  <c r="Z128" i="1" s="1"/>
  <c r="AF120" i="1" a="1"/>
  <c r="AF120" i="1" s="1"/>
  <c r="V120" i="1" a="1"/>
  <c r="V120" i="1" s="1"/>
  <c r="W120" i="1" s="1"/>
  <c r="AJ120" i="1"/>
  <c r="BK120" i="1"/>
  <c r="L120" i="1"/>
  <c r="Y120" i="1" a="1"/>
  <c r="Y120" i="1" s="1"/>
  <c r="AK120" i="1"/>
  <c r="BM120" i="1"/>
  <c r="CD120" i="1"/>
  <c r="AN120" i="1"/>
  <c r="BN120" i="1"/>
  <c r="P120" i="1" a="1"/>
  <c r="P120" i="1" s="1"/>
  <c r="Z120" i="1" a="1"/>
  <c r="Z120" i="1" s="1"/>
  <c r="AP120" i="1"/>
  <c r="BO120" i="1"/>
  <c r="CJ120" i="1"/>
  <c r="AQ120" i="1"/>
  <c r="AR120" i="1"/>
  <c r="AK157" i="1"/>
  <c r="BM155" i="1"/>
  <c r="AP155" i="1"/>
  <c r="AC155" i="1" a="1"/>
  <c r="AC155" i="1" s="1"/>
  <c r="V155" i="1" a="1"/>
  <c r="V155" i="1" s="1"/>
  <c r="W155" i="1" s="1"/>
  <c r="CB152" i="1"/>
  <c r="CI152" i="1"/>
  <c r="CB150" i="1"/>
  <c r="CI150" i="1"/>
  <c r="AA149" i="1" a="1"/>
  <c r="AA149" i="1" s="1"/>
  <c r="M149" i="1"/>
  <c r="AG149" i="1" a="1"/>
  <c r="AG149" i="1" s="1"/>
  <c r="S148" i="1"/>
  <c r="T148" i="1" s="1"/>
  <c r="AJ147" i="1"/>
  <c r="AD147" i="1" a="1"/>
  <c r="AD147" i="1" s="1"/>
  <c r="I147" i="1"/>
  <c r="CE146" i="1"/>
  <c r="BK146" i="1"/>
  <c r="AK146" i="1"/>
  <c r="AL146" i="1" s="1"/>
  <c r="V146" i="1" a="1"/>
  <c r="V146" i="1" s="1"/>
  <c r="W146" i="1" s="1"/>
  <c r="J146" i="1"/>
  <c r="CF145" i="1"/>
  <c r="BN145" i="1"/>
  <c r="Y145" i="1" a="1"/>
  <c r="Y145" i="1" s="1"/>
  <c r="AC145" i="1" a="1"/>
  <c r="AC145" i="1" s="1"/>
  <c r="AO145" i="1"/>
  <c r="BL145" i="1"/>
  <c r="AP145" i="1"/>
  <c r="BM145" i="1"/>
  <c r="BO144" i="1"/>
  <c r="AN144" i="1"/>
  <c r="CB144" i="1"/>
  <c r="CI144" i="1"/>
  <c r="CC144" i="1"/>
  <c r="Z143" i="1" a="1"/>
  <c r="Z143" i="1" s="1"/>
  <c r="AC143" i="1" a="1"/>
  <c r="AC143" i="1" s="1"/>
  <c r="AO143" i="1"/>
  <c r="BL143" i="1"/>
  <c r="AP143" i="1"/>
  <c r="BM143" i="1"/>
  <c r="AR143" i="1"/>
  <c r="BO143" i="1"/>
  <c r="CK142" i="1"/>
  <c r="AQ142" i="1"/>
  <c r="V142" i="1" a="1"/>
  <c r="V142" i="1" s="1"/>
  <c r="W142" i="1" s="1"/>
  <c r="Q141" i="1"/>
  <c r="Q140" i="1"/>
  <c r="Q139" i="1"/>
  <c r="AL137" i="1"/>
  <c r="Q133" i="1"/>
  <c r="N129" i="1"/>
  <c r="BN129" i="1"/>
  <c r="CF129" i="1"/>
  <c r="AR129" i="1"/>
  <c r="AH129" i="1" a="1"/>
  <c r="AH129" i="1" s="1"/>
  <c r="AA126" i="1" a="1"/>
  <c r="AA126" i="1" s="1"/>
  <c r="AO126" i="1"/>
  <c r="BL126" i="1"/>
  <c r="AD126" i="1" a="1"/>
  <c r="AD126" i="1" s="1"/>
  <c r="AQ126" i="1"/>
  <c r="BN126" i="1"/>
  <c r="J126" i="1"/>
  <c r="V126" i="1" a="1"/>
  <c r="V126" i="1" s="1"/>
  <c r="W126" i="1" s="1"/>
  <c r="BO126" i="1"/>
  <c r="CH126" i="1"/>
  <c r="CI126" i="1"/>
  <c r="Z126" i="1" a="1"/>
  <c r="Z126" i="1" s="1"/>
  <c r="AJ126" i="1"/>
  <c r="AN126" i="1"/>
  <c r="BK126" i="1"/>
  <c r="N122" i="1"/>
  <c r="AK122" i="1"/>
  <c r="BK122" i="1"/>
  <c r="CL122" i="1"/>
  <c r="S122" i="1"/>
  <c r="T122" i="1" s="1"/>
  <c r="AH122" i="1" a="1"/>
  <c r="AH122" i="1" s="1"/>
  <c r="V122" i="1" a="1"/>
  <c r="V122" i="1" s="1"/>
  <c r="W122" i="1" s="1"/>
  <c r="AQ122" i="1"/>
  <c r="AR122" i="1"/>
  <c r="CF122" i="1"/>
  <c r="AA141" i="1" a="1"/>
  <c r="AA141" i="1" s="1"/>
  <c r="AA140" i="1" a="1"/>
  <c r="AA140" i="1" s="1"/>
  <c r="AA139" i="1" a="1"/>
  <c r="AA139" i="1" s="1"/>
  <c r="AA138" i="1" a="1"/>
  <c r="AA138" i="1" s="1"/>
  <c r="AA137" i="1" a="1"/>
  <c r="AA137" i="1" s="1"/>
  <c r="AA136" i="1" a="1"/>
  <c r="AA136" i="1" s="1"/>
  <c r="AA135" i="1" a="1"/>
  <c r="AA135" i="1" s="1"/>
  <c r="AA134" i="1" a="1"/>
  <c r="AA134" i="1" s="1"/>
  <c r="AA133" i="1" a="1"/>
  <c r="AA133" i="1" s="1"/>
  <c r="AA132" i="1" a="1"/>
  <c r="AA132" i="1" s="1"/>
  <c r="V130" i="1" a="1"/>
  <c r="V130" i="1" s="1"/>
  <c r="W130" i="1" s="1"/>
  <c r="BL129" i="1"/>
  <c r="Y128" i="1" a="1"/>
  <c r="Y128" i="1" s="1"/>
  <c r="CI127" i="1"/>
  <c r="AN127" i="1"/>
  <c r="AP127" i="1"/>
  <c r="AP123" i="1"/>
  <c r="CR121" i="1"/>
  <c r="DS121" i="1" a="1"/>
  <c r="DS121" i="1" s="1"/>
  <c r="BO142" i="1"/>
  <c r="AR142" i="1"/>
  <c r="BO141" i="1"/>
  <c r="AR141" i="1"/>
  <c r="BO140" i="1"/>
  <c r="AR140" i="1"/>
  <c r="BO139" i="1"/>
  <c r="AR139" i="1"/>
  <c r="CL138" i="1"/>
  <c r="CE138" i="1"/>
  <c r="BO138" i="1"/>
  <c r="AR138" i="1"/>
  <c r="CL137" i="1"/>
  <c r="CE137" i="1"/>
  <c r="BO137" i="1"/>
  <c r="AR137" i="1"/>
  <c r="CL136" i="1"/>
  <c r="CE136" i="1"/>
  <c r="BO136" i="1"/>
  <c r="AR136" i="1"/>
  <c r="CL135" i="1"/>
  <c r="CE135" i="1"/>
  <c r="BO135" i="1"/>
  <c r="AR135" i="1"/>
  <c r="CL134" i="1"/>
  <c r="CE134" i="1"/>
  <c r="BO134" i="1"/>
  <c r="AR134" i="1"/>
  <c r="CL133" i="1"/>
  <c r="CE133" i="1"/>
  <c r="BO133" i="1"/>
  <c r="AR133" i="1"/>
  <c r="BO132" i="1"/>
  <c r="AR132" i="1"/>
  <c r="Z131" i="1" a="1"/>
  <c r="Z131" i="1" s="1"/>
  <c r="P131" i="1" a="1"/>
  <c r="P131" i="1" s="1"/>
  <c r="CC131" i="1"/>
  <c r="CJ131" i="1"/>
  <c r="DP129" i="1" a="1"/>
  <c r="DP129" i="1" s="1"/>
  <c r="CO129" i="1"/>
  <c r="N127" i="1"/>
  <c r="AH127" i="1" a="1"/>
  <c r="AH127" i="1" s="1"/>
  <c r="V123" i="1" a="1"/>
  <c r="V123" i="1" s="1"/>
  <c r="W123" i="1" s="1"/>
  <c r="AN123" i="1"/>
  <c r="BK123" i="1"/>
  <c r="N123" i="1"/>
  <c r="AH123" i="1" a="1"/>
  <c r="AH123" i="1" s="1"/>
  <c r="N116" i="1"/>
  <c r="AH116" i="1" a="1"/>
  <c r="AH116" i="1" s="1"/>
  <c r="AK116" i="1"/>
  <c r="CL116" i="1"/>
  <c r="CB110" i="1"/>
  <c r="CI110" i="1"/>
  <c r="CH110" i="1"/>
  <c r="J110" i="1"/>
  <c r="AD110" i="1" a="1"/>
  <c r="AD110" i="1" s="1"/>
  <c r="CC110" i="1"/>
  <c r="AN110" i="1"/>
  <c r="AP110" i="1"/>
  <c r="CC130" i="1"/>
  <c r="CJ130" i="1"/>
  <c r="AG129" i="1" a="1"/>
  <c r="AG129" i="1" s="1"/>
  <c r="AA129" i="1" a="1"/>
  <c r="AA129" i="1" s="1"/>
  <c r="DP128" i="1" a="1"/>
  <c r="DP128" i="1" s="1"/>
  <c r="CO128" i="1"/>
  <c r="AA121" i="1" a="1"/>
  <c r="AA121" i="1" s="1"/>
  <c r="AO121" i="1"/>
  <c r="BL121" i="1"/>
  <c r="CB121" i="1"/>
  <c r="CI121" i="1"/>
  <c r="AQ121" i="1"/>
  <c r="AR121" i="1"/>
  <c r="CH121" i="1"/>
  <c r="S121" i="1"/>
  <c r="T121" i="1" s="1"/>
  <c r="V121" i="1" a="1"/>
  <c r="V121" i="1" s="1"/>
  <c r="W121" i="1" s="1"/>
  <c r="J121" i="1"/>
  <c r="AD121" i="1" a="1"/>
  <c r="AD121" i="1" s="1"/>
  <c r="AJ121" i="1"/>
  <c r="AL121" i="1" s="1"/>
  <c r="BK121" i="1"/>
  <c r="CC121" i="1"/>
  <c r="P121" i="1" a="1"/>
  <c r="P121" i="1" s="1"/>
  <c r="Z121" i="1" a="1"/>
  <c r="Z121" i="1" s="1"/>
  <c r="AP121" i="1"/>
  <c r="BO121" i="1"/>
  <c r="S120" i="1"/>
  <c r="T120" i="1" s="1"/>
  <c r="Q113" i="1"/>
  <c r="CH112" i="1"/>
  <c r="CB112" i="1"/>
  <c r="J112" i="1"/>
  <c r="AD112" i="1" a="1"/>
  <c r="AD112" i="1" s="1"/>
  <c r="AR112" i="1"/>
  <c r="AC103" i="1" a="1"/>
  <c r="AC103" i="1" s="1"/>
  <c r="AO103" i="1"/>
  <c r="BL103" i="1"/>
  <c r="CB103" i="1"/>
  <c r="AP103" i="1"/>
  <c r="BM103" i="1"/>
  <c r="P103" i="1" a="1"/>
  <c r="P103" i="1" s="1"/>
  <c r="Y103" i="1" a="1"/>
  <c r="Y103" i="1" s="1"/>
  <c r="AQ103" i="1"/>
  <c r="BN103" i="1"/>
  <c r="AR103" i="1"/>
  <c r="BO103" i="1"/>
  <c r="I103" i="1"/>
  <c r="Z103" i="1" a="1"/>
  <c r="Z103" i="1" s="1"/>
  <c r="AJ103" i="1"/>
  <c r="V103" i="1" a="1"/>
  <c r="V103" i="1" s="1"/>
  <c r="W103" i="1" s="1"/>
  <c r="AN103" i="1"/>
  <c r="BK103" i="1"/>
  <c r="CH103" i="1"/>
  <c r="AK103" i="1"/>
  <c r="AA103" i="1" a="1"/>
  <c r="AA103" i="1" s="1"/>
  <c r="S103" i="1"/>
  <c r="T103" i="1" s="1"/>
  <c r="BM142" i="1"/>
  <c r="AP142" i="1"/>
  <c r="CC141" i="1"/>
  <c r="BM141" i="1"/>
  <c r="AP141" i="1"/>
  <c r="CC140" i="1"/>
  <c r="BM140" i="1"/>
  <c r="AP140" i="1"/>
  <c r="CC139" i="1"/>
  <c r="BM139" i="1"/>
  <c r="AP139" i="1"/>
  <c r="CC138" i="1"/>
  <c r="BM138" i="1"/>
  <c r="AP138" i="1"/>
  <c r="CC137" i="1"/>
  <c r="BM137" i="1"/>
  <c r="AP137" i="1"/>
  <c r="CC136" i="1"/>
  <c r="BM136" i="1"/>
  <c r="AP136" i="1"/>
  <c r="CC135" i="1"/>
  <c r="BM135" i="1"/>
  <c r="AP135" i="1"/>
  <c r="CC134" i="1"/>
  <c r="BM134" i="1"/>
  <c r="AP134" i="1"/>
  <c r="CC133" i="1"/>
  <c r="BM133" i="1"/>
  <c r="AP133" i="1"/>
  <c r="CC132" i="1"/>
  <c r="BM132" i="1"/>
  <c r="AP132" i="1"/>
  <c r="BN131" i="1"/>
  <c r="AN131" i="1"/>
  <c r="AE131" i="1" a="1"/>
  <c r="AE131" i="1" s="1"/>
  <c r="Y131" i="1" a="1"/>
  <c r="Y131" i="1" s="1"/>
  <c r="AP131" i="1"/>
  <c r="BM131" i="1"/>
  <c r="S131" i="1"/>
  <c r="T131" i="1" s="1"/>
  <c r="AK131" i="1"/>
  <c r="BO130" i="1"/>
  <c r="AO130" i="1"/>
  <c r="AQ129" i="1"/>
  <c r="Z129" i="1" a="1"/>
  <c r="Z129" i="1" s="1"/>
  <c r="P129" i="1" a="1"/>
  <c r="P129" i="1" s="1"/>
  <c r="CC129" i="1"/>
  <c r="CJ129" i="1"/>
  <c r="CZ129" i="1" s="1" a="1"/>
  <c r="CZ129" i="1" s="1"/>
  <c r="CH128" i="1"/>
  <c r="AR128" i="1"/>
  <c r="AA128" i="1" a="1"/>
  <c r="AA128" i="1" s="1"/>
  <c r="CC128" i="1"/>
  <c r="CJ128" i="1"/>
  <c r="CB127" i="1"/>
  <c r="V127" i="1" a="1"/>
  <c r="V127" i="1" s="1"/>
  <c r="W127" i="1" s="1"/>
  <c r="N126" i="1"/>
  <c r="AH126" i="1" a="1"/>
  <c r="AH126" i="1" s="1"/>
  <c r="AA125" i="1" a="1"/>
  <c r="AA125" i="1" s="1"/>
  <c r="AO125" i="1"/>
  <c r="BL125" i="1"/>
  <c r="CB125" i="1"/>
  <c r="CI125" i="1"/>
  <c r="AD125" i="1" a="1"/>
  <c r="AD125" i="1" s="1"/>
  <c r="AQ125" i="1"/>
  <c r="BN125" i="1"/>
  <c r="J125" i="1"/>
  <c r="CN124" i="1"/>
  <c r="N124" i="1"/>
  <c r="AH124" i="1" a="1"/>
  <c r="AH124" i="1" s="1"/>
  <c r="P122" i="1" a="1"/>
  <c r="P122" i="1" s="1"/>
  <c r="V114" i="1" a="1"/>
  <c r="V114" i="1" s="1"/>
  <c r="W114" i="1" s="1"/>
  <c r="AN114" i="1"/>
  <c r="BK114" i="1"/>
  <c r="N114" i="1"/>
  <c r="AH114" i="1" a="1"/>
  <c r="AH114" i="1" s="1"/>
  <c r="S114" i="1"/>
  <c r="T114" i="1" s="1"/>
  <c r="AK114" i="1"/>
  <c r="CL114" i="1"/>
  <c r="AJ114" i="1"/>
  <c r="AR114" i="1"/>
  <c r="Z114" i="1" a="1"/>
  <c r="Z114" i="1" s="1"/>
  <c r="CF114" i="1"/>
  <c r="BL142" i="1"/>
  <c r="AO142" i="1"/>
  <c r="CI141" i="1"/>
  <c r="BL141" i="1"/>
  <c r="AO141" i="1"/>
  <c r="CI140" i="1"/>
  <c r="BL140" i="1"/>
  <c r="AO140" i="1"/>
  <c r="CI139" i="1"/>
  <c r="BL139" i="1"/>
  <c r="AO139" i="1"/>
  <c r="CI138" i="1"/>
  <c r="CT138" i="1" s="1" a="1"/>
  <c r="CT138" i="1" s="1"/>
  <c r="BL138" i="1"/>
  <c r="AO138" i="1"/>
  <c r="AG138" i="1" a="1"/>
  <c r="AG138" i="1" s="1"/>
  <c r="M138" i="1"/>
  <c r="CI137" i="1"/>
  <c r="BL137" i="1"/>
  <c r="AO137" i="1"/>
  <c r="AG137" i="1" a="1"/>
  <c r="AG137" i="1" s="1"/>
  <c r="M137" i="1"/>
  <c r="CI136" i="1"/>
  <c r="DB136" i="1" s="1" a="1"/>
  <c r="DB136" i="1" s="1"/>
  <c r="BL136" i="1"/>
  <c r="AO136" i="1"/>
  <c r="AG136" i="1" a="1"/>
  <c r="AG136" i="1" s="1"/>
  <c r="M136" i="1"/>
  <c r="CI135" i="1"/>
  <c r="DB135" i="1" s="1" a="1"/>
  <c r="DB135" i="1" s="1"/>
  <c r="BL135" i="1"/>
  <c r="AO135" i="1"/>
  <c r="AG135" i="1" a="1"/>
  <c r="AG135" i="1" s="1"/>
  <c r="M135" i="1"/>
  <c r="CI134" i="1"/>
  <c r="BL134" i="1"/>
  <c r="AO134" i="1"/>
  <c r="AG134" i="1" a="1"/>
  <c r="AG134" i="1" s="1"/>
  <c r="AC134" i="1" a="1"/>
  <c r="AC134" i="1" s="1"/>
  <c r="M134" i="1"/>
  <c r="CI133" i="1"/>
  <c r="BL133" i="1"/>
  <c r="AO133" i="1"/>
  <c r="AG133" i="1" a="1"/>
  <c r="AG133" i="1" s="1"/>
  <c r="AC133" i="1" a="1"/>
  <c r="AC133" i="1" s="1"/>
  <c r="M133" i="1"/>
  <c r="CI132" i="1"/>
  <c r="CT132" i="1" s="1" a="1"/>
  <c r="CT132" i="1" s="1"/>
  <c r="BL132" i="1"/>
  <c r="AO132" i="1"/>
  <c r="AG132" i="1" a="1"/>
  <c r="AG132" i="1" s="1"/>
  <c r="AC132" i="1" a="1"/>
  <c r="AC132" i="1" s="1"/>
  <c r="M132" i="1"/>
  <c r="CD131" i="1"/>
  <c r="BL131" i="1"/>
  <c r="K131" i="1"/>
  <c r="BN130" i="1"/>
  <c r="AN130" i="1"/>
  <c r="AE130" i="1" a="1"/>
  <c r="AE130" i="1" s="1"/>
  <c r="Y130" i="1" a="1"/>
  <c r="Y130" i="1" s="1"/>
  <c r="AP130" i="1"/>
  <c r="BM130" i="1"/>
  <c r="S130" i="1"/>
  <c r="T130" i="1" s="1"/>
  <c r="AK130" i="1"/>
  <c r="BO129" i="1"/>
  <c r="M129" i="1"/>
  <c r="AQ128" i="1"/>
  <c r="CL127" i="1"/>
  <c r="K127" i="1"/>
  <c r="CC127" i="1"/>
  <c r="CJ127" i="1"/>
  <c r="CD127" i="1"/>
  <c r="AR125" i="1"/>
  <c r="AP125" i="1"/>
  <c r="CL124" i="1"/>
  <c r="DO120" i="1" a="1"/>
  <c r="DO120" i="1" s="1"/>
  <c r="CN120" i="1"/>
  <c r="CR119" i="1"/>
  <c r="DS119" i="1" a="1"/>
  <c r="DS119" i="1" s="1"/>
  <c r="N119" i="1"/>
  <c r="Z119" i="1" a="1"/>
  <c r="Z119" i="1" s="1"/>
  <c r="AP119" i="1"/>
  <c r="BO119" i="1"/>
  <c r="CF119" i="1"/>
  <c r="AH119" i="1" a="1"/>
  <c r="AH119" i="1" s="1"/>
  <c r="BK138" i="1"/>
  <c r="AN138" i="1"/>
  <c r="BK137" i="1"/>
  <c r="AN137" i="1"/>
  <c r="BK136" i="1"/>
  <c r="AN136" i="1"/>
  <c r="BK135" i="1"/>
  <c r="AN135" i="1"/>
  <c r="BK134" i="1"/>
  <c r="BK133" i="1"/>
  <c r="AN132" i="1"/>
  <c r="CL131" i="1"/>
  <c r="CB131" i="1"/>
  <c r="BK131" i="1"/>
  <c r="AJ131" i="1"/>
  <c r="AD131" i="1" a="1"/>
  <c r="AD131" i="1" s="1"/>
  <c r="V131" i="1" a="1"/>
  <c r="V131" i="1" s="1"/>
  <c r="W131" i="1" s="1"/>
  <c r="CZ130" i="1" a="1"/>
  <c r="CZ130" i="1" s="1"/>
  <c r="CN130" i="1"/>
  <c r="K130" i="1"/>
  <c r="AN129" i="1"/>
  <c r="AP129" i="1"/>
  <c r="BM129" i="1"/>
  <c r="S129" i="1"/>
  <c r="T129" i="1" s="1"/>
  <c r="AK129" i="1"/>
  <c r="CQ128" i="1"/>
  <c r="AP128" i="1"/>
  <c r="BM128" i="1"/>
  <c r="P128" i="1" a="1"/>
  <c r="P128" i="1" s="1"/>
  <c r="S128" i="1"/>
  <c r="T128" i="1" s="1"/>
  <c r="AK128" i="1"/>
  <c r="AL128" i="1" s="1"/>
  <c r="AA127" i="1" a="1"/>
  <c r="AA127" i="1" s="1"/>
  <c r="AD127" i="1" a="1"/>
  <c r="AD127" i="1" s="1"/>
  <c r="AQ127" i="1"/>
  <c r="BN127" i="1"/>
  <c r="J127" i="1"/>
  <c r="AA123" i="1" a="1"/>
  <c r="AA123" i="1" s="1"/>
  <c r="CQ119" i="1"/>
  <c r="DR119" i="1" a="1"/>
  <c r="DR119" i="1" s="1"/>
  <c r="BO112" i="1"/>
  <c r="AK127" i="1"/>
  <c r="AL127" i="1" s="1"/>
  <c r="S127" i="1"/>
  <c r="T127" i="1" s="1"/>
  <c r="AK126" i="1"/>
  <c r="AL126" i="1" s="1"/>
  <c r="S126" i="1"/>
  <c r="T126" i="1" s="1"/>
  <c r="AK125" i="1"/>
  <c r="S125" i="1"/>
  <c r="T125" i="1" s="1"/>
  <c r="AK124" i="1"/>
  <c r="S124" i="1"/>
  <c r="T124" i="1" s="1"/>
  <c r="J124" i="1"/>
  <c r="AK123" i="1"/>
  <c r="S123" i="1"/>
  <c r="T123" i="1" s="1"/>
  <c r="J123" i="1"/>
  <c r="AD122" i="1" a="1"/>
  <c r="AD122" i="1" s="1"/>
  <c r="J122" i="1"/>
  <c r="DQ121" i="1" a="1"/>
  <c r="DQ121" i="1" s="1"/>
  <c r="CF121" i="1"/>
  <c r="CD119" i="1"/>
  <c r="BM119" i="1"/>
  <c r="AK119" i="1"/>
  <c r="AL119" i="1" s="1"/>
  <c r="Y119" i="1" a="1"/>
  <c r="Y119" i="1" s="1"/>
  <c r="J119" i="1"/>
  <c r="AA118" i="1" a="1"/>
  <c r="AA118" i="1" s="1"/>
  <c r="AO118" i="1"/>
  <c r="BL118" i="1"/>
  <c r="CB118" i="1"/>
  <c r="CI118" i="1"/>
  <c r="CT118" i="1" s="1" a="1"/>
  <c r="CT118" i="1" s="1"/>
  <c r="CU118" i="1" s="1"/>
  <c r="AP118" i="1"/>
  <c r="BM118" i="1"/>
  <c r="CC118" i="1"/>
  <c r="P118" i="1" a="1"/>
  <c r="P118" i="1" s="1"/>
  <c r="Y118" i="1" a="1"/>
  <c r="Y118" i="1" s="1"/>
  <c r="AD118" i="1" a="1"/>
  <c r="AD118" i="1" s="1"/>
  <c r="AQ118" i="1"/>
  <c r="BN118" i="1"/>
  <c r="CH117" i="1"/>
  <c r="AJ117" i="1"/>
  <c r="BO116" i="1"/>
  <c r="J116" i="1"/>
  <c r="CF115" i="1"/>
  <c r="AC111" i="1" a="1"/>
  <c r="AC111" i="1" s="1"/>
  <c r="AO111" i="1"/>
  <c r="BL111" i="1"/>
  <c r="I111" i="1"/>
  <c r="Z111" i="1" a="1"/>
  <c r="Z111" i="1" s="1"/>
  <c r="AJ111" i="1"/>
  <c r="P111" i="1" a="1"/>
  <c r="P111" i="1" s="1"/>
  <c r="AQ111" i="1"/>
  <c r="BO111" i="1"/>
  <c r="AA111" i="1" a="1"/>
  <c r="AA111" i="1" s="1"/>
  <c r="AR111" i="1"/>
  <c r="S111" i="1"/>
  <c r="T111" i="1" s="1"/>
  <c r="V111" i="1" a="1"/>
  <c r="V111" i="1" s="1"/>
  <c r="W111" i="1" s="1"/>
  <c r="AK111" i="1"/>
  <c r="AL111" i="1" s="1"/>
  <c r="AP111" i="1"/>
  <c r="BN111" i="1"/>
  <c r="AC108" i="1" a="1"/>
  <c r="AC108" i="1" s="1"/>
  <c r="AO108" i="1"/>
  <c r="BL108" i="1"/>
  <c r="AR108" i="1"/>
  <c r="BO108" i="1"/>
  <c r="I108" i="1"/>
  <c r="Z108" i="1" a="1"/>
  <c r="Z108" i="1" s="1"/>
  <c r="AJ108" i="1"/>
  <c r="AL108" i="1" s="1"/>
  <c r="V108" i="1" a="1"/>
  <c r="V108" i="1" s="1"/>
  <c r="W108" i="1" s="1"/>
  <c r="S108" i="1"/>
  <c r="T108" i="1" s="1"/>
  <c r="AN108" i="1"/>
  <c r="BN108" i="1"/>
  <c r="AP108" i="1"/>
  <c r="CH108" i="1"/>
  <c r="AQ108" i="1"/>
  <c r="Y108" i="1" a="1"/>
  <c r="Y108" i="1" s="1"/>
  <c r="P108" i="1" a="1"/>
  <c r="P108" i="1" s="1"/>
  <c r="BM108" i="1"/>
  <c r="P106" i="1" a="1"/>
  <c r="P106" i="1" s="1"/>
  <c r="CI102" i="1"/>
  <c r="CJ102" i="1"/>
  <c r="K102" i="1"/>
  <c r="CC102" i="1"/>
  <c r="AE102" i="1" a="1"/>
  <c r="AE102" i="1" s="1"/>
  <c r="CD102" i="1"/>
  <c r="AO102" i="1"/>
  <c r="AP102" i="1"/>
  <c r="Y102" i="1" a="1"/>
  <c r="Y102" i="1" s="1"/>
  <c r="Y127" i="1" a="1"/>
  <c r="Y127" i="1" s="1"/>
  <c r="P127" i="1" a="1"/>
  <c r="P127" i="1" s="1"/>
  <c r="CD126" i="1"/>
  <c r="Y126" i="1" a="1"/>
  <c r="Y126" i="1" s="1"/>
  <c r="P126" i="1" a="1"/>
  <c r="P126" i="1" s="1"/>
  <c r="CD125" i="1"/>
  <c r="Y125" i="1" a="1"/>
  <c r="Y125" i="1" s="1"/>
  <c r="P125" i="1" a="1"/>
  <c r="P125" i="1" s="1"/>
  <c r="CD124" i="1"/>
  <c r="BN124" i="1"/>
  <c r="AQ124" i="1"/>
  <c r="AD124" i="1" a="1"/>
  <c r="AD124" i="1" s="1"/>
  <c r="Y124" i="1" a="1"/>
  <c r="Y124" i="1" s="1"/>
  <c r="P124" i="1" a="1"/>
  <c r="P124" i="1" s="1"/>
  <c r="CD123" i="1"/>
  <c r="BN123" i="1"/>
  <c r="AQ123" i="1"/>
  <c r="AD123" i="1" a="1"/>
  <c r="AD123" i="1" s="1"/>
  <c r="Y123" i="1" a="1"/>
  <c r="Y123" i="1" s="1"/>
  <c r="P123" i="1" a="1"/>
  <c r="P123" i="1" s="1"/>
  <c r="BN122" i="1"/>
  <c r="AP122" i="1"/>
  <c r="S119" i="1"/>
  <c r="T119" i="1" s="1"/>
  <c r="N117" i="1"/>
  <c r="AH117" i="1" a="1"/>
  <c r="AH117" i="1" s="1"/>
  <c r="V116" i="1" a="1"/>
  <c r="V116" i="1" s="1"/>
  <c r="W116" i="1" s="1"/>
  <c r="V115" i="1" a="1"/>
  <c r="V115" i="1" s="1"/>
  <c r="W115" i="1" s="1"/>
  <c r="N115" i="1"/>
  <c r="AH115" i="1" a="1"/>
  <c r="AH115" i="1" s="1"/>
  <c r="AK115" i="1"/>
  <c r="I112" i="1"/>
  <c r="Z112" i="1" a="1"/>
  <c r="Z112" i="1" s="1"/>
  <c r="AJ112" i="1"/>
  <c r="P112" i="1" a="1"/>
  <c r="P112" i="1" s="1"/>
  <c r="AN112" i="1"/>
  <c r="BK112" i="1"/>
  <c r="S112" i="1"/>
  <c r="T112" i="1" s="1"/>
  <c r="AA112" i="1" a="1"/>
  <c r="AA112" i="1" s="1"/>
  <c r="AO112" i="1"/>
  <c r="BL112" i="1"/>
  <c r="AP112" i="1"/>
  <c r="BM112" i="1"/>
  <c r="V112" i="1" a="1"/>
  <c r="V112" i="1" s="1"/>
  <c r="W112" i="1" s="1"/>
  <c r="AC112" i="1" a="1"/>
  <c r="AC112" i="1" s="1"/>
  <c r="AQ112" i="1"/>
  <c r="BN112" i="1"/>
  <c r="Y112" i="1" a="1"/>
  <c r="Y112" i="1" s="1"/>
  <c r="AK112" i="1"/>
  <c r="AC110" i="1" a="1"/>
  <c r="AC110" i="1" s="1"/>
  <c r="AO110" i="1"/>
  <c r="BL110" i="1"/>
  <c r="I110" i="1"/>
  <c r="Z110" i="1" a="1"/>
  <c r="Z110" i="1" s="1"/>
  <c r="AJ110" i="1"/>
  <c r="AA110" i="1" a="1"/>
  <c r="AA110" i="1" s="1"/>
  <c r="AR110" i="1"/>
  <c r="S110" i="1"/>
  <c r="T110" i="1" s="1"/>
  <c r="V110" i="1" a="1"/>
  <c r="V110" i="1" s="1"/>
  <c r="W110" i="1" s="1"/>
  <c r="AK110" i="1"/>
  <c r="BK110" i="1"/>
  <c r="P110" i="1" a="1"/>
  <c r="P110" i="1" s="1"/>
  <c r="AQ110" i="1"/>
  <c r="BO110" i="1"/>
  <c r="CF106" i="1"/>
  <c r="BM127" i="1"/>
  <c r="CJ126" i="1"/>
  <c r="CC126" i="1"/>
  <c r="BM126" i="1"/>
  <c r="CJ125" i="1"/>
  <c r="CC125" i="1"/>
  <c r="BM125" i="1"/>
  <c r="CJ124" i="1"/>
  <c r="CC124" i="1"/>
  <c r="BM124" i="1"/>
  <c r="CJ123" i="1"/>
  <c r="CC123" i="1"/>
  <c r="BM123" i="1"/>
  <c r="CC122" i="1"/>
  <c r="BM122" i="1"/>
  <c r="AO122" i="1"/>
  <c r="AA120" i="1" a="1"/>
  <c r="AA120" i="1" s="1"/>
  <c r="AO120" i="1"/>
  <c r="BL120" i="1"/>
  <c r="CB120" i="1"/>
  <c r="CI120" i="1"/>
  <c r="CH119" i="1"/>
  <c r="AR119" i="1"/>
  <c r="DS118" i="1" a="1"/>
  <c r="DS118" i="1" s="1"/>
  <c r="N118" i="1"/>
  <c r="AH118" i="1" a="1"/>
  <c r="AH118" i="1" s="1"/>
  <c r="V117" i="1" a="1"/>
  <c r="V117" i="1" s="1"/>
  <c r="W117" i="1" s="1"/>
  <c r="AR116" i="1"/>
  <c r="S116" i="1"/>
  <c r="T116" i="1" s="1"/>
  <c r="AN115" i="1"/>
  <c r="DS113" i="1" a="1"/>
  <c r="DS113" i="1" s="1"/>
  <c r="CR113" i="1"/>
  <c r="AG113" i="1" a="1"/>
  <c r="AG113" i="1" s="1"/>
  <c r="M113" i="1"/>
  <c r="CK113" i="1"/>
  <c r="Q107" i="1"/>
  <c r="M106" i="1"/>
  <c r="AG106" i="1" a="1"/>
  <c r="AG106" i="1" s="1"/>
  <c r="CE106" i="1"/>
  <c r="CL106" i="1"/>
  <c r="AP106" i="1"/>
  <c r="CK106" i="1"/>
  <c r="AK106" i="1"/>
  <c r="BN106" i="1"/>
  <c r="CI124" i="1"/>
  <c r="CB124" i="1"/>
  <c r="BL124" i="1"/>
  <c r="AO124" i="1"/>
  <c r="CI123" i="1"/>
  <c r="CT123" i="1" s="1" a="1"/>
  <c r="CT123" i="1" s="1"/>
  <c r="CU123" i="1" s="1"/>
  <c r="CB123" i="1"/>
  <c r="BL123" i="1"/>
  <c r="AO123" i="1"/>
  <c r="CI122" i="1"/>
  <c r="CB122" i="1"/>
  <c r="BL122" i="1"/>
  <c r="AN122" i="1"/>
  <c r="Z122" i="1" a="1"/>
  <c r="Z122" i="1" s="1"/>
  <c r="AR117" i="1"/>
  <c r="AF113" i="1" a="1"/>
  <c r="AF113" i="1" s="1"/>
  <c r="V113" i="1" a="1"/>
  <c r="V113" i="1" s="1"/>
  <c r="W113" i="1" s="1"/>
  <c r="AN113" i="1"/>
  <c r="BK113" i="1"/>
  <c r="L113" i="1"/>
  <c r="AP113" i="1"/>
  <c r="BM113" i="1"/>
  <c r="CJ113" i="1"/>
  <c r="CD113" i="1"/>
  <c r="S113" i="1"/>
  <c r="T113" i="1" s="1"/>
  <c r="AK113" i="1"/>
  <c r="AL113" i="1" s="1"/>
  <c r="M109" i="1"/>
  <c r="AG109" i="1" a="1"/>
  <c r="AG109" i="1" s="1"/>
  <c r="CK109" i="1"/>
  <c r="CL109" i="1"/>
  <c r="AQ109" i="1"/>
  <c r="AC104" i="1" a="1"/>
  <c r="AC104" i="1" s="1"/>
  <c r="AO104" i="1"/>
  <c r="BL104" i="1"/>
  <c r="CB104" i="1"/>
  <c r="AP104" i="1"/>
  <c r="BM104" i="1"/>
  <c r="P104" i="1" a="1"/>
  <c r="P104" i="1" s="1"/>
  <c r="Y104" i="1" a="1"/>
  <c r="Y104" i="1" s="1"/>
  <c r="AQ104" i="1"/>
  <c r="BN104" i="1"/>
  <c r="AR104" i="1"/>
  <c r="BO104" i="1"/>
  <c r="I104" i="1"/>
  <c r="Z104" i="1" a="1"/>
  <c r="Z104" i="1" s="1"/>
  <c r="AJ104" i="1"/>
  <c r="AL104" i="1" s="1"/>
  <c r="V104" i="1" a="1"/>
  <c r="V104" i="1" s="1"/>
  <c r="W104" i="1" s="1"/>
  <c r="AN104" i="1"/>
  <c r="BK104" i="1"/>
  <c r="CH104" i="1"/>
  <c r="AA104" i="1" a="1"/>
  <c r="AA104" i="1" s="1"/>
  <c r="AA122" i="1" a="1"/>
  <c r="AA122" i="1" s="1"/>
  <c r="M121" i="1"/>
  <c r="AG121" i="1" a="1"/>
  <c r="AG121" i="1" s="1"/>
  <c r="AA119" i="1" a="1"/>
  <c r="AA119" i="1" s="1"/>
  <c r="AO119" i="1"/>
  <c r="BL119" i="1"/>
  <c r="CB119" i="1"/>
  <c r="CI119" i="1"/>
  <c r="P119" i="1" a="1"/>
  <c r="P119" i="1" s="1"/>
  <c r="AA116" i="1" a="1"/>
  <c r="AA116" i="1" s="1"/>
  <c r="AO116" i="1"/>
  <c r="BL116" i="1"/>
  <c r="CB116" i="1"/>
  <c r="CI116" i="1"/>
  <c r="AP116" i="1"/>
  <c r="BM116" i="1"/>
  <c r="CC116" i="1"/>
  <c r="P116" i="1" a="1"/>
  <c r="P116" i="1" s="1"/>
  <c r="Y116" i="1" a="1"/>
  <c r="Y116" i="1" s="1"/>
  <c r="AD116" i="1" a="1"/>
  <c r="AD116" i="1" s="1"/>
  <c r="AQ116" i="1"/>
  <c r="BN116" i="1"/>
  <c r="AA114" i="1" a="1"/>
  <c r="AA114" i="1" s="1"/>
  <c r="CP111" i="1"/>
  <c r="DQ111" i="1" a="1"/>
  <c r="DQ111" i="1" s="1"/>
  <c r="CR110" i="1"/>
  <c r="DS110" i="1" a="1"/>
  <c r="DS110" i="1" s="1"/>
  <c r="CJ101" i="1"/>
  <c r="CK101" i="1"/>
  <c r="L101" i="1"/>
  <c r="CD101" i="1"/>
  <c r="AF101" i="1" a="1"/>
  <c r="AF101" i="1" s="1"/>
  <c r="P101" i="1" a="1"/>
  <c r="P101" i="1" s="1"/>
  <c r="AP101" i="1"/>
  <c r="Z101" i="1" a="1"/>
  <c r="Z101" i="1" s="1"/>
  <c r="AQ101" i="1"/>
  <c r="AA101" i="1" a="1"/>
  <c r="AA101" i="1" s="1"/>
  <c r="AJ122" i="1"/>
  <c r="Y122" i="1" a="1"/>
  <c r="Y122" i="1" s="1"/>
  <c r="BN119" i="1"/>
  <c r="AN119" i="1"/>
  <c r="AL117" i="1"/>
  <c r="AA117" i="1" a="1"/>
  <c r="AA117" i="1" s="1"/>
  <c r="AO117" i="1"/>
  <c r="BL117" i="1"/>
  <c r="CB117" i="1"/>
  <c r="CI117" i="1"/>
  <c r="AP117" i="1"/>
  <c r="BM117" i="1"/>
  <c r="CC117" i="1"/>
  <c r="P117" i="1" a="1"/>
  <c r="P117" i="1" s="1"/>
  <c r="Y117" i="1" a="1"/>
  <c r="Y117" i="1" s="1"/>
  <c r="AD117" i="1" a="1"/>
  <c r="AD117" i="1" s="1"/>
  <c r="AQ117" i="1"/>
  <c r="BN117" i="1"/>
  <c r="CH116" i="1"/>
  <c r="AJ116" i="1"/>
  <c r="DO115" i="1" a="1"/>
  <c r="DO115" i="1" s="1"/>
  <c r="CN111" i="1"/>
  <c r="DO111" i="1" a="1"/>
  <c r="DO111" i="1" s="1"/>
  <c r="CQ110" i="1"/>
  <c r="DR110" i="1" a="1"/>
  <c r="DR110" i="1" s="1"/>
  <c r="S115" i="1"/>
  <c r="T115" i="1" s="1"/>
  <c r="J115" i="1"/>
  <c r="CB108" i="1"/>
  <c r="BN115" i="1"/>
  <c r="AQ115" i="1"/>
  <c r="AD115" i="1" a="1"/>
  <c r="AD115" i="1" s="1"/>
  <c r="Y115" i="1" a="1"/>
  <c r="Y115" i="1" s="1"/>
  <c r="P115" i="1" a="1"/>
  <c r="P115" i="1" s="1"/>
  <c r="BN114" i="1"/>
  <c r="AQ114" i="1"/>
  <c r="AD114" i="1" a="1"/>
  <c r="AD114" i="1" s="1"/>
  <c r="Y114" i="1" a="1"/>
  <c r="Y114" i="1" s="1"/>
  <c r="P114" i="1" a="1"/>
  <c r="P114" i="1" s="1"/>
  <c r="BN113" i="1"/>
  <c r="AQ113" i="1"/>
  <c r="AH113" i="1" a="1"/>
  <c r="AH113" i="1" s="1"/>
  <c r="AD113" i="1" a="1"/>
  <c r="AD113" i="1" s="1"/>
  <c r="Y113" i="1" a="1"/>
  <c r="Y113" i="1" s="1"/>
  <c r="CL112" i="1"/>
  <c r="CD112" i="1"/>
  <c r="K112" i="1"/>
  <c r="CI111" i="1"/>
  <c r="CZ111" i="1" s="1" a="1"/>
  <c r="CZ111" i="1" s="1"/>
  <c r="AD111" i="1" a="1"/>
  <c r="AD111" i="1" s="1"/>
  <c r="J111" i="1"/>
  <c r="BM109" i="1"/>
  <c r="S109" i="1"/>
  <c r="T109" i="1" s="1"/>
  <c r="CK107" i="1"/>
  <c r="AP107" i="1"/>
  <c r="AC107" i="1" a="1"/>
  <c r="AC107" i="1" s="1"/>
  <c r="AO107" i="1"/>
  <c r="BL107" i="1"/>
  <c r="AR107" i="1"/>
  <c r="BO107" i="1"/>
  <c r="I107" i="1"/>
  <c r="Z107" i="1" a="1"/>
  <c r="Z107" i="1" s="1"/>
  <c r="AJ107" i="1"/>
  <c r="V107" i="1" a="1"/>
  <c r="V107" i="1" s="1"/>
  <c r="W107" i="1" s="1"/>
  <c r="AN107" i="1"/>
  <c r="BK107" i="1"/>
  <c r="CH107" i="1"/>
  <c r="CP106" i="1"/>
  <c r="CQ102" i="1"/>
  <c r="J102" i="1"/>
  <c r="V102" i="1" a="1"/>
  <c r="V102" i="1" s="1"/>
  <c r="W102" i="1" s="1"/>
  <c r="AJ102" i="1"/>
  <c r="BK102" i="1"/>
  <c r="CB102" i="1"/>
  <c r="AD102" i="1" a="1"/>
  <c r="AD102" i="1" s="1"/>
  <c r="BL102" i="1"/>
  <c r="AN102" i="1"/>
  <c r="BM102" i="1"/>
  <c r="P102" i="1" a="1"/>
  <c r="P102" i="1" s="1"/>
  <c r="AA102" i="1" a="1"/>
  <c r="AA102" i="1" s="1"/>
  <c r="AQ102" i="1"/>
  <c r="CH102" i="1"/>
  <c r="BK101" i="1"/>
  <c r="K101" i="1"/>
  <c r="CC101" i="1"/>
  <c r="AE101" i="1" a="1"/>
  <c r="AE101" i="1" s="1"/>
  <c r="AN101" i="1"/>
  <c r="BM101" i="1"/>
  <c r="CI101" i="1"/>
  <c r="CE98" i="1"/>
  <c r="CO95" i="1"/>
  <c r="DP95" i="1" a="1"/>
  <c r="DP95" i="1" s="1"/>
  <c r="CF92" i="1"/>
  <c r="N92" i="1"/>
  <c r="AH92" i="1" a="1"/>
  <c r="AH92" i="1" s="1"/>
  <c r="V92" i="1" a="1"/>
  <c r="V92" i="1" s="1"/>
  <c r="W92" i="1" s="1"/>
  <c r="AK92" i="1"/>
  <c r="BK92" i="1"/>
  <c r="BM92" i="1"/>
  <c r="CL92" i="1"/>
  <c r="AJ92" i="1"/>
  <c r="CC115" i="1"/>
  <c r="BM115" i="1"/>
  <c r="AP115" i="1"/>
  <c r="CC114" i="1"/>
  <c r="BM114" i="1"/>
  <c r="AP114" i="1"/>
  <c r="CK112" i="1"/>
  <c r="CC112" i="1"/>
  <c r="BK109" i="1"/>
  <c r="AK109" i="1"/>
  <c r="P109" i="1" a="1"/>
  <c r="P109" i="1" s="1"/>
  <c r="CK108" i="1"/>
  <c r="CJ107" i="1"/>
  <c r="AA107" i="1" a="1"/>
  <c r="AA107" i="1" s="1"/>
  <c r="S106" i="1"/>
  <c r="T106" i="1" s="1"/>
  <c r="L98" i="1"/>
  <c r="CD98" i="1"/>
  <c r="CK98" i="1"/>
  <c r="Z98" i="1" a="1"/>
  <c r="Z98" i="1" s="1"/>
  <c r="BM98" i="1"/>
  <c r="AJ98" i="1"/>
  <c r="CJ98" i="1"/>
  <c r="AO98" i="1"/>
  <c r="AG119" i="1" a="1"/>
  <c r="AG119" i="1" s="1"/>
  <c r="AG118" i="1" a="1"/>
  <c r="AG118" i="1" s="1"/>
  <c r="AG117" i="1" a="1"/>
  <c r="AG117" i="1" s="1"/>
  <c r="AG116" i="1" a="1"/>
  <c r="AG116" i="1" s="1"/>
  <c r="CI115" i="1"/>
  <c r="DA115" i="1" s="1" a="1"/>
  <c r="DA115" i="1" s="1"/>
  <c r="CB115" i="1"/>
  <c r="BL115" i="1"/>
  <c r="AO115" i="1"/>
  <c r="AG115" i="1" a="1"/>
  <c r="AG115" i="1" s="1"/>
  <c r="CI114" i="1"/>
  <c r="CB114" i="1"/>
  <c r="BL114" i="1"/>
  <c r="AO114" i="1"/>
  <c r="AG114" i="1" a="1"/>
  <c r="AG114" i="1" s="1"/>
  <c r="CI113" i="1"/>
  <c r="CB113" i="1"/>
  <c r="BL113" i="1"/>
  <c r="AO113" i="1"/>
  <c r="CJ112" i="1"/>
  <c r="CF112" i="1"/>
  <c r="AH111" i="1" a="1"/>
  <c r="AH111" i="1" s="1"/>
  <c r="M111" i="1"/>
  <c r="AG111" i="1" a="1"/>
  <c r="AG111" i="1" s="1"/>
  <c r="CF110" i="1"/>
  <c r="CB109" i="1"/>
  <c r="CI109" i="1"/>
  <c r="CJ108" i="1"/>
  <c r="AF108" i="1" a="1"/>
  <c r="AF108" i="1" s="1"/>
  <c r="M108" i="1"/>
  <c r="AG108" i="1" a="1"/>
  <c r="AG108" i="1" s="1"/>
  <c r="CE108" i="1"/>
  <c r="CL108" i="1"/>
  <c r="BN107" i="1"/>
  <c r="AK107" i="1"/>
  <c r="AQ106" i="1"/>
  <c r="AK105" i="1"/>
  <c r="Y101" i="1" a="1"/>
  <c r="Y101" i="1" s="1"/>
  <c r="CC100" i="1"/>
  <c r="AE100" i="1" a="1"/>
  <c r="AE100" i="1" s="1"/>
  <c r="CD100" i="1"/>
  <c r="K100" i="1"/>
  <c r="CJ100" i="1"/>
  <c r="CI112" i="1"/>
  <c r="M110" i="1"/>
  <c r="AG110" i="1" a="1"/>
  <c r="AG110" i="1" s="1"/>
  <c r="AC109" i="1" a="1"/>
  <c r="AC109" i="1" s="1"/>
  <c r="AO109" i="1"/>
  <c r="BL109" i="1"/>
  <c r="AR109" i="1"/>
  <c r="I109" i="1"/>
  <c r="Z109" i="1" a="1"/>
  <c r="Z109" i="1" s="1"/>
  <c r="AJ109" i="1"/>
  <c r="AC106" i="1" a="1"/>
  <c r="AC106" i="1" s="1"/>
  <c r="AO106" i="1"/>
  <c r="BL106" i="1"/>
  <c r="CB106" i="1"/>
  <c r="AR106" i="1"/>
  <c r="BO106" i="1"/>
  <c r="I106" i="1"/>
  <c r="Z106" i="1" a="1"/>
  <c r="Z106" i="1" s="1"/>
  <c r="AJ106" i="1"/>
  <c r="V106" i="1" a="1"/>
  <c r="V106" i="1" s="1"/>
  <c r="W106" i="1" s="1"/>
  <c r="AN106" i="1"/>
  <c r="BK106" i="1"/>
  <c r="CH106" i="1"/>
  <c r="AC105" i="1" a="1"/>
  <c r="AC105" i="1" s="1"/>
  <c r="AO105" i="1"/>
  <c r="BL105" i="1"/>
  <c r="CB105" i="1"/>
  <c r="AP105" i="1"/>
  <c r="BM105" i="1"/>
  <c r="P105" i="1" a="1"/>
  <c r="P105" i="1" s="1"/>
  <c r="Y105" i="1" a="1"/>
  <c r="Y105" i="1" s="1"/>
  <c r="AQ105" i="1"/>
  <c r="AR105" i="1"/>
  <c r="BO105" i="1"/>
  <c r="I105" i="1"/>
  <c r="Z105" i="1" a="1"/>
  <c r="Z105" i="1" s="1"/>
  <c r="AJ105" i="1"/>
  <c r="V105" i="1" a="1"/>
  <c r="V105" i="1" s="1"/>
  <c r="W105" i="1" s="1"/>
  <c r="AN105" i="1"/>
  <c r="BK105" i="1"/>
  <c r="CH105" i="1"/>
  <c r="CO100" i="1"/>
  <c r="DP100" i="1" a="1"/>
  <c r="DP100" i="1" s="1"/>
  <c r="J100" i="1"/>
  <c r="AJ100" i="1"/>
  <c r="BK100" i="1"/>
  <c r="CB100" i="1"/>
  <c r="V100" i="1" a="1"/>
  <c r="V100" i="1" s="1"/>
  <c r="W100" i="1" s="1"/>
  <c r="AD100" i="1" a="1"/>
  <c r="AD100" i="1" s="1"/>
  <c r="BL100" i="1"/>
  <c r="AN100" i="1"/>
  <c r="BM100" i="1"/>
  <c r="AO100" i="1"/>
  <c r="BN100" i="1"/>
  <c r="Z100" i="1" a="1"/>
  <c r="Z100" i="1" s="1"/>
  <c r="AP100" i="1"/>
  <c r="AF95" i="1" a="1"/>
  <c r="AF95" i="1" s="1"/>
  <c r="CD95" i="1"/>
  <c r="L95" i="1"/>
  <c r="P95" i="1" a="1"/>
  <c r="P95" i="1" s="1"/>
  <c r="AK95" i="1"/>
  <c r="AN95" i="1"/>
  <c r="BL95" i="1"/>
  <c r="CJ95" i="1"/>
  <c r="AA113" i="1" a="1"/>
  <c r="AA113" i="1" s="1"/>
  <c r="CE111" i="1"/>
  <c r="CH109" i="1"/>
  <c r="Y109" i="1" a="1"/>
  <c r="Y109" i="1" s="1"/>
  <c r="CD107" i="1"/>
  <c r="M107" i="1"/>
  <c r="AG107" i="1" a="1"/>
  <c r="AG107" i="1" s="1"/>
  <c r="CE107" i="1"/>
  <c r="CL107" i="1"/>
  <c r="AA106" i="1" a="1"/>
  <c r="AA106" i="1" s="1"/>
  <c r="CH100" i="1"/>
  <c r="DQ99" i="1" a="1"/>
  <c r="DQ99" i="1" s="1"/>
  <c r="CP99" i="1"/>
  <c r="AR99" i="1"/>
  <c r="BO99" i="1"/>
  <c r="S99" i="1"/>
  <c r="T99" i="1" s="1"/>
  <c r="AK99" i="1"/>
  <c r="AL99" i="1" s="1"/>
  <c r="V99" i="1" a="1"/>
  <c r="V99" i="1" s="1"/>
  <c r="W99" i="1" s="1"/>
  <c r="AN99" i="1"/>
  <c r="BK99" i="1"/>
  <c r="CH99" i="1"/>
  <c r="P99" i="1" a="1"/>
  <c r="P99" i="1" s="1"/>
  <c r="Y99" i="1" a="1"/>
  <c r="Y99" i="1" s="1"/>
  <c r="AQ99" i="1"/>
  <c r="BN99" i="1"/>
  <c r="CB99" i="1"/>
  <c r="BL99" i="1"/>
  <c r="I99" i="1"/>
  <c r="Z99" i="1" a="1"/>
  <c r="Z99" i="1" s="1"/>
  <c r="BM99" i="1"/>
  <c r="AA99" i="1" a="1"/>
  <c r="AA99" i="1" s="1"/>
  <c r="AJ99" i="1"/>
  <c r="AP99" i="1"/>
  <c r="AP98" i="1"/>
  <c r="AR96" i="1"/>
  <c r="BO96" i="1"/>
  <c r="I96" i="1"/>
  <c r="Z96" i="1" a="1"/>
  <c r="Z96" i="1" s="1"/>
  <c r="AJ96" i="1"/>
  <c r="S96" i="1"/>
  <c r="T96" i="1" s="1"/>
  <c r="AK96" i="1"/>
  <c r="V96" i="1" a="1"/>
  <c r="V96" i="1" s="1"/>
  <c r="W96" i="1" s="1"/>
  <c r="AN96" i="1"/>
  <c r="BK96" i="1"/>
  <c r="CH96" i="1"/>
  <c r="P96" i="1" a="1"/>
  <c r="P96" i="1" s="1"/>
  <c r="Y96" i="1" a="1"/>
  <c r="Y96" i="1" s="1"/>
  <c r="AQ96" i="1"/>
  <c r="BN96" i="1"/>
  <c r="AA96" i="1" a="1"/>
  <c r="AA96" i="1" s="1"/>
  <c r="AO96" i="1"/>
  <c r="AC96" i="1" a="1"/>
  <c r="AC96" i="1" s="1"/>
  <c r="AP96" i="1"/>
  <c r="CB96" i="1"/>
  <c r="K94" i="1"/>
  <c r="CJ94" i="1"/>
  <c r="DB94" i="1" s="1" a="1"/>
  <c r="DB94" i="1" s="1"/>
  <c r="CC94" i="1"/>
  <c r="CD94" i="1"/>
  <c r="AE94" i="1" a="1"/>
  <c r="AE94" i="1" s="1"/>
  <c r="CI94" i="1"/>
  <c r="AG102" i="1" a="1"/>
  <c r="AG102" i="1" s="1"/>
  <c r="CE101" i="1"/>
  <c r="CL101" i="1"/>
  <c r="DP98" i="1" a="1"/>
  <c r="DP98" i="1" s="1"/>
  <c r="BL98" i="1"/>
  <c r="CC97" i="1"/>
  <c r="AG95" i="1" a="1"/>
  <c r="AG95" i="1" s="1"/>
  <c r="CE95" i="1"/>
  <c r="M95" i="1"/>
  <c r="CK95" i="1"/>
  <c r="CN94" i="1"/>
  <c r="CZ94" i="1" a="1"/>
  <c r="CZ94" i="1" s="1"/>
  <c r="DO94" i="1" a="1"/>
  <c r="DO94" i="1" s="1"/>
  <c r="CQ88" i="1"/>
  <c r="DR88" i="1" a="1"/>
  <c r="DR88" i="1" s="1"/>
  <c r="CW88" i="1" a="1"/>
  <c r="CW88" i="1" s="1"/>
  <c r="CX88" i="1" s="1"/>
  <c r="AR102" i="1"/>
  <c r="BO102" i="1"/>
  <c r="S102" i="1"/>
  <c r="T102" i="1" s="1"/>
  <c r="AK102" i="1"/>
  <c r="CF101" i="1"/>
  <c r="BN101" i="1"/>
  <c r="AO101" i="1"/>
  <c r="M101" i="1"/>
  <c r="AR100" i="1"/>
  <c r="BO100" i="1"/>
  <c r="S100" i="1"/>
  <c r="T100" i="1" s="1"/>
  <c r="AK100" i="1"/>
  <c r="P100" i="1" a="1"/>
  <c r="P100" i="1" s="1"/>
  <c r="Y100" i="1" a="1"/>
  <c r="Y100" i="1" s="1"/>
  <c r="CP97" i="1"/>
  <c r="AO97" i="1"/>
  <c r="AA97" i="1" a="1"/>
  <c r="AA97" i="1" s="1"/>
  <c r="CE97" i="1"/>
  <c r="Y95" i="1" a="1"/>
  <c r="Y95" i="1" s="1"/>
  <c r="AA94" i="1" a="1"/>
  <c r="AA94" i="1" s="1"/>
  <c r="Z94" i="1" a="1"/>
  <c r="Z94" i="1" s="1"/>
  <c r="AN94" i="1"/>
  <c r="BL94" i="1"/>
  <c r="CB94" i="1"/>
  <c r="AO94" i="1"/>
  <c r="BM94" i="1"/>
  <c r="S94" i="1"/>
  <c r="T94" i="1" s="1"/>
  <c r="AP94" i="1"/>
  <c r="BN94" i="1"/>
  <c r="J94" i="1"/>
  <c r="V94" i="1" a="1"/>
  <c r="V94" i="1" s="1"/>
  <c r="W94" i="1" s="1"/>
  <c r="AQ94" i="1"/>
  <c r="BO94" i="1"/>
  <c r="AR94" i="1"/>
  <c r="P94" i="1" a="1"/>
  <c r="P94" i="1" s="1"/>
  <c r="AK94" i="1"/>
  <c r="AL94" i="1" s="1"/>
  <c r="BK94" i="1"/>
  <c r="CQ84" i="1"/>
  <c r="DR84" i="1" a="1"/>
  <c r="DR84" i="1" s="1"/>
  <c r="CL105" i="1"/>
  <c r="CE105" i="1"/>
  <c r="CL104" i="1"/>
  <c r="CE104" i="1"/>
  <c r="AR101" i="1"/>
  <c r="BO101" i="1"/>
  <c r="S101" i="1"/>
  <c r="T101" i="1" s="1"/>
  <c r="AK101" i="1"/>
  <c r="CQ100" i="1"/>
  <c r="L97" i="1"/>
  <c r="CD97" i="1"/>
  <c r="CK97" i="1"/>
  <c r="BL101" i="1"/>
  <c r="AR98" i="1"/>
  <c r="BO98" i="1"/>
  <c r="S98" i="1"/>
  <c r="T98" i="1" s="1"/>
  <c r="AK98" i="1"/>
  <c r="V98" i="1" a="1"/>
  <c r="V98" i="1" s="1"/>
  <c r="W98" i="1" s="1"/>
  <c r="AN98" i="1"/>
  <c r="BK98" i="1"/>
  <c r="CH98" i="1"/>
  <c r="P98" i="1" a="1"/>
  <c r="P98" i="1" s="1"/>
  <c r="Y98" i="1" a="1"/>
  <c r="Y98" i="1" s="1"/>
  <c r="AQ98" i="1"/>
  <c r="BN98" i="1"/>
  <c r="DO93" i="1" a="1"/>
  <c r="DO93" i="1" s="1"/>
  <c r="CN93" i="1"/>
  <c r="CL93" i="1"/>
  <c r="N93" i="1"/>
  <c r="CF93" i="1"/>
  <c r="P92" i="1" a="1"/>
  <c r="P92" i="1" s="1"/>
  <c r="J90" i="1"/>
  <c r="Z90" i="1" a="1"/>
  <c r="Z90" i="1" s="1"/>
  <c r="AN90" i="1"/>
  <c r="BL90" i="1"/>
  <c r="CB90" i="1"/>
  <c r="AA90" i="1" a="1"/>
  <c r="AA90" i="1" s="1"/>
  <c r="V90" i="1" a="1"/>
  <c r="V90" i="1" s="1"/>
  <c r="W90" i="1" s="1"/>
  <c r="AQ90" i="1"/>
  <c r="AR90" i="1"/>
  <c r="AO90" i="1"/>
  <c r="AD90" i="1" a="1"/>
  <c r="AD90" i="1" s="1"/>
  <c r="CC90" i="1"/>
  <c r="BK90" i="1"/>
  <c r="Y90" i="1" a="1"/>
  <c r="Y90" i="1" s="1"/>
  <c r="AJ90" i="1"/>
  <c r="CI90" i="1"/>
  <c r="CU85" i="1"/>
  <c r="AJ101" i="1"/>
  <c r="V101" i="1" a="1"/>
  <c r="V101" i="1" s="1"/>
  <c r="W101" i="1" s="1"/>
  <c r="I101" i="1"/>
  <c r="CE99" i="1"/>
  <c r="AA98" i="1" a="1"/>
  <c r="AA98" i="1" s="1"/>
  <c r="CR95" i="1"/>
  <c r="AH93" i="1" a="1"/>
  <c r="AH93" i="1" s="1"/>
  <c r="M93" i="1"/>
  <c r="AG93" i="1" a="1"/>
  <c r="AG93" i="1" s="1"/>
  <c r="Y93" i="1" a="1"/>
  <c r="Y93" i="1" s="1"/>
  <c r="AK93" i="1"/>
  <c r="BM93" i="1"/>
  <c r="CE93" i="1"/>
  <c r="P93" i="1" a="1"/>
  <c r="P93" i="1" s="1"/>
  <c r="Z93" i="1" a="1"/>
  <c r="Z93" i="1" s="1"/>
  <c r="AP93" i="1"/>
  <c r="BO93" i="1"/>
  <c r="AQ93" i="1"/>
  <c r="CK93" i="1"/>
  <c r="CN91" i="1"/>
  <c r="BO90" i="1"/>
  <c r="P90" i="1" a="1"/>
  <c r="P90" i="1" s="1"/>
  <c r="CI108" i="1"/>
  <c r="CI107" i="1"/>
  <c r="AG105" i="1" a="1"/>
  <c r="AG105" i="1" s="1"/>
  <c r="AG104" i="1" a="1"/>
  <c r="AG104" i="1" s="1"/>
  <c r="CE102" i="1"/>
  <c r="CL102" i="1"/>
  <c r="L99" i="1"/>
  <c r="CD99" i="1"/>
  <c r="CK99" i="1"/>
  <c r="AR97" i="1"/>
  <c r="BO97" i="1"/>
  <c r="I97" i="1"/>
  <c r="Z97" i="1" a="1"/>
  <c r="Z97" i="1" s="1"/>
  <c r="AJ97" i="1"/>
  <c r="S97" i="1"/>
  <c r="T97" i="1" s="1"/>
  <c r="AK97" i="1"/>
  <c r="V97" i="1" a="1"/>
  <c r="V97" i="1" s="1"/>
  <c r="W97" i="1" s="1"/>
  <c r="AN97" i="1"/>
  <c r="BK97" i="1"/>
  <c r="CH97" i="1"/>
  <c r="P97" i="1" a="1"/>
  <c r="P97" i="1" s="1"/>
  <c r="Y97" i="1" a="1"/>
  <c r="Y97" i="1" s="1"/>
  <c r="AQ97" i="1"/>
  <c r="BN97" i="1"/>
  <c r="CE96" i="1"/>
  <c r="L96" i="1"/>
  <c r="CD96" i="1"/>
  <c r="CK96" i="1"/>
  <c r="CH90" i="1"/>
  <c r="BM90" i="1"/>
  <c r="DS88" i="1" a="1"/>
  <c r="DS88" i="1" s="1"/>
  <c r="CR88" i="1"/>
  <c r="Q87" i="1"/>
  <c r="AD99" i="1" a="1"/>
  <c r="AD99" i="1" s="1"/>
  <c r="AD98" i="1" a="1"/>
  <c r="AD98" i="1" s="1"/>
  <c r="AD97" i="1" a="1"/>
  <c r="AD97" i="1" s="1"/>
  <c r="AD96" i="1" a="1"/>
  <c r="AD96" i="1" s="1"/>
  <c r="CC95" i="1"/>
  <c r="BM95" i="1"/>
  <c r="AO95" i="1"/>
  <c r="V93" i="1" a="1"/>
  <c r="V93" i="1" s="1"/>
  <c r="W93" i="1" s="1"/>
  <c r="BN92" i="1"/>
  <c r="AN92" i="1"/>
  <c r="Y92" i="1" a="1"/>
  <c r="Y92" i="1" s="1"/>
  <c r="J92" i="1"/>
  <c r="CJ91" i="1"/>
  <c r="AR91" i="1"/>
  <c r="N91" i="1"/>
  <c r="Z91" i="1" a="1"/>
  <c r="Z91" i="1" s="1"/>
  <c r="AJ91" i="1"/>
  <c r="AL91" i="1" s="1"/>
  <c r="AA91" i="1" a="1"/>
  <c r="AA91" i="1" s="1"/>
  <c r="AO91" i="1"/>
  <c r="BL91" i="1"/>
  <c r="CB91" i="1"/>
  <c r="CI91" i="1"/>
  <c r="DB89" i="1" a="1"/>
  <c r="DB89" i="1" s="1"/>
  <c r="CW89" i="1" a="1"/>
  <c r="CW89" i="1" s="1"/>
  <c r="CX89" i="1" s="1"/>
  <c r="DO89" i="1" a="1"/>
  <c r="DO89" i="1" s="1"/>
  <c r="CN89" i="1"/>
  <c r="CZ89" i="1" a="1"/>
  <c r="CZ89" i="1" s="1"/>
  <c r="DA89" i="1" a="1"/>
  <c r="DA89" i="1" s="1"/>
  <c r="CH95" i="1"/>
  <c r="AJ95" i="1"/>
  <c r="CF94" i="1"/>
  <c r="AH94" i="1" a="1"/>
  <c r="AH94" i="1" s="1"/>
  <c r="CK92" i="1"/>
  <c r="S92" i="1"/>
  <c r="T92" i="1" s="1"/>
  <c r="M92" i="1"/>
  <c r="AG92" i="1" a="1"/>
  <c r="AG92" i="1" s="1"/>
  <c r="CE91" i="1"/>
  <c r="BN91" i="1"/>
  <c r="AN91" i="1"/>
  <c r="AA95" i="1" a="1"/>
  <c r="AA95" i="1" s="1"/>
  <c r="CW84" i="1" a="1"/>
  <c r="CW84" i="1" s="1"/>
  <c r="CX84" i="1" s="1"/>
  <c r="DR77" i="1" a="1"/>
  <c r="DR77" i="1" s="1"/>
  <c r="CQ77" i="1"/>
  <c r="Q77" i="1"/>
  <c r="CF95" i="1"/>
  <c r="AR95" i="1"/>
  <c r="AH95" i="1" a="1"/>
  <c r="AH95" i="1" s="1"/>
  <c r="BN93" i="1"/>
  <c r="AN93" i="1"/>
  <c r="AA93" i="1" a="1"/>
  <c r="AA93" i="1" s="1"/>
  <c r="AO93" i="1"/>
  <c r="BL93" i="1"/>
  <c r="CB93" i="1"/>
  <c r="CI93" i="1"/>
  <c r="DA93" i="1" s="1" a="1"/>
  <c r="DA93" i="1" s="1"/>
  <c r="CH92" i="1"/>
  <c r="AR92" i="1"/>
  <c r="CC91" i="1"/>
  <c r="BK91" i="1"/>
  <c r="S91" i="1"/>
  <c r="T91" i="1" s="1"/>
  <c r="M91" i="1"/>
  <c r="AG91" i="1" a="1"/>
  <c r="AG91" i="1" s="1"/>
  <c r="BO95" i="1"/>
  <c r="AQ95" i="1"/>
  <c r="V95" i="1" a="1"/>
  <c r="V95" i="1" s="1"/>
  <c r="W95" i="1" s="1"/>
  <c r="J95" i="1"/>
  <c r="AQ92" i="1"/>
  <c r="Z92" i="1" a="1"/>
  <c r="Z92" i="1" s="1"/>
  <c r="AA92" i="1" a="1"/>
  <c r="AA92" i="1" s="1"/>
  <c r="AO92" i="1"/>
  <c r="BL92" i="1"/>
  <c r="CB92" i="1"/>
  <c r="CI92" i="1"/>
  <c r="CL91" i="1"/>
  <c r="AH91" i="1" a="1"/>
  <c r="AH91" i="1" s="1"/>
  <c r="CL100" i="1"/>
  <c r="CL99" i="1"/>
  <c r="CL98" i="1"/>
  <c r="CL97" i="1"/>
  <c r="BN95" i="1"/>
  <c r="AP95" i="1"/>
  <c r="S95" i="1"/>
  <c r="T95" i="1" s="1"/>
  <c r="BK93" i="1"/>
  <c r="AJ93" i="1"/>
  <c r="DQ92" i="1" a="1"/>
  <c r="DQ92" i="1" s="1"/>
  <c r="BO92" i="1"/>
  <c r="AP92" i="1"/>
  <c r="L92" i="1"/>
  <c r="CK91" i="1"/>
  <c r="P91" i="1" a="1"/>
  <c r="P91" i="1" s="1"/>
  <c r="AF90" i="1" a="1"/>
  <c r="AF90" i="1" s="1"/>
  <c r="CJ90" i="1"/>
  <c r="CD90" i="1"/>
  <c r="L90" i="1"/>
  <c r="CO89" i="1"/>
  <c r="DP89" i="1" a="1"/>
  <c r="DP89" i="1" s="1"/>
  <c r="DP87" i="1" a="1"/>
  <c r="DP87" i="1" s="1"/>
  <c r="CZ87" i="1" a="1"/>
  <c r="CZ87" i="1" s="1"/>
  <c r="CT81" i="1" a="1"/>
  <c r="CT81" i="1" s="1"/>
  <c r="Q74" i="1"/>
  <c r="Q68" i="1"/>
  <c r="CF90" i="1"/>
  <c r="AH90" i="1" a="1"/>
  <c r="AH90" i="1" s="1"/>
  <c r="A2" i="1"/>
  <c r="S90" i="1"/>
  <c r="T90" i="1" s="1"/>
  <c r="AK90" i="1"/>
  <c r="CQ89" i="1"/>
  <c r="DA85" i="1" a="1"/>
  <c r="DA85" i="1" s="1"/>
  <c r="DP83" i="1" a="1"/>
  <c r="DP83" i="1" s="1"/>
  <c r="DB83" i="1" a="1"/>
  <c r="DB83" i="1" s="1"/>
  <c r="CZ83" i="1" a="1"/>
  <c r="CZ83" i="1" s="1"/>
  <c r="DB82" i="1" a="1"/>
  <c r="DB82" i="1" s="1"/>
  <c r="CN82" i="1"/>
  <c r="CW82" i="1" a="1"/>
  <c r="CW82" i="1" s="1"/>
  <c r="CX82" i="1" s="1"/>
  <c r="CT82" i="1" a="1"/>
  <c r="CT82" i="1" s="1"/>
  <c r="CU82" i="1" s="1"/>
  <c r="DA82" i="1" a="1"/>
  <c r="DA82" i="1" s="1"/>
  <c r="CO74" i="1"/>
  <c r="CZ74" i="1" a="1"/>
  <c r="CZ74" i="1" s="1"/>
  <c r="DP74" i="1" a="1"/>
  <c r="DP74" i="1" s="1"/>
  <c r="CP89" i="1"/>
  <c r="CZ88" i="1" a="1"/>
  <c r="CZ88" i="1" s="1"/>
  <c r="CO88" i="1"/>
  <c r="CO87" i="1"/>
  <c r="CZ84" i="1" a="1"/>
  <c r="CZ84" i="1" s="1"/>
  <c r="CT84" i="1" a="1"/>
  <c r="CT84" i="1" s="1"/>
  <c r="CU84" i="1" s="1"/>
  <c r="DA84" i="1" a="1"/>
  <c r="DA84" i="1" s="1"/>
  <c r="DP84" i="1" a="1"/>
  <c r="DP84" i="1" s="1"/>
  <c r="CO84" i="1"/>
  <c r="CT83" i="1" a="1"/>
  <c r="CT83" i="1" s="1"/>
  <c r="CU83" i="1" s="1"/>
  <c r="Q82" i="1"/>
  <c r="CQ80" i="1"/>
  <c r="DB80" i="1" a="1"/>
  <c r="DB80" i="1" s="1"/>
  <c r="DR80" i="1" a="1"/>
  <c r="DR80" i="1" s="1"/>
  <c r="CW77" i="1" a="1"/>
  <c r="CW77" i="1" s="1"/>
  <c r="CX77" i="1" s="1"/>
  <c r="CO77" i="1"/>
  <c r="CZ77" i="1" a="1"/>
  <c r="CZ77" i="1" s="1"/>
  <c r="CT77" i="1" a="1"/>
  <c r="CT77" i="1" s="1"/>
  <c r="DA77" i="1" a="1"/>
  <c r="DA77" i="1" s="1"/>
  <c r="DP77" i="1" a="1"/>
  <c r="DP77" i="1" s="1"/>
  <c r="DB74" i="1" a="1"/>
  <c r="DB74" i="1" s="1"/>
  <c r="DR73" i="1" a="1"/>
  <c r="DR73" i="1" s="1"/>
  <c r="CQ73" i="1"/>
  <c r="Q73" i="1"/>
  <c r="Q70" i="1"/>
  <c r="BN90" i="1"/>
  <c r="AP90" i="1"/>
  <c r="I90" i="1"/>
  <c r="DB88" i="1" a="1"/>
  <c r="DB88" i="1" s="1"/>
  <c r="CT88" i="1" a="1"/>
  <c r="CT88" i="1" s="1"/>
  <c r="DR85" i="1" a="1"/>
  <c r="DR85" i="1" s="1"/>
  <c r="CQ85" i="1"/>
  <c r="DR83" i="1" a="1"/>
  <c r="DR83" i="1" s="1"/>
  <c r="DO82" i="1" a="1"/>
  <c r="DO82" i="1" s="1"/>
  <c r="DR81" i="1" a="1"/>
  <c r="DR81" i="1" s="1"/>
  <c r="CQ81" i="1"/>
  <c r="CO78" i="1"/>
  <c r="CZ78" i="1" a="1"/>
  <c r="CZ78" i="1" s="1"/>
  <c r="DP78" i="1" a="1"/>
  <c r="DP78" i="1" s="1"/>
  <c r="Q78" i="1"/>
  <c r="DB77" i="1" a="1"/>
  <c r="DB77" i="1" s="1"/>
  <c r="DB69" i="1" a="1"/>
  <c r="DB69" i="1" s="1"/>
  <c r="CT69" i="1" a="1"/>
  <c r="CT69" i="1" s="1"/>
  <c r="CW69" i="1" a="1"/>
  <c r="CW69" i="1" s="1"/>
  <c r="CX69" i="1" s="1"/>
  <c r="CN69" i="1"/>
  <c r="DO69" i="1" a="1"/>
  <c r="DO69" i="1" s="1"/>
  <c r="CZ69" i="1" a="1"/>
  <c r="CZ69" i="1" s="1"/>
  <c r="DA69" i="1" a="1"/>
  <c r="DA69" i="1" s="1"/>
  <c r="CR84" i="1"/>
  <c r="CP81" i="1"/>
  <c r="DQ81" i="1" a="1"/>
  <c r="DQ81" i="1" s="1"/>
  <c r="CZ80" i="1" a="1"/>
  <c r="CZ80" i="1" s="1"/>
  <c r="AL72" i="1"/>
  <c r="Q71" i="1"/>
  <c r="CO70" i="1"/>
  <c r="CZ70" i="1" a="1"/>
  <c r="CZ70" i="1" s="1"/>
  <c r="DP70" i="1" a="1"/>
  <c r="DP70" i="1" s="1"/>
  <c r="DP88" i="1" a="1"/>
  <c r="DP88" i="1" s="1"/>
  <c r="DA88" i="1" a="1"/>
  <c r="DA88" i="1" s="1"/>
  <c r="CW87" i="1" a="1"/>
  <c r="CW87" i="1" s="1"/>
  <c r="CX87" i="1" s="1"/>
  <c r="DR86" i="1" a="1"/>
  <c r="DR86" i="1" s="1"/>
  <c r="DB86" i="1" a="1"/>
  <c r="DB86" i="1" s="1"/>
  <c r="CT86" i="1" a="1"/>
  <c r="CT86" i="1" s="1"/>
  <c r="CU86" i="1" s="1"/>
  <c r="DA86" i="1" a="1"/>
  <c r="DA86" i="1" s="1"/>
  <c r="CO85" i="1"/>
  <c r="CZ85" i="1" a="1"/>
  <c r="CZ85" i="1" s="1"/>
  <c r="DB84" i="1" a="1"/>
  <c r="DB84" i="1" s="1"/>
  <c r="CW81" i="1" a="1"/>
  <c r="CW81" i="1" s="1"/>
  <c r="CX81" i="1" s="1"/>
  <c r="CO81" i="1"/>
  <c r="CZ81" i="1" a="1"/>
  <c r="CZ81" i="1" s="1"/>
  <c r="CW80" i="1" a="1"/>
  <c r="CW80" i="1" s="1"/>
  <c r="CX80" i="1" s="1"/>
  <c r="Q75" i="1"/>
  <c r="CO80" i="1"/>
  <c r="CZ79" i="1" a="1"/>
  <c r="CZ79" i="1" s="1"/>
  <c r="DA78" i="1" a="1"/>
  <c r="DA78" i="1" s="1"/>
  <c r="CT78" i="1" a="1"/>
  <c r="CT78" i="1" s="1"/>
  <c r="DQ77" i="1" a="1"/>
  <c r="DQ77" i="1" s="1"/>
  <c r="DR76" i="1" a="1"/>
  <c r="DR76" i="1" s="1"/>
  <c r="CO76" i="1"/>
  <c r="CZ75" i="1" a="1"/>
  <c r="CZ75" i="1" s="1"/>
  <c r="DA74" i="1" a="1"/>
  <c r="DA74" i="1" s="1"/>
  <c r="CT74" i="1" a="1"/>
  <c r="CT74" i="1" s="1"/>
  <c r="CU74" i="1" s="1"/>
  <c r="DQ73" i="1" a="1"/>
  <c r="DQ73" i="1" s="1"/>
  <c r="DB73" i="1" a="1"/>
  <c r="DB73" i="1" s="1"/>
  <c r="DR72" i="1" a="1"/>
  <c r="DR72" i="1" s="1"/>
  <c r="CO72" i="1"/>
  <c r="DS71" i="1" a="1"/>
  <c r="DS71" i="1" s="1"/>
  <c r="CZ71" i="1" a="1"/>
  <c r="CZ71" i="1" s="1"/>
  <c r="CQ71" i="1"/>
  <c r="DA70" i="1" a="1"/>
  <c r="DA70" i="1" s="1"/>
  <c r="CT70" i="1" a="1"/>
  <c r="CT70" i="1" s="1"/>
  <c r="CU70" i="1" s="1"/>
  <c r="DB62" i="1" a="1"/>
  <c r="DB62" i="1" s="1"/>
  <c r="DB61" i="1" a="1"/>
  <c r="DB61" i="1" s="1"/>
  <c r="CZ60" i="1" a="1"/>
  <c r="CZ60" i="1" s="1"/>
  <c r="DS60" i="1" a="1"/>
  <c r="DS60" i="1" s="1"/>
  <c r="CR60" i="1"/>
  <c r="DB60" i="1" a="1"/>
  <c r="DB60" i="1" s="1"/>
  <c r="DB76" i="1" a="1"/>
  <c r="DB76" i="1" s="1"/>
  <c r="DP73" i="1" a="1"/>
  <c r="DP73" i="1" s="1"/>
  <c r="DA73" i="1" a="1"/>
  <c r="DA73" i="1" s="1"/>
  <c r="CT73" i="1" a="1"/>
  <c r="CT73" i="1" s="1"/>
  <c r="DB72" i="1" a="1"/>
  <c r="DB72" i="1" s="1"/>
  <c r="Q63" i="1"/>
  <c r="W59" i="1"/>
  <c r="CZ58" i="1" a="1"/>
  <c r="CZ58" i="1" s="1"/>
  <c r="CT58" i="1" a="1"/>
  <c r="CT58" i="1" s="1"/>
  <c r="DA58" i="1" a="1"/>
  <c r="DA58" i="1" s="1"/>
  <c r="CO58" i="1"/>
  <c r="DP58" i="1" a="1"/>
  <c r="DP58" i="1" s="1"/>
  <c r="DB58" i="1" a="1"/>
  <c r="DB58" i="1" s="1"/>
  <c r="CW58" i="1" a="1"/>
  <c r="CW58" i="1" s="1"/>
  <c r="CX58" i="1" s="1"/>
  <c r="DP68" i="1" a="1"/>
  <c r="DP68" i="1" s="1"/>
  <c r="CO68" i="1"/>
  <c r="AL64" i="1"/>
  <c r="Q56" i="1"/>
  <c r="DP80" i="1" a="1"/>
  <c r="DP80" i="1" s="1"/>
  <c r="DA80" i="1" a="1"/>
  <c r="DA80" i="1" s="1"/>
  <c r="CT80" i="1" a="1"/>
  <c r="CT80" i="1" s="1"/>
  <c r="CU80" i="1" s="1"/>
  <c r="DB79" i="1" a="1"/>
  <c r="DB79" i="1" s="1"/>
  <c r="DP76" i="1" a="1"/>
  <c r="DP76" i="1" s="1"/>
  <c r="DA76" i="1" a="1"/>
  <c r="DA76" i="1" s="1"/>
  <c r="CT76" i="1" a="1"/>
  <c r="CT76" i="1" s="1"/>
  <c r="CU76" i="1" s="1"/>
  <c r="DB75" i="1" a="1"/>
  <c r="DB75" i="1" s="1"/>
  <c r="CZ73" i="1" a="1"/>
  <c r="CZ73" i="1" s="1"/>
  <c r="DP72" i="1" a="1"/>
  <c r="DP72" i="1" s="1"/>
  <c r="DA72" i="1" a="1"/>
  <c r="DA72" i="1" s="1"/>
  <c r="CT72" i="1" a="1"/>
  <c r="CT72" i="1" s="1"/>
  <c r="CU72" i="1" s="1"/>
  <c r="CT68" i="1" a="1"/>
  <c r="CT68" i="1" s="1"/>
  <c r="DA68" i="1" a="1"/>
  <c r="DA68" i="1" s="1"/>
  <c r="CT67" i="1" a="1"/>
  <c r="CT67" i="1" s="1"/>
  <c r="CU67" i="1" s="1"/>
  <c r="DB67" i="1" a="1"/>
  <c r="DB67" i="1" s="1"/>
  <c r="CW67" i="1" a="1"/>
  <c r="CW67" i="1" s="1"/>
  <c r="CX67" i="1" s="1"/>
  <c r="CZ67" i="1" a="1"/>
  <c r="CZ67" i="1" s="1"/>
  <c r="DR65" i="1" a="1"/>
  <c r="DR65" i="1" s="1"/>
  <c r="CQ65" i="1"/>
  <c r="CT65" i="1" a="1"/>
  <c r="CT65" i="1" s="1"/>
  <c r="CU65" i="1" s="1"/>
  <c r="DA65" i="1" a="1"/>
  <c r="DA65" i="1" s="1"/>
  <c r="CR80" i="1"/>
  <c r="CW78" i="1" a="1"/>
  <c r="CW78" i="1" s="1"/>
  <c r="CX78" i="1" s="1"/>
  <c r="CN78" i="1"/>
  <c r="CR76" i="1"/>
  <c r="CW74" i="1" a="1"/>
  <c r="CW74" i="1" s="1"/>
  <c r="CX74" i="1" s="1"/>
  <c r="CN74" i="1"/>
  <c r="CR72" i="1"/>
  <c r="CW70" i="1" a="1"/>
  <c r="CW70" i="1" s="1"/>
  <c r="CX70" i="1" s="1"/>
  <c r="CN70" i="1"/>
  <c r="DB68" i="1" a="1"/>
  <c r="DB68" i="1" s="1"/>
  <c r="CO66" i="1"/>
  <c r="DP66" i="1" a="1"/>
  <c r="DP66" i="1" s="1"/>
  <c r="DR61" i="1" a="1"/>
  <c r="DR61" i="1" s="1"/>
  <c r="CQ61" i="1"/>
  <c r="CT61" i="1" a="1"/>
  <c r="CT61" i="1" s="1"/>
  <c r="CU61" i="1" s="1"/>
  <c r="DA61" i="1" a="1"/>
  <c r="DA61" i="1" s="1"/>
  <c r="CW60" i="1" a="1"/>
  <c r="CW60" i="1" s="1"/>
  <c r="CX60" i="1" s="1"/>
  <c r="DA87" i="1" a="1"/>
  <c r="DA87" i="1" s="1"/>
  <c r="DA83" i="1" a="1"/>
  <c r="DA83" i="1" s="1"/>
  <c r="DA79" i="1" a="1"/>
  <c r="DA79" i="1" s="1"/>
  <c r="DA75" i="1" a="1"/>
  <c r="DA75" i="1" s="1"/>
  <c r="DP71" i="1" a="1"/>
  <c r="DP71" i="1" s="1"/>
  <c r="DA71" i="1" a="1"/>
  <c r="DA71" i="1" s="1"/>
  <c r="CP67" i="1"/>
  <c r="CZ66" i="1" a="1"/>
  <c r="CZ66" i="1" s="1"/>
  <c r="DB66" i="1" a="1"/>
  <c r="DB66" i="1" s="1"/>
  <c r="CN66" i="1"/>
  <c r="CW66" i="1" a="1"/>
  <c r="CW66" i="1" s="1"/>
  <c r="CX66" i="1" s="1"/>
  <c r="CT66" i="1" a="1"/>
  <c r="CT66" i="1" s="1"/>
  <c r="CU66" i="1" s="1"/>
  <c r="DA66" i="1" a="1"/>
  <c r="DA66" i="1" s="1"/>
  <c r="CW61" i="1" a="1"/>
  <c r="CW61" i="1" s="1"/>
  <c r="CX61" i="1" s="1"/>
  <c r="Q61" i="1"/>
  <c r="CP55" i="1"/>
  <c r="DQ55" i="1" a="1"/>
  <c r="DQ55" i="1" s="1"/>
  <c r="CT55" i="1" a="1"/>
  <c r="CT55" i="1" s="1"/>
  <c r="CW55" i="1" a="1"/>
  <c r="CW55" i="1" s="1"/>
  <c r="CX55" i="1" s="1"/>
  <c r="DA55" i="1" a="1"/>
  <c r="DA55" i="1" s="1"/>
  <c r="CW73" i="1" a="1"/>
  <c r="CW73" i="1" s="1"/>
  <c r="CX73" i="1" s="1"/>
  <c r="CN68" i="1"/>
  <c r="DR67" i="1" a="1"/>
  <c r="DR67" i="1" s="1"/>
  <c r="DA67" i="1" a="1"/>
  <c r="DA67" i="1" s="1"/>
  <c r="CO67" i="1"/>
  <c r="DB65" i="1" a="1"/>
  <c r="DB65" i="1" s="1"/>
  <c r="CO62" i="1"/>
  <c r="CZ62" i="1" a="1"/>
  <c r="CZ62" i="1" s="1"/>
  <c r="DP62" i="1" a="1"/>
  <c r="DP62" i="1" s="1"/>
  <c r="DB59" i="1" a="1"/>
  <c r="DB59" i="1" s="1"/>
  <c r="CW59" i="1" a="1"/>
  <c r="CW59" i="1" s="1"/>
  <c r="CX59" i="1" s="1"/>
  <c r="DO59" i="1" a="1"/>
  <c r="DO59" i="1" s="1"/>
  <c r="CN59" i="1"/>
  <c r="CZ59" i="1" a="1"/>
  <c r="CZ59" i="1" s="1"/>
  <c r="DA59" i="1" a="1"/>
  <c r="DA59" i="1" s="1"/>
  <c r="CT59" i="1" a="1"/>
  <c r="CT59" i="1" s="1"/>
  <c r="CU59" i="1" s="1"/>
  <c r="DQ65" i="1" a="1"/>
  <c r="DQ65" i="1" s="1"/>
  <c r="CO64" i="1"/>
  <c r="CZ63" i="1" a="1"/>
  <c r="CZ63" i="1" s="1"/>
  <c r="CQ63" i="1"/>
  <c r="DA62" i="1" a="1"/>
  <c r="DA62" i="1" s="1"/>
  <c r="CT62" i="1" a="1"/>
  <c r="CT62" i="1" s="1"/>
  <c r="CU62" i="1" s="1"/>
  <c r="DQ61" i="1" a="1"/>
  <c r="DQ61" i="1" s="1"/>
  <c r="DR60" i="1" a="1"/>
  <c r="DR60" i="1" s="1"/>
  <c r="CN60" i="1"/>
  <c r="Q57" i="1"/>
  <c r="CN56" i="1"/>
  <c r="DP53" i="1" a="1"/>
  <c r="DP53" i="1" s="1"/>
  <c r="DB53" i="1" a="1"/>
  <c r="DB53" i="1" s="1"/>
  <c r="CW53" i="1" a="1"/>
  <c r="CW53" i="1" s="1"/>
  <c r="CX53" i="1" s="1"/>
  <c r="CO53" i="1"/>
  <c r="CZ53" i="1" a="1"/>
  <c r="CZ53" i="1" s="1"/>
  <c r="CW63" i="1" a="1"/>
  <c r="CW63" i="1" s="1"/>
  <c r="CX63" i="1" s="1"/>
  <c r="DP59" i="1" a="1"/>
  <c r="DP59" i="1" s="1"/>
  <c r="CP59" i="1"/>
  <c r="CR58" i="1"/>
  <c r="DB55" i="1" a="1"/>
  <c r="DB55" i="1" s="1"/>
  <c r="DR52" i="1" a="1"/>
  <c r="DR52" i="1" s="1"/>
  <c r="CQ52" i="1"/>
  <c r="CZ52" i="1" a="1"/>
  <c r="CZ52" i="1" s="1"/>
  <c r="Q52" i="1"/>
  <c r="CZ65" i="1" a="1"/>
  <c r="CZ65" i="1" s="1"/>
  <c r="DA64" i="1" a="1"/>
  <c r="DA64" i="1" s="1"/>
  <c r="CZ61" i="1" a="1"/>
  <c r="CZ61" i="1" s="1"/>
  <c r="CP65" i="1"/>
  <c r="CR64" i="1"/>
  <c r="CW62" i="1" a="1"/>
  <c r="CW62" i="1" s="1"/>
  <c r="CX62" i="1" s="1"/>
  <c r="CN62" i="1"/>
  <c r="CP61" i="1"/>
  <c r="CT60" i="1" a="1"/>
  <c r="CT60" i="1" s="1"/>
  <c r="CU60" i="1" s="1"/>
  <c r="CT57" i="1" a="1"/>
  <c r="CT57" i="1" s="1"/>
  <c r="CU57" i="1" s="1"/>
  <c r="DA57" i="1" a="1"/>
  <c r="DA57" i="1" s="1"/>
  <c r="DP57" i="1" a="1"/>
  <c r="DP57" i="1" s="1"/>
  <c r="DB57" i="1" a="1"/>
  <c r="DB57" i="1" s="1"/>
  <c r="CW57" i="1" a="1"/>
  <c r="CW57" i="1" s="1"/>
  <c r="CX57" i="1" s="1"/>
  <c r="CZ57" i="1" a="1"/>
  <c r="CZ57" i="1" s="1"/>
  <c r="DB56" i="1" a="1"/>
  <c r="DB56" i="1" s="1"/>
  <c r="CT56" i="1" a="1"/>
  <c r="CT56" i="1" s="1"/>
  <c r="CU56" i="1" s="1"/>
  <c r="DA56" i="1" a="1"/>
  <c r="DA56" i="1" s="1"/>
  <c r="Q51" i="1"/>
  <c r="Q50" i="1"/>
  <c r="DA63" i="1" a="1"/>
  <c r="DA63" i="1" s="1"/>
  <c r="CQ56" i="1"/>
  <c r="CQ58" i="1"/>
  <c r="DR58" i="1" a="1"/>
  <c r="DR58" i="1" s="1"/>
  <c r="Q53" i="1"/>
  <c r="Q49" i="1"/>
  <c r="DP56" i="1" a="1"/>
  <c r="DP56" i="1" s="1"/>
  <c r="DR54" i="1" a="1"/>
  <c r="DR54" i="1" s="1"/>
  <c r="CO54" i="1"/>
  <c r="DP52" i="1" a="1"/>
  <c r="DP52" i="1" s="1"/>
  <c r="DA52" i="1" a="1"/>
  <c r="DA52" i="1" s="1"/>
  <c r="CT52" i="1" a="1"/>
  <c r="CT52" i="1" s="1"/>
  <c r="CU52" i="1" s="1"/>
  <c r="DQ51" i="1" a="1"/>
  <c r="DQ51" i="1" s="1"/>
  <c r="CW48" i="1" a="1"/>
  <c r="CW48" i="1" s="1"/>
  <c r="CX48" i="1" s="1"/>
  <c r="CW54" i="1" a="1"/>
  <c r="CW54" i="1" s="1"/>
  <c r="CX54" i="1" s="1"/>
  <c r="Q54" i="1"/>
  <c r="CW50" i="1" a="1"/>
  <c r="CW50" i="1" s="1"/>
  <c r="CX50" i="1" s="1"/>
  <c r="CT47" i="1" a="1"/>
  <c r="CT47" i="1" s="1"/>
  <c r="CU47" i="1" s="1"/>
  <c r="DA47" i="1" a="1"/>
  <c r="DA47" i="1" s="1"/>
  <c r="DB47" i="1" a="1"/>
  <c r="DB47" i="1" s="1"/>
  <c r="CN47" i="1"/>
  <c r="CW47" i="1" a="1"/>
  <c r="CW47" i="1" s="1"/>
  <c r="CX47" i="1" s="1"/>
  <c r="CT49" i="1" a="1"/>
  <c r="CT49" i="1" s="1"/>
  <c r="CU49" i="1" s="1"/>
  <c r="DA49" i="1" a="1"/>
  <c r="DA49" i="1" s="1"/>
  <c r="Q41" i="1"/>
  <c r="Q40" i="1"/>
  <c r="Q39" i="1"/>
  <c r="Q38" i="1"/>
  <c r="CZ49" i="1" a="1"/>
  <c r="CZ49" i="1" s="1"/>
  <c r="DB48" i="1" a="1"/>
  <c r="DB48" i="1" s="1"/>
  <c r="CZ55" i="1" a="1"/>
  <c r="CZ55" i="1" s="1"/>
  <c r="CQ55" i="1"/>
  <c r="DP54" i="1" a="1"/>
  <c r="DP54" i="1" s="1"/>
  <c r="DA54" i="1" a="1"/>
  <c r="DA54" i="1" s="1"/>
  <c r="CT54" i="1" a="1"/>
  <c r="CT54" i="1" s="1"/>
  <c r="CU54" i="1" s="1"/>
  <c r="CZ51" i="1" a="1"/>
  <c r="CZ51" i="1" s="1"/>
  <c r="CQ51" i="1"/>
  <c r="DA50" i="1" a="1"/>
  <c r="DA50" i="1" s="1"/>
  <c r="CT50" i="1" a="1"/>
  <c r="CT50" i="1" s="1"/>
  <c r="CU50" i="1" s="1"/>
  <c r="DO49" i="1" a="1"/>
  <c r="DO49" i="1" s="1"/>
  <c r="CO49" i="1"/>
  <c r="DA48" i="1" a="1"/>
  <c r="DA48" i="1" s="1"/>
  <c r="CP48" i="1"/>
  <c r="DO47" i="1" a="1"/>
  <c r="DO47" i="1" s="1"/>
  <c r="Q43" i="1"/>
  <c r="Q42" i="1"/>
  <c r="CR54" i="1"/>
  <c r="CW52" i="1" a="1"/>
  <c r="CW52" i="1" s="1"/>
  <c r="CX52" i="1" s="1"/>
  <c r="CN52" i="1"/>
  <c r="CP51" i="1"/>
  <c r="CR50" i="1"/>
  <c r="CN49" i="1"/>
  <c r="DP48" i="1" a="1"/>
  <c r="DP48" i="1" s="1"/>
  <c r="CO48" i="1"/>
  <c r="Q45" i="1"/>
  <c r="DA53" i="1" a="1"/>
  <c r="DA53" i="1" s="1"/>
  <c r="CW49" i="1" a="1"/>
  <c r="CW49" i="1" s="1"/>
  <c r="CX49" i="1" s="1"/>
  <c r="CZ46" i="1" a="1"/>
  <c r="CZ46" i="1" s="1"/>
  <c r="CT46" i="1" a="1"/>
  <c r="CT46" i="1" s="1"/>
  <c r="CU46" i="1" s="1"/>
  <c r="DA46" i="1" a="1"/>
  <c r="DA46" i="1" s="1"/>
  <c r="DP46" i="1" a="1"/>
  <c r="DP46" i="1" s="1"/>
  <c r="DB46" i="1" a="1"/>
  <c r="DB46" i="1" s="1"/>
  <c r="CO46" i="1"/>
  <c r="Q47" i="1"/>
  <c r="Q36" i="1"/>
  <c r="CP46" i="1"/>
  <c r="CW43" i="1" a="1"/>
  <c r="CW43" i="1" s="1"/>
  <c r="CX43" i="1" s="1"/>
  <c r="CN43" i="1"/>
  <c r="CW41" i="1" a="1"/>
  <c r="CW41" i="1" s="1"/>
  <c r="CX41" i="1" s="1"/>
  <c r="CN41" i="1"/>
  <c r="CW39" i="1" a="1"/>
  <c r="CW39" i="1" s="1"/>
  <c r="CX39" i="1" s="1"/>
  <c r="CN39" i="1"/>
  <c r="CT37" i="1" a="1"/>
  <c r="CT37" i="1" s="1"/>
  <c r="DA37" i="1" a="1"/>
  <c r="DA37" i="1" s="1"/>
  <c r="CT36" i="1" a="1"/>
  <c r="CT36" i="1" s="1"/>
  <c r="CU36" i="1" s="1"/>
  <c r="AL36" i="1"/>
  <c r="CR33" i="1"/>
  <c r="Q25" i="1"/>
  <c r="CZ45" i="1" a="1"/>
  <c r="CZ45" i="1" s="1"/>
  <c r="CQ45" i="1"/>
  <c r="DP44" i="1" a="1"/>
  <c r="DP44" i="1" s="1"/>
  <c r="DA44" i="1" a="1"/>
  <c r="DA44" i="1" s="1"/>
  <c r="CT44" i="1" a="1"/>
  <c r="CT44" i="1" s="1"/>
  <c r="CU44" i="1" s="1"/>
  <c r="DB43" i="1" a="1"/>
  <c r="DB43" i="1" s="1"/>
  <c r="CZ42" i="1" a="1"/>
  <c r="CZ42" i="1" s="1"/>
  <c r="CQ42" i="1"/>
  <c r="DB41" i="1" a="1"/>
  <c r="DB41" i="1" s="1"/>
  <c r="CZ40" i="1" a="1"/>
  <c r="CZ40" i="1" s="1"/>
  <c r="CQ40" i="1"/>
  <c r="DB39" i="1" a="1"/>
  <c r="DB39" i="1" s="1"/>
  <c r="CZ38" i="1" a="1"/>
  <c r="CZ38" i="1" s="1"/>
  <c r="CT35" i="1" a="1"/>
  <c r="CT35" i="1" s="1"/>
  <c r="CU35" i="1" s="1"/>
  <c r="DA35" i="1" a="1"/>
  <c r="DA35" i="1" s="1"/>
  <c r="CN35" i="1"/>
  <c r="CW35" i="1" a="1"/>
  <c r="CW35" i="1" s="1"/>
  <c r="CX35" i="1" s="1"/>
  <c r="DB34" i="1" a="1"/>
  <c r="DB34" i="1" s="1"/>
  <c r="CT34" i="1" a="1"/>
  <c r="CT34" i="1" s="1"/>
  <c r="CU34" i="1" s="1"/>
  <c r="DA34" i="1" a="1"/>
  <c r="DA34" i="1" s="1"/>
  <c r="Q24" i="1"/>
  <c r="W33" i="1"/>
  <c r="W31" i="1"/>
  <c r="CZ29" i="1" a="1"/>
  <c r="CZ29" i="1" s="1"/>
  <c r="DB29" i="1" a="1"/>
  <c r="DB29" i="1" s="1"/>
  <c r="CO29" i="1"/>
  <c r="DP47" i="1" a="1"/>
  <c r="DP47" i="1" s="1"/>
  <c r="DR45" i="1" a="1"/>
  <c r="DR45" i="1" s="1"/>
  <c r="CZ44" i="1" a="1"/>
  <c r="CZ44" i="1" s="1"/>
  <c r="DA43" i="1" a="1"/>
  <c r="DA43" i="1" s="1"/>
  <c r="DA41" i="1" a="1"/>
  <c r="DA41" i="1" s="1"/>
  <c r="DA39" i="1" a="1"/>
  <c r="DA39" i="1" s="1"/>
  <c r="CZ36" i="1" a="1"/>
  <c r="CZ36" i="1" s="1"/>
  <c r="DB35" i="1" a="1"/>
  <c r="DB35" i="1" s="1"/>
  <c r="DB32" i="1" a="1"/>
  <c r="DB32" i="1" s="1"/>
  <c r="CT32" i="1" a="1"/>
  <c r="CT32" i="1" s="1"/>
  <c r="DA32" i="1" a="1"/>
  <c r="DA32" i="1" s="1"/>
  <c r="CT29" i="1" a="1"/>
  <c r="CT29" i="1" s="1"/>
  <c r="CU29" i="1" s="1"/>
  <c r="W27" i="1"/>
  <c r="CW45" i="1" a="1"/>
  <c r="CW45" i="1" s="1"/>
  <c r="CX45" i="1" s="1"/>
  <c r="CN45" i="1"/>
  <c r="CP44" i="1"/>
  <c r="CW42" i="1" a="1"/>
  <c r="CW42" i="1" s="1"/>
  <c r="CX42" i="1" s="1"/>
  <c r="CN42" i="1"/>
  <c r="CW40" i="1" a="1"/>
  <c r="CW40" i="1" s="1"/>
  <c r="CX40" i="1" s="1"/>
  <c r="CN40" i="1"/>
  <c r="CW38" i="1" a="1"/>
  <c r="CW38" i="1" s="1"/>
  <c r="CX38" i="1" s="1"/>
  <c r="CN38" i="1"/>
  <c r="CW37" i="1" a="1"/>
  <c r="CW37" i="1" s="1"/>
  <c r="CX37" i="1" s="1"/>
  <c r="CN36" i="1"/>
  <c r="CN34" i="1"/>
  <c r="CO44" i="1"/>
  <c r="CZ43" i="1" a="1"/>
  <c r="CZ43" i="1" s="1"/>
  <c r="CQ43" i="1"/>
  <c r="CZ41" i="1" a="1"/>
  <c r="CZ41" i="1" s="1"/>
  <c r="CZ39" i="1" a="1"/>
  <c r="CZ39" i="1" s="1"/>
  <c r="DB38" i="1" a="1"/>
  <c r="DB38" i="1" s="1"/>
  <c r="CW36" i="1" a="1"/>
  <c r="CW36" i="1" s="1"/>
  <c r="CX36" i="1" s="1"/>
  <c r="CZ33" i="1" a="1"/>
  <c r="CZ33" i="1" s="1"/>
  <c r="CO33" i="1"/>
  <c r="CZ31" i="1" a="1"/>
  <c r="CZ31" i="1" s="1"/>
  <c r="DB31" i="1" a="1"/>
  <c r="DB31" i="1" s="1"/>
  <c r="CO31" i="1"/>
  <c r="CT33" i="1" a="1"/>
  <c r="CT33" i="1" s="1"/>
  <c r="CU33" i="1" s="1"/>
  <c r="W30" i="1"/>
  <c r="DA45" i="1" a="1"/>
  <c r="DA45" i="1" s="1"/>
  <c r="DA42" i="1" a="1"/>
  <c r="DA42" i="1" s="1"/>
  <c r="DA40" i="1" a="1"/>
  <c r="DA40" i="1" s="1"/>
  <c r="DA38" i="1" a="1"/>
  <c r="DA38" i="1" s="1"/>
  <c r="CZ34" i="1" a="1"/>
  <c r="CZ34" i="1" s="1"/>
  <c r="W29" i="1"/>
  <c r="CT18" i="1" a="1"/>
  <c r="CT18" i="1" s="1"/>
  <c r="CU18" i="1" s="1"/>
  <c r="Q18" i="1"/>
  <c r="CT15" i="1" a="1"/>
  <c r="CT15" i="1" s="1"/>
  <c r="CU15" i="1" s="1"/>
  <c r="Q12" i="1"/>
  <c r="Q8" i="1"/>
  <c r="CO7" i="1"/>
  <c r="CZ7" i="1" a="1"/>
  <c r="CZ7" i="1" s="1"/>
  <c r="CO5" i="1"/>
  <c r="CZ5" i="1" a="1"/>
  <c r="CZ5" i="1" s="1"/>
  <c r="CW4" i="1" a="1"/>
  <c r="CW4" i="1" s="1"/>
  <c r="CX4" i="1" s="1"/>
  <c r="DA30" i="1" a="1"/>
  <c r="DA30" i="1" s="1"/>
  <c r="CT30" i="1" a="1"/>
  <c r="CT30" i="1" s="1"/>
  <c r="CU30" i="1" s="1"/>
  <c r="DA28" i="1" a="1"/>
  <c r="DA28" i="1" s="1"/>
  <c r="CT28" i="1" a="1"/>
  <c r="CT28" i="1" s="1"/>
  <c r="CU28" i="1" s="1"/>
  <c r="CO27" i="1"/>
  <c r="DA26" i="1" a="1"/>
  <c r="DA26" i="1" s="1"/>
  <c r="CT26" i="1" a="1"/>
  <c r="CT26" i="1" s="1"/>
  <c r="CU26" i="1" s="1"/>
  <c r="CN24" i="1"/>
  <c r="CO17" i="1"/>
  <c r="CZ17" i="1" a="1"/>
  <c r="CZ17" i="1" s="1"/>
  <c r="W13" i="1"/>
  <c r="CO11" i="1"/>
  <c r="CZ11" i="1" a="1"/>
  <c r="CZ11" i="1" s="1"/>
  <c r="W9" i="1"/>
  <c r="Q6" i="1"/>
  <c r="CT5" i="1" a="1"/>
  <c r="CT5" i="1" s="1"/>
  <c r="CU5" i="1" s="1"/>
  <c r="Q4" i="1"/>
  <c r="CW33" i="1" a="1"/>
  <c r="CW33" i="1" s="1"/>
  <c r="CX33" i="1" s="1"/>
  <c r="CN33" i="1"/>
  <c r="CW31" i="1" a="1"/>
  <c r="CW31" i="1" s="1"/>
  <c r="CX31" i="1" s="1"/>
  <c r="CN31" i="1"/>
  <c r="CW29" i="1" a="1"/>
  <c r="CW29" i="1" s="1"/>
  <c r="CX29" i="1" s="1"/>
  <c r="CN29" i="1"/>
  <c r="CW27" i="1" a="1"/>
  <c r="CW27" i="1" s="1"/>
  <c r="CX27" i="1" s="1"/>
  <c r="CN27" i="1"/>
  <c r="CW25" i="1" a="1"/>
  <c r="CW25" i="1" s="1"/>
  <c r="CX25" i="1" s="1"/>
  <c r="CW24" i="1" a="1"/>
  <c r="CW24" i="1" s="1"/>
  <c r="CX24" i="1" s="1"/>
  <c r="CZ19" i="1" a="1"/>
  <c r="CZ19" i="1" s="1"/>
  <c r="CT19" i="1" a="1"/>
  <c r="CT19" i="1" s="1"/>
  <c r="DA19" i="1" a="1"/>
  <c r="DA19" i="1" s="1"/>
  <c r="DB19" i="1" a="1"/>
  <c r="DB19" i="1" s="1"/>
  <c r="CN19" i="1"/>
  <c r="CW19" i="1" a="1"/>
  <c r="CW19" i="1" s="1"/>
  <c r="CX19" i="1" s="1"/>
  <c r="CT17" i="1" a="1"/>
  <c r="CT17" i="1" s="1"/>
  <c r="CU17" i="1" s="1"/>
  <c r="CT11" i="1" a="1"/>
  <c r="CT11" i="1" s="1"/>
  <c r="CU11" i="1" s="1"/>
  <c r="DB27" i="1" a="1"/>
  <c r="DB27" i="1" s="1"/>
  <c r="DB25" i="1" a="1"/>
  <c r="DB25" i="1" s="1"/>
  <c r="CT23" i="1" a="1"/>
  <c r="CT23" i="1" s="1"/>
  <c r="CU23" i="1" s="1"/>
  <c r="DA23" i="1" a="1"/>
  <c r="DA23" i="1" s="1"/>
  <c r="CN23" i="1"/>
  <c r="CW23" i="1" a="1"/>
  <c r="CW23" i="1" s="1"/>
  <c r="CX23" i="1" s="1"/>
  <c r="CT22" i="1" a="1"/>
  <c r="CT22" i="1" s="1"/>
  <c r="CU22" i="1" s="1"/>
  <c r="DA22" i="1" a="1"/>
  <c r="DA22" i="1" s="1"/>
  <c r="Q14" i="1"/>
  <c r="DB24" i="1" a="1"/>
  <c r="DB24" i="1" s="1"/>
  <c r="DB22" i="1" a="1"/>
  <c r="DB22" i="1" s="1"/>
  <c r="W15" i="1"/>
  <c r="CO13" i="1"/>
  <c r="CZ13" i="1" a="1"/>
  <c r="CZ13" i="1" s="1"/>
  <c r="Q10" i="1"/>
  <c r="W7" i="1"/>
  <c r="DA33" i="1" a="1"/>
  <c r="DA33" i="1" s="1"/>
  <c r="DA31" i="1" a="1"/>
  <c r="DA31" i="1" s="1"/>
  <c r="DA29" i="1" a="1"/>
  <c r="DA29" i="1" s="1"/>
  <c r="DA27" i="1" a="1"/>
  <c r="DA27" i="1" s="1"/>
  <c r="DA25" i="1" a="1"/>
  <c r="DA25" i="1" s="1"/>
  <c r="CT25" i="1" a="1"/>
  <c r="CT25" i="1" s="1"/>
  <c r="CU25" i="1" s="1"/>
  <c r="CT24" i="1" a="1"/>
  <c r="CT24" i="1" s="1"/>
  <c r="CU24" i="1" s="1"/>
  <c r="CW20" i="1" a="1"/>
  <c r="CW20" i="1" s="1"/>
  <c r="CX20" i="1" s="1"/>
  <c r="CT13" i="1" a="1"/>
  <c r="CT13" i="1" s="1"/>
  <c r="CU13" i="1" s="1"/>
  <c r="W11" i="1"/>
  <c r="CO9" i="1"/>
  <c r="CZ9" i="1" a="1"/>
  <c r="CZ9" i="1" s="1"/>
  <c r="CT21" i="1" a="1"/>
  <c r="CT21" i="1" s="1"/>
  <c r="DA21" i="1" a="1"/>
  <c r="DA21" i="1" s="1"/>
  <c r="DB21" i="1" a="1"/>
  <c r="DB21" i="1" s="1"/>
  <c r="CN21" i="1"/>
  <c r="CW21" i="1" a="1"/>
  <c r="CW21" i="1" s="1"/>
  <c r="CX21" i="1" s="1"/>
  <c r="Q20" i="1"/>
  <c r="W17" i="1"/>
  <c r="Q16" i="1"/>
  <c r="CQ4" i="1"/>
  <c r="CT4" i="1" a="1"/>
  <c r="CT4" i="1" s="1"/>
  <c r="CU4" i="1" s="1"/>
  <c r="DA4" i="1" a="1"/>
  <c r="DA4" i="1" s="1"/>
  <c r="CZ25" i="1" a="1"/>
  <c r="CZ25" i="1" s="1"/>
  <c r="CO15" i="1"/>
  <c r="CZ15" i="1" a="1"/>
  <c r="CZ15" i="1" s="1"/>
  <c r="Q5" i="1"/>
  <c r="DB4" i="1" a="1"/>
  <c r="DB4" i="1" s="1"/>
  <c r="DA20" i="1" a="1"/>
  <c r="DA20" i="1" s="1"/>
  <c r="DA18" i="1" a="1"/>
  <c r="DA18" i="1" s="1"/>
  <c r="DA16" i="1" a="1"/>
  <c r="DA16" i="1" s="1"/>
  <c r="DA14" i="1" a="1"/>
  <c r="DA14" i="1" s="1"/>
  <c r="CT14" i="1" a="1"/>
  <c r="CT14" i="1" s="1"/>
  <c r="CU14" i="1" s="1"/>
  <c r="DA12" i="1" a="1"/>
  <c r="DA12" i="1" s="1"/>
  <c r="CT12" i="1" a="1"/>
  <c r="CT12" i="1" s="1"/>
  <c r="CU12" i="1" s="1"/>
  <c r="DA10" i="1" a="1"/>
  <c r="DA10" i="1" s="1"/>
  <c r="CT10" i="1" a="1"/>
  <c r="CT10" i="1" s="1"/>
  <c r="CU10" i="1" s="1"/>
  <c r="DA8" i="1" a="1"/>
  <c r="DA8" i="1" s="1"/>
  <c r="CT8" i="1" a="1"/>
  <c r="CT8" i="1" s="1"/>
  <c r="CU8" i="1" s="1"/>
  <c r="DA6" i="1" a="1"/>
  <c r="DA6" i="1" s="1"/>
  <c r="CT6" i="1" a="1"/>
  <c r="CT6" i="1" s="1"/>
  <c r="CU6" i="1" s="1"/>
  <c r="CZ4" i="1" a="1"/>
  <c r="CZ4" i="1" s="1"/>
  <c r="CW17" i="1" a="1"/>
  <c r="CW17" i="1" s="1"/>
  <c r="CX17" i="1" s="1"/>
  <c r="CN17" i="1"/>
  <c r="CW15" i="1" a="1"/>
  <c r="CW15" i="1" s="1"/>
  <c r="CX15" i="1" s="1"/>
  <c r="CN15" i="1"/>
  <c r="CW13" i="1" a="1"/>
  <c r="CW13" i="1" s="1"/>
  <c r="CX13" i="1" s="1"/>
  <c r="CN13" i="1"/>
  <c r="CW11" i="1" a="1"/>
  <c r="CW11" i="1" s="1"/>
  <c r="CX11" i="1" s="1"/>
  <c r="CN11" i="1"/>
  <c r="CW9" i="1" a="1"/>
  <c r="CW9" i="1" s="1"/>
  <c r="CX9" i="1" s="1"/>
  <c r="CN9" i="1"/>
  <c r="CW7" i="1" a="1"/>
  <c r="CW7" i="1" s="1"/>
  <c r="CX7" i="1" s="1"/>
  <c r="CN7" i="1"/>
  <c r="CW5" i="1" a="1"/>
  <c r="CW5" i="1" s="1"/>
  <c r="CX5" i="1" s="1"/>
  <c r="CN5" i="1"/>
  <c r="CP4" i="1"/>
  <c r="CZ20" i="1" a="1"/>
  <c r="CZ20" i="1" s="1"/>
  <c r="CZ18" i="1" a="1"/>
  <c r="CZ18" i="1" s="1"/>
  <c r="DB17" i="1" a="1"/>
  <c r="DB17" i="1" s="1"/>
  <c r="CZ16" i="1" a="1"/>
  <c r="CZ16" i="1" s="1"/>
  <c r="DB15" i="1" a="1"/>
  <c r="DB15" i="1" s="1"/>
  <c r="DB13" i="1" a="1"/>
  <c r="DB13" i="1" s="1"/>
  <c r="DB11" i="1" a="1"/>
  <c r="DB11" i="1" s="1"/>
  <c r="DB9" i="1" a="1"/>
  <c r="DB9" i="1" s="1"/>
  <c r="DB7" i="1" a="1"/>
  <c r="DB7" i="1" s="1"/>
  <c r="CZ6" i="1" a="1"/>
  <c r="CZ6" i="1" s="1"/>
  <c r="DB5" i="1" a="1"/>
  <c r="DB5" i="1" s="1"/>
  <c r="CO4" i="1"/>
  <c r="DA17" i="1" a="1"/>
  <c r="DA17" i="1" s="1"/>
  <c r="DA15" i="1" a="1"/>
  <c r="DA15" i="1" s="1"/>
  <c r="DA13" i="1" a="1"/>
  <c r="DA13" i="1" s="1"/>
  <c r="DA11" i="1" a="1"/>
  <c r="DA11" i="1" s="1"/>
  <c r="DA9" i="1" a="1"/>
  <c r="DA9" i="1" s="1"/>
  <c r="DA7" i="1" a="1"/>
  <c r="DA7" i="1" s="1"/>
  <c r="DA5" i="1" a="1"/>
  <c r="DA5" i="1" s="1"/>
  <c r="AL212" i="1" l="1"/>
  <c r="AL269" i="1"/>
  <c r="DB196" i="1" a="1"/>
  <c r="DB196" i="1" s="1"/>
  <c r="CT113" i="1" a="1"/>
  <c r="CT113" i="1" s="1"/>
  <c r="CU113" i="1" s="1"/>
  <c r="DB175" i="1" a="1"/>
  <c r="DB175" i="1" s="1"/>
  <c r="AL276" i="1"/>
  <c r="DA292" i="1" a="1"/>
  <c r="DA292" i="1" s="1"/>
  <c r="AL277" i="1"/>
  <c r="AL90" i="1"/>
  <c r="AL244" i="1"/>
  <c r="AL153" i="1"/>
  <c r="DB133" i="1" a="1"/>
  <c r="DB133" i="1" s="1"/>
  <c r="DB172" i="1" a="1"/>
  <c r="DB172" i="1" s="1"/>
  <c r="AL202" i="1"/>
  <c r="CW234" i="1" a="1"/>
  <c r="CW234" i="1" s="1"/>
  <c r="CX234" i="1" s="1"/>
  <c r="AL208" i="1"/>
  <c r="AL132" i="1"/>
  <c r="CW153" i="1" a="1"/>
  <c r="CW153" i="1" s="1"/>
  <c r="CX153" i="1" s="1"/>
  <c r="AL252" i="1"/>
  <c r="DA265" i="1" a="1"/>
  <c r="DA265" i="1" s="1"/>
  <c r="CT139" i="1" a="1"/>
  <c r="CT139" i="1" s="1"/>
  <c r="CU139" i="1" s="1"/>
  <c r="AL129" i="1"/>
  <c r="DA130" i="1" a="1"/>
  <c r="DA130" i="1" s="1"/>
  <c r="AL157" i="1"/>
  <c r="CQ144" i="1"/>
  <c r="DA181" i="1" a="1"/>
  <c r="DA181" i="1" s="1"/>
  <c r="CZ206" i="1" a="1"/>
  <c r="CZ206" i="1" s="1"/>
  <c r="CW206" i="1" a="1"/>
  <c r="CW206" i="1" s="1"/>
  <c r="CX206" i="1" s="1"/>
  <c r="DB265" i="1" a="1"/>
  <c r="DB265" i="1" s="1"/>
  <c r="CZ101" i="1" a="1"/>
  <c r="CZ101" i="1" s="1"/>
  <c r="DA134" i="1" a="1"/>
  <c r="DA134" i="1" s="1"/>
  <c r="DB206" i="1" a="1"/>
  <c r="DB206" i="1" s="1"/>
  <c r="CZ262" i="1" a="1"/>
  <c r="CZ262" i="1" s="1"/>
  <c r="DQ93" i="1" a="1"/>
  <c r="DQ93" i="1" s="1"/>
  <c r="CN101" i="1"/>
  <c r="AL160" i="1"/>
  <c r="DB180" i="1" a="1"/>
  <c r="DB180" i="1" s="1"/>
  <c r="DA206" i="1" a="1"/>
  <c r="DA206" i="1" s="1"/>
  <c r="AL263" i="1"/>
  <c r="AL233" i="1"/>
  <c r="CT292" i="1" a="1"/>
  <c r="CT292" i="1" s="1"/>
  <c r="CU292" i="1" s="1"/>
  <c r="DA303" i="1" a="1"/>
  <c r="DA303" i="1" s="1"/>
  <c r="CP96" i="1"/>
  <c r="AL102" i="1"/>
  <c r="AL125" i="1"/>
  <c r="DB140" i="1" a="1"/>
  <c r="DB140" i="1" s="1"/>
  <c r="CT173" i="1" a="1"/>
  <c r="CT173" i="1" s="1"/>
  <c r="CU173" i="1" s="1"/>
  <c r="CT206" i="1" a="1"/>
  <c r="CT206" i="1" s="1"/>
  <c r="CU206" i="1" s="1"/>
  <c r="DB101" i="1" a="1"/>
  <c r="DB101" i="1" s="1"/>
  <c r="DO148" i="1" a="1"/>
  <c r="DO148" i="1" s="1"/>
  <c r="AL167" i="1"/>
  <c r="DA264" i="1" a="1"/>
  <c r="DA264" i="1" s="1"/>
  <c r="CT149" i="1" a="1"/>
  <c r="CT149" i="1" s="1"/>
  <c r="CU149" i="1" s="1"/>
  <c r="CW262" i="1" a="1"/>
  <c r="CW262" i="1" s="1"/>
  <c r="CX262" i="1" s="1"/>
  <c r="DA114" i="1" a="1"/>
  <c r="DA114" i="1" s="1"/>
  <c r="CZ127" i="1" a="1"/>
  <c r="CZ127" i="1" s="1"/>
  <c r="CZ141" i="1" a="1"/>
  <c r="CZ141" i="1" s="1"/>
  <c r="AL114" i="1"/>
  <c r="DB143" i="1" a="1"/>
  <c r="DB143" i="1" s="1"/>
  <c r="CW176" i="1" a="1"/>
  <c r="CW176" i="1" s="1"/>
  <c r="CX176" i="1" s="1"/>
  <c r="AL213" i="1"/>
  <c r="AL251" i="1"/>
  <c r="CZ292" i="1" a="1"/>
  <c r="CZ292" i="1" s="1"/>
  <c r="DA139" i="1" a="1"/>
  <c r="DA139" i="1" s="1"/>
  <c r="AL159" i="1"/>
  <c r="AL166" i="1"/>
  <c r="AL229" i="1"/>
  <c r="DB254" i="1" a="1"/>
  <c r="DB254" i="1" s="1"/>
  <c r="AL98" i="1"/>
  <c r="CW101" i="1" a="1"/>
  <c r="CW101" i="1" s="1"/>
  <c r="CX101" i="1" s="1"/>
  <c r="DA111" i="1" a="1"/>
  <c r="DA111" i="1" s="1"/>
  <c r="DB129" i="1" a="1"/>
  <c r="DB129" i="1" s="1"/>
  <c r="AL151" i="1"/>
  <c r="DB184" i="1" a="1"/>
  <c r="DB184" i="1" s="1"/>
  <c r="CW188" i="1" a="1"/>
  <c r="CW188" i="1" s="1"/>
  <c r="CX188" i="1" s="1"/>
  <c r="AL215" i="1"/>
  <c r="CT91" i="1" a="1"/>
  <c r="CT91" i="1" s="1"/>
  <c r="CU91" i="1" s="1"/>
  <c r="AL216" i="1"/>
  <c r="CT228" i="1" a="1"/>
  <c r="CT228" i="1" s="1"/>
  <c r="CU228" i="1" s="1"/>
  <c r="DB234" i="1" a="1"/>
  <c r="DB234" i="1" s="1"/>
  <c r="AL225" i="1"/>
  <c r="CW196" i="1" a="1"/>
  <c r="CW196" i="1" s="1"/>
  <c r="CX196" i="1" s="1"/>
  <c r="CZ175" i="1" a="1"/>
  <c r="CZ175" i="1" s="1"/>
  <c r="AL197" i="1"/>
  <c r="CZ242" i="1" a="1"/>
  <c r="CZ242" i="1" s="1"/>
  <c r="CT272" i="1" a="1"/>
  <c r="CT272" i="1" s="1"/>
  <c r="DA175" i="1" a="1"/>
  <c r="DA175" i="1" s="1"/>
  <c r="AL239" i="1"/>
  <c r="CT284" i="1" a="1"/>
  <c r="CT284" i="1" s="1"/>
  <c r="CW91" i="1" a="1"/>
  <c r="CW91" i="1" s="1"/>
  <c r="CX91" i="1" s="1"/>
  <c r="AL101" i="1"/>
  <c r="AL130" i="1"/>
  <c r="DB142" i="1" a="1"/>
  <c r="DB142" i="1" s="1"/>
  <c r="CT175" i="1" a="1"/>
  <c r="CT175" i="1" s="1"/>
  <c r="CU175" i="1" s="1"/>
  <c r="DB176" i="1" a="1"/>
  <c r="DB176" i="1" s="1"/>
  <c r="CT94" i="1" a="1"/>
  <c r="CT94" i="1" s="1"/>
  <c r="CU94" i="1" s="1"/>
  <c r="DB147" i="1" a="1"/>
  <c r="DB147" i="1" s="1"/>
  <c r="DA149" i="1" a="1"/>
  <c r="DA149" i="1" s="1"/>
  <c r="CW180" i="1" a="1"/>
  <c r="CW180" i="1" s="1"/>
  <c r="CX180" i="1" s="1"/>
  <c r="AL158" i="1"/>
  <c r="AL203" i="1"/>
  <c r="CW254" i="1" a="1"/>
  <c r="CW254" i="1" s="1"/>
  <c r="CX254" i="1" s="1"/>
  <c r="DQ141" i="1" a="1"/>
  <c r="DQ141" i="1" s="1"/>
  <c r="CP141" i="1"/>
  <c r="AL196" i="1"/>
  <c r="AL268" i="1"/>
  <c r="DO114" i="1" a="1"/>
  <c r="DO114" i="1" s="1"/>
  <c r="CN114" i="1"/>
  <c r="DQ148" i="1" a="1"/>
  <c r="DQ148" i="1" s="1"/>
  <c r="CP148" i="1"/>
  <c r="DO136" i="1" a="1"/>
  <c r="DO136" i="1" s="1"/>
  <c r="CN136" i="1"/>
  <c r="DO143" i="1" a="1"/>
  <c r="DO143" i="1" s="1"/>
  <c r="CN143" i="1"/>
  <c r="CN137" i="1"/>
  <c r="DO137" i="1" a="1"/>
  <c r="DO137" i="1" s="1"/>
  <c r="CP115" i="1"/>
  <c r="DQ115" i="1" a="1"/>
  <c r="DQ115" i="1" s="1"/>
  <c r="CQ104" i="1"/>
  <c r="DR104" i="1" a="1"/>
  <c r="DR104" i="1" s="1"/>
  <c r="CP116" i="1"/>
  <c r="DQ116" i="1" a="1"/>
  <c r="DQ116" i="1" s="1"/>
  <c r="CP149" i="1"/>
  <c r="DQ149" i="1" a="1"/>
  <c r="DQ149" i="1" s="1"/>
  <c r="DA91" i="1" a="1"/>
  <c r="DA91" i="1" s="1"/>
  <c r="CT169" i="1" a="1"/>
  <c r="CT169" i="1" s="1"/>
  <c r="CU169" i="1" s="1"/>
  <c r="CZ188" i="1" a="1"/>
  <c r="CZ188" i="1" s="1"/>
  <c r="CW210" i="1" a="1"/>
  <c r="CW210" i="1" s="1"/>
  <c r="CX210" i="1" s="1"/>
  <c r="CN134" i="1"/>
  <c r="DO134" i="1" a="1"/>
  <c r="DO134" i="1" s="1"/>
  <c r="CN145" i="1"/>
  <c r="DO145" i="1" a="1"/>
  <c r="DO145" i="1" s="1"/>
  <c r="CO97" i="1"/>
  <c r="DP97" i="1" a="1"/>
  <c r="DP97" i="1" s="1"/>
  <c r="CZ91" i="1" a="1"/>
  <c r="CZ91" i="1" s="1"/>
  <c r="DA133" i="1" a="1"/>
  <c r="DA133" i="1" s="1"/>
  <c r="AL120" i="1"/>
  <c r="DA281" i="1" a="1"/>
  <c r="DA281" i="1" s="1"/>
  <c r="DQ122" i="1" a="1"/>
  <c r="DQ122" i="1" s="1"/>
  <c r="CP122" i="1"/>
  <c r="DR118" i="1" a="1"/>
  <c r="DR118" i="1" s="1"/>
  <c r="CQ118" i="1"/>
  <c r="DQ142" i="1" a="1"/>
  <c r="DQ142" i="1" s="1"/>
  <c r="CP142" i="1"/>
  <c r="DP104" i="1" a="1"/>
  <c r="DP104" i="1" s="1"/>
  <c r="CO104" i="1"/>
  <c r="AL221" i="1"/>
  <c r="AL284" i="1"/>
  <c r="DR127" i="1" a="1"/>
  <c r="DR127" i="1" s="1"/>
  <c r="CQ127" i="1"/>
  <c r="CN139" i="1"/>
  <c r="DO139" i="1" a="1"/>
  <c r="DO139" i="1" s="1"/>
  <c r="AL112" i="1"/>
  <c r="DB139" i="1" a="1"/>
  <c r="DB139" i="1" s="1"/>
  <c r="AL142" i="1"/>
  <c r="CZ142" i="1" a="1"/>
  <c r="CZ142" i="1" s="1"/>
  <c r="CW184" i="1" a="1"/>
  <c r="CW184" i="1" s="1"/>
  <c r="CX184" i="1" s="1"/>
  <c r="CW238" i="1" a="1"/>
  <c r="CW238" i="1" s="1"/>
  <c r="CX238" i="1" s="1"/>
  <c r="AL302" i="1"/>
  <c r="CO96" i="1"/>
  <c r="DP96" i="1" a="1"/>
  <c r="DP96" i="1" s="1"/>
  <c r="DR125" i="1" a="1"/>
  <c r="DR125" i="1" s="1"/>
  <c r="CQ125" i="1"/>
  <c r="CP118" i="1"/>
  <c r="DQ118" i="1" a="1"/>
  <c r="DQ118" i="1" s="1"/>
  <c r="AL145" i="1"/>
  <c r="CR90" i="1"/>
  <c r="DS90" i="1" a="1"/>
  <c r="DS90" i="1" s="1"/>
  <c r="CQ105" i="1"/>
  <c r="DR105" i="1" a="1"/>
  <c r="DR105" i="1" s="1"/>
  <c r="CP146" i="1"/>
  <c r="DQ146" i="1" a="1"/>
  <c r="DQ146" i="1" s="1"/>
  <c r="DA137" i="1" a="1"/>
  <c r="DA137" i="1" s="1"/>
  <c r="CW172" i="1" a="1"/>
  <c r="CW172" i="1" s="1"/>
  <c r="CX172" i="1" s="1"/>
  <c r="AL270" i="1"/>
  <c r="DA254" i="1" a="1"/>
  <c r="DA254" i="1" s="1"/>
  <c r="AL281" i="1"/>
  <c r="CZ289" i="1" a="1"/>
  <c r="CZ289" i="1" s="1"/>
  <c r="DR122" i="1" a="1"/>
  <c r="DR122" i="1" s="1"/>
  <c r="CQ122" i="1"/>
  <c r="AL143" i="1"/>
  <c r="AL194" i="1"/>
  <c r="CO99" i="1"/>
  <c r="DP99" i="1" a="1"/>
  <c r="DP99" i="1" s="1"/>
  <c r="DP105" i="1" a="1"/>
  <c r="DP105" i="1" s="1"/>
  <c r="CO105" i="1"/>
  <c r="CP119" i="1"/>
  <c r="DQ119" i="1" a="1"/>
  <c r="DQ119" i="1" s="1"/>
  <c r="CQ135" i="1"/>
  <c r="DR135" i="1" a="1"/>
  <c r="DR135" i="1" s="1"/>
  <c r="CQ115" i="1"/>
  <c r="DR115" i="1" a="1"/>
  <c r="DR115" i="1" s="1"/>
  <c r="DR124" i="1" a="1"/>
  <c r="DR124" i="1" s="1"/>
  <c r="CQ124" i="1"/>
  <c r="AL264" i="1"/>
  <c r="CZ93" i="1" a="1"/>
  <c r="CZ93" i="1" s="1"/>
  <c r="CT111" i="1" a="1"/>
  <c r="CT111" i="1" s="1"/>
  <c r="CU111" i="1" s="1"/>
  <c r="CT142" i="1" a="1"/>
  <c r="CT142" i="1" s="1"/>
  <c r="CU142" i="1" s="1"/>
  <c r="CT177" i="1" a="1"/>
  <c r="CT177" i="1" s="1"/>
  <c r="CU177" i="1" s="1"/>
  <c r="AL232" i="1"/>
  <c r="AL240" i="1"/>
  <c r="CT254" i="1" a="1"/>
  <c r="CT254" i="1" s="1"/>
  <c r="CU254" i="1" s="1"/>
  <c r="CZ286" i="1" a="1"/>
  <c r="CZ286" i="1" s="1"/>
  <c r="CQ134" i="1"/>
  <c r="DR134" i="1" a="1"/>
  <c r="DR134" i="1" s="1"/>
  <c r="CQ141" i="1"/>
  <c r="DR141" i="1" a="1"/>
  <c r="DR141" i="1" s="1"/>
  <c r="AL209" i="1"/>
  <c r="DP103" i="1" a="1"/>
  <c r="DP103" i="1" s="1"/>
  <c r="CO103" i="1"/>
  <c r="AL190" i="1"/>
  <c r="CN140" i="1"/>
  <c r="DO140" i="1" a="1"/>
  <c r="DO140" i="1" s="1"/>
  <c r="CZ125" i="1" a="1"/>
  <c r="CZ125" i="1" s="1"/>
  <c r="CQ111" i="1"/>
  <c r="DR111" i="1" a="1"/>
  <c r="DR111" i="1" s="1"/>
  <c r="DO123" i="1" a="1"/>
  <c r="DO123" i="1" s="1"/>
  <c r="CN123" i="1"/>
  <c r="CR111" i="1"/>
  <c r="DS111" i="1" a="1"/>
  <c r="DS111" i="1" s="1"/>
  <c r="DR123" i="1" a="1"/>
  <c r="DR123" i="1" s="1"/>
  <c r="CQ123" i="1"/>
  <c r="DP106" i="1" a="1"/>
  <c r="DP106" i="1" s="1"/>
  <c r="CO106" i="1"/>
  <c r="CP114" i="1"/>
  <c r="DQ114" i="1" a="1"/>
  <c r="DQ114" i="1" s="1"/>
  <c r="DQ135" i="1" a="1"/>
  <c r="DQ135" i="1" s="1"/>
  <c r="CP135" i="1"/>
  <c r="DS103" i="1" a="1"/>
  <c r="DS103" i="1" s="1"/>
  <c r="CR103" i="1"/>
  <c r="CN138" i="1"/>
  <c r="DO138" i="1" a="1"/>
  <c r="DO138" i="1" s="1"/>
  <c r="DB91" i="1" a="1"/>
  <c r="DB91" i="1" s="1"/>
  <c r="DA94" i="1" a="1"/>
  <c r="DA94" i="1" s="1"/>
  <c r="CT127" i="1" a="1"/>
  <c r="CT127" i="1" s="1"/>
  <c r="CU127" i="1" s="1"/>
  <c r="AL150" i="1"/>
  <c r="CT181" i="1" a="1"/>
  <c r="CT181" i="1" s="1"/>
  <c r="CU181" i="1" s="1"/>
  <c r="CW175" i="1" a="1"/>
  <c r="CW175" i="1" s="1"/>
  <c r="CX175" i="1" s="1"/>
  <c r="AL222" i="1"/>
  <c r="AL242" i="1"/>
  <c r="CZ268" i="1" a="1"/>
  <c r="CZ268" i="1" s="1"/>
  <c r="DA255" i="1" a="1"/>
  <c r="DA255" i="1" s="1"/>
  <c r="AL260" i="1"/>
  <c r="DA299" i="1" a="1"/>
  <c r="DA299" i="1" s="1"/>
  <c r="DR90" i="1" a="1"/>
  <c r="DR90" i="1" s="1"/>
  <c r="CQ90" i="1"/>
  <c r="CQ133" i="1"/>
  <c r="DR133" i="1" a="1"/>
  <c r="DR133" i="1" s="1"/>
  <c r="DR117" i="1" a="1"/>
  <c r="DR117" i="1" s="1"/>
  <c r="CQ117" i="1"/>
  <c r="DQ103" i="1" a="1"/>
  <c r="DQ103" i="1" s="1"/>
  <c r="CP103" i="1"/>
  <c r="AL141" i="1"/>
  <c r="CP132" i="1"/>
  <c r="DQ132" i="1" a="1"/>
  <c r="DQ132" i="1" s="1"/>
  <c r="AL134" i="1"/>
  <c r="DS102" i="1" a="1"/>
  <c r="DS102" i="1" s="1"/>
  <c r="CR102" i="1"/>
  <c r="CR105" i="1"/>
  <c r="DS105" i="1" a="1"/>
  <c r="DS105" i="1" s="1"/>
  <c r="CU55" i="1"/>
  <c r="CU68" i="1"/>
  <c r="CU77" i="1"/>
  <c r="DB90" i="1" a="1"/>
  <c r="DB90" i="1" s="1"/>
  <c r="CW90" i="1" a="1"/>
  <c r="CW90" i="1" s="1"/>
  <c r="CX90" i="1" s="1"/>
  <c r="CZ90" i="1" a="1"/>
  <c r="CZ90" i="1" s="1"/>
  <c r="DO90" i="1" a="1"/>
  <c r="DO90" i="1" s="1"/>
  <c r="DA90" i="1" a="1"/>
  <c r="DA90" i="1" s="1"/>
  <c r="CN90" i="1"/>
  <c r="CT90" i="1" a="1"/>
  <c r="CT90" i="1" s="1"/>
  <c r="CU90" i="1" s="1"/>
  <c r="Q97" i="1"/>
  <c r="DB98" i="1" a="1"/>
  <c r="DB98" i="1" s="1"/>
  <c r="CZ98" i="1" a="1"/>
  <c r="CZ98" i="1" s="1"/>
  <c r="DO98" i="1" a="1"/>
  <c r="DO98" i="1" s="1"/>
  <c r="DA98" i="1" a="1"/>
  <c r="DA98" i="1" s="1"/>
  <c r="CN98" i="1"/>
  <c r="CW98" i="1" a="1"/>
  <c r="CW98" i="1" s="1"/>
  <c r="CX98" i="1" s="1"/>
  <c r="CT98" i="1" a="1"/>
  <c r="CT98" i="1" s="1"/>
  <c r="CU98" i="1" s="1"/>
  <c r="DR95" i="1" a="1"/>
  <c r="DR95" i="1" s="1"/>
  <c r="CQ95" i="1"/>
  <c r="Q96" i="1"/>
  <c r="Q99" i="1"/>
  <c r="DS99" i="1" a="1"/>
  <c r="DS99" i="1" s="1"/>
  <c r="CR99" i="1"/>
  <c r="CO92" i="1"/>
  <c r="DP92" i="1" a="1"/>
  <c r="DP92" i="1" s="1"/>
  <c r="DB95" i="1" a="1"/>
  <c r="DB95" i="1" s="1"/>
  <c r="CN95" i="1"/>
  <c r="CW95" i="1" a="1"/>
  <c r="CW95" i="1" s="1"/>
  <c r="CX95" i="1" s="1"/>
  <c r="CZ95" i="1" a="1"/>
  <c r="CZ95" i="1" s="1"/>
  <c r="DO95" i="1" a="1"/>
  <c r="DO95" i="1" s="1"/>
  <c r="CT95" i="1" a="1"/>
  <c r="CT95" i="1" s="1"/>
  <c r="CU95" i="1" s="1"/>
  <c r="DA95" i="1" a="1"/>
  <c r="DA95" i="1" s="1"/>
  <c r="Q93" i="1"/>
  <c r="CU272" i="1"/>
  <c r="DQ90" i="1" a="1"/>
  <c r="DQ90" i="1" s="1"/>
  <c r="CP90" i="1"/>
  <c r="CR100" i="1"/>
  <c r="DS100" i="1" a="1"/>
  <c r="DS100" i="1" s="1"/>
  <c r="CO90" i="1"/>
  <c r="DP90" i="1" a="1"/>
  <c r="DP90" i="1" s="1"/>
  <c r="Q92" i="1"/>
  <c r="Q95" i="1"/>
  <c r="CU132" i="1"/>
  <c r="CU138" i="1"/>
  <c r="CU284" i="1"/>
  <c r="CU37" i="1"/>
  <c r="CU78" i="1"/>
  <c r="DB106" i="1" a="1"/>
  <c r="DB106" i="1" s="1"/>
  <c r="CN106" i="1"/>
  <c r="CW106" i="1" a="1"/>
  <c r="CW106" i="1" s="1"/>
  <c r="CX106" i="1" s="1"/>
  <c r="CZ106" i="1" a="1"/>
  <c r="CZ106" i="1" s="1"/>
  <c r="DO106" i="1" a="1"/>
  <c r="DO106" i="1" s="1"/>
  <c r="DA106" i="1" a="1"/>
  <c r="DA106" i="1" s="1"/>
  <c r="CT106" i="1" a="1"/>
  <c r="CT106" i="1" s="1"/>
  <c r="CU106" i="1" s="1"/>
  <c r="CU58" i="1"/>
  <c r="DP107" i="1" a="1"/>
  <c r="DP107" i="1" s="1"/>
  <c r="CO107" i="1"/>
  <c r="Q100" i="1"/>
  <c r="DB100" i="1" a="1"/>
  <c r="DB100" i="1" s="1"/>
  <c r="DO100" i="1" a="1"/>
  <c r="DO100" i="1" s="1"/>
  <c r="CN100" i="1"/>
  <c r="CZ100" i="1" a="1"/>
  <c r="CZ100" i="1" s="1"/>
  <c r="DA100" i="1" a="1"/>
  <c r="DA100" i="1" s="1"/>
  <c r="CW100" i="1" a="1"/>
  <c r="CW100" i="1" s="1"/>
  <c r="CX100" i="1" s="1"/>
  <c r="CT100" i="1" a="1"/>
  <c r="CT100" i="1" s="1"/>
  <c r="CU100" i="1" s="1"/>
  <c r="CN109" i="1"/>
  <c r="CW109" i="1" a="1"/>
  <c r="CW109" i="1" s="1"/>
  <c r="CX109" i="1" s="1"/>
  <c r="DO109" i="1" a="1"/>
  <c r="DO109" i="1" s="1"/>
  <c r="CZ109" i="1" a="1"/>
  <c r="CZ109" i="1" s="1"/>
  <c r="CT109" i="1" a="1"/>
  <c r="CT109" i="1" s="1"/>
  <c r="CU109" i="1" s="1"/>
  <c r="DB109" i="1" a="1"/>
  <c r="DB109" i="1" s="1"/>
  <c r="DA109" i="1" a="1"/>
  <c r="DA109" i="1" s="1"/>
  <c r="Q102" i="1"/>
  <c r="CU21" i="1"/>
  <c r="CU81" i="1"/>
  <c r="DR99" i="1" a="1"/>
  <c r="DR99" i="1" s="1"/>
  <c r="CQ99" i="1"/>
  <c r="DP108" i="1" a="1"/>
  <c r="DP108" i="1" s="1"/>
  <c r="CO108" i="1"/>
  <c r="DR97" i="1" a="1"/>
  <c r="DR97" i="1" s="1"/>
  <c r="CQ97" i="1"/>
  <c r="DS97" i="1" a="1"/>
  <c r="DS97" i="1" s="1"/>
  <c r="CR97" i="1"/>
  <c r="Q98" i="1"/>
  <c r="CU69" i="1"/>
  <c r="CQ92" i="1"/>
  <c r="DR92" i="1" a="1"/>
  <c r="DR92" i="1" s="1"/>
  <c r="CR93" i="1"/>
  <c r="DS93" i="1" a="1"/>
  <c r="DS93" i="1" s="1"/>
  <c r="CT93" i="1" a="1"/>
  <c r="CT93" i="1" s="1"/>
  <c r="CU93" i="1" s="1"/>
  <c r="CU19" i="1"/>
  <c r="CU73" i="1"/>
  <c r="CU32" i="1"/>
  <c r="CU88" i="1"/>
  <c r="CW93" i="1" a="1"/>
  <c r="CW93" i="1" s="1"/>
  <c r="CX93" i="1" s="1"/>
  <c r="DR91" i="1" a="1"/>
  <c r="DR91" i="1" s="1"/>
  <c r="CQ91" i="1"/>
  <c r="DP93" i="1" a="1"/>
  <c r="DP93" i="1" s="1"/>
  <c r="CO93" i="1"/>
  <c r="CP91" i="1"/>
  <c r="DQ91" i="1" a="1"/>
  <c r="DQ91" i="1" s="1"/>
  <c r="Q90" i="1"/>
  <c r="CQ93" i="1"/>
  <c r="DR93" i="1" a="1"/>
  <c r="DR93" i="1" s="1"/>
  <c r="AL93" i="1"/>
  <c r="CW94" i="1" a="1"/>
  <c r="CW94" i="1" s="1"/>
  <c r="CX94" i="1" s="1"/>
  <c r="CP94" i="1"/>
  <c r="DQ94" i="1" a="1"/>
  <c r="DQ94" i="1" s="1"/>
  <c r="CT105" i="1" a="1"/>
  <c r="CT105" i="1" s="1"/>
  <c r="CU105" i="1" s="1"/>
  <c r="DA105" i="1" a="1"/>
  <c r="DA105" i="1" s="1"/>
  <c r="DB105" i="1" a="1"/>
  <c r="DB105" i="1" s="1"/>
  <c r="CN105" i="1"/>
  <c r="CW105" i="1" a="1"/>
  <c r="CW105" i="1" s="1"/>
  <c r="CX105" i="1" s="1"/>
  <c r="CZ105" i="1" a="1"/>
  <c r="CZ105" i="1" s="1"/>
  <c r="DO105" i="1" a="1"/>
  <c r="DO105" i="1" s="1"/>
  <c r="DQ108" i="1" a="1"/>
  <c r="DQ108" i="1" s="1"/>
  <c r="CP108" i="1"/>
  <c r="DQ112" i="1" a="1"/>
  <c r="DQ112" i="1" s="1"/>
  <c r="CP112" i="1"/>
  <c r="DR98" i="1" a="1"/>
  <c r="DR98" i="1" s="1"/>
  <c r="CQ98" i="1"/>
  <c r="AL109" i="1"/>
  <c r="AL92" i="1"/>
  <c r="CO101" i="1"/>
  <c r="DP101" i="1" a="1"/>
  <c r="DP101" i="1" s="1"/>
  <c r="CO111" i="1"/>
  <c r="DP111" i="1" a="1"/>
  <c r="DP111" i="1" s="1"/>
  <c r="DB111" i="1" a="1"/>
  <c r="DB111" i="1" s="1"/>
  <c r="CW111" i="1" a="1"/>
  <c r="CW111" i="1" s="1"/>
  <c r="CX111" i="1" s="1"/>
  <c r="CP126" i="1"/>
  <c r="DQ126" i="1" a="1"/>
  <c r="DQ126" i="1" s="1"/>
  <c r="Q112" i="1"/>
  <c r="DB115" i="1" a="1"/>
  <c r="DB115" i="1" s="1"/>
  <c r="Q123" i="1"/>
  <c r="Q108" i="1"/>
  <c r="CR124" i="1"/>
  <c r="DS124" i="1" a="1"/>
  <c r="DS124" i="1" s="1"/>
  <c r="DS127" i="1" a="1"/>
  <c r="DS127" i="1" s="1"/>
  <c r="CR127" i="1"/>
  <c r="CZ137" i="1" a="1"/>
  <c r="CZ137" i="1" s="1"/>
  <c r="DP137" i="1" a="1"/>
  <c r="DP137" i="1" s="1"/>
  <c r="CO137" i="1"/>
  <c r="CW137" i="1" a="1"/>
  <c r="CW137" i="1" s="1"/>
  <c r="CX137" i="1" s="1"/>
  <c r="CZ139" i="1" a="1"/>
  <c r="CZ139" i="1" s="1"/>
  <c r="DP139" i="1" a="1"/>
  <c r="DP139" i="1" s="1"/>
  <c r="CO139" i="1"/>
  <c r="CW139" i="1" a="1"/>
  <c r="CW139" i="1" s="1"/>
  <c r="CX139" i="1" s="1"/>
  <c r="DQ128" i="1" a="1"/>
  <c r="DQ128" i="1" s="1"/>
  <c r="CP128" i="1"/>
  <c r="DA132" i="1" a="1"/>
  <c r="DA132" i="1" s="1"/>
  <c r="DA136" i="1" a="1"/>
  <c r="DA136" i="1" s="1"/>
  <c r="DA138" i="1" a="1"/>
  <c r="DA138" i="1" s="1"/>
  <c r="DA140" i="1" a="1"/>
  <c r="DA140" i="1" s="1"/>
  <c r="AL103" i="1"/>
  <c r="CN112" i="1"/>
  <c r="CW112" i="1" a="1"/>
  <c r="CW112" i="1" s="1"/>
  <c r="CX112" i="1" s="1"/>
  <c r="DA112" i="1" a="1"/>
  <c r="DA112" i="1" s="1"/>
  <c r="CT112" i="1" a="1"/>
  <c r="CT112" i="1" s="1"/>
  <c r="CU112" i="1" s="1"/>
  <c r="DB112" i="1" a="1"/>
  <c r="DB112" i="1" s="1"/>
  <c r="CZ112" i="1" a="1"/>
  <c r="CZ112" i="1" s="1"/>
  <c r="DO112" i="1" a="1"/>
  <c r="DO112" i="1" s="1"/>
  <c r="DA125" i="1" a="1"/>
  <c r="DA125" i="1" s="1"/>
  <c r="CT129" i="1" a="1"/>
  <c r="CT129" i="1" s="1"/>
  <c r="CU129" i="1" s="1"/>
  <c r="CN110" i="1"/>
  <c r="CW110" i="1" a="1"/>
  <c r="CW110" i="1" s="1"/>
  <c r="CX110" i="1" s="1"/>
  <c r="CT110" i="1" a="1"/>
  <c r="CT110" i="1" s="1"/>
  <c r="CU110" i="1" s="1"/>
  <c r="DB110" i="1" a="1"/>
  <c r="DB110" i="1" s="1"/>
  <c r="DO110" i="1" a="1"/>
  <c r="DO110" i="1" s="1"/>
  <c r="CZ110" i="1" a="1"/>
  <c r="CZ110" i="1" s="1"/>
  <c r="DA110" i="1" a="1"/>
  <c r="DA110" i="1" s="1"/>
  <c r="CP131" i="1"/>
  <c r="DQ131" i="1" a="1"/>
  <c r="DQ131" i="1" s="1"/>
  <c r="DB131" i="1" a="1"/>
  <c r="DB131" i="1" s="1"/>
  <c r="DS136" i="1" a="1"/>
  <c r="DS136" i="1" s="1"/>
  <c r="CR136" i="1"/>
  <c r="CT136" i="1" a="1"/>
  <c r="CT136" i="1" s="1"/>
  <c r="CO152" i="1"/>
  <c r="DP152" i="1" a="1"/>
  <c r="DP152" i="1" s="1"/>
  <c r="DR131" i="1" a="1"/>
  <c r="DR131" i="1" s="1"/>
  <c r="CQ131" i="1"/>
  <c r="AL147" i="1"/>
  <c r="CT141" i="1" a="1"/>
  <c r="CT141" i="1" s="1"/>
  <c r="CU141" i="1" s="1"/>
  <c r="DP148" i="1" a="1"/>
  <c r="DP148" i="1" s="1"/>
  <c r="CO148" i="1"/>
  <c r="CT135" i="1" a="1"/>
  <c r="CT135" i="1" s="1"/>
  <c r="DB127" i="1" a="1"/>
  <c r="DB127" i="1" s="1"/>
  <c r="CR130" i="1"/>
  <c r="DS130" i="1" a="1"/>
  <c r="DS130" i="1" s="1"/>
  <c r="CT155" i="1" a="1"/>
  <c r="CT155" i="1" s="1"/>
  <c r="CU155" i="1" s="1"/>
  <c r="DA155" i="1" a="1"/>
  <c r="DA155" i="1" s="1"/>
  <c r="CW155" i="1" a="1"/>
  <c r="CW155" i="1" s="1"/>
  <c r="CX155" i="1" s="1"/>
  <c r="CN155" i="1"/>
  <c r="CZ155" i="1" a="1"/>
  <c r="CZ155" i="1" s="1"/>
  <c r="DB155" i="1" a="1"/>
  <c r="DB155" i="1" s="1"/>
  <c r="CR128" i="1"/>
  <c r="DS128" i="1" a="1"/>
  <c r="DS128" i="1" s="1"/>
  <c r="CQ151" i="1"/>
  <c r="DR151" i="1" a="1"/>
  <c r="DR151" i="1" s="1"/>
  <c r="Q160" i="1"/>
  <c r="Q154" i="1"/>
  <c r="CW148" i="1" a="1"/>
  <c r="CW148" i="1" s="1"/>
  <c r="CX148" i="1" s="1"/>
  <c r="CT168" i="1" a="1"/>
  <c r="CT168" i="1" s="1"/>
  <c r="CU168" i="1" s="1"/>
  <c r="Q164" i="1"/>
  <c r="DA169" i="1" a="1"/>
  <c r="DA169" i="1" s="1"/>
  <c r="Q169" i="1"/>
  <c r="Q177" i="1"/>
  <c r="CZ163" i="1" a="1"/>
  <c r="CZ163" i="1" s="1"/>
  <c r="CT163" i="1" a="1"/>
  <c r="CT163" i="1" s="1"/>
  <c r="CU163" i="1" s="1"/>
  <c r="DA163" i="1" a="1"/>
  <c r="DA163" i="1" s="1"/>
  <c r="DB163" i="1" a="1"/>
  <c r="DB163" i="1" s="1"/>
  <c r="CN163" i="1"/>
  <c r="CW163" i="1" a="1"/>
  <c r="CW163" i="1" s="1"/>
  <c r="CX163" i="1" s="1"/>
  <c r="Q194" i="1"/>
  <c r="DB158" i="1" a="1"/>
  <c r="DB158" i="1" s="1"/>
  <c r="CN158" i="1"/>
  <c r="CW158" i="1" a="1"/>
  <c r="CW158" i="1" s="1"/>
  <c r="CX158" i="1" s="1"/>
  <c r="CZ158" i="1" a="1"/>
  <c r="CZ158" i="1" s="1"/>
  <c r="CT158" i="1" a="1"/>
  <c r="CT158" i="1" s="1"/>
  <c r="CU158" i="1" s="1"/>
  <c r="DA158" i="1" a="1"/>
  <c r="DA158" i="1" s="1"/>
  <c r="DB166" i="1" a="1"/>
  <c r="DB166" i="1" s="1"/>
  <c r="CZ166" i="1" a="1"/>
  <c r="CZ166" i="1" s="1"/>
  <c r="CT166" i="1" a="1"/>
  <c r="CT166" i="1" s="1"/>
  <c r="CU166" i="1" s="1"/>
  <c r="DA166" i="1" a="1"/>
  <c r="DA166" i="1" s="1"/>
  <c r="CW166" i="1" a="1"/>
  <c r="CW166" i="1" s="1"/>
  <c r="CX166" i="1" s="1"/>
  <c r="CN166" i="1"/>
  <c r="CT171" i="1" a="1"/>
  <c r="CT171" i="1" s="1"/>
  <c r="CU171" i="1" s="1"/>
  <c r="Q165" i="1"/>
  <c r="AL176" i="1"/>
  <c r="CW189" i="1" a="1"/>
  <c r="CW189" i="1" s="1"/>
  <c r="CX189" i="1" s="1"/>
  <c r="CZ209" i="1" a="1"/>
  <c r="CZ209" i="1" s="1"/>
  <c r="CT209" i="1" a="1"/>
  <c r="CT209" i="1" s="1"/>
  <c r="CU209" i="1" s="1"/>
  <c r="DA209" i="1" a="1"/>
  <c r="DA209" i="1" s="1"/>
  <c r="DB209" i="1" a="1"/>
  <c r="DB209" i="1" s="1"/>
  <c r="CN209" i="1"/>
  <c r="CW209" i="1" a="1"/>
  <c r="CW209" i="1" s="1"/>
  <c r="CX209" i="1" s="1"/>
  <c r="DB211" i="1" a="1"/>
  <c r="DB211" i="1" s="1"/>
  <c r="CN211" i="1"/>
  <c r="CW211" i="1" a="1"/>
  <c r="CW211" i="1" s="1"/>
  <c r="CX211" i="1" s="1"/>
  <c r="CZ211" i="1" a="1"/>
  <c r="CZ211" i="1" s="1"/>
  <c r="CT211" i="1" a="1"/>
  <c r="CT211" i="1" s="1"/>
  <c r="CU211" i="1" s="1"/>
  <c r="DA211" i="1" a="1"/>
  <c r="DA211" i="1" s="1"/>
  <c r="CZ227" i="1" a="1"/>
  <c r="CZ227" i="1" s="1"/>
  <c r="DA227" i="1" a="1"/>
  <c r="DA227" i="1" s="1"/>
  <c r="CT227" i="1" a="1"/>
  <c r="CT227" i="1" s="1"/>
  <c r="CU227" i="1" s="1"/>
  <c r="DB227" i="1" a="1"/>
  <c r="DB227" i="1" s="1"/>
  <c r="CN227" i="1"/>
  <c r="CW227" i="1" a="1"/>
  <c r="CW227" i="1" s="1"/>
  <c r="CX227" i="1" s="1"/>
  <c r="Q198" i="1"/>
  <c r="Q197" i="1"/>
  <c r="CZ199" i="1" a="1"/>
  <c r="CZ199" i="1" s="1"/>
  <c r="CN199" i="1"/>
  <c r="DA199" i="1" a="1"/>
  <c r="DA199" i="1" s="1"/>
  <c r="DB199" i="1" a="1"/>
  <c r="DB199" i="1" s="1"/>
  <c r="CT199" i="1" a="1"/>
  <c r="CT199" i="1" s="1"/>
  <c r="CU199" i="1" s="1"/>
  <c r="CW199" i="1" a="1"/>
  <c r="CW199" i="1" s="1"/>
  <c r="CX199" i="1" s="1"/>
  <c r="Q221" i="1"/>
  <c r="CZ220" i="1" a="1"/>
  <c r="CZ220" i="1" s="1"/>
  <c r="CT220" i="1" a="1"/>
  <c r="CT220" i="1" s="1"/>
  <c r="CU220" i="1" s="1"/>
  <c r="DA220" i="1" a="1"/>
  <c r="DA220" i="1" s="1"/>
  <c r="DB220" i="1" a="1"/>
  <c r="DB220" i="1" s="1"/>
  <c r="CN220" i="1"/>
  <c r="CW220" i="1" a="1"/>
  <c r="CW220" i="1" s="1"/>
  <c r="CX220" i="1" s="1"/>
  <c r="AL205" i="1"/>
  <c r="DA210" i="1" a="1"/>
  <c r="DA210" i="1" s="1"/>
  <c r="AL226" i="1"/>
  <c r="Q218" i="1"/>
  <c r="CO234" i="1"/>
  <c r="CZ234" i="1" a="1"/>
  <c r="CZ234" i="1" s="1"/>
  <c r="CT234" i="1" a="1"/>
  <c r="CT234" i="1" s="1"/>
  <c r="CU234" i="1" s="1"/>
  <c r="DA234" i="1" a="1"/>
  <c r="DA234" i="1" s="1"/>
  <c r="DB246" i="1" a="1"/>
  <c r="DB246" i="1" s="1"/>
  <c r="CT246" i="1" a="1"/>
  <c r="CT246" i="1" s="1"/>
  <c r="CU246" i="1" s="1"/>
  <c r="CW246" i="1" a="1"/>
  <c r="CW246" i="1" s="1"/>
  <c r="CX246" i="1" s="1"/>
  <c r="CN246" i="1"/>
  <c r="CZ246" i="1" a="1"/>
  <c r="CZ246" i="1" s="1"/>
  <c r="DA246" i="1" a="1"/>
  <c r="DA246" i="1" s="1"/>
  <c r="DA228" i="1" a="1"/>
  <c r="DA228" i="1" s="1"/>
  <c r="Q251" i="1"/>
  <c r="CN257" i="1"/>
  <c r="CW257" i="1" a="1"/>
  <c r="CW257" i="1" s="1"/>
  <c r="CX257" i="1" s="1"/>
  <c r="CZ257" i="1" a="1"/>
  <c r="CZ257" i="1" s="1"/>
  <c r="DA257" i="1" a="1"/>
  <c r="DA257" i="1" s="1"/>
  <c r="DB257" i="1" a="1"/>
  <c r="DB257" i="1" s="1"/>
  <c r="CT257" i="1" a="1"/>
  <c r="CT257" i="1" s="1"/>
  <c r="CU257" i="1" s="1"/>
  <c r="CP229" i="1"/>
  <c r="CT229" i="1" a="1"/>
  <c r="CT229" i="1" s="1"/>
  <c r="CU229" i="1" s="1"/>
  <c r="CZ217" i="1" a="1"/>
  <c r="CZ217" i="1" s="1"/>
  <c r="CT217" i="1" a="1"/>
  <c r="CT217" i="1" s="1"/>
  <c r="CU217" i="1" s="1"/>
  <c r="DA217" i="1" a="1"/>
  <c r="DA217" i="1" s="1"/>
  <c r="DB217" i="1" a="1"/>
  <c r="DB217" i="1" s="1"/>
  <c r="CW217" i="1" a="1"/>
  <c r="CW217" i="1" s="1"/>
  <c r="CX217" i="1" s="1"/>
  <c r="CN217" i="1"/>
  <c r="CT237" i="1" a="1"/>
  <c r="CT237" i="1" s="1"/>
  <c r="CU237" i="1" s="1"/>
  <c r="AL262" i="1"/>
  <c r="DB264" i="1" a="1"/>
  <c r="DB264" i="1" s="1"/>
  <c r="CW264" i="1" a="1"/>
  <c r="CW264" i="1" s="1"/>
  <c r="CX264" i="1" s="1"/>
  <c r="CP264" i="1"/>
  <c r="DA268" i="1" a="1"/>
  <c r="DA268" i="1" s="1"/>
  <c r="CZ275" i="1" a="1"/>
  <c r="CZ275" i="1" s="1"/>
  <c r="CT275" i="1" a="1"/>
  <c r="CT275" i="1" s="1"/>
  <c r="CU275" i="1" s="1"/>
  <c r="DA275" i="1" a="1"/>
  <c r="DA275" i="1" s="1"/>
  <c r="CN275" i="1"/>
  <c r="CW275" i="1" a="1"/>
  <c r="CW275" i="1" s="1"/>
  <c r="CX275" i="1" s="1"/>
  <c r="DB275" i="1" a="1"/>
  <c r="DB275" i="1" s="1"/>
  <c r="DA280" i="1" a="1"/>
  <c r="DA280" i="1" s="1"/>
  <c r="CZ291" i="1" a="1"/>
  <c r="CZ291" i="1" s="1"/>
  <c r="CN291" i="1"/>
  <c r="CW291" i="1" a="1"/>
  <c r="CW291" i="1" s="1"/>
  <c r="CX291" i="1" s="1"/>
  <c r="DA291" i="1" a="1"/>
  <c r="DA291" i="1" s="1"/>
  <c r="DB291" i="1" a="1"/>
  <c r="DB291" i="1" s="1"/>
  <c r="CT291" i="1" a="1"/>
  <c r="CT291" i="1" s="1"/>
  <c r="CU291" i="1" s="1"/>
  <c r="AL255" i="1"/>
  <c r="DB255" i="1" a="1"/>
  <c r="DB255" i="1" s="1"/>
  <c r="AL261" i="1"/>
  <c r="DB266" i="1" a="1"/>
  <c r="DB266" i="1" s="1"/>
  <c r="CN266" i="1"/>
  <c r="CW266" i="1" a="1"/>
  <c r="CW266" i="1" s="1"/>
  <c r="CX266" i="1" s="1"/>
  <c r="CZ266" i="1" a="1"/>
  <c r="CZ266" i="1" s="1"/>
  <c r="CT266" i="1" a="1"/>
  <c r="CT266" i="1" s="1"/>
  <c r="CU266" i="1" s="1"/>
  <c r="DA266" i="1" a="1"/>
  <c r="DA266" i="1" s="1"/>
  <c r="Q253" i="1"/>
  <c r="Q263" i="1"/>
  <c r="CO265" i="1"/>
  <c r="CZ265" i="1" a="1"/>
  <c r="CZ265" i="1" s="1"/>
  <c r="AL297" i="1"/>
  <c r="CZ264" i="1" a="1"/>
  <c r="CZ264" i="1" s="1"/>
  <c r="DA293" i="1" a="1"/>
  <c r="DA293" i="1" s="1"/>
  <c r="CT296" i="1" a="1"/>
  <c r="CT296" i="1" s="1"/>
  <c r="CU296" i="1" s="1"/>
  <c r="DA296" i="1" a="1"/>
  <c r="DA296" i="1" s="1"/>
  <c r="DB296" i="1" a="1"/>
  <c r="DB296" i="1" s="1"/>
  <c r="CW296" i="1" a="1"/>
  <c r="CW296" i="1" s="1"/>
  <c r="CX296" i="1" s="1"/>
  <c r="CN296" i="1"/>
  <c r="CZ296" i="1" a="1"/>
  <c r="CZ296" i="1" s="1"/>
  <c r="AL288" i="1"/>
  <c r="AL290" i="1"/>
  <c r="AL294" i="1"/>
  <c r="DB278" i="1" a="1"/>
  <c r="DB278" i="1" s="1"/>
  <c r="CN278" i="1"/>
  <c r="CW278" i="1" a="1"/>
  <c r="CW278" i="1" s="1"/>
  <c r="CX278" i="1" s="1"/>
  <c r="CZ278" i="1" a="1"/>
  <c r="CZ278" i="1" s="1"/>
  <c r="CT278" i="1" a="1"/>
  <c r="CT278" i="1" s="1"/>
  <c r="CU278" i="1" s="1"/>
  <c r="DA278" i="1" a="1"/>
  <c r="DA278" i="1" s="1"/>
  <c r="Q283" i="1"/>
  <c r="CT289" i="1" a="1"/>
  <c r="CT289" i="1" s="1"/>
  <c r="CU289" i="1" s="1"/>
  <c r="DB286" i="1" a="1"/>
  <c r="DB286" i="1" s="1"/>
  <c r="CW303" i="1" a="1"/>
  <c r="CW303" i="1" s="1"/>
  <c r="CX303" i="1" s="1"/>
  <c r="CZ269" i="1" a="1"/>
  <c r="CZ269" i="1" s="1"/>
  <c r="CZ297" i="1" a="1"/>
  <c r="CZ297" i="1" s="1"/>
  <c r="DS101" i="1" a="1"/>
  <c r="DS101" i="1" s="1"/>
  <c r="CR101" i="1"/>
  <c r="DQ95" i="1" a="1"/>
  <c r="DQ95" i="1" s="1"/>
  <c r="CP95" i="1"/>
  <c r="DP112" i="1" a="1"/>
  <c r="DP112" i="1" s="1"/>
  <c r="CO112" i="1"/>
  <c r="DA101" i="1" a="1"/>
  <c r="DA101" i="1" s="1"/>
  <c r="AL107" i="1"/>
  <c r="DP109" i="1" a="1"/>
  <c r="DP109" i="1" s="1"/>
  <c r="CO109" i="1"/>
  <c r="CZ114" i="1" a="1"/>
  <c r="CZ114" i="1" s="1"/>
  <c r="DP114" i="1" a="1"/>
  <c r="DP114" i="1" s="1"/>
  <c r="CO114" i="1"/>
  <c r="CW114" i="1" a="1"/>
  <c r="CW114" i="1" s="1"/>
  <c r="CX114" i="1" s="1"/>
  <c r="DB114" i="1" a="1"/>
  <c r="DB114" i="1" s="1"/>
  <c r="Q114" i="1"/>
  <c r="CZ122" i="1" a="1"/>
  <c r="CZ122" i="1" s="1"/>
  <c r="DP122" i="1" a="1"/>
  <c r="DP122" i="1" s="1"/>
  <c r="CO122" i="1"/>
  <c r="DB122" i="1" a="1"/>
  <c r="DB122" i="1" s="1"/>
  <c r="CW122" i="1" a="1"/>
  <c r="CW122" i="1" s="1"/>
  <c r="CX122" i="1" s="1"/>
  <c r="DP124" i="1" a="1"/>
  <c r="DP124" i="1" s="1"/>
  <c r="CO124" i="1"/>
  <c r="DB124" i="1" a="1"/>
  <c r="DB124" i="1" s="1"/>
  <c r="CW124" i="1" a="1"/>
  <c r="CW124" i="1" s="1"/>
  <c r="CX124" i="1" s="1"/>
  <c r="CZ124" i="1" a="1"/>
  <c r="CZ124" i="1" s="1"/>
  <c r="AL124" i="1"/>
  <c r="CZ134" i="1" a="1"/>
  <c r="CZ134" i="1" s="1"/>
  <c r="DP134" i="1" a="1"/>
  <c r="DP134" i="1" s="1"/>
  <c r="CW134" i="1" a="1"/>
  <c r="CW134" i="1" s="1"/>
  <c r="CX134" i="1" s="1"/>
  <c r="CO134" i="1"/>
  <c r="CT103" i="1" a="1"/>
  <c r="CT103" i="1" s="1"/>
  <c r="CU103" i="1" s="1"/>
  <c r="DA103" i="1" a="1"/>
  <c r="DA103" i="1" s="1"/>
  <c r="DB103" i="1" a="1"/>
  <c r="DB103" i="1" s="1"/>
  <c r="CN103" i="1"/>
  <c r="CW103" i="1" a="1"/>
  <c r="CW103" i="1" s="1"/>
  <c r="CX103" i="1" s="1"/>
  <c r="CZ103" i="1" a="1"/>
  <c r="CZ103" i="1" s="1"/>
  <c r="DO103" i="1" a="1"/>
  <c r="DO103" i="1" s="1"/>
  <c r="CT125" i="1" a="1"/>
  <c r="CT125" i="1" s="1"/>
  <c r="CU125" i="1" s="1"/>
  <c r="CP130" i="1"/>
  <c r="DQ130" i="1" a="1"/>
  <c r="DQ130" i="1" s="1"/>
  <c r="CW130" i="1" a="1"/>
  <c r="CW130" i="1" s="1"/>
  <c r="CX130" i="1" s="1"/>
  <c r="DP110" i="1" a="1"/>
  <c r="DP110" i="1" s="1"/>
  <c r="CO110" i="1"/>
  <c r="DS133" i="1" a="1"/>
  <c r="DS133" i="1" s="1"/>
  <c r="CR133" i="1"/>
  <c r="CR120" i="1"/>
  <c r="DS120" i="1" a="1"/>
  <c r="DS120" i="1" s="1"/>
  <c r="DA118" i="1" a="1"/>
  <c r="DA118" i="1" s="1"/>
  <c r="CT131" i="1" a="1"/>
  <c r="CT131" i="1" s="1"/>
  <c r="CU131" i="1" s="1"/>
  <c r="DP142" i="1" a="1"/>
  <c r="DP142" i="1" s="1"/>
  <c r="CO142" i="1"/>
  <c r="CO151" i="1"/>
  <c r="DP151" i="1" a="1"/>
  <c r="DP151" i="1" s="1"/>
  <c r="Q142" i="1"/>
  <c r="CR142" i="1"/>
  <c r="DS142" i="1" a="1"/>
  <c r="DS142" i="1" s="1"/>
  <c r="DA142" i="1" a="1"/>
  <c r="DA142" i="1" s="1"/>
  <c r="CR147" i="1"/>
  <c r="DS147" i="1" a="1"/>
  <c r="DS147" i="1" s="1"/>
  <c r="CR152" i="1"/>
  <c r="DS152" i="1" a="1"/>
  <c r="DS152" i="1" s="1"/>
  <c r="CZ160" i="1" a="1"/>
  <c r="CZ160" i="1" s="1"/>
  <c r="CT160" i="1" a="1"/>
  <c r="CT160" i="1" s="1"/>
  <c r="CU160" i="1" s="1"/>
  <c r="DA160" i="1" a="1"/>
  <c r="DA160" i="1" s="1"/>
  <c r="DB160" i="1" a="1"/>
  <c r="DB160" i="1" s="1"/>
  <c r="CN160" i="1"/>
  <c r="CW160" i="1" a="1"/>
  <c r="CW160" i="1" s="1"/>
  <c r="CX160" i="1" s="1"/>
  <c r="CR148" i="1"/>
  <c r="DS148" i="1" a="1"/>
  <c r="DS148" i="1" s="1"/>
  <c r="CQ150" i="1"/>
  <c r="DR150" i="1" a="1"/>
  <c r="DR150" i="1" s="1"/>
  <c r="DA148" i="1" a="1"/>
  <c r="DA148" i="1" s="1"/>
  <c r="CZ169" i="1" a="1"/>
  <c r="CZ169" i="1" s="1"/>
  <c r="CO169" i="1"/>
  <c r="CW169" i="1" a="1"/>
  <c r="CW169" i="1" s="1"/>
  <c r="CX169" i="1" s="1"/>
  <c r="DB169" i="1" a="1"/>
  <c r="DB169" i="1" s="1"/>
  <c r="DA177" i="1" a="1"/>
  <c r="DA177" i="1" s="1"/>
  <c r="Q163" i="1"/>
  <c r="CZ194" i="1" a="1"/>
  <c r="CZ194" i="1" s="1"/>
  <c r="DA194" i="1" a="1"/>
  <c r="DA194" i="1" s="1"/>
  <c r="DB194" i="1" a="1"/>
  <c r="DB194" i="1" s="1"/>
  <c r="CT194" i="1" a="1"/>
  <c r="CT194" i="1" s="1"/>
  <c r="CU194" i="1" s="1"/>
  <c r="CW194" i="1" a="1"/>
  <c r="CW194" i="1" s="1"/>
  <c r="CX194" i="1" s="1"/>
  <c r="CN194" i="1"/>
  <c r="Q168" i="1"/>
  <c r="CW171" i="1" a="1"/>
  <c r="CW171" i="1" s="1"/>
  <c r="CX171" i="1" s="1"/>
  <c r="AL175" i="1"/>
  <c r="DB183" i="1" a="1"/>
  <c r="DB183" i="1" s="1"/>
  <c r="CN183" i="1"/>
  <c r="CW183" i="1" a="1"/>
  <c r="CW183" i="1" s="1"/>
  <c r="CX183" i="1" s="1"/>
  <c r="CT183" i="1" a="1"/>
  <c r="CT183" i="1" s="1"/>
  <c r="CU183" i="1" s="1"/>
  <c r="DA183" i="1" a="1"/>
  <c r="DA183" i="1" s="1"/>
  <c r="CZ183" i="1" a="1"/>
  <c r="CZ183" i="1" s="1"/>
  <c r="Q187" i="1"/>
  <c r="Q192" i="1"/>
  <c r="Q201" i="1"/>
  <c r="CZ208" i="1" a="1"/>
  <c r="CZ208" i="1" s="1"/>
  <c r="CT208" i="1" a="1"/>
  <c r="CT208" i="1" s="1"/>
  <c r="CU208" i="1" s="1"/>
  <c r="DA208" i="1" a="1"/>
  <c r="DA208" i="1" s="1"/>
  <c r="CN208" i="1"/>
  <c r="CW208" i="1" a="1"/>
  <c r="CW208" i="1" s="1"/>
  <c r="CX208" i="1" s="1"/>
  <c r="DB208" i="1" a="1"/>
  <c r="DB208" i="1" s="1"/>
  <c r="CZ212" i="1" a="1"/>
  <c r="CZ212" i="1" s="1"/>
  <c r="CT212" i="1" a="1"/>
  <c r="CT212" i="1" s="1"/>
  <c r="CU212" i="1" s="1"/>
  <c r="DA212" i="1" a="1"/>
  <c r="DA212" i="1" s="1"/>
  <c r="CW212" i="1" a="1"/>
  <c r="CW212" i="1" s="1"/>
  <c r="CX212" i="1" s="1"/>
  <c r="DB212" i="1" a="1"/>
  <c r="DB212" i="1" s="1"/>
  <c r="CN212" i="1"/>
  <c r="CW198" i="1" a="1"/>
  <c r="CW198" i="1" s="1"/>
  <c r="CX198" i="1" s="1"/>
  <c r="CN198" i="1"/>
  <c r="DB198" i="1" a="1"/>
  <c r="DB198" i="1" s="1"/>
  <c r="CT198" i="1" a="1"/>
  <c r="CT198" i="1" s="1"/>
  <c r="CU198" i="1" s="1"/>
  <c r="DA198" i="1" a="1"/>
  <c r="DA198" i="1" s="1"/>
  <c r="CZ198" i="1" a="1"/>
  <c r="CZ198" i="1" s="1"/>
  <c r="CZ189" i="1" a="1"/>
  <c r="CZ189" i="1" s="1"/>
  <c r="Q215" i="1"/>
  <c r="DB222" i="1" a="1"/>
  <c r="DB222" i="1" s="1"/>
  <c r="CN222" i="1"/>
  <c r="CW222" i="1" a="1"/>
  <c r="CW222" i="1" s="1"/>
  <c r="CX222" i="1" s="1"/>
  <c r="CZ222" i="1" a="1"/>
  <c r="CZ222" i="1" s="1"/>
  <c r="DA222" i="1" a="1"/>
  <c r="DA222" i="1" s="1"/>
  <c r="CT222" i="1" a="1"/>
  <c r="CT222" i="1" s="1"/>
  <c r="CU222" i="1" s="1"/>
  <c r="CT210" i="1" a="1"/>
  <c r="CT210" i="1" s="1"/>
  <c r="CU210" i="1" s="1"/>
  <c r="Q235" i="1"/>
  <c r="AL207" i="1"/>
  <c r="DB249" i="1" a="1"/>
  <c r="DB249" i="1" s="1"/>
  <c r="CT249" i="1" a="1"/>
  <c r="CT249" i="1" s="1"/>
  <c r="CU249" i="1" s="1"/>
  <c r="DA249" i="1" a="1"/>
  <c r="DA249" i="1" s="1"/>
  <c r="CW249" i="1" a="1"/>
  <c r="CW249" i="1" s="1"/>
  <c r="CX249" i="1" s="1"/>
  <c r="CN249" i="1"/>
  <c r="CZ249" i="1" a="1"/>
  <c r="CZ249" i="1" s="1"/>
  <c r="AL248" i="1"/>
  <c r="CW237" i="1" a="1"/>
  <c r="CW237" i="1" s="1"/>
  <c r="CX237" i="1" s="1"/>
  <c r="AL246" i="1"/>
  <c r="CW225" i="1" a="1"/>
  <c r="CW225" i="1" s="1"/>
  <c r="CX225" i="1" s="1"/>
  <c r="DA261" i="1" a="1"/>
  <c r="DA261" i="1" s="1"/>
  <c r="CW242" i="1" a="1"/>
  <c r="CW242" i="1" s="1"/>
  <c r="CX242" i="1" s="1"/>
  <c r="DB259" i="1" a="1"/>
  <c r="DB259" i="1" s="1"/>
  <c r="CT259" i="1" a="1"/>
  <c r="CT259" i="1" s="1"/>
  <c r="CU259" i="1" s="1"/>
  <c r="CW259" i="1" a="1"/>
  <c r="CW259" i="1" s="1"/>
  <c r="CX259" i="1" s="1"/>
  <c r="CN259" i="1"/>
  <c r="CZ259" i="1" a="1"/>
  <c r="CZ259" i="1" s="1"/>
  <c r="DA259" i="1" a="1"/>
  <c r="DA259" i="1" s="1"/>
  <c r="Q269" i="1"/>
  <c r="DB284" i="1" a="1"/>
  <c r="DB284" i="1" s="1"/>
  <c r="CP284" i="1"/>
  <c r="CW284" i="1" a="1"/>
  <c r="CW284" i="1" s="1"/>
  <c r="CX284" i="1" s="1"/>
  <c r="Q275" i="1"/>
  <c r="Q260" i="1"/>
  <c r="Q266" i="1"/>
  <c r="CZ277" i="1" a="1"/>
  <c r="CZ277" i="1" s="1"/>
  <c r="CT285" i="1" a="1"/>
  <c r="CT285" i="1" s="1"/>
  <c r="CU285" i="1" s="1"/>
  <c r="DA285" i="1" a="1"/>
  <c r="DA285" i="1" s="1"/>
  <c r="DB285" i="1" a="1"/>
  <c r="DB285" i="1" s="1"/>
  <c r="CZ285" i="1" a="1"/>
  <c r="CZ285" i="1" s="1"/>
  <c r="CN285" i="1"/>
  <c r="CW285" i="1" a="1"/>
  <c r="CW285" i="1" s="1"/>
  <c r="CX285" i="1" s="1"/>
  <c r="Q293" i="1"/>
  <c r="DB273" i="1" a="1"/>
  <c r="DB273" i="1" s="1"/>
  <c r="CO281" i="1"/>
  <c r="CZ281" i="1" a="1"/>
  <c r="CZ281" i="1" s="1"/>
  <c r="CT281" i="1" a="1"/>
  <c r="CT281" i="1" s="1"/>
  <c r="CU281" i="1" s="1"/>
  <c r="CT293" i="1" a="1"/>
  <c r="CT293" i="1" s="1"/>
  <c r="CU293" i="1" s="1"/>
  <c r="CP292" i="1"/>
  <c r="CW292" i="1" a="1"/>
  <c r="CW292" i="1" s="1"/>
  <c r="CX292" i="1" s="1"/>
  <c r="CT280" i="1" a="1"/>
  <c r="CT280" i="1" s="1"/>
  <c r="AL272" i="1"/>
  <c r="DB301" i="1" a="1"/>
  <c r="DB301" i="1" s="1"/>
  <c r="CN301" i="1"/>
  <c r="CW301" i="1" a="1"/>
  <c r="CW301" i="1" s="1"/>
  <c r="CX301" i="1" s="1"/>
  <c r="CZ301" i="1" a="1"/>
  <c r="CZ301" i="1" s="1"/>
  <c r="CT301" i="1" a="1"/>
  <c r="CT301" i="1" s="1"/>
  <c r="CU301" i="1" s="1"/>
  <c r="DA301" i="1" a="1"/>
  <c r="DA301" i="1" s="1"/>
  <c r="DB303" i="1" a="1"/>
  <c r="DB303" i="1" s="1"/>
  <c r="AL282" i="1"/>
  <c r="DA119" i="1" a="1"/>
  <c r="DA119" i="1" s="1"/>
  <c r="CT119" i="1" a="1"/>
  <c r="CT119" i="1" s="1"/>
  <c r="CU119" i="1" s="1"/>
  <c r="DB119" i="1" a="1"/>
  <c r="DB119" i="1" s="1"/>
  <c r="CN119" i="1"/>
  <c r="CZ119" i="1" a="1"/>
  <c r="CZ119" i="1" s="1"/>
  <c r="CW119" i="1" a="1"/>
  <c r="CW119" i="1" s="1"/>
  <c r="CX119" i="1" s="1"/>
  <c r="DO119" i="1" a="1"/>
  <c r="DO119" i="1" s="1"/>
  <c r="CP124" i="1"/>
  <c r="DQ124" i="1" a="1"/>
  <c r="DQ124" i="1" s="1"/>
  <c r="Q127" i="1"/>
  <c r="Q111" i="1"/>
  <c r="Q118" i="1"/>
  <c r="CT114" i="1" a="1"/>
  <c r="CT114" i="1" s="1"/>
  <c r="CU114" i="1" s="1"/>
  <c r="CO121" i="1"/>
  <c r="DP121" i="1" a="1"/>
  <c r="DP121" i="1" s="1"/>
  <c r="Q131" i="1"/>
  <c r="DS138" i="1" a="1"/>
  <c r="DS138" i="1" s="1"/>
  <c r="CR138" i="1"/>
  <c r="CP120" i="1"/>
  <c r="DQ120" i="1" a="1"/>
  <c r="DQ120" i="1" s="1"/>
  <c r="CT122" i="1" a="1"/>
  <c r="CT122" i="1" s="1"/>
  <c r="CU122" i="1" s="1"/>
  <c r="DP145" i="1" a="1"/>
  <c r="DP145" i="1" s="1"/>
  <c r="CO145" i="1"/>
  <c r="DB145" i="1" a="1"/>
  <c r="DB145" i="1" s="1"/>
  <c r="CQ120" i="1"/>
  <c r="DR120" i="1" a="1"/>
  <c r="DR120" i="1" s="1"/>
  <c r="CZ118" i="1" a="1"/>
  <c r="CZ118" i="1" s="1"/>
  <c r="DP147" i="1" a="1"/>
  <c r="DP147" i="1" s="1"/>
  <c r="CO147" i="1"/>
  <c r="CW147" i="1" a="1"/>
  <c r="CW147" i="1" s="1"/>
  <c r="CX147" i="1" s="1"/>
  <c r="CR125" i="1"/>
  <c r="DS125" i="1" a="1"/>
  <c r="DS125" i="1" s="1"/>
  <c r="CQ148" i="1"/>
  <c r="DR148" i="1" a="1"/>
  <c r="DR148" i="1" s="1"/>
  <c r="CQ152" i="1"/>
  <c r="DR152" i="1" a="1"/>
  <c r="DR152" i="1" s="1"/>
  <c r="CW145" i="1" a="1"/>
  <c r="CW145" i="1" s="1"/>
  <c r="CX145" i="1" s="1"/>
  <c r="Q130" i="1"/>
  <c r="CZ147" i="1" a="1"/>
  <c r="CZ147" i="1" s="1"/>
  <c r="DB153" i="1" a="1"/>
  <c r="DB153" i="1" s="1"/>
  <c r="CT148" i="1" a="1"/>
  <c r="CT148" i="1" s="1"/>
  <c r="CU148" i="1" s="1"/>
  <c r="CZ167" i="1" a="1"/>
  <c r="CZ167" i="1" s="1"/>
  <c r="CT167" i="1" a="1"/>
  <c r="CT167" i="1" s="1"/>
  <c r="CU167" i="1" s="1"/>
  <c r="DA167" i="1" a="1"/>
  <c r="DA167" i="1" s="1"/>
  <c r="DB167" i="1" a="1"/>
  <c r="DB167" i="1" s="1"/>
  <c r="CW167" i="1" a="1"/>
  <c r="CW167" i="1" s="1"/>
  <c r="CX167" i="1" s="1"/>
  <c r="CN167" i="1"/>
  <c r="Q155" i="1"/>
  <c r="AL180" i="1"/>
  <c r="CT170" i="1" a="1"/>
  <c r="CT170" i="1" s="1"/>
  <c r="CU170" i="1" s="1"/>
  <c r="DA170" i="1" a="1"/>
  <c r="DA170" i="1" s="1"/>
  <c r="DB170" i="1" a="1"/>
  <c r="DB170" i="1" s="1"/>
  <c r="CN170" i="1"/>
  <c r="CW170" i="1" a="1"/>
  <c r="CW170" i="1" s="1"/>
  <c r="CX170" i="1" s="1"/>
  <c r="CZ170" i="1" a="1"/>
  <c r="CZ170" i="1" s="1"/>
  <c r="Q183" i="1"/>
  <c r="Q175" i="1"/>
  <c r="CN204" i="1"/>
  <c r="CZ204" i="1" a="1"/>
  <c r="CZ204" i="1" s="1"/>
  <c r="DA204" i="1" a="1"/>
  <c r="DA204" i="1" s="1"/>
  <c r="CT204" i="1" a="1"/>
  <c r="CT204" i="1" s="1"/>
  <c r="CU204" i="1" s="1"/>
  <c r="CW204" i="1" a="1"/>
  <c r="CW204" i="1" s="1"/>
  <c r="CX204" i="1" s="1"/>
  <c r="DB204" i="1" a="1"/>
  <c r="DB204" i="1" s="1"/>
  <c r="DB189" i="1" a="1"/>
  <c r="DB189" i="1" s="1"/>
  <c r="Q199" i="1"/>
  <c r="CW221" i="1" a="1"/>
  <c r="CW221" i="1" s="1"/>
  <c r="CX221" i="1" s="1"/>
  <c r="Q219" i="1"/>
  <c r="CT205" i="1" a="1"/>
  <c r="CT205" i="1" s="1"/>
  <c r="CU205" i="1" s="1"/>
  <c r="DB205" i="1" a="1"/>
  <c r="DB205" i="1" s="1"/>
  <c r="CW205" i="1" a="1"/>
  <c r="CW205" i="1" s="1"/>
  <c r="CX205" i="1" s="1"/>
  <c r="CN205" i="1"/>
  <c r="DA205" i="1" a="1"/>
  <c r="DA205" i="1" s="1"/>
  <c r="CZ205" i="1" a="1"/>
  <c r="CZ205" i="1" s="1"/>
  <c r="Q212" i="1"/>
  <c r="Q245" i="1"/>
  <c r="CZ251" i="1" a="1"/>
  <c r="CZ251" i="1" s="1"/>
  <c r="CN251" i="1"/>
  <c r="DA251" i="1" a="1"/>
  <c r="DA251" i="1" s="1"/>
  <c r="CT251" i="1" a="1"/>
  <c r="CT251" i="1" s="1"/>
  <c r="CU251" i="1" s="1"/>
  <c r="DB251" i="1" a="1"/>
  <c r="DB251" i="1" s="1"/>
  <c r="CW251" i="1" a="1"/>
  <c r="CW251" i="1" s="1"/>
  <c r="CX251" i="1" s="1"/>
  <c r="Q222" i="1"/>
  <c r="Q232" i="1"/>
  <c r="DB242" i="1" a="1"/>
  <c r="DB242" i="1" s="1"/>
  <c r="Q250" i="1"/>
  <c r="CW229" i="1" a="1"/>
  <c r="CW229" i="1" s="1"/>
  <c r="CX229" i="1" s="1"/>
  <c r="CT248" i="1" a="1"/>
  <c r="CT248" i="1" s="1"/>
  <c r="CU248" i="1" s="1"/>
  <c r="DA248" i="1" a="1"/>
  <c r="DA248" i="1" s="1"/>
  <c r="CZ248" i="1" a="1"/>
  <c r="CZ248" i="1" s="1"/>
  <c r="CW248" i="1" a="1"/>
  <c r="CW248" i="1" s="1"/>
  <c r="CX248" i="1" s="1"/>
  <c r="CN248" i="1"/>
  <c r="DB248" i="1" a="1"/>
  <c r="DB248" i="1" s="1"/>
  <c r="CT240" i="1" a="1"/>
  <c r="CT240" i="1" s="1"/>
  <c r="CU240" i="1" s="1"/>
  <c r="DA240" i="1" a="1"/>
  <c r="DA240" i="1" s="1"/>
  <c r="CN240" i="1"/>
  <c r="CW240" i="1" a="1"/>
  <c r="CW240" i="1" s="1"/>
  <c r="CX240" i="1" s="1"/>
  <c r="CZ240" i="1" a="1"/>
  <c r="CZ240" i="1" s="1"/>
  <c r="DB240" i="1" a="1"/>
  <c r="DB240" i="1" s="1"/>
  <c r="DA225" i="1" a="1"/>
  <c r="DA225" i="1" s="1"/>
  <c r="DB253" i="1" a="1"/>
  <c r="DB253" i="1" s="1"/>
  <c r="CT253" i="1" a="1"/>
  <c r="CT253" i="1" s="1"/>
  <c r="CU253" i="1" s="1"/>
  <c r="DA253" i="1" a="1"/>
  <c r="DA253" i="1" s="1"/>
  <c r="CW253" i="1" a="1"/>
  <c r="CW253" i="1" s="1"/>
  <c r="CX253" i="1" s="1"/>
  <c r="CN253" i="1"/>
  <c r="CZ253" i="1" a="1"/>
  <c r="CZ253" i="1" s="1"/>
  <c r="Q256" i="1"/>
  <c r="CZ271" i="1" a="1"/>
  <c r="CZ271" i="1" s="1"/>
  <c r="CT271" i="1" a="1"/>
  <c r="CT271" i="1" s="1"/>
  <c r="CU271" i="1" s="1"/>
  <c r="DA271" i="1" a="1"/>
  <c r="DA271" i="1" s="1"/>
  <c r="CN271" i="1"/>
  <c r="CW271" i="1" a="1"/>
  <c r="CW271" i="1" s="1"/>
  <c r="CX271" i="1" s="1"/>
  <c r="DB271" i="1" a="1"/>
  <c r="DB271" i="1" s="1"/>
  <c r="CP288" i="1"/>
  <c r="CW288" i="1" a="1"/>
  <c r="CW288" i="1" s="1"/>
  <c r="CX288" i="1" s="1"/>
  <c r="DB288" i="1" a="1"/>
  <c r="DB288" i="1" s="1"/>
  <c r="CZ245" i="1" a="1"/>
  <c r="CZ245" i="1" s="1"/>
  <c r="CQ262" i="1"/>
  <c r="CT262" i="1" a="1"/>
  <c r="CT262" i="1" s="1"/>
  <c r="CU262" i="1" s="1"/>
  <c r="DA262" i="1" a="1"/>
  <c r="DA262" i="1" s="1"/>
  <c r="CT268" i="1" a="1"/>
  <c r="CT268" i="1" s="1"/>
  <c r="Q281" i="1"/>
  <c r="DA273" i="1" a="1"/>
  <c r="DA273" i="1" s="1"/>
  <c r="Q299" i="1"/>
  <c r="CZ288" i="1" a="1"/>
  <c r="CZ288" i="1" s="1"/>
  <c r="Q297" i="1"/>
  <c r="Q298" i="1"/>
  <c r="AL296" i="1"/>
  <c r="CT300" i="1" a="1"/>
  <c r="CT300" i="1" s="1"/>
  <c r="CU300" i="1" s="1"/>
  <c r="DA300" i="1" a="1"/>
  <c r="DA300" i="1" s="1"/>
  <c r="DB300" i="1" a="1"/>
  <c r="DB300" i="1" s="1"/>
  <c r="CN300" i="1"/>
  <c r="CW300" i="1" a="1"/>
  <c r="CW300" i="1" s="1"/>
  <c r="CX300" i="1" s="1"/>
  <c r="CZ300" i="1" a="1"/>
  <c r="CZ300" i="1" s="1"/>
  <c r="DA294" i="1" a="1"/>
  <c r="DA294" i="1" s="1"/>
  <c r="CW297" i="1" a="1"/>
  <c r="CW297" i="1" s="1"/>
  <c r="CX297" i="1" s="1"/>
  <c r="DS98" i="1" a="1"/>
  <c r="DS98" i="1" s="1"/>
  <c r="CR98" i="1"/>
  <c r="CR91" i="1"/>
  <c r="DS91" i="1" a="1"/>
  <c r="DS91" i="1" s="1"/>
  <c r="DR96" i="1" a="1"/>
  <c r="DR96" i="1" s="1"/>
  <c r="CQ96" i="1"/>
  <c r="DB97" i="1" a="1"/>
  <c r="DB97" i="1" s="1"/>
  <c r="CN97" i="1"/>
  <c r="CW97" i="1" a="1"/>
  <c r="CW97" i="1" s="1"/>
  <c r="CX97" i="1" s="1"/>
  <c r="CZ97" i="1" a="1"/>
  <c r="CZ97" i="1" s="1"/>
  <c r="DO97" i="1" a="1"/>
  <c r="DO97" i="1" s="1"/>
  <c r="DA97" i="1" a="1"/>
  <c r="DA97" i="1" s="1"/>
  <c r="CT97" i="1" a="1"/>
  <c r="CT97" i="1" s="1"/>
  <c r="CU97" i="1" s="1"/>
  <c r="DB93" i="1" a="1"/>
  <c r="DB93" i="1" s="1"/>
  <c r="CR104" i="1"/>
  <c r="DS104" i="1" a="1"/>
  <c r="DS104" i="1" s="1"/>
  <c r="Q94" i="1"/>
  <c r="AL100" i="1"/>
  <c r="DB96" i="1" a="1"/>
  <c r="DB96" i="1" s="1"/>
  <c r="CN96" i="1"/>
  <c r="CW96" i="1" a="1"/>
  <c r="CW96" i="1" s="1"/>
  <c r="CX96" i="1" s="1"/>
  <c r="CZ96" i="1" a="1"/>
  <c r="CZ96" i="1" s="1"/>
  <c r="DO96" i="1" a="1"/>
  <c r="DO96" i="1" s="1"/>
  <c r="CT96" i="1" a="1"/>
  <c r="CT96" i="1" s="1"/>
  <c r="CU96" i="1" s="1"/>
  <c r="DA96" i="1" a="1"/>
  <c r="DA96" i="1" s="1"/>
  <c r="DB99" i="1" a="1"/>
  <c r="DB99" i="1" s="1"/>
  <c r="CT99" i="1" a="1"/>
  <c r="CT99" i="1" s="1"/>
  <c r="CU99" i="1" s="1"/>
  <c r="CW99" i="1" a="1"/>
  <c r="CW99" i="1" s="1"/>
  <c r="CX99" i="1" s="1"/>
  <c r="DO99" i="1" a="1"/>
  <c r="DO99" i="1" s="1"/>
  <c r="DA99" i="1" a="1"/>
  <c r="DA99" i="1" s="1"/>
  <c r="CN99" i="1"/>
  <c r="CZ99" i="1" a="1"/>
  <c r="CZ99" i="1" s="1"/>
  <c r="Q105" i="1"/>
  <c r="DQ100" i="1" a="1"/>
  <c r="DQ100" i="1" s="1"/>
  <c r="CP100" i="1"/>
  <c r="CR108" i="1"/>
  <c r="DS108" i="1" a="1"/>
  <c r="DS108" i="1" s="1"/>
  <c r="DR112" i="1" a="1"/>
  <c r="DR112" i="1" s="1"/>
  <c r="CQ112" i="1"/>
  <c r="CQ107" i="1"/>
  <c r="DR107" i="1" a="1"/>
  <c r="DR107" i="1" s="1"/>
  <c r="CR112" i="1"/>
  <c r="DS112" i="1" a="1"/>
  <c r="DS112" i="1" s="1"/>
  <c r="Q117" i="1"/>
  <c r="DR101" i="1" a="1"/>
  <c r="DR101" i="1" s="1"/>
  <c r="CQ101" i="1"/>
  <c r="Q116" i="1"/>
  <c r="Q104" i="1"/>
  <c r="CP113" i="1"/>
  <c r="DQ113" i="1" a="1"/>
  <c r="DQ113" i="1" s="1"/>
  <c r="DP120" i="1" a="1"/>
  <c r="DP120" i="1" s="1"/>
  <c r="CO120" i="1"/>
  <c r="CT120" i="1" a="1"/>
  <c r="CT120" i="1" s="1"/>
  <c r="CU120" i="1" s="1"/>
  <c r="DB120" i="1" a="1"/>
  <c r="DB120" i="1" s="1"/>
  <c r="DA122" i="1" a="1"/>
  <c r="DA122" i="1" s="1"/>
  <c r="DQ102" i="1" a="1"/>
  <c r="DQ102" i="1" s="1"/>
  <c r="CP102" i="1"/>
  <c r="DB108" i="1" a="1"/>
  <c r="DB108" i="1" s="1"/>
  <c r="CN108" i="1"/>
  <c r="CW108" i="1" a="1"/>
  <c r="CW108" i="1" s="1"/>
  <c r="CX108" i="1" s="1"/>
  <c r="DO108" i="1" a="1"/>
  <c r="DO108" i="1" s="1"/>
  <c r="CZ108" i="1" a="1"/>
  <c r="CZ108" i="1" s="1"/>
  <c r="DA108" i="1" a="1"/>
  <c r="DA108" i="1" s="1"/>
  <c r="CT108" i="1" a="1"/>
  <c r="CT108" i="1" s="1"/>
  <c r="CU108" i="1" s="1"/>
  <c r="DA120" i="1" a="1"/>
  <c r="DA120" i="1" s="1"/>
  <c r="CW125" i="1" a="1"/>
  <c r="CW125" i="1" s="1"/>
  <c r="CX125" i="1" s="1"/>
  <c r="CZ133" i="1" a="1"/>
  <c r="CZ133" i="1" s="1"/>
  <c r="DP133" i="1" a="1"/>
  <c r="DP133" i="1" s="1"/>
  <c r="CO133" i="1"/>
  <c r="CW133" i="1" a="1"/>
  <c r="CW133" i="1" s="1"/>
  <c r="CX133" i="1" s="1"/>
  <c r="CZ136" i="1" a="1"/>
  <c r="CZ136" i="1" s="1"/>
  <c r="DP136" i="1" a="1"/>
  <c r="DP136" i="1" s="1"/>
  <c r="CO136" i="1"/>
  <c r="CW136" i="1" a="1"/>
  <c r="CW136" i="1" s="1"/>
  <c r="CX136" i="1" s="1"/>
  <c r="CZ140" i="1" a="1"/>
  <c r="CZ140" i="1" s="1"/>
  <c r="DP140" i="1" a="1"/>
  <c r="DP140" i="1" s="1"/>
  <c r="CO140" i="1"/>
  <c r="CW140" i="1" a="1"/>
  <c r="CW140" i="1" s="1"/>
  <c r="CX140" i="1" s="1"/>
  <c r="DS135" i="1" a="1"/>
  <c r="DS135" i="1" s="1"/>
  <c r="CR135" i="1"/>
  <c r="DB138" i="1" a="1"/>
  <c r="DB138" i="1" s="1"/>
  <c r="DA124" i="1" a="1"/>
  <c r="DA124" i="1" s="1"/>
  <c r="DR142" i="1" a="1"/>
  <c r="DR142" i="1" s="1"/>
  <c r="CQ142" i="1"/>
  <c r="DP143" i="1" a="1"/>
  <c r="DP143" i="1" s="1"/>
  <c r="CO143" i="1"/>
  <c r="CW143" i="1" a="1"/>
  <c r="CW143" i="1" s="1"/>
  <c r="CX143" i="1" s="1"/>
  <c r="CZ143" i="1" a="1"/>
  <c r="CZ143" i="1" s="1"/>
  <c r="DA143" i="1" a="1"/>
  <c r="DA143" i="1" s="1"/>
  <c r="CZ153" i="1" a="1"/>
  <c r="CZ153" i="1" s="1"/>
  <c r="CO153" i="1"/>
  <c r="CT153" i="1" a="1"/>
  <c r="CT153" i="1" s="1"/>
  <c r="CU153" i="1" s="1"/>
  <c r="Q148" i="1"/>
  <c r="DA127" i="1" a="1"/>
  <c r="DA127" i="1" s="1"/>
  <c r="CR151" i="1"/>
  <c r="DS151" i="1" a="1"/>
  <c r="DS151" i="1" s="1"/>
  <c r="CN157" i="1"/>
  <c r="CZ157" i="1" a="1"/>
  <c r="CZ157" i="1" s="1"/>
  <c r="DA157" i="1" a="1"/>
  <c r="DA157" i="1" s="1"/>
  <c r="CT157" i="1" a="1"/>
  <c r="CT157" i="1" s="1"/>
  <c r="DB157" i="1" a="1"/>
  <c r="DB157" i="1" s="1"/>
  <c r="CW157" i="1" a="1"/>
  <c r="CW157" i="1" s="1"/>
  <c r="CX157" i="1" s="1"/>
  <c r="Q147" i="1"/>
  <c r="DR130" i="1" a="1"/>
  <c r="DR130" i="1" s="1"/>
  <c r="CQ130" i="1"/>
  <c r="AL154" i="1"/>
  <c r="CZ149" i="1" a="1"/>
  <c r="CZ149" i="1" s="1"/>
  <c r="AL164" i="1"/>
  <c r="CZ164" i="1" a="1"/>
  <c r="CZ164" i="1" s="1"/>
  <c r="CT164" i="1" a="1"/>
  <c r="CT164" i="1" s="1"/>
  <c r="CU164" i="1" s="1"/>
  <c r="DA164" i="1" a="1"/>
  <c r="DA164" i="1" s="1"/>
  <c r="DB164" i="1" a="1"/>
  <c r="DB164" i="1" s="1"/>
  <c r="CN164" i="1"/>
  <c r="CW164" i="1" a="1"/>
  <c r="CW164" i="1" s="1"/>
  <c r="CX164" i="1" s="1"/>
  <c r="CZ173" i="1" a="1"/>
  <c r="CZ173" i="1" s="1"/>
  <c r="CO173" i="1"/>
  <c r="DB173" i="1" a="1"/>
  <c r="DB173" i="1" s="1"/>
  <c r="CW173" i="1" a="1"/>
  <c r="CW173" i="1" s="1"/>
  <c r="CX173" i="1" s="1"/>
  <c r="CZ185" i="1" a="1"/>
  <c r="CZ185" i="1" s="1"/>
  <c r="CO185" i="1"/>
  <c r="CW185" i="1" a="1"/>
  <c r="CW185" i="1" s="1"/>
  <c r="CX185" i="1" s="1"/>
  <c r="DB185" i="1" a="1"/>
  <c r="DB185" i="1" s="1"/>
  <c r="DA185" i="1" a="1"/>
  <c r="DA185" i="1" s="1"/>
  <c r="CO172" i="1"/>
  <c r="CZ172" i="1" a="1"/>
  <c r="CZ172" i="1" s="1"/>
  <c r="CT172" i="1" a="1"/>
  <c r="CT172" i="1" s="1"/>
  <c r="DA172" i="1" a="1"/>
  <c r="DA172" i="1" s="1"/>
  <c r="CO180" i="1"/>
  <c r="CZ180" i="1" a="1"/>
  <c r="CZ180" i="1" s="1"/>
  <c r="DA180" i="1" a="1"/>
  <c r="DA180" i="1" s="1"/>
  <c r="CT180" i="1" a="1"/>
  <c r="CT180" i="1" s="1"/>
  <c r="CU180" i="1" s="1"/>
  <c r="AL161" i="1"/>
  <c r="Q161" i="1"/>
  <c r="Q178" i="1"/>
  <c r="AL179" i="1"/>
  <c r="CZ171" i="1" a="1"/>
  <c r="CZ171" i="1" s="1"/>
  <c r="Q158" i="1"/>
  <c r="AL172" i="1"/>
  <c r="DB171" i="1" a="1"/>
  <c r="DB171" i="1" s="1"/>
  <c r="Q182" i="1"/>
  <c r="Q186" i="1"/>
  <c r="Q191" i="1"/>
  <c r="CT165" i="1" a="1"/>
  <c r="CT165" i="1" s="1"/>
  <c r="CU165" i="1" s="1"/>
  <c r="DA165" i="1" a="1"/>
  <c r="DA165" i="1" s="1"/>
  <c r="DB165" i="1" a="1"/>
  <c r="DB165" i="1" s="1"/>
  <c r="CZ165" i="1" a="1"/>
  <c r="CZ165" i="1" s="1"/>
  <c r="CN165" i="1"/>
  <c r="CW165" i="1" a="1"/>
  <c r="CW165" i="1" s="1"/>
  <c r="CX165" i="1" s="1"/>
  <c r="AL184" i="1"/>
  <c r="CT174" i="1" a="1"/>
  <c r="CT174" i="1" s="1"/>
  <c r="CU174" i="1" s="1"/>
  <c r="DA174" i="1" a="1"/>
  <c r="DA174" i="1" s="1"/>
  <c r="DB174" i="1" a="1"/>
  <c r="DB174" i="1" s="1"/>
  <c r="CN174" i="1"/>
  <c r="CW174" i="1" a="1"/>
  <c r="CW174" i="1" s="1"/>
  <c r="CX174" i="1" s="1"/>
  <c r="CZ174" i="1" a="1"/>
  <c r="CZ174" i="1" s="1"/>
  <c r="Q188" i="1"/>
  <c r="CN200" i="1"/>
  <c r="CW200" i="1" a="1"/>
  <c r="CW200" i="1" s="1"/>
  <c r="CX200" i="1" s="1"/>
  <c r="CT200" i="1" a="1"/>
  <c r="CT200" i="1" s="1"/>
  <c r="CU200" i="1" s="1"/>
  <c r="DB200" i="1" a="1"/>
  <c r="DB200" i="1" s="1"/>
  <c r="DA200" i="1" a="1"/>
  <c r="DA200" i="1" s="1"/>
  <c r="CZ200" i="1" a="1"/>
  <c r="CZ200" i="1" s="1"/>
  <c r="Q176" i="1"/>
  <c r="CZ223" i="1" a="1"/>
  <c r="CZ223" i="1" s="1"/>
  <c r="CT223" i="1" a="1"/>
  <c r="CT223" i="1" s="1"/>
  <c r="CU223" i="1" s="1"/>
  <c r="CW223" i="1" a="1"/>
  <c r="CW223" i="1" s="1"/>
  <c r="CX223" i="1" s="1"/>
  <c r="DA223" i="1" a="1"/>
  <c r="DA223" i="1" s="1"/>
  <c r="DB223" i="1" a="1"/>
  <c r="DB223" i="1" s="1"/>
  <c r="CN223" i="1"/>
  <c r="AL214" i="1"/>
  <c r="Q216" i="1"/>
  <c r="AL238" i="1"/>
  <c r="DB221" i="1" a="1"/>
  <c r="DB221" i="1" s="1"/>
  <c r="Q239" i="1"/>
  <c r="CN226" i="1"/>
  <c r="CW226" i="1" a="1"/>
  <c r="CW226" i="1" s="1"/>
  <c r="CX226" i="1" s="1"/>
  <c r="CZ226" i="1" a="1"/>
  <c r="CZ226" i="1" s="1"/>
  <c r="CT226" i="1" a="1"/>
  <c r="CT226" i="1" s="1"/>
  <c r="CU226" i="1" s="1"/>
  <c r="DB226" i="1" a="1"/>
  <c r="DB226" i="1" s="1"/>
  <c r="DA226" i="1" a="1"/>
  <c r="DA226" i="1" s="1"/>
  <c r="DA229" i="1" a="1"/>
  <c r="DA229" i="1" s="1"/>
  <c r="CO238" i="1"/>
  <c r="CZ238" i="1" a="1"/>
  <c r="CZ238" i="1" s="1"/>
  <c r="DA238" i="1" a="1"/>
  <c r="DA238" i="1" s="1"/>
  <c r="CT238" i="1" a="1"/>
  <c r="CT238" i="1" s="1"/>
  <c r="CU238" i="1" s="1"/>
  <c r="CT252" i="1" a="1"/>
  <c r="CT252" i="1" s="1"/>
  <c r="CU252" i="1" s="1"/>
  <c r="DA252" i="1" a="1"/>
  <c r="DA252" i="1" s="1"/>
  <c r="CZ252" i="1" a="1"/>
  <c r="CZ252" i="1" s="1"/>
  <c r="CN252" i="1"/>
  <c r="DB252" i="1" a="1"/>
  <c r="DB252" i="1" s="1"/>
  <c r="CW252" i="1" a="1"/>
  <c r="CW252" i="1" s="1"/>
  <c r="CX252" i="1" s="1"/>
  <c r="CT202" i="1" a="1"/>
  <c r="CT202" i="1" s="1"/>
  <c r="CU202" i="1" s="1"/>
  <c r="DB237" i="1" a="1"/>
  <c r="DB237" i="1" s="1"/>
  <c r="CZ225" i="1" a="1"/>
  <c r="CZ225" i="1" s="1"/>
  <c r="CT258" i="1" a="1"/>
  <c r="CT258" i="1" s="1"/>
  <c r="CU258" i="1" s="1"/>
  <c r="DA258" i="1" a="1"/>
  <c r="DA258" i="1" s="1"/>
  <c r="CW258" i="1" a="1"/>
  <c r="CW258" i="1" s="1"/>
  <c r="CX258" i="1" s="1"/>
  <c r="CN258" i="1"/>
  <c r="CZ258" i="1" a="1"/>
  <c r="CZ258" i="1" s="1"/>
  <c r="DB258" i="1" a="1"/>
  <c r="DB258" i="1" s="1"/>
  <c r="AL236" i="1"/>
  <c r="AL274" i="1"/>
  <c r="DB276" i="1" a="1"/>
  <c r="DB276" i="1" s="1"/>
  <c r="CW276" i="1" a="1"/>
  <c r="CW276" i="1" s="1"/>
  <c r="CX276" i="1" s="1"/>
  <c r="CP276" i="1"/>
  <c r="DA288" i="1" a="1"/>
  <c r="DA288" i="1" s="1"/>
  <c r="Q255" i="1"/>
  <c r="Q264" i="1"/>
  <c r="AL247" i="1"/>
  <c r="AL265" i="1"/>
  <c r="AL253" i="1"/>
  <c r="Q267" i="1"/>
  <c r="CO261" i="1"/>
  <c r="CZ261" i="1" a="1"/>
  <c r="CZ261" i="1" s="1"/>
  <c r="CW281" i="1" a="1"/>
  <c r="CW281" i="1" s="1"/>
  <c r="CX281" i="1" s="1"/>
  <c r="CW269" i="1" a="1"/>
  <c r="CW269" i="1" s="1"/>
  <c r="CX269" i="1" s="1"/>
  <c r="CT273" i="1" a="1"/>
  <c r="CT273" i="1" s="1"/>
  <c r="CU273" i="1" s="1"/>
  <c r="Q289" i="1"/>
  <c r="Q291" i="1"/>
  <c r="DB299" i="1" a="1"/>
  <c r="DB299" i="1" s="1"/>
  <c r="DB292" i="1" a="1"/>
  <c r="DB292" i="1" s="1"/>
  <c r="CW277" i="1" a="1"/>
  <c r="CW277" i="1" s="1"/>
  <c r="CX277" i="1" s="1"/>
  <c r="CT299" i="1" a="1"/>
  <c r="CT299" i="1" s="1"/>
  <c r="CU299" i="1" s="1"/>
  <c r="CZ299" i="1" a="1"/>
  <c r="CZ299" i="1" s="1"/>
  <c r="DB297" i="1" a="1"/>
  <c r="DB297" i="1" s="1"/>
  <c r="CO94" i="1"/>
  <c r="DP94" i="1" a="1"/>
  <c r="DP94" i="1" s="1"/>
  <c r="AL95" i="1"/>
  <c r="CZ113" i="1" a="1"/>
  <c r="CZ113" i="1" s="1"/>
  <c r="DP113" i="1" a="1"/>
  <c r="DP113" i="1" s="1"/>
  <c r="CO113" i="1"/>
  <c r="DB113" i="1" a="1"/>
  <c r="DB113" i="1" s="1"/>
  <c r="CW113" i="1" a="1"/>
  <c r="CW113" i="1" s="1"/>
  <c r="CX113" i="1" s="1"/>
  <c r="DQ98" i="1" a="1"/>
  <c r="DQ98" i="1" s="1"/>
  <c r="CP98" i="1"/>
  <c r="DA113" i="1" a="1"/>
  <c r="DA113" i="1" s="1"/>
  <c r="DQ101" i="1" a="1"/>
  <c r="DQ101" i="1" s="1"/>
  <c r="CP101" i="1"/>
  <c r="CR109" i="1"/>
  <c r="DS109" i="1" a="1"/>
  <c r="DS109" i="1" s="1"/>
  <c r="AL106" i="1"/>
  <c r="AL115" i="1"/>
  <c r="Q125" i="1"/>
  <c r="CO102" i="1"/>
  <c r="DP102" i="1" a="1"/>
  <c r="DP102" i="1" s="1"/>
  <c r="CZ115" i="1" a="1"/>
  <c r="CZ115" i="1" s="1"/>
  <c r="Q128" i="1"/>
  <c r="CZ120" i="1" a="1"/>
  <c r="CZ120" i="1" s="1"/>
  <c r="CT128" i="1" a="1"/>
  <c r="CT128" i="1" s="1"/>
  <c r="CU128" i="1" s="1"/>
  <c r="DA128" i="1" a="1"/>
  <c r="DA128" i="1" s="1"/>
  <c r="DB128" i="1" a="1"/>
  <c r="DB128" i="1" s="1"/>
  <c r="CW128" i="1" a="1"/>
  <c r="CW128" i="1" s="1"/>
  <c r="CX128" i="1" s="1"/>
  <c r="CN128" i="1"/>
  <c r="CZ128" i="1" a="1"/>
  <c r="CZ128" i="1" s="1"/>
  <c r="DO128" i="1" a="1"/>
  <c r="DO128" i="1" s="1"/>
  <c r="DA135" i="1" a="1"/>
  <c r="DA135" i="1" s="1"/>
  <c r="CT124" i="1" a="1"/>
  <c r="CT124" i="1" s="1"/>
  <c r="CU124" i="1" s="1"/>
  <c r="DS139" i="1" a="1"/>
  <c r="DS139" i="1" s="1"/>
  <c r="CR139" i="1"/>
  <c r="DS140" i="1" a="1"/>
  <c r="DS140" i="1" s="1"/>
  <c r="CR140" i="1"/>
  <c r="CR141" i="1"/>
  <c r="DS141" i="1" a="1"/>
  <c r="DS141" i="1" s="1"/>
  <c r="CW131" i="1" a="1"/>
  <c r="CW131" i="1" s="1"/>
  <c r="CX131" i="1" s="1"/>
  <c r="DB130" i="1" a="1"/>
  <c r="DB130" i="1" s="1"/>
  <c r="CT137" i="1" a="1"/>
  <c r="CT137" i="1" s="1"/>
  <c r="CT143" i="1" a="1"/>
  <c r="CT143" i="1" s="1"/>
  <c r="CT146" i="1" a="1"/>
  <c r="CT146" i="1" s="1"/>
  <c r="CU146" i="1" s="1"/>
  <c r="DA146" i="1" a="1"/>
  <c r="DA146" i="1" s="1"/>
  <c r="CN146" i="1"/>
  <c r="CZ146" i="1" a="1"/>
  <c r="CZ146" i="1" s="1"/>
  <c r="DB146" i="1" a="1"/>
  <c r="DB146" i="1" s="1"/>
  <c r="CW146" i="1" a="1"/>
  <c r="CW146" i="1" s="1"/>
  <c r="CX146" i="1" s="1"/>
  <c r="DO146" i="1" a="1"/>
  <c r="DO146" i="1" s="1"/>
  <c r="CT133" i="1" a="1"/>
  <c r="CT133" i="1" s="1"/>
  <c r="AL144" i="1"/>
  <c r="CR150" i="1"/>
  <c r="DS150" i="1" a="1"/>
  <c r="DS150" i="1" s="1"/>
  <c r="DA173" i="1" a="1"/>
  <c r="DA173" i="1" s="1"/>
  <c r="Q173" i="1"/>
  <c r="Q181" i="1"/>
  <c r="Q185" i="1"/>
  <c r="DB156" i="1" a="1"/>
  <c r="DB156" i="1" s="1"/>
  <c r="CN156" i="1"/>
  <c r="CW156" i="1" a="1"/>
  <c r="CW156" i="1" s="1"/>
  <c r="CX156" i="1" s="1"/>
  <c r="CT156" i="1" a="1"/>
  <c r="CT156" i="1" s="1"/>
  <c r="CU156" i="1" s="1"/>
  <c r="CZ156" i="1" a="1"/>
  <c r="CZ156" i="1" s="1"/>
  <c r="DA156" i="1" a="1"/>
  <c r="DA156" i="1" s="1"/>
  <c r="Q179" i="1"/>
  <c r="AL188" i="1"/>
  <c r="CN191" i="1"/>
  <c r="CW191" i="1" a="1"/>
  <c r="CW191" i="1" s="1"/>
  <c r="CX191" i="1" s="1"/>
  <c r="CT191" i="1" a="1"/>
  <c r="CT191" i="1" s="1"/>
  <c r="CU191" i="1" s="1"/>
  <c r="DA191" i="1" a="1"/>
  <c r="DA191" i="1" s="1"/>
  <c r="CZ191" i="1" a="1"/>
  <c r="CZ191" i="1" s="1"/>
  <c r="DB191" i="1" a="1"/>
  <c r="DB191" i="1" s="1"/>
  <c r="AL171" i="1"/>
  <c r="AL183" i="1"/>
  <c r="Q189" i="1"/>
  <c r="AL195" i="1"/>
  <c r="Q209" i="1"/>
  <c r="AL206" i="1"/>
  <c r="DA189" i="1" a="1"/>
  <c r="DA189" i="1" s="1"/>
  <c r="Q193" i="1"/>
  <c r="AL220" i="1"/>
  <c r="AL228" i="1"/>
  <c r="AL218" i="1"/>
  <c r="DA221" i="1" a="1"/>
  <c r="DA221" i="1" s="1"/>
  <c r="Q205" i="1"/>
  <c r="Q220" i="1"/>
  <c r="AL210" i="1"/>
  <c r="CZ224" i="1" a="1"/>
  <c r="CZ224" i="1" s="1"/>
  <c r="CT224" i="1" a="1"/>
  <c r="CT224" i="1" s="1"/>
  <c r="CU224" i="1" s="1"/>
  <c r="DA224" i="1" a="1"/>
  <c r="DA224" i="1" s="1"/>
  <c r="DB224" i="1" a="1"/>
  <c r="DB224" i="1" s="1"/>
  <c r="CW224" i="1" a="1"/>
  <c r="CW224" i="1" s="1"/>
  <c r="CX224" i="1" s="1"/>
  <c r="CN224" i="1"/>
  <c r="Q223" i="1"/>
  <c r="Q246" i="1"/>
  <c r="CZ229" i="1" a="1"/>
  <c r="CZ229" i="1" s="1"/>
  <c r="AL256" i="1"/>
  <c r="Q240" i="1"/>
  <c r="DB202" i="1" a="1"/>
  <c r="DB202" i="1" s="1"/>
  <c r="Q211" i="1"/>
  <c r="Q217" i="1"/>
  <c r="Q273" i="1"/>
  <c r="CZ267" i="1" a="1"/>
  <c r="CZ267" i="1" s="1"/>
  <c r="CT267" i="1" a="1"/>
  <c r="CT267" i="1" s="1"/>
  <c r="CU267" i="1" s="1"/>
  <c r="DA267" i="1" a="1"/>
  <c r="DA267" i="1" s="1"/>
  <c r="CN267" i="1"/>
  <c r="CW267" i="1" a="1"/>
  <c r="CW267" i="1" s="1"/>
  <c r="CX267" i="1" s="1"/>
  <c r="DB267" i="1" a="1"/>
  <c r="DB267" i="1" s="1"/>
  <c r="DA276" i="1" a="1"/>
  <c r="DA276" i="1" s="1"/>
  <c r="CZ279" i="1" a="1"/>
  <c r="CZ279" i="1" s="1"/>
  <c r="CT279" i="1" a="1"/>
  <c r="CT279" i="1" s="1"/>
  <c r="CU279" i="1" s="1"/>
  <c r="DA279" i="1" a="1"/>
  <c r="DA279" i="1" s="1"/>
  <c r="CN279" i="1"/>
  <c r="CW279" i="1" a="1"/>
  <c r="CW279" i="1" s="1"/>
  <c r="CX279" i="1" s="1"/>
  <c r="DB279" i="1" a="1"/>
  <c r="DB279" i="1" s="1"/>
  <c r="CZ255" i="1" a="1"/>
  <c r="CZ255" i="1" s="1"/>
  <c r="CO255" i="1"/>
  <c r="CW245" i="1" a="1"/>
  <c r="CW245" i="1" s="1"/>
  <c r="CX245" i="1" s="1"/>
  <c r="Q248" i="1"/>
  <c r="Q262" i="1"/>
  <c r="Q270" i="1"/>
  <c r="Q274" i="1"/>
  <c r="DB277" i="1" a="1"/>
  <c r="DB277" i="1" s="1"/>
  <c r="AL298" i="1"/>
  <c r="CT276" i="1" a="1"/>
  <c r="CT276" i="1" s="1"/>
  <c r="DB290" i="1" a="1"/>
  <c r="DB290" i="1" s="1"/>
  <c r="CN290" i="1"/>
  <c r="CW290" i="1" a="1"/>
  <c r="CW290" i="1" s="1"/>
  <c r="CX290" i="1" s="1"/>
  <c r="CT290" i="1" a="1"/>
  <c r="CT290" i="1" s="1"/>
  <c r="CU290" i="1" s="1"/>
  <c r="CZ290" i="1" a="1"/>
  <c r="CZ290" i="1" s="1"/>
  <c r="DA290" i="1" a="1"/>
  <c r="DA290" i="1" s="1"/>
  <c r="AL278" i="1"/>
  <c r="DB262" i="1" a="1"/>
  <c r="DB262" i="1" s="1"/>
  <c r="CW293" i="1" a="1"/>
  <c r="CW293" i="1" s="1"/>
  <c r="CX293" i="1" s="1"/>
  <c r="CO293" i="1"/>
  <c r="Q282" i="1"/>
  <c r="AL299" i="1"/>
  <c r="CT297" i="1" a="1"/>
  <c r="CT297" i="1" s="1"/>
  <c r="CU297" i="1" s="1"/>
  <c r="DQ107" i="1" a="1"/>
  <c r="DQ107" i="1" s="1"/>
  <c r="CP107" i="1"/>
  <c r="CR92" i="1"/>
  <c r="DS92" i="1" a="1"/>
  <c r="DS92" i="1" s="1"/>
  <c r="Q119" i="1"/>
  <c r="DR109" i="1" a="1"/>
  <c r="DR109" i="1" s="1"/>
  <c r="CQ109" i="1"/>
  <c r="CZ123" i="1" a="1"/>
  <c r="CZ123" i="1" s="1"/>
  <c r="DP123" i="1" a="1"/>
  <c r="DP123" i="1" s="1"/>
  <c r="CO123" i="1"/>
  <c r="CW123" i="1" a="1"/>
  <c r="CW123" i="1" s="1"/>
  <c r="CX123" i="1" s="1"/>
  <c r="DB123" i="1" a="1"/>
  <c r="DB123" i="1" s="1"/>
  <c r="CQ106" i="1"/>
  <c r="DR106" i="1" a="1"/>
  <c r="DR106" i="1" s="1"/>
  <c r="CQ113" i="1"/>
  <c r="DR113" i="1" a="1"/>
  <c r="DR113" i="1" s="1"/>
  <c r="CP125" i="1"/>
  <c r="DQ125" i="1" a="1"/>
  <c r="DQ125" i="1" s="1"/>
  <c r="Q110" i="1"/>
  <c r="CT117" i="1" a="1"/>
  <c r="CT117" i="1" s="1"/>
  <c r="CU117" i="1" s="1"/>
  <c r="DA117" i="1" a="1"/>
  <c r="DA117" i="1" s="1"/>
  <c r="CZ117" i="1" a="1"/>
  <c r="CZ117" i="1" s="1"/>
  <c r="DB117" i="1" a="1"/>
  <c r="DB117" i="1" s="1"/>
  <c r="CN117" i="1"/>
  <c r="CW117" i="1" a="1"/>
  <c r="CW117" i="1" s="1"/>
  <c r="CX117" i="1" s="1"/>
  <c r="DO117" i="1" a="1"/>
  <c r="DO117" i="1" s="1"/>
  <c r="DS131" i="1" a="1"/>
  <c r="DS131" i="1" s="1"/>
  <c r="CR131" i="1"/>
  <c r="DQ127" i="1" a="1"/>
  <c r="DQ127" i="1" s="1"/>
  <c r="CP127" i="1"/>
  <c r="CZ132" i="1" a="1"/>
  <c r="CZ132" i="1" s="1"/>
  <c r="DP132" i="1" a="1"/>
  <c r="DP132" i="1" s="1"/>
  <c r="DB132" i="1" a="1"/>
  <c r="DB132" i="1" s="1"/>
  <c r="CW132" i="1" a="1"/>
  <c r="CW132" i="1" s="1"/>
  <c r="CX132" i="1" s="1"/>
  <c r="CO132" i="1"/>
  <c r="CZ138" i="1" a="1"/>
  <c r="CZ138" i="1" s="1"/>
  <c r="DP138" i="1" a="1"/>
  <c r="DP138" i="1" s="1"/>
  <c r="CO138" i="1"/>
  <c r="CW138" i="1" a="1"/>
  <c r="CW138" i="1" s="1"/>
  <c r="CX138" i="1" s="1"/>
  <c r="DS114" i="1" a="1"/>
  <c r="DS114" i="1" s="1"/>
  <c r="CR114" i="1"/>
  <c r="CP129" i="1"/>
  <c r="DQ129" i="1" a="1"/>
  <c r="DQ129" i="1" s="1"/>
  <c r="CW129" i="1" a="1"/>
  <c r="CW129" i="1" s="1"/>
  <c r="CX129" i="1" s="1"/>
  <c r="AL131" i="1"/>
  <c r="Q103" i="1"/>
  <c r="CR116" i="1"/>
  <c r="DS116" i="1" a="1"/>
  <c r="DS116" i="1" s="1"/>
  <c r="DS137" i="1" a="1"/>
  <c r="DS137" i="1" s="1"/>
  <c r="CR137" i="1"/>
  <c r="DS122" i="1" a="1"/>
  <c r="DS122" i="1" s="1"/>
  <c r="CR122" i="1"/>
  <c r="DP126" i="1" a="1"/>
  <c r="DP126" i="1" s="1"/>
  <c r="CO126" i="1"/>
  <c r="DP144" i="1" a="1"/>
  <c r="DP144" i="1" s="1"/>
  <c r="CO144" i="1"/>
  <c r="T149" i="1"/>
  <c r="CT134" i="1" a="1"/>
  <c r="CT134" i="1" s="1"/>
  <c r="CT144" i="1" a="1"/>
  <c r="CT144" i="1" s="1"/>
  <c r="CU144" i="1" s="1"/>
  <c r="DA144" i="1" a="1"/>
  <c r="DA144" i="1" s="1"/>
  <c r="DB144" i="1" a="1"/>
  <c r="DB144" i="1" s="1"/>
  <c r="CW144" i="1" a="1"/>
  <c r="CW144" i="1" s="1"/>
  <c r="CX144" i="1" s="1"/>
  <c r="DO144" i="1" a="1"/>
  <c r="DO144" i="1" s="1"/>
  <c r="CZ144" i="1" a="1"/>
  <c r="CZ144" i="1" s="1"/>
  <c r="CN144" i="1"/>
  <c r="DA131" i="1" a="1"/>
  <c r="DA131" i="1" s="1"/>
  <c r="DA147" i="1" a="1"/>
  <c r="DA147" i="1" s="1"/>
  <c r="Q150" i="1"/>
  <c r="Q152" i="1"/>
  <c r="DB148" i="1" a="1"/>
  <c r="DB148" i="1" s="1"/>
  <c r="CZ177" i="1" a="1"/>
  <c r="CZ177" i="1" s="1"/>
  <c r="CO177" i="1"/>
  <c r="CW177" i="1" a="1"/>
  <c r="CW177" i="1" s="1"/>
  <c r="CX177" i="1" s="1"/>
  <c r="DB177" i="1" a="1"/>
  <c r="DB177" i="1" s="1"/>
  <c r="CW142" i="1" a="1"/>
  <c r="CW142" i="1" s="1"/>
  <c r="CX142" i="1" s="1"/>
  <c r="Q162" i="1"/>
  <c r="CW168" i="1" a="1"/>
  <c r="CW168" i="1" s="1"/>
  <c r="CX168" i="1" s="1"/>
  <c r="CP168" i="1"/>
  <c r="Q184" i="1"/>
  <c r="Q190" i="1"/>
  <c r="Q171" i="1"/>
  <c r="Q195" i="1"/>
  <c r="CN195" i="1"/>
  <c r="CW195" i="1" a="1"/>
  <c r="CW195" i="1" s="1"/>
  <c r="CX195" i="1" s="1"/>
  <c r="CT195" i="1" a="1"/>
  <c r="CT195" i="1" s="1"/>
  <c r="CU195" i="1" s="1"/>
  <c r="DA195" i="1" a="1"/>
  <c r="DA195" i="1" s="1"/>
  <c r="CZ195" i="1" a="1"/>
  <c r="CZ195" i="1" s="1"/>
  <c r="DB195" i="1" a="1"/>
  <c r="DB195" i="1" s="1"/>
  <c r="CT185" i="1" a="1"/>
  <c r="CT185" i="1" s="1"/>
  <c r="CU185" i="1" s="1"/>
  <c r="T196" i="1"/>
  <c r="CN187" i="1"/>
  <c r="CW187" i="1" a="1"/>
  <c r="CW187" i="1" s="1"/>
  <c r="CX187" i="1" s="1"/>
  <c r="CT187" i="1" a="1"/>
  <c r="CT187" i="1" s="1"/>
  <c r="CU187" i="1" s="1"/>
  <c r="DA187" i="1" a="1"/>
  <c r="DA187" i="1" s="1"/>
  <c r="CZ187" i="1" a="1"/>
  <c r="CZ187" i="1" s="1"/>
  <c r="DB187" i="1" a="1"/>
  <c r="DB187" i="1" s="1"/>
  <c r="AL187" i="1"/>
  <c r="CZ231" i="1" a="1"/>
  <c r="CZ231" i="1" s="1"/>
  <c r="DB231" i="1" a="1"/>
  <c r="DB231" i="1" s="1"/>
  <c r="CW231" i="1" a="1"/>
  <c r="CW231" i="1" s="1"/>
  <c r="CX231" i="1" s="1"/>
  <c r="CN231" i="1"/>
  <c r="CT231" i="1" a="1"/>
  <c r="CT231" i="1" s="1"/>
  <c r="CU231" i="1" s="1"/>
  <c r="DA231" i="1" a="1"/>
  <c r="DA231" i="1" s="1"/>
  <c r="CT189" i="1" a="1"/>
  <c r="CT189" i="1" s="1"/>
  <c r="CU189" i="1" s="1"/>
  <c r="AL193" i="1"/>
  <c r="Q214" i="1"/>
  <c r="CT221" i="1" a="1"/>
  <c r="CT221" i="1" s="1"/>
  <c r="CU221" i="1" s="1"/>
  <c r="Q229" i="1"/>
  <c r="CO228" i="1"/>
  <c r="CW228" i="1" a="1"/>
  <c r="CW228" i="1" s="1"/>
  <c r="CX228" i="1" s="1"/>
  <c r="CT232" i="1" a="1"/>
  <c r="CT232" i="1" s="1"/>
  <c r="CU232" i="1" s="1"/>
  <c r="DA232" i="1" a="1"/>
  <c r="DA232" i="1" s="1"/>
  <c r="DB232" i="1" a="1"/>
  <c r="DB232" i="1" s="1"/>
  <c r="CN232" i="1"/>
  <c r="CW232" i="1" a="1"/>
  <c r="CW232" i="1" s="1"/>
  <c r="CX232" i="1" s="1"/>
  <c r="CZ232" i="1" a="1"/>
  <c r="CZ232" i="1" s="1"/>
  <c r="Q230" i="1"/>
  <c r="CT225" i="1" a="1"/>
  <c r="CT225" i="1" s="1"/>
  <c r="CU225" i="1" s="1"/>
  <c r="CT236" i="1" a="1"/>
  <c r="CT236" i="1" s="1"/>
  <c r="CU236" i="1" s="1"/>
  <c r="DA236" i="1" a="1"/>
  <c r="DA236" i="1" s="1"/>
  <c r="CN236" i="1"/>
  <c r="CW236" i="1" a="1"/>
  <c r="CW236" i="1" s="1"/>
  <c r="CX236" i="1" s="1"/>
  <c r="CZ236" i="1" a="1"/>
  <c r="CZ236" i="1" s="1"/>
  <c r="DB236" i="1" a="1"/>
  <c r="DB236" i="1" s="1"/>
  <c r="Q237" i="1"/>
  <c r="CO242" i="1"/>
  <c r="CT242" i="1" a="1"/>
  <c r="CT242" i="1" s="1"/>
  <c r="CU242" i="1" s="1"/>
  <c r="DA242" i="1" a="1"/>
  <c r="DA242" i="1" s="1"/>
  <c r="DB228" i="1" a="1"/>
  <c r="DB228" i="1" s="1"/>
  <c r="DA202" i="1" a="1"/>
  <c r="DA202" i="1" s="1"/>
  <c r="DB225" i="1" a="1"/>
  <c r="DB225" i="1" s="1"/>
  <c r="Q265" i="1"/>
  <c r="DB233" i="1" a="1"/>
  <c r="DB233" i="1" s="1"/>
  <c r="CN233" i="1"/>
  <c r="CW233" i="1" a="1"/>
  <c r="CW233" i="1" s="1"/>
  <c r="CX233" i="1" s="1"/>
  <c r="CT233" i="1" a="1"/>
  <c r="CT233" i="1" s="1"/>
  <c r="CU233" i="1" s="1"/>
  <c r="DA233" i="1" a="1"/>
  <c r="DA233" i="1" s="1"/>
  <c r="CZ233" i="1" a="1"/>
  <c r="CZ233" i="1" s="1"/>
  <c r="Q233" i="1"/>
  <c r="Q257" i="1"/>
  <c r="CZ263" i="1" a="1"/>
  <c r="CZ263" i="1" s="1"/>
  <c r="CT263" i="1" a="1"/>
  <c r="CT263" i="1" s="1"/>
  <c r="CU263" i="1" s="1"/>
  <c r="DA263" i="1" a="1"/>
  <c r="DA263" i="1" s="1"/>
  <c r="DB263" i="1" a="1"/>
  <c r="DB263" i="1" s="1"/>
  <c r="CN263" i="1"/>
  <c r="CW263" i="1" a="1"/>
  <c r="CW263" i="1" s="1"/>
  <c r="CX263" i="1" s="1"/>
  <c r="DB272" i="1" a="1"/>
  <c r="DB272" i="1" s="1"/>
  <c r="CW272" i="1" a="1"/>
  <c r="CW272" i="1" s="1"/>
  <c r="CX272" i="1" s="1"/>
  <c r="CP272" i="1"/>
  <c r="CW261" i="1" a="1"/>
  <c r="CW261" i="1" s="1"/>
  <c r="CX261" i="1" s="1"/>
  <c r="Q247" i="1"/>
  <c r="CZ247" i="1" a="1"/>
  <c r="CZ247" i="1" s="1"/>
  <c r="CN247" i="1"/>
  <c r="DA247" i="1" a="1"/>
  <c r="DA247" i="1" s="1"/>
  <c r="CT247" i="1" a="1"/>
  <c r="CT247" i="1" s="1"/>
  <c r="CU247" i="1" s="1"/>
  <c r="DB247" i="1" a="1"/>
  <c r="DB247" i="1" s="1"/>
  <c r="CW247" i="1" a="1"/>
  <c r="CW247" i="1" s="1"/>
  <c r="CX247" i="1" s="1"/>
  <c r="DB274" i="1" a="1"/>
  <c r="DB274" i="1" s="1"/>
  <c r="CN274" i="1"/>
  <c r="CW274" i="1" a="1"/>
  <c r="CW274" i="1" s="1"/>
  <c r="CX274" i="1" s="1"/>
  <c r="CZ274" i="1" a="1"/>
  <c r="CZ274" i="1" s="1"/>
  <c r="CT274" i="1" a="1"/>
  <c r="CT274" i="1" s="1"/>
  <c r="CU274" i="1" s="1"/>
  <c r="DA274" i="1" a="1"/>
  <c r="DA274" i="1" s="1"/>
  <c r="DA245" i="1" a="1"/>
  <c r="DA245" i="1" s="1"/>
  <c r="Q271" i="1"/>
  <c r="DB269" i="1" a="1"/>
  <c r="DB269" i="1" s="1"/>
  <c r="DA277" i="1" a="1"/>
  <c r="DA277" i="1" s="1"/>
  <c r="CZ276" i="1" a="1"/>
  <c r="CZ276" i="1" s="1"/>
  <c r="Q303" i="1"/>
  <c r="CZ293" i="1" a="1"/>
  <c r="CZ293" i="1" s="1"/>
  <c r="AL300" i="1"/>
  <c r="CW299" i="1" a="1"/>
  <c r="CW299" i="1" s="1"/>
  <c r="CX299" i="1" s="1"/>
  <c r="Q302" i="1"/>
  <c r="AL280" i="1"/>
  <c r="DB282" i="1" a="1"/>
  <c r="DB282" i="1" s="1"/>
  <c r="CN282" i="1"/>
  <c r="CW282" i="1" a="1"/>
  <c r="CW282" i="1" s="1"/>
  <c r="CX282" i="1" s="1"/>
  <c r="CZ282" i="1" a="1"/>
  <c r="CZ282" i="1" s="1"/>
  <c r="DA282" i="1" a="1"/>
  <c r="DA282" i="1" s="1"/>
  <c r="CT282" i="1" a="1"/>
  <c r="CT282" i="1" s="1"/>
  <c r="CU282" i="1" s="1"/>
  <c r="AL292" i="1"/>
  <c r="CW294" i="1" a="1"/>
  <c r="CW294" i="1" s="1"/>
  <c r="CX294" i="1" s="1"/>
  <c r="CT294" i="1" a="1"/>
  <c r="CT294" i="1" s="1"/>
  <c r="CU294" i="1" s="1"/>
  <c r="DP115" i="1" a="1"/>
  <c r="DP115" i="1" s="1"/>
  <c r="CW115" i="1" a="1"/>
  <c r="CW115" i="1" s="1"/>
  <c r="CX115" i="1" s="1"/>
  <c r="CO115" i="1"/>
  <c r="DR108" i="1" a="1"/>
  <c r="DR108" i="1" s="1"/>
  <c r="CQ108" i="1"/>
  <c r="DB107" i="1" a="1"/>
  <c r="DB107" i="1" s="1"/>
  <c r="CN107" i="1"/>
  <c r="CW107" i="1" a="1"/>
  <c r="CW107" i="1" s="1"/>
  <c r="CX107" i="1" s="1"/>
  <c r="CZ107" i="1" a="1"/>
  <c r="CZ107" i="1" s="1"/>
  <c r="DO107" i="1" a="1"/>
  <c r="DO107" i="1" s="1"/>
  <c r="DA107" i="1" a="1"/>
  <c r="DA107" i="1" s="1"/>
  <c r="CT107" i="1" a="1"/>
  <c r="CT107" i="1" s="1"/>
  <c r="CU107" i="1" s="1"/>
  <c r="Q115" i="1"/>
  <c r="CT116" i="1" a="1"/>
  <c r="CT116" i="1" s="1"/>
  <c r="CU116" i="1" s="1"/>
  <c r="DA116" i="1" a="1"/>
  <c r="DA116" i="1" s="1"/>
  <c r="CW116" i="1" a="1"/>
  <c r="CW116" i="1" s="1"/>
  <c r="CX116" i="1" s="1"/>
  <c r="CZ116" i="1" a="1"/>
  <c r="CZ116" i="1" s="1"/>
  <c r="DB116" i="1" a="1"/>
  <c r="DB116" i="1" s="1"/>
  <c r="CN116" i="1"/>
  <c r="DO116" i="1" a="1"/>
  <c r="DO116" i="1" s="1"/>
  <c r="CT115" i="1" a="1"/>
  <c r="CT115" i="1" s="1"/>
  <c r="CU115" i="1" s="1"/>
  <c r="CO119" i="1"/>
  <c r="DP119" i="1" a="1"/>
  <c r="DP119" i="1" s="1"/>
  <c r="CP123" i="1"/>
  <c r="DQ123" i="1" a="1"/>
  <c r="DQ123" i="1" s="1"/>
  <c r="Q124" i="1"/>
  <c r="Q106" i="1"/>
  <c r="CO118" i="1"/>
  <c r="DP118" i="1" a="1"/>
  <c r="DP118" i="1" s="1"/>
  <c r="AL123" i="1"/>
  <c r="CZ135" i="1" a="1"/>
  <c r="CZ135" i="1" s="1"/>
  <c r="DP135" i="1" a="1"/>
  <c r="DP135" i="1" s="1"/>
  <c r="CO135" i="1"/>
  <c r="CW135" i="1" a="1"/>
  <c r="CW135" i="1" s="1"/>
  <c r="CX135" i="1" s="1"/>
  <c r="DP141" i="1" a="1"/>
  <c r="DP141" i="1" s="1"/>
  <c r="CW141" i="1" a="1"/>
  <c r="CW141" i="1" s="1"/>
  <c r="CX141" i="1" s="1"/>
  <c r="CO141" i="1"/>
  <c r="Q122" i="1"/>
  <c r="DP125" i="1" a="1"/>
  <c r="DP125" i="1" s="1"/>
  <c r="CO125" i="1"/>
  <c r="DB125" i="1" a="1"/>
  <c r="DB125" i="1" s="1"/>
  <c r="AL116" i="1"/>
  <c r="DS134" i="1" a="1"/>
  <c r="DS134" i="1" s="1"/>
  <c r="CR134" i="1"/>
  <c r="DB137" i="1" a="1"/>
  <c r="DB137" i="1" s="1"/>
  <c r="CT126" i="1" a="1"/>
  <c r="CT126" i="1" s="1"/>
  <c r="CU126" i="1" s="1"/>
  <c r="DA126" i="1" a="1"/>
  <c r="DA126" i="1" s="1"/>
  <c r="CW126" i="1" a="1"/>
  <c r="CW126" i="1" s="1"/>
  <c r="CX126" i="1" s="1"/>
  <c r="CZ126" i="1" a="1"/>
  <c r="CZ126" i="1" s="1"/>
  <c r="DB126" i="1" a="1"/>
  <c r="DB126" i="1" s="1"/>
  <c r="CN126" i="1"/>
  <c r="DO126" i="1" a="1"/>
  <c r="DO126" i="1" s="1"/>
  <c r="CO150" i="1"/>
  <c r="DP150" i="1" a="1"/>
  <c r="DP150" i="1" s="1"/>
  <c r="Q120" i="1"/>
  <c r="Q144" i="1"/>
  <c r="CW118" i="1" a="1"/>
  <c r="CW118" i="1" s="1"/>
  <c r="CX118" i="1" s="1"/>
  <c r="DB141" i="1" a="1"/>
  <c r="DB141" i="1" s="1"/>
  <c r="DA145" i="1" a="1"/>
  <c r="DA145" i="1" s="1"/>
  <c r="CR143" i="1"/>
  <c r="DS143" i="1" a="1"/>
  <c r="DS143" i="1" s="1"/>
  <c r="CR144" i="1"/>
  <c r="DS144" i="1" a="1"/>
  <c r="DS144" i="1" s="1"/>
  <c r="CW151" i="1" a="1"/>
  <c r="CW151" i="1" s="1"/>
  <c r="CX151" i="1" s="1"/>
  <c r="CN151" i="1"/>
  <c r="DA151" i="1" a="1"/>
  <c r="DA151" i="1" s="1"/>
  <c r="CT151" i="1" a="1"/>
  <c r="CT151" i="1" s="1"/>
  <c r="CU151" i="1" s="1"/>
  <c r="CZ151" i="1" a="1"/>
  <c r="CZ151" i="1" s="1"/>
  <c r="DB151" i="1" a="1"/>
  <c r="DB151" i="1" s="1"/>
  <c r="DO151" i="1" a="1"/>
  <c r="DO151" i="1" s="1"/>
  <c r="CT147" i="1" a="1"/>
  <c r="CT147" i="1" s="1"/>
  <c r="CU147" i="1" s="1"/>
  <c r="Q151" i="1"/>
  <c r="DB162" i="1" a="1"/>
  <c r="DB162" i="1" s="1"/>
  <c r="CZ162" i="1" a="1"/>
  <c r="CZ162" i="1" s="1"/>
  <c r="CT162" i="1" a="1"/>
  <c r="CT162" i="1" s="1"/>
  <c r="CU162" i="1" s="1"/>
  <c r="DA162" i="1" a="1"/>
  <c r="DA162" i="1" s="1"/>
  <c r="CN162" i="1"/>
  <c r="CW162" i="1" a="1"/>
  <c r="CW162" i="1" s="1"/>
  <c r="CX162" i="1" s="1"/>
  <c r="CZ148" i="1" a="1"/>
  <c r="CZ148" i="1" s="1"/>
  <c r="DA154" i="1" a="1"/>
  <c r="DA154" i="1" s="1"/>
  <c r="CT154" i="1" a="1"/>
  <c r="CT154" i="1" s="1"/>
  <c r="CU154" i="1" s="1"/>
  <c r="DB154" i="1" a="1"/>
  <c r="DB154" i="1" s="1"/>
  <c r="CN154" i="1"/>
  <c r="CZ154" i="1" a="1"/>
  <c r="CZ154" i="1" s="1"/>
  <c r="CW154" i="1" a="1"/>
  <c r="CW154" i="1" s="1"/>
  <c r="CX154" i="1" s="1"/>
  <c r="DA153" i="1" a="1"/>
  <c r="DA153" i="1" s="1"/>
  <c r="CP184" i="1"/>
  <c r="CZ184" i="1" a="1"/>
  <c r="CZ184" i="1" s="1"/>
  <c r="CT184" i="1" a="1"/>
  <c r="CT184" i="1" s="1"/>
  <c r="CU184" i="1" s="1"/>
  <c r="DA184" i="1" a="1"/>
  <c r="DA184" i="1" s="1"/>
  <c r="DB179" i="1" a="1"/>
  <c r="DB179" i="1" s="1"/>
  <c r="CN179" i="1"/>
  <c r="CW179" i="1" a="1"/>
  <c r="CW179" i="1" s="1"/>
  <c r="CX179" i="1" s="1"/>
  <c r="CT179" i="1" a="1"/>
  <c r="CT179" i="1" s="1"/>
  <c r="CU179" i="1" s="1"/>
  <c r="DA179" i="1" a="1"/>
  <c r="DA179" i="1" s="1"/>
  <c r="CZ179" i="1" a="1"/>
  <c r="CZ179" i="1" s="1"/>
  <c r="CN192" i="1"/>
  <c r="CW192" i="1" a="1"/>
  <c r="CW192" i="1" s="1"/>
  <c r="CX192" i="1" s="1"/>
  <c r="DB192" i="1" a="1"/>
  <c r="DB192" i="1" s="1"/>
  <c r="CT192" i="1" a="1"/>
  <c r="CT192" i="1" s="1"/>
  <c r="CU192" i="1" s="1"/>
  <c r="CZ192" i="1" a="1"/>
  <c r="CZ192" i="1" s="1"/>
  <c r="DA192" i="1" a="1"/>
  <c r="DA192" i="1" s="1"/>
  <c r="Q170" i="1"/>
  <c r="CZ190" i="1" a="1"/>
  <c r="CZ190" i="1" s="1"/>
  <c r="CW190" i="1" a="1"/>
  <c r="CW190" i="1" s="1"/>
  <c r="CX190" i="1" s="1"/>
  <c r="CN190" i="1"/>
  <c r="DA190" i="1" a="1"/>
  <c r="DA190" i="1" s="1"/>
  <c r="DB190" i="1" a="1"/>
  <c r="DB190" i="1" s="1"/>
  <c r="CT190" i="1" a="1"/>
  <c r="CT190" i="1" s="1"/>
  <c r="CU190" i="1" s="1"/>
  <c r="Q166" i="1"/>
  <c r="CP196" i="1"/>
  <c r="CT196" i="1" a="1"/>
  <c r="CT196" i="1" s="1"/>
  <c r="CU196" i="1" s="1"/>
  <c r="CZ196" i="1" a="1"/>
  <c r="CZ196" i="1" s="1"/>
  <c r="Q200" i="1"/>
  <c r="Q206" i="1"/>
  <c r="DB219" i="1" a="1"/>
  <c r="DB219" i="1" s="1"/>
  <c r="CZ219" i="1" a="1"/>
  <c r="CZ219" i="1" s="1"/>
  <c r="DA219" i="1" a="1"/>
  <c r="DA219" i="1" s="1"/>
  <c r="CN219" i="1"/>
  <c r="CT219" i="1" a="1"/>
  <c r="CT219" i="1" s="1"/>
  <c r="CU219" i="1" s="1"/>
  <c r="CW219" i="1" a="1"/>
  <c r="CW219" i="1" s="1"/>
  <c r="CX219" i="1" s="1"/>
  <c r="CZ197" i="1" a="1"/>
  <c r="CZ197" i="1" s="1"/>
  <c r="CT197" i="1" a="1"/>
  <c r="CT197" i="1" s="1"/>
  <c r="CU197" i="1" s="1"/>
  <c r="DA197" i="1" a="1"/>
  <c r="DA197" i="1" s="1"/>
  <c r="DB197" i="1" a="1"/>
  <c r="DB197" i="1" s="1"/>
  <c r="CN197" i="1"/>
  <c r="CW197" i="1" a="1"/>
  <c r="CW197" i="1" s="1"/>
  <c r="CX197" i="1" s="1"/>
  <c r="Q204" i="1"/>
  <c r="CO210" i="1"/>
  <c r="CZ210" i="1" a="1"/>
  <c r="CZ210" i="1" s="1"/>
  <c r="CT218" i="1" a="1"/>
  <c r="CT218" i="1" s="1"/>
  <c r="CU218" i="1" s="1"/>
  <c r="DA218" i="1" a="1"/>
  <c r="DA218" i="1" s="1"/>
  <c r="DB218" i="1" a="1"/>
  <c r="DB218" i="1" s="1"/>
  <c r="CN218" i="1"/>
  <c r="CW218" i="1" a="1"/>
  <c r="CW218" i="1" s="1"/>
  <c r="CX218" i="1" s="1"/>
  <c r="CZ218" i="1" a="1"/>
  <c r="CZ218" i="1" s="1"/>
  <c r="Q224" i="1"/>
  <c r="Q227" i="1"/>
  <c r="Q231" i="1"/>
  <c r="CZ235" i="1" a="1"/>
  <c r="CZ235" i="1" s="1"/>
  <c r="CT235" i="1" a="1"/>
  <c r="CT235" i="1" s="1"/>
  <c r="CU235" i="1" s="1"/>
  <c r="CN235" i="1"/>
  <c r="CW235" i="1" a="1"/>
  <c r="CW235" i="1" s="1"/>
  <c r="CX235" i="1" s="1"/>
  <c r="DA235" i="1" a="1"/>
  <c r="DA235" i="1" s="1"/>
  <c r="DB235" i="1" a="1"/>
  <c r="DB235" i="1" s="1"/>
  <c r="CZ239" i="1" a="1"/>
  <c r="CZ239" i="1" s="1"/>
  <c r="CN239" i="1"/>
  <c r="CT239" i="1" a="1"/>
  <c r="CT239" i="1" s="1"/>
  <c r="CU239" i="1" s="1"/>
  <c r="CW239" i="1" a="1"/>
  <c r="CW239" i="1" s="1"/>
  <c r="CX239" i="1" s="1"/>
  <c r="DA239" i="1" a="1"/>
  <c r="DA239" i="1" s="1"/>
  <c r="DB239" i="1" a="1"/>
  <c r="DB239" i="1" s="1"/>
  <c r="Q202" i="1"/>
  <c r="CZ213" i="1" a="1"/>
  <c r="CZ213" i="1" s="1"/>
  <c r="CT213" i="1" a="1"/>
  <c r="CT213" i="1" s="1"/>
  <c r="CU213" i="1" s="1"/>
  <c r="DA213" i="1" a="1"/>
  <c r="DA213" i="1" s="1"/>
  <c r="DB213" i="1" a="1"/>
  <c r="DB213" i="1" s="1"/>
  <c r="CW213" i="1" a="1"/>
  <c r="CW213" i="1" s="1"/>
  <c r="CX213" i="1" s="1"/>
  <c r="CN213" i="1"/>
  <c r="AL219" i="1"/>
  <c r="CW203" i="1" a="1"/>
  <c r="CW203" i="1" s="1"/>
  <c r="CX203" i="1" s="1"/>
  <c r="CN203" i="1"/>
  <c r="CZ203" i="1" a="1"/>
  <c r="CZ203" i="1" s="1"/>
  <c r="CT203" i="1" a="1"/>
  <c r="CT203" i="1" s="1"/>
  <c r="CU203" i="1" s="1"/>
  <c r="DA203" i="1" a="1"/>
  <c r="DA203" i="1" s="1"/>
  <c r="DB203" i="1" a="1"/>
  <c r="DB203" i="1" s="1"/>
  <c r="Q203" i="1"/>
  <c r="Q207" i="1"/>
  <c r="Q210" i="1"/>
  <c r="CN230" i="1"/>
  <c r="CW230" i="1" a="1"/>
  <c r="CW230" i="1" s="1"/>
  <c r="CX230" i="1" s="1"/>
  <c r="CZ230" i="1" a="1"/>
  <c r="CZ230" i="1" s="1"/>
  <c r="CT230" i="1" a="1"/>
  <c r="CT230" i="1" s="1"/>
  <c r="CU230" i="1" s="1"/>
  <c r="DB230" i="1" a="1"/>
  <c r="DB230" i="1" s="1"/>
  <c r="DA230" i="1" a="1"/>
  <c r="DA230" i="1" s="1"/>
  <c r="CZ243" i="1" a="1"/>
  <c r="CZ243" i="1" s="1"/>
  <c r="CN243" i="1"/>
  <c r="DA243" i="1" a="1"/>
  <c r="DA243" i="1" s="1"/>
  <c r="CT243" i="1" a="1"/>
  <c r="CT243" i="1" s="1"/>
  <c r="CU243" i="1" s="1"/>
  <c r="DB243" i="1" a="1"/>
  <c r="DB243" i="1" s="1"/>
  <c r="CW243" i="1" a="1"/>
  <c r="CW243" i="1" s="1"/>
  <c r="CX243" i="1" s="1"/>
  <c r="Q228" i="1"/>
  <c r="Q243" i="1"/>
  <c r="CZ228" i="1" a="1"/>
  <c r="CZ228" i="1" s="1"/>
  <c r="DB229" i="1" a="1"/>
  <c r="DB229" i="1" s="1"/>
  <c r="Q225" i="1"/>
  <c r="CZ202" i="1" a="1"/>
  <c r="CZ202" i="1" s="1"/>
  <c r="Q226" i="1"/>
  <c r="AL249" i="1"/>
  <c r="AL250" i="1"/>
  <c r="Q261" i="1"/>
  <c r="AL257" i="1"/>
  <c r="DB261" i="1" a="1"/>
  <c r="DB261" i="1" s="1"/>
  <c r="DA272" i="1" a="1"/>
  <c r="DA272" i="1" s="1"/>
  <c r="CZ283" i="1" a="1"/>
  <c r="CZ283" i="1" s="1"/>
  <c r="CT283" i="1" a="1"/>
  <c r="CT283" i="1" s="1"/>
  <c r="CU283" i="1" s="1"/>
  <c r="DA283" i="1" a="1"/>
  <c r="DA283" i="1" s="1"/>
  <c r="CN283" i="1"/>
  <c r="CW283" i="1" a="1"/>
  <c r="CW283" i="1" s="1"/>
  <c r="CX283" i="1" s="1"/>
  <c r="DB283" i="1" a="1"/>
  <c r="DB283" i="1" s="1"/>
  <c r="Q258" i="1"/>
  <c r="DB241" i="1" a="1"/>
  <c r="DB241" i="1" s="1"/>
  <c r="CT241" i="1" a="1"/>
  <c r="CT241" i="1" s="1"/>
  <c r="CU241" i="1" s="1"/>
  <c r="DA241" i="1" a="1"/>
  <c r="DA241" i="1" s="1"/>
  <c r="CW241" i="1" a="1"/>
  <c r="CW241" i="1" s="1"/>
  <c r="CX241" i="1" s="1"/>
  <c r="CN241" i="1"/>
  <c r="CZ241" i="1" a="1"/>
  <c r="CZ241" i="1" s="1"/>
  <c r="CW255" i="1" a="1"/>
  <c r="CW255" i="1" s="1"/>
  <c r="CX255" i="1" s="1"/>
  <c r="CT245" i="1" a="1"/>
  <c r="CT245" i="1" s="1"/>
  <c r="CU245" i="1" s="1"/>
  <c r="Q287" i="1"/>
  <c r="CT264" i="1" a="1"/>
  <c r="CT264" i="1" s="1"/>
  <c r="CU264" i="1" s="1"/>
  <c r="DA269" i="1" a="1"/>
  <c r="DA269" i="1" s="1"/>
  <c r="CT277" i="1" a="1"/>
  <c r="CT277" i="1" s="1"/>
  <c r="CU277" i="1" s="1"/>
  <c r="Q296" i="1"/>
  <c r="CZ272" i="1" a="1"/>
  <c r="CZ272" i="1" s="1"/>
  <c r="Q292" i="1"/>
  <c r="CN302" i="1"/>
  <c r="CW302" i="1" a="1"/>
  <c r="CW302" i="1" s="1"/>
  <c r="CX302" i="1" s="1"/>
  <c r="CZ302" i="1" a="1"/>
  <c r="CZ302" i="1" s="1"/>
  <c r="CT302" i="1" a="1"/>
  <c r="CT302" i="1" s="1"/>
  <c r="CU302" i="1" s="1"/>
  <c r="DA302" i="1" a="1"/>
  <c r="DA302" i="1" s="1"/>
  <c r="DB302" i="1" a="1"/>
  <c r="DB302" i="1" s="1"/>
  <c r="CZ295" i="1" a="1"/>
  <c r="CZ295" i="1" s="1"/>
  <c r="CN295" i="1"/>
  <c r="CW295" i="1" a="1"/>
  <c r="CW295" i="1" s="1"/>
  <c r="CX295" i="1" s="1"/>
  <c r="CT295" i="1" a="1"/>
  <c r="CT295" i="1" s="1"/>
  <c r="CU295" i="1" s="1"/>
  <c r="DB295" i="1" a="1"/>
  <c r="DB295" i="1" s="1"/>
  <c r="DA295" i="1" a="1"/>
  <c r="DA295" i="1" s="1"/>
  <c r="Q278" i="1"/>
  <c r="DB289" i="1" a="1"/>
  <c r="DB289" i="1" s="1"/>
  <c r="CW286" i="1" a="1"/>
  <c r="CW286" i="1" s="1"/>
  <c r="CX286" i="1" s="1"/>
  <c r="CO289" i="1"/>
  <c r="CW289" i="1" a="1"/>
  <c r="CW289" i="1" s="1"/>
  <c r="CX289" i="1" s="1"/>
  <c r="Q286" i="1"/>
  <c r="AL303" i="1"/>
  <c r="CZ303" i="1" a="1"/>
  <c r="CZ303" i="1" s="1"/>
  <c r="DB294" i="1" a="1"/>
  <c r="DB294" i="1" s="1"/>
  <c r="Q91" i="1"/>
  <c r="CT92" i="1" a="1"/>
  <c r="CT92" i="1" s="1"/>
  <c r="CU92" i="1" s="1"/>
  <c r="DB92" i="1" a="1"/>
  <c r="DB92" i="1" s="1"/>
  <c r="CW92" i="1" a="1"/>
  <c r="CW92" i="1" s="1"/>
  <c r="CX92" i="1" s="1"/>
  <c r="DA92" i="1" a="1"/>
  <c r="DA92" i="1" s="1"/>
  <c r="DO92" i="1" a="1"/>
  <c r="DO92" i="1" s="1"/>
  <c r="CN92" i="1"/>
  <c r="CZ92" i="1" a="1"/>
  <c r="CZ92" i="1" s="1"/>
  <c r="CO91" i="1"/>
  <c r="DP91" i="1" a="1"/>
  <c r="DP91" i="1" s="1"/>
  <c r="AL97" i="1"/>
  <c r="AL96" i="1"/>
  <c r="CR107" i="1"/>
  <c r="DS107" i="1" a="1"/>
  <c r="DS107" i="1" s="1"/>
  <c r="AL105" i="1"/>
  <c r="Q109" i="1"/>
  <c r="DB102" i="1" a="1"/>
  <c r="DB102" i="1" s="1"/>
  <c r="CW102" i="1" a="1"/>
  <c r="CW102" i="1" s="1"/>
  <c r="CX102" i="1" s="1"/>
  <c r="DO102" i="1" a="1"/>
  <c r="DO102" i="1" s="1"/>
  <c r="CN102" i="1"/>
  <c r="CZ102" i="1" a="1"/>
  <c r="CZ102" i="1" s="1"/>
  <c r="CT102" i="1" a="1"/>
  <c r="CT102" i="1" s="1"/>
  <c r="CU102" i="1" s="1"/>
  <c r="DA102" i="1" a="1"/>
  <c r="DA102" i="1" s="1"/>
  <c r="CT101" i="1" a="1"/>
  <c r="CT101" i="1" s="1"/>
  <c r="CU101" i="1" s="1"/>
  <c r="DP117" i="1" a="1"/>
  <c r="DP117" i="1" s="1"/>
  <c r="CO117" i="1"/>
  <c r="Q101" i="1"/>
  <c r="DP116" i="1" a="1"/>
  <c r="DP116" i="1" s="1"/>
  <c r="CO116" i="1"/>
  <c r="CT104" i="1" a="1"/>
  <c r="CT104" i="1" s="1"/>
  <c r="CU104" i="1" s="1"/>
  <c r="DA104" i="1" a="1"/>
  <c r="DA104" i="1" s="1"/>
  <c r="DB104" i="1" a="1"/>
  <c r="DB104" i="1" s="1"/>
  <c r="CN104" i="1"/>
  <c r="CW104" i="1" a="1"/>
  <c r="CW104" i="1" s="1"/>
  <c r="CX104" i="1" s="1"/>
  <c r="CZ104" i="1" a="1"/>
  <c r="CZ104" i="1" s="1"/>
  <c r="DO104" i="1" a="1"/>
  <c r="DO104" i="1" s="1"/>
  <c r="CR106" i="1"/>
  <c r="DS106" i="1" a="1"/>
  <c r="DS106" i="1" s="1"/>
  <c r="DA123" i="1" a="1"/>
  <c r="DA123" i="1" s="1"/>
  <c r="AL110" i="1"/>
  <c r="Q126" i="1"/>
  <c r="CW120" i="1" a="1"/>
  <c r="CW120" i="1" s="1"/>
  <c r="CX120" i="1" s="1"/>
  <c r="Q129" i="1"/>
  <c r="Q121" i="1"/>
  <c r="CT121" i="1" a="1"/>
  <c r="CT121" i="1" s="1"/>
  <c r="CU121" i="1" s="1"/>
  <c r="DB121" i="1" a="1"/>
  <c r="DB121" i="1" s="1"/>
  <c r="CW121" i="1" a="1"/>
  <c r="CW121" i="1" s="1"/>
  <c r="CX121" i="1" s="1"/>
  <c r="DO121" i="1" a="1"/>
  <c r="DO121" i="1" s="1"/>
  <c r="CZ121" i="1" a="1"/>
  <c r="CZ121" i="1" s="1"/>
  <c r="DA121" i="1" a="1"/>
  <c r="DA121" i="1" s="1"/>
  <c r="CN121" i="1"/>
  <c r="DA129" i="1" a="1"/>
  <c r="DA129" i="1" s="1"/>
  <c r="CT130" i="1" a="1"/>
  <c r="CT130" i="1" s="1"/>
  <c r="CU130" i="1" s="1"/>
  <c r="DB134" i="1" a="1"/>
  <c r="DB134" i="1" s="1"/>
  <c r="DP127" i="1" a="1"/>
  <c r="DP127" i="1" s="1"/>
  <c r="CO127" i="1"/>
  <c r="AL122" i="1"/>
  <c r="CT140" i="1" a="1"/>
  <c r="CT140" i="1" s="1"/>
  <c r="CU140" i="1" s="1"/>
  <c r="DP146" i="1" a="1"/>
  <c r="DP146" i="1" s="1"/>
  <c r="CO146" i="1"/>
  <c r="DB118" i="1" a="1"/>
  <c r="DB118" i="1" s="1"/>
  <c r="CZ131" i="1" a="1"/>
  <c r="CZ131" i="1" s="1"/>
  <c r="DA141" i="1" a="1"/>
  <c r="DA141" i="1" s="1"/>
  <c r="CT145" i="1" a="1"/>
  <c r="CT145" i="1" s="1"/>
  <c r="CO149" i="1"/>
  <c r="DB149" i="1" a="1"/>
  <c r="DB149" i="1" s="1"/>
  <c r="DP149" i="1" a="1"/>
  <c r="DP149" i="1" s="1"/>
  <c r="CW127" i="1" a="1"/>
  <c r="CW127" i="1" s="1"/>
  <c r="CX127" i="1" s="1"/>
  <c r="CR146" i="1"/>
  <c r="DS146" i="1" a="1"/>
  <c r="DS146" i="1" s="1"/>
  <c r="AL148" i="1"/>
  <c r="CN159" i="1"/>
  <c r="CW159" i="1" a="1"/>
  <c r="CW159" i="1" s="1"/>
  <c r="CX159" i="1" s="1"/>
  <c r="CZ159" i="1" a="1"/>
  <c r="CZ159" i="1" s="1"/>
  <c r="CT159" i="1" a="1"/>
  <c r="CT159" i="1" s="1"/>
  <c r="CU159" i="1" s="1"/>
  <c r="DA159" i="1" a="1"/>
  <c r="DA159" i="1" s="1"/>
  <c r="DB159" i="1" a="1"/>
  <c r="DB159" i="1" s="1"/>
  <c r="CQ147" i="1"/>
  <c r="DR147" i="1" a="1"/>
  <c r="DR147" i="1" s="1"/>
  <c r="DA150" i="1" a="1"/>
  <c r="DA150" i="1" s="1"/>
  <c r="CT150" i="1" a="1"/>
  <c r="CT150" i="1" s="1"/>
  <c r="CU150" i="1" s="1"/>
  <c r="CW150" i="1" a="1"/>
  <c r="CW150" i="1" s="1"/>
  <c r="CX150" i="1" s="1"/>
  <c r="CN150" i="1"/>
  <c r="CZ150" i="1" a="1"/>
  <c r="CZ150" i="1" s="1"/>
  <c r="DB150" i="1" a="1"/>
  <c r="DB150" i="1" s="1"/>
  <c r="DO150" i="1" a="1"/>
  <c r="DO150" i="1" s="1"/>
  <c r="DA152" i="1" a="1"/>
  <c r="DA152" i="1" s="1"/>
  <c r="CT152" i="1" a="1"/>
  <c r="CT152" i="1" s="1"/>
  <c r="CU152" i="1" s="1"/>
  <c r="CW152" i="1" a="1"/>
  <c r="CW152" i="1" s="1"/>
  <c r="CX152" i="1" s="1"/>
  <c r="CN152" i="1"/>
  <c r="CZ152" i="1" a="1"/>
  <c r="CZ152" i="1" s="1"/>
  <c r="DB152" i="1" a="1"/>
  <c r="DB152" i="1" s="1"/>
  <c r="DO152" i="1" a="1"/>
  <c r="DO152" i="1" s="1"/>
  <c r="DA168" i="1" a="1"/>
  <c r="DA168" i="1" s="1"/>
  <c r="CZ181" i="1" a="1"/>
  <c r="CZ181" i="1" s="1"/>
  <c r="CO181" i="1"/>
  <c r="CW181" i="1" a="1"/>
  <c r="CW181" i="1" s="1"/>
  <c r="CX181" i="1" s="1"/>
  <c r="DB181" i="1" a="1"/>
  <c r="DB181" i="1" s="1"/>
  <c r="CZ168" i="1" a="1"/>
  <c r="CZ168" i="1" s="1"/>
  <c r="CO176" i="1"/>
  <c r="CZ176" i="1" a="1"/>
  <c r="CZ176" i="1" s="1"/>
  <c r="CT176" i="1" a="1"/>
  <c r="CT176" i="1" s="1"/>
  <c r="CU176" i="1" s="1"/>
  <c r="DA176" i="1" a="1"/>
  <c r="DA176" i="1" s="1"/>
  <c r="CT161" i="1" a="1"/>
  <c r="CT161" i="1" s="1"/>
  <c r="CU161" i="1" s="1"/>
  <c r="DA161" i="1" a="1"/>
  <c r="DA161" i="1" s="1"/>
  <c r="DB161" i="1" a="1"/>
  <c r="DB161" i="1" s="1"/>
  <c r="CN161" i="1"/>
  <c r="CW161" i="1" a="1"/>
  <c r="CW161" i="1" s="1"/>
  <c r="CX161" i="1" s="1"/>
  <c r="CZ161" i="1" a="1"/>
  <c r="CZ161" i="1" s="1"/>
  <c r="DB188" i="1" a="1"/>
  <c r="DB188" i="1" s="1"/>
  <c r="Q156" i="1"/>
  <c r="CT178" i="1" a="1"/>
  <c r="CT178" i="1" s="1"/>
  <c r="CU178" i="1" s="1"/>
  <c r="DA178" i="1" a="1"/>
  <c r="DA178" i="1" s="1"/>
  <c r="DB178" i="1" a="1"/>
  <c r="DB178" i="1" s="1"/>
  <c r="CN178" i="1"/>
  <c r="CW178" i="1" a="1"/>
  <c r="CW178" i="1" s="1"/>
  <c r="CX178" i="1" s="1"/>
  <c r="CZ178" i="1" a="1"/>
  <c r="CZ178" i="1" s="1"/>
  <c r="CP188" i="1"/>
  <c r="CT188" i="1" a="1"/>
  <c r="CT188" i="1" s="1"/>
  <c r="CU188" i="1" s="1"/>
  <c r="DA188" i="1" a="1"/>
  <c r="DA188" i="1" s="1"/>
  <c r="CT193" i="1" a="1"/>
  <c r="CT193" i="1" s="1"/>
  <c r="CU193" i="1" s="1"/>
  <c r="DB193" i="1" a="1"/>
  <c r="DB193" i="1" s="1"/>
  <c r="CW193" i="1" a="1"/>
  <c r="CW193" i="1" s="1"/>
  <c r="CX193" i="1" s="1"/>
  <c r="CN193" i="1"/>
  <c r="CZ193" i="1" a="1"/>
  <c r="CZ193" i="1" s="1"/>
  <c r="DA193" i="1" a="1"/>
  <c r="DA193" i="1" s="1"/>
  <c r="DA171" i="1" a="1"/>
  <c r="DA171" i="1" s="1"/>
  <c r="CT182" i="1" a="1"/>
  <c r="CT182" i="1" s="1"/>
  <c r="CU182" i="1" s="1"/>
  <c r="DA182" i="1" a="1"/>
  <c r="DA182" i="1" s="1"/>
  <c r="DB182" i="1" a="1"/>
  <c r="DB182" i="1" s="1"/>
  <c r="CN182" i="1"/>
  <c r="CW182" i="1" a="1"/>
  <c r="CW182" i="1" s="1"/>
  <c r="CX182" i="1" s="1"/>
  <c r="CZ182" i="1" a="1"/>
  <c r="CZ182" i="1" s="1"/>
  <c r="CT186" i="1" a="1"/>
  <c r="CT186" i="1" s="1"/>
  <c r="CU186" i="1" s="1"/>
  <c r="DA186" i="1" a="1"/>
  <c r="DA186" i="1" s="1"/>
  <c r="DB186" i="1" a="1"/>
  <c r="DB186" i="1" s="1"/>
  <c r="CN186" i="1"/>
  <c r="CW186" i="1" a="1"/>
  <c r="CW186" i="1" s="1"/>
  <c r="CX186" i="1" s="1"/>
  <c r="CZ186" i="1" a="1"/>
  <c r="CZ186" i="1" s="1"/>
  <c r="AL165" i="1"/>
  <c r="Q174" i="1"/>
  <c r="CZ216" i="1" a="1"/>
  <c r="CZ216" i="1" s="1"/>
  <c r="CT216" i="1" a="1"/>
  <c r="CT216" i="1" s="1"/>
  <c r="CU216" i="1" s="1"/>
  <c r="DA216" i="1" a="1"/>
  <c r="DA216" i="1" s="1"/>
  <c r="DB216" i="1" a="1"/>
  <c r="DB216" i="1" s="1"/>
  <c r="CN216" i="1"/>
  <c r="CW216" i="1" a="1"/>
  <c r="CW216" i="1" s="1"/>
  <c r="CX216" i="1" s="1"/>
  <c r="DA201" i="1" a="1"/>
  <c r="DA201" i="1" s="1"/>
  <c r="DB201" i="1" a="1"/>
  <c r="DB201" i="1" s="1"/>
  <c r="CT201" i="1" a="1"/>
  <c r="CT201" i="1" s="1"/>
  <c r="CU201" i="1" s="1"/>
  <c r="CW201" i="1" a="1"/>
  <c r="CW201" i="1" s="1"/>
  <c r="CX201" i="1" s="1"/>
  <c r="CN201" i="1"/>
  <c r="CZ201" i="1" a="1"/>
  <c r="CZ201" i="1" s="1"/>
  <c r="DB207" i="1" a="1"/>
  <c r="DB207" i="1" s="1"/>
  <c r="CN207" i="1"/>
  <c r="CW207" i="1" a="1"/>
  <c r="CW207" i="1" s="1"/>
  <c r="CX207" i="1" s="1"/>
  <c r="CZ207" i="1" a="1"/>
  <c r="CZ207" i="1" s="1"/>
  <c r="CT207" i="1" a="1"/>
  <c r="CT207" i="1" s="1"/>
  <c r="CU207" i="1" s="1"/>
  <c r="DA207" i="1" a="1"/>
  <c r="DA207" i="1" s="1"/>
  <c r="DB215" i="1" a="1"/>
  <c r="DB215" i="1" s="1"/>
  <c r="CN215" i="1"/>
  <c r="CW215" i="1" a="1"/>
  <c r="CW215" i="1" s="1"/>
  <c r="CX215" i="1" s="1"/>
  <c r="CZ215" i="1" a="1"/>
  <c r="CZ215" i="1" s="1"/>
  <c r="CT215" i="1" a="1"/>
  <c r="CT215" i="1" s="1"/>
  <c r="CU215" i="1" s="1"/>
  <c r="DA215" i="1" a="1"/>
  <c r="DA215" i="1" s="1"/>
  <c r="DA196" i="1" a="1"/>
  <c r="DA196" i="1" s="1"/>
  <c r="AL199" i="1"/>
  <c r="CT214" i="1" a="1"/>
  <c r="CT214" i="1" s="1"/>
  <c r="CU214" i="1" s="1"/>
  <c r="DA214" i="1" a="1"/>
  <c r="DA214" i="1" s="1"/>
  <c r="DB214" i="1" a="1"/>
  <c r="DB214" i="1" s="1"/>
  <c r="CN214" i="1"/>
  <c r="CW214" i="1" a="1"/>
  <c r="CW214" i="1" s="1"/>
  <c r="CX214" i="1" s="1"/>
  <c r="CZ214" i="1" a="1"/>
  <c r="CZ214" i="1" s="1"/>
  <c r="Q213" i="1"/>
  <c r="DB210" i="1" a="1"/>
  <c r="DB210" i="1" s="1"/>
  <c r="AL230" i="1"/>
  <c r="CZ221" i="1" a="1"/>
  <c r="CZ221" i="1" s="1"/>
  <c r="AL223" i="1"/>
  <c r="Q236" i="1"/>
  <c r="Q238" i="1"/>
  <c r="CT244" i="1" a="1"/>
  <c r="CT244" i="1" s="1"/>
  <c r="CU244" i="1" s="1"/>
  <c r="DA244" i="1" a="1"/>
  <c r="DA244" i="1" s="1"/>
  <c r="CZ244" i="1" a="1"/>
  <c r="CZ244" i="1" s="1"/>
  <c r="CW244" i="1" a="1"/>
  <c r="CW244" i="1" s="1"/>
  <c r="CX244" i="1" s="1"/>
  <c r="CN244" i="1"/>
  <c r="DB244" i="1" a="1"/>
  <c r="DB244" i="1" s="1"/>
  <c r="CZ237" i="1" a="1"/>
  <c r="CZ237" i="1" s="1"/>
  <c r="AL245" i="1"/>
  <c r="CW202" i="1" a="1"/>
  <c r="CW202" i="1" s="1"/>
  <c r="CX202" i="1" s="1"/>
  <c r="AL211" i="1"/>
  <c r="DA237" i="1" a="1"/>
  <c r="DA237" i="1" s="1"/>
  <c r="Q242" i="1"/>
  <c r="Q241" i="1"/>
  <c r="CN256" i="1"/>
  <c r="CW256" i="1" a="1"/>
  <c r="CW256" i="1" s="1"/>
  <c r="CX256" i="1" s="1"/>
  <c r="CZ256" i="1" a="1"/>
  <c r="CZ256" i="1" s="1"/>
  <c r="DA256" i="1" a="1"/>
  <c r="DA256" i="1" s="1"/>
  <c r="DB256" i="1" a="1"/>
  <c r="DB256" i="1" s="1"/>
  <c r="CT256" i="1" a="1"/>
  <c r="CT256" i="1" s="1"/>
  <c r="CU256" i="1" s="1"/>
  <c r="CZ260" i="1" a="1"/>
  <c r="CZ260" i="1" s="1"/>
  <c r="CT260" i="1" a="1"/>
  <c r="CT260" i="1" s="1"/>
  <c r="CU260" i="1" s="1"/>
  <c r="DA260" i="1" a="1"/>
  <c r="DA260" i="1" s="1"/>
  <c r="DB260" i="1" a="1"/>
  <c r="DB260" i="1" s="1"/>
  <c r="CN260" i="1"/>
  <c r="CW260" i="1" a="1"/>
  <c r="CW260" i="1" s="1"/>
  <c r="CX260" i="1" s="1"/>
  <c r="Q244" i="1"/>
  <c r="CT255" i="1" a="1"/>
  <c r="CT255" i="1" s="1"/>
  <c r="CU255" i="1" s="1"/>
  <c r="Q259" i="1"/>
  <c r="Q277" i="1"/>
  <c r="AL266" i="1"/>
  <c r="DB268" i="1" a="1"/>
  <c r="DB268" i="1" s="1"/>
  <c r="CW268" i="1" a="1"/>
  <c r="CW268" i="1" s="1"/>
  <c r="CX268" i="1" s="1"/>
  <c r="CP268" i="1"/>
  <c r="DB280" i="1" a="1"/>
  <c r="DB280" i="1" s="1"/>
  <c r="CP280" i="1"/>
  <c r="CW280" i="1" a="1"/>
  <c r="CW280" i="1" s="1"/>
  <c r="CX280" i="1" s="1"/>
  <c r="CZ287" i="1" a="1"/>
  <c r="CZ287" i="1" s="1"/>
  <c r="CN287" i="1"/>
  <c r="CW287" i="1" a="1"/>
  <c r="CW287" i="1" s="1"/>
  <c r="CX287" i="1" s="1"/>
  <c r="DA287" i="1" a="1"/>
  <c r="DA287" i="1" s="1"/>
  <c r="DB287" i="1" a="1"/>
  <c r="DB287" i="1" s="1"/>
  <c r="CT287" i="1" a="1"/>
  <c r="CT287" i="1" s="1"/>
  <c r="CU287" i="1" s="1"/>
  <c r="CZ254" i="1" a="1"/>
  <c r="CZ254" i="1" s="1"/>
  <c r="CO254" i="1"/>
  <c r="CW265" i="1" a="1"/>
  <c r="CW265" i="1" s="1"/>
  <c r="CX265" i="1" s="1"/>
  <c r="DB250" i="1" a="1"/>
  <c r="DB250" i="1" s="1"/>
  <c r="CT250" i="1" a="1"/>
  <c r="CT250" i="1" s="1"/>
  <c r="CU250" i="1" s="1"/>
  <c r="CW250" i="1" a="1"/>
  <c r="CW250" i="1" s="1"/>
  <c r="CX250" i="1" s="1"/>
  <c r="CN250" i="1"/>
  <c r="CZ250" i="1" a="1"/>
  <c r="CZ250" i="1" s="1"/>
  <c r="DA250" i="1" a="1"/>
  <c r="DA250" i="1" s="1"/>
  <c r="DB270" i="1" a="1"/>
  <c r="DB270" i="1" s="1"/>
  <c r="CN270" i="1"/>
  <c r="CW270" i="1" a="1"/>
  <c r="CW270" i="1" s="1"/>
  <c r="CX270" i="1" s="1"/>
  <c r="CZ270" i="1" a="1"/>
  <c r="CZ270" i="1" s="1"/>
  <c r="CT270" i="1" a="1"/>
  <c r="CT270" i="1" s="1"/>
  <c r="CU270" i="1" s="1"/>
  <c r="DA270" i="1" a="1"/>
  <c r="DA270" i="1" s="1"/>
  <c r="DB245" i="1" a="1"/>
  <c r="DB245" i="1" s="1"/>
  <c r="AL259" i="1"/>
  <c r="CT265" i="1" a="1"/>
  <c r="CT265" i="1" s="1"/>
  <c r="CU265" i="1" s="1"/>
  <c r="CT269" i="1" a="1"/>
  <c r="CT269" i="1" s="1"/>
  <c r="CU269" i="1" s="1"/>
  <c r="CZ284" i="1" a="1"/>
  <c r="CZ284" i="1" s="1"/>
  <c r="CT261" i="1" a="1"/>
  <c r="CT261" i="1" s="1"/>
  <c r="CU261" i="1" s="1"/>
  <c r="CW273" i="1" a="1"/>
  <c r="CW273" i="1" s="1"/>
  <c r="CX273" i="1" s="1"/>
  <c r="DB281" i="1" a="1"/>
  <c r="DB281" i="1" s="1"/>
  <c r="DB293" i="1" a="1"/>
  <c r="DB293" i="1" s="1"/>
  <c r="CN298" i="1"/>
  <c r="CW298" i="1" a="1"/>
  <c r="CW298" i="1" s="1"/>
  <c r="CX298" i="1" s="1"/>
  <c r="CZ298" i="1" a="1"/>
  <c r="CZ298" i="1" s="1"/>
  <c r="CT298" i="1" a="1"/>
  <c r="CT298" i="1" s="1"/>
  <c r="CU298" i="1" s="1"/>
  <c r="DA298" i="1" a="1"/>
  <c r="DA298" i="1" s="1"/>
  <c r="DB298" i="1" a="1"/>
  <c r="DB298" i="1" s="1"/>
  <c r="Q290" i="1"/>
  <c r="Q294" i="1"/>
  <c r="Q285" i="1"/>
  <c r="DA289" i="1" a="1"/>
  <c r="DA289" i="1" s="1"/>
  <c r="Q295" i="1"/>
  <c r="AL286" i="1"/>
  <c r="CO286" i="1"/>
  <c r="DA286" i="1" a="1"/>
  <c r="DA286" i="1" s="1"/>
  <c r="CT286" i="1" a="1"/>
  <c r="CT286" i="1" s="1"/>
  <c r="CU286" i="1" s="1"/>
  <c r="CZ273" i="1" a="1"/>
  <c r="CZ273" i="1" s="1"/>
  <c r="CZ294" i="1" a="1"/>
  <c r="CZ294" i="1" s="1"/>
  <c r="DA297" i="1" a="1"/>
  <c r="DA297" i="1" s="1"/>
  <c r="CT303" i="1" a="1"/>
  <c r="CT303" i="1" s="1"/>
  <c r="CU303" i="1" s="1"/>
  <c r="CU134" i="1" l="1"/>
  <c r="CU133" i="1"/>
  <c r="CU268" i="1"/>
  <c r="CU136" i="1"/>
  <c r="CU143" i="1"/>
  <c r="CU172" i="1"/>
  <c r="CU137" i="1"/>
  <c r="CU145" i="1"/>
  <c r="CU276" i="1"/>
  <c r="CU157" i="1"/>
  <c r="CU280" i="1"/>
  <c r="CU13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<sst xmlns="http://schemas.openxmlformats.org/spreadsheetml/2006/main" count="40" uniqueCount="26">
  <si>
    <t>배</t>
    <phoneticPr fontId="3" type="noConversion"/>
  </si>
  <si>
    <t>자</t>
    <phoneticPr fontId="3" type="noConversion"/>
  </si>
  <si>
    <t>소</t>
    <phoneticPr fontId="3" type="noConversion"/>
  </si>
  <si>
    <t>끝저고</t>
    <phoneticPr fontId="3" type="noConversion"/>
  </si>
  <si>
    <t>짝</t>
    <phoneticPr fontId="3" type="noConversion"/>
  </si>
  <si>
    <t>홀</t>
    <phoneticPr fontId="3" type="noConversion"/>
  </si>
  <si>
    <t>13하23상</t>
    <phoneticPr fontId="3" type="noConversion"/>
  </si>
  <si>
    <t xml:space="preserve">1 2 3 4 5 6 </t>
    <phoneticPr fontId="3" type="noConversion"/>
  </si>
  <si>
    <t>단-10-20-30-40</t>
    <phoneticPr fontId="3" type="noConversion"/>
  </si>
  <si>
    <t>31~45</t>
    <phoneticPr fontId="3" type="noConversion"/>
  </si>
  <si>
    <t>15~30</t>
    <phoneticPr fontId="3" type="noConversion"/>
  </si>
  <si>
    <t>1~14</t>
    <phoneticPr fontId="3" type="noConversion"/>
  </si>
  <si>
    <t>고</t>
    <phoneticPr fontId="3" type="noConversion"/>
  </si>
  <si>
    <t>저</t>
    <phoneticPr fontId="3" type="noConversion"/>
  </si>
  <si>
    <t>6조합</t>
  </si>
  <si>
    <t>최근400</t>
    <phoneticPr fontId="3" type="noConversion"/>
  </si>
  <si>
    <t>보</t>
  </si>
  <si>
    <t>상</t>
    <phoneticPr fontId="3" type="noConversion"/>
  </si>
  <si>
    <t>중</t>
    <phoneticPr fontId="3" type="noConversion"/>
  </si>
  <si>
    <t>하</t>
    <phoneticPr fontId="3" type="noConversion"/>
  </si>
  <si>
    <t>소수</t>
    <phoneticPr fontId="3" type="noConversion"/>
  </si>
  <si>
    <t>자연수</t>
    <phoneticPr fontId="3" type="noConversion"/>
  </si>
  <si>
    <t>3배수</t>
    <phoneticPr fontId="3" type="noConversion"/>
  </si>
  <si>
    <t>이격수</t>
    <phoneticPr fontId="3" type="noConversion"/>
  </si>
  <si>
    <t>9단위* 5분</t>
    <phoneticPr fontId="3" type="noConversion"/>
  </si>
  <si>
    <t>10단위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</si>
</sst>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rgb="FF0066FF"/>
      <name val="맑은 고딕"/>
      <family val="3"/>
      <charset val="129"/>
      <scheme val="minor"/>
    </font>
    <font>
      <b/>
      <sz val="9"/>
      <color rgb="FFED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rgb="FFFF00FF"/>
      <name val="맑은 고딕"/>
      <family val="3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9"/>
      <color rgb="FF0070C0"/>
      <name val="맑은 고딕"/>
      <family val="3"/>
      <charset val="129"/>
      <scheme val="minor"/>
    </font>
    <font>
      <b/>
      <sz val="8"/>
      <color rgb="FF0066FF"/>
      <name val="맑은 고딕"/>
      <family val="3"/>
      <charset val="129"/>
    </font>
    <font>
      <b/>
      <sz val="8"/>
      <color rgb="FF0066FF"/>
      <name val="맑은 고딕"/>
      <family val="3"/>
      <charset val="129"/>
      <scheme val="minor"/>
    </font>
    <font>
      <b/>
      <sz val="9"/>
      <color rgb="FF9E0000"/>
      <name val="맑은 고딕"/>
      <family val="3"/>
      <charset val="129"/>
      <scheme val="minor"/>
    </font>
    <font>
      <b/>
      <sz val="11"/>
      <color rgb="FF000000"/>
      <name val="Calibri"/>
      <family val="2"/>
    </font>
    <font>
      <b/>
      <sz val="9"/>
      <color rgb="FF0066FF"/>
      <name val="맑은 고딕"/>
      <family val="3"/>
      <charset val="129"/>
      <scheme val="minor"/>
    </font>
    <font>
      <b/>
      <sz val="9"/>
      <color rgb="FF0066FF"/>
      <name val="맑은 고딕"/>
      <family val="3"/>
      <charset val="129"/>
    </font>
  </fonts>
  <fills count="2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DA3F"/>
        <bgColor indexed="64"/>
      </patternFill>
    </fill>
    <fill>
      <patternFill patternType="solid">
        <fgColor rgb="FFFFFF1D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5D5D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3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  <xf numFmtId="0" fontId="6" fillId="0" borderId="0" xfId="0" applyFont="1" applyAlignment="1">
      <alignment horizontal="center" vertical="center"/>
    </xf>
    <xf numFmtId="0" fontId="2" fillId="6" borderId="0" xfId="0" applyFont="1" applyFill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2" fillId="12" borderId="0" xfId="0" applyFont="1" applyFill="1">
      <alignment vertical="center"/>
    </xf>
    <xf numFmtId="0" fontId="4" fillId="13" borderId="0" xfId="0" applyFont="1" applyFill="1" applyAlignment="1">
      <alignment horizontal="center" vertical="center"/>
    </xf>
    <xf numFmtId="0" fontId="4" fillId="13" borderId="16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0" fontId="4" fillId="15" borderId="0" xfId="0" applyFont="1" applyFill="1" applyAlignment="1">
      <alignment horizontal="center" vertical="center"/>
    </xf>
    <xf numFmtId="0" fontId="4" fillId="0" borderId="5" xfId="0" applyFont="1" applyBorder="1" applyAlignment="1">
      <alignment horizontal="centerContinuous" vertical="center"/>
    </xf>
    <xf numFmtId="0" fontId="4" fillId="0" borderId="4" xfId="0" applyFont="1" applyBorder="1" applyAlignment="1">
      <alignment horizontal="centerContinuous" vertical="center"/>
    </xf>
    <xf numFmtId="0" fontId="6" fillId="6" borderId="0" xfId="0" applyFont="1" applyFill="1">
      <alignment vertical="center"/>
    </xf>
    <xf numFmtId="0" fontId="6" fillId="17" borderId="0" xfId="0" applyFont="1" applyFill="1">
      <alignment vertical="center"/>
    </xf>
    <xf numFmtId="0" fontId="6" fillId="18" borderId="0" xfId="0" applyFont="1" applyFill="1">
      <alignment vertical="center"/>
    </xf>
    <xf numFmtId="0" fontId="6" fillId="19" borderId="0" xfId="0" applyFont="1" applyFill="1">
      <alignment vertical="center"/>
    </xf>
    <xf numFmtId="0" fontId="4" fillId="11" borderId="0" xfId="0" applyFont="1" applyFill="1" applyAlignment="1">
      <alignment horizontal="centerContinuous" vertical="center"/>
    </xf>
    <xf numFmtId="0" fontId="7" fillId="10" borderId="0" xfId="0" applyFont="1" applyFill="1" applyAlignment="1">
      <alignment horizontal="centerContinuous" vertical="center"/>
    </xf>
    <xf numFmtId="0" fontId="4" fillId="0" borderId="2" xfId="0" applyFont="1" applyBorder="1" applyAlignment="1">
      <alignment horizontal="centerContinuous" vertical="center"/>
    </xf>
    <xf numFmtId="0" fontId="4" fillId="0" borderId="17" xfId="0" applyFont="1" applyBorder="1" applyAlignment="1">
      <alignment horizontal="center" vertical="center"/>
    </xf>
    <xf numFmtId="41" fontId="9" fillId="0" borderId="0" xfId="1" applyFont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12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11" borderId="0" xfId="0" applyFont="1" applyFill="1" applyAlignment="1">
      <alignment horizontal="right" vertical="center"/>
    </xf>
    <xf numFmtId="0" fontId="5" fillId="0" borderId="18" xfId="0" applyFont="1" applyBorder="1" applyAlignment="1">
      <alignment horizontal="center" vertical="center"/>
    </xf>
    <xf numFmtId="0" fontId="13" fillId="20" borderId="18" xfId="0" applyFont="1" applyFill="1" applyBorder="1">
      <alignment vertical="center"/>
    </xf>
    <xf numFmtId="0" fontId="13" fillId="0" borderId="0" xfId="0" applyFont="1">
      <alignment vertical="center"/>
    </xf>
    <xf numFmtId="0" fontId="13" fillId="10" borderId="18" xfId="0" applyFont="1" applyFill="1" applyBorder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top"/>
    </xf>
    <xf numFmtId="0" fontId="15" fillId="0" borderId="0" xfId="0" applyFont="1">
      <alignment vertical="center"/>
    </xf>
    <xf numFmtId="0" fontId="16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12" fillId="19" borderId="18" xfId="0" applyFont="1" applyFill="1" applyBorder="1" applyAlignment="1">
      <alignment horizontal="center" vertical="center"/>
    </xf>
    <xf numFmtId="0" fontId="12" fillId="19" borderId="19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8" fillId="7" borderId="17" xfId="0" applyFont="1" applyFill="1" applyBorder="1" applyAlignment="1">
      <alignment horizontal="left" vertical="top"/>
    </xf>
    <xf numFmtId="0" fontId="18" fillId="0" borderId="0" xfId="0" applyFont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7" fillId="21" borderId="0" xfId="0" applyFont="1" applyFill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4" fillId="7" borderId="17" xfId="0" applyFont="1" applyFill="1" applyBorder="1" applyAlignment="1">
      <alignment horizontal="left" vertical="center"/>
    </xf>
    <xf numFmtId="0" fontId="13" fillId="0" borderId="17" xfId="0" applyFont="1" applyBorder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0" fillId="9" borderId="0" xfId="0" applyFont="1" applyFill="1" applyAlignment="1">
      <alignment horizontal="right" vertical="center"/>
    </xf>
    <xf numFmtId="0" fontId="12" fillId="22" borderId="20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5" fillId="19" borderId="7" xfId="0" applyFont="1" applyFill="1" applyBorder="1" applyAlignment="1">
      <alignment horizontal="center" vertical="center"/>
    </xf>
    <xf numFmtId="0" fontId="12" fillId="23" borderId="0" xfId="0" applyFont="1" applyFill="1" applyAlignment="1">
      <alignment horizontal="center" vertical="center"/>
    </xf>
    <xf numFmtId="0" fontId="21" fillId="11" borderId="0" xfId="0" applyFont="1" applyFill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13" fillId="23" borderId="0" xfId="0" applyFont="1" applyFill="1" applyAlignment="1">
      <alignment horizontal="center" vertical="center"/>
    </xf>
    <xf numFmtId="0" fontId="19" fillId="23" borderId="0" xfId="0" applyFont="1" applyFill="1" applyAlignment="1">
      <alignment horizontal="center" vertical="center"/>
    </xf>
    <xf numFmtId="0" fontId="5" fillId="19" borderId="8" xfId="0" applyFont="1" applyFill="1" applyBorder="1" applyAlignment="1">
      <alignment horizontal="center" vertical="center"/>
    </xf>
    <xf numFmtId="0" fontId="5" fillId="24" borderId="7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/>
    </xf>
    <xf numFmtId="0" fontId="7" fillId="10" borderId="0" xfId="0" applyFont="1" applyFill="1">
      <alignment vertical="center"/>
    </xf>
    <xf numFmtId="0" fontId="22" fillId="10" borderId="0" xfId="0" applyFont="1" applyFill="1">
      <alignment vertical="center"/>
    </xf>
    <xf numFmtId="0" fontId="5" fillId="14" borderId="18" xfId="0" applyFont="1" applyFill="1" applyBorder="1" applyAlignment="1">
      <alignment horizontal="center" vertical="center"/>
    </xf>
    <xf numFmtId="0" fontId="5" fillId="14" borderId="18" xfId="0" applyFont="1" applyFill="1" applyBorder="1">
      <alignment vertical="center"/>
    </xf>
    <xf numFmtId="0" fontId="5" fillId="11" borderId="8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24" borderId="8" xfId="0" applyFont="1" applyFill="1" applyBorder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5" fillId="25" borderId="7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5" fillId="14" borderId="8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5" fillId="25" borderId="8" xfId="0" applyFont="1" applyFill="1" applyBorder="1" applyAlignment="1">
      <alignment horizontal="center" vertical="center"/>
    </xf>
    <xf numFmtId="0" fontId="5" fillId="26" borderId="7" xfId="0" applyFont="1" applyFill="1" applyBorder="1" applyAlignment="1">
      <alignment horizontal="center" vertical="center"/>
    </xf>
    <xf numFmtId="0" fontId="12" fillId="22" borderId="2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5" fillId="16" borderId="7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26" borderId="8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6" borderId="8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7" fillId="27" borderId="0" xfId="0" applyFont="1" applyFill="1" applyAlignment="1">
      <alignment horizontal="center" vertical="center"/>
    </xf>
    <xf numFmtId="0" fontId="7" fillId="27" borderId="0" xfId="0" applyFont="1" applyFill="1" applyAlignment="1">
      <alignment horizontal="center" vertical="top"/>
    </xf>
    <xf numFmtId="0" fontId="23" fillId="27" borderId="0" xfId="0" applyFont="1" applyFill="1" applyAlignment="1">
      <alignment horizontal="center" vertical="center"/>
    </xf>
    <xf numFmtId="0" fontId="5" fillId="27" borderId="0" xfId="0" applyFont="1" applyFill="1" applyAlignment="1">
      <alignment horizontal="center" vertical="center"/>
    </xf>
    <xf numFmtId="0" fontId="6" fillId="20" borderId="0" xfId="0" applyFont="1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2241">
    <dxf>
      <fill>
        <patternFill patternType="none">
          <bgColor auto="1"/>
        </patternFill>
      </fill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0066FF"/>
      </font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b/>
        <i val="0"/>
        <color rgb="FF00B0F0"/>
      </font>
    </dxf>
    <dxf>
      <font>
        <b/>
        <i val="0"/>
        <color rgb="FF0000FF"/>
      </font>
    </dxf>
    <dxf>
      <font>
        <b/>
        <i val="0"/>
        <color rgb="FF66CCFF"/>
      </font>
    </dxf>
    <dxf>
      <font>
        <b/>
        <i val="0"/>
        <color rgb="FF00B0F0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3399FF"/>
      </font>
    </dxf>
    <dxf>
      <font>
        <b/>
        <i/>
      </font>
    </dxf>
    <dxf>
      <font>
        <b/>
        <i/>
        <color rgb="FF66CCFF"/>
      </font>
    </dxf>
    <dxf>
      <font>
        <b/>
        <i/>
        <color rgb="FF00B0F0"/>
      </font>
    </dxf>
    <dxf>
      <font>
        <b/>
        <i/>
        <color rgb="FF66CCFF"/>
      </font>
    </dxf>
    <dxf>
      <font>
        <b/>
        <i/>
        <color rgb="FF66CC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DDFB"/>
        </patternFill>
      </fill>
    </dxf>
    <dxf>
      <fill>
        <patternFill>
          <bgColor rgb="FFFFE1FF"/>
        </patternFill>
      </fill>
    </dxf>
    <dxf>
      <fill>
        <patternFill>
          <bgColor rgb="FFFFE7FC"/>
        </patternFill>
      </fill>
    </dxf>
    <dxf>
      <fill>
        <patternFill>
          <bgColor rgb="FFFFFFFF"/>
        </patternFill>
      </fill>
    </dxf>
    <dxf>
      <fill>
        <patternFill>
          <bgColor rgb="FFFFDDFF"/>
        </patternFill>
      </fill>
    </dxf>
    <dxf>
      <fill>
        <patternFill>
          <bgColor rgb="FFFFD5FF"/>
        </patternFill>
      </fill>
    </dxf>
    <dxf>
      <fill>
        <patternFill>
          <bgColor rgb="FFFFD5FF"/>
        </patternFill>
      </fill>
    </dxf>
    <dxf>
      <fill>
        <patternFill>
          <bgColor rgb="FFFFE5FF"/>
        </patternFill>
      </fill>
    </dxf>
    <dxf>
      <fill>
        <patternFill>
          <bgColor rgb="FFFFDDFF"/>
        </patternFill>
      </fill>
    </dxf>
    <dxf>
      <fill>
        <patternFill>
          <bgColor rgb="FFFFDDFF"/>
        </patternFill>
      </fill>
    </dxf>
    <dxf>
      <fill>
        <patternFill>
          <bgColor rgb="FFFFE1FF"/>
        </patternFill>
      </fill>
    </dxf>
    <dxf>
      <fill>
        <patternFill>
          <bgColor rgb="FFFFE1FF"/>
        </patternFill>
      </fill>
    </dxf>
    <dxf>
      <fill>
        <patternFill>
          <bgColor rgb="FFFFCDFF"/>
        </patternFill>
      </fill>
    </dxf>
    <dxf>
      <fill>
        <patternFill>
          <bgColor rgb="FFFFD9FF"/>
        </patternFill>
      </fill>
    </dxf>
    <dxf>
      <fill>
        <patternFill>
          <bgColor rgb="FFFFD9FF"/>
        </patternFill>
      </fill>
    </dxf>
    <dxf>
      <fill>
        <patternFill>
          <bgColor rgb="FFFFCDFF"/>
        </patternFill>
      </fill>
    </dxf>
    <dxf>
      <fill>
        <patternFill>
          <bgColor rgb="FFFFDDFF"/>
        </patternFill>
      </fill>
    </dxf>
    <dxf>
      <font>
        <color theme="1"/>
      </font>
    </dxf>
    <dxf>
      <font>
        <b/>
        <i val="0"/>
        <color theme="1"/>
      </font>
    </dxf>
    <dxf>
      <font>
        <b/>
        <i val="0"/>
        <color rgb="FF3399FF"/>
      </font>
    </dxf>
    <dxf>
      <font>
        <b/>
        <i/>
        <color rgb="FF0070C0"/>
      </font>
    </dxf>
    <dxf>
      <fill>
        <patternFill>
          <bgColor rgb="FFFFFF00"/>
        </patternFill>
      </fill>
    </dxf>
    <dxf>
      <fill>
        <patternFill>
          <bgColor rgb="FFFFCC66"/>
        </patternFill>
      </fill>
    </dxf>
    <dxf>
      <fill>
        <patternFill>
          <bgColor theme="9" tint="0.59996337778862885"/>
        </patternFill>
      </fill>
    </dxf>
    <dxf>
      <fill>
        <patternFill>
          <bgColor rgb="FFFFE285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0000FF"/>
      </font>
      <fill>
        <patternFill>
          <bgColor rgb="FFFFCCFF"/>
        </patternFill>
      </fill>
    </dxf>
    <dxf>
      <font>
        <b/>
        <i val="0"/>
        <color rgb="FF0000FF"/>
      </font>
      <fill>
        <patternFill>
          <bgColor rgb="FFFFCCFF"/>
        </patternFill>
      </fill>
    </dxf>
    <dxf>
      <font>
        <b/>
        <i val="0"/>
        <color rgb="FF0000FF"/>
      </font>
      <fill>
        <patternFill>
          <bgColor rgb="FFFFCCFF"/>
        </patternFill>
      </fill>
    </dxf>
    <dxf>
      <font>
        <b/>
        <i val="0"/>
      </font>
      <fill>
        <patternFill>
          <bgColor rgb="FFFFCCFF"/>
        </patternFill>
      </fill>
    </dxf>
    <dxf>
      <font>
        <b/>
        <i val="0"/>
        <color rgb="FF0000FF"/>
      </font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b/>
        <i val="0"/>
      </font>
      <fill>
        <patternFill>
          <bgColor rgb="FFFFCCFF"/>
        </patternFill>
      </fill>
    </dxf>
    <dxf>
      <font>
        <color rgb="FFFF0000"/>
      </font>
      <fill>
        <patternFill>
          <bgColor rgb="FFFFCCFF"/>
        </patternFill>
      </fill>
    </dxf>
    <dxf>
      <font>
        <color rgb="FFFF0000"/>
      </font>
      <fill>
        <patternFill>
          <bgColor theme="2" tint="-9.9948118533890809E-2"/>
        </patternFill>
      </fill>
    </dxf>
    <dxf>
      <font>
        <color rgb="FFFF000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rgb="FF0000FF"/>
      </font>
      <fill>
        <patternFill>
          <bgColor theme="2" tint="-9.9948118533890809E-2"/>
        </patternFill>
      </fill>
    </dxf>
    <dxf>
      <font>
        <b/>
        <i val="0"/>
        <color rgb="FF3399FF"/>
      </font>
      <fill>
        <patternFill>
          <bgColor theme="2" tint="-9.9948118533890809E-2"/>
        </patternFill>
      </fill>
    </dxf>
    <dxf>
      <font>
        <b/>
        <i val="0"/>
        <color rgb="FF00B0F0"/>
      </font>
      <fill>
        <patternFill>
          <bgColor rgb="FFFFCCFF"/>
        </patternFill>
      </fill>
    </dxf>
    <dxf>
      <font>
        <b/>
        <i val="0"/>
        <color rgb="FF00B0F0"/>
      </font>
      <fill>
        <patternFill>
          <bgColor rgb="FFFFCCFF"/>
        </patternFill>
      </fill>
    </dxf>
    <dxf>
      <font>
        <b/>
        <i val="0"/>
        <color rgb="FF00B0F0"/>
      </font>
      <fill>
        <patternFill>
          <bgColor rgb="FFFFCCFF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rgb="FF00B0F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color rgb="FFFF0000"/>
      </font>
      <fill>
        <patternFill>
          <bgColor rgb="FF92D050"/>
        </patternFill>
      </fill>
    </dxf>
    <dxf>
      <font>
        <b val="0"/>
        <i val="0"/>
        <color rgb="FFFF000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b/>
        <i val="0"/>
        <color rgb="FF00B0F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b/>
        <i val="0"/>
        <color rgb="FF00B0F0"/>
      </font>
      <fill>
        <patternFill>
          <bgColor rgb="FF92D050"/>
        </patternFill>
      </fill>
    </dxf>
    <dxf>
      <font>
        <color rgb="FFFF000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00B0F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</font>
      <fill>
        <patternFill>
          <bgColor rgb="FFFFFF66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0070C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0070C0"/>
      </font>
      <fill>
        <patternFill>
          <bgColor rgb="FFFFC000"/>
        </patternFill>
      </fill>
    </dxf>
    <dxf>
      <font>
        <color rgb="FF3399FF"/>
      </font>
    </dxf>
    <dxf>
      <font>
        <color rgb="FF00B0F0"/>
      </font>
    </dxf>
    <dxf>
      <font>
        <color rgb="FF3399FF"/>
      </font>
      <fill>
        <patternFill>
          <bgColor rgb="FFFFC000"/>
        </patternFill>
      </fill>
    </dxf>
    <dxf>
      <fill>
        <patternFill>
          <bgColor rgb="FFFF99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0066FF"/>
      </font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FF0000"/>
      </font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FF0000"/>
      </font>
      <fill>
        <patternFill>
          <bgColor rgb="FFFFCCFF"/>
        </patternFill>
      </fill>
    </dxf>
    <dxf>
      <font>
        <color rgb="FF0066FF"/>
      </font>
      <fill>
        <patternFill>
          <bgColor rgb="FFFFCCFF"/>
        </patternFill>
      </fill>
    </dxf>
    <dxf>
      <font>
        <color rgb="FF0066FF"/>
      </font>
    </dxf>
    <dxf>
      <font>
        <color rgb="FF0066FF"/>
      </font>
    </dxf>
    <dxf>
      <font>
        <color rgb="FFFF0000"/>
      </font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0066FF"/>
      </font>
      <fill>
        <patternFill>
          <bgColor rgb="FFFFCCFF"/>
        </patternFill>
      </fill>
    </dxf>
    <dxf>
      <font>
        <color rgb="FFFF0000"/>
      </font>
      <fill>
        <patternFill>
          <bgColor rgb="FFFFCC00"/>
        </patternFill>
      </fill>
    </dxf>
    <dxf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ont>
        <color rgb="FF0066FF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66FF"/>
      </font>
    </dxf>
    <dxf>
      <font>
        <color rgb="FFFF0000"/>
      </font>
    </dxf>
    <dxf>
      <font>
        <color rgb="FF0066FF"/>
      </font>
    </dxf>
    <dxf>
      <font>
        <color rgb="FF0066FF"/>
      </font>
    </dxf>
    <dxf>
      <font>
        <color rgb="FFFF0000"/>
      </font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theme="0" tint="-0.24994659260841701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0"/>
      </font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0066FF"/>
      </font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b/>
        <i val="0"/>
        <color rgb="FF00B0F0"/>
      </font>
    </dxf>
    <dxf>
      <font>
        <b/>
        <i val="0"/>
        <color rgb="FF0000FF"/>
      </font>
    </dxf>
    <dxf>
      <font>
        <b/>
        <i val="0"/>
        <color rgb="FF66CCFF"/>
      </font>
    </dxf>
    <dxf>
      <font>
        <b/>
        <i val="0"/>
        <color rgb="FF00B0F0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3399FF"/>
      </font>
    </dxf>
    <dxf>
      <font>
        <b/>
        <i/>
      </font>
    </dxf>
    <dxf>
      <font>
        <b/>
        <i/>
        <color rgb="FF66CCFF"/>
      </font>
    </dxf>
    <dxf>
      <font>
        <b/>
        <i/>
        <color rgb="FF00B0F0"/>
      </font>
    </dxf>
    <dxf>
      <font>
        <b/>
        <i/>
        <color rgb="FF66CCFF"/>
      </font>
    </dxf>
    <dxf>
      <font>
        <b/>
        <i/>
        <color rgb="FF66CC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DDFB"/>
        </patternFill>
      </fill>
    </dxf>
    <dxf>
      <fill>
        <patternFill>
          <bgColor rgb="FFFFE1FF"/>
        </patternFill>
      </fill>
    </dxf>
    <dxf>
      <fill>
        <patternFill>
          <bgColor rgb="FFFFE7FC"/>
        </patternFill>
      </fill>
    </dxf>
    <dxf>
      <fill>
        <patternFill>
          <bgColor rgb="FFFFFFFF"/>
        </patternFill>
      </fill>
    </dxf>
    <dxf>
      <fill>
        <patternFill>
          <bgColor rgb="FFFFDDFF"/>
        </patternFill>
      </fill>
    </dxf>
    <dxf>
      <fill>
        <patternFill>
          <bgColor rgb="FFFFD5FF"/>
        </patternFill>
      </fill>
    </dxf>
    <dxf>
      <fill>
        <patternFill>
          <bgColor rgb="FFFFD5FF"/>
        </patternFill>
      </fill>
    </dxf>
    <dxf>
      <fill>
        <patternFill>
          <bgColor rgb="FFFFE5FF"/>
        </patternFill>
      </fill>
    </dxf>
    <dxf>
      <fill>
        <patternFill>
          <bgColor rgb="FFFFDDFF"/>
        </patternFill>
      </fill>
    </dxf>
    <dxf>
      <fill>
        <patternFill>
          <bgColor rgb="FFFFDDFF"/>
        </patternFill>
      </fill>
    </dxf>
    <dxf>
      <fill>
        <patternFill>
          <bgColor rgb="FFFFE1FF"/>
        </patternFill>
      </fill>
    </dxf>
    <dxf>
      <fill>
        <patternFill>
          <bgColor rgb="FFFFE1FF"/>
        </patternFill>
      </fill>
    </dxf>
    <dxf>
      <fill>
        <patternFill>
          <bgColor rgb="FFFFCDFF"/>
        </patternFill>
      </fill>
    </dxf>
    <dxf>
      <fill>
        <patternFill>
          <bgColor rgb="FFFFD9FF"/>
        </patternFill>
      </fill>
    </dxf>
    <dxf>
      <fill>
        <patternFill>
          <bgColor rgb="FFFFD9FF"/>
        </patternFill>
      </fill>
    </dxf>
    <dxf>
      <fill>
        <patternFill>
          <bgColor rgb="FFFFCDFF"/>
        </patternFill>
      </fill>
    </dxf>
    <dxf>
      <fill>
        <patternFill>
          <bgColor rgb="FFFFDDFF"/>
        </patternFill>
      </fill>
    </dxf>
    <dxf>
      <font>
        <color theme="1"/>
      </font>
    </dxf>
    <dxf>
      <font>
        <b/>
        <i val="0"/>
        <color theme="1"/>
      </font>
    </dxf>
    <dxf>
      <font>
        <b/>
        <i val="0"/>
        <color rgb="FF3399FF"/>
      </font>
    </dxf>
    <dxf>
      <font>
        <b/>
        <i/>
        <color rgb="FF0070C0"/>
      </font>
    </dxf>
    <dxf>
      <fill>
        <patternFill>
          <bgColor rgb="FFFFFF00"/>
        </patternFill>
      </fill>
    </dxf>
    <dxf>
      <fill>
        <patternFill>
          <bgColor rgb="FFFFCC66"/>
        </patternFill>
      </fill>
    </dxf>
    <dxf>
      <fill>
        <patternFill>
          <bgColor theme="9" tint="0.59996337778862885"/>
        </patternFill>
      </fill>
    </dxf>
    <dxf>
      <fill>
        <patternFill>
          <bgColor rgb="FFFFE285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0000FF"/>
      </font>
      <fill>
        <patternFill>
          <bgColor rgb="FFFFCCFF"/>
        </patternFill>
      </fill>
    </dxf>
    <dxf>
      <font>
        <b/>
        <i val="0"/>
        <color rgb="FF0000FF"/>
      </font>
      <fill>
        <patternFill>
          <bgColor rgb="FFFFCCFF"/>
        </patternFill>
      </fill>
    </dxf>
    <dxf>
      <font>
        <b/>
        <i val="0"/>
        <color rgb="FF0000FF"/>
      </font>
      <fill>
        <patternFill>
          <bgColor rgb="FFFFCCFF"/>
        </patternFill>
      </fill>
    </dxf>
    <dxf>
      <font>
        <b/>
        <i val="0"/>
      </font>
      <fill>
        <patternFill>
          <bgColor rgb="FFFFCCFF"/>
        </patternFill>
      </fill>
    </dxf>
    <dxf>
      <font>
        <b/>
        <i val="0"/>
        <color rgb="FF0000FF"/>
      </font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b/>
        <i val="0"/>
      </font>
      <fill>
        <patternFill>
          <bgColor rgb="FFFFCCFF"/>
        </patternFill>
      </fill>
    </dxf>
    <dxf>
      <font>
        <color rgb="FFFF0000"/>
      </font>
      <fill>
        <patternFill>
          <bgColor rgb="FFFFCCFF"/>
        </patternFill>
      </fill>
    </dxf>
    <dxf>
      <font>
        <color rgb="FFFF0000"/>
      </font>
      <fill>
        <patternFill>
          <bgColor theme="2" tint="-9.9948118533890809E-2"/>
        </patternFill>
      </fill>
    </dxf>
    <dxf>
      <font>
        <color rgb="FFFF000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rgb="FF0000FF"/>
      </font>
      <fill>
        <patternFill>
          <bgColor theme="2" tint="-9.9948118533890809E-2"/>
        </patternFill>
      </fill>
    </dxf>
    <dxf>
      <font>
        <b/>
        <i val="0"/>
        <color rgb="FF3399FF"/>
      </font>
      <fill>
        <patternFill>
          <bgColor theme="2" tint="-9.9948118533890809E-2"/>
        </patternFill>
      </fill>
    </dxf>
    <dxf>
      <font>
        <b/>
        <i val="0"/>
        <color rgb="FF00B0F0"/>
      </font>
      <fill>
        <patternFill>
          <bgColor rgb="FFFFCCFF"/>
        </patternFill>
      </fill>
    </dxf>
    <dxf>
      <font>
        <b/>
        <i val="0"/>
        <color rgb="FF00B0F0"/>
      </font>
      <fill>
        <patternFill>
          <bgColor rgb="FFFFCCFF"/>
        </patternFill>
      </fill>
    </dxf>
    <dxf>
      <font>
        <b/>
        <i val="0"/>
        <color rgb="FF00B0F0"/>
      </font>
      <fill>
        <patternFill>
          <bgColor rgb="FFFFCCFF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rgb="FF00B0F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color rgb="FFFF0000"/>
      </font>
      <fill>
        <patternFill>
          <bgColor rgb="FF92D050"/>
        </patternFill>
      </fill>
    </dxf>
    <dxf>
      <font>
        <b val="0"/>
        <i val="0"/>
        <color rgb="FFFF000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b/>
        <i val="0"/>
        <color rgb="FF00B0F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b/>
        <i val="0"/>
        <color rgb="FF00B0F0"/>
      </font>
      <fill>
        <patternFill>
          <bgColor rgb="FF92D050"/>
        </patternFill>
      </fill>
    </dxf>
    <dxf>
      <font>
        <color rgb="FFFF000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00B0F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</font>
      <fill>
        <patternFill>
          <bgColor rgb="FFFFFF66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0070C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0070C0"/>
      </font>
      <fill>
        <patternFill>
          <bgColor rgb="FFFFC000"/>
        </patternFill>
      </fill>
    </dxf>
    <dxf>
      <font>
        <color rgb="FF3399FF"/>
      </font>
    </dxf>
    <dxf>
      <font>
        <color rgb="FF00B0F0"/>
      </font>
    </dxf>
    <dxf>
      <font>
        <color rgb="FF3399FF"/>
      </font>
      <fill>
        <patternFill>
          <bgColor rgb="FFFFC000"/>
        </patternFill>
      </fill>
    </dxf>
    <dxf>
      <fill>
        <patternFill>
          <bgColor rgb="FFFF99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0066FF"/>
      </font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FF0000"/>
      </font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FF0000"/>
      </font>
      <fill>
        <patternFill>
          <bgColor rgb="FFFFCCFF"/>
        </patternFill>
      </fill>
    </dxf>
    <dxf>
      <font>
        <color rgb="FF0066FF"/>
      </font>
      <fill>
        <patternFill>
          <bgColor rgb="FFFFCCFF"/>
        </patternFill>
      </fill>
    </dxf>
    <dxf>
      <font>
        <color rgb="FF0066FF"/>
      </font>
    </dxf>
    <dxf>
      <font>
        <color rgb="FF0066FF"/>
      </font>
    </dxf>
    <dxf>
      <font>
        <color rgb="FFFF0000"/>
      </font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0066FF"/>
      </font>
      <fill>
        <patternFill>
          <bgColor rgb="FFFFCCFF"/>
        </patternFill>
      </fill>
    </dxf>
    <dxf>
      <font>
        <color rgb="FFFF0000"/>
      </font>
      <fill>
        <patternFill>
          <bgColor rgb="FFFFCC00"/>
        </patternFill>
      </fill>
    </dxf>
    <dxf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ont>
        <color rgb="FF0066FF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66FF"/>
      </font>
    </dxf>
    <dxf>
      <font>
        <color rgb="FFFF0000"/>
      </font>
    </dxf>
    <dxf>
      <font>
        <color rgb="FF0066FF"/>
      </font>
    </dxf>
    <dxf>
      <font>
        <color rgb="FF0066FF"/>
      </font>
    </dxf>
    <dxf>
      <font>
        <color rgb="FFFF0000"/>
      </font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99FFCC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1"/>
      </font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rgb="FF99FFCC"/>
        </patternFill>
      </fill>
    </dxf>
    <dxf>
      <font>
        <color rgb="FF0000FF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99FFCC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0000FF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00FF"/>
      </font>
      <fill>
        <patternFill>
          <bgColor theme="8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rgb="FF99FFCC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99FFCC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bgColor auto="1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99FFCC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rgb="FF0000FF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99FFCC"/>
        </patternFill>
      </fill>
    </dxf>
    <dxf>
      <fill>
        <patternFill>
          <bgColor rgb="FFFF0000"/>
        </patternFill>
      </fill>
    </dxf>
    <dxf>
      <fill>
        <patternFill>
          <bgColor rgb="FF99FFCC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rgb="FF99FFCC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rgb="FF99FFCC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0" tint="-0.24994659260841701"/>
        </patternFill>
      </fill>
    </dxf>
    <dxf>
      <font>
        <color rgb="FF0000FF"/>
      </font>
      <fill>
        <patternFill patternType="none">
          <bgColor auto="1"/>
        </patternFill>
      </fill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rgb="FFECD842"/>
        </patternFill>
      </fill>
    </dxf>
    <dxf>
      <font>
        <color theme="0" tint="-4.9989318521683403E-2"/>
      </font>
      <fill>
        <patternFill>
          <bgColor theme="0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rgb="FFECD842"/>
        </patternFill>
      </fill>
    </dxf>
    <dxf>
      <font>
        <color rgb="FFFF0000"/>
      </font>
    </dxf>
    <dxf>
      <font>
        <color rgb="FF0066FF"/>
      </font>
    </dxf>
    <dxf>
      <font>
        <b/>
        <i val="0"/>
        <color rgb="FF00B0F0"/>
      </font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b/>
        <i val="0"/>
        <color rgb="FF00B0F0"/>
      </font>
    </dxf>
    <dxf>
      <font>
        <b/>
        <i val="0"/>
        <color rgb="FF0000FF"/>
      </font>
    </dxf>
    <dxf>
      <font>
        <b/>
        <i val="0"/>
        <color rgb="FF66CCFF"/>
      </font>
    </dxf>
    <dxf>
      <font>
        <b/>
        <i val="0"/>
        <color rgb="FF00B0F0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3399FF"/>
      </font>
    </dxf>
    <dxf>
      <font>
        <b/>
        <i/>
      </font>
    </dxf>
    <dxf>
      <font>
        <b/>
        <i/>
        <color rgb="FF66CCFF"/>
      </font>
    </dxf>
    <dxf>
      <font>
        <b/>
        <i/>
        <color rgb="FF00B0F0"/>
      </font>
    </dxf>
    <dxf>
      <font>
        <b/>
        <i/>
        <color rgb="FF66CCFF"/>
      </font>
    </dxf>
    <dxf>
      <font>
        <b/>
        <i/>
        <color rgb="FF66CC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DDFB"/>
        </patternFill>
      </fill>
    </dxf>
    <dxf>
      <fill>
        <patternFill>
          <bgColor rgb="FFFFE1FF"/>
        </patternFill>
      </fill>
    </dxf>
    <dxf>
      <fill>
        <patternFill>
          <bgColor rgb="FFFFE7FC"/>
        </patternFill>
      </fill>
    </dxf>
    <dxf>
      <fill>
        <patternFill>
          <bgColor rgb="FFFFFFFF"/>
        </patternFill>
      </fill>
    </dxf>
    <dxf>
      <fill>
        <patternFill>
          <bgColor rgb="FFFFDDFF"/>
        </patternFill>
      </fill>
    </dxf>
    <dxf>
      <fill>
        <patternFill>
          <bgColor rgb="FFFFD5FF"/>
        </patternFill>
      </fill>
    </dxf>
    <dxf>
      <fill>
        <patternFill>
          <bgColor rgb="FFFFD5FF"/>
        </patternFill>
      </fill>
    </dxf>
    <dxf>
      <fill>
        <patternFill>
          <bgColor rgb="FFFFE5FF"/>
        </patternFill>
      </fill>
    </dxf>
    <dxf>
      <fill>
        <patternFill>
          <bgColor rgb="FFFFDDFF"/>
        </patternFill>
      </fill>
    </dxf>
    <dxf>
      <fill>
        <patternFill>
          <bgColor rgb="FFFFDDFF"/>
        </patternFill>
      </fill>
    </dxf>
    <dxf>
      <fill>
        <patternFill>
          <bgColor rgb="FFFFE1FF"/>
        </patternFill>
      </fill>
    </dxf>
    <dxf>
      <fill>
        <patternFill>
          <bgColor rgb="FFFFE1FF"/>
        </patternFill>
      </fill>
    </dxf>
    <dxf>
      <fill>
        <patternFill>
          <bgColor rgb="FFFFCDFF"/>
        </patternFill>
      </fill>
    </dxf>
    <dxf>
      <fill>
        <patternFill>
          <bgColor rgb="FFFFD9FF"/>
        </patternFill>
      </fill>
    </dxf>
    <dxf>
      <fill>
        <patternFill>
          <bgColor rgb="FFFFD9FF"/>
        </patternFill>
      </fill>
    </dxf>
    <dxf>
      <fill>
        <patternFill>
          <bgColor rgb="FFFFCDFF"/>
        </patternFill>
      </fill>
    </dxf>
    <dxf>
      <fill>
        <patternFill>
          <bgColor rgb="FFFFDDFF"/>
        </patternFill>
      </fill>
    </dxf>
    <dxf>
      <font>
        <color theme="1"/>
      </font>
    </dxf>
    <dxf>
      <font>
        <b/>
        <i val="0"/>
        <color theme="1"/>
      </font>
    </dxf>
    <dxf>
      <font>
        <b/>
        <i val="0"/>
        <color rgb="FF3399FF"/>
      </font>
    </dxf>
    <dxf>
      <font>
        <b/>
        <i/>
        <color rgb="FF0070C0"/>
      </font>
    </dxf>
    <dxf>
      <fill>
        <patternFill>
          <bgColor rgb="FFFFFF00"/>
        </patternFill>
      </fill>
    </dxf>
    <dxf>
      <fill>
        <patternFill>
          <bgColor rgb="FFFFCC66"/>
        </patternFill>
      </fill>
    </dxf>
    <dxf>
      <fill>
        <patternFill>
          <bgColor theme="9" tint="0.59996337778862885"/>
        </patternFill>
      </fill>
    </dxf>
    <dxf>
      <fill>
        <patternFill>
          <bgColor rgb="FFFFE285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0000FF"/>
      </font>
      <fill>
        <patternFill>
          <bgColor rgb="FFFFCCFF"/>
        </patternFill>
      </fill>
    </dxf>
    <dxf>
      <font>
        <b/>
        <i val="0"/>
        <color rgb="FF0000FF"/>
      </font>
      <fill>
        <patternFill>
          <bgColor rgb="FFFFCCFF"/>
        </patternFill>
      </fill>
    </dxf>
    <dxf>
      <font>
        <b/>
        <i val="0"/>
        <color rgb="FF0000FF"/>
      </font>
      <fill>
        <patternFill>
          <bgColor rgb="FFFFCCFF"/>
        </patternFill>
      </fill>
    </dxf>
    <dxf>
      <font>
        <b/>
        <i val="0"/>
      </font>
      <fill>
        <patternFill>
          <bgColor rgb="FFFFCCFF"/>
        </patternFill>
      </fill>
    </dxf>
    <dxf>
      <font>
        <b/>
        <i val="0"/>
        <color rgb="FF0000FF"/>
      </font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b/>
        <i val="0"/>
      </font>
      <fill>
        <patternFill>
          <bgColor rgb="FFFFCCFF"/>
        </patternFill>
      </fill>
    </dxf>
    <dxf>
      <font>
        <color rgb="FFFF0000"/>
      </font>
      <fill>
        <patternFill>
          <bgColor rgb="FFFFCCFF"/>
        </patternFill>
      </fill>
    </dxf>
    <dxf>
      <font>
        <color rgb="FFFF0000"/>
      </font>
      <fill>
        <patternFill>
          <bgColor theme="2" tint="-9.9948118533890809E-2"/>
        </patternFill>
      </fill>
    </dxf>
    <dxf>
      <font>
        <color rgb="FFFF000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rgb="FF0000FF"/>
      </font>
      <fill>
        <patternFill>
          <bgColor theme="2" tint="-9.9948118533890809E-2"/>
        </patternFill>
      </fill>
    </dxf>
    <dxf>
      <font>
        <b/>
        <i val="0"/>
        <color rgb="FF3399FF"/>
      </font>
      <fill>
        <patternFill>
          <bgColor theme="2" tint="-9.9948118533890809E-2"/>
        </patternFill>
      </fill>
    </dxf>
    <dxf>
      <font>
        <b/>
        <i val="0"/>
        <color rgb="FF00B0F0"/>
      </font>
      <fill>
        <patternFill>
          <bgColor rgb="FFFFCCFF"/>
        </patternFill>
      </fill>
    </dxf>
    <dxf>
      <font>
        <b/>
        <i val="0"/>
        <color rgb="FF00B0F0"/>
      </font>
      <fill>
        <patternFill>
          <bgColor rgb="FFFFCCFF"/>
        </patternFill>
      </fill>
    </dxf>
    <dxf>
      <font>
        <b/>
        <i val="0"/>
        <color rgb="FF00B0F0"/>
      </font>
      <fill>
        <patternFill>
          <bgColor rgb="FFFFCCFF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rgb="FF00B0F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color rgb="FFFF0000"/>
      </font>
      <fill>
        <patternFill>
          <bgColor rgb="FF92D050"/>
        </patternFill>
      </fill>
    </dxf>
    <dxf>
      <font>
        <b val="0"/>
        <i val="0"/>
        <color rgb="FFFF000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b/>
        <i val="0"/>
        <color rgb="FF00B0F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b/>
        <i val="0"/>
        <color rgb="FF00B0F0"/>
      </font>
      <fill>
        <patternFill>
          <bgColor rgb="FF92D050"/>
        </patternFill>
      </fill>
    </dxf>
    <dxf>
      <font>
        <color rgb="FFFF000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00B0F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FF66"/>
        </patternFill>
      </fill>
    </dxf>
    <dxf>
      <font>
        <b/>
        <i val="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</font>
      <fill>
        <patternFill>
          <bgColor rgb="FFFFFF66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0070C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0070C0"/>
      </font>
      <fill>
        <patternFill>
          <bgColor rgb="FFFFC000"/>
        </patternFill>
      </fill>
    </dxf>
    <dxf>
      <font>
        <color rgb="FF3399FF"/>
      </font>
    </dxf>
    <dxf>
      <font>
        <color rgb="FF00B0F0"/>
      </font>
    </dxf>
    <dxf>
      <font>
        <color rgb="FF3399FF"/>
      </font>
      <fill>
        <patternFill>
          <bgColor rgb="FFFFC000"/>
        </patternFill>
      </fill>
    </dxf>
    <dxf>
      <fill>
        <patternFill>
          <bgColor rgb="FFFF99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0066FF"/>
      </font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FF0000"/>
      </font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FF0000"/>
      </font>
      <fill>
        <patternFill>
          <bgColor rgb="FFFFCCFF"/>
        </patternFill>
      </fill>
    </dxf>
    <dxf>
      <font>
        <color rgb="FF0066FF"/>
      </font>
      <fill>
        <patternFill>
          <bgColor rgb="FFFFCCFF"/>
        </patternFill>
      </fill>
    </dxf>
    <dxf>
      <font>
        <color rgb="FF0066FF"/>
      </font>
    </dxf>
    <dxf>
      <font>
        <color rgb="FF0066FF"/>
      </font>
    </dxf>
    <dxf>
      <font>
        <color rgb="FFFF0000"/>
      </font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0066FF"/>
      </font>
      <fill>
        <patternFill>
          <bgColor rgb="FFFFCCFF"/>
        </patternFill>
      </fill>
    </dxf>
    <dxf>
      <font>
        <color rgb="FFFF0000"/>
      </font>
      <fill>
        <patternFill>
          <bgColor rgb="FFFFCC00"/>
        </patternFill>
      </fill>
    </dxf>
    <dxf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0066FF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0066FF"/>
      </font>
    </dxf>
    <dxf>
      <font>
        <color rgb="FF0066FF"/>
      </font>
    </dxf>
    <dxf>
      <font>
        <color rgb="FFFF0000"/>
      </font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0066FF"/>
      </font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0" tint="-0.2499465926084170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 tint="0.499984740745262"/>
      </font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CC"/>
        </patternFill>
      </fill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66FF"/>
      </font>
    </dxf>
    <dxf>
      <font>
        <color rgb="FF0000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0066FF"/>
      </font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99FFCC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1"/>
      </font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00FF"/>
      </font>
      <fill>
        <patternFill>
          <bgColor theme="8" tint="0.79998168889431442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99FFCC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bgColor auto="1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bgColor auto="1"/>
        </patternFill>
      </fill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bgColor auto="1"/>
        </patternFill>
      </fill>
    </dxf>
    <dxf>
      <fill>
        <patternFill>
          <bgColor rgb="FFECD78C"/>
        </patternFill>
      </fill>
    </dxf>
    <dxf>
      <fill>
        <patternFill>
          <bgColor rgb="FFECD842"/>
        </patternFill>
      </fill>
    </dxf>
    <dxf>
      <fill>
        <patternFill>
          <bgColor rgb="FFE5D983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rgb="FFEDD38B"/>
        </patternFill>
      </fill>
    </dxf>
    <dxf>
      <font>
        <color theme="1" tint="0.499984740745262"/>
      </font>
    </dxf>
    <dxf>
      <fill>
        <patternFill>
          <bgColor theme="7" tint="0.39994506668294322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0066FF"/>
      </font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b/>
        <i val="0"/>
        <color rgb="FF00B0F0"/>
      </font>
    </dxf>
    <dxf>
      <font>
        <b/>
        <i val="0"/>
        <color rgb="FF0000FF"/>
      </font>
    </dxf>
    <dxf>
      <font>
        <b/>
        <i val="0"/>
        <color rgb="FF66CCFF"/>
      </font>
    </dxf>
    <dxf>
      <font>
        <b/>
        <i val="0"/>
        <color rgb="FF00B0F0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3399FF"/>
      </font>
    </dxf>
    <dxf>
      <font>
        <b/>
        <i/>
      </font>
    </dxf>
    <dxf>
      <font>
        <b/>
        <i/>
        <color rgb="FF66CCFF"/>
      </font>
    </dxf>
    <dxf>
      <font>
        <b/>
        <i/>
        <color rgb="FF00B0F0"/>
      </font>
    </dxf>
    <dxf>
      <font>
        <b/>
        <i/>
        <color rgb="FF66CCFF"/>
      </font>
    </dxf>
    <dxf>
      <font>
        <b/>
        <i/>
        <color rgb="FF66CC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DDFB"/>
        </patternFill>
      </fill>
    </dxf>
    <dxf>
      <fill>
        <patternFill>
          <bgColor rgb="FFFFE1FF"/>
        </patternFill>
      </fill>
    </dxf>
    <dxf>
      <fill>
        <patternFill>
          <bgColor rgb="FFFFE7FC"/>
        </patternFill>
      </fill>
    </dxf>
    <dxf>
      <fill>
        <patternFill>
          <bgColor rgb="FFFFFFFF"/>
        </patternFill>
      </fill>
    </dxf>
    <dxf>
      <fill>
        <patternFill>
          <bgColor rgb="FFFFDDFF"/>
        </patternFill>
      </fill>
    </dxf>
    <dxf>
      <fill>
        <patternFill>
          <bgColor rgb="FFFFD5FF"/>
        </patternFill>
      </fill>
    </dxf>
    <dxf>
      <fill>
        <patternFill>
          <bgColor rgb="FFFFD5FF"/>
        </patternFill>
      </fill>
    </dxf>
    <dxf>
      <fill>
        <patternFill>
          <bgColor rgb="FFFFE5FF"/>
        </patternFill>
      </fill>
    </dxf>
    <dxf>
      <fill>
        <patternFill>
          <bgColor rgb="FFFFDDFF"/>
        </patternFill>
      </fill>
    </dxf>
    <dxf>
      <fill>
        <patternFill>
          <bgColor rgb="FFFFDDFF"/>
        </patternFill>
      </fill>
    </dxf>
    <dxf>
      <fill>
        <patternFill>
          <bgColor rgb="FFFFE1FF"/>
        </patternFill>
      </fill>
    </dxf>
    <dxf>
      <fill>
        <patternFill>
          <bgColor rgb="FFFFE1FF"/>
        </patternFill>
      </fill>
    </dxf>
    <dxf>
      <fill>
        <patternFill>
          <bgColor rgb="FFFFCDFF"/>
        </patternFill>
      </fill>
    </dxf>
    <dxf>
      <fill>
        <patternFill>
          <bgColor rgb="FFFFD9FF"/>
        </patternFill>
      </fill>
    </dxf>
    <dxf>
      <fill>
        <patternFill>
          <bgColor rgb="FFFFD9FF"/>
        </patternFill>
      </fill>
    </dxf>
    <dxf>
      <fill>
        <patternFill>
          <bgColor rgb="FFFFCDFF"/>
        </patternFill>
      </fill>
    </dxf>
    <dxf>
      <fill>
        <patternFill>
          <bgColor rgb="FFFFDDFF"/>
        </patternFill>
      </fill>
    </dxf>
    <dxf>
      <font>
        <color theme="1"/>
      </font>
    </dxf>
    <dxf>
      <font>
        <b/>
        <i val="0"/>
        <color theme="1"/>
      </font>
    </dxf>
    <dxf>
      <font>
        <b/>
        <i val="0"/>
        <color rgb="FF3399FF"/>
      </font>
    </dxf>
    <dxf>
      <font>
        <b/>
        <i/>
        <color rgb="FF0070C0"/>
      </font>
    </dxf>
    <dxf>
      <fill>
        <patternFill>
          <bgColor rgb="FFFFFF00"/>
        </patternFill>
      </fill>
    </dxf>
    <dxf>
      <fill>
        <patternFill>
          <bgColor rgb="FFFFCC66"/>
        </patternFill>
      </fill>
    </dxf>
    <dxf>
      <fill>
        <patternFill>
          <bgColor theme="9" tint="0.59996337778862885"/>
        </patternFill>
      </fill>
    </dxf>
    <dxf>
      <fill>
        <patternFill>
          <bgColor rgb="FFFFE285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0000FF"/>
      </font>
      <fill>
        <patternFill>
          <bgColor rgb="FFFFCCFF"/>
        </patternFill>
      </fill>
    </dxf>
    <dxf>
      <font>
        <b/>
        <i val="0"/>
        <color rgb="FF0000FF"/>
      </font>
      <fill>
        <patternFill>
          <bgColor rgb="FFFFCCFF"/>
        </patternFill>
      </fill>
    </dxf>
    <dxf>
      <font>
        <b/>
        <i val="0"/>
        <color rgb="FF0000FF"/>
      </font>
      <fill>
        <patternFill>
          <bgColor rgb="FFFFCCFF"/>
        </patternFill>
      </fill>
    </dxf>
    <dxf>
      <font>
        <b/>
        <i val="0"/>
      </font>
      <fill>
        <patternFill>
          <bgColor rgb="FFFFCCFF"/>
        </patternFill>
      </fill>
    </dxf>
    <dxf>
      <font>
        <b/>
        <i val="0"/>
        <color rgb="FF0000FF"/>
      </font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b/>
        <i val="0"/>
      </font>
      <fill>
        <patternFill>
          <bgColor rgb="FFFFCCFF"/>
        </patternFill>
      </fill>
    </dxf>
    <dxf>
      <font>
        <color rgb="FFFF0000"/>
      </font>
      <fill>
        <patternFill>
          <bgColor rgb="FFFFCCFF"/>
        </patternFill>
      </fill>
    </dxf>
    <dxf>
      <font>
        <color rgb="FFFF0000"/>
      </font>
      <fill>
        <patternFill>
          <bgColor theme="2" tint="-9.9948118533890809E-2"/>
        </patternFill>
      </fill>
    </dxf>
    <dxf>
      <font>
        <color rgb="FFFF000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rgb="FF0000FF"/>
      </font>
      <fill>
        <patternFill>
          <bgColor theme="2" tint="-9.9948118533890809E-2"/>
        </patternFill>
      </fill>
    </dxf>
    <dxf>
      <font>
        <b/>
        <i val="0"/>
        <color rgb="FF3399FF"/>
      </font>
      <fill>
        <patternFill>
          <bgColor theme="2" tint="-9.9948118533890809E-2"/>
        </patternFill>
      </fill>
    </dxf>
    <dxf>
      <font>
        <b/>
        <i val="0"/>
        <color rgb="FF00B0F0"/>
      </font>
      <fill>
        <patternFill>
          <bgColor rgb="FFFFCCFF"/>
        </patternFill>
      </fill>
    </dxf>
    <dxf>
      <font>
        <b/>
        <i val="0"/>
        <color rgb="FF00B0F0"/>
      </font>
      <fill>
        <patternFill>
          <bgColor rgb="FFFFCCFF"/>
        </patternFill>
      </fill>
    </dxf>
    <dxf>
      <font>
        <b/>
        <i val="0"/>
        <color rgb="FF00B0F0"/>
      </font>
      <fill>
        <patternFill>
          <bgColor rgb="FFFFCCFF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rgb="FF00B0F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color rgb="FFFF0000"/>
      </font>
      <fill>
        <patternFill>
          <bgColor rgb="FF92D050"/>
        </patternFill>
      </fill>
    </dxf>
    <dxf>
      <font>
        <b val="0"/>
        <i val="0"/>
        <color rgb="FFFF000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b/>
        <i val="0"/>
        <color rgb="FF00B0F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b/>
        <i val="0"/>
        <color rgb="FF00B0F0"/>
      </font>
      <fill>
        <patternFill>
          <bgColor rgb="FF92D050"/>
        </patternFill>
      </fill>
    </dxf>
    <dxf>
      <font>
        <color rgb="FFFF000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00B0F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</font>
      <fill>
        <patternFill>
          <bgColor rgb="FFFFFF66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0070C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0070C0"/>
      </font>
      <fill>
        <patternFill>
          <bgColor rgb="FFFFC000"/>
        </patternFill>
      </fill>
    </dxf>
    <dxf>
      <font>
        <color rgb="FF3399FF"/>
      </font>
    </dxf>
    <dxf>
      <font>
        <color rgb="FF00B0F0"/>
      </font>
    </dxf>
    <dxf>
      <font>
        <color rgb="FF3399FF"/>
      </font>
      <fill>
        <patternFill>
          <bgColor rgb="FFFFC000"/>
        </patternFill>
      </fill>
    </dxf>
    <dxf>
      <fill>
        <patternFill>
          <bgColor rgb="FFFF99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0066FF"/>
      </font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FF0000"/>
      </font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FF0000"/>
      </font>
      <fill>
        <patternFill>
          <bgColor rgb="FFFFCCFF"/>
        </patternFill>
      </fill>
    </dxf>
    <dxf>
      <font>
        <color rgb="FF0066FF"/>
      </font>
      <fill>
        <patternFill>
          <bgColor rgb="FFFFCCFF"/>
        </patternFill>
      </fill>
    </dxf>
    <dxf>
      <font>
        <color rgb="FF0066FF"/>
      </font>
    </dxf>
    <dxf>
      <font>
        <color rgb="FF0066FF"/>
      </font>
    </dxf>
    <dxf>
      <font>
        <color rgb="FFFF0000"/>
      </font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0066FF"/>
      </font>
      <fill>
        <patternFill>
          <bgColor rgb="FFFFCCFF"/>
        </patternFill>
      </fill>
    </dxf>
    <dxf>
      <font>
        <color rgb="FFFF0000"/>
      </font>
      <fill>
        <patternFill>
          <bgColor rgb="FFFFCC00"/>
        </patternFill>
      </fill>
    </dxf>
    <dxf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ont>
        <color rgb="FF0066FF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66FF"/>
      </font>
    </dxf>
    <dxf>
      <font>
        <color rgb="FFFF0000"/>
      </font>
    </dxf>
    <dxf>
      <font>
        <color rgb="FF0066FF"/>
      </font>
    </dxf>
    <dxf>
      <font>
        <color rgb="FF0066FF"/>
      </font>
    </dxf>
    <dxf>
      <font>
        <color rgb="FFFF0000"/>
      </font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theme="0" tint="-0.24994659260841701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0"/>
      </font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0066FF"/>
      </font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b/>
        <i val="0"/>
        <color rgb="FF00B0F0"/>
      </font>
    </dxf>
    <dxf>
      <font>
        <b/>
        <i val="0"/>
        <color rgb="FF0000FF"/>
      </font>
    </dxf>
    <dxf>
      <font>
        <b/>
        <i val="0"/>
        <color rgb="FF66CCFF"/>
      </font>
    </dxf>
    <dxf>
      <font>
        <b/>
        <i val="0"/>
        <color rgb="FF00B0F0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3399FF"/>
      </font>
    </dxf>
    <dxf>
      <font>
        <b/>
        <i/>
      </font>
    </dxf>
    <dxf>
      <font>
        <b/>
        <i/>
        <color rgb="FF66CCFF"/>
      </font>
    </dxf>
    <dxf>
      <font>
        <b/>
        <i/>
        <color rgb="FF00B0F0"/>
      </font>
    </dxf>
    <dxf>
      <font>
        <b/>
        <i/>
        <color rgb="FF66CCFF"/>
      </font>
    </dxf>
    <dxf>
      <font>
        <b/>
        <i/>
        <color rgb="FF66CC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b/>
        <i/>
        <color rgb="FF0066FF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DDFB"/>
        </patternFill>
      </fill>
    </dxf>
    <dxf>
      <fill>
        <patternFill>
          <bgColor rgb="FFFFE1FF"/>
        </patternFill>
      </fill>
    </dxf>
    <dxf>
      <fill>
        <patternFill>
          <bgColor rgb="FFFFE7FC"/>
        </patternFill>
      </fill>
    </dxf>
    <dxf>
      <fill>
        <patternFill>
          <bgColor rgb="FFFFFFFF"/>
        </patternFill>
      </fill>
    </dxf>
    <dxf>
      <fill>
        <patternFill>
          <bgColor rgb="FFFFDDFF"/>
        </patternFill>
      </fill>
    </dxf>
    <dxf>
      <fill>
        <patternFill>
          <bgColor rgb="FFFFD5FF"/>
        </patternFill>
      </fill>
    </dxf>
    <dxf>
      <fill>
        <patternFill>
          <bgColor rgb="FFFFD5FF"/>
        </patternFill>
      </fill>
    </dxf>
    <dxf>
      <fill>
        <patternFill>
          <bgColor rgb="FFFFE5FF"/>
        </patternFill>
      </fill>
    </dxf>
    <dxf>
      <fill>
        <patternFill>
          <bgColor rgb="FFFFDDFF"/>
        </patternFill>
      </fill>
    </dxf>
    <dxf>
      <fill>
        <patternFill>
          <bgColor rgb="FFFFDDFF"/>
        </patternFill>
      </fill>
    </dxf>
    <dxf>
      <fill>
        <patternFill>
          <bgColor rgb="FFFFE1FF"/>
        </patternFill>
      </fill>
    </dxf>
    <dxf>
      <fill>
        <patternFill>
          <bgColor rgb="FFFFE1FF"/>
        </patternFill>
      </fill>
    </dxf>
    <dxf>
      <fill>
        <patternFill>
          <bgColor rgb="FFFFCDFF"/>
        </patternFill>
      </fill>
    </dxf>
    <dxf>
      <fill>
        <patternFill>
          <bgColor rgb="FFFFD9FF"/>
        </patternFill>
      </fill>
    </dxf>
    <dxf>
      <fill>
        <patternFill>
          <bgColor rgb="FFFFD9FF"/>
        </patternFill>
      </fill>
    </dxf>
    <dxf>
      <fill>
        <patternFill>
          <bgColor rgb="FFFFCDFF"/>
        </patternFill>
      </fill>
    </dxf>
    <dxf>
      <fill>
        <patternFill>
          <bgColor rgb="FFFFDDFF"/>
        </patternFill>
      </fill>
    </dxf>
    <dxf>
      <font>
        <color theme="1"/>
      </font>
    </dxf>
    <dxf>
      <font>
        <b/>
        <i val="0"/>
        <color theme="1"/>
      </font>
    </dxf>
    <dxf>
      <font>
        <b/>
        <i val="0"/>
        <color rgb="FF3399FF"/>
      </font>
    </dxf>
    <dxf>
      <font>
        <b/>
        <i/>
        <color rgb="FF0070C0"/>
      </font>
    </dxf>
    <dxf>
      <fill>
        <patternFill>
          <bgColor rgb="FFFFFF00"/>
        </patternFill>
      </fill>
    </dxf>
    <dxf>
      <fill>
        <patternFill>
          <bgColor rgb="FFFFCC66"/>
        </patternFill>
      </fill>
    </dxf>
    <dxf>
      <fill>
        <patternFill>
          <bgColor theme="9" tint="0.59996337778862885"/>
        </patternFill>
      </fill>
    </dxf>
    <dxf>
      <fill>
        <patternFill>
          <bgColor rgb="FFFFE285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0000FF"/>
      </font>
      <fill>
        <patternFill>
          <bgColor rgb="FFFFCCFF"/>
        </patternFill>
      </fill>
    </dxf>
    <dxf>
      <font>
        <b/>
        <i val="0"/>
        <color rgb="FF0000FF"/>
      </font>
      <fill>
        <patternFill>
          <bgColor rgb="FFFFCCFF"/>
        </patternFill>
      </fill>
    </dxf>
    <dxf>
      <font>
        <b/>
        <i val="0"/>
        <color rgb="FF0000FF"/>
      </font>
      <fill>
        <patternFill>
          <bgColor rgb="FFFFCCFF"/>
        </patternFill>
      </fill>
    </dxf>
    <dxf>
      <font>
        <b/>
        <i val="0"/>
      </font>
      <fill>
        <patternFill>
          <bgColor rgb="FFFFCCFF"/>
        </patternFill>
      </fill>
    </dxf>
    <dxf>
      <font>
        <b/>
        <i val="0"/>
        <color rgb="FF0000FF"/>
      </font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b/>
        <i val="0"/>
      </font>
      <fill>
        <patternFill>
          <bgColor rgb="FFFFCCFF"/>
        </patternFill>
      </fill>
    </dxf>
    <dxf>
      <font>
        <color rgb="FFFF0000"/>
      </font>
      <fill>
        <patternFill>
          <bgColor rgb="FFFFCCFF"/>
        </patternFill>
      </fill>
    </dxf>
    <dxf>
      <font>
        <color rgb="FFFF0000"/>
      </font>
      <fill>
        <patternFill>
          <bgColor theme="2" tint="-9.9948118533890809E-2"/>
        </patternFill>
      </fill>
    </dxf>
    <dxf>
      <font>
        <color rgb="FFFF000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rgb="FF0000FF"/>
      </font>
      <fill>
        <patternFill>
          <bgColor theme="2" tint="-9.9948118533890809E-2"/>
        </patternFill>
      </fill>
    </dxf>
    <dxf>
      <font>
        <b/>
        <i val="0"/>
        <color rgb="FF3399FF"/>
      </font>
      <fill>
        <patternFill>
          <bgColor theme="2" tint="-9.9948118533890809E-2"/>
        </patternFill>
      </fill>
    </dxf>
    <dxf>
      <font>
        <b/>
        <i val="0"/>
        <color rgb="FF00B0F0"/>
      </font>
      <fill>
        <patternFill>
          <bgColor rgb="FFFFCCFF"/>
        </patternFill>
      </fill>
    </dxf>
    <dxf>
      <font>
        <b/>
        <i val="0"/>
        <color rgb="FF00B0F0"/>
      </font>
      <fill>
        <patternFill>
          <bgColor rgb="FFFFCCFF"/>
        </patternFill>
      </fill>
    </dxf>
    <dxf>
      <font>
        <b/>
        <i val="0"/>
        <color rgb="FF00B0F0"/>
      </font>
      <fill>
        <patternFill>
          <bgColor rgb="FFFFCCFF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rgb="FF00B0F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color rgb="FFFF0000"/>
      </font>
      <fill>
        <patternFill>
          <bgColor rgb="FF92D050"/>
        </patternFill>
      </fill>
    </dxf>
    <dxf>
      <font>
        <b val="0"/>
        <i val="0"/>
        <color rgb="FFFF000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b/>
        <i val="0"/>
        <color rgb="FF00B0F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b/>
        <i val="0"/>
        <color rgb="FF00B0F0"/>
      </font>
      <fill>
        <patternFill>
          <bgColor rgb="FF92D050"/>
        </patternFill>
      </fill>
    </dxf>
    <dxf>
      <font>
        <color rgb="FFFF000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  <color rgb="FF00B0F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00B0F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  <color rgb="FF00B0F0"/>
      </font>
      <fill>
        <patternFill>
          <bgColor rgb="FFFFFF66"/>
        </patternFill>
      </fill>
    </dxf>
    <dxf>
      <font>
        <b/>
        <i val="0"/>
      </font>
      <fill>
        <patternFill>
          <bgColor rgb="FFFFFF66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0070C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0070C0"/>
      </font>
      <fill>
        <patternFill>
          <bgColor rgb="FFFFC000"/>
        </patternFill>
      </fill>
    </dxf>
    <dxf>
      <font>
        <color rgb="FF3399FF"/>
      </font>
    </dxf>
    <dxf>
      <font>
        <color rgb="FF00B0F0"/>
      </font>
    </dxf>
    <dxf>
      <font>
        <color rgb="FF3399FF"/>
      </font>
      <fill>
        <patternFill>
          <bgColor rgb="FFFFC000"/>
        </patternFill>
      </fill>
    </dxf>
    <dxf>
      <fill>
        <patternFill>
          <bgColor rgb="FFFF99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0066FF"/>
      </font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FF0000"/>
      </font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FF0000"/>
      </font>
      <fill>
        <patternFill>
          <bgColor rgb="FFFFCCFF"/>
        </patternFill>
      </fill>
    </dxf>
    <dxf>
      <font>
        <color rgb="FF0066FF"/>
      </font>
      <fill>
        <patternFill>
          <bgColor rgb="FFFFCCFF"/>
        </patternFill>
      </fill>
    </dxf>
    <dxf>
      <font>
        <color rgb="FF0066FF"/>
      </font>
    </dxf>
    <dxf>
      <font>
        <color rgb="FF0066FF"/>
      </font>
    </dxf>
    <dxf>
      <font>
        <color rgb="FFFF0000"/>
      </font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color rgb="FF0066FF"/>
      </font>
      <fill>
        <patternFill>
          <bgColor rgb="FFFFCCFF"/>
        </patternFill>
      </fill>
    </dxf>
    <dxf>
      <font>
        <color rgb="FFFF0000"/>
      </font>
      <fill>
        <patternFill>
          <bgColor rgb="FFFFCC00"/>
        </patternFill>
      </fill>
    </dxf>
    <dxf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6FF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ont>
        <color rgb="FF0066FF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66FF"/>
      </font>
    </dxf>
    <dxf>
      <font>
        <color rgb="FFFF0000"/>
      </font>
    </dxf>
    <dxf>
      <font>
        <color rgb="FF0066FF"/>
      </font>
    </dxf>
    <dxf>
      <font>
        <color rgb="FF0066FF"/>
      </font>
    </dxf>
    <dxf>
      <font>
        <color rgb="FFFF0000"/>
      </font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418</xdr:row>
      <xdr:rowOff>8659</xdr:rowOff>
    </xdr:from>
    <xdr:to>
      <xdr:col>13</xdr:col>
      <xdr:colOff>8659</xdr:colOff>
      <xdr:row>418</xdr:row>
      <xdr:rowOff>8660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765C9487-F73E-4C85-BD9C-E9259AAE29FD}"/>
            </a:ext>
          </a:extLst>
        </xdr:cNvPr>
        <xdr:cNvCxnSpPr/>
      </xdr:nvCxnSpPr>
      <xdr:spPr>
        <a:xfrm flipV="1">
          <a:off x="1962150" y="47786059"/>
          <a:ext cx="980209" cy="1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9733;%20&#44592;&#47197;1%20&#9733;.xlsb" TargetMode="External"/><Relationship Id="rId1" Type="http://schemas.openxmlformats.org/officeDocument/2006/relationships/externalLinkPath" Target="file:///F:\&#9733;%20&#44592;&#47197;1%20&#9733;.xlsb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9733;&#9733;&#9733;%20&#53685;&#54633;%20&#48516;&#49437;%20(&#44256;&#51200;%20&#49345;&#51473;&#54616;%205&#48516;).xlsb" TargetMode="External"/><Relationship Id="rId1" Type="http://schemas.openxmlformats.org/officeDocument/2006/relationships/externalLinkPath" Target="file:///F:\&#9733;&#9733;&#9733;%20&#53685;&#54633;%20&#48516;&#49437;%20(&#44256;&#51200;%20&#49345;&#51473;&#54616;%205&#48516;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록총"/>
      <sheetName val="끝수내림"/>
      <sheetName val="보너스 확인"/>
      <sheetName val="총기록 상중하"/>
      <sheetName val="최근 상중하"/>
      <sheetName val="패턴"/>
      <sheetName val="패턴 세로 가로"/>
      <sheetName val="복사 6조 이격"/>
      <sheetName val="이웃수 13x7 희귀"/>
      <sheetName val="홀짝 소자배 기본"/>
      <sheetName val="이격 확인"/>
      <sheetName val="전출 상하좌우"/>
      <sheetName val="전출 상하좌우 (2전)"/>
      <sheetName val="전출 테구별"/>
      <sheetName val="전출 테구별 2"/>
      <sheetName val="구별 십자"/>
      <sheetName val="구별 십자 (2)"/>
      <sheetName val="9분할"/>
      <sheetName val="구역분할"/>
      <sheetName val="십자 13"/>
      <sheetName val="X 13"/>
      <sheetName val="역사"/>
      <sheetName val="역사2)"/>
    </sheetNames>
    <sheetDataSet>
      <sheetData sheetId="0">
        <row r="200">
          <cell r="H200">
            <v>37</v>
          </cell>
        </row>
        <row r="201">
          <cell r="H201">
            <v>14</v>
          </cell>
        </row>
        <row r="202">
          <cell r="H202">
            <v>30</v>
          </cell>
        </row>
        <row r="203">
          <cell r="H203">
            <v>21</v>
          </cell>
        </row>
        <row r="204">
          <cell r="H204">
            <v>7</v>
          </cell>
        </row>
        <row r="205">
          <cell r="H205">
            <v>45</v>
          </cell>
        </row>
        <row r="206">
          <cell r="H206">
            <v>37</v>
          </cell>
        </row>
        <row r="207">
          <cell r="H207">
            <v>7</v>
          </cell>
        </row>
        <row r="208">
          <cell r="H208">
            <v>24</v>
          </cell>
        </row>
        <row r="209">
          <cell r="H209">
            <v>27</v>
          </cell>
        </row>
        <row r="210">
          <cell r="H210">
            <v>2</v>
          </cell>
        </row>
        <row r="211">
          <cell r="H211">
            <v>23</v>
          </cell>
        </row>
        <row r="212">
          <cell r="H212">
            <v>11</v>
          </cell>
        </row>
        <row r="213">
          <cell r="H213">
            <v>25</v>
          </cell>
        </row>
        <row r="214">
          <cell r="H214">
            <v>24</v>
          </cell>
        </row>
        <row r="215">
          <cell r="H215">
            <v>31</v>
          </cell>
        </row>
        <row r="216">
          <cell r="H216">
            <v>10</v>
          </cell>
        </row>
        <row r="217">
          <cell r="H217">
            <v>45</v>
          </cell>
        </row>
        <row r="218">
          <cell r="H218">
            <v>2</v>
          </cell>
        </row>
        <row r="219">
          <cell r="H219">
            <v>14</v>
          </cell>
        </row>
        <row r="220">
          <cell r="H220">
            <v>39</v>
          </cell>
        </row>
        <row r="221">
          <cell r="H221">
            <v>25</v>
          </cell>
        </row>
        <row r="222">
          <cell r="H222">
            <v>41</v>
          </cell>
        </row>
        <row r="223">
          <cell r="H223">
            <v>25</v>
          </cell>
        </row>
        <row r="224">
          <cell r="H224">
            <v>31</v>
          </cell>
        </row>
        <row r="225">
          <cell r="H225">
            <v>16</v>
          </cell>
        </row>
        <row r="226">
          <cell r="H226">
            <v>9</v>
          </cell>
        </row>
        <row r="227">
          <cell r="H227">
            <v>34</v>
          </cell>
        </row>
        <row r="228">
          <cell r="H228">
            <v>26</v>
          </cell>
        </row>
        <row r="229">
          <cell r="H229">
            <v>28</v>
          </cell>
        </row>
        <row r="230">
          <cell r="H230">
            <v>33</v>
          </cell>
        </row>
        <row r="231">
          <cell r="H231">
            <v>41</v>
          </cell>
        </row>
        <row r="232">
          <cell r="H232">
            <v>13</v>
          </cell>
        </row>
        <row r="233">
          <cell r="H233">
            <v>1</v>
          </cell>
        </row>
        <row r="234">
          <cell r="H234">
            <v>16</v>
          </cell>
        </row>
        <row r="235">
          <cell r="H235">
            <v>45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조합기 참조용"/>
      <sheetName val="2분모음"/>
      <sheetName val="3분모음"/>
      <sheetName val="4 5분모음"/>
      <sheetName val="패턴"/>
      <sheetName val="패턴 세가로"/>
      <sheetName val="패턴 세로 가로"/>
    </sheetNames>
    <sheetDataSet>
      <sheetData sheetId="0"/>
      <sheetData sheetId="1"/>
      <sheetData sheetId="2"/>
      <sheetData sheetId="3"/>
      <sheetData sheetId="4"/>
      <sheetData sheetId="5" refreshError="1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566A-C44A-4842-B691-72AEF102DC3B}">
  <sheetPr>
    <tabColor rgb="FF00B0F0"/>
  </sheetPr>
  <dimension ref="A1:DT408"/>
  <sheetViews>
    <sheetView zoomScaleNormal="100" workbookViewId="0">
      <pane xSplit="8" ySplit="3" topLeftCell="I118" activePane="bottomRight" state="frozen"/>
      <selection pane="topRight" activeCell="I1" sqref="I1"/>
      <selection pane="bottomLeft" activeCell="A4" sqref="A4"/>
      <selection pane="bottomRight" activeCell="EA124" sqref="EA124"/>
    </sheetView>
  </sheetViews>
  <sheetFormatPr defaultColWidth="2.125" defaultRowHeight="13.5" x14ac:dyDescent="0.3"/>
  <cols>
    <col min="1" max="1" width="5.375" style="1" bestFit="1" customWidth="1"/>
    <col min="2" max="7" width="2.875" style="1" customWidth="1"/>
    <col min="8" max="8" width="1.875" style="8" customWidth="1"/>
    <col min="9" max="14" width="2.5" style="1" customWidth="1"/>
    <col min="15" max="15" width="1.875" style="8" customWidth="1"/>
    <col min="16" max="17" width="2.5" style="1" bestFit="1" customWidth="1"/>
    <col min="18" max="18" width="1.375" style="7" customWidth="1"/>
    <col min="19" max="20" width="2.5" style="1" bestFit="1" customWidth="1"/>
    <col min="21" max="21" width="1.375" style="7" customWidth="1"/>
    <col min="22" max="23" width="2.5" style="1" bestFit="1" customWidth="1"/>
    <col min="24" max="24" width="1.375" style="7" customWidth="1"/>
    <col min="25" max="27" width="6.125" style="6" customWidth="1"/>
    <col min="28" max="28" width="1.375" style="7" customWidth="1"/>
    <col min="29" max="34" width="2.625" style="4" customWidth="1"/>
    <col min="35" max="35" width="1.375" style="7" customWidth="1"/>
    <col min="36" max="38" width="2.5" style="1" bestFit="1" customWidth="1"/>
    <col min="39" max="39" width="1.125" style="10" customWidth="1"/>
    <col min="40" max="44" width="2.875" style="1" customWidth="1"/>
    <col min="45" max="56" width="2.5" style="1" hidden="1" customWidth="1"/>
    <col min="57" max="61" width="2.875" style="1" hidden="1" customWidth="1"/>
    <col min="62" max="62" width="1.125" style="10" customWidth="1"/>
    <col min="63" max="67" width="2.5" style="1" bestFit="1" customWidth="1"/>
    <col min="68" max="79" width="2.5" style="1" hidden="1" customWidth="1"/>
    <col min="80" max="84" width="2.875" style="1" hidden="1" customWidth="1"/>
    <col min="85" max="85" width="1.125" style="10" customWidth="1"/>
    <col min="86" max="90" width="2.875" style="9" customWidth="1"/>
    <col min="91" max="91" width="1.875" style="8" customWidth="1"/>
    <col min="92" max="96" width="2.5" style="1" customWidth="1"/>
    <col min="97" max="97" width="1.875" style="8" customWidth="1"/>
    <col min="98" max="98" width="3.625" style="1" bestFit="1" customWidth="1"/>
    <col min="99" max="99" width="2.5" style="1" bestFit="1" customWidth="1"/>
    <col min="100" max="100" width="1.375" style="7" customWidth="1"/>
    <col min="101" max="101" width="3" style="1" customWidth="1"/>
    <col min="102" max="102" width="2.5" style="1" bestFit="1" customWidth="1"/>
    <col min="103" max="103" width="1.375" style="7" customWidth="1"/>
    <col min="104" max="106" width="2.5" style="6" bestFit="1" customWidth="1"/>
    <col min="107" max="107" width="1.375" style="1" customWidth="1"/>
    <col min="108" max="117" width="2.5" style="1" hidden="1" customWidth="1"/>
    <col min="118" max="118" width="2.5" style="5" hidden="1" customWidth="1"/>
    <col min="119" max="123" width="2.625" style="4" customWidth="1"/>
    <col min="124" max="124" width="1.375" style="2" customWidth="1"/>
    <col min="125" max="16384" width="2.125" style="1"/>
  </cols>
  <sheetData>
    <row r="1" spans="1:124" ht="17.25" thickBot="1" x14ac:dyDescent="0.35">
      <c r="A1" s="3"/>
      <c r="B1" s="3"/>
      <c r="C1" s="3"/>
      <c r="D1" s="3"/>
      <c r="E1" s="3"/>
      <c r="F1" s="3"/>
      <c r="G1" s="64"/>
      <c r="H1" s="32"/>
      <c r="I1" s="3"/>
      <c r="J1" s="3"/>
      <c r="K1" s="3"/>
      <c r="L1" s="3"/>
      <c r="M1" s="3"/>
      <c r="N1" s="3"/>
      <c r="O1" s="32"/>
      <c r="P1" s="3"/>
      <c r="Q1" s="3"/>
      <c r="R1" s="34"/>
      <c r="S1" s="3"/>
      <c r="T1" s="3"/>
      <c r="U1" s="34"/>
      <c r="V1" s="3"/>
      <c r="W1" s="3"/>
      <c r="X1" s="34"/>
      <c r="Y1" s="3"/>
      <c r="Z1" s="3"/>
      <c r="AA1" s="3"/>
      <c r="AB1" s="30"/>
      <c r="AC1" s="26"/>
      <c r="AD1" s="26"/>
      <c r="AE1" s="26"/>
      <c r="AF1" s="26"/>
      <c r="AG1" s="26"/>
      <c r="AH1" s="26"/>
      <c r="AI1" s="30"/>
      <c r="AJ1" s="3"/>
      <c r="AK1" s="3"/>
      <c r="AL1" s="3"/>
      <c r="AM1" s="67"/>
      <c r="AN1" s="68" t="s">
        <v>24</v>
      </c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9"/>
      <c r="BF1" s="9"/>
      <c r="BG1" s="9"/>
      <c r="BH1" s="9"/>
      <c r="BI1" s="9"/>
      <c r="BJ1" s="67"/>
      <c r="BK1" s="3" t="s">
        <v>25</v>
      </c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9"/>
      <c r="CC1" s="9"/>
      <c r="CD1" s="9"/>
      <c r="CE1" s="9"/>
      <c r="CF1" s="9"/>
      <c r="CG1" s="67"/>
      <c r="CH1" s="135" t="s">
        <v>23</v>
      </c>
      <c r="CI1" s="135"/>
      <c r="CJ1" s="135"/>
      <c r="CK1" s="135"/>
      <c r="CL1" s="135"/>
      <c r="CM1" s="32"/>
      <c r="CN1" s="3"/>
      <c r="CO1" s="3"/>
      <c r="CP1" s="3"/>
      <c r="CQ1" s="3"/>
      <c r="CR1" s="3"/>
      <c r="CS1" s="31"/>
      <c r="CT1" s="66">
        <v>15</v>
      </c>
      <c r="CU1" s="3"/>
      <c r="CV1" s="30"/>
      <c r="CW1" s="66">
        <v>15</v>
      </c>
      <c r="CX1" s="3"/>
      <c r="CY1" s="30"/>
      <c r="CZ1" s="3"/>
      <c r="DA1" s="3"/>
      <c r="DB1" s="3"/>
      <c r="DC1" s="29"/>
      <c r="DD1" s="3"/>
      <c r="DE1" s="3"/>
      <c r="DF1" s="3"/>
      <c r="DG1" s="3"/>
      <c r="DH1" s="3"/>
      <c r="DI1" s="3"/>
      <c r="DJ1" s="3"/>
      <c r="DK1" s="3"/>
      <c r="DL1" s="3"/>
      <c r="DM1" s="3"/>
      <c r="DN1" s="27"/>
      <c r="DO1" s="26"/>
      <c r="DP1" s="26"/>
      <c r="DQ1" s="26"/>
      <c r="DR1" s="26"/>
      <c r="DS1" s="26"/>
      <c r="DT1" s="25"/>
    </row>
    <row r="2" spans="1:124" ht="14.25" thickBot="1" x14ac:dyDescent="0.35">
      <c r="A2" s="65">
        <f>COUNTA(B4:B56559)</f>
        <v>300</v>
      </c>
      <c r="B2" s="3" t="s">
        <v>14</v>
      </c>
      <c r="C2" s="3"/>
      <c r="D2" s="3"/>
      <c r="E2" s="3"/>
      <c r="F2" s="3"/>
      <c r="G2" s="64"/>
      <c r="H2" s="32"/>
      <c r="I2" s="56">
        <v>1</v>
      </c>
      <c r="J2" s="55">
        <v>2</v>
      </c>
      <c r="K2" s="55">
        <v>3</v>
      </c>
      <c r="L2" s="55">
        <v>4</v>
      </c>
      <c r="M2" s="55">
        <v>5</v>
      </c>
      <c r="N2" s="63">
        <v>6</v>
      </c>
      <c r="O2" s="32"/>
      <c r="P2" s="54" t="s">
        <v>5</v>
      </c>
      <c r="Q2" s="54" t="s">
        <v>4</v>
      </c>
      <c r="R2" s="34"/>
      <c r="S2" s="3" t="s">
        <v>13</v>
      </c>
      <c r="T2" s="3" t="s">
        <v>12</v>
      </c>
      <c r="U2" s="34"/>
      <c r="V2" s="53" t="s">
        <v>3</v>
      </c>
      <c r="W2" s="53"/>
      <c r="X2" s="34"/>
      <c r="Y2" s="3" t="s">
        <v>20</v>
      </c>
      <c r="Z2" s="3" t="s">
        <v>21</v>
      </c>
      <c r="AA2" s="3" t="s">
        <v>22</v>
      </c>
      <c r="AB2" s="30"/>
      <c r="AC2" s="26" t="s">
        <v>2</v>
      </c>
      <c r="AD2" s="26"/>
      <c r="AE2" s="26"/>
      <c r="AF2" s="26"/>
      <c r="AG2" s="26"/>
      <c r="AH2" s="26" t="s">
        <v>0</v>
      </c>
      <c r="AI2" s="30"/>
      <c r="AJ2" s="53" t="s">
        <v>11</v>
      </c>
      <c r="AK2" s="53" t="s">
        <v>10</v>
      </c>
      <c r="AL2" s="53" t="s">
        <v>9</v>
      </c>
      <c r="AM2" s="57"/>
      <c r="AN2" s="62">
        <v>9</v>
      </c>
      <c r="AO2" s="62">
        <v>18</v>
      </c>
      <c r="AP2" s="62">
        <v>27</v>
      </c>
      <c r="AQ2" s="62">
        <v>36</v>
      </c>
      <c r="AR2" s="62">
        <v>45</v>
      </c>
      <c r="AS2" s="53" t="s">
        <v>7</v>
      </c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60" t="e">
        <f>SUM(#REF!)</f>
        <v>#REF!</v>
      </c>
      <c r="BF2" s="3"/>
      <c r="BG2" s="59" t="e">
        <f>SUM(#REF!)</f>
        <v>#REF!</v>
      </c>
      <c r="BH2" s="58" t="s">
        <v>6</v>
      </c>
      <c r="BI2" s="58"/>
      <c r="BJ2" s="57"/>
      <c r="BK2" s="61" t="s">
        <v>8</v>
      </c>
      <c r="BL2" s="61"/>
      <c r="BM2" s="61"/>
      <c r="BN2" s="61"/>
      <c r="BO2" s="61"/>
      <c r="BP2" s="53" t="s">
        <v>7</v>
      </c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60" t="e">
        <f>SUM(#REF!)</f>
        <v>#REF!</v>
      </c>
      <c r="CC2" s="3"/>
      <c r="CD2" s="59" t="e">
        <f>SUM(#REF!)</f>
        <v>#REF!</v>
      </c>
      <c r="CE2" s="58" t="s">
        <v>6</v>
      </c>
      <c r="CF2" s="58"/>
      <c r="CG2" s="57"/>
      <c r="CH2" s="53">
        <v>1</v>
      </c>
      <c r="CI2" s="53">
        <v>2</v>
      </c>
      <c r="CJ2" s="53">
        <v>3</v>
      </c>
      <c r="CK2" s="53">
        <v>4</v>
      </c>
      <c r="CL2" s="53">
        <v>5</v>
      </c>
      <c r="CM2" s="32"/>
      <c r="CN2" s="56">
        <v>1</v>
      </c>
      <c r="CO2" s="55">
        <v>2</v>
      </c>
      <c r="CP2" s="55">
        <v>3</v>
      </c>
      <c r="CQ2" s="55">
        <v>4</v>
      </c>
      <c r="CR2" s="55">
        <v>5</v>
      </c>
      <c r="CS2" s="31"/>
      <c r="CT2" s="54" t="s">
        <v>5</v>
      </c>
      <c r="CU2" s="54" t="s">
        <v>4</v>
      </c>
      <c r="CV2" s="30"/>
      <c r="CW2" s="53" t="s">
        <v>3</v>
      </c>
      <c r="CX2" s="53"/>
      <c r="CY2" s="30"/>
      <c r="CZ2" s="3" t="s">
        <v>2</v>
      </c>
      <c r="DA2" s="3" t="s">
        <v>1</v>
      </c>
      <c r="DB2" s="3" t="s">
        <v>0</v>
      </c>
      <c r="DC2" s="29"/>
      <c r="DD2" s="53">
        <v>1</v>
      </c>
      <c r="DE2" s="53"/>
      <c r="DF2" s="53">
        <v>2</v>
      </c>
      <c r="DG2" s="53"/>
      <c r="DH2" s="53">
        <v>3</v>
      </c>
      <c r="DI2" s="53"/>
      <c r="DJ2" s="53">
        <v>4</v>
      </c>
      <c r="DK2" s="53"/>
      <c r="DL2" s="53">
        <v>5</v>
      </c>
      <c r="DM2" s="53"/>
      <c r="DN2" s="27"/>
      <c r="DO2" s="26"/>
      <c r="DP2" s="26"/>
      <c r="DQ2" s="26"/>
      <c r="DR2" s="26"/>
      <c r="DS2" s="26" t="s">
        <v>0</v>
      </c>
      <c r="DT2" s="25"/>
    </row>
    <row r="3" spans="1:124" x14ac:dyDescent="0.3">
      <c r="A3" s="50"/>
      <c r="B3" s="50">
        <v>1</v>
      </c>
      <c r="C3" s="50">
        <v>2</v>
      </c>
      <c r="D3" s="50">
        <v>3</v>
      </c>
      <c r="E3" s="50">
        <v>4</v>
      </c>
      <c r="F3" s="50">
        <v>5</v>
      </c>
      <c r="G3" s="50">
        <v>6</v>
      </c>
      <c r="H3" s="32"/>
      <c r="I3" s="51"/>
      <c r="J3" s="51"/>
      <c r="K3" s="51"/>
      <c r="L3" s="51"/>
      <c r="M3" s="51"/>
      <c r="N3" s="51"/>
      <c r="O3" s="32"/>
      <c r="P3" s="50"/>
      <c r="Q3" s="50"/>
      <c r="R3" s="34"/>
      <c r="S3" s="50"/>
      <c r="T3" s="50"/>
      <c r="U3" s="34"/>
      <c r="V3" s="50"/>
      <c r="W3" s="50"/>
      <c r="X3" s="34"/>
      <c r="Y3" s="50"/>
      <c r="Z3" s="50"/>
      <c r="AA3" s="50"/>
      <c r="AB3" s="30"/>
      <c r="AC3" s="26"/>
      <c r="AD3" s="26"/>
      <c r="AE3" s="26"/>
      <c r="AF3" s="26"/>
      <c r="AG3" s="26"/>
      <c r="AH3" s="26"/>
      <c r="AI3" s="30"/>
      <c r="AJ3" s="50"/>
      <c r="AK3" s="50"/>
      <c r="AL3" s="50"/>
      <c r="AM3" s="33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2"/>
      <c r="BF3" s="52"/>
      <c r="BG3" s="52"/>
      <c r="BH3" s="52"/>
      <c r="BI3" s="52"/>
      <c r="BJ3" s="33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2"/>
      <c r="CC3" s="52"/>
      <c r="CD3" s="52"/>
      <c r="CE3" s="52"/>
      <c r="CF3" s="52"/>
      <c r="CG3" s="33"/>
      <c r="CM3" s="32"/>
      <c r="CN3" s="51"/>
      <c r="CO3" s="51"/>
      <c r="CP3" s="51"/>
      <c r="CQ3" s="51"/>
      <c r="CR3" s="51"/>
      <c r="CS3" s="31"/>
      <c r="CT3" s="50"/>
      <c r="CU3" s="50"/>
      <c r="CV3" s="30"/>
      <c r="CW3" s="50"/>
      <c r="CX3" s="50"/>
      <c r="CY3" s="30"/>
      <c r="CZ3" s="50"/>
      <c r="DA3" s="50"/>
      <c r="DB3" s="50"/>
      <c r="DC3" s="29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27"/>
      <c r="DO3" s="26"/>
      <c r="DP3" s="26"/>
      <c r="DQ3" s="26"/>
      <c r="DR3" s="26"/>
      <c r="DS3" s="26"/>
      <c r="DT3" s="25"/>
    </row>
    <row r="4" spans="1:124" x14ac:dyDescent="0.3">
      <c r="B4" s="3">
        <v>4</v>
      </c>
      <c r="C4" s="3">
        <v>7</v>
      </c>
      <c r="D4" s="3">
        <v>17</v>
      </c>
      <c r="E4" s="3">
        <v>18</v>
      </c>
      <c r="F4" s="3">
        <v>38</v>
      </c>
      <c r="G4" s="3">
        <v>44</v>
      </c>
      <c r="H4" s="32"/>
      <c r="I4" s="3">
        <f>IF(OR(B4="",ISBLANK(B4),B4=0),0,IF(MOD(B4,2)=1,1,2))</f>
        <v>2</v>
      </c>
      <c r="J4" s="3">
        <f>IF(OR(C4="",ISBLANK(C4),C4=0),0,IF(MOD(C4,2)=1,1,2))</f>
        <v>1</v>
      </c>
      <c r="K4" s="3">
        <f>IF(OR(D4="",ISBLANK(D4),D4=0),0,IF(MOD(D4,2)=1,1,2))</f>
        <v>1</v>
      </c>
      <c r="L4" s="3">
        <f>IF(OR(E4="",ISBLANK(E4),E4=0),0,IF(MOD(E4,2)=1,1,2))</f>
        <v>2</v>
      </c>
      <c r="M4" s="3">
        <f>IF(OR(F4="",ISBLANK(F4),F4=0),0,IF(MOD(F4,2)=1,1,2))</f>
        <v>2</v>
      </c>
      <c r="N4" s="3">
        <f>IF(OR(G4="",ISBLANK(G4),G4=0),0,IF(MOD(G4,2)=1,1,2))</f>
        <v>2</v>
      </c>
      <c r="O4" s="32"/>
      <c r="P4" s="3" cm="1">
        <f t="array" ref="P4">SUMPRODUCT(--(MOD(B4:G4,2)=1))</f>
        <v>2</v>
      </c>
      <c r="Q4" s="3">
        <f>6-P4</f>
        <v>4</v>
      </c>
      <c r="R4" s="34"/>
      <c r="S4" s="3">
        <f>COUNTIFS(B4:G4,"&gt;=1",B4:G4,"&lt;=23")</f>
        <v>4</v>
      </c>
      <c r="T4" s="3">
        <f>6-S4</f>
        <v>2</v>
      </c>
      <c r="U4" s="34"/>
      <c r="V4" s="3" cm="1">
        <f t="array" ref="V4">SUMPRODUCT(--(MOD(B4:G4,10)&gt;=1), --(MOD(B4:G4,10)&lt;=5))</f>
        <v>2</v>
      </c>
      <c r="W4" s="3">
        <f>6-V4</f>
        <v>4</v>
      </c>
      <c r="X4" s="34"/>
      <c r="Y4" s="3" cm="1">
        <f t="array" ref="Y4">IFERROR(COUNT(_xlfn._xlws.FILTER(B4:G4, ISNUMBER(MATCH(B4:G4, {2,3,5,7,11,13,17,19,23,29,31,37,41,43}, 0)))), 0)</f>
        <v>2</v>
      </c>
      <c r="Z4" s="3" cm="1">
        <f t="array" ref="Z4">IFERROR(COUNT(_xlfn._xlws.FILTER(B4:G4, ISNUMBER(MATCH(B4:G4, {1,4,8,10,14,16,20,22,25,26,28,32,34,35,38,40,44}, 0)))), 0)</f>
        <v>3</v>
      </c>
      <c r="AA4" s="3" cm="1">
        <f t="array" ref="AA4">IFERROR(COUNT(_xlfn._xlws.FILTER(B4:G4, ISNUMBER(MATCH(B4:G4, {6,9,12,15,18,21,24,27,30,33,36,39,42,45}, 0)))), 0)</f>
        <v>1</v>
      </c>
      <c r="AB4" s="30"/>
      <c r="AC4" s="26"/>
      <c r="AD4" s="26"/>
      <c r="AE4" s="26"/>
      <c r="AF4" s="26"/>
      <c r="AG4" s="26"/>
      <c r="AH4" s="26"/>
      <c r="AI4" s="30"/>
      <c r="AJ4" s="3">
        <f>COUNTIFS(B4:G4,"&gt;=1",B4:G4,"&lt;=14")</f>
        <v>2</v>
      </c>
      <c r="AK4" s="3">
        <f>COUNTIFS(B4:G4,"&gt;=15",B4:G4,"&lt;=31")</f>
        <v>2</v>
      </c>
      <c r="AL4" s="3">
        <f>6-AK4-AJ4</f>
        <v>2</v>
      </c>
      <c r="AM4" s="33"/>
      <c r="AN4" s="3">
        <f>COUNTIFS($B4:$G4, "&gt;=1",$B4:$G4, "&lt;=9")</f>
        <v>2</v>
      </c>
      <c r="AO4" s="3">
        <f>COUNTIFS($B4:$G4, "&gt;=10",$B4:$G4, "&lt;=18")</f>
        <v>2</v>
      </c>
      <c r="AP4" s="3">
        <f>COUNTIFS($B4:$G4, "&gt;=19",$B4:$G4, "&lt;=27")</f>
        <v>0</v>
      </c>
      <c r="AQ4" s="3">
        <f>COUNTIFS($B4:$G4, "&gt;=28",$B4:$G4, "&lt;=36")</f>
        <v>0</v>
      </c>
      <c r="AR4" s="3">
        <f>COUNTIFS($B4:$G4, "&gt;=37",$B4:$G4, "&lt;=45")</f>
        <v>2</v>
      </c>
      <c r="AS4" s="28" t="e">
        <f>#REF!</f>
        <v>#REF!</v>
      </c>
      <c r="AT4" s="28" t="e">
        <f>#REF!*2</f>
        <v>#REF!</v>
      </c>
      <c r="AU4" s="28" t="e">
        <f>#REF!</f>
        <v>#REF!</v>
      </c>
      <c r="AV4" s="28" t="e">
        <f>#REF!*2</f>
        <v>#REF!</v>
      </c>
      <c r="AW4" s="28" t="e">
        <f>#REF!</f>
        <v>#REF!</v>
      </c>
      <c r="AX4" s="28" t="e">
        <f>#REF!*2</f>
        <v>#REF!</v>
      </c>
      <c r="AY4" s="28" t="e">
        <f>#REF!</f>
        <v>#REF!</v>
      </c>
      <c r="AZ4" s="28" t="e">
        <f>#REF!*2</f>
        <v>#REF!</v>
      </c>
      <c r="BA4" s="28" t="e">
        <f>#REF!</f>
        <v>#REF!</v>
      </c>
      <c r="BB4" s="28" t="e">
        <f>#REF!*2</f>
        <v>#REF!</v>
      </c>
      <c r="BC4" s="28" t="e">
        <f>#REF!</f>
        <v>#REF!</v>
      </c>
      <c r="BD4" s="28" t="e">
        <f>#REF!*2</f>
        <v>#REF!</v>
      </c>
      <c r="BE4" s="9" t="e">
        <f>#REF!-#REF!</f>
        <v>#REF!</v>
      </c>
      <c r="BF4" s="9" t="e">
        <f>#REF!-#REF!</f>
        <v>#REF!</v>
      </c>
      <c r="BG4" s="9" t="e">
        <f>#REF!-#REF!</f>
        <v>#REF!</v>
      </c>
      <c r="BH4" s="9" t="e">
        <f>#REF!-#REF!</f>
        <v>#REF!</v>
      </c>
      <c r="BI4" s="9" t="e">
        <f>#REF!-#REF!</f>
        <v>#REF!</v>
      </c>
      <c r="BJ4" s="33"/>
      <c r="BK4" s="3">
        <f>COUNTIFS(B4:G4, "&gt;=1", B4:G4, "&lt;=9")</f>
        <v>2</v>
      </c>
      <c r="BL4" s="3">
        <f>COUNTIFS(B4:G4, "&gt;=10", B4:G4, "&lt;=19")</f>
        <v>2</v>
      </c>
      <c r="BM4" s="3">
        <f>COUNTIFS(B4:G4, "&gt;=20", B4:G4, "&lt;=29")</f>
        <v>0</v>
      </c>
      <c r="BN4" s="3">
        <f>COUNTIFS(B4:G4, "&gt;=30", B4:G4, "&lt;=39")</f>
        <v>1</v>
      </c>
      <c r="BO4" s="3">
        <f>COUNTIFS(B4:G4, "&gt;=40", B4:G4, "&lt;=45")</f>
        <v>1</v>
      </c>
      <c r="BP4" s="28" t="e">
        <f>#REF!</f>
        <v>#REF!</v>
      </c>
      <c r="BQ4" s="28" t="e">
        <f>#REF!*2</f>
        <v>#REF!</v>
      </c>
      <c r="BR4" s="28" t="e">
        <f>#REF!</f>
        <v>#REF!</v>
      </c>
      <c r="BS4" s="28" t="e">
        <f>#REF!*2</f>
        <v>#REF!</v>
      </c>
      <c r="BT4" s="28" t="e">
        <f>#REF!</f>
        <v>#REF!</v>
      </c>
      <c r="BU4" s="28" t="e">
        <f>#REF!*2</f>
        <v>#REF!</v>
      </c>
      <c r="BV4" s="28" t="e">
        <f>#REF!</f>
        <v>#REF!</v>
      </c>
      <c r="BW4" s="28" t="e">
        <f>#REF!*2</f>
        <v>#REF!</v>
      </c>
      <c r="BX4" s="28" t="e">
        <f>#REF!</f>
        <v>#REF!</v>
      </c>
      <c r="BY4" s="28" t="e">
        <f>#REF!*2</f>
        <v>#REF!</v>
      </c>
      <c r="BZ4" s="28" t="e">
        <f>#REF!</f>
        <v>#REF!</v>
      </c>
      <c r="CA4" s="28" t="e">
        <f>#REF!*2</f>
        <v>#REF!</v>
      </c>
      <c r="CB4" s="9">
        <f>C4-B4</f>
        <v>3</v>
      </c>
      <c r="CC4" s="9">
        <f>D4-C4</f>
        <v>10</v>
      </c>
      <c r="CD4" s="9">
        <f>E4-D4</f>
        <v>1</v>
      </c>
      <c r="CE4" s="9">
        <f>F4-E4</f>
        <v>20</v>
      </c>
      <c r="CF4" s="9">
        <f>G4-F4</f>
        <v>6</v>
      </c>
      <c r="CG4" s="33"/>
      <c r="CH4" s="9">
        <f>C4-B4</f>
        <v>3</v>
      </c>
      <c r="CI4" s="9">
        <f>D4-C4</f>
        <v>10</v>
      </c>
      <c r="CJ4" s="9">
        <f>E4-D4</f>
        <v>1</v>
      </c>
      <c r="CK4" s="9">
        <f>F4-E4</f>
        <v>20</v>
      </c>
      <c r="CL4" s="9">
        <f>G4-F4</f>
        <v>6</v>
      </c>
      <c r="CM4" s="32"/>
      <c r="CN4" s="3">
        <f>IF(OR(CH4="",ISBLANK(CH4),CH4=0),0,IF(MOD(CH4,2)=1,1,2))</f>
        <v>1</v>
      </c>
      <c r="CO4" s="3">
        <f>IF(OR(CI4="",ISBLANK(CI4),CI4=0),0,IF(MOD(CI4,2)=1,1,2))</f>
        <v>2</v>
      </c>
      <c r="CP4" s="3">
        <f>IF(OR(CJ4="",ISBLANK(CJ4),CJ4=0),0,IF(MOD(CJ4,2)=1,1,2))</f>
        <v>1</v>
      </c>
      <c r="CQ4" s="3">
        <f>IF(OR(CK4="",ISBLANK(CK4),CK4=0),0,IF(MOD(CK4,2)=1,1,2))</f>
        <v>2</v>
      </c>
      <c r="CR4" s="3">
        <f>IF(OR(CL4="",ISBLANK(CL4),CL4=0),0,IF(MOD(CL4,2)=1,1,2))</f>
        <v>2</v>
      </c>
      <c r="CS4" s="31"/>
      <c r="CT4" s="3" cm="1">
        <f t="array" ref="CT4">SUMPRODUCT(--(MOD(CH4:CL4,2)=1))</f>
        <v>2</v>
      </c>
      <c r="CU4" s="3">
        <f>5-CT4</f>
        <v>3</v>
      </c>
      <c r="CV4" s="30"/>
      <c r="CW4" s="3" cm="1">
        <f t="array" ref="CW4">SUMPRODUCT(--(MOD(CH4:CL4,10)&gt;=1), --(MOD(CH4:CL4,10)&lt;=5))</f>
        <v>2</v>
      </c>
      <c r="CX4" s="3">
        <f>5-CW4</f>
        <v>3</v>
      </c>
      <c r="CY4" s="30"/>
      <c r="CZ4" s="3" cm="1">
        <f t="array" ref="CZ4">IFERROR(COUNT(_xlfn._xlws.FILTER(CH4:CL4, ISNUMBER(MATCH(CH4:CL4, {2,3,5,7,11,13,17,19,23,29,31,37,41,43}, 0)))), 0)</f>
        <v>1</v>
      </c>
      <c r="DA4" s="3" cm="1">
        <f t="array" ref="DA4">IFERROR(COUNT(_xlfn._xlws.FILTER(CH4:CL4, ISNUMBER(MATCH(CH4:CL4, {1,4,8,10,14,16,20,22,25,26,28,32,34,35,38,40,44}, 0)))), 0)</f>
        <v>3</v>
      </c>
      <c r="DB4" s="3" cm="1">
        <f t="array" ref="DB4">IFERROR(COUNT(_xlfn._xlws.FILTER(CH4:CL4, ISNUMBER(MATCH(CH4:CL4, {6,9,12,15,18,21,24,27,30,33,36,39,42,45}, 0)))), 0)</f>
        <v>1</v>
      </c>
      <c r="DC4" s="29"/>
      <c r="DD4" s="28" t="e">
        <f>#REF!</f>
        <v>#REF!</v>
      </c>
      <c r="DE4" s="28" t="e">
        <f>#REF!*2</f>
        <v>#REF!</v>
      </c>
      <c r="DF4" s="28" t="e">
        <f>#REF!</f>
        <v>#REF!</v>
      </c>
      <c r="DG4" s="28" t="e">
        <f>#REF!*2</f>
        <v>#REF!</v>
      </c>
      <c r="DH4" s="28" t="e">
        <f>#REF!</f>
        <v>#REF!</v>
      </c>
      <c r="DI4" s="28" t="e">
        <f>#REF!*2</f>
        <v>#REF!</v>
      </c>
      <c r="DJ4" s="28" t="e">
        <f>#REF!</f>
        <v>#REF!</v>
      </c>
      <c r="DK4" s="28" t="e">
        <f>#REF!*2</f>
        <v>#REF!</v>
      </c>
      <c r="DL4" s="28" t="e">
        <f>#REF!</f>
        <v>#REF!</v>
      </c>
      <c r="DM4" s="28" t="e">
        <f>#REF!*2</f>
        <v>#REF!</v>
      </c>
      <c r="DN4" s="27"/>
      <c r="DO4" s="26"/>
      <c r="DP4" s="26"/>
      <c r="DQ4" s="26"/>
      <c r="DR4" s="26"/>
      <c r="DS4" s="26"/>
      <c r="DT4" s="25"/>
    </row>
    <row r="5" spans="1:124" x14ac:dyDescent="0.3">
      <c r="B5" s="3">
        <v>11</v>
      </c>
      <c r="C5" s="3">
        <v>16</v>
      </c>
      <c r="D5" s="3">
        <v>25</v>
      </c>
      <c r="E5" s="3">
        <v>27</v>
      </c>
      <c r="F5" s="3">
        <v>35</v>
      </c>
      <c r="G5" s="3">
        <v>36</v>
      </c>
      <c r="H5" s="32"/>
      <c r="I5" s="3">
        <f>IF(OR(B5="",ISBLANK(B5),B5=0),0,IF(MOD(B5,2)=1,1,2))</f>
        <v>1</v>
      </c>
      <c r="J5" s="3">
        <f>IF(OR(C5="",ISBLANK(C5),C5=0),0,IF(MOD(C5,2)=1,1,2))</f>
        <v>2</v>
      </c>
      <c r="K5" s="3">
        <f>IF(OR(D5="",ISBLANK(D5),D5=0),0,IF(MOD(D5,2)=1,1,2))</f>
        <v>1</v>
      </c>
      <c r="L5" s="3">
        <f>IF(OR(E5="",ISBLANK(E5),E5=0),0,IF(MOD(E5,2)=1,1,2))</f>
        <v>1</v>
      </c>
      <c r="M5" s="3">
        <f>IF(OR(F5="",ISBLANK(F5),F5=0),0,IF(MOD(F5,2)=1,1,2))</f>
        <v>1</v>
      </c>
      <c r="N5" s="3">
        <f>IF(OR(G5="",ISBLANK(G5),G5=0),0,IF(MOD(G5,2)=1,1,2))</f>
        <v>2</v>
      </c>
      <c r="O5" s="32"/>
      <c r="P5" s="3" cm="1">
        <f t="array" ref="P5">SUMPRODUCT(--(MOD(B5:G5,2)=1))</f>
        <v>4</v>
      </c>
      <c r="Q5" s="3">
        <f>6-P5</f>
        <v>2</v>
      </c>
      <c r="R5" s="34"/>
      <c r="S5" s="3">
        <f>COUNTIFS(B5:G5,"&gt;=1",B5:G5,"&lt;=23")</f>
        <v>2</v>
      </c>
      <c r="T5" s="3">
        <f>6-S5</f>
        <v>4</v>
      </c>
      <c r="U5" s="34"/>
      <c r="V5" s="3" cm="1">
        <f t="array" ref="V5">SUMPRODUCT(--(MOD(B5:G5,10)&gt;=1), --(MOD(B5:G5,10)&lt;=5))</f>
        <v>3</v>
      </c>
      <c r="W5" s="3">
        <f>6-V5</f>
        <v>3</v>
      </c>
      <c r="X5" s="34"/>
      <c r="Y5" s="3" cm="1">
        <f t="array" ref="Y5">IFERROR(COUNT(_xlfn._xlws.FILTER(B5:G5, ISNUMBER(MATCH(B5:G5, {2,3,5,7,11,13,17,19,23,29,31,37,41,43}, 0)))), 0)</f>
        <v>1</v>
      </c>
      <c r="Z5" s="3" cm="1">
        <f t="array" ref="Z5">IFERROR(COUNT(_xlfn._xlws.FILTER(B5:G5, ISNUMBER(MATCH(B5:G5, {1,4,8,10,14,16,20,22,25,26,28,32,34,35,38,40,44}, 0)))), 0)</f>
        <v>3</v>
      </c>
      <c r="AA5" s="3" cm="1">
        <f t="array" ref="AA5">IFERROR(COUNT(_xlfn._xlws.FILTER(B5:G5, ISNUMBER(MATCH(B5:G5, {6,9,12,15,18,21,24,27,30,33,36,39,42,45}, 0)))), 0)</f>
        <v>2</v>
      </c>
      <c r="AB5" s="30"/>
      <c r="AC5" s="26"/>
      <c r="AD5" s="26"/>
      <c r="AE5" s="26"/>
      <c r="AF5" s="26"/>
      <c r="AG5" s="26"/>
      <c r="AH5" s="26"/>
      <c r="AI5" s="30"/>
      <c r="AJ5" s="3">
        <f>COUNTIFS(B5:G5,"&gt;=1",B5:G5,"&lt;=14")</f>
        <v>1</v>
      </c>
      <c r="AK5" s="3">
        <f>COUNTIFS(B5:G5,"&gt;=15",B5:G5,"&lt;=31")</f>
        <v>3</v>
      </c>
      <c r="AL5" s="3">
        <f>6-AK5-AJ5</f>
        <v>2</v>
      </c>
      <c r="AM5" s="33"/>
      <c r="AN5" s="3">
        <f>COUNTIFS($B5:$G5, "&gt;=1",$B5:$G5, "&lt;=9")</f>
        <v>0</v>
      </c>
      <c r="AO5" s="3">
        <f>COUNTIFS($B5:$G5, "&gt;=10",$B5:$G5, "&lt;=18")</f>
        <v>2</v>
      </c>
      <c r="AP5" s="3">
        <f>COUNTIFS($B5:$G5, "&gt;=19",$B5:$G5, "&lt;=27")</f>
        <v>2</v>
      </c>
      <c r="AQ5" s="3">
        <f>COUNTIFS($B5:$G5, "&gt;=28",$B5:$G5, "&lt;=36")</f>
        <v>2</v>
      </c>
      <c r="AR5" s="3">
        <f>COUNTIFS($B5:$G5, "&gt;=37",$B5:$G5, "&lt;=45")</f>
        <v>0</v>
      </c>
      <c r="AS5" s="28" t="e">
        <f>#REF!</f>
        <v>#REF!</v>
      </c>
      <c r="AT5" s="28" t="e">
        <f>#REF!*2</f>
        <v>#REF!</v>
      </c>
      <c r="AU5" s="28" t="e">
        <f>#REF!</f>
        <v>#REF!</v>
      </c>
      <c r="AV5" s="28" t="e">
        <f>#REF!*2</f>
        <v>#REF!</v>
      </c>
      <c r="AW5" s="28" t="e">
        <f>#REF!</f>
        <v>#REF!</v>
      </c>
      <c r="AX5" s="28" t="e">
        <f>#REF!*2</f>
        <v>#REF!</v>
      </c>
      <c r="AY5" s="28" t="e">
        <f>#REF!</f>
        <v>#REF!</v>
      </c>
      <c r="AZ5" s="28" t="e">
        <f>#REF!*2</f>
        <v>#REF!</v>
      </c>
      <c r="BA5" s="28" t="e">
        <f>#REF!</f>
        <v>#REF!</v>
      </c>
      <c r="BB5" s="28" t="e">
        <f>#REF!*2</f>
        <v>#REF!</v>
      </c>
      <c r="BC5" s="28" t="e">
        <f>#REF!</f>
        <v>#REF!</v>
      </c>
      <c r="BD5" s="28" t="e">
        <f>#REF!*2</f>
        <v>#REF!</v>
      </c>
      <c r="BE5" s="9" t="e">
        <f>#REF!-#REF!</f>
        <v>#REF!</v>
      </c>
      <c r="BF5" s="9" t="e">
        <f>#REF!-#REF!</f>
        <v>#REF!</v>
      </c>
      <c r="BG5" s="9" t="e">
        <f>#REF!-#REF!</f>
        <v>#REF!</v>
      </c>
      <c r="BH5" s="9" t="e">
        <f>#REF!-#REF!</f>
        <v>#REF!</v>
      </c>
      <c r="BI5" s="9" t="e">
        <f>#REF!-#REF!</f>
        <v>#REF!</v>
      </c>
      <c r="BJ5" s="33"/>
      <c r="BK5" s="3">
        <f>COUNTIFS(B5:G5, "&gt;=1", B5:G5, "&lt;=9")</f>
        <v>0</v>
      </c>
      <c r="BL5" s="3">
        <f>COUNTIFS(B5:G5, "&gt;=10", B5:G5, "&lt;=19")</f>
        <v>2</v>
      </c>
      <c r="BM5" s="3">
        <f>COUNTIFS(B5:G5, "&gt;=20", B5:G5, "&lt;=29")</f>
        <v>2</v>
      </c>
      <c r="BN5" s="3">
        <f>COUNTIFS(B5:G5, "&gt;=30", B5:G5, "&lt;=39")</f>
        <v>2</v>
      </c>
      <c r="BO5" s="3">
        <f>COUNTIFS(B5:G5, "&gt;=40", B5:G5, "&lt;=45")</f>
        <v>0</v>
      </c>
      <c r="BP5" s="28" t="e">
        <f>#REF!</f>
        <v>#REF!</v>
      </c>
      <c r="BQ5" s="28" t="e">
        <f>#REF!*2</f>
        <v>#REF!</v>
      </c>
      <c r="BR5" s="28" t="e">
        <f>#REF!</f>
        <v>#REF!</v>
      </c>
      <c r="BS5" s="28" t="e">
        <f>#REF!*2</f>
        <v>#REF!</v>
      </c>
      <c r="BT5" s="28" t="e">
        <f>#REF!</f>
        <v>#REF!</v>
      </c>
      <c r="BU5" s="28" t="e">
        <f>#REF!*2</f>
        <v>#REF!</v>
      </c>
      <c r="BV5" s="28" t="e">
        <f>#REF!</f>
        <v>#REF!</v>
      </c>
      <c r="BW5" s="28" t="e">
        <f>#REF!*2</f>
        <v>#REF!</v>
      </c>
      <c r="BX5" s="28" t="e">
        <f>#REF!</f>
        <v>#REF!</v>
      </c>
      <c r="BY5" s="28" t="e">
        <f>#REF!*2</f>
        <v>#REF!</v>
      </c>
      <c r="BZ5" s="28" t="e">
        <f>#REF!</f>
        <v>#REF!</v>
      </c>
      <c r="CA5" s="28" t="e">
        <f>#REF!*2</f>
        <v>#REF!</v>
      </c>
      <c r="CB5" s="9">
        <f>C5-B5</f>
        <v>5</v>
      </c>
      <c r="CC5" s="9">
        <f>D5-C5</f>
        <v>9</v>
      </c>
      <c r="CD5" s="9">
        <f>E5-D5</f>
        <v>2</v>
      </c>
      <c r="CE5" s="9">
        <f>F5-E5</f>
        <v>8</v>
      </c>
      <c r="CF5" s="9">
        <f>G5-F5</f>
        <v>1</v>
      </c>
      <c r="CG5" s="33"/>
      <c r="CH5" s="9">
        <f>C5-B5</f>
        <v>5</v>
      </c>
      <c r="CI5" s="9">
        <f>D5-C5</f>
        <v>9</v>
      </c>
      <c r="CJ5" s="9">
        <f>E5-D5</f>
        <v>2</v>
      </c>
      <c r="CK5" s="9">
        <f>F5-E5</f>
        <v>8</v>
      </c>
      <c r="CL5" s="9">
        <f>G5-F5</f>
        <v>1</v>
      </c>
      <c r="CM5" s="32"/>
      <c r="CN5" s="3">
        <f>IF(OR(CH5="",ISBLANK(CH5),CH5=0),0,IF(MOD(CH5,2)=1,1,2))</f>
        <v>1</v>
      </c>
      <c r="CO5" s="3">
        <f>IF(OR(CI5="",ISBLANK(CI5),CI5=0),0,IF(MOD(CI5,2)=1,1,2))</f>
        <v>1</v>
      </c>
      <c r="CP5" s="3">
        <f>IF(OR(CJ5="",ISBLANK(CJ5),CJ5=0),0,IF(MOD(CJ5,2)=1,1,2))</f>
        <v>2</v>
      </c>
      <c r="CQ5" s="3">
        <f>IF(OR(CK5="",ISBLANK(CK5),CK5=0),0,IF(MOD(CK5,2)=1,1,2))</f>
        <v>2</v>
      </c>
      <c r="CR5" s="3">
        <f>IF(OR(CL5="",ISBLANK(CL5),CL5=0),0,IF(MOD(CL5,2)=1,1,2))</f>
        <v>1</v>
      </c>
      <c r="CS5" s="31"/>
      <c r="CT5" s="3" cm="1">
        <f t="array" ref="CT5">SUMPRODUCT(--(MOD(CH5:CL5,2)=1))</f>
        <v>3</v>
      </c>
      <c r="CU5" s="3">
        <f>5-CT5</f>
        <v>2</v>
      </c>
      <c r="CV5" s="30"/>
      <c r="CW5" s="3" cm="1">
        <f t="array" ref="CW5">SUMPRODUCT(--(MOD(CH5:CL5,10)&gt;=1), --(MOD(CH5:CL5,10)&lt;=5))</f>
        <v>3</v>
      </c>
      <c r="CX5" s="3">
        <f>5-CW5</f>
        <v>2</v>
      </c>
      <c r="CY5" s="30"/>
      <c r="CZ5" s="3" cm="1">
        <f t="array" ref="CZ5">IFERROR(COUNT(_xlfn._xlws.FILTER(CH5:CL5, ISNUMBER(MATCH(CH5:CL5, {2,3,5,7,11,13,17,19,23,29,31,37,41,43}, 0)))), 0)</f>
        <v>2</v>
      </c>
      <c r="DA5" s="3" cm="1">
        <f t="array" ref="DA5">IFERROR(COUNT(_xlfn._xlws.FILTER(CH5:CL5, ISNUMBER(MATCH(CH5:CL5, {1,4,8,10,14,16,20,22,25,26,28,32,34,35,38,40,44}, 0)))), 0)</f>
        <v>2</v>
      </c>
      <c r="DB5" s="3" cm="1">
        <f t="array" ref="DB5">IFERROR(COUNT(_xlfn._xlws.FILTER(CH5:CL5, ISNUMBER(MATCH(CH5:CL5, {6,9,12,15,18,21,24,27,30,33,36,39,42,45}, 0)))), 0)</f>
        <v>1</v>
      </c>
      <c r="DC5" s="29"/>
      <c r="DD5" s="28" t="e">
        <f>#REF!</f>
        <v>#REF!</v>
      </c>
      <c r="DE5" s="28" t="e">
        <f>#REF!*2</f>
        <v>#REF!</v>
      </c>
      <c r="DF5" s="28" t="e">
        <f>#REF!</f>
        <v>#REF!</v>
      </c>
      <c r="DG5" s="28" t="e">
        <f>#REF!*2</f>
        <v>#REF!</v>
      </c>
      <c r="DH5" s="28" t="e">
        <f>#REF!</f>
        <v>#REF!</v>
      </c>
      <c r="DI5" s="28" t="e">
        <f>#REF!*2</f>
        <v>#REF!</v>
      </c>
      <c r="DJ5" s="28" t="e">
        <f>#REF!</f>
        <v>#REF!</v>
      </c>
      <c r="DK5" s="28" t="e">
        <f>#REF!*2</f>
        <v>#REF!</v>
      </c>
      <c r="DL5" s="28" t="e">
        <f>#REF!</f>
        <v>#REF!</v>
      </c>
      <c r="DM5" s="28" t="e">
        <f>#REF!*2</f>
        <v>#REF!</v>
      </c>
      <c r="DN5" s="27"/>
      <c r="DO5" s="26"/>
      <c r="DP5" s="26"/>
      <c r="DQ5" s="26"/>
      <c r="DR5" s="26"/>
      <c r="DS5" s="26"/>
      <c r="DT5" s="25"/>
    </row>
    <row r="6" spans="1:124" x14ac:dyDescent="0.3">
      <c r="B6" s="3">
        <v>13</v>
      </c>
      <c r="C6" s="3">
        <v>14</v>
      </c>
      <c r="D6" s="3">
        <v>18</v>
      </c>
      <c r="E6" s="3">
        <v>21</v>
      </c>
      <c r="F6" s="3">
        <v>34</v>
      </c>
      <c r="G6" s="3">
        <v>44</v>
      </c>
      <c r="H6" s="32"/>
      <c r="I6" s="3">
        <f>IF(OR(B6="",ISBLANK(B6),B6=0),0,IF(MOD(B6,2)=1,1,2))</f>
        <v>1</v>
      </c>
      <c r="J6" s="3">
        <f>IF(OR(C6="",ISBLANK(C6),C6=0),0,IF(MOD(C6,2)=1,1,2))</f>
        <v>2</v>
      </c>
      <c r="K6" s="3">
        <f>IF(OR(D6="",ISBLANK(D6),D6=0),0,IF(MOD(D6,2)=1,1,2))</f>
        <v>2</v>
      </c>
      <c r="L6" s="3">
        <f>IF(OR(E6="",ISBLANK(E6),E6=0),0,IF(MOD(E6,2)=1,1,2))</f>
        <v>1</v>
      </c>
      <c r="M6" s="3">
        <f>IF(OR(F6="",ISBLANK(F6),F6=0),0,IF(MOD(F6,2)=1,1,2))</f>
        <v>2</v>
      </c>
      <c r="N6" s="3">
        <f>IF(OR(G6="",ISBLANK(G6),G6=0),0,IF(MOD(G6,2)=1,1,2))</f>
        <v>2</v>
      </c>
      <c r="O6" s="32"/>
      <c r="P6" s="3" cm="1">
        <f t="array" ref="P6">SUMPRODUCT(--(MOD(B6:G6,2)=1))</f>
        <v>2</v>
      </c>
      <c r="Q6" s="3">
        <f>6-P6</f>
        <v>4</v>
      </c>
      <c r="R6" s="34"/>
      <c r="S6" s="3">
        <f>COUNTIFS(B6:G6,"&gt;=1",B6:G6,"&lt;=23")</f>
        <v>4</v>
      </c>
      <c r="T6" s="3">
        <f>6-S6</f>
        <v>2</v>
      </c>
      <c r="U6" s="34"/>
      <c r="V6" s="3" cm="1">
        <f t="array" ref="V6">SUMPRODUCT(--(MOD(B6:G6,10)&gt;=1), --(MOD(B6:G6,10)&lt;=5))</f>
        <v>5</v>
      </c>
      <c r="W6" s="3">
        <f>6-V6</f>
        <v>1</v>
      </c>
      <c r="X6" s="34"/>
      <c r="Y6" s="3" cm="1">
        <f t="array" ref="Y6">IFERROR(COUNT(_xlfn._xlws.FILTER(B6:G6, ISNUMBER(MATCH(B6:G6, {2,3,5,7,11,13,17,19,23,29,31,37,41,43}, 0)))), 0)</f>
        <v>1</v>
      </c>
      <c r="Z6" s="3" cm="1">
        <f t="array" ref="Z6">IFERROR(COUNT(_xlfn._xlws.FILTER(B6:G6, ISNUMBER(MATCH(B6:G6, {1,4,8,10,14,16,20,22,25,26,28,32,34,35,38,40,44}, 0)))), 0)</f>
        <v>3</v>
      </c>
      <c r="AA6" s="3" cm="1">
        <f t="array" ref="AA6">IFERROR(COUNT(_xlfn._xlws.FILTER(B6:G6, ISNUMBER(MATCH(B6:G6, {6,9,12,15,18,21,24,27,30,33,36,39,42,45}, 0)))), 0)</f>
        <v>2</v>
      </c>
      <c r="AB6" s="30"/>
      <c r="AC6" s="26"/>
      <c r="AD6" s="26"/>
      <c r="AE6" s="26"/>
      <c r="AF6" s="26"/>
      <c r="AG6" s="26"/>
      <c r="AH6" s="26"/>
      <c r="AI6" s="30"/>
      <c r="AJ6" s="3">
        <f>COUNTIFS(B6:G6,"&gt;=1",B6:G6,"&lt;=14")</f>
        <v>2</v>
      </c>
      <c r="AK6" s="3">
        <f>COUNTIFS(B6:G6,"&gt;=15",B6:G6,"&lt;=31")</f>
        <v>2</v>
      </c>
      <c r="AL6" s="3">
        <f>6-AK6-AJ6</f>
        <v>2</v>
      </c>
      <c r="AM6" s="33"/>
      <c r="AN6" s="3">
        <f>COUNTIFS($B6:$G6, "&gt;=1",$B6:$G6, "&lt;=9")</f>
        <v>0</v>
      </c>
      <c r="AO6" s="3">
        <f>COUNTIFS($B6:$G6, "&gt;=10",$B6:$G6, "&lt;=18")</f>
        <v>3</v>
      </c>
      <c r="AP6" s="3">
        <f>COUNTIFS($B6:$G6, "&gt;=19",$B6:$G6, "&lt;=27")</f>
        <v>1</v>
      </c>
      <c r="AQ6" s="3">
        <f>COUNTIFS($B6:$G6, "&gt;=28",$B6:$G6, "&lt;=36")</f>
        <v>1</v>
      </c>
      <c r="AR6" s="3">
        <f>COUNTIFS($B6:$G6, "&gt;=37",$B6:$G6, "&lt;=45")</f>
        <v>1</v>
      </c>
      <c r="AS6" s="28" t="e">
        <f>#REF!</f>
        <v>#REF!</v>
      </c>
      <c r="AT6" s="28" t="e">
        <f>#REF!*2</f>
        <v>#REF!</v>
      </c>
      <c r="AU6" s="28" t="e">
        <f>#REF!</f>
        <v>#REF!</v>
      </c>
      <c r="AV6" s="28" t="e">
        <f>#REF!*2</f>
        <v>#REF!</v>
      </c>
      <c r="AW6" s="28" t="e">
        <f>#REF!</f>
        <v>#REF!</v>
      </c>
      <c r="AX6" s="28" t="e">
        <f>#REF!*2</f>
        <v>#REF!</v>
      </c>
      <c r="AY6" s="28" t="e">
        <f>#REF!</f>
        <v>#REF!</v>
      </c>
      <c r="AZ6" s="28" t="e">
        <f>#REF!*2</f>
        <v>#REF!</v>
      </c>
      <c r="BA6" s="28" t="e">
        <f>#REF!</f>
        <v>#REF!</v>
      </c>
      <c r="BB6" s="28" t="e">
        <f>#REF!*2</f>
        <v>#REF!</v>
      </c>
      <c r="BC6" s="28" t="e">
        <f>#REF!</f>
        <v>#REF!</v>
      </c>
      <c r="BD6" s="28" t="e">
        <f>#REF!*2</f>
        <v>#REF!</v>
      </c>
      <c r="BE6" s="9" t="e">
        <f>#REF!-#REF!</f>
        <v>#REF!</v>
      </c>
      <c r="BF6" s="9" t="e">
        <f>#REF!-#REF!</f>
        <v>#REF!</v>
      </c>
      <c r="BG6" s="9" t="e">
        <f>#REF!-#REF!</f>
        <v>#REF!</v>
      </c>
      <c r="BH6" s="9" t="e">
        <f>#REF!-#REF!</f>
        <v>#REF!</v>
      </c>
      <c r="BI6" s="9" t="e">
        <f>#REF!-#REF!</f>
        <v>#REF!</v>
      </c>
      <c r="BJ6" s="33"/>
      <c r="BK6" s="3">
        <f>COUNTIFS(B6:G6, "&gt;=1", B6:G6, "&lt;=9")</f>
        <v>0</v>
      </c>
      <c r="BL6" s="3">
        <f>COUNTIFS(B6:G6, "&gt;=10", B6:G6, "&lt;=19")</f>
        <v>3</v>
      </c>
      <c r="BM6" s="3">
        <f>COUNTIFS(B6:G6, "&gt;=20", B6:G6, "&lt;=29")</f>
        <v>1</v>
      </c>
      <c r="BN6" s="3">
        <f>COUNTIFS(B6:G6, "&gt;=30", B6:G6, "&lt;=39")</f>
        <v>1</v>
      </c>
      <c r="BO6" s="3">
        <f>COUNTIFS(B6:G6, "&gt;=40", B6:G6, "&lt;=45")</f>
        <v>1</v>
      </c>
      <c r="BP6" s="28" t="e">
        <f>#REF!</f>
        <v>#REF!</v>
      </c>
      <c r="BQ6" s="28" t="e">
        <f>#REF!*2</f>
        <v>#REF!</v>
      </c>
      <c r="BR6" s="28" t="e">
        <f>#REF!</f>
        <v>#REF!</v>
      </c>
      <c r="BS6" s="28" t="e">
        <f>#REF!*2</f>
        <v>#REF!</v>
      </c>
      <c r="BT6" s="28" t="e">
        <f>#REF!</f>
        <v>#REF!</v>
      </c>
      <c r="BU6" s="28" t="e">
        <f>#REF!*2</f>
        <v>#REF!</v>
      </c>
      <c r="BV6" s="28" t="e">
        <f>#REF!</f>
        <v>#REF!</v>
      </c>
      <c r="BW6" s="28" t="e">
        <f>#REF!*2</f>
        <v>#REF!</v>
      </c>
      <c r="BX6" s="28" t="e">
        <f>#REF!</f>
        <v>#REF!</v>
      </c>
      <c r="BY6" s="28" t="e">
        <f>#REF!*2</f>
        <v>#REF!</v>
      </c>
      <c r="BZ6" s="28" t="e">
        <f>#REF!</f>
        <v>#REF!</v>
      </c>
      <c r="CA6" s="28" t="e">
        <f>#REF!*2</f>
        <v>#REF!</v>
      </c>
      <c r="CB6" s="9">
        <f>C6-B6</f>
        <v>1</v>
      </c>
      <c r="CC6" s="9">
        <f>D6-C6</f>
        <v>4</v>
      </c>
      <c r="CD6" s="9">
        <f>E6-D6</f>
        <v>3</v>
      </c>
      <c r="CE6" s="9">
        <f>F6-E6</f>
        <v>13</v>
      </c>
      <c r="CF6" s="9">
        <f>G6-F6</f>
        <v>10</v>
      </c>
      <c r="CG6" s="33"/>
      <c r="CH6" s="9">
        <f>C6-B6</f>
        <v>1</v>
      </c>
      <c r="CI6" s="9">
        <f>D6-C6</f>
        <v>4</v>
      </c>
      <c r="CJ6" s="9">
        <f>E6-D6</f>
        <v>3</v>
      </c>
      <c r="CK6" s="9">
        <f>F6-E6</f>
        <v>13</v>
      </c>
      <c r="CL6" s="9">
        <f>G6-F6</f>
        <v>10</v>
      </c>
      <c r="CM6" s="32"/>
      <c r="CN6" s="3">
        <f>IF(OR(CH6="",ISBLANK(CH6),CH6=0),0,IF(MOD(CH6,2)=1,1,2))</f>
        <v>1</v>
      </c>
      <c r="CO6" s="3">
        <f>IF(OR(CI6="",ISBLANK(CI6),CI6=0),0,IF(MOD(CI6,2)=1,1,2))</f>
        <v>2</v>
      </c>
      <c r="CP6" s="3">
        <f>IF(OR(CJ6="",ISBLANK(CJ6),CJ6=0),0,IF(MOD(CJ6,2)=1,1,2))</f>
        <v>1</v>
      </c>
      <c r="CQ6" s="3">
        <f>IF(OR(CK6="",ISBLANK(CK6),CK6=0),0,IF(MOD(CK6,2)=1,1,2))</f>
        <v>1</v>
      </c>
      <c r="CR6" s="3">
        <f>IF(OR(CL6="",ISBLANK(CL6),CL6=0),0,IF(MOD(CL6,2)=1,1,2))</f>
        <v>2</v>
      </c>
      <c r="CS6" s="31"/>
      <c r="CT6" s="3" cm="1">
        <f t="array" ref="CT6">SUMPRODUCT(--(MOD(CH6:CL6,2)=1))</f>
        <v>3</v>
      </c>
      <c r="CU6" s="3">
        <f>5-CT6</f>
        <v>2</v>
      </c>
      <c r="CV6" s="30"/>
      <c r="CW6" s="3" cm="1">
        <f t="array" ref="CW6">SUMPRODUCT(--(MOD(CH6:CL6,10)&gt;=1), --(MOD(CH6:CL6,10)&lt;=5))</f>
        <v>4</v>
      </c>
      <c r="CX6" s="3">
        <f>5-CW6</f>
        <v>1</v>
      </c>
      <c r="CY6" s="30"/>
      <c r="CZ6" s="3" cm="1">
        <f t="array" ref="CZ6">IFERROR(COUNT(_xlfn._xlws.FILTER(CH6:CL6, ISNUMBER(MATCH(CH6:CL6, {2,3,5,7,11,13,17,19,23,29,31,37,41,43}, 0)))), 0)</f>
        <v>2</v>
      </c>
      <c r="DA6" s="3" cm="1">
        <f t="array" ref="DA6">IFERROR(COUNT(_xlfn._xlws.FILTER(CH6:CL6, ISNUMBER(MATCH(CH6:CL6, {1,4,8,10,14,16,20,22,25,26,28,32,34,35,38,40,44}, 0)))), 0)</f>
        <v>3</v>
      </c>
      <c r="DB6" s="3" cm="1">
        <f t="array" ref="DB6">IFERROR(COUNT(_xlfn._xlws.FILTER(CH6:CL6, ISNUMBER(MATCH(CH6:CL6, {6,9,12,15,18,21,24,27,30,33,36,39,42,45}, 0)))), 0)</f>
        <v>0</v>
      </c>
      <c r="DC6" s="29"/>
      <c r="DD6" s="28" t="e">
        <f>#REF!</f>
        <v>#REF!</v>
      </c>
      <c r="DE6" s="28" t="e">
        <f>#REF!*2</f>
        <v>#REF!</v>
      </c>
      <c r="DF6" s="28" t="e">
        <f>#REF!</f>
        <v>#REF!</v>
      </c>
      <c r="DG6" s="28" t="e">
        <f>#REF!*2</f>
        <v>#REF!</v>
      </c>
      <c r="DH6" s="28" t="e">
        <f>#REF!</f>
        <v>#REF!</v>
      </c>
      <c r="DI6" s="28" t="e">
        <f>#REF!*2</f>
        <v>#REF!</v>
      </c>
      <c r="DJ6" s="28" t="e">
        <f>#REF!</f>
        <v>#REF!</v>
      </c>
      <c r="DK6" s="28" t="e">
        <f>#REF!*2</f>
        <v>#REF!</v>
      </c>
      <c r="DL6" s="28" t="e">
        <f>#REF!</f>
        <v>#REF!</v>
      </c>
      <c r="DM6" s="28" t="e">
        <f>#REF!*2</f>
        <v>#REF!</v>
      </c>
      <c r="DN6" s="27"/>
      <c r="DO6" s="26"/>
      <c r="DP6" s="26"/>
      <c r="DQ6" s="26"/>
      <c r="DR6" s="26"/>
      <c r="DS6" s="26"/>
      <c r="DT6" s="25"/>
    </row>
    <row r="7" spans="1:124" x14ac:dyDescent="0.3">
      <c r="B7" s="3">
        <v>11</v>
      </c>
      <c r="C7" s="3">
        <v>21</v>
      </c>
      <c r="D7" s="3">
        <v>22</v>
      </c>
      <c r="E7" s="3">
        <v>30</v>
      </c>
      <c r="F7" s="3">
        <v>39</v>
      </c>
      <c r="G7" s="3">
        <v>44</v>
      </c>
      <c r="H7" s="32"/>
      <c r="I7" s="3">
        <f>IF(OR(B7="",ISBLANK(B7),B7=0),0,IF(MOD(B7,2)=1,1,2))</f>
        <v>1</v>
      </c>
      <c r="J7" s="3">
        <f>IF(OR(C7="",ISBLANK(C7),C7=0),0,IF(MOD(C7,2)=1,1,2))</f>
        <v>1</v>
      </c>
      <c r="K7" s="3">
        <f>IF(OR(D7="",ISBLANK(D7),D7=0),0,IF(MOD(D7,2)=1,1,2))</f>
        <v>2</v>
      </c>
      <c r="L7" s="3">
        <f>IF(OR(E7="",ISBLANK(E7),E7=0),0,IF(MOD(E7,2)=1,1,2))</f>
        <v>2</v>
      </c>
      <c r="M7" s="3">
        <f>IF(OR(F7="",ISBLANK(F7),F7=0),0,IF(MOD(F7,2)=1,1,2))</f>
        <v>1</v>
      </c>
      <c r="N7" s="3">
        <f>IF(OR(G7="",ISBLANK(G7),G7=0),0,IF(MOD(G7,2)=1,1,2))</f>
        <v>2</v>
      </c>
      <c r="O7" s="32"/>
      <c r="P7" s="3" cm="1">
        <f t="array" ref="P7">SUMPRODUCT(--(MOD(B7:G7,2)=1))</f>
        <v>3</v>
      </c>
      <c r="Q7" s="3">
        <f>6-P7</f>
        <v>3</v>
      </c>
      <c r="R7" s="34"/>
      <c r="S7" s="3">
        <f>COUNTIFS(B7:G7,"&gt;=1",B7:G7,"&lt;=23")</f>
        <v>3</v>
      </c>
      <c r="T7" s="3">
        <f>6-S7</f>
        <v>3</v>
      </c>
      <c r="U7" s="34"/>
      <c r="V7" s="3" cm="1">
        <f t="array" ref="V7">SUMPRODUCT(--(MOD(B7:G7,10)&gt;=1), --(MOD(B7:G7,10)&lt;=5))</f>
        <v>4</v>
      </c>
      <c r="W7" s="3">
        <f>6-V7</f>
        <v>2</v>
      </c>
      <c r="X7" s="34"/>
      <c r="Y7" s="3" cm="1">
        <f t="array" ref="Y7">IFERROR(COUNT(_xlfn._xlws.FILTER(B7:G7, ISNUMBER(MATCH(B7:G7, {2,3,5,7,11,13,17,19,23,29,31,37,41,43}, 0)))), 0)</f>
        <v>1</v>
      </c>
      <c r="Z7" s="3" cm="1">
        <f t="array" ref="Z7">IFERROR(COUNT(_xlfn._xlws.FILTER(B7:G7, ISNUMBER(MATCH(B7:G7, {1,4,8,10,14,16,20,22,25,26,28,32,34,35,38,40,44}, 0)))), 0)</f>
        <v>2</v>
      </c>
      <c r="AA7" s="3" cm="1">
        <f t="array" ref="AA7">IFERROR(COUNT(_xlfn._xlws.FILTER(B7:G7, ISNUMBER(MATCH(B7:G7, {6,9,12,15,18,21,24,27,30,33,36,39,42,45}, 0)))), 0)</f>
        <v>3</v>
      </c>
      <c r="AB7" s="30"/>
      <c r="AC7" s="26"/>
      <c r="AD7" s="26"/>
      <c r="AE7" s="26"/>
      <c r="AF7" s="26"/>
      <c r="AG7" s="26"/>
      <c r="AH7" s="26"/>
      <c r="AI7" s="30"/>
      <c r="AJ7" s="3">
        <f>COUNTIFS(B7:G7,"&gt;=1",B7:G7,"&lt;=14")</f>
        <v>1</v>
      </c>
      <c r="AK7" s="3">
        <f>COUNTIFS(B7:G7,"&gt;=15",B7:G7,"&lt;=31")</f>
        <v>3</v>
      </c>
      <c r="AL7" s="3">
        <f>6-AK7-AJ7</f>
        <v>2</v>
      </c>
      <c r="AM7" s="33"/>
      <c r="AN7" s="3">
        <f>COUNTIFS($B7:$G7, "&gt;=1",$B7:$G7, "&lt;=9")</f>
        <v>0</v>
      </c>
      <c r="AO7" s="3">
        <f>COUNTIFS($B7:$G7, "&gt;=10",$B7:$G7, "&lt;=18")</f>
        <v>1</v>
      </c>
      <c r="AP7" s="3">
        <f>COUNTIFS($B7:$G7, "&gt;=19",$B7:$G7, "&lt;=27")</f>
        <v>2</v>
      </c>
      <c r="AQ7" s="3">
        <f>COUNTIFS($B7:$G7, "&gt;=28",$B7:$G7, "&lt;=36")</f>
        <v>1</v>
      </c>
      <c r="AR7" s="3">
        <f>COUNTIFS($B7:$G7, "&gt;=37",$B7:$G7, "&lt;=45")</f>
        <v>2</v>
      </c>
      <c r="AS7" s="28" t="e">
        <f>#REF!</f>
        <v>#REF!</v>
      </c>
      <c r="AT7" s="28" t="e">
        <f>#REF!*2</f>
        <v>#REF!</v>
      </c>
      <c r="AU7" s="28" t="e">
        <f>#REF!</f>
        <v>#REF!</v>
      </c>
      <c r="AV7" s="28" t="e">
        <f>#REF!*2</f>
        <v>#REF!</v>
      </c>
      <c r="AW7" s="28" t="e">
        <f>#REF!</f>
        <v>#REF!</v>
      </c>
      <c r="AX7" s="28" t="e">
        <f>#REF!*2</f>
        <v>#REF!</v>
      </c>
      <c r="AY7" s="28" t="e">
        <f>#REF!</f>
        <v>#REF!</v>
      </c>
      <c r="AZ7" s="28" t="e">
        <f>#REF!*2</f>
        <v>#REF!</v>
      </c>
      <c r="BA7" s="28" t="e">
        <f>#REF!</f>
        <v>#REF!</v>
      </c>
      <c r="BB7" s="28" t="e">
        <f>#REF!*2</f>
        <v>#REF!</v>
      </c>
      <c r="BC7" s="28" t="e">
        <f>#REF!</f>
        <v>#REF!</v>
      </c>
      <c r="BD7" s="28" t="e">
        <f>#REF!*2</f>
        <v>#REF!</v>
      </c>
      <c r="BE7" s="9" t="e">
        <f>#REF!-#REF!</f>
        <v>#REF!</v>
      </c>
      <c r="BF7" s="9" t="e">
        <f>#REF!-#REF!</f>
        <v>#REF!</v>
      </c>
      <c r="BG7" s="9" t="e">
        <f>#REF!-#REF!</f>
        <v>#REF!</v>
      </c>
      <c r="BH7" s="9" t="e">
        <f>#REF!-#REF!</f>
        <v>#REF!</v>
      </c>
      <c r="BI7" s="9" t="e">
        <f>#REF!-#REF!</f>
        <v>#REF!</v>
      </c>
      <c r="BJ7" s="33"/>
      <c r="BK7" s="3">
        <f>COUNTIFS(B7:G7, "&gt;=1", B7:G7, "&lt;=9")</f>
        <v>0</v>
      </c>
      <c r="BL7" s="3">
        <f>COUNTIFS(B7:G7, "&gt;=10", B7:G7, "&lt;=19")</f>
        <v>1</v>
      </c>
      <c r="BM7" s="3">
        <f>COUNTIFS(B7:G7, "&gt;=20", B7:G7, "&lt;=29")</f>
        <v>2</v>
      </c>
      <c r="BN7" s="3">
        <f>COUNTIFS(B7:G7, "&gt;=30", B7:G7, "&lt;=39")</f>
        <v>2</v>
      </c>
      <c r="BO7" s="3">
        <f>COUNTIFS(B7:G7, "&gt;=40", B7:G7, "&lt;=45")</f>
        <v>1</v>
      </c>
      <c r="BP7" s="28" t="e">
        <f>#REF!</f>
        <v>#REF!</v>
      </c>
      <c r="BQ7" s="28" t="e">
        <f>#REF!*2</f>
        <v>#REF!</v>
      </c>
      <c r="BR7" s="28" t="e">
        <f>#REF!</f>
        <v>#REF!</v>
      </c>
      <c r="BS7" s="28" t="e">
        <f>#REF!*2</f>
        <v>#REF!</v>
      </c>
      <c r="BT7" s="28" t="e">
        <f>#REF!</f>
        <v>#REF!</v>
      </c>
      <c r="BU7" s="28" t="e">
        <f>#REF!*2</f>
        <v>#REF!</v>
      </c>
      <c r="BV7" s="28" t="e">
        <f>#REF!</f>
        <v>#REF!</v>
      </c>
      <c r="BW7" s="28" t="e">
        <f>#REF!*2</f>
        <v>#REF!</v>
      </c>
      <c r="BX7" s="28" t="e">
        <f>#REF!</f>
        <v>#REF!</v>
      </c>
      <c r="BY7" s="28" t="e">
        <f>#REF!*2</f>
        <v>#REF!</v>
      </c>
      <c r="BZ7" s="28" t="e">
        <f>#REF!</f>
        <v>#REF!</v>
      </c>
      <c r="CA7" s="28" t="e">
        <f>#REF!*2</f>
        <v>#REF!</v>
      </c>
      <c r="CB7" s="9">
        <f>C7-B7</f>
        <v>10</v>
      </c>
      <c r="CC7" s="9">
        <f>D7-C7</f>
        <v>1</v>
      </c>
      <c r="CD7" s="9">
        <f>E7-D7</f>
        <v>8</v>
      </c>
      <c r="CE7" s="9">
        <f>F7-E7</f>
        <v>9</v>
      </c>
      <c r="CF7" s="9">
        <f>G7-F7</f>
        <v>5</v>
      </c>
      <c r="CG7" s="33"/>
      <c r="CH7" s="9">
        <f>C7-B7</f>
        <v>10</v>
      </c>
      <c r="CI7" s="9">
        <f>D7-C7</f>
        <v>1</v>
      </c>
      <c r="CJ7" s="9">
        <f>E7-D7</f>
        <v>8</v>
      </c>
      <c r="CK7" s="9">
        <f>F7-E7</f>
        <v>9</v>
      </c>
      <c r="CL7" s="9">
        <f>G7-F7</f>
        <v>5</v>
      </c>
      <c r="CM7" s="32"/>
      <c r="CN7" s="3">
        <f>IF(OR(CH7="",ISBLANK(CH7),CH7=0),0,IF(MOD(CH7,2)=1,1,2))</f>
        <v>2</v>
      </c>
      <c r="CO7" s="3">
        <f>IF(OR(CI7="",ISBLANK(CI7),CI7=0),0,IF(MOD(CI7,2)=1,1,2))</f>
        <v>1</v>
      </c>
      <c r="CP7" s="3">
        <f>IF(OR(CJ7="",ISBLANK(CJ7),CJ7=0),0,IF(MOD(CJ7,2)=1,1,2))</f>
        <v>2</v>
      </c>
      <c r="CQ7" s="3">
        <f>IF(OR(CK7="",ISBLANK(CK7),CK7=0),0,IF(MOD(CK7,2)=1,1,2))</f>
        <v>1</v>
      </c>
      <c r="CR7" s="3">
        <f>IF(OR(CL7="",ISBLANK(CL7),CL7=0),0,IF(MOD(CL7,2)=1,1,2))</f>
        <v>1</v>
      </c>
      <c r="CS7" s="31"/>
      <c r="CT7" s="3" cm="1">
        <f t="array" ref="CT7">SUMPRODUCT(--(MOD(CH7:CL7,2)=1))</f>
        <v>3</v>
      </c>
      <c r="CU7" s="3">
        <f>5-CT7</f>
        <v>2</v>
      </c>
      <c r="CV7" s="30"/>
      <c r="CW7" s="3" cm="1">
        <f t="array" ref="CW7">SUMPRODUCT(--(MOD(CH7:CL7,10)&gt;=1), --(MOD(CH7:CL7,10)&lt;=5))</f>
        <v>2</v>
      </c>
      <c r="CX7" s="3">
        <f>5-CW7</f>
        <v>3</v>
      </c>
      <c r="CY7" s="30"/>
      <c r="CZ7" s="3" cm="1">
        <f t="array" ref="CZ7">IFERROR(COUNT(_xlfn._xlws.FILTER(CH7:CL7, ISNUMBER(MATCH(CH7:CL7, {2,3,5,7,11,13,17,19,23,29,31,37,41,43}, 0)))), 0)</f>
        <v>1</v>
      </c>
      <c r="DA7" s="3" cm="1">
        <f t="array" ref="DA7">IFERROR(COUNT(_xlfn._xlws.FILTER(CH7:CL7, ISNUMBER(MATCH(CH7:CL7, {1,4,8,10,14,16,20,22,25,26,28,32,34,35,38,40,44}, 0)))), 0)</f>
        <v>3</v>
      </c>
      <c r="DB7" s="3" cm="1">
        <f t="array" ref="DB7">IFERROR(COUNT(_xlfn._xlws.FILTER(CH7:CL7, ISNUMBER(MATCH(CH7:CL7, {6,9,12,15,18,21,24,27,30,33,36,39,42,45}, 0)))), 0)</f>
        <v>1</v>
      </c>
      <c r="DC7" s="29"/>
      <c r="DD7" s="28" t="e">
        <f>#REF!</f>
        <v>#REF!</v>
      </c>
      <c r="DE7" s="28" t="e">
        <f>#REF!*2</f>
        <v>#REF!</v>
      </c>
      <c r="DF7" s="28" t="e">
        <f>#REF!</f>
        <v>#REF!</v>
      </c>
      <c r="DG7" s="28" t="e">
        <f>#REF!*2</f>
        <v>#REF!</v>
      </c>
      <c r="DH7" s="28" t="e">
        <f>#REF!</f>
        <v>#REF!</v>
      </c>
      <c r="DI7" s="28" t="e">
        <f>#REF!*2</f>
        <v>#REF!</v>
      </c>
      <c r="DJ7" s="28" t="e">
        <f>#REF!</f>
        <v>#REF!</v>
      </c>
      <c r="DK7" s="28" t="e">
        <f>#REF!*2</f>
        <v>#REF!</v>
      </c>
      <c r="DL7" s="28" t="e">
        <f>#REF!</f>
        <v>#REF!</v>
      </c>
      <c r="DM7" s="28" t="e">
        <f>#REF!*2</f>
        <v>#REF!</v>
      </c>
      <c r="DN7" s="27"/>
      <c r="DO7" s="26"/>
      <c r="DP7" s="26"/>
      <c r="DQ7" s="26"/>
      <c r="DR7" s="26"/>
      <c r="DS7" s="26"/>
      <c r="DT7" s="25"/>
    </row>
    <row r="8" spans="1:124" x14ac:dyDescent="0.3">
      <c r="B8" s="3">
        <v>4</v>
      </c>
      <c r="C8" s="3">
        <v>18</v>
      </c>
      <c r="D8" s="3">
        <v>31</v>
      </c>
      <c r="E8" s="3">
        <v>37</v>
      </c>
      <c r="F8" s="3">
        <v>42</v>
      </c>
      <c r="G8" s="3">
        <v>43</v>
      </c>
      <c r="H8" s="32"/>
      <c r="I8" s="3">
        <f>IF(OR(B8="",ISBLANK(B8),B8=0),0,IF(MOD(B8,2)=1,1,2))</f>
        <v>2</v>
      </c>
      <c r="J8" s="3">
        <f>IF(OR(C8="",ISBLANK(C8),C8=0),0,IF(MOD(C8,2)=1,1,2))</f>
        <v>2</v>
      </c>
      <c r="K8" s="3">
        <f>IF(OR(D8="",ISBLANK(D8),D8=0),0,IF(MOD(D8,2)=1,1,2))</f>
        <v>1</v>
      </c>
      <c r="L8" s="3">
        <f>IF(OR(E8="",ISBLANK(E8),E8=0),0,IF(MOD(E8,2)=1,1,2))</f>
        <v>1</v>
      </c>
      <c r="M8" s="3">
        <f>IF(OR(F8="",ISBLANK(F8),F8=0),0,IF(MOD(F8,2)=1,1,2))</f>
        <v>2</v>
      </c>
      <c r="N8" s="3">
        <f>IF(OR(G8="",ISBLANK(G8),G8=0),0,IF(MOD(G8,2)=1,1,2))</f>
        <v>1</v>
      </c>
      <c r="O8" s="32"/>
      <c r="P8" s="3" cm="1">
        <f t="array" ref="P8">SUMPRODUCT(--(MOD(B8:G8,2)=1))</f>
        <v>3</v>
      </c>
      <c r="Q8" s="3">
        <f>6-P8</f>
        <v>3</v>
      </c>
      <c r="R8" s="34"/>
      <c r="S8" s="3">
        <f>COUNTIFS(B8:G8,"&gt;=1",B8:G8,"&lt;=23")</f>
        <v>2</v>
      </c>
      <c r="T8" s="3">
        <f>6-S8</f>
        <v>4</v>
      </c>
      <c r="U8" s="34"/>
      <c r="V8" s="3" cm="1">
        <f t="array" ref="V8">SUMPRODUCT(--(MOD(B8:G8,10)&gt;=1), --(MOD(B8:G8,10)&lt;=5))</f>
        <v>4</v>
      </c>
      <c r="W8" s="3">
        <f>6-V8</f>
        <v>2</v>
      </c>
      <c r="X8" s="34"/>
      <c r="Y8" s="3" cm="1">
        <f t="array" ref="Y8">IFERROR(COUNT(_xlfn._xlws.FILTER(B8:G8, ISNUMBER(MATCH(B8:G8, {2,3,5,7,11,13,17,19,23,29,31,37,41,43}, 0)))), 0)</f>
        <v>3</v>
      </c>
      <c r="Z8" s="3" cm="1">
        <f t="array" ref="Z8">IFERROR(COUNT(_xlfn._xlws.FILTER(B8:G8, ISNUMBER(MATCH(B8:G8, {1,4,8,10,14,16,20,22,25,26,28,32,34,35,38,40,44}, 0)))), 0)</f>
        <v>1</v>
      </c>
      <c r="AA8" s="3" cm="1">
        <f t="array" ref="AA8">IFERROR(COUNT(_xlfn._xlws.FILTER(B8:G8, ISNUMBER(MATCH(B8:G8, {6,9,12,15,18,21,24,27,30,33,36,39,42,45}, 0)))), 0)</f>
        <v>2</v>
      </c>
      <c r="AB8" s="30"/>
      <c r="AC8" s="26"/>
      <c r="AD8" s="26"/>
      <c r="AE8" s="26"/>
      <c r="AF8" s="26"/>
      <c r="AG8" s="26"/>
      <c r="AH8" s="26"/>
      <c r="AI8" s="30"/>
      <c r="AJ8" s="3">
        <f>COUNTIFS(B8:G8,"&gt;=1",B8:G8,"&lt;=14")</f>
        <v>1</v>
      </c>
      <c r="AK8" s="3">
        <f>COUNTIFS(B8:G8,"&gt;=15",B8:G8,"&lt;=31")</f>
        <v>2</v>
      </c>
      <c r="AL8" s="3">
        <f>6-AK8-AJ8</f>
        <v>3</v>
      </c>
      <c r="AM8" s="33"/>
      <c r="AN8" s="3">
        <f>COUNTIFS($B8:$G8, "&gt;=1",$B8:$G8, "&lt;=9")</f>
        <v>1</v>
      </c>
      <c r="AO8" s="3">
        <f>COUNTIFS($B8:$G8, "&gt;=10",$B8:$G8, "&lt;=18")</f>
        <v>1</v>
      </c>
      <c r="AP8" s="3">
        <f>COUNTIFS($B8:$G8, "&gt;=19",$B8:$G8, "&lt;=27")</f>
        <v>0</v>
      </c>
      <c r="AQ8" s="3">
        <f>COUNTIFS($B8:$G8, "&gt;=28",$B8:$G8, "&lt;=36")</f>
        <v>1</v>
      </c>
      <c r="AR8" s="3">
        <f>COUNTIFS($B8:$G8, "&gt;=37",$B8:$G8, "&lt;=45")</f>
        <v>3</v>
      </c>
      <c r="AS8" s="28" t="e">
        <f>#REF!</f>
        <v>#REF!</v>
      </c>
      <c r="AT8" s="28" t="e">
        <f>#REF!*2</f>
        <v>#REF!</v>
      </c>
      <c r="AU8" s="28" t="e">
        <f>#REF!</f>
        <v>#REF!</v>
      </c>
      <c r="AV8" s="28" t="e">
        <f>#REF!*2</f>
        <v>#REF!</v>
      </c>
      <c r="AW8" s="28" t="e">
        <f>#REF!</f>
        <v>#REF!</v>
      </c>
      <c r="AX8" s="28" t="e">
        <f>#REF!*2</f>
        <v>#REF!</v>
      </c>
      <c r="AY8" s="28" t="e">
        <f>#REF!</f>
        <v>#REF!</v>
      </c>
      <c r="AZ8" s="28" t="e">
        <f>#REF!*2</f>
        <v>#REF!</v>
      </c>
      <c r="BA8" s="28" t="e">
        <f>#REF!</f>
        <v>#REF!</v>
      </c>
      <c r="BB8" s="28" t="e">
        <f>#REF!*2</f>
        <v>#REF!</v>
      </c>
      <c r="BC8" s="28" t="e">
        <f>#REF!</f>
        <v>#REF!</v>
      </c>
      <c r="BD8" s="28" t="e">
        <f>#REF!*2</f>
        <v>#REF!</v>
      </c>
      <c r="BE8" s="9" t="e">
        <f>#REF!-#REF!</f>
        <v>#REF!</v>
      </c>
      <c r="BF8" s="9" t="e">
        <f>#REF!-#REF!</f>
        <v>#REF!</v>
      </c>
      <c r="BG8" s="9" t="e">
        <f>#REF!-#REF!</f>
        <v>#REF!</v>
      </c>
      <c r="BH8" s="9" t="e">
        <f>#REF!-#REF!</f>
        <v>#REF!</v>
      </c>
      <c r="BI8" s="9" t="e">
        <f>#REF!-#REF!</f>
        <v>#REF!</v>
      </c>
      <c r="BJ8" s="33"/>
      <c r="BK8" s="3">
        <f>COUNTIFS(B8:G8, "&gt;=1", B8:G8, "&lt;=9")</f>
        <v>1</v>
      </c>
      <c r="BL8" s="3">
        <f>COUNTIFS(B8:G8, "&gt;=10", B8:G8, "&lt;=19")</f>
        <v>1</v>
      </c>
      <c r="BM8" s="3">
        <f>COUNTIFS(B8:G8, "&gt;=20", B8:G8, "&lt;=29")</f>
        <v>0</v>
      </c>
      <c r="BN8" s="3">
        <f>COUNTIFS(B8:G8, "&gt;=30", B8:G8, "&lt;=39")</f>
        <v>2</v>
      </c>
      <c r="BO8" s="3">
        <f>COUNTIFS(B8:G8, "&gt;=40", B8:G8, "&lt;=45")</f>
        <v>2</v>
      </c>
      <c r="BP8" s="28" t="e">
        <f>#REF!</f>
        <v>#REF!</v>
      </c>
      <c r="BQ8" s="28" t="e">
        <f>#REF!*2</f>
        <v>#REF!</v>
      </c>
      <c r="BR8" s="28" t="e">
        <f>#REF!</f>
        <v>#REF!</v>
      </c>
      <c r="BS8" s="28" t="e">
        <f>#REF!*2</f>
        <v>#REF!</v>
      </c>
      <c r="BT8" s="28" t="e">
        <f>#REF!</f>
        <v>#REF!</v>
      </c>
      <c r="BU8" s="28" t="e">
        <f>#REF!*2</f>
        <v>#REF!</v>
      </c>
      <c r="BV8" s="28" t="e">
        <f>#REF!</f>
        <v>#REF!</v>
      </c>
      <c r="BW8" s="28" t="e">
        <f>#REF!*2</f>
        <v>#REF!</v>
      </c>
      <c r="BX8" s="28" t="e">
        <f>#REF!</f>
        <v>#REF!</v>
      </c>
      <c r="BY8" s="28" t="e">
        <f>#REF!*2</f>
        <v>#REF!</v>
      </c>
      <c r="BZ8" s="28" t="e">
        <f>#REF!</f>
        <v>#REF!</v>
      </c>
      <c r="CA8" s="28" t="e">
        <f>#REF!*2</f>
        <v>#REF!</v>
      </c>
      <c r="CB8" s="9">
        <f>C8-B8</f>
        <v>14</v>
      </c>
      <c r="CC8" s="9">
        <f>D8-C8</f>
        <v>13</v>
      </c>
      <c r="CD8" s="9">
        <f>E8-D8</f>
        <v>6</v>
      </c>
      <c r="CE8" s="9">
        <f>F8-E8</f>
        <v>5</v>
      </c>
      <c r="CF8" s="9">
        <f>G8-F8</f>
        <v>1</v>
      </c>
      <c r="CG8" s="33"/>
      <c r="CH8" s="9">
        <f>C8-B8</f>
        <v>14</v>
      </c>
      <c r="CI8" s="9">
        <f>D8-C8</f>
        <v>13</v>
      </c>
      <c r="CJ8" s="9">
        <f>E8-D8</f>
        <v>6</v>
      </c>
      <c r="CK8" s="9">
        <f>F8-E8</f>
        <v>5</v>
      </c>
      <c r="CL8" s="9">
        <f>G8-F8</f>
        <v>1</v>
      </c>
      <c r="CM8" s="32"/>
      <c r="CN8" s="3">
        <f>IF(OR(CH8="",ISBLANK(CH8),CH8=0),0,IF(MOD(CH8,2)=1,1,2))</f>
        <v>2</v>
      </c>
      <c r="CO8" s="3">
        <f>IF(OR(CI8="",ISBLANK(CI8),CI8=0),0,IF(MOD(CI8,2)=1,1,2))</f>
        <v>1</v>
      </c>
      <c r="CP8" s="3">
        <f>IF(OR(CJ8="",ISBLANK(CJ8),CJ8=0),0,IF(MOD(CJ8,2)=1,1,2))</f>
        <v>2</v>
      </c>
      <c r="CQ8" s="3">
        <f>IF(OR(CK8="",ISBLANK(CK8),CK8=0),0,IF(MOD(CK8,2)=1,1,2))</f>
        <v>1</v>
      </c>
      <c r="CR8" s="3">
        <f>IF(OR(CL8="",ISBLANK(CL8),CL8=0),0,IF(MOD(CL8,2)=1,1,2))</f>
        <v>1</v>
      </c>
      <c r="CS8" s="31"/>
      <c r="CT8" s="3" cm="1">
        <f t="array" ref="CT8">SUMPRODUCT(--(MOD(CH8:CL8,2)=1))</f>
        <v>3</v>
      </c>
      <c r="CU8" s="3">
        <f>5-CT8</f>
        <v>2</v>
      </c>
      <c r="CV8" s="30"/>
      <c r="CW8" s="3" cm="1">
        <f t="array" ref="CW8">SUMPRODUCT(--(MOD(CH8:CL8,10)&gt;=1), --(MOD(CH8:CL8,10)&lt;=5))</f>
        <v>4</v>
      </c>
      <c r="CX8" s="3">
        <f>5-CW8</f>
        <v>1</v>
      </c>
      <c r="CY8" s="30"/>
      <c r="CZ8" s="3" cm="1">
        <f t="array" ref="CZ8">IFERROR(COUNT(_xlfn._xlws.FILTER(CH8:CL8, ISNUMBER(MATCH(CH8:CL8, {2,3,5,7,11,13,17,19,23,29,31,37,41,43}, 0)))), 0)</f>
        <v>2</v>
      </c>
      <c r="DA8" s="3" cm="1">
        <f t="array" ref="DA8">IFERROR(COUNT(_xlfn._xlws.FILTER(CH8:CL8, ISNUMBER(MATCH(CH8:CL8, {1,4,8,10,14,16,20,22,25,26,28,32,34,35,38,40,44}, 0)))), 0)</f>
        <v>2</v>
      </c>
      <c r="DB8" s="3" cm="1">
        <f t="array" ref="DB8">IFERROR(COUNT(_xlfn._xlws.FILTER(CH8:CL8, ISNUMBER(MATCH(CH8:CL8, {6,9,12,15,18,21,24,27,30,33,36,39,42,45}, 0)))), 0)</f>
        <v>1</v>
      </c>
      <c r="DC8" s="29"/>
      <c r="DD8" s="28" t="e">
        <f>#REF!</f>
        <v>#REF!</v>
      </c>
      <c r="DE8" s="28" t="e">
        <f>#REF!*2</f>
        <v>#REF!</v>
      </c>
      <c r="DF8" s="28" t="e">
        <f>#REF!</f>
        <v>#REF!</v>
      </c>
      <c r="DG8" s="28" t="e">
        <f>#REF!*2</f>
        <v>#REF!</v>
      </c>
      <c r="DH8" s="28" t="e">
        <f>#REF!</f>
        <v>#REF!</v>
      </c>
      <c r="DI8" s="28" t="e">
        <f>#REF!*2</f>
        <v>#REF!</v>
      </c>
      <c r="DJ8" s="28" t="e">
        <f>#REF!</f>
        <v>#REF!</v>
      </c>
      <c r="DK8" s="28" t="e">
        <f>#REF!*2</f>
        <v>#REF!</v>
      </c>
      <c r="DL8" s="28" t="e">
        <f>#REF!</f>
        <v>#REF!</v>
      </c>
      <c r="DM8" s="28" t="e">
        <f>#REF!*2</f>
        <v>#REF!</v>
      </c>
      <c r="DN8" s="27"/>
      <c r="DO8" s="26"/>
      <c r="DP8" s="26"/>
      <c r="DQ8" s="26"/>
      <c r="DR8" s="26"/>
      <c r="DS8" s="26"/>
      <c r="DT8" s="25"/>
    </row>
    <row r="9" spans="1:124" x14ac:dyDescent="0.3">
      <c r="B9" s="3">
        <v>12</v>
      </c>
      <c r="C9" s="3">
        <v>19</v>
      </c>
      <c r="D9" s="3">
        <v>21</v>
      </c>
      <c r="E9" s="3">
        <v>29</v>
      </c>
      <c r="F9" s="3">
        <v>40</v>
      </c>
      <c r="G9" s="3">
        <v>45</v>
      </c>
      <c r="H9" s="32"/>
      <c r="I9" s="3">
        <f>IF(OR(B9="",ISBLANK(B9),B9=0),0,IF(MOD(B9,2)=1,1,2))</f>
        <v>2</v>
      </c>
      <c r="J9" s="3">
        <f>IF(OR(C9="",ISBLANK(C9),C9=0),0,IF(MOD(C9,2)=1,1,2))</f>
        <v>1</v>
      </c>
      <c r="K9" s="3">
        <f>IF(OR(D9="",ISBLANK(D9),D9=0),0,IF(MOD(D9,2)=1,1,2))</f>
        <v>1</v>
      </c>
      <c r="L9" s="3">
        <f>IF(OR(E9="",ISBLANK(E9),E9=0),0,IF(MOD(E9,2)=1,1,2))</f>
        <v>1</v>
      </c>
      <c r="M9" s="3">
        <f>IF(OR(F9="",ISBLANK(F9),F9=0),0,IF(MOD(F9,2)=1,1,2))</f>
        <v>2</v>
      </c>
      <c r="N9" s="3">
        <f>IF(OR(G9="",ISBLANK(G9),G9=0),0,IF(MOD(G9,2)=1,1,2))</f>
        <v>1</v>
      </c>
      <c r="O9" s="32"/>
      <c r="P9" s="3" cm="1">
        <f t="array" ref="P9">SUMPRODUCT(--(MOD(B9:G9,2)=1))</f>
        <v>4</v>
      </c>
      <c r="Q9" s="3">
        <f>6-P9</f>
        <v>2</v>
      </c>
      <c r="R9" s="34"/>
      <c r="S9" s="3">
        <f>COUNTIFS(B9:G9,"&gt;=1",B9:G9,"&lt;=23")</f>
        <v>3</v>
      </c>
      <c r="T9" s="3">
        <f>6-S9</f>
        <v>3</v>
      </c>
      <c r="U9" s="34"/>
      <c r="V9" s="3" cm="1">
        <f t="array" ref="V9">SUMPRODUCT(--(MOD(B9:G9,10)&gt;=1), --(MOD(B9:G9,10)&lt;=5))</f>
        <v>3</v>
      </c>
      <c r="W9" s="3">
        <f>6-V9</f>
        <v>3</v>
      </c>
      <c r="X9" s="34"/>
      <c r="Y9" s="3" cm="1">
        <f t="array" ref="Y9">IFERROR(COUNT(_xlfn._xlws.FILTER(B9:G9, ISNUMBER(MATCH(B9:G9, {2,3,5,7,11,13,17,19,23,29,31,37,41,43}, 0)))), 0)</f>
        <v>2</v>
      </c>
      <c r="Z9" s="3" cm="1">
        <f t="array" ref="Z9">IFERROR(COUNT(_xlfn._xlws.FILTER(B9:G9, ISNUMBER(MATCH(B9:G9, {1,4,8,10,14,16,20,22,25,26,28,32,34,35,38,40,44}, 0)))), 0)</f>
        <v>1</v>
      </c>
      <c r="AA9" s="3" cm="1">
        <f t="array" ref="AA9">IFERROR(COUNT(_xlfn._xlws.FILTER(B9:G9, ISNUMBER(MATCH(B9:G9, {6,9,12,15,18,21,24,27,30,33,36,39,42,45}, 0)))), 0)</f>
        <v>3</v>
      </c>
      <c r="AB9" s="30"/>
      <c r="AC9" s="26"/>
      <c r="AD9" s="26"/>
      <c r="AE9" s="26"/>
      <c r="AF9" s="26"/>
      <c r="AG9" s="26"/>
      <c r="AH9" s="26"/>
      <c r="AI9" s="30"/>
      <c r="AJ9" s="3">
        <f>COUNTIFS(B9:G9,"&gt;=1",B9:G9,"&lt;=14")</f>
        <v>1</v>
      </c>
      <c r="AK9" s="3">
        <f>COUNTIFS(B9:G9,"&gt;=15",B9:G9,"&lt;=31")</f>
        <v>3</v>
      </c>
      <c r="AL9" s="3">
        <f>6-AK9-AJ9</f>
        <v>2</v>
      </c>
      <c r="AM9" s="33"/>
      <c r="AN9" s="3">
        <f>COUNTIFS($B9:$G9, "&gt;=1",$B9:$G9, "&lt;=9")</f>
        <v>0</v>
      </c>
      <c r="AO9" s="3">
        <f>COUNTIFS($B9:$G9, "&gt;=10",$B9:$G9, "&lt;=18")</f>
        <v>1</v>
      </c>
      <c r="AP9" s="3">
        <f>COUNTIFS($B9:$G9, "&gt;=19",$B9:$G9, "&lt;=27")</f>
        <v>2</v>
      </c>
      <c r="AQ9" s="3">
        <f>COUNTIFS($B9:$G9, "&gt;=28",$B9:$G9, "&lt;=36")</f>
        <v>1</v>
      </c>
      <c r="AR9" s="3">
        <f>COUNTIFS($B9:$G9, "&gt;=37",$B9:$G9, "&lt;=45")</f>
        <v>2</v>
      </c>
      <c r="AS9" s="28" t="e">
        <f>#REF!</f>
        <v>#REF!</v>
      </c>
      <c r="AT9" s="28" t="e">
        <f>#REF!*2</f>
        <v>#REF!</v>
      </c>
      <c r="AU9" s="28" t="e">
        <f>#REF!</f>
        <v>#REF!</v>
      </c>
      <c r="AV9" s="28" t="e">
        <f>#REF!*2</f>
        <v>#REF!</v>
      </c>
      <c r="AW9" s="28" t="e">
        <f>#REF!</f>
        <v>#REF!</v>
      </c>
      <c r="AX9" s="28" t="e">
        <f>#REF!*2</f>
        <v>#REF!</v>
      </c>
      <c r="AY9" s="28" t="e">
        <f>#REF!</f>
        <v>#REF!</v>
      </c>
      <c r="AZ9" s="28" t="e">
        <f>#REF!*2</f>
        <v>#REF!</v>
      </c>
      <c r="BA9" s="28" t="e">
        <f>#REF!</f>
        <v>#REF!</v>
      </c>
      <c r="BB9" s="28" t="e">
        <f>#REF!*2</f>
        <v>#REF!</v>
      </c>
      <c r="BC9" s="28" t="e">
        <f>#REF!</f>
        <v>#REF!</v>
      </c>
      <c r="BD9" s="28" t="e">
        <f>#REF!*2</f>
        <v>#REF!</v>
      </c>
      <c r="BE9" s="9" t="e">
        <f>#REF!-#REF!</f>
        <v>#REF!</v>
      </c>
      <c r="BF9" s="9" t="e">
        <f>#REF!-#REF!</f>
        <v>#REF!</v>
      </c>
      <c r="BG9" s="9" t="e">
        <f>#REF!-#REF!</f>
        <v>#REF!</v>
      </c>
      <c r="BH9" s="9" t="e">
        <f>#REF!-#REF!</f>
        <v>#REF!</v>
      </c>
      <c r="BI9" s="9" t="e">
        <f>#REF!-#REF!</f>
        <v>#REF!</v>
      </c>
      <c r="BJ9" s="33"/>
      <c r="BK9" s="3">
        <f>COUNTIFS(B9:G9, "&gt;=1", B9:G9, "&lt;=9")</f>
        <v>0</v>
      </c>
      <c r="BL9" s="3">
        <f>COUNTIFS(B9:G9, "&gt;=10", B9:G9, "&lt;=19")</f>
        <v>2</v>
      </c>
      <c r="BM9" s="3">
        <f>COUNTIFS(B9:G9, "&gt;=20", B9:G9, "&lt;=29")</f>
        <v>2</v>
      </c>
      <c r="BN9" s="3">
        <f>COUNTIFS(B9:G9, "&gt;=30", B9:G9, "&lt;=39")</f>
        <v>0</v>
      </c>
      <c r="BO9" s="3">
        <f>COUNTIFS(B9:G9, "&gt;=40", B9:G9, "&lt;=45")</f>
        <v>2</v>
      </c>
      <c r="BP9" s="28" t="e">
        <f>#REF!</f>
        <v>#REF!</v>
      </c>
      <c r="BQ9" s="28" t="e">
        <f>#REF!*2</f>
        <v>#REF!</v>
      </c>
      <c r="BR9" s="28" t="e">
        <f>#REF!</f>
        <v>#REF!</v>
      </c>
      <c r="BS9" s="28" t="e">
        <f>#REF!*2</f>
        <v>#REF!</v>
      </c>
      <c r="BT9" s="28" t="e">
        <f>#REF!</f>
        <v>#REF!</v>
      </c>
      <c r="BU9" s="28" t="e">
        <f>#REF!*2</f>
        <v>#REF!</v>
      </c>
      <c r="BV9" s="28" t="e">
        <f>#REF!</f>
        <v>#REF!</v>
      </c>
      <c r="BW9" s="28" t="e">
        <f>#REF!*2</f>
        <v>#REF!</v>
      </c>
      <c r="BX9" s="28" t="e">
        <f>#REF!</f>
        <v>#REF!</v>
      </c>
      <c r="BY9" s="28" t="e">
        <f>#REF!*2</f>
        <v>#REF!</v>
      </c>
      <c r="BZ9" s="28" t="e">
        <f>#REF!</f>
        <v>#REF!</v>
      </c>
      <c r="CA9" s="28" t="e">
        <f>#REF!*2</f>
        <v>#REF!</v>
      </c>
      <c r="CB9" s="9">
        <f>C9-B9</f>
        <v>7</v>
      </c>
      <c r="CC9" s="9">
        <f>D9-C9</f>
        <v>2</v>
      </c>
      <c r="CD9" s="9">
        <f>E9-D9</f>
        <v>8</v>
      </c>
      <c r="CE9" s="9">
        <f>F9-E9</f>
        <v>11</v>
      </c>
      <c r="CF9" s="9">
        <f>G9-F9</f>
        <v>5</v>
      </c>
      <c r="CG9" s="33"/>
      <c r="CH9" s="9">
        <f>C9-B9</f>
        <v>7</v>
      </c>
      <c r="CI9" s="9">
        <f>D9-C9</f>
        <v>2</v>
      </c>
      <c r="CJ9" s="9">
        <f>E9-D9</f>
        <v>8</v>
      </c>
      <c r="CK9" s="9">
        <f>F9-E9</f>
        <v>11</v>
      </c>
      <c r="CL9" s="9">
        <f>G9-F9</f>
        <v>5</v>
      </c>
      <c r="CM9" s="32"/>
      <c r="CN9" s="3">
        <f>IF(OR(CH9="",ISBLANK(CH9),CH9=0),0,IF(MOD(CH9,2)=1,1,2))</f>
        <v>1</v>
      </c>
      <c r="CO9" s="3">
        <f>IF(OR(CI9="",ISBLANK(CI9),CI9=0),0,IF(MOD(CI9,2)=1,1,2))</f>
        <v>2</v>
      </c>
      <c r="CP9" s="3">
        <f>IF(OR(CJ9="",ISBLANK(CJ9),CJ9=0),0,IF(MOD(CJ9,2)=1,1,2))</f>
        <v>2</v>
      </c>
      <c r="CQ9" s="3">
        <f>IF(OR(CK9="",ISBLANK(CK9),CK9=0),0,IF(MOD(CK9,2)=1,1,2))</f>
        <v>1</v>
      </c>
      <c r="CR9" s="3">
        <f>IF(OR(CL9="",ISBLANK(CL9),CL9=0),0,IF(MOD(CL9,2)=1,1,2))</f>
        <v>1</v>
      </c>
      <c r="CS9" s="31"/>
      <c r="CT9" s="3" cm="1">
        <f t="array" ref="CT9">SUMPRODUCT(--(MOD(CH9:CL9,2)=1))</f>
        <v>3</v>
      </c>
      <c r="CU9" s="3">
        <f>5-CT9</f>
        <v>2</v>
      </c>
      <c r="CV9" s="30"/>
      <c r="CW9" s="3" cm="1">
        <f t="array" ref="CW9">SUMPRODUCT(--(MOD(CH9:CL9,10)&gt;=1), --(MOD(CH9:CL9,10)&lt;=5))</f>
        <v>3</v>
      </c>
      <c r="CX9" s="3">
        <f>5-CW9</f>
        <v>2</v>
      </c>
      <c r="CY9" s="30"/>
      <c r="CZ9" s="3" cm="1">
        <f t="array" ref="CZ9">IFERROR(COUNT(_xlfn._xlws.FILTER(CH9:CL9, ISNUMBER(MATCH(CH9:CL9, {2,3,5,7,11,13,17,19,23,29,31,37,41,43}, 0)))), 0)</f>
        <v>4</v>
      </c>
      <c r="DA9" s="3" cm="1">
        <f t="array" ref="DA9">IFERROR(COUNT(_xlfn._xlws.FILTER(CH9:CL9, ISNUMBER(MATCH(CH9:CL9, {1,4,8,10,14,16,20,22,25,26,28,32,34,35,38,40,44}, 0)))), 0)</f>
        <v>1</v>
      </c>
      <c r="DB9" s="3" cm="1">
        <f t="array" ref="DB9">IFERROR(COUNT(_xlfn._xlws.FILTER(CH9:CL9, ISNUMBER(MATCH(CH9:CL9, {6,9,12,15,18,21,24,27,30,33,36,39,42,45}, 0)))), 0)</f>
        <v>0</v>
      </c>
      <c r="DC9" s="29"/>
      <c r="DD9" s="28" t="e">
        <f>#REF!</f>
        <v>#REF!</v>
      </c>
      <c r="DE9" s="28" t="e">
        <f>#REF!*2</f>
        <v>#REF!</v>
      </c>
      <c r="DF9" s="28" t="e">
        <f>#REF!</f>
        <v>#REF!</v>
      </c>
      <c r="DG9" s="28" t="e">
        <f>#REF!*2</f>
        <v>#REF!</v>
      </c>
      <c r="DH9" s="28" t="e">
        <f>#REF!</f>
        <v>#REF!</v>
      </c>
      <c r="DI9" s="28" t="e">
        <f>#REF!*2</f>
        <v>#REF!</v>
      </c>
      <c r="DJ9" s="28" t="e">
        <f>#REF!</f>
        <v>#REF!</v>
      </c>
      <c r="DK9" s="28" t="e">
        <f>#REF!*2</f>
        <v>#REF!</v>
      </c>
      <c r="DL9" s="28" t="e">
        <f>#REF!</f>
        <v>#REF!</v>
      </c>
      <c r="DM9" s="28" t="e">
        <f>#REF!*2</f>
        <v>#REF!</v>
      </c>
      <c r="DN9" s="27"/>
      <c r="DO9" s="26"/>
      <c r="DP9" s="26"/>
      <c r="DQ9" s="26"/>
      <c r="DR9" s="26"/>
      <c r="DS9" s="26"/>
      <c r="DT9" s="25"/>
    </row>
    <row r="10" spans="1:124" x14ac:dyDescent="0.3">
      <c r="B10" s="3">
        <v>6</v>
      </c>
      <c r="C10" s="3">
        <v>20</v>
      </c>
      <c r="D10" s="3">
        <v>23</v>
      </c>
      <c r="E10" s="3">
        <v>24</v>
      </c>
      <c r="F10" s="3">
        <v>28</v>
      </c>
      <c r="G10" s="3">
        <v>30</v>
      </c>
      <c r="H10" s="32"/>
      <c r="I10" s="3">
        <f>IF(OR(B10="",ISBLANK(B10),B10=0),0,IF(MOD(B10,2)=1,1,2))</f>
        <v>2</v>
      </c>
      <c r="J10" s="3">
        <f>IF(OR(C10="",ISBLANK(C10),C10=0),0,IF(MOD(C10,2)=1,1,2))</f>
        <v>2</v>
      </c>
      <c r="K10" s="3">
        <f>IF(OR(D10="",ISBLANK(D10),D10=0),0,IF(MOD(D10,2)=1,1,2))</f>
        <v>1</v>
      </c>
      <c r="L10" s="3">
        <f>IF(OR(E10="",ISBLANK(E10),E10=0),0,IF(MOD(E10,2)=1,1,2))</f>
        <v>2</v>
      </c>
      <c r="M10" s="3">
        <f>IF(OR(F10="",ISBLANK(F10),F10=0),0,IF(MOD(F10,2)=1,1,2))</f>
        <v>2</v>
      </c>
      <c r="N10" s="3">
        <f>IF(OR(G10="",ISBLANK(G10),G10=0),0,IF(MOD(G10,2)=1,1,2))</f>
        <v>2</v>
      </c>
      <c r="O10" s="32"/>
      <c r="P10" s="3" cm="1">
        <f t="array" ref="P10">SUMPRODUCT(--(MOD(B10:G10,2)=1))</f>
        <v>1</v>
      </c>
      <c r="Q10" s="3">
        <f>6-P10</f>
        <v>5</v>
      </c>
      <c r="R10" s="34"/>
      <c r="S10" s="3">
        <f>COUNTIFS(B10:G10,"&gt;=1",B10:G10,"&lt;=23")</f>
        <v>3</v>
      </c>
      <c r="T10" s="3">
        <f>6-S10</f>
        <v>3</v>
      </c>
      <c r="U10" s="34"/>
      <c r="V10" s="3" cm="1">
        <f t="array" ref="V10">SUMPRODUCT(--(MOD(B10:G10,10)&gt;=1), --(MOD(B10:G10,10)&lt;=5))</f>
        <v>2</v>
      </c>
      <c r="W10" s="3">
        <f>6-V10</f>
        <v>4</v>
      </c>
      <c r="X10" s="34"/>
      <c r="Y10" s="3" cm="1">
        <f t="array" ref="Y10">IFERROR(COUNT(_xlfn._xlws.FILTER(B10:G10, ISNUMBER(MATCH(B10:G10, {2,3,5,7,11,13,17,19,23,29,31,37,41,43}, 0)))), 0)</f>
        <v>1</v>
      </c>
      <c r="Z10" s="3" cm="1">
        <f t="array" ref="Z10">IFERROR(COUNT(_xlfn._xlws.FILTER(B10:G10, ISNUMBER(MATCH(B10:G10, {1,4,8,10,14,16,20,22,25,26,28,32,34,35,38,40,44}, 0)))), 0)</f>
        <v>2</v>
      </c>
      <c r="AA10" s="3" cm="1">
        <f t="array" ref="AA10">IFERROR(COUNT(_xlfn._xlws.FILTER(B10:G10, ISNUMBER(MATCH(B10:G10, {6,9,12,15,18,21,24,27,30,33,36,39,42,45}, 0)))), 0)</f>
        <v>3</v>
      </c>
      <c r="AB10" s="30"/>
      <c r="AC10" s="26"/>
      <c r="AD10" s="26"/>
      <c r="AE10" s="26"/>
      <c r="AF10" s="26"/>
      <c r="AG10" s="26"/>
      <c r="AH10" s="26"/>
      <c r="AI10" s="30"/>
      <c r="AJ10" s="3">
        <f>COUNTIFS(B10:G10,"&gt;=1",B10:G10,"&lt;=14")</f>
        <v>1</v>
      </c>
      <c r="AK10" s="3">
        <f>COUNTIFS(B10:G10,"&gt;=15",B10:G10,"&lt;=31")</f>
        <v>5</v>
      </c>
      <c r="AL10" s="3">
        <f>6-AK10-AJ10</f>
        <v>0</v>
      </c>
      <c r="AM10" s="33"/>
      <c r="AN10" s="3">
        <f>COUNTIFS($B10:$G10, "&gt;=1",$B10:$G10, "&lt;=9")</f>
        <v>1</v>
      </c>
      <c r="AO10" s="3">
        <f>COUNTIFS($B10:$G10, "&gt;=10",$B10:$G10, "&lt;=18")</f>
        <v>0</v>
      </c>
      <c r="AP10" s="3">
        <f>COUNTIFS($B10:$G10, "&gt;=19",$B10:$G10, "&lt;=27")</f>
        <v>3</v>
      </c>
      <c r="AQ10" s="3">
        <f>COUNTIFS($B10:$G10, "&gt;=28",$B10:$G10, "&lt;=36")</f>
        <v>2</v>
      </c>
      <c r="AR10" s="3">
        <f>COUNTIFS($B10:$G10, "&gt;=37",$B10:$G10, "&lt;=45")</f>
        <v>0</v>
      </c>
      <c r="AS10" s="28" t="e">
        <f>#REF!</f>
        <v>#REF!</v>
      </c>
      <c r="AT10" s="28" t="e">
        <f>#REF!*2</f>
        <v>#REF!</v>
      </c>
      <c r="AU10" s="28" t="e">
        <f>#REF!</f>
        <v>#REF!</v>
      </c>
      <c r="AV10" s="28" t="e">
        <f>#REF!*2</f>
        <v>#REF!</v>
      </c>
      <c r="AW10" s="28" t="e">
        <f>#REF!</f>
        <v>#REF!</v>
      </c>
      <c r="AX10" s="28" t="e">
        <f>#REF!*2</f>
        <v>#REF!</v>
      </c>
      <c r="AY10" s="28" t="e">
        <f>#REF!</f>
        <v>#REF!</v>
      </c>
      <c r="AZ10" s="28" t="e">
        <f>#REF!*2</f>
        <v>#REF!</v>
      </c>
      <c r="BA10" s="28" t="e">
        <f>#REF!</f>
        <v>#REF!</v>
      </c>
      <c r="BB10" s="28" t="e">
        <f>#REF!*2</f>
        <v>#REF!</v>
      </c>
      <c r="BC10" s="28" t="e">
        <f>#REF!</f>
        <v>#REF!</v>
      </c>
      <c r="BD10" s="28" t="e">
        <f>#REF!*2</f>
        <v>#REF!</v>
      </c>
      <c r="BE10" s="9" t="e">
        <f>#REF!-#REF!</f>
        <v>#REF!</v>
      </c>
      <c r="BF10" s="9" t="e">
        <f>#REF!-#REF!</f>
        <v>#REF!</v>
      </c>
      <c r="BG10" s="9" t="e">
        <f>#REF!-#REF!</f>
        <v>#REF!</v>
      </c>
      <c r="BH10" s="9" t="e">
        <f>#REF!-#REF!</f>
        <v>#REF!</v>
      </c>
      <c r="BI10" s="9" t="e">
        <f>#REF!-#REF!</f>
        <v>#REF!</v>
      </c>
      <c r="BJ10" s="33"/>
      <c r="BK10" s="3">
        <f>COUNTIFS(B10:G10, "&gt;=1", B10:G10, "&lt;=9")</f>
        <v>1</v>
      </c>
      <c r="BL10" s="3">
        <f>COUNTIFS(B10:G10, "&gt;=10", B10:G10, "&lt;=19")</f>
        <v>0</v>
      </c>
      <c r="BM10" s="3">
        <f>COUNTIFS(B10:G10, "&gt;=20", B10:G10, "&lt;=29")</f>
        <v>4</v>
      </c>
      <c r="BN10" s="3">
        <f>COUNTIFS(B10:G10, "&gt;=30", B10:G10, "&lt;=39")</f>
        <v>1</v>
      </c>
      <c r="BO10" s="3">
        <f>COUNTIFS(B10:G10, "&gt;=40", B10:G10, "&lt;=45")</f>
        <v>0</v>
      </c>
      <c r="BP10" s="28" t="e">
        <f>#REF!</f>
        <v>#REF!</v>
      </c>
      <c r="BQ10" s="28" t="e">
        <f>#REF!*2</f>
        <v>#REF!</v>
      </c>
      <c r="BR10" s="28" t="e">
        <f>#REF!</f>
        <v>#REF!</v>
      </c>
      <c r="BS10" s="28" t="e">
        <f>#REF!*2</f>
        <v>#REF!</v>
      </c>
      <c r="BT10" s="28" t="e">
        <f>#REF!</f>
        <v>#REF!</v>
      </c>
      <c r="BU10" s="28" t="e">
        <f>#REF!*2</f>
        <v>#REF!</v>
      </c>
      <c r="BV10" s="28" t="e">
        <f>#REF!</f>
        <v>#REF!</v>
      </c>
      <c r="BW10" s="28" t="e">
        <f>#REF!*2</f>
        <v>#REF!</v>
      </c>
      <c r="BX10" s="28" t="e">
        <f>#REF!</f>
        <v>#REF!</v>
      </c>
      <c r="BY10" s="28" t="e">
        <f>#REF!*2</f>
        <v>#REF!</v>
      </c>
      <c r="BZ10" s="28" t="e">
        <f>#REF!</f>
        <v>#REF!</v>
      </c>
      <c r="CA10" s="28" t="e">
        <f>#REF!*2</f>
        <v>#REF!</v>
      </c>
      <c r="CB10" s="9">
        <f>C10-B10</f>
        <v>14</v>
      </c>
      <c r="CC10" s="9">
        <f>D10-C10</f>
        <v>3</v>
      </c>
      <c r="CD10" s="9">
        <f>E10-D10</f>
        <v>1</v>
      </c>
      <c r="CE10" s="9">
        <f>F10-E10</f>
        <v>4</v>
      </c>
      <c r="CF10" s="9">
        <f>G10-F10</f>
        <v>2</v>
      </c>
      <c r="CG10" s="33"/>
      <c r="CH10" s="9">
        <f>C10-B10</f>
        <v>14</v>
      </c>
      <c r="CI10" s="9">
        <f>D10-C10</f>
        <v>3</v>
      </c>
      <c r="CJ10" s="9">
        <f>E10-D10</f>
        <v>1</v>
      </c>
      <c r="CK10" s="9">
        <f>F10-E10</f>
        <v>4</v>
      </c>
      <c r="CL10" s="9">
        <f>G10-F10</f>
        <v>2</v>
      </c>
      <c r="CM10" s="32"/>
      <c r="CN10" s="3">
        <f>IF(OR(CH10="",ISBLANK(CH10),CH10=0),0,IF(MOD(CH10,2)=1,1,2))</f>
        <v>2</v>
      </c>
      <c r="CO10" s="3">
        <f>IF(OR(CI10="",ISBLANK(CI10),CI10=0),0,IF(MOD(CI10,2)=1,1,2))</f>
        <v>1</v>
      </c>
      <c r="CP10" s="3">
        <f>IF(OR(CJ10="",ISBLANK(CJ10),CJ10=0),0,IF(MOD(CJ10,2)=1,1,2))</f>
        <v>1</v>
      </c>
      <c r="CQ10" s="3">
        <f>IF(OR(CK10="",ISBLANK(CK10),CK10=0),0,IF(MOD(CK10,2)=1,1,2))</f>
        <v>2</v>
      </c>
      <c r="CR10" s="3">
        <f>IF(OR(CL10="",ISBLANK(CL10),CL10=0),0,IF(MOD(CL10,2)=1,1,2))</f>
        <v>2</v>
      </c>
      <c r="CS10" s="31"/>
      <c r="CT10" s="3" cm="1">
        <f t="array" ref="CT10">SUMPRODUCT(--(MOD(CH10:CL10,2)=1))</f>
        <v>2</v>
      </c>
      <c r="CU10" s="3">
        <f>5-CT10</f>
        <v>3</v>
      </c>
      <c r="CV10" s="30"/>
      <c r="CW10" s="3" cm="1">
        <f t="array" ref="CW10">SUMPRODUCT(--(MOD(CH10:CL10,10)&gt;=1), --(MOD(CH10:CL10,10)&lt;=5))</f>
        <v>5</v>
      </c>
      <c r="CX10" s="3">
        <f>5-CW10</f>
        <v>0</v>
      </c>
      <c r="CY10" s="30"/>
      <c r="CZ10" s="3" cm="1">
        <f t="array" ref="CZ10">IFERROR(COUNT(_xlfn._xlws.FILTER(CH10:CL10, ISNUMBER(MATCH(CH10:CL10, {2,3,5,7,11,13,17,19,23,29,31,37,41,43}, 0)))), 0)</f>
        <v>2</v>
      </c>
      <c r="DA10" s="3" cm="1">
        <f t="array" ref="DA10">IFERROR(COUNT(_xlfn._xlws.FILTER(CH10:CL10, ISNUMBER(MATCH(CH10:CL10, {1,4,8,10,14,16,20,22,25,26,28,32,34,35,38,40,44}, 0)))), 0)</f>
        <v>3</v>
      </c>
      <c r="DB10" s="3" cm="1">
        <f t="array" ref="DB10">IFERROR(COUNT(_xlfn._xlws.FILTER(CH10:CL10, ISNUMBER(MATCH(CH10:CL10, {6,9,12,15,18,21,24,27,30,33,36,39,42,45}, 0)))), 0)</f>
        <v>0</v>
      </c>
      <c r="DC10" s="29"/>
      <c r="DD10" s="28" t="e">
        <f>#REF!</f>
        <v>#REF!</v>
      </c>
      <c r="DE10" s="28" t="e">
        <f>#REF!*2</f>
        <v>#REF!</v>
      </c>
      <c r="DF10" s="28" t="e">
        <f>#REF!</f>
        <v>#REF!</v>
      </c>
      <c r="DG10" s="28" t="e">
        <f>#REF!*2</f>
        <v>#REF!</v>
      </c>
      <c r="DH10" s="28" t="e">
        <f>#REF!</f>
        <v>#REF!</v>
      </c>
      <c r="DI10" s="28" t="e">
        <f>#REF!*2</f>
        <v>#REF!</v>
      </c>
      <c r="DJ10" s="28" t="e">
        <f>#REF!</f>
        <v>#REF!</v>
      </c>
      <c r="DK10" s="28" t="e">
        <f>#REF!*2</f>
        <v>#REF!</v>
      </c>
      <c r="DL10" s="28" t="e">
        <f>#REF!</f>
        <v>#REF!</v>
      </c>
      <c r="DM10" s="28" t="e">
        <f>#REF!*2</f>
        <v>#REF!</v>
      </c>
      <c r="DN10" s="27"/>
      <c r="DO10" s="26"/>
      <c r="DP10" s="26"/>
      <c r="DQ10" s="26"/>
      <c r="DR10" s="26"/>
      <c r="DS10" s="26"/>
      <c r="DT10" s="25"/>
    </row>
    <row r="11" spans="1:124" x14ac:dyDescent="0.3">
      <c r="B11" s="3">
        <v>7</v>
      </c>
      <c r="C11" s="3">
        <v>18</v>
      </c>
      <c r="D11" s="3">
        <v>19</v>
      </c>
      <c r="E11" s="3">
        <v>26</v>
      </c>
      <c r="F11" s="3">
        <v>33</v>
      </c>
      <c r="G11" s="3">
        <v>45</v>
      </c>
      <c r="H11" s="32"/>
      <c r="I11" s="3">
        <f>IF(OR(B11="",ISBLANK(B11),B11=0),0,IF(MOD(B11,2)=1,1,2))</f>
        <v>1</v>
      </c>
      <c r="J11" s="3">
        <f>IF(OR(C11="",ISBLANK(C11),C11=0),0,IF(MOD(C11,2)=1,1,2))</f>
        <v>2</v>
      </c>
      <c r="K11" s="3">
        <f>IF(OR(D11="",ISBLANK(D11),D11=0),0,IF(MOD(D11,2)=1,1,2))</f>
        <v>1</v>
      </c>
      <c r="L11" s="3">
        <f>IF(OR(E11="",ISBLANK(E11),E11=0),0,IF(MOD(E11,2)=1,1,2))</f>
        <v>2</v>
      </c>
      <c r="M11" s="3">
        <f>IF(OR(F11="",ISBLANK(F11),F11=0),0,IF(MOD(F11,2)=1,1,2))</f>
        <v>1</v>
      </c>
      <c r="N11" s="3">
        <f>IF(OR(G11="",ISBLANK(G11),G11=0),0,IF(MOD(G11,2)=1,1,2))</f>
        <v>1</v>
      </c>
      <c r="O11" s="32"/>
      <c r="P11" s="3" cm="1">
        <f t="array" ref="P11">SUMPRODUCT(--(MOD(B11:G11,2)=1))</f>
        <v>4</v>
      </c>
      <c r="Q11" s="3">
        <f>6-P11</f>
        <v>2</v>
      </c>
      <c r="R11" s="34"/>
      <c r="S11" s="3">
        <f>COUNTIFS(B11:G11,"&gt;=1",B11:G11,"&lt;=23")</f>
        <v>3</v>
      </c>
      <c r="T11" s="3">
        <f>6-S11</f>
        <v>3</v>
      </c>
      <c r="U11" s="34"/>
      <c r="V11" s="3" cm="1">
        <f t="array" ref="V11">SUMPRODUCT(--(MOD(B11:G11,10)&gt;=1), --(MOD(B11:G11,10)&lt;=5))</f>
        <v>2</v>
      </c>
      <c r="W11" s="3">
        <f>6-V11</f>
        <v>4</v>
      </c>
      <c r="X11" s="34"/>
      <c r="Y11" s="3" cm="1">
        <f t="array" ref="Y11">IFERROR(COUNT(_xlfn._xlws.FILTER(B11:G11, ISNUMBER(MATCH(B11:G11, {2,3,5,7,11,13,17,19,23,29,31,37,41,43}, 0)))), 0)</f>
        <v>2</v>
      </c>
      <c r="Z11" s="3" cm="1">
        <f t="array" ref="Z11">IFERROR(COUNT(_xlfn._xlws.FILTER(B11:G11, ISNUMBER(MATCH(B11:G11, {1,4,8,10,14,16,20,22,25,26,28,32,34,35,38,40,44}, 0)))), 0)</f>
        <v>1</v>
      </c>
      <c r="AA11" s="3" cm="1">
        <f t="array" ref="AA11">IFERROR(COUNT(_xlfn._xlws.FILTER(B11:G11, ISNUMBER(MATCH(B11:G11, {6,9,12,15,18,21,24,27,30,33,36,39,42,45}, 0)))), 0)</f>
        <v>3</v>
      </c>
      <c r="AB11" s="30"/>
      <c r="AC11" s="26"/>
      <c r="AD11" s="26"/>
      <c r="AE11" s="26"/>
      <c r="AF11" s="26"/>
      <c r="AG11" s="26"/>
      <c r="AH11" s="26"/>
      <c r="AI11" s="30"/>
      <c r="AJ11" s="3">
        <f>COUNTIFS(B11:G11,"&gt;=1",B11:G11,"&lt;=14")</f>
        <v>1</v>
      </c>
      <c r="AK11" s="3">
        <f>COUNTIFS(B11:G11,"&gt;=15",B11:G11,"&lt;=31")</f>
        <v>3</v>
      </c>
      <c r="AL11" s="3">
        <f>6-AK11-AJ11</f>
        <v>2</v>
      </c>
      <c r="AM11" s="33"/>
      <c r="AN11" s="3">
        <f>COUNTIFS($B11:$G11, "&gt;=1",$B11:$G11, "&lt;=9")</f>
        <v>1</v>
      </c>
      <c r="AO11" s="3">
        <f>COUNTIFS($B11:$G11, "&gt;=10",$B11:$G11, "&lt;=18")</f>
        <v>1</v>
      </c>
      <c r="AP11" s="3">
        <f>COUNTIFS($B11:$G11, "&gt;=19",$B11:$G11, "&lt;=27")</f>
        <v>2</v>
      </c>
      <c r="AQ11" s="3">
        <f>COUNTIFS($B11:$G11, "&gt;=28",$B11:$G11, "&lt;=36")</f>
        <v>1</v>
      </c>
      <c r="AR11" s="3">
        <f>COUNTIFS($B11:$G11, "&gt;=37",$B11:$G11, "&lt;=45")</f>
        <v>1</v>
      </c>
      <c r="AS11" s="28" t="e">
        <f>#REF!</f>
        <v>#REF!</v>
      </c>
      <c r="AT11" s="28" t="e">
        <f>#REF!*2</f>
        <v>#REF!</v>
      </c>
      <c r="AU11" s="28" t="e">
        <f>#REF!</f>
        <v>#REF!</v>
      </c>
      <c r="AV11" s="28" t="e">
        <f>#REF!*2</f>
        <v>#REF!</v>
      </c>
      <c r="AW11" s="28" t="e">
        <f>#REF!</f>
        <v>#REF!</v>
      </c>
      <c r="AX11" s="28" t="e">
        <f>#REF!*2</f>
        <v>#REF!</v>
      </c>
      <c r="AY11" s="28" t="e">
        <f>#REF!</f>
        <v>#REF!</v>
      </c>
      <c r="AZ11" s="28" t="e">
        <f>#REF!*2</f>
        <v>#REF!</v>
      </c>
      <c r="BA11" s="28" t="e">
        <f>#REF!</f>
        <v>#REF!</v>
      </c>
      <c r="BB11" s="28" t="e">
        <f>#REF!*2</f>
        <v>#REF!</v>
      </c>
      <c r="BC11" s="28" t="e">
        <f>#REF!</f>
        <v>#REF!</v>
      </c>
      <c r="BD11" s="28" t="e">
        <f>#REF!*2</f>
        <v>#REF!</v>
      </c>
      <c r="BE11" s="9" t="e">
        <f>#REF!-#REF!</f>
        <v>#REF!</v>
      </c>
      <c r="BF11" s="9" t="e">
        <f>#REF!-#REF!</f>
        <v>#REF!</v>
      </c>
      <c r="BG11" s="9" t="e">
        <f>#REF!-#REF!</f>
        <v>#REF!</v>
      </c>
      <c r="BH11" s="9" t="e">
        <f>#REF!-#REF!</f>
        <v>#REF!</v>
      </c>
      <c r="BI11" s="9" t="e">
        <f>#REF!-#REF!</f>
        <v>#REF!</v>
      </c>
      <c r="BJ11" s="33"/>
      <c r="BK11" s="3">
        <f>COUNTIFS(B11:G11, "&gt;=1", B11:G11, "&lt;=9")</f>
        <v>1</v>
      </c>
      <c r="BL11" s="3">
        <f>COUNTIFS(B11:G11, "&gt;=10", B11:G11, "&lt;=19")</f>
        <v>2</v>
      </c>
      <c r="BM11" s="3">
        <f>COUNTIFS(B11:G11, "&gt;=20", B11:G11, "&lt;=29")</f>
        <v>1</v>
      </c>
      <c r="BN11" s="3">
        <f>COUNTIFS(B11:G11, "&gt;=30", B11:G11, "&lt;=39")</f>
        <v>1</v>
      </c>
      <c r="BO11" s="3">
        <f>COUNTIFS(B11:G11, "&gt;=40", B11:G11, "&lt;=45")</f>
        <v>1</v>
      </c>
      <c r="BP11" s="28" t="e">
        <f>#REF!</f>
        <v>#REF!</v>
      </c>
      <c r="BQ11" s="28" t="e">
        <f>#REF!*2</f>
        <v>#REF!</v>
      </c>
      <c r="BR11" s="28" t="e">
        <f>#REF!</f>
        <v>#REF!</v>
      </c>
      <c r="BS11" s="28" t="e">
        <f>#REF!*2</f>
        <v>#REF!</v>
      </c>
      <c r="BT11" s="28" t="e">
        <f>#REF!</f>
        <v>#REF!</v>
      </c>
      <c r="BU11" s="28" t="e">
        <f>#REF!*2</f>
        <v>#REF!</v>
      </c>
      <c r="BV11" s="28" t="e">
        <f>#REF!</f>
        <v>#REF!</v>
      </c>
      <c r="BW11" s="28" t="e">
        <f>#REF!*2</f>
        <v>#REF!</v>
      </c>
      <c r="BX11" s="28" t="e">
        <f>#REF!</f>
        <v>#REF!</v>
      </c>
      <c r="BY11" s="28" t="e">
        <f>#REF!*2</f>
        <v>#REF!</v>
      </c>
      <c r="BZ11" s="28" t="e">
        <f>#REF!</f>
        <v>#REF!</v>
      </c>
      <c r="CA11" s="28" t="e">
        <f>#REF!*2</f>
        <v>#REF!</v>
      </c>
      <c r="CB11" s="9">
        <f>C11-B11</f>
        <v>11</v>
      </c>
      <c r="CC11" s="9">
        <f>D11-C11</f>
        <v>1</v>
      </c>
      <c r="CD11" s="9">
        <f>E11-D11</f>
        <v>7</v>
      </c>
      <c r="CE11" s="9">
        <f>F11-E11</f>
        <v>7</v>
      </c>
      <c r="CF11" s="9">
        <f>G11-F11</f>
        <v>12</v>
      </c>
      <c r="CG11" s="33"/>
      <c r="CH11" s="9">
        <f>C11-B11</f>
        <v>11</v>
      </c>
      <c r="CI11" s="9">
        <f>D11-C11</f>
        <v>1</v>
      </c>
      <c r="CJ11" s="9">
        <f>E11-D11</f>
        <v>7</v>
      </c>
      <c r="CK11" s="9">
        <f>F11-E11</f>
        <v>7</v>
      </c>
      <c r="CL11" s="9">
        <f>G11-F11</f>
        <v>12</v>
      </c>
      <c r="CM11" s="32"/>
      <c r="CN11" s="3">
        <f>IF(OR(CH11="",ISBLANK(CH11),CH11=0),0,IF(MOD(CH11,2)=1,1,2))</f>
        <v>1</v>
      </c>
      <c r="CO11" s="3">
        <f>IF(OR(CI11="",ISBLANK(CI11),CI11=0),0,IF(MOD(CI11,2)=1,1,2))</f>
        <v>1</v>
      </c>
      <c r="CP11" s="3">
        <f>IF(OR(CJ11="",ISBLANK(CJ11),CJ11=0),0,IF(MOD(CJ11,2)=1,1,2))</f>
        <v>1</v>
      </c>
      <c r="CQ11" s="3">
        <f>IF(OR(CK11="",ISBLANK(CK11),CK11=0),0,IF(MOD(CK11,2)=1,1,2))</f>
        <v>1</v>
      </c>
      <c r="CR11" s="3">
        <f>IF(OR(CL11="",ISBLANK(CL11),CL11=0),0,IF(MOD(CL11,2)=1,1,2))</f>
        <v>2</v>
      </c>
      <c r="CS11" s="31"/>
      <c r="CT11" s="3" cm="1">
        <f t="array" ref="CT11">SUMPRODUCT(--(MOD(CH11:CL11,2)=1))</f>
        <v>4</v>
      </c>
      <c r="CU11" s="3">
        <f>5-CT11</f>
        <v>1</v>
      </c>
      <c r="CV11" s="30"/>
      <c r="CW11" s="3" cm="1">
        <f t="array" ref="CW11">SUMPRODUCT(--(MOD(CH11:CL11,10)&gt;=1), --(MOD(CH11:CL11,10)&lt;=5))</f>
        <v>3</v>
      </c>
      <c r="CX11" s="3">
        <f>5-CW11</f>
        <v>2</v>
      </c>
      <c r="CY11" s="30"/>
      <c r="CZ11" s="3" cm="1">
        <f t="array" ref="CZ11">IFERROR(COUNT(_xlfn._xlws.FILTER(CH11:CL11, ISNUMBER(MATCH(CH11:CL11, {2,3,5,7,11,13,17,19,23,29,31,37,41,43}, 0)))), 0)</f>
        <v>3</v>
      </c>
      <c r="DA11" s="3" cm="1">
        <f t="array" ref="DA11">IFERROR(COUNT(_xlfn._xlws.FILTER(CH11:CL11, ISNUMBER(MATCH(CH11:CL11, {1,4,8,10,14,16,20,22,25,26,28,32,34,35,38,40,44}, 0)))), 0)</f>
        <v>1</v>
      </c>
      <c r="DB11" s="3" cm="1">
        <f t="array" ref="DB11">IFERROR(COUNT(_xlfn._xlws.FILTER(CH11:CL11, ISNUMBER(MATCH(CH11:CL11, {6,9,12,15,18,21,24,27,30,33,36,39,42,45}, 0)))), 0)</f>
        <v>1</v>
      </c>
      <c r="DC11" s="29"/>
      <c r="DD11" s="28" t="e">
        <f>#REF!</f>
        <v>#REF!</v>
      </c>
      <c r="DE11" s="28" t="e">
        <f>#REF!*2</f>
        <v>#REF!</v>
      </c>
      <c r="DF11" s="28" t="e">
        <f>#REF!</f>
        <v>#REF!</v>
      </c>
      <c r="DG11" s="28" t="e">
        <f>#REF!*2</f>
        <v>#REF!</v>
      </c>
      <c r="DH11" s="28" t="e">
        <f>#REF!</f>
        <v>#REF!</v>
      </c>
      <c r="DI11" s="28" t="e">
        <f>#REF!*2</f>
        <v>#REF!</v>
      </c>
      <c r="DJ11" s="28" t="e">
        <f>#REF!</f>
        <v>#REF!</v>
      </c>
      <c r="DK11" s="28" t="e">
        <f>#REF!*2</f>
        <v>#REF!</v>
      </c>
      <c r="DL11" s="28" t="e">
        <f>#REF!</f>
        <v>#REF!</v>
      </c>
      <c r="DM11" s="28" t="e">
        <f>#REF!*2</f>
        <v>#REF!</v>
      </c>
      <c r="DN11" s="27"/>
      <c r="DO11" s="26"/>
      <c r="DP11" s="26"/>
      <c r="DQ11" s="26"/>
      <c r="DR11" s="26"/>
      <c r="DS11" s="26"/>
      <c r="DT11" s="25"/>
    </row>
    <row r="12" spans="1:124" x14ac:dyDescent="0.3">
      <c r="B12" s="3">
        <v>10</v>
      </c>
      <c r="C12" s="3">
        <v>17</v>
      </c>
      <c r="D12" s="3">
        <v>22</v>
      </c>
      <c r="E12" s="3">
        <v>30</v>
      </c>
      <c r="F12" s="3">
        <v>35</v>
      </c>
      <c r="G12" s="3">
        <v>43</v>
      </c>
      <c r="H12" s="32"/>
      <c r="I12" s="3">
        <f>IF(OR(B12="",ISBLANK(B12),B12=0),0,IF(MOD(B12,2)=1,1,2))</f>
        <v>2</v>
      </c>
      <c r="J12" s="3">
        <f>IF(OR(C12="",ISBLANK(C12),C12=0),0,IF(MOD(C12,2)=1,1,2))</f>
        <v>1</v>
      </c>
      <c r="K12" s="3">
        <f>IF(OR(D12="",ISBLANK(D12),D12=0),0,IF(MOD(D12,2)=1,1,2))</f>
        <v>2</v>
      </c>
      <c r="L12" s="3">
        <f>IF(OR(E12="",ISBLANK(E12),E12=0),0,IF(MOD(E12,2)=1,1,2))</f>
        <v>2</v>
      </c>
      <c r="M12" s="3">
        <f>IF(OR(F12="",ISBLANK(F12),F12=0),0,IF(MOD(F12,2)=1,1,2))</f>
        <v>1</v>
      </c>
      <c r="N12" s="3">
        <f>IF(OR(G12="",ISBLANK(G12),G12=0),0,IF(MOD(G12,2)=1,1,2))</f>
        <v>1</v>
      </c>
      <c r="O12" s="32"/>
      <c r="P12" s="3" cm="1">
        <f t="array" ref="P12">SUMPRODUCT(--(MOD(B12:G12,2)=1))</f>
        <v>3</v>
      </c>
      <c r="Q12" s="3">
        <f>6-P12</f>
        <v>3</v>
      </c>
      <c r="R12" s="34"/>
      <c r="S12" s="3">
        <f>COUNTIFS(B12:G12,"&gt;=1",B12:G12,"&lt;=23")</f>
        <v>3</v>
      </c>
      <c r="T12" s="3">
        <f>6-S12</f>
        <v>3</v>
      </c>
      <c r="U12" s="34"/>
      <c r="V12" s="3" cm="1">
        <f t="array" ref="V12">SUMPRODUCT(--(MOD(B12:G12,10)&gt;=1), --(MOD(B12:G12,10)&lt;=5))</f>
        <v>3</v>
      </c>
      <c r="W12" s="3">
        <f>6-V12</f>
        <v>3</v>
      </c>
      <c r="X12" s="34"/>
      <c r="Y12" s="3" cm="1">
        <f t="array" ref="Y12">IFERROR(COUNT(_xlfn._xlws.FILTER(B12:G12, ISNUMBER(MATCH(B12:G12, {2,3,5,7,11,13,17,19,23,29,31,37,41,43}, 0)))), 0)</f>
        <v>2</v>
      </c>
      <c r="Z12" s="3" cm="1">
        <f t="array" ref="Z12">IFERROR(COUNT(_xlfn._xlws.FILTER(B12:G12, ISNUMBER(MATCH(B12:G12, {1,4,8,10,14,16,20,22,25,26,28,32,34,35,38,40,44}, 0)))), 0)</f>
        <v>3</v>
      </c>
      <c r="AA12" s="3" cm="1">
        <f t="array" ref="AA12">IFERROR(COUNT(_xlfn._xlws.FILTER(B12:G12, ISNUMBER(MATCH(B12:G12, {6,9,12,15,18,21,24,27,30,33,36,39,42,45}, 0)))), 0)</f>
        <v>1</v>
      </c>
      <c r="AB12" s="30"/>
      <c r="AC12" s="26"/>
      <c r="AD12" s="26"/>
      <c r="AE12" s="26"/>
      <c r="AF12" s="26"/>
      <c r="AG12" s="26"/>
      <c r="AH12" s="26"/>
      <c r="AI12" s="30"/>
      <c r="AJ12" s="3">
        <f>COUNTIFS(B12:G12,"&gt;=1",B12:G12,"&lt;=14")</f>
        <v>1</v>
      </c>
      <c r="AK12" s="3">
        <f>COUNTIFS(B12:G12,"&gt;=15",B12:G12,"&lt;=31")</f>
        <v>3</v>
      </c>
      <c r="AL12" s="3">
        <f>6-AK12-AJ12</f>
        <v>2</v>
      </c>
      <c r="AM12" s="33"/>
      <c r="AN12" s="3">
        <f>COUNTIFS($B12:$G12, "&gt;=1",$B12:$G12, "&lt;=9")</f>
        <v>0</v>
      </c>
      <c r="AO12" s="3">
        <f>COUNTIFS($B12:$G12, "&gt;=10",$B12:$G12, "&lt;=18")</f>
        <v>2</v>
      </c>
      <c r="AP12" s="3">
        <f>COUNTIFS($B12:$G12, "&gt;=19",$B12:$G12, "&lt;=27")</f>
        <v>1</v>
      </c>
      <c r="AQ12" s="3">
        <f>COUNTIFS($B12:$G12, "&gt;=28",$B12:$G12, "&lt;=36")</f>
        <v>2</v>
      </c>
      <c r="AR12" s="3">
        <f>COUNTIFS($B12:$G12, "&gt;=37",$B12:$G12, "&lt;=45")</f>
        <v>1</v>
      </c>
      <c r="AS12" s="28" t="e">
        <f>#REF!</f>
        <v>#REF!</v>
      </c>
      <c r="AT12" s="28" t="e">
        <f>#REF!*2</f>
        <v>#REF!</v>
      </c>
      <c r="AU12" s="28" t="e">
        <f>#REF!</f>
        <v>#REF!</v>
      </c>
      <c r="AV12" s="28" t="e">
        <f>#REF!*2</f>
        <v>#REF!</v>
      </c>
      <c r="AW12" s="28" t="e">
        <f>#REF!</f>
        <v>#REF!</v>
      </c>
      <c r="AX12" s="28" t="e">
        <f>#REF!*2</f>
        <v>#REF!</v>
      </c>
      <c r="AY12" s="28" t="e">
        <f>#REF!</f>
        <v>#REF!</v>
      </c>
      <c r="AZ12" s="28" t="e">
        <f>#REF!*2</f>
        <v>#REF!</v>
      </c>
      <c r="BA12" s="28" t="e">
        <f>#REF!</f>
        <v>#REF!</v>
      </c>
      <c r="BB12" s="28" t="e">
        <f>#REF!*2</f>
        <v>#REF!</v>
      </c>
      <c r="BC12" s="28" t="e">
        <f>#REF!</f>
        <v>#REF!</v>
      </c>
      <c r="BD12" s="28" t="e">
        <f>#REF!*2</f>
        <v>#REF!</v>
      </c>
      <c r="BE12" s="9" t="e">
        <f>#REF!-#REF!</f>
        <v>#REF!</v>
      </c>
      <c r="BF12" s="9" t="e">
        <f>#REF!-#REF!</f>
        <v>#REF!</v>
      </c>
      <c r="BG12" s="9" t="e">
        <f>#REF!-#REF!</f>
        <v>#REF!</v>
      </c>
      <c r="BH12" s="9" t="e">
        <f>#REF!-#REF!</f>
        <v>#REF!</v>
      </c>
      <c r="BI12" s="9" t="e">
        <f>#REF!-#REF!</f>
        <v>#REF!</v>
      </c>
      <c r="BJ12" s="33"/>
      <c r="BK12" s="3">
        <f>COUNTIFS(B12:G12, "&gt;=1", B12:G12, "&lt;=9")</f>
        <v>0</v>
      </c>
      <c r="BL12" s="3">
        <f>COUNTIFS(B12:G12, "&gt;=10", B12:G12, "&lt;=19")</f>
        <v>2</v>
      </c>
      <c r="BM12" s="3">
        <f>COUNTIFS(B12:G12, "&gt;=20", B12:G12, "&lt;=29")</f>
        <v>1</v>
      </c>
      <c r="BN12" s="3">
        <f>COUNTIFS(B12:G12, "&gt;=30", B12:G12, "&lt;=39")</f>
        <v>2</v>
      </c>
      <c r="BO12" s="3">
        <f>COUNTIFS(B12:G12, "&gt;=40", B12:G12, "&lt;=45")</f>
        <v>1</v>
      </c>
      <c r="BP12" s="28" t="e">
        <f>#REF!</f>
        <v>#REF!</v>
      </c>
      <c r="BQ12" s="28" t="e">
        <f>#REF!*2</f>
        <v>#REF!</v>
      </c>
      <c r="BR12" s="28" t="e">
        <f>#REF!</f>
        <v>#REF!</v>
      </c>
      <c r="BS12" s="28" t="e">
        <f>#REF!*2</f>
        <v>#REF!</v>
      </c>
      <c r="BT12" s="28" t="e">
        <f>#REF!</f>
        <v>#REF!</v>
      </c>
      <c r="BU12" s="28" t="e">
        <f>#REF!*2</f>
        <v>#REF!</v>
      </c>
      <c r="BV12" s="28" t="e">
        <f>#REF!</f>
        <v>#REF!</v>
      </c>
      <c r="BW12" s="28" t="e">
        <f>#REF!*2</f>
        <v>#REF!</v>
      </c>
      <c r="BX12" s="28" t="e">
        <f>#REF!</f>
        <v>#REF!</v>
      </c>
      <c r="BY12" s="28" t="e">
        <f>#REF!*2</f>
        <v>#REF!</v>
      </c>
      <c r="BZ12" s="28" t="e">
        <f>#REF!</f>
        <v>#REF!</v>
      </c>
      <c r="CA12" s="28" t="e">
        <f>#REF!*2</f>
        <v>#REF!</v>
      </c>
      <c r="CB12" s="9">
        <f>C12-B12</f>
        <v>7</v>
      </c>
      <c r="CC12" s="9">
        <f>D12-C12</f>
        <v>5</v>
      </c>
      <c r="CD12" s="9">
        <f>E12-D12</f>
        <v>8</v>
      </c>
      <c r="CE12" s="9">
        <f>F12-E12</f>
        <v>5</v>
      </c>
      <c r="CF12" s="9">
        <f>G12-F12</f>
        <v>8</v>
      </c>
      <c r="CG12" s="33"/>
      <c r="CH12" s="9">
        <f>C12-B12</f>
        <v>7</v>
      </c>
      <c r="CI12" s="9">
        <f>D12-C12</f>
        <v>5</v>
      </c>
      <c r="CJ12" s="9">
        <f>E12-D12</f>
        <v>8</v>
      </c>
      <c r="CK12" s="9">
        <f>F12-E12</f>
        <v>5</v>
      </c>
      <c r="CL12" s="9">
        <f>G12-F12</f>
        <v>8</v>
      </c>
      <c r="CM12" s="32"/>
      <c r="CN12" s="3">
        <f>IF(OR(CH12="",ISBLANK(CH12),CH12=0),0,IF(MOD(CH12,2)=1,1,2))</f>
        <v>1</v>
      </c>
      <c r="CO12" s="3">
        <f>IF(OR(CI12="",ISBLANK(CI12),CI12=0),0,IF(MOD(CI12,2)=1,1,2))</f>
        <v>1</v>
      </c>
      <c r="CP12" s="3">
        <f>IF(OR(CJ12="",ISBLANK(CJ12),CJ12=0),0,IF(MOD(CJ12,2)=1,1,2))</f>
        <v>2</v>
      </c>
      <c r="CQ12" s="3">
        <f>IF(OR(CK12="",ISBLANK(CK12),CK12=0),0,IF(MOD(CK12,2)=1,1,2))</f>
        <v>1</v>
      </c>
      <c r="CR12" s="3">
        <f>IF(OR(CL12="",ISBLANK(CL12),CL12=0),0,IF(MOD(CL12,2)=1,1,2))</f>
        <v>2</v>
      </c>
      <c r="CS12" s="31"/>
      <c r="CT12" s="3" cm="1">
        <f t="array" ref="CT12">SUMPRODUCT(--(MOD(CH12:CL12,2)=1))</f>
        <v>3</v>
      </c>
      <c r="CU12" s="3">
        <f>5-CT12</f>
        <v>2</v>
      </c>
      <c r="CV12" s="30"/>
      <c r="CW12" s="3" cm="1">
        <f t="array" ref="CW12">SUMPRODUCT(--(MOD(CH12:CL12,10)&gt;=1), --(MOD(CH12:CL12,10)&lt;=5))</f>
        <v>2</v>
      </c>
      <c r="CX12" s="3">
        <f>5-CW12</f>
        <v>3</v>
      </c>
      <c r="CY12" s="30"/>
      <c r="CZ12" s="3" cm="1">
        <f t="array" ref="CZ12">IFERROR(COUNT(_xlfn._xlws.FILTER(CH12:CL12, ISNUMBER(MATCH(CH12:CL12, {2,3,5,7,11,13,17,19,23,29,31,37,41,43}, 0)))), 0)</f>
        <v>3</v>
      </c>
      <c r="DA12" s="3" cm="1">
        <f t="array" ref="DA12">IFERROR(COUNT(_xlfn._xlws.FILTER(CH12:CL12, ISNUMBER(MATCH(CH12:CL12, {1,4,8,10,14,16,20,22,25,26,28,32,34,35,38,40,44}, 0)))), 0)</f>
        <v>2</v>
      </c>
      <c r="DB12" s="3" cm="1">
        <f t="array" ref="DB12">IFERROR(COUNT(_xlfn._xlws.FILTER(CH12:CL12, ISNUMBER(MATCH(CH12:CL12, {6,9,12,15,18,21,24,27,30,33,36,39,42,45}, 0)))), 0)</f>
        <v>0</v>
      </c>
      <c r="DC12" s="29"/>
      <c r="DD12" s="28" t="e">
        <f>#REF!</f>
        <v>#REF!</v>
      </c>
      <c r="DE12" s="28" t="e">
        <f>#REF!*2</f>
        <v>#REF!</v>
      </c>
      <c r="DF12" s="28" t="e">
        <f>#REF!</f>
        <v>#REF!</v>
      </c>
      <c r="DG12" s="28" t="e">
        <f>#REF!*2</f>
        <v>#REF!</v>
      </c>
      <c r="DH12" s="28" t="e">
        <f>#REF!</f>
        <v>#REF!</v>
      </c>
      <c r="DI12" s="28" t="e">
        <f>#REF!*2</f>
        <v>#REF!</v>
      </c>
      <c r="DJ12" s="28" t="e">
        <f>#REF!</f>
        <v>#REF!</v>
      </c>
      <c r="DK12" s="28" t="e">
        <f>#REF!*2</f>
        <v>#REF!</v>
      </c>
      <c r="DL12" s="28" t="e">
        <f>#REF!</f>
        <v>#REF!</v>
      </c>
      <c r="DM12" s="28" t="e">
        <f>#REF!*2</f>
        <v>#REF!</v>
      </c>
      <c r="DN12" s="27"/>
      <c r="DO12" s="26"/>
      <c r="DP12" s="26"/>
      <c r="DQ12" s="26"/>
      <c r="DR12" s="26"/>
      <c r="DS12" s="26"/>
      <c r="DT12" s="25"/>
    </row>
    <row r="13" spans="1:124" x14ac:dyDescent="0.3">
      <c r="B13" s="3">
        <v>6</v>
      </c>
      <c r="C13" s="3">
        <v>7</v>
      </c>
      <c r="D13" s="3">
        <v>15</v>
      </c>
      <c r="E13" s="3">
        <v>22</v>
      </c>
      <c r="F13" s="3">
        <v>26</v>
      </c>
      <c r="G13" s="3">
        <v>40</v>
      </c>
      <c r="H13" s="32"/>
      <c r="I13" s="3">
        <f>IF(OR(B13="",ISBLANK(B13),B13=0),0,IF(MOD(B13,2)=1,1,2))</f>
        <v>2</v>
      </c>
      <c r="J13" s="3">
        <f>IF(OR(C13="",ISBLANK(C13),C13=0),0,IF(MOD(C13,2)=1,1,2))</f>
        <v>1</v>
      </c>
      <c r="K13" s="3">
        <f>IF(OR(D13="",ISBLANK(D13),D13=0),0,IF(MOD(D13,2)=1,1,2))</f>
        <v>1</v>
      </c>
      <c r="L13" s="3">
        <f>IF(OR(E13="",ISBLANK(E13),E13=0),0,IF(MOD(E13,2)=1,1,2))</f>
        <v>2</v>
      </c>
      <c r="M13" s="3">
        <f>IF(OR(F13="",ISBLANK(F13),F13=0),0,IF(MOD(F13,2)=1,1,2))</f>
        <v>2</v>
      </c>
      <c r="N13" s="3">
        <f>IF(OR(G13="",ISBLANK(G13),G13=0),0,IF(MOD(G13,2)=1,1,2))</f>
        <v>2</v>
      </c>
      <c r="O13" s="32"/>
      <c r="P13" s="3" cm="1">
        <f t="array" ref="P13">SUMPRODUCT(--(MOD(B13:G13,2)=1))</f>
        <v>2</v>
      </c>
      <c r="Q13" s="3">
        <f>6-P13</f>
        <v>4</v>
      </c>
      <c r="R13" s="34"/>
      <c r="S13" s="3">
        <f>COUNTIFS(B13:G13,"&gt;=1",B13:G13,"&lt;=23")</f>
        <v>4</v>
      </c>
      <c r="T13" s="3">
        <f>6-S13</f>
        <v>2</v>
      </c>
      <c r="U13" s="34"/>
      <c r="V13" s="3" cm="1">
        <f t="array" ref="V13">SUMPRODUCT(--(MOD(B13:G13,10)&gt;=1), --(MOD(B13:G13,10)&lt;=5))</f>
        <v>2</v>
      </c>
      <c r="W13" s="3">
        <f>6-V13</f>
        <v>4</v>
      </c>
      <c r="X13" s="34"/>
      <c r="Y13" s="3" cm="1">
        <f t="array" ref="Y13">IFERROR(COUNT(_xlfn._xlws.FILTER(B13:G13, ISNUMBER(MATCH(B13:G13, {2,3,5,7,11,13,17,19,23,29,31,37,41,43}, 0)))), 0)</f>
        <v>1</v>
      </c>
      <c r="Z13" s="3" cm="1">
        <f t="array" ref="Z13">IFERROR(COUNT(_xlfn._xlws.FILTER(B13:G13, ISNUMBER(MATCH(B13:G13, {1,4,8,10,14,16,20,22,25,26,28,32,34,35,38,40,44}, 0)))), 0)</f>
        <v>3</v>
      </c>
      <c r="AA13" s="3" cm="1">
        <f t="array" ref="AA13">IFERROR(COUNT(_xlfn._xlws.FILTER(B13:G13, ISNUMBER(MATCH(B13:G13, {6,9,12,15,18,21,24,27,30,33,36,39,42,45}, 0)))), 0)</f>
        <v>2</v>
      </c>
      <c r="AB13" s="30"/>
      <c r="AC13" s="26"/>
      <c r="AD13" s="26"/>
      <c r="AE13" s="26"/>
      <c r="AF13" s="26"/>
      <c r="AG13" s="26"/>
      <c r="AH13" s="26"/>
      <c r="AI13" s="30"/>
      <c r="AJ13" s="3">
        <f>COUNTIFS(B13:G13,"&gt;=1",B13:G13,"&lt;=14")</f>
        <v>2</v>
      </c>
      <c r="AK13" s="3">
        <f>COUNTIFS(B13:G13,"&gt;=15",B13:G13,"&lt;=31")</f>
        <v>3</v>
      </c>
      <c r="AL13" s="3">
        <f>6-AK13-AJ13</f>
        <v>1</v>
      </c>
      <c r="AM13" s="33"/>
      <c r="AN13" s="3">
        <f>COUNTIFS($B13:$G13, "&gt;=1",$B13:$G13, "&lt;=9")</f>
        <v>2</v>
      </c>
      <c r="AO13" s="3">
        <f>COUNTIFS($B13:$G13, "&gt;=10",$B13:$G13, "&lt;=18")</f>
        <v>1</v>
      </c>
      <c r="AP13" s="3">
        <f>COUNTIFS($B13:$G13, "&gt;=19",$B13:$G13, "&lt;=27")</f>
        <v>2</v>
      </c>
      <c r="AQ13" s="3">
        <f>COUNTIFS($B13:$G13, "&gt;=28",$B13:$G13, "&lt;=36")</f>
        <v>0</v>
      </c>
      <c r="AR13" s="3">
        <f>COUNTIFS($B13:$G13, "&gt;=37",$B13:$G13, "&lt;=45")</f>
        <v>1</v>
      </c>
      <c r="AS13" s="28" t="e">
        <f>#REF!</f>
        <v>#REF!</v>
      </c>
      <c r="AT13" s="28" t="e">
        <f>#REF!*2</f>
        <v>#REF!</v>
      </c>
      <c r="AU13" s="28" t="e">
        <f>#REF!</f>
        <v>#REF!</v>
      </c>
      <c r="AV13" s="28" t="e">
        <f>#REF!*2</f>
        <v>#REF!</v>
      </c>
      <c r="AW13" s="28" t="e">
        <f>#REF!</f>
        <v>#REF!</v>
      </c>
      <c r="AX13" s="28" t="e">
        <f>#REF!*2</f>
        <v>#REF!</v>
      </c>
      <c r="AY13" s="28" t="e">
        <f>#REF!</f>
        <v>#REF!</v>
      </c>
      <c r="AZ13" s="28" t="e">
        <f>#REF!*2</f>
        <v>#REF!</v>
      </c>
      <c r="BA13" s="28" t="e">
        <f>#REF!</f>
        <v>#REF!</v>
      </c>
      <c r="BB13" s="28" t="e">
        <f>#REF!*2</f>
        <v>#REF!</v>
      </c>
      <c r="BC13" s="28" t="e">
        <f>#REF!</f>
        <v>#REF!</v>
      </c>
      <c r="BD13" s="28" t="e">
        <f>#REF!*2</f>
        <v>#REF!</v>
      </c>
      <c r="BE13" s="9" t="e">
        <f>#REF!-#REF!</f>
        <v>#REF!</v>
      </c>
      <c r="BF13" s="9" t="e">
        <f>#REF!-#REF!</f>
        <v>#REF!</v>
      </c>
      <c r="BG13" s="9" t="e">
        <f>#REF!-#REF!</f>
        <v>#REF!</v>
      </c>
      <c r="BH13" s="9" t="e">
        <f>#REF!-#REF!</f>
        <v>#REF!</v>
      </c>
      <c r="BI13" s="9" t="e">
        <f>#REF!-#REF!</f>
        <v>#REF!</v>
      </c>
      <c r="BJ13" s="33"/>
      <c r="BK13" s="3">
        <f>COUNTIFS(B13:G13, "&gt;=1", B13:G13, "&lt;=9")</f>
        <v>2</v>
      </c>
      <c r="BL13" s="3">
        <f>COUNTIFS(B13:G13, "&gt;=10", B13:G13, "&lt;=19")</f>
        <v>1</v>
      </c>
      <c r="BM13" s="3">
        <f>COUNTIFS(B13:G13, "&gt;=20", B13:G13, "&lt;=29")</f>
        <v>2</v>
      </c>
      <c r="BN13" s="3">
        <f>COUNTIFS(B13:G13, "&gt;=30", B13:G13, "&lt;=39")</f>
        <v>0</v>
      </c>
      <c r="BO13" s="3">
        <f>COUNTIFS(B13:G13, "&gt;=40", B13:G13, "&lt;=45")</f>
        <v>1</v>
      </c>
      <c r="BP13" s="28" t="e">
        <f>#REF!</f>
        <v>#REF!</v>
      </c>
      <c r="BQ13" s="28" t="e">
        <f>#REF!*2</f>
        <v>#REF!</v>
      </c>
      <c r="BR13" s="28" t="e">
        <f>#REF!</f>
        <v>#REF!</v>
      </c>
      <c r="BS13" s="28" t="e">
        <f>#REF!*2</f>
        <v>#REF!</v>
      </c>
      <c r="BT13" s="28" t="e">
        <f>#REF!</f>
        <v>#REF!</v>
      </c>
      <c r="BU13" s="28" t="e">
        <f>#REF!*2</f>
        <v>#REF!</v>
      </c>
      <c r="BV13" s="28" t="e">
        <f>#REF!</f>
        <v>#REF!</v>
      </c>
      <c r="BW13" s="28" t="e">
        <f>#REF!*2</f>
        <v>#REF!</v>
      </c>
      <c r="BX13" s="28" t="e">
        <f>#REF!</f>
        <v>#REF!</v>
      </c>
      <c r="BY13" s="28" t="e">
        <f>#REF!*2</f>
        <v>#REF!</v>
      </c>
      <c r="BZ13" s="28" t="e">
        <f>#REF!</f>
        <v>#REF!</v>
      </c>
      <c r="CA13" s="28" t="e">
        <f>#REF!*2</f>
        <v>#REF!</v>
      </c>
      <c r="CB13" s="9">
        <f>C13-B13</f>
        <v>1</v>
      </c>
      <c r="CC13" s="9">
        <f>D13-C13</f>
        <v>8</v>
      </c>
      <c r="CD13" s="9">
        <f>E13-D13</f>
        <v>7</v>
      </c>
      <c r="CE13" s="9">
        <f>F13-E13</f>
        <v>4</v>
      </c>
      <c r="CF13" s="9">
        <f>G13-F13</f>
        <v>14</v>
      </c>
      <c r="CG13" s="33"/>
      <c r="CH13" s="9">
        <f>C13-B13</f>
        <v>1</v>
      </c>
      <c r="CI13" s="9">
        <f>D13-C13</f>
        <v>8</v>
      </c>
      <c r="CJ13" s="9">
        <f>E13-D13</f>
        <v>7</v>
      </c>
      <c r="CK13" s="9">
        <f>F13-E13</f>
        <v>4</v>
      </c>
      <c r="CL13" s="9">
        <f>G13-F13</f>
        <v>14</v>
      </c>
      <c r="CM13" s="32"/>
      <c r="CN13" s="3">
        <f>IF(OR(CH13="",ISBLANK(CH13),CH13=0),0,IF(MOD(CH13,2)=1,1,2))</f>
        <v>1</v>
      </c>
      <c r="CO13" s="3">
        <f>IF(OR(CI13="",ISBLANK(CI13),CI13=0),0,IF(MOD(CI13,2)=1,1,2))</f>
        <v>2</v>
      </c>
      <c r="CP13" s="3">
        <f>IF(OR(CJ13="",ISBLANK(CJ13),CJ13=0),0,IF(MOD(CJ13,2)=1,1,2))</f>
        <v>1</v>
      </c>
      <c r="CQ13" s="3">
        <f>IF(OR(CK13="",ISBLANK(CK13),CK13=0),0,IF(MOD(CK13,2)=1,1,2))</f>
        <v>2</v>
      </c>
      <c r="CR13" s="3">
        <f>IF(OR(CL13="",ISBLANK(CL13),CL13=0),0,IF(MOD(CL13,2)=1,1,2))</f>
        <v>2</v>
      </c>
      <c r="CS13" s="31"/>
      <c r="CT13" s="3" cm="1">
        <f t="array" ref="CT13">SUMPRODUCT(--(MOD(CH13:CL13,2)=1))</f>
        <v>2</v>
      </c>
      <c r="CU13" s="3">
        <f>5-CT13</f>
        <v>3</v>
      </c>
      <c r="CV13" s="30"/>
      <c r="CW13" s="3" cm="1">
        <f t="array" ref="CW13">SUMPRODUCT(--(MOD(CH13:CL13,10)&gt;=1), --(MOD(CH13:CL13,10)&lt;=5))</f>
        <v>3</v>
      </c>
      <c r="CX13" s="3">
        <f>5-CW13</f>
        <v>2</v>
      </c>
      <c r="CY13" s="30"/>
      <c r="CZ13" s="3" cm="1">
        <f t="array" ref="CZ13">IFERROR(COUNT(_xlfn._xlws.FILTER(CH13:CL13, ISNUMBER(MATCH(CH13:CL13, {2,3,5,7,11,13,17,19,23,29,31,37,41,43}, 0)))), 0)</f>
        <v>1</v>
      </c>
      <c r="DA13" s="3" cm="1">
        <f t="array" ref="DA13">IFERROR(COUNT(_xlfn._xlws.FILTER(CH13:CL13, ISNUMBER(MATCH(CH13:CL13, {1,4,8,10,14,16,20,22,25,26,28,32,34,35,38,40,44}, 0)))), 0)</f>
        <v>4</v>
      </c>
      <c r="DB13" s="3" cm="1">
        <f t="array" ref="DB13">IFERROR(COUNT(_xlfn._xlws.FILTER(CH13:CL13, ISNUMBER(MATCH(CH13:CL13, {6,9,12,15,18,21,24,27,30,33,36,39,42,45}, 0)))), 0)</f>
        <v>0</v>
      </c>
      <c r="DC13" s="29"/>
      <c r="DD13" s="28" t="e">
        <f>#REF!</f>
        <v>#REF!</v>
      </c>
      <c r="DE13" s="28" t="e">
        <f>#REF!*2</f>
        <v>#REF!</v>
      </c>
      <c r="DF13" s="28" t="e">
        <f>#REF!</f>
        <v>#REF!</v>
      </c>
      <c r="DG13" s="28" t="e">
        <f>#REF!*2</f>
        <v>#REF!</v>
      </c>
      <c r="DH13" s="28" t="e">
        <f>#REF!</f>
        <v>#REF!</v>
      </c>
      <c r="DI13" s="28" t="e">
        <f>#REF!*2</f>
        <v>#REF!</v>
      </c>
      <c r="DJ13" s="28" t="e">
        <f>#REF!</f>
        <v>#REF!</v>
      </c>
      <c r="DK13" s="28" t="e">
        <f>#REF!*2</f>
        <v>#REF!</v>
      </c>
      <c r="DL13" s="28" t="e">
        <f>#REF!</f>
        <v>#REF!</v>
      </c>
      <c r="DM13" s="28" t="e">
        <f>#REF!*2</f>
        <v>#REF!</v>
      </c>
      <c r="DN13" s="27"/>
      <c r="DO13" s="26"/>
      <c r="DP13" s="26"/>
      <c r="DQ13" s="26"/>
      <c r="DR13" s="26"/>
      <c r="DS13" s="26"/>
      <c r="DT13" s="25"/>
    </row>
    <row r="14" spans="1:124" x14ac:dyDescent="0.3">
      <c r="B14" s="3">
        <v>8</v>
      </c>
      <c r="C14" s="3">
        <v>14</v>
      </c>
      <c r="D14" s="3">
        <v>28</v>
      </c>
      <c r="E14" s="3">
        <v>29</v>
      </c>
      <c r="F14" s="3">
        <v>34</v>
      </c>
      <c r="G14" s="3">
        <v>40</v>
      </c>
      <c r="H14" s="32"/>
      <c r="I14" s="3">
        <f>IF(OR(B14="",ISBLANK(B14),B14=0),0,IF(MOD(B14,2)=1,1,2))</f>
        <v>2</v>
      </c>
      <c r="J14" s="3">
        <f>IF(OR(C14="",ISBLANK(C14),C14=0),0,IF(MOD(C14,2)=1,1,2))</f>
        <v>2</v>
      </c>
      <c r="K14" s="3">
        <f>IF(OR(D14="",ISBLANK(D14),D14=0),0,IF(MOD(D14,2)=1,1,2))</f>
        <v>2</v>
      </c>
      <c r="L14" s="3">
        <f>IF(OR(E14="",ISBLANK(E14),E14=0),0,IF(MOD(E14,2)=1,1,2))</f>
        <v>1</v>
      </c>
      <c r="M14" s="3">
        <f>IF(OR(F14="",ISBLANK(F14),F14=0),0,IF(MOD(F14,2)=1,1,2))</f>
        <v>2</v>
      </c>
      <c r="N14" s="3">
        <f>IF(OR(G14="",ISBLANK(G14),G14=0),0,IF(MOD(G14,2)=1,1,2))</f>
        <v>2</v>
      </c>
      <c r="O14" s="32"/>
      <c r="P14" s="3" cm="1">
        <f t="array" ref="P14">SUMPRODUCT(--(MOD(B14:G14,2)=1))</f>
        <v>1</v>
      </c>
      <c r="Q14" s="3">
        <f>6-P14</f>
        <v>5</v>
      </c>
      <c r="R14" s="34"/>
      <c r="S14" s="3">
        <f>COUNTIFS(B14:G14,"&gt;=1",B14:G14,"&lt;=23")</f>
        <v>2</v>
      </c>
      <c r="T14" s="3">
        <f>6-S14</f>
        <v>4</v>
      </c>
      <c r="U14" s="34"/>
      <c r="V14" s="3" cm="1">
        <f t="array" ref="V14">SUMPRODUCT(--(MOD(B14:G14,10)&gt;=1), --(MOD(B14:G14,10)&lt;=5))</f>
        <v>2</v>
      </c>
      <c r="W14" s="3">
        <f>6-V14</f>
        <v>4</v>
      </c>
      <c r="X14" s="34"/>
      <c r="Y14" s="3" cm="1">
        <f t="array" ref="Y14">IFERROR(COUNT(_xlfn._xlws.FILTER(B14:G14, ISNUMBER(MATCH(B14:G14, {2,3,5,7,11,13,17,19,23,29,31,37,41,43}, 0)))), 0)</f>
        <v>1</v>
      </c>
      <c r="Z14" s="3" cm="1">
        <f t="array" ref="Z14">IFERROR(COUNT(_xlfn._xlws.FILTER(B14:G14, ISNUMBER(MATCH(B14:G14, {1,4,8,10,14,16,20,22,25,26,28,32,34,35,38,40,44}, 0)))), 0)</f>
        <v>5</v>
      </c>
      <c r="AA14" s="3" cm="1">
        <f t="array" ref="AA14">IFERROR(COUNT(_xlfn._xlws.FILTER(B14:G14, ISNUMBER(MATCH(B14:G14, {6,9,12,15,18,21,24,27,30,33,36,39,42,45}, 0)))), 0)</f>
        <v>0</v>
      </c>
      <c r="AB14" s="30"/>
      <c r="AC14" s="26"/>
      <c r="AD14" s="26"/>
      <c r="AE14" s="26"/>
      <c r="AF14" s="26"/>
      <c r="AG14" s="26"/>
      <c r="AH14" s="26"/>
      <c r="AI14" s="30"/>
      <c r="AJ14" s="3">
        <f>COUNTIFS(B14:G14,"&gt;=1",B14:G14,"&lt;=14")</f>
        <v>2</v>
      </c>
      <c r="AK14" s="3">
        <f>COUNTIFS(B14:G14,"&gt;=15",B14:G14,"&lt;=31")</f>
        <v>2</v>
      </c>
      <c r="AL14" s="3">
        <f>6-AK14-AJ14</f>
        <v>2</v>
      </c>
      <c r="AM14" s="33"/>
      <c r="AN14" s="3">
        <f>COUNTIFS($B14:$G14, "&gt;=1",$B14:$G14, "&lt;=9")</f>
        <v>1</v>
      </c>
      <c r="AO14" s="3">
        <f>COUNTIFS($B14:$G14, "&gt;=10",$B14:$G14, "&lt;=18")</f>
        <v>1</v>
      </c>
      <c r="AP14" s="3">
        <f>COUNTIFS($B14:$G14, "&gt;=19",$B14:$G14, "&lt;=27")</f>
        <v>0</v>
      </c>
      <c r="AQ14" s="3">
        <f>COUNTIFS($B14:$G14, "&gt;=28",$B14:$G14, "&lt;=36")</f>
        <v>3</v>
      </c>
      <c r="AR14" s="3">
        <f>COUNTIFS($B14:$G14, "&gt;=37",$B14:$G14, "&lt;=45")</f>
        <v>1</v>
      </c>
      <c r="AS14" s="28" t="e">
        <f>#REF!</f>
        <v>#REF!</v>
      </c>
      <c r="AT14" s="28" t="e">
        <f>#REF!*2</f>
        <v>#REF!</v>
      </c>
      <c r="AU14" s="28" t="e">
        <f>#REF!</f>
        <v>#REF!</v>
      </c>
      <c r="AV14" s="28" t="e">
        <f>#REF!*2</f>
        <v>#REF!</v>
      </c>
      <c r="AW14" s="28" t="e">
        <f>#REF!</f>
        <v>#REF!</v>
      </c>
      <c r="AX14" s="28" t="e">
        <f>#REF!*2</f>
        <v>#REF!</v>
      </c>
      <c r="AY14" s="28" t="e">
        <f>#REF!</f>
        <v>#REF!</v>
      </c>
      <c r="AZ14" s="28" t="e">
        <f>#REF!*2</f>
        <v>#REF!</v>
      </c>
      <c r="BA14" s="28" t="e">
        <f>#REF!</f>
        <v>#REF!</v>
      </c>
      <c r="BB14" s="28" t="e">
        <f>#REF!*2</f>
        <v>#REF!</v>
      </c>
      <c r="BC14" s="28" t="e">
        <f>#REF!</f>
        <v>#REF!</v>
      </c>
      <c r="BD14" s="28" t="e">
        <f>#REF!*2</f>
        <v>#REF!</v>
      </c>
      <c r="BE14" s="9" t="e">
        <f>#REF!-#REF!</f>
        <v>#REF!</v>
      </c>
      <c r="BF14" s="9" t="e">
        <f>#REF!-#REF!</f>
        <v>#REF!</v>
      </c>
      <c r="BG14" s="9" t="e">
        <f>#REF!-#REF!</f>
        <v>#REF!</v>
      </c>
      <c r="BH14" s="9" t="e">
        <f>#REF!-#REF!</f>
        <v>#REF!</v>
      </c>
      <c r="BI14" s="9" t="e">
        <f>#REF!-#REF!</f>
        <v>#REF!</v>
      </c>
      <c r="BJ14" s="33"/>
      <c r="BK14" s="3">
        <f>COUNTIFS(B14:G14, "&gt;=1", B14:G14, "&lt;=9")</f>
        <v>1</v>
      </c>
      <c r="BL14" s="3">
        <f>COUNTIFS(B14:G14, "&gt;=10", B14:G14, "&lt;=19")</f>
        <v>1</v>
      </c>
      <c r="BM14" s="3">
        <f>COUNTIFS(B14:G14, "&gt;=20", B14:G14, "&lt;=29")</f>
        <v>2</v>
      </c>
      <c r="BN14" s="3">
        <f>COUNTIFS(B14:G14, "&gt;=30", B14:G14, "&lt;=39")</f>
        <v>1</v>
      </c>
      <c r="BO14" s="3">
        <f>COUNTIFS(B14:G14, "&gt;=40", B14:G14, "&lt;=45")</f>
        <v>1</v>
      </c>
      <c r="BP14" s="28" t="e">
        <f>#REF!</f>
        <v>#REF!</v>
      </c>
      <c r="BQ14" s="28" t="e">
        <f>#REF!*2</f>
        <v>#REF!</v>
      </c>
      <c r="BR14" s="28" t="e">
        <f>#REF!</f>
        <v>#REF!</v>
      </c>
      <c r="BS14" s="28" t="e">
        <f>#REF!*2</f>
        <v>#REF!</v>
      </c>
      <c r="BT14" s="28" t="e">
        <f>#REF!</f>
        <v>#REF!</v>
      </c>
      <c r="BU14" s="28" t="e">
        <f>#REF!*2</f>
        <v>#REF!</v>
      </c>
      <c r="BV14" s="28" t="e">
        <f>#REF!</f>
        <v>#REF!</v>
      </c>
      <c r="BW14" s="28" t="e">
        <f>#REF!*2</f>
        <v>#REF!</v>
      </c>
      <c r="BX14" s="28" t="e">
        <f>#REF!</f>
        <v>#REF!</v>
      </c>
      <c r="BY14" s="28" t="e">
        <f>#REF!*2</f>
        <v>#REF!</v>
      </c>
      <c r="BZ14" s="28" t="e">
        <f>#REF!</f>
        <v>#REF!</v>
      </c>
      <c r="CA14" s="28" t="e">
        <f>#REF!*2</f>
        <v>#REF!</v>
      </c>
      <c r="CB14" s="9">
        <f>C14-B14</f>
        <v>6</v>
      </c>
      <c r="CC14" s="9">
        <f>D14-C14</f>
        <v>14</v>
      </c>
      <c r="CD14" s="9">
        <f>E14-D14</f>
        <v>1</v>
      </c>
      <c r="CE14" s="9">
        <f>F14-E14</f>
        <v>5</v>
      </c>
      <c r="CF14" s="9">
        <f>G14-F14</f>
        <v>6</v>
      </c>
      <c r="CG14" s="33"/>
      <c r="CH14" s="9">
        <f>C14-B14</f>
        <v>6</v>
      </c>
      <c r="CI14" s="9">
        <f>D14-C14</f>
        <v>14</v>
      </c>
      <c r="CJ14" s="9">
        <f>E14-D14</f>
        <v>1</v>
      </c>
      <c r="CK14" s="9">
        <f>F14-E14</f>
        <v>5</v>
      </c>
      <c r="CL14" s="9">
        <f>G14-F14</f>
        <v>6</v>
      </c>
      <c r="CM14" s="32"/>
      <c r="CN14" s="3">
        <f>IF(OR(CH14="",ISBLANK(CH14),CH14=0),0,IF(MOD(CH14,2)=1,1,2))</f>
        <v>2</v>
      </c>
      <c r="CO14" s="3">
        <f>IF(OR(CI14="",ISBLANK(CI14),CI14=0),0,IF(MOD(CI14,2)=1,1,2))</f>
        <v>2</v>
      </c>
      <c r="CP14" s="3">
        <f>IF(OR(CJ14="",ISBLANK(CJ14),CJ14=0),0,IF(MOD(CJ14,2)=1,1,2))</f>
        <v>1</v>
      </c>
      <c r="CQ14" s="3">
        <f>IF(OR(CK14="",ISBLANK(CK14),CK14=0),0,IF(MOD(CK14,2)=1,1,2))</f>
        <v>1</v>
      </c>
      <c r="CR14" s="3">
        <f>IF(OR(CL14="",ISBLANK(CL14),CL14=0),0,IF(MOD(CL14,2)=1,1,2))</f>
        <v>2</v>
      </c>
      <c r="CS14" s="31"/>
      <c r="CT14" s="3" cm="1">
        <f t="array" ref="CT14">SUMPRODUCT(--(MOD(CH14:CL14,2)=1))</f>
        <v>2</v>
      </c>
      <c r="CU14" s="3">
        <f>5-CT14</f>
        <v>3</v>
      </c>
      <c r="CV14" s="30"/>
      <c r="CW14" s="3" cm="1">
        <f t="array" ref="CW14">SUMPRODUCT(--(MOD(CH14:CL14,10)&gt;=1), --(MOD(CH14:CL14,10)&lt;=5))</f>
        <v>3</v>
      </c>
      <c r="CX14" s="3">
        <f>5-CW14</f>
        <v>2</v>
      </c>
      <c r="CY14" s="30"/>
      <c r="CZ14" s="3" cm="1">
        <f t="array" ref="CZ14">IFERROR(COUNT(_xlfn._xlws.FILTER(CH14:CL14, ISNUMBER(MATCH(CH14:CL14, {2,3,5,7,11,13,17,19,23,29,31,37,41,43}, 0)))), 0)</f>
        <v>1</v>
      </c>
      <c r="DA14" s="3" cm="1">
        <f t="array" ref="DA14">IFERROR(COUNT(_xlfn._xlws.FILTER(CH14:CL14, ISNUMBER(MATCH(CH14:CL14, {1,4,8,10,14,16,20,22,25,26,28,32,34,35,38,40,44}, 0)))), 0)</f>
        <v>2</v>
      </c>
      <c r="DB14" s="3" cm="1">
        <f t="array" ref="DB14">IFERROR(COUNT(_xlfn._xlws.FILTER(CH14:CL14, ISNUMBER(MATCH(CH14:CL14, {6,9,12,15,18,21,24,27,30,33,36,39,42,45}, 0)))), 0)</f>
        <v>2</v>
      </c>
      <c r="DC14" s="29"/>
      <c r="DD14" s="28" t="e">
        <f>#REF!</f>
        <v>#REF!</v>
      </c>
      <c r="DE14" s="28" t="e">
        <f>#REF!*2</f>
        <v>#REF!</v>
      </c>
      <c r="DF14" s="28" t="e">
        <f>#REF!</f>
        <v>#REF!</v>
      </c>
      <c r="DG14" s="28" t="e">
        <f>#REF!*2</f>
        <v>#REF!</v>
      </c>
      <c r="DH14" s="28" t="e">
        <f>#REF!</f>
        <v>#REF!</v>
      </c>
      <c r="DI14" s="28" t="e">
        <f>#REF!*2</f>
        <v>#REF!</v>
      </c>
      <c r="DJ14" s="28" t="e">
        <f>#REF!</f>
        <v>#REF!</v>
      </c>
      <c r="DK14" s="28" t="e">
        <f>#REF!*2</f>
        <v>#REF!</v>
      </c>
      <c r="DL14" s="28" t="e">
        <f>#REF!</f>
        <v>#REF!</v>
      </c>
      <c r="DM14" s="28" t="e">
        <f>#REF!*2</f>
        <v>#REF!</v>
      </c>
      <c r="DN14" s="27"/>
      <c r="DO14" s="26"/>
      <c r="DP14" s="26"/>
      <c r="DQ14" s="26"/>
      <c r="DR14" s="26"/>
      <c r="DS14" s="26"/>
      <c r="DT14" s="25"/>
    </row>
    <row r="15" spans="1:124" x14ac:dyDescent="0.3">
      <c r="B15" s="3">
        <v>1</v>
      </c>
      <c r="C15" s="3">
        <v>12</v>
      </c>
      <c r="D15" s="3">
        <v>16</v>
      </c>
      <c r="E15" s="3">
        <v>19</v>
      </c>
      <c r="F15" s="3">
        <v>23</v>
      </c>
      <c r="G15" s="3">
        <v>43</v>
      </c>
      <c r="H15" s="32"/>
      <c r="I15" s="3">
        <f>IF(OR(B15="",ISBLANK(B15),B15=0),0,IF(MOD(B15,2)=1,1,2))</f>
        <v>1</v>
      </c>
      <c r="J15" s="3">
        <f>IF(OR(C15="",ISBLANK(C15),C15=0),0,IF(MOD(C15,2)=1,1,2))</f>
        <v>2</v>
      </c>
      <c r="K15" s="3">
        <f>IF(OR(D15="",ISBLANK(D15),D15=0),0,IF(MOD(D15,2)=1,1,2))</f>
        <v>2</v>
      </c>
      <c r="L15" s="3">
        <f>IF(OR(E15="",ISBLANK(E15),E15=0),0,IF(MOD(E15,2)=1,1,2))</f>
        <v>1</v>
      </c>
      <c r="M15" s="3">
        <f>IF(OR(F15="",ISBLANK(F15),F15=0),0,IF(MOD(F15,2)=1,1,2))</f>
        <v>1</v>
      </c>
      <c r="N15" s="3">
        <f>IF(OR(G15="",ISBLANK(G15),G15=0),0,IF(MOD(G15,2)=1,1,2))</f>
        <v>1</v>
      </c>
      <c r="O15" s="32"/>
      <c r="P15" s="3" cm="1">
        <f t="array" ref="P15">SUMPRODUCT(--(MOD(B15:G15,2)=1))</f>
        <v>4</v>
      </c>
      <c r="Q15" s="3">
        <f>6-P15</f>
        <v>2</v>
      </c>
      <c r="R15" s="34"/>
      <c r="S15" s="3">
        <f>COUNTIFS(B15:G15,"&gt;=1",B15:G15,"&lt;=23")</f>
        <v>5</v>
      </c>
      <c r="T15" s="3">
        <f>6-S15</f>
        <v>1</v>
      </c>
      <c r="U15" s="34"/>
      <c r="V15" s="3" cm="1">
        <f t="array" ref="V15">SUMPRODUCT(--(MOD(B15:G15,10)&gt;=1), --(MOD(B15:G15,10)&lt;=5))</f>
        <v>4</v>
      </c>
      <c r="W15" s="3">
        <f>6-V15</f>
        <v>2</v>
      </c>
      <c r="X15" s="34"/>
      <c r="Y15" s="3" cm="1">
        <f t="array" ref="Y15">IFERROR(COUNT(_xlfn._xlws.FILTER(B15:G15, ISNUMBER(MATCH(B15:G15, {2,3,5,7,11,13,17,19,23,29,31,37,41,43}, 0)))), 0)</f>
        <v>3</v>
      </c>
      <c r="Z15" s="3" cm="1">
        <f t="array" ref="Z15">IFERROR(COUNT(_xlfn._xlws.FILTER(B15:G15, ISNUMBER(MATCH(B15:G15, {1,4,8,10,14,16,20,22,25,26,28,32,34,35,38,40,44}, 0)))), 0)</f>
        <v>2</v>
      </c>
      <c r="AA15" s="3" cm="1">
        <f t="array" ref="AA15">IFERROR(COUNT(_xlfn._xlws.FILTER(B15:G15, ISNUMBER(MATCH(B15:G15, {6,9,12,15,18,21,24,27,30,33,36,39,42,45}, 0)))), 0)</f>
        <v>1</v>
      </c>
      <c r="AB15" s="30"/>
      <c r="AC15" s="26"/>
      <c r="AD15" s="26"/>
      <c r="AE15" s="26"/>
      <c r="AF15" s="26"/>
      <c r="AG15" s="26"/>
      <c r="AH15" s="26"/>
      <c r="AI15" s="30"/>
      <c r="AJ15" s="3">
        <f>COUNTIFS(B15:G15,"&gt;=1",B15:G15,"&lt;=14")</f>
        <v>2</v>
      </c>
      <c r="AK15" s="3">
        <f>COUNTIFS(B15:G15,"&gt;=15",B15:G15,"&lt;=31")</f>
        <v>3</v>
      </c>
      <c r="AL15" s="3">
        <f>6-AK15-AJ15</f>
        <v>1</v>
      </c>
      <c r="AM15" s="33"/>
      <c r="AN15" s="3">
        <f>COUNTIFS($B15:$G15, "&gt;=1",$B15:$G15, "&lt;=9")</f>
        <v>1</v>
      </c>
      <c r="AO15" s="3">
        <f>COUNTIFS($B15:$G15, "&gt;=10",$B15:$G15, "&lt;=18")</f>
        <v>2</v>
      </c>
      <c r="AP15" s="3">
        <f>COUNTIFS($B15:$G15, "&gt;=19",$B15:$G15, "&lt;=27")</f>
        <v>2</v>
      </c>
      <c r="AQ15" s="3">
        <f>COUNTIFS($B15:$G15, "&gt;=28",$B15:$G15, "&lt;=36")</f>
        <v>0</v>
      </c>
      <c r="AR15" s="3">
        <f>COUNTIFS($B15:$G15, "&gt;=37",$B15:$G15, "&lt;=45")</f>
        <v>1</v>
      </c>
      <c r="AS15" s="28" t="e">
        <f>#REF!</f>
        <v>#REF!</v>
      </c>
      <c r="AT15" s="28" t="e">
        <f>#REF!*2</f>
        <v>#REF!</v>
      </c>
      <c r="AU15" s="28" t="e">
        <f>#REF!</f>
        <v>#REF!</v>
      </c>
      <c r="AV15" s="28" t="e">
        <f>#REF!*2</f>
        <v>#REF!</v>
      </c>
      <c r="AW15" s="28" t="e">
        <f>#REF!</f>
        <v>#REF!</v>
      </c>
      <c r="AX15" s="28" t="e">
        <f>#REF!*2</f>
        <v>#REF!</v>
      </c>
      <c r="AY15" s="28" t="e">
        <f>#REF!</f>
        <v>#REF!</v>
      </c>
      <c r="AZ15" s="28" t="e">
        <f>#REF!*2</f>
        <v>#REF!</v>
      </c>
      <c r="BA15" s="28" t="e">
        <f>#REF!</f>
        <v>#REF!</v>
      </c>
      <c r="BB15" s="28" t="e">
        <f>#REF!*2</f>
        <v>#REF!</v>
      </c>
      <c r="BC15" s="28" t="e">
        <f>#REF!</f>
        <v>#REF!</v>
      </c>
      <c r="BD15" s="28" t="e">
        <f>#REF!*2</f>
        <v>#REF!</v>
      </c>
      <c r="BE15" s="9" t="e">
        <f>#REF!-#REF!</f>
        <v>#REF!</v>
      </c>
      <c r="BF15" s="9" t="e">
        <f>#REF!-#REF!</f>
        <v>#REF!</v>
      </c>
      <c r="BG15" s="9" t="e">
        <f>#REF!-#REF!</f>
        <v>#REF!</v>
      </c>
      <c r="BH15" s="9" t="e">
        <f>#REF!-#REF!</f>
        <v>#REF!</v>
      </c>
      <c r="BI15" s="9" t="e">
        <f>#REF!-#REF!</f>
        <v>#REF!</v>
      </c>
      <c r="BJ15" s="33"/>
      <c r="BK15" s="3">
        <f>COUNTIFS(B15:G15, "&gt;=1", B15:G15, "&lt;=9")</f>
        <v>1</v>
      </c>
      <c r="BL15" s="3">
        <f>COUNTIFS(B15:G15, "&gt;=10", B15:G15, "&lt;=19")</f>
        <v>3</v>
      </c>
      <c r="BM15" s="3">
        <f>COUNTIFS(B15:G15, "&gt;=20", B15:G15, "&lt;=29")</f>
        <v>1</v>
      </c>
      <c r="BN15" s="3">
        <f>COUNTIFS(B15:G15, "&gt;=30", B15:G15, "&lt;=39")</f>
        <v>0</v>
      </c>
      <c r="BO15" s="3">
        <f>COUNTIFS(B15:G15, "&gt;=40", B15:G15, "&lt;=45")</f>
        <v>1</v>
      </c>
      <c r="BP15" s="28" t="e">
        <f>#REF!</f>
        <v>#REF!</v>
      </c>
      <c r="BQ15" s="28" t="e">
        <f>#REF!*2</f>
        <v>#REF!</v>
      </c>
      <c r="BR15" s="28" t="e">
        <f>#REF!</f>
        <v>#REF!</v>
      </c>
      <c r="BS15" s="28" t="e">
        <f>#REF!*2</f>
        <v>#REF!</v>
      </c>
      <c r="BT15" s="28" t="e">
        <f>#REF!</f>
        <v>#REF!</v>
      </c>
      <c r="BU15" s="28" t="e">
        <f>#REF!*2</f>
        <v>#REF!</v>
      </c>
      <c r="BV15" s="28" t="e">
        <f>#REF!</f>
        <v>#REF!</v>
      </c>
      <c r="BW15" s="28" t="e">
        <f>#REF!*2</f>
        <v>#REF!</v>
      </c>
      <c r="BX15" s="28" t="e">
        <f>#REF!</f>
        <v>#REF!</v>
      </c>
      <c r="BY15" s="28" t="e">
        <f>#REF!*2</f>
        <v>#REF!</v>
      </c>
      <c r="BZ15" s="28" t="e">
        <f>#REF!</f>
        <v>#REF!</v>
      </c>
      <c r="CA15" s="28" t="e">
        <f>#REF!*2</f>
        <v>#REF!</v>
      </c>
      <c r="CB15" s="9">
        <f>C15-B15</f>
        <v>11</v>
      </c>
      <c r="CC15" s="9">
        <f>D15-C15</f>
        <v>4</v>
      </c>
      <c r="CD15" s="9">
        <f>E15-D15</f>
        <v>3</v>
      </c>
      <c r="CE15" s="9">
        <f>F15-E15</f>
        <v>4</v>
      </c>
      <c r="CF15" s="9">
        <f>G15-F15</f>
        <v>20</v>
      </c>
      <c r="CG15" s="33"/>
      <c r="CH15" s="9">
        <f>C15-B15</f>
        <v>11</v>
      </c>
      <c r="CI15" s="9">
        <f>D15-C15</f>
        <v>4</v>
      </c>
      <c r="CJ15" s="9">
        <f>E15-D15</f>
        <v>3</v>
      </c>
      <c r="CK15" s="9">
        <f>F15-E15</f>
        <v>4</v>
      </c>
      <c r="CL15" s="9">
        <f>G15-F15</f>
        <v>20</v>
      </c>
      <c r="CM15" s="32"/>
      <c r="CN15" s="3">
        <f>IF(OR(CH15="",ISBLANK(CH15),CH15=0),0,IF(MOD(CH15,2)=1,1,2))</f>
        <v>1</v>
      </c>
      <c r="CO15" s="3">
        <f>IF(OR(CI15="",ISBLANK(CI15),CI15=0),0,IF(MOD(CI15,2)=1,1,2))</f>
        <v>2</v>
      </c>
      <c r="CP15" s="3">
        <f>IF(OR(CJ15="",ISBLANK(CJ15),CJ15=0),0,IF(MOD(CJ15,2)=1,1,2))</f>
        <v>1</v>
      </c>
      <c r="CQ15" s="3">
        <f>IF(OR(CK15="",ISBLANK(CK15),CK15=0),0,IF(MOD(CK15,2)=1,1,2))</f>
        <v>2</v>
      </c>
      <c r="CR15" s="3">
        <f>IF(OR(CL15="",ISBLANK(CL15),CL15=0),0,IF(MOD(CL15,2)=1,1,2))</f>
        <v>2</v>
      </c>
      <c r="CS15" s="31"/>
      <c r="CT15" s="3" cm="1">
        <f t="array" ref="CT15">SUMPRODUCT(--(MOD(CH15:CL15,2)=1))</f>
        <v>2</v>
      </c>
      <c r="CU15" s="3">
        <f>5-CT15</f>
        <v>3</v>
      </c>
      <c r="CV15" s="30"/>
      <c r="CW15" s="3" cm="1">
        <f t="array" ref="CW15">SUMPRODUCT(--(MOD(CH15:CL15,10)&gt;=1), --(MOD(CH15:CL15,10)&lt;=5))</f>
        <v>4</v>
      </c>
      <c r="CX15" s="3">
        <f>5-CW15</f>
        <v>1</v>
      </c>
      <c r="CY15" s="30"/>
      <c r="CZ15" s="3" cm="1">
        <f t="array" ref="CZ15">IFERROR(COUNT(_xlfn._xlws.FILTER(CH15:CL15, ISNUMBER(MATCH(CH15:CL15, {2,3,5,7,11,13,17,19,23,29,31,37,41,43}, 0)))), 0)</f>
        <v>2</v>
      </c>
      <c r="DA15" s="3" cm="1">
        <f t="array" ref="DA15">IFERROR(COUNT(_xlfn._xlws.FILTER(CH15:CL15, ISNUMBER(MATCH(CH15:CL15, {1,4,8,10,14,16,20,22,25,26,28,32,34,35,38,40,44}, 0)))), 0)</f>
        <v>3</v>
      </c>
      <c r="DB15" s="3" cm="1">
        <f t="array" ref="DB15">IFERROR(COUNT(_xlfn._xlws.FILTER(CH15:CL15, ISNUMBER(MATCH(CH15:CL15, {6,9,12,15,18,21,24,27,30,33,36,39,42,45}, 0)))), 0)</f>
        <v>0</v>
      </c>
      <c r="DC15" s="29"/>
      <c r="DD15" s="28" t="e">
        <f>#REF!</f>
        <v>#REF!</v>
      </c>
      <c r="DE15" s="28" t="e">
        <f>#REF!*2</f>
        <v>#REF!</v>
      </c>
      <c r="DF15" s="28" t="e">
        <f>#REF!</f>
        <v>#REF!</v>
      </c>
      <c r="DG15" s="28" t="e">
        <f>#REF!*2</f>
        <v>#REF!</v>
      </c>
      <c r="DH15" s="28" t="e">
        <f>#REF!</f>
        <v>#REF!</v>
      </c>
      <c r="DI15" s="28" t="e">
        <f>#REF!*2</f>
        <v>#REF!</v>
      </c>
      <c r="DJ15" s="28" t="e">
        <f>#REF!</f>
        <v>#REF!</v>
      </c>
      <c r="DK15" s="28" t="e">
        <f>#REF!*2</f>
        <v>#REF!</v>
      </c>
      <c r="DL15" s="28" t="e">
        <f>#REF!</f>
        <v>#REF!</v>
      </c>
      <c r="DM15" s="28" t="e">
        <f>#REF!*2</f>
        <v>#REF!</v>
      </c>
      <c r="DN15" s="27"/>
      <c r="DO15" s="26"/>
      <c r="DP15" s="26"/>
      <c r="DQ15" s="26"/>
      <c r="DR15" s="26"/>
      <c r="DS15" s="26"/>
      <c r="DT15" s="25"/>
    </row>
    <row r="16" spans="1:124" x14ac:dyDescent="0.3">
      <c r="B16" s="3">
        <v>14</v>
      </c>
      <c r="C16" s="3">
        <v>33</v>
      </c>
      <c r="D16" s="3">
        <v>34</v>
      </c>
      <c r="E16" s="3">
        <v>35</v>
      </c>
      <c r="F16" s="3">
        <v>37</v>
      </c>
      <c r="G16" s="3">
        <v>40</v>
      </c>
      <c r="H16" s="32"/>
      <c r="I16" s="3">
        <f>IF(OR(B16="",ISBLANK(B16),B16=0),0,IF(MOD(B16,2)=1,1,2))</f>
        <v>2</v>
      </c>
      <c r="J16" s="3">
        <f>IF(OR(C16="",ISBLANK(C16),C16=0),0,IF(MOD(C16,2)=1,1,2))</f>
        <v>1</v>
      </c>
      <c r="K16" s="3">
        <f>IF(OR(D16="",ISBLANK(D16),D16=0),0,IF(MOD(D16,2)=1,1,2))</f>
        <v>2</v>
      </c>
      <c r="L16" s="3">
        <f>IF(OR(E16="",ISBLANK(E16),E16=0),0,IF(MOD(E16,2)=1,1,2))</f>
        <v>1</v>
      </c>
      <c r="M16" s="3">
        <f>IF(OR(F16="",ISBLANK(F16),F16=0),0,IF(MOD(F16,2)=1,1,2))</f>
        <v>1</v>
      </c>
      <c r="N16" s="3">
        <f>IF(OR(G16="",ISBLANK(G16),G16=0),0,IF(MOD(G16,2)=1,1,2))</f>
        <v>2</v>
      </c>
      <c r="O16" s="32"/>
      <c r="P16" s="3" cm="1">
        <f t="array" ref="P16">SUMPRODUCT(--(MOD(B16:G16,2)=1))</f>
        <v>3</v>
      </c>
      <c r="Q16" s="3">
        <f>6-P16</f>
        <v>3</v>
      </c>
      <c r="R16" s="34"/>
      <c r="S16" s="3">
        <f>COUNTIFS(B16:G16,"&gt;=1",B16:G16,"&lt;=23")</f>
        <v>1</v>
      </c>
      <c r="T16" s="3">
        <f>6-S16</f>
        <v>5</v>
      </c>
      <c r="U16" s="34"/>
      <c r="V16" s="3" cm="1">
        <f t="array" ref="V16">SUMPRODUCT(--(MOD(B16:G16,10)&gt;=1), --(MOD(B16:G16,10)&lt;=5))</f>
        <v>4</v>
      </c>
      <c r="W16" s="3">
        <f>6-V16</f>
        <v>2</v>
      </c>
      <c r="X16" s="34"/>
      <c r="Y16" s="3" cm="1">
        <f t="array" ref="Y16">IFERROR(COUNT(_xlfn._xlws.FILTER(B16:G16, ISNUMBER(MATCH(B16:G16, {2,3,5,7,11,13,17,19,23,29,31,37,41,43}, 0)))), 0)</f>
        <v>1</v>
      </c>
      <c r="Z16" s="3" cm="1">
        <f t="array" ref="Z16">IFERROR(COUNT(_xlfn._xlws.FILTER(B16:G16, ISNUMBER(MATCH(B16:G16, {1,4,8,10,14,16,20,22,25,26,28,32,34,35,38,40,44}, 0)))), 0)</f>
        <v>4</v>
      </c>
      <c r="AA16" s="3" cm="1">
        <f t="array" ref="AA16">IFERROR(COUNT(_xlfn._xlws.FILTER(B16:G16, ISNUMBER(MATCH(B16:G16, {6,9,12,15,18,21,24,27,30,33,36,39,42,45}, 0)))), 0)</f>
        <v>1</v>
      </c>
      <c r="AB16" s="30"/>
      <c r="AC16" s="26"/>
      <c r="AD16" s="26"/>
      <c r="AE16" s="26"/>
      <c r="AF16" s="26"/>
      <c r="AG16" s="26"/>
      <c r="AH16" s="26"/>
      <c r="AI16" s="30"/>
      <c r="AJ16" s="3">
        <f>COUNTIFS(B16:G16,"&gt;=1",B16:G16,"&lt;=14")</f>
        <v>1</v>
      </c>
      <c r="AK16" s="3">
        <f>COUNTIFS(B16:G16,"&gt;=15",B16:G16,"&lt;=31")</f>
        <v>0</v>
      </c>
      <c r="AL16" s="3">
        <f>6-AK16-AJ16</f>
        <v>5</v>
      </c>
      <c r="AM16" s="33"/>
      <c r="AN16" s="3">
        <f>COUNTIFS($B16:$G16, "&gt;=1",$B16:$G16, "&lt;=9")</f>
        <v>0</v>
      </c>
      <c r="AO16" s="3">
        <f>COUNTIFS($B16:$G16, "&gt;=10",$B16:$G16, "&lt;=18")</f>
        <v>1</v>
      </c>
      <c r="AP16" s="3">
        <f>COUNTIFS($B16:$G16, "&gt;=19",$B16:$G16, "&lt;=27")</f>
        <v>0</v>
      </c>
      <c r="AQ16" s="3">
        <f>COUNTIFS($B16:$G16, "&gt;=28",$B16:$G16, "&lt;=36")</f>
        <v>3</v>
      </c>
      <c r="AR16" s="3">
        <f>COUNTIFS($B16:$G16, "&gt;=37",$B16:$G16, "&lt;=45")</f>
        <v>2</v>
      </c>
      <c r="AS16" s="28" t="e">
        <f>#REF!</f>
        <v>#REF!</v>
      </c>
      <c r="AT16" s="28" t="e">
        <f>#REF!*2</f>
        <v>#REF!</v>
      </c>
      <c r="AU16" s="28" t="e">
        <f>#REF!</f>
        <v>#REF!</v>
      </c>
      <c r="AV16" s="28" t="e">
        <f>#REF!*2</f>
        <v>#REF!</v>
      </c>
      <c r="AW16" s="28" t="e">
        <f>#REF!</f>
        <v>#REF!</v>
      </c>
      <c r="AX16" s="28" t="e">
        <f>#REF!*2</f>
        <v>#REF!</v>
      </c>
      <c r="AY16" s="28" t="e">
        <f>#REF!</f>
        <v>#REF!</v>
      </c>
      <c r="AZ16" s="28" t="e">
        <f>#REF!*2</f>
        <v>#REF!</v>
      </c>
      <c r="BA16" s="28" t="e">
        <f>#REF!</f>
        <v>#REF!</v>
      </c>
      <c r="BB16" s="28" t="e">
        <f>#REF!*2</f>
        <v>#REF!</v>
      </c>
      <c r="BC16" s="28" t="e">
        <f>#REF!</f>
        <v>#REF!</v>
      </c>
      <c r="BD16" s="28" t="e">
        <f>#REF!*2</f>
        <v>#REF!</v>
      </c>
      <c r="BE16" s="9" t="e">
        <f>#REF!-#REF!</f>
        <v>#REF!</v>
      </c>
      <c r="BF16" s="9" t="e">
        <f>#REF!-#REF!</f>
        <v>#REF!</v>
      </c>
      <c r="BG16" s="9" t="e">
        <f>#REF!-#REF!</f>
        <v>#REF!</v>
      </c>
      <c r="BH16" s="9" t="e">
        <f>#REF!-#REF!</f>
        <v>#REF!</v>
      </c>
      <c r="BI16" s="9" t="e">
        <f>#REF!-#REF!</f>
        <v>#REF!</v>
      </c>
      <c r="BJ16" s="33"/>
      <c r="BK16" s="3">
        <f>COUNTIFS(B16:G16, "&gt;=1", B16:G16, "&lt;=9")</f>
        <v>0</v>
      </c>
      <c r="BL16" s="3">
        <f>COUNTIFS(B16:G16, "&gt;=10", B16:G16, "&lt;=19")</f>
        <v>1</v>
      </c>
      <c r="BM16" s="3">
        <f>COUNTIFS(B16:G16, "&gt;=20", B16:G16, "&lt;=29")</f>
        <v>0</v>
      </c>
      <c r="BN16" s="3">
        <f>COUNTIFS(B16:G16, "&gt;=30", B16:G16, "&lt;=39")</f>
        <v>4</v>
      </c>
      <c r="BO16" s="3">
        <f>COUNTIFS(B16:G16, "&gt;=40", B16:G16, "&lt;=45")</f>
        <v>1</v>
      </c>
      <c r="BP16" s="28" t="e">
        <f>#REF!</f>
        <v>#REF!</v>
      </c>
      <c r="BQ16" s="28" t="e">
        <f>#REF!*2</f>
        <v>#REF!</v>
      </c>
      <c r="BR16" s="28" t="e">
        <f>#REF!</f>
        <v>#REF!</v>
      </c>
      <c r="BS16" s="28" t="e">
        <f>#REF!*2</f>
        <v>#REF!</v>
      </c>
      <c r="BT16" s="28" t="e">
        <f>#REF!</f>
        <v>#REF!</v>
      </c>
      <c r="BU16" s="28" t="e">
        <f>#REF!*2</f>
        <v>#REF!</v>
      </c>
      <c r="BV16" s="28" t="e">
        <f>#REF!</f>
        <v>#REF!</v>
      </c>
      <c r="BW16" s="28" t="e">
        <f>#REF!*2</f>
        <v>#REF!</v>
      </c>
      <c r="BX16" s="28" t="e">
        <f>#REF!</f>
        <v>#REF!</v>
      </c>
      <c r="BY16" s="28" t="e">
        <f>#REF!*2</f>
        <v>#REF!</v>
      </c>
      <c r="BZ16" s="28" t="e">
        <f>#REF!</f>
        <v>#REF!</v>
      </c>
      <c r="CA16" s="28" t="e">
        <f>#REF!*2</f>
        <v>#REF!</v>
      </c>
      <c r="CB16" s="9">
        <f>C16-B16</f>
        <v>19</v>
      </c>
      <c r="CC16" s="9">
        <f>D16-C16</f>
        <v>1</v>
      </c>
      <c r="CD16" s="9">
        <f>E16-D16</f>
        <v>1</v>
      </c>
      <c r="CE16" s="9">
        <f>F16-E16</f>
        <v>2</v>
      </c>
      <c r="CF16" s="9">
        <f>G16-F16</f>
        <v>3</v>
      </c>
      <c r="CG16" s="33"/>
      <c r="CH16" s="9">
        <f>C16-B16</f>
        <v>19</v>
      </c>
      <c r="CI16" s="9">
        <f>D16-C16</f>
        <v>1</v>
      </c>
      <c r="CJ16" s="9">
        <f>E16-D16</f>
        <v>1</v>
      </c>
      <c r="CK16" s="9">
        <f>F16-E16</f>
        <v>2</v>
      </c>
      <c r="CL16" s="9">
        <f>G16-F16</f>
        <v>3</v>
      </c>
      <c r="CM16" s="32"/>
      <c r="CN16" s="3">
        <f>IF(OR(CH16="",ISBLANK(CH16),CH16=0),0,IF(MOD(CH16,2)=1,1,2))</f>
        <v>1</v>
      </c>
      <c r="CO16" s="3">
        <f>IF(OR(CI16="",ISBLANK(CI16),CI16=0),0,IF(MOD(CI16,2)=1,1,2))</f>
        <v>1</v>
      </c>
      <c r="CP16" s="3">
        <f>IF(OR(CJ16="",ISBLANK(CJ16),CJ16=0),0,IF(MOD(CJ16,2)=1,1,2))</f>
        <v>1</v>
      </c>
      <c r="CQ16" s="3">
        <f>IF(OR(CK16="",ISBLANK(CK16),CK16=0),0,IF(MOD(CK16,2)=1,1,2))</f>
        <v>2</v>
      </c>
      <c r="CR16" s="3">
        <f>IF(OR(CL16="",ISBLANK(CL16),CL16=0),0,IF(MOD(CL16,2)=1,1,2))</f>
        <v>1</v>
      </c>
      <c r="CS16" s="31"/>
      <c r="CT16" s="3" cm="1">
        <f t="array" ref="CT16">SUMPRODUCT(--(MOD(CH16:CL16,2)=1))</f>
        <v>4</v>
      </c>
      <c r="CU16" s="3">
        <f>5-CT16</f>
        <v>1</v>
      </c>
      <c r="CV16" s="30"/>
      <c r="CW16" s="3" cm="1">
        <f t="array" ref="CW16">SUMPRODUCT(--(MOD(CH16:CL16,10)&gt;=1), --(MOD(CH16:CL16,10)&lt;=5))</f>
        <v>4</v>
      </c>
      <c r="CX16" s="3">
        <f>5-CW16</f>
        <v>1</v>
      </c>
      <c r="CY16" s="30"/>
      <c r="CZ16" s="3" cm="1">
        <f t="array" ref="CZ16">IFERROR(COUNT(_xlfn._xlws.FILTER(CH16:CL16, ISNUMBER(MATCH(CH16:CL16, {2,3,5,7,11,13,17,19,23,29,31,37,41,43}, 0)))), 0)</f>
        <v>3</v>
      </c>
      <c r="DA16" s="3" cm="1">
        <f t="array" ref="DA16">IFERROR(COUNT(_xlfn._xlws.FILTER(CH16:CL16, ISNUMBER(MATCH(CH16:CL16, {1,4,8,10,14,16,20,22,25,26,28,32,34,35,38,40,44}, 0)))), 0)</f>
        <v>2</v>
      </c>
      <c r="DB16" s="3" cm="1">
        <f t="array" ref="DB16">IFERROR(COUNT(_xlfn._xlws.FILTER(CH16:CL16, ISNUMBER(MATCH(CH16:CL16, {6,9,12,15,18,21,24,27,30,33,36,39,42,45}, 0)))), 0)</f>
        <v>0</v>
      </c>
      <c r="DC16" s="29"/>
      <c r="DD16" s="28" t="e">
        <f>#REF!</f>
        <v>#REF!</v>
      </c>
      <c r="DE16" s="28" t="e">
        <f>#REF!*2</f>
        <v>#REF!</v>
      </c>
      <c r="DF16" s="28" t="e">
        <f>#REF!</f>
        <v>#REF!</v>
      </c>
      <c r="DG16" s="28" t="e">
        <f>#REF!*2</f>
        <v>#REF!</v>
      </c>
      <c r="DH16" s="28" t="e">
        <f>#REF!</f>
        <v>#REF!</v>
      </c>
      <c r="DI16" s="28" t="e">
        <f>#REF!*2</f>
        <v>#REF!</v>
      </c>
      <c r="DJ16" s="28" t="e">
        <f>#REF!</f>
        <v>#REF!</v>
      </c>
      <c r="DK16" s="28" t="e">
        <f>#REF!*2</f>
        <v>#REF!</v>
      </c>
      <c r="DL16" s="28" t="e">
        <f>#REF!</f>
        <v>#REF!</v>
      </c>
      <c r="DM16" s="28" t="e">
        <f>#REF!*2</f>
        <v>#REF!</v>
      </c>
      <c r="DN16" s="27"/>
      <c r="DO16" s="26"/>
      <c r="DP16" s="26"/>
      <c r="DQ16" s="26"/>
      <c r="DR16" s="26"/>
      <c r="DS16" s="26"/>
      <c r="DT16" s="25"/>
    </row>
    <row r="17" spans="2:124" x14ac:dyDescent="0.3">
      <c r="B17" s="3">
        <v>12</v>
      </c>
      <c r="C17" s="3">
        <v>16</v>
      </c>
      <c r="D17" s="3">
        <v>21</v>
      </c>
      <c r="E17" s="3">
        <v>24</v>
      </c>
      <c r="F17" s="3">
        <v>41</v>
      </c>
      <c r="G17" s="3">
        <v>43</v>
      </c>
      <c r="H17" s="32"/>
      <c r="I17" s="3">
        <f>IF(OR(B17="",ISBLANK(B17),B17=0),0,IF(MOD(B17,2)=1,1,2))</f>
        <v>2</v>
      </c>
      <c r="J17" s="3">
        <f>IF(OR(C17="",ISBLANK(C17),C17=0),0,IF(MOD(C17,2)=1,1,2))</f>
        <v>2</v>
      </c>
      <c r="K17" s="3">
        <f>IF(OR(D17="",ISBLANK(D17),D17=0),0,IF(MOD(D17,2)=1,1,2))</f>
        <v>1</v>
      </c>
      <c r="L17" s="3">
        <f>IF(OR(E17="",ISBLANK(E17),E17=0),0,IF(MOD(E17,2)=1,1,2))</f>
        <v>2</v>
      </c>
      <c r="M17" s="3">
        <f>IF(OR(F17="",ISBLANK(F17),F17=0),0,IF(MOD(F17,2)=1,1,2))</f>
        <v>1</v>
      </c>
      <c r="N17" s="3">
        <f>IF(OR(G17="",ISBLANK(G17),G17=0),0,IF(MOD(G17,2)=1,1,2))</f>
        <v>1</v>
      </c>
      <c r="O17" s="32"/>
      <c r="P17" s="3" cm="1">
        <f t="array" ref="P17">SUMPRODUCT(--(MOD(B17:G17,2)=1))</f>
        <v>3</v>
      </c>
      <c r="Q17" s="3">
        <f>6-P17</f>
        <v>3</v>
      </c>
      <c r="R17" s="34"/>
      <c r="S17" s="3">
        <f>COUNTIFS(B17:G17,"&gt;=1",B17:G17,"&lt;=23")</f>
        <v>3</v>
      </c>
      <c r="T17" s="3">
        <f>6-S17</f>
        <v>3</v>
      </c>
      <c r="U17" s="34"/>
      <c r="V17" s="3" cm="1">
        <f t="array" ref="V17">SUMPRODUCT(--(MOD(B17:G17,10)&gt;=1), --(MOD(B17:G17,10)&lt;=5))</f>
        <v>5</v>
      </c>
      <c r="W17" s="3">
        <f>6-V17</f>
        <v>1</v>
      </c>
      <c r="X17" s="34"/>
      <c r="Y17" s="3" cm="1">
        <f t="array" ref="Y17">IFERROR(COUNT(_xlfn._xlws.FILTER(B17:G17, ISNUMBER(MATCH(B17:G17, {2,3,5,7,11,13,17,19,23,29,31,37,41,43}, 0)))), 0)</f>
        <v>2</v>
      </c>
      <c r="Z17" s="3" cm="1">
        <f t="array" ref="Z17">IFERROR(COUNT(_xlfn._xlws.FILTER(B17:G17, ISNUMBER(MATCH(B17:G17, {1,4,8,10,14,16,20,22,25,26,28,32,34,35,38,40,44}, 0)))), 0)</f>
        <v>1</v>
      </c>
      <c r="AA17" s="3" cm="1">
        <f t="array" ref="AA17">IFERROR(COUNT(_xlfn._xlws.FILTER(B17:G17, ISNUMBER(MATCH(B17:G17, {6,9,12,15,18,21,24,27,30,33,36,39,42,45}, 0)))), 0)</f>
        <v>3</v>
      </c>
      <c r="AB17" s="30"/>
      <c r="AC17" s="26"/>
      <c r="AD17" s="26"/>
      <c r="AE17" s="26"/>
      <c r="AF17" s="26"/>
      <c r="AG17" s="26"/>
      <c r="AH17" s="26"/>
      <c r="AI17" s="30"/>
      <c r="AJ17" s="3">
        <f>COUNTIFS(B17:G17,"&gt;=1",B17:G17,"&lt;=14")</f>
        <v>1</v>
      </c>
      <c r="AK17" s="3">
        <f>COUNTIFS(B17:G17,"&gt;=15",B17:G17,"&lt;=31")</f>
        <v>3</v>
      </c>
      <c r="AL17" s="3">
        <f>6-AK17-AJ17</f>
        <v>2</v>
      </c>
      <c r="AM17" s="33"/>
      <c r="AN17" s="3">
        <f>COUNTIFS($B17:$G17, "&gt;=1",$B17:$G17, "&lt;=9")</f>
        <v>0</v>
      </c>
      <c r="AO17" s="3">
        <f>COUNTIFS($B17:$G17, "&gt;=10",$B17:$G17, "&lt;=18")</f>
        <v>2</v>
      </c>
      <c r="AP17" s="3">
        <f>COUNTIFS($B17:$G17, "&gt;=19",$B17:$G17, "&lt;=27")</f>
        <v>2</v>
      </c>
      <c r="AQ17" s="3">
        <f>COUNTIFS($B17:$G17, "&gt;=28",$B17:$G17, "&lt;=36")</f>
        <v>0</v>
      </c>
      <c r="AR17" s="3">
        <f>COUNTIFS($B17:$G17, "&gt;=37",$B17:$G17, "&lt;=45")</f>
        <v>2</v>
      </c>
      <c r="AS17" s="28" t="e">
        <f>#REF!</f>
        <v>#REF!</v>
      </c>
      <c r="AT17" s="28" t="e">
        <f>#REF!*2</f>
        <v>#REF!</v>
      </c>
      <c r="AU17" s="28" t="e">
        <f>#REF!</f>
        <v>#REF!</v>
      </c>
      <c r="AV17" s="28" t="e">
        <f>#REF!*2</f>
        <v>#REF!</v>
      </c>
      <c r="AW17" s="28" t="e">
        <f>#REF!</f>
        <v>#REF!</v>
      </c>
      <c r="AX17" s="28" t="e">
        <f>#REF!*2</f>
        <v>#REF!</v>
      </c>
      <c r="AY17" s="28" t="e">
        <f>#REF!</f>
        <v>#REF!</v>
      </c>
      <c r="AZ17" s="28" t="e">
        <f>#REF!*2</f>
        <v>#REF!</v>
      </c>
      <c r="BA17" s="28" t="e">
        <f>#REF!</f>
        <v>#REF!</v>
      </c>
      <c r="BB17" s="28" t="e">
        <f>#REF!*2</f>
        <v>#REF!</v>
      </c>
      <c r="BC17" s="28" t="e">
        <f>#REF!</f>
        <v>#REF!</v>
      </c>
      <c r="BD17" s="28" t="e">
        <f>#REF!*2</f>
        <v>#REF!</v>
      </c>
      <c r="BE17" s="9" t="e">
        <f>#REF!-#REF!</f>
        <v>#REF!</v>
      </c>
      <c r="BF17" s="9" t="e">
        <f>#REF!-#REF!</f>
        <v>#REF!</v>
      </c>
      <c r="BG17" s="9" t="e">
        <f>#REF!-#REF!</f>
        <v>#REF!</v>
      </c>
      <c r="BH17" s="9" t="e">
        <f>#REF!-#REF!</f>
        <v>#REF!</v>
      </c>
      <c r="BI17" s="9" t="e">
        <f>#REF!-#REF!</f>
        <v>#REF!</v>
      </c>
      <c r="BJ17" s="33"/>
      <c r="BK17" s="3">
        <f>COUNTIFS(B17:G17, "&gt;=1", B17:G17, "&lt;=9")</f>
        <v>0</v>
      </c>
      <c r="BL17" s="3">
        <f>COUNTIFS(B17:G17, "&gt;=10", B17:G17, "&lt;=19")</f>
        <v>2</v>
      </c>
      <c r="BM17" s="3">
        <f>COUNTIFS(B17:G17, "&gt;=20", B17:G17, "&lt;=29")</f>
        <v>2</v>
      </c>
      <c r="BN17" s="3">
        <f>COUNTIFS(B17:G17, "&gt;=30", B17:G17, "&lt;=39")</f>
        <v>0</v>
      </c>
      <c r="BO17" s="3">
        <f>COUNTIFS(B17:G17, "&gt;=40", B17:G17, "&lt;=45")</f>
        <v>2</v>
      </c>
      <c r="BP17" s="28" t="e">
        <f>#REF!</f>
        <v>#REF!</v>
      </c>
      <c r="BQ17" s="28" t="e">
        <f>#REF!*2</f>
        <v>#REF!</v>
      </c>
      <c r="BR17" s="28" t="e">
        <f>#REF!</f>
        <v>#REF!</v>
      </c>
      <c r="BS17" s="28" t="e">
        <f>#REF!*2</f>
        <v>#REF!</v>
      </c>
      <c r="BT17" s="28" t="e">
        <f>#REF!</f>
        <v>#REF!</v>
      </c>
      <c r="BU17" s="28" t="e">
        <f>#REF!*2</f>
        <v>#REF!</v>
      </c>
      <c r="BV17" s="28" t="e">
        <f>#REF!</f>
        <v>#REF!</v>
      </c>
      <c r="BW17" s="28" t="e">
        <f>#REF!*2</f>
        <v>#REF!</v>
      </c>
      <c r="BX17" s="28" t="e">
        <f>#REF!</f>
        <v>#REF!</v>
      </c>
      <c r="BY17" s="28" t="e">
        <f>#REF!*2</f>
        <v>#REF!</v>
      </c>
      <c r="BZ17" s="28" t="e">
        <f>#REF!</f>
        <v>#REF!</v>
      </c>
      <c r="CA17" s="28" t="e">
        <f>#REF!*2</f>
        <v>#REF!</v>
      </c>
      <c r="CB17" s="9">
        <f>C17-B17</f>
        <v>4</v>
      </c>
      <c r="CC17" s="9">
        <f>D17-C17</f>
        <v>5</v>
      </c>
      <c r="CD17" s="9">
        <f>E17-D17</f>
        <v>3</v>
      </c>
      <c r="CE17" s="9">
        <f>F17-E17</f>
        <v>17</v>
      </c>
      <c r="CF17" s="9">
        <f>G17-F17</f>
        <v>2</v>
      </c>
      <c r="CG17" s="33"/>
      <c r="CH17" s="9">
        <f>C17-B17</f>
        <v>4</v>
      </c>
      <c r="CI17" s="9">
        <f>D17-C17</f>
        <v>5</v>
      </c>
      <c r="CJ17" s="9">
        <f>E17-D17</f>
        <v>3</v>
      </c>
      <c r="CK17" s="9">
        <f>F17-E17</f>
        <v>17</v>
      </c>
      <c r="CL17" s="9">
        <f>G17-F17</f>
        <v>2</v>
      </c>
      <c r="CM17" s="32"/>
      <c r="CN17" s="3">
        <f>IF(OR(CH17="",ISBLANK(CH17),CH17=0),0,IF(MOD(CH17,2)=1,1,2))</f>
        <v>2</v>
      </c>
      <c r="CO17" s="3">
        <f>IF(OR(CI17="",ISBLANK(CI17),CI17=0),0,IF(MOD(CI17,2)=1,1,2))</f>
        <v>1</v>
      </c>
      <c r="CP17" s="3">
        <f>IF(OR(CJ17="",ISBLANK(CJ17),CJ17=0),0,IF(MOD(CJ17,2)=1,1,2))</f>
        <v>1</v>
      </c>
      <c r="CQ17" s="3">
        <f>IF(OR(CK17="",ISBLANK(CK17),CK17=0),0,IF(MOD(CK17,2)=1,1,2))</f>
        <v>1</v>
      </c>
      <c r="CR17" s="3">
        <f>IF(OR(CL17="",ISBLANK(CL17),CL17=0),0,IF(MOD(CL17,2)=1,1,2))</f>
        <v>2</v>
      </c>
      <c r="CS17" s="31"/>
      <c r="CT17" s="3" cm="1">
        <f t="array" ref="CT17">SUMPRODUCT(--(MOD(CH17:CL17,2)=1))</f>
        <v>3</v>
      </c>
      <c r="CU17" s="3">
        <f>5-CT17</f>
        <v>2</v>
      </c>
      <c r="CV17" s="30"/>
      <c r="CW17" s="3" cm="1">
        <f t="array" ref="CW17">SUMPRODUCT(--(MOD(CH17:CL17,10)&gt;=1), --(MOD(CH17:CL17,10)&lt;=5))</f>
        <v>4</v>
      </c>
      <c r="CX17" s="3">
        <f>5-CW17</f>
        <v>1</v>
      </c>
      <c r="CY17" s="30"/>
      <c r="CZ17" s="3" cm="1">
        <f t="array" ref="CZ17">IFERROR(COUNT(_xlfn._xlws.FILTER(CH17:CL17, ISNUMBER(MATCH(CH17:CL17, {2,3,5,7,11,13,17,19,23,29,31,37,41,43}, 0)))), 0)</f>
        <v>4</v>
      </c>
      <c r="DA17" s="3" cm="1">
        <f t="array" ref="DA17">IFERROR(COUNT(_xlfn._xlws.FILTER(CH17:CL17, ISNUMBER(MATCH(CH17:CL17, {1,4,8,10,14,16,20,22,25,26,28,32,34,35,38,40,44}, 0)))), 0)</f>
        <v>1</v>
      </c>
      <c r="DB17" s="3" cm="1">
        <f t="array" ref="DB17">IFERROR(COUNT(_xlfn._xlws.FILTER(CH17:CL17, ISNUMBER(MATCH(CH17:CL17, {6,9,12,15,18,21,24,27,30,33,36,39,42,45}, 0)))), 0)</f>
        <v>0</v>
      </c>
      <c r="DC17" s="29"/>
      <c r="DD17" s="28" t="e">
        <f>#REF!</f>
        <v>#REF!</v>
      </c>
      <c r="DE17" s="28" t="e">
        <f>#REF!*2</f>
        <v>#REF!</v>
      </c>
      <c r="DF17" s="28" t="e">
        <f>#REF!</f>
        <v>#REF!</v>
      </c>
      <c r="DG17" s="28" t="e">
        <f>#REF!*2</f>
        <v>#REF!</v>
      </c>
      <c r="DH17" s="28" t="e">
        <f>#REF!</f>
        <v>#REF!</v>
      </c>
      <c r="DI17" s="28" t="e">
        <f>#REF!*2</f>
        <v>#REF!</v>
      </c>
      <c r="DJ17" s="28" t="e">
        <f>#REF!</f>
        <v>#REF!</v>
      </c>
      <c r="DK17" s="28" t="e">
        <f>#REF!*2</f>
        <v>#REF!</v>
      </c>
      <c r="DL17" s="28" t="e">
        <f>#REF!</f>
        <v>#REF!</v>
      </c>
      <c r="DM17" s="28" t="e">
        <f>#REF!*2</f>
        <v>#REF!</v>
      </c>
      <c r="DN17" s="27"/>
      <c r="DO17" s="26"/>
      <c r="DP17" s="26"/>
      <c r="DQ17" s="26"/>
      <c r="DR17" s="26"/>
      <c r="DS17" s="26"/>
      <c r="DT17" s="25"/>
    </row>
    <row r="18" spans="2:124" x14ac:dyDescent="0.3">
      <c r="B18" s="3">
        <v>3</v>
      </c>
      <c r="C18" s="3">
        <v>20</v>
      </c>
      <c r="D18" s="3">
        <v>28</v>
      </c>
      <c r="E18" s="3">
        <v>38</v>
      </c>
      <c r="F18" s="3">
        <v>40</v>
      </c>
      <c r="G18" s="3">
        <v>43</v>
      </c>
      <c r="H18" s="32"/>
      <c r="I18" s="3">
        <f>IF(OR(B18="",ISBLANK(B18),B18=0),0,IF(MOD(B18,2)=1,1,2))</f>
        <v>1</v>
      </c>
      <c r="J18" s="3">
        <f>IF(OR(C18="",ISBLANK(C18),C18=0),0,IF(MOD(C18,2)=1,1,2))</f>
        <v>2</v>
      </c>
      <c r="K18" s="3">
        <f>IF(OR(D18="",ISBLANK(D18),D18=0),0,IF(MOD(D18,2)=1,1,2))</f>
        <v>2</v>
      </c>
      <c r="L18" s="3">
        <f>IF(OR(E18="",ISBLANK(E18),E18=0),0,IF(MOD(E18,2)=1,1,2))</f>
        <v>2</v>
      </c>
      <c r="M18" s="3">
        <f>IF(OR(F18="",ISBLANK(F18),F18=0),0,IF(MOD(F18,2)=1,1,2))</f>
        <v>2</v>
      </c>
      <c r="N18" s="3">
        <f>IF(OR(G18="",ISBLANK(G18),G18=0),0,IF(MOD(G18,2)=1,1,2))</f>
        <v>1</v>
      </c>
      <c r="O18" s="32"/>
      <c r="P18" s="3" cm="1">
        <f t="array" ref="P18">SUMPRODUCT(--(MOD(B18:G18,2)=1))</f>
        <v>2</v>
      </c>
      <c r="Q18" s="3">
        <f>6-P18</f>
        <v>4</v>
      </c>
      <c r="R18" s="34"/>
      <c r="S18" s="3">
        <f>COUNTIFS(B18:G18,"&gt;=1",B18:G18,"&lt;=23")</f>
        <v>2</v>
      </c>
      <c r="T18" s="3">
        <f>6-S18</f>
        <v>4</v>
      </c>
      <c r="U18" s="34"/>
      <c r="V18" s="3" cm="1">
        <f t="array" ref="V18">SUMPRODUCT(--(MOD(B18:G18,10)&gt;=1), --(MOD(B18:G18,10)&lt;=5))</f>
        <v>2</v>
      </c>
      <c r="W18" s="3">
        <f>6-V18</f>
        <v>4</v>
      </c>
      <c r="X18" s="34"/>
      <c r="Y18" s="3" cm="1">
        <f t="array" ref="Y18">IFERROR(COUNT(_xlfn._xlws.FILTER(B18:G18, ISNUMBER(MATCH(B18:G18, {2,3,5,7,11,13,17,19,23,29,31,37,41,43}, 0)))), 0)</f>
        <v>2</v>
      </c>
      <c r="Z18" s="3" cm="1">
        <f t="array" ref="Z18">IFERROR(COUNT(_xlfn._xlws.FILTER(B18:G18, ISNUMBER(MATCH(B18:G18, {1,4,8,10,14,16,20,22,25,26,28,32,34,35,38,40,44}, 0)))), 0)</f>
        <v>4</v>
      </c>
      <c r="AA18" s="3" cm="1">
        <f t="array" ref="AA18">IFERROR(COUNT(_xlfn._xlws.FILTER(B18:G18, ISNUMBER(MATCH(B18:G18, {6,9,12,15,18,21,24,27,30,33,36,39,42,45}, 0)))), 0)</f>
        <v>0</v>
      </c>
      <c r="AB18" s="30"/>
      <c r="AC18" s="26"/>
      <c r="AD18" s="26"/>
      <c r="AE18" s="26"/>
      <c r="AF18" s="26"/>
      <c r="AG18" s="26"/>
      <c r="AH18" s="26"/>
      <c r="AI18" s="30"/>
      <c r="AJ18" s="3">
        <f>COUNTIFS(B18:G18,"&gt;=1",B18:G18,"&lt;=14")</f>
        <v>1</v>
      </c>
      <c r="AK18" s="3">
        <f>COUNTIFS(B18:G18,"&gt;=15",B18:G18,"&lt;=31")</f>
        <v>2</v>
      </c>
      <c r="AL18" s="3">
        <f>6-AK18-AJ18</f>
        <v>3</v>
      </c>
      <c r="AM18" s="33"/>
      <c r="AN18" s="3">
        <f>COUNTIFS($B18:$G18, "&gt;=1",$B18:$G18, "&lt;=9")</f>
        <v>1</v>
      </c>
      <c r="AO18" s="3">
        <f>COUNTIFS($B18:$G18, "&gt;=10",$B18:$G18, "&lt;=18")</f>
        <v>0</v>
      </c>
      <c r="AP18" s="3">
        <f>COUNTIFS($B18:$G18, "&gt;=19",$B18:$G18, "&lt;=27")</f>
        <v>1</v>
      </c>
      <c r="AQ18" s="3">
        <f>COUNTIFS($B18:$G18, "&gt;=28",$B18:$G18, "&lt;=36")</f>
        <v>1</v>
      </c>
      <c r="AR18" s="3">
        <f>COUNTIFS($B18:$G18, "&gt;=37",$B18:$G18, "&lt;=45")</f>
        <v>3</v>
      </c>
      <c r="AS18" s="28" t="e">
        <f>#REF!</f>
        <v>#REF!</v>
      </c>
      <c r="AT18" s="28" t="e">
        <f>#REF!*2</f>
        <v>#REF!</v>
      </c>
      <c r="AU18" s="28" t="e">
        <f>#REF!</f>
        <v>#REF!</v>
      </c>
      <c r="AV18" s="28" t="e">
        <f>#REF!*2</f>
        <v>#REF!</v>
      </c>
      <c r="AW18" s="28" t="e">
        <f>#REF!</f>
        <v>#REF!</v>
      </c>
      <c r="AX18" s="28" t="e">
        <f>#REF!*2</f>
        <v>#REF!</v>
      </c>
      <c r="AY18" s="28" t="e">
        <f>#REF!</f>
        <v>#REF!</v>
      </c>
      <c r="AZ18" s="28" t="e">
        <f>#REF!*2</f>
        <v>#REF!</v>
      </c>
      <c r="BA18" s="28" t="e">
        <f>#REF!</f>
        <v>#REF!</v>
      </c>
      <c r="BB18" s="28" t="e">
        <f>#REF!*2</f>
        <v>#REF!</v>
      </c>
      <c r="BC18" s="28" t="e">
        <f>#REF!</f>
        <v>#REF!</v>
      </c>
      <c r="BD18" s="28" t="e">
        <f>#REF!*2</f>
        <v>#REF!</v>
      </c>
      <c r="BE18" s="9" t="e">
        <f>#REF!-#REF!</f>
        <v>#REF!</v>
      </c>
      <c r="BF18" s="9" t="e">
        <f>#REF!-#REF!</f>
        <v>#REF!</v>
      </c>
      <c r="BG18" s="9" t="e">
        <f>#REF!-#REF!</f>
        <v>#REF!</v>
      </c>
      <c r="BH18" s="9" t="e">
        <f>#REF!-#REF!</f>
        <v>#REF!</v>
      </c>
      <c r="BI18" s="9" t="e">
        <f>#REF!-#REF!</f>
        <v>#REF!</v>
      </c>
      <c r="BJ18" s="33"/>
      <c r="BK18" s="3">
        <f>COUNTIFS(B18:G18, "&gt;=1", B18:G18, "&lt;=9")</f>
        <v>1</v>
      </c>
      <c r="BL18" s="3">
        <f>COUNTIFS(B18:G18, "&gt;=10", B18:G18, "&lt;=19")</f>
        <v>0</v>
      </c>
      <c r="BM18" s="3">
        <f>COUNTIFS(B18:G18, "&gt;=20", B18:G18, "&lt;=29")</f>
        <v>2</v>
      </c>
      <c r="BN18" s="3">
        <f>COUNTIFS(B18:G18, "&gt;=30", B18:G18, "&lt;=39")</f>
        <v>1</v>
      </c>
      <c r="BO18" s="3">
        <f>COUNTIFS(B18:G18, "&gt;=40", B18:G18, "&lt;=45")</f>
        <v>2</v>
      </c>
      <c r="BP18" s="28" t="e">
        <f>#REF!</f>
        <v>#REF!</v>
      </c>
      <c r="BQ18" s="28" t="e">
        <f>#REF!*2</f>
        <v>#REF!</v>
      </c>
      <c r="BR18" s="28" t="e">
        <f>#REF!</f>
        <v>#REF!</v>
      </c>
      <c r="BS18" s="28" t="e">
        <f>#REF!*2</f>
        <v>#REF!</v>
      </c>
      <c r="BT18" s="28" t="e">
        <f>#REF!</f>
        <v>#REF!</v>
      </c>
      <c r="BU18" s="28" t="e">
        <f>#REF!*2</f>
        <v>#REF!</v>
      </c>
      <c r="BV18" s="28" t="e">
        <f>#REF!</f>
        <v>#REF!</v>
      </c>
      <c r="BW18" s="28" t="e">
        <f>#REF!*2</f>
        <v>#REF!</v>
      </c>
      <c r="BX18" s="28" t="e">
        <f>#REF!</f>
        <v>#REF!</v>
      </c>
      <c r="BY18" s="28" t="e">
        <f>#REF!*2</f>
        <v>#REF!</v>
      </c>
      <c r="BZ18" s="28" t="e">
        <f>#REF!</f>
        <v>#REF!</v>
      </c>
      <c r="CA18" s="28" t="e">
        <f>#REF!*2</f>
        <v>#REF!</v>
      </c>
      <c r="CB18" s="9">
        <f>C18-B18</f>
        <v>17</v>
      </c>
      <c r="CC18" s="9">
        <f>D18-C18</f>
        <v>8</v>
      </c>
      <c r="CD18" s="9">
        <f>E18-D18</f>
        <v>10</v>
      </c>
      <c r="CE18" s="9">
        <f>F18-E18</f>
        <v>2</v>
      </c>
      <c r="CF18" s="9">
        <f>G18-F18</f>
        <v>3</v>
      </c>
      <c r="CG18" s="33"/>
      <c r="CH18" s="9">
        <f>C18-B18</f>
        <v>17</v>
      </c>
      <c r="CI18" s="9">
        <f>D18-C18</f>
        <v>8</v>
      </c>
      <c r="CJ18" s="9">
        <f>E18-D18</f>
        <v>10</v>
      </c>
      <c r="CK18" s="9">
        <f>F18-E18</f>
        <v>2</v>
      </c>
      <c r="CL18" s="9">
        <f>G18-F18</f>
        <v>3</v>
      </c>
      <c r="CM18" s="32"/>
      <c r="CN18" s="3">
        <f>IF(OR(CH18="",ISBLANK(CH18),CH18=0),0,IF(MOD(CH18,2)=1,1,2))</f>
        <v>1</v>
      </c>
      <c r="CO18" s="3">
        <f>IF(OR(CI18="",ISBLANK(CI18),CI18=0),0,IF(MOD(CI18,2)=1,1,2))</f>
        <v>2</v>
      </c>
      <c r="CP18" s="3">
        <f>IF(OR(CJ18="",ISBLANK(CJ18),CJ18=0),0,IF(MOD(CJ18,2)=1,1,2))</f>
        <v>2</v>
      </c>
      <c r="CQ18" s="3">
        <f>IF(OR(CK18="",ISBLANK(CK18),CK18=0),0,IF(MOD(CK18,2)=1,1,2))</f>
        <v>2</v>
      </c>
      <c r="CR18" s="3">
        <f>IF(OR(CL18="",ISBLANK(CL18),CL18=0),0,IF(MOD(CL18,2)=1,1,2))</f>
        <v>1</v>
      </c>
      <c r="CS18" s="31"/>
      <c r="CT18" s="3" cm="1">
        <f t="array" ref="CT18">SUMPRODUCT(--(MOD(CH18:CL18,2)=1))</f>
        <v>2</v>
      </c>
      <c r="CU18" s="3">
        <f>5-CT18</f>
        <v>3</v>
      </c>
      <c r="CV18" s="30"/>
      <c r="CW18" s="3" cm="1">
        <f t="array" ref="CW18">SUMPRODUCT(--(MOD(CH18:CL18,10)&gt;=1), --(MOD(CH18:CL18,10)&lt;=5))</f>
        <v>2</v>
      </c>
      <c r="CX18" s="3">
        <f>5-CW18</f>
        <v>3</v>
      </c>
      <c r="CY18" s="30"/>
      <c r="CZ18" s="3" cm="1">
        <f t="array" ref="CZ18">IFERROR(COUNT(_xlfn._xlws.FILTER(CH18:CL18, ISNUMBER(MATCH(CH18:CL18, {2,3,5,7,11,13,17,19,23,29,31,37,41,43}, 0)))), 0)</f>
        <v>3</v>
      </c>
      <c r="DA18" s="3" cm="1">
        <f t="array" ref="DA18">IFERROR(COUNT(_xlfn._xlws.FILTER(CH18:CL18, ISNUMBER(MATCH(CH18:CL18, {1,4,8,10,14,16,20,22,25,26,28,32,34,35,38,40,44}, 0)))), 0)</f>
        <v>2</v>
      </c>
      <c r="DB18" s="3" cm="1">
        <f t="array" ref="DB18">IFERROR(COUNT(_xlfn._xlws.FILTER(CH18:CL18, ISNUMBER(MATCH(CH18:CL18, {6,9,12,15,18,21,24,27,30,33,36,39,42,45}, 0)))), 0)</f>
        <v>0</v>
      </c>
      <c r="DC18" s="29"/>
      <c r="DD18" s="28" t="e">
        <f>#REF!</f>
        <v>#REF!</v>
      </c>
      <c r="DE18" s="28" t="e">
        <f>#REF!*2</f>
        <v>#REF!</v>
      </c>
      <c r="DF18" s="28" t="e">
        <f>#REF!</f>
        <v>#REF!</v>
      </c>
      <c r="DG18" s="28" t="e">
        <f>#REF!*2</f>
        <v>#REF!</v>
      </c>
      <c r="DH18" s="28" t="e">
        <f>#REF!</f>
        <v>#REF!</v>
      </c>
      <c r="DI18" s="28" t="e">
        <f>#REF!*2</f>
        <v>#REF!</v>
      </c>
      <c r="DJ18" s="28" t="e">
        <f>#REF!</f>
        <v>#REF!</v>
      </c>
      <c r="DK18" s="28" t="e">
        <f>#REF!*2</f>
        <v>#REF!</v>
      </c>
      <c r="DL18" s="28" t="e">
        <f>#REF!</f>
        <v>#REF!</v>
      </c>
      <c r="DM18" s="28" t="e">
        <f>#REF!*2</f>
        <v>#REF!</v>
      </c>
      <c r="DN18" s="27"/>
      <c r="DO18" s="26"/>
      <c r="DP18" s="26"/>
      <c r="DQ18" s="26"/>
      <c r="DR18" s="26"/>
      <c r="DS18" s="26"/>
      <c r="DT18" s="25"/>
    </row>
    <row r="19" spans="2:124" x14ac:dyDescent="0.3">
      <c r="B19" s="3">
        <v>17</v>
      </c>
      <c r="C19" s="3">
        <v>26</v>
      </c>
      <c r="D19" s="3">
        <v>29</v>
      </c>
      <c r="E19" s="3">
        <v>30</v>
      </c>
      <c r="F19" s="3">
        <v>31</v>
      </c>
      <c r="G19" s="3">
        <v>43</v>
      </c>
      <c r="H19" s="32"/>
      <c r="I19" s="3">
        <f>IF(OR(B19="",ISBLANK(B19),B19=0),0,IF(MOD(B19,2)=1,1,2))</f>
        <v>1</v>
      </c>
      <c r="J19" s="3">
        <f>IF(OR(C19="",ISBLANK(C19),C19=0),0,IF(MOD(C19,2)=1,1,2))</f>
        <v>2</v>
      </c>
      <c r="K19" s="3">
        <f>IF(OR(D19="",ISBLANK(D19),D19=0),0,IF(MOD(D19,2)=1,1,2))</f>
        <v>1</v>
      </c>
      <c r="L19" s="3">
        <f>IF(OR(E19="",ISBLANK(E19),E19=0),0,IF(MOD(E19,2)=1,1,2))</f>
        <v>2</v>
      </c>
      <c r="M19" s="3">
        <f>IF(OR(F19="",ISBLANK(F19),F19=0),0,IF(MOD(F19,2)=1,1,2))</f>
        <v>1</v>
      </c>
      <c r="N19" s="3">
        <f>IF(OR(G19="",ISBLANK(G19),G19=0),0,IF(MOD(G19,2)=1,1,2))</f>
        <v>1</v>
      </c>
      <c r="O19" s="32"/>
      <c r="P19" s="3" cm="1">
        <f t="array" ref="P19">SUMPRODUCT(--(MOD(B19:G19,2)=1))</f>
        <v>4</v>
      </c>
      <c r="Q19" s="3">
        <f>6-P19</f>
        <v>2</v>
      </c>
      <c r="R19" s="34"/>
      <c r="S19" s="3">
        <f>COUNTIFS(B19:G19,"&gt;=1",B19:G19,"&lt;=23")</f>
        <v>1</v>
      </c>
      <c r="T19" s="3">
        <f>6-S19</f>
        <v>5</v>
      </c>
      <c r="U19" s="34"/>
      <c r="V19" s="3" cm="1">
        <f t="array" ref="V19">SUMPRODUCT(--(MOD(B19:G19,10)&gt;=1), --(MOD(B19:G19,10)&lt;=5))</f>
        <v>2</v>
      </c>
      <c r="W19" s="3">
        <f>6-V19</f>
        <v>4</v>
      </c>
      <c r="X19" s="34"/>
      <c r="Y19" s="3" cm="1">
        <f t="array" ref="Y19">IFERROR(COUNT(_xlfn._xlws.FILTER(B19:G19, ISNUMBER(MATCH(B19:G19, {2,3,5,7,11,13,17,19,23,29,31,37,41,43}, 0)))), 0)</f>
        <v>4</v>
      </c>
      <c r="Z19" s="3" cm="1">
        <f t="array" ref="Z19">IFERROR(COUNT(_xlfn._xlws.FILTER(B19:G19, ISNUMBER(MATCH(B19:G19, {1,4,8,10,14,16,20,22,25,26,28,32,34,35,38,40,44}, 0)))), 0)</f>
        <v>1</v>
      </c>
      <c r="AA19" s="3" cm="1">
        <f t="array" ref="AA19">IFERROR(COUNT(_xlfn._xlws.FILTER(B19:G19, ISNUMBER(MATCH(B19:G19, {6,9,12,15,18,21,24,27,30,33,36,39,42,45}, 0)))), 0)</f>
        <v>1</v>
      </c>
      <c r="AB19" s="30"/>
      <c r="AC19" s="26"/>
      <c r="AD19" s="26"/>
      <c r="AE19" s="26"/>
      <c r="AF19" s="26"/>
      <c r="AG19" s="26"/>
      <c r="AH19" s="26"/>
      <c r="AI19" s="30"/>
      <c r="AJ19" s="3">
        <f>COUNTIFS(B19:G19,"&gt;=1",B19:G19,"&lt;=14")</f>
        <v>0</v>
      </c>
      <c r="AK19" s="3">
        <f>COUNTIFS(B19:G19,"&gt;=15",B19:G19,"&lt;=31")</f>
        <v>5</v>
      </c>
      <c r="AL19" s="3">
        <f>6-AK19-AJ19</f>
        <v>1</v>
      </c>
      <c r="AM19" s="33"/>
      <c r="AN19" s="3">
        <f>COUNTIFS($B19:$G19, "&gt;=1",$B19:$G19, "&lt;=9")</f>
        <v>0</v>
      </c>
      <c r="AO19" s="3">
        <f>COUNTIFS($B19:$G19, "&gt;=10",$B19:$G19, "&lt;=18")</f>
        <v>1</v>
      </c>
      <c r="AP19" s="3">
        <f>COUNTIFS($B19:$G19, "&gt;=19",$B19:$G19, "&lt;=27")</f>
        <v>1</v>
      </c>
      <c r="AQ19" s="3">
        <f>COUNTIFS($B19:$G19, "&gt;=28",$B19:$G19, "&lt;=36")</f>
        <v>3</v>
      </c>
      <c r="AR19" s="3">
        <f>COUNTIFS($B19:$G19, "&gt;=37",$B19:$G19, "&lt;=45")</f>
        <v>1</v>
      </c>
      <c r="AS19" s="28" t="e">
        <f>#REF!</f>
        <v>#REF!</v>
      </c>
      <c r="AT19" s="28" t="e">
        <f>#REF!*2</f>
        <v>#REF!</v>
      </c>
      <c r="AU19" s="28" t="e">
        <f>#REF!</f>
        <v>#REF!</v>
      </c>
      <c r="AV19" s="28" t="e">
        <f>#REF!*2</f>
        <v>#REF!</v>
      </c>
      <c r="AW19" s="28" t="e">
        <f>#REF!</f>
        <v>#REF!</v>
      </c>
      <c r="AX19" s="28" t="e">
        <f>#REF!*2</f>
        <v>#REF!</v>
      </c>
      <c r="AY19" s="28" t="e">
        <f>#REF!</f>
        <v>#REF!</v>
      </c>
      <c r="AZ19" s="28" t="e">
        <f>#REF!*2</f>
        <v>#REF!</v>
      </c>
      <c r="BA19" s="28" t="e">
        <f>#REF!</f>
        <v>#REF!</v>
      </c>
      <c r="BB19" s="28" t="e">
        <f>#REF!*2</f>
        <v>#REF!</v>
      </c>
      <c r="BC19" s="28" t="e">
        <f>#REF!</f>
        <v>#REF!</v>
      </c>
      <c r="BD19" s="28" t="e">
        <f>#REF!*2</f>
        <v>#REF!</v>
      </c>
      <c r="BE19" s="9" t="e">
        <f>#REF!-#REF!</f>
        <v>#REF!</v>
      </c>
      <c r="BF19" s="9" t="e">
        <f>#REF!-#REF!</f>
        <v>#REF!</v>
      </c>
      <c r="BG19" s="9" t="e">
        <f>#REF!-#REF!</f>
        <v>#REF!</v>
      </c>
      <c r="BH19" s="9" t="e">
        <f>#REF!-#REF!</f>
        <v>#REF!</v>
      </c>
      <c r="BI19" s="9" t="e">
        <f>#REF!-#REF!</f>
        <v>#REF!</v>
      </c>
      <c r="BJ19" s="33"/>
      <c r="BK19" s="3">
        <f>COUNTIFS(B19:G19, "&gt;=1", B19:G19, "&lt;=9")</f>
        <v>0</v>
      </c>
      <c r="BL19" s="3">
        <f>COUNTIFS(B19:G19, "&gt;=10", B19:G19, "&lt;=19")</f>
        <v>1</v>
      </c>
      <c r="BM19" s="3">
        <f>COUNTIFS(B19:G19, "&gt;=20", B19:G19, "&lt;=29")</f>
        <v>2</v>
      </c>
      <c r="BN19" s="3">
        <f>COUNTIFS(B19:G19, "&gt;=30", B19:G19, "&lt;=39")</f>
        <v>2</v>
      </c>
      <c r="BO19" s="3">
        <f>COUNTIFS(B19:G19, "&gt;=40", B19:G19, "&lt;=45")</f>
        <v>1</v>
      </c>
      <c r="BP19" s="28" t="e">
        <f>#REF!</f>
        <v>#REF!</v>
      </c>
      <c r="BQ19" s="28" t="e">
        <f>#REF!*2</f>
        <v>#REF!</v>
      </c>
      <c r="BR19" s="28" t="e">
        <f>#REF!</f>
        <v>#REF!</v>
      </c>
      <c r="BS19" s="28" t="e">
        <f>#REF!*2</f>
        <v>#REF!</v>
      </c>
      <c r="BT19" s="28" t="e">
        <f>#REF!</f>
        <v>#REF!</v>
      </c>
      <c r="BU19" s="28" t="e">
        <f>#REF!*2</f>
        <v>#REF!</v>
      </c>
      <c r="BV19" s="28" t="e">
        <f>#REF!</f>
        <v>#REF!</v>
      </c>
      <c r="BW19" s="28" t="e">
        <f>#REF!*2</f>
        <v>#REF!</v>
      </c>
      <c r="BX19" s="28" t="e">
        <f>#REF!</f>
        <v>#REF!</v>
      </c>
      <c r="BY19" s="28" t="e">
        <f>#REF!*2</f>
        <v>#REF!</v>
      </c>
      <c r="BZ19" s="28" t="e">
        <f>#REF!</f>
        <v>#REF!</v>
      </c>
      <c r="CA19" s="28" t="e">
        <f>#REF!*2</f>
        <v>#REF!</v>
      </c>
      <c r="CB19" s="9">
        <f>C19-B19</f>
        <v>9</v>
      </c>
      <c r="CC19" s="9">
        <f>D19-C19</f>
        <v>3</v>
      </c>
      <c r="CD19" s="9">
        <f>E19-D19</f>
        <v>1</v>
      </c>
      <c r="CE19" s="9">
        <f>F19-E19</f>
        <v>1</v>
      </c>
      <c r="CF19" s="9">
        <f>G19-F19</f>
        <v>12</v>
      </c>
      <c r="CG19" s="33"/>
      <c r="CH19" s="9">
        <f>C19-B19</f>
        <v>9</v>
      </c>
      <c r="CI19" s="9">
        <f>D19-C19</f>
        <v>3</v>
      </c>
      <c r="CJ19" s="9">
        <f>E19-D19</f>
        <v>1</v>
      </c>
      <c r="CK19" s="9">
        <f>F19-E19</f>
        <v>1</v>
      </c>
      <c r="CL19" s="9">
        <f>G19-F19</f>
        <v>12</v>
      </c>
      <c r="CM19" s="32"/>
      <c r="CN19" s="3">
        <f>IF(OR(CH19="",ISBLANK(CH19),CH19=0),0,IF(MOD(CH19,2)=1,1,2))</f>
        <v>1</v>
      </c>
      <c r="CO19" s="3">
        <f>IF(OR(CI19="",ISBLANK(CI19),CI19=0),0,IF(MOD(CI19,2)=1,1,2))</f>
        <v>1</v>
      </c>
      <c r="CP19" s="3">
        <f>IF(OR(CJ19="",ISBLANK(CJ19),CJ19=0),0,IF(MOD(CJ19,2)=1,1,2))</f>
        <v>1</v>
      </c>
      <c r="CQ19" s="3">
        <f>IF(OR(CK19="",ISBLANK(CK19),CK19=0),0,IF(MOD(CK19,2)=1,1,2))</f>
        <v>1</v>
      </c>
      <c r="CR19" s="3">
        <f>IF(OR(CL19="",ISBLANK(CL19),CL19=0),0,IF(MOD(CL19,2)=1,1,2))</f>
        <v>2</v>
      </c>
      <c r="CS19" s="31"/>
      <c r="CT19" s="3" cm="1">
        <f t="array" ref="CT19">SUMPRODUCT(--(MOD(CH19:CL19,2)=1))</f>
        <v>4</v>
      </c>
      <c r="CU19" s="3">
        <f>5-CT19</f>
        <v>1</v>
      </c>
      <c r="CV19" s="30"/>
      <c r="CW19" s="3" cm="1">
        <f t="array" ref="CW19">SUMPRODUCT(--(MOD(CH19:CL19,10)&gt;=1), --(MOD(CH19:CL19,10)&lt;=5))</f>
        <v>4</v>
      </c>
      <c r="CX19" s="3">
        <f>5-CW19</f>
        <v>1</v>
      </c>
      <c r="CY19" s="30"/>
      <c r="CZ19" s="3" cm="1">
        <f t="array" ref="CZ19">IFERROR(COUNT(_xlfn._xlws.FILTER(CH19:CL19, ISNUMBER(MATCH(CH19:CL19, {2,3,5,7,11,13,17,19,23,29,31,37,41,43}, 0)))), 0)</f>
        <v>1</v>
      </c>
      <c r="DA19" s="3" cm="1">
        <f t="array" ref="DA19">IFERROR(COUNT(_xlfn._xlws.FILTER(CH19:CL19, ISNUMBER(MATCH(CH19:CL19, {1,4,8,10,14,16,20,22,25,26,28,32,34,35,38,40,44}, 0)))), 0)</f>
        <v>2</v>
      </c>
      <c r="DB19" s="3" cm="1">
        <f t="array" ref="DB19">IFERROR(COUNT(_xlfn._xlws.FILTER(CH19:CL19, ISNUMBER(MATCH(CH19:CL19, {6,9,12,15,18,21,24,27,30,33,36,39,42,45}, 0)))), 0)</f>
        <v>2</v>
      </c>
      <c r="DC19" s="29"/>
      <c r="DD19" s="28" t="e">
        <f>#REF!</f>
        <v>#REF!</v>
      </c>
      <c r="DE19" s="28" t="e">
        <f>#REF!*2</f>
        <v>#REF!</v>
      </c>
      <c r="DF19" s="28" t="e">
        <f>#REF!</f>
        <v>#REF!</v>
      </c>
      <c r="DG19" s="28" t="e">
        <f>#REF!*2</f>
        <v>#REF!</v>
      </c>
      <c r="DH19" s="28" t="e">
        <f>#REF!</f>
        <v>#REF!</v>
      </c>
      <c r="DI19" s="28" t="e">
        <f>#REF!*2</f>
        <v>#REF!</v>
      </c>
      <c r="DJ19" s="28" t="e">
        <f>#REF!</f>
        <v>#REF!</v>
      </c>
      <c r="DK19" s="28" t="e">
        <f>#REF!*2</f>
        <v>#REF!</v>
      </c>
      <c r="DL19" s="28" t="e">
        <f>#REF!</f>
        <v>#REF!</v>
      </c>
      <c r="DM19" s="28" t="e">
        <f>#REF!*2</f>
        <v>#REF!</v>
      </c>
      <c r="DN19" s="27"/>
      <c r="DO19" s="26"/>
      <c r="DP19" s="26"/>
      <c r="DQ19" s="26"/>
      <c r="DR19" s="26"/>
      <c r="DS19" s="26"/>
      <c r="DT19" s="25"/>
    </row>
    <row r="20" spans="2:124" x14ac:dyDescent="0.3">
      <c r="B20" s="3">
        <v>6</v>
      </c>
      <c r="C20" s="3">
        <v>7</v>
      </c>
      <c r="D20" s="3">
        <v>13</v>
      </c>
      <c r="E20" s="3">
        <v>28</v>
      </c>
      <c r="F20" s="3">
        <v>36</v>
      </c>
      <c r="G20" s="3">
        <v>42</v>
      </c>
      <c r="H20" s="32"/>
      <c r="I20" s="3">
        <f>IF(OR(B20="",ISBLANK(B20),B20=0),0,IF(MOD(B20,2)=1,1,2))</f>
        <v>2</v>
      </c>
      <c r="J20" s="3">
        <f>IF(OR(C20="",ISBLANK(C20),C20=0),0,IF(MOD(C20,2)=1,1,2))</f>
        <v>1</v>
      </c>
      <c r="K20" s="3">
        <f>IF(OR(D20="",ISBLANK(D20),D20=0),0,IF(MOD(D20,2)=1,1,2))</f>
        <v>1</v>
      </c>
      <c r="L20" s="3">
        <f>IF(OR(E20="",ISBLANK(E20),E20=0),0,IF(MOD(E20,2)=1,1,2))</f>
        <v>2</v>
      </c>
      <c r="M20" s="3">
        <f>IF(OR(F20="",ISBLANK(F20),F20=0),0,IF(MOD(F20,2)=1,1,2))</f>
        <v>2</v>
      </c>
      <c r="N20" s="3">
        <f>IF(OR(G20="",ISBLANK(G20),G20=0),0,IF(MOD(G20,2)=1,1,2))</f>
        <v>2</v>
      </c>
      <c r="O20" s="32"/>
      <c r="P20" s="3" cm="1">
        <f t="array" ref="P20">SUMPRODUCT(--(MOD(B20:G20,2)=1))</f>
        <v>2</v>
      </c>
      <c r="Q20" s="3">
        <f>6-P20</f>
        <v>4</v>
      </c>
      <c r="R20" s="34"/>
      <c r="S20" s="3">
        <f>COUNTIFS(B20:G20,"&gt;=1",B20:G20,"&lt;=23")</f>
        <v>3</v>
      </c>
      <c r="T20" s="3">
        <f>6-S20</f>
        <v>3</v>
      </c>
      <c r="U20" s="34"/>
      <c r="V20" s="3" cm="1">
        <f t="array" ref="V20">SUMPRODUCT(--(MOD(B20:G20,10)&gt;=1), --(MOD(B20:G20,10)&lt;=5))</f>
        <v>2</v>
      </c>
      <c r="W20" s="3">
        <f>6-V20</f>
        <v>4</v>
      </c>
      <c r="X20" s="34"/>
      <c r="Y20" s="3" cm="1">
        <f t="array" ref="Y20">IFERROR(COUNT(_xlfn._xlws.FILTER(B20:G20, ISNUMBER(MATCH(B20:G20, {2,3,5,7,11,13,17,19,23,29,31,37,41,43}, 0)))), 0)</f>
        <v>2</v>
      </c>
      <c r="Z20" s="3" cm="1">
        <f t="array" ref="Z20">IFERROR(COUNT(_xlfn._xlws.FILTER(B20:G20, ISNUMBER(MATCH(B20:G20, {1,4,8,10,14,16,20,22,25,26,28,32,34,35,38,40,44}, 0)))), 0)</f>
        <v>1</v>
      </c>
      <c r="AA20" s="3" cm="1">
        <f t="array" ref="AA20">IFERROR(COUNT(_xlfn._xlws.FILTER(B20:G20, ISNUMBER(MATCH(B20:G20, {6,9,12,15,18,21,24,27,30,33,36,39,42,45}, 0)))), 0)</f>
        <v>3</v>
      </c>
      <c r="AB20" s="30"/>
      <c r="AC20" s="26"/>
      <c r="AD20" s="26"/>
      <c r="AE20" s="26"/>
      <c r="AF20" s="26"/>
      <c r="AG20" s="26"/>
      <c r="AH20" s="26"/>
      <c r="AI20" s="30"/>
      <c r="AJ20" s="3">
        <f>COUNTIFS(B20:G20,"&gt;=1",B20:G20,"&lt;=14")</f>
        <v>3</v>
      </c>
      <c r="AK20" s="3">
        <f>COUNTIFS(B20:G20,"&gt;=15",B20:G20,"&lt;=31")</f>
        <v>1</v>
      </c>
      <c r="AL20" s="3">
        <f>6-AK20-AJ20</f>
        <v>2</v>
      </c>
      <c r="AM20" s="33"/>
      <c r="AN20" s="3">
        <f>COUNTIFS($B20:$G20, "&gt;=1",$B20:$G20, "&lt;=9")</f>
        <v>2</v>
      </c>
      <c r="AO20" s="3">
        <f>COUNTIFS($B20:$G20, "&gt;=10",$B20:$G20, "&lt;=18")</f>
        <v>1</v>
      </c>
      <c r="AP20" s="3">
        <f>COUNTIFS($B20:$G20, "&gt;=19",$B20:$G20, "&lt;=27")</f>
        <v>0</v>
      </c>
      <c r="AQ20" s="3">
        <f>COUNTIFS($B20:$G20, "&gt;=28",$B20:$G20, "&lt;=36")</f>
        <v>2</v>
      </c>
      <c r="AR20" s="3">
        <f>COUNTIFS($B20:$G20, "&gt;=37",$B20:$G20, "&lt;=45")</f>
        <v>1</v>
      </c>
      <c r="AS20" s="28" t="e">
        <f>#REF!</f>
        <v>#REF!</v>
      </c>
      <c r="AT20" s="28" t="e">
        <f>#REF!*2</f>
        <v>#REF!</v>
      </c>
      <c r="AU20" s="28" t="e">
        <f>#REF!</f>
        <v>#REF!</v>
      </c>
      <c r="AV20" s="28" t="e">
        <f>#REF!*2</f>
        <v>#REF!</v>
      </c>
      <c r="AW20" s="28" t="e">
        <f>#REF!</f>
        <v>#REF!</v>
      </c>
      <c r="AX20" s="28" t="e">
        <f>#REF!*2</f>
        <v>#REF!</v>
      </c>
      <c r="AY20" s="28" t="e">
        <f>#REF!</f>
        <v>#REF!</v>
      </c>
      <c r="AZ20" s="28" t="e">
        <f>#REF!*2</f>
        <v>#REF!</v>
      </c>
      <c r="BA20" s="28" t="e">
        <f>#REF!</f>
        <v>#REF!</v>
      </c>
      <c r="BB20" s="28" t="e">
        <f>#REF!*2</f>
        <v>#REF!</v>
      </c>
      <c r="BC20" s="28" t="e">
        <f>#REF!</f>
        <v>#REF!</v>
      </c>
      <c r="BD20" s="28" t="e">
        <f>#REF!*2</f>
        <v>#REF!</v>
      </c>
      <c r="BE20" s="9" t="e">
        <f>#REF!-#REF!</f>
        <v>#REF!</v>
      </c>
      <c r="BF20" s="9" t="e">
        <f>#REF!-#REF!</f>
        <v>#REF!</v>
      </c>
      <c r="BG20" s="9" t="e">
        <f>#REF!-#REF!</f>
        <v>#REF!</v>
      </c>
      <c r="BH20" s="9" t="e">
        <f>#REF!-#REF!</f>
        <v>#REF!</v>
      </c>
      <c r="BI20" s="9" t="e">
        <f>#REF!-#REF!</f>
        <v>#REF!</v>
      </c>
      <c r="BJ20" s="33"/>
      <c r="BK20" s="3">
        <f>COUNTIFS(B20:G20, "&gt;=1", B20:G20, "&lt;=9")</f>
        <v>2</v>
      </c>
      <c r="BL20" s="3">
        <f>COUNTIFS(B20:G20, "&gt;=10", B20:G20, "&lt;=19")</f>
        <v>1</v>
      </c>
      <c r="BM20" s="3">
        <f>COUNTIFS(B20:G20, "&gt;=20", B20:G20, "&lt;=29")</f>
        <v>1</v>
      </c>
      <c r="BN20" s="3">
        <f>COUNTIFS(B20:G20, "&gt;=30", B20:G20, "&lt;=39")</f>
        <v>1</v>
      </c>
      <c r="BO20" s="3">
        <f>COUNTIFS(B20:G20, "&gt;=40", B20:G20, "&lt;=45")</f>
        <v>1</v>
      </c>
      <c r="BP20" s="28" t="e">
        <f>#REF!</f>
        <v>#REF!</v>
      </c>
      <c r="BQ20" s="28" t="e">
        <f>#REF!*2</f>
        <v>#REF!</v>
      </c>
      <c r="BR20" s="28" t="e">
        <f>#REF!</f>
        <v>#REF!</v>
      </c>
      <c r="BS20" s="28" t="e">
        <f>#REF!*2</f>
        <v>#REF!</v>
      </c>
      <c r="BT20" s="28" t="e">
        <f>#REF!</f>
        <v>#REF!</v>
      </c>
      <c r="BU20" s="28" t="e">
        <f>#REF!*2</f>
        <v>#REF!</v>
      </c>
      <c r="BV20" s="28" t="e">
        <f>#REF!</f>
        <v>#REF!</v>
      </c>
      <c r="BW20" s="28" t="e">
        <f>#REF!*2</f>
        <v>#REF!</v>
      </c>
      <c r="BX20" s="28" t="e">
        <f>#REF!</f>
        <v>#REF!</v>
      </c>
      <c r="BY20" s="28" t="e">
        <f>#REF!*2</f>
        <v>#REF!</v>
      </c>
      <c r="BZ20" s="28" t="e">
        <f>#REF!</f>
        <v>#REF!</v>
      </c>
      <c r="CA20" s="28" t="e">
        <f>#REF!*2</f>
        <v>#REF!</v>
      </c>
      <c r="CB20" s="9">
        <f>C20-B20</f>
        <v>1</v>
      </c>
      <c r="CC20" s="9">
        <f>D20-C20</f>
        <v>6</v>
      </c>
      <c r="CD20" s="9">
        <f>E20-D20</f>
        <v>15</v>
      </c>
      <c r="CE20" s="9">
        <f>F20-E20</f>
        <v>8</v>
      </c>
      <c r="CF20" s="9">
        <f>G20-F20</f>
        <v>6</v>
      </c>
      <c r="CG20" s="33"/>
      <c r="CH20" s="9">
        <f>C20-B20</f>
        <v>1</v>
      </c>
      <c r="CI20" s="9">
        <f>D20-C20</f>
        <v>6</v>
      </c>
      <c r="CJ20" s="9">
        <f>E20-D20</f>
        <v>15</v>
      </c>
      <c r="CK20" s="9">
        <f>F20-E20</f>
        <v>8</v>
      </c>
      <c r="CL20" s="9">
        <f>G20-F20</f>
        <v>6</v>
      </c>
      <c r="CM20" s="32"/>
      <c r="CN20" s="3">
        <f>IF(OR(CH20="",ISBLANK(CH20),CH20=0),0,IF(MOD(CH20,2)=1,1,2))</f>
        <v>1</v>
      </c>
      <c r="CO20" s="3">
        <f>IF(OR(CI20="",ISBLANK(CI20),CI20=0),0,IF(MOD(CI20,2)=1,1,2))</f>
        <v>2</v>
      </c>
      <c r="CP20" s="3">
        <f>IF(OR(CJ20="",ISBLANK(CJ20),CJ20=0),0,IF(MOD(CJ20,2)=1,1,2))</f>
        <v>1</v>
      </c>
      <c r="CQ20" s="3">
        <f>IF(OR(CK20="",ISBLANK(CK20),CK20=0),0,IF(MOD(CK20,2)=1,1,2))</f>
        <v>2</v>
      </c>
      <c r="CR20" s="3">
        <f>IF(OR(CL20="",ISBLANK(CL20),CL20=0),0,IF(MOD(CL20,2)=1,1,2))</f>
        <v>2</v>
      </c>
      <c r="CS20" s="31"/>
      <c r="CT20" s="3" cm="1">
        <f t="array" ref="CT20">SUMPRODUCT(--(MOD(CH20:CL20,2)=1))</f>
        <v>2</v>
      </c>
      <c r="CU20" s="3">
        <f>5-CT20</f>
        <v>3</v>
      </c>
      <c r="CV20" s="30"/>
      <c r="CW20" s="3" cm="1">
        <f t="array" ref="CW20">SUMPRODUCT(--(MOD(CH20:CL20,10)&gt;=1), --(MOD(CH20:CL20,10)&lt;=5))</f>
        <v>2</v>
      </c>
      <c r="CX20" s="3">
        <f>5-CW20</f>
        <v>3</v>
      </c>
      <c r="CY20" s="30"/>
      <c r="CZ20" s="3" cm="1">
        <f t="array" ref="CZ20">IFERROR(COUNT(_xlfn._xlws.FILTER(CH20:CL20, ISNUMBER(MATCH(CH20:CL20, {2,3,5,7,11,13,17,19,23,29,31,37,41,43}, 0)))), 0)</f>
        <v>0</v>
      </c>
      <c r="DA20" s="3" cm="1">
        <f t="array" ref="DA20">IFERROR(COUNT(_xlfn._xlws.FILTER(CH20:CL20, ISNUMBER(MATCH(CH20:CL20, {1,4,8,10,14,16,20,22,25,26,28,32,34,35,38,40,44}, 0)))), 0)</f>
        <v>2</v>
      </c>
      <c r="DB20" s="3" cm="1">
        <f t="array" ref="DB20">IFERROR(COUNT(_xlfn._xlws.FILTER(CH20:CL20, ISNUMBER(MATCH(CH20:CL20, {6,9,12,15,18,21,24,27,30,33,36,39,42,45}, 0)))), 0)</f>
        <v>3</v>
      </c>
      <c r="DC20" s="29"/>
      <c r="DD20" s="28" t="e">
        <f>#REF!</f>
        <v>#REF!</v>
      </c>
      <c r="DE20" s="28" t="e">
        <f>#REF!*2</f>
        <v>#REF!</v>
      </c>
      <c r="DF20" s="28" t="e">
        <f>#REF!</f>
        <v>#REF!</v>
      </c>
      <c r="DG20" s="28" t="e">
        <f>#REF!*2</f>
        <v>#REF!</v>
      </c>
      <c r="DH20" s="28" t="e">
        <f>#REF!</f>
        <v>#REF!</v>
      </c>
      <c r="DI20" s="28" t="e">
        <f>#REF!*2</f>
        <v>#REF!</v>
      </c>
      <c r="DJ20" s="28" t="e">
        <f>#REF!</f>
        <v>#REF!</v>
      </c>
      <c r="DK20" s="28" t="e">
        <f>#REF!*2</f>
        <v>#REF!</v>
      </c>
      <c r="DL20" s="28" t="e">
        <f>#REF!</f>
        <v>#REF!</v>
      </c>
      <c r="DM20" s="28" t="e">
        <f>#REF!*2</f>
        <v>#REF!</v>
      </c>
      <c r="DN20" s="27"/>
      <c r="DO20" s="26"/>
      <c r="DP20" s="26"/>
      <c r="DQ20" s="26"/>
      <c r="DR20" s="26"/>
      <c r="DS20" s="26"/>
      <c r="DT20" s="25"/>
    </row>
    <row r="21" spans="2:124" x14ac:dyDescent="0.3">
      <c r="B21" s="3">
        <v>13</v>
      </c>
      <c r="C21" s="3">
        <v>14</v>
      </c>
      <c r="D21" s="3">
        <v>22</v>
      </c>
      <c r="E21" s="3">
        <v>26</v>
      </c>
      <c r="F21" s="3">
        <v>37</v>
      </c>
      <c r="G21" s="3">
        <v>38</v>
      </c>
      <c r="H21" s="32"/>
      <c r="I21" s="3">
        <f>IF(OR(B21="",ISBLANK(B21),B21=0),0,IF(MOD(B21,2)=1,1,2))</f>
        <v>1</v>
      </c>
      <c r="J21" s="3">
        <f>IF(OR(C21="",ISBLANK(C21),C21=0),0,IF(MOD(C21,2)=1,1,2))</f>
        <v>2</v>
      </c>
      <c r="K21" s="3">
        <f>IF(OR(D21="",ISBLANK(D21),D21=0),0,IF(MOD(D21,2)=1,1,2))</f>
        <v>2</v>
      </c>
      <c r="L21" s="3">
        <f>IF(OR(E21="",ISBLANK(E21),E21=0),0,IF(MOD(E21,2)=1,1,2))</f>
        <v>2</v>
      </c>
      <c r="M21" s="3">
        <f>IF(OR(F21="",ISBLANK(F21),F21=0),0,IF(MOD(F21,2)=1,1,2))</f>
        <v>1</v>
      </c>
      <c r="N21" s="3">
        <f>IF(OR(G21="",ISBLANK(G21),G21=0),0,IF(MOD(G21,2)=1,1,2))</f>
        <v>2</v>
      </c>
      <c r="O21" s="32"/>
      <c r="P21" s="3" cm="1">
        <f t="array" ref="P21">SUMPRODUCT(--(MOD(B21:G21,2)=1))</f>
        <v>2</v>
      </c>
      <c r="Q21" s="3">
        <f>6-P21</f>
        <v>4</v>
      </c>
      <c r="R21" s="34"/>
      <c r="S21" s="3">
        <f>COUNTIFS(B21:G21,"&gt;=1",B21:G21,"&lt;=23")</f>
        <v>3</v>
      </c>
      <c r="T21" s="3">
        <f>6-S21</f>
        <v>3</v>
      </c>
      <c r="U21" s="34"/>
      <c r="V21" s="3" cm="1">
        <f t="array" ref="V21">SUMPRODUCT(--(MOD(B21:G21,10)&gt;=1), --(MOD(B21:G21,10)&lt;=5))</f>
        <v>3</v>
      </c>
      <c r="W21" s="3">
        <f>6-V21</f>
        <v>3</v>
      </c>
      <c r="X21" s="34"/>
      <c r="Y21" s="3" cm="1">
        <f t="array" ref="Y21">IFERROR(COUNT(_xlfn._xlws.FILTER(B21:G21, ISNUMBER(MATCH(B21:G21, {2,3,5,7,11,13,17,19,23,29,31,37,41,43}, 0)))), 0)</f>
        <v>2</v>
      </c>
      <c r="Z21" s="3" cm="1">
        <f t="array" ref="Z21">IFERROR(COUNT(_xlfn._xlws.FILTER(B21:G21, ISNUMBER(MATCH(B21:G21, {1,4,8,10,14,16,20,22,25,26,28,32,34,35,38,40,44}, 0)))), 0)</f>
        <v>4</v>
      </c>
      <c r="AA21" s="3" cm="1">
        <f t="array" ref="AA21">IFERROR(COUNT(_xlfn._xlws.FILTER(B21:G21, ISNUMBER(MATCH(B21:G21, {6,9,12,15,18,21,24,27,30,33,36,39,42,45}, 0)))), 0)</f>
        <v>0</v>
      </c>
      <c r="AB21" s="30"/>
      <c r="AC21" s="26"/>
      <c r="AD21" s="26"/>
      <c r="AE21" s="26"/>
      <c r="AF21" s="26"/>
      <c r="AG21" s="26"/>
      <c r="AH21" s="26"/>
      <c r="AI21" s="30"/>
      <c r="AJ21" s="3">
        <f>COUNTIFS(B21:G21,"&gt;=1",B21:G21,"&lt;=14")</f>
        <v>2</v>
      </c>
      <c r="AK21" s="3">
        <f>COUNTIFS(B21:G21,"&gt;=15",B21:G21,"&lt;=31")</f>
        <v>2</v>
      </c>
      <c r="AL21" s="3">
        <f>6-AK21-AJ21</f>
        <v>2</v>
      </c>
      <c r="AM21" s="33"/>
      <c r="AN21" s="3">
        <f>COUNTIFS($B21:$G21, "&gt;=1",$B21:$G21, "&lt;=9")</f>
        <v>0</v>
      </c>
      <c r="AO21" s="3">
        <f>COUNTIFS($B21:$G21, "&gt;=10",$B21:$G21, "&lt;=18")</f>
        <v>2</v>
      </c>
      <c r="AP21" s="3">
        <f>COUNTIFS($B21:$G21, "&gt;=19",$B21:$G21, "&lt;=27")</f>
        <v>2</v>
      </c>
      <c r="AQ21" s="3">
        <f>COUNTIFS($B21:$G21, "&gt;=28",$B21:$G21, "&lt;=36")</f>
        <v>0</v>
      </c>
      <c r="AR21" s="3">
        <f>COUNTIFS($B21:$G21, "&gt;=37",$B21:$G21, "&lt;=45")</f>
        <v>2</v>
      </c>
      <c r="AS21" s="28" t="e">
        <f>#REF!</f>
        <v>#REF!</v>
      </c>
      <c r="AT21" s="28" t="e">
        <f>#REF!*2</f>
        <v>#REF!</v>
      </c>
      <c r="AU21" s="28" t="e">
        <f>#REF!</f>
        <v>#REF!</v>
      </c>
      <c r="AV21" s="28" t="e">
        <f>#REF!*2</f>
        <v>#REF!</v>
      </c>
      <c r="AW21" s="28" t="e">
        <f>#REF!</f>
        <v>#REF!</v>
      </c>
      <c r="AX21" s="28" t="e">
        <f>#REF!*2</f>
        <v>#REF!</v>
      </c>
      <c r="AY21" s="28" t="e">
        <f>#REF!</f>
        <v>#REF!</v>
      </c>
      <c r="AZ21" s="28" t="e">
        <f>#REF!*2</f>
        <v>#REF!</v>
      </c>
      <c r="BA21" s="28" t="e">
        <f>#REF!</f>
        <v>#REF!</v>
      </c>
      <c r="BB21" s="28" t="e">
        <f>#REF!*2</f>
        <v>#REF!</v>
      </c>
      <c r="BC21" s="28" t="e">
        <f>#REF!</f>
        <v>#REF!</v>
      </c>
      <c r="BD21" s="28" t="e">
        <f>#REF!*2</f>
        <v>#REF!</v>
      </c>
      <c r="BE21" s="9" t="e">
        <f>#REF!-#REF!</f>
        <v>#REF!</v>
      </c>
      <c r="BF21" s="9" t="e">
        <f>#REF!-#REF!</f>
        <v>#REF!</v>
      </c>
      <c r="BG21" s="9" t="e">
        <f>#REF!-#REF!</f>
        <v>#REF!</v>
      </c>
      <c r="BH21" s="9" t="e">
        <f>#REF!-#REF!</f>
        <v>#REF!</v>
      </c>
      <c r="BI21" s="9" t="e">
        <f>#REF!-#REF!</f>
        <v>#REF!</v>
      </c>
      <c r="BJ21" s="33"/>
      <c r="BK21" s="3">
        <f>COUNTIFS(B21:G21, "&gt;=1", B21:G21, "&lt;=9")</f>
        <v>0</v>
      </c>
      <c r="BL21" s="3">
        <f>COUNTIFS(B21:G21, "&gt;=10", B21:G21, "&lt;=19")</f>
        <v>2</v>
      </c>
      <c r="BM21" s="3">
        <f>COUNTIFS(B21:G21, "&gt;=20", B21:G21, "&lt;=29")</f>
        <v>2</v>
      </c>
      <c r="BN21" s="3">
        <f>COUNTIFS(B21:G21, "&gt;=30", B21:G21, "&lt;=39")</f>
        <v>2</v>
      </c>
      <c r="BO21" s="3">
        <f>COUNTIFS(B21:G21, "&gt;=40", B21:G21, "&lt;=45")</f>
        <v>0</v>
      </c>
      <c r="BP21" s="28" t="e">
        <f>#REF!</f>
        <v>#REF!</v>
      </c>
      <c r="BQ21" s="28" t="e">
        <f>#REF!*2</f>
        <v>#REF!</v>
      </c>
      <c r="BR21" s="28" t="e">
        <f>#REF!</f>
        <v>#REF!</v>
      </c>
      <c r="BS21" s="28" t="e">
        <f>#REF!*2</f>
        <v>#REF!</v>
      </c>
      <c r="BT21" s="28" t="e">
        <f>#REF!</f>
        <v>#REF!</v>
      </c>
      <c r="BU21" s="28" t="e">
        <f>#REF!*2</f>
        <v>#REF!</v>
      </c>
      <c r="BV21" s="28" t="e">
        <f>#REF!</f>
        <v>#REF!</v>
      </c>
      <c r="BW21" s="28" t="e">
        <f>#REF!*2</f>
        <v>#REF!</v>
      </c>
      <c r="BX21" s="28" t="e">
        <f>#REF!</f>
        <v>#REF!</v>
      </c>
      <c r="BY21" s="28" t="e">
        <f>#REF!*2</f>
        <v>#REF!</v>
      </c>
      <c r="BZ21" s="28" t="e">
        <f>#REF!</f>
        <v>#REF!</v>
      </c>
      <c r="CA21" s="28" t="e">
        <f>#REF!*2</f>
        <v>#REF!</v>
      </c>
      <c r="CB21" s="9">
        <f>C21-B21</f>
        <v>1</v>
      </c>
      <c r="CC21" s="9">
        <f>D21-C21</f>
        <v>8</v>
      </c>
      <c r="CD21" s="9">
        <f>E21-D21</f>
        <v>4</v>
      </c>
      <c r="CE21" s="9">
        <f>F21-E21</f>
        <v>11</v>
      </c>
      <c r="CF21" s="9">
        <f>G21-F21</f>
        <v>1</v>
      </c>
      <c r="CG21" s="33"/>
      <c r="CH21" s="9">
        <f>C21-B21</f>
        <v>1</v>
      </c>
      <c r="CI21" s="9">
        <f>D21-C21</f>
        <v>8</v>
      </c>
      <c r="CJ21" s="9">
        <f>E21-D21</f>
        <v>4</v>
      </c>
      <c r="CK21" s="9">
        <f>F21-E21</f>
        <v>11</v>
      </c>
      <c r="CL21" s="9">
        <f>G21-F21</f>
        <v>1</v>
      </c>
      <c r="CM21" s="32"/>
      <c r="CN21" s="3">
        <f>IF(OR(CH21="",ISBLANK(CH21),CH21=0),0,IF(MOD(CH21,2)=1,1,2))</f>
        <v>1</v>
      </c>
      <c r="CO21" s="3">
        <f>IF(OR(CI21="",ISBLANK(CI21),CI21=0),0,IF(MOD(CI21,2)=1,1,2))</f>
        <v>2</v>
      </c>
      <c r="CP21" s="3">
        <f>IF(OR(CJ21="",ISBLANK(CJ21),CJ21=0),0,IF(MOD(CJ21,2)=1,1,2))</f>
        <v>2</v>
      </c>
      <c r="CQ21" s="3">
        <f>IF(OR(CK21="",ISBLANK(CK21),CK21=0),0,IF(MOD(CK21,2)=1,1,2))</f>
        <v>1</v>
      </c>
      <c r="CR21" s="3">
        <f>IF(OR(CL21="",ISBLANK(CL21),CL21=0),0,IF(MOD(CL21,2)=1,1,2))</f>
        <v>1</v>
      </c>
      <c r="CS21" s="31"/>
      <c r="CT21" s="3" cm="1">
        <f t="array" ref="CT21">SUMPRODUCT(--(MOD(CH21:CL21,2)=1))</f>
        <v>3</v>
      </c>
      <c r="CU21" s="3">
        <f>5-CT21</f>
        <v>2</v>
      </c>
      <c r="CV21" s="30"/>
      <c r="CW21" s="3" cm="1">
        <f t="array" ref="CW21">SUMPRODUCT(--(MOD(CH21:CL21,10)&gt;=1), --(MOD(CH21:CL21,10)&lt;=5))</f>
        <v>4</v>
      </c>
      <c r="CX21" s="3">
        <f>5-CW21</f>
        <v>1</v>
      </c>
      <c r="CY21" s="30"/>
      <c r="CZ21" s="3" cm="1">
        <f t="array" ref="CZ21">IFERROR(COUNT(_xlfn._xlws.FILTER(CH21:CL21, ISNUMBER(MATCH(CH21:CL21, {2,3,5,7,11,13,17,19,23,29,31,37,41,43}, 0)))), 0)</f>
        <v>1</v>
      </c>
      <c r="DA21" s="3" cm="1">
        <f t="array" ref="DA21">IFERROR(COUNT(_xlfn._xlws.FILTER(CH21:CL21, ISNUMBER(MATCH(CH21:CL21, {1,4,8,10,14,16,20,22,25,26,28,32,34,35,38,40,44}, 0)))), 0)</f>
        <v>4</v>
      </c>
      <c r="DB21" s="3" cm="1">
        <f t="array" ref="DB21">IFERROR(COUNT(_xlfn._xlws.FILTER(CH21:CL21, ISNUMBER(MATCH(CH21:CL21, {6,9,12,15,18,21,24,27,30,33,36,39,42,45}, 0)))), 0)</f>
        <v>0</v>
      </c>
      <c r="DC21" s="29"/>
      <c r="DD21" s="28" t="e">
        <f>#REF!</f>
        <v>#REF!</v>
      </c>
      <c r="DE21" s="28" t="e">
        <f>#REF!*2</f>
        <v>#REF!</v>
      </c>
      <c r="DF21" s="28" t="e">
        <f>#REF!</f>
        <v>#REF!</v>
      </c>
      <c r="DG21" s="28" t="e">
        <f>#REF!*2</f>
        <v>#REF!</v>
      </c>
      <c r="DH21" s="28" t="e">
        <f>#REF!</f>
        <v>#REF!</v>
      </c>
      <c r="DI21" s="28" t="e">
        <f>#REF!*2</f>
        <v>#REF!</v>
      </c>
      <c r="DJ21" s="28" t="e">
        <f>#REF!</f>
        <v>#REF!</v>
      </c>
      <c r="DK21" s="28" t="e">
        <f>#REF!*2</f>
        <v>#REF!</v>
      </c>
      <c r="DL21" s="28" t="e">
        <f>#REF!</f>
        <v>#REF!</v>
      </c>
      <c r="DM21" s="28" t="e">
        <f>#REF!*2</f>
        <v>#REF!</v>
      </c>
      <c r="DN21" s="27"/>
      <c r="DO21" s="26"/>
      <c r="DP21" s="26"/>
      <c r="DQ21" s="26"/>
      <c r="DR21" s="26"/>
      <c r="DS21" s="26"/>
      <c r="DT21" s="25"/>
    </row>
    <row r="22" spans="2:124" x14ac:dyDescent="0.3">
      <c r="B22" s="3">
        <v>10</v>
      </c>
      <c r="C22" s="3">
        <v>12</v>
      </c>
      <c r="D22" s="3">
        <v>29</v>
      </c>
      <c r="E22" s="3">
        <v>31</v>
      </c>
      <c r="F22" s="3">
        <v>40</v>
      </c>
      <c r="G22" s="3">
        <v>44</v>
      </c>
      <c r="H22" s="32"/>
      <c r="I22" s="3">
        <f>IF(OR(B22="",ISBLANK(B22),B22=0),0,IF(MOD(B22,2)=1,1,2))</f>
        <v>2</v>
      </c>
      <c r="J22" s="3">
        <f>IF(OR(C22="",ISBLANK(C22),C22=0),0,IF(MOD(C22,2)=1,1,2))</f>
        <v>2</v>
      </c>
      <c r="K22" s="3">
        <f>IF(OR(D22="",ISBLANK(D22),D22=0),0,IF(MOD(D22,2)=1,1,2))</f>
        <v>1</v>
      </c>
      <c r="L22" s="3">
        <f>IF(OR(E22="",ISBLANK(E22),E22=0),0,IF(MOD(E22,2)=1,1,2))</f>
        <v>1</v>
      </c>
      <c r="M22" s="3">
        <f>IF(OR(F22="",ISBLANK(F22),F22=0),0,IF(MOD(F22,2)=1,1,2))</f>
        <v>2</v>
      </c>
      <c r="N22" s="3">
        <f>IF(OR(G22="",ISBLANK(G22),G22=0),0,IF(MOD(G22,2)=1,1,2))</f>
        <v>2</v>
      </c>
      <c r="O22" s="32"/>
      <c r="P22" s="3" cm="1">
        <f t="array" ref="P22">SUMPRODUCT(--(MOD(B22:G22,2)=1))</f>
        <v>2</v>
      </c>
      <c r="Q22" s="3">
        <f>6-P22</f>
        <v>4</v>
      </c>
      <c r="R22" s="34"/>
      <c r="S22" s="3">
        <f>COUNTIFS(B22:G22,"&gt;=1",B22:G22,"&lt;=23")</f>
        <v>2</v>
      </c>
      <c r="T22" s="3">
        <f>6-S22</f>
        <v>4</v>
      </c>
      <c r="U22" s="34"/>
      <c r="V22" s="3" cm="1">
        <f t="array" ref="V22">SUMPRODUCT(--(MOD(B22:G22,10)&gt;=1), --(MOD(B22:G22,10)&lt;=5))</f>
        <v>3</v>
      </c>
      <c r="W22" s="3">
        <f>6-V22</f>
        <v>3</v>
      </c>
      <c r="X22" s="34"/>
      <c r="Y22" s="3" cm="1">
        <f t="array" ref="Y22">IFERROR(COUNT(_xlfn._xlws.FILTER(B22:G22, ISNUMBER(MATCH(B22:G22, {2,3,5,7,11,13,17,19,23,29,31,37,41,43}, 0)))), 0)</f>
        <v>2</v>
      </c>
      <c r="Z22" s="3" cm="1">
        <f t="array" ref="Z22">IFERROR(COUNT(_xlfn._xlws.FILTER(B22:G22, ISNUMBER(MATCH(B22:G22, {1,4,8,10,14,16,20,22,25,26,28,32,34,35,38,40,44}, 0)))), 0)</f>
        <v>3</v>
      </c>
      <c r="AA22" s="3" cm="1">
        <f t="array" ref="AA22">IFERROR(COUNT(_xlfn._xlws.FILTER(B22:G22, ISNUMBER(MATCH(B22:G22, {6,9,12,15,18,21,24,27,30,33,36,39,42,45}, 0)))), 0)</f>
        <v>1</v>
      </c>
      <c r="AB22" s="30"/>
      <c r="AC22" s="26"/>
      <c r="AD22" s="26"/>
      <c r="AE22" s="26"/>
      <c r="AF22" s="26"/>
      <c r="AG22" s="26"/>
      <c r="AH22" s="26"/>
      <c r="AI22" s="30"/>
      <c r="AJ22" s="3">
        <f>COUNTIFS(B22:G22,"&gt;=1",B22:G22,"&lt;=14")</f>
        <v>2</v>
      </c>
      <c r="AK22" s="3">
        <f>COUNTIFS(B22:G22,"&gt;=15",B22:G22,"&lt;=31")</f>
        <v>2</v>
      </c>
      <c r="AL22" s="3">
        <f>6-AK22-AJ22</f>
        <v>2</v>
      </c>
      <c r="AM22" s="33"/>
      <c r="AN22" s="3">
        <f>COUNTIFS($B22:$G22, "&gt;=1",$B22:$G22, "&lt;=9")</f>
        <v>0</v>
      </c>
      <c r="AO22" s="3">
        <f>COUNTIFS($B22:$G22, "&gt;=10",$B22:$G22, "&lt;=18")</f>
        <v>2</v>
      </c>
      <c r="AP22" s="3">
        <f>COUNTIFS($B22:$G22, "&gt;=19",$B22:$G22, "&lt;=27")</f>
        <v>0</v>
      </c>
      <c r="AQ22" s="3">
        <f>COUNTIFS($B22:$G22, "&gt;=28",$B22:$G22, "&lt;=36")</f>
        <v>2</v>
      </c>
      <c r="AR22" s="3">
        <f>COUNTIFS($B22:$G22, "&gt;=37",$B22:$G22, "&lt;=45")</f>
        <v>2</v>
      </c>
      <c r="AS22" s="28" t="e">
        <f>#REF!</f>
        <v>#REF!</v>
      </c>
      <c r="AT22" s="28" t="e">
        <f>#REF!*2</f>
        <v>#REF!</v>
      </c>
      <c r="AU22" s="28" t="e">
        <f>#REF!</f>
        <v>#REF!</v>
      </c>
      <c r="AV22" s="28" t="e">
        <f>#REF!*2</f>
        <v>#REF!</v>
      </c>
      <c r="AW22" s="28" t="e">
        <f>#REF!</f>
        <v>#REF!</v>
      </c>
      <c r="AX22" s="28" t="e">
        <f>#REF!*2</f>
        <v>#REF!</v>
      </c>
      <c r="AY22" s="28" t="e">
        <f>#REF!</f>
        <v>#REF!</v>
      </c>
      <c r="AZ22" s="28" t="e">
        <f>#REF!*2</f>
        <v>#REF!</v>
      </c>
      <c r="BA22" s="28" t="e">
        <f>#REF!</f>
        <v>#REF!</v>
      </c>
      <c r="BB22" s="28" t="e">
        <f>#REF!*2</f>
        <v>#REF!</v>
      </c>
      <c r="BC22" s="28" t="e">
        <f>#REF!</f>
        <v>#REF!</v>
      </c>
      <c r="BD22" s="28" t="e">
        <f>#REF!*2</f>
        <v>#REF!</v>
      </c>
      <c r="BE22" s="9" t="e">
        <f>#REF!-#REF!</f>
        <v>#REF!</v>
      </c>
      <c r="BF22" s="9" t="e">
        <f>#REF!-#REF!</f>
        <v>#REF!</v>
      </c>
      <c r="BG22" s="9" t="e">
        <f>#REF!-#REF!</f>
        <v>#REF!</v>
      </c>
      <c r="BH22" s="9" t="e">
        <f>#REF!-#REF!</f>
        <v>#REF!</v>
      </c>
      <c r="BI22" s="9" t="e">
        <f>#REF!-#REF!</f>
        <v>#REF!</v>
      </c>
      <c r="BJ22" s="33"/>
      <c r="BK22" s="3">
        <f>COUNTIFS(B22:G22, "&gt;=1", B22:G22, "&lt;=9")</f>
        <v>0</v>
      </c>
      <c r="BL22" s="3">
        <f>COUNTIFS(B22:G22, "&gt;=10", B22:G22, "&lt;=19")</f>
        <v>2</v>
      </c>
      <c r="BM22" s="3">
        <f>COUNTIFS(B22:G22, "&gt;=20", B22:G22, "&lt;=29")</f>
        <v>1</v>
      </c>
      <c r="BN22" s="3">
        <f>COUNTIFS(B22:G22, "&gt;=30", B22:G22, "&lt;=39")</f>
        <v>1</v>
      </c>
      <c r="BO22" s="3">
        <f>COUNTIFS(B22:G22, "&gt;=40", B22:G22, "&lt;=45")</f>
        <v>2</v>
      </c>
      <c r="BP22" s="28" t="e">
        <f>#REF!</f>
        <v>#REF!</v>
      </c>
      <c r="BQ22" s="28" t="e">
        <f>#REF!*2</f>
        <v>#REF!</v>
      </c>
      <c r="BR22" s="28" t="e">
        <f>#REF!</f>
        <v>#REF!</v>
      </c>
      <c r="BS22" s="28" t="e">
        <f>#REF!*2</f>
        <v>#REF!</v>
      </c>
      <c r="BT22" s="28" t="e">
        <f>#REF!</f>
        <v>#REF!</v>
      </c>
      <c r="BU22" s="28" t="e">
        <f>#REF!*2</f>
        <v>#REF!</v>
      </c>
      <c r="BV22" s="28" t="e">
        <f>#REF!</f>
        <v>#REF!</v>
      </c>
      <c r="BW22" s="28" t="e">
        <f>#REF!*2</f>
        <v>#REF!</v>
      </c>
      <c r="BX22" s="28" t="e">
        <f>#REF!</f>
        <v>#REF!</v>
      </c>
      <c r="BY22" s="28" t="e">
        <f>#REF!*2</f>
        <v>#REF!</v>
      </c>
      <c r="BZ22" s="28" t="e">
        <f>#REF!</f>
        <v>#REF!</v>
      </c>
      <c r="CA22" s="28" t="e">
        <f>#REF!*2</f>
        <v>#REF!</v>
      </c>
      <c r="CB22" s="9">
        <f>C22-B22</f>
        <v>2</v>
      </c>
      <c r="CC22" s="9">
        <f>D22-C22</f>
        <v>17</v>
      </c>
      <c r="CD22" s="9">
        <f>E22-D22</f>
        <v>2</v>
      </c>
      <c r="CE22" s="9">
        <f>F22-E22</f>
        <v>9</v>
      </c>
      <c r="CF22" s="9">
        <f>G22-F22</f>
        <v>4</v>
      </c>
      <c r="CG22" s="33"/>
      <c r="CH22" s="9">
        <f>C22-B22</f>
        <v>2</v>
      </c>
      <c r="CI22" s="9">
        <f>D22-C22</f>
        <v>17</v>
      </c>
      <c r="CJ22" s="9">
        <f>E22-D22</f>
        <v>2</v>
      </c>
      <c r="CK22" s="9">
        <f>F22-E22</f>
        <v>9</v>
      </c>
      <c r="CL22" s="9">
        <f>G22-F22</f>
        <v>4</v>
      </c>
      <c r="CM22" s="32"/>
      <c r="CN22" s="3">
        <f>IF(OR(CH22="",ISBLANK(CH22),CH22=0),0,IF(MOD(CH22,2)=1,1,2))</f>
        <v>2</v>
      </c>
      <c r="CO22" s="3">
        <f>IF(OR(CI22="",ISBLANK(CI22),CI22=0),0,IF(MOD(CI22,2)=1,1,2))</f>
        <v>1</v>
      </c>
      <c r="CP22" s="3">
        <f>IF(OR(CJ22="",ISBLANK(CJ22),CJ22=0),0,IF(MOD(CJ22,2)=1,1,2))</f>
        <v>2</v>
      </c>
      <c r="CQ22" s="3">
        <f>IF(OR(CK22="",ISBLANK(CK22),CK22=0),0,IF(MOD(CK22,2)=1,1,2))</f>
        <v>1</v>
      </c>
      <c r="CR22" s="3">
        <f>IF(OR(CL22="",ISBLANK(CL22),CL22=0),0,IF(MOD(CL22,2)=1,1,2))</f>
        <v>2</v>
      </c>
      <c r="CS22" s="31"/>
      <c r="CT22" s="3" cm="1">
        <f t="array" ref="CT22">SUMPRODUCT(--(MOD(CH22:CL22,2)=1))</f>
        <v>2</v>
      </c>
      <c r="CU22" s="3">
        <f>5-CT22</f>
        <v>3</v>
      </c>
      <c r="CV22" s="30"/>
      <c r="CW22" s="3" cm="1">
        <f t="array" ref="CW22">SUMPRODUCT(--(MOD(CH22:CL22,10)&gt;=1), --(MOD(CH22:CL22,10)&lt;=5))</f>
        <v>3</v>
      </c>
      <c r="CX22" s="3">
        <f>5-CW22</f>
        <v>2</v>
      </c>
      <c r="CY22" s="30"/>
      <c r="CZ22" s="3" cm="1">
        <f t="array" ref="CZ22">IFERROR(COUNT(_xlfn._xlws.FILTER(CH22:CL22, ISNUMBER(MATCH(CH22:CL22, {2,3,5,7,11,13,17,19,23,29,31,37,41,43}, 0)))), 0)</f>
        <v>3</v>
      </c>
      <c r="DA22" s="3" cm="1">
        <f t="array" ref="DA22">IFERROR(COUNT(_xlfn._xlws.FILTER(CH22:CL22, ISNUMBER(MATCH(CH22:CL22, {1,4,8,10,14,16,20,22,25,26,28,32,34,35,38,40,44}, 0)))), 0)</f>
        <v>1</v>
      </c>
      <c r="DB22" s="3" cm="1">
        <f t="array" ref="DB22">IFERROR(COUNT(_xlfn._xlws.FILTER(CH22:CL22, ISNUMBER(MATCH(CH22:CL22, {6,9,12,15,18,21,24,27,30,33,36,39,42,45}, 0)))), 0)</f>
        <v>1</v>
      </c>
      <c r="DC22" s="29"/>
      <c r="DD22" s="28" t="e">
        <f>#REF!</f>
        <v>#REF!</v>
      </c>
      <c r="DE22" s="28" t="e">
        <f>#REF!*2</f>
        <v>#REF!</v>
      </c>
      <c r="DF22" s="28" t="e">
        <f>#REF!</f>
        <v>#REF!</v>
      </c>
      <c r="DG22" s="28" t="e">
        <f>#REF!*2</f>
        <v>#REF!</v>
      </c>
      <c r="DH22" s="28" t="e">
        <f>#REF!</f>
        <v>#REF!</v>
      </c>
      <c r="DI22" s="28" t="e">
        <f>#REF!*2</f>
        <v>#REF!</v>
      </c>
      <c r="DJ22" s="28" t="e">
        <f>#REF!</f>
        <v>#REF!</v>
      </c>
      <c r="DK22" s="28" t="e">
        <f>#REF!*2</f>
        <v>#REF!</v>
      </c>
      <c r="DL22" s="28" t="e">
        <f>#REF!</f>
        <v>#REF!</v>
      </c>
      <c r="DM22" s="28" t="e">
        <f>#REF!*2</f>
        <v>#REF!</v>
      </c>
      <c r="DN22" s="27"/>
      <c r="DO22" s="26"/>
      <c r="DP22" s="26"/>
      <c r="DQ22" s="26"/>
      <c r="DR22" s="26"/>
      <c r="DS22" s="26"/>
      <c r="DT22" s="25"/>
    </row>
    <row r="23" spans="2:124" x14ac:dyDescent="0.3">
      <c r="B23" s="3">
        <v>1</v>
      </c>
      <c r="C23" s="3">
        <v>7</v>
      </c>
      <c r="D23" s="3">
        <v>21</v>
      </c>
      <c r="E23" s="3">
        <v>30</v>
      </c>
      <c r="F23" s="3">
        <v>35</v>
      </c>
      <c r="G23" s="3">
        <v>38</v>
      </c>
      <c r="H23" s="32"/>
      <c r="I23" s="3">
        <f>IF(OR(B23="",ISBLANK(B23),B23=0),0,IF(MOD(B23,2)=1,1,2))</f>
        <v>1</v>
      </c>
      <c r="J23" s="3">
        <f>IF(OR(C23="",ISBLANK(C23),C23=0),0,IF(MOD(C23,2)=1,1,2))</f>
        <v>1</v>
      </c>
      <c r="K23" s="3">
        <f>IF(OR(D23="",ISBLANK(D23),D23=0),0,IF(MOD(D23,2)=1,1,2))</f>
        <v>1</v>
      </c>
      <c r="L23" s="3">
        <f>IF(OR(E23="",ISBLANK(E23),E23=0),0,IF(MOD(E23,2)=1,1,2))</f>
        <v>2</v>
      </c>
      <c r="M23" s="3">
        <f>IF(OR(F23="",ISBLANK(F23),F23=0),0,IF(MOD(F23,2)=1,1,2))</f>
        <v>1</v>
      </c>
      <c r="N23" s="3">
        <f>IF(OR(G23="",ISBLANK(G23),G23=0),0,IF(MOD(G23,2)=1,1,2))</f>
        <v>2</v>
      </c>
      <c r="O23" s="32"/>
      <c r="P23" s="3" cm="1">
        <f t="array" ref="P23">SUMPRODUCT(--(MOD(B23:G23,2)=1))</f>
        <v>4</v>
      </c>
      <c r="Q23" s="3">
        <f>6-P23</f>
        <v>2</v>
      </c>
      <c r="R23" s="34"/>
      <c r="S23" s="3">
        <f>COUNTIFS(B23:G23,"&gt;=1",B23:G23,"&lt;=23")</f>
        <v>3</v>
      </c>
      <c r="T23" s="3">
        <f>6-S23</f>
        <v>3</v>
      </c>
      <c r="U23" s="34"/>
      <c r="V23" s="3" cm="1">
        <f t="array" ref="V23">SUMPRODUCT(--(MOD(B23:G23,10)&gt;=1), --(MOD(B23:G23,10)&lt;=5))</f>
        <v>3</v>
      </c>
      <c r="W23" s="3">
        <f>6-V23</f>
        <v>3</v>
      </c>
      <c r="X23" s="34"/>
      <c r="Y23" s="3" cm="1">
        <f t="array" ref="Y23">IFERROR(COUNT(_xlfn._xlws.FILTER(B23:G23, ISNUMBER(MATCH(B23:G23, {2,3,5,7,11,13,17,19,23,29,31,37,41,43}, 0)))), 0)</f>
        <v>1</v>
      </c>
      <c r="Z23" s="3" cm="1">
        <f t="array" ref="Z23">IFERROR(COUNT(_xlfn._xlws.FILTER(B23:G23, ISNUMBER(MATCH(B23:G23, {1,4,8,10,14,16,20,22,25,26,28,32,34,35,38,40,44}, 0)))), 0)</f>
        <v>3</v>
      </c>
      <c r="AA23" s="3" cm="1">
        <f t="array" ref="AA23">IFERROR(COUNT(_xlfn._xlws.FILTER(B23:G23, ISNUMBER(MATCH(B23:G23, {6,9,12,15,18,21,24,27,30,33,36,39,42,45}, 0)))), 0)</f>
        <v>2</v>
      </c>
      <c r="AB23" s="30"/>
      <c r="AC23" s="26"/>
      <c r="AD23" s="26"/>
      <c r="AE23" s="26"/>
      <c r="AF23" s="26"/>
      <c r="AG23" s="26"/>
      <c r="AH23" s="26"/>
      <c r="AI23" s="30"/>
      <c r="AJ23" s="3">
        <f>COUNTIFS(B23:G23,"&gt;=1",B23:G23,"&lt;=14")</f>
        <v>2</v>
      </c>
      <c r="AK23" s="3">
        <f>COUNTIFS(B23:G23,"&gt;=15",B23:G23,"&lt;=31")</f>
        <v>2</v>
      </c>
      <c r="AL23" s="3">
        <f>6-AK23-AJ23</f>
        <v>2</v>
      </c>
      <c r="AM23" s="33"/>
      <c r="AN23" s="3">
        <f>COUNTIFS($B23:$G23, "&gt;=1",$B23:$G23, "&lt;=9")</f>
        <v>2</v>
      </c>
      <c r="AO23" s="3">
        <f>COUNTIFS($B23:$G23, "&gt;=10",$B23:$G23, "&lt;=18")</f>
        <v>0</v>
      </c>
      <c r="AP23" s="3">
        <f>COUNTIFS($B23:$G23, "&gt;=19",$B23:$G23, "&lt;=27")</f>
        <v>1</v>
      </c>
      <c r="AQ23" s="3">
        <f>COUNTIFS($B23:$G23, "&gt;=28",$B23:$G23, "&lt;=36")</f>
        <v>2</v>
      </c>
      <c r="AR23" s="3">
        <f>COUNTIFS($B23:$G23, "&gt;=37",$B23:$G23, "&lt;=45")</f>
        <v>1</v>
      </c>
      <c r="AS23" s="28" t="e">
        <f>#REF!</f>
        <v>#REF!</v>
      </c>
      <c r="AT23" s="28" t="e">
        <f>#REF!*2</f>
        <v>#REF!</v>
      </c>
      <c r="AU23" s="28" t="e">
        <f>#REF!</f>
        <v>#REF!</v>
      </c>
      <c r="AV23" s="28" t="e">
        <f>#REF!*2</f>
        <v>#REF!</v>
      </c>
      <c r="AW23" s="28" t="e">
        <f>#REF!</f>
        <v>#REF!</v>
      </c>
      <c r="AX23" s="28" t="e">
        <f>#REF!*2</f>
        <v>#REF!</v>
      </c>
      <c r="AY23" s="28" t="e">
        <f>#REF!</f>
        <v>#REF!</v>
      </c>
      <c r="AZ23" s="28" t="e">
        <f>#REF!*2</f>
        <v>#REF!</v>
      </c>
      <c r="BA23" s="28" t="e">
        <f>#REF!</f>
        <v>#REF!</v>
      </c>
      <c r="BB23" s="28" t="e">
        <f>#REF!*2</f>
        <v>#REF!</v>
      </c>
      <c r="BC23" s="28" t="e">
        <f>#REF!</f>
        <v>#REF!</v>
      </c>
      <c r="BD23" s="28" t="e">
        <f>#REF!*2</f>
        <v>#REF!</v>
      </c>
      <c r="BE23" s="9" t="e">
        <f>#REF!-#REF!</f>
        <v>#REF!</v>
      </c>
      <c r="BF23" s="9" t="e">
        <f>#REF!-#REF!</f>
        <v>#REF!</v>
      </c>
      <c r="BG23" s="9" t="e">
        <f>#REF!-#REF!</f>
        <v>#REF!</v>
      </c>
      <c r="BH23" s="9" t="e">
        <f>#REF!-#REF!</f>
        <v>#REF!</v>
      </c>
      <c r="BI23" s="9" t="e">
        <f>#REF!-#REF!</f>
        <v>#REF!</v>
      </c>
      <c r="BJ23" s="33"/>
      <c r="BK23" s="3">
        <f>COUNTIFS(B23:G23, "&gt;=1", B23:G23, "&lt;=9")</f>
        <v>2</v>
      </c>
      <c r="BL23" s="3">
        <f>COUNTIFS(B23:G23, "&gt;=10", B23:G23, "&lt;=19")</f>
        <v>0</v>
      </c>
      <c r="BM23" s="3">
        <f>COUNTIFS(B23:G23, "&gt;=20", B23:G23, "&lt;=29")</f>
        <v>1</v>
      </c>
      <c r="BN23" s="3">
        <f>COUNTIFS(B23:G23, "&gt;=30", B23:G23, "&lt;=39")</f>
        <v>3</v>
      </c>
      <c r="BO23" s="3">
        <f>COUNTIFS(B23:G23, "&gt;=40", B23:G23, "&lt;=45")</f>
        <v>0</v>
      </c>
      <c r="BP23" s="28" t="e">
        <f>#REF!</f>
        <v>#REF!</v>
      </c>
      <c r="BQ23" s="28" t="e">
        <f>#REF!*2</f>
        <v>#REF!</v>
      </c>
      <c r="BR23" s="28" t="e">
        <f>#REF!</f>
        <v>#REF!</v>
      </c>
      <c r="BS23" s="28" t="e">
        <f>#REF!*2</f>
        <v>#REF!</v>
      </c>
      <c r="BT23" s="28" t="e">
        <f>#REF!</f>
        <v>#REF!</v>
      </c>
      <c r="BU23" s="28" t="e">
        <f>#REF!*2</f>
        <v>#REF!</v>
      </c>
      <c r="BV23" s="28" t="e">
        <f>#REF!</f>
        <v>#REF!</v>
      </c>
      <c r="BW23" s="28" t="e">
        <f>#REF!*2</f>
        <v>#REF!</v>
      </c>
      <c r="BX23" s="28" t="e">
        <f>#REF!</f>
        <v>#REF!</v>
      </c>
      <c r="BY23" s="28" t="e">
        <f>#REF!*2</f>
        <v>#REF!</v>
      </c>
      <c r="BZ23" s="28" t="e">
        <f>#REF!</f>
        <v>#REF!</v>
      </c>
      <c r="CA23" s="28" t="e">
        <f>#REF!*2</f>
        <v>#REF!</v>
      </c>
      <c r="CB23" s="9">
        <f>C23-B23</f>
        <v>6</v>
      </c>
      <c r="CC23" s="9">
        <f>D23-C23</f>
        <v>14</v>
      </c>
      <c r="CD23" s="9">
        <f>E23-D23</f>
        <v>9</v>
      </c>
      <c r="CE23" s="9">
        <f>F23-E23</f>
        <v>5</v>
      </c>
      <c r="CF23" s="9">
        <f>G23-F23</f>
        <v>3</v>
      </c>
      <c r="CG23" s="33"/>
      <c r="CH23" s="9">
        <f>C23-B23</f>
        <v>6</v>
      </c>
      <c r="CI23" s="9">
        <f>D23-C23</f>
        <v>14</v>
      </c>
      <c r="CJ23" s="9">
        <f>E23-D23</f>
        <v>9</v>
      </c>
      <c r="CK23" s="9">
        <f>F23-E23</f>
        <v>5</v>
      </c>
      <c r="CL23" s="9">
        <f>G23-F23</f>
        <v>3</v>
      </c>
      <c r="CM23" s="32"/>
      <c r="CN23" s="3">
        <f>IF(OR(CH23="",ISBLANK(CH23),CH23=0),0,IF(MOD(CH23,2)=1,1,2))</f>
        <v>2</v>
      </c>
      <c r="CO23" s="3">
        <f>IF(OR(CI23="",ISBLANK(CI23),CI23=0),0,IF(MOD(CI23,2)=1,1,2))</f>
        <v>2</v>
      </c>
      <c r="CP23" s="3">
        <f>IF(OR(CJ23="",ISBLANK(CJ23),CJ23=0),0,IF(MOD(CJ23,2)=1,1,2))</f>
        <v>1</v>
      </c>
      <c r="CQ23" s="3">
        <f>IF(OR(CK23="",ISBLANK(CK23),CK23=0),0,IF(MOD(CK23,2)=1,1,2))</f>
        <v>1</v>
      </c>
      <c r="CR23" s="3">
        <f>IF(OR(CL23="",ISBLANK(CL23),CL23=0),0,IF(MOD(CL23,2)=1,1,2))</f>
        <v>1</v>
      </c>
      <c r="CS23" s="31"/>
      <c r="CT23" s="3" cm="1">
        <f t="array" ref="CT23">SUMPRODUCT(--(MOD(CH23:CL23,2)=1))</f>
        <v>3</v>
      </c>
      <c r="CU23" s="3">
        <f>5-CT23</f>
        <v>2</v>
      </c>
      <c r="CV23" s="30"/>
      <c r="CW23" s="3" cm="1">
        <f t="array" ref="CW23">SUMPRODUCT(--(MOD(CH23:CL23,10)&gt;=1), --(MOD(CH23:CL23,10)&lt;=5))</f>
        <v>3</v>
      </c>
      <c r="CX23" s="3">
        <f>5-CW23</f>
        <v>2</v>
      </c>
      <c r="CY23" s="30"/>
      <c r="CZ23" s="3" cm="1">
        <f t="array" ref="CZ23">IFERROR(COUNT(_xlfn._xlws.FILTER(CH23:CL23, ISNUMBER(MATCH(CH23:CL23, {2,3,5,7,11,13,17,19,23,29,31,37,41,43}, 0)))), 0)</f>
        <v>2</v>
      </c>
      <c r="DA23" s="3" cm="1">
        <f t="array" ref="DA23">IFERROR(COUNT(_xlfn._xlws.FILTER(CH23:CL23, ISNUMBER(MATCH(CH23:CL23, {1,4,8,10,14,16,20,22,25,26,28,32,34,35,38,40,44}, 0)))), 0)</f>
        <v>1</v>
      </c>
      <c r="DB23" s="3" cm="1">
        <f t="array" ref="DB23">IFERROR(COUNT(_xlfn._xlws.FILTER(CH23:CL23, ISNUMBER(MATCH(CH23:CL23, {6,9,12,15,18,21,24,27,30,33,36,39,42,45}, 0)))), 0)</f>
        <v>2</v>
      </c>
      <c r="DC23" s="29"/>
      <c r="DD23" s="28" t="e">
        <f>#REF!</f>
        <v>#REF!</v>
      </c>
      <c r="DE23" s="28" t="e">
        <f>#REF!*2</f>
        <v>#REF!</v>
      </c>
      <c r="DF23" s="28" t="e">
        <f>#REF!</f>
        <v>#REF!</v>
      </c>
      <c r="DG23" s="28" t="e">
        <f>#REF!*2</f>
        <v>#REF!</v>
      </c>
      <c r="DH23" s="28" t="e">
        <f>#REF!</f>
        <v>#REF!</v>
      </c>
      <c r="DI23" s="28" t="e">
        <f>#REF!*2</f>
        <v>#REF!</v>
      </c>
      <c r="DJ23" s="28" t="e">
        <f>#REF!</f>
        <v>#REF!</v>
      </c>
      <c r="DK23" s="28" t="e">
        <f>#REF!*2</f>
        <v>#REF!</v>
      </c>
      <c r="DL23" s="28" t="e">
        <f>#REF!</f>
        <v>#REF!</v>
      </c>
      <c r="DM23" s="28" t="e">
        <f>#REF!*2</f>
        <v>#REF!</v>
      </c>
      <c r="DN23" s="27"/>
      <c r="DO23" s="26"/>
      <c r="DP23" s="26"/>
      <c r="DQ23" s="26"/>
      <c r="DR23" s="26"/>
      <c r="DS23" s="26"/>
      <c r="DT23" s="25"/>
    </row>
    <row r="24" spans="2:124" x14ac:dyDescent="0.3">
      <c r="B24" s="3">
        <v>6</v>
      </c>
      <c r="C24" s="3">
        <v>16</v>
      </c>
      <c r="D24" s="3">
        <v>34</v>
      </c>
      <c r="E24" s="3">
        <v>37</v>
      </c>
      <c r="F24" s="3">
        <v>39</v>
      </c>
      <c r="G24" s="3">
        <v>40</v>
      </c>
      <c r="H24" s="32"/>
      <c r="I24" s="3">
        <f>IF(OR(B24="",ISBLANK(B24),B24=0),0,IF(MOD(B24,2)=1,1,2))</f>
        <v>2</v>
      </c>
      <c r="J24" s="3">
        <f>IF(OR(C24="",ISBLANK(C24),C24=0),0,IF(MOD(C24,2)=1,1,2))</f>
        <v>2</v>
      </c>
      <c r="K24" s="3">
        <f>IF(OR(D24="",ISBLANK(D24),D24=0),0,IF(MOD(D24,2)=1,1,2))</f>
        <v>2</v>
      </c>
      <c r="L24" s="3">
        <f>IF(OR(E24="",ISBLANK(E24),E24=0),0,IF(MOD(E24,2)=1,1,2))</f>
        <v>1</v>
      </c>
      <c r="M24" s="3">
        <f>IF(OR(F24="",ISBLANK(F24),F24=0),0,IF(MOD(F24,2)=1,1,2))</f>
        <v>1</v>
      </c>
      <c r="N24" s="3">
        <f>IF(OR(G24="",ISBLANK(G24),G24=0),0,IF(MOD(G24,2)=1,1,2))</f>
        <v>2</v>
      </c>
      <c r="O24" s="32"/>
      <c r="P24" s="3" cm="1">
        <f t="array" ref="P24">SUMPRODUCT(--(MOD(B24:G24,2)=1))</f>
        <v>2</v>
      </c>
      <c r="Q24" s="3">
        <f>6-P24</f>
        <v>4</v>
      </c>
      <c r="R24" s="34"/>
      <c r="S24" s="3">
        <f>COUNTIFS(B24:G24,"&gt;=1",B24:G24,"&lt;=23")</f>
        <v>2</v>
      </c>
      <c r="T24" s="3">
        <f>6-S24</f>
        <v>4</v>
      </c>
      <c r="U24" s="34"/>
      <c r="V24" s="3" cm="1">
        <f t="array" ref="V24">SUMPRODUCT(--(MOD(B24:G24,10)&gt;=1), --(MOD(B24:G24,10)&lt;=5))</f>
        <v>1</v>
      </c>
      <c r="W24" s="3">
        <f>6-V24</f>
        <v>5</v>
      </c>
      <c r="X24" s="34"/>
      <c r="Y24" s="3" cm="1">
        <f t="array" ref="Y24">IFERROR(COUNT(_xlfn._xlws.FILTER(B24:G24, ISNUMBER(MATCH(B24:G24, {2,3,5,7,11,13,17,19,23,29,31,37,41,43}, 0)))), 0)</f>
        <v>1</v>
      </c>
      <c r="Z24" s="3" cm="1">
        <f t="array" ref="Z24">IFERROR(COUNT(_xlfn._xlws.FILTER(B24:G24, ISNUMBER(MATCH(B24:G24, {1,4,8,10,14,16,20,22,25,26,28,32,34,35,38,40,44}, 0)))), 0)</f>
        <v>3</v>
      </c>
      <c r="AA24" s="3" cm="1">
        <f t="array" ref="AA24">IFERROR(COUNT(_xlfn._xlws.FILTER(B24:G24, ISNUMBER(MATCH(B24:G24, {6,9,12,15,18,21,24,27,30,33,36,39,42,45}, 0)))), 0)</f>
        <v>2</v>
      </c>
      <c r="AB24" s="30"/>
      <c r="AC24" s="26"/>
      <c r="AD24" s="26"/>
      <c r="AE24" s="26"/>
      <c r="AF24" s="26"/>
      <c r="AG24" s="26"/>
      <c r="AH24" s="26"/>
      <c r="AI24" s="30"/>
      <c r="AJ24" s="3">
        <f>COUNTIFS(B24:G24,"&gt;=1",B24:G24,"&lt;=14")</f>
        <v>1</v>
      </c>
      <c r="AK24" s="3">
        <f>COUNTIFS(B24:G24,"&gt;=15",B24:G24,"&lt;=31")</f>
        <v>1</v>
      </c>
      <c r="AL24" s="3">
        <f>6-AK24-AJ24</f>
        <v>4</v>
      </c>
      <c r="AM24" s="33"/>
      <c r="AN24" s="3">
        <f>COUNTIFS($B24:$G24, "&gt;=1",$B24:$G24, "&lt;=9")</f>
        <v>1</v>
      </c>
      <c r="AO24" s="3">
        <f>COUNTIFS($B24:$G24, "&gt;=10",$B24:$G24, "&lt;=18")</f>
        <v>1</v>
      </c>
      <c r="AP24" s="3">
        <f>COUNTIFS($B24:$G24, "&gt;=19",$B24:$G24, "&lt;=27")</f>
        <v>0</v>
      </c>
      <c r="AQ24" s="3">
        <f>COUNTIFS($B24:$G24, "&gt;=28",$B24:$G24, "&lt;=36")</f>
        <v>1</v>
      </c>
      <c r="AR24" s="3">
        <f>COUNTIFS($B24:$G24, "&gt;=37",$B24:$G24, "&lt;=45")</f>
        <v>3</v>
      </c>
      <c r="AS24" s="28" t="e">
        <f>#REF!</f>
        <v>#REF!</v>
      </c>
      <c r="AT24" s="28" t="e">
        <f>#REF!*2</f>
        <v>#REF!</v>
      </c>
      <c r="AU24" s="28" t="e">
        <f>#REF!</f>
        <v>#REF!</v>
      </c>
      <c r="AV24" s="28" t="e">
        <f>#REF!*2</f>
        <v>#REF!</v>
      </c>
      <c r="AW24" s="28" t="e">
        <f>#REF!</f>
        <v>#REF!</v>
      </c>
      <c r="AX24" s="28" t="e">
        <f>#REF!*2</f>
        <v>#REF!</v>
      </c>
      <c r="AY24" s="28" t="e">
        <f>#REF!</f>
        <v>#REF!</v>
      </c>
      <c r="AZ24" s="28" t="e">
        <f>#REF!*2</f>
        <v>#REF!</v>
      </c>
      <c r="BA24" s="28" t="e">
        <f>#REF!</f>
        <v>#REF!</v>
      </c>
      <c r="BB24" s="28" t="e">
        <f>#REF!*2</f>
        <v>#REF!</v>
      </c>
      <c r="BC24" s="28" t="e">
        <f>#REF!</f>
        <v>#REF!</v>
      </c>
      <c r="BD24" s="28" t="e">
        <f>#REF!*2</f>
        <v>#REF!</v>
      </c>
      <c r="BE24" s="9" t="e">
        <f>#REF!-#REF!</f>
        <v>#REF!</v>
      </c>
      <c r="BF24" s="9" t="e">
        <f>#REF!-#REF!</f>
        <v>#REF!</v>
      </c>
      <c r="BG24" s="9" t="e">
        <f>#REF!-#REF!</f>
        <v>#REF!</v>
      </c>
      <c r="BH24" s="9" t="e">
        <f>#REF!-#REF!</f>
        <v>#REF!</v>
      </c>
      <c r="BI24" s="9" t="e">
        <f>#REF!-#REF!</f>
        <v>#REF!</v>
      </c>
      <c r="BJ24" s="33"/>
      <c r="BK24" s="3">
        <f>COUNTIFS(B24:G24, "&gt;=1", B24:G24, "&lt;=9")</f>
        <v>1</v>
      </c>
      <c r="BL24" s="3">
        <f>COUNTIFS(B24:G24, "&gt;=10", B24:G24, "&lt;=19")</f>
        <v>1</v>
      </c>
      <c r="BM24" s="3">
        <f>COUNTIFS(B24:G24, "&gt;=20", B24:G24, "&lt;=29")</f>
        <v>0</v>
      </c>
      <c r="BN24" s="3">
        <f>COUNTIFS(B24:G24, "&gt;=30", B24:G24, "&lt;=39")</f>
        <v>3</v>
      </c>
      <c r="BO24" s="3">
        <f>COUNTIFS(B24:G24, "&gt;=40", B24:G24, "&lt;=45")</f>
        <v>1</v>
      </c>
      <c r="BP24" s="28" t="e">
        <f>#REF!</f>
        <v>#REF!</v>
      </c>
      <c r="BQ24" s="28" t="e">
        <f>#REF!*2</f>
        <v>#REF!</v>
      </c>
      <c r="BR24" s="28" t="e">
        <f>#REF!</f>
        <v>#REF!</v>
      </c>
      <c r="BS24" s="28" t="e">
        <f>#REF!*2</f>
        <v>#REF!</v>
      </c>
      <c r="BT24" s="28" t="e">
        <f>#REF!</f>
        <v>#REF!</v>
      </c>
      <c r="BU24" s="28" t="e">
        <f>#REF!*2</f>
        <v>#REF!</v>
      </c>
      <c r="BV24" s="28" t="e">
        <f>#REF!</f>
        <v>#REF!</v>
      </c>
      <c r="BW24" s="28" t="e">
        <f>#REF!*2</f>
        <v>#REF!</v>
      </c>
      <c r="BX24" s="28" t="e">
        <f>#REF!</f>
        <v>#REF!</v>
      </c>
      <c r="BY24" s="28" t="e">
        <f>#REF!*2</f>
        <v>#REF!</v>
      </c>
      <c r="BZ24" s="28" t="e">
        <f>#REF!</f>
        <v>#REF!</v>
      </c>
      <c r="CA24" s="28" t="e">
        <f>#REF!*2</f>
        <v>#REF!</v>
      </c>
      <c r="CB24" s="9">
        <f>C24-B24</f>
        <v>10</v>
      </c>
      <c r="CC24" s="9">
        <f>D24-C24</f>
        <v>18</v>
      </c>
      <c r="CD24" s="9">
        <f>E24-D24</f>
        <v>3</v>
      </c>
      <c r="CE24" s="9">
        <f>F24-E24</f>
        <v>2</v>
      </c>
      <c r="CF24" s="9">
        <f>G24-F24</f>
        <v>1</v>
      </c>
      <c r="CG24" s="33"/>
      <c r="CH24" s="9">
        <f>C24-B24</f>
        <v>10</v>
      </c>
      <c r="CI24" s="9">
        <f>D24-C24</f>
        <v>18</v>
      </c>
      <c r="CJ24" s="9">
        <f>E24-D24</f>
        <v>3</v>
      </c>
      <c r="CK24" s="9">
        <f>F24-E24</f>
        <v>2</v>
      </c>
      <c r="CL24" s="9">
        <f>G24-F24</f>
        <v>1</v>
      </c>
      <c r="CM24" s="32"/>
      <c r="CN24" s="3">
        <f>IF(OR(CH24="",ISBLANK(CH24),CH24=0),0,IF(MOD(CH24,2)=1,1,2))</f>
        <v>2</v>
      </c>
      <c r="CO24" s="3">
        <f>IF(OR(CI24="",ISBLANK(CI24),CI24=0),0,IF(MOD(CI24,2)=1,1,2))</f>
        <v>2</v>
      </c>
      <c r="CP24" s="3">
        <f>IF(OR(CJ24="",ISBLANK(CJ24),CJ24=0),0,IF(MOD(CJ24,2)=1,1,2))</f>
        <v>1</v>
      </c>
      <c r="CQ24" s="3">
        <f>IF(OR(CK24="",ISBLANK(CK24),CK24=0),0,IF(MOD(CK24,2)=1,1,2))</f>
        <v>2</v>
      </c>
      <c r="CR24" s="3">
        <f>IF(OR(CL24="",ISBLANK(CL24),CL24=0),0,IF(MOD(CL24,2)=1,1,2))</f>
        <v>1</v>
      </c>
      <c r="CS24" s="31"/>
      <c r="CT24" s="3" cm="1">
        <f t="array" ref="CT24">SUMPRODUCT(--(MOD(CH24:CL24,2)=1))</f>
        <v>2</v>
      </c>
      <c r="CU24" s="3">
        <f>5-CT24</f>
        <v>3</v>
      </c>
      <c r="CV24" s="30"/>
      <c r="CW24" s="3" cm="1">
        <f t="array" ref="CW24">SUMPRODUCT(--(MOD(CH24:CL24,10)&gt;=1), --(MOD(CH24:CL24,10)&lt;=5))</f>
        <v>3</v>
      </c>
      <c r="CX24" s="3">
        <f>5-CW24</f>
        <v>2</v>
      </c>
      <c r="CY24" s="30"/>
      <c r="CZ24" s="3" cm="1">
        <f t="array" ref="CZ24">IFERROR(COUNT(_xlfn._xlws.FILTER(CH24:CL24, ISNUMBER(MATCH(CH24:CL24, {2,3,5,7,11,13,17,19,23,29,31,37,41,43}, 0)))), 0)</f>
        <v>2</v>
      </c>
      <c r="DA24" s="3" cm="1">
        <f t="array" ref="DA24">IFERROR(COUNT(_xlfn._xlws.FILTER(CH24:CL24, ISNUMBER(MATCH(CH24:CL24, {1,4,8,10,14,16,20,22,25,26,28,32,34,35,38,40,44}, 0)))), 0)</f>
        <v>2</v>
      </c>
      <c r="DB24" s="3" cm="1">
        <f t="array" ref="DB24">IFERROR(COUNT(_xlfn._xlws.FILTER(CH24:CL24, ISNUMBER(MATCH(CH24:CL24, {6,9,12,15,18,21,24,27,30,33,36,39,42,45}, 0)))), 0)</f>
        <v>1</v>
      </c>
      <c r="DC24" s="29"/>
      <c r="DD24" s="28" t="e">
        <f>#REF!</f>
        <v>#REF!</v>
      </c>
      <c r="DE24" s="28" t="e">
        <f>#REF!*2</f>
        <v>#REF!</v>
      </c>
      <c r="DF24" s="28" t="e">
        <f>#REF!</f>
        <v>#REF!</v>
      </c>
      <c r="DG24" s="28" t="e">
        <f>#REF!*2</f>
        <v>#REF!</v>
      </c>
      <c r="DH24" s="28" t="e">
        <f>#REF!</f>
        <v>#REF!</v>
      </c>
      <c r="DI24" s="28" t="e">
        <f>#REF!*2</f>
        <v>#REF!</v>
      </c>
      <c r="DJ24" s="28" t="e">
        <f>#REF!</f>
        <v>#REF!</v>
      </c>
      <c r="DK24" s="28" t="e">
        <f>#REF!*2</f>
        <v>#REF!</v>
      </c>
      <c r="DL24" s="28" t="e">
        <f>#REF!</f>
        <v>#REF!</v>
      </c>
      <c r="DM24" s="28" t="e">
        <f>#REF!*2</f>
        <v>#REF!</v>
      </c>
      <c r="DN24" s="27"/>
      <c r="DO24" s="26"/>
      <c r="DP24" s="26"/>
      <c r="DQ24" s="26"/>
      <c r="DR24" s="26"/>
      <c r="DS24" s="26"/>
      <c r="DT24" s="25"/>
    </row>
    <row r="25" spans="2:124" x14ac:dyDescent="0.3">
      <c r="B25" s="3">
        <v>1</v>
      </c>
      <c r="C25" s="3">
        <v>3</v>
      </c>
      <c r="D25" s="3">
        <v>4</v>
      </c>
      <c r="E25" s="3">
        <v>29</v>
      </c>
      <c r="F25" s="3">
        <v>42</v>
      </c>
      <c r="G25" s="3">
        <v>45</v>
      </c>
      <c r="H25" s="32"/>
      <c r="I25" s="3">
        <f>IF(OR(B25="",ISBLANK(B25),B25=0),0,IF(MOD(B25,2)=1,1,2))</f>
        <v>1</v>
      </c>
      <c r="J25" s="3">
        <f>IF(OR(C25="",ISBLANK(C25),C25=0),0,IF(MOD(C25,2)=1,1,2))</f>
        <v>1</v>
      </c>
      <c r="K25" s="3">
        <f>IF(OR(D25="",ISBLANK(D25),D25=0),0,IF(MOD(D25,2)=1,1,2))</f>
        <v>2</v>
      </c>
      <c r="L25" s="3">
        <f>IF(OR(E25="",ISBLANK(E25),E25=0),0,IF(MOD(E25,2)=1,1,2))</f>
        <v>1</v>
      </c>
      <c r="M25" s="3">
        <f>IF(OR(F25="",ISBLANK(F25),F25=0),0,IF(MOD(F25,2)=1,1,2))</f>
        <v>2</v>
      </c>
      <c r="N25" s="3">
        <f>IF(OR(G25="",ISBLANK(G25),G25=0),0,IF(MOD(G25,2)=1,1,2))</f>
        <v>1</v>
      </c>
      <c r="O25" s="32"/>
      <c r="P25" s="3" cm="1">
        <f t="array" ref="P25">SUMPRODUCT(--(MOD(B25:G25,2)=1))</f>
        <v>4</v>
      </c>
      <c r="Q25" s="3">
        <f>6-P25</f>
        <v>2</v>
      </c>
      <c r="R25" s="34"/>
      <c r="S25" s="3">
        <f>COUNTIFS(B25:G25,"&gt;=1",B25:G25,"&lt;=23")</f>
        <v>3</v>
      </c>
      <c r="T25" s="3">
        <f>6-S25</f>
        <v>3</v>
      </c>
      <c r="U25" s="34"/>
      <c r="V25" s="3" cm="1">
        <f t="array" ref="V25">SUMPRODUCT(--(MOD(B25:G25,10)&gt;=1), --(MOD(B25:G25,10)&lt;=5))</f>
        <v>5</v>
      </c>
      <c r="W25" s="3">
        <f>6-V25</f>
        <v>1</v>
      </c>
      <c r="X25" s="34"/>
      <c r="Y25" s="3" cm="1">
        <f t="array" ref="Y25">IFERROR(COUNT(_xlfn._xlws.FILTER(B25:G25, ISNUMBER(MATCH(B25:G25, {2,3,5,7,11,13,17,19,23,29,31,37,41,43}, 0)))), 0)</f>
        <v>2</v>
      </c>
      <c r="Z25" s="3" cm="1">
        <f t="array" ref="Z25">IFERROR(COUNT(_xlfn._xlws.FILTER(B25:G25, ISNUMBER(MATCH(B25:G25, {1,4,8,10,14,16,20,22,25,26,28,32,34,35,38,40,44}, 0)))), 0)</f>
        <v>2</v>
      </c>
      <c r="AA25" s="3" cm="1">
        <f t="array" ref="AA25">IFERROR(COUNT(_xlfn._xlws.FILTER(B25:G25, ISNUMBER(MATCH(B25:G25, {6,9,12,15,18,21,24,27,30,33,36,39,42,45}, 0)))), 0)</f>
        <v>2</v>
      </c>
      <c r="AB25" s="30"/>
      <c r="AC25" s="26"/>
      <c r="AD25" s="26"/>
      <c r="AE25" s="26"/>
      <c r="AF25" s="26"/>
      <c r="AG25" s="26"/>
      <c r="AH25" s="26"/>
      <c r="AI25" s="30"/>
      <c r="AJ25" s="3">
        <f>COUNTIFS(B25:G25,"&gt;=1",B25:G25,"&lt;=14")</f>
        <v>3</v>
      </c>
      <c r="AK25" s="3">
        <f>COUNTIFS(B25:G25,"&gt;=15",B25:G25,"&lt;=31")</f>
        <v>1</v>
      </c>
      <c r="AL25" s="3">
        <f>6-AK25-AJ25</f>
        <v>2</v>
      </c>
      <c r="AM25" s="33"/>
      <c r="AN25" s="3">
        <f>COUNTIFS($B25:$G25, "&gt;=1",$B25:$G25, "&lt;=9")</f>
        <v>3</v>
      </c>
      <c r="AO25" s="3">
        <f>COUNTIFS($B25:$G25, "&gt;=10",$B25:$G25, "&lt;=18")</f>
        <v>0</v>
      </c>
      <c r="AP25" s="3">
        <f>COUNTIFS($B25:$G25, "&gt;=19",$B25:$G25, "&lt;=27")</f>
        <v>0</v>
      </c>
      <c r="AQ25" s="3">
        <f>COUNTIFS($B25:$G25, "&gt;=28",$B25:$G25, "&lt;=36")</f>
        <v>1</v>
      </c>
      <c r="AR25" s="3">
        <f>COUNTIFS($B25:$G25, "&gt;=37",$B25:$G25, "&lt;=45")</f>
        <v>2</v>
      </c>
      <c r="AS25" s="28" t="e">
        <f>#REF!</f>
        <v>#REF!</v>
      </c>
      <c r="AT25" s="28" t="e">
        <f>#REF!*2</f>
        <v>#REF!</v>
      </c>
      <c r="AU25" s="28" t="e">
        <f>#REF!</f>
        <v>#REF!</v>
      </c>
      <c r="AV25" s="28" t="e">
        <f>#REF!*2</f>
        <v>#REF!</v>
      </c>
      <c r="AW25" s="28" t="e">
        <f>#REF!</f>
        <v>#REF!</v>
      </c>
      <c r="AX25" s="28" t="e">
        <f>#REF!*2</f>
        <v>#REF!</v>
      </c>
      <c r="AY25" s="28" t="e">
        <f>#REF!</f>
        <v>#REF!</v>
      </c>
      <c r="AZ25" s="28" t="e">
        <f>#REF!*2</f>
        <v>#REF!</v>
      </c>
      <c r="BA25" s="28" t="e">
        <f>#REF!</f>
        <v>#REF!</v>
      </c>
      <c r="BB25" s="28" t="e">
        <f>#REF!*2</f>
        <v>#REF!</v>
      </c>
      <c r="BC25" s="28" t="e">
        <f>#REF!</f>
        <v>#REF!</v>
      </c>
      <c r="BD25" s="28" t="e">
        <f>#REF!*2</f>
        <v>#REF!</v>
      </c>
      <c r="BE25" s="9" t="e">
        <f>#REF!-#REF!</f>
        <v>#REF!</v>
      </c>
      <c r="BF25" s="9" t="e">
        <f>#REF!-#REF!</f>
        <v>#REF!</v>
      </c>
      <c r="BG25" s="9" t="e">
        <f>#REF!-#REF!</f>
        <v>#REF!</v>
      </c>
      <c r="BH25" s="9" t="e">
        <f>#REF!-#REF!</f>
        <v>#REF!</v>
      </c>
      <c r="BI25" s="9" t="e">
        <f>#REF!-#REF!</f>
        <v>#REF!</v>
      </c>
      <c r="BJ25" s="33"/>
      <c r="BK25" s="3">
        <f>COUNTIFS(B25:G25, "&gt;=1", B25:G25, "&lt;=9")</f>
        <v>3</v>
      </c>
      <c r="BL25" s="3">
        <f>COUNTIFS(B25:G25, "&gt;=10", B25:G25, "&lt;=19")</f>
        <v>0</v>
      </c>
      <c r="BM25" s="3">
        <f>COUNTIFS(B25:G25, "&gt;=20", B25:G25, "&lt;=29")</f>
        <v>1</v>
      </c>
      <c r="BN25" s="3">
        <f>COUNTIFS(B25:G25, "&gt;=30", B25:G25, "&lt;=39")</f>
        <v>0</v>
      </c>
      <c r="BO25" s="3">
        <f>COUNTIFS(B25:G25, "&gt;=40", B25:G25, "&lt;=45")</f>
        <v>2</v>
      </c>
      <c r="BP25" s="28" t="e">
        <f>#REF!</f>
        <v>#REF!</v>
      </c>
      <c r="BQ25" s="28" t="e">
        <f>#REF!*2</f>
        <v>#REF!</v>
      </c>
      <c r="BR25" s="28" t="e">
        <f>#REF!</f>
        <v>#REF!</v>
      </c>
      <c r="BS25" s="28" t="e">
        <f>#REF!*2</f>
        <v>#REF!</v>
      </c>
      <c r="BT25" s="28" t="e">
        <f>#REF!</f>
        <v>#REF!</v>
      </c>
      <c r="BU25" s="28" t="e">
        <f>#REF!*2</f>
        <v>#REF!</v>
      </c>
      <c r="BV25" s="28" t="e">
        <f>#REF!</f>
        <v>#REF!</v>
      </c>
      <c r="BW25" s="28" t="e">
        <f>#REF!*2</f>
        <v>#REF!</v>
      </c>
      <c r="BX25" s="28" t="e">
        <f>#REF!</f>
        <v>#REF!</v>
      </c>
      <c r="BY25" s="28" t="e">
        <f>#REF!*2</f>
        <v>#REF!</v>
      </c>
      <c r="BZ25" s="28" t="e">
        <f>#REF!</f>
        <v>#REF!</v>
      </c>
      <c r="CA25" s="28" t="e">
        <f>#REF!*2</f>
        <v>#REF!</v>
      </c>
      <c r="CB25" s="9">
        <f>C25-B25</f>
        <v>2</v>
      </c>
      <c r="CC25" s="9">
        <f>D25-C25</f>
        <v>1</v>
      </c>
      <c r="CD25" s="9">
        <f>E25-D25</f>
        <v>25</v>
      </c>
      <c r="CE25" s="9">
        <f>F25-E25</f>
        <v>13</v>
      </c>
      <c r="CF25" s="9">
        <f>G25-F25</f>
        <v>3</v>
      </c>
      <c r="CG25" s="33"/>
      <c r="CH25" s="9">
        <f>C25-B25</f>
        <v>2</v>
      </c>
      <c r="CI25" s="9">
        <f>D25-C25</f>
        <v>1</v>
      </c>
      <c r="CJ25" s="9">
        <f>E25-D25</f>
        <v>25</v>
      </c>
      <c r="CK25" s="9">
        <f>F25-E25</f>
        <v>13</v>
      </c>
      <c r="CL25" s="9">
        <f>G25-F25</f>
        <v>3</v>
      </c>
      <c r="CM25" s="32"/>
      <c r="CN25" s="3">
        <f>IF(OR(CH25="",ISBLANK(CH25),CH25=0),0,IF(MOD(CH25,2)=1,1,2))</f>
        <v>2</v>
      </c>
      <c r="CO25" s="3">
        <f>IF(OR(CI25="",ISBLANK(CI25),CI25=0),0,IF(MOD(CI25,2)=1,1,2))</f>
        <v>1</v>
      </c>
      <c r="CP25" s="3">
        <f>IF(OR(CJ25="",ISBLANK(CJ25),CJ25=0),0,IF(MOD(CJ25,2)=1,1,2))</f>
        <v>1</v>
      </c>
      <c r="CQ25" s="3">
        <f>IF(OR(CK25="",ISBLANK(CK25),CK25=0),0,IF(MOD(CK25,2)=1,1,2))</f>
        <v>1</v>
      </c>
      <c r="CR25" s="3">
        <f>IF(OR(CL25="",ISBLANK(CL25),CL25=0),0,IF(MOD(CL25,2)=1,1,2))</f>
        <v>1</v>
      </c>
      <c r="CS25" s="31"/>
      <c r="CT25" s="3" cm="1">
        <f t="array" ref="CT25">SUMPRODUCT(--(MOD(CH25:CL25,2)=1))</f>
        <v>4</v>
      </c>
      <c r="CU25" s="3">
        <f>5-CT25</f>
        <v>1</v>
      </c>
      <c r="CV25" s="30"/>
      <c r="CW25" s="3" cm="1">
        <f t="array" ref="CW25">SUMPRODUCT(--(MOD(CH25:CL25,10)&gt;=1), --(MOD(CH25:CL25,10)&lt;=5))</f>
        <v>5</v>
      </c>
      <c r="CX25" s="3">
        <f>5-CW25</f>
        <v>0</v>
      </c>
      <c r="CY25" s="30"/>
      <c r="CZ25" s="3" cm="1">
        <f t="array" ref="CZ25">IFERROR(COUNT(_xlfn._xlws.FILTER(CH25:CL25, ISNUMBER(MATCH(CH25:CL25, {2,3,5,7,11,13,17,19,23,29,31,37,41,43}, 0)))), 0)</f>
        <v>3</v>
      </c>
      <c r="DA25" s="3" cm="1">
        <f t="array" ref="DA25">IFERROR(COUNT(_xlfn._xlws.FILTER(CH25:CL25, ISNUMBER(MATCH(CH25:CL25, {1,4,8,10,14,16,20,22,25,26,28,32,34,35,38,40,44}, 0)))), 0)</f>
        <v>2</v>
      </c>
      <c r="DB25" s="3" cm="1">
        <f t="array" ref="DB25">IFERROR(COUNT(_xlfn._xlws.FILTER(CH25:CL25, ISNUMBER(MATCH(CH25:CL25, {6,9,12,15,18,21,24,27,30,33,36,39,42,45}, 0)))), 0)</f>
        <v>0</v>
      </c>
      <c r="DC25" s="29"/>
      <c r="DD25" s="28" t="e">
        <f>#REF!</f>
        <v>#REF!</v>
      </c>
      <c r="DE25" s="28" t="e">
        <f>#REF!*2</f>
        <v>#REF!</v>
      </c>
      <c r="DF25" s="28" t="e">
        <f>#REF!</f>
        <v>#REF!</v>
      </c>
      <c r="DG25" s="28" t="e">
        <f>#REF!*2</f>
        <v>#REF!</v>
      </c>
      <c r="DH25" s="28" t="e">
        <f>#REF!</f>
        <v>#REF!</v>
      </c>
      <c r="DI25" s="28" t="e">
        <f>#REF!*2</f>
        <v>#REF!</v>
      </c>
      <c r="DJ25" s="28" t="e">
        <f>#REF!</f>
        <v>#REF!</v>
      </c>
      <c r="DK25" s="28" t="e">
        <f>#REF!*2</f>
        <v>#REF!</v>
      </c>
      <c r="DL25" s="28" t="e">
        <f>#REF!</f>
        <v>#REF!</v>
      </c>
      <c r="DM25" s="28" t="e">
        <f>#REF!*2</f>
        <v>#REF!</v>
      </c>
      <c r="DN25" s="27"/>
      <c r="DO25" s="26"/>
      <c r="DP25" s="26"/>
      <c r="DQ25" s="26"/>
      <c r="DR25" s="26"/>
      <c r="DS25" s="26"/>
      <c r="DT25" s="25"/>
    </row>
    <row r="26" spans="2:124" x14ac:dyDescent="0.3">
      <c r="B26" s="3">
        <v>6</v>
      </c>
      <c r="C26" s="3">
        <v>14</v>
      </c>
      <c r="D26" s="3">
        <v>30</v>
      </c>
      <c r="E26" s="3">
        <v>31</v>
      </c>
      <c r="F26" s="3">
        <v>40</v>
      </c>
      <c r="G26" s="3">
        <v>41</v>
      </c>
      <c r="H26" s="32"/>
      <c r="I26" s="3">
        <f>IF(OR(B26="",ISBLANK(B26),B26=0),0,IF(MOD(B26,2)=1,1,2))</f>
        <v>2</v>
      </c>
      <c r="J26" s="3">
        <f>IF(OR(C26="",ISBLANK(C26),C26=0),0,IF(MOD(C26,2)=1,1,2))</f>
        <v>2</v>
      </c>
      <c r="K26" s="3">
        <f>IF(OR(D26="",ISBLANK(D26),D26=0),0,IF(MOD(D26,2)=1,1,2))</f>
        <v>2</v>
      </c>
      <c r="L26" s="3">
        <f>IF(OR(E26="",ISBLANK(E26),E26=0),0,IF(MOD(E26,2)=1,1,2))</f>
        <v>1</v>
      </c>
      <c r="M26" s="3">
        <f>IF(OR(F26="",ISBLANK(F26),F26=0),0,IF(MOD(F26,2)=1,1,2))</f>
        <v>2</v>
      </c>
      <c r="N26" s="3">
        <f>IF(OR(G26="",ISBLANK(G26),G26=0),0,IF(MOD(G26,2)=1,1,2))</f>
        <v>1</v>
      </c>
      <c r="O26" s="32"/>
      <c r="P26" s="3" cm="1">
        <f t="array" ref="P26">SUMPRODUCT(--(MOD(B26:G26,2)=1))</f>
        <v>2</v>
      </c>
      <c r="Q26" s="3">
        <f>6-P26</f>
        <v>4</v>
      </c>
      <c r="R26" s="34"/>
      <c r="S26" s="3">
        <f>COUNTIFS(B26:G26,"&gt;=1",B26:G26,"&lt;=23")</f>
        <v>2</v>
      </c>
      <c r="T26" s="3">
        <f>6-S26</f>
        <v>4</v>
      </c>
      <c r="U26" s="34"/>
      <c r="V26" s="3" cm="1">
        <f t="array" ref="V26">SUMPRODUCT(--(MOD(B26:G26,10)&gt;=1), --(MOD(B26:G26,10)&lt;=5))</f>
        <v>3</v>
      </c>
      <c r="W26" s="3">
        <f>6-V26</f>
        <v>3</v>
      </c>
      <c r="X26" s="34"/>
      <c r="Y26" s="3" cm="1">
        <f t="array" ref="Y26">IFERROR(COUNT(_xlfn._xlws.FILTER(B26:G26, ISNUMBER(MATCH(B26:G26, {2,3,5,7,11,13,17,19,23,29,31,37,41,43}, 0)))), 0)</f>
        <v>2</v>
      </c>
      <c r="Z26" s="3" cm="1">
        <f t="array" ref="Z26">IFERROR(COUNT(_xlfn._xlws.FILTER(B26:G26, ISNUMBER(MATCH(B26:G26, {1,4,8,10,14,16,20,22,25,26,28,32,34,35,38,40,44}, 0)))), 0)</f>
        <v>2</v>
      </c>
      <c r="AA26" s="3" cm="1">
        <f t="array" ref="AA26">IFERROR(COUNT(_xlfn._xlws.FILTER(B26:G26, ISNUMBER(MATCH(B26:G26, {6,9,12,15,18,21,24,27,30,33,36,39,42,45}, 0)))), 0)</f>
        <v>2</v>
      </c>
      <c r="AB26" s="30"/>
      <c r="AC26" s="26"/>
      <c r="AD26" s="26"/>
      <c r="AE26" s="26"/>
      <c r="AF26" s="26"/>
      <c r="AG26" s="26"/>
      <c r="AH26" s="26"/>
      <c r="AI26" s="30"/>
      <c r="AJ26" s="3">
        <f>COUNTIFS(B26:G26,"&gt;=1",B26:G26,"&lt;=14")</f>
        <v>2</v>
      </c>
      <c r="AK26" s="3">
        <f>COUNTIFS(B26:G26,"&gt;=15",B26:G26,"&lt;=31")</f>
        <v>2</v>
      </c>
      <c r="AL26" s="3">
        <f>6-AK26-AJ26</f>
        <v>2</v>
      </c>
      <c r="AM26" s="33"/>
      <c r="AN26" s="3">
        <f>COUNTIFS($B26:$G26, "&gt;=1",$B26:$G26, "&lt;=9")</f>
        <v>1</v>
      </c>
      <c r="AO26" s="3">
        <f>COUNTIFS($B26:$G26, "&gt;=10",$B26:$G26, "&lt;=18")</f>
        <v>1</v>
      </c>
      <c r="AP26" s="3">
        <f>COUNTIFS($B26:$G26, "&gt;=19",$B26:$G26, "&lt;=27")</f>
        <v>0</v>
      </c>
      <c r="AQ26" s="3">
        <f>COUNTIFS($B26:$G26, "&gt;=28",$B26:$G26, "&lt;=36")</f>
        <v>2</v>
      </c>
      <c r="AR26" s="3">
        <f>COUNTIFS($B26:$G26, "&gt;=37",$B26:$G26, "&lt;=45")</f>
        <v>2</v>
      </c>
      <c r="AS26" s="28" t="e">
        <f>#REF!</f>
        <v>#REF!</v>
      </c>
      <c r="AT26" s="28" t="e">
        <f>#REF!*2</f>
        <v>#REF!</v>
      </c>
      <c r="AU26" s="28" t="e">
        <f>#REF!</f>
        <v>#REF!</v>
      </c>
      <c r="AV26" s="28" t="e">
        <f>#REF!*2</f>
        <v>#REF!</v>
      </c>
      <c r="AW26" s="28" t="e">
        <f>#REF!</f>
        <v>#REF!</v>
      </c>
      <c r="AX26" s="28" t="e">
        <f>#REF!*2</f>
        <v>#REF!</v>
      </c>
      <c r="AY26" s="28" t="e">
        <f>#REF!</f>
        <v>#REF!</v>
      </c>
      <c r="AZ26" s="28" t="e">
        <f>#REF!*2</f>
        <v>#REF!</v>
      </c>
      <c r="BA26" s="28" t="e">
        <f>#REF!</f>
        <v>#REF!</v>
      </c>
      <c r="BB26" s="28" t="e">
        <f>#REF!*2</f>
        <v>#REF!</v>
      </c>
      <c r="BC26" s="28" t="e">
        <f>#REF!</f>
        <v>#REF!</v>
      </c>
      <c r="BD26" s="28" t="e">
        <f>#REF!*2</f>
        <v>#REF!</v>
      </c>
      <c r="BE26" s="9" t="e">
        <f>#REF!-#REF!</f>
        <v>#REF!</v>
      </c>
      <c r="BF26" s="9" t="e">
        <f>#REF!-#REF!</f>
        <v>#REF!</v>
      </c>
      <c r="BG26" s="9" t="e">
        <f>#REF!-#REF!</f>
        <v>#REF!</v>
      </c>
      <c r="BH26" s="9" t="e">
        <f>#REF!-#REF!</f>
        <v>#REF!</v>
      </c>
      <c r="BI26" s="9" t="e">
        <f>#REF!-#REF!</f>
        <v>#REF!</v>
      </c>
      <c r="BJ26" s="33"/>
      <c r="BK26" s="3">
        <f>COUNTIFS(B26:G26, "&gt;=1", B26:G26, "&lt;=9")</f>
        <v>1</v>
      </c>
      <c r="BL26" s="3">
        <f>COUNTIFS(B26:G26, "&gt;=10", B26:G26, "&lt;=19")</f>
        <v>1</v>
      </c>
      <c r="BM26" s="3">
        <f>COUNTIFS(B26:G26, "&gt;=20", B26:G26, "&lt;=29")</f>
        <v>0</v>
      </c>
      <c r="BN26" s="3">
        <f>COUNTIFS(B26:G26, "&gt;=30", B26:G26, "&lt;=39")</f>
        <v>2</v>
      </c>
      <c r="BO26" s="3">
        <f>COUNTIFS(B26:G26, "&gt;=40", B26:G26, "&lt;=45")</f>
        <v>2</v>
      </c>
      <c r="BP26" s="28" t="e">
        <f>#REF!</f>
        <v>#REF!</v>
      </c>
      <c r="BQ26" s="28" t="e">
        <f>#REF!*2</f>
        <v>#REF!</v>
      </c>
      <c r="BR26" s="28" t="e">
        <f>#REF!</f>
        <v>#REF!</v>
      </c>
      <c r="BS26" s="28" t="e">
        <f>#REF!*2</f>
        <v>#REF!</v>
      </c>
      <c r="BT26" s="28" t="e">
        <f>#REF!</f>
        <v>#REF!</v>
      </c>
      <c r="BU26" s="28" t="e">
        <f>#REF!*2</f>
        <v>#REF!</v>
      </c>
      <c r="BV26" s="28" t="e">
        <f>#REF!</f>
        <v>#REF!</v>
      </c>
      <c r="BW26" s="28" t="e">
        <f>#REF!*2</f>
        <v>#REF!</v>
      </c>
      <c r="BX26" s="28" t="e">
        <f>#REF!</f>
        <v>#REF!</v>
      </c>
      <c r="BY26" s="28" t="e">
        <f>#REF!*2</f>
        <v>#REF!</v>
      </c>
      <c r="BZ26" s="28" t="e">
        <f>#REF!</f>
        <v>#REF!</v>
      </c>
      <c r="CA26" s="28" t="e">
        <f>#REF!*2</f>
        <v>#REF!</v>
      </c>
      <c r="CB26" s="9">
        <f>C26-B26</f>
        <v>8</v>
      </c>
      <c r="CC26" s="9">
        <f>D26-C26</f>
        <v>16</v>
      </c>
      <c r="CD26" s="9">
        <f>E26-D26</f>
        <v>1</v>
      </c>
      <c r="CE26" s="9">
        <f>F26-E26</f>
        <v>9</v>
      </c>
      <c r="CF26" s="9">
        <f>G26-F26</f>
        <v>1</v>
      </c>
      <c r="CG26" s="33"/>
      <c r="CH26" s="9">
        <f>C26-B26</f>
        <v>8</v>
      </c>
      <c r="CI26" s="9">
        <f>D26-C26</f>
        <v>16</v>
      </c>
      <c r="CJ26" s="9">
        <f>E26-D26</f>
        <v>1</v>
      </c>
      <c r="CK26" s="9">
        <f>F26-E26</f>
        <v>9</v>
      </c>
      <c r="CL26" s="9">
        <f>G26-F26</f>
        <v>1</v>
      </c>
      <c r="CM26" s="32"/>
      <c r="CN26" s="3">
        <f>IF(OR(CH26="",ISBLANK(CH26),CH26=0),0,IF(MOD(CH26,2)=1,1,2))</f>
        <v>2</v>
      </c>
      <c r="CO26" s="3">
        <f>IF(OR(CI26="",ISBLANK(CI26),CI26=0),0,IF(MOD(CI26,2)=1,1,2))</f>
        <v>2</v>
      </c>
      <c r="CP26" s="3">
        <f>IF(OR(CJ26="",ISBLANK(CJ26),CJ26=0),0,IF(MOD(CJ26,2)=1,1,2))</f>
        <v>1</v>
      </c>
      <c r="CQ26" s="3">
        <f>IF(OR(CK26="",ISBLANK(CK26),CK26=0),0,IF(MOD(CK26,2)=1,1,2))</f>
        <v>1</v>
      </c>
      <c r="CR26" s="3">
        <f>IF(OR(CL26="",ISBLANK(CL26),CL26=0),0,IF(MOD(CL26,2)=1,1,2))</f>
        <v>1</v>
      </c>
      <c r="CS26" s="31"/>
      <c r="CT26" s="3" cm="1">
        <f t="array" ref="CT26">SUMPRODUCT(--(MOD(CH26:CL26,2)=1))</f>
        <v>3</v>
      </c>
      <c r="CU26" s="3">
        <f>5-CT26</f>
        <v>2</v>
      </c>
      <c r="CV26" s="30"/>
      <c r="CW26" s="3" cm="1">
        <f t="array" ref="CW26">SUMPRODUCT(--(MOD(CH26:CL26,10)&gt;=1), --(MOD(CH26:CL26,10)&lt;=5))</f>
        <v>2</v>
      </c>
      <c r="CX26" s="3">
        <f>5-CW26</f>
        <v>3</v>
      </c>
      <c r="CY26" s="30"/>
      <c r="CZ26" s="3" cm="1">
        <f t="array" ref="CZ26">IFERROR(COUNT(_xlfn._xlws.FILTER(CH26:CL26, ISNUMBER(MATCH(CH26:CL26, {2,3,5,7,11,13,17,19,23,29,31,37,41,43}, 0)))), 0)</f>
        <v>0</v>
      </c>
      <c r="DA26" s="3" cm="1">
        <f t="array" ref="DA26">IFERROR(COUNT(_xlfn._xlws.FILTER(CH26:CL26, ISNUMBER(MATCH(CH26:CL26, {1,4,8,10,14,16,20,22,25,26,28,32,34,35,38,40,44}, 0)))), 0)</f>
        <v>4</v>
      </c>
      <c r="DB26" s="3" cm="1">
        <f t="array" ref="DB26">IFERROR(COUNT(_xlfn._xlws.FILTER(CH26:CL26, ISNUMBER(MATCH(CH26:CL26, {6,9,12,15,18,21,24,27,30,33,36,39,42,45}, 0)))), 0)</f>
        <v>1</v>
      </c>
      <c r="DC26" s="29"/>
      <c r="DD26" s="28" t="e">
        <f>#REF!</f>
        <v>#REF!</v>
      </c>
      <c r="DE26" s="28" t="e">
        <f>#REF!*2</f>
        <v>#REF!</v>
      </c>
      <c r="DF26" s="28" t="e">
        <f>#REF!</f>
        <v>#REF!</v>
      </c>
      <c r="DG26" s="28" t="e">
        <f>#REF!*2</f>
        <v>#REF!</v>
      </c>
      <c r="DH26" s="28" t="e">
        <f>#REF!</f>
        <v>#REF!</v>
      </c>
      <c r="DI26" s="28" t="e">
        <f>#REF!*2</f>
        <v>#REF!</v>
      </c>
      <c r="DJ26" s="28" t="e">
        <f>#REF!</f>
        <v>#REF!</v>
      </c>
      <c r="DK26" s="28" t="e">
        <f>#REF!*2</f>
        <v>#REF!</v>
      </c>
      <c r="DL26" s="28" t="e">
        <f>#REF!</f>
        <v>#REF!</v>
      </c>
      <c r="DM26" s="28" t="e">
        <f>#REF!*2</f>
        <v>#REF!</v>
      </c>
      <c r="DN26" s="27"/>
      <c r="DO26" s="26"/>
      <c r="DP26" s="26"/>
      <c r="DQ26" s="26"/>
      <c r="DR26" s="26"/>
      <c r="DS26" s="26"/>
      <c r="DT26" s="25"/>
    </row>
    <row r="27" spans="2:124" x14ac:dyDescent="0.3">
      <c r="B27" s="3">
        <v>7</v>
      </c>
      <c r="C27" s="3">
        <v>19</v>
      </c>
      <c r="D27" s="3">
        <v>26</v>
      </c>
      <c r="E27" s="3">
        <v>37</v>
      </c>
      <c r="F27" s="3">
        <v>39</v>
      </c>
      <c r="G27" s="3">
        <v>44</v>
      </c>
      <c r="H27" s="32"/>
      <c r="I27" s="3">
        <f>IF(OR(B27="",ISBLANK(B27),B27=0),0,IF(MOD(B27,2)=1,1,2))</f>
        <v>1</v>
      </c>
      <c r="J27" s="3">
        <f>IF(OR(C27="",ISBLANK(C27),C27=0),0,IF(MOD(C27,2)=1,1,2))</f>
        <v>1</v>
      </c>
      <c r="K27" s="3">
        <f>IF(OR(D27="",ISBLANK(D27),D27=0),0,IF(MOD(D27,2)=1,1,2))</f>
        <v>2</v>
      </c>
      <c r="L27" s="3">
        <f>IF(OR(E27="",ISBLANK(E27),E27=0),0,IF(MOD(E27,2)=1,1,2))</f>
        <v>1</v>
      </c>
      <c r="M27" s="3">
        <f>IF(OR(F27="",ISBLANK(F27),F27=0),0,IF(MOD(F27,2)=1,1,2))</f>
        <v>1</v>
      </c>
      <c r="N27" s="3">
        <f>IF(OR(G27="",ISBLANK(G27),G27=0),0,IF(MOD(G27,2)=1,1,2))</f>
        <v>2</v>
      </c>
      <c r="O27" s="32"/>
      <c r="P27" s="3" cm="1">
        <f t="array" ref="P27">SUMPRODUCT(--(MOD(B27:G27,2)=1))</f>
        <v>4</v>
      </c>
      <c r="Q27" s="3">
        <f>6-P27</f>
        <v>2</v>
      </c>
      <c r="R27" s="34"/>
      <c r="S27" s="3">
        <f>COUNTIFS(B27:G27,"&gt;=1",B27:G27,"&lt;=23")</f>
        <v>2</v>
      </c>
      <c r="T27" s="3">
        <f>6-S27</f>
        <v>4</v>
      </c>
      <c r="U27" s="34"/>
      <c r="V27" s="3" cm="1">
        <f t="array" ref="V27">SUMPRODUCT(--(MOD(B27:G27,10)&gt;=1), --(MOD(B27:G27,10)&lt;=5))</f>
        <v>1</v>
      </c>
      <c r="W27" s="3">
        <f>6-V27</f>
        <v>5</v>
      </c>
      <c r="X27" s="34"/>
      <c r="Y27" s="3" cm="1">
        <f t="array" ref="Y27">IFERROR(COUNT(_xlfn._xlws.FILTER(B27:G27, ISNUMBER(MATCH(B27:G27, {2,3,5,7,11,13,17,19,23,29,31,37,41,43}, 0)))), 0)</f>
        <v>3</v>
      </c>
      <c r="Z27" s="3" cm="1">
        <f t="array" ref="Z27">IFERROR(COUNT(_xlfn._xlws.FILTER(B27:G27, ISNUMBER(MATCH(B27:G27, {1,4,8,10,14,16,20,22,25,26,28,32,34,35,38,40,44}, 0)))), 0)</f>
        <v>2</v>
      </c>
      <c r="AA27" s="3" cm="1">
        <f t="array" ref="AA27">IFERROR(COUNT(_xlfn._xlws.FILTER(B27:G27, ISNUMBER(MATCH(B27:G27, {6,9,12,15,18,21,24,27,30,33,36,39,42,45}, 0)))), 0)</f>
        <v>1</v>
      </c>
      <c r="AB27" s="30"/>
      <c r="AC27" s="26"/>
      <c r="AD27" s="26"/>
      <c r="AE27" s="26"/>
      <c r="AF27" s="26"/>
      <c r="AG27" s="26"/>
      <c r="AH27" s="26"/>
      <c r="AI27" s="30"/>
      <c r="AJ27" s="3">
        <f>COUNTIFS(B27:G27,"&gt;=1",B27:G27,"&lt;=14")</f>
        <v>1</v>
      </c>
      <c r="AK27" s="3">
        <f>COUNTIFS(B27:G27,"&gt;=15",B27:G27,"&lt;=31")</f>
        <v>2</v>
      </c>
      <c r="AL27" s="3">
        <f>6-AK27-AJ27</f>
        <v>3</v>
      </c>
      <c r="AM27" s="33"/>
      <c r="AN27" s="3">
        <f>COUNTIFS($B27:$G27, "&gt;=1",$B27:$G27, "&lt;=9")</f>
        <v>1</v>
      </c>
      <c r="AO27" s="3">
        <f>COUNTIFS($B27:$G27, "&gt;=10",$B27:$G27, "&lt;=18")</f>
        <v>0</v>
      </c>
      <c r="AP27" s="3">
        <f>COUNTIFS($B27:$G27, "&gt;=19",$B27:$G27, "&lt;=27")</f>
        <v>2</v>
      </c>
      <c r="AQ27" s="3">
        <f>COUNTIFS($B27:$G27, "&gt;=28",$B27:$G27, "&lt;=36")</f>
        <v>0</v>
      </c>
      <c r="AR27" s="3">
        <f>COUNTIFS($B27:$G27, "&gt;=37",$B27:$G27, "&lt;=45")</f>
        <v>3</v>
      </c>
      <c r="AS27" s="28" t="e">
        <f>#REF!</f>
        <v>#REF!</v>
      </c>
      <c r="AT27" s="28" t="e">
        <f>#REF!*2</f>
        <v>#REF!</v>
      </c>
      <c r="AU27" s="28" t="e">
        <f>#REF!</f>
        <v>#REF!</v>
      </c>
      <c r="AV27" s="28" t="e">
        <f>#REF!*2</f>
        <v>#REF!</v>
      </c>
      <c r="AW27" s="28" t="e">
        <f>#REF!</f>
        <v>#REF!</v>
      </c>
      <c r="AX27" s="28" t="e">
        <f>#REF!*2</f>
        <v>#REF!</v>
      </c>
      <c r="AY27" s="28" t="e">
        <f>#REF!</f>
        <v>#REF!</v>
      </c>
      <c r="AZ27" s="28" t="e">
        <f>#REF!*2</f>
        <v>#REF!</v>
      </c>
      <c r="BA27" s="28" t="e">
        <f>#REF!</f>
        <v>#REF!</v>
      </c>
      <c r="BB27" s="28" t="e">
        <f>#REF!*2</f>
        <v>#REF!</v>
      </c>
      <c r="BC27" s="28" t="e">
        <f>#REF!</f>
        <v>#REF!</v>
      </c>
      <c r="BD27" s="28" t="e">
        <f>#REF!*2</f>
        <v>#REF!</v>
      </c>
      <c r="BE27" s="9" t="e">
        <f>#REF!-#REF!</f>
        <v>#REF!</v>
      </c>
      <c r="BF27" s="9" t="e">
        <f>#REF!-#REF!</f>
        <v>#REF!</v>
      </c>
      <c r="BG27" s="9" t="e">
        <f>#REF!-#REF!</f>
        <v>#REF!</v>
      </c>
      <c r="BH27" s="9" t="e">
        <f>#REF!-#REF!</f>
        <v>#REF!</v>
      </c>
      <c r="BI27" s="9" t="e">
        <f>#REF!-#REF!</f>
        <v>#REF!</v>
      </c>
      <c r="BJ27" s="33"/>
      <c r="BK27" s="3">
        <f>COUNTIFS(B27:G27, "&gt;=1", B27:G27, "&lt;=9")</f>
        <v>1</v>
      </c>
      <c r="BL27" s="3">
        <f>COUNTIFS(B27:G27, "&gt;=10", B27:G27, "&lt;=19")</f>
        <v>1</v>
      </c>
      <c r="BM27" s="3">
        <f>COUNTIFS(B27:G27, "&gt;=20", B27:G27, "&lt;=29")</f>
        <v>1</v>
      </c>
      <c r="BN27" s="3">
        <f>COUNTIFS(B27:G27, "&gt;=30", B27:G27, "&lt;=39")</f>
        <v>2</v>
      </c>
      <c r="BO27" s="3">
        <f>COUNTIFS(B27:G27, "&gt;=40", B27:G27, "&lt;=45")</f>
        <v>1</v>
      </c>
      <c r="BP27" s="28" t="e">
        <f>#REF!</f>
        <v>#REF!</v>
      </c>
      <c r="BQ27" s="28" t="e">
        <f>#REF!*2</f>
        <v>#REF!</v>
      </c>
      <c r="BR27" s="28" t="e">
        <f>#REF!</f>
        <v>#REF!</v>
      </c>
      <c r="BS27" s="28" t="e">
        <f>#REF!*2</f>
        <v>#REF!</v>
      </c>
      <c r="BT27" s="28" t="e">
        <f>#REF!</f>
        <v>#REF!</v>
      </c>
      <c r="BU27" s="28" t="e">
        <f>#REF!*2</f>
        <v>#REF!</v>
      </c>
      <c r="BV27" s="28" t="e">
        <f>#REF!</f>
        <v>#REF!</v>
      </c>
      <c r="BW27" s="28" t="e">
        <f>#REF!*2</f>
        <v>#REF!</v>
      </c>
      <c r="BX27" s="28" t="e">
        <f>#REF!</f>
        <v>#REF!</v>
      </c>
      <c r="BY27" s="28" t="e">
        <f>#REF!*2</f>
        <v>#REF!</v>
      </c>
      <c r="BZ27" s="28" t="e">
        <f>#REF!</f>
        <v>#REF!</v>
      </c>
      <c r="CA27" s="28" t="e">
        <f>#REF!*2</f>
        <v>#REF!</v>
      </c>
      <c r="CB27" s="9">
        <f>C27-B27</f>
        <v>12</v>
      </c>
      <c r="CC27" s="9">
        <f>D27-C27</f>
        <v>7</v>
      </c>
      <c r="CD27" s="9">
        <f>E27-D27</f>
        <v>11</v>
      </c>
      <c r="CE27" s="9">
        <f>F27-E27</f>
        <v>2</v>
      </c>
      <c r="CF27" s="9">
        <f>G27-F27</f>
        <v>5</v>
      </c>
      <c r="CG27" s="33"/>
      <c r="CH27" s="9">
        <f>C27-B27</f>
        <v>12</v>
      </c>
      <c r="CI27" s="9">
        <f>D27-C27</f>
        <v>7</v>
      </c>
      <c r="CJ27" s="9">
        <f>E27-D27</f>
        <v>11</v>
      </c>
      <c r="CK27" s="9">
        <f>F27-E27</f>
        <v>2</v>
      </c>
      <c r="CL27" s="9">
        <f>G27-F27</f>
        <v>5</v>
      </c>
      <c r="CM27" s="32"/>
      <c r="CN27" s="3">
        <f>IF(OR(CH27="",ISBLANK(CH27),CH27=0),0,IF(MOD(CH27,2)=1,1,2))</f>
        <v>2</v>
      </c>
      <c r="CO27" s="3">
        <f>IF(OR(CI27="",ISBLANK(CI27),CI27=0),0,IF(MOD(CI27,2)=1,1,2))</f>
        <v>1</v>
      </c>
      <c r="CP27" s="3">
        <f>IF(OR(CJ27="",ISBLANK(CJ27),CJ27=0),0,IF(MOD(CJ27,2)=1,1,2))</f>
        <v>1</v>
      </c>
      <c r="CQ27" s="3">
        <f>IF(OR(CK27="",ISBLANK(CK27),CK27=0),0,IF(MOD(CK27,2)=1,1,2))</f>
        <v>2</v>
      </c>
      <c r="CR27" s="3">
        <f>IF(OR(CL27="",ISBLANK(CL27),CL27=0),0,IF(MOD(CL27,2)=1,1,2))</f>
        <v>1</v>
      </c>
      <c r="CS27" s="31"/>
      <c r="CT27" s="3" cm="1">
        <f t="array" ref="CT27">SUMPRODUCT(--(MOD(CH27:CL27,2)=1))</f>
        <v>3</v>
      </c>
      <c r="CU27" s="3">
        <f>5-CT27</f>
        <v>2</v>
      </c>
      <c r="CV27" s="30"/>
      <c r="CW27" s="3" cm="1">
        <f t="array" ref="CW27">SUMPRODUCT(--(MOD(CH27:CL27,10)&gt;=1), --(MOD(CH27:CL27,10)&lt;=5))</f>
        <v>4</v>
      </c>
      <c r="CX27" s="3">
        <f>5-CW27</f>
        <v>1</v>
      </c>
      <c r="CY27" s="30"/>
      <c r="CZ27" s="3" cm="1">
        <f t="array" ref="CZ27">IFERROR(COUNT(_xlfn._xlws.FILTER(CH27:CL27, ISNUMBER(MATCH(CH27:CL27, {2,3,5,7,11,13,17,19,23,29,31,37,41,43}, 0)))), 0)</f>
        <v>4</v>
      </c>
      <c r="DA27" s="3" cm="1">
        <f t="array" ref="DA27">IFERROR(COUNT(_xlfn._xlws.FILTER(CH27:CL27, ISNUMBER(MATCH(CH27:CL27, {1,4,8,10,14,16,20,22,25,26,28,32,34,35,38,40,44}, 0)))), 0)</f>
        <v>0</v>
      </c>
      <c r="DB27" s="3" cm="1">
        <f t="array" ref="DB27">IFERROR(COUNT(_xlfn._xlws.FILTER(CH27:CL27, ISNUMBER(MATCH(CH27:CL27, {6,9,12,15,18,21,24,27,30,33,36,39,42,45}, 0)))), 0)</f>
        <v>1</v>
      </c>
      <c r="DC27" s="29"/>
      <c r="DD27" s="28" t="e">
        <f>#REF!</f>
        <v>#REF!</v>
      </c>
      <c r="DE27" s="28" t="e">
        <f>#REF!*2</f>
        <v>#REF!</v>
      </c>
      <c r="DF27" s="28" t="e">
        <f>#REF!</f>
        <v>#REF!</v>
      </c>
      <c r="DG27" s="28" t="e">
        <f>#REF!*2</f>
        <v>#REF!</v>
      </c>
      <c r="DH27" s="28" t="e">
        <f>#REF!</f>
        <v>#REF!</v>
      </c>
      <c r="DI27" s="28" t="e">
        <f>#REF!*2</f>
        <v>#REF!</v>
      </c>
      <c r="DJ27" s="28" t="e">
        <f>#REF!</f>
        <v>#REF!</v>
      </c>
      <c r="DK27" s="28" t="e">
        <f>#REF!*2</f>
        <v>#REF!</v>
      </c>
      <c r="DL27" s="28" t="e">
        <f>#REF!</f>
        <v>#REF!</v>
      </c>
      <c r="DM27" s="28" t="e">
        <f>#REF!*2</f>
        <v>#REF!</v>
      </c>
      <c r="DN27" s="27"/>
      <c r="DO27" s="26"/>
      <c r="DP27" s="26"/>
      <c r="DQ27" s="26"/>
      <c r="DR27" s="26"/>
      <c r="DS27" s="26"/>
      <c r="DT27" s="25"/>
    </row>
    <row r="28" spans="2:124" x14ac:dyDescent="0.3">
      <c r="B28" s="3">
        <v>10</v>
      </c>
      <c r="C28" s="3">
        <v>12</v>
      </c>
      <c r="D28" s="3">
        <v>13</v>
      </c>
      <c r="E28" s="3">
        <v>19</v>
      </c>
      <c r="F28" s="3">
        <v>33</v>
      </c>
      <c r="G28" s="3">
        <v>40</v>
      </c>
      <c r="H28" s="32"/>
      <c r="I28" s="3">
        <f>IF(OR(B28="",ISBLANK(B28),B28=0),0,IF(MOD(B28,2)=1,1,2))</f>
        <v>2</v>
      </c>
      <c r="J28" s="3">
        <f>IF(OR(C28="",ISBLANK(C28),C28=0),0,IF(MOD(C28,2)=1,1,2))</f>
        <v>2</v>
      </c>
      <c r="K28" s="3">
        <f>IF(OR(D28="",ISBLANK(D28),D28=0),0,IF(MOD(D28,2)=1,1,2))</f>
        <v>1</v>
      </c>
      <c r="L28" s="3">
        <f>IF(OR(E28="",ISBLANK(E28),E28=0),0,IF(MOD(E28,2)=1,1,2))</f>
        <v>1</v>
      </c>
      <c r="M28" s="3">
        <f>IF(OR(F28="",ISBLANK(F28),F28=0),0,IF(MOD(F28,2)=1,1,2))</f>
        <v>1</v>
      </c>
      <c r="N28" s="3">
        <f>IF(OR(G28="",ISBLANK(G28),G28=0),0,IF(MOD(G28,2)=1,1,2))</f>
        <v>2</v>
      </c>
      <c r="O28" s="32"/>
      <c r="P28" s="3" cm="1">
        <f t="array" ref="P28">SUMPRODUCT(--(MOD(B28:G28,2)=1))</f>
        <v>3</v>
      </c>
      <c r="Q28" s="3">
        <f>6-P28</f>
        <v>3</v>
      </c>
      <c r="R28" s="34"/>
      <c r="S28" s="3">
        <f>COUNTIFS(B28:G28,"&gt;=1",B28:G28,"&lt;=23")</f>
        <v>4</v>
      </c>
      <c r="T28" s="3">
        <f>6-S28</f>
        <v>2</v>
      </c>
      <c r="U28" s="34"/>
      <c r="V28" s="3" cm="1">
        <f t="array" ref="V28">SUMPRODUCT(--(MOD(B28:G28,10)&gt;=1), --(MOD(B28:G28,10)&lt;=5))</f>
        <v>3</v>
      </c>
      <c r="W28" s="3">
        <f>6-V28</f>
        <v>3</v>
      </c>
      <c r="X28" s="34"/>
      <c r="Y28" s="3" cm="1">
        <f t="array" ref="Y28">IFERROR(COUNT(_xlfn._xlws.FILTER(B28:G28, ISNUMBER(MATCH(B28:G28, {2,3,5,7,11,13,17,19,23,29,31,37,41,43}, 0)))), 0)</f>
        <v>2</v>
      </c>
      <c r="Z28" s="3" cm="1">
        <f t="array" ref="Z28">IFERROR(COUNT(_xlfn._xlws.FILTER(B28:G28, ISNUMBER(MATCH(B28:G28, {1,4,8,10,14,16,20,22,25,26,28,32,34,35,38,40,44}, 0)))), 0)</f>
        <v>2</v>
      </c>
      <c r="AA28" s="3" cm="1">
        <f t="array" ref="AA28">IFERROR(COUNT(_xlfn._xlws.FILTER(B28:G28, ISNUMBER(MATCH(B28:G28, {6,9,12,15,18,21,24,27,30,33,36,39,42,45}, 0)))), 0)</f>
        <v>2</v>
      </c>
      <c r="AB28" s="30"/>
      <c r="AC28" s="26"/>
      <c r="AD28" s="26"/>
      <c r="AE28" s="26"/>
      <c r="AF28" s="26"/>
      <c r="AG28" s="26"/>
      <c r="AH28" s="26"/>
      <c r="AI28" s="30"/>
      <c r="AJ28" s="3">
        <f>COUNTIFS(B28:G28,"&gt;=1",B28:G28,"&lt;=14")</f>
        <v>3</v>
      </c>
      <c r="AK28" s="3">
        <f>COUNTIFS(B28:G28,"&gt;=15",B28:G28,"&lt;=31")</f>
        <v>1</v>
      </c>
      <c r="AL28" s="3">
        <f>6-AK28-AJ28</f>
        <v>2</v>
      </c>
      <c r="AM28" s="33"/>
      <c r="AN28" s="3">
        <f>COUNTIFS($B28:$G28, "&gt;=1",$B28:$G28, "&lt;=9")</f>
        <v>0</v>
      </c>
      <c r="AO28" s="3">
        <f>COUNTIFS($B28:$G28, "&gt;=10",$B28:$G28, "&lt;=18")</f>
        <v>3</v>
      </c>
      <c r="AP28" s="3">
        <f>COUNTIFS($B28:$G28, "&gt;=19",$B28:$G28, "&lt;=27")</f>
        <v>1</v>
      </c>
      <c r="AQ28" s="3">
        <f>COUNTIFS($B28:$G28, "&gt;=28",$B28:$G28, "&lt;=36")</f>
        <v>1</v>
      </c>
      <c r="AR28" s="3">
        <f>COUNTIFS($B28:$G28, "&gt;=37",$B28:$G28, "&lt;=45")</f>
        <v>1</v>
      </c>
      <c r="AS28" s="28" t="e">
        <f>#REF!</f>
        <v>#REF!</v>
      </c>
      <c r="AT28" s="28" t="e">
        <f>#REF!*2</f>
        <v>#REF!</v>
      </c>
      <c r="AU28" s="28" t="e">
        <f>#REF!</f>
        <v>#REF!</v>
      </c>
      <c r="AV28" s="28" t="e">
        <f>#REF!*2</f>
        <v>#REF!</v>
      </c>
      <c r="AW28" s="28" t="e">
        <f>#REF!</f>
        <v>#REF!</v>
      </c>
      <c r="AX28" s="28" t="e">
        <f>#REF!*2</f>
        <v>#REF!</v>
      </c>
      <c r="AY28" s="28" t="e">
        <f>#REF!</f>
        <v>#REF!</v>
      </c>
      <c r="AZ28" s="28" t="e">
        <f>#REF!*2</f>
        <v>#REF!</v>
      </c>
      <c r="BA28" s="28" t="e">
        <f>#REF!</f>
        <v>#REF!</v>
      </c>
      <c r="BB28" s="28" t="e">
        <f>#REF!*2</f>
        <v>#REF!</v>
      </c>
      <c r="BC28" s="28" t="e">
        <f>#REF!</f>
        <v>#REF!</v>
      </c>
      <c r="BD28" s="28" t="e">
        <f>#REF!*2</f>
        <v>#REF!</v>
      </c>
      <c r="BE28" s="9" t="e">
        <f>#REF!-#REF!</f>
        <v>#REF!</v>
      </c>
      <c r="BF28" s="9" t="e">
        <f>#REF!-#REF!</f>
        <v>#REF!</v>
      </c>
      <c r="BG28" s="9" t="e">
        <f>#REF!-#REF!</f>
        <v>#REF!</v>
      </c>
      <c r="BH28" s="9" t="e">
        <f>#REF!-#REF!</f>
        <v>#REF!</v>
      </c>
      <c r="BI28" s="9" t="e">
        <f>#REF!-#REF!</f>
        <v>#REF!</v>
      </c>
      <c r="BJ28" s="33"/>
      <c r="BK28" s="3">
        <f>COUNTIFS(B28:G28, "&gt;=1", B28:G28, "&lt;=9")</f>
        <v>0</v>
      </c>
      <c r="BL28" s="3">
        <f>COUNTIFS(B28:G28, "&gt;=10", B28:G28, "&lt;=19")</f>
        <v>4</v>
      </c>
      <c r="BM28" s="3">
        <f>COUNTIFS(B28:G28, "&gt;=20", B28:G28, "&lt;=29")</f>
        <v>0</v>
      </c>
      <c r="BN28" s="3">
        <f>COUNTIFS(B28:G28, "&gt;=30", B28:G28, "&lt;=39")</f>
        <v>1</v>
      </c>
      <c r="BO28" s="3">
        <f>COUNTIFS(B28:G28, "&gt;=40", B28:G28, "&lt;=45")</f>
        <v>1</v>
      </c>
      <c r="BP28" s="28" t="e">
        <f>#REF!</f>
        <v>#REF!</v>
      </c>
      <c r="BQ28" s="28" t="e">
        <f>#REF!*2</f>
        <v>#REF!</v>
      </c>
      <c r="BR28" s="28" t="e">
        <f>#REF!</f>
        <v>#REF!</v>
      </c>
      <c r="BS28" s="28" t="e">
        <f>#REF!*2</f>
        <v>#REF!</v>
      </c>
      <c r="BT28" s="28" t="e">
        <f>#REF!</f>
        <v>#REF!</v>
      </c>
      <c r="BU28" s="28" t="e">
        <f>#REF!*2</f>
        <v>#REF!</v>
      </c>
      <c r="BV28" s="28" t="e">
        <f>#REF!</f>
        <v>#REF!</v>
      </c>
      <c r="BW28" s="28" t="e">
        <f>#REF!*2</f>
        <v>#REF!</v>
      </c>
      <c r="BX28" s="28" t="e">
        <f>#REF!</f>
        <v>#REF!</v>
      </c>
      <c r="BY28" s="28" t="e">
        <f>#REF!*2</f>
        <v>#REF!</v>
      </c>
      <c r="BZ28" s="28" t="e">
        <f>#REF!</f>
        <v>#REF!</v>
      </c>
      <c r="CA28" s="28" t="e">
        <f>#REF!*2</f>
        <v>#REF!</v>
      </c>
      <c r="CB28" s="9">
        <f>C28-B28</f>
        <v>2</v>
      </c>
      <c r="CC28" s="9">
        <f>D28-C28</f>
        <v>1</v>
      </c>
      <c r="CD28" s="9">
        <f>E28-D28</f>
        <v>6</v>
      </c>
      <c r="CE28" s="9">
        <f>F28-E28</f>
        <v>14</v>
      </c>
      <c r="CF28" s="9">
        <f>G28-F28</f>
        <v>7</v>
      </c>
      <c r="CG28" s="33"/>
      <c r="CH28" s="9">
        <f>C28-B28</f>
        <v>2</v>
      </c>
      <c r="CI28" s="9">
        <f>D28-C28</f>
        <v>1</v>
      </c>
      <c r="CJ28" s="9">
        <f>E28-D28</f>
        <v>6</v>
      </c>
      <c r="CK28" s="9">
        <f>F28-E28</f>
        <v>14</v>
      </c>
      <c r="CL28" s="9">
        <f>G28-F28</f>
        <v>7</v>
      </c>
      <c r="CM28" s="32"/>
      <c r="CN28" s="3">
        <f>IF(OR(CH28="",ISBLANK(CH28),CH28=0),0,IF(MOD(CH28,2)=1,1,2))</f>
        <v>2</v>
      </c>
      <c r="CO28" s="3">
        <f>IF(OR(CI28="",ISBLANK(CI28),CI28=0),0,IF(MOD(CI28,2)=1,1,2))</f>
        <v>1</v>
      </c>
      <c r="CP28" s="3">
        <f>IF(OR(CJ28="",ISBLANK(CJ28),CJ28=0),0,IF(MOD(CJ28,2)=1,1,2))</f>
        <v>2</v>
      </c>
      <c r="CQ28" s="3">
        <f>IF(OR(CK28="",ISBLANK(CK28),CK28=0),0,IF(MOD(CK28,2)=1,1,2))</f>
        <v>2</v>
      </c>
      <c r="CR28" s="3">
        <f>IF(OR(CL28="",ISBLANK(CL28),CL28=0),0,IF(MOD(CL28,2)=1,1,2))</f>
        <v>1</v>
      </c>
      <c r="CS28" s="31"/>
      <c r="CT28" s="3" cm="1">
        <f t="array" ref="CT28">SUMPRODUCT(--(MOD(CH28:CL28,2)=1))</f>
        <v>2</v>
      </c>
      <c r="CU28" s="3">
        <f>5-CT28</f>
        <v>3</v>
      </c>
      <c r="CV28" s="30"/>
      <c r="CW28" s="3" cm="1">
        <f t="array" ref="CW28">SUMPRODUCT(--(MOD(CH28:CL28,10)&gt;=1), --(MOD(CH28:CL28,10)&lt;=5))</f>
        <v>3</v>
      </c>
      <c r="CX28" s="3">
        <f>5-CW28</f>
        <v>2</v>
      </c>
      <c r="CY28" s="30"/>
      <c r="CZ28" s="3" cm="1">
        <f t="array" ref="CZ28">IFERROR(COUNT(_xlfn._xlws.FILTER(CH28:CL28, ISNUMBER(MATCH(CH28:CL28, {2,3,5,7,11,13,17,19,23,29,31,37,41,43}, 0)))), 0)</f>
        <v>2</v>
      </c>
      <c r="DA28" s="3" cm="1">
        <f t="array" ref="DA28">IFERROR(COUNT(_xlfn._xlws.FILTER(CH28:CL28, ISNUMBER(MATCH(CH28:CL28, {1,4,8,10,14,16,20,22,25,26,28,32,34,35,38,40,44}, 0)))), 0)</f>
        <v>2</v>
      </c>
      <c r="DB28" s="3" cm="1">
        <f t="array" ref="DB28">IFERROR(COUNT(_xlfn._xlws.FILTER(CH28:CL28, ISNUMBER(MATCH(CH28:CL28, {6,9,12,15,18,21,24,27,30,33,36,39,42,45}, 0)))), 0)</f>
        <v>1</v>
      </c>
      <c r="DC28" s="29"/>
      <c r="DD28" s="28" t="e">
        <f>#REF!</f>
        <v>#REF!</v>
      </c>
      <c r="DE28" s="28" t="e">
        <f>#REF!*2</f>
        <v>#REF!</v>
      </c>
      <c r="DF28" s="28" t="e">
        <f>#REF!</f>
        <v>#REF!</v>
      </c>
      <c r="DG28" s="28" t="e">
        <f>#REF!*2</f>
        <v>#REF!</v>
      </c>
      <c r="DH28" s="28" t="e">
        <f>#REF!</f>
        <v>#REF!</v>
      </c>
      <c r="DI28" s="28" t="e">
        <f>#REF!*2</f>
        <v>#REF!</v>
      </c>
      <c r="DJ28" s="28" t="e">
        <f>#REF!</f>
        <v>#REF!</v>
      </c>
      <c r="DK28" s="28" t="e">
        <f>#REF!*2</f>
        <v>#REF!</v>
      </c>
      <c r="DL28" s="28" t="e">
        <f>#REF!</f>
        <v>#REF!</v>
      </c>
      <c r="DM28" s="28" t="e">
        <f>#REF!*2</f>
        <v>#REF!</v>
      </c>
      <c r="DN28" s="27"/>
      <c r="DO28" s="26"/>
      <c r="DP28" s="26"/>
      <c r="DQ28" s="26"/>
      <c r="DR28" s="26"/>
      <c r="DS28" s="26"/>
      <c r="DT28" s="25"/>
    </row>
    <row r="29" spans="2:124" x14ac:dyDescent="0.3">
      <c r="B29" s="3">
        <v>3</v>
      </c>
      <c r="C29" s="3">
        <v>7</v>
      </c>
      <c r="D29" s="3">
        <v>11</v>
      </c>
      <c r="E29" s="3">
        <v>20</v>
      </c>
      <c r="F29" s="3">
        <v>22</v>
      </c>
      <c r="G29" s="3">
        <v>41</v>
      </c>
      <c r="H29" s="32"/>
      <c r="I29" s="3">
        <f>IF(OR(B29="",ISBLANK(B29),B29=0),0,IF(MOD(B29,2)=1,1,2))</f>
        <v>1</v>
      </c>
      <c r="J29" s="3">
        <f>IF(OR(C29="",ISBLANK(C29),C29=0),0,IF(MOD(C29,2)=1,1,2))</f>
        <v>1</v>
      </c>
      <c r="K29" s="3">
        <f>IF(OR(D29="",ISBLANK(D29),D29=0),0,IF(MOD(D29,2)=1,1,2))</f>
        <v>1</v>
      </c>
      <c r="L29" s="3">
        <f>IF(OR(E29="",ISBLANK(E29),E29=0),0,IF(MOD(E29,2)=1,1,2))</f>
        <v>2</v>
      </c>
      <c r="M29" s="3">
        <f>IF(OR(F29="",ISBLANK(F29),F29=0),0,IF(MOD(F29,2)=1,1,2))</f>
        <v>2</v>
      </c>
      <c r="N29" s="3">
        <f>IF(OR(G29="",ISBLANK(G29),G29=0),0,IF(MOD(G29,2)=1,1,2))</f>
        <v>1</v>
      </c>
      <c r="O29" s="32"/>
      <c r="P29" s="3" cm="1">
        <f t="array" ref="P29">SUMPRODUCT(--(MOD(B29:G29,2)=1))</f>
        <v>4</v>
      </c>
      <c r="Q29" s="3">
        <f>6-P29</f>
        <v>2</v>
      </c>
      <c r="R29" s="34"/>
      <c r="S29" s="3">
        <f>COUNTIFS(B29:G29,"&gt;=1",B29:G29,"&lt;=23")</f>
        <v>5</v>
      </c>
      <c r="T29" s="3">
        <f>6-S29</f>
        <v>1</v>
      </c>
      <c r="U29" s="34"/>
      <c r="V29" s="3" cm="1">
        <f t="array" ref="V29">SUMPRODUCT(--(MOD(B29:G29,10)&gt;=1), --(MOD(B29:G29,10)&lt;=5))</f>
        <v>4</v>
      </c>
      <c r="W29" s="3">
        <f>6-V29</f>
        <v>2</v>
      </c>
      <c r="X29" s="34"/>
      <c r="Y29" s="3" cm="1">
        <f t="array" ref="Y29">IFERROR(COUNT(_xlfn._xlws.FILTER(B29:G29, ISNUMBER(MATCH(B29:G29, {2,3,5,7,11,13,17,19,23,29,31,37,41,43}, 0)))), 0)</f>
        <v>4</v>
      </c>
      <c r="Z29" s="3" cm="1">
        <f t="array" ref="Z29">IFERROR(COUNT(_xlfn._xlws.FILTER(B29:G29, ISNUMBER(MATCH(B29:G29, {1,4,8,10,14,16,20,22,25,26,28,32,34,35,38,40,44}, 0)))), 0)</f>
        <v>2</v>
      </c>
      <c r="AA29" s="3" cm="1">
        <f t="array" ref="AA29">IFERROR(COUNT(_xlfn._xlws.FILTER(B29:G29, ISNUMBER(MATCH(B29:G29, {6,9,12,15,18,21,24,27,30,33,36,39,42,45}, 0)))), 0)</f>
        <v>0</v>
      </c>
      <c r="AB29" s="30"/>
      <c r="AC29" s="26"/>
      <c r="AD29" s="26"/>
      <c r="AE29" s="26"/>
      <c r="AF29" s="26"/>
      <c r="AG29" s="26"/>
      <c r="AH29" s="26"/>
      <c r="AI29" s="30"/>
      <c r="AJ29" s="3">
        <f>COUNTIFS(B29:G29,"&gt;=1",B29:G29,"&lt;=14")</f>
        <v>3</v>
      </c>
      <c r="AK29" s="3">
        <f>COUNTIFS(B29:G29,"&gt;=15",B29:G29,"&lt;=31")</f>
        <v>2</v>
      </c>
      <c r="AL29" s="3">
        <f>6-AK29-AJ29</f>
        <v>1</v>
      </c>
      <c r="AM29" s="33"/>
      <c r="AN29" s="3">
        <f>COUNTIFS($B29:$G29, "&gt;=1",$B29:$G29, "&lt;=9")</f>
        <v>2</v>
      </c>
      <c r="AO29" s="3">
        <f>COUNTIFS($B29:$G29, "&gt;=10",$B29:$G29, "&lt;=18")</f>
        <v>1</v>
      </c>
      <c r="AP29" s="3">
        <f>COUNTIFS($B29:$G29, "&gt;=19",$B29:$G29, "&lt;=27")</f>
        <v>2</v>
      </c>
      <c r="AQ29" s="3">
        <f>COUNTIFS($B29:$G29, "&gt;=28",$B29:$G29, "&lt;=36")</f>
        <v>0</v>
      </c>
      <c r="AR29" s="3">
        <f>COUNTIFS($B29:$G29, "&gt;=37",$B29:$G29, "&lt;=45")</f>
        <v>1</v>
      </c>
      <c r="AS29" s="28" t="e">
        <f>#REF!</f>
        <v>#REF!</v>
      </c>
      <c r="AT29" s="28" t="e">
        <f>#REF!*2</f>
        <v>#REF!</v>
      </c>
      <c r="AU29" s="28" t="e">
        <f>#REF!</f>
        <v>#REF!</v>
      </c>
      <c r="AV29" s="28" t="e">
        <f>#REF!*2</f>
        <v>#REF!</v>
      </c>
      <c r="AW29" s="28" t="e">
        <f>#REF!</f>
        <v>#REF!</v>
      </c>
      <c r="AX29" s="28" t="e">
        <f>#REF!*2</f>
        <v>#REF!</v>
      </c>
      <c r="AY29" s="28" t="e">
        <f>#REF!</f>
        <v>#REF!</v>
      </c>
      <c r="AZ29" s="28" t="e">
        <f>#REF!*2</f>
        <v>#REF!</v>
      </c>
      <c r="BA29" s="28" t="e">
        <f>#REF!</f>
        <v>#REF!</v>
      </c>
      <c r="BB29" s="28" t="e">
        <f>#REF!*2</f>
        <v>#REF!</v>
      </c>
      <c r="BC29" s="28" t="e">
        <f>#REF!</f>
        <v>#REF!</v>
      </c>
      <c r="BD29" s="28" t="e">
        <f>#REF!*2</f>
        <v>#REF!</v>
      </c>
      <c r="BE29" s="9" t="e">
        <f>#REF!-#REF!</f>
        <v>#REF!</v>
      </c>
      <c r="BF29" s="9" t="e">
        <f>#REF!-#REF!</f>
        <v>#REF!</v>
      </c>
      <c r="BG29" s="9" t="e">
        <f>#REF!-#REF!</f>
        <v>#REF!</v>
      </c>
      <c r="BH29" s="9" t="e">
        <f>#REF!-#REF!</f>
        <v>#REF!</v>
      </c>
      <c r="BI29" s="9" t="e">
        <f>#REF!-#REF!</f>
        <v>#REF!</v>
      </c>
      <c r="BJ29" s="33"/>
      <c r="BK29" s="3">
        <f>COUNTIFS(B29:G29, "&gt;=1", B29:G29, "&lt;=9")</f>
        <v>2</v>
      </c>
      <c r="BL29" s="3">
        <f>COUNTIFS(B29:G29, "&gt;=10", B29:G29, "&lt;=19")</f>
        <v>1</v>
      </c>
      <c r="BM29" s="3">
        <f>COUNTIFS(B29:G29, "&gt;=20", B29:G29, "&lt;=29")</f>
        <v>2</v>
      </c>
      <c r="BN29" s="3">
        <f>COUNTIFS(B29:G29, "&gt;=30", B29:G29, "&lt;=39")</f>
        <v>0</v>
      </c>
      <c r="BO29" s="3">
        <f>COUNTIFS(B29:G29, "&gt;=40", B29:G29, "&lt;=45")</f>
        <v>1</v>
      </c>
      <c r="BP29" s="28" t="e">
        <f>#REF!</f>
        <v>#REF!</v>
      </c>
      <c r="BQ29" s="28" t="e">
        <f>#REF!*2</f>
        <v>#REF!</v>
      </c>
      <c r="BR29" s="28" t="e">
        <f>#REF!</f>
        <v>#REF!</v>
      </c>
      <c r="BS29" s="28" t="e">
        <f>#REF!*2</f>
        <v>#REF!</v>
      </c>
      <c r="BT29" s="28" t="e">
        <f>#REF!</f>
        <v>#REF!</v>
      </c>
      <c r="BU29" s="28" t="e">
        <f>#REF!*2</f>
        <v>#REF!</v>
      </c>
      <c r="BV29" s="28" t="e">
        <f>#REF!</f>
        <v>#REF!</v>
      </c>
      <c r="BW29" s="28" t="e">
        <f>#REF!*2</f>
        <v>#REF!</v>
      </c>
      <c r="BX29" s="28" t="e">
        <f>#REF!</f>
        <v>#REF!</v>
      </c>
      <c r="BY29" s="28" t="e">
        <f>#REF!*2</f>
        <v>#REF!</v>
      </c>
      <c r="BZ29" s="28" t="e">
        <f>#REF!</f>
        <v>#REF!</v>
      </c>
      <c r="CA29" s="28" t="e">
        <f>#REF!*2</f>
        <v>#REF!</v>
      </c>
      <c r="CB29" s="9">
        <f>C29-B29</f>
        <v>4</v>
      </c>
      <c r="CC29" s="9">
        <f>D29-C29</f>
        <v>4</v>
      </c>
      <c r="CD29" s="9">
        <f>E29-D29</f>
        <v>9</v>
      </c>
      <c r="CE29" s="9">
        <f>F29-E29</f>
        <v>2</v>
      </c>
      <c r="CF29" s="9">
        <f>G29-F29</f>
        <v>19</v>
      </c>
      <c r="CG29" s="33"/>
      <c r="CH29" s="9">
        <f>C29-B29</f>
        <v>4</v>
      </c>
      <c r="CI29" s="9">
        <f>D29-C29</f>
        <v>4</v>
      </c>
      <c r="CJ29" s="9">
        <f>E29-D29</f>
        <v>9</v>
      </c>
      <c r="CK29" s="9">
        <f>F29-E29</f>
        <v>2</v>
      </c>
      <c r="CL29" s="9">
        <f>G29-F29</f>
        <v>19</v>
      </c>
      <c r="CM29" s="32"/>
      <c r="CN29" s="3">
        <f>IF(OR(CH29="",ISBLANK(CH29),CH29=0),0,IF(MOD(CH29,2)=1,1,2))</f>
        <v>2</v>
      </c>
      <c r="CO29" s="3">
        <f>IF(OR(CI29="",ISBLANK(CI29),CI29=0),0,IF(MOD(CI29,2)=1,1,2))</f>
        <v>2</v>
      </c>
      <c r="CP29" s="3">
        <f>IF(OR(CJ29="",ISBLANK(CJ29),CJ29=0),0,IF(MOD(CJ29,2)=1,1,2))</f>
        <v>1</v>
      </c>
      <c r="CQ29" s="3">
        <f>IF(OR(CK29="",ISBLANK(CK29),CK29=0),0,IF(MOD(CK29,2)=1,1,2))</f>
        <v>2</v>
      </c>
      <c r="CR29" s="3">
        <f>IF(OR(CL29="",ISBLANK(CL29),CL29=0),0,IF(MOD(CL29,2)=1,1,2))</f>
        <v>1</v>
      </c>
      <c r="CS29" s="31"/>
      <c r="CT29" s="3" cm="1">
        <f t="array" ref="CT29">SUMPRODUCT(--(MOD(CH29:CL29,2)=1))</f>
        <v>2</v>
      </c>
      <c r="CU29" s="3">
        <f>5-CT29</f>
        <v>3</v>
      </c>
      <c r="CV29" s="30"/>
      <c r="CW29" s="3" cm="1">
        <f t="array" ref="CW29">SUMPRODUCT(--(MOD(CH29:CL29,10)&gt;=1), --(MOD(CH29:CL29,10)&lt;=5))</f>
        <v>3</v>
      </c>
      <c r="CX29" s="3">
        <f>5-CW29</f>
        <v>2</v>
      </c>
      <c r="CY29" s="30"/>
      <c r="CZ29" s="3" cm="1">
        <f t="array" ref="CZ29">IFERROR(COUNT(_xlfn._xlws.FILTER(CH29:CL29, ISNUMBER(MATCH(CH29:CL29, {2,3,5,7,11,13,17,19,23,29,31,37,41,43}, 0)))), 0)</f>
        <v>2</v>
      </c>
      <c r="DA29" s="3" cm="1">
        <f t="array" ref="DA29">IFERROR(COUNT(_xlfn._xlws.FILTER(CH29:CL29, ISNUMBER(MATCH(CH29:CL29, {1,4,8,10,14,16,20,22,25,26,28,32,34,35,38,40,44}, 0)))), 0)</f>
        <v>2</v>
      </c>
      <c r="DB29" s="3" cm="1">
        <f t="array" ref="DB29">IFERROR(COUNT(_xlfn._xlws.FILTER(CH29:CL29, ISNUMBER(MATCH(CH29:CL29, {6,9,12,15,18,21,24,27,30,33,36,39,42,45}, 0)))), 0)</f>
        <v>1</v>
      </c>
      <c r="DC29" s="29"/>
      <c r="DD29" s="28" t="e">
        <f>#REF!</f>
        <v>#REF!</v>
      </c>
      <c r="DE29" s="28" t="e">
        <f>#REF!*2</f>
        <v>#REF!</v>
      </c>
      <c r="DF29" s="28" t="e">
        <f>#REF!</f>
        <v>#REF!</v>
      </c>
      <c r="DG29" s="28" t="e">
        <f>#REF!*2</f>
        <v>#REF!</v>
      </c>
      <c r="DH29" s="28" t="e">
        <f>#REF!</f>
        <v>#REF!</v>
      </c>
      <c r="DI29" s="28" t="e">
        <f>#REF!*2</f>
        <v>#REF!</v>
      </c>
      <c r="DJ29" s="28" t="e">
        <f>#REF!</f>
        <v>#REF!</v>
      </c>
      <c r="DK29" s="28" t="e">
        <f>#REF!*2</f>
        <v>#REF!</v>
      </c>
      <c r="DL29" s="28" t="e">
        <f>#REF!</f>
        <v>#REF!</v>
      </c>
      <c r="DM29" s="28" t="e">
        <f>#REF!*2</f>
        <v>#REF!</v>
      </c>
      <c r="DN29" s="27"/>
      <c r="DO29" s="26"/>
      <c r="DP29" s="26"/>
      <c r="DQ29" s="26"/>
      <c r="DR29" s="26"/>
      <c r="DS29" s="26"/>
      <c r="DT29" s="25"/>
    </row>
    <row r="30" spans="2:124" x14ac:dyDescent="0.3">
      <c r="B30" s="3">
        <v>3</v>
      </c>
      <c r="C30" s="3">
        <v>13</v>
      </c>
      <c r="D30" s="3">
        <v>30</v>
      </c>
      <c r="E30" s="3">
        <v>33</v>
      </c>
      <c r="F30" s="3">
        <v>43</v>
      </c>
      <c r="G30" s="3">
        <v>45</v>
      </c>
      <c r="H30" s="32"/>
      <c r="I30" s="3">
        <f>IF(OR(B30="",ISBLANK(B30),B30=0),0,IF(MOD(B30,2)=1,1,2))</f>
        <v>1</v>
      </c>
      <c r="J30" s="3">
        <f>IF(OR(C30="",ISBLANK(C30),C30=0),0,IF(MOD(C30,2)=1,1,2))</f>
        <v>1</v>
      </c>
      <c r="K30" s="3">
        <f>IF(OR(D30="",ISBLANK(D30),D30=0),0,IF(MOD(D30,2)=1,1,2))</f>
        <v>2</v>
      </c>
      <c r="L30" s="3">
        <f>IF(OR(E30="",ISBLANK(E30),E30=0),0,IF(MOD(E30,2)=1,1,2))</f>
        <v>1</v>
      </c>
      <c r="M30" s="3">
        <f>IF(OR(F30="",ISBLANK(F30),F30=0),0,IF(MOD(F30,2)=1,1,2))</f>
        <v>1</v>
      </c>
      <c r="N30" s="3">
        <f>IF(OR(G30="",ISBLANK(G30),G30=0),0,IF(MOD(G30,2)=1,1,2))</f>
        <v>1</v>
      </c>
      <c r="O30" s="32"/>
      <c r="P30" s="3" cm="1">
        <f t="array" ref="P30">SUMPRODUCT(--(MOD(B30:G30,2)=1))</f>
        <v>5</v>
      </c>
      <c r="Q30" s="3">
        <f>6-P30</f>
        <v>1</v>
      </c>
      <c r="R30" s="34"/>
      <c r="S30" s="3">
        <f>COUNTIFS(B30:G30,"&gt;=1",B30:G30,"&lt;=23")</f>
        <v>2</v>
      </c>
      <c r="T30" s="3">
        <f>6-S30</f>
        <v>4</v>
      </c>
      <c r="U30" s="34"/>
      <c r="V30" s="3" cm="1">
        <f t="array" ref="V30">SUMPRODUCT(--(MOD(B30:G30,10)&gt;=1), --(MOD(B30:G30,10)&lt;=5))</f>
        <v>5</v>
      </c>
      <c r="W30" s="3">
        <f>6-V30</f>
        <v>1</v>
      </c>
      <c r="X30" s="34"/>
      <c r="Y30" s="3" cm="1">
        <f t="array" ref="Y30">IFERROR(COUNT(_xlfn._xlws.FILTER(B30:G30, ISNUMBER(MATCH(B30:G30, {2,3,5,7,11,13,17,19,23,29,31,37,41,43}, 0)))), 0)</f>
        <v>3</v>
      </c>
      <c r="Z30" s="3" cm="1">
        <f t="array" ref="Z30">IFERROR(COUNT(_xlfn._xlws.FILTER(B30:G30, ISNUMBER(MATCH(B30:G30, {1,4,8,10,14,16,20,22,25,26,28,32,34,35,38,40,44}, 0)))), 0)</f>
        <v>0</v>
      </c>
      <c r="AA30" s="3" cm="1">
        <f t="array" ref="AA30">IFERROR(COUNT(_xlfn._xlws.FILTER(B30:G30, ISNUMBER(MATCH(B30:G30, {6,9,12,15,18,21,24,27,30,33,36,39,42,45}, 0)))), 0)</f>
        <v>3</v>
      </c>
      <c r="AB30" s="30"/>
      <c r="AC30" s="26"/>
      <c r="AD30" s="26"/>
      <c r="AE30" s="26"/>
      <c r="AF30" s="26"/>
      <c r="AG30" s="26"/>
      <c r="AH30" s="26"/>
      <c r="AI30" s="30"/>
      <c r="AJ30" s="3">
        <f>COUNTIFS(B30:G30,"&gt;=1",B30:G30,"&lt;=14")</f>
        <v>2</v>
      </c>
      <c r="AK30" s="3">
        <f>COUNTIFS(B30:G30,"&gt;=15",B30:G30,"&lt;=31")</f>
        <v>1</v>
      </c>
      <c r="AL30" s="3">
        <f>6-AK30-AJ30</f>
        <v>3</v>
      </c>
      <c r="AM30" s="33"/>
      <c r="AN30" s="3">
        <f>COUNTIFS($B30:$G30, "&gt;=1",$B30:$G30, "&lt;=9")</f>
        <v>1</v>
      </c>
      <c r="AO30" s="3">
        <f>COUNTIFS($B30:$G30, "&gt;=10",$B30:$G30, "&lt;=18")</f>
        <v>1</v>
      </c>
      <c r="AP30" s="3">
        <f>COUNTIFS($B30:$G30, "&gt;=19",$B30:$G30, "&lt;=27")</f>
        <v>0</v>
      </c>
      <c r="AQ30" s="3">
        <f>COUNTIFS($B30:$G30, "&gt;=28",$B30:$G30, "&lt;=36")</f>
        <v>2</v>
      </c>
      <c r="AR30" s="3">
        <f>COUNTIFS($B30:$G30, "&gt;=37",$B30:$G30, "&lt;=45")</f>
        <v>2</v>
      </c>
      <c r="AS30" s="28" t="e">
        <f>#REF!</f>
        <v>#REF!</v>
      </c>
      <c r="AT30" s="28" t="e">
        <f>#REF!*2</f>
        <v>#REF!</v>
      </c>
      <c r="AU30" s="28" t="e">
        <f>#REF!</f>
        <v>#REF!</v>
      </c>
      <c r="AV30" s="28" t="e">
        <f>#REF!*2</f>
        <v>#REF!</v>
      </c>
      <c r="AW30" s="28" t="e">
        <f>#REF!</f>
        <v>#REF!</v>
      </c>
      <c r="AX30" s="28" t="e">
        <f>#REF!*2</f>
        <v>#REF!</v>
      </c>
      <c r="AY30" s="28" t="e">
        <f>#REF!</f>
        <v>#REF!</v>
      </c>
      <c r="AZ30" s="28" t="e">
        <f>#REF!*2</f>
        <v>#REF!</v>
      </c>
      <c r="BA30" s="28" t="e">
        <f>#REF!</f>
        <v>#REF!</v>
      </c>
      <c r="BB30" s="28" t="e">
        <f>#REF!*2</f>
        <v>#REF!</v>
      </c>
      <c r="BC30" s="28" t="e">
        <f>#REF!</f>
        <v>#REF!</v>
      </c>
      <c r="BD30" s="28" t="e">
        <f>#REF!*2</f>
        <v>#REF!</v>
      </c>
      <c r="BE30" s="9" t="e">
        <f>#REF!-#REF!</f>
        <v>#REF!</v>
      </c>
      <c r="BF30" s="9" t="e">
        <f>#REF!-#REF!</f>
        <v>#REF!</v>
      </c>
      <c r="BG30" s="9" t="e">
        <f>#REF!-#REF!</f>
        <v>#REF!</v>
      </c>
      <c r="BH30" s="9" t="e">
        <f>#REF!-#REF!</f>
        <v>#REF!</v>
      </c>
      <c r="BI30" s="9" t="e">
        <f>#REF!-#REF!</f>
        <v>#REF!</v>
      </c>
      <c r="BJ30" s="33"/>
      <c r="BK30" s="3">
        <f>COUNTIFS(B30:G30, "&gt;=1", B30:G30, "&lt;=9")</f>
        <v>1</v>
      </c>
      <c r="BL30" s="3">
        <f>COUNTIFS(B30:G30, "&gt;=10", B30:G30, "&lt;=19")</f>
        <v>1</v>
      </c>
      <c r="BM30" s="3">
        <f>COUNTIFS(B30:G30, "&gt;=20", B30:G30, "&lt;=29")</f>
        <v>0</v>
      </c>
      <c r="BN30" s="3">
        <f>COUNTIFS(B30:G30, "&gt;=30", B30:G30, "&lt;=39")</f>
        <v>2</v>
      </c>
      <c r="BO30" s="3">
        <f>COUNTIFS(B30:G30, "&gt;=40", B30:G30, "&lt;=45")</f>
        <v>2</v>
      </c>
      <c r="BP30" s="28" t="e">
        <f>#REF!</f>
        <v>#REF!</v>
      </c>
      <c r="BQ30" s="28" t="e">
        <f>#REF!*2</f>
        <v>#REF!</v>
      </c>
      <c r="BR30" s="28" t="e">
        <f>#REF!</f>
        <v>#REF!</v>
      </c>
      <c r="BS30" s="28" t="e">
        <f>#REF!*2</f>
        <v>#REF!</v>
      </c>
      <c r="BT30" s="28" t="e">
        <f>#REF!</f>
        <v>#REF!</v>
      </c>
      <c r="BU30" s="28" t="e">
        <f>#REF!*2</f>
        <v>#REF!</v>
      </c>
      <c r="BV30" s="28" t="e">
        <f>#REF!</f>
        <v>#REF!</v>
      </c>
      <c r="BW30" s="28" t="e">
        <f>#REF!*2</f>
        <v>#REF!</v>
      </c>
      <c r="BX30" s="28" t="e">
        <f>#REF!</f>
        <v>#REF!</v>
      </c>
      <c r="BY30" s="28" t="e">
        <f>#REF!*2</f>
        <v>#REF!</v>
      </c>
      <c r="BZ30" s="28" t="e">
        <f>#REF!</f>
        <v>#REF!</v>
      </c>
      <c r="CA30" s="28" t="e">
        <f>#REF!*2</f>
        <v>#REF!</v>
      </c>
      <c r="CB30" s="9">
        <f>C30-B30</f>
        <v>10</v>
      </c>
      <c r="CC30" s="9">
        <f>D30-C30</f>
        <v>17</v>
      </c>
      <c r="CD30" s="9">
        <f>E30-D30</f>
        <v>3</v>
      </c>
      <c r="CE30" s="9">
        <f>F30-E30</f>
        <v>10</v>
      </c>
      <c r="CF30" s="9">
        <f>G30-F30</f>
        <v>2</v>
      </c>
      <c r="CG30" s="33"/>
      <c r="CH30" s="9">
        <f>C30-B30</f>
        <v>10</v>
      </c>
      <c r="CI30" s="9">
        <f>D30-C30</f>
        <v>17</v>
      </c>
      <c r="CJ30" s="9">
        <f>E30-D30</f>
        <v>3</v>
      </c>
      <c r="CK30" s="9">
        <f>F30-E30</f>
        <v>10</v>
      </c>
      <c r="CL30" s="9">
        <f>G30-F30</f>
        <v>2</v>
      </c>
      <c r="CM30" s="32"/>
      <c r="CN30" s="3">
        <f>IF(OR(CH30="",ISBLANK(CH30),CH30=0),0,IF(MOD(CH30,2)=1,1,2))</f>
        <v>2</v>
      </c>
      <c r="CO30" s="3">
        <f>IF(OR(CI30="",ISBLANK(CI30),CI30=0),0,IF(MOD(CI30,2)=1,1,2))</f>
        <v>1</v>
      </c>
      <c r="CP30" s="3">
        <f>IF(OR(CJ30="",ISBLANK(CJ30),CJ30=0),0,IF(MOD(CJ30,2)=1,1,2))</f>
        <v>1</v>
      </c>
      <c r="CQ30" s="3">
        <f>IF(OR(CK30="",ISBLANK(CK30),CK30=0),0,IF(MOD(CK30,2)=1,1,2))</f>
        <v>2</v>
      </c>
      <c r="CR30" s="3">
        <f>IF(OR(CL30="",ISBLANK(CL30),CL30=0),0,IF(MOD(CL30,2)=1,1,2))</f>
        <v>2</v>
      </c>
      <c r="CS30" s="31"/>
      <c r="CT30" s="3" cm="1">
        <f t="array" ref="CT30">SUMPRODUCT(--(MOD(CH30:CL30,2)=1))</f>
        <v>2</v>
      </c>
      <c r="CU30" s="3">
        <f>5-CT30</f>
        <v>3</v>
      </c>
      <c r="CV30" s="30"/>
      <c r="CW30" s="3" cm="1">
        <f t="array" ref="CW30">SUMPRODUCT(--(MOD(CH30:CL30,10)&gt;=1), --(MOD(CH30:CL30,10)&lt;=5))</f>
        <v>2</v>
      </c>
      <c r="CX30" s="3">
        <f>5-CW30</f>
        <v>3</v>
      </c>
      <c r="CY30" s="30"/>
      <c r="CZ30" s="3" cm="1">
        <f t="array" ref="CZ30">IFERROR(COUNT(_xlfn._xlws.FILTER(CH30:CL30, ISNUMBER(MATCH(CH30:CL30, {2,3,5,7,11,13,17,19,23,29,31,37,41,43}, 0)))), 0)</f>
        <v>3</v>
      </c>
      <c r="DA30" s="3" cm="1">
        <f t="array" ref="DA30">IFERROR(COUNT(_xlfn._xlws.FILTER(CH30:CL30, ISNUMBER(MATCH(CH30:CL30, {1,4,8,10,14,16,20,22,25,26,28,32,34,35,38,40,44}, 0)))), 0)</f>
        <v>2</v>
      </c>
      <c r="DB30" s="3" cm="1">
        <f t="array" ref="DB30">IFERROR(COUNT(_xlfn._xlws.FILTER(CH30:CL30, ISNUMBER(MATCH(CH30:CL30, {6,9,12,15,18,21,24,27,30,33,36,39,42,45}, 0)))), 0)</f>
        <v>0</v>
      </c>
      <c r="DC30" s="29"/>
      <c r="DD30" s="28" t="e">
        <f>#REF!</f>
        <v>#REF!</v>
      </c>
      <c r="DE30" s="28" t="e">
        <f>#REF!*2</f>
        <v>#REF!</v>
      </c>
      <c r="DF30" s="28" t="e">
        <f>#REF!</f>
        <v>#REF!</v>
      </c>
      <c r="DG30" s="28" t="e">
        <f>#REF!*2</f>
        <v>#REF!</v>
      </c>
      <c r="DH30" s="28" t="e">
        <f>#REF!</f>
        <v>#REF!</v>
      </c>
      <c r="DI30" s="28" t="e">
        <f>#REF!*2</f>
        <v>#REF!</v>
      </c>
      <c r="DJ30" s="28" t="e">
        <f>#REF!</f>
        <v>#REF!</v>
      </c>
      <c r="DK30" s="28" t="e">
        <f>#REF!*2</f>
        <v>#REF!</v>
      </c>
      <c r="DL30" s="28" t="e">
        <f>#REF!</f>
        <v>#REF!</v>
      </c>
      <c r="DM30" s="28" t="e">
        <f>#REF!*2</f>
        <v>#REF!</v>
      </c>
      <c r="DN30" s="27"/>
      <c r="DO30" s="26"/>
      <c r="DP30" s="26"/>
      <c r="DQ30" s="26"/>
      <c r="DR30" s="26"/>
      <c r="DS30" s="26"/>
      <c r="DT30" s="25"/>
    </row>
    <row r="31" spans="2:124" x14ac:dyDescent="0.3">
      <c r="B31" s="3">
        <v>16</v>
      </c>
      <c r="C31" s="3">
        <v>20</v>
      </c>
      <c r="D31" s="3">
        <v>26</v>
      </c>
      <c r="E31" s="3">
        <v>36</v>
      </c>
      <c r="F31" s="3">
        <v>42</v>
      </c>
      <c r="G31" s="3">
        <v>44</v>
      </c>
      <c r="H31" s="32"/>
      <c r="I31" s="3">
        <f>IF(OR(B31="",ISBLANK(B31),B31=0),0,IF(MOD(B31,2)=1,1,2))</f>
        <v>2</v>
      </c>
      <c r="J31" s="3">
        <f>IF(OR(C31="",ISBLANK(C31),C31=0),0,IF(MOD(C31,2)=1,1,2))</f>
        <v>2</v>
      </c>
      <c r="K31" s="3">
        <f>IF(OR(D31="",ISBLANK(D31),D31=0),0,IF(MOD(D31,2)=1,1,2))</f>
        <v>2</v>
      </c>
      <c r="L31" s="3">
        <f>IF(OR(E31="",ISBLANK(E31),E31=0),0,IF(MOD(E31,2)=1,1,2))</f>
        <v>2</v>
      </c>
      <c r="M31" s="3">
        <f>IF(OR(F31="",ISBLANK(F31),F31=0),0,IF(MOD(F31,2)=1,1,2))</f>
        <v>2</v>
      </c>
      <c r="N31" s="3">
        <f>IF(OR(G31="",ISBLANK(G31),G31=0),0,IF(MOD(G31,2)=1,1,2))</f>
        <v>2</v>
      </c>
      <c r="O31" s="32"/>
      <c r="P31" s="3" cm="1">
        <f t="array" ref="P31">SUMPRODUCT(--(MOD(B31:G31,2)=1))</f>
        <v>0</v>
      </c>
      <c r="Q31" s="3">
        <f>6-P31</f>
        <v>6</v>
      </c>
      <c r="R31" s="34"/>
      <c r="S31" s="3">
        <f>COUNTIFS(B31:G31,"&gt;=1",B31:G31,"&lt;=23")</f>
        <v>2</v>
      </c>
      <c r="T31" s="3">
        <f>6-S31</f>
        <v>4</v>
      </c>
      <c r="U31" s="34"/>
      <c r="V31" s="3" cm="1">
        <f t="array" ref="V31">SUMPRODUCT(--(MOD(B31:G31,10)&gt;=1), --(MOD(B31:G31,10)&lt;=5))</f>
        <v>2</v>
      </c>
      <c r="W31" s="3">
        <f>6-V31</f>
        <v>4</v>
      </c>
      <c r="X31" s="34"/>
      <c r="Y31" s="3" cm="1">
        <f t="array" ref="Y31">IFERROR(COUNT(_xlfn._xlws.FILTER(B31:G31, ISNUMBER(MATCH(B31:G31, {2,3,5,7,11,13,17,19,23,29,31,37,41,43}, 0)))), 0)</f>
        <v>0</v>
      </c>
      <c r="Z31" s="3" cm="1">
        <f t="array" ref="Z31">IFERROR(COUNT(_xlfn._xlws.FILTER(B31:G31, ISNUMBER(MATCH(B31:G31, {1,4,8,10,14,16,20,22,25,26,28,32,34,35,38,40,44}, 0)))), 0)</f>
        <v>4</v>
      </c>
      <c r="AA31" s="3" cm="1">
        <f t="array" ref="AA31">IFERROR(COUNT(_xlfn._xlws.FILTER(B31:G31, ISNUMBER(MATCH(B31:G31, {6,9,12,15,18,21,24,27,30,33,36,39,42,45}, 0)))), 0)</f>
        <v>2</v>
      </c>
      <c r="AB31" s="30"/>
      <c r="AC31" s="26"/>
      <c r="AD31" s="26"/>
      <c r="AE31" s="26"/>
      <c r="AF31" s="26"/>
      <c r="AG31" s="26"/>
      <c r="AH31" s="26"/>
      <c r="AI31" s="30"/>
      <c r="AJ31" s="3">
        <f>COUNTIFS(B31:G31,"&gt;=1",B31:G31,"&lt;=14")</f>
        <v>0</v>
      </c>
      <c r="AK31" s="3">
        <f>COUNTIFS(B31:G31,"&gt;=15",B31:G31,"&lt;=31")</f>
        <v>3</v>
      </c>
      <c r="AL31" s="3">
        <f>6-AK31-AJ31</f>
        <v>3</v>
      </c>
      <c r="AM31" s="33"/>
      <c r="AN31" s="3">
        <f>COUNTIFS($B31:$G31, "&gt;=1",$B31:$G31, "&lt;=9")</f>
        <v>0</v>
      </c>
      <c r="AO31" s="3">
        <f>COUNTIFS($B31:$G31, "&gt;=10",$B31:$G31, "&lt;=18")</f>
        <v>1</v>
      </c>
      <c r="AP31" s="3">
        <f>COUNTIFS($B31:$G31, "&gt;=19",$B31:$G31, "&lt;=27")</f>
        <v>2</v>
      </c>
      <c r="AQ31" s="3">
        <f>COUNTIFS($B31:$G31, "&gt;=28",$B31:$G31, "&lt;=36")</f>
        <v>1</v>
      </c>
      <c r="AR31" s="3">
        <f>COUNTIFS($B31:$G31, "&gt;=37",$B31:$G31, "&lt;=45")</f>
        <v>2</v>
      </c>
      <c r="AS31" s="28" t="e">
        <f>#REF!</f>
        <v>#REF!</v>
      </c>
      <c r="AT31" s="28" t="e">
        <f>#REF!*2</f>
        <v>#REF!</v>
      </c>
      <c r="AU31" s="28" t="e">
        <f>#REF!</f>
        <v>#REF!</v>
      </c>
      <c r="AV31" s="28" t="e">
        <f>#REF!*2</f>
        <v>#REF!</v>
      </c>
      <c r="AW31" s="28" t="e">
        <f>#REF!</f>
        <v>#REF!</v>
      </c>
      <c r="AX31" s="28" t="e">
        <f>#REF!*2</f>
        <v>#REF!</v>
      </c>
      <c r="AY31" s="28" t="e">
        <f>#REF!</f>
        <v>#REF!</v>
      </c>
      <c r="AZ31" s="28" t="e">
        <f>#REF!*2</f>
        <v>#REF!</v>
      </c>
      <c r="BA31" s="28" t="e">
        <f>#REF!</f>
        <v>#REF!</v>
      </c>
      <c r="BB31" s="28" t="e">
        <f>#REF!*2</f>
        <v>#REF!</v>
      </c>
      <c r="BC31" s="28" t="e">
        <f>#REF!</f>
        <v>#REF!</v>
      </c>
      <c r="BD31" s="28" t="e">
        <f>#REF!*2</f>
        <v>#REF!</v>
      </c>
      <c r="BE31" s="9" t="e">
        <f>#REF!-#REF!</f>
        <v>#REF!</v>
      </c>
      <c r="BF31" s="9" t="e">
        <f>#REF!-#REF!</f>
        <v>#REF!</v>
      </c>
      <c r="BG31" s="9" t="e">
        <f>#REF!-#REF!</f>
        <v>#REF!</v>
      </c>
      <c r="BH31" s="9" t="e">
        <f>#REF!-#REF!</f>
        <v>#REF!</v>
      </c>
      <c r="BI31" s="9" t="e">
        <f>#REF!-#REF!</f>
        <v>#REF!</v>
      </c>
      <c r="BJ31" s="33"/>
      <c r="BK31" s="3">
        <f>COUNTIFS(B31:G31, "&gt;=1", B31:G31, "&lt;=9")</f>
        <v>0</v>
      </c>
      <c r="BL31" s="3">
        <f>COUNTIFS(B31:G31, "&gt;=10", B31:G31, "&lt;=19")</f>
        <v>1</v>
      </c>
      <c r="BM31" s="3">
        <f>COUNTIFS(B31:G31, "&gt;=20", B31:G31, "&lt;=29")</f>
        <v>2</v>
      </c>
      <c r="BN31" s="3">
        <f>COUNTIFS(B31:G31, "&gt;=30", B31:G31, "&lt;=39")</f>
        <v>1</v>
      </c>
      <c r="BO31" s="3">
        <f>COUNTIFS(B31:G31, "&gt;=40", B31:G31, "&lt;=45")</f>
        <v>2</v>
      </c>
      <c r="BP31" s="28" t="e">
        <f>#REF!</f>
        <v>#REF!</v>
      </c>
      <c r="BQ31" s="28" t="e">
        <f>#REF!*2</f>
        <v>#REF!</v>
      </c>
      <c r="BR31" s="28" t="e">
        <f>#REF!</f>
        <v>#REF!</v>
      </c>
      <c r="BS31" s="28" t="e">
        <f>#REF!*2</f>
        <v>#REF!</v>
      </c>
      <c r="BT31" s="28" t="e">
        <f>#REF!</f>
        <v>#REF!</v>
      </c>
      <c r="BU31" s="28" t="e">
        <f>#REF!*2</f>
        <v>#REF!</v>
      </c>
      <c r="BV31" s="28" t="e">
        <f>#REF!</f>
        <v>#REF!</v>
      </c>
      <c r="BW31" s="28" t="e">
        <f>#REF!*2</f>
        <v>#REF!</v>
      </c>
      <c r="BX31" s="28" t="e">
        <f>#REF!</f>
        <v>#REF!</v>
      </c>
      <c r="BY31" s="28" t="e">
        <f>#REF!*2</f>
        <v>#REF!</v>
      </c>
      <c r="BZ31" s="28" t="e">
        <f>#REF!</f>
        <v>#REF!</v>
      </c>
      <c r="CA31" s="28" t="e">
        <f>#REF!*2</f>
        <v>#REF!</v>
      </c>
      <c r="CB31" s="9">
        <f>C31-B31</f>
        <v>4</v>
      </c>
      <c r="CC31" s="9">
        <f>D31-C31</f>
        <v>6</v>
      </c>
      <c r="CD31" s="9">
        <f>E31-D31</f>
        <v>10</v>
      </c>
      <c r="CE31" s="9">
        <f>F31-E31</f>
        <v>6</v>
      </c>
      <c r="CF31" s="9">
        <f>G31-F31</f>
        <v>2</v>
      </c>
      <c r="CG31" s="33"/>
      <c r="CH31" s="9">
        <f>C31-B31</f>
        <v>4</v>
      </c>
      <c r="CI31" s="9">
        <f>D31-C31</f>
        <v>6</v>
      </c>
      <c r="CJ31" s="9">
        <f>E31-D31</f>
        <v>10</v>
      </c>
      <c r="CK31" s="9">
        <f>F31-E31</f>
        <v>6</v>
      </c>
      <c r="CL31" s="9">
        <f>G31-F31</f>
        <v>2</v>
      </c>
      <c r="CM31" s="32"/>
      <c r="CN31" s="3">
        <f>IF(OR(CH31="",ISBLANK(CH31),CH31=0),0,IF(MOD(CH31,2)=1,1,2))</f>
        <v>2</v>
      </c>
      <c r="CO31" s="3">
        <f>IF(OR(CI31="",ISBLANK(CI31),CI31=0),0,IF(MOD(CI31,2)=1,1,2))</f>
        <v>2</v>
      </c>
      <c r="CP31" s="3">
        <f>IF(OR(CJ31="",ISBLANK(CJ31),CJ31=0),0,IF(MOD(CJ31,2)=1,1,2))</f>
        <v>2</v>
      </c>
      <c r="CQ31" s="3">
        <f>IF(OR(CK31="",ISBLANK(CK31),CK31=0),0,IF(MOD(CK31,2)=1,1,2))</f>
        <v>2</v>
      </c>
      <c r="CR31" s="3">
        <f>IF(OR(CL31="",ISBLANK(CL31),CL31=0),0,IF(MOD(CL31,2)=1,1,2))</f>
        <v>2</v>
      </c>
      <c r="CS31" s="31"/>
      <c r="CT31" s="3" cm="1">
        <f t="array" ref="CT31">SUMPRODUCT(--(MOD(CH31:CL31,2)=1))</f>
        <v>0</v>
      </c>
      <c r="CU31" s="3">
        <f>5-CT31</f>
        <v>5</v>
      </c>
      <c r="CV31" s="30"/>
      <c r="CW31" s="3" cm="1">
        <f t="array" ref="CW31">SUMPRODUCT(--(MOD(CH31:CL31,10)&gt;=1), --(MOD(CH31:CL31,10)&lt;=5))</f>
        <v>2</v>
      </c>
      <c r="CX31" s="3">
        <f>5-CW31</f>
        <v>3</v>
      </c>
      <c r="CY31" s="30"/>
      <c r="CZ31" s="3" cm="1">
        <f t="array" ref="CZ31">IFERROR(COUNT(_xlfn._xlws.FILTER(CH31:CL31, ISNUMBER(MATCH(CH31:CL31, {2,3,5,7,11,13,17,19,23,29,31,37,41,43}, 0)))), 0)</f>
        <v>1</v>
      </c>
      <c r="DA31" s="3" cm="1">
        <f t="array" ref="DA31">IFERROR(COUNT(_xlfn._xlws.FILTER(CH31:CL31, ISNUMBER(MATCH(CH31:CL31, {1,4,8,10,14,16,20,22,25,26,28,32,34,35,38,40,44}, 0)))), 0)</f>
        <v>2</v>
      </c>
      <c r="DB31" s="3" cm="1">
        <f t="array" ref="DB31">IFERROR(COUNT(_xlfn._xlws.FILTER(CH31:CL31, ISNUMBER(MATCH(CH31:CL31, {6,9,12,15,18,21,24,27,30,33,36,39,42,45}, 0)))), 0)</f>
        <v>2</v>
      </c>
      <c r="DC31" s="29"/>
      <c r="DD31" s="28" t="e">
        <f>#REF!</f>
        <v>#REF!</v>
      </c>
      <c r="DE31" s="28" t="e">
        <f>#REF!*2</f>
        <v>#REF!</v>
      </c>
      <c r="DF31" s="28" t="e">
        <f>#REF!</f>
        <v>#REF!</v>
      </c>
      <c r="DG31" s="28" t="e">
        <f>#REF!*2</f>
        <v>#REF!</v>
      </c>
      <c r="DH31" s="28" t="e">
        <f>#REF!</f>
        <v>#REF!</v>
      </c>
      <c r="DI31" s="28" t="e">
        <f>#REF!*2</f>
        <v>#REF!</v>
      </c>
      <c r="DJ31" s="28" t="e">
        <f>#REF!</f>
        <v>#REF!</v>
      </c>
      <c r="DK31" s="28" t="e">
        <f>#REF!*2</f>
        <v>#REF!</v>
      </c>
      <c r="DL31" s="28" t="e">
        <f>#REF!</f>
        <v>#REF!</v>
      </c>
      <c r="DM31" s="28" t="e">
        <f>#REF!*2</f>
        <v>#REF!</v>
      </c>
      <c r="DN31" s="27"/>
      <c r="DO31" s="26"/>
      <c r="DP31" s="26"/>
      <c r="DQ31" s="26"/>
      <c r="DR31" s="26"/>
      <c r="DS31" s="26"/>
      <c r="DT31" s="25"/>
    </row>
    <row r="32" spans="2:124" x14ac:dyDescent="0.3">
      <c r="B32" s="3">
        <v>11</v>
      </c>
      <c r="C32" s="3">
        <v>13</v>
      </c>
      <c r="D32" s="3">
        <v>20</v>
      </c>
      <c r="E32" s="3">
        <v>21</v>
      </c>
      <c r="F32" s="3">
        <v>32</v>
      </c>
      <c r="G32" s="3">
        <v>44</v>
      </c>
      <c r="H32" s="32"/>
      <c r="I32" s="3">
        <f>IF(OR(B32="",ISBLANK(B32),B32=0),0,IF(MOD(B32,2)=1,1,2))</f>
        <v>1</v>
      </c>
      <c r="J32" s="3">
        <f>IF(OR(C32="",ISBLANK(C32),C32=0),0,IF(MOD(C32,2)=1,1,2))</f>
        <v>1</v>
      </c>
      <c r="K32" s="3">
        <f>IF(OR(D32="",ISBLANK(D32),D32=0),0,IF(MOD(D32,2)=1,1,2))</f>
        <v>2</v>
      </c>
      <c r="L32" s="3">
        <f>IF(OR(E32="",ISBLANK(E32),E32=0),0,IF(MOD(E32,2)=1,1,2))</f>
        <v>1</v>
      </c>
      <c r="M32" s="3">
        <f>IF(OR(F32="",ISBLANK(F32),F32=0),0,IF(MOD(F32,2)=1,1,2))</f>
        <v>2</v>
      </c>
      <c r="N32" s="3">
        <f>IF(OR(G32="",ISBLANK(G32),G32=0),0,IF(MOD(G32,2)=1,1,2))</f>
        <v>2</v>
      </c>
      <c r="O32" s="32"/>
      <c r="P32" s="3" cm="1">
        <f t="array" ref="P32">SUMPRODUCT(--(MOD(B32:G32,2)=1))</f>
        <v>3</v>
      </c>
      <c r="Q32" s="3">
        <f>6-P32</f>
        <v>3</v>
      </c>
      <c r="R32" s="34"/>
      <c r="S32" s="3">
        <f>COUNTIFS(B32:G32,"&gt;=1",B32:G32,"&lt;=23")</f>
        <v>4</v>
      </c>
      <c r="T32" s="3">
        <f>6-S32</f>
        <v>2</v>
      </c>
      <c r="U32" s="34"/>
      <c r="V32" s="3" cm="1">
        <f t="array" ref="V32">SUMPRODUCT(--(MOD(B32:G32,10)&gt;=1), --(MOD(B32:G32,10)&lt;=5))</f>
        <v>5</v>
      </c>
      <c r="W32" s="3">
        <f>6-V32</f>
        <v>1</v>
      </c>
      <c r="X32" s="34"/>
      <c r="Y32" s="3" cm="1">
        <f t="array" ref="Y32">IFERROR(COUNT(_xlfn._xlws.FILTER(B32:G32, ISNUMBER(MATCH(B32:G32, {2,3,5,7,11,13,17,19,23,29,31,37,41,43}, 0)))), 0)</f>
        <v>2</v>
      </c>
      <c r="Z32" s="3" cm="1">
        <f t="array" ref="Z32">IFERROR(COUNT(_xlfn._xlws.FILTER(B32:G32, ISNUMBER(MATCH(B32:G32, {1,4,8,10,14,16,20,22,25,26,28,32,34,35,38,40,44}, 0)))), 0)</f>
        <v>3</v>
      </c>
      <c r="AA32" s="3" cm="1">
        <f t="array" ref="AA32">IFERROR(COUNT(_xlfn._xlws.FILTER(B32:G32, ISNUMBER(MATCH(B32:G32, {6,9,12,15,18,21,24,27,30,33,36,39,42,45}, 0)))), 0)</f>
        <v>1</v>
      </c>
      <c r="AB32" s="30"/>
      <c r="AC32" s="26"/>
      <c r="AD32" s="26"/>
      <c r="AE32" s="26"/>
      <c r="AF32" s="26"/>
      <c r="AG32" s="26"/>
      <c r="AH32" s="26"/>
      <c r="AI32" s="30"/>
      <c r="AJ32" s="3">
        <f>COUNTIFS(B32:G32,"&gt;=1",B32:G32,"&lt;=14")</f>
        <v>2</v>
      </c>
      <c r="AK32" s="3">
        <f>COUNTIFS(B32:G32,"&gt;=15",B32:G32,"&lt;=31")</f>
        <v>2</v>
      </c>
      <c r="AL32" s="3">
        <f>6-AK32-AJ32</f>
        <v>2</v>
      </c>
      <c r="AM32" s="33"/>
      <c r="AN32" s="3">
        <f>COUNTIFS($B32:$G32, "&gt;=1",$B32:$G32, "&lt;=9")</f>
        <v>0</v>
      </c>
      <c r="AO32" s="3">
        <f>COUNTIFS($B32:$G32, "&gt;=10",$B32:$G32, "&lt;=18")</f>
        <v>2</v>
      </c>
      <c r="AP32" s="3">
        <f>COUNTIFS($B32:$G32, "&gt;=19",$B32:$G32, "&lt;=27")</f>
        <v>2</v>
      </c>
      <c r="AQ32" s="3">
        <f>COUNTIFS($B32:$G32, "&gt;=28",$B32:$G32, "&lt;=36")</f>
        <v>1</v>
      </c>
      <c r="AR32" s="3">
        <f>COUNTIFS($B32:$G32, "&gt;=37",$B32:$G32, "&lt;=45")</f>
        <v>1</v>
      </c>
      <c r="AS32" s="28" t="e">
        <f>#REF!</f>
        <v>#REF!</v>
      </c>
      <c r="AT32" s="28" t="e">
        <f>#REF!*2</f>
        <v>#REF!</v>
      </c>
      <c r="AU32" s="28" t="e">
        <f>#REF!</f>
        <v>#REF!</v>
      </c>
      <c r="AV32" s="28" t="e">
        <f>#REF!*2</f>
        <v>#REF!</v>
      </c>
      <c r="AW32" s="28" t="e">
        <f>#REF!</f>
        <v>#REF!</v>
      </c>
      <c r="AX32" s="28" t="e">
        <f>#REF!*2</f>
        <v>#REF!</v>
      </c>
      <c r="AY32" s="28" t="e">
        <f>#REF!</f>
        <v>#REF!</v>
      </c>
      <c r="AZ32" s="28" t="e">
        <f>#REF!*2</f>
        <v>#REF!</v>
      </c>
      <c r="BA32" s="28" t="e">
        <f>#REF!</f>
        <v>#REF!</v>
      </c>
      <c r="BB32" s="28" t="e">
        <f>#REF!*2</f>
        <v>#REF!</v>
      </c>
      <c r="BC32" s="28" t="e">
        <f>#REF!</f>
        <v>#REF!</v>
      </c>
      <c r="BD32" s="28" t="e">
        <f>#REF!*2</f>
        <v>#REF!</v>
      </c>
      <c r="BE32" s="9" t="e">
        <f>#REF!-#REF!</f>
        <v>#REF!</v>
      </c>
      <c r="BF32" s="9" t="e">
        <f>#REF!-#REF!</f>
        <v>#REF!</v>
      </c>
      <c r="BG32" s="9" t="e">
        <f>#REF!-#REF!</f>
        <v>#REF!</v>
      </c>
      <c r="BH32" s="9" t="e">
        <f>#REF!-#REF!</f>
        <v>#REF!</v>
      </c>
      <c r="BI32" s="9" t="e">
        <f>#REF!-#REF!</f>
        <v>#REF!</v>
      </c>
      <c r="BJ32" s="33"/>
      <c r="BK32" s="3">
        <f>COUNTIFS(B32:G32, "&gt;=1", B32:G32, "&lt;=9")</f>
        <v>0</v>
      </c>
      <c r="BL32" s="3">
        <f>COUNTIFS(B32:G32, "&gt;=10", B32:G32, "&lt;=19")</f>
        <v>2</v>
      </c>
      <c r="BM32" s="3">
        <f>COUNTIFS(B32:G32, "&gt;=20", B32:G32, "&lt;=29")</f>
        <v>2</v>
      </c>
      <c r="BN32" s="3">
        <f>COUNTIFS(B32:G32, "&gt;=30", B32:G32, "&lt;=39")</f>
        <v>1</v>
      </c>
      <c r="BO32" s="3">
        <f>COUNTIFS(B32:G32, "&gt;=40", B32:G32, "&lt;=45")</f>
        <v>1</v>
      </c>
      <c r="BP32" s="28" t="e">
        <f>#REF!</f>
        <v>#REF!</v>
      </c>
      <c r="BQ32" s="28" t="e">
        <f>#REF!*2</f>
        <v>#REF!</v>
      </c>
      <c r="BR32" s="28" t="e">
        <f>#REF!</f>
        <v>#REF!</v>
      </c>
      <c r="BS32" s="28" t="e">
        <f>#REF!*2</f>
        <v>#REF!</v>
      </c>
      <c r="BT32" s="28" t="e">
        <f>#REF!</f>
        <v>#REF!</v>
      </c>
      <c r="BU32" s="28" t="e">
        <f>#REF!*2</f>
        <v>#REF!</v>
      </c>
      <c r="BV32" s="28" t="e">
        <f>#REF!</f>
        <v>#REF!</v>
      </c>
      <c r="BW32" s="28" t="e">
        <f>#REF!*2</f>
        <v>#REF!</v>
      </c>
      <c r="BX32" s="28" t="e">
        <f>#REF!</f>
        <v>#REF!</v>
      </c>
      <c r="BY32" s="28" t="e">
        <f>#REF!*2</f>
        <v>#REF!</v>
      </c>
      <c r="BZ32" s="28" t="e">
        <f>#REF!</f>
        <v>#REF!</v>
      </c>
      <c r="CA32" s="28" t="e">
        <f>#REF!*2</f>
        <v>#REF!</v>
      </c>
      <c r="CB32" s="9">
        <f>C32-B32</f>
        <v>2</v>
      </c>
      <c r="CC32" s="9">
        <f>D32-C32</f>
        <v>7</v>
      </c>
      <c r="CD32" s="9">
        <f>E32-D32</f>
        <v>1</v>
      </c>
      <c r="CE32" s="9">
        <f>F32-E32</f>
        <v>11</v>
      </c>
      <c r="CF32" s="9">
        <f>G32-F32</f>
        <v>12</v>
      </c>
      <c r="CG32" s="33"/>
      <c r="CH32" s="9">
        <f>C32-B32</f>
        <v>2</v>
      </c>
      <c r="CI32" s="9">
        <f>D32-C32</f>
        <v>7</v>
      </c>
      <c r="CJ32" s="9">
        <f>E32-D32</f>
        <v>1</v>
      </c>
      <c r="CK32" s="9">
        <f>F32-E32</f>
        <v>11</v>
      </c>
      <c r="CL32" s="9">
        <f>G32-F32</f>
        <v>12</v>
      </c>
      <c r="CM32" s="32"/>
      <c r="CN32" s="3">
        <f>IF(OR(CH32="",ISBLANK(CH32),CH32=0),0,IF(MOD(CH32,2)=1,1,2))</f>
        <v>2</v>
      </c>
      <c r="CO32" s="3">
        <f>IF(OR(CI32="",ISBLANK(CI32),CI32=0),0,IF(MOD(CI32,2)=1,1,2))</f>
        <v>1</v>
      </c>
      <c r="CP32" s="3">
        <f>IF(OR(CJ32="",ISBLANK(CJ32),CJ32=0),0,IF(MOD(CJ32,2)=1,1,2))</f>
        <v>1</v>
      </c>
      <c r="CQ32" s="3">
        <f>IF(OR(CK32="",ISBLANK(CK32),CK32=0),0,IF(MOD(CK32,2)=1,1,2))</f>
        <v>1</v>
      </c>
      <c r="CR32" s="3">
        <f>IF(OR(CL32="",ISBLANK(CL32),CL32=0),0,IF(MOD(CL32,2)=1,1,2))</f>
        <v>2</v>
      </c>
      <c r="CS32" s="31"/>
      <c r="CT32" s="3" cm="1">
        <f t="array" ref="CT32">SUMPRODUCT(--(MOD(CH32:CL32,2)=1))</f>
        <v>3</v>
      </c>
      <c r="CU32" s="3">
        <f>5-CT32</f>
        <v>2</v>
      </c>
      <c r="CV32" s="30"/>
      <c r="CW32" s="3" cm="1">
        <f t="array" ref="CW32">SUMPRODUCT(--(MOD(CH32:CL32,10)&gt;=1), --(MOD(CH32:CL32,10)&lt;=5))</f>
        <v>4</v>
      </c>
      <c r="CX32" s="3">
        <f>5-CW32</f>
        <v>1</v>
      </c>
      <c r="CY32" s="30"/>
      <c r="CZ32" s="3" cm="1">
        <f t="array" ref="CZ32">IFERROR(COUNT(_xlfn._xlws.FILTER(CH32:CL32, ISNUMBER(MATCH(CH32:CL32, {2,3,5,7,11,13,17,19,23,29,31,37,41,43}, 0)))), 0)</f>
        <v>3</v>
      </c>
      <c r="DA32" s="3" cm="1">
        <f t="array" ref="DA32">IFERROR(COUNT(_xlfn._xlws.FILTER(CH32:CL32, ISNUMBER(MATCH(CH32:CL32, {1,4,8,10,14,16,20,22,25,26,28,32,34,35,38,40,44}, 0)))), 0)</f>
        <v>1</v>
      </c>
      <c r="DB32" s="3" cm="1">
        <f t="array" ref="DB32">IFERROR(COUNT(_xlfn._xlws.FILTER(CH32:CL32, ISNUMBER(MATCH(CH32:CL32, {6,9,12,15,18,21,24,27,30,33,36,39,42,45}, 0)))), 0)</f>
        <v>1</v>
      </c>
      <c r="DC32" s="29"/>
      <c r="DD32" s="28" t="e">
        <f>#REF!</f>
        <v>#REF!</v>
      </c>
      <c r="DE32" s="28" t="e">
        <f>#REF!*2</f>
        <v>#REF!</v>
      </c>
      <c r="DF32" s="28" t="e">
        <f>#REF!</f>
        <v>#REF!</v>
      </c>
      <c r="DG32" s="28" t="e">
        <f>#REF!*2</f>
        <v>#REF!</v>
      </c>
      <c r="DH32" s="28" t="e">
        <f>#REF!</f>
        <v>#REF!</v>
      </c>
      <c r="DI32" s="28" t="e">
        <f>#REF!*2</f>
        <v>#REF!</v>
      </c>
      <c r="DJ32" s="28" t="e">
        <f>#REF!</f>
        <v>#REF!</v>
      </c>
      <c r="DK32" s="28" t="e">
        <f>#REF!*2</f>
        <v>#REF!</v>
      </c>
      <c r="DL32" s="28" t="e">
        <f>#REF!</f>
        <v>#REF!</v>
      </c>
      <c r="DM32" s="28" t="e">
        <f>#REF!*2</f>
        <v>#REF!</v>
      </c>
      <c r="DN32" s="27"/>
      <c r="DO32" s="26"/>
      <c r="DP32" s="26"/>
      <c r="DQ32" s="26"/>
      <c r="DR32" s="26"/>
      <c r="DS32" s="26"/>
      <c r="DT32" s="25"/>
    </row>
    <row r="33" spans="2:124" x14ac:dyDescent="0.3">
      <c r="B33" s="3">
        <v>10</v>
      </c>
      <c r="C33" s="3">
        <v>16</v>
      </c>
      <c r="D33" s="3">
        <v>19</v>
      </c>
      <c r="E33" s="3">
        <v>32</v>
      </c>
      <c r="F33" s="3">
        <v>33</v>
      </c>
      <c r="G33" s="3">
        <v>38</v>
      </c>
      <c r="H33" s="32"/>
      <c r="I33" s="3">
        <f>IF(OR(B33="",ISBLANK(B33),B33=0),0,IF(MOD(B33,2)=1,1,2))</f>
        <v>2</v>
      </c>
      <c r="J33" s="3">
        <f>IF(OR(C33="",ISBLANK(C33),C33=0),0,IF(MOD(C33,2)=1,1,2))</f>
        <v>2</v>
      </c>
      <c r="K33" s="3">
        <f>IF(OR(D33="",ISBLANK(D33),D33=0),0,IF(MOD(D33,2)=1,1,2))</f>
        <v>1</v>
      </c>
      <c r="L33" s="3">
        <f>IF(OR(E33="",ISBLANK(E33),E33=0),0,IF(MOD(E33,2)=1,1,2))</f>
        <v>2</v>
      </c>
      <c r="M33" s="3">
        <f>IF(OR(F33="",ISBLANK(F33),F33=0),0,IF(MOD(F33,2)=1,1,2))</f>
        <v>1</v>
      </c>
      <c r="N33" s="3">
        <f>IF(OR(G33="",ISBLANK(G33),G33=0),0,IF(MOD(G33,2)=1,1,2))</f>
        <v>2</v>
      </c>
      <c r="O33" s="32"/>
      <c r="P33" s="3" cm="1">
        <f t="array" ref="P33">SUMPRODUCT(--(MOD(B33:G33,2)=1))</f>
        <v>2</v>
      </c>
      <c r="Q33" s="3">
        <f>6-P33</f>
        <v>4</v>
      </c>
      <c r="R33" s="34"/>
      <c r="S33" s="3">
        <f>COUNTIFS(B33:G33,"&gt;=1",B33:G33,"&lt;=23")</f>
        <v>3</v>
      </c>
      <c r="T33" s="3">
        <f>6-S33</f>
        <v>3</v>
      </c>
      <c r="U33" s="34"/>
      <c r="V33" s="3" cm="1">
        <f t="array" ref="V33">SUMPRODUCT(--(MOD(B33:G33,10)&gt;=1), --(MOD(B33:G33,10)&lt;=5))</f>
        <v>2</v>
      </c>
      <c r="W33" s="3">
        <f>6-V33</f>
        <v>4</v>
      </c>
      <c r="X33" s="34"/>
      <c r="Y33" s="3" cm="1">
        <f t="array" ref="Y33">IFERROR(COUNT(_xlfn._xlws.FILTER(B33:G33, ISNUMBER(MATCH(B33:G33, {2,3,5,7,11,13,17,19,23,29,31,37,41,43}, 0)))), 0)</f>
        <v>1</v>
      </c>
      <c r="Z33" s="3" cm="1">
        <f t="array" ref="Z33">IFERROR(COUNT(_xlfn._xlws.FILTER(B33:G33, ISNUMBER(MATCH(B33:G33, {1,4,8,10,14,16,20,22,25,26,28,32,34,35,38,40,44}, 0)))), 0)</f>
        <v>4</v>
      </c>
      <c r="AA33" s="3" cm="1">
        <f t="array" ref="AA33">IFERROR(COUNT(_xlfn._xlws.FILTER(B33:G33, ISNUMBER(MATCH(B33:G33, {6,9,12,15,18,21,24,27,30,33,36,39,42,45}, 0)))), 0)</f>
        <v>1</v>
      </c>
      <c r="AB33" s="30"/>
      <c r="AC33" s="26"/>
      <c r="AD33" s="26"/>
      <c r="AE33" s="26"/>
      <c r="AF33" s="26"/>
      <c r="AG33" s="26"/>
      <c r="AH33" s="26"/>
      <c r="AI33" s="30"/>
      <c r="AJ33" s="3">
        <f>COUNTIFS(B33:G33,"&gt;=1",B33:G33,"&lt;=14")</f>
        <v>1</v>
      </c>
      <c r="AK33" s="3">
        <f>COUNTIFS(B33:G33,"&gt;=15",B33:G33,"&lt;=31")</f>
        <v>2</v>
      </c>
      <c r="AL33" s="3">
        <f>6-AK33-AJ33</f>
        <v>3</v>
      </c>
      <c r="AM33" s="33"/>
      <c r="AN33" s="3">
        <f>COUNTIFS($B33:$G33, "&gt;=1",$B33:$G33, "&lt;=9")</f>
        <v>0</v>
      </c>
      <c r="AO33" s="3">
        <f>COUNTIFS($B33:$G33, "&gt;=10",$B33:$G33, "&lt;=18")</f>
        <v>2</v>
      </c>
      <c r="AP33" s="3">
        <f>COUNTIFS($B33:$G33, "&gt;=19",$B33:$G33, "&lt;=27")</f>
        <v>1</v>
      </c>
      <c r="AQ33" s="3">
        <f>COUNTIFS($B33:$G33, "&gt;=28",$B33:$G33, "&lt;=36")</f>
        <v>2</v>
      </c>
      <c r="AR33" s="3">
        <f>COUNTIFS($B33:$G33, "&gt;=37",$B33:$G33, "&lt;=45")</f>
        <v>1</v>
      </c>
      <c r="AS33" s="28" t="e">
        <f>#REF!</f>
        <v>#REF!</v>
      </c>
      <c r="AT33" s="28" t="e">
        <f>#REF!*2</f>
        <v>#REF!</v>
      </c>
      <c r="AU33" s="28" t="e">
        <f>#REF!</f>
        <v>#REF!</v>
      </c>
      <c r="AV33" s="28" t="e">
        <f>#REF!*2</f>
        <v>#REF!</v>
      </c>
      <c r="AW33" s="28" t="e">
        <f>#REF!</f>
        <v>#REF!</v>
      </c>
      <c r="AX33" s="28" t="e">
        <f>#REF!*2</f>
        <v>#REF!</v>
      </c>
      <c r="AY33" s="28" t="e">
        <f>#REF!</f>
        <v>#REF!</v>
      </c>
      <c r="AZ33" s="28" t="e">
        <f>#REF!*2</f>
        <v>#REF!</v>
      </c>
      <c r="BA33" s="28" t="e">
        <f>#REF!</f>
        <v>#REF!</v>
      </c>
      <c r="BB33" s="28" t="e">
        <f>#REF!*2</f>
        <v>#REF!</v>
      </c>
      <c r="BC33" s="28" t="e">
        <f>#REF!</f>
        <v>#REF!</v>
      </c>
      <c r="BD33" s="28" t="e">
        <f>#REF!*2</f>
        <v>#REF!</v>
      </c>
      <c r="BE33" s="9" t="e">
        <f>#REF!-#REF!</f>
        <v>#REF!</v>
      </c>
      <c r="BF33" s="9" t="e">
        <f>#REF!-#REF!</f>
        <v>#REF!</v>
      </c>
      <c r="BG33" s="9" t="e">
        <f>#REF!-#REF!</f>
        <v>#REF!</v>
      </c>
      <c r="BH33" s="9" t="e">
        <f>#REF!-#REF!</f>
        <v>#REF!</v>
      </c>
      <c r="BI33" s="9" t="e">
        <f>#REF!-#REF!</f>
        <v>#REF!</v>
      </c>
      <c r="BJ33" s="33"/>
      <c r="BK33" s="3">
        <f>COUNTIFS(B33:G33, "&gt;=1", B33:G33, "&lt;=9")</f>
        <v>0</v>
      </c>
      <c r="BL33" s="3">
        <f>COUNTIFS(B33:G33, "&gt;=10", B33:G33, "&lt;=19")</f>
        <v>3</v>
      </c>
      <c r="BM33" s="3">
        <f>COUNTIFS(B33:G33, "&gt;=20", B33:G33, "&lt;=29")</f>
        <v>0</v>
      </c>
      <c r="BN33" s="3">
        <f>COUNTIFS(B33:G33, "&gt;=30", B33:G33, "&lt;=39")</f>
        <v>3</v>
      </c>
      <c r="BO33" s="3">
        <f>COUNTIFS(B33:G33, "&gt;=40", B33:G33, "&lt;=45")</f>
        <v>0</v>
      </c>
      <c r="BP33" s="28" t="e">
        <f>#REF!</f>
        <v>#REF!</v>
      </c>
      <c r="BQ33" s="28" t="e">
        <f>#REF!*2</f>
        <v>#REF!</v>
      </c>
      <c r="BR33" s="28" t="e">
        <f>#REF!</f>
        <v>#REF!</v>
      </c>
      <c r="BS33" s="28" t="e">
        <f>#REF!*2</f>
        <v>#REF!</v>
      </c>
      <c r="BT33" s="28" t="e">
        <f>#REF!</f>
        <v>#REF!</v>
      </c>
      <c r="BU33" s="28" t="e">
        <f>#REF!*2</f>
        <v>#REF!</v>
      </c>
      <c r="BV33" s="28" t="e">
        <f>#REF!</f>
        <v>#REF!</v>
      </c>
      <c r="BW33" s="28" t="e">
        <f>#REF!*2</f>
        <v>#REF!</v>
      </c>
      <c r="BX33" s="28" t="e">
        <f>#REF!</f>
        <v>#REF!</v>
      </c>
      <c r="BY33" s="28" t="e">
        <f>#REF!*2</f>
        <v>#REF!</v>
      </c>
      <c r="BZ33" s="28" t="e">
        <f>#REF!</f>
        <v>#REF!</v>
      </c>
      <c r="CA33" s="28" t="e">
        <f>#REF!*2</f>
        <v>#REF!</v>
      </c>
      <c r="CB33" s="9">
        <f>C33-B33</f>
        <v>6</v>
      </c>
      <c r="CC33" s="9">
        <f>D33-C33</f>
        <v>3</v>
      </c>
      <c r="CD33" s="9">
        <f>E33-D33</f>
        <v>13</v>
      </c>
      <c r="CE33" s="9">
        <f>F33-E33</f>
        <v>1</v>
      </c>
      <c r="CF33" s="9">
        <f>G33-F33</f>
        <v>5</v>
      </c>
      <c r="CG33" s="33"/>
      <c r="CH33" s="9">
        <f>C33-B33</f>
        <v>6</v>
      </c>
      <c r="CI33" s="9">
        <f>D33-C33</f>
        <v>3</v>
      </c>
      <c r="CJ33" s="9">
        <f>E33-D33</f>
        <v>13</v>
      </c>
      <c r="CK33" s="9">
        <f>F33-E33</f>
        <v>1</v>
      </c>
      <c r="CL33" s="9">
        <f>G33-F33</f>
        <v>5</v>
      </c>
      <c r="CM33" s="32"/>
      <c r="CN33" s="3">
        <f>IF(OR(CH33="",ISBLANK(CH33),CH33=0),0,IF(MOD(CH33,2)=1,1,2))</f>
        <v>2</v>
      </c>
      <c r="CO33" s="3">
        <f>IF(OR(CI33="",ISBLANK(CI33),CI33=0),0,IF(MOD(CI33,2)=1,1,2))</f>
        <v>1</v>
      </c>
      <c r="CP33" s="3">
        <f>IF(OR(CJ33="",ISBLANK(CJ33),CJ33=0),0,IF(MOD(CJ33,2)=1,1,2))</f>
        <v>1</v>
      </c>
      <c r="CQ33" s="3">
        <f>IF(OR(CK33="",ISBLANK(CK33),CK33=0),0,IF(MOD(CK33,2)=1,1,2))</f>
        <v>1</v>
      </c>
      <c r="CR33" s="3">
        <f>IF(OR(CL33="",ISBLANK(CL33),CL33=0),0,IF(MOD(CL33,2)=1,1,2))</f>
        <v>1</v>
      </c>
      <c r="CS33" s="31"/>
      <c r="CT33" s="3" cm="1">
        <f t="array" ref="CT33">SUMPRODUCT(--(MOD(CH33:CL33,2)=1))</f>
        <v>4</v>
      </c>
      <c r="CU33" s="3">
        <f>5-CT33</f>
        <v>1</v>
      </c>
      <c r="CV33" s="30"/>
      <c r="CW33" s="3" cm="1">
        <f t="array" ref="CW33">SUMPRODUCT(--(MOD(CH33:CL33,10)&gt;=1), --(MOD(CH33:CL33,10)&lt;=5))</f>
        <v>4</v>
      </c>
      <c r="CX33" s="3">
        <f>5-CW33</f>
        <v>1</v>
      </c>
      <c r="CY33" s="30"/>
      <c r="CZ33" s="3" cm="1">
        <f t="array" ref="CZ33">IFERROR(COUNT(_xlfn._xlws.FILTER(CH33:CL33, ISNUMBER(MATCH(CH33:CL33, {2,3,5,7,11,13,17,19,23,29,31,37,41,43}, 0)))), 0)</f>
        <v>3</v>
      </c>
      <c r="DA33" s="3" cm="1">
        <f t="array" ref="DA33">IFERROR(COUNT(_xlfn._xlws.FILTER(CH33:CL33, ISNUMBER(MATCH(CH33:CL33, {1,4,8,10,14,16,20,22,25,26,28,32,34,35,38,40,44}, 0)))), 0)</f>
        <v>1</v>
      </c>
      <c r="DB33" s="3" cm="1">
        <f t="array" ref="DB33">IFERROR(COUNT(_xlfn._xlws.FILTER(CH33:CL33, ISNUMBER(MATCH(CH33:CL33, {6,9,12,15,18,21,24,27,30,33,36,39,42,45}, 0)))), 0)</f>
        <v>1</v>
      </c>
      <c r="DC33" s="29"/>
      <c r="DD33" s="28" t="e">
        <f>#REF!</f>
        <v>#REF!</v>
      </c>
      <c r="DE33" s="28" t="e">
        <f>#REF!*2</f>
        <v>#REF!</v>
      </c>
      <c r="DF33" s="28" t="e">
        <f>#REF!</f>
        <v>#REF!</v>
      </c>
      <c r="DG33" s="28" t="e">
        <f>#REF!*2</f>
        <v>#REF!</v>
      </c>
      <c r="DH33" s="28" t="e">
        <f>#REF!</f>
        <v>#REF!</v>
      </c>
      <c r="DI33" s="28" t="e">
        <f>#REF!*2</f>
        <v>#REF!</v>
      </c>
      <c r="DJ33" s="28" t="e">
        <f>#REF!</f>
        <v>#REF!</v>
      </c>
      <c r="DK33" s="28" t="e">
        <f>#REF!*2</f>
        <v>#REF!</v>
      </c>
      <c r="DL33" s="28" t="e">
        <f>#REF!</f>
        <v>#REF!</v>
      </c>
      <c r="DM33" s="28" t="e">
        <f>#REF!*2</f>
        <v>#REF!</v>
      </c>
      <c r="DN33" s="27"/>
      <c r="DO33" s="26"/>
      <c r="DP33" s="26"/>
      <c r="DQ33" s="26"/>
      <c r="DR33" s="26"/>
      <c r="DS33" s="26"/>
      <c r="DT33" s="25"/>
    </row>
    <row r="34" spans="2:124" x14ac:dyDescent="0.3">
      <c r="B34" s="3">
        <v>7</v>
      </c>
      <c r="C34" s="3">
        <v>12</v>
      </c>
      <c r="D34" s="3">
        <v>23</v>
      </c>
      <c r="E34" s="3">
        <v>32</v>
      </c>
      <c r="F34" s="3">
        <v>34</v>
      </c>
      <c r="G34" s="3">
        <v>36</v>
      </c>
      <c r="H34" s="32"/>
      <c r="I34" s="3">
        <f>IF(OR(B34="",ISBLANK(B34),B34=0),0,IF(MOD(B34,2)=1,1,2))</f>
        <v>1</v>
      </c>
      <c r="J34" s="3">
        <f>IF(OR(C34="",ISBLANK(C34),C34=0),0,IF(MOD(C34,2)=1,1,2))</f>
        <v>2</v>
      </c>
      <c r="K34" s="3">
        <f>IF(OR(D34="",ISBLANK(D34),D34=0),0,IF(MOD(D34,2)=1,1,2))</f>
        <v>1</v>
      </c>
      <c r="L34" s="3">
        <f>IF(OR(E34="",ISBLANK(E34),E34=0),0,IF(MOD(E34,2)=1,1,2))</f>
        <v>2</v>
      </c>
      <c r="M34" s="3">
        <f>IF(OR(F34="",ISBLANK(F34),F34=0),0,IF(MOD(F34,2)=1,1,2))</f>
        <v>2</v>
      </c>
      <c r="N34" s="3">
        <f>IF(OR(G34="",ISBLANK(G34),G34=0),0,IF(MOD(G34,2)=1,1,2))</f>
        <v>2</v>
      </c>
      <c r="O34" s="32"/>
      <c r="P34" s="3" cm="1">
        <f t="array" ref="P34">SUMPRODUCT(--(MOD(B34:G34,2)=1))</f>
        <v>2</v>
      </c>
      <c r="Q34" s="3">
        <f>6-P34</f>
        <v>4</v>
      </c>
      <c r="R34" s="34"/>
      <c r="S34" s="3">
        <f>COUNTIFS(B34:G34,"&gt;=1",B34:G34,"&lt;=23")</f>
        <v>3</v>
      </c>
      <c r="T34" s="3">
        <f>6-S34</f>
        <v>3</v>
      </c>
      <c r="U34" s="34"/>
      <c r="V34" s="3" cm="1">
        <f t="array" ref="V34">SUMPRODUCT(--(MOD(B34:G34,10)&gt;=1), --(MOD(B34:G34,10)&lt;=5))</f>
        <v>4</v>
      </c>
      <c r="W34" s="3">
        <f>6-V34</f>
        <v>2</v>
      </c>
      <c r="X34" s="34"/>
      <c r="Y34" s="3" cm="1">
        <f t="array" ref="Y34">IFERROR(COUNT(_xlfn._xlws.FILTER(B34:G34, ISNUMBER(MATCH(B34:G34, {2,3,5,7,11,13,17,19,23,29,31,37,41,43}, 0)))), 0)</f>
        <v>2</v>
      </c>
      <c r="Z34" s="3" cm="1">
        <f t="array" ref="Z34">IFERROR(COUNT(_xlfn._xlws.FILTER(B34:G34, ISNUMBER(MATCH(B34:G34, {1,4,8,10,14,16,20,22,25,26,28,32,34,35,38,40,44}, 0)))), 0)</f>
        <v>2</v>
      </c>
      <c r="AA34" s="3" cm="1">
        <f t="array" ref="AA34">IFERROR(COUNT(_xlfn._xlws.FILTER(B34:G34, ISNUMBER(MATCH(B34:G34, {6,9,12,15,18,21,24,27,30,33,36,39,42,45}, 0)))), 0)</f>
        <v>2</v>
      </c>
      <c r="AB34" s="30"/>
      <c r="AC34" s="26"/>
      <c r="AD34" s="26"/>
      <c r="AE34" s="26"/>
      <c r="AF34" s="26"/>
      <c r="AG34" s="26"/>
      <c r="AH34" s="26"/>
      <c r="AI34" s="30"/>
      <c r="AJ34" s="3">
        <f>COUNTIFS(B34:G34,"&gt;=1",B34:G34,"&lt;=14")</f>
        <v>2</v>
      </c>
      <c r="AK34" s="3">
        <f>COUNTIFS(B34:G34,"&gt;=15",B34:G34,"&lt;=31")</f>
        <v>1</v>
      </c>
      <c r="AL34" s="3">
        <f>6-AK34-AJ34</f>
        <v>3</v>
      </c>
      <c r="AM34" s="33"/>
      <c r="AN34" s="3">
        <f>COUNTIFS($B34:$G34, "&gt;=1",$B34:$G34, "&lt;=9")</f>
        <v>1</v>
      </c>
      <c r="AO34" s="3">
        <f>COUNTIFS($B34:$G34, "&gt;=10",$B34:$G34, "&lt;=18")</f>
        <v>1</v>
      </c>
      <c r="AP34" s="3">
        <f>COUNTIFS($B34:$G34, "&gt;=19",$B34:$G34, "&lt;=27")</f>
        <v>1</v>
      </c>
      <c r="AQ34" s="3">
        <f>COUNTIFS($B34:$G34, "&gt;=28",$B34:$G34, "&lt;=36")</f>
        <v>3</v>
      </c>
      <c r="AR34" s="3">
        <f>COUNTIFS($B34:$G34, "&gt;=37",$B34:$G34, "&lt;=45")</f>
        <v>0</v>
      </c>
      <c r="AS34" s="28" t="e">
        <f>#REF!</f>
        <v>#REF!</v>
      </c>
      <c r="AT34" s="28" t="e">
        <f>#REF!*2</f>
        <v>#REF!</v>
      </c>
      <c r="AU34" s="28" t="e">
        <f>#REF!</f>
        <v>#REF!</v>
      </c>
      <c r="AV34" s="28" t="e">
        <f>#REF!*2</f>
        <v>#REF!</v>
      </c>
      <c r="AW34" s="28" t="e">
        <f>#REF!</f>
        <v>#REF!</v>
      </c>
      <c r="AX34" s="28" t="e">
        <f>#REF!*2</f>
        <v>#REF!</v>
      </c>
      <c r="AY34" s="28" t="e">
        <f>#REF!</f>
        <v>#REF!</v>
      </c>
      <c r="AZ34" s="28" t="e">
        <f>#REF!*2</f>
        <v>#REF!</v>
      </c>
      <c r="BA34" s="28" t="e">
        <f>#REF!</f>
        <v>#REF!</v>
      </c>
      <c r="BB34" s="28" t="e">
        <f>#REF!*2</f>
        <v>#REF!</v>
      </c>
      <c r="BC34" s="28" t="e">
        <f>#REF!</f>
        <v>#REF!</v>
      </c>
      <c r="BD34" s="28" t="e">
        <f>#REF!*2</f>
        <v>#REF!</v>
      </c>
      <c r="BE34" s="9" t="e">
        <f>#REF!-#REF!</f>
        <v>#REF!</v>
      </c>
      <c r="BF34" s="9" t="e">
        <f>#REF!-#REF!</f>
        <v>#REF!</v>
      </c>
      <c r="BG34" s="9" t="e">
        <f>#REF!-#REF!</f>
        <v>#REF!</v>
      </c>
      <c r="BH34" s="9" t="e">
        <f>#REF!-#REF!</f>
        <v>#REF!</v>
      </c>
      <c r="BI34" s="9" t="e">
        <f>#REF!-#REF!</f>
        <v>#REF!</v>
      </c>
      <c r="BJ34" s="33"/>
      <c r="BK34" s="3">
        <f>COUNTIFS(B34:G34, "&gt;=1", B34:G34, "&lt;=9")</f>
        <v>1</v>
      </c>
      <c r="BL34" s="3">
        <f>COUNTIFS(B34:G34, "&gt;=10", B34:G34, "&lt;=19")</f>
        <v>1</v>
      </c>
      <c r="BM34" s="3">
        <f>COUNTIFS(B34:G34, "&gt;=20", B34:G34, "&lt;=29")</f>
        <v>1</v>
      </c>
      <c r="BN34" s="3">
        <f>COUNTIFS(B34:G34, "&gt;=30", B34:G34, "&lt;=39")</f>
        <v>3</v>
      </c>
      <c r="BO34" s="3">
        <f>COUNTIFS(B34:G34, "&gt;=40", B34:G34, "&lt;=45")</f>
        <v>0</v>
      </c>
      <c r="BP34" s="28" t="e">
        <f>#REF!</f>
        <v>#REF!</v>
      </c>
      <c r="BQ34" s="28" t="e">
        <f>#REF!*2</f>
        <v>#REF!</v>
      </c>
      <c r="BR34" s="28" t="e">
        <f>#REF!</f>
        <v>#REF!</v>
      </c>
      <c r="BS34" s="28" t="e">
        <f>#REF!*2</f>
        <v>#REF!</v>
      </c>
      <c r="BT34" s="28" t="e">
        <f>#REF!</f>
        <v>#REF!</v>
      </c>
      <c r="BU34" s="28" t="e">
        <f>#REF!*2</f>
        <v>#REF!</v>
      </c>
      <c r="BV34" s="28" t="e">
        <f>#REF!</f>
        <v>#REF!</v>
      </c>
      <c r="BW34" s="28" t="e">
        <f>#REF!*2</f>
        <v>#REF!</v>
      </c>
      <c r="BX34" s="28" t="e">
        <f>#REF!</f>
        <v>#REF!</v>
      </c>
      <c r="BY34" s="28" t="e">
        <f>#REF!*2</f>
        <v>#REF!</v>
      </c>
      <c r="BZ34" s="28" t="e">
        <f>#REF!</f>
        <v>#REF!</v>
      </c>
      <c r="CA34" s="28" t="e">
        <f>#REF!*2</f>
        <v>#REF!</v>
      </c>
      <c r="CB34" s="9">
        <f>C34-B34</f>
        <v>5</v>
      </c>
      <c r="CC34" s="9">
        <f>D34-C34</f>
        <v>11</v>
      </c>
      <c r="CD34" s="9">
        <f>E34-D34</f>
        <v>9</v>
      </c>
      <c r="CE34" s="9">
        <f>F34-E34</f>
        <v>2</v>
      </c>
      <c r="CF34" s="9">
        <f>G34-F34</f>
        <v>2</v>
      </c>
      <c r="CG34" s="33"/>
      <c r="CH34" s="9">
        <f>C34-B34</f>
        <v>5</v>
      </c>
      <c r="CI34" s="9">
        <f>D34-C34</f>
        <v>11</v>
      </c>
      <c r="CJ34" s="9">
        <f>E34-D34</f>
        <v>9</v>
      </c>
      <c r="CK34" s="9">
        <f>F34-E34</f>
        <v>2</v>
      </c>
      <c r="CL34" s="9">
        <f>G34-F34</f>
        <v>2</v>
      </c>
      <c r="CM34" s="32"/>
      <c r="CN34" s="3">
        <f>IF(OR(CH34="",ISBLANK(CH34),CH34=0),0,IF(MOD(CH34,2)=1,1,2))</f>
        <v>1</v>
      </c>
      <c r="CO34" s="3">
        <f>IF(OR(CI34="",ISBLANK(CI34),CI34=0),0,IF(MOD(CI34,2)=1,1,2))</f>
        <v>1</v>
      </c>
      <c r="CP34" s="3">
        <f>IF(OR(CJ34="",ISBLANK(CJ34),CJ34=0),0,IF(MOD(CJ34,2)=1,1,2))</f>
        <v>1</v>
      </c>
      <c r="CQ34" s="3">
        <f>IF(OR(CK34="",ISBLANK(CK34),CK34=0),0,IF(MOD(CK34,2)=1,1,2))</f>
        <v>2</v>
      </c>
      <c r="CR34" s="3">
        <f>IF(OR(CL34="",ISBLANK(CL34),CL34=0),0,IF(MOD(CL34,2)=1,1,2))</f>
        <v>2</v>
      </c>
      <c r="CS34" s="31"/>
      <c r="CT34" s="3" cm="1">
        <f t="array" ref="CT34">SUMPRODUCT(--(MOD(CH34:CL34,2)=1))</f>
        <v>3</v>
      </c>
      <c r="CU34" s="3">
        <f>5-CT34</f>
        <v>2</v>
      </c>
      <c r="CV34" s="30"/>
      <c r="CW34" s="3" cm="1">
        <f t="array" ref="CW34">SUMPRODUCT(--(MOD(CH34:CL34,10)&gt;=1), --(MOD(CH34:CL34,10)&lt;=5))</f>
        <v>4</v>
      </c>
      <c r="CX34" s="3">
        <f>5-CW34</f>
        <v>1</v>
      </c>
      <c r="CY34" s="30"/>
      <c r="CZ34" s="3" cm="1">
        <f t="array" ref="CZ34">IFERROR(COUNT(_xlfn._xlws.FILTER(CH34:CL34, ISNUMBER(MATCH(CH34:CL34, {2,3,5,7,11,13,17,19,23,29,31,37,41,43}, 0)))), 0)</f>
        <v>4</v>
      </c>
      <c r="DA34" s="3" cm="1">
        <f t="array" ref="DA34">IFERROR(COUNT(_xlfn._xlws.FILTER(CH34:CL34, ISNUMBER(MATCH(CH34:CL34, {1,4,8,10,14,16,20,22,25,26,28,32,34,35,38,40,44}, 0)))), 0)</f>
        <v>0</v>
      </c>
      <c r="DB34" s="3" cm="1">
        <f t="array" ref="DB34">IFERROR(COUNT(_xlfn._xlws.FILTER(CH34:CL34, ISNUMBER(MATCH(CH34:CL34, {6,9,12,15,18,21,24,27,30,33,36,39,42,45}, 0)))), 0)</f>
        <v>1</v>
      </c>
      <c r="DC34" s="29"/>
      <c r="DD34" s="28" t="e">
        <f>#REF!</f>
        <v>#REF!</v>
      </c>
      <c r="DE34" s="28" t="e">
        <f>#REF!*2</f>
        <v>#REF!</v>
      </c>
      <c r="DF34" s="28" t="e">
        <f>#REF!</f>
        <v>#REF!</v>
      </c>
      <c r="DG34" s="28" t="e">
        <f>#REF!*2</f>
        <v>#REF!</v>
      </c>
      <c r="DH34" s="28" t="e">
        <f>#REF!</f>
        <v>#REF!</v>
      </c>
      <c r="DI34" s="28" t="e">
        <f>#REF!*2</f>
        <v>#REF!</v>
      </c>
      <c r="DJ34" s="28" t="e">
        <f>#REF!</f>
        <v>#REF!</v>
      </c>
      <c r="DK34" s="28" t="e">
        <f>#REF!*2</f>
        <v>#REF!</v>
      </c>
      <c r="DL34" s="28" t="e">
        <f>#REF!</f>
        <v>#REF!</v>
      </c>
      <c r="DM34" s="28" t="e">
        <f>#REF!*2</f>
        <v>#REF!</v>
      </c>
      <c r="DN34" s="27"/>
      <c r="DO34" s="26"/>
      <c r="DP34" s="26"/>
      <c r="DQ34" s="26"/>
      <c r="DR34" s="26"/>
      <c r="DS34" s="26"/>
      <c r="DT34" s="25"/>
    </row>
    <row r="35" spans="2:124" x14ac:dyDescent="0.3">
      <c r="B35" s="3">
        <v>15</v>
      </c>
      <c r="C35" s="3">
        <v>16</v>
      </c>
      <c r="D35" s="3">
        <v>17</v>
      </c>
      <c r="E35" s="3">
        <v>25</v>
      </c>
      <c r="F35" s="3">
        <v>30</v>
      </c>
      <c r="G35" s="3">
        <v>31</v>
      </c>
      <c r="H35" s="32"/>
      <c r="I35" s="3">
        <f>IF(OR(B35="",ISBLANK(B35),B35=0),0,IF(MOD(B35,2)=1,1,2))</f>
        <v>1</v>
      </c>
      <c r="J35" s="3">
        <f>IF(OR(C35="",ISBLANK(C35),C35=0),0,IF(MOD(C35,2)=1,1,2))</f>
        <v>2</v>
      </c>
      <c r="K35" s="3">
        <f>IF(OR(D35="",ISBLANK(D35),D35=0),0,IF(MOD(D35,2)=1,1,2))</f>
        <v>1</v>
      </c>
      <c r="L35" s="3">
        <f>IF(OR(E35="",ISBLANK(E35),E35=0),0,IF(MOD(E35,2)=1,1,2))</f>
        <v>1</v>
      </c>
      <c r="M35" s="3">
        <f>IF(OR(F35="",ISBLANK(F35),F35=0),0,IF(MOD(F35,2)=1,1,2))</f>
        <v>2</v>
      </c>
      <c r="N35" s="3">
        <f>IF(OR(G35="",ISBLANK(G35),G35=0),0,IF(MOD(G35,2)=1,1,2))</f>
        <v>1</v>
      </c>
      <c r="O35" s="32"/>
      <c r="P35" s="3" cm="1">
        <f t="array" ref="P35">SUMPRODUCT(--(MOD(B35:G35,2)=1))</f>
        <v>4</v>
      </c>
      <c r="Q35" s="3">
        <f>6-P35</f>
        <v>2</v>
      </c>
      <c r="R35" s="34"/>
      <c r="S35" s="3">
        <f>COUNTIFS(B35:G35,"&gt;=1",B35:G35,"&lt;=23")</f>
        <v>3</v>
      </c>
      <c r="T35" s="3">
        <f>6-S35</f>
        <v>3</v>
      </c>
      <c r="U35" s="34"/>
      <c r="V35" s="3" cm="1">
        <f t="array" ref="V35">SUMPRODUCT(--(MOD(B35:G35,10)&gt;=1), --(MOD(B35:G35,10)&lt;=5))</f>
        <v>3</v>
      </c>
      <c r="W35" s="3">
        <f>6-V35</f>
        <v>3</v>
      </c>
      <c r="X35" s="34"/>
      <c r="Y35" s="3" cm="1">
        <f t="array" ref="Y35">IFERROR(COUNT(_xlfn._xlws.FILTER(B35:G35, ISNUMBER(MATCH(B35:G35, {2,3,5,7,11,13,17,19,23,29,31,37,41,43}, 0)))), 0)</f>
        <v>2</v>
      </c>
      <c r="Z35" s="3" cm="1">
        <f t="array" ref="Z35">IFERROR(COUNT(_xlfn._xlws.FILTER(B35:G35, ISNUMBER(MATCH(B35:G35, {1,4,8,10,14,16,20,22,25,26,28,32,34,35,38,40,44}, 0)))), 0)</f>
        <v>2</v>
      </c>
      <c r="AA35" s="3" cm="1">
        <f t="array" ref="AA35">IFERROR(COUNT(_xlfn._xlws.FILTER(B35:G35, ISNUMBER(MATCH(B35:G35, {6,9,12,15,18,21,24,27,30,33,36,39,42,45}, 0)))), 0)</f>
        <v>2</v>
      </c>
      <c r="AB35" s="30"/>
      <c r="AC35" s="26"/>
      <c r="AD35" s="26"/>
      <c r="AE35" s="26"/>
      <c r="AF35" s="26"/>
      <c r="AG35" s="26"/>
      <c r="AH35" s="26"/>
      <c r="AI35" s="30"/>
      <c r="AJ35" s="3">
        <f>COUNTIFS(B35:G35,"&gt;=1",B35:G35,"&lt;=14")</f>
        <v>0</v>
      </c>
      <c r="AK35" s="3">
        <f>COUNTIFS(B35:G35,"&gt;=15",B35:G35,"&lt;=31")</f>
        <v>6</v>
      </c>
      <c r="AL35" s="3">
        <f>6-AK35-AJ35</f>
        <v>0</v>
      </c>
      <c r="AM35" s="33"/>
      <c r="AN35" s="3">
        <f>COUNTIFS($B35:$G35, "&gt;=1",$B35:$G35, "&lt;=9")</f>
        <v>0</v>
      </c>
      <c r="AO35" s="3">
        <f>COUNTIFS($B35:$G35, "&gt;=10",$B35:$G35, "&lt;=18")</f>
        <v>3</v>
      </c>
      <c r="AP35" s="3">
        <f>COUNTIFS($B35:$G35, "&gt;=19",$B35:$G35, "&lt;=27")</f>
        <v>1</v>
      </c>
      <c r="AQ35" s="3">
        <f>COUNTIFS($B35:$G35, "&gt;=28",$B35:$G35, "&lt;=36")</f>
        <v>2</v>
      </c>
      <c r="AR35" s="3">
        <f>COUNTIFS($B35:$G35, "&gt;=37",$B35:$G35, "&lt;=45")</f>
        <v>0</v>
      </c>
      <c r="AS35" s="28" t="e">
        <f>#REF!</f>
        <v>#REF!</v>
      </c>
      <c r="AT35" s="28" t="e">
        <f>#REF!*2</f>
        <v>#REF!</v>
      </c>
      <c r="AU35" s="28" t="e">
        <f>#REF!</f>
        <v>#REF!</v>
      </c>
      <c r="AV35" s="28" t="e">
        <f>#REF!*2</f>
        <v>#REF!</v>
      </c>
      <c r="AW35" s="28" t="e">
        <f>#REF!</f>
        <v>#REF!</v>
      </c>
      <c r="AX35" s="28" t="e">
        <f>#REF!*2</f>
        <v>#REF!</v>
      </c>
      <c r="AY35" s="28" t="e">
        <f>#REF!</f>
        <v>#REF!</v>
      </c>
      <c r="AZ35" s="28" t="e">
        <f>#REF!*2</f>
        <v>#REF!</v>
      </c>
      <c r="BA35" s="28" t="e">
        <f>#REF!</f>
        <v>#REF!</v>
      </c>
      <c r="BB35" s="28" t="e">
        <f>#REF!*2</f>
        <v>#REF!</v>
      </c>
      <c r="BC35" s="28" t="e">
        <f>#REF!</f>
        <v>#REF!</v>
      </c>
      <c r="BD35" s="28" t="e">
        <f>#REF!*2</f>
        <v>#REF!</v>
      </c>
      <c r="BE35" s="9" t="e">
        <f>#REF!-#REF!</f>
        <v>#REF!</v>
      </c>
      <c r="BF35" s="9" t="e">
        <f>#REF!-#REF!</f>
        <v>#REF!</v>
      </c>
      <c r="BG35" s="9" t="e">
        <f>#REF!-#REF!</f>
        <v>#REF!</v>
      </c>
      <c r="BH35" s="9" t="e">
        <f>#REF!-#REF!</f>
        <v>#REF!</v>
      </c>
      <c r="BI35" s="9" t="e">
        <f>#REF!-#REF!</f>
        <v>#REF!</v>
      </c>
      <c r="BJ35" s="33"/>
      <c r="BK35" s="3">
        <f>COUNTIFS(B35:G35, "&gt;=1", B35:G35, "&lt;=9")</f>
        <v>0</v>
      </c>
      <c r="BL35" s="3">
        <f>COUNTIFS(B35:G35, "&gt;=10", B35:G35, "&lt;=19")</f>
        <v>3</v>
      </c>
      <c r="BM35" s="3">
        <f>COUNTIFS(B35:G35, "&gt;=20", B35:G35, "&lt;=29")</f>
        <v>1</v>
      </c>
      <c r="BN35" s="3">
        <f>COUNTIFS(B35:G35, "&gt;=30", B35:G35, "&lt;=39")</f>
        <v>2</v>
      </c>
      <c r="BO35" s="3">
        <f>COUNTIFS(B35:G35, "&gt;=40", B35:G35, "&lt;=45")</f>
        <v>0</v>
      </c>
      <c r="BP35" s="28" t="e">
        <f>#REF!</f>
        <v>#REF!</v>
      </c>
      <c r="BQ35" s="28" t="e">
        <f>#REF!*2</f>
        <v>#REF!</v>
      </c>
      <c r="BR35" s="28" t="e">
        <f>#REF!</f>
        <v>#REF!</v>
      </c>
      <c r="BS35" s="28" t="e">
        <f>#REF!*2</f>
        <v>#REF!</v>
      </c>
      <c r="BT35" s="28" t="e">
        <f>#REF!</f>
        <v>#REF!</v>
      </c>
      <c r="BU35" s="28" t="e">
        <f>#REF!*2</f>
        <v>#REF!</v>
      </c>
      <c r="BV35" s="28" t="e">
        <f>#REF!</f>
        <v>#REF!</v>
      </c>
      <c r="BW35" s="28" t="e">
        <f>#REF!*2</f>
        <v>#REF!</v>
      </c>
      <c r="BX35" s="28" t="e">
        <f>#REF!</f>
        <v>#REF!</v>
      </c>
      <c r="BY35" s="28" t="e">
        <f>#REF!*2</f>
        <v>#REF!</v>
      </c>
      <c r="BZ35" s="28" t="e">
        <f>#REF!</f>
        <v>#REF!</v>
      </c>
      <c r="CA35" s="28" t="e">
        <f>#REF!*2</f>
        <v>#REF!</v>
      </c>
      <c r="CB35" s="9">
        <f>C35-B35</f>
        <v>1</v>
      </c>
      <c r="CC35" s="9">
        <f>D35-C35</f>
        <v>1</v>
      </c>
      <c r="CD35" s="9">
        <f>E35-D35</f>
        <v>8</v>
      </c>
      <c r="CE35" s="9">
        <f>F35-E35</f>
        <v>5</v>
      </c>
      <c r="CF35" s="9">
        <f>G35-F35</f>
        <v>1</v>
      </c>
      <c r="CG35" s="33"/>
      <c r="CH35" s="9">
        <f>C35-B35</f>
        <v>1</v>
      </c>
      <c r="CI35" s="9">
        <f>D35-C35</f>
        <v>1</v>
      </c>
      <c r="CJ35" s="9">
        <f>E35-D35</f>
        <v>8</v>
      </c>
      <c r="CK35" s="9">
        <f>F35-E35</f>
        <v>5</v>
      </c>
      <c r="CL35" s="9">
        <f>G35-F35</f>
        <v>1</v>
      </c>
      <c r="CM35" s="32"/>
      <c r="CN35" s="3">
        <f>IF(OR(CH35="",ISBLANK(CH35),CH35=0),0,IF(MOD(CH35,2)=1,1,2))</f>
        <v>1</v>
      </c>
      <c r="CO35" s="3">
        <f>IF(OR(CI35="",ISBLANK(CI35),CI35=0),0,IF(MOD(CI35,2)=1,1,2))</f>
        <v>1</v>
      </c>
      <c r="CP35" s="3">
        <f>IF(OR(CJ35="",ISBLANK(CJ35),CJ35=0),0,IF(MOD(CJ35,2)=1,1,2))</f>
        <v>2</v>
      </c>
      <c r="CQ35" s="3">
        <f>IF(OR(CK35="",ISBLANK(CK35),CK35=0),0,IF(MOD(CK35,2)=1,1,2))</f>
        <v>1</v>
      </c>
      <c r="CR35" s="3">
        <f>IF(OR(CL35="",ISBLANK(CL35),CL35=0),0,IF(MOD(CL35,2)=1,1,2))</f>
        <v>1</v>
      </c>
      <c r="CS35" s="31"/>
      <c r="CT35" s="3" cm="1">
        <f t="array" ref="CT35">SUMPRODUCT(--(MOD(CH35:CL35,2)=1))</f>
        <v>4</v>
      </c>
      <c r="CU35" s="3">
        <f>5-CT35</f>
        <v>1</v>
      </c>
      <c r="CV35" s="30"/>
      <c r="CW35" s="3" cm="1">
        <f t="array" ref="CW35">SUMPRODUCT(--(MOD(CH35:CL35,10)&gt;=1), --(MOD(CH35:CL35,10)&lt;=5))</f>
        <v>4</v>
      </c>
      <c r="CX35" s="3">
        <f>5-CW35</f>
        <v>1</v>
      </c>
      <c r="CY35" s="30"/>
      <c r="CZ35" s="3" cm="1">
        <f t="array" ref="CZ35">IFERROR(COUNT(_xlfn._xlws.FILTER(CH35:CL35, ISNUMBER(MATCH(CH35:CL35, {2,3,5,7,11,13,17,19,23,29,31,37,41,43}, 0)))), 0)</f>
        <v>1</v>
      </c>
      <c r="DA35" s="3" cm="1">
        <f t="array" ref="DA35">IFERROR(COUNT(_xlfn._xlws.FILTER(CH35:CL35, ISNUMBER(MATCH(CH35:CL35, {1,4,8,10,14,16,20,22,25,26,28,32,34,35,38,40,44}, 0)))), 0)</f>
        <v>4</v>
      </c>
      <c r="DB35" s="3" cm="1">
        <f t="array" ref="DB35">IFERROR(COUNT(_xlfn._xlws.FILTER(CH35:CL35, ISNUMBER(MATCH(CH35:CL35, {6,9,12,15,18,21,24,27,30,33,36,39,42,45}, 0)))), 0)</f>
        <v>0</v>
      </c>
      <c r="DC35" s="29"/>
      <c r="DD35" s="28" t="e">
        <f>#REF!</f>
        <v>#REF!</v>
      </c>
      <c r="DE35" s="28" t="e">
        <f>#REF!*2</f>
        <v>#REF!</v>
      </c>
      <c r="DF35" s="28" t="e">
        <f>#REF!</f>
        <v>#REF!</v>
      </c>
      <c r="DG35" s="28" t="e">
        <f>#REF!*2</f>
        <v>#REF!</v>
      </c>
      <c r="DH35" s="28" t="e">
        <f>#REF!</f>
        <v>#REF!</v>
      </c>
      <c r="DI35" s="28" t="e">
        <f>#REF!*2</f>
        <v>#REF!</v>
      </c>
      <c r="DJ35" s="28" t="e">
        <f>#REF!</f>
        <v>#REF!</v>
      </c>
      <c r="DK35" s="28" t="e">
        <f>#REF!*2</f>
        <v>#REF!</v>
      </c>
      <c r="DL35" s="28" t="e">
        <f>#REF!</f>
        <v>#REF!</v>
      </c>
      <c r="DM35" s="28" t="e">
        <f>#REF!*2</f>
        <v>#REF!</v>
      </c>
      <c r="DN35" s="27"/>
      <c r="DO35" s="26"/>
      <c r="DP35" s="26"/>
      <c r="DQ35" s="26"/>
      <c r="DR35" s="26"/>
      <c r="DS35" s="26"/>
      <c r="DT35" s="25"/>
    </row>
    <row r="36" spans="2:124" x14ac:dyDescent="0.3">
      <c r="B36" s="3">
        <v>3</v>
      </c>
      <c r="C36" s="3">
        <v>4</v>
      </c>
      <c r="D36" s="3">
        <v>9</v>
      </c>
      <c r="E36" s="3">
        <v>30</v>
      </c>
      <c r="F36" s="3">
        <v>33</v>
      </c>
      <c r="G36" s="3">
        <v>36</v>
      </c>
      <c r="H36" s="32"/>
      <c r="I36" s="3">
        <f>IF(OR(B36="",ISBLANK(B36),B36=0),0,IF(MOD(B36,2)=1,1,2))</f>
        <v>1</v>
      </c>
      <c r="J36" s="3">
        <f>IF(OR(C36="",ISBLANK(C36),C36=0),0,IF(MOD(C36,2)=1,1,2))</f>
        <v>2</v>
      </c>
      <c r="K36" s="3">
        <f>IF(OR(D36="",ISBLANK(D36),D36=0),0,IF(MOD(D36,2)=1,1,2))</f>
        <v>1</v>
      </c>
      <c r="L36" s="3">
        <f>IF(OR(E36="",ISBLANK(E36),E36=0),0,IF(MOD(E36,2)=1,1,2))</f>
        <v>2</v>
      </c>
      <c r="M36" s="3">
        <f>IF(OR(F36="",ISBLANK(F36),F36=0),0,IF(MOD(F36,2)=1,1,2))</f>
        <v>1</v>
      </c>
      <c r="N36" s="3">
        <f>IF(OR(G36="",ISBLANK(G36),G36=0),0,IF(MOD(G36,2)=1,1,2))</f>
        <v>2</v>
      </c>
      <c r="O36" s="32"/>
      <c r="P36" s="3" cm="1">
        <f t="array" ref="P36">SUMPRODUCT(--(MOD(B36:G36,2)=1))</f>
        <v>3</v>
      </c>
      <c r="Q36" s="3">
        <f>6-P36</f>
        <v>3</v>
      </c>
      <c r="R36" s="34"/>
      <c r="S36" s="3">
        <f>COUNTIFS(B36:G36,"&gt;=1",B36:G36,"&lt;=23")</f>
        <v>3</v>
      </c>
      <c r="T36" s="3">
        <f>6-S36</f>
        <v>3</v>
      </c>
      <c r="U36" s="34"/>
      <c r="V36" s="3" cm="1">
        <f t="array" ref="V36">SUMPRODUCT(--(MOD(B36:G36,10)&gt;=1), --(MOD(B36:G36,10)&lt;=5))</f>
        <v>3</v>
      </c>
      <c r="W36" s="3">
        <f>6-V36</f>
        <v>3</v>
      </c>
      <c r="X36" s="34"/>
      <c r="Y36" s="3" cm="1">
        <f t="array" ref="Y36">IFERROR(COUNT(_xlfn._xlws.FILTER(B36:G36, ISNUMBER(MATCH(B36:G36, {2,3,5,7,11,13,17,19,23,29,31,37,41,43}, 0)))), 0)</f>
        <v>1</v>
      </c>
      <c r="Z36" s="3" cm="1">
        <f t="array" ref="Z36">IFERROR(COUNT(_xlfn._xlws.FILTER(B36:G36, ISNUMBER(MATCH(B36:G36, {1,4,8,10,14,16,20,22,25,26,28,32,34,35,38,40,44}, 0)))), 0)</f>
        <v>1</v>
      </c>
      <c r="AA36" s="3" cm="1">
        <f t="array" ref="AA36">IFERROR(COUNT(_xlfn._xlws.FILTER(B36:G36, ISNUMBER(MATCH(B36:G36, {6,9,12,15,18,21,24,27,30,33,36,39,42,45}, 0)))), 0)</f>
        <v>4</v>
      </c>
      <c r="AB36" s="30"/>
      <c r="AC36" s="26"/>
      <c r="AD36" s="26"/>
      <c r="AE36" s="26"/>
      <c r="AF36" s="26"/>
      <c r="AG36" s="26"/>
      <c r="AH36" s="26"/>
      <c r="AI36" s="30"/>
      <c r="AJ36" s="3">
        <f>COUNTIFS(B36:G36,"&gt;=1",B36:G36,"&lt;=14")</f>
        <v>3</v>
      </c>
      <c r="AK36" s="3">
        <f>COUNTIFS(B36:G36,"&gt;=15",B36:G36,"&lt;=31")</f>
        <v>1</v>
      </c>
      <c r="AL36" s="3">
        <f>6-AK36-AJ36</f>
        <v>2</v>
      </c>
      <c r="AM36" s="33"/>
      <c r="AN36" s="3">
        <f>COUNTIFS($B36:$G36, "&gt;=1",$B36:$G36, "&lt;=9")</f>
        <v>3</v>
      </c>
      <c r="AO36" s="3">
        <f>COUNTIFS($B36:$G36, "&gt;=10",$B36:$G36, "&lt;=18")</f>
        <v>0</v>
      </c>
      <c r="AP36" s="3">
        <f>COUNTIFS($B36:$G36, "&gt;=19",$B36:$G36, "&lt;=27")</f>
        <v>0</v>
      </c>
      <c r="AQ36" s="3">
        <f>COUNTIFS($B36:$G36, "&gt;=28",$B36:$G36, "&lt;=36")</f>
        <v>3</v>
      </c>
      <c r="AR36" s="3">
        <f>COUNTIFS($B36:$G36, "&gt;=37",$B36:$G36, "&lt;=45")</f>
        <v>0</v>
      </c>
      <c r="AS36" s="28" t="e">
        <f>#REF!</f>
        <v>#REF!</v>
      </c>
      <c r="AT36" s="28" t="e">
        <f>#REF!*2</f>
        <v>#REF!</v>
      </c>
      <c r="AU36" s="28" t="e">
        <f>#REF!</f>
        <v>#REF!</v>
      </c>
      <c r="AV36" s="28" t="e">
        <f>#REF!*2</f>
        <v>#REF!</v>
      </c>
      <c r="AW36" s="28" t="e">
        <f>#REF!</f>
        <v>#REF!</v>
      </c>
      <c r="AX36" s="28" t="e">
        <f>#REF!*2</f>
        <v>#REF!</v>
      </c>
      <c r="AY36" s="28" t="e">
        <f>#REF!</f>
        <v>#REF!</v>
      </c>
      <c r="AZ36" s="28" t="e">
        <f>#REF!*2</f>
        <v>#REF!</v>
      </c>
      <c r="BA36" s="28" t="e">
        <f>#REF!</f>
        <v>#REF!</v>
      </c>
      <c r="BB36" s="28" t="e">
        <f>#REF!*2</f>
        <v>#REF!</v>
      </c>
      <c r="BC36" s="28" t="e">
        <f>#REF!</f>
        <v>#REF!</v>
      </c>
      <c r="BD36" s="28" t="e">
        <f>#REF!*2</f>
        <v>#REF!</v>
      </c>
      <c r="BE36" s="9" t="e">
        <f>#REF!-#REF!</f>
        <v>#REF!</v>
      </c>
      <c r="BF36" s="9" t="e">
        <f>#REF!-#REF!</f>
        <v>#REF!</v>
      </c>
      <c r="BG36" s="9" t="e">
        <f>#REF!-#REF!</f>
        <v>#REF!</v>
      </c>
      <c r="BH36" s="9" t="e">
        <f>#REF!-#REF!</f>
        <v>#REF!</v>
      </c>
      <c r="BI36" s="9" t="e">
        <f>#REF!-#REF!</f>
        <v>#REF!</v>
      </c>
      <c r="BJ36" s="33"/>
      <c r="BK36" s="3">
        <f>COUNTIFS(B36:G36, "&gt;=1", B36:G36, "&lt;=9")</f>
        <v>3</v>
      </c>
      <c r="BL36" s="3">
        <f>COUNTIFS(B36:G36, "&gt;=10", B36:G36, "&lt;=19")</f>
        <v>0</v>
      </c>
      <c r="BM36" s="3">
        <f>COUNTIFS(B36:G36, "&gt;=20", B36:G36, "&lt;=29")</f>
        <v>0</v>
      </c>
      <c r="BN36" s="3">
        <f>COUNTIFS(B36:G36, "&gt;=30", B36:G36, "&lt;=39")</f>
        <v>3</v>
      </c>
      <c r="BO36" s="3">
        <f>COUNTIFS(B36:G36, "&gt;=40", B36:G36, "&lt;=45")</f>
        <v>0</v>
      </c>
      <c r="BP36" s="28" t="e">
        <f>#REF!</f>
        <v>#REF!</v>
      </c>
      <c r="BQ36" s="28" t="e">
        <f>#REF!*2</f>
        <v>#REF!</v>
      </c>
      <c r="BR36" s="28" t="e">
        <f>#REF!</f>
        <v>#REF!</v>
      </c>
      <c r="BS36" s="28" t="e">
        <f>#REF!*2</f>
        <v>#REF!</v>
      </c>
      <c r="BT36" s="28" t="e">
        <f>#REF!</f>
        <v>#REF!</v>
      </c>
      <c r="BU36" s="28" t="e">
        <f>#REF!*2</f>
        <v>#REF!</v>
      </c>
      <c r="BV36" s="28" t="e">
        <f>#REF!</f>
        <v>#REF!</v>
      </c>
      <c r="BW36" s="28" t="e">
        <f>#REF!*2</f>
        <v>#REF!</v>
      </c>
      <c r="BX36" s="28" t="e">
        <f>#REF!</f>
        <v>#REF!</v>
      </c>
      <c r="BY36" s="28" t="e">
        <f>#REF!*2</f>
        <v>#REF!</v>
      </c>
      <c r="BZ36" s="28" t="e">
        <f>#REF!</f>
        <v>#REF!</v>
      </c>
      <c r="CA36" s="28" t="e">
        <f>#REF!*2</f>
        <v>#REF!</v>
      </c>
      <c r="CB36" s="9">
        <f>C36-B36</f>
        <v>1</v>
      </c>
      <c r="CC36" s="9">
        <f>D36-C36</f>
        <v>5</v>
      </c>
      <c r="CD36" s="9">
        <f>E36-D36</f>
        <v>21</v>
      </c>
      <c r="CE36" s="9">
        <f>F36-E36</f>
        <v>3</v>
      </c>
      <c r="CF36" s="9">
        <f>G36-F36</f>
        <v>3</v>
      </c>
      <c r="CG36" s="33"/>
      <c r="CH36" s="9">
        <f>C36-B36</f>
        <v>1</v>
      </c>
      <c r="CI36" s="9">
        <f>D36-C36</f>
        <v>5</v>
      </c>
      <c r="CJ36" s="9">
        <f>E36-D36</f>
        <v>21</v>
      </c>
      <c r="CK36" s="9">
        <f>F36-E36</f>
        <v>3</v>
      </c>
      <c r="CL36" s="9">
        <f>G36-F36</f>
        <v>3</v>
      </c>
      <c r="CM36" s="32"/>
      <c r="CN36" s="3">
        <f>IF(OR(CH36="",ISBLANK(CH36),CH36=0),0,IF(MOD(CH36,2)=1,1,2))</f>
        <v>1</v>
      </c>
      <c r="CO36" s="3">
        <f>IF(OR(CI36="",ISBLANK(CI36),CI36=0),0,IF(MOD(CI36,2)=1,1,2))</f>
        <v>1</v>
      </c>
      <c r="CP36" s="3">
        <f>IF(OR(CJ36="",ISBLANK(CJ36),CJ36=0),0,IF(MOD(CJ36,2)=1,1,2))</f>
        <v>1</v>
      </c>
      <c r="CQ36" s="3">
        <f>IF(OR(CK36="",ISBLANK(CK36),CK36=0),0,IF(MOD(CK36,2)=1,1,2))</f>
        <v>1</v>
      </c>
      <c r="CR36" s="3">
        <f>IF(OR(CL36="",ISBLANK(CL36),CL36=0),0,IF(MOD(CL36,2)=1,1,2))</f>
        <v>1</v>
      </c>
      <c r="CS36" s="31"/>
      <c r="CT36" s="3" cm="1">
        <f t="array" ref="CT36">SUMPRODUCT(--(MOD(CH36:CL36,2)=1))</f>
        <v>5</v>
      </c>
      <c r="CU36" s="3">
        <f>5-CT36</f>
        <v>0</v>
      </c>
      <c r="CV36" s="30"/>
      <c r="CW36" s="3" cm="1">
        <f t="array" ref="CW36">SUMPRODUCT(--(MOD(CH36:CL36,10)&gt;=1), --(MOD(CH36:CL36,10)&lt;=5))</f>
        <v>5</v>
      </c>
      <c r="CX36" s="3">
        <f>5-CW36</f>
        <v>0</v>
      </c>
      <c r="CY36" s="30"/>
      <c r="CZ36" s="3" cm="1">
        <f t="array" ref="CZ36">IFERROR(COUNT(_xlfn._xlws.FILTER(CH36:CL36, ISNUMBER(MATCH(CH36:CL36, {2,3,5,7,11,13,17,19,23,29,31,37,41,43}, 0)))), 0)</f>
        <v>3</v>
      </c>
      <c r="DA36" s="3" cm="1">
        <f t="array" ref="DA36">IFERROR(COUNT(_xlfn._xlws.FILTER(CH36:CL36, ISNUMBER(MATCH(CH36:CL36, {1,4,8,10,14,16,20,22,25,26,28,32,34,35,38,40,44}, 0)))), 0)</f>
        <v>1</v>
      </c>
      <c r="DB36" s="3" cm="1">
        <f t="array" ref="DB36">IFERROR(COUNT(_xlfn._xlws.FILTER(CH36:CL36, ISNUMBER(MATCH(CH36:CL36, {6,9,12,15,18,21,24,27,30,33,36,39,42,45}, 0)))), 0)</f>
        <v>1</v>
      </c>
      <c r="DC36" s="29"/>
      <c r="DD36" s="28" t="e">
        <f>#REF!</f>
        <v>#REF!</v>
      </c>
      <c r="DE36" s="28" t="e">
        <f>#REF!*2</f>
        <v>#REF!</v>
      </c>
      <c r="DF36" s="28" t="e">
        <f>#REF!</f>
        <v>#REF!</v>
      </c>
      <c r="DG36" s="28" t="e">
        <f>#REF!*2</f>
        <v>#REF!</v>
      </c>
      <c r="DH36" s="28" t="e">
        <f>#REF!</f>
        <v>#REF!</v>
      </c>
      <c r="DI36" s="28" t="e">
        <f>#REF!*2</f>
        <v>#REF!</v>
      </c>
      <c r="DJ36" s="28" t="e">
        <f>#REF!</f>
        <v>#REF!</v>
      </c>
      <c r="DK36" s="28" t="e">
        <f>#REF!*2</f>
        <v>#REF!</v>
      </c>
      <c r="DL36" s="28" t="e">
        <f>#REF!</f>
        <v>#REF!</v>
      </c>
      <c r="DM36" s="28" t="e">
        <f>#REF!*2</f>
        <v>#REF!</v>
      </c>
      <c r="DN36" s="27"/>
      <c r="DO36" s="26"/>
      <c r="DP36" s="26"/>
      <c r="DQ36" s="26"/>
      <c r="DR36" s="26"/>
      <c r="DS36" s="26"/>
      <c r="DT36" s="25"/>
    </row>
    <row r="37" spans="2:124" x14ac:dyDescent="0.3">
      <c r="B37" s="3">
        <v>11</v>
      </c>
      <c r="C37" s="3">
        <v>13</v>
      </c>
      <c r="D37" s="3">
        <v>14</v>
      </c>
      <c r="E37" s="3">
        <v>15</v>
      </c>
      <c r="F37" s="3">
        <v>16</v>
      </c>
      <c r="G37" s="3">
        <v>45</v>
      </c>
      <c r="H37" s="32"/>
      <c r="I37" s="3">
        <f>IF(OR(B37="",ISBLANK(B37),B37=0),0,IF(MOD(B37,2)=1,1,2))</f>
        <v>1</v>
      </c>
      <c r="J37" s="3">
        <f>IF(OR(C37="",ISBLANK(C37),C37=0),0,IF(MOD(C37,2)=1,1,2))</f>
        <v>1</v>
      </c>
      <c r="K37" s="3">
        <f>IF(OR(D37="",ISBLANK(D37),D37=0),0,IF(MOD(D37,2)=1,1,2))</f>
        <v>2</v>
      </c>
      <c r="L37" s="3">
        <f>IF(OR(E37="",ISBLANK(E37),E37=0),0,IF(MOD(E37,2)=1,1,2))</f>
        <v>1</v>
      </c>
      <c r="M37" s="3">
        <f>IF(OR(F37="",ISBLANK(F37),F37=0),0,IF(MOD(F37,2)=1,1,2))</f>
        <v>2</v>
      </c>
      <c r="N37" s="3">
        <f>IF(OR(G37="",ISBLANK(G37),G37=0),0,IF(MOD(G37,2)=1,1,2))</f>
        <v>1</v>
      </c>
      <c r="O37" s="32"/>
      <c r="P37" s="3" cm="1">
        <f t="array" ref="P37">SUMPRODUCT(--(MOD(B37:G37,2)=1))</f>
        <v>4</v>
      </c>
      <c r="Q37" s="3">
        <f>6-P37</f>
        <v>2</v>
      </c>
      <c r="R37" s="34"/>
      <c r="S37" s="3">
        <f>COUNTIFS(B37:G37,"&gt;=1",B37:G37,"&lt;=23")</f>
        <v>5</v>
      </c>
      <c r="T37" s="3">
        <f>6-S37</f>
        <v>1</v>
      </c>
      <c r="U37" s="34"/>
      <c r="V37" s="3" cm="1">
        <f t="array" ref="V37">SUMPRODUCT(--(MOD(B37:G37,10)&gt;=1), --(MOD(B37:G37,10)&lt;=5))</f>
        <v>5</v>
      </c>
      <c r="W37" s="3">
        <f>6-V37</f>
        <v>1</v>
      </c>
      <c r="X37" s="34"/>
      <c r="Y37" s="3" cm="1">
        <f t="array" ref="Y37">IFERROR(COUNT(_xlfn._xlws.FILTER(B37:G37, ISNUMBER(MATCH(B37:G37, {2,3,5,7,11,13,17,19,23,29,31,37,41,43}, 0)))), 0)</f>
        <v>2</v>
      </c>
      <c r="Z37" s="3" cm="1">
        <f t="array" ref="Z37">IFERROR(COUNT(_xlfn._xlws.FILTER(B37:G37, ISNUMBER(MATCH(B37:G37, {1,4,8,10,14,16,20,22,25,26,28,32,34,35,38,40,44}, 0)))), 0)</f>
        <v>2</v>
      </c>
      <c r="AA37" s="3" cm="1">
        <f t="array" ref="AA37">IFERROR(COUNT(_xlfn._xlws.FILTER(B37:G37, ISNUMBER(MATCH(B37:G37, {6,9,12,15,18,21,24,27,30,33,36,39,42,45}, 0)))), 0)</f>
        <v>2</v>
      </c>
      <c r="AB37" s="30"/>
      <c r="AC37" s="26"/>
      <c r="AD37" s="26"/>
      <c r="AE37" s="26"/>
      <c r="AF37" s="26"/>
      <c r="AG37" s="26"/>
      <c r="AH37" s="26"/>
      <c r="AI37" s="30"/>
      <c r="AJ37" s="3">
        <f>COUNTIFS(B37:G37,"&gt;=1",B37:G37,"&lt;=14")</f>
        <v>3</v>
      </c>
      <c r="AK37" s="3">
        <f>COUNTIFS(B37:G37,"&gt;=15",B37:G37,"&lt;=31")</f>
        <v>2</v>
      </c>
      <c r="AL37" s="3">
        <f>6-AK37-AJ37</f>
        <v>1</v>
      </c>
      <c r="AM37" s="33"/>
      <c r="AN37" s="3">
        <f>COUNTIFS($B37:$G37, "&gt;=1",$B37:$G37, "&lt;=9")</f>
        <v>0</v>
      </c>
      <c r="AO37" s="3">
        <f>COUNTIFS($B37:$G37, "&gt;=10",$B37:$G37, "&lt;=18")</f>
        <v>5</v>
      </c>
      <c r="AP37" s="3">
        <f>COUNTIFS($B37:$G37, "&gt;=19",$B37:$G37, "&lt;=27")</f>
        <v>0</v>
      </c>
      <c r="AQ37" s="3">
        <f>COUNTIFS($B37:$G37, "&gt;=28",$B37:$G37, "&lt;=36")</f>
        <v>0</v>
      </c>
      <c r="AR37" s="3">
        <f>COUNTIFS($B37:$G37, "&gt;=37",$B37:$G37, "&lt;=45")</f>
        <v>1</v>
      </c>
      <c r="AS37" s="28" t="e">
        <f>#REF!</f>
        <v>#REF!</v>
      </c>
      <c r="AT37" s="28" t="e">
        <f>#REF!*2</f>
        <v>#REF!</v>
      </c>
      <c r="AU37" s="28" t="e">
        <f>#REF!</f>
        <v>#REF!</v>
      </c>
      <c r="AV37" s="28" t="e">
        <f>#REF!*2</f>
        <v>#REF!</v>
      </c>
      <c r="AW37" s="28" t="e">
        <f>#REF!</f>
        <v>#REF!</v>
      </c>
      <c r="AX37" s="28" t="e">
        <f>#REF!*2</f>
        <v>#REF!</v>
      </c>
      <c r="AY37" s="28" t="e">
        <f>#REF!</f>
        <v>#REF!</v>
      </c>
      <c r="AZ37" s="28" t="e">
        <f>#REF!*2</f>
        <v>#REF!</v>
      </c>
      <c r="BA37" s="28" t="e">
        <f>#REF!</f>
        <v>#REF!</v>
      </c>
      <c r="BB37" s="28" t="e">
        <f>#REF!*2</f>
        <v>#REF!</v>
      </c>
      <c r="BC37" s="28" t="e">
        <f>#REF!</f>
        <v>#REF!</v>
      </c>
      <c r="BD37" s="28" t="e">
        <f>#REF!*2</f>
        <v>#REF!</v>
      </c>
      <c r="BE37" s="9" t="e">
        <f>#REF!-#REF!</f>
        <v>#REF!</v>
      </c>
      <c r="BF37" s="9" t="e">
        <f>#REF!-#REF!</f>
        <v>#REF!</v>
      </c>
      <c r="BG37" s="9" t="e">
        <f>#REF!-#REF!</f>
        <v>#REF!</v>
      </c>
      <c r="BH37" s="9" t="e">
        <f>#REF!-#REF!</f>
        <v>#REF!</v>
      </c>
      <c r="BI37" s="9" t="e">
        <f>#REF!-#REF!</f>
        <v>#REF!</v>
      </c>
      <c r="BJ37" s="33"/>
      <c r="BK37" s="3">
        <f>COUNTIFS(B37:G37, "&gt;=1", B37:G37, "&lt;=9")</f>
        <v>0</v>
      </c>
      <c r="BL37" s="3">
        <f>COUNTIFS(B37:G37, "&gt;=10", B37:G37, "&lt;=19")</f>
        <v>5</v>
      </c>
      <c r="BM37" s="3">
        <f>COUNTIFS(B37:G37, "&gt;=20", B37:G37, "&lt;=29")</f>
        <v>0</v>
      </c>
      <c r="BN37" s="3">
        <f>COUNTIFS(B37:G37, "&gt;=30", B37:G37, "&lt;=39")</f>
        <v>0</v>
      </c>
      <c r="BO37" s="3">
        <f>COUNTIFS(B37:G37, "&gt;=40", B37:G37, "&lt;=45")</f>
        <v>1</v>
      </c>
      <c r="BP37" s="28" t="e">
        <f>#REF!</f>
        <v>#REF!</v>
      </c>
      <c r="BQ37" s="28" t="e">
        <f>#REF!*2</f>
        <v>#REF!</v>
      </c>
      <c r="BR37" s="28" t="e">
        <f>#REF!</f>
        <v>#REF!</v>
      </c>
      <c r="BS37" s="28" t="e">
        <f>#REF!*2</f>
        <v>#REF!</v>
      </c>
      <c r="BT37" s="28" t="e">
        <f>#REF!</f>
        <v>#REF!</v>
      </c>
      <c r="BU37" s="28" t="e">
        <f>#REF!*2</f>
        <v>#REF!</v>
      </c>
      <c r="BV37" s="28" t="e">
        <f>#REF!</f>
        <v>#REF!</v>
      </c>
      <c r="BW37" s="28" t="e">
        <f>#REF!*2</f>
        <v>#REF!</v>
      </c>
      <c r="BX37" s="28" t="e">
        <f>#REF!</f>
        <v>#REF!</v>
      </c>
      <c r="BY37" s="28" t="e">
        <f>#REF!*2</f>
        <v>#REF!</v>
      </c>
      <c r="BZ37" s="28" t="e">
        <f>#REF!</f>
        <v>#REF!</v>
      </c>
      <c r="CA37" s="28" t="e">
        <f>#REF!*2</f>
        <v>#REF!</v>
      </c>
      <c r="CB37" s="9">
        <f>C37-B37</f>
        <v>2</v>
      </c>
      <c r="CC37" s="9">
        <f>D37-C37</f>
        <v>1</v>
      </c>
      <c r="CD37" s="9">
        <f>E37-D37</f>
        <v>1</v>
      </c>
      <c r="CE37" s="9">
        <f>F37-E37</f>
        <v>1</v>
      </c>
      <c r="CF37" s="9">
        <f>G37-F37</f>
        <v>29</v>
      </c>
      <c r="CG37" s="33"/>
      <c r="CH37" s="9">
        <f>C37-B37</f>
        <v>2</v>
      </c>
      <c r="CI37" s="9">
        <f>D37-C37</f>
        <v>1</v>
      </c>
      <c r="CJ37" s="9">
        <f>E37-D37</f>
        <v>1</v>
      </c>
      <c r="CK37" s="9">
        <f>F37-E37</f>
        <v>1</v>
      </c>
      <c r="CL37" s="9">
        <f>G37-F37</f>
        <v>29</v>
      </c>
      <c r="CM37" s="32"/>
      <c r="CN37" s="3">
        <f>IF(OR(CH37="",ISBLANK(CH37),CH37=0),0,IF(MOD(CH37,2)=1,1,2))</f>
        <v>2</v>
      </c>
      <c r="CO37" s="3">
        <f>IF(OR(CI37="",ISBLANK(CI37),CI37=0),0,IF(MOD(CI37,2)=1,1,2))</f>
        <v>1</v>
      </c>
      <c r="CP37" s="3">
        <f>IF(OR(CJ37="",ISBLANK(CJ37),CJ37=0),0,IF(MOD(CJ37,2)=1,1,2))</f>
        <v>1</v>
      </c>
      <c r="CQ37" s="3">
        <f>IF(OR(CK37="",ISBLANK(CK37),CK37=0),0,IF(MOD(CK37,2)=1,1,2))</f>
        <v>1</v>
      </c>
      <c r="CR37" s="3">
        <f>IF(OR(CL37="",ISBLANK(CL37),CL37=0),0,IF(MOD(CL37,2)=1,1,2))</f>
        <v>1</v>
      </c>
      <c r="CS37" s="31"/>
      <c r="CT37" s="3" cm="1">
        <f t="array" ref="CT37">SUMPRODUCT(--(MOD(CH37:CL37,2)=1))</f>
        <v>4</v>
      </c>
      <c r="CU37" s="3">
        <f>5-CT37</f>
        <v>1</v>
      </c>
      <c r="CV37" s="30"/>
      <c r="CW37" s="3" cm="1">
        <f t="array" ref="CW37">SUMPRODUCT(--(MOD(CH37:CL37,10)&gt;=1), --(MOD(CH37:CL37,10)&lt;=5))</f>
        <v>4</v>
      </c>
      <c r="CX37" s="3">
        <f>5-CW37</f>
        <v>1</v>
      </c>
      <c r="CY37" s="30"/>
      <c r="CZ37" s="3" cm="1">
        <f t="array" ref="CZ37">IFERROR(COUNT(_xlfn._xlws.FILTER(CH37:CL37, ISNUMBER(MATCH(CH37:CL37, {2,3,5,7,11,13,17,19,23,29,31,37,41,43}, 0)))), 0)</f>
        <v>2</v>
      </c>
      <c r="DA37" s="3" cm="1">
        <f t="array" ref="DA37">IFERROR(COUNT(_xlfn._xlws.FILTER(CH37:CL37, ISNUMBER(MATCH(CH37:CL37, {1,4,8,10,14,16,20,22,25,26,28,32,34,35,38,40,44}, 0)))), 0)</f>
        <v>3</v>
      </c>
      <c r="DB37" s="3" cm="1">
        <f t="array" ref="DB37">IFERROR(COUNT(_xlfn._xlws.FILTER(CH37:CL37, ISNUMBER(MATCH(CH37:CL37, {6,9,12,15,18,21,24,27,30,33,36,39,42,45}, 0)))), 0)</f>
        <v>0</v>
      </c>
      <c r="DC37" s="29"/>
      <c r="DD37" s="28" t="e">
        <f>#REF!</f>
        <v>#REF!</v>
      </c>
      <c r="DE37" s="28" t="e">
        <f>#REF!*2</f>
        <v>#REF!</v>
      </c>
      <c r="DF37" s="28" t="e">
        <f>#REF!</f>
        <v>#REF!</v>
      </c>
      <c r="DG37" s="28" t="e">
        <f>#REF!*2</f>
        <v>#REF!</v>
      </c>
      <c r="DH37" s="28" t="e">
        <f>#REF!</f>
        <v>#REF!</v>
      </c>
      <c r="DI37" s="28" t="e">
        <f>#REF!*2</f>
        <v>#REF!</v>
      </c>
      <c r="DJ37" s="28" t="e">
        <f>#REF!</f>
        <v>#REF!</v>
      </c>
      <c r="DK37" s="28" t="e">
        <f>#REF!*2</f>
        <v>#REF!</v>
      </c>
      <c r="DL37" s="28" t="e">
        <f>#REF!</f>
        <v>#REF!</v>
      </c>
      <c r="DM37" s="28" t="e">
        <f>#REF!*2</f>
        <v>#REF!</v>
      </c>
      <c r="DN37" s="27"/>
      <c r="DO37" s="26"/>
      <c r="DP37" s="26"/>
      <c r="DQ37" s="26"/>
      <c r="DR37" s="26"/>
      <c r="DS37" s="26"/>
      <c r="DT37" s="25"/>
    </row>
    <row r="38" spans="2:124" x14ac:dyDescent="0.3">
      <c r="B38" s="3">
        <v>1</v>
      </c>
      <c r="C38" s="3">
        <v>9</v>
      </c>
      <c r="D38" s="3">
        <v>12</v>
      </c>
      <c r="E38" s="3">
        <v>13</v>
      </c>
      <c r="F38" s="3">
        <v>20</v>
      </c>
      <c r="G38" s="3">
        <v>45</v>
      </c>
      <c r="H38" s="32"/>
      <c r="I38" s="3">
        <f>IF(OR(B38="",ISBLANK(B38),B38=0),0,IF(MOD(B38,2)=1,1,2))</f>
        <v>1</v>
      </c>
      <c r="J38" s="3">
        <f>IF(OR(C38="",ISBLANK(C38),C38=0),0,IF(MOD(C38,2)=1,1,2))</f>
        <v>1</v>
      </c>
      <c r="K38" s="3">
        <f>IF(OR(D38="",ISBLANK(D38),D38=0),0,IF(MOD(D38,2)=1,1,2))</f>
        <v>2</v>
      </c>
      <c r="L38" s="3">
        <f>IF(OR(E38="",ISBLANK(E38),E38=0),0,IF(MOD(E38,2)=1,1,2))</f>
        <v>1</v>
      </c>
      <c r="M38" s="3">
        <f>IF(OR(F38="",ISBLANK(F38),F38=0),0,IF(MOD(F38,2)=1,1,2))</f>
        <v>2</v>
      </c>
      <c r="N38" s="3">
        <f>IF(OR(G38="",ISBLANK(G38),G38=0),0,IF(MOD(G38,2)=1,1,2))</f>
        <v>1</v>
      </c>
      <c r="O38" s="32"/>
      <c r="P38" s="3" cm="1">
        <f t="array" ref="P38">SUMPRODUCT(--(MOD(B38:G38,2)=1))</f>
        <v>4</v>
      </c>
      <c r="Q38" s="3">
        <f>6-P38</f>
        <v>2</v>
      </c>
      <c r="R38" s="34"/>
      <c r="S38" s="3">
        <f>COUNTIFS(B38:G38,"&gt;=1",B38:G38,"&lt;=23")</f>
        <v>5</v>
      </c>
      <c r="T38" s="3">
        <f>6-S38</f>
        <v>1</v>
      </c>
      <c r="U38" s="34"/>
      <c r="V38" s="3" cm="1">
        <f t="array" ref="V38">SUMPRODUCT(--(MOD(B38:G38,10)&gt;=1), --(MOD(B38:G38,10)&lt;=5))</f>
        <v>4</v>
      </c>
      <c r="W38" s="3">
        <f>6-V38</f>
        <v>2</v>
      </c>
      <c r="X38" s="34"/>
      <c r="Y38" s="3" cm="1">
        <f t="array" ref="Y38">IFERROR(COUNT(_xlfn._xlws.FILTER(B38:G38, ISNUMBER(MATCH(B38:G38, {2,3,5,7,11,13,17,19,23,29,31,37,41,43}, 0)))), 0)</f>
        <v>1</v>
      </c>
      <c r="Z38" s="3" cm="1">
        <f t="array" ref="Z38">IFERROR(COUNT(_xlfn._xlws.FILTER(B38:G38, ISNUMBER(MATCH(B38:G38, {1,4,8,10,14,16,20,22,25,26,28,32,34,35,38,40,44}, 0)))), 0)</f>
        <v>2</v>
      </c>
      <c r="AA38" s="3" cm="1">
        <f t="array" ref="AA38">IFERROR(COUNT(_xlfn._xlws.FILTER(B38:G38, ISNUMBER(MATCH(B38:G38, {6,9,12,15,18,21,24,27,30,33,36,39,42,45}, 0)))), 0)</f>
        <v>3</v>
      </c>
      <c r="AB38" s="30"/>
      <c r="AC38" s="26"/>
      <c r="AD38" s="26"/>
      <c r="AE38" s="26"/>
      <c r="AF38" s="26"/>
      <c r="AG38" s="26"/>
      <c r="AH38" s="26"/>
      <c r="AI38" s="30"/>
      <c r="AJ38" s="3">
        <f>COUNTIFS(B38:G38,"&gt;=1",B38:G38,"&lt;=14")</f>
        <v>4</v>
      </c>
      <c r="AK38" s="3">
        <f>COUNTIFS(B38:G38,"&gt;=15",B38:G38,"&lt;=31")</f>
        <v>1</v>
      </c>
      <c r="AL38" s="3">
        <f>6-AK38-AJ38</f>
        <v>1</v>
      </c>
      <c r="AM38" s="33"/>
      <c r="AN38" s="3">
        <f>COUNTIFS($B38:$G38, "&gt;=1",$B38:$G38, "&lt;=9")</f>
        <v>2</v>
      </c>
      <c r="AO38" s="3">
        <f>COUNTIFS($B38:$G38, "&gt;=10",$B38:$G38, "&lt;=18")</f>
        <v>2</v>
      </c>
      <c r="AP38" s="3">
        <f>COUNTIFS($B38:$G38, "&gt;=19",$B38:$G38, "&lt;=27")</f>
        <v>1</v>
      </c>
      <c r="AQ38" s="3">
        <f>COUNTIFS($B38:$G38, "&gt;=28",$B38:$G38, "&lt;=36")</f>
        <v>0</v>
      </c>
      <c r="AR38" s="3">
        <f>COUNTIFS($B38:$G38, "&gt;=37",$B38:$G38, "&lt;=45")</f>
        <v>1</v>
      </c>
      <c r="AS38" s="28" t="e">
        <f>#REF!</f>
        <v>#REF!</v>
      </c>
      <c r="AT38" s="28" t="e">
        <f>#REF!*2</f>
        <v>#REF!</v>
      </c>
      <c r="AU38" s="28" t="e">
        <f>#REF!</f>
        <v>#REF!</v>
      </c>
      <c r="AV38" s="28" t="e">
        <f>#REF!*2</f>
        <v>#REF!</v>
      </c>
      <c r="AW38" s="28" t="e">
        <f>#REF!</f>
        <v>#REF!</v>
      </c>
      <c r="AX38" s="28" t="e">
        <f>#REF!*2</f>
        <v>#REF!</v>
      </c>
      <c r="AY38" s="28" t="e">
        <f>#REF!</f>
        <v>#REF!</v>
      </c>
      <c r="AZ38" s="28" t="e">
        <f>#REF!*2</f>
        <v>#REF!</v>
      </c>
      <c r="BA38" s="28" t="e">
        <f>#REF!</f>
        <v>#REF!</v>
      </c>
      <c r="BB38" s="28" t="e">
        <f>#REF!*2</f>
        <v>#REF!</v>
      </c>
      <c r="BC38" s="28" t="e">
        <f>#REF!</f>
        <v>#REF!</v>
      </c>
      <c r="BD38" s="28" t="e">
        <f>#REF!*2</f>
        <v>#REF!</v>
      </c>
      <c r="BE38" s="9" t="e">
        <f>#REF!-#REF!</f>
        <v>#REF!</v>
      </c>
      <c r="BF38" s="9" t="e">
        <f>#REF!-#REF!</f>
        <v>#REF!</v>
      </c>
      <c r="BG38" s="9" t="e">
        <f>#REF!-#REF!</f>
        <v>#REF!</v>
      </c>
      <c r="BH38" s="9" t="e">
        <f>#REF!-#REF!</f>
        <v>#REF!</v>
      </c>
      <c r="BI38" s="9" t="e">
        <f>#REF!-#REF!</f>
        <v>#REF!</v>
      </c>
      <c r="BJ38" s="33"/>
      <c r="BK38" s="3">
        <f>COUNTIFS(B38:G38, "&gt;=1", B38:G38, "&lt;=9")</f>
        <v>2</v>
      </c>
      <c r="BL38" s="3">
        <f>COUNTIFS(B38:G38, "&gt;=10", B38:G38, "&lt;=19")</f>
        <v>2</v>
      </c>
      <c r="BM38" s="3">
        <f>COUNTIFS(B38:G38, "&gt;=20", B38:G38, "&lt;=29")</f>
        <v>1</v>
      </c>
      <c r="BN38" s="3">
        <f>COUNTIFS(B38:G38, "&gt;=30", B38:G38, "&lt;=39")</f>
        <v>0</v>
      </c>
      <c r="BO38" s="3">
        <f>COUNTIFS(B38:G38, "&gt;=40", B38:G38, "&lt;=45")</f>
        <v>1</v>
      </c>
      <c r="BP38" s="28" t="e">
        <f>#REF!</f>
        <v>#REF!</v>
      </c>
      <c r="BQ38" s="28" t="e">
        <f>#REF!*2</f>
        <v>#REF!</v>
      </c>
      <c r="BR38" s="28" t="e">
        <f>#REF!</f>
        <v>#REF!</v>
      </c>
      <c r="BS38" s="28" t="e">
        <f>#REF!*2</f>
        <v>#REF!</v>
      </c>
      <c r="BT38" s="28" t="e">
        <f>#REF!</f>
        <v>#REF!</v>
      </c>
      <c r="BU38" s="28" t="e">
        <f>#REF!*2</f>
        <v>#REF!</v>
      </c>
      <c r="BV38" s="28" t="e">
        <f>#REF!</f>
        <v>#REF!</v>
      </c>
      <c r="BW38" s="28" t="e">
        <f>#REF!*2</f>
        <v>#REF!</v>
      </c>
      <c r="BX38" s="28" t="e">
        <f>#REF!</f>
        <v>#REF!</v>
      </c>
      <c r="BY38" s="28" t="e">
        <f>#REF!*2</f>
        <v>#REF!</v>
      </c>
      <c r="BZ38" s="28" t="e">
        <f>#REF!</f>
        <v>#REF!</v>
      </c>
      <c r="CA38" s="28" t="e">
        <f>#REF!*2</f>
        <v>#REF!</v>
      </c>
      <c r="CB38" s="9">
        <f>C38-B38</f>
        <v>8</v>
      </c>
      <c r="CC38" s="9">
        <f>D38-C38</f>
        <v>3</v>
      </c>
      <c r="CD38" s="9">
        <f>E38-D38</f>
        <v>1</v>
      </c>
      <c r="CE38" s="9">
        <f>F38-E38</f>
        <v>7</v>
      </c>
      <c r="CF38" s="9">
        <f>G38-F38</f>
        <v>25</v>
      </c>
      <c r="CG38" s="33"/>
      <c r="CH38" s="9">
        <f>C38-B38</f>
        <v>8</v>
      </c>
      <c r="CI38" s="9">
        <f>D38-C38</f>
        <v>3</v>
      </c>
      <c r="CJ38" s="9">
        <f>E38-D38</f>
        <v>1</v>
      </c>
      <c r="CK38" s="9">
        <f>F38-E38</f>
        <v>7</v>
      </c>
      <c r="CL38" s="9">
        <f>G38-F38</f>
        <v>25</v>
      </c>
      <c r="CM38" s="32"/>
      <c r="CN38" s="3">
        <f>IF(OR(CH38="",ISBLANK(CH38),CH38=0),0,IF(MOD(CH38,2)=1,1,2))</f>
        <v>2</v>
      </c>
      <c r="CO38" s="3">
        <f>IF(OR(CI38="",ISBLANK(CI38),CI38=0),0,IF(MOD(CI38,2)=1,1,2))</f>
        <v>1</v>
      </c>
      <c r="CP38" s="3">
        <f>IF(OR(CJ38="",ISBLANK(CJ38),CJ38=0),0,IF(MOD(CJ38,2)=1,1,2))</f>
        <v>1</v>
      </c>
      <c r="CQ38" s="3">
        <f>IF(OR(CK38="",ISBLANK(CK38),CK38=0),0,IF(MOD(CK38,2)=1,1,2))</f>
        <v>1</v>
      </c>
      <c r="CR38" s="3">
        <f>IF(OR(CL38="",ISBLANK(CL38),CL38=0),0,IF(MOD(CL38,2)=1,1,2))</f>
        <v>1</v>
      </c>
      <c r="CS38" s="31"/>
      <c r="CT38" s="3" cm="1">
        <f t="array" ref="CT38">SUMPRODUCT(--(MOD(CH38:CL38,2)=1))</f>
        <v>4</v>
      </c>
      <c r="CU38" s="3">
        <f>5-CT38</f>
        <v>1</v>
      </c>
      <c r="CV38" s="30"/>
      <c r="CW38" s="3" cm="1">
        <f t="array" ref="CW38">SUMPRODUCT(--(MOD(CH38:CL38,10)&gt;=1), --(MOD(CH38:CL38,10)&lt;=5))</f>
        <v>3</v>
      </c>
      <c r="CX38" s="3">
        <f>5-CW38</f>
        <v>2</v>
      </c>
      <c r="CY38" s="30"/>
      <c r="CZ38" s="3" cm="1">
        <f t="array" ref="CZ38">IFERROR(COUNT(_xlfn._xlws.FILTER(CH38:CL38, ISNUMBER(MATCH(CH38:CL38, {2,3,5,7,11,13,17,19,23,29,31,37,41,43}, 0)))), 0)</f>
        <v>2</v>
      </c>
      <c r="DA38" s="3" cm="1">
        <f t="array" ref="DA38">IFERROR(COUNT(_xlfn._xlws.FILTER(CH38:CL38, ISNUMBER(MATCH(CH38:CL38, {1,4,8,10,14,16,20,22,25,26,28,32,34,35,38,40,44}, 0)))), 0)</f>
        <v>3</v>
      </c>
      <c r="DB38" s="3" cm="1">
        <f t="array" ref="DB38">IFERROR(COUNT(_xlfn._xlws.FILTER(CH38:CL38, ISNUMBER(MATCH(CH38:CL38, {6,9,12,15,18,21,24,27,30,33,36,39,42,45}, 0)))), 0)</f>
        <v>0</v>
      </c>
      <c r="DC38" s="29"/>
      <c r="DD38" s="28" t="e">
        <f>#REF!</f>
        <v>#REF!</v>
      </c>
      <c r="DE38" s="28" t="e">
        <f>#REF!*2</f>
        <v>#REF!</v>
      </c>
      <c r="DF38" s="28" t="e">
        <f>#REF!</f>
        <v>#REF!</v>
      </c>
      <c r="DG38" s="28" t="e">
        <f>#REF!*2</f>
        <v>#REF!</v>
      </c>
      <c r="DH38" s="28" t="e">
        <f>#REF!</f>
        <v>#REF!</v>
      </c>
      <c r="DI38" s="28" t="e">
        <f>#REF!*2</f>
        <v>#REF!</v>
      </c>
      <c r="DJ38" s="28" t="e">
        <f>#REF!</f>
        <v>#REF!</v>
      </c>
      <c r="DK38" s="28" t="e">
        <f>#REF!*2</f>
        <v>#REF!</v>
      </c>
      <c r="DL38" s="28" t="e">
        <f>#REF!</f>
        <v>#REF!</v>
      </c>
      <c r="DM38" s="28" t="e">
        <f>#REF!*2</f>
        <v>#REF!</v>
      </c>
      <c r="DN38" s="27"/>
      <c r="DO38" s="26"/>
      <c r="DP38" s="26"/>
      <c r="DQ38" s="26"/>
      <c r="DR38" s="26"/>
      <c r="DS38" s="26"/>
      <c r="DT38" s="25"/>
    </row>
    <row r="39" spans="2:124" x14ac:dyDescent="0.3">
      <c r="B39" s="3">
        <v>2</v>
      </c>
      <c r="C39" s="3">
        <v>19</v>
      </c>
      <c r="D39" s="3">
        <v>26</v>
      </c>
      <c r="E39" s="3">
        <v>31</v>
      </c>
      <c r="F39" s="3">
        <v>38</v>
      </c>
      <c r="G39" s="3">
        <v>41</v>
      </c>
      <c r="H39" s="32"/>
      <c r="I39" s="3">
        <f>IF(OR(B39="",ISBLANK(B39),B39=0),0,IF(MOD(B39,2)=1,1,2))</f>
        <v>2</v>
      </c>
      <c r="J39" s="3">
        <f>IF(OR(C39="",ISBLANK(C39),C39=0),0,IF(MOD(C39,2)=1,1,2))</f>
        <v>1</v>
      </c>
      <c r="K39" s="3">
        <f>IF(OR(D39="",ISBLANK(D39),D39=0),0,IF(MOD(D39,2)=1,1,2))</f>
        <v>2</v>
      </c>
      <c r="L39" s="3">
        <f>IF(OR(E39="",ISBLANK(E39),E39=0),0,IF(MOD(E39,2)=1,1,2))</f>
        <v>1</v>
      </c>
      <c r="M39" s="3">
        <f>IF(OR(F39="",ISBLANK(F39),F39=0),0,IF(MOD(F39,2)=1,1,2))</f>
        <v>2</v>
      </c>
      <c r="N39" s="3">
        <f>IF(OR(G39="",ISBLANK(G39),G39=0),0,IF(MOD(G39,2)=1,1,2))</f>
        <v>1</v>
      </c>
      <c r="O39" s="32"/>
      <c r="P39" s="3" cm="1">
        <f t="array" ref="P39">SUMPRODUCT(--(MOD(B39:G39,2)=1))</f>
        <v>3</v>
      </c>
      <c r="Q39" s="3">
        <f>6-P39</f>
        <v>3</v>
      </c>
      <c r="R39" s="34"/>
      <c r="S39" s="3">
        <f>COUNTIFS(B39:G39,"&gt;=1",B39:G39,"&lt;=23")</f>
        <v>2</v>
      </c>
      <c r="T39" s="3">
        <f>6-S39</f>
        <v>4</v>
      </c>
      <c r="U39" s="34"/>
      <c r="V39" s="3" cm="1">
        <f t="array" ref="V39">SUMPRODUCT(--(MOD(B39:G39,10)&gt;=1), --(MOD(B39:G39,10)&lt;=5))</f>
        <v>3</v>
      </c>
      <c r="W39" s="3">
        <f>6-V39</f>
        <v>3</v>
      </c>
      <c r="X39" s="34"/>
      <c r="Y39" s="3" cm="1">
        <f t="array" ref="Y39">IFERROR(COUNT(_xlfn._xlws.FILTER(B39:G39, ISNUMBER(MATCH(B39:G39, {2,3,5,7,11,13,17,19,23,29,31,37,41,43}, 0)))), 0)</f>
        <v>4</v>
      </c>
      <c r="Z39" s="3" cm="1">
        <f t="array" ref="Z39">IFERROR(COUNT(_xlfn._xlws.FILTER(B39:G39, ISNUMBER(MATCH(B39:G39, {1,4,8,10,14,16,20,22,25,26,28,32,34,35,38,40,44}, 0)))), 0)</f>
        <v>2</v>
      </c>
      <c r="AA39" s="3" cm="1">
        <f t="array" ref="AA39">IFERROR(COUNT(_xlfn._xlws.FILTER(B39:G39, ISNUMBER(MATCH(B39:G39, {6,9,12,15,18,21,24,27,30,33,36,39,42,45}, 0)))), 0)</f>
        <v>0</v>
      </c>
      <c r="AB39" s="30"/>
      <c r="AC39" s="26"/>
      <c r="AD39" s="26"/>
      <c r="AE39" s="26"/>
      <c r="AF39" s="26"/>
      <c r="AG39" s="26"/>
      <c r="AH39" s="26"/>
      <c r="AI39" s="30"/>
      <c r="AJ39" s="3">
        <f>COUNTIFS(B39:G39,"&gt;=1",B39:G39,"&lt;=14")</f>
        <v>1</v>
      </c>
      <c r="AK39" s="3">
        <f>COUNTIFS(B39:G39,"&gt;=15",B39:G39,"&lt;=31")</f>
        <v>3</v>
      </c>
      <c r="AL39" s="3">
        <f>6-AK39-AJ39</f>
        <v>2</v>
      </c>
      <c r="AM39" s="33"/>
      <c r="AN39" s="3">
        <f>COUNTIFS($B39:$G39, "&gt;=1",$B39:$G39, "&lt;=9")</f>
        <v>1</v>
      </c>
      <c r="AO39" s="3">
        <f>COUNTIFS($B39:$G39, "&gt;=10",$B39:$G39, "&lt;=18")</f>
        <v>0</v>
      </c>
      <c r="AP39" s="3">
        <f>COUNTIFS($B39:$G39, "&gt;=19",$B39:$G39, "&lt;=27")</f>
        <v>2</v>
      </c>
      <c r="AQ39" s="3">
        <f>COUNTIFS($B39:$G39, "&gt;=28",$B39:$G39, "&lt;=36")</f>
        <v>1</v>
      </c>
      <c r="AR39" s="3">
        <f>COUNTIFS($B39:$G39, "&gt;=37",$B39:$G39, "&lt;=45")</f>
        <v>2</v>
      </c>
      <c r="AS39" s="28" t="e">
        <f>#REF!</f>
        <v>#REF!</v>
      </c>
      <c r="AT39" s="28" t="e">
        <f>#REF!*2</f>
        <v>#REF!</v>
      </c>
      <c r="AU39" s="28" t="e">
        <f>#REF!</f>
        <v>#REF!</v>
      </c>
      <c r="AV39" s="28" t="e">
        <f>#REF!*2</f>
        <v>#REF!</v>
      </c>
      <c r="AW39" s="28" t="e">
        <f>#REF!</f>
        <v>#REF!</v>
      </c>
      <c r="AX39" s="28" t="e">
        <f>#REF!*2</f>
        <v>#REF!</v>
      </c>
      <c r="AY39" s="28" t="e">
        <f>#REF!</f>
        <v>#REF!</v>
      </c>
      <c r="AZ39" s="28" t="e">
        <f>#REF!*2</f>
        <v>#REF!</v>
      </c>
      <c r="BA39" s="28" t="e">
        <f>#REF!</f>
        <v>#REF!</v>
      </c>
      <c r="BB39" s="28" t="e">
        <f>#REF!*2</f>
        <v>#REF!</v>
      </c>
      <c r="BC39" s="28" t="e">
        <f>#REF!</f>
        <v>#REF!</v>
      </c>
      <c r="BD39" s="28" t="e">
        <f>#REF!*2</f>
        <v>#REF!</v>
      </c>
      <c r="BE39" s="9" t="e">
        <f>#REF!-#REF!</f>
        <v>#REF!</v>
      </c>
      <c r="BF39" s="9" t="e">
        <f>#REF!-#REF!</f>
        <v>#REF!</v>
      </c>
      <c r="BG39" s="9" t="e">
        <f>#REF!-#REF!</f>
        <v>#REF!</v>
      </c>
      <c r="BH39" s="9" t="e">
        <f>#REF!-#REF!</f>
        <v>#REF!</v>
      </c>
      <c r="BI39" s="9" t="e">
        <f>#REF!-#REF!</f>
        <v>#REF!</v>
      </c>
      <c r="BJ39" s="33"/>
      <c r="BK39" s="3">
        <f>COUNTIFS(B39:G39, "&gt;=1", B39:G39, "&lt;=9")</f>
        <v>1</v>
      </c>
      <c r="BL39" s="3">
        <f>COUNTIFS(B39:G39, "&gt;=10", B39:G39, "&lt;=19")</f>
        <v>1</v>
      </c>
      <c r="BM39" s="3">
        <f>COUNTIFS(B39:G39, "&gt;=20", B39:G39, "&lt;=29")</f>
        <v>1</v>
      </c>
      <c r="BN39" s="3">
        <f>COUNTIFS(B39:G39, "&gt;=30", B39:G39, "&lt;=39")</f>
        <v>2</v>
      </c>
      <c r="BO39" s="3">
        <f>COUNTIFS(B39:G39, "&gt;=40", B39:G39, "&lt;=45")</f>
        <v>1</v>
      </c>
      <c r="BP39" s="28" t="e">
        <f>#REF!</f>
        <v>#REF!</v>
      </c>
      <c r="BQ39" s="28" t="e">
        <f>#REF!*2</f>
        <v>#REF!</v>
      </c>
      <c r="BR39" s="28" t="e">
        <f>#REF!</f>
        <v>#REF!</v>
      </c>
      <c r="BS39" s="28" t="e">
        <f>#REF!*2</f>
        <v>#REF!</v>
      </c>
      <c r="BT39" s="28" t="e">
        <f>#REF!</f>
        <v>#REF!</v>
      </c>
      <c r="BU39" s="28" t="e">
        <f>#REF!*2</f>
        <v>#REF!</v>
      </c>
      <c r="BV39" s="28" t="e">
        <f>#REF!</f>
        <v>#REF!</v>
      </c>
      <c r="BW39" s="28" t="e">
        <f>#REF!*2</f>
        <v>#REF!</v>
      </c>
      <c r="BX39" s="28" t="e">
        <f>#REF!</f>
        <v>#REF!</v>
      </c>
      <c r="BY39" s="28" t="e">
        <f>#REF!*2</f>
        <v>#REF!</v>
      </c>
      <c r="BZ39" s="28" t="e">
        <f>#REF!</f>
        <v>#REF!</v>
      </c>
      <c r="CA39" s="28" t="e">
        <f>#REF!*2</f>
        <v>#REF!</v>
      </c>
      <c r="CB39" s="9">
        <f>C39-B39</f>
        <v>17</v>
      </c>
      <c r="CC39" s="9">
        <f>D39-C39</f>
        <v>7</v>
      </c>
      <c r="CD39" s="9">
        <f>E39-D39</f>
        <v>5</v>
      </c>
      <c r="CE39" s="9">
        <f>F39-E39</f>
        <v>7</v>
      </c>
      <c r="CF39" s="9">
        <f>G39-F39</f>
        <v>3</v>
      </c>
      <c r="CG39" s="33"/>
      <c r="CH39" s="9">
        <f>C39-B39</f>
        <v>17</v>
      </c>
      <c r="CI39" s="9">
        <f>D39-C39</f>
        <v>7</v>
      </c>
      <c r="CJ39" s="9">
        <f>E39-D39</f>
        <v>5</v>
      </c>
      <c r="CK39" s="9">
        <f>F39-E39</f>
        <v>7</v>
      </c>
      <c r="CL39" s="9">
        <f>G39-F39</f>
        <v>3</v>
      </c>
      <c r="CM39" s="32"/>
      <c r="CN39" s="3">
        <f>IF(OR(CH39="",ISBLANK(CH39),CH39=0),0,IF(MOD(CH39,2)=1,1,2))</f>
        <v>1</v>
      </c>
      <c r="CO39" s="3">
        <f>IF(OR(CI39="",ISBLANK(CI39),CI39=0),0,IF(MOD(CI39,2)=1,1,2))</f>
        <v>1</v>
      </c>
      <c r="CP39" s="3">
        <f>IF(OR(CJ39="",ISBLANK(CJ39),CJ39=0),0,IF(MOD(CJ39,2)=1,1,2))</f>
        <v>1</v>
      </c>
      <c r="CQ39" s="3">
        <f>IF(OR(CK39="",ISBLANK(CK39),CK39=0),0,IF(MOD(CK39,2)=1,1,2))</f>
        <v>1</v>
      </c>
      <c r="CR39" s="3">
        <f>IF(OR(CL39="",ISBLANK(CL39),CL39=0),0,IF(MOD(CL39,2)=1,1,2))</f>
        <v>1</v>
      </c>
      <c r="CS39" s="31"/>
      <c r="CT39" s="3" cm="1">
        <f t="array" ref="CT39">SUMPRODUCT(--(MOD(CH39:CL39,2)=1))</f>
        <v>5</v>
      </c>
      <c r="CU39" s="3">
        <f>5-CT39</f>
        <v>0</v>
      </c>
      <c r="CV39" s="30"/>
      <c r="CW39" s="3" cm="1">
        <f t="array" ref="CW39">SUMPRODUCT(--(MOD(CH39:CL39,10)&gt;=1), --(MOD(CH39:CL39,10)&lt;=5))</f>
        <v>2</v>
      </c>
      <c r="CX39" s="3">
        <f>5-CW39</f>
        <v>3</v>
      </c>
      <c r="CY39" s="30"/>
      <c r="CZ39" s="3" cm="1">
        <f t="array" ref="CZ39">IFERROR(COUNT(_xlfn._xlws.FILTER(CH39:CL39, ISNUMBER(MATCH(CH39:CL39, {2,3,5,7,11,13,17,19,23,29,31,37,41,43}, 0)))), 0)</f>
        <v>5</v>
      </c>
      <c r="DA39" s="3" cm="1">
        <f t="array" ref="DA39">IFERROR(COUNT(_xlfn._xlws.FILTER(CH39:CL39, ISNUMBER(MATCH(CH39:CL39, {1,4,8,10,14,16,20,22,25,26,28,32,34,35,38,40,44}, 0)))), 0)</f>
        <v>0</v>
      </c>
      <c r="DB39" s="3" cm="1">
        <f t="array" ref="DB39">IFERROR(COUNT(_xlfn._xlws.FILTER(CH39:CL39, ISNUMBER(MATCH(CH39:CL39, {6,9,12,15,18,21,24,27,30,33,36,39,42,45}, 0)))), 0)</f>
        <v>0</v>
      </c>
      <c r="DC39" s="29"/>
      <c r="DD39" s="28" t="e">
        <f>#REF!</f>
        <v>#REF!</v>
      </c>
      <c r="DE39" s="28" t="e">
        <f>#REF!*2</f>
        <v>#REF!</v>
      </c>
      <c r="DF39" s="28" t="e">
        <f>#REF!</f>
        <v>#REF!</v>
      </c>
      <c r="DG39" s="28" t="e">
        <f>#REF!*2</f>
        <v>#REF!</v>
      </c>
      <c r="DH39" s="28" t="e">
        <f>#REF!</f>
        <v>#REF!</v>
      </c>
      <c r="DI39" s="28" t="e">
        <f>#REF!*2</f>
        <v>#REF!</v>
      </c>
      <c r="DJ39" s="28" t="e">
        <f>#REF!</f>
        <v>#REF!</v>
      </c>
      <c r="DK39" s="28" t="e">
        <f>#REF!*2</f>
        <v>#REF!</v>
      </c>
      <c r="DL39" s="28" t="e">
        <f>#REF!</f>
        <v>#REF!</v>
      </c>
      <c r="DM39" s="28" t="e">
        <f>#REF!*2</f>
        <v>#REF!</v>
      </c>
      <c r="DN39" s="27"/>
      <c r="DO39" s="26"/>
      <c r="DP39" s="26"/>
      <c r="DQ39" s="26"/>
      <c r="DR39" s="26"/>
      <c r="DS39" s="26"/>
      <c r="DT39" s="25"/>
    </row>
    <row r="40" spans="2:124" x14ac:dyDescent="0.3">
      <c r="B40" s="3">
        <v>6</v>
      </c>
      <c r="C40" s="3">
        <v>24</v>
      </c>
      <c r="D40" s="3">
        <v>31</v>
      </c>
      <c r="E40" s="3">
        <v>32</v>
      </c>
      <c r="F40" s="3">
        <v>38</v>
      </c>
      <c r="G40" s="3">
        <v>44</v>
      </c>
      <c r="H40" s="32"/>
      <c r="I40" s="3">
        <f>IF(OR(B40="",ISBLANK(B40),B40=0),0,IF(MOD(B40,2)=1,1,2))</f>
        <v>2</v>
      </c>
      <c r="J40" s="3">
        <f>IF(OR(C40="",ISBLANK(C40),C40=0),0,IF(MOD(C40,2)=1,1,2))</f>
        <v>2</v>
      </c>
      <c r="K40" s="3">
        <f>IF(OR(D40="",ISBLANK(D40),D40=0),0,IF(MOD(D40,2)=1,1,2))</f>
        <v>1</v>
      </c>
      <c r="L40" s="3">
        <f>IF(OR(E40="",ISBLANK(E40),E40=0),0,IF(MOD(E40,2)=1,1,2))</f>
        <v>2</v>
      </c>
      <c r="M40" s="3">
        <f>IF(OR(F40="",ISBLANK(F40),F40=0),0,IF(MOD(F40,2)=1,1,2))</f>
        <v>2</v>
      </c>
      <c r="N40" s="3">
        <f>IF(OR(G40="",ISBLANK(G40),G40=0),0,IF(MOD(G40,2)=1,1,2))</f>
        <v>2</v>
      </c>
      <c r="O40" s="32"/>
      <c r="P40" s="3" cm="1">
        <f t="array" ref="P40">SUMPRODUCT(--(MOD(B40:G40,2)=1))</f>
        <v>1</v>
      </c>
      <c r="Q40" s="3">
        <f>6-P40</f>
        <v>5</v>
      </c>
      <c r="R40" s="34"/>
      <c r="S40" s="3">
        <f>COUNTIFS(B40:G40,"&gt;=1",B40:G40,"&lt;=23")</f>
        <v>1</v>
      </c>
      <c r="T40" s="3">
        <f>6-S40</f>
        <v>5</v>
      </c>
      <c r="U40" s="34"/>
      <c r="V40" s="3" cm="1">
        <f t="array" ref="V40">SUMPRODUCT(--(MOD(B40:G40,10)&gt;=1), --(MOD(B40:G40,10)&lt;=5))</f>
        <v>4</v>
      </c>
      <c r="W40" s="3">
        <f>6-V40</f>
        <v>2</v>
      </c>
      <c r="X40" s="34"/>
      <c r="Y40" s="3" cm="1">
        <f t="array" ref="Y40">IFERROR(COUNT(_xlfn._xlws.FILTER(B40:G40, ISNUMBER(MATCH(B40:G40, {2,3,5,7,11,13,17,19,23,29,31,37,41,43}, 0)))), 0)</f>
        <v>1</v>
      </c>
      <c r="Z40" s="3" cm="1">
        <f t="array" ref="Z40">IFERROR(COUNT(_xlfn._xlws.FILTER(B40:G40, ISNUMBER(MATCH(B40:G40, {1,4,8,10,14,16,20,22,25,26,28,32,34,35,38,40,44}, 0)))), 0)</f>
        <v>3</v>
      </c>
      <c r="AA40" s="3" cm="1">
        <f t="array" ref="AA40">IFERROR(COUNT(_xlfn._xlws.FILTER(B40:G40, ISNUMBER(MATCH(B40:G40, {6,9,12,15,18,21,24,27,30,33,36,39,42,45}, 0)))), 0)</f>
        <v>2</v>
      </c>
      <c r="AB40" s="30"/>
      <c r="AC40" s="26"/>
      <c r="AD40" s="26"/>
      <c r="AE40" s="26"/>
      <c r="AF40" s="26"/>
      <c r="AG40" s="26"/>
      <c r="AH40" s="26"/>
      <c r="AI40" s="30"/>
      <c r="AJ40" s="3">
        <f>COUNTIFS(B40:G40,"&gt;=1",B40:G40,"&lt;=14")</f>
        <v>1</v>
      </c>
      <c r="AK40" s="3">
        <f>COUNTIFS(B40:G40,"&gt;=15",B40:G40,"&lt;=31")</f>
        <v>2</v>
      </c>
      <c r="AL40" s="3">
        <f>6-AK40-AJ40</f>
        <v>3</v>
      </c>
      <c r="AM40" s="33"/>
      <c r="AN40" s="3">
        <f>COUNTIFS($B40:$G40, "&gt;=1",$B40:$G40, "&lt;=9")</f>
        <v>1</v>
      </c>
      <c r="AO40" s="3">
        <f>COUNTIFS($B40:$G40, "&gt;=10",$B40:$G40, "&lt;=18")</f>
        <v>0</v>
      </c>
      <c r="AP40" s="3">
        <f>COUNTIFS($B40:$G40, "&gt;=19",$B40:$G40, "&lt;=27")</f>
        <v>1</v>
      </c>
      <c r="AQ40" s="3">
        <f>COUNTIFS($B40:$G40, "&gt;=28",$B40:$G40, "&lt;=36")</f>
        <v>2</v>
      </c>
      <c r="AR40" s="3">
        <f>COUNTIFS($B40:$G40, "&gt;=37",$B40:$G40, "&lt;=45")</f>
        <v>2</v>
      </c>
      <c r="AS40" s="28" t="e">
        <f>#REF!</f>
        <v>#REF!</v>
      </c>
      <c r="AT40" s="28" t="e">
        <f>#REF!*2</f>
        <v>#REF!</v>
      </c>
      <c r="AU40" s="28" t="e">
        <f>#REF!</f>
        <v>#REF!</v>
      </c>
      <c r="AV40" s="28" t="e">
        <f>#REF!*2</f>
        <v>#REF!</v>
      </c>
      <c r="AW40" s="28" t="e">
        <f>#REF!</f>
        <v>#REF!</v>
      </c>
      <c r="AX40" s="28" t="e">
        <f>#REF!*2</f>
        <v>#REF!</v>
      </c>
      <c r="AY40" s="28" t="e">
        <f>#REF!</f>
        <v>#REF!</v>
      </c>
      <c r="AZ40" s="28" t="e">
        <f>#REF!*2</f>
        <v>#REF!</v>
      </c>
      <c r="BA40" s="28" t="e">
        <f>#REF!</f>
        <v>#REF!</v>
      </c>
      <c r="BB40" s="28" t="e">
        <f>#REF!*2</f>
        <v>#REF!</v>
      </c>
      <c r="BC40" s="28" t="e">
        <f>#REF!</f>
        <v>#REF!</v>
      </c>
      <c r="BD40" s="28" t="e">
        <f>#REF!*2</f>
        <v>#REF!</v>
      </c>
      <c r="BE40" s="9" t="e">
        <f>#REF!-#REF!</f>
        <v>#REF!</v>
      </c>
      <c r="BF40" s="9" t="e">
        <f>#REF!-#REF!</f>
        <v>#REF!</v>
      </c>
      <c r="BG40" s="9" t="e">
        <f>#REF!-#REF!</f>
        <v>#REF!</v>
      </c>
      <c r="BH40" s="9" t="e">
        <f>#REF!-#REF!</f>
        <v>#REF!</v>
      </c>
      <c r="BI40" s="9" t="e">
        <f>#REF!-#REF!</f>
        <v>#REF!</v>
      </c>
      <c r="BJ40" s="33"/>
      <c r="BK40" s="3">
        <f>COUNTIFS(B40:G40, "&gt;=1", B40:G40, "&lt;=9")</f>
        <v>1</v>
      </c>
      <c r="BL40" s="3">
        <f>COUNTIFS(B40:G40, "&gt;=10", B40:G40, "&lt;=19")</f>
        <v>0</v>
      </c>
      <c r="BM40" s="3">
        <f>COUNTIFS(B40:G40, "&gt;=20", B40:G40, "&lt;=29")</f>
        <v>1</v>
      </c>
      <c r="BN40" s="3">
        <f>COUNTIFS(B40:G40, "&gt;=30", B40:G40, "&lt;=39")</f>
        <v>3</v>
      </c>
      <c r="BO40" s="3">
        <f>COUNTIFS(B40:G40, "&gt;=40", B40:G40, "&lt;=45")</f>
        <v>1</v>
      </c>
      <c r="BP40" s="28" t="e">
        <f>#REF!</f>
        <v>#REF!</v>
      </c>
      <c r="BQ40" s="28" t="e">
        <f>#REF!*2</f>
        <v>#REF!</v>
      </c>
      <c r="BR40" s="28" t="e">
        <f>#REF!</f>
        <v>#REF!</v>
      </c>
      <c r="BS40" s="28" t="e">
        <f>#REF!*2</f>
        <v>#REF!</v>
      </c>
      <c r="BT40" s="28" t="e">
        <f>#REF!</f>
        <v>#REF!</v>
      </c>
      <c r="BU40" s="28" t="e">
        <f>#REF!*2</f>
        <v>#REF!</v>
      </c>
      <c r="BV40" s="28" t="e">
        <f>#REF!</f>
        <v>#REF!</v>
      </c>
      <c r="BW40" s="28" t="e">
        <f>#REF!*2</f>
        <v>#REF!</v>
      </c>
      <c r="BX40" s="28" t="e">
        <f>#REF!</f>
        <v>#REF!</v>
      </c>
      <c r="BY40" s="28" t="e">
        <f>#REF!*2</f>
        <v>#REF!</v>
      </c>
      <c r="BZ40" s="28" t="e">
        <f>#REF!</f>
        <v>#REF!</v>
      </c>
      <c r="CA40" s="28" t="e">
        <f>#REF!*2</f>
        <v>#REF!</v>
      </c>
      <c r="CB40" s="9">
        <f>C40-B40</f>
        <v>18</v>
      </c>
      <c r="CC40" s="9">
        <f>D40-C40</f>
        <v>7</v>
      </c>
      <c r="CD40" s="9">
        <f>E40-D40</f>
        <v>1</v>
      </c>
      <c r="CE40" s="9">
        <f>F40-E40</f>
        <v>6</v>
      </c>
      <c r="CF40" s="9">
        <f>G40-F40</f>
        <v>6</v>
      </c>
      <c r="CG40" s="33"/>
      <c r="CH40" s="9">
        <f>C40-B40</f>
        <v>18</v>
      </c>
      <c r="CI40" s="9">
        <f>D40-C40</f>
        <v>7</v>
      </c>
      <c r="CJ40" s="9">
        <f>E40-D40</f>
        <v>1</v>
      </c>
      <c r="CK40" s="9">
        <f>F40-E40</f>
        <v>6</v>
      </c>
      <c r="CL40" s="9">
        <f>G40-F40</f>
        <v>6</v>
      </c>
      <c r="CM40" s="32"/>
      <c r="CN40" s="3">
        <f>IF(OR(CH40="",ISBLANK(CH40),CH40=0),0,IF(MOD(CH40,2)=1,1,2))</f>
        <v>2</v>
      </c>
      <c r="CO40" s="3">
        <f>IF(OR(CI40="",ISBLANK(CI40),CI40=0),0,IF(MOD(CI40,2)=1,1,2))</f>
        <v>1</v>
      </c>
      <c r="CP40" s="3">
        <f>IF(OR(CJ40="",ISBLANK(CJ40),CJ40=0),0,IF(MOD(CJ40,2)=1,1,2))</f>
        <v>1</v>
      </c>
      <c r="CQ40" s="3">
        <f>IF(OR(CK40="",ISBLANK(CK40),CK40=0),0,IF(MOD(CK40,2)=1,1,2))</f>
        <v>2</v>
      </c>
      <c r="CR40" s="3">
        <f>IF(OR(CL40="",ISBLANK(CL40),CL40=0),0,IF(MOD(CL40,2)=1,1,2))</f>
        <v>2</v>
      </c>
      <c r="CS40" s="31"/>
      <c r="CT40" s="3" cm="1">
        <f t="array" ref="CT40">SUMPRODUCT(--(MOD(CH40:CL40,2)=1))</f>
        <v>2</v>
      </c>
      <c r="CU40" s="3">
        <f>5-CT40</f>
        <v>3</v>
      </c>
      <c r="CV40" s="30"/>
      <c r="CW40" s="3" cm="1">
        <f t="array" ref="CW40">SUMPRODUCT(--(MOD(CH40:CL40,10)&gt;=1), --(MOD(CH40:CL40,10)&lt;=5))</f>
        <v>1</v>
      </c>
      <c r="CX40" s="3">
        <f>5-CW40</f>
        <v>4</v>
      </c>
      <c r="CY40" s="30"/>
      <c r="CZ40" s="3" cm="1">
        <f t="array" ref="CZ40">IFERROR(COUNT(_xlfn._xlws.FILTER(CH40:CL40, ISNUMBER(MATCH(CH40:CL40, {2,3,5,7,11,13,17,19,23,29,31,37,41,43}, 0)))), 0)</f>
        <v>1</v>
      </c>
      <c r="DA40" s="3" cm="1">
        <f t="array" ref="DA40">IFERROR(COUNT(_xlfn._xlws.FILTER(CH40:CL40, ISNUMBER(MATCH(CH40:CL40, {1,4,8,10,14,16,20,22,25,26,28,32,34,35,38,40,44}, 0)))), 0)</f>
        <v>1</v>
      </c>
      <c r="DB40" s="3" cm="1">
        <f t="array" ref="DB40">IFERROR(COUNT(_xlfn._xlws.FILTER(CH40:CL40, ISNUMBER(MATCH(CH40:CL40, {6,9,12,15,18,21,24,27,30,33,36,39,42,45}, 0)))), 0)</f>
        <v>3</v>
      </c>
      <c r="DC40" s="29"/>
      <c r="DD40" s="28" t="e">
        <f>#REF!</f>
        <v>#REF!</v>
      </c>
      <c r="DE40" s="28" t="e">
        <f>#REF!*2</f>
        <v>#REF!</v>
      </c>
      <c r="DF40" s="28" t="e">
        <f>#REF!</f>
        <v>#REF!</v>
      </c>
      <c r="DG40" s="28" t="e">
        <f>#REF!*2</f>
        <v>#REF!</v>
      </c>
      <c r="DH40" s="28" t="e">
        <f>#REF!</f>
        <v>#REF!</v>
      </c>
      <c r="DI40" s="28" t="e">
        <f>#REF!*2</f>
        <v>#REF!</v>
      </c>
      <c r="DJ40" s="28" t="e">
        <f>#REF!</f>
        <v>#REF!</v>
      </c>
      <c r="DK40" s="28" t="e">
        <f>#REF!*2</f>
        <v>#REF!</v>
      </c>
      <c r="DL40" s="28" t="e">
        <f>#REF!</f>
        <v>#REF!</v>
      </c>
      <c r="DM40" s="28" t="e">
        <f>#REF!*2</f>
        <v>#REF!</v>
      </c>
      <c r="DN40" s="27"/>
      <c r="DO40" s="26"/>
      <c r="DP40" s="26"/>
      <c r="DQ40" s="26"/>
      <c r="DR40" s="26"/>
      <c r="DS40" s="26"/>
      <c r="DT40" s="25"/>
    </row>
    <row r="41" spans="2:124" x14ac:dyDescent="0.3">
      <c r="B41" s="3">
        <v>3</v>
      </c>
      <c r="C41" s="3">
        <v>6</v>
      </c>
      <c r="D41" s="3">
        <v>21</v>
      </c>
      <c r="E41" s="3">
        <v>30</v>
      </c>
      <c r="F41" s="3">
        <v>34</v>
      </c>
      <c r="G41" s="3">
        <v>35</v>
      </c>
      <c r="H41" s="32"/>
      <c r="I41" s="3">
        <f>IF(OR(B41="",ISBLANK(B41),B41=0),0,IF(MOD(B41,2)=1,1,2))</f>
        <v>1</v>
      </c>
      <c r="J41" s="3">
        <f>IF(OR(C41="",ISBLANK(C41),C41=0),0,IF(MOD(C41,2)=1,1,2))</f>
        <v>2</v>
      </c>
      <c r="K41" s="3">
        <f>IF(OR(D41="",ISBLANK(D41),D41=0),0,IF(MOD(D41,2)=1,1,2))</f>
        <v>1</v>
      </c>
      <c r="L41" s="3">
        <f>IF(OR(E41="",ISBLANK(E41),E41=0),0,IF(MOD(E41,2)=1,1,2))</f>
        <v>2</v>
      </c>
      <c r="M41" s="3">
        <f>IF(OR(F41="",ISBLANK(F41),F41=0),0,IF(MOD(F41,2)=1,1,2))</f>
        <v>2</v>
      </c>
      <c r="N41" s="3">
        <f>IF(OR(G41="",ISBLANK(G41),G41=0),0,IF(MOD(G41,2)=1,1,2))</f>
        <v>1</v>
      </c>
      <c r="O41" s="32"/>
      <c r="P41" s="3" cm="1">
        <f t="array" ref="P41">SUMPRODUCT(--(MOD(B41:G41,2)=1))</f>
        <v>3</v>
      </c>
      <c r="Q41" s="3">
        <f>6-P41</f>
        <v>3</v>
      </c>
      <c r="R41" s="34"/>
      <c r="S41" s="3">
        <f>COUNTIFS(B41:G41,"&gt;=1",B41:G41,"&lt;=23")</f>
        <v>3</v>
      </c>
      <c r="T41" s="3">
        <f>6-S41</f>
        <v>3</v>
      </c>
      <c r="U41" s="34"/>
      <c r="V41" s="3" cm="1">
        <f t="array" ref="V41">SUMPRODUCT(--(MOD(B41:G41,10)&gt;=1), --(MOD(B41:G41,10)&lt;=5))</f>
        <v>4</v>
      </c>
      <c r="W41" s="3">
        <f>6-V41</f>
        <v>2</v>
      </c>
      <c r="X41" s="34"/>
      <c r="Y41" s="3" cm="1">
        <f t="array" ref="Y41">IFERROR(COUNT(_xlfn._xlws.FILTER(B41:G41, ISNUMBER(MATCH(B41:G41, {2,3,5,7,11,13,17,19,23,29,31,37,41,43}, 0)))), 0)</f>
        <v>1</v>
      </c>
      <c r="Z41" s="3" cm="1">
        <f t="array" ref="Z41">IFERROR(COUNT(_xlfn._xlws.FILTER(B41:G41, ISNUMBER(MATCH(B41:G41, {1,4,8,10,14,16,20,22,25,26,28,32,34,35,38,40,44}, 0)))), 0)</f>
        <v>2</v>
      </c>
      <c r="AA41" s="3" cm="1">
        <f t="array" ref="AA41">IFERROR(COUNT(_xlfn._xlws.FILTER(B41:G41, ISNUMBER(MATCH(B41:G41, {6,9,12,15,18,21,24,27,30,33,36,39,42,45}, 0)))), 0)</f>
        <v>3</v>
      </c>
      <c r="AB41" s="30"/>
      <c r="AC41" s="26"/>
      <c r="AD41" s="26"/>
      <c r="AE41" s="26"/>
      <c r="AF41" s="26"/>
      <c r="AG41" s="26"/>
      <c r="AH41" s="26"/>
      <c r="AI41" s="30"/>
      <c r="AJ41" s="3">
        <f>COUNTIFS(B41:G41,"&gt;=1",B41:G41,"&lt;=14")</f>
        <v>2</v>
      </c>
      <c r="AK41" s="3">
        <f>COUNTIFS(B41:G41,"&gt;=15",B41:G41,"&lt;=31")</f>
        <v>2</v>
      </c>
      <c r="AL41" s="3">
        <f>6-AK41-AJ41</f>
        <v>2</v>
      </c>
      <c r="AM41" s="33"/>
      <c r="AN41" s="3">
        <f>COUNTIFS($B41:$G41, "&gt;=1",$B41:$G41, "&lt;=9")</f>
        <v>2</v>
      </c>
      <c r="AO41" s="3">
        <f>COUNTIFS($B41:$G41, "&gt;=10",$B41:$G41, "&lt;=18")</f>
        <v>0</v>
      </c>
      <c r="AP41" s="3">
        <f>COUNTIFS($B41:$G41, "&gt;=19",$B41:$G41, "&lt;=27")</f>
        <v>1</v>
      </c>
      <c r="AQ41" s="3">
        <f>COUNTIFS($B41:$G41, "&gt;=28",$B41:$G41, "&lt;=36")</f>
        <v>3</v>
      </c>
      <c r="AR41" s="3">
        <f>COUNTIFS($B41:$G41, "&gt;=37",$B41:$G41, "&lt;=45")</f>
        <v>0</v>
      </c>
      <c r="AS41" s="28" t="e">
        <f>#REF!</f>
        <v>#REF!</v>
      </c>
      <c r="AT41" s="28" t="e">
        <f>#REF!*2</f>
        <v>#REF!</v>
      </c>
      <c r="AU41" s="28" t="e">
        <f>#REF!</f>
        <v>#REF!</v>
      </c>
      <c r="AV41" s="28" t="e">
        <f>#REF!*2</f>
        <v>#REF!</v>
      </c>
      <c r="AW41" s="28" t="e">
        <f>#REF!</f>
        <v>#REF!</v>
      </c>
      <c r="AX41" s="28" t="e">
        <f>#REF!*2</f>
        <v>#REF!</v>
      </c>
      <c r="AY41" s="28" t="e">
        <f>#REF!</f>
        <v>#REF!</v>
      </c>
      <c r="AZ41" s="28" t="e">
        <f>#REF!*2</f>
        <v>#REF!</v>
      </c>
      <c r="BA41" s="28" t="e">
        <f>#REF!</f>
        <v>#REF!</v>
      </c>
      <c r="BB41" s="28" t="e">
        <f>#REF!*2</f>
        <v>#REF!</v>
      </c>
      <c r="BC41" s="28" t="e">
        <f>#REF!</f>
        <v>#REF!</v>
      </c>
      <c r="BD41" s="28" t="e">
        <f>#REF!*2</f>
        <v>#REF!</v>
      </c>
      <c r="BE41" s="9" t="e">
        <f>#REF!-#REF!</f>
        <v>#REF!</v>
      </c>
      <c r="BF41" s="9" t="e">
        <f>#REF!-#REF!</f>
        <v>#REF!</v>
      </c>
      <c r="BG41" s="9" t="e">
        <f>#REF!-#REF!</f>
        <v>#REF!</v>
      </c>
      <c r="BH41" s="9" t="e">
        <f>#REF!-#REF!</f>
        <v>#REF!</v>
      </c>
      <c r="BI41" s="9" t="e">
        <f>#REF!-#REF!</f>
        <v>#REF!</v>
      </c>
      <c r="BJ41" s="33"/>
      <c r="BK41" s="3">
        <f>COUNTIFS(B41:G41, "&gt;=1", B41:G41, "&lt;=9")</f>
        <v>2</v>
      </c>
      <c r="BL41" s="3">
        <f>COUNTIFS(B41:G41, "&gt;=10", B41:G41, "&lt;=19")</f>
        <v>0</v>
      </c>
      <c r="BM41" s="3">
        <f>COUNTIFS(B41:G41, "&gt;=20", B41:G41, "&lt;=29")</f>
        <v>1</v>
      </c>
      <c r="BN41" s="3">
        <f>COUNTIFS(B41:G41, "&gt;=30", B41:G41, "&lt;=39")</f>
        <v>3</v>
      </c>
      <c r="BO41" s="3">
        <f>COUNTIFS(B41:G41, "&gt;=40", B41:G41, "&lt;=45")</f>
        <v>0</v>
      </c>
      <c r="BP41" s="28" t="e">
        <f>#REF!</f>
        <v>#REF!</v>
      </c>
      <c r="BQ41" s="28" t="e">
        <f>#REF!*2</f>
        <v>#REF!</v>
      </c>
      <c r="BR41" s="28" t="e">
        <f>#REF!</f>
        <v>#REF!</v>
      </c>
      <c r="BS41" s="28" t="e">
        <f>#REF!*2</f>
        <v>#REF!</v>
      </c>
      <c r="BT41" s="28" t="e">
        <f>#REF!</f>
        <v>#REF!</v>
      </c>
      <c r="BU41" s="28" t="e">
        <f>#REF!*2</f>
        <v>#REF!</v>
      </c>
      <c r="BV41" s="28" t="e">
        <f>#REF!</f>
        <v>#REF!</v>
      </c>
      <c r="BW41" s="28" t="e">
        <f>#REF!*2</f>
        <v>#REF!</v>
      </c>
      <c r="BX41" s="28" t="e">
        <f>#REF!</f>
        <v>#REF!</v>
      </c>
      <c r="BY41" s="28" t="e">
        <f>#REF!*2</f>
        <v>#REF!</v>
      </c>
      <c r="BZ41" s="28" t="e">
        <f>#REF!</f>
        <v>#REF!</v>
      </c>
      <c r="CA41" s="28" t="e">
        <f>#REF!*2</f>
        <v>#REF!</v>
      </c>
      <c r="CB41" s="9">
        <f>C41-B41</f>
        <v>3</v>
      </c>
      <c r="CC41" s="9">
        <f>D41-C41</f>
        <v>15</v>
      </c>
      <c r="CD41" s="9">
        <f>E41-D41</f>
        <v>9</v>
      </c>
      <c r="CE41" s="9">
        <f>F41-E41</f>
        <v>4</v>
      </c>
      <c r="CF41" s="9">
        <f>G41-F41</f>
        <v>1</v>
      </c>
      <c r="CG41" s="33"/>
      <c r="CH41" s="9">
        <f>C41-B41</f>
        <v>3</v>
      </c>
      <c r="CI41" s="9">
        <f>D41-C41</f>
        <v>15</v>
      </c>
      <c r="CJ41" s="9">
        <f>E41-D41</f>
        <v>9</v>
      </c>
      <c r="CK41" s="9">
        <f>F41-E41</f>
        <v>4</v>
      </c>
      <c r="CL41" s="9">
        <f>G41-F41</f>
        <v>1</v>
      </c>
      <c r="CM41" s="32"/>
      <c r="CN41" s="3">
        <f>IF(OR(CH41="",ISBLANK(CH41),CH41=0),0,IF(MOD(CH41,2)=1,1,2))</f>
        <v>1</v>
      </c>
      <c r="CO41" s="3">
        <f>IF(OR(CI41="",ISBLANK(CI41),CI41=0),0,IF(MOD(CI41,2)=1,1,2))</f>
        <v>1</v>
      </c>
      <c r="CP41" s="3">
        <f>IF(OR(CJ41="",ISBLANK(CJ41),CJ41=0),0,IF(MOD(CJ41,2)=1,1,2))</f>
        <v>1</v>
      </c>
      <c r="CQ41" s="3">
        <f>IF(OR(CK41="",ISBLANK(CK41),CK41=0),0,IF(MOD(CK41,2)=1,1,2))</f>
        <v>2</v>
      </c>
      <c r="CR41" s="3">
        <f>IF(OR(CL41="",ISBLANK(CL41),CL41=0),0,IF(MOD(CL41,2)=1,1,2))</f>
        <v>1</v>
      </c>
      <c r="CS41" s="31"/>
      <c r="CT41" s="3" cm="1">
        <f t="array" ref="CT41">SUMPRODUCT(--(MOD(CH41:CL41,2)=1))</f>
        <v>4</v>
      </c>
      <c r="CU41" s="3">
        <f>5-CT41</f>
        <v>1</v>
      </c>
      <c r="CV41" s="30"/>
      <c r="CW41" s="3" cm="1">
        <f t="array" ref="CW41">SUMPRODUCT(--(MOD(CH41:CL41,10)&gt;=1), --(MOD(CH41:CL41,10)&lt;=5))</f>
        <v>4</v>
      </c>
      <c r="CX41" s="3">
        <f>5-CW41</f>
        <v>1</v>
      </c>
      <c r="CY41" s="30"/>
      <c r="CZ41" s="3" cm="1">
        <f t="array" ref="CZ41">IFERROR(COUNT(_xlfn._xlws.FILTER(CH41:CL41, ISNUMBER(MATCH(CH41:CL41, {2,3,5,7,11,13,17,19,23,29,31,37,41,43}, 0)))), 0)</f>
        <v>1</v>
      </c>
      <c r="DA41" s="3" cm="1">
        <f t="array" ref="DA41">IFERROR(COUNT(_xlfn._xlws.FILTER(CH41:CL41, ISNUMBER(MATCH(CH41:CL41, {1,4,8,10,14,16,20,22,25,26,28,32,34,35,38,40,44}, 0)))), 0)</f>
        <v>2</v>
      </c>
      <c r="DB41" s="3" cm="1">
        <f t="array" ref="DB41">IFERROR(COUNT(_xlfn._xlws.FILTER(CH41:CL41, ISNUMBER(MATCH(CH41:CL41, {6,9,12,15,18,21,24,27,30,33,36,39,42,45}, 0)))), 0)</f>
        <v>2</v>
      </c>
      <c r="DC41" s="29"/>
      <c r="DD41" s="28" t="e">
        <f>#REF!</f>
        <v>#REF!</v>
      </c>
      <c r="DE41" s="28" t="e">
        <f>#REF!*2</f>
        <v>#REF!</v>
      </c>
      <c r="DF41" s="28" t="e">
        <f>#REF!</f>
        <v>#REF!</v>
      </c>
      <c r="DG41" s="28" t="e">
        <f>#REF!*2</f>
        <v>#REF!</v>
      </c>
      <c r="DH41" s="28" t="e">
        <f>#REF!</f>
        <v>#REF!</v>
      </c>
      <c r="DI41" s="28" t="e">
        <f>#REF!*2</f>
        <v>#REF!</v>
      </c>
      <c r="DJ41" s="28" t="e">
        <f>#REF!</f>
        <v>#REF!</v>
      </c>
      <c r="DK41" s="28" t="e">
        <f>#REF!*2</f>
        <v>#REF!</v>
      </c>
      <c r="DL41" s="28" t="e">
        <f>#REF!</f>
        <v>#REF!</v>
      </c>
      <c r="DM41" s="28" t="e">
        <f>#REF!*2</f>
        <v>#REF!</v>
      </c>
      <c r="DN41" s="27"/>
      <c r="DO41" s="26"/>
      <c r="DP41" s="26"/>
      <c r="DQ41" s="26"/>
      <c r="DR41" s="26"/>
      <c r="DS41" s="26"/>
      <c r="DT41" s="25"/>
    </row>
    <row r="42" spans="2:124" x14ac:dyDescent="0.3">
      <c r="B42" s="3">
        <v>13</v>
      </c>
      <c r="C42" s="3">
        <v>19</v>
      </c>
      <c r="D42" s="3">
        <v>21</v>
      </c>
      <c r="E42" s="3">
        <v>24</v>
      </c>
      <c r="F42" s="3">
        <v>34</v>
      </c>
      <c r="G42" s="3">
        <v>35</v>
      </c>
      <c r="H42" s="32"/>
      <c r="I42" s="3">
        <f>IF(OR(B42="",ISBLANK(B42),B42=0),0,IF(MOD(B42,2)=1,1,2))</f>
        <v>1</v>
      </c>
      <c r="J42" s="3">
        <f>IF(OR(C42="",ISBLANK(C42),C42=0),0,IF(MOD(C42,2)=1,1,2))</f>
        <v>1</v>
      </c>
      <c r="K42" s="3">
        <f>IF(OR(D42="",ISBLANK(D42),D42=0),0,IF(MOD(D42,2)=1,1,2))</f>
        <v>1</v>
      </c>
      <c r="L42" s="3">
        <f>IF(OR(E42="",ISBLANK(E42),E42=0),0,IF(MOD(E42,2)=1,1,2))</f>
        <v>2</v>
      </c>
      <c r="M42" s="3">
        <f>IF(OR(F42="",ISBLANK(F42),F42=0),0,IF(MOD(F42,2)=1,1,2))</f>
        <v>2</v>
      </c>
      <c r="N42" s="3">
        <f>IF(OR(G42="",ISBLANK(G42),G42=0),0,IF(MOD(G42,2)=1,1,2))</f>
        <v>1</v>
      </c>
      <c r="O42" s="32"/>
      <c r="P42" s="3" cm="1">
        <f t="array" ref="P42">SUMPRODUCT(--(MOD(B42:G42,2)=1))</f>
        <v>4</v>
      </c>
      <c r="Q42" s="3">
        <f>6-P42</f>
        <v>2</v>
      </c>
      <c r="R42" s="34"/>
      <c r="S42" s="3">
        <f>COUNTIFS(B42:G42,"&gt;=1",B42:G42,"&lt;=23")</f>
        <v>3</v>
      </c>
      <c r="T42" s="3">
        <f>6-S42</f>
        <v>3</v>
      </c>
      <c r="U42" s="34"/>
      <c r="V42" s="3" cm="1">
        <f t="array" ref="V42">SUMPRODUCT(--(MOD(B42:G42,10)&gt;=1), --(MOD(B42:G42,10)&lt;=5))</f>
        <v>5</v>
      </c>
      <c r="W42" s="3">
        <f>6-V42</f>
        <v>1</v>
      </c>
      <c r="X42" s="34"/>
      <c r="Y42" s="3" cm="1">
        <f t="array" ref="Y42">IFERROR(COUNT(_xlfn._xlws.FILTER(B42:G42, ISNUMBER(MATCH(B42:G42, {2,3,5,7,11,13,17,19,23,29,31,37,41,43}, 0)))), 0)</f>
        <v>2</v>
      </c>
      <c r="Z42" s="3" cm="1">
        <f t="array" ref="Z42">IFERROR(COUNT(_xlfn._xlws.FILTER(B42:G42, ISNUMBER(MATCH(B42:G42, {1,4,8,10,14,16,20,22,25,26,28,32,34,35,38,40,44}, 0)))), 0)</f>
        <v>2</v>
      </c>
      <c r="AA42" s="3" cm="1">
        <f t="array" ref="AA42">IFERROR(COUNT(_xlfn._xlws.FILTER(B42:G42, ISNUMBER(MATCH(B42:G42, {6,9,12,15,18,21,24,27,30,33,36,39,42,45}, 0)))), 0)</f>
        <v>2</v>
      </c>
      <c r="AB42" s="30"/>
      <c r="AC42" s="26"/>
      <c r="AD42" s="26"/>
      <c r="AE42" s="26"/>
      <c r="AF42" s="26"/>
      <c r="AG42" s="26"/>
      <c r="AH42" s="26"/>
      <c r="AI42" s="30"/>
      <c r="AJ42" s="3">
        <f>COUNTIFS(B42:G42,"&gt;=1",B42:G42,"&lt;=14")</f>
        <v>1</v>
      </c>
      <c r="AK42" s="3">
        <f>COUNTIFS(B42:G42,"&gt;=15",B42:G42,"&lt;=31")</f>
        <v>3</v>
      </c>
      <c r="AL42" s="3">
        <f>6-AK42-AJ42</f>
        <v>2</v>
      </c>
      <c r="AM42" s="33"/>
      <c r="AN42" s="3">
        <f>COUNTIFS($B42:$G42, "&gt;=1",$B42:$G42, "&lt;=9")</f>
        <v>0</v>
      </c>
      <c r="AO42" s="3">
        <f>COUNTIFS($B42:$G42, "&gt;=10",$B42:$G42, "&lt;=18")</f>
        <v>1</v>
      </c>
      <c r="AP42" s="3">
        <f>COUNTIFS($B42:$G42, "&gt;=19",$B42:$G42, "&lt;=27")</f>
        <v>3</v>
      </c>
      <c r="AQ42" s="3">
        <f>COUNTIFS($B42:$G42, "&gt;=28",$B42:$G42, "&lt;=36")</f>
        <v>2</v>
      </c>
      <c r="AR42" s="3">
        <f>COUNTIFS($B42:$G42, "&gt;=37",$B42:$G42, "&lt;=45")</f>
        <v>0</v>
      </c>
      <c r="AS42" s="28" t="e">
        <f>#REF!</f>
        <v>#REF!</v>
      </c>
      <c r="AT42" s="28" t="e">
        <f>#REF!*2</f>
        <v>#REF!</v>
      </c>
      <c r="AU42" s="28" t="e">
        <f>#REF!</f>
        <v>#REF!</v>
      </c>
      <c r="AV42" s="28" t="e">
        <f>#REF!*2</f>
        <v>#REF!</v>
      </c>
      <c r="AW42" s="28" t="e">
        <f>#REF!</f>
        <v>#REF!</v>
      </c>
      <c r="AX42" s="28" t="e">
        <f>#REF!*2</f>
        <v>#REF!</v>
      </c>
      <c r="AY42" s="28" t="e">
        <f>#REF!</f>
        <v>#REF!</v>
      </c>
      <c r="AZ42" s="28" t="e">
        <f>#REF!*2</f>
        <v>#REF!</v>
      </c>
      <c r="BA42" s="28" t="e">
        <f>#REF!</f>
        <v>#REF!</v>
      </c>
      <c r="BB42" s="28" t="e">
        <f>#REF!*2</f>
        <v>#REF!</v>
      </c>
      <c r="BC42" s="28" t="e">
        <f>#REF!</f>
        <v>#REF!</v>
      </c>
      <c r="BD42" s="28" t="e">
        <f>#REF!*2</f>
        <v>#REF!</v>
      </c>
      <c r="BE42" s="9" t="e">
        <f>#REF!-#REF!</f>
        <v>#REF!</v>
      </c>
      <c r="BF42" s="9" t="e">
        <f>#REF!-#REF!</f>
        <v>#REF!</v>
      </c>
      <c r="BG42" s="9" t="e">
        <f>#REF!-#REF!</f>
        <v>#REF!</v>
      </c>
      <c r="BH42" s="9" t="e">
        <f>#REF!-#REF!</f>
        <v>#REF!</v>
      </c>
      <c r="BI42" s="9" t="e">
        <f>#REF!-#REF!</f>
        <v>#REF!</v>
      </c>
      <c r="BJ42" s="33"/>
      <c r="BK42" s="3">
        <f>COUNTIFS(B42:G42, "&gt;=1", B42:G42, "&lt;=9")</f>
        <v>0</v>
      </c>
      <c r="BL42" s="3">
        <f>COUNTIFS(B42:G42, "&gt;=10", B42:G42, "&lt;=19")</f>
        <v>2</v>
      </c>
      <c r="BM42" s="3">
        <f>COUNTIFS(B42:G42, "&gt;=20", B42:G42, "&lt;=29")</f>
        <v>2</v>
      </c>
      <c r="BN42" s="3">
        <f>COUNTIFS(B42:G42, "&gt;=30", B42:G42, "&lt;=39")</f>
        <v>2</v>
      </c>
      <c r="BO42" s="3">
        <f>COUNTIFS(B42:G42, "&gt;=40", B42:G42, "&lt;=45")</f>
        <v>0</v>
      </c>
      <c r="BP42" s="28" t="e">
        <f>#REF!</f>
        <v>#REF!</v>
      </c>
      <c r="BQ42" s="28" t="e">
        <f>#REF!*2</f>
        <v>#REF!</v>
      </c>
      <c r="BR42" s="28" t="e">
        <f>#REF!</f>
        <v>#REF!</v>
      </c>
      <c r="BS42" s="28" t="e">
        <f>#REF!*2</f>
        <v>#REF!</v>
      </c>
      <c r="BT42" s="28" t="e">
        <f>#REF!</f>
        <v>#REF!</v>
      </c>
      <c r="BU42" s="28" t="e">
        <f>#REF!*2</f>
        <v>#REF!</v>
      </c>
      <c r="BV42" s="28" t="e">
        <f>#REF!</f>
        <v>#REF!</v>
      </c>
      <c r="BW42" s="28" t="e">
        <f>#REF!*2</f>
        <v>#REF!</v>
      </c>
      <c r="BX42" s="28" t="e">
        <f>#REF!</f>
        <v>#REF!</v>
      </c>
      <c r="BY42" s="28" t="e">
        <f>#REF!*2</f>
        <v>#REF!</v>
      </c>
      <c r="BZ42" s="28" t="e">
        <f>#REF!</f>
        <v>#REF!</v>
      </c>
      <c r="CA42" s="28" t="e">
        <f>#REF!*2</f>
        <v>#REF!</v>
      </c>
      <c r="CB42" s="9">
        <f>C42-B42</f>
        <v>6</v>
      </c>
      <c r="CC42" s="9">
        <f>D42-C42</f>
        <v>2</v>
      </c>
      <c r="CD42" s="9">
        <f>E42-D42</f>
        <v>3</v>
      </c>
      <c r="CE42" s="9">
        <f>F42-E42</f>
        <v>10</v>
      </c>
      <c r="CF42" s="9">
        <f>G42-F42</f>
        <v>1</v>
      </c>
      <c r="CG42" s="33"/>
      <c r="CH42" s="9">
        <f>C42-B42</f>
        <v>6</v>
      </c>
      <c r="CI42" s="9">
        <f>D42-C42</f>
        <v>2</v>
      </c>
      <c r="CJ42" s="9">
        <f>E42-D42</f>
        <v>3</v>
      </c>
      <c r="CK42" s="9">
        <f>F42-E42</f>
        <v>10</v>
      </c>
      <c r="CL42" s="9">
        <f>G42-F42</f>
        <v>1</v>
      </c>
      <c r="CM42" s="32"/>
      <c r="CN42" s="3">
        <f>IF(OR(CH42="",ISBLANK(CH42),CH42=0),0,IF(MOD(CH42,2)=1,1,2))</f>
        <v>2</v>
      </c>
      <c r="CO42" s="3">
        <f>IF(OR(CI42="",ISBLANK(CI42),CI42=0),0,IF(MOD(CI42,2)=1,1,2))</f>
        <v>2</v>
      </c>
      <c r="CP42" s="3">
        <f>IF(OR(CJ42="",ISBLANK(CJ42),CJ42=0),0,IF(MOD(CJ42,2)=1,1,2))</f>
        <v>1</v>
      </c>
      <c r="CQ42" s="3">
        <f>IF(OR(CK42="",ISBLANK(CK42),CK42=0),0,IF(MOD(CK42,2)=1,1,2))</f>
        <v>2</v>
      </c>
      <c r="CR42" s="3">
        <f>IF(OR(CL42="",ISBLANK(CL42),CL42=0),0,IF(MOD(CL42,2)=1,1,2))</f>
        <v>1</v>
      </c>
      <c r="CS42" s="31"/>
      <c r="CT42" s="3" cm="1">
        <f t="array" ref="CT42">SUMPRODUCT(--(MOD(CH42:CL42,2)=1))</f>
        <v>2</v>
      </c>
      <c r="CU42" s="3">
        <f>5-CT42</f>
        <v>3</v>
      </c>
      <c r="CV42" s="30"/>
      <c r="CW42" s="3" cm="1">
        <f t="array" ref="CW42">SUMPRODUCT(--(MOD(CH42:CL42,10)&gt;=1), --(MOD(CH42:CL42,10)&lt;=5))</f>
        <v>3</v>
      </c>
      <c r="CX42" s="3">
        <f>5-CW42</f>
        <v>2</v>
      </c>
      <c r="CY42" s="30"/>
      <c r="CZ42" s="3" cm="1">
        <f t="array" ref="CZ42">IFERROR(COUNT(_xlfn._xlws.FILTER(CH42:CL42, ISNUMBER(MATCH(CH42:CL42, {2,3,5,7,11,13,17,19,23,29,31,37,41,43}, 0)))), 0)</f>
        <v>2</v>
      </c>
      <c r="DA42" s="3" cm="1">
        <f t="array" ref="DA42">IFERROR(COUNT(_xlfn._xlws.FILTER(CH42:CL42, ISNUMBER(MATCH(CH42:CL42, {1,4,8,10,14,16,20,22,25,26,28,32,34,35,38,40,44}, 0)))), 0)</f>
        <v>2</v>
      </c>
      <c r="DB42" s="3" cm="1">
        <f t="array" ref="DB42">IFERROR(COUNT(_xlfn._xlws.FILTER(CH42:CL42, ISNUMBER(MATCH(CH42:CL42, {6,9,12,15,18,21,24,27,30,33,36,39,42,45}, 0)))), 0)</f>
        <v>1</v>
      </c>
      <c r="DC42" s="29"/>
      <c r="DD42" s="28" t="e">
        <f>#REF!</f>
        <v>#REF!</v>
      </c>
      <c r="DE42" s="28" t="e">
        <f>#REF!*2</f>
        <v>#REF!</v>
      </c>
      <c r="DF42" s="28" t="e">
        <f>#REF!</f>
        <v>#REF!</v>
      </c>
      <c r="DG42" s="28" t="e">
        <f>#REF!*2</f>
        <v>#REF!</v>
      </c>
      <c r="DH42" s="28" t="e">
        <f>#REF!</f>
        <v>#REF!</v>
      </c>
      <c r="DI42" s="28" t="e">
        <f>#REF!*2</f>
        <v>#REF!</v>
      </c>
      <c r="DJ42" s="28" t="e">
        <f>#REF!</f>
        <v>#REF!</v>
      </c>
      <c r="DK42" s="28" t="e">
        <f>#REF!*2</f>
        <v>#REF!</v>
      </c>
      <c r="DL42" s="28" t="e">
        <f>#REF!</f>
        <v>#REF!</v>
      </c>
      <c r="DM42" s="28" t="e">
        <f>#REF!*2</f>
        <v>#REF!</v>
      </c>
      <c r="DN42" s="27"/>
      <c r="DO42" s="26"/>
      <c r="DP42" s="26"/>
      <c r="DQ42" s="26"/>
      <c r="DR42" s="26"/>
      <c r="DS42" s="26"/>
      <c r="DT42" s="25"/>
    </row>
    <row r="43" spans="2:124" x14ac:dyDescent="0.3">
      <c r="B43" s="3">
        <v>3</v>
      </c>
      <c r="C43" s="3">
        <v>8</v>
      </c>
      <c r="D43" s="3">
        <v>17</v>
      </c>
      <c r="E43" s="3">
        <v>30</v>
      </c>
      <c r="F43" s="3">
        <v>33</v>
      </c>
      <c r="G43" s="3">
        <v>34</v>
      </c>
      <c r="H43" s="32"/>
      <c r="I43" s="3">
        <f>IF(OR(B43="",ISBLANK(B43),B43=0),0,IF(MOD(B43,2)=1,1,2))</f>
        <v>1</v>
      </c>
      <c r="J43" s="3">
        <f>IF(OR(C43="",ISBLANK(C43),C43=0),0,IF(MOD(C43,2)=1,1,2))</f>
        <v>2</v>
      </c>
      <c r="K43" s="3">
        <f>IF(OR(D43="",ISBLANK(D43),D43=0),0,IF(MOD(D43,2)=1,1,2))</f>
        <v>1</v>
      </c>
      <c r="L43" s="3">
        <f>IF(OR(E43="",ISBLANK(E43),E43=0),0,IF(MOD(E43,2)=1,1,2))</f>
        <v>2</v>
      </c>
      <c r="M43" s="3">
        <f>IF(OR(F43="",ISBLANK(F43),F43=0),0,IF(MOD(F43,2)=1,1,2))</f>
        <v>1</v>
      </c>
      <c r="N43" s="3">
        <f>IF(OR(G43="",ISBLANK(G43),G43=0),0,IF(MOD(G43,2)=1,1,2))</f>
        <v>2</v>
      </c>
      <c r="O43" s="32"/>
      <c r="P43" s="3" cm="1">
        <f t="array" ref="P43">SUMPRODUCT(--(MOD(B43:G43,2)=1))</f>
        <v>3</v>
      </c>
      <c r="Q43" s="3">
        <f>6-P43</f>
        <v>3</v>
      </c>
      <c r="R43" s="34"/>
      <c r="S43" s="3">
        <f>COUNTIFS(B43:G43,"&gt;=1",B43:G43,"&lt;=23")</f>
        <v>3</v>
      </c>
      <c r="T43" s="3">
        <f>6-S43</f>
        <v>3</v>
      </c>
      <c r="U43" s="34"/>
      <c r="V43" s="3" cm="1">
        <f t="array" ref="V43">SUMPRODUCT(--(MOD(B43:G43,10)&gt;=1), --(MOD(B43:G43,10)&lt;=5))</f>
        <v>3</v>
      </c>
      <c r="W43" s="3">
        <f>6-V43</f>
        <v>3</v>
      </c>
      <c r="X43" s="34"/>
      <c r="Y43" s="3" cm="1">
        <f t="array" ref="Y43">IFERROR(COUNT(_xlfn._xlws.FILTER(B43:G43, ISNUMBER(MATCH(B43:G43, {2,3,5,7,11,13,17,19,23,29,31,37,41,43}, 0)))), 0)</f>
        <v>2</v>
      </c>
      <c r="Z43" s="3" cm="1">
        <f t="array" ref="Z43">IFERROR(COUNT(_xlfn._xlws.FILTER(B43:G43, ISNUMBER(MATCH(B43:G43, {1,4,8,10,14,16,20,22,25,26,28,32,34,35,38,40,44}, 0)))), 0)</f>
        <v>2</v>
      </c>
      <c r="AA43" s="3" cm="1">
        <f t="array" ref="AA43">IFERROR(COUNT(_xlfn._xlws.FILTER(B43:G43, ISNUMBER(MATCH(B43:G43, {6,9,12,15,18,21,24,27,30,33,36,39,42,45}, 0)))), 0)</f>
        <v>2</v>
      </c>
      <c r="AB43" s="30"/>
      <c r="AI43" s="30"/>
      <c r="AJ43" s="3">
        <f>COUNTIFS(B43:G43,"&gt;=1",B43:G43,"&lt;=14")</f>
        <v>2</v>
      </c>
      <c r="AK43" s="3">
        <f>COUNTIFS(B43:G43,"&gt;=15",B43:G43,"&lt;=31")</f>
        <v>2</v>
      </c>
      <c r="AL43" s="3">
        <f>6-AK43-AJ43</f>
        <v>2</v>
      </c>
      <c r="AM43" s="33"/>
      <c r="AN43" s="3">
        <f>COUNTIFS($B43:$G43, "&gt;=1",$B43:$G43, "&lt;=9")</f>
        <v>2</v>
      </c>
      <c r="AO43" s="3">
        <f>COUNTIFS($B43:$G43, "&gt;=10",$B43:$G43, "&lt;=18")</f>
        <v>1</v>
      </c>
      <c r="AP43" s="3">
        <f>COUNTIFS($B43:$G43, "&gt;=19",$B43:$G43, "&lt;=27")</f>
        <v>0</v>
      </c>
      <c r="AQ43" s="3">
        <f>COUNTIFS($B43:$G43, "&gt;=28",$B43:$G43, "&lt;=36")</f>
        <v>3</v>
      </c>
      <c r="AR43" s="3">
        <f>COUNTIFS($B43:$G43, "&gt;=37",$B43:$G43, "&lt;=45")</f>
        <v>0</v>
      </c>
      <c r="AS43" s="28" t="e">
        <f>#REF!</f>
        <v>#REF!</v>
      </c>
      <c r="AT43" s="28" t="e">
        <f>#REF!*2</f>
        <v>#REF!</v>
      </c>
      <c r="AU43" s="28" t="e">
        <f>#REF!</f>
        <v>#REF!</v>
      </c>
      <c r="AV43" s="28" t="e">
        <f>#REF!*2</f>
        <v>#REF!</v>
      </c>
      <c r="AW43" s="28" t="e">
        <f>#REF!</f>
        <v>#REF!</v>
      </c>
      <c r="AX43" s="28" t="e">
        <f>#REF!*2</f>
        <v>#REF!</v>
      </c>
      <c r="AY43" s="28" t="e">
        <f>#REF!</f>
        <v>#REF!</v>
      </c>
      <c r="AZ43" s="28" t="e">
        <f>#REF!*2</f>
        <v>#REF!</v>
      </c>
      <c r="BA43" s="28" t="e">
        <f>#REF!</f>
        <v>#REF!</v>
      </c>
      <c r="BB43" s="28" t="e">
        <f>#REF!*2</f>
        <v>#REF!</v>
      </c>
      <c r="BC43" s="28" t="e">
        <f>#REF!</f>
        <v>#REF!</v>
      </c>
      <c r="BD43" s="28" t="e">
        <f>#REF!*2</f>
        <v>#REF!</v>
      </c>
      <c r="BE43" s="9" t="e">
        <f>#REF!-#REF!</f>
        <v>#REF!</v>
      </c>
      <c r="BF43" s="9" t="e">
        <f>#REF!-#REF!</f>
        <v>#REF!</v>
      </c>
      <c r="BG43" s="9" t="e">
        <f>#REF!-#REF!</f>
        <v>#REF!</v>
      </c>
      <c r="BH43" s="9" t="e">
        <f>#REF!-#REF!</f>
        <v>#REF!</v>
      </c>
      <c r="BI43" s="9" t="e">
        <f>#REF!-#REF!</f>
        <v>#REF!</v>
      </c>
      <c r="BJ43" s="33"/>
      <c r="BK43" s="3">
        <f>COUNTIFS(B43:G43, "&gt;=1", B43:G43, "&lt;=9")</f>
        <v>2</v>
      </c>
      <c r="BL43" s="3">
        <f>COUNTIFS(B43:G43, "&gt;=10", B43:G43, "&lt;=19")</f>
        <v>1</v>
      </c>
      <c r="BM43" s="3">
        <f>COUNTIFS(B43:G43, "&gt;=20", B43:G43, "&lt;=29")</f>
        <v>0</v>
      </c>
      <c r="BN43" s="3">
        <f>COUNTIFS(B43:G43, "&gt;=30", B43:G43, "&lt;=39")</f>
        <v>3</v>
      </c>
      <c r="BO43" s="3">
        <f>COUNTIFS(B43:G43, "&gt;=40", B43:G43, "&lt;=45")</f>
        <v>0</v>
      </c>
      <c r="BP43" s="28" t="e">
        <f>#REF!</f>
        <v>#REF!</v>
      </c>
      <c r="BQ43" s="28" t="e">
        <f>#REF!*2</f>
        <v>#REF!</v>
      </c>
      <c r="BR43" s="28" t="e">
        <f>#REF!</f>
        <v>#REF!</v>
      </c>
      <c r="BS43" s="28" t="e">
        <f>#REF!*2</f>
        <v>#REF!</v>
      </c>
      <c r="BT43" s="28" t="e">
        <f>#REF!</f>
        <v>#REF!</v>
      </c>
      <c r="BU43" s="28" t="e">
        <f>#REF!*2</f>
        <v>#REF!</v>
      </c>
      <c r="BV43" s="28" t="e">
        <f>#REF!</f>
        <v>#REF!</v>
      </c>
      <c r="BW43" s="28" t="e">
        <f>#REF!*2</f>
        <v>#REF!</v>
      </c>
      <c r="BX43" s="28" t="e">
        <f>#REF!</f>
        <v>#REF!</v>
      </c>
      <c r="BY43" s="28" t="e">
        <f>#REF!*2</f>
        <v>#REF!</v>
      </c>
      <c r="BZ43" s="28" t="e">
        <f>#REF!</f>
        <v>#REF!</v>
      </c>
      <c r="CA43" s="28" t="e">
        <f>#REF!*2</f>
        <v>#REF!</v>
      </c>
      <c r="CB43" s="9">
        <f>C43-B43</f>
        <v>5</v>
      </c>
      <c r="CC43" s="9">
        <f>D43-C43</f>
        <v>9</v>
      </c>
      <c r="CD43" s="9">
        <f>E43-D43</f>
        <v>13</v>
      </c>
      <c r="CE43" s="9">
        <f>F43-E43</f>
        <v>3</v>
      </c>
      <c r="CF43" s="9">
        <f>G43-F43</f>
        <v>1</v>
      </c>
      <c r="CG43" s="33"/>
      <c r="CH43" s="9">
        <f>C43-B43</f>
        <v>5</v>
      </c>
      <c r="CI43" s="9">
        <f>D43-C43</f>
        <v>9</v>
      </c>
      <c r="CJ43" s="9">
        <f>E43-D43</f>
        <v>13</v>
      </c>
      <c r="CK43" s="9">
        <f>F43-E43</f>
        <v>3</v>
      </c>
      <c r="CL43" s="9">
        <f>G43-F43</f>
        <v>1</v>
      </c>
      <c r="CM43" s="32"/>
      <c r="CN43" s="3">
        <f>IF(OR(CH43="",ISBLANK(CH43),CH43=0),0,IF(MOD(CH43,2)=1,1,2))</f>
        <v>1</v>
      </c>
      <c r="CO43" s="3">
        <f>IF(OR(CI43="",ISBLANK(CI43),CI43=0),0,IF(MOD(CI43,2)=1,1,2))</f>
        <v>1</v>
      </c>
      <c r="CP43" s="3">
        <f>IF(OR(CJ43="",ISBLANK(CJ43),CJ43=0),0,IF(MOD(CJ43,2)=1,1,2))</f>
        <v>1</v>
      </c>
      <c r="CQ43" s="3">
        <f>IF(OR(CK43="",ISBLANK(CK43),CK43=0),0,IF(MOD(CK43,2)=1,1,2))</f>
        <v>1</v>
      </c>
      <c r="CR43" s="3">
        <f>IF(OR(CL43="",ISBLANK(CL43),CL43=0),0,IF(MOD(CL43,2)=1,1,2))</f>
        <v>1</v>
      </c>
      <c r="CS43" s="31"/>
      <c r="CT43" s="3" cm="1">
        <f t="array" ref="CT43">SUMPRODUCT(--(MOD(CH43:CL43,2)=1))</f>
        <v>5</v>
      </c>
      <c r="CU43" s="3">
        <f>5-CT43</f>
        <v>0</v>
      </c>
      <c r="CV43" s="30"/>
      <c r="CW43" s="3" cm="1">
        <f t="array" ref="CW43">SUMPRODUCT(--(MOD(CH43:CL43,10)&gt;=1), --(MOD(CH43:CL43,10)&lt;=5))</f>
        <v>4</v>
      </c>
      <c r="CX43" s="3">
        <f>5-CW43</f>
        <v>1</v>
      </c>
      <c r="CY43" s="30"/>
      <c r="CZ43" s="3" cm="1">
        <f t="array" ref="CZ43">IFERROR(COUNT(_xlfn._xlws.FILTER(CH43:CL43, ISNUMBER(MATCH(CH43:CL43, {2,3,5,7,11,13,17,19,23,29,31,37,41,43}, 0)))), 0)</f>
        <v>3</v>
      </c>
      <c r="DA43" s="3" cm="1">
        <f t="array" ref="DA43">IFERROR(COUNT(_xlfn._xlws.FILTER(CH43:CL43, ISNUMBER(MATCH(CH43:CL43, {1,4,8,10,14,16,20,22,25,26,28,32,34,35,38,40,44}, 0)))), 0)</f>
        <v>1</v>
      </c>
      <c r="DB43" s="3" cm="1">
        <f t="array" ref="DB43">IFERROR(COUNT(_xlfn._xlws.FILTER(CH43:CL43, ISNUMBER(MATCH(CH43:CL43, {6,9,12,15,18,21,24,27,30,33,36,39,42,45}, 0)))), 0)</f>
        <v>1</v>
      </c>
      <c r="DC43" s="29"/>
      <c r="DD43" s="28" t="e">
        <f>#REF!</f>
        <v>#REF!</v>
      </c>
      <c r="DE43" s="28" t="e">
        <f>#REF!*2</f>
        <v>#REF!</v>
      </c>
      <c r="DF43" s="28" t="e">
        <f>#REF!</f>
        <v>#REF!</v>
      </c>
      <c r="DG43" s="28" t="e">
        <f>#REF!*2</f>
        <v>#REF!</v>
      </c>
      <c r="DH43" s="28" t="e">
        <f>#REF!</f>
        <v>#REF!</v>
      </c>
      <c r="DI43" s="28" t="e">
        <f>#REF!*2</f>
        <v>#REF!</v>
      </c>
      <c r="DJ43" s="28" t="e">
        <f>#REF!</f>
        <v>#REF!</v>
      </c>
      <c r="DK43" s="28" t="e">
        <f>#REF!*2</f>
        <v>#REF!</v>
      </c>
      <c r="DL43" s="28" t="e">
        <f>#REF!</f>
        <v>#REF!</v>
      </c>
      <c r="DM43" s="28" t="e">
        <f>#REF!*2</f>
        <v>#REF!</v>
      </c>
      <c r="DN43" s="27"/>
      <c r="DO43" s="26" t="str" cm="1">
        <f t="array" ref="DO43">_xlfn.IFS(
   OR(CH43="",ISBLANK(CH43),CH43=0),0,
   ISNUMBER(MATCH(CH43,{2,3,5,7,11,13,17,19,23,29,31,37,41,43},0)),"소",
   AND(ISNUMBER(CH43),MOD(CH43,3)=0),"배",
   AND(ISNUMBER(CH43),CH43&gt;0),"자"
)</f>
        <v>소</v>
      </c>
      <c r="DP43" s="26" t="str" cm="1">
        <f t="array" ref="DP43">_xlfn.IFS(
   OR(CI43="",ISBLANK(CI43),CI43=0),0,
   ISNUMBER(MATCH(CI43,{2,3,5,7,11,13,17,19,23,29,31,37,41,43},0)),"소",
   AND(ISNUMBER(CI43),MOD(CI43,3)=0),"배",
   AND(ISNUMBER(CI43),CI43&gt;0),"자"
)</f>
        <v>배</v>
      </c>
      <c r="DQ43" s="26" t="str" cm="1">
        <f t="array" ref="DQ43">_xlfn.IFS(
   OR(CJ43="",ISBLANK(CJ43),CJ43=0),0,
   ISNUMBER(MATCH(CJ43,{2,3,5,7,11,13,17,19,23,29,31,37,41,43},0)),"소",
   AND(ISNUMBER(CJ43),MOD(CJ43,3)=0),"배",
   AND(ISNUMBER(CJ43),CJ43&gt;0),"자"
)</f>
        <v>소</v>
      </c>
      <c r="DR43" s="26" t="str" cm="1">
        <f t="array" ref="DR43">_xlfn.IFS(
   OR(CK43="",ISBLANK(CK43),CK43=0),0,
   ISNUMBER(MATCH(CK43,{2,3,5,7,11,13,17,19,23,29,31,37,41,43},0)),"소",
   AND(ISNUMBER(CK43),MOD(CK43,3)=0),"배",
   AND(ISNUMBER(CK43),CK43&gt;0),"자"
)</f>
        <v>소</v>
      </c>
      <c r="DS43" s="26" t="str" cm="1">
        <f t="array" ref="DS43">_xlfn.IFS(
   OR(CL43="",ISBLANK(CL43),CL43=0),0,
   ISNUMBER(MATCH(CL43,{2,3,5,7,11,13,17,19,23,29,31,37,41,43},0)),"소",
   AND(ISNUMBER(CL43),MOD(CL43,3)=0),"배",
   AND(ISNUMBER(CL43),CL43&gt;0),"자"
)</f>
        <v>자</v>
      </c>
      <c r="DT43" s="25"/>
    </row>
    <row r="44" spans="2:124" x14ac:dyDescent="0.3">
      <c r="B44" s="3">
        <v>6</v>
      </c>
      <c r="C44" s="3">
        <v>14</v>
      </c>
      <c r="D44" s="3">
        <v>25</v>
      </c>
      <c r="E44" s="3">
        <v>33</v>
      </c>
      <c r="F44" s="3">
        <v>40</v>
      </c>
      <c r="G44" s="3">
        <v>44</v>
      </c>
      <c r="H44" s="32"/>
      <c r="I44" s="3">
        <f>IF(OR(B44="",ISBLANK(B44),B44=0),0,IF(MOD(B44,2)=1,1,2))</f>
        <v>2</v>
      </c>
      <c r="J44" s="3">
        <f>IF(OR(C44="",ISBLANK(C44),C44=0),0,IF(MOD(C44,2)=1,1,2))</f>
        <v>2</v>
      </c>
      <c r="K44" s="3">
        <f>IF(OR(D44="",ISBLANK(D44),D44=0),0,IF(MOD(D44,2)=1,1,2))</f>
        <v>1</v>
      </c>
      <c r="L44" s="3">
        <f>IF(OR(E44="",ISBLANK(E44),E44=0),0,IF(MOD(E44,2)=1,1,2))</f>
        <v>1</v>
      </c>
      <c r="M44" s="3">
        <f>IF(OR(F44="",ISBLANK(F44),F44=0),0,IF(MOD(F44,2)=1,1,2))</f>
        <v>2</v>
      </c>
      <c r="N44" s="3">
        <f>IF(OR(G44="",ISBLANK(G44),G44=0),0,IF(MOD(G44,2)=1,1,2))</f>
        <v>2</v>
      </c>
      <c r="O44" s="32"/>
      <c r="P44" s="3" cm="1">
        <f t="array" ref="P44">SUMPRODUCT(--(MOD(B44:G44,2)=1))</f>
        <v>2</v>
      </c>
      <c r="Q44" s="3">
        <f>6-P44</f>
        <v>4</v>
      </c>
      <c r="R44" s="34"/>
      <c r="S44" s="3">
        <f>COUNTIFS(B44:G44,"&gt;=1",B44:G44,"&lt;=23")</f>
        <v>2</v>
      </c>
      <c r="T44" s="3">
        <f>6-S44</f>
        <v>4</v>
      </c>
      <c r="U44" s="34"/>
      <c r="V44" s="3" cm="1">
        <f t="array" ref="V44">SUMPRODUCT(--(MOD(B44:G44,10)&gt;=1), --(MOD(B44:G44,10)&lt;=5))</f>
        <v>4</v>
      </c>
      <c r="W44" s="3">
        <f>6-V44</f>
        <v>2</v>
      </c>
      <c r="X44" s="34"/>
      <c r="Y44" s="3" cm="1">
        <f t="array" ref="Y44">IFERROR(COUNT(_xlfn._xlws.FILTER(B44:G44, ISNUMBER(MATCH(B44:G44, {2,3,5,7,11,13,17,19,23,29,31,37,41,43}, 0)))), 0)</f>
        <v>0</v>
      </c>
      <c r="Z44" s="3" cm="1">
        <f t="array" ref="Z44">IFERROR(COUNT(_xlfn._xlws.FILTER(B44:G44, ISNUMBER(MATCH(B44:G44, {1,4,8,10,14,16,20,22,25,26,28,32,34,35,38,40,44}, 0)))), 0)</f>
        <v>4</v>
      </c>
      <c r="AA44" s="3" cm="1">
        <f t="array" ref="AA44">IFERROR(COUNT(_xlfn._xlws.FILTER(B44:G44, ISNUMBER(MATCH(B44:G44, {6,9,12,15,18,21,24,27,30,33,36,39,42,45}, 0)))), 0)</f>
        <v>2</v>
      </c>
      <c r="AB44" s="30"/>
      <c r="AC44" s="26" t="str" cm="1">
        <f t="array" ref="AC44">_xlfn.IFS(
   OR(B44="",ISBLANK(B44),B44=0),0,
   ISNUMBER(MATCH(B44,{2,3,5,7,11,13,17,19,23,29,31,37,41,43},0)),"소",
   AND(ISNUMBER(B44),MOD(B44,3)=0),"배",
   AND(ISNUMBER(B44),B44&gt;0),"자"
)</f>
        <v>배</v>
      </c>
      <c r="AD44" s="26" t="str" cm="1">
        <f t="array" ref="AD44">_xlfn.IFS(
   OR(C44="",ISBLANK(C44),C44=0),0,
   ISNUMBER(MATCH(C44,{2,3,5,7,11,13,17,19,23,29,31,37,41,43},0)),"소",
   AND(ISNUMBER(C44),MOD(C44,3)=0),"배",
   AND(ISNUMBER(C44),C44&gt;0),"자"
)</f>
        <v>자</v>
      </c>
      <c r="AE44" s="26" t="str" cm="1">
        <f t="array" ref="AE44">_xlfn.IFS(
   OR(D44="",ISBLANK(D44),D44=0),0,
   ISNUMBER(MATCH(D44,{2,3,5,7,11,13,17,19,23,29,31,37,41,43},0)),"소",
   AND(ISNUMBER(D44),MOD(D44,3)=0),"배",
   AND(ISNUMBER(D44),D44&gt;0),"자"
)</f>
        <v>자</v>
      </c>
      <c r="AF44" s="26" t="str" cm="1">
        <f t="array" ref="AF44">_xlfn.IFS(
   OR(E44="",ISBLANK(E44),E44=0),0,
   ISNUMBER(MATCH(E44,{2,3,5,7,11,13,17,19,23,29,31,37,41,43},0)),"소",
   AND(ISNUMBER(E44),MOD(E44,3)=0),"배",
   AND(ISNUMBER(E44),E44&gt;0),"자"
)</f>
        <v>배</v>
      </c>
      <c r="AG44" s="26" t="str" cm="1">
        <f t="array" ref="AG44">_xlfn.IFS(
   OR(F44="",ISBLANK(F44),F44=0),0,
   ISNUMBER(MATCH(F44,{2,3,5,7,11,13,17,19,23,29,31,37,41,43},0)),"소",
   AND(ISNUMBER(F44),MOD(F44,3)=0),"배",
   AND(ISNUMBER(F44),F44&gt;0),"자"
)</f>
        <v>자</v>
      </c>
      <c r="AH44" s="26" t="str" cm="1">
        <f t="array" ref="AH44">_xlfn.IFS(
   OR(G44="",ISBLANK(G44),G44=0),0,
   ISNUMBER(MATCH(G44,{2,3,5,7,11,13,17,19,23,29,31,37,41,43},0)),"소",
   AND(ISNUMBER(G44),MOD(G44,3)=0),"배",
   AND(ISNUMBER(G44),G44&gt;0),"자"
)</f>
        <v>자</v>
      </c>
      <c r="AI44" s="30"/>
      <c r="AJ44" s="3">
        <f>COUNTIFS(B44:G44,"&gt;=1",B44:G44,"&lt;=14")</f>
        <v>2</v>
      </c>
      <c r="AK44" s="3">
        <f>COUNTIFS(B44:G44,"&gt;=15",B44:G44,"&lt;=31")</f>
        <v>1</v>
      </c>
      <c r="AL44" s="3">
        <f>6-AK44-AJ44</f>
        <v>3</v>
      </c>
      <c r="AM44" s="33"/>
      <c r="AN44" s="3">
        <f>COUNTIFS($B44:$G44, "&gt;=1",$B44:$G44, "&lt;=9")</f>
        <v>1</v>
      </c>
      <c r="AO44" s="3">
        <f>COUNTIFS($B44:$G44, "&gt;=10",$B44:$G44, "&lt;=18")</f>
        <v>1</v>
      </c>
      <c r="AP44" s="3">
        <f>COUNTIFS($B44:$G44, "&gt;=19",$B44:$G44, "&lt;=27")</f>
        <v>1</v>
      </c>
      <c r="AQ44" s="3">
        <f>COUNTIFS($B44:$G44, "&gt;=28",$B44:$G44, "&lt;=36")</f>
        <v>1</v>
      </c>
      <c r="AR44" s="3">
        <f>COUNTIFS($B44:$G44, "&gt;=37",$B44:$G44, "&lt;=45")</f>
        <v>2</v>
      </c>
      <c r="AS44" s="28" t="e">
        <f>#REF!</f>
        <v>#REF!</v>
      </c>
      <c r="AT44" s="28" t="e">
        <f>#REF!*2</f>
        <v>#REF!</v>
      </c>
      <c r="AU44" s="28" t="e">
        <f>#REF!</f>
        <v>#REF!</v>
      </c>
      <c r="AV44" s="28" t="e">
        <f>#REF!*2</f>
        <v>#REF!</v>
      </c>
      <c r="AW44" s="28" t="e">
        <f>#REF!</f>
        <v>#REF!</v>
      </c>
      <c r="AX44" s="28" t="e">
        <f>#REF!*2</f>
        <v>#REF!</v>
      </c>
      <c r="AY44" s="28" t="e">
        <f>#REF!</f>
        <v>#REF!</v>
      </c>
      <c r="AZ44" s="28" t="e">
        <f>#REF!*2</f>
        <v>#REF!</v>
      </c>
      <c r="BA44" s="28" t="e">
        <f>#REF!</f>
        <v>#REF!</v>
      </c>
      <c r="BB44" s="28" t="e">
        <f>#REF!*2</f>
        <v>#REF!</v>
      </c>
      <c r="BC44" s="28" t="e">
        <f>#REF!</f>
        <v>#REF!</v>
      </c>
      <c r="BD44" s="28" t="e">
        <f>#REF!*2</f>
        <v>#REF!</v>
      </c>
      <c r="BE44" s="9" t="e">
        <f>#REF!-#REF!</f>
        <v>#REF!</v>
      </c>
      <c r="BF44" s="9" t="e">
        <f>#REF!-#REF!</f>
        <v>#REF!</v>
      </c>
      <c r="BG44" s="9" t="e">
        <f>#REF!-#REF!</f>
        <v>#REF!</v>
      </c>
      <c r="BH44" s="9" t="e">
        <f>#REF!-#REF!</f>
        <v>#REF!</v>
      </c>
      <c r="BI44" s="9" t="e">
        <f>#REF!-#REF!</f>
        <v>#REF!</v>
      </c>
      <c r="BJ44" s="33"/>
      <c r="BK44" s="3">
        <f>COUNTIFS(B44:G44, "&gt;=1", B44:G44, "&lt;=9")</f>
        <v>1</v>
      </c>
      <c r="BL44" s="3">
        <f>COUNTIFS(B44:G44, "&gt;=10", B44:G44, "&lt;=19")</f>
        <v>1</v>
      </c>
      <c r="BM44" s="3">
        <f>COUNTIFS(B44:G44, "&gt;=20", B44:G44, "&lt;=29")</f>
        <v>1</v>
      </c>
      <c r="BN44" s="3">
        <f>COUNTIFS(B44:G44, "&gt;=30", B44:G44, "&lt;=39")</f>
        <v>1</v>
      </c>
      <c r="BO44" s="3">
        <f>COUNTIFS(B44:G44, "&gt;=40", B44:G44, "&lt;=45")</f>
        <v>2</v>
      </c>
      <c r="BP44" s="28" t="e">
        <f>#REF!</f>
        <v>#REF!</v>
      </c>
      <c r="BQ44" s="28" t="e">
        <f>#REF!*2</f>
        <v>#REF!</v>
      </c>
      <c r="BR44" s="28" t="e">
        <f>#REF!</f>
        <v>#REF!</v>
      </c>
      <c r="BS44" s="28" t="e">
        <f>#REF!*2</f>
        <v>#REF!</v>
      </c>
      <c r="BT44" s="28" t="e">
        <f>#REF!</f>
        <v>#REF!</v>
      </c>
      <c r="BU44" s="28" t="e">
        <f>#REF!*2</f>
        <v>#REF!</v>
      </c>
      <c r="BV44" s="28" t="e">
        <f>#REF!</f>
        <v>#REF!</v>
      </c>
      <c r="BW44" s="28" t="e">
        <f>#REF!*2</f>
        <v>#REF!</v>
      </c>
      <c r="BX44" s="28" t="e">
        <f>#REF!</f>
        <v>#REF!</v>
      </c>
      <c r="BY44" s="28" t="e">
        <f>#REF!*2</f>
        <v>#REF!</v>
      </c>
      <c r="BZ44" s="28" t="e">
        <f>#REF!</f>
        <v>#REF!</v>
      </c>
      <c r="CA44" s="28" t="e">
        <f>#REF!*2</f>
        <v>#REF!</v>
      </c>
      <c r="CB44" s="9">
        <f>C44-B44</f>
        <v>8</v>
      </c>
      <c r="CC44" s="9">
        <f>D44-C44</f>
        <v>11</v>
      </c>
      <c r="CD44" s="9">
        <f>E44-D44</f>
        <v>8</v>
      </c>
      <c r="CE44" s="9">
        <f>F44-E44</f>
        <v>7</v>
      </c>
      <c r="CF44" s="9">
        <f>G44-F44</f>
        <v>4</v>
      </c>
      <c r="CG44" s="33"/>
      <c r="CH44" s="9">
        <f>C44-B44</f>
        <v>8</v>
      </c>
      <c r="CI44" s="9">
        <f>D44-C44</f>
        <v>11</v>
      </c>
      <c r="CJ44" s="9">
        <f>E44-D44</f>
        <v>8</v>
      </c>
      <c r="CK44" s="9">
        <f>F44-E44</f>
        <v>7</v>
      </c>
      <c r="CL44" s="9">
        <f>G44-F44</f>
        <v>4</v>
      </c>
      <c r="CM44" s="32"/>
      <c r="CN44" s="3">
        <f>IF(OR(CH44="",ISBLANK(CH44),CH44=0),0,IF(MOD(CH44,2)=1,1,2))</f>
        <v>2</v>
      </c>
      <c r="CO44" s="3">
        <f>IF(OR(CI44="",ISBLANK(CI44),CI44=0),0,IF(MOD(CI44,2)=1,1,2))</f>
        <v>1</v>
      </c>
      <c r="CP44" s="3">
        <f>IF(OR(CJ44="",ISBLANK(CJ44),CJ44=0),0,IF(MOD(CJ44,2)=1,1,2))</f>
        <v>2</v>
      </c>
      <c r="CQ44" s="3">
        <f>IF(OR(CK44="",ISBLANK(CK44),CK44=0),0,IF(MOD(CK44,2)=1,1,2))</f>
        <v>1</v>
      </c>
      <c r="CR44" s="3">
        <f>IF(OR(CL44="",ISBLANK(CL44),CL44=0),0,IF(MOD(CL44,2)=1,1,2))</f>
        <v>2</v>
      </c>
      <c r="CS44" s="31"/>
      <c r="CT44" s="3" cm="1">
        <f t="array" ref="CT44">SUMPRODUCT(--(MOD(CH44:CL44,2)=1))</f>
        <v>2</v>
      </c>
      <c r="CU44" s="3">
        <f>5-CT44</f>
        <v>3</v>
      </c>
      <c r="CV44" s="30"/>
      <c r="CW44" s="3" cm="1">
        <f t="array" ref="CW44">SUMPRODUCT(--(MOD(CH44:CL44,10)&gt;=1), --(MOD(CH44:CL44,10)&lt;=5))</f>
        <v>2</v>
      </c>
      <c r="CX44" s="3">
        <f>5-CW44</f>
        <v>3</v>
      </c>
      <c r="CY44" s="30"/>
      <c r="CZ44" s="3" cm="1">
        <f t="array" ref="CZ44">IFERROR(COUNT(_xlfn._xlws.FILTER(CH44:CL44, ISNUMBER(MATCH(CH44:CL44, {2,3,5,7,11,13,17,19,23,29,31,37,41,43}, 0)))), 0)</f>
        <v>2</v>
      </c>
      <c r="DA44" s="3" cm="1">
        <f t="array" ref="DA44">IFERROR(COUNT(_xlfn._xlws.FILTER(CH44:CL44, ISNUMBER(MATCH(CH44:CL44, {1,4,8,10,14,16,20,22,25,26,28,32,34,35,38,40,44}, 0)))), 0)</f>
        <v>3</v>
      </c>
      <c r="DB44" s="3" cm="1">
        <f t="array" ref="DB44">IFERROR(COUNT(_xlfn._xlws.FILTER(CH44:CL44, ISNUMBER(MATCH(CH44:CL44, {6,9,12,15,18,21,24,27,30,33,36,39,42,45}, 0)))), 0)</f>
        <v>0</v>
      </c>
      <c r="DC44" s="29"/>
      <c r="DD44" s="28" t="e">
        <f>#REF!</f>
        <v>#REF!</v>
      </c>
      <c r="DE44" s="28" t="e">
        <f>#REF!*2</f>
        <v>#REF!</v>
      </c>
      <c r="DF44" s="28" t="e">
        <f>#REF!</f>
        <v>#REF!</v>
      </c>
      <c r="DG44" s="28" t="e">
        <f>#REF!*2</f>
        <v>#REF!</v>
      </c>
      <c r="DH44" s="28" t="e">
        <f>#REF!</f>
        <v>#REF!</v>
      </c>
      <c r="DI44" s="28" t="e">
        <f>#REF!*2</f>
        <v>#REF!</v>
      </c>
      <c r="DJ44" s="28" t="e">
        <f>#REF!</f>
        <v>#REF!</v>
      </c>
      <c r="DK44" s="28" t="e">
        <f>#REF!*2</f>
        <v>#REF!</v>
      </c>
      <c r="DL44" s="28" t="e">
        <f>#REF!</f>
        <v>#REF!</v>
      </c>
      <c r="DM44" s="28" t="e">
        <f>#REF!*2</f>
        <v>#REF!</v>
      </c>
      <c r="DN44" s="27"/>
      <c r="DO44" s="26" t="str" cm="1">
        <f t="array" ref="DO44">_xlfn.IFS(
   OR(CH44="",ISBLANK(CH44),CH44=0),0,
   ISNUMBER(MATCH(CH44,{2,3,5,7,11,13,17,19,23,29,31,37,41,43},0)),"소",
   AND(ISNUMBER(CH44),MOD(CH44,3)=0),"배",
   AND(ISNUMBER(CH44),CH44&gt;0),"자"
)</f>
        <v>자</v>
      </c>
      <c r="DP44" s="26" t="str" cm="1">
        <f t="array" ref="DP44">_xlfn.IFS(
   OR(CI44="",ISBLANK(CI44),CI44=0),0,
   ISNUMBER(MATCH(CI44,{2,3,5,7,11,13,17,19,23,29,31,37,41,43},0)),"소",
   AND(ISNUMBER(CI44),MOD(CI44,3)=0),"배",
   AND(ISNUMBER(CI44),CI44&gt;0),"자"
)</f>
        <v>소</v>
      </c>
      <c r="DQ44" s="26" t="str" cm="1">
        <f t="array" ref="DQ44">_xlfn.IFS(
   OR(CJ44="",ISBLANK(CJ44),CJ44=0),0,
   ISNUMBER(MATCH(CJ44,{2,3,5,7,11,13,17,19,23,29,31,37,41,43},0)),"소",
   AND(ISNUMBER(CJ44),MOD(CJ44,3)=0),"배",
   AND(ISNUMBER(CJ44),CJ44&gt;0),"자"
)</f>
        <v>자</v>
      </c>
      <c r="DR44" s="26" t="str" cm="1">
        <f t="array" ref="DR44">_xlfn.IFS(
   OR(CK44="",ISBLANK(CK44),CK44=0),0,
   ISNUMBER(MATCH(CK44,{2,3,5,7,11,13,17,19,23,29,31,37,41,43},0)),"소",
   AND(ISNUMBER(CK44),MOD(CK44,3)=0),"배",
   AND(ISNUMBER(CK44),CK44&gt;0),"자"
)</f>
        <v>소</v>
      </c>
      <c r="DS44" s="26" t="str" cm="1">
        <f t="array" ref="DS44">_xlfn.IFS(
   OR(CL44="",ISBLANK(CL44),CL44=0),0,
   ISNUMBER(MATCH(CL44,{2,3,5,7,11,13,17,19,23,29,31,37,41,43},0)),"소",
   AND(ISNUMBER(CL44),MOD(CL44,3)=0),"배",
   AND(ISNUMBER(CL44),CL44&gt;0),"자"
)</f>
        <v>자</v>
      </c>
      <c r="DT44" s="25"/>
    </row>
    <row r="45" spans="2:124" x14ac:dyDescent="0.3">
      <c r="B45" s="3">
        <v>4</v>
      </c>
      <c r="C45" s="3">
        <v>5</v>
      </c>
      <c r="D45" s="3">
        <v>9</v>
      </c>
      <c r="E45" s="3">
        <v>11</v>
      </c>
      <c r="F45" s="3">
        <v>37</v>
      </c>
      <c r="G45" s="3">
        <v>40</v>
      </c>
      <c r="H45" s="32"/>
      <c r="I45" s="3">
        <f>IF(OR(B45="",ISBLANK(B45),B45=0),0,IF(MOD(B45,2)=1,1,2))</f>
        <v>2</v>
      </c>
      <c r="J45" s="3">
        <f>IF(OR(C45="",ISBLANK(C45),C45=0),0,IF(MOD(C45,2)=1,1,2))</f>
        <v>1</v>
      </c>
      <c r="K45" s="3">
        <f>IF(OR(D45="",ISBLANK(D45),D45=0),0,IF(MOD(D45,2)=1,1,2))</f>
        <v>1</v>
      </c>
      <c r="L45" s="3">
        <f>IF(OR(E45="",ISBLANK(E45),E45=0),0,IF(MOD(E45,2)=1,1,2))</f>
        <v>1</v>
      </c>
      <c r="M45" s="3">
        <f>IF(OR(F45="",ISBLANK(F45),F45=0),0,IF(MOD(F45,2)=1,1,2))</f>
        <v>1</v>
      </c>
      <c r="N45" s="3">
        <f>IF(OR(G45="",ISBLANK(G45),G45=0),0,IF(MOD(G45,2)=1,1,2))</f>
        <v>2</v>
      </c>
      <c r="O45" s="32"/>
      <c r="P45" s="3" cm="1">
        <f t="array" ref="P45">SUMPRODUCT(--(MOD(B45:G45,2)=1))</f>
        <v>4</v>
      </c>
      <c r="Q45" s="3">
        <f>6-P45</f>
        <v>2</v>
      </c>
      <c r="R45" s="34"/>
      <c r="S45" s="3">
        <f>COUNTIFS(B45:G45,"&gt;=1",B45:G45,"&lt;=23")</f>
        <v>4</v>
      </c>
      <c r="T45" s="3">
        <f>6-S45</f>
        <v>2</v>
      </c>
      <c r="U45" s="34"/>
      <c r="V45" s="3" cm="1">
        <f t="array" ref="V45">SUMPRODUCT(--(MOD(B45:G45,10)&gt;=1), --(MOD(B45:G45,10)&lt;=5))</f>
        <v>3</v>
      </c>
      <c r="W45" s="3">
        <f>6-V45</f>
        <v>3</v>
      </c>
      <c r="X45" s="34"/>
      <c r="Y45" s="3" cm="1">
        <f t="array" ref="Y45">IFERROR(COUNT(_xlfn._xlws.FILTER(B45:G45, ISNUMBER(MATCH(B45:G45, {2,3,5,7,11,13,17,19,23,29,31,37,41,43}, 0)))), 0)</f>
        <v>3</v>
      </c>
      <c r="Z45" s="3" cm="1">
        <f t="array" ref="Z45">IFERROR(COUNT(_xlfn._xlws.FILTER(B45:G45, ISNUMBER(MATCH(B45:G45, {1,4,8,10,14,16,20,22,25,26,28,32,34,35,38,40,44}, 0)))), 0)</f>
        <v>2</v>
      </c>
      <c r="AA45" s="3" cm="1">
        <f t="array" ref="AA45">IFERROR(COUNT(_xlfn._xlws.FILTER(B45:G45, ISNUMBER(MATCH(B45:G45, {6,9,12,15,18,21,24,27,30,33,36,39,42,45}, 0)))), 0)</f>
        <v>1</v>
      </c>
      <c r="AB45" s="30"/>
      <c r="AC45" s="26" t="str" cm="1">
        <f t="array" ref="AC45">_xlfn.IFS(
   OR(B45="",ISBLANK(B45),B45=0),0,
   ISNUMBER(MATCH(B45,{2,3,5,7,11,13,17,19,23,29,31,37,41,43},0)),"소",
   AND(ISNUMBER(B45),MOD(B45,3)=0),"배",
   AND(ISNUMBER(B45),B45&gt;0),"자"
)</f>
        <v>자</v>
      </c>
      <c r="AD45" s="26" t="str" cm="1">
        <f t="array" ref="AD45">_xlfn.IFS(
   OR(C45="",ISBLANK(C45),C45=0),0,
   ISNUMBER(MATCH(C45,{2,3,5,7,11,13,17,19,23,29,31,37,41,43},0)),"소",
   AND(ISNUMBER(C45),MOD(C45,3)=0),"배",
   AND(ISNUMBER(C45),C45&gt;0),"자"
)</f>
        <v>소</v>
      </c>
      <c r="AE45" s="26" t="str" cm="1">
        <f t="array" ref="AE45">_xlfn.IFS(
   OR(D45="",ISBLANK(D45),D45=0),0,
   ISNUMBER(MATCH(D45,{2,3,5,7,11,13,17,19,23,29,31,37,41,43},0)),"소",
   AND(ISNUMBER(D45),MOD(D45,3)=0),"배",
   AND(ISNUMBER(D45),D45&gt;0),"자"
)</f>
        <v>배</v>
      </c>
      <c r="AF45" s="26" t="str" cm="1">
        <f t="array" ref="AF45">_xlfn.IFS(
   OR(E45="",ISBLANK(E45),E45=0),0,
   ISNUMBER(MATCH(E45,{2,3,5,7,11,13,17,19,23,29,31,37,41,43},0)),"소",
   AND(ISNUMBER(E45),MOD(E45,3)=0),"배",
   AND(ISNUMBER(E45),E45&gt;0),"자"
)</f>
        <v>소</v>
      </c>
      <c r="AG45" s="26" t="str" cm="1">
        <f t="array" ref="AG45">_xlfn.IFS(
   OR(F45="",ISBLANK(F45),F45=0),0,
   ISNUMBER(MATCH(F45,{2,3,5,7,11,13,17,19,23,29,31,37,41,43},0)),"소",
   AND(ISNUMBER(F45),MOD(F45,3)=0),"배",
   AND(ISNUMBER(F45),F45&gt;0),"자"
)</f>
        <v>소</v>
      </c>
      <c r="AH45" s="26" t="str" cm="1">
        <f t="array" ref="AH45">_xlfn.IFS(
   OR(G45="",ISBLANK(G45),G45=0),0,
   ISNUMBER(MATCH(G45,{2,3,5,7,11,13,17,19,23,29,31,37,41,43},0)),"소",
   AND(ISNUMBER(G45),MOD(G45,3)=0),"배",
   AND(ISNUMBER(G45),G45&gt;0),"자"
)</f>
        <v>자</v>
      </c>
      <c r="AI45" s="30"/>
      <c r="AJ45" s="3">
        <f>COUNTIFS(B45:G45,"&gt;=1",B45:G45,"&lt;=14")</f>
        <v>4</v>
      </c>
      <c r="AK45" s="3">
        <f>COUNTIFS(B45:G45,"&gt;=15",B45:G45,"&lt;=31")</f>
        <v>0</v>
      </c>
      <c r="AL45" s="3">
        <f>6-AK45-AJ45</f>
        <v>2</v>
      </c>
      <c r="AM45" s="33"/>
      <c r="AN45" s="3">
        <f>COUNTIFS($B45:$G45, "&gt;=1",$B45:$G45, "&lt;=9")</f>
        <v>3</v>
      </c>
      <c r="AO45" s="3">
        <f>COUNTIFS($B45:$G45, "&gt;=10",$B45:$G45, "&lt;=18")</f>
        <v>1</v>
      </c>
      <c r="AP45" s="3">
        <f>COUNTIFS($B45:$G45, "&gt;=19",$B45:$G45, "&lt;=27")</f>
        <v>0</v>
      </c>
      <c r="AQ45" s="3">
        <f>COUNTIFS($B45:$G45, "&gt;=28",$B45:$G45, "&lt;=36")</f>
        <v>0</v>
      </c>
      <c r="AR45" s="3">
        <f>COUNTIFS($B45:$G45, "&gt;=37",$B45:$G45, "&lt;=45")</f>
        <v>2</v>
      </c>
      <c r="AS45" s="28" t="e">
        <f>#REF!</f>
        <v>#REF!</v>
      </c>
      <c r="AT45" s="28" t="e">
        <f>#REF!*2</f>
        <v>#REF!</v>
      </c>
      <c r="AU45" s="28" t="e">
        <f>#REF!</f>
        <v>#REF!</v>
      </c>
      <c r="AV45" s="28" t="e">
        <f>#REF!*2</f>
        <v>#REF!</v>
      </c>
      <c r="AW45" s="28" t="e">
        <f>#REF!</f>
        <v>#REF!</v>
      </c>
      <c r="AX45" s="28" t="e">
        <f>#REF!*2</f>
        <v>#REF!</v>
      </c>
      <c r="AY45" s="28" t="e">
        <f>#REF!</f>
        <v>#REF!</v>
      </c>
      <c r="AZ45" s="28" t="e">
        <f>#REF!*2</f>
        <v>#REF!</v>
      </c>
      <c r="BA45" s="28" t="e">
        <f>#REF!</f>
        <v>#REF!</v>
      </c>
      <c r="BB45" s="28" t="e">
        <f>#REF!*2</f>
        <v>#REF!</v>
      </c>
      <c r="BC45" s="28" t="e">
        <f>#REF!</f>
        <v>#REF!</v>
      </c>
      <c r="BD45" s="28" t="e">
        <f>#REF!*2</f>
        <v>#REF!</v>
      </c>
      <c r="BE45" s="9" t="e">
        <f>#REF!-#REF!</f>
        <v>#REF!</v>
      </c>
      <c r="BF45" s="9" t="e">
        <f>#REF!-#REF!</f>
        <v>#REF!</v>
      </c>
      <c r="BG45" s="9" t="e">
        <f>#REF!-#REF!</f>
        <v>#REF!</v>
      </c>
      <c r="BH45" s="9" t="e">
        <f>#REF!-#REF!</f>
        <v>#REF!</v>
      </c>
      <c r="BI45" s="9" t="e">
        <f>#REF!-#REF!</f>
        <v>#REF!</v>
      </c>
      <c r="BJ45" s="33"/>
      <c r="BK45" s="3">
        <f>COUNTIFS(B45:G45, "&gt;=1", B45:G45, "&lt;=9")</f>
        <v>3</v>
      </c>
      <c r="BL45" s="3">
        <f>COUNTIFS(B45:G45, "&gt;=10", B45:G45, "&lt;=19")</f>
        <v>1</v>
      </c>
      <c r="BM45" s="3">
        <f>COUNTIFS(B45:G45, "&gt;=20", B45:G45, "&lt;=29")</f>
        <v>0</v>
      </c>
      <c r="BN45" s="3">
        <f>COUNTIFS(B45:G45, "&gt;=30", B45:G45, "&lt;=39")</f>
        <v>1</v>
      </c>
      <c r="BO45" s="3">
        <f>COUNTIFS(B45:G45, "&gt;=40", B45:G45, "&lt;=45")</f>
        <v>1</v>
      </c>
      <c r="BP45" s="28" t="e">
        <f>#REF!</f>
        <v>#REF!</v>
      </c>
      <c r="BQ45" s="28" t="e">
        <f>#REF!*2</f>
        <v>#REF!</v>
      </c>
      <c r="BR45" s="28" t="e">
        <f>#REF!</f>
        <v>#REF!</v>
      </c>
      <c r="BS45" s="28" t="e">
        <f>#REF!*2</f>
        <v>#REF!</v>
      </c>
      <c r="BT45" s="28" t="e">
        <f>#REF!</f>
        <v>#REF!</v>
      </c>
      <c r="BU45" s="28" t="e">
        <f>#REF!*2</f>
        <v>#REF!</v>
      </c>
      <c r="BV45" s="28" t="e">
        <f>#REF!</f>
        <v>#REF!</v>
      </c>
      <c r="BW45" s="28" t="e">
        <f>#REF!*2</f>
        <v>#REF!</v>
      </c>
      <c r="BX45" s="28" t="e">
        <f>#REF!</f>
        <v>#REF!</v>
      </c>
      <c r="BY45" s="28" t="e">
        <f>#REF!*2</f>
        <v>#REF!</v>
      </c>
      <c r="BZ45" s="28" t="e">
        <f>#REF!</f>
        <v>#REF!</v>
      </c>
      <c r="CA45" s="28" t="e">
        <f>#REF!*2</f>
        <v>#REF!</v>
      </c>
      <c r="CB45" s="9">
        <f>C45-B45</f>
        <v>1</v>
      </c>
      <c r="CC45" s="9">
        <f>D45-C45</f>
        <v>4</v>
      </c>
      <c r="CD45" s="9">
        <f>E45-D45</f>
        <v>2</v>
      </c>
      <c r="CE45" s="9">
        <f>F45-E45</f>
        <v>26</v>
      </c>
      <c r="CF45" s="9">
        <f>G45-F45</f>
        <v>3</v>
      </c>
      <c r="CG45" s="33"/>
      <c r="CH45" s="9">
        <f>C45-B45</f>
        <v>1</v>
      </c>
      <c r="CI45" s="9">
        <f>D45-C45</f>
        <v>4</v>
      </c>
      <c r="CJ45" s="9">
        <f>E45-D45</f>
        <v>2</v>
      </c>
      <c r="CK45" s="9">
        <f>F45-E45</f>
        <v>26</v>
      </c>
      <c r="CL45" s="9">
        <f>G45-F45</f>
        <v>3</v>
      </c>
      <c r="CM45" s="32"/>
      <c r="CN45" s="3">
        <f>IF(OR(CH45="",ISBLANK(CH45),CH45=0),0,IF(MOD(CH45,2)=1,1,2))</f>
        <v>1</v>
      </c>
      <c r="CO45" s="3">
        <f>IF(OR(CI45="",ISBLANK(CI45),CI45=0),0,IF(MOD(CI45,2)=1,1,2))</f>
        <v>2</v>
      </c>
      <c r="CP45" s="3">
        <f>IF(OR(CJ45="",ISBLANK(CJ45),CJ45=0),0,IF(MOD(CJ45,2)=1,1,2))</f>
        <v>2</v>
      </c>
      <c r="CQ45" s="3">
        <f>IF(OR(CK45="",ISBLANK(CK45),CK45=0),0,IF(MOD(CK45,2)=1,1,2))</f>
        <v>2</v>
      </c>
      <c r="CR45" s="3">
        <f>IF(OR(CL45="",ISBLANK(CL45),CL45=0),0,IF(MOD(CL45,2)=1,1,2))</f>
        <v>1</v>
      </c>
      <c r="CS45" s="31"/>
      <c r="CT45" s="3" cm="1">
        <f t="array" ref="CT45">SUMPRODUCT(--(MOD(CH45:CL45,2)=1))</f>
        <v>2</v>
      </c>
      <c r="CU45" s="3">
        <f>5-CT45</f>
        <v>3</v>
      </c>
      <c r="CV45" s="30"/>
      <c r="CW45" s="3" cm="1">
        <f t="array" ref="CW45">SUMPRODUCT(--(MOD(CH45:CL45,10)&gt;=1), --(MOD(CH45:CL45,10)&lt;=5))</f>
        <v>4</v>
      </c>
      <c r="CX45" s="3">
        <f>5-CW45</f>
        <v>1</v>
      </c>
      <c r="CY45" s="30"/>
      <c r="CZ45" s="3" cm="1">
        <f t="array" ref="CZ45">IFERROR(COUNT(_xlfn._xlws.FILTER(CH45:CL45, ISNUMBER(MATCH(CH45:CL45, {2,3,5,7,11,13,17,19,23,29,31,37,41,43}, 0)))), 0)</f>
        <v>2</v>
      </c>
      <c r="DA45" s="3" cm="1">
        <f t="array" ref="DA45">IFERROR(COUNT(_xlfn._xlws.FILTER(CH45:CL45, ISNUMBER(MATCH(CH45:CL45, {1,4,8,10,14,16,20,22,25,26,28,32,34,35,38,40,44}, 0)))), 0)</f>
        <v>3</v>
      </c>
      <c r="DB45" s="3" cm="1">
        <f t="array" ref="DB45">IFERROR(COUNT(_xlfn._xlws.FILTER(CH45:CL45, ISNUMBER(MATCH(CH45:CL45, {6,9,12,15,18,21,24,27,30,33,36,39,42,45}, 0)))), 0)</f>
        <v>0</v>
      </c>
      <c r="DC45" s="29"/>
      <c r="DD45" s="28" t="e">
        <f>#REF!</f>
        <v>#REF!</v>
      </c>
      <c r="DE45" s="28" t="e">
        <f>#REF!*2</f>
        <v>#REF!</v>
      </c>
      <c r="DF45" s="28" t="e">
        <f>#REF!</f>
        <v>#REF!</v>
      </c>
      <c r="DG45" s="28" t="e">
        <f>#REF!*2</f>
        <v>#REF!</v>
      </c>
      <c r="DH45" s="28" t="e">
        <f>#REF!</f>
        <v>#REF!</v>
      </c>
      <c r="DI45" s="28" t="e">
        <f>#REF!*2</f>
        <v>#REF!</v>
      </c>
      <c r="DJ45" s="28" t="e">
        <f>#REF!</f>
        <v>#REF!</v>
      </c>
      <c r="DK45" s="28" t="e">
        <f>#REF!*2</f>
        <v>#REF!</v>
      </c>
      <c r="DL45" s="28" t="e">
        <f>#REF!</f>
        <v>#REF!</v>
      </c>
      <c r="DM45" s="28" t="e">
        <f>#REF!*2</f>
        <v>#REF!</v>
      </c>
      <c r="DN45" s="27"/>
      <c r="DO45" s="26" t="str" cm="1">
        <f t="array" ref="DO45">_xlfn.IFS(
   OR(CH45="",ISBLANK(CH45),CH45=0),0,
   ISNUMBER(MATCH(CH45,{2,3,5,7,11,13,17,19,23,29,31,37,41,43},0)),"소",
   AND(ISNUMBER(CH45),MOD(CH45,3)=0),"배",
   AND(ISNUMBER(CH45),CH45&gt;0),"자"
)</f>
        <v>자</v>
      </c>
      <c r="DP45" s="26" t="str" cm="1">
        <f t="array" ref="DP45">_xlfn.IFS(
   OR(CI45="",ISBLANK(CI45),CI45=0),0,
   ISNUMBER(MATCH(CI45,{2,3,5,7,11,13,17,19,23,29,31,37,41,43},0)),"소",
   AND(ISNUMBER(CI45),MOD(CI45,3)=0),"배",
   AND(ISNUMBER(CI45),CI45&gt;0),"자"
)</f>
        <v>자</v>
      </c>
      <c r="DQ45" s="26" t="str" cm="1">
        <f t="array" ref="DQ45">_xlfn.IFS(
   OR(CJ45="",ISBLANK(CJ45),CJ45=0),0,
   ISNUMBER(MATCH(CJ45,{2,3,5,7,11,13,17,19,23,29,31,37,41,43},0)),"소",
   AND(ISNUMBER(CJ45),MOD(CJ45,3)=0),"배",
   AND(ISNUMBER(CJ45),CJ45&gt;0),"자"
)</f>
        <v>소</v>
      </c>
      <c r="DR45" s="26" t="str" cm="1">
        <f t="array" ref="DR45">_xlfn.IFS(
   OR(CK45="",ISBLANK(CK45),CK45=0),0,
   ISNUMBER(MATCH(CK45,{2,3,5,7,11,13,17,19,23,29,31,37,41,43},0)),"소",
   AND(ISNUMBER(CK45),MOD(CK45,3)=0),"배",
   AND(ISNUMBER(CK45),CK45&gt;0),"자"
)</f>
        <v>자</v>
      </c>
      <c r="DS45" s="26" t="str" cm="1">
        <f t="array" ref="DS45">_xlfn.IFS(
   OR(CL45="",ISBLANK(CL45),CL45=0),0,
   ISNUMBER(MATCH(CL45,{2,3,5,7,11,13,17,19,23,29,31,37,41,43},0)),"소",
   AND(ISNUMBER(CL45),MOD(CL45,3)=0),"배",
   AND(ISNUMBER(CL45),CL45&gt;0),"자"
)</f>
        <v>소</v>
      </c>
      <c r="DT45" s="25"/>
    </row>
    <row r="46" spans="2:124" x14ac:dyDescent="0.3">
      <c r="B46" s="3">
        <v>10</v>
      </c>
      <c r="C46" s="3">
        <v>15</v>
      </c>
      <c r="D46" s="3">
        <v>24</v>
      </c>
      <c r="E46" s="3">
        <v>30</v>
      </c>
      <c r="F46" s="3">
        <v>31</v>
      </c>
      <c r="G46" s="3">
        <v>37</v>
      </c>
      <c r="H46" s="32"/>
      <c r="I46" s="3">
        <f>IF(OR(B46="",ISBLANK(B46),B46=0),0,IF(MOD(B46,2)=1,1,2))</f>
        <v>2</v>
      </c>
      <c r="J46" s="3">
        <f>IF(OR(C46="",ISBLANK(C46),C46=0),0,IF(MOD(C46,2)=1,1,2))</f>
        <v>1</v>
      </c>
      <c r="K46" s="3">
        <f>IF(OR(D46="",ISBLANK(D46),D46=0),0,IF(MOD(D46,2)=1,1,2))</f>
        <v>2</v>
      </c>
      <c r="L46" s="3">
        <f>IF(OR(E46="",ISBLANK(E46),E46=0),0,IF(MOD(E46,2)=1,1,2))</f>
        <v>2</v>
      </c>
      <c r="M46" s="3">
        <f>IF(OR(F46="",ISBLANK(F46),F46=0),0,IF(MOD(F46,2)=1,1,2))</f>
        <v>1</v>
      </c>
      <c r="N46" s="3">
        <f>IF(OR(G46="",ISBLANK(G46),G46=0),0,IF(MOD(G46,2)=1,1,2))</f>
        <v>1</v>
      </c>
      <c r="O46" s="32"/>
      <c r="P46" s="3" cm="1">
        <f t="array" ref="P46">SUMPRODUCT(--(MOD(B46:G46,2)=1))</f>
        <v>3</v>
      </c>
      <c r="Q46" s="3">
        <f>6-P46</f>
        <v>3</v>
      </c>
      <c r="R46" s="34"/>
      <c r="S46" s="3">
        <f>COUNTIFS(B46:G46,"&gt;=1",B46:G46,"&lt;=23")</f>
        <v>2</v>
      </c>
      <c r="T46" s="3">
        <f>6-S46</f>
        <v>4</v>
      </c>
      <c r="U46" s="34"/>
      <c r="V46" s="3" cm="1">
        <f t="array" ref="V46">SUMPRODUCT(--(MOD(B46:G46,10)&gt;=1), --(MOD(B46:G46,10)&lt;=5))</f>
        <v>3</v>
      </c>
      <c r="W46" s="3">
        <f>6-V46</f>
        <v>3</v>
      </c>
      <c r="X46" s="34"/>
      <c r="Y46" s="3" cm="1">
        <f t="array" ref="Y46">IFERROR(COUNT(_xlfn._xlws.FILTER(B46:G46, ISNUMBER(MATCH(B46:G46, {2,3,5,7,11,13,17,19,23,29,31,37,41,43}, 0)))), 0)</f>
        <v>2</v>
      </c>
      <c r="Z46" s="3" cm="1">
        <f t="array" ref="Z46">IFERROR(COUNT(_xlfn._xlws.FILTER(B46:G46, ISNUMBER(MATCH(B46:G46, {1,4,8,10,14,16,20,22,25,26,28,32,34,35,38,40,44}, 0)))), 0)</f>
        <v>1</v>
      </c>
      <c r="AA46" s="3" cm="1">
        <f t="array" ref="AA46">IFERROR(COUNT(_xlfn._xlws.FILTER(B46:G46, ISNUMBER(MATCH(B46:G46, {6,9,12,15,18,21,24,27,30,33,36,39,42,45}, 0)))), 0)</f>
        <v>3</v>
      </c>
      <c r="AB46" s="30"/>
      <c r="AC46" s="26" t="str" cm="1">
        <f t="array" ref="AC46">_xlfn.IFS(
   OR(B46="",ISBLANK(B46),B46=0),0,
   ISNUMBER(MATCH(B46,{2,3,5,7,11,13,17,19,23,29,31,37,41,43},0)),"소",
   AND(ISNUMBER(B46),MOD(B46,3)=0),"배",
   AND(ISNUMBER(B46),B46&gt;0),"자"
)</f>
        <v>자</v>
      </c>
      <c r="AD46" s="26" t="str" cm="1">
        <f t="array" ref="AD46">_xlfn.IFS(
   OR(C46="",ISBLANK(C46),C46=0),0,
   ISNUMBER(MATCH(C46,{2,3,5,7,11,13,17,19,23,29,31,37,41,43},0)),"소",
   AND(ISNUMBER(C46),MOD(C46,3)=0),"배",
   AND(ISNUMBER(C46),C46&gt;0),"자"
)</f>
        <v>배</v>
      </c>
      <c r="AE46" s="26" t="str" cm="1">
        <f t="array" ref="AE46">_xlfn.IFS(
   OR(D46="",ISBLANK(D46),D46=0),0,
   ISNUMBER(MATCH(D46,{2,3,5,7,11,13,17,19,23,29,31,37,41,43},0)),"소",
   AND(ISNUMBER(D46),MOD(D46,3)=0),"배",
   AND(ISNUMBER(D46),D46&gt;0),"자"
)</f>
        <v>배</v>
      </c>
      <c r="AF46" s="26" t="str" cm="1">
        <f t="array" ref="AF46">_xlfn.IFS(
   OR(E46="",ISBLANK(E46),E46=0),0,
   ISNUMBER(MATCH(E46,{2,3,5,7,11,13,17,19,23,29,31,37,41,43},0)),"소",
   AND(ISNUMBER(E46),MOD(E46,3)=0),"배",
   AND(ISNUMBER(E46),E46&gt;0),"자"
)</f>
        <v>배</v>
      </c>
      <c r="AG46" s="26" t="str" cm="1">
        <f t="array" ref="AG46">_xlfn.IFS(
   OR(F46="",ISBLANK(F46),F46=0),0,
   ISNUMBER(MATCH(F46,{2,3,5,7,11,13,17,19,23,29,31,37,41,43},0)),"소",
   AND(ISNUMBER(F46),MOD(F46,3)=0),"배",
   AND(ISNUMBER(F46),F46&gt;0),"자"
)</f>
        <v>소</v>
      </c>
      <c r="AH46" s="26" t="str" cm="1">
        <f t="array" ref="AH46">_xlfn.IFS(
   OR(G46="",ISBLANK(G46),G46=0),0,
   ISNUMBER(MATCH(G46,{2,3,5,7,11,13,17,19,23,29,31,37,41,43},0)),"소",
   AND(ISNUMBER(G46),MOD(G46,3)=0),"배",
   AND(ISNUMBER(G46),G46&gt;0),"자"
)</f>
        <v>소</v>
      </c>
      <c r="AI46" s="30"/>
      <c r="AJ46" s="3">
        <f>COUNTIFS(B46:G46,"&gt;=1",B46:G46,"&lt;=14")</f>
        <v>1</v>
      </c>
      <c r="AK46" s="3">
        <f>COUNTIFS(B46:G46,"&gt;=15",B46:G46,"&lt;=31")</f>
        <v>4</v>
      </c>
      <c r="AL46" s="3">
        <f>6-AK46-AJ46</f>
        <v>1</v>
      </c>
      <c r="AM46" s="33"/>
      <c r="AN46" s="3">
        <f>COUNTIFS($B46:$G46, "&gt;=1",$B46:$G46, "&lt;=9")</f>
        <v>0</v>
      </c>
      <c r="AO46" s="3">
        <f>COUNTIFS($B46:$G46, "&gt;=10",$B46:$G46, "&lt;=18")</f>
        <v>2</v>
      </c>
      <c r="AP46" s="3">
        <f>COUNTIFS($B46:$G46, "&gt;=19",$B46:$G46, "&lt;=27")</f>
        <v>1</v>
      </c>
      <c r="AQ46" s="3">
        <f>COUNTIFS($B46:$G46, "&gt;=28",$B46:$G46, "&lt;=36")</f>
        <v>2</v>
      </c>
      <c r="AR46" s="3">
        <f>COUNTIFS($B46:$G46, "&gt;=37",$B46:$G46, "&lt;=45")</f>
        <v>1</v>
      </c>
      <c r="AS46" s="28" t="e">
        <f>#REF!</f>
        <v>#REF!</v>
      </c>
      <c r="AT46" s="28" t="e">
        <f>#REF!*2</f>
        <v>#REF!</v>
      </c>
      <c r="AU46" s="28" t="e">
        <f>#REF!</f>
        <v>#REF!</v>
      </c>
      <c r="AV46" s="28" t="e">
        <f>#REF!*2</f>
        <v>#REF!</v>
      </c>
      <c r="AW46" s="28" t="e">
        <f>#REF!</f>
        <v>#REF!</v>
      </c>
      <c r="AX46" s="28" t="e">
        <f>#REF!*2</f>
        <v>#REF!</v>
      </c>
      <c r="AY46" s="28" t="e">
        <f>#REF!</f>
        <v>#REF!</v>
      </c>
      <c r="AZ46" s="28" t="e">
        <f>#REF!*2</f>
        <v>#REF!</v>
      </c>
      <c r="BA46" s="28" t="e">
        <f>#REF!</f>
        <v>#REF!</v>
      </c>
      <c r="BB46" s="28" t="e">
        <f>#REF!*2</f>
        <v>#REF!</v>
      </c>
      <c r="BC46" s="28" t="e">
        <f>#REF!</f>
        <v>#REF!</v>
      </c>
      <c r="BD46" s="28" t="e">
        <f>#REF!*2</f>
        <v>#REF!</v>
      </c>
      <c r="BE46" s="9" t="e">
        <f>#REF!-#REF!</f>
        <v>#REF!</v>
      </c>
      <c r="BF46" s="9" t="e">
        <f>#REF!-#REF!</f>
        <v>#REF!</v>
      </c>
      <c r="BG46" s="9" t="e">
        <f>#REF!-#REF!</f>
        <v>#REF!</v>
      </c>
      <c r="BH46" s="9" t="e">
        <f>#REF!-#REF!</f>
        <v>#REF!</v>
      </c>
      <c r="BI46" s="9" t="e">
        <f>#REF!-#REF!</f>
        <v>#REF!</v>
      </c>
      <c r="BJ46" s="33"/>
      <c r="BK46" s="3">
        <f>COUNTIFS(B46:G46, "&gt;=1", B46:G46, "&lt;=9")</f>
        <v>0</v>
      </c>
      <c r="BL46" s="3">
        <f>COUNTIFS(B46:G46, "&gt;=10", B46:G46, "&lt;=19")</f>
        <v>2</v>
      </c>
      <c r="BM46" s="3">
        <f>COUNTIFS(B46:G46, "&gt;=20", B46:G46, "&lt;=29")</f>
        <v>1</v>
      </c>
      <c r="BN46" s="3">
        <f>COUNTIFS(B46:G46, "&gt;=30", B46:G46, "&lt;=39")</f>
        <v>3</v>
      </c>
      <c r="BO46" s="3">
        <f>COUNTIFS(B46:G46, "&gt;=40", B46:G46, "&lt;=45")</f>
        <v>0</v>
      </c>
      <c r="BP46" s="28" t="e">
        <f>#REF!</f>
        <v>#REF!</v>
      </c>
      <c r="BQ46" s="28" t="e">
        <f>#REF!*2</f>
        <v>#REF!</v>
      </c>
      <c r="BR46" s="28" t="e">
        <f>#REF!</f>
        <v>#REF!</v>
      </c>
      <c r="BS46" s="28" t="e">
        <f>#REF!*2</f>
        <v>#REF!</v>
      </c>
      <c r="BT46" s="28" t="e">
        <f>#REF!</f>
        <v>#REF!</v>
      </c>
      <c r="BU46" s="28" t="e">
        <f>#REF!*2</f>
        <v>#REF!</v>
      </c>
      <c r="BV46" s="28" t="e">
        <f>#REF!</f>
        <v>#REF!</v>
      </c>
      <c r="BW46" s="28" t="e">
        <f>#REF!*2</f>
        <v>#REF!</v>
      </c>
      <c r="BX46" s="28" t="e">
        <f>#REF!</f>
        <v>#REF!</v>
      </c>
      <c r="BY46" s="28" t="e">
        <f>#REF!*2</f>
        <v>#REF!</v>
      </c>
      <c r="BZ46" s="28" t="e">
        <f>#REF!</f>
        <v>#REF!</v>
      </c>
      <c r="CA46" s="28" t="e">
        <f>#REF!*2</f>
        <v>#REF!</v>
      </c>
      <c r="CB46" s="9">
        <f>C46-B46</f>
        <v>5</v>
      </c>
      <c r="CC46" s="9">
        <f>D46-C46</f>
        <v>9</v>
      </c>
      <c r="CD46" s="9">
        <f>E46-D46</f>
        <v>6</v>
      </c>
      <c r="CE46" s="9">
        <f>F46-E46</f>
        <v>1</v>
      </c>
      <c r="CF46" s="9">
        <f>G46-F46</f>
        <v>6</v>
      </c>
      <c r="CG46" s="33"/>
      <c r="CH46" s="9">
        <f>C46-B46</f>
        <v>5</v>
      </c>
      <c r="CI46" s="9">
        <f>D46-C46</f>
        <v>9</v>
      </c>
      <c r="CJ46" s="9">
        <f>E46-D46</f>
        <v>6</v>
      </c>
      <c r="CK46" s="9">
        <f>F46-E46</f>
        <v>1</v>
      </c>
      <c r="CL46" s="9">
        <f>G46-F46</f>
        <v>6</v>
      </c>
      <c r="CM46" s="32"/>
      <c r="CN46" s="3">
        <f>IF(OR(CH46="",ISBLANK(CH46),CH46=0),0,IF(MOD(CH46,2)=1,1,2))</f>
        <v>1</v>
      </c>
      <c r="CO46" s="3">
        <f>IF(OR(CI46="",ISBLANK(CI46),CI46=0),0,IF(MOD(CI46,2)=1,1,2))</f>
        <v>1</v>
      </c>
      <c r="CP46" s="3">
        <f>IF(OR(CJ46="",ISBLANK(CJ46),CJ46=0),0,IF(MOD(CJ46,2)=1,1,2))</f>
        <v>2</v>
      </c>
      <c r="CQ46" s="3">
        <f>IF(OR(CK46="",ISBLANK(CK46),CK46=0),0,IF(MOD(CK46,2)=1,1,2))</f>
        <v>1</v>
      </c>
      <c r="CR46" s="3">
        <f>IF(OR(CL46="",ISBLANK(CL46),CL46=0),0,IF(MOD(CL46,2)=1,1,2))</f>
        <v>2</v>
      </c>
      <c r="CS46" s="31"/>
      <c r="CT46" s="3" cm="1">
        <f t="array" ref="CT46">SUMPRODUCT(--(MOD(CH46:CL46,2)=1))</f>
        <v>3</v>
      </c>
      <c r="CU46" s="3">
        <f>5-CT46</f>
        <v>2</v>
      </c>
      <c r="CV46" s="30"/>
      <c r="CW46" s="3" cm="1">
        <f t="array" ref="CW46">SUMPRODUCT(--(MOD(CH46:CL46,10)&gt;=1), --(MOD(CH46:CL46,10)&lt;=5))</f>
        <v>2</v>
      </c>
      <c r="CX46" s="3">
        <f>5-CW46</f>
        <v>3</v>
      </c>
      <c r="CY46" s="30"/>
      <c r="CZ46" s="3" cm="1">
        <f t="array" ref="CZ46">IFERROR(COUNT(_xlfn._xlws.FILTER(CH46:CL46, ISNUMBER(MATCH(CH46:CL46, {2,3,5,7,11,13,17,19,23,29,31,37,41,43}, 0)))), 0)</f>
        <v>1</v>
      </c>
      <c r="DA46" s="3" cm="1">
        <f t="array" ref="DA46">IFERROR(COUNT(_xlfn._xlws.FILTER(CH46:CL46, ISNUMBER(MATCH(CH46:CL46, {1,4,8,10,14,16,20,22,25,26,28,32,34,35,38,40,44}, 0)))), 0)</f>
        <v>1</v>
      </c>
      <c r="DB46" s="3" cm="1">
        <f t="array" ref="DB46">IFERROR(COUNT(_xlfn._xlws.FILTER(CH46:CL46, ISNUMBER(MATCH(CH46:CL46, {6,9,12,15,18,21,24,27,30,33,36,39,42,45}, 0)))), 0)</f>
        <v>3</v>
      </c>
      <c r="DC46" s="29"/>
      <c r="DD46" s="28" t="e">
        <f>#REF!</f>
        <v>#REF!</v>
      </c>
      <c r="DE46" s="28" t="e">
        <f>#REF!*2</f>
        <v>#REF!</v>
      </c>
      <c r="DF46" s="28" t="e">
        <f>#REF!</f>
        <v>#REF!</v>
      </c>
      <c r="DG46" s="28" t="e">
        <f>#REF!*2</f>
        <v>#REF!</v>
      </c>
      <c r="DH46" s="28" t="e">
        <f>#REF!</f>
        <v>#REF!</v>
      </c>
      <c r="DI46" s="28" t="e">
        <f>#REF!*2</f>
        <v>#REF!</v>
      </c>
      <c r="DJ46" s="28" t="e">
        <f>#REF!</f>
        <v>#REF!</v>
      </c>
      <c r="DK46" s="28" t="e">
        <f>#REF!*2</f>
        <v>#REF!</v>
      </c>
      <c r="DL46" s="28" t="e">
        <f>#REF!</f>
        <v>#REF!</v>
      </c>
      <c r="DM46" s="28" t="e">
        <f>#REF!*2</f>
        <v>#REF!</v>
      </c>
      <c r="DN46" s="27"/>
      <c r="DO46" s="26" t="str" cm="1">
        <f t="array" ref="DO46">_xlfn.IFS(
   OR(CH46="",ISBLANK(CH46),CH46=0),0,
   ISNUMBER(MATCH(CH46,{2,3,5,7,11,13,17,19,23,29,31,37,41,43},0)),"소",
   AND(ISNUMBER(CH46),MOD(CH46,3)=0),"배",
   AND(ISNUMBER(CH46),CH46&gt;0),"자"
)</f>
        <v>소</v>
      </c>
      <c r="DP46" s="26" t="str" cm="1">
        <f t="array" ref="DP46">_xlfn.IFS(
   OR(CI46="",ISBLANK(CI46),CI46=0),0,
   ISNUMBER(MATCH(CI46,{2,3,5,7,11,13,17,19,23,29,31,37,41,43},0)),"소",
   AND(ISNUMBER(CI46),MOD(CI46,3)=0),"배",
   AND(ISNUMBER(CI46),CI46&gt;0),"자"
)</f>
        <v>배</v>
      </c>
      <c r="DQ46" s="26" t="str" cm="1">
        <f t="array" ref="DQ46">_xlfn.IFS(
   OR(CJ46="",ISBLANK(CJ46),CJ46=0),0,
   ISNUMBER(MATCH(CJ46,{2,3,5,7,11,13,17,19,23,29,31,37,41,43},0)),"소",
   AND(ISNUMBER(CJ46),MOD(CJ46,3)=0),"배",
   AND(ISNUMBER(CJ46),CJ46&gt;0),"자"
)</f>
        <v>배</v>
      </c>
      <c r="DR46" s="26" t="str" cm="1">
        <f t="array" ref="DR46">_xlfn.IFS(
   OR(CK46="",ISBLANK(CK46),CK46=0),0,
   ISNUMBER(MATCH(CK46,{2,3,5,7,11,13,17,19,23,29,31,37,41,43},0)),"소",
   AND(ISNUMBER(CK46),MOD(CK46,3)=0),"배",
   AND(ISNUMBER(CK46),CK46&gt;0),"자"
)</f>
        <v>자</v>
      </c>
      <c r="DS46" s="26" t="str" cm="1">
        <f t="array" ref="DS46">_xlfn.IFS(
   OR(CL46="",ISBLANK(CL46),CL46=0),0,
   ISNUMBER(MATCH(CL46,{2,3,5,7,11,13,17,19,23,29,31,37,41,43},0)),"소",
   AND(ISNUMBER(CL46),MOD(CL46,3)=0),"배",
   AND(ISNUMBER(CL46),CL46&gt;0),"자"
)</f>
        <v>배</v>
      </c>
      <c r="DT46" s="25"/>
    </row>
    <row r="47" spans="2:124" x14ac:dyDescent="0.3">
      <c r="B47" s="3">
        <v>1</v>
      </c>
      <c r="C47" s="3">
        <v>5</v>
      </c>
      <c r="D47" s="3">
        <v>8</v>
      </c>
      <c r="E47" s="3">
        <v>16</v>
      </c>
      <c r="F47" s="3">
        <v>28</v>
      </c>
      <c r="G47" s="3">
        <v>33</v>
      </c>
      <c r="H47" s="32"/>
      <c r="I47" s="3">
        <f>IF(OR(B47="",ISBLANK(B47),B47=0),0,IF(MOD(B47,2)=1,1,2))</f>
        <v>1</v>
      </c>
      <c r="J47" s="3">
        <f>IF(OR(C47="",ISBLANK(C47),C47=0),0,IF(MOD(C47,2)=1,1,2))</f>
        <v>1</v>
      </c>
      <c r="K47" s="3">
        <f>IF(OR(D47="",ISBLANK(D47),D47=0),0,IF(MOD(D47,2)=1,1,2))</f>
        <v>2</v>
      </c>
      <c r="L47" s="3">
        <f>IF(OR(E47="",ISBLANK(E47),E47=0),0,IF(MOD(E47,2)=1,1,2))</f>
        <v>2</v>
      </c>
      <c r="M47" s="3">
        <f>IF(OR(F47="",ISBLANK(F47),F47=0),0,IF(MOD(F47,2)=1,1,2))</f>
        <v>2</v>
      </c>
      <c r="N47" s="3">
        <f>IF(OR(G47="",ISBLANK(G47),G47=0),0,IF(MOD(G47,2)=1,1,2))</f>
        <v>1</v>
      </c>
      <c r="O47" s="32"/>
      <c r="P47" s="3" cm="1">
        <f t="array" ref="P47">SUMPRODUCT(--(MOD(B47:G47,2)=1))</f>
        <v>3</v>
      </c>
      <c r="Q47" s="3">
        <f>6-P47</f>
        <v>3</v>
      </c>
      <c r="R47" s="34"/>
      <c r="S47" s="3">
        <f>COUNTIFS(B47:G47,"&gt;=1",B47:G47,"&lt;=23")</f>
        <v>4</v>
      </c>
      <c r="T47" s="3">
        <f>6-S47</f>
        <v>2</v>
      </c>
      <c r="U47" s="34"/>
      <c r="V47" s="3" cm="1">
        <f t="array" ref="V47">SUMPRODUCT(--(MOD(B47:G47,10)&gt;=1), --(MOD(B47:G47,10)&lt;=5))</f>
        <v>3</v>
      </c>
      <c r="W47" s="3">
        <f>6-V47</f>
        <v>3</v>
      </c>
      <c r="X47" s="34"/>
      <c r="Y47" s="3" cm="1">
        <f t="array" ref="Y47">IFERROR(COUNT(_xlfn._xlws.FILTER(B47:G47, ISNUMBER(MATCH(B47:G47, {2,3,5,7,11,13,17,19,23,29,31,37,41,43}, 0)))), 0)</f>
        <v>1</v>
      </c>
      <c r="Z47" s="3" cm="1">
        <f t="array" ref="Z47">IFERROR(COUNT(_xlfn._xlws.FILTER(B47:G47, ISNUMBER(MATCH(B47:G47, {1,4,8,10,14,16,20,22,25,26,28,32,34,35,38,40,44}, 0)))), 0)</f>
        <v>4</v>
      </c>
      <c r="AA47" s="3" cm="1">
        <f t="array" ref="AA47">IFERROR(COUNT(_xlfn._xlws.FILTER(B47:G47, ISNUMBER(MATCH(B47:G47, {6,9,12,15,18,21,24,27,30,33,36,39,42,45}, 0)))), 0)</f>
        <v>1</v>
      </c>
      <c r="AB47" s="30"/>
      <c r="AC47" s="26" t="str" cm="1">
        <f t="array" ref="AC47">_xlfn.IFS(
   OR(B47="",ISBLANK(B47),B47=0),0,
   ISNUMBER(MATCH(B47,{2,3,5,7,11,13,17,19,23,29,31,37,41,43},0)),"소",
   AND(ISNUMBER(B47),MOD(B47,3)=0),"배",
   AND(ISNUMBER(B47),B47&gt;0),"자"
)</f>
        <v>자</v>
      </c>
      <c r="AD47" s="26" t="str" cm="1">
        <f t="array" ref="AD47">_xlfn.IFS(
   OR(C47="",ISBLANK(C47),C47=0),0,
   ISNUMBER(MATCH(C47,{2,3,5,7,11,13,17,19,23,29,31,37,41,43},0)),"소",
   AND(ISNUMBER(C47),MOD(C47,3)=0),"배",
   AND(ISNUMBER(C47),C47&gt;0),"자"
)</f>
        <v>소</v>
      </c>
      <c r="AE47" s="26" t="str" cm="1">
        <f t="array" ref="AE47">_xlfn.IFS(
   OR(D47="",ISBLANK(D47),D47=0),0,
   ISNUMBER(MATCH(D47,{2,3,5,7,11,13,17,19,23,29,31,37,41,43},0)),"소",
   AND(ISNUMBER(D47),MOD(D47,3)=0),"배",
   AND(ISNUMBER(D47),D47&gt;0),"자"
)</f>
        <v>자</v>
      </c>
      <c r="AF47" s="26" t="str" cm="1">
        <f t="array" ref="AF47">_xlfn.IFS(
   OR(E47="",ISBLANK(E47),E47=0),0,
   ISNUMBER(MATCH(E47,{2,3,5,7,11,13,17,19,23,29,31,37,41,43},0)),"소",
   AND(ISNUMBER(E47),MOD(E47,3)=0),"배",
   AND(ISNUMBER(E47),E47&gt;0),"자"
)</f>
        <v>자</v>
      </c>
      <c r="AG47" s="26" t="str" cm="1">
        <f t="array" ref="AG47">_xlfn.IFS(
   OR(F47="",ISBLANK(F47),F47=0),0,
   ISNUMBER(MATCH(F47,{2,3,5,7,11,13,17,19,23,29,31,37,41,43},0)),"소",
   AND(ISNUMBER(F47),MOD(F47,3)=0),"배",
   AND(ISNUMBER(F47),F47&gt;0),"자"
)</f>
        <v>자</v>
      </c>
      <c r="AH47" s="26" t="str" cm="1">
        <f t="array" ref="AH47">_xlfn.IFS(
   OR(G47="",ISBLANK(G47),G47=0),0,
   ISNUMBER(MATCH(G47,{2,3,5,7,11,13,17,19,23,29,31,37,41,43},0)),"소",
   AND(ISNUMBER(G47),MOD(G47,3)=0),"배",
   AND(ISNUMBER(G47),G47&gt;0),"자"
)</f>
        <v>배</v>
      </c>
      <c r="AI47" s="30"/>
      <c r="AJ47" s="3">
        <f>COUNTIFS(B47:G47,"&gt;=1",B47:G47,"&lt;=14")</f>
        <v>3</v>
      </c>
      <c r="AK47" s="3">
        <f>COUNTIFS(B47:G47,"&gt;=15",B47:G47,"&lt;=31")</f>
        <v>2</v>
      </c>
      <c r="AL47" s="3">
        <f>6-AK47-AJ47</f>
        <v>1</v>
      </c>
      <c r="AM47" s="33"/>
      <c r="AN47" s="3">
        <f>COUNTIFS($B47:$G47, "&gt;=1",$B47:$G47, "&lt;=9")</f>
        <v>3</v>
      </c>
      <c r="AO47" s="3">
        <f>COUNTIFS($B47:$G47, "&gt;=10",$B47:$G47, "&lt;=18")</f>
        <v>1</v>
      </c>
      <c r="AP47" s="3">
        <f>COUNTIFS($B47:$G47, "&gt;=19",$B47:$G47, "&lt;=27")</f>
        <v>0</v>
      </c>
      <c r="AQ47" s="3">
        <f>COUNTIFS($B47:$G47, "&gt;=28",$B47:$G47, "&lt;=36")</f>
        <v>2</v>
      </c>
      <c r="AR47" s="3">
        <f>COUNTIFS($B47:$G47, "&gt;=37",$B47:$G47, "&lt;=45")</f>
        <v>0</v>
      </c>
      <c r="AS47" s="28" t="e">
        <f>#REF!</f>
        <v>#REF!</v>
      </c>
      <c r="AT47" s="28" t="e">
        <f>#REF!*2</f>
        <v>#REF!</v>
      </c>
      <c r="AU47" s="28" t="e">
        <f>#REF!</f>
        <v>#REF!</v>
      </c>
      <c r="AV47" s="28" t="e">
        <f>#REF!*2</f>
        <v>#REF!</v>
      </c>
      <c r="AW47" s="28" t="e">
        <f>#REF!</f>
        <v>#REF!</v>
      </c>
      <c r="AX47" s="28" t="e">
        <f>#REF!*2</f>
        <v>#REF!</v>
      </c>
      <c r="AY47" s="28" t="e">
        <f>#REF!</f>
        <v>#REF!</v>
      </c>
      <c r="AZ47" s="28" t="e">
        <f>#REF!*2</f>
        <v>#REF!</v>
      </c>
      <c r="BA47" s="28" t="e">
        <f>#REF!</f>
        <v>#REF!</v>
      </c>
      <c r="BB47" s="28" t="e">
        <f>#REF!*2</f>
        <v>#REF!</v>
      </c>
      <c r="BC47" s="28" t="e">
        <f>#REF!</f>
        <v>#REF!</v>
      </c>
      <c r="BD47" s="28" t="e">
        <f>#REF!*2</f>
        <v>#REF!</v>
      </c>
      <c r="BE47" s="9" t="e">
        <f>#REF!-#REF!</f>
        <v>#REF!</v>
      </c>
      <c r="BF47" s="9" t="e">
        <f>#REF!-#REF!</f>
        <v>#REF!</v>
      </c>
      <c r="BG47" s="9" t="e">
        <f>#REF!-#REF!</f>
        <v>#REF!</v>
      </c>
      <c r="BH47" s="9" t="e">
        <f>#REF!-#REF!</f>
        <v>#REF!</v>
      </c>
      <c r="BI47" s="9" t="e">
        <f>#REF!-#REF!</f>
        <v>#REF!</v>
      </c>
      <c r="BJ47" s="33"/>
      <c r="BK47" s="3">
        <f>COUNTIFS(B47:G47, "&gt;=1", B47:G47, "&lt;=9")</f>
        <v>3</v>
      </c>
      <c r="BL47" s="3">
        <f>COUNTIFS(B47:G47, "&gt;=10", B47:G47, "&lt;=19")</f>
        <v>1</v>
      </c>
      <c r="BM47" s="3">
        <f>COUNTIFS(B47:G47, "&gt;=20", B47:G47, "&lt;=29")</f>
        <v>1</v>
      </c>
      <c r="BN47" s="3">
        <f>COUNTIFS(B47:G47, "&gt;=30", B47:G47, "&lt;=39")</f>
        <v>1</v>
      </c>
      <c r="BO47" s="3">
        <f>COUNTIFS(B47:G47, "&gt;=40", B47:G47, "&lt;=45")</f>
        <v>0</v>
      </c>
      <c r="BP47" s="28" t="e">
        <f>#REF!</f>
        <v>#REF!</v>
      </c>
      <c r="BQ47" s="28" t="e">
        <f>#REF!*2</f>
        <v>#REF!</v>
      </c>
      <c r="BR47" s="28" t="e">
        <f>#REF!</f>
        <v>#REF!</v>
      </c>
      <c r="BS47" s="28" t="e">
        <f>#REF!*2</f>
        <v>#REF!</v>
      </c>
      <c r="BT47" s="28" t="e">
        <f>#REF!</f>
        <v>#REF!</v>
      </c>
      <c r="BU47" s="28" t="e">
        <f>#REF!*2</f>
        <v>#REF!</v>
      </c>
      <c r="BV47" s="28" t="e">
        <f>#REF!</f>
        <v>#REF!</v>
      </c>
      <c r="BW47" s="28" t="e">
        <f>#REF!*2</f>
        <v>#REF!</v>
      </c>
      <c r="BX47" s="28" t="e">
        <f>#REF!</f>
        <v>#REF!</v>
      </c>
      <c r="BY47" s="28" t="e">
        <f>#REF!*2</f>
        <v>#REF!</v>
      </c>
      <c r="BZ47" s="28" t="e">
        <f>#REF!</f>
        <v>#REF!</v>
      </c>
      <c r="CA47" s="28" t="e">
        <f>#REF!*2</f>
        <v>#REF!</v>
      </c>
      <c r="CB47" s="9">
        <f>C47-B47</f>
        <v>4</v>
      </c>
      <c r="CC47" s="9">
        <f>D47-C47</f>
        <v>3</v>
      </c>
      <c r="CD47" s="9">
        <f>E47-D47</f>
        <v>8</v>
      </c>
      <c r="CE47" s="9">
        <f>F47-E47</f>
        <v>12</v>
      </c>
      <c r="CF47" s="9">
        <f>G47-F47</f>
        <v>5</v>
      </c>
      <c r="CG47" s="33"/>
      <c r="CH47" s="9">
        <f>C47-B47</f>
        <v>4</v>
      </c>
      <c r="CI47" s="9">
        <f>D47-C47</f>
        <v>3</v>
      </c>
      <c r="CJ47" s="9">
        <f>E47-D47</f>
        <v>8</v>
      </c>
      <c r="CK47" s="9">
        <f>F47-E47</f>
        <v>12</v>
      </c>
      <c r="CL47" s="9">
        <f>G47-F47</f>
        <v>5</v>
      </c>
      <c r="CM47" s="32"/>
      <c r="CN47" s="3">
        <f>IF(OR(CH47="",ISBLANK(CH47),CH47=0),0,IF(MOD(CH47,2)=1,1,2))</f>
        <v>2</v>
      </c>
      <c r="CO47" s="3">
        <f>IF(OR(CI47="",ISBLANK(CI47),CI47=0),0,IF(MOD(CI47,2)=1,1,2))</f>
        <v>1</v>
      </c>
      <c r="CP47" s="3">
        <f>IF(OR(CJ47="",ISBLANK(CJ47),CJ47=0),0,IF(MOD(CJ47,2)=1,1,2))</f>
        <v>2</v>
      </c>
      <c r="CQ47" s="3">
        <f>IF(OR(CK47="",ISBLANK(CK47),CK47=0),0,IF(MOD(CK47,2)=1,1,2))</f>
        <v>2</v>
      </c>
      <c r="CR47" s="3">
        <f>IF(OR(CL47="",ISBLANK(CL47),CL47=0),0,IF(MOD(CL47,2)=1,1,2))</f>
        <v>1</v>
      </c>
      <c r="CS47" s="31"/>
      <c r="CT47" s="3" cm="1">
        <f t="array" ref="CT47">SUMPRODUCT(--(MOD(CH47:CL47,2)=1))</f>
        <v>2</v>
      </c>
      <c r="CU47" s="3">
        <f>5-CT47</f>
        <v>3</v>
      </c>
      <c r="CV47" s="30"/>
      <c r="CW47" s="3" cm="1">
        <f t="array" ref="CW47">SUMPRODUCT(--(MOD(CH47:CL47,10)&gt;=1), --(MOD(CH47:CL47,10)&lt;=5))</f>
        <v>4</v>
      </c>
      <c r="CX47" s="3">
        <f>5-CW47</f>
        <v>1</v>
      </c>
      <c r="CY47" s="30"/>
      <c r="CZ47" s="3" cm="1">
        <f t="array" ref="CZ47">IFERROR(COUNT(_xlfn._xlws.FILTER(CH47:CL47, ISNUMBER(MATCH(CH47:CL47, {2,3,5,7,11,13,17,19,23,29,31,37,41,43}, 0)))), 0)</f>
        <v>2</v>
      </c>
      <c r="DA47" s="3" cm="1">
        <f t="array" ref="DA47">IFERROR(COUNT(_xlfn._xlws.FILTER(CH47:CL47, ISNUMBER(MATCH(CH47:CL47, {1,4,8,10,14,16,20,22,25,26,28,32,34,35,38,40,44}, 0)))), 0)</f>
        <v>2</v>
      </c>
      <c r="DB47" s="3" cm="1">
        <f t="array" ref="DB47">IFERROR(COUNT(_xlfn._xlws.FILTER(CH47:CL47, ISNUMBER(MATCH(CH47:CL47, {6,9,12,15,18,21,24,27,30,33,36,39,42,45}, 0)))), 0)</f>
        <v>1</v>
      </c>
      <c r="DC47" s="29"/>
      <c r="DD47" s="28" t="e">
        <f>#REF!</f>
        <v>#REF!</v>
      </c>
      <c r="DE47" s="28" t="e">
        <f>#REF!*2</f>
        <v>#REF!</v>
      </c>
      <c r="DF47" s="28" t="e">
        <f>#REF!</f>
        <v>#REF!</v>
      </c>
      <c r="DG47" s="28" t="e">
        <f>#REF!*2</f>
        <v>#REF!</v>
      </c>
      <c r="DH47" s="28" t="e">
        <f>#REF!</f>
        <v>#REF!</v>
      </c>
      <c r="DI47" s="28" t="e">
        <f>#REF!*2</f>
        <v>#REF!</v>
      </c>
      <c r="DJ47" s="28" t="e">
        <f>#REF!</f>
        <v>#REF!</v>
      </c>
      <c r="DK47" s="28" t="e">
        <f>#REF!*2</f>
        <v>#REF!</v>
      </c>
      <c r="DL47" s="28" t="e">
        <f>#REF!</f>
        <v>#REF!</v>
      </c>
      <c r="DM47" s="28" t="e">
        <f>#REF!*2</f>
        <v>#REF!</v>
      </c>
      <c r="DN47" s="27"/>
      <c r="DO47" s="26" t="str" cm="1">
        <f t="array" ref="DO47">_xlfn.IFS(
   OR(CH47="",ISBLANK(CH47),CH47=0),0,
   ISNUMBER(MATCH(CH47,{2,3,5,7,11,13,17,19,23,29,31,37,41,43},0)),"소",
   AND(ISNUMBER(CH47),MOD(CH47,3)=0),"배",
   AND(ISNUMBER(CH47),CH47&gt;0),"자"
)</f>
        <v>자</v>
      </c>
      <c r="DP47" s="26" t="str" cm="1">
        <f t="array" ref="DP47">_xlfn.IFS(
   OR(CI47="",ISBLANK(CI47),CI47=0),0,
   ISNUMBER(MATCH(CI47,{2,3,5,7,11,13,17,19,23,29,31,37,41,43},0)),"소",
   AND(ISNUMBER(CI47),MOD(CI47,3)=0),"배",
   AND(ISNUMBER(CI47),CI47&gt;0),"자"
)</f>
        <v>소</v>
      </c>
      <c r="DQ47" s="26" t="str" cm="1">
        <f t="array" ref="DQ47">_xlfn.IFS(
   OR(CJ47="",ISBLANK(CJ47),CJ47=0),0,
   ISNUMBER(MATCH(CJ47,{2,3,5,7,11,13,17,19,23,29,31,37,41,43},0)),"소",
   AND(ISNUMBER(CJ47),MOD(CJ47,3)=0),"배",
   AND(ISNUMBER(CJ47),CJ47&gt;0),"자"
)</f>
        <v>자</v>
      </c>
      <c r="DR47" s="26" t="str" cm="1">
        <f t="array" ref="DR47">_xlfn.IFS(
   OR(CK47="",ISBLANK(CK47),CK47=0),0,
   ISNUMBER(MATCH(CK47,{2,3,5,7,11,13,17,19,23,29,31,37,41,43},0)),"소",
   AND(ISNUMBER(CK47),MOD(CK47,3)=0),"배",
   AND(ISNUMBER(CK47),CK47&gt;0),"자"
)</f>
        <v>배</v>
      </c>
      <c r="DS47" s="26" t="str" cm="1">
        <f t="array" ref="DS47">_xlfn.IFS(
   OR(CL47="",ISBLANK(CL47),CL47=0),0,
   ISNUMBER(MATCH(CL47,{2,3,5,7,11,13,17,19,23,29,31,37,41,43},0)),"소",
   AND(ISNUMBER(CL47),MOD(CL47,3)=0),"배",
   AND(ISNUMBER(CL47),CL47&gt;0),"자"
)</f>
        <v>소</v>
      </c>
      <c r="DT47" s="25"/>
    </row>
    <row r="48" spans="2:124" x14ac:dyDescent="0.3">
      <c r="B48" s="3">
        <v>5</v>
      </c>
      <c r="C48" s="3">
        <v>10</v>
      </c>
      <c r="D48" s="3">
        <v>11</v>
      </c>
      <c r="E48" s="3">
        <v>17</v>
      </c>
      <c r="F48" s="3">
        <v>28</v>
      </c>
      <c r="G48" s="3">
        <v>34</v>
      </c>
      <c r="H48" s="32"/>
      <c r="I48" s="3">
        <f>IF(OR(B48="",ISBLANK(B48),B48=0),0,IF(MOD(B48,2)=1,1,2))</f>
        <v>1</v>
      </c>
      <c r="J48" s="3">
        <f>IF(OR(C48="",ISBLANK(C48),C48=0),0,IF(MOD(C48,2)=1,1,2))</f>
        <v>2</v>
      </c>
      <c r="K48" s="3">
        <f>IF(OR(D48="",ISBLANK(D48),D48=0),0,IF(MOD(D48,2)=1,1,2))</f>
        <v>1</v>
      </c>
      <c r="L48" s="3">
        <f>IF(OR(E48="",ISBLANK(E48),E48=0),0,IF(MOD(E48,2)=1,1,2))</f>
        <v>1</v>
      </c>
      <c r="M48" s="3">
        <f>IF(OR(F48="",ISBLANK(F48),F48=0),0,IF(MOD(F48,2)=1,1,2))</f>
        <v>2</v>
      </c>
      <c r="N48" s="3">
        <f>IF(OR(G48="",ISBLANK(G48),G48=0),0,IF(MOD(G48,2)=1,1,2))</f>
        <v>2</v>
      </c>
      <c r="O48" s="32"/>
      <c r="P48" s="3" cm="1">
        <f t="array" ref="P48">SUMPRODUCT(--(MOD(B48:G48,2)=1))</f>
        <v>3</v>
      </c>
      <c r="Q48" s="3">
        <f>6-P48</f>
        <v>3</v>
      </c>
      <c r="R48" s="34"/>
      <c r="S48" s="3">
        <f>COUNTIFS(B48:G48,"&gt;=1",B48:G48,"&lt;=23")</f>
        <v>4</v>
      </c>
      <c r="T48" s="3">
        <f>6-S48</f>
        <v>2</v>
      </c>
      <c r="U48" s="34"/>
      <c r="V48" s="3" cm="1">
        <f t="array" ref="V48">SUMPRODUCT(--(MOD(B48:G48,10)&gt;=1), --(MOD(B48:G48,10)&lt;=5))</f>
        <v>3</v>
      </c>
      <c r="W48" s="3">
        <f>6-V48</f>
        <v>3</v>
      </c>
      <c r="X48" s="34"/>
      <c r="Y48" s="3" cm="1">
        <f t="array" ref="Y48">IFERROR(COUNT(_xlfn._xlws.FILTER(B48:G48, ISNUMBER(MATCH(B48:G48, {2,3,5,7,11,13,17,19,23,29,31,37,41,43}, 0)))), 0)</f>
        <v>3</v>
      </c>
      <c r="Z48" s="3" cm="1">
        <f t="array" ref="Z48">IFERROR(COUNT(_xlfn._xlws.FILTER(B48:G48, ISNUMBER(MATCH(B48:G48, {1,4,8,10,14,16,20,22,25,26,28,32,34,35,38,40,44}, 0)))), 0)</f>
        <v>3</v>
      </c>
      <c r="AA48" s="3" cm="1">
        <f t="array" ref="AA48">IFERROR(COUNT(_xlfn._xlws.FILTER(B48:G48, ISNUMBER(MATCH(B48:G48, {6,9,12,15,18,21,24,27,30,33,36,39,42,45}, 0)))), 0)</f>
        <v>0</v>
      </c>
      <c r="AB48" s="30"/>
      <c r="AC48" s="26" t="str" cm="1">
        <f t="array" ref="AC48">_xlfn.IFS(
   OR(B48="",ISBLANK(B48),B48=0),0,
   ISNUMBER(MATCH(B48,{2,3,5,7,11,13,17,19,23,29,31,37,41,43},0)),"소",
   AND(ISNUMBER(B48),MOD(B48,3)=0),"배",
   AND(ISNUMBER(B48),B48&gt;0),"자"
)</f>
        <v>소</v>
      </c>
      <c r="AD48" s="26" t="str" cm="1">
        <f t="array" ref="AD48">_xlfn.IFS(
   OR(C48="",ISBLANK(C48),C48=0),0,
   ISNUMBER(MATCH(C48,{2,3,5,7,11,13,17,19,23,29,31,37,41,43},0)),"소",
   AND(ISNUMBER(C48),MOD(C48,3)=0),"배",
   AND(ISNUMBER(C48),C48&gt;0),"자"
)</f>
        <v>자</v>
      </c>
      <c r="AE48" s="26" t="str" cm="1">
        <f t="array" ref="AE48">_xlfn.IFS(
   OR(D48="",ISBLANK(D48),D48=0),0,
   ISNUMBER(MATCH(D48,{2,3,5,7,11,13,17,19,23,29,31,37,41,43},0)),"소",
   AND(ISNUMBER(D48),MOD(D48,3)=0),"배",
   AND(ISNUMBER(D48),D48&gt;0),"자"
)</f>
        <v>소</v>
      </c>
      <c r="AF48" s="26" t="str" cm="1">
        <f t="array" ref="AF48">_xlfn.IFS(
   OR(E48="",ISBLANK(E48),E48=0),0,
   ISNUMBER(MATCH(E48,{2,3,5,7,11,13,17,19,23,29,31,37,41,43},0)),"소",
   AND(ISNUMBER(E48),MOD(E48,3)=0),"배",
   AND(ISNUMBER(E48),E48&gt;0),"자"
)</f>
        <v>소</v>
      </c>
      <c r="AG48" s="26" t="str" cm="1">
        <f t="array" ref="AG48">_xlfn.IFS(
   OR(F48="",ISBLANK(F48),F48=0),0,
   ISNUMBER(MATCH(F48,{2,3,5,7,11,13,17,19,23,29,31,37,41,43},0)),"소",
   AND(ISNUMBER(F48),MOD(F48,3)=0),"배",
   AND(ISNUMBER(F48),F48&gt;0),"자"
)</f>
        <v>자</v>
      </c>
      <c r="AH48" s="26" t="str" cm="1">
        <f t="array" ref="AH48">_xlfn.IFS(
   OR(G48="",ISBLANK(G48),G48=0),0,
   ISNUMBER(MATCH(G48,{2,3,5,7,11,13,17,19,23,29,31,37,41,43},0)),"소",
   AND(ISNUMBER(G48),MOD(G48,3)=0),"배",
   AND(ISNUMBER(G48),G48&gt;0),"자"
)</f>
        <v>자</v>
      </c>
      <c r="AI48" s="30"/>
      <c r="AJ48" s="3">
        <f>COUNTIFS(B48:G48,"&gt;=1",B48:G48,"&lt;=14")</f>
        <v>3</v>
      </c>
      <c r="AK48" s="3">
        <f>COUNTIFS(B48:G48,"&gt;=15",B48:G48,"&lt;=31")</f>
        <v>2</v>
      </c>
      <c r="AL48" s="3">
        <f>6-AK48-AJ48</f>
        <v>1</v>
      </c>
      <c r="AM48" s="33"/>
      <c r="AN48" s="3">
        <f>COUNTIFS($B48:$G48, "&gt;=1",$B48:$G48, "&lt;=9")</f>
        <v>1</v>
      </c>
      <c r="AO48" s="3">
        <f>COUNTIFS($B48:$G48, "&gt;=10",$B48:$G48, "&lt;=18")</f>
        <v>3</v>
      </c>
      <c r="AP48" s="3">
        <f>COUNTIFS($B48:$G48, "&gt;=19",$B48:$G48, "&lt;=27")</f>
        <v>0</v>
      </c>
      <c r="AQ48" s="3">
        <f>COUNTIFS($B48:$G48, "&gt;=28",$B48:$G48, "&lt;=36")</f>
        <v>2</v>
      </c>
      <c r="AR48" s="3">
        <f>COUNTIFS($B48:$G48, "&gt;=37",$B48:$G48, "&lt;=45")</f>
        <v>0</v>
      </c>
      <c r="AS48" s="28" t="e">
        <f>#REF!</f>
        <v>#REF!</v>
      </c>
      <c r="AT48" s="28" t="e">
        <f>#REF!*2</f>
        <v>#REF!</v>
      </c>
      <c r="AU48" s="28" t="e">
        <f>#REF!</f>
        <v>#REF!</v>
      </c>
      <c r="AV48" s="28" t="e">
        <f>#REF!*2</f>
        <v>#REF!</v>
      </c>
      <c r="AW48" s="28" t="e">
        <f>#REF!</f>
        <v>#REF!</v>
      </c>
      <c r="AX48" s="28" t="e">
        <f>#REF!*2</f>
        <v>#REF!</v>
      </c>
      <c r="AY48" s="28" t="e">
        <f>#REF!</f>
        <v>#REF!</v>
      </c>
      <c r="AZ48" s="28" t="e">
        <f>#REF!*2</f>
        <v>#REF!</v>
      </c>
      <c r="BA48" s="28" t="e">
        <f>#REF!</f>
        <v>#REF!</v>
      </c>
      <c r="BB48" s="28" t="e">
        <f>#REF!*2</f>
        <v>#REF!</v>
      </c>
      <c r="BC48" s="28" t="e">
        <f>#REF!</f>
        <v>#REF!</v>
      </c>
      <c r="BD48" s="28" t="e">
        <f>#REF!*2</f>
        <v>#REF!</v>
      </c>
      <c r="BE48" s="9" t="e">
        <f>#REF!-#REF!</f>
        <v>#REF!</v>
      </c>
      <c r="BF48" s="9" t="e">
        <f>#REF!-#REF!</f>
        <v>#REF!</v>
      </c>
      <c r="BG48" s="9" t="e">
        <f>#REF!-#REF!</f>
        <v>#REF!</v>
      </c>
      <c r="BH48" s="9" t="e">
        <f>#REF!-#REF!</f>
        <v>#REF!</v>
      </c>
      <c r="BI48" s="9" t="e">
        <f>#REF!-#REF!</f>
        <v>#REF!</v>
      </c>
      <c r="BJ48" s="33"/>
      <c r="BK48" s="3">
        <f>COUNTIFS(B48:G48, "&gt;=1", B48:G48, "&lt;=9")</f>
        <v>1</v>
      </c>
      <c r="BL48" s="3">
        <f>COUNTIFS(B48:G48, "&gt;=10", B48:G48, "&lt;=19")</f>
        <v>3</v>
      </c>
      <c r="BM48" s="3">
        <f>COUNTIFS(B48:G48, "&gt;=20", B48:G48, "&lt;=29")</f>
        <v>1</v>
      </c>
      <c r="BN48" s="3">
        <f>COUNTIFS(B48:G48, "&gt;=30", B48:G48, "&lt;=39")</f>
        <v>1</v>
      </c>
      <c r="BO48" s="3">
        <f>COUNTIFS(B48:G48, "&gt;=40", B48:G48, "&lt;=45")</f>
        <v>0</v>
      </c>
      <c r="BP48" s="28" t="e">
        <f>#REF!</f>
        <v>#REF!</v>
      </c>
      <c r="BQ48" s="28" t="e">
        <f>#REF!*2</f>
        <v>#REF!</v>
      </c>
      <c r="BR48" s="28" t="e">
        <f>#REF!</f>
        <v>#REF!</v>
      </c>
      <c r="BS48" s="28" t="e">
        <f>#REF!*2</f>
        <v>#REF!</v>
      </c>
      <c r="BT48" s="28" t="e">
        <f>#REF!</f>
        <v>#REF!</v>
      </c>
      <c r="BU48" s="28" t="e">
        <f>#REF!*2</f>
        <v>#REF!</v>
      </c>
      <c r="BV48" s="28" t="e">
        <f>#REF!</f>
        <v>#REF!</v>
      </c>
      <c r="BW48" s="28" t="e">
        <f>#REF!*2</f>
        <v>#REF!</v>
      </c>
      <c r="BX48" s="28" t="e">
        <f>#REF!</f>
        <v>#REF!</v>
      </c>
      <c r="BY48" s="28" t="e">
        <f>#REF!*2</f>
        <v>#REF!</v>
      </c>
      <c r="BZ48" s="28" t="e">
        <f>#REF!</f>
        <v>#REF!</v>
      </c>
      <c r="CA48" s="28" t="e">
        <f>#REF!*2</f>
        <v>#REF!</v>
      </c>
      <c r="CB48" s="9">
        <f>C48-B48</f>
        <v>5</v>
      </c>
      <c r="CC48" s="9">
        <f>D48-C48</f>
        <v>1</v>
      </c>
      <c r="CD48" s="9">
        <f>E48-D48</f>
        <v>6</v>
      </c>
      <c r="CE48" s="9">
        <f>F48-E48</f>
        <v>11</v>
      </c>
      <c r="CF48" s="9">
        <f>G48-F48</f>
        <v>6</v>
      </c>
      <c r="CG48" s="33"/>
      <c r="CH48" s="9">
        <f>C48-B48</f>
        <v>5</v>
      </c>
      <c r="CI48" s="9">
        <f>D48-C48</f>
        <v>1</v>
      </c>
      <c r="CJ48" s="9">
        <f>E48-D48</f>
        <v>6</v>
      </c>
      <c r="CK48" s="9">
        <f>F48-E48</f>
        <v>11</v>
      </c>
      <c r="CL48" s="9">
        <f>G48-F48</f>
        <v>6</v>
      </c>
      <c r="CM48" s="32"/>
      <c r="CN48" s="3">
        <f>IF(OR(CH48="",ISBLANK(CH48),CH48=0),0,IF(MOD(CH48,2)=1,1,2))</f>
        <v>1</v>
      </c>
      <c r="CO48" s="3">
        <f>IF(OR(CI48="",ISBLANK(CI48),CI48=0),0,IF(MOD(CI48,2)=1,1,2))</f>
        <v>1</v>
      </c>
      <c r="CP48" s="3">
        <f>IF(OR(CJ48="",ISBLANK(CJ48),CJ48=0),0,IF(MOD(CJ48,2)=1,1,2))</f>
        <v>2</v>
      </c>
      <c r="CQ48" s="3">
        <f>IF(OR(CK48="",ISBLANK(CK48),CK48=0),0,IF(MOD(CK48,2)=1,1,2))</f>
        <v>1</v>
      </c>
      <c r="CR48" s="3">
        <f>IF(OR(CL48="",ISBLANK(CL48),CL48=0),0,IF(MOD(CL48,2)=1,1,2))</f>
        <v>2</v>
      </c>
      <c r="CS48" s="31"/>
      <c r="CT48" s="3" cm="1">
        <f t="array" ref="CT48">SUMPRODUCT(--(MOD(CH48:CL48,2)=1))</f>
        <v>3</v>
      </c>
      <c r="CU48" s="3">
        <f>5-CT48</f>
        <v>2</v>
      </c>
      <c r="CV48" s="30"/>
      <c r="CW48" s="3" cm="1">
        <f t="array" ref="CW48">SUMPRODUCT(--(MOD(CH48:CL48,10)&gt;=1), --(MOD(CH48:CL48,10)&lt;=5))</f>
        <v>3</v>
      </c>
      <c r="CX48" s="3">
        <f>5-CW48</f>
        <v>2</v>
      </c>
      <c r="CY48" s="30"/>
      <c r="CZ48" s="3" cm="1">
        <f t="array" ref="CZ48">IFERROR(COUNT(_xlfn._xlws.FILTER(CH48:CL48, ISNUMBER(MATCH(CH48:CL48, {2,3,5,7,11,13,17,19,23,29,31,37,41,43}, 0)))), 0)</f>
        <v>2</v>
      </c>
      <c r="DA48" s="3" cm="1">
        <f t="array" ref="DA48">IFERROR(COUNT(_xlfn._xlws.FILTER(CH48:CL48, ISNUMBER(MATCH(CH48:CL48, {1,4,8,10,14,16,20,22,25,26,28,32,34,35,38,40,44}, 0)))), 0)</f>
        <v>1</v>
      </c>
      <c r="DB48" s="3" cm="1">
        <f t="array" ref="DB48">IFERROR(COUNT(_xlfn._xlws.FILTER(CH48:CL48, ISNUMBER(MATCH(CH48:CL48, {6,9,12,15,18,21,24,27,30,33,36,39,42,45}, 0)))), 0)</f>
        <v>2</v>
      </c>
      <c r="DC48" s="29"/>
      <c r="DD48" s="28" t="e">
        <f>#REF!</f>
        <v>#REF!</v>
      </c>
      <c r="DE48" s="28" t="e">
        <f>#REF!*2</f>
        <v>#REF!</v>
      </c>
      <c r="DF48" s="28" t="e">
        <f>#REF!</f>
        <v>#REF!</v>
      </c>
      <c r="DG48" s="28" t="e">
        <f>#REF!*2</f>
        <v>#REF!</v>
      </c>
      <c r="DH48" s="28" t="e">
        <f>#REF!</f>
        <v>#REF!</v>
      </c>
      <c r="DI48" s="28" t="e">
        <f>#REF!*2</f>
        <v>#REF!</v>
      </c>
      <c r="DJ48" s="28" t="e">
        <f>#REF!</f>
        <v>#REF!</v>
      </c>
      <c r="DK48" s="28" t="e">
        <f>#REF!*2</f>
        <v>#REF!</v>
      </c>
      <c r="DL48" s="28" t="e">
        <f>#REF!</f>
        <v>#REF!</v>
      </c>
      <c r="DM48" s="28" t="e">
        <f>#REF!*2</f>
        <v>#REF!</v>
      </c>
      <c r="DN48" s="27"/>
      <c r="DO48" s="26" t="str" cm="1">
        <f t="array" ref="DO48">_xlfn.IFS(
   OR(CH48="",ISBLANK(CH48),CH48=0),0,
   ISNUMBER(MATCH(CH48,{2,3,5,7,11,13,17,19,23,29,31,37,41,43},0)),"소",
   AND(ISNUMBER(CH48),MOD(CH48,3)=0),"배",
   AND(ISNUMBER(CH48),CH48&gt;0),"자"
)</f>
        <v>소</v>
      </c>
      <c r="DP48" s="26" t="str" cm="1">
        <f t="array" ref="DP48">_xlfn.IFS(
   OR(CI48="",ISBLANK(CI48),CI48=0),0,
   ISNUMBER(MATCH(CI48,{2,3,5,7,11,13,17,19,23,29,31,37,41,43},0)),"소",
   AND(ISNUMBER(CI48),MOD(CI48,3)=0),"배",
   AND(ISNUMBER(CI48),CI48&gt;0),"자"
)</f>
        <v>자</v>
      </c>
      <c r="DQ48" s="26" t="str" cm="1">
        <f t="array" ref="DQ48">_xlfn.IFS(
   OR(CJ48="",ISBLANK(CJ48),CJ48=0),0,
   ISNUMBER(MATCH(CJ48,{2,3,5,7,11,13,17,19,23,29,31,37,41,43},0)),"소",
   AND(ISNUMBER(CJ48),MOD(CJ48,3)=0),"배",
   AND(ISNUMBER(CJ48),CJ48&gt;0),"자"
)</f>
        <v>배</v>
      </c>
      <c r="DR48" s="26" t="str" cm="1">
        <f t="array" ref="DR48">_xlfn.IFS(
   OR(CK48="",ISBLANK(CK48),CK48=0),0,
   ISNUMBER(MATCH(CK48,{2,3,5,7,11,13,17,19,23,29,31,37,41,43},0)),"소",
   AND(ISNUMBER(CK48),MOD(CK48,3)=0),"배",
   AND(ISNUMBER(CK48),CK48&gt;0),"자"
)</f>
        <v>소</v>
      </c>
      <c r="DS48" s="26" t="str" cm="1">
        <f t="array" ref="DS48">_xlfn.IFS(
   OR(CL48="",ISBLANK(CL48),CL48=0),0,
   ISNUMBER(MATCH(CL48,{2,3,5,7,11,13,17,19,23,29,31,37,41,43},0)),"소",
   AND(ISNUMBER(CL48),MOD(CL48,3)=0),"배",
   AND(ISNUMBER(CL48),CL48&gt;0),"자"
)</f>
        <v>배</v>
      </c>
      <c r="DT48" s="25"/>
    </row>
    <row r="49" spans="2:124" x14ac:dyDescent="0.3">
      <c r="B49" s="3">
        <v>15</v>
      </c>
      <c r="C49" s="3">
        <v>19</v>
      </c>
      <c r="D49" s="3">
        <v>21</v>
      </c>
      <c r="E49" s="3">
        <v>25</v>
      </c>
      <c r="F49" s="3">
        <v>27</v>
      </c>
      <c r="G49" s="3">
        <v>28</v>
      </c>
      <c r="H49" s="32"/>
      <c r="I49" s="3">
        <f>IF(OR(B49="",ISBLANK(B49),B49=0),0,IF(MOD(B49,2)=1,1,2))</f>
        <v>1</v>
      </c>
      <c r="J49" s="3">
        <f>IF(OR(C49="",ISBLANK(C49),C49=0),0,IF(MOD(C49,2)=1,1,2))</f>
        <v>1</v>
      </c>
      <c r="K49" s="3">
        <f>IF(OR(D49="",ISBLANK(D49),D49=0),0,IF(MOD(D49,2)=1,1,2))</f>
        <v>1</v>
      </c>
      <c r="L49" s="3">
        <f>IF(OR(E49="",ISBLANK(E49),E49=0),0,IF(MOD(E49,2)=1,1,2))</f>
        <v>1</v>
      </c>
      <c r="M49" s="3">
        <f>IF(OR(F49="",ISBLANK(F49),F49=0),0,IF(MOD(F49,2)=1,1,2))</f>
        <v>1</v>
      </c>
      <c r="N49" s="3">
        <f>IF(OR(G49="",ISBLANK(G49),G49=0),0,IF(MOD(G49,2)=1,1,2))</f>
        <v>2</v>
      </c>
      <c r="O49" s="32"/>
      <c r="P49" s="3" cm="1">
        <f t="array" ref="P49">SUMPRODUCT(--(MOD(B49:G49,2)=1))</f>
        <v>5</v>
      </c>
      <c r="Q49" s="3">
        <f>6-P49</f>
        <v>1</v>
      </c>
      <c r="R49" s="34"/>
      <c r="S49" s="3">
        <f>COUNTIFS(B49:G49,"&gt;=1",B49:G49,"&lt;=23")</f>
        <v>3</v>
      </c>
      <c r="T49" s="3">
        <f>6-S49</f>
        <v>3</v>
      </c>
      <c r="U49" s="34"/>
      <c r="V49" s="3" cm="1">
        <f t="array" ref="V49">SUMPRODUCT(--(MOD(B49:G49,10)&gt;=1), --(MOD(B49:G49,10)&lt;=5))</f>
        <v>3</v>
      </c>
      <c r="W49" s="3">
        <f>6-V49</f>
        <v>3</v>
      </c>
      <c r="X49" s="34"/>
      <c r="Y49" s="3" cm="1">
        <f t="array" ref="Y49">IFERROR(COUNT(_xlfn._xlws.FILTER(B49:G49, ISNUMBER(MATCH(B49:G49, {2,3,5,7,11,13,17,19,23,29,31,37,41,43}, 0)))), 0)</f>
        <v>1</v>
      </c>
      <c r="Z49" s="3" cm="1">
        <f t="array" ref="Z49">IFERROR(COUNT(_xlfn._xlws.FILTER(B49:G49, ISNUMBER(MATCH(B49:G49, {1,4,8,10,14,16,20,22,25,26,28,32,34,35,38,40,44}, 0)))), 0)</f>
        <v>2</v>
      </c>
      <c r="AA49" s="3" cm="1">
        <f t="array" ref="AA49">IFERROR(COUNT(_xlfn._xlws.FILTER(B49:G49, ISNUMBER(MATCH(B49:G49, {6,9,12,15,18,21,24,27,30,33,36,39,42,45}, 0)))), 0)</f>
        <v>3</v>
      </c>
      <c r="AB49" s="30"/>
      <c r="AC49" s="26" t="str" cm="1">
        <f t="array" ref="AC49">_xlfn.IFS(
   OR(B49="",ISBLANK(B49),B49=0),0,
   ISNUMBER(MATCH(B49,{2,3,5,7,11,13,17,19,23,29,31,37,41,43},0)),"소",
   AND(ISNUMBER(B49),MOD(B49,3)=0),"배",
   AND(ISNUMBER(B49),B49&gt;0),"자"
)</f>
        <v>배</v>
      </c>
      <c r="AD49" s="26" t="str" cm="1">
        <f t="array" ref="AD49">_xlfn.IFS(
   OR(C49="",ISBLANK(C49),C49=0),0,
   ISNUMBER(MATCH(C49,{2,3,5,7,11,13,17,19,23,29,31,37,41,43},0)),"소",
   AND(ISNUMBER(C49),MOD(C49,3)=0),"배",
   AND(ISNUMBER(C49),C49&gt;0),"자"
)</f>
        <v>소</v>
      </c>
      <c r="AE49" s="26" t="str" cm="1">
        <f t="array" ref="AE49">_xlfn.IFS(
   OR(D49="",ISBLANK(D49),D49=0),0,
   ISNUMBER(MATCH(D49,{2,3,5,7,11,13,17,19,23,29,31,37,41,43},0)),"소",
   AND(ISNUMBER(D49),MOD(D49,3)=0),"배",
   AND(ISNUMBER(D49),D49&gt;0),"자"
)</f>
        <v>배</v>
      </c>
      <c r="AF49" s="26" t="str" cm="1">
        <f t="array" ref="AF49">_xlfn.IFS(
   OR(E49="",ISBLANK(E49),E49=0),0,
   ISNUMBER(MATCH(E49,{2,3,5,7,11,13,17,19,23,29,31,37,41,43},0)),"소",
   AND(ISNUMBER(E49),MOD(E49,3)=0),"배",
   AND(ISNUMBER(E49),E49&gt;0),"자"
)</f>
        <v>자</v>
      </c>
      <c r="AG49" s="26" t="str" cm="1">
        <f t="array" ref="AG49">_xlfn.IFS(
   OR(F49="",ISBLANK(F49),F49=0),0,
   ISNUMBER(MATCH(F49,{2,3,5,7,11,13,17,19,23,29,31,37,41,43},0)),"소",
   AND(ISNUMBER(F49),MOD(F49,3)=0),"배",
   AND(ISNUMBER(F49),F49&gt;0),"자"
)</f>
        <v>배</v>
      </c>
      <c r="AH49" s="26" t="str" cm="1">
        <f t="array" ref="AH49">_xlfn.IFS(
   OR(G49="",ISBLANK(G49),G49=0),0,
   ISNUMBER(MATCH(G49,{2,3,5,7,11,13,17,19,23,29,31,37,41,43},0)),"소",
   AND(ISNUMBER(G49),MOD(G49,3)=0),"배",
   AND(ISNUMBER(G49),G49&gt;0),"자"
)</f>
        <v>자</v>
      </c>
      <c r="AI49" s="30"/>
      <c r="AJ49" s="3">
        <f>COUNTIFS(B49:G49,"&gt;=1",B49:G49,"&lt;=14")</f>
        <v>0</v>
      </c>
      <c r="AK49" s="3">
        <f>COUNTIFS(B49:G49,"&gt;=15",B49:G49,"&lt;=31")</f>
        <v>6</v>
      </c>
      <c r="AL49" s="3">
        <f>6-AK49-AJ49</f>
        <v>0</v>
      </c>
      <c r="AM49" s="33"/>
      <c r="AN49" s="3">
        <f>COUNTIFS($B49:$G49, "&gt;=1",$B49:$G49, "&lt;=9")</f>
        <v>0</v>
      </c>
      <c r="AO49" s="3">
        <f>COUNTIFS($B49:$G49, "&gt;=10",$B49:$G49, "&lt;=18")</f>
        <v>1</v>
      </c>
      <c r="AP49" s="3">
        <f>COUNTIFS($B49:$G49, "&gt;=19",$B49:$G49, "&lt;=27")</f>
        <v>4</v>
      </c>
      <c r="AQ49" s="3">
        <f>COUNTIFS($B49:$G49, "&gt;=28",$B49:$G49, "&lt;=36")</f>
        <v>1</v>
      </c>
      <c r="AR49" s="3">
        <f>COUNTIFS($B49:$G49, "&gt;=37",$B49:$G49, "&lt;=45")</f>
        <v>0</v>
      </c>
      <c r="AS49" s="28" t="e">
        <f>#REF!</f>
        <v>#REF!</v>
      </c>
      <c r="AT49" s="28" t="e">
        <f>#REF!*2</f>
        <v>#REF!</v>
      </c>
      <c r="AU49" s="28" t="e">
        <f>#REF!</f>
        <v>#REF!</v>
      </c>
      <c r="AV49" s="28" t="e">
        <f>#REF!*2</f>
        <v>#REF!</v>
      </c>
      <c r="AW49" s="28" t="e">
        <f>#REF!</f>
        <v>#REF!</v>
      </c>
      <c r="AX49" s="28" t="e">
        <f>#REF!*2</f>
        <v>#REF!</v>
      </c>
      <c r="AY49" s="28" t="e">
        <f>#REF!</f>
        <v>#REF!</v>
      </c>
      <c r="AZ49" s="28" t="e">
        <f>#REF!*2</f>
        <v>#REF!</v>
      </c>
      <c r="BA49" s="28" t="e">
        <f>#REF!</f>
        <v>#REF!</v>
      </c>
      <c r="BB49" s="28" t="e">
        <f>#REF!*2</f>
        <v>#REF!</v>
      </c>
      <c r="BC49" s="28" t="e">
        <f>#REF!</f>
        <v>#REF!</v>
      </c>
      <c r="BD49" s="28" t="e">
        <f>#REF!*2</f>
        <v>#REF!</v>
      </c>
      <c r="BE49" s="9" t="e">
        <f>#REF!-#REF!</f>
        <v>#REF!</v>
      </c>
      <c r="BF49" s="9" t="e">
        <f>#REF!-#REF!</f>
        <v>#REF!</v>
      </c>
      <c r="BG49" s="9" t="e">
        <f>#REF!-#REF!</f>
        <v>#REF!</v>
      </c>
      <c r="BH49" s="9" t="e">
        <f>#REF!-#REF!</f>
        <v>#REF!</v>
      </c>
      <c r="BI49" s="9" t="e">
        <f>#REF!-#REF!</f>
        <v>#REF!</v>
      </c>
      <c r="BJ49" s="33"/>
      <c r="BK49" s="3">
        <f>COUNTIFS(B49:G49, "&gt;=1", B49:G49, "&lt;=9")</f>
        <v>0</v>
      </c>
      <c r="BL49" s="3">
        <f>COUNTIFS(B49:G49, "&gt;=10", B49:G49, "&lt;=19")</f>
        <v>2</v>
      </c>
      <c r="BM49" s="3">
        <f>COUNTIFS(B49:G49, "&gt;=20", B49:G49, "&lt;=29")</f>
        <v>4</v>
      </c>
      <c r="BN49" s="3">
        <f>COUNTIFS(B49:G49, "&gt;=30", B49:G49, "&lt;=39")</f>
        <v>0</v>
      </c>
      <c r="BO49" s="3">
        <f>COUNTIFS(B49:G49, "&gt;=40", B49:G49, "&lt;=45")</f>
        <v>0</v>
      </c>
      <c r="BP49" s="28" t="e">
        <f>#REF!</f>
        <v>#REF!</v>
      </c>
      <c r="BQ49" s="28" t="e">
        <f>#REF!*2</f>
        <v>#REF!</v>
      </c>
      <c r="BR49" s="28" t="e">
        <f>#REF!</f>
        <v>#REF!</v>
      </c>
      <c r="BS49" s="28" t="e">
        <f>#REF!*2</f>
        <v>#REF!</v>
      </c>
      <c r="BT49" s="28" t="e">
        <f>#REF!</f>
        <v>#REF!</v>
      </c>
      <c r="BU49" s="28" t="e">
        <f>#REF!*2</f>
        <v>#REF!</v>
      </c>
      <c r="BV49" s="28" t="e">
        <f>#REF!</f>
        <v>#REF!</v>
      </c>
      <c r="BW49" s="28" t="e">
        <f>#REF!*2</f>
        <v>#REF!</v>
      </c>
      <c r="BX49" s="28" t="e">
        <f>#REF!</f>
        <v>#REF!</v>
      </c>
      <c r="BY49" s="28" t="e">
        <f>#REF!*2</f>
        <v>#REF!</v>
      </c>
      <c r="BZ49" s="28" t="e">
        <f>#REF!</f>
        <v>#REF!</v>
      </c>
      <c r="CA49" s="28" t="e">
        <f>#REF!*2</f>
        <v>#REF!</v>
      </c>
      <c r="CB49" s="9">
        <f>C49-B49</f>
        <v>4</v>
      </c>
      <c r="CC49" s="9">
        <f>D49-C49</f>
        <v>2</v>
      </c>
      <c r="CD49" s="9">
        <f>E49-D49</f>
        <v>4</v>
      </c>
      <c r="CE49" s="9">
        <f>F49-E49</f>
        <v>2</v>
      </c>
      <c r="CF49" s="9">
        <f>G49-F49</f>
        <v>1</v>
      </c>
      <c r="CG49" s="33"/>
      <c r="CH49" s="9">
        <f>C49-B49</f>
        <v>4</v>
      </c>
      <c r="CI49" s="9">
        <f>D49-C49</f>
        <v>2</v>
      </c>
      <c r="CJ49" s="9">
        <f>E49-D49</f>
        <v>4</v>
      </c>
      <c r="CK49" s="9">
        <f>F49-E49</f>
        <v>2</v>
      </c>
      <c r="CL49" s="9">
        <f>G49-F49</f>
        <v>1</v>
      </c>
      <c r="CM49" s="32"/>
      <c r="CN49" s="3">
        <f>IF(OR(CH49="",ISBLANK(CH49),CH49=0),0,IF(MOD(CH49,2)=1,1,2))</f>
        <v>2</v>
      </c>
      <c r="CO49" s="3">
        <f>IF(OR(CI49="",ISBLANK(CI49),CI49=0),0,IF(MOD(CI49,2)=1,1,2))</f>
        <v>2</v>
      </c>
      <c r="CP49" s="3">
        <f>IF(OR(CJ49="",ISBLANK(CJ49),CJ49=0),0,IF(MOD(CJ49,2)=1,1,2))</f>
        <v>2</v>
      </c>
      <c r="CQ49" s="3">
        <f>IF(OR(CK49="",ISBLANK(CK49),CK49=0),0,IF(MOD(CK49,2)=1,1,2))</f>
        <v>2</v>
      </c>
      <c r="CR49" s="3">
        <f>IF(OR(CL49="",ISBLANK(CL49),CL49=0),0,IF(MOD(CL49,2)=1,1,2))</f>
        <v>1</v>
      </c>
      <c r="CS49" s="31"/>
      <c r="CT49" s="3" cm="1">
        <f t="array" ref="CT49">SUMPRODUCT(--(MOD(CH49:CL49,2)=1))</f>
        <v>1</v>
      </c>
      <c r="CU49" s="3">
        <f>5-CT49</f>
        <v>4</v>
      </c>
      <c r="CV49" s="30"/>
      <c r="CW49" s="3" cm="1">
        <f t="array" ref="CW49">SUMPRODUCT(--(MOD(CH49:CL49,10)&gt;=1), --(MOD(CH49:CL49,10)&lt;=5))</f>
        <v>5</v>
      </c>
      <c r="CX49" s="3">
        <f>5-CW49</f>
        <v>0</v>
      </c>
      <c r="CY49" s="30"/>
      <c r="CZ49" s="3" cm="1">
        <f t="array" ref="CZ49">IFERROR(COUNT(_xlfn._xlws.FILTER(CH49:CL49, ISNUMBER(MATCH(CH49:CL49, {2,3,5,7,11,13,17,19,23,29,31,37,41,43}, 0)))), 0)</f>
        <v>2</v>
      </c>
      <c r="DA49" s="3" cm="1">
        <f t="array" ref="DA49">IFERROR(COUNT(_xlfn._xlws.FILTER(CH49:CL49, ISNUMBER(MATCH(CH49:CL49, {1,4,8,10,14,16,20,22,25,26,28,32,34,35,38,40,44}, 0)))), 0)</f>
        <v>3</v>
      </c>
      <c r="DB49" s="3" cm="1">
        <f t="array" ref="DB49">IFERROR(COUNT(_xlfn._xlws.FILTER(CH49:CL49, ISNUMBER(MATCH(CH49:CL49, {6,9,12,15,18,21,24,27,30,33,36,39,42,45}, 0)))), 0)</f>
        <v>0</v>
      </c>
      <c r="DC49" s="29"/>
      <c r="DD49" s="28" t="e">
        <f>#REF!</f>
        <v>#REF!</v>
      </c>
      <c r="DE49" s="28" t="e">
        <f>#REF!*2</f>
        <v>#REF!</v>
      </c>
      <c r="DF49" s="28" t="e">
        <f>#REF!</f>
        <v>#REF!</v>
      </c>
      <c r="DG49" s="28" t="e">
        <f>#REF!*2</f>
        <v>#REF!</v>
      </c>
      <c r="DH49" s="28" t="e">
        <f>#REF!</f>
        <v>#REF!</v>
      </c>
      <c r="DI49" s="28" t="e">
        <f>#REF!*2</f>
        <v>#REF!</v>
      </c>
      <c r="DJ49" s="28" t="e">
        <f>#REF!</f>
        <v>#REF!</v>
      </c>
      <c r="DK49" s="28" t="e">
        <f>#REF!*2</f>
        <v>#REF!</v>
      </c>
      <c r="DL49" s="28" t="e">
        <f>#REF!</f>
        <v>#REF!</v>
      </c>
      <c r="DM49" s="28" t="e">
        <f>#REF!*2</f>
        <v>#REF!</v>
      </c>
      <c r="DN49" s="27"/>
      <c r="DO49" s="26" t="str" cm="1">
        <f t="array" ref="DO49">_xlfn.IFS(
   OR(CH49="",ISBLANK(CH49),CH49=0),0,
   ISNUMBER(MATCH(CH49,{2,3,5,7,11,13,17,19,23,29,31,37,41,43},0)),"소",
   AND(ISNUMBER(CH49),MOD(CH49,3)=0),"배",
   AND(ISNUMBER(CH49),CH49&gt;0),"자"
)</f>
        <v>자</v>
      </c>
      <c r="DP49" s="26" t="str" cm="1">
        <f t="array" ref="DP49">_xlfn.IFS(
   OR(CI49="",ISBLANK(CI49),CI49=0),0,
   ISNUMBER(MATCH(CI49,{2,3,5,7,11,13,17,19,23,29,31,37,41,43},0)),"소",
   AND(ISNUMBER(CI49),MOD(CI49,3)=0),"배",
   AND(ISNUMBER(CI49),CI49&gt;0),"자"
)</f>
        <v>소</v>
      </c>
      <c r="DQ49" s="26" t="str" cm="1">
        <f t="array" ref="DQ49">_xlfn.IFS(
   OR(CJ49="",ISBLANK(CJ49),CJ49=0),0,
   ISNUMBER(MATCH(CJ49,{2,3,5,7,11,13,17,19,23,29,31,37,41,43},0)),"소",
   AND(ISNUMBER(CJ49),MOD(CJ49,3)=0),"배",
   AND(ISNUMBER(CJ49),CJ49&gt;0),"자"
)</f>
        <v>자</v>
      </c>
      <c r="DR49" s="26" t="str" cm="1">
        <f t="array" ref="DR49">_xlfn.IFS(
   OR(CK49="",ISBLANK(CK49),CK49=0),0,
   ISNUMBER(MATCH(CK49,{2,3,5,7,11,13,17,19,23,29,31,37,41,43},0)),"소",
   AND(ISNUMBER(CK49),MOD(CK49,3)=0),"배",
   AND(ISNUMBER(CK49),CK49&gt;0),"자"
)</f>
        <v>소</v>
      </c>
      <c r="DS49" s="26" t="str" cm="1">
        <f t="array" ref="DS49">_xlfn.IFS(
   OR(CL49="",ISBLANK(CL49),CL49=0),0,
   ISNUMBER(MATCH(CL49,{2,3,5,7,11,13,17,19,23,29,31,37,41,43},0)),"소",
   AND(ISNUMBER(CL49),MOD(CL49,3)=0),"배",
   AND(ISNUMBER(CL49),CL49&gt;0),"자"
)</f>
        <v>자</v>
      </c>
      <c r="DT49" s="25"/>
    </row>
    <row r="50" spans="2:124" x14ac:dyDescent="0.3">
      <c r="B50" s="3">
        <v>1</v>
      </c>
      <c r="C50" s="3">
        <v>2</v>
      </c>
      <c r="D50" s="3">
        <v>6</v>
      </c>
      <c r="E50" s="3">
        <v>14</v>
      </c>
      <c r="F50" s="3">
        <v>27</v>
      </c>
      <c r="G50" s="3">
        <v>38</v>
      </c>
      <c r="H50" s="32"/>
      <c r="I50" s="3">
        <f>IF(OR(B50="",ISBLANK(B50),B50=0),0,IF(MOD(B50,2)=1,1,2))</f>
        <v>1</v>
      </c>
      <c r="J50" s="3">
        <f>IF(OR(C50="",ISBLANK(C50),C50=0),0,IF(MOD(C50,2)=1,1,2))</f>
        <v>2</v>
      </c>
      <c r="K50" s="3">
        <f>IF(OR(D50="",ISBLANK(D50),D50=0),0,IF(MOD(D50,2)=1,1,2))</f>
        <v>2</v>
      </c>
      <c r="L50" s="3">
        <f>IF(OR(E50="",ISBLANK(E50),E50=0),0,IF(MOD(E50,2)=1,1,2))</f>
        <v>2</v>
      </c>
      <c r="M50" s="3">
        <f>IF(OR(F50="",ISBLANK(F50),F50=0),0,IF(MOD(F50,2)=1,1,2))</f>
        <v>1</v>
      </c>
      <c r="N50" s="3">
        <f>IF(OR(G50="",ISBLANK(G50),G50=0),0,IF(MOD(G50,2)=1,1,2))</f>
        <v>2</v>
      </c>
      <c r="O50" s="32"/>
      <c r="P50" s="3" cm="1">
        <f t="array" ref="P50">SUMPRODUCT(--(MOD(B50:G50,2)=1))</f>
        <v>2</v>
      </c>
      <c r="Q50" s="3">
        <f>6-P50</f>
        <v>4</v>
      </c>
      <c r="R50" s="34"/>
      <c r="S50" s="3">
        <f>COUNTIFS(B50:G50,"&gt;=1",B50:G50,"&lt;=23")</f>
        <v>4</v>
      </c>
      <c r="T50" s="3">
        <f>6-S50</f>
        <v>2</v>
      </c>
      <c r="U50" s="34"/>
      <c r="V50" s="3" cm="1">
        <f t="array" ref="V50">SUMPRODUCT(--(MOD(B50:G50,10)&gt;=1), --(MOD(B50:G50,10)&lt;=5))</f>
        <v>3</v>
      </c>
      <c r="W50" s="3">
        <f>6-V50</f>
        <v>3</v>
      </c>
      <c r="X50" s="34"/>
      <c r="Y50" s="3" cm="1">
        <f t="array" ref="Y50">IFERROR(COUNT(_xlfn._xlws.FILTER(B50:G50, ISNUMBER(MATCH(B50:G50, {2,3,5,7,11,13,17,19,23,29,31,37,41,43}, 0)))), 0)</f>
        <v>1</v>
      </c>
      <c r="Z50" s="3" cm="1">
        <f t="array" ref="Z50">IFERROR(COUNT(_xlfn._xlws.FILTER(B50:G50, ISNUMBER(MATCH(B50:G50, {1,4,8,10,14,16,20,22,25,26,28,32,34,35,38,40,44}, 0)))), 0)</f>
        <v>3</v>
      </c>
      <c r="AA50" s="3" cm="1">
        <f t="array" ref="AA50">IFERROR(COUNT(_xlfn._xlws.FILTER(B50:G50, ISNUMBER(MATCH(B50:G50, {6,9,12,15,18,21,24,27,30,33,36,39,42,45}, 0)))), 0)</f>
        <v>2</v>
      </c>
      <c r="AB50" s="30"/>
      <c r="AC50" s="26" t="str" cm="1">
        <f t="array" ref="AC50">_xlfn.IFS(
   OR(B50="",ISBLANK(B50),B50=0),0,
   ISNUMBER(MATCH(B50,{2,3,5,7,11,13,17,19,23,29,31,37,41,43},0)),"소",
   AND(ISNUMBER(B50),MOD(B50,3)=0),"배",
   AND(ISNUMBER(B50),B50&gt;0),"자"
)</f>
        <v>자</v>
      </c>
      <c r="AD50" s="26" t="str" cm="1">
        <f t="array" ref="AD50">_xlfn.IFS(
   OR(C50="",ISBLANK(C50),C50=0),0,
   ISNUMBER(MATCH(C50,{2,3,5,7,11,13,17,19,23,29,31,37,41,43},0)),"소",
   AND(ISNUMBER(C50),MOD(C50,3)=0),"배",
   AND(ISNUMBER(C50),C50&gt;0),"자"
)</f>
        <v>소</v>
      </c>
      <c r="AE50" s="26" t="str" cm="1">
        <f t="array" ref="AE50">_xlfn.IFS(
   OR(D50="",ISBLANK(D50),D50=0),0,
   ISNUMBER(MATCH(D50,{2,3,5,7,11,13,17,19,23,29,31,37,41,43},0)),"소",
   AND(ISNUMBER(D50),MOD(D50,3)=0),"배",
   AND(ISNUMBER(D50),D50&gt;0),"자"
)</f>
        <v>배</v>
      </c>
      <c r="AF50" s="26" t="str" cm="1">
        <f t="array" ref="AF50">_xlfn.IFS(
   OR(E50="",ISBLANK(E50),E50=0),0,
   ISNUMBER(MATCH(E50,{2,3,5,7,11,13,17,19,23,29,31,37,41,43},0)),"소",
   AND(ISNUMBER(E50),MOD(E50,3)=0),"배",
   AND(ISNUMBER(E50),E50&gt;0),"자"
)</f>
        <v>자</v>
      </c>
      <c r="AG50" s="26" t="str" cm="1">
        <f t="array" ref="AG50">_xlfn.IFS(
   OR(F50="",ISBLANK(F50),F50=0),0,
   ISNUMBER(MATCH(F50,{2,3,5,7,11,13,17,19,23,29,31,37,41,43},0)),"소",
   AND(ISNUMBER(F50),MOD(F50,3)=0),"배",
   AND(ISNUMBER(F50),F50&gt;0),"자"
)</f>
        <v>배</v>
      </c>
      <c r="AH50" s="26" t="str" cm="1">
        <f t="array" ref="AH50">_xlfn.IFS(
   OR(G50="",ISBLANK(G50),G50=0),0,
   ISNUMBER(MATCH(G50,{2,3,5,7,11,13,17,19,23,29,31,37,41,43},0)),"소",
   AND(ISNUMBER(G50),MOD(G50,3)=0),"배",
   AND(ISNUMBER(G50),G50&gt;0),"자"
)</f>
        <v>자</v>
      </c>
      <c r="AI50" s="30"/>
      <c r="AJ50" s="3">
        <f>COUNTIFS(B50:G50,"&gt;=1",B50:G50,"&lt;=14")</f>
        <v>4</v>
      </c>
      <c r="AK50" s="3">
        <f>COUNTIFS(B50:G50,"&gt;=15",B50:G50,"&lt;=31")</f>
        <v>1</v>
      </c>
      <c r="AL50" s="3">
        <f>6-AK50-AJ50</f>
        <v>1</v>
      </c>
      <c r="AM50" s="33"/>
      <c r="AN50" s="3">
        <f>COUNTIFS($B50:$G50, "&gt;=1",$B50:$G50, "&lt;=9")</f>
        <v>3</v>
      </c>
      <c r="AO50" s="3">
        <f>COUNTIFS($B50:$G50, "&gt;=10",$B50:$G50, "&lt;=18")</f>
        <v>1</v>
      </c>
      <c r="AP50" s="3">
        <f>COUNTIFS($B50:$G50, "&gt;=19",$B50:$G50, "&lt;=27")</f>
        <v>1</v>
      </c>
      <c r="AQ50" s="3">
        <f>COUNTIFS($B50:$G50, "&gt;=28",$B50:$G50, "&lt;=36")</f>
        <v>0</v>
      </c>
      <c r="AR50" s="3">
        <f>COUNTIFS($B50:$G50, "&gt;=37",$B50:$G50, "&lt;=45")</f>
        <v>1</v>
      </c>
      <c r="AS50" s="28" t="e">
        <f>#REF!</f>
        <v>#REF!</v>
      </c>
      <c r="AT50" s="28" t="e">
        <f>#REF!*2</f>
        <v>#REF!</v>
      </c>
      <c r="AU50" s="28" t="e">
        <f>#REF!</f>
        <v>#REF!</v>
      </c>
      <c r="AV50" s="28" t="e">
        <f>#REF!*2</f>
        <v>#REF!</v>
      </c>
      <c r="AW50" s="28" t="e">
        <f>#REF!</f>
        <v>#REF!</v>
      </c>
      <c r="AX50" s="28" t="e">
        <f>#REF!*2</f>
        <v>#REF!</v>
      </c>
      <c r="AY50" s="28" t="e">
        <f>#REF!</f>
        <v>#REF!</v>
      </c>
      <c r="AZ50" s="28" t="e">
        <f>#REF!*2</f>
        <v>#REF!</v>
      </c>
      <c r="BA50" s="28" t="e">
        <f>#REF!</f>
        <v>#REF!</v>
      </c>
      <c r="BB50" s="28" t="e">
        <f>#REF!*2</f>
        <v>#REF!</v>
      </c>
      <c r="BC50" s="28" t="e">
        <f>#REF!</f>
        <v>#REF!</v>
      </c>
      <c r="BD50" s="28" t="e">
        <f>#REF!*2</f>
        <v>#REF!</v>
      </c>
      <c r="BE50" s="9" t="e">
        <f>#REF!-#REF!</f>
        <v>#REF!</v>
      </c>
      <c r="BF50" s="9" t="e">
        <f>#REF!-#REF!</f>
        <v>#REF!</v>
      </c>
      <c r="BG50" s="9" t="e">
        <f>#REF!-#REF!</f>
        <v>#REF!</v>
      </c>
      <c r="BH50" s="9" t="e">
        <f>#REF!-#REF!</f>
        <v>#REF!</v>
      </c>
      <c r="BI50" s="9" t="e">
        <f>#REF!-#REF!</f>
        <v>#REF!</v>
      </c>
      <c r="BJ50" s="33"/>
      <c r="BK50" s="3">
        <f>COUNTIFS(B50:G50, "&gt;=1", B50:G50, "&lt;=9")</f>
        <v>3</v>
      </c>
      <c r="BL50" s="3">
        <f>COUNTIFS(B50:G50, "&gt;=10", B50:G50, "&lt;=19")</f>
        <v>1</v>
      </c>
      <c r="BM50" s="3">
        <f>COUNTIFS(B50:G50, "&gt;=20", B50:G50, "&lt;=29")</f>
        <v>1</v>
      </c>
      <c r="BN50" s="3">
        <f>COUNTIFS(B50:G50, "&gt;=30", B50:G50, "&lt;=39")</f>
        <v>1</v>
      </c>
      <c r="BO50" s="3">
        <f>COUNTIFS(B50:G50, "&gt;=40", B50:G50, "&lt;=45")</f>
        <v>0</v>
      </c>
      <c r="BP50" s="28" t="e">
        <f>#REF!</f>
        <v>#REF!</v>
      </c>
      <c r="BQ50" s="28" t="e">
        <f>#REF!*2</f>
        <v>#REF!</v>
      </c>
      <c r="BR50" s="28" t="e">
        <f>#REF!</f>
        <v>#REF!</v>
      </c>
      <c r="BS50" s="28" t="e">
        <f>#REF!*2</f>
        <v>#REF!</v>
      </c>
      <c r="BT50" s="28" t="e">
        <f>#REF!</f>
        <v>#REF!</v>
      </c>
      <c r="BU50" s="28" t="e">
        <f>#REF!*2</f>
        <v>#REF!</v>
      </c>
      <c r="BV50" s="28" t="e">
        <f>#REF!</f>
        <v>#REF!</v>
      </c>
      <c r="BW50" s="28" t="e">
        <f>#REF!*2</f>
        <v>#REF!</v>
      </c>
      <c r="BX50" s="28" t="e">
        <f>#REF!</f>
        <v>#REF!</v>
      </c>
      <c r="BY50" s="28" t="e">
        <f>#REF!*2</f>
        <v>#REF!</v>
      </c>
      <c r="BZ50" s="28" t="e">
        <f>#REF!</f>
        <v>#REF!</v>
      </c>
      <c r="CA50" s="28" t="e">
        <f>#REF!*2</f>
        <v>#REF!</v>
      </c>
      <c r="CB50" s="9">
        <f>C50-B50</f>
        <v>1</v>
      </c>
      <c r="CC50" s="9">
        <f>D50-C50</f>
        <v>4</v>
      </c>
      <c r="CD50" s="9">
        <f>E50-D50</f>
        <v>8</v>
      </c>
      <c r="CE50" s="9">
        <f>F50-E50</f>
        <v>13</v>
      </c>
      <c r="CF50" s="9">
        <f>G50-F50</f>
        <v>11</v>
      </c>
      <c r="CG50" s="33"/>
      <c r="CH50" s="9">
        <f>C50-B50</f>
        <v>1</v>
      </c>
      <c r="CI50" s="9">
        <f>D50-C50</f>
        <v>4</v>
      </c>
      <c r="CJ50" s="9">
        <f>E50-D50</f>
        <v>8</v>
      </c>
      <c r="CK50" s="9">
        <f>F50-E50</f>
        <v>13</v>
      </c>
      <c r="CL50" s="9">
        <f>G50-F50</f>
        <v>11</v>
      </c>
      <c r="CM50" s="32"/>
      <c r="CN50" s="3">
        <f>IF(OR(CH50="",ISBLANK(CH50),CH50=0),0,IF(MOD(CH50,2)=1,1,2))</f>
        <v>1</v>
      </c>
      <c r="CO50" s="3">
        <f>IF(OR(CI50="",ISBLANK(CI50),CI50=0),0,IF(MOD(CI50,2)=1,1,2))</f>
        <v>2</v>
      </c>
      <c r="CP50" s="3">
        <f>IF(OR(CJ50="",ISBLANK(CJ50),CJ50=0),0,IF(MOD(CJ50,2)=1,1,2))</f>
        <v>2</v>
      </c>
      <c r="CQ50" s="3">
        <f>IF(OR(CK50="",ISBLANK(CK50),CK50=0),0,IF(MOD(CK50,2)=1,1,2))</f>
        <v>1</v>
      </c>
      <c r="CR50" s="3">
        <f>IF(OR(CL50="",ISBLANK(CL50),CL50=0),0,IF(MOD(CL50,2)=1,1,2))</f>
        <v>1</v>
      </c>
      <c r="CS50" s="31"/>
      <c r="CT50" s="3" cm="1">
        <f t="array" ref="CT50">SUMPRODUCT(--(MOD(CH50:CL50,2)=1))</f>
        <v>3</v>
      </c>
      <c r="CU50" s="3">
        <f>5-CT50</f>
        <v>2</v>
      </c>
      <c r="CV50" s="30"/>
      <c r="CW50" s="3" cm="1">
        <f t="array" ref="CW50">SUMPRODUCT(--(MOD(CH50:CL50,10)&gt;=1), --(MOD(CH50:CL50,10)&lt;=5))</f>
        <v>4</v>
      </c>
      <c r="CX50" s="3">
        <f>5-CW50</f>
        <v>1</v>
      </c>
      <c r="CY50" s="30"/>
      <c r="CZ50" s="3" cm="1">
        <f t="array" ref="CZ50">IFERROR(COUNT(_xlfn._xlws.FILTER(CH50:CL50, ISNUMBER(MATCH(CH50:CL50, {2,3,5,7,11,13,17,19,23,29,31,37,41,43}, 0)))), 0)</f>
        <v>2</v>
      </c>
      <c r="DA50" s="3" cm="1">
        <f t="array" ref="DA50">IFERROR(COUNT(_xlfn._xlws.FILTER(CH50:CL50, ISNUMBER(MATCH(CH50:CL50, {1,4,8,10,14,16,20,22,25,26,28,32,34,35,38,40,44}, 0)))), 0)</f>
        <v>3</v>
      </c>
      <c r="DB50" s="3" cm="1">
        <f t="array" ref="DB50">IFERROR(COUNT(_xlfn._xlws.FILTER(CH50:CL50, ISNUMBER(MATCH(CH50:CL50, {6,9,12,15,18,21,24,27,30,33,36,39,42,45}, 0)))), 0)</f>
        <v>0</v>
      </c>
      <c r="DC50" s="29"/>
      <c r="DD50" s="28" t="e">
        <f>#REF!</f>
        <v>#REF!</v>
      </c>
      <c r="DE50" s="28" t="e">
        <f>#REF!*2</f>
        <v>#REF!</v>
      </c>
      <c r="DF50" s="28" t="e">
        <f>#REF!</f>
        <v>#REF!</v>
      </c>
      <c r="DG50" s="28" t="e">
        <f>#REF!*2</f>
        <v>#REF!</v>
      </c>
      <c r="DH50" s="28" t="e">
        <f>#REF!</f>
        <v>#REF!</v>
      </c>
      <c r="DI50" s="28" t="e">
        <f>#REF!*2</f>
        <v>#REF!</v>
      </c>
      <c r="DJ50" s="28" t="e">
        <f>#REF!</f>
        <v>#REF!</v>
      </c>
      <c r="DK50" s="28" t="e">
        <f>#REF!*2</f>
        <v>#REF!</v>
      </c>
      <c r="DL50" s="28" t="e">
        <f>#REF!</f>
        <v>#REF!</v>
      </c>
      <c r="DM50" s="28" t="e">
        <f>#REF!*2</f>
        <v>#REF!</v>
      </c>
      <c r="DN50" s="27"/>
      <c r="DO50" s="26" t="str" cm="1">
        <f t="array" ref="DO50">_xlfn.IFS(
   OR(CH50="",ISBLANK(CH50),CH50=0),0,
   ISNUMBER(MATCH(CH50,{2,3,5,7,11,13,17,19,23,29,31,37,41,43},0)),"소",
   AND(ISNUMBER(CH50),MOD(CH50,3)=0),"배",
   AND(ISNUMBER(CH50),CH50&gt;0),"자"
)</f>
        <v>자</v>
      </c>
      <c r="DP50" s="26" t="str" cm="1">
        <f t="array" ref="DP50">_xlfn.IFS(
   OR(CI50="",ISBLANK(CI50),CI50=0),0,
   ISNUMBER(MATCH(CI50,{2,3,5,7,11,13,17,19,23,29,31,37,41,43},0)),"소",
   AND(ISNUMBER(CI50),MOD(CI50,3)=0),"배",
   AND(ISNUMBER(CI50),CI50&gt;0),"자"
)</f>
        <v>자</v>
      </c>
      <c r="DQ50" s="26" t="str" cm="1">
        <f t="array" ref="DQ50">_xlfn.IFS(
   OR(CJ50="",ISBLANK(CJ50),CJ50=0),0,
   ISNUMBER(MATCH(CJ50,{2,3,5,7,11,13,17,19,23,29,31,37,41,43},0)),"소",
   AND(ISNUMBER(CJ50),MOD(CJ50,3)=0),"배",
   AND(ISNUMBER(CJ50),CJ50&gt;0),"자"
)</f>
        <v>자</v>
      </c>
      <c r="DR50" s="26" t="str" cm="1">
        <f t="array" ref="DR50">_xlfn.IFS(
   OR(CK50="",ISBLANK(CK50),CK50=0),0,
   ISNUMBER(MATCH(CK50,{2,3,5,7,11,13,17,19,23,29,31,37,41,43},0)),"소",
   AND(ISNUMBER(CK50),MOD(CK50,3)=0),"배",
   AND(ISNUMBER(CK50),CK50&gt;0),"자"
)</f>
        <v>소</v>
      </c>
      <c r="DS50" s="26" t="str" cm="1">
        <f t="array" ref="DS50">_xlfn.IFS(
   OR(CL50="",ISBLANK(CL50),CL50=0),0,
   ISNUMBER(MATCH(CL50,{2,3,5,7,11,13,17,19,23,29,31,37,41,43},0)),"소",
   AND(ISNUMBER(CL50),MOD(CL50,3)=0),"배",
   AND(ISNUMBER(CL50),CL50&gt;0),"자"
)</f>
        <v>소</v>
      </c>
      <c r="DT50" s="25"/>
    </row>
    <row r="51" spans="2:124" x14ac:dyDescent="0.3">
      <c r="B51" s="3">
        <v>6</v>
      </c>
      <c r="C51" s="3">
        <v>7</v>
      </c>
      <c r="D51" s="3">
        <v>19</v>
      </c>
      <c r="E51" s="3">
        <v>28</v>
      </c>
      <c r="F51" s="3">
        <v>34</v>
      </c>
      <c r="G51" s="3">
        <v>41</v>
      </c>
      <c r="H51" s="32"/>
      <c r="I51" s="3">
        <f>IF(OR(B51="",ISBLANK(B51),B51=0),0,IF(MOD(B51,2)=1,1,2))</f>
        <v>2</v>
      </c>
      <c r="J51" s="3">
        <f>IF(OR(C51="",ISBLANK(C51),C51=0),0,IF(MOD(C51,2)=1,1,2))</f>
        <v>1</v>
      </c>
      <c r="K51" s="3">
        <f>IF(OR(D51="",ISBLANK(D51),D51=0),0,IF(MOD(D51,2)=1,1,2))</f>
        <v>1</v>
      </c>
      <c r="L51" s="3">
        <f>IF(OR(E51="",ISBLANK(E51),E51=0),0,IF(MOD(E51,2)=1,1,2))</f>
        <v>2</v>
      </c>
      <c r="M51" s="3">
        <f>IF(OR(F51="",ISBLANK(F51),F51=0),0,IF(MOD(F51,2)=1,1,2))</f>
        <v>2</v>
      </c>
      <c r="N51" s="3">
        <f>IF(OR(G51="",ISBLANK(G51),G51=0),0,IF(MOD(G51,2)=1,1,2))</f>
        <v>1</v>
      </c>
      <c r="O51" s="32"/>
      <c r="P51" s="3" cm="1">
        <f t="array" ref="P51">SUMPRODUCT(--(MOD(B51:G51,2)=1))</f>
        <v>3</v>
      </c>
      <c r="Q51" s="3">
        <f>6-P51</f>
        <v>3</v>
      </c>
      <c r="R51" s="34"/>
      <c r="S51" s="3">
        <f>COUNTIFS(B51:G51,"&gt;=1",B51:G51,"&lt;=23")</f>
        <v>3</v>
      </c>
      <c r="T51" s="3">
        <f>6-S51</f>
        <v>3</v>
      </c>
      <c r="U51" s="34"/>
      <c r="V51" s="3" cm="1">
        <f t="array" ref="V51">SUMPRODUCT(--(MOD(B51:G51,10)&gt;=1), --(MOD(B51:G51,10)&lt;=5))</f>
        <v>2</v>
      </c>
      <c r="W51" s="3">
        <f>6-V51</f>
        <v>4</v>
      </c>
      <c r="X51" s="34"/>
      <c r="Y51" s="3" cm="1">
        <f t="array" ref="Y51">IFERROR(COUNT(_xlfn._xlws.FILTER(B51:G51, ISNUMBER(MATCH(B51:G51, {2,3,5,7,11,13,17,19,23,29,31,37,41,43}, 0)))), 0)</f>
        <v>3</v>
      </c>
      <c r="Z51" s="3" cm="1">
        <f t="array" ref="Z51">IFERROR(COUNT(_xlfn._xlws.FILTER(B51:G51, ISNUMBER(MATCH(B51:G51, {1,4,8,10,14,16,20,22,25,26,28,32,34,35,38,40,44}, 0)))), 0)</f>
        <v>2</v>
      </c>
      <c r="AA51" s="3" cm="1">
        <f t="array" ref="AA51">IFERROR(COUNT(_xlfn._xlws.FILTER(B51:G51, ISNUMBER(MATCH(B51:G51, {6,9,12,15,18,21,24,27,30,33,36,39,42,45}, 0)))), 0)</f>
        <v>1</v>
      </c>
      <c r="AB51" s="30"/>
      <c r="AC51" s="26" t="str" cm="1">
        <f t="array" ref="AC51">_xlfn.IFS(
   OR(B51="",ISBLANK(B51),B51=0),0,
   ISNUMBER(MATCH(B51,{2,3,5,7,11,13,17,19,23,29,31,37,41,43},0)),"소",
   AND(ISNUMBER(B51),MOD(B51,3)=0),"배",
   AND(ISNUMBER(B51),B51&gt;0),"자"
)</f>
        <v>배</v>
      </c>
      <c r="AD51" s="26" t="str" cm="1">
        <f t="array" ref="AD51">_xlfn.IFS(
   OR(C51="",ISBLANK(C51),C51=0),0,
   ISNUMBER(MATCH(C51,{2,3,5,7,11,13,17,19,23,29,31,37,41,43},0)),"소",
   AND(ISNUMBER(C51),MOD(C51,3)=0),"배",
   AND(ISNUMBER(C51),C51&gt;0),"자"
)</f>
        <v>소</v>
      </c>
      <c r="AE51" s="26" t="str" cm="1">
        <f t="array" ref="AE51">_xlfn.IFS(
   OR(D51="",ISBLANK(D51),D51=0),0,
   ISNUMBER(MATCH(D51,{2,3,5,7,11,13,17,19,23,29,31,37,41,43},0)),"소",
   AND(ISNUMBER(D51),MOD(D51,3)=0),"배",
   AND(ISNUMBER(D51),D51&gt;0),"자"
)</f>
        <v>소</v>
      </c>
      <c r="AF51" s="26" t="str" cm="1">
        <f t="array" ref="AF51">_xlfn.IFS(
   OR(E51="",ISBLANK(E51),E51=0),0,
   ISNUMBER(MATCH(E51,{2,3,5,7,11,13,17,19,23,29,31,37,41,43},0)),"소",
   AND(ISNUMBER(E51),MOD(E51,3)=0),"배",
   AND(ISNUMBER(E51),E51&gt;0),"자"
)</f>
        <v>자</v>
      </c>
      <c r="AG51" s="26" t="str" cm="1">
        <f t="array" ref="AG51">_xlfn.IFS(
   OR(F51="",ISBLANK(F51),F51=0),0,
   ISNUMBER(MATCH(F51,{2,3,5,7,11,13,17,19,23,29,31,37,41,43},0)),"소",
   AND(ISNUMBER(F51),MOD(F51,3)=0),"배",
   AND(ISNUMBER(F51),F51&gt;0),"자"
)</f>
        <v>자</v>
      </c>
      <c r="AH51" s="26" t="str" cm="1">
        <f t="array" ref="AH51">_xlfn.IFS(
   OR(G51="",ISBLANK(G51),G51=0),0,
   ISNUMBER(MATCH(G51,{2,3,5,7,11,13,17,19,23,29,31,37,41,43},0)),"소",
   AND(ISNUMBER(G51),MOD(G51,3)=0),"배",
   AND(ISNUMBER(G51),G51&gt;0),"자"
)</f>
        <v>소</v>
      </c>
      <c r="AI51" s="30"/>
      <c r="AJ51" s="3">
        <f>COUNTIFS(B51:G51,"&gt;=1",B51:G51,"&lt;=14")</f>
        <v>2</v>
      </c>
      <c r="AK51" s="3">
        <f>COUNTIFS(B51:G51,"&gt;=15",B51:G51,"&lt;=31")</f>
        <v>2</v>
      </c>
      <c r="AL51" s="3">
        <f>6-AK51-AJ51</f>
        <v>2</v>
      </c>
      <c r="AM51" s="33"/>
      <c r="AN51" s="3">
        <f>COUNTIFS($B51:$G51, "&gt;=1",$B51:$G51, "&lt;=9")</f>
        <v>2</v>
      </c>
      <c r="AO51" s="3">
        <f>COUNTIFS($B51:$G51, "&gt;=10",$B51:$G51, "&lt;=18")</f>
        <v>0</v>
      </c>
      <c r="AP51" s="3">
        <f>COUNTIFS($B51:$G51, "&gt;=19",$B51:$G51, "&lt;=27")</f>
        <v>1</v>
      </c>
      <c r="AQ51" s="3">
        <f>COUNTIFS($B51:$G51, "&gt;=28",$B51:$G51, "&lt;=36")</f>
        <v>2</v>
      </c>
      <c r="AR51" s="3">
        <f>COUNTIFS($B51:$G51, "&gt;=37",$B51:$G51, "&lt;=45")</f>
        <v>1</v>
      </c>
      <c r="AS51" s="28" t="e">
        <f>#REF!</f>
        <v>#REF!</v>
      </c>
      <c r="AT51" s="28" t="e">
        <f>#REF!*2</f>
        <v>#REF!</v>
      </c>
      <c r="AU51" s="28" t="e">
        <f>#REF!</f>
        <v>#REF!</v>
      </c>
      <c r="AV51" s="28" t="e">
        <f>#REF!*2</f>
        <v>#REF!</v>
      </c>
      <c r="AW51" s="28" t="e">
        <f>#REF!</f>
        <v>#REF!</v>
      </c>
      <c r="AX51" s="28" t="e">
        <f>#REF!*2</f>
        <v>#REF!</v>
      </c>
      <c r="AY51" s="28" t="e">
        <f>#REF!</f>
        <v>#REF!</v>
      </c>
      <c r="AZ51" s="28" t="e">
        <f>#REF!*2</f>
        <v>#REF!</v>
      </c>
      <c r="BA51" s="28" t="e">
        <f>#REF!</f>
        <v>#REF!</v>
      </c>
      <c r="BB51" s="28" t="e">
        <f>#REF!*2</f>
        <v>#REF!</v>
      </c>
      <c r="BC51" s="28" t="e">
        <f>#REF!</f>
        <v>#REF!</v>
      </c>
      <c r="BD51" s="28" t="e">
        <f>#REF!*2</f>
        <v>#REF!</v>
      </c>
      <c r="BE51" s="9" t="e">
        <f>#REF!-#REF!</f>
        <v>#REF!</v>
      </c>
      <c r="BF51" s="9" t="e">
        <f>#REF!-#REF!</f>
        <v>#REF!</v>
      </c>
      <c r="BG51" s="9" t="e">
        <f>#REF!-#REF!</f>
        <v>#REF!</v>
      </c>
      <c r="BH51" s="9" t="e">
        <f>#REF!-#REF!</f>
        <v>#REF!</v>
      </c>
      <c r="BI51" s="9" t="e">
        <f>#REF!-#REF!</f>
        <v>#REF!</v>
      </c>
      <c r="BJ51" s="33"/>
      <c r="BK51" s="3">
        <f>COUNTIFS(B51:G51, "&gt;=1", B51:G51, "&lt;=9")</f>
        <v>2</v>
      </c>
      <c r="BL51" s="3">
        <f>COUNTIFS(B51:G51, "&gt;=10", B51:G51, "&lt;=19")</f>
        <v>1</v>
      </c>
      <c r="BM51" s="3">
        <f>COUNTIFS(B51:G51, "&gt;=20", B51:G51, "&lt;=29")</f>
        <v>1</v>
      </c>
      <c r="BN51" s="3">
        <f>COUNTIFS(B51:G51, "&gt;=30", B51:G51, "&lt;=39")</f>
        <v>1</v>
      </c>
      <c r="BO51" s="3">
        <f>COUNTIFS(B51:G51, "&gt;=40", B51:G51, "&lt;=45")</f>
        <v>1</v>
      </c>
      <c r="BP51" s="28" t="e">
        <f>#REF!</f>
        <v>#REF!</v>
      </c>
      <c r="BQ51" s="28" t="e">
        <f>#REF!*2</f>
        <v>#REF!</v>
      </c>
      <c r="BR51" s="28" t="e">
        <f>#REF!</f>
        <v>#REF!</v>
      </c>
      <c r="BS51" s="28" t="e">
        <f>#REF!*2</f>
        <v>#REF!</v>
      </c>
      <c r="BT51" s="28" t="e">
        <f>#REF!</f>
        <v>#REF!</v>
      </c>
      <c r="BU51" s="28" t="e">
        <f>#REF!*2</f>
        <v>#REF!</v>
      </c>
      <c r="BV51" s="28" t="e">
        <f>#REF!</f>
        <v>#REF!</v>
      </c>
      <c r="BW51" s="28" t="e">
        <f>#REF!*2</f>
        <v>#REF!</v>
      </c>
      <c r="BX51" s="28" t="e">
        <f>#REF!</f>
        <v>#REF!</v>
      </c>
      <c r="BY51" s="28" t="e">
        <f>#REF!*2</f>
        <v>#REF!</v>
      </c>
      <c r="BZ51" s="28" t="e">
        <f>#REF!</f>
        <v>#REF!</v>
      </c>
      <c r="CA51" s="28" t="e">
        <f>#REF!*2</f>
        <v>#REF!</v>
      </c>
      <c r="CB51" s="9">
        <f>C51-B51</f>
        <v>1</v>
      </c>
      <c r="CC51" s="9">
        <f>D51-C51</f>
        <v>12</v>
      </c>
      <c r="CD51" s="9">
        <f>E51-D51</f>
        <v>9</v>
      </c>
      <c r="CE51" s="9">
        <f>F51-E51</f>
        <v>6</v>
      </c>
      <c r="CF51" s="9">
        <f>G51-F51</f>
        <v>7</v>
      </c>
      <c r="CG51" s="33"/>
      <c r="CH51" s="9">
        <f>C51-B51</f>
        <v>1</v>
      </c>
      <c r="CI51" s="9">
        <f>D51-C51</f>
        <v>12</v>
      </c>
      <c r="CJ51" s="9">
        <f>E51-D51</f>
        <v>9</v>
      </c>
      <c r="CK51" s="9">
        <f>F51-E51</f>
        <v>6</v>
      </c>
      <c r="CL51" s="9">
        <f>G51-F51</f>
        <v>7</v>
      </c>
      <c r="CM51" s="32"/>
      <c r="CN51" s="3">
        <f>IF(OR(CH51="",ISBLANK(CH51),CH51=0),0,IF(MOD(CH51,2)=1,1,2))</f>
        <v>1</v>
      </c>
      <c r="CO51" s="3">
        <f>IF(OR(CI51="",ISBLANK(CI51),CI51=0),0,IF(MOD(CI51,2)=1,1,2))</f>
        <v>2</v>
      </c>
      <c r="CP51" s="3">
        <f>IF(OR(CJ51="",ISBLANK(CJ51),CJ51=0),0,IF(MOD(CJ51,2)=1,1,2))</f>
        <v>1</v>
      </c>
      <c r="CQ51" s="3">
        <f>IF(OR(CK51="",ISBLANK(CK51),CK51=0),0,IF(MOD(CK51,2)=1,1,2))</f>
        <v>2</v>
      </c>
      <c r="CR51" s="3">
        <f>IF(OR(CL51="",ISBLANK(CL51),CL51=0),0,IF(MOD(CL51,2)=1,1,2))</f>
        <v>1</v>
      </c>
      <c r="CS51" s="31"/>
      <c r="CT51" s="3" cm="1">
        <f t="array" ref="CT51">SUMPRODUCT(--(MOD(CH51:CL51,2)=1))</f>
        <v>3</v>
      </c>
      <c r="CU51" s="3">
        <f>5-CT51</f>
        <v>2</v>
      </c>
      <c r="CV51" s="30"/>
      <c r="CW51" s="3" cm="1">
        <f t="array" ref="CW51">SUMPRODUCT(--(MOD(CH51:CL51,10)&gt;=1), --(MOD(CH51:CL51,10)&lt;=5))</f>
        <v>2</v>
      </c>
      <c r="CX51" s="3">
        <f>5-CW51</f>
        <v>3</v>
      </c>
      <c r="CY51" s="30"/>
      <c r="CZ51" s="3" cm="1">
        <f t="array" ref="CZ51">IFERROR(COUNT(_xlfn._xlws.FILTER(CH51:CL51, ISNUMBER(MATCH(CH51:CL51, {2,3,5,7,11,13,17,19,23,29,31,37,41,43}, 0)))), 0)</f>
        <v>1</v>
      </c>
      <c r="DA51" s="3" cm="1">
        <f t="array" ref="DA51">IFERROR(COUNT(_xlfn._xlws.FILTER(CH51:CL51, ISNUMBER(MATCH(CH51:CL51, {1,4,8,10,14,16,20,22,25,26,28,32,34,35,38,40,44}, 0)))), 0)</f>
        <v>1</v>
      </c>
      <c r="DB51" s="3" cm="1">
        <f t="array" ref="DB51">IFERROR(COUNT(_xlfn._xlws.FILTER(CH51:CL51, ISNUMBER(MATCH(CH51:CL51, {6,9,12,15,18,21,24,27,30,33,36,39,42,45}, 0)))), 0)</f>
        <v>3</v>
      </c>
      <c r="DC51" s="29"/>
      <c r="DD51" s="28" t="e">
        <f>#REF!</f>
        <v>#REF!</v>
      </c>
      <c r="DE51" s="28" t="e">
        <f>#REF!*2</f>
        <v>#REF!</v>
      </c>
      <c r="DF51" s="28" t="e">
        <f>#REF!</f>
        <v>#REF!</v>
      </c>
      <c r="DG51" s="28" t="e">
        <f>#REF!*2</f>
        <v>#REF!</v>
      </c>
      <c r="DH51" s="28" t="e">
        <f>#REF!</f>
        <v>#REF!</v>
      </c>
      <c r="DI51" s="28" t="e">
        <f>#REF!*2</f>
        <v>#REF!</v>
      </c>
      <c r="DJ51" s="28" t="e">
        <f>#REF!</f>
        <v>#REF!</v>
      </c>
      <c r="DK51" s="28" t="e">
        <f>#REF!*2</f>
        <v>#REF!</v>
      </c>
      <c r="DL51" s="28" t="e">
        <f>#REF!</f>
        <v>#REF!</v>
      </c>
      <c r="DM51" s="28" t="e">
        <f>#REF!*2</f>
        <v>#REF!</v>
      </c>
      <c r="DN51" s="27"/>
      <c r="DO51" s="26" t="str" cm="1">
        <f t="array" ref="DO51">_xlfn.IFS(
   OR(CH51="",ISBLANK(CH51),CH51=0),0,
   ISNUMBER(MATCH(CH51,{2,3,5,7,11,13,17,19,23,29,31,37,41,43},0)),"소",
   AND(ISNUMBER(CH51),MOD(CH51,3)=0),"배",
   AND(ISNUMBER(CH51),CH51&gt;0),"자"
)</f>
        <v>자</v>
      </c>
      <c r="DP51" s="26" t="str" cm="1">
        <f t="array" ref="DP51">_xlfn.IFS(
   OR(CI51="",ISBLANK(CI51),CI51=0),0,
   ISNUMBER(MATCH(CI51,{2,3,5,7,11,13,17,19,23,29,31,37,41,43},0)),"소",
   AND(ISNUMBER(CI51),MOD(CI51,3)=0),"배",
   AND(ISNUMBER(CI51),CI51&gt;0),"자"
)</f>
        <v>배</v>
      </c>
      <c r="DQ51" s="26" t="str" cm="1">
        <f t="array" ref="DQ51">_xlfn.IFS(
   OR(CJ51="",ISBLANK(CJ51),CJ51=0),0,
   ISNUMBER(MATCH(CJ51,{2,3,5,7,11,13,17,19,23,29,31,37,41,43},0)),"소",
   AND(ISNUMBER(CJ51),MOD(CJ51,3)=0),"배",
   AND(ISNUMBER(CJ51),CJ51&gt;0),"자"
)</f>
        <v>배</v>
      </c>
      <c r="DR51" s="26" t="str" cm="1">
        <f t="array" ref="DR51">_xlfn.IFS(
   OR(CK51="",ISBLANK(CK51),CK51=0),0,
   ISNUMBER(MATCH(CK51,{2,3,5,7,11,13,17,19,23,29,31,37,41,43},0)),"소",
   AND(ISNUMBER(CK51),MOD(CK51,3)=0),"배",
   AND(ISNUMBER(CK51),CK51&gt;0),"자"
)</f>
        <v>배</v>
      </c>
      <c r="DS51" s="26" t="str" cm="1">
        <f t="array" ref="DS51">_xlfn.IFS(
   OR(CL51="",ISBLANK(CL51),CL51=0),0,
   ISNUMBER(MATCH(CL51,{2,3,5,7,11,13,17,19,23,29,31,37,41,43},0)),"소",
   AND(ISNUMBER(CL51),MOD(CL51,3)=0),"배",
   AND(ISNUMBER(CL51),CL51&gt;0),"자"
)</f>
        <v>소</v>
      </c>
      <c r="DT51" s="25"/>
    </row>
    <row r="52" spans="2:124" x14ac:dyDescent="0.3">
      <c r="B52" s="3">
        <v>13</v>
      </c>
      <c r="C52" s="3">
        <v>14</v>
      </c>
      <c r="D52" s="3">
        <v>20</v>
      </c>
      <c r="E52" s="3">
        <v>28</v>
      </c>
      <c r="F52" s="3">
        <v>29</v>
      </c>
      <c r="G52" s="3">
        <v>34</v>
      </c>
      <c r="H52" s="32"/>
      <c r="I52" s="3">
        <f>IF(OR(B52="",ISBLANK(B52),B52=0),0,IF(MOD(B52,2)=1,1,2))</f>
        <v>1</v>
      </c>
      <c r="J52" s="3">
        <f>IF(OR(C52="",ISBLANK(C52),C52=0),0,IF(MOD(C52,2)=1,1,2))</f>
        <v>2</v>
      </c>
      <c r="K52" s="3">
        <f>IF(OR(D52="",ISBLANK(D52),D52=0),0,IF(MOD(D52,2)=1,1,2))</f>
        <v>2</v>
      </c>
      <c r="L52" s="3">
        <f>IF(OR(E52="",ISBLANK(E52),E52=0),0,IF(MOD(E52,2)=1,1,2))</f>
        <v>2</v>
      </c>
      <c r="M52" s="3">
        <f>IF(OR(F52="",ISBLANK(F52),F52=0),0,IF(MOD(F52,2)=1,1,2))</f>
        <v>1</v>
      </c>
      <c r="N52" s="3">
        <f>IF(OR(G52="",ISBLANK(G52),G52=0),0,IF(MOD(G52,2)=1,1,2))</f>
        <v>2</v>
      </c>
      <c r="O52" s="32"/>
      <c r="P52" s="3" cm="1">
        <f t="array" ref="P52">SUMPRODUCT(--(MOD(B52:G52,2)=1))</f>
        <v>2</v>
      </c>
      <c r="Q52" s="3">
        <f>6-P52</f>
        <v>4</v>
      </c>
      <c r="R52" s="34"/>
      <c r="S52" s="3">
        <f>COUNTIFS(B52:G52,"&gt;=1",B52:G52,"&lt;=23")</f>
        <v>3</v>
      </c>
      <c r="T52" s="3">
        <f>6-S52</f>
        <v>3</v>
      </c>
      <c r="U52" s="34"/>
      <c r="V52" s="3" cm="1">
        <f t="array" ref="V52">SUMPRODUCT(--(MOD(B52:G52,10)&gt;=1), --(MOD(B52:G52,10)&lt;=5))</f>
        <v>3</v>
      </c>
      <c r="W52" s="3">
        <f>6-V52</f>
        <v>3</v>
      </c>
      <c r="X52" s="34"/>
      <c r="Y52" s="3" cm="1">
        <f t="array" ref="Y52">IFERROR(COUNT(_xlfn._xlws.FILTER(B52:G52, ISNUMBER(MATCH(B52:G52, {2,3,5,7,11,13,17,19,23,29,31,37,41,43}, 0)))), 0)</f>
        <v>2</v>
      </c>
      <c r="Z52" s="3" cm="1">
        <f t="array" ref="Z52">IFERROR(COUNT(_xlfn._xlws.FILTER(B52:G52, ISNUMBER(MATCH(B52:G52, {1,4,8,10,14,16,20,22,25,26,28,32,34,35,38,40,44}, 0)))), 0)</f>
        <v>4</v>
      </c>
      <c r="AA52" s="3" cm="1">
        <f t="array" ref="AA52">IFERROR(COUNT(_xlfn._xlws.FILTER(B52:G52, ISNUMBER(MATCH(B52:G52, {6,9,12,15,18,21,24,27,30,33,36,39,42,45}, 0)))), 0)</f>
        <v>0</v>
      </c>
      <c r="AB52" s="30"/>
      <c r="AC52" s="26" t="str" cm="1">
        <f t="array" ref="AC52">_xlfn.IFS(
   OR(B52="",ISBLANK(B52),B52=0),0,
   ISNUMBER(MATCH(B52,{2,3,5,7,11,13,17,19,23,29,31,37,41,43},0)),"소",
   AND(ISNUMBER(B52),MOD(B52,3)=0),"배",
   AND(ISNUMBER(B52),B52&gt;0),"자"
)</f>
        <v>소</v>
      </c>
      <c r="AD52" s="26" t="str" cm="1">
        <f t="array" ref="AD52">_xlfn.IFS(
   OR(C52="",ISBLANK(C52),C52=0),0,
   ISNUMBER(MATCH(C52,{2,3,5,7,11,13,17,19,23,29,31,37,41,43},0)),"소",
   AND(ISNUMBER(C52),MOD(C52,3)=0),"배",
   AND(ISNUMBER(C52),C52&gt;0),"자"
)</f>
        <v>자</v>
      </c>
      <c r="AE52" s="26" t="str" cm="1">
        <f t="array" ref="AE52">_xlfn.IFS(
   OR(D52="",ISBLANK(D52),D52=0),0,
   ISNUMBER(MATCH(D52,{2,3,5,7,11,13,17,19,23,29,31,37,41,43},0)),"소",
   AND(ISNUMBER(D52),MOD(D52,3)=0),"배",
   AND(ISNUMBER(D52),D52&gt;0),"자"
)</f>
        <v>자</v>
      </c>
      <c r="AF52" s="26" t="str" cm="1">
        <f t="array" ref="AF52">_xlfn.IFS(
   OR(E52="",ISBLANK(E52),E52=0),0,
   ISNUMBER(MATCH(E52,{2,3,5,7,11,13,17,19,23,29,31,37,41,43},0)),"소",
   AND(ISNUMBER(E52),MOD(E52,3)=0),"배",
   AND(ISNUMBER(E52),E52&gt;0),"자"
)</f>
        <v>자</v>
      </c>
      <c r="AG52" s="26" t="str" cm="1">
        <f t="array" ref="AG52">_xlfn.IFS(
   OR(F52="",ISBLANK(F52),F52=0),0,
   ISNUMBER(MATCH(F52,{2,3,5,7,11,13,17,19,23,29,31,37,41,43},0)),"소",
   AND(ISNUMBER(F52),MOD(F52,3)=0),"배",
   AND(ISNUMBER(F52),F52&gt;0),"자"
)</f>
        <v>소</v>
      </c>
      <c r="AH52" s="26" t="str" cm="1">
        <f t="array" ref="AH52">_xlfn.IFS(
   OR(G52="",ISBLANK(G52),G52=0),0,
   ISNUMBER(MATCH(G52,{2,3,5,7,11,13,17,19,23,29,31,37,41,43},0)),"소",
   AND(ISNUMBER(G52),MOD(G52,3)=0),"배",
   AND(ISNUMBER(G52),G52&gt;0),"자"
)</f>
        <v>자</v>
      </c>
      <c r="AI52" s="30"/>
      <c r="AJ52" s="3">
        <f>COUNTIFS(B52:G52,"&gt;=1",B52:G52,"&lt;=14")</f>
        <v>2</v>
      </c>
      <c r="AK52" s="3">
        <f>COUNTIFS(B52:G52,"&gt;=15",B52:G52,"&lt;=31")</f>
        <v>3</v>
      </c>
      <c r="AL52" s="3">
        <f>6-AK52-AJ52</f>
        <v>1</v>
      </c>
      <c r="AM52" s="33"/>
      <c r="AN52" s="3">
        <f>COUNTIFS($B52:$G52, "&gt;=1",$B52:$G52, "&lt;=9")</f>
        <v>0</v>
      </c>
      <c r="AO52" s="3">
        <f>COUNTIFS($B52:$G52, "&gt;=10",$B52:$G52, "&lt;=18")</f>
        <v>2</v>
      </c>
      <c r="AP52" s="3">
        <f>COUNTIFS($B52:$G52, "&gt;=19",$B52:$G52, "&lt;=27")</f>
        <v>1</v>
      </c>
      <c r="AQ52" s="3">
        <f>COUNTIFS($B52:$G52, "&gt;=28",$B52:$G52, "&lt;=36")</f>
        <v>3</v>
      </c>
      <c r="AR52" s="3">
        <f>COUNTIFS($B52:$G52, "&gt;=37",$B52:$G52, "&lt;=45")</f>
        <v>0</v>
      </c>
      <c r="AS52" s="28" t="e">
        <f>#REF!</f>
        <v>#REF!</v>
      </c>
      <c r="AT52" s="28" t="e">
        <f>#REF!*2</f>
        <v>#REF!</v>
      </c>
      <c r="AU52" s="28" t="e">
        <f>#REF!</f>
        <v>#REF!</v>
      </c>
      <c r="AV52" s="28" t="e">
        <f>#REF!*2</f>
        <v>#REF!</v>
      </c>
      <c r="AW52" s="28" t="e">
        <f>#REF!</f>
        <v>#REF!</v>
      </c>
      <c r="AX52" s="28" t="e">
        <f>#REF!*2</f>
        <v>#REF!</v>
      </c>
      <c r="AY52" s="28" t="e">
        <f>#REF!</f>
        <v>#REF!</v>
      </c>
      <c r="AZ52" s="28" t="e">
        <f>#REF!*2</f>
        <v>#REF!</v>
      </c>
      <c r="BA52" s="28" t="e">
        <f>#REF!</f>
        <v>#REF!</v>
      </c>
      <c r="BB52" s="28" t="e">
        <f>#REF!*2</f>
        <v>#REF!</v>
      </c>
      <c r="BC52" s="28" t="e">
        <f>#REF!</f>
        <v>#REF!</v>
      </c>
      <c r="BD52" s="28" t="e">
        <f>#REF!*2</f>
        <v>#REF!</v>
      </c>
      <c r="BE52" s="9" t="e">
        <f>#REF!-#REF!</f>
        <v>#REF!</v>
      </c>
      <c r="BF52" s="9" t="e">
        <f>#REF!-#REF!</f>
        <v>#REF!</v>
      </c>
      <c r="BG52" s="9" t="e">
        <f>#REF!-#REF!</f>
        <v>#REF!</v>
      </c>
      <c r="BH52" s="9" t="e">
        <f>#REF!-#REF!</f>
        <v>#REF!</v>
      </c>
      <c r="BI52" s="9" t="e">
        <f>#REF!-#REF!</f>
        <v>#REF!</v>
      </c>
      <c r="BJ52" s="33"/>
      <c r="BK52" s="3">
        <f>COUNTIFS(B52:G52, "&gt;=1", B52:G52, "&lt;=9")</f>
        <v>0</v>
      </c>
      <c r="BL52" s="3">
        <f>COUNTIFS(B52:G52, "&gt;=10", B52:G52, "&lt;=19")</f>
        <v>2</v>
      </c>
      <c r="BM52" s="3">
        <f>COUNTIFS(B52:G52, "&gt;=20", B52:G52, "&lt;=29")</f>
        <v>3</v>
      </c>
      <c r="BN52" s="3">
        <f>COUNTIFS(B52:G52, "&gt;=30", B52:G52, "&lt;=39")</f>
        <v>1</v>
      </c>
      <c r="BO52" s="3">
        <f>COUNTIFS(B52:G52, "&gt;=40", B52:G52, "&lt;=45")</f>
        <v>0</v>
      </c>
      <c r="BP52" s="28" t="e">
        <f>#REF!</f>
        <v>#REF!</v>
      </c>
      <c r="BQ52" s="28" t="e">
        <f>#REF!*2</f>
        <v>#REF!</v>
      </c>
      <c r="BR52" s="28" t="e">
        <f>#REF!</f>
        <v>#REF!</v>
      </c>
      <c r="BS52" s="28" t="e">
        <f>#REF!*2</f>
        <v>#REF!</v>
      </c>
      <c r="BT52" s="28" t="e">
        <f>#REF!</f>
        <v>#REF!</v>
      </c>
      <c r="BU52" s="28" t="e">
        <f>#REF!*2</f>
        <v>#REF!</v>
      </c>
      <c r="BV52" s="28" t="e">
        <f>#REF!</f>
        <v>#REF!</v>
      </c>
      <c r="BW52" s="28" t="e">
        <f>#REF!*2</f>
        <v>#REF!</v>
      </c>
      <c r="BX52" s="28" t="e">
        <f>#REF!</f>
        <v>#REF!</v>
      </c>
      <c r="BY52" s="28" t="e">
        <f>#REF!*2</f>
        <v>#REF!</v>
      </c>
      <c r="BZ52" s="28" t="e">
        <f>#REF!</f>
        <v>#REF!</v>
      </c>
      <c r="CA52" s="28" t="e">
        <f>#REF!*2</f>
        <v>#REF!</v>
      </c>
      <c r="CB52" s="9">
        <f>C52-B52</f>
        <v>1</v>
      </c>
      <c r="CC52" s="9">
        <f>D52-C52</f>
        <v>6</v>
      </c>
      <c r="CD52" s="9">
        <f>E52-D52</f>
        <v>8</v>
      </c>
      <c r="CE52" s="9">
        <f>F52-E52</f>
        <v>1</v>
      </c>
      <c r="CF52" s="9">
        <f>G52-F52</f>
        <v>5</v>
      </c>
      <c r="CG52" s="33"/>
      <c r="CH52" s="9">
        <f>C52-B52</f>
        <v>1</v>
      </c>
      <c r="CI52" s="9">
        <f>D52-C52</f>
        <v>6</v>
      </c>
      <c r="CJ52" s="9">
        <f>E52-D52</f>
        <v>8</v>
      </c>
      <c r="CK52" s="9">
        <f>F52-E52</f>
        <v>1</v>
      </c>
      <c r="CL52" s="9">
        <f>G52-F52</f>
        <v>5</v>
      </c>
      <c r="CM52" s="32"/>
      <c r="CN52" s="3">
        <f>IF(OR(CH52="",ISBLANK(CH52),CH52=0),0,IF(MOD(CH52,2)=1,1,2))</f>
        <v>1</v>
      </c>
      <c r="CO52" s="3">
        <f>IF(OR(CI52="",ISBLANK(CI52),CI52=0),0,IF(MOD(CI52,2)=1,1,2))</f>
        <v>2</v>
      </c>
      <c r="CP52" s="3">
        <f>IF(OR(CJ52="",ISBLANK(CJ52),CJ52=0),0,IF(MOD(CJ52,2)=1,1,2))</f>
        <v>2</v>
      </c>
      <c r="CQ52" s="3">
        <f>IF(OR(CK52="",ISBLANK(CK52),CK52=0),0,IF(MOD(CK52,2)=1,1,2))</f>
        <v>1</v>
      </c>
      <c r="CR52" s="3">
        <f>IF(OR(CL52="",ISBLANK(CL52),CL52=0),0,IF(MOD(CL52,2)=1,1,2))</f>
        <v>1</v>
      </c>
      <c r="CS52" s="31"/>
      <c r="CT52" s="3" cm="1">
        <f t="array" ref="CT52">SUMPRODUCT(--(MOD(CH52:CL52,2)=1))</f>
        <v>3</v>
      </c>
      <c r="CU52" s="3">
        <f>5-CT52</f>
        <v>2</v>
      </c>
      <c r="CV52" s="30"/>
      <c r="CW52" s="3" cm="1">
        <f t="array" ref="CW52">SUMPRODUCT(--(MOD(CH52:CL52,10)&gt;=1), --(MOD(CH52:CL52,10)&lt;=5))</f>
        <v>3</v>
      </c>
      <c r="CX52" s="3">
        <f>5-CW52</f>
        <v>2</v>
      </c>
      <c r="CY52" s="30"/>
      <c r="CZ52" s="3" cm="1">
        <f t="array" ref="CZ52">IFERROR(COUNT(_xlfn._xlws.FILTER(CH52:CL52, ISNUMBER(MATCH(CH52:CL52, {2,3,5,7,11,13,17,19,23,29,31,37,41,43}, 0)))), 0)</f>
        <v>1</v>
      </c>
      <c r="DA52" s="3" cm="1">
        <f t="array" ref="DA52">IFERROR(COUNT(_xlfn._xlws.FILTER(CH52:CL52, ISNUMBER(MATCH(CH52:CL52, {1,4,8,10,14,16,20,22,25,26,28,32,34,35,38,40,44}, 0)))), 0)</f>
        <v>3</v>
      </c>
      <c r="DB52" s="3" cm="1">
        <f t="array" ref="DB52">IFERROR(COUNT(_xlfn._xlws.FILTER(CH52:CL52, ISNUMBER(MATCH(CH52:CL52, {6,9,12,15,18,21,24,27,30,33,36,39,42,45}, 0)))), 0)</f>
        <v>1</v>
      </c>
      <c r="DC52" s="29"/>
      <c r="DD52" s="28" t="e">
        <f>#REF!</f>
        <v>#REF!</v>
      </c>
      <c r="DE52" s="28" t="e">
        <f>#REF!*2</f>
        <v>#REF!</v>
      </c>
      <c r="DF52" s="28" t="e">
        <f>#REF!</f>
        <v>#REF!</v>
      </c>
      <c r="DG52" s="28" t="e">
        <f>#REF!*2</f>
        <v>#REF!</v>
      </c>
      <c r="DH52" s="28" t="e">
        <f>#REF!</f>
        <v>#REF!</v>
      </c>
      <c r="DI52" s="28" t="e">
        <f>#REF!*2</f>
        <v>#REF!</v>
      </c>
      <c r="DJ52" s="28" t="e">
        <f>#REF!</f>
        <v>#REF!</v>
      </c>
      <c r="DK52" s="28" t="e">
        <f>#REF!*2</f>
        <v>#REF!</v>
      </c>
      <c r="DL52" s="28" t="e">
        <f>#REF!</f>
        <v>#REF!</v>
      </c>
      <c r="DM52" s="28" t="e">
        <f>#REF!*2</f>
        <v>#REF!</v>
      </c>
      <c r="DN52" s="27"/>
      <c r="DO52" s="26" t="str" cm="1">
        <f t="array" ref="DO52">_xlfn.IFS(
   OR(CH52="",ISBLANK(CH52),CH52=0),0,
   ISNUMBER(MATCH(CH52,{2,3,5,7,11,13,17,19,23,29,31,37,41,43},0)),"소",
   AND(ISNUMBER(CH52),MOD(CH52,3)=0),"배",
   AND(ISNUMBER(CH52),CH52&gt;0),"자"
)</f>
        <v>자</v>
      </c>
      <c r="DP52" s="26" t="str" cm="1">
        <f t="array" ref="DP52">_xlfn.IFS(
   OR(CI52="",ISBLANK(CI52),CI52=0),0,
   ISNUMBER(MATCH(CI52,{2,3,5,7,11,13,17,19,23,29,31,37,41,43},0)),"소",
   AND(ISNUMBER(CI52),MOD(CI52,3)=0),"배",
   AND(ISNUMBER(CI52),CI52&gt;0),"자"
)</f>
        <v>배</v>
      </c>
      <c r="DQ52" s="26" t="str" cm="1">
        <f t="array" ref="DQ52">_xlfn.IFS(
   OR(CJ52="",ISBLANK(CJ52),CJ52=0),0,
   ISNUMBER(MATCH(CJ52,{2,3,5,7,11,13,17,19,23,29,31,37,41,43},0)),"소",
   AND(ISNUMBER(CJ52),MOD(CJ52,3)=0),"배",
   AND(ISNUMBER(CJ52),CJ52&gt;0),"자"
)</f>
        <v>자</v>
      </c>
      <c r="DR52" s="26" t="str" cm="1">
        <f t="array" ref="DR52">_xlfn.IFS(
   OR(CK52="",ISBLANK(CK52),CK52=0),0,
   ISNUMBER(MATCH(CK52,{2,3,5,7,11,13,17,19,23,29,31,37,41,43},0)),"소",
   AND(ISNUMBER(CK52),MOD(CK52,3)=0),"배",
   AND(ISNUMBER(CK52),CK52&gt;0),"자"
)</f>
        <v>자</v>
      </c>
      <c r="DS52" s="26" t="str" cm="1">
        <f t="array" ref="DS52">_xlfn.IFS(
   OR(CL52="",ISBLANK(CL52),CL52=0),0,
   ISNUMBER(MATCH(CL52,{2,3,5,7,11,13,17,19,23,29,31,37,41,43},0)),"소",
   AND(ISNUMBER(CL52),MOD(CL52,3)=0),"배",
   AND(ISNUMBER(CL52),CL52&gt;0),"자"
)</f>
        <v>소</v>
      </c>
      <c r="DT52" s="25"/>
    </row>
    <row r="53" spans="2:124" x14ac:dyDescent="0.3">
      <c r="B53" s="3">
        <v>3</v>
      </c>
      <c r="C53" s="3">
        <v>7</v>
      </c>
      <c r="D53" s="3">
        <v>9</v>
      </c>
      <c r="E53" s="3">
        <v>13</v>
      </c>
      <c r="F53" s="3">
        <v>19</v>
      </c>
      <c r="G53" s="3">
        <v>24</v>
      </c>
      <c r="H53" s="32"/>
      <c r="I53" s="3">
        <f>IF(OR(B53="",ISBLANK(B53),B53=0),0,IF(MOD(B53,2)=1,1,2))</f>
        <v>1</v>
      </c>
      <c r="J53" s="3">
        <f>IF(OR(C53="",ISBLANK(C53),C53=0),0,IF(MOD(C53,2)=1,1,2))</f>
        <v>1</v>
      </c>
      <c r="K53" s="3">
        <f>IF(OR(D53="",ISBLANK(D53),D53=0),0,IF(MOD(D53,2)=1,1,2))</f>
        <v>1</v>
      </c>
      <c r="L53" s="3">
        <f>IF(OR(E53="",ISBLANK(E53),E53=0),0,IF(MOD(E53,2)=1,1,2))</f>
        <v>1</v>
      </c>
      <c r="M53" s="3">
        <f>IF(OR(F53="",ISBLANK(F53),F53=0),0,IF(MOD(F53,2)=1,1,2))</f>
        <v>1</v>
      </c>
      <c r="N53" s="3">
        <f>IF(OR(G53="",ISBLANK(G53),G53=0),0,IF(MOD(G53,2)=1,1,2))</f>
        <v>2</v>
      </c>
      <c r="O53" s="32"/>
      <c r="P53" s="3" cm="1">
        <f t="array" ref="P53">SUMPRODUCT(--(MOD(B53:G53,2)=1))</f>
        <v>5</v>
      </c>
      <c r="Q53" s="3">
        <f>6-P53</f>
        <v>1</v>
      </c>
      <c r="R53" s="34"/>
      <c r="S53" s="3">
        <f>COUNTIFS(B53:G53,"&gt;=1",B53:G53,"&lt;=23")</f>
        <v>5</v>
      </c>
      <c r="T53" s="3">
        <f>6-S53</f>
        <v>1</v>
      </c>
      <c r="U53" s="34"/>
      <c r="V53" s="3" cm="1">
        <f t="array" ref="V53">SUMPRODUCT(--(MOD(B53:G53,10)&gt;=1), --(MOD(B53:G53,10)&lt;=5))</f>
        <v>3</v>
      </c>
      <c r="W53" s="3">
        <f>6-V53</f>
        <v>3</v>
      </c>
      <c r="X53" s="34"/>
      <c r="Y53" s="3" cm="1">
        <f t="array" ref="Y53">IFERROR(COUNT(_xlfn._xlws.FILTER(B53:G53, ISNUMBER(MATCH(B53:G53, {2,3,5,7,11,13,17,19,23,29,31,37,41,43}, 0)))), 0)</f>
        <v>4</v>
      </c>
      <c r="Z53" s="3" cm="1">
        <f t="array" ref="Z53">IFERROR(COUNT(_xlfn._xlws.FILTER(B53:G53, ISNUMBER(MATCH(B53:G53, {1,4,8,10,14,16,20,22,25,26,28,32,34,35,38,40,44}, 0)))), 0)</f>
        <v>0</v>
      </c>
      <c r="AA53" s="3" cm="1">
        <f t="array" ref="AA53">IFERROR(COUNT(_xlfn._xlws.FILTER(B53:G53, ISNUMBER(MATCH(B53:G53, {6,9,12,15,18,21,24,27,30,33,36,39,42,45}, 0)))), 0)</f>
        <v>2</v>
      </c>
      <c r="AB53" s="30"/>
      <c r="AC53" s="26" t="str" cm="1">
        <f t="array" ref="AC53">_xlfn.IFS(
   OR(B53="",ISBLANK(B53),B53=0),0,
   ISNUMBER(MATCH(B53,{2,3,5,7,11,13,17,19,23,29,31,37,41,43},0)),"소",
   AND(ISNUMBER(B53),MOD(B53,3)=0),"배",
   AND(ISNUMBER(B53),B53&gt;0),"자"
)</f>
        <v>소</v>
      </c>
      <c r="AD53" s="26" t="str" cm="1">
        <f t="array" ref="AD53">_xlfn.IFS(
   OR(C53="",ISBLANK(C53),C53=0),0,
   ISNUMBER(MATCH(C53,{2,3,5,7,11,13,17,19,23,29,31,37,41,43},0)),"소",
   AND(ISNUMBER(C53),MOD(C53,3)=0),"배",
   AND(ISNUMBER(C53),C53&gt;0),"자"
)</f>
        <v>소</v>
      </c>
      <c r="AE53" s="26" t="str" cm="1">
        <f t="array" ref="AE53">_xlfn.IFS(
   OR(D53="",ISBLANK(D53),D53=0),0,
   ISNUMBER(MATCH(D53,{2,3,5,7,11,13,17,19,23,29,31,37,41,43},0)),"소",
   AND(ISNUMBER(D53),MOD(D53,3)=0),"배",
   AND(ISNUMBER(D53),D53&gt;0),"자"
)</f>
        <v>배</v>
      </c>
      <c r="AF53" s="26" t="str" cm="1">
        <f t="array" ref="AF53">_xlfn.IFS(
   OR(E53="",ISBLANK(E53),E53=0),0,
   ISNUMBER(MATCH(E53,{2,3,5,7,11,13,17,19,23,29,31,37,41,43},0)),"소",
   AND(ISNUMBER(E53),MOD(E53,3)=0),"배",
   AND(ISNUMBER(E53),E53&gt;0),"자"
)</f>
        <v>소</v>
      </c>
      <c r="AG53" s="26" t="str" cm="1">
        <f t="array" ref="AG53">_xlfn.IFS(
   OR(F53="",ISBLANK(F53),F53=0),0,
   ISNUMBER(MATCH(F53,{2,3,5,7,11,13,17,19,23,29,31,37,41,43},0)),"소",
   AND(ISNUMBER(F53),MOD(F53,3)=0),"배",
   AND(ISNUMBER(F53),F53&gt;0),"자"
)</f>
        <v>소</v>
      </c>
      <c r="AH53" s="26" t="str" cm="1">
        <f t="array" ref="AH53">_xlfn.IFS(
   OR(G53="",ISBLANK(G53),G53=0),0,
   ISNUMBER(MATCH(G53,{2,3,5,7,11,13,17,19,23,29,31,37,41,43},0)),"소",
   AND(ISNUMBER(G53),MOD(G53,3)=0),"배",
   AND(ISNUMBER(G53),G53&gt;0),"자"
)</f>
        <v>배</v>
      </c>
      <c r="AI53" s="30"/>
      <c r="AJ53" s="3">
        <f>COUNTIFS(B53:G53,"&gt;=1",B53:G53,"&lt;=14")</f>
        <v>4</v>
      </c>
      <c r="AK53" s="3">
        <f>COUNTIFS(B53:G53,"&gt;=15",B53:G53,"&lt;=31")</f>
        <v>2</v>
      </c>
      <c r="AL53" s="3">
        <f>6-AK53-AJ53</f>
        <v>0</v>
      </c>
      <c r="AM53" s="33"/>
      <c r="AN53" s="3">
        <f>COUNTIFS($B53:$G53, "&gt;=1",$B53:$G53, "&lt;=9")</f>
        <v>3</v>
      </c>
      <c r="AO53" s="3">
        <f>COUNTIFS($B53:$G53, "&gt;=10",$B53:$G53, "&lt;=18")</f>
        <v>1</v>
      </c>
      <c r="AP53" s="3">
        <f>COUNTIFS($B53:$G53, "&gt;=19",$B53:$G53, "&lt;=27")</f>
        <v>2</v>
      </c>
      <c r="AQ53" s="3">
        <f>COUNTIFS($B53:$G53, "&gt;=28",$B53:$G53, "&lt;=36")</f>
        <v>0</v>
      </c>
      <c r="AR53" s="3">
        <f>COUNTIFS($B53:$G53, "&gt;=37",$B53:$G53, "&lt;=45")</f>
        <v>0</v>
      </c>
      <c r="AS53" s="28" t="e">
        <f>#REF!</f>
        <v>#REF!</v>
      </c>
      <c r="AT53" s="28" t="e">
        <f>#REF!*2</f>
        <v>#REF!</v>
      </c>
      <c r="AU53" s="28" t="e">
        <f>#REF!</f>
        <v>#REF!</v>
      </c>
      <c r="AV53" s="28" t="e">
        <f>#REF!*2</f>
        <v>#REF!</v>
      </c>
      <c r="AW53" s="28" t="e">
        <f>#REF!</f>
        <v>#REF!</v>
      </c>
      <c r="AX53" s="28" t="e">
        <f>#REF!*2</f>
        <v>#REF!</v>
      </c>
      <c r="AY53" s="28" t="e">
        <f>#REF!</f>
        <v>#REF!</v>
      </c>
      <c r="AZ53" s="28" t="e">
        <f>#REF!*2</f>
        <v>#REF!</v>
      </c>
      <c r="BA53" s="28" t="e">
        <f>#REF!</f>
        <v>#REF!</v>
      </c>
      <c r="BB53" s="28" t="e">
        <f>#REF!*2</f>
        <v>#REF!</v>
      </c>
      <c r="BC53" s="28" t="e">
        <f>#REF!</f>
        <v>#REF!</v>
      </c>
      <c r="BD53" s="28" t="e">
        <f>#REF!*2</f>
        <v>#REF!</v>
      </c>
      <c r="BE53" s="9" t="e">
        <f>#REF!-#REF!</f>
        <v>#REF!</v>
      </c>
      <c r="BF53" s="9" t="e">
        <f>#REF!-#REF!</f>
        <v>#REF!</v>
      </c>
      <c r="BG53" s="9" t="e">
        <f>#REF!-#REF!</f>
        <v>#REF!</v>
      </c>
      <c r="BH53" s="9" t="e">
        <f>#REF!-#REF!</f>
        <v>#REF!</v>
      </c>
      <c r="BI53" s="9" t="e">
        <f>#REF!-#REF!</f>
        <v>#REF!</v>
      </c>
      <c r="BJ53" s="33"/>
      <c r="BK53" s="3">
        <f>COUNTIFS(B53:G53, "&gt;=1", B53:G53, "&lt;=9")</f>
        <v>3</v>
      </c>
      <c r="BL53" s="3">
        <f>COUNTIFS(B53:G53, "&gt;=10", B53:G53, "&lt;=19")</f>
        <v>2</v>
      </c>
      <c r="BM53" s="3">
        <f>COUNTIFS(B53:G53, "&gt;=20", B53:G53, "&lt;=29")</f>
        <v>1</v>
      </c>
      <c r="BN53" s="3">
        <f>COUNTIFS(B53:G53, "&gt;=30", B53:G53, "&lt;=39")</f>
        <v>0</v>
      </c>
      <c r="BO53" s="3">
        <f>COUNTIFS(B53:G53, "&gt;=40", B53:G53, "&lt;=45")</f>
        <v>0</v>
      </c>
      <c r="BP53" s="28" t="e">
        <f>#REF!</f>
        <v>#REF!</v>
      </c>
      <c r="BQ53" s="28" t="e">
        <f>#REF!*2</f>
        <v>#REF!</v>
      </c>
      <c r="BR53" s="28" t="e">
        <f>#REF!</f>
        <v>#REF!</v>
      </c>
      <c r="BS53" s="28" t="e">
        <f>#REF!*2</f>
        <v>#REF!</v>
      </c>
      <c r="BT53" s="28" t="e">
        <f>#REF!</f>
        <v>#REF!</v>
      </c>
      <c r="BU53" s="28" t="e">
        <f>#REF!*2</f>
        <v>#REF!</v>
      </c>
      <c r="BV53" s="28" t="e">
        <f>#REF!</f>
        <v>#REF!</v>
      </c>
      <c r="BW53" s="28" t="e">
        <f>#REF!*2</f>
        <v>#REF!</v>
      </c>
      <c r="BX53" s="28" t="e">
        <f>#REF!</f>
        <v>#REF!</v>
      </c>
      <c r="BY53" s="28" t="e">
        <f>#REF!*2</f>
        <v>#REF!</v>
      </c>
      <c r="BZ53" s="28" t="e">
        <f>#REF!</f>
        <v>#REF!</v>
      </c>
      <c r="CA53" s="28" t="e">
        <f>#REF!*2</f>
        <v>#REF!</v>
      </c>
      <c r="CB53" s="9">
        <f>C53-B53</f>
        <v>4</v>
      </c>
      <c r="CC53" s="9">
        <f>D53-C53</f>
        <v>2</v>
      </c>
      <c r="CD53" s="9">
        <f>E53-D53</f>
        <v>4</v>
      </c>
      <c r="CE53" s="9">
        <f>F53-E53</f>
        <v>6</v>
      </c>
      <c r="CF53" s="9">
        <f>G53-F53</f>
        <v>5</v>
      </c>
      <c r="CG53" s="33"/>
      <c r="CH53" s="9">
        <f>C53-B53</f>
        <v>4</v>
      </c>
      <c r="CI53" s="9">
        <f>D53-C53</f>
        <v>2</v>
      </c>
      <c r="CJ53" s="9">
        <f>E53-D53</f>
        <v>4</v>
      </c>
      <c r="CK53" s="9">
        <f>F53-E53</f>
        <v>6</v>
      </c>
      <c r="CL53" s="9">
        <f>G53-F53</f>
        <v>5</v>
      </c>
      <c r="CM53" s="32"/>
      <c r="CN53" s="3">
        <f>IF(OR(CH53="",ISBLANK(CH53),CH53=0),0,IF(MOD(CH53,2)=1,1,2))</f>
        <v>2</v>
      </c>
      <c r="CO53" s="3">
        <f>IF(OR(CI53="",ISBLANK(CI53),CI53=0),0,IF(MOD(CI53,2)=1,1,2))</f>
        <v>2</v>
      </c>
      <c r="CP53" s="3">
        <f>IF(OR(CJ53="",ISBLANK(CJ53),CJ53=0),0,IF(MOD(CJ53,2)=1,1,2))</f>
        <v>2</v>
      </c>
      <c r="CQ53" s="3">
        <f>IF(OR(CK53="",ISBLANK(CK53),CK53=0),0,IF(MOD(CK53,2)=1,1,2))</f>
        <v>2</v>
      </c>
      <c r="CR53" s="3">
        <f>IF(OR(CL53="",ISBLANK(CL53),CL53=0),0,IF(MOD(CL53,2)=1,1,2))</f>
        <v>1</v>
      </c>
      <c r="CS53" s="31"/>
      <c r="CT53" s="3" cm="1">
        <f t="array" ref="CT53">SUMPRODUCT(--(MOD(CH53:CL53,2)=1))</f>
        <v>1</v>
      </c>
      <c r="CU53" s="3">
        <f>5-CT53</f>
        <v>4</v>
      </c>
      <c r="CV53" s="30"/>
      <c r="CW53" s="3" cm="1">
        <f t="array" ref="CW53">SUMPRODUCT(--(MOD(CH53:CL53,10)&gt;=1), --(MOD(CH53:CL53,10)&lt;=5))</f>
        <v>4</v>
      </c>
      <c r="CX53" s="3">
        <f>5-CW53</f>
        <v>1</v>
      </c>
      <c r="CY53" s="30"/>
      <c r="CZ53" s="3" cm="1">
        <f t="array" ref="CZ53">IFERROR(COUNT(_xlfn._xlws.FILTER(CH53:CL53, ISNUMBER(MATCH(CH53:CL53, {2,3,5,7,11,13,17,19,23,29,31,37,41,43}, 0)))), 0)</f>
        <v>2</v>
      </c>
      <c r="DA53" s="3" cm="1">
        <f t="array" ref="DA53">IFERROR(COUNT(_xlfn._xlws.FILTER(CH53:CL53, ISNUMBER(MATCH(CH53:CL53, {1,4,8,10,14,16,20,22,25,26,28,32,34,35,38,40,44}, 0)))), 0)</f>
        <v>2</v>
      </c>
      <c r="DB53" s="3" cm="1">
        <f t="array" ref="DB53">IFERROR(COUNT(_xlfn._xlws.FILTER(CH53:CL53, ISNUMBER(MATCH(CH53:CL53, {6,9,12,15,18,21,24,27,30,33,36,39,42,45}, 0)))), 0)</f>
        <v>1</v>
      </c>
      <c r="DC53" s="29"/>
      <c r="DD53" s="28" t="e">
        <f>#REF!</f>
        <v>#REF!</v>
      </c>
      <c r="DE53" s="28" t="e">
        <f>#REF!*2</f>
        <v>#REF!</v>
      </c>
      <c r="DF53" s="28" t="e">
        <f>#REF!</f>
        <v>#REF!</v>
      </c>
      <c r="DG53" s="28" t="e">
        <f>#REF!*2</f>
        <v>#REF!</v>
      </c>
      <c r="DH53" s="28" t="e">
        <f>#REF!</f>
        <v>#REF!</v>
      </c>
      <c r="DI53" s="28" t="e">
        <f>#REF!*2</f>
        <v>#REF!</v>
      </c>
      <c r="DJ53" s="28" t="e">
        <f>#REF!</f>
        <v>#REF!</v>
      </c>
      <c r="DK53" s="28" t="e">
        <f>#REF!*2</f>
        <v>#REF!</v>
      </c>
      <c r="DL53" s="28" t="e">
        <f>#REF!</f>
        <v>#REF!</v>
      </c>
      <c r="DM53" s="28" t="e">
        <f>#REF!*2</f>
        <v>#REF!</v>
      </c>
      <c r="DN53" s="27"/>
      <c r="DO53" s="26" t="str" cm="1">
        <f t="array" ref="DO53">_xlfn.IFS(
   OR(CH53="",ISBLANK(CH53),CH53=0),0,
   ISNUMBER(MATCH(CH53,{2,3,5,7,11,13,17,19,23,29,31,37,41,43},0)),"소",
   AND(ISNUMBER(CH53),MOD(CH53,3)=0),"배",
   AND(ISNUMBER(CH53),CH53&gt;0),"자"
)</f>
        <v>자</v>
      </c>
      <c r="DP53" s="26" t="str" cm="1">
        <f t="array" ref="DP53">_xlfn.IFS(
   OR(CI53="",ISBLANK(CI53),CI53=0),0,
   ISNUMBER(MATCH(CI53,{2,3,5,7,11,13,17,19,23,29,31,37,41,43},0)),"소",
   AND(ISNUMBER(CI53),MOD(CI53,3)=0),"배",
   AND(ISNUMBER(CI53),CI53&gt;0),"자"
)</f>
        <v>소</v>
      </c>
      <c r="DQ53" s="26" t="str" cm="1">
        <f t="array" ref="DQ53">_xlfn.IFS(
   OR(CJ53="",ISBLANK(CJ53),CJ53=0),0,
   ISNUMBER(MATCH(CJ53,{2,3,5,7,11,13,17,19,23,29,31,37,41,43},0)),"소",
   AND(ISNUMBER(CJ53),MOD(CJ53,3)=0),"배",
   AND(ISNUMBER(CJ53),CJ53&gt;0),"자"
)</f>
        <v>자</v>
      </c>
      <c r="DR53" s="26" t="str" cm="1">
        <f t="array" ref="DR53">_xlfn.IFS(
   OR(CK53="",ISBLANK(CK53),CK53=0),0,
   ISNUMBER(MATCH(CK53,{2,3,5,7,11,13,17,19,23,29,31,37,41,43},0)),"소",
   AND(ISNUMBER(CK53),MOD(CK53,3)=0),"배",
   AND(ISNUMBER(CK53),CK53&gt;0),"자"
)</f>
        <v>배</v>
      </c>
      <c r="DS53" s="26" t="str" cm="1">
        <f t="array" ref="DS53">_xlfn.IFS(
   OR(CL53="",ISBLANK(CL53),CL53=0),0,
   ISNUMBER(MATCH(CL53,{2,3,5,7,11,13,17,19,23,29,31,37,41,43},0)),"소",
   AND(ISNUMBER(CL53),MOD(CL53,3)=0),"배",
   AND(ISNUMBER(CL53),CL53&gt;0),"자"
)</f>
        <v>소</v>
      </c>
      <c r="DT53" s="25"/>
    </row>
    <row r="54" spans="2:124" x14ac:dyDescent="0.3">
      <c r="B54" s="3">
        <v>1</v>
      </c>
      <c r="C54" s="3">
        <v>6</v>
      </c>
      <c r="D54" s="3">
        <v>13</v>
      </c>
      <c r="E54" s="3">
        <v>19</v>
      </c>
      <c r="F54" s="3">
        <v>21</v>
      </c>
      <c r="G54" s="3">
        <v>33</v>
      </c>
      <c r="H54" s="32"/>
      <c r="I54" s="3">
        <f>IF(OR(B54="",ISBLANK(B54),B54=0),0,IF(MOD(B54,2)=1,1,2))</f>
        <v>1</v>
      </c>
      <c r="J54" s="3">
        <f>IF(OR(C54="",ISBLANK(C54),C54=0),0,IF(MOD(C54,2)=1,1,2))</f>
        <v>2</v>
      </c>
      <c r="K54" s="3">
        <f>IF(OR(D54="",ISBLANK(D54),D54=0),0,IF(MOD(D54,2)=1,1,2))</f>
        <v>1</v>
      </c>
      <c r="L54" s="3">
        <f>IF(OR(E54="",ISBLANK(E54),E54=0),0,IF(MOD(E54,2)=1,1,2))</f>
        <v>1</v>
      </c>
      <c r="M54" s="3">
        <f>IF(OR(F54="",ISBLANK(F54),F54=0),0,IF(MOD(F54,2)=1,1,2))</f>
        <v>1</v>
      </c>
      <c r="N54" s="3">
        <f>IF(OR(G54="",ISBLANK(G54),G54=0),0,IF(MOD(G54,2)=1,1,2))</f>
        <v>1</v>
      </c>
      <c r="O54" s="32"/>
      <c r="P54" s="3" cm="1">
        <f t="array" ref="P54">SUMPRODUCT(--(MOD(B54:G54,2)=1))</f>
        <v>5</v>
      </c>
      <c r="Q54" s="3">
        <f>6-P54</f>
        <v>1</v>
      </c>
      <c r="R54" s="34"/>
      <c r="S54" s="3">
        <f>COUNTIFS(B54:G54,"&gt;=1",B54:G54,"&lt;=23")</f>
        <v>5</v>
      </c>
      <c r="T54" s="3">
        <f>6-S54</f>
        <v>1</v>
      </c>
      <c r="U54" s="34"/>
      <c r="V54" s="3" cm="1">
        <f t="array" ref="V54">SUMPRODUCT(--(MOD(B54:G54,10)&gt;=1), --(MOD(B54:G54,10)&lt;=5))</f>
        <v>4</v>
      </c>
      <c r="W54" s="3">
        <f>6-V54</f>
        <v>2</v>
      </c>
      <c r="X54" s="34"/>
      <c r="Y54" s="3" cm="1">
        <f t="array" ref="Y54">IFERROR(COUNT(_xlfn._xlws.FILTER(B54:G54, ISNUMBER(MATCH(B54:G54, {2,3,5,7,11,13,17,19,23,29,31,37,41,43}, 0)))), 0)</f>
        <v>2</v>
      </c>
      <c r="Z54" s="3" cm="1">
        <f t="array" ref="Z54">IFERROR(COUNT(_xlfn._xlws.FILTER(B54:G54, ISNUMBER(MATCH(B54:G54, {1,4,8,10,14,16,20,22,25,26,28,32,34,35,38,40,44}, 0)))), 0)</f>
        <v>1</v>
      </c>
      <c r="AA54" s="3" cm="1">
        <f t="array" ref="AA54">IFERROR(COUNT(_xlfn._xlws.FILTER(B54:G54, ISNUMBER(MATCH(B54:G54, {6,9,12,15,18,21,24,27,30,33,36,39,42,45}, 0)))), 0)</f>
        <v>3</v>
      </c>
      <c r="AB54" s="30"/>
      <c r="AC54" s="26" t="str" cm="1">
        <f t="array" ref="AC54">_xlfn.IFS(
   OR(B54="",ISBLANK(B54),B54=0),0,
   ISNUMBER(MATCH(B54,{2,3,5,7,11,13,17,19,23,29,31,37,41,43},0)),"소",
   AND(ISNUMBER(B54),MOD(B54,3)=0),"배",
   AND(ISNUMBER(B54),B54&gt;0),"자"
)</f>
        <v>자</v>
      </c>
      <c r="AD54" s="26" t="str" cm="1">
        <f t="array" ref="AD54">_xlfn.IFS(
   OR(C54="",ISBLANK(C54),C54=0),0,
   ISNUMBER(MATCH(C54,{2,3,5,7,11,13,17,19,23,29,31,37,41,43},0)),"소",
   AND(ISNUMBER(C54),MOD(C54,3)=0),"배",
   AND(ISNUMBER(C54),C54&gt;0),"자"
)</f>
        <v>배</v>
      </c>
      <c r="AE54" s="26" t="str" cm="1">
        <f t="array" ref="AE54">_xlfn.IFS(
   OR(D54="",ISBLANK(D54),D54=0),0,
   ISNUMBER(MATCH(D54,{2,3,5,7,11,13,17,19,23,29,31,37,41,43},0)),"소",
   AND(ISNUMBER(D54),MOD(D54,3)=0),"배",
   AND(ISNUMBER(D54),D54&gt;0),"자"
)</f>
        <v>소</v>
      </c>
      <c r="AF54" s="26" t="str" cm="1">
        <f t="array" ref="AF54">_xlfn.IFS(
   OR(E54="",ISBLANK(E54),E54=0),0,
   ISNUMBER(MATCH(E54,{2,3,5,7,11,13,17,19,23,29,31,37,41,43},0)),"소",
   AND(ISNUMBER(E54),MOD(E54,3)=0),"배",
   AND(ISNUMBER(E54),E54&gt;0),"자"
)</f>
        <v>소</v>
      </c>
      <c r="AG54" s="26" t="str" cm="1">
        <f t="array" ref="AG54">_xlfn.IFS(
   OR(F54="",ISBLANK(F54),F54=0),0,
   ISNUMBER(MATCH(F54,{2,3,5,7,11,13,17,19,23,29,31,37,41,43},0)),"소",
   AND(ISNUMBER(F54),MOD(F54,3)=0),"배",
   AND(ISNUMBER(F54),F54&gt;0),"자"
)</f>
        <v>배</v>
      </c>
      <c r="AH54" s="26" t="str" cm="1">
        <f t="array" ref="AH54">_xlfn.IFS(
   OR(G54="",ISBLANK(G54),G54=0),0,
   ISNUMBER(MATCH(G54,{2,3,5,7,11,13,17,19,23,29,31,37,41,43},0)),"소",
   AND(ISNUMBER(G54),MOD(G54,3)=0),"배",
   AND(ISNUMBER(G54),G54&gt;0),"자"
)</f>
        <v>배</v>
      </c>
      <c r="AI54" s="30"/>
      <c r="AJ54" s="3">
        <f>COUNTIFS(B54:G54,"&gt;=1",B54:G54,"&lt;=14")</f>
        <v>3</v>
      </c>
      <c r="AK54" s="3">
        <f>COUNTIFS(B54:G54,"&gt;=15",B54:G54,"&lt;=31")</f>
        <v>2</v>
      </c>
      <c r="AL54" s="3">
        <f>6-AK54-AJ54</f>
        <v>1</v>
      </c>
      <c r="AM54" s="33"/>
      <c r="AN54" s="3">
        <f>COUNTIFS($B54:$G54, "&gt;=1",$B54:$G54, "&lt;=9")</f>
        <v>2</v>
      </c>
      <c r="AO54" s="3">
        <f>COUNTIFS($B54:$G54, "&gt;=10",$B54:$G54, "&lt;=18")</f>
        <v>1</v>
      </c>
      <c r="AP54" s="3">
        <f>COUNTIFS($B54:$G54, "&gt;=19",$B54:$G54, "&lt;=27")</f>
        <v>2</v>
      </c>
      <c r="AQ54" s="3">
        <f>COUNTIFS($B54:$G54, "&gt;=28",$B54:$G54, "&lt;=36")</f>
        <v>1</v>
      </c>
      <c r="AR54" s="3">
        <f>COUNTIFS($B54:$G54, "&gt;=37",$B54:$G54, "&lt;=45")</f>
        <v>0</v>
      </c>
      <c r="AS54" s="28" t="e">
        <f>#REF!</f>
        <v>#REF!</v>
      </c>
      <c r="AT54" s="28" t="e">
        <f>#REF!*2</f>
        <v>#REF!</v>
      </c>
      <c r="AU54" s="28" t="e">
        <f>#REF!</f>
        <v>#REF!</v>
      </c>
      <c r="AV54" s="28" t="e">
        <f>#REF!*2</f>
        <v>#REF!</v>
      </c>
      <c r="AW54" s="28" t="e">
        <f>#REF!</f>
        <v>#REF!</v>
      </c>
      <c r="AX54" s="28" t="e">
        <f>#REF!*2</f>
        <v>#REF!</v>
      </c>
      <c r="AY54" s="28" t="e">
        <f>#REF!</f>
        <v>#REF!</v>
      </c>
      <c r="AZ54" s="28" t="e">
        <f>#REF!*2</f>
        <v>#REF!</v>
      </c>
      <c r="BA54" s="28" t="e">
        <f>#REF!</f>
        <v>#REF!</v>
      </c>
      <c r="BB54" s="28" t="e">
        <f>#REF!*2</f>
        <v>#REF!</v>
      </c>
      <c r="BC54" s="28" t="e">
        <f>#REF!</f>
        <v>#REF!</v>
      </c>
      <c r="BD54" s="28" t="e">
        <f>#REF!*2</f>
        <v>#REF!</v>
      </c>
      <c r="BE54" s="9" t="e">
        <f>#REF!-#REF!</f>
        <v>#REF!</v>
      </c>
      <c r="BF54" s="9" t="e">
        <f>#REF!-#REF!</f>
        <v>#REF!</v>
      </c>
      <c r="BG54" s="9" t="e">
        <f>#REF!-#REF!</f>
        <v>#REF!</v>
      </c>
      <c r="BH54" s="9" t="e">
        <f>#REF!-#REF!</f>
        <v>#REF!</v>
      </c>
      <c r="BI54" s="9" t="e">
        <f>#REF!-#REF!</f>
        <v>#REF!</v>
      </c>
      <c r="BJ54" s="33"/>
      <c r="BK54" s="3">
        <f>COUNTIFS(B54:G54, "&gt;=1", B54:G54, "&lt;=9")</f>
        <v>2</v>
      </c>
      <c r="BL54" s="3">
        <f>COUNTIFS(B54:G54, "&gt;=10", B54:G54, "&lt;=19")</f>
        <v>2</v>
      </c>
      <c r="BM54" s="3">
        <f>COUNTIFS(B54:G54, "&gt;=20", B54:G54, "&lt;=29")</f>
        <v>1</v>
      </c>
      <c r="BN54" s="3">
        <f>COUNTIFS(B54:G54, "&gt;=30", B54:G54, "&lt;=39")</f>
        <v>1</v>
      </c>
      <c r="BO54" s="3">
        <f>COUNTIFS(B54:G54, "&gt;=40", B54:G54, "&lt;=45")</f>
        <v>0</v>
      </c>
      <c r="BP54" s="28" t="e">
        <f>#REF!</f>
        <v>#REF!</v>
      </c>
      <c r="BQ54" s="28" t="e">
        <f>#REF!*2</f>
        <v>#REF!</v>
      </c>
      <c r="BR54" s="28" t="e">
        <f>#REF!</f>
        <v>#REF!</v>
      </c>
      <c r="BS54" s="28" t="e">
        <f>#REF!*2</f>
        <v>#REF!</v>
      </c>
      <c r="BT54" s="28" t="e">
        <f>#REF!</f>
        <v>#REF!</v>
      </c>
      <c r="BU54" s="28" t="e">
        <f>#REF!*2</f>
        <v>#REF!</v>
      </c>
      <c r="BV54" s="28" t="e">
        <f>#REF!</f>
        <v>#REF!</v>
      </c>
      <c r="BW54" s="28" t="e">
        <f>#REF!*2</f>
        <v>#REF!</v>
      </c>
      <c r="BX54" s="28" t="e">
        <f>#REF!</f>
        <v>#REF!</v>
      </c>
      <c r="BY54" s="28" t="e">
        <f>#REF!*2</f>
        <v>#REF!</v>
      </c>
      <c r="BZ54" s="28" t="e">
        <f>#REF!</f>
        <v>#REF!</v>
      </c>
      <c r="CA54" s="28" t="e">
        <f>#REF!*2</f>
        <v>#REF!</v>
      </c>
      <c r="CB54" s="9">
        <f>C54-B54</f>
        <v>5</v>
      </c>
      <c r="CC54" s="9">
        <f>D54-C54</f>
        <v>7</v>
      </c>
      <c r="CD54" s="9">
        <f>E54-D54</f>
        <v>6</v>
      </c>
      <c r="CE54" s="9">
        <f>F54-E54</f>
        <v>2</v>
      </c>
      <c r="CF54" s="9">
        <f>G54-F54</f>
        <v>12</v>
      </c>
      <c r="CG54" s="33"/>
      <c r="CH54" s="9">
        <f>C54-B54</f>
        <v>5</v>
      </c>
      <c r="CI54" s="9">
        <f>D54-C54</f>
        <v>7</v>
      </c>
      <c r="CJ54" s="9">
        <f>E54-D54</f>
        <v>6</v>
      </c>
      <c r="CK54" s="9">
        <f>F54-E54</f>
        <v>2</v>
      </c>
      <c r="CL54" s="9">
        <f>G54-F54</f>
        <v>12</v>
      </c>
      <c r="CM54" s="32"/>
      <c r="CN54" s="3">
        <f>IF(OR(CH54="",ISBLANK(CH54),CH54=0),0,IF(MOD(CH54,2)=1,1,2))</f>
        <v>1</v>
      </c>
      <c r="CO54" s="3">
        <f>IF(OR(CI54="",ISBLANK(CI54),CI54=0),0,IF(MOD(CI54,2)=1,1,2))</f>
        <v>1</v>
      </c>
      <c r="CP54" s="3">
        <f>IF(OR(CJ54="",ISBLANK(CJ54),CJ54=0),0,IF(MOD(CJ54,2)=1,1,2))</f>
        <v>2</v>
      </c>
      <c r="CQ54" s="3">
        <f>IF(OR(CK54="",ISBLANK(CK54),CK54=0),0,IF(MOD(CK54,2)=1,1,2))</f>
        <v>2</v>
      </c>
      <c r="CR54" s="3">
        <f>IF(OR(CL54="",ISBLANK(CL54),CL54=0),0,IF(MOD(CL54,2)=1,1,2))</f>
        <v>2</v>
      </c>
      <c r="CS54" s="31"/>
      <c r="CT54" s="3" cm="1">
        <f t="array" ref="CT54">SUMPRODUCT(--(MOD(CH54:CL54,2)=1))</f>
        <v>2</v>
      </c>
      <c r="CU54" s="3">
        <f>5-CT54</f>
        <v>3</v>
      </c>
      <c r="CV54" s="30"/>
      <c r="CW54" s="3" cm="1">
        <f t="array" ref="CW54">SUMPRODUCT(--(MOD(CH54:CL54,10)&gt;=1), --(MOD(CH54:CL54,10)&lt;=5))</f>
        <v>3</v>
      </c>
      <c r="CX54" s="3">
        <f>5-CW54</f>
        <v>2</v>
      </c>
      <c r="CY54" s="30"/>
      <c r="CZ54" s="3" cm="1">
        <f t="array" ref="CZ54">IFERROR(COUNT(_xlfn._xlws.FILTER(CH54:CL54, ISNUMBER(MATCH(CH54:CL54, {2,3,5,7,11,13,17,19,23,29,31,37,41,43}, 0)))), 0)</f>
        <v>3</v>
      </c>
      <c r="DA54" s="3" cm="1">
        <f t="array" ref="DA54">IFERROR(COUNT(_xlfn._xlws.FILTER(CH54:CL54, ISNUMBER(MATCH(CH54:CL54, {1,4,8,10,14,16,20,22,25,26,28,32,34,35,38,40,44}, 0)))), 0)</f>
        <v>0</v>
      </c>
      <c r="DB54" s="3" cm="1">
        <f t="array" ref="DB54">IFERROR(COUNT(_xlfn._xlws.FILTER(CH54:CL54, ISNUMBER(MATCH(CH54:CL54, {6,9,12,15,18,21,24,27,30,33,36,39,42,45}, 0)))), 0)</f>
        <v>2</v>
      </c>
      <c r="DC54" s="29"/>
      <c r="DD54" s="28" t="e">
        <f>#REF!</f>
        <v>#REF!</v>
      </c>
      <c r="DE54" s="28" t="e">
        <f>#REF!*2</f>
        <v>#REF!</v>
      </c>
      <c r="DF54" s="28" t="e">
        <f>#REF!</f>
        <v>#REF!</v>
      </c>
      <c r="DG54" s="28" t="e">
        <f>#REF!*2</f>
        <v>#REF!</v>
      </c>
      <c r="DH54" s="28" t="e">
        <f>#REF!</f>
        <v>#REF!</v>
      </c>
      <c r="DI54" s="28" t="e">
        <f>#REF!*2</f>
        <v>#REF!</v>
      </c>
      <c r="DJ54" s="28" t="e">
        <f>#REF!</f>
        <v>#REF!</v>
      </c>
      <c r="DK54" s="28" t="e">
        <f>#REF!*2</f>
        <v>#REF!</v>
      </c>
      <c r="DL54" s="28" t="e">
        <f>#REF!</f>
        <v>#REF!</v>
      </c>
      <c r="DM54" s="28" t="e">
        <f>#REF!*2</f>
        <v>#REF!</v>
      </c>
      <c r="DN54" s="27"/>
      <c r="DO54" s="26" t="str" cm="1">
        <f t="array" ref="DO54">_xlfn.IFS(
   OR(CH54="",ISBLANK(CH54),CH54=0),0,
   ISNUMBER(MATCH(CH54,{2,3,5,7,11,13,17,19,23,29,31,37,41,43},0)),"소",
   AND(ISNUMBER(CH54),MOD(CH54,3)=0),"배",
   AND(ISNUMBER(CH54),CH54&gt;0),"자"
)</f>
        <v>소</v>
      </c>
      <c r="DP54" s="26" t="str" cm="1">
        <f t="array" ref="DP54">_xlfn.IFS(
   OR(CI54="",ISBLANK(CI54),CI54=0),0,
   ISNUMBER(MATCH(CI54,{2,3,5,7,11,13,17,19,23,29,31,37,41,43},0)),"소",
   AND(ISNUMBER(CI54),MOD(CI54,3)=0),"배",
   AND(ISNUMBER(CI54),CI54&gt;0),"자"
)</f>
        <v>소</v>
      </c>
      <c r="DQ54" s="26" t="str" cm="1">
        <f t="array" ref="DQ54">_xlfn.IFS(
   OR(CJ54="",ISBLANK(CJ54),CJ54=0),0,
   ISNUMBER(MATCH(CJ54,{2,3,5,7,11,13,17,19,23,29,31,37,41,43},0)),"소",
   AND(ISNUMBER(CJ54),MOD(CJ54,3)=0),"배",
   AND(ISNUMBER(CJ54),CJ54&gt;0),"자"
)</f>
        <v>배</v>
      </c>
      <c r="DR54" s="26" t="str" cm="1">
        <f t="array" ref="DR54">_xlfn.IFS(
   OR(CK54="",ISBLANK(CK54),CK54=0),0,
   ISNUMBER(MATCH(CK54,{2,3,5,7,11,13,17,19,23,29,31,37,41,43},0)),"소",
   AND(ISNUMBER(CK54),MOD(CK54,3)=0),"배",
   AND(ISNUMBER(CK54),CK54&gt;0),"자"
)</f>
        <v>소</v>
      </c>
      <c r="DS54" s="26" t="str" cm="1">
        <f t="array" ref="DS54">_xlfn.IFS(
   OR(CL54="",ISBLANK(CL54),CL54=0),0,
   ISNUMBER(MATCH(CL54,{2,3,5,7,11,13,17,19,23,29,31,37,41,43},0)),"소",
   AND(ISNUMBER(CL54),MOD(CL54,3)=0),"배",
   AND(ISNUMBER(CL54),CL54&gt;0),"자"
)</f>
        <v>배</v>
      </c>
      <c r="DT54" s="25"/>
    </row>
    <row r="55" spans="2:124" x14ac:dyDescent="0.3">
      <c r="B55" s="3">
        <v>21</v>
      </c>
      <c r="C55" s="3">
        <v>33</v>
      </c>
      <c r="D55" s="3">
        <v>35</v>
      </c>
      <c r="E55" s="3">
        <v>38</v>
      </c>
      <c r="F55" s="3">
        <v>42</v>
      </c>
      <c r="G55" s="3">
        <v>44</v>
      </c>
      <c r="H55" s="32"/>
      <c r="I55" s="3">
        <f>IF(OR(B55="",ISBLANK(B55),B55=0),0,IF(MOD(B55,2)=1,1,2))</f>
        <v>1</v>
      </c>
      <c r="J55" s="3">
        <f>IF(OR(C55="",ISBLANK(C55),C55=0),0,IF(MOD(C55,2)=1,1,2))</f>
        <v>1</v>
      </c>
      <c r="K55" s="3">
        <f>IF(OR(D55="",ISBLANK(D55),D55=0),0,IF(MOD(D55,2)=1,1,2))</f>
        <v>1</v>
      </c>
      <c r="L55" s="3">
        <f>IF(OR(E55="",ISBLANK(E55),E55=0),0,IF(MOD(E55,2)=1,1,2))</f>
        <v>2</v>
      </c>
      <c r="M55" s="3">
        <f>IF(OR(F55="",ISBLANK(F55),F55=0),0,IF(MOD(F55,2)=1,1,2))</f>
        <v>2</v>
      </c>
      <c r="N55" s="3">
        <f>IF(OR(G55="",ISBLANK(G55),G55=0),0,IF(MOD(G55,2)=1,1,2))</f>
        <v>2</v>
      </c>
      <c r="O55" s="32"/>
      <c r="P55" s="3" cm="1">
        <f t="array" ref="P55">SUMPRODUCT(--(MOD(B55:G55,2)=1))</f>
        <v>3</v>
      </c>
      <c r="Q55" s="3">
        <f>6-P55</f>
        <v>3</v>
      </c>
      <c r="R55" s="34"/>
      <c r="S55" s="3">
        <f>COUNTIFS(B55:G55,"&gt;=1",B55:G55,"&lt;=23")</f>
        <v>1</v>
      </c>
      <c r="T55" s="3">
        <f>6-S55</f>
        <v>5</v>
      </c>
      <c r="U55" s="34"/>
      <c r="V55" s="3" cm="1">
        <f t="array" ref="V55">SUMPRODUCT(--(MOD(B55:G55,10)&gt;=1), --(MOD(B55:G55,10)&lt;=5))</f>
        <v>5</v>
      </c>
      <c r="W55" s="3">
        <f>6-V55</f>
        <v>1</v>
      </c>
      <c r="X55" s="34"/>
      <c r="Y55" s="3" cm="1">
        <f t="array" ref="Y55">IFERROR(COUNT(_xlfn._xlws.FILTER(B55:G55, ISNUMBER(MATCH(B55:G55, {2,3,5,7,11,13,17,19,23,29,31,37,41,43}, 0)))), 0)</f>
        <v>0</v>
      </c>
      <c r="Z55" s="3" cm="1">
        <f t="array" ref="Z55">IFERROR(COUNT(_xlfn._xlws.FILTER(B55:G55, ISNUMBER(MATCH(B55:G55, {1,4,8,10,14,16,20,22,25,26,28,32,34,35,38,40,44}, 0)))), 0)</f>
        <v>3</v>
      </c>
      <c r="AA55" s="3" cm="1">
        <f t="array" ref="AA55">IFERROR(COUNT(_xlfn._xlws.FILTER(B55:G55, ISNUMBER(MATCH(B55:G55, {6,9,12,15,18,21,24,27,30,33,36,39,42,45}, 0)))), 0)</f>
        <v>3</v>
      </c>
      <c r="AB55" s="30"/>
      <c r="AC55" s="26" t="str" cm="1">
        <f t="array" ref="AC55">_xlfn.IFS(
   OR(B55="",ISBLANK(B55),B55=0),0,
   ISNUMBER(MATCH(B55,{2,3,5,7,11,13,17,19,23,29,31,37,41,43},0)),"소",
   AND(ISNUMBER(B55),MOD(B55,3)=0),"배",
   AND(ISNUMBER(B55),B55&gt;0),"자"
)</f>
        <v>배</v>
      </c>
      <c r="AD55" s="26" t="str" cm="1">
        <f t="array" ref="AD55">_xlfn.IFS(
   OR(C55="",ISBLANK(C55),C55=0),0,
   ISNUMBER(MATCH(C55,{2,3,5,7,11,13,17,19,23,29,31,37,41,43},0)),"소",
   AND(ISNUMBER(C55),MOD(C55,3)=0),"배",
   AND(ISNUMBER(C55),C55&gt;0),"자"
)</f>
        <v>배</v>
      </c>
      <c r="AE55" s="26" t="str" cm="1">
        <f t="array" ref="AE55">_xlfn.IFS(
   OR(D55="",ISBLANK(D55),D55=0),0,
   ISNUMBER(MATCH(D55,{2,3,5,7,11,13,17,19,23,29,31,37,41,43},0)),"소",
   AND(ISNUMBER(D55),MOD(D55,3)=0),"배",
   AND(ISNUMBER(D55),D55&gt;0),"자"
)</f>
        <v>자</v>
      </c>
      <c r="AF55" s="26" t="str" cm="1">
        <f t="array" ref="AF55">_xlfn.IFS(
   OR(E55="",ISBLANK(E55),E55=0),0,
   ISNUMBER(MATCH(E55,{2,3,5,7,11,13,17,19,23,29,31,37,41,43},0)),"소",
   AND(ISNUMBER(E55),MOD(E55,3)=0),"배",
   AND(ISNUMBER(E55),E55&gt;0),"자"
)</f>
        <v>자</v>
      </c>
      <c r="AG55" s="26" t="str" cm="1">
        <f t="array" ref="AG55">_xlfn.IFS(
   OR(F55="",ISBLANK(F55),F55=0),0,
   ISNUMBER(MATCH(F55,{2,3,5,7,11,13,17,19,23,29,31,37,41,43},0)),"소",
   AND(ISNUMBER(F55),MOD(F55,3)=0),"배",
   AND(ISNUMBER(F55),F55&gt;0),"자"
)</f>
        <v>배</v>
      </c>
      <c r="AH55" s="26" t="str" cm="1">
        <f t="array" ref="AH55">_xlfn.IFS(
   OR(G55="",ISBLANK(G55),G55=0),0,
   ISNUMBER(MATCH(G55,{2,3,5,7,11,13,17,19,23,29,31,37,41,43},0)),"소",
   AND(ISNUMBER(G55),MOD(G55,3)=0),"배",
   AND(ISNUMBER(G55),G55&gt;0),"자"
)</f>
        <v>자</v>
      </c>
      <c r="AI55" s="30"/>
      <c r="AJ55" s="3">
        <f>COUNTIFS(B55:G55,"&gt;=1",B55:G55,"&lt;=14")</f>
        <v>0</v>
      </c>
      <c r="AK55" s="3">
        <f>COUNTIFS(B55:G55,"&gt;=15",B55:G55,"&lt;=31")</f>
        <v>1</v>
      </c>
      <c r="AL55" s="3">
        <f>6-AK55-AJ55</f>
        <v>5</v>
      </c>
      <c r="AM55" s="33"/>
      <c r="AN55" s="3">
        <f>COUNTIFS($B55:$G55, "&gt;=1",$B55:$G55, "&lt;=9")</f>
        <v>0</v>
      </c>
      <c r="AO55" s="3">
        <f>COUNTIFS($B55:$G55, "&gt;=10",$B55:$G55, "&lt;=18")</f>
        <v>0</v>
      </c>
      <c r="AP55" s="3">
        <f>COUNTIFS($B55:$G55, "&gt;=19",$B55:$G55, "&lt;=27")</f>
        <v>1</v>
      </c>
      <c r="AQ55" s="3">
        <f>COUNTIFS($B55:$G55, "&gt;=28",$B55:$G55, "&lt;=36")</f>
        <v>2</v>
      </c>
      <c r="AR55" s="3">
        <f>COUNTIFS($B55:$G55, "&gt;=37",$B55:$G55, "&lt;=45")</f>
        <v>3</v>
      </c>
      <c r="AS55" s="28" t="e">
        <f>#REF!</f>
        <v>#REF!</v>
      </c>
      <c r="AT55" s="28" t="e">
        <f>#REF!*2</f>
        <v>#REF!</v>
      </c>
      <c r="AU55" s="28" t="e">
        <f>#REF!</f>
        <v>#REF!</v>
      </c>
      <c r="AV55" s="28" t="e">
        <f>#REF!*2</f>
        <v>#REF!</v>
      </c>
      <c r="AW55" s="28" t="e">
        <f>#REF!</f>
        <v>#REF!</v>
      </c>
      <c r="AX55" s="28" t="e">
        <f>#REF!*2</f>
        <v>#REF!</v>
      </c>
      <c r="AY55" s="28" t="e">
        <f>#REF!</f>
        <v>#REF!</v>
      </c>
      <c r="AZ55" s="28" t="e">
        <f>#REF!*2</f>
        <v>#REF!</v>
      </c>
      <c r="BA55" s="28" t="e">
        <f>#REF!</f>
        <v>#REF!</v>
      </c>
      <c r="BB55" s="28" t="e">
        <f>#REF!*2</f>
        <v>#REF!</v>
      </c>
      <c r="BC55" s="28" t="e">
        <f>#REF!</f>
        <v>#REF!</v>
      </c>
      <c r="BD55" s="28" t="e">
        <f>#REF!*2</f>
        <v>#REF!</v>
      </c>
      <c r="BE55" s="9" t="e">
        <f>#REF!-#REF!</f>
        <v>#REF!</v>
      </c>
      <c r="BF55" s="9" t="e">
        <f>#REF!-#REF!</f>
        <v>#REF!</v>
      </c>
      <c r="BG55" s="9" t="e">
        <f>#REF!-#REF!</f>
        <v>#REF!</v>
      </c>
      <c r="BH55" s="9" t="e">
        <f>#REF!-#REF!</f>
        <v>#REF!</v>
      </c>
      <c r="BI55" s="9" t="e">
        <f>#REF!-#REF!</f>
        <v>#REF!</v>
      </c>
      <c r="BJ55" s="33"/>
      <c r="BK55" s="3">
        <f>COUNTIFS(B55:G55, "&gt;=1", B55:G55, "&lt;=9")</f>
        <v>0</v>
      </c>
      <c r="BL55" s="3">
        <f>COUNTIFS(B55:G55, "&gt;=10", B55:G55, "&lt;=19")</f>
        <v>0</v>
      </c>
      <c r="BM55" s="3">
        <f>COUNTIFS(B55:G55, "&gt;=20", B55:G55, "&lt;=29")</f>
        <v>1</v>
      </c>
      <c r="BN55" s="3">
        <f>COUNTIFS(B55:G55, "&gt;=30", B55:G55, "&lt;=39")</f>
        <v>3</v>
      </c>
      <c r="BO55" s="3">
        <f>COUNTIFS(B55:G55, "&gt;=40", B55:G55, "&lt;=45")</f>
        <v>2</v>
      </c>
      <c r="BP55" s="28" t="e">
        <f>#REF!</f>
        <v>#REF!</v>
      </c>
      <c r="BQ55" s="28" t="e">
        <f>#REF!*2</f>
        <v>#REF!</v>
      </c>
      <c r="BR55" s="28" t="e">
        <f>#REF!</f>
        <v>#REF!</v>
      </c>
      <c r="BS55" s="28" t="e">
        <f>#REF!*2</f>
        <v>#REF!</v>
      </c>
      <c r="BT55" s="28" t="e">
        <f>#REF!</f>
        <v>#REF!</v>
      </c>
      <c r="BU55" s="28" t="e">
        <f>#REF!*2</f>
        <v>#REF!</v>
      </c>
      <c r="BV55" s="28" t="e">
        <f>#REF!</f>
        <v>#REF!</v>
      </c>
      <c r="BW55" s="28" t="e">
        <f>#REF!*2</f>
        <v>#REF!</v>
      </c>
      <c r="BX55" s="28" t="e">
        <f>#REF!</f>
        <v>#REF!</v>
      </c>
      <c r="BY55" s="28" t="e">
        <f>#REF!*2</f>
        <v>#REF!</v>
      </c>
      <c r="BZ55" s="28" t="e">
        <f>#REF!</f>
        <v>#REF!</v>
      </c>
      <c r="CA55" s="28" t="e">
        <f>#REF!*2</f>
        <v>#REF!</v>
      </c>
      <c r="CB55" s="9">
        <f>C55-B55</f>
        <v>12</v>
      </c>
      <c r="CC55" s="9">
        <f>D55-C55</f>
        <v>2</v>
      </c>
      <c r="CD55" s="9">
        <f>E55-D55</f>
        <v>3</v>
      </c>
      <c r="CE55" s="9">
        <f>F55-E55</f>
        <v>4</v>
      </c>
      <c r="CF55" s="9">
        <f>G55-F55</f>
        <v>2</v>
      </c>
      <c r="CG55" s="33"/>
      <c r="CH55" s="9">
        <f>C55-B55</f>
        <v>12</v>
      </c>
      <c r="CI55" s="9">
        <f>D55-C55</f>
        <v>2</v>
      </c>
      <c r="CJ55" s="9">
        <f>E55-D55</f>
        <v>3</v>
      </c>
      <c r="CK55" s="9">
        <f>F55-E55</f>
        <v>4</v>
      </c>
      <c r="CL55" s="9">
        <f>G55-F55</f>
        <v>2</v>
      </c>
      <c r="CM55" s="32"/>
      <c r="CN55" s="3">
        <f>IF(OR(CH55="",ISBLANK(CH55),CH55=0),0,IF(MOD(CH55,2)=1,1,2))</f>
        <v>2</v>
      </c>
      <c r="CO55" s="3">
        <f>IF(OR(CI55="",ISBLANK(CI55),CI55=0),0,IF(MOD(CI55,2)=1,1,2))</f>
        <v>2</v>
      </c>
      <c r="CP55" s="3">
        <f>IF(OR(CJ55="",ISBLANK(CJ55),CJ55=0),0,IF(MOD(CJ55,2)=1,1,2))</f>
        <v>1</v>
      </c>
      <c r="CQ55" s="3">
        <f>IF(OR(CK55="",ISBLANK(CK55),CK55=0),0,IF(MOD(CK55,2)=1,1,2))</f>
        <v>2</v>
      </c>
      <c r="CR55" s="3">
        <f>IF(OR(CL55="",ISBLANK(CL55),CL55=0),0,IF(MOD(CL55,2)=1,1,2))</f>
        <v>2</v>
      </c>
      <c r="CS55" s="31"/>
      <c r="CT55" s="3" cm="1">
        <f t="array" ref="CT55">SUMPRODUCT(--(MOD(CH55:CL55,2)=1))</f>
        <v>1</v>
      </c>
      <c r="CU55" s="3">
        <f>5-CT55</f>
        <v>4</v>
      </c>
      <c r="CV55" s="30"/>
      <c r="CW55" s="3" cm="1">
        <f t="array" ref="CW55">SUMPRODUCT(--(MOD(CH55:CL55,10)&gt;=1), --(MOD(CH55:CL55,10)&lt;=5))</f>
        <v>5</v>
      </c>
      <c r="CX55" s="3">
        <f>5-CW55</f>
        <v>0</v>
      </c>
      <c r="CY55" s="30"/>
      <c r="CZ55" s="3" cm="1">
        <f t="array" ref="CZ55">IFERROR(COUNT(_xlfn._xlws.FILTER(CH55:CL55, ISNUMBER(MATCH(CH55:CL55, {2,3,5,7,11,13,17,19,23,29,31,37,41,43}, 0)))), 0)</f>
        <v>3</v>
      </c>
      <c r="DA55" s="3" cm="1">
        <f t="array" ref="DA55">IFERROR(COUNT(_xlfn._xlws.FILTER(CH55:CL55, ISNUMBER(MATCH(CH55:CL55, {1,4,8,10,14,16,20,22,25,26,28,32,34,35,38,40,44}, 0)))), 0)</f>
        <v>1</v>
      </c>
      <c r="DB55" s="3" cm="1">
        <f t="array" ref="DB55">IFERROR(COUNT(_xlfn._xlws.FILTER(CH55:CL55, ISNUMBER(MATCH(CH55:CL55, {6,9,12,15,18,21,24,27,30,33,36,39,42,45}, 0)))), 0)</f>
        <v>1</v>
      </c>
      <c r="DC55" s="29"/>
      <c r="DD55" s="28" t="e">
        <f>#REF!</f>
        <v>#REF!</v>
      </c>
      <c r="DE55" s="28" t="e">
        <f>#REF!*2</f>
        <v>#REF!</v>
      </c>
      <c r="DF55" s="28" t="e">
        <f>#REF!</f>
        <v>#REF!</v>
      </c>
      <c r="DG55" s="28" t="e">
        <f>#REF!*2</f>
        <v>#REF!</v>
      </c>
      <c r="DH55" s="28" t="e">
        <f>#REF!</f>
        <v>#REF!</v>
      </c>
      <c r="DI55" s="28" t="e">
        <f>#REF!*2</f>
        <v>#REF!</v>
      </c>
      <c r="DJ55" s="28" t="e">
        <f>#REF!</f>
        <v>#REF!</v>
      </c>
      <c r="DK55" s="28" t="e">
        <f>#REF!*2</f>
        <v>#REF!</v>
      </c>
      <c r="DL55" s="28" t="e">
        <f>#REF!</f>
        <v>#REF!</v>
      </c>
      <c r="DM55" s="28" t="e">
        <f>#REF!*2</f>
        <v>#REF!</v>
      </c>
      <c r="DN55" s="27"/>
      <c r="DO55" s="26" t="str" cm="1">
        <f t="array" ref="DO55">_xlfn.IFS(
   OR(CH55="",ISBLANK(CH55),CH55=0),0,
   ISNUMBER(MATCH(CH55,{2,3,5,7,11,13,17,19,23,29,31,37,41,43},0)),"소",
   AND(ISNUMBER(CH55),MOD(CH55,3)=0),"배",
   AND(ISNUMBER(CH55),CH55&gt;0),"자"
)</f>
        <v>배</v>
      </c>
      <c r="DP55" s="26" t="str" cm="1">
        <f t="array" ref="DP55">_xlfn.IFS(
   OR(CI55="",ISBLANK(CI55),CI55=0),0,
   ISNUMBER(MATCH(CI55,{2,3,5,7,11,13,17,19,23,29,31,37,41,43},0)),"소",
   AND(ISNUMBER(CI55),MOD(CI55,3)=0),"배",
   AND(ISNUMBER(CI55),CI55&gt;0),"자"
)</f>
        <v>소</v>
      </c>
      <c r="DQ55" s="26" t="str" cm="1">
        <f t="array" ref="DQ55">_xlfn.IFS(
   OR(CJ55="",ISBLANK(CJ55),CJ55=0),0,
   ISNUMBER(MATCH(CJ55,{2,3,5,7,11,13,17,19,23,29,31,37,41,43},0)),"소",
   AND(ISNUMBER(CJ55),MOD(CJ55,3)=0),"배",
   AND(ISNUMBER(CJ55),CJ55&gt;0),"자"
)</f>
        <v>소</v>
      </c>
      <c r="DR55" s="26" t="str" cm="1">
        <f t="array" ref="DR55">_xlfn.IFS(
   OR(CK55="",ISBLANK(CK55),CK55=0),0,
   ISNUMBER(MATCH(CK55,{2,3,5,7,11,13,17,19,23,29,31,37,41,43},0)),"소",
   AND(ISNUMBER(CK55),MOD(CK55,3)=0),"배",
   AND(ISNUMBER(CK55),CK55&gt;0),"자"
)</f>
        <v>자</v>
      </c>
      <c r="DS55" s="26" t="str" cm="1">
        <f t="array" ref="DS55">_xlfn.IFS(
   OR(CL55="",ISBLANK(CL55),CL55=0),0,
   ISNUMBER(MATCH(CL55,{2,3,5,7,11,13,17,19,23,29,31,37,41,43},0)),"소",
   AND(ISNUMBER(CL55),MOD(CL55,3)=0),"배",
   AND(ISNUMBER(CL55),CL55&gt;0),"자"
)</f>
        <v>소</v>
      </c>
      <c r="DT55" s="25"/>
    </row>
    <row r="56" spans="2:124" x14ac:dyDescent="0.3">
      <c r="B56" s="3">
        <v>4</v>
      </c>
      <c r="C56" s="3">
        <v>9</v>
      </c>
      <c r="D56" s="3">
        <v>12</v>
      </c>
      <c r="E56" s="3">
        <v>15</v>
      </c>
      <c r="F56" s="3">
        <v>33</v>
      </c>
      <c r="G56" s="3">
        <v>45</v>
      </c>
      <c r="H56" s="32"/>
      <c r="I56" s="3">
        <f>IF(OR(B56="",ISBLANK(B56),B56=0),0,IF(MOD(B56,2)=1,1,2))</f>
        <v>2</v>
      </c>
      <c r="J56" s="3">
        <f>IF(OR(C56="",ISBLANK(C56),C56=0),0,IF(MOD(C56,2)=1,1,2))</f>
        <v>1</v>
      </c>
      <c r="K56" s="3">
        <f>IF(OR(D56="",ISBLANK(D56),D56=0),0,IF(MOD(D56,2)=1,1,2))</f>
        <v>2</v>
      </c>
      <c r="L56" s="3">
        <f>IF(OR(E56="",ISBLANK(E56),E56=0),0,IF(MOD(E56,2)=1,1,2))</f>
        <v>1</v>
      </c>
      <c r="M56" s="3">
        <f>IF(OR(F56="",ISBLANK(F56),F56=0),0,IF(MOD(F56,2)=1,1,2))</f>
        <v>1</v>
      </c>
      <c r="N56" s="3">
        <f>IF(OR(G56="",ISBLANK(G56),G56=0),0,IF(MOD(G56,2)=1,1,2))</f>
        <v>1</v>
      </c>
      <c r="O56" s="32"/>
      <c r="P56" s="3" cm="1">
        <f t="array" ref="P56">SUMPRODUCT(--(MOD(B56:G56,2)=1))</f>
        <v>4</v>
      </c>
      <c r="Q56" s="3">
        <f>6-P56</f>
        <v>2</v>
      </c>
      <c r="R56" s="34"/>
      <c r="S56" s="3">
        <f>COUNTIFS(B56:G56,"&gt;=1",B56:G56,"&lt;=23")</f>
        <v>4</v>
      </c>
      <c r="T56" s="3">
        <f>6-S56</f>
        <v>2</v>
      </c>
      <c r="U56" s="34"/>
      <c r="V56" s="3" cm="1">
        <f t="array" ref="V56">SUMPRODUCT(--(MOD(B56:G56,10)&gt;=1), --(MOD(B56:G56,10)&lt;=5))</f>
        <v>5</v>
      </c>
      <c r="W56" s="3">
        <f>6-V56</f>
        <v>1</v>
      </c>
      <c r="X56" s="34"/>
      <c r="Y56" s="3" cm="1">
        <f t="array" ref="Y56">IFERROR(COUNT(_xlfn._xlws.FILTER(B56:G56, ISNUMBER(MATCH(B56:G56, {2,3,5,7,11,13,17,19,23,29,31,37,41,43}, 0)))), 0)</f>
        <v>0</v>
      </c>
      <c r="Z56" s="3" cm="1">
        <f t="array" ref="Z56">IFERROR(COUNT(_xlfn._xlws.FILTER(B56:G56, ISNUMBER(MATCH(B56:G56, {1,4,8,10,14,16,20,22,25,26,28,32,34,35,38,40,44}, 0)))), 0)</f>
        <v>1</v>
      </c>
      <c r="AA56" s="3" cm="1">
        <f t="array" ref="AA56">IFERROR(COUNT(_xlfn._xlws.FILTER(B56:G56, ISNUMBER(MATCH(B56:G56, {6,9,12,15,18,21,24,27,30,33,36,39,42,45}, 0)))), 0)</f>
        <v>5</v>
      </c>
      <c r="AB56" s="30"/>
      <c r="AC56" s="26" t="str" cm="1">
        <f t="array" ref="AC56">_xlfn.IFS(
   OR(B56="",ISBLANK(B56),B56=0),0,
   ISNUMBER(MATCH(B56,{2,3,5,7,11,13,17,19,23,29,31,37,41,43},0)),"소",
   AND(ISNUMBER(B56),MOD(B56,3)=0),"배",
   AND(ISNUMBER(B56),B56&gt;0),"자"
)</f>
        <v>자</v>
      </c>
      <c r="AD56" s="26" t="str" cm="1">
        <f t="array" ref="AD56">_xlfn.IFS(
   OR(C56="",ISBLANK(C56),C56=0),0,
   ISNUMBER(MATCH(C56,{2,3,5,7,11,13,17,19,23,29,31,37,41,43},0)),"소",
   AND(ISNUMBER(C56),MOD(C56,3)=0),"배",
   AND(ISNUMBER(C56),C56&gt;0),"자"
)</f>
        <v>배</v>
      </c>
      <c r="AE56" s="26" t="str" cm="1">
        <f t="array" ref="AE56">_xlfn.IFS(
   OR(D56="",ISBLANK(D56),D56=0),0,
   ISNUMBER(MATCH(D56,{2,3,5,7,11,13,17,19,23,29,31,37,41,43},0)),"소",
   AND(ISNUMBER(D56),MOD(D56,3)=0),"배",
   AND(ISNUMBER(D56),D56&gt;0),"자"
)</f>
        <v>배</v>
      </c>
      <c r="AF56" s="26" t="str" cm="1">
        <f t="array" ref="AF56">_xlfn.IFS(
   OR(E56="",ISBLANK(E56),E56=0),0,
   ISNUMBER(MATCH(E56,{2,3,5,7,11,13,17,19,23,29,31,37,41,43},0)),"소",
   AND(ISNUMBER(E56),MOD(E56,3)=0),"배",
   AND(ISNUMBER(E56),E56&gt;0),"자"
)</f>
        <v>배</v>
      </c>
      <c r="AG56" s="26" t="str" cm="1">
        <f t="array" ref="AG56">_xlfn.IFS(
   OR(F56="",ISBLANK(F56),F56=0),0,
   ISNUMBER(MATCH(F56,{2,3,5,7,11,13,17,19,23,29,31,37,41,43},0)),"소",
   AND(ISNUMBER(F56),MOD(F56,3)=0),"배",
   AND(ISNUMBER(F56),F56&gt;0),"자"
)</f>
        <v>배</v>
      </c>
      <c r="AH56" s="26" t="str" cm="1">
        <f t="array" ref="AH56">_xlfn.IFS(
   OR(G56="",ISBLANK(G56),G56=0),0,
   ISNUMBER(MATCH(G56,{2,3,5,7,11,13,17,19,23,29,31,37,41,43},0)),"소",
   AND(ISNUMBER(G56),MOD(G56,3)=0),"배",
   AND(ISNUMBER(G56),G56&gt;0),"자"
)</f>
        <v>배</v>
      </c>
      <c r="AI56" s="30"/>
      <c r="AJ56" s="3">
        <f>COUNTIFS(B56:G56,"&gt;=1",B56:G56,"&lt;=14")</f>
        <v>3</v>
      </c>
      <c r="AK56" s="3">
        <f>COUNTIFS(B56:G56,"&gt;=15",B56:G56,"&lt;=31")</f>
        <v>1</v>
      </c>
      <c r="AL56" s="3">
        <f>6-AK56-AJ56</f>
        <v>2</v>
      </c>
      <c r="AM56" s="33"/>
      <c r="AN56" s="3">
        <f>COUNTIFS($B56:$G56, "&gt;=1",$B56:$G56, "&lt;=9")</f>
        <v>2</v>
      </c>
      <c r="AO56" s="3">
        <f>COUNTIFS($B56:$G56, "&gt;=10",$B56:$G56, "&lt;=18")</f>
        <v>2</v>
      </c>
      <c r="AP56" s="3">
        <f>COUNTIFS($B56:$G56, "&gt;=19",$B56:$G56, "&lt;=27")</f>
        <v>0</v>
      </c>
      <c r="AQ56" s="3">
        <f>COUNTIFS($B56:$G56, "&gt;=28",$B56:$G56, "&lt;=36")</f>
        <v>1</v>
      </c>
      <c r="AR56" s="3">
        <f>COUNTIFS($B56:$G56, "&gt;=37",$B56:$G56, "&lt;=45")</f>
        <v>1</v>
      </c>
      <c r="AS56" s="28" t="e">
        <f>#REF!</f>
        <v>#REF!</v>
      </c>
      <c r="AT56" s="28" t="e">
        <f>#REF!*2</f>
        <v>#REF!</v>
      </c>
      <c r="AU56" s="28" t="e">
        <f>#REF!</f>
        <v>#REF!</v>
      </c>
      <c r="AV56" s="28" t="e">
        <f>#REF!*2</f>
        <v>#REF!</v>
      </c>
      <c r="AW56" s="28" t="e">
        <f>#REF!</f>
        <v>#REF!</v>
      </c>
      <c r="AX56" s="28" t="e">
        <f>#REF!*2</f>
        <v>#REF!</v>
      </c>
      <c r="AY56" s="28" t="e">
        <f>#REF!</f>
        <v>#REF!</v>
      </c>
      <c r="AZ56" s="28" t="e">
        <f>#REF!*2</f>
        <v>#REF!</v>
      </c>
      <c r="BA56" s="28" t="e">
        <f>#REF!</f>
        <v>#REF!</v>
      </c>
      <c r="BB56" s="28" t="e">
        <f>#REF!*2</f>
        <v>#REF!</v>
      </c>
      <c r="BC56" s="28" t="e">
        <f>#REF!</f>
        <v>#REF!</v>
      </c>
      <c r="BD56" s="28" t="e">
        <f>#REF!*2</f>
        <v>#REF!</v>
      </c>
      <c r="BE56" s="9" t="e">
        <f>#REF!-#REF!</f>
        <v>#REF!</v>
      </c>
      <c r="BF56" s="9" t="e">
        <f>#REF!-#REF!</f>
        <v>#REF!</v>
      </c>
      <c r="BG56" s="9" t="e">
        <f>#REF!-#REF!</f>
        <v>#REF!</v>
      </c>
      <c r="BH56" s="9" t="e">
        <f>#REF!-#REF!</f>
        <v>#REF!</v>
      </c>
      <c r="BI56" s="9" t="e">
        <f>#REF!-#REF!</f>
        <v>#REF!</v>
      </c>
      <c r="BJ56" s="33"/>
      <c r="BK56" s="3">
        <f>COUNTIFS(B56:G56, "&gt;=1", B56:G56, "&lt;=9")</f>
        <v>2</v>
      </c>
      <c r="BL56" s="3">
        <f>COUNTIFS(B56:G56, "&gt;=10", B56:G56, "&lt;=19")</f>
        <v>2</v>
      </c>
      <c r="BM56" s="3">
        <f>COUNTIFS(B56:G56, "&gt;=20", B56:G56, "&lt;=29")</f>
        <v>0</v>
      </c>
      <c r="BN56" s="3">
        <f>COUNTIFS(B56:G56, "&gt;=30", B56:G56, "&lt;=39")</f>
        <v>1</v>
      </c>
      <c r="BO56" s="3">
        <f>COUNTIFS(B56:G56, "&gt;=40", B56:G56, "&lt;=45")</f>
        <v>1</v>
      </c>
      <c r="BP56" s="28" t="e">
        <f>#REF!</f>
        <v>#REF!</v>
      </c>
      <c r="BQ56" s="28" t="e">
        <f>#REF!*2</f>
        <v>#REF!</v>
      </c>
      <c r="BR56" s="28" t="e">
        <f>#REF!</f>
        <v>#REF!</v>
      </c>
      <c r="BS56" s="28" t="e">
        <f>#REF!*2</f>
        <v>#REF!</v>
      </c>
      <c r="BT56" s="28" t="e">
        <f>#REF!</f>
        <v>#REF!</v>
      </c>
      <c r="BU56" s="28" t="e">
        <f>#REF!*2</f>
        <v>#REF!</v>
      </c>
      <c r="BV56" s="28" t="e">
        <f>#REF!</f>
        <v>#REF!</v>
      </c>
      <c r="BW56" s="28" t="e">
        <f>#REF!*2</f>
        <v>#REF!</v>
      </c>
      <c r="BX56" s="28" t="e">
        <f>#REF!</f>
        <v>#REF!</v>
      </c>
      <c r="BY56" s="28" t="e">
        <f>#REF!*2</f>
        <v>#REF!</v>
      </c>
      <c r="BZ56" s="28" t="e">
        <f>#REF!</f>
        <v>#REF!</v>
      </c>
      <c r="CA56" s="28" t="e">
        <f>#REF!*2</f>
        <v>#REF!</v>
      </c>
      <c r="CB56" s="9">
        <f>C56-B56</f>
        <v>5</v>
      </c>
      <c r="CC56" s="9">
        <f>D56-C56</f>
        <v>3</v>
      </c>
      <c r="CD56" s="9">
        <f>E56-D56</f>
        <v>3</v>
      </c>
      <c r="CE56" s="9">
        <f>F56-E56</f>
        <v>18</v>
      </c>
      <c r="CF56" s="9">
        <f>G56-F56</f>
        <v>12</v>
      </c>
      <c r="CG56" s="33"/>
      <c r="CH56" s="9">
        <f>C56-B56</f>
        <v>5</v>
      </c>
      <c r="CI56" s="9">
        <f>D56-C56</f>
        <v>3</v>
      </c>
      <c r="CJ56" s="9">
        <f>E56-D56</f>
        <v>3</v>
      </c>
      <c r="CK56" s="9">
        <f>F56-E56</f>
        <v>18</v>
      </c>
      <c r="CL56" s="9">
        <f>G56-F56</f>
        <v>12</v>
      </c>
      <c r="CM56" s="32"/>
      <c r="CN56" s="3">
        <f>IF(OR(CH56="",ISBLANK(CH56),CH56=0),0,IF(MOD(CH56,2)=1,1,2))</f>
        <v>1</v>
      </c>
      <c r="CO56" s="3">
        <f>IF(OR(CI56="",ISBLANK(CI56),CI56=0),0,IF(MOD(CI56,2)=1,1,2))</f>
        <v>1</v>
      </c>
      <c r="CP56" s="3">
        <f>IF(OR(CJ56="",ISBLANK(CJ56),CJ56=0),0,IF(MOD(CJ56,2)=1,1,2))</f>
        <v>1</v>
      </c>
      <c r="CQ56" s="3">
        <f>IF(OR(CK56="",ISBLANK(CK56),CK56=0),0,IF(MOD(CK56,2)=1,1,2))</f>
        <v>2</v>
      </c>
      <c r="CR56" s="3">
        <f>IF(OR(CL56="",ISBLANK(CL56),CL56=0),0,IF(MOD(CL56,2)=1,1,2))</f>
        <v>2</v>
      </c>
      <c r="CS56" s="31"/>
      <c r="CT56" s="3" cm="1">
        <f t="array" ref="CT56">SUMPRODUCT(--(MOD(CH56:CL56,2)=1))</f>
        <v>3</v>
      </c>
      <c r="CU56" s="3">
        <f>5-CT56</f>
        <v>2</v>
      </c>
      <c r="CV56" s="30"/>
      <c r="CW56" s="3" cm="1">
        <f t="array" ref="CW56">SUMPRODUCT(--(MOD(CH56:CL56,10)&gt;=1), --(MOD(CH56:CL56,10)&lt;=5))</f>
        <v>4</v>
      </c>
      <c r="CX56" s="3">
        <f>5-CW56</f>
        <v>1</v>
      </c>
      <c r="CY56" s="30"/>
      <c r="CZ56" s="3" cm="1">
        <f t="array" ref="CZ56">IFERROR(COUNT(_xlfn._xlws.FILTER(CH56:CL56, ISNUMBER(MATCH(CH56:CL56, {2,3,5,7,11,13,17,19,23,29,31,37,41,43}, 0)))), 0)</f>
        <v>3</v>
      </c>
      <c r="DA56" s="3" cm="1">
        <f t="array" ref="DA56">IFERROR(COUNT(_xlfn._xlws.FILTER(CH56:CL56, ISNUMBER(MATCH(CH56:CL56, {1,4,8,10,14,16,20,22,25,26,28,32,34,35,38,40,44}, 0)))), 0)</f>
        <v>0</v>
      </c>
      <c r="DB56" s="3" cm="1">
        <f t="array" ref="DB56">IFERROR(COUNT(_xlfn._xlws.FILTER(CH56:CL56, ISNUMBER(MATCH(CH56:CL56, {6,9,12,15,18,21,24,27,30,33,36,39,42,45}, 0)))), 0)</f>
        <v>2</v>
      </c>
      <c r="DC56" s="29"/>
      <c r="DD56" s="28" t="e">
        <f>#REF!</f>
        <v>#REF!</v>
      </c>
      <c r="DE56" s="28" t="e">
        <f>#REF!*2</f>
        <v>#REF!</v>
      </c>
      <c r="DF56" s="28" t="e">
        <f>#REF!</f>
        <v>#REF!</v>
      </c>
      <c r="DG56" s="28" t="e">
        <f>#REF!*2</f>
        <v>#REF!</v>
      </c>
      <c r="DH56" s="28" t="e">
        <f>#REF!</f>
        <v>#REF!</v>
      </c>
      <c r="DI56" s="28" t="e">
        <f>#REF!*2</f>
        <v>#REF!</v>
      </c>
      <c r="DJ56" s="28" t="e">
        <f>#REF!</f>
        <v>#REF!</v>
      </c>
      <c r="DK56" s="28" t="e">
        <f>#REF!*2</f>
        <v>#REF!</v>
      </c>
      <c r="DL56" s="28" t="e">
        <f>#REF!</f>
        <v>#REF!</v>
      </c>
      <c r="DM56" s="28" t="e">
        <f>#REF!*2</f>
        <v>#REF!</v>
      </c>
      <c r="DN56" s="27"/>
      <c r="DO56" s="26" t="str" cm="1">
        <f t="array" ref="DO56">_xlfn.IFS(
   OR(CH56="",ISBLANK(CH56),CH56=0),0,
   ISNUMBER(MATCH(CH56,{2,3,5,7,11,13,17,19,23,29,31,37,41,43},0)),"소",
   AND(ISNUMBER(CH56),MOD(CH56,3)=0),"배",
   AND(ISNUMBER(CH56),CH56&gt;0),"자"
)</f>
        <v>소</v>
      </c>
      <c r="DP56" s="26" t="str" cm="1">
        <f t="array" ref="DP56">_xlfn.IFS(
   OR(CI56="",ISBLANK(CI56),CI56=0),0,
   ISNUMBER(MATCH(CI56,{2,3,5,7,11,13,17,19,23,29,31,37,41,43},0)),"소",
   AND(ISNUMBER(CI56),MOD(CI56,3)=0),"배",
   AND(ISNUMBER(CI56),CI56&gt;0),"자"
)</f>
        <v>소</v>
      </c>
      <c r="DQ56" s="26" t="str" cm="1">
        <f t="array" ref="DQ56">_xlfn.IFS(
   OR(CJ56="",ISBLANK(CJ56),CJ56=0),0,
   ISNUMBER(MATCH(CJ56,{2,3,5,7,11,13,17,19,23,29,31,37,41,43},0)),"소",
   AND(ISNUMBER(CJ56),MOD(CJ56,3)=0),"배",
   AND(ISNUMBER(CJ56),CJ56&gt;0),"자"
)</f>
        <v>소</v>
      </c>
      <c r="DR56" s="26" t="str" cm="1">
        <f t="array" ref="DR56">_xlfn.IFS(
   OR(CK56="",ISBLANK(CK56),CK56=0),0,
   ISNUMBER(MATCH(CK56,{2,3,5,7,11,13,17,19,23,29,31,37,41,43},0)),"소",
   AND(ISNUMBER(CK56),MOD(CK56,3)=0),"배",
   AND(ISNUMBER(CK56),CK56&gt;0),"자"
)</f>
        <v>배</v>
      </c>
      <c r="DS56" s="26" t="str" cm="1">
        <f t="array" ref="DS56">_xlfn.IFS(
   OR(CL56="",ISBLANK(CL56),CL56=0),0,
   ISNUMBER(MATCH(CL56,{2,3,5,7,11,13,17,19,23,29,31,37,41,43},0)),"소",
   AND(ISNUMBER(CL56),MOD(CL56,3)=0),"배",
   AND(ISNUMBER(CL56),CL56&gt;0),"자"
)</f>
        <v>배</v>
      </c>
      <c r="DT56" s="25"/>
    </row>
    <row r="57" spans="2:124" x14ac:dyDescent="0.3">
      <c r="B57" s="3">
        <v>14</v>
      </c>
      <c r="C57" s="3">
        <v>16</v>
      </c>
      <c r="D57" s="3">
        <v>19</v>
      </c>
      <c r="E57" s="3">
        <v>20</v>
      </c>
      <c r="F57" s="3">
        <v>29</v>
      </c>
      <c r="G57" s="3">
        <v>34</v>
      </c>
      <c r="H57" s="32"/>
      <c r="I57" s="3">
        <f>IF(OR(B57="",ISBLANK(B57),B57=0),0,IF(MOD(B57,2)=1,1,2))</f>
        <v>2</v>
      </c>
      <c r="J57" s="3">
        <f>IF(OR(C57="",ISBLANK(C57),C57=0),0,IF(MOD(C57,2)=1,1,2))</f>
        <v>2</v>
      </c>
      <c r="K57" s="3">
        <f>IF(OR(D57="",ISBLANK(D57),D57=0),0,IF(MOD(D57,2)=1,1,2))</f>
        <v>1</v>
      </c>
      <c r="L57" s="3">
        <f>IF(OR(E57="",ISBLANK(E57),E57=0),0,IF(MOD(E57,2)=1,1,2))</f>
        <v>2</v>
      </c>
      <c r="M57" s="3">
        <f>IF(OR(F57="",ISBLANK(F57),F57=0),0,IF(MOD(F57,2)=1,1,2))</f>
        <v>1</v>
      </c>
      <c r="N57" s="3">
        <f>IF(OR(G57="",ISBLANK(G57),G57=0),0,IF(MOD(G57,2)=1,1,2))</f>
        <v>2</v>
      </c>
      <c r="O57" s="32"/>
      <c r="P57" s="3" cm="1">
        <f t="array" ref="P57">SUMPRODUCT(--(MOD(B57:G57,2)=1))</f>
        <v>2</v>
      </c>
      <c r="Q57" s="3">
        <f>6-P57</f>
        <v>4</v>
      </c>
      <c r="R57" s="34"/>
      <c r="S57" s="3">
        <f>COUNTIFS(B57:G57,"&gt;=1",B57:G57,"&lt;=23")</f>
        <v>4</v>
      </c>
      <c r="T57" s="3">
        <f>6-S57</f>
        <v>2</v>
      </c>
      <c r="U57" s="34"/>
      <c r="V57" s="3" cm="1">
        <f t="array" ref="V57">SUMPRODUCT(--(MOD(B57:G57,10)&gt;=1), --(MOD(B57:G57,10)&lt;=5))</f>
        <v>2</v>
      </c>
      <c r="W57" s="3">
        <f>6-V57</f>
        <v>4</v>
      </c>
      <c r="X57" s="34"/>
      <c r="Y57" s="3" cm="1">
        <f t="array" ref="Y57">IFERROR(COUNT(_xlfn._xlws.FILTER(B57:G57, ISNUMBER(MATCH(B57:G57, {2,3,5,7,11,13,17,19,23,29,31,37,41,43}, 0)))), 0)</f>
        <v>2</v>
      </c>
      <c r="Z57" s="3" cm="1">
        <f t="array" ref="Z57">IFERROR(COUNT(_xlfn._xlws.FILTER(B57:G57, ISNUMBER(MATCH(B57:G57, {1,4,8,10,14,16,20,22,25,26,28,32,34,35,38,40,44}, 0)))), 0)</f>
        <v>4</v>
      </c>
      <c r="AA57" s="3" cm="1">
        <f t="array" ref="AA57">IFERROR(COUNT(_xlfn._xlws.FILTER(B57:G57, ISNUMBER(MATCH(B57:G57, {6,9,12,15,18,21,24,27,30,33,36,39,42,45}, 0)))), 0)</f>
        <v>0</v>
      </c>
      <c r="AB57" s="30"/>
      <c r="AC57" s="26" t="str" cm="1">
        <f t="array" ref="AC57">_xlfn.IFS(
   OR(B57="",ISBLANK(B57),B57=0),0,
   ISNUMBER(MATCH(B57,{2,3,5,7,11,13,17,19,23,29,31,37,41,43},0)),"소",
   AND(ISNUMBER(B57),MOD(B57,3)=0),"배",
   AND(ISNUMBER(B57),B57&gt;0),"자"
)</f>
        <v>자</v>
      </c>
      <c r="AD57" s="26" t="str" cm="1">
        <f t="array" ref="AD57">_xlfn.IFS(
   OR(C57="",ISBLANK(C57),C57=0),0,
   ISNUMBER(MATCH(C57,{2,3,5,7,11,13,17,19,23,29,31,37,41,43},0)),"소",
   AND(ISNUMBER(C57),MOD(C57,3)=0),"배",
   AND(ISNUMBER(C57),C57&gt;0),"자"
)</f>
        <v>자</v>
      </c>
      <c r="AE57" s="26" t="str" cm="1">
        <f t="array" ref="AE57">_xlfn.IFS(
   OR(D57="",ISBLANK(D57),D57=0),0,
   ISNUMBER(MATCH(D57,{2,3,5,7,11,13,17,19,23,29,31,37,41,43},0)),"소",
   AND(ISNUMBER(D57),MOD(D57,3)=0),"배",
   AND(ISNUMBER(D57),D57&gt;0),"자"
)</f>
        <v>소</v>
      </c>
      <c r="AF57" s="26" t="str" cm="1">
        <f t="array" ref="AF57">_xlfn.IFS(
   OR(E57="",ISBLANK(E57),E57=0),0,
   ISNUMBER(MATCH(E57,{2,3,5,7,11,13,17,19,23,29,31,37,41,43},0)),"소",
   AND(ISNUMBER(E57),MOD(E57,3)=0),"배",
   AND(ISNUMBER(E57),E57&gt;0),"자"
)</f>
        <v>자</v>
      </c>
      <c r="AG57" s="26" t="str" cm="1">
        <f t="array" ref="AG57">_xlfn.IFS(
   OR(F57="",ISBLANK(F57),F57=0),0,
   ISNUMBER(MATCH(F57,{2,3,5,7,11,13,17,19,23,29,31,37,41,43},0)),"소",
   AND(ISNUMBER(F57),MOD(F57,3)=0),"배",
   AND(ISNUMBER(F57),F57&gt;0),"자"
)</f>
        <v>소</v>
      </c>
      <c r="AH57" s="26" t="str" cm="1">
        <f t="array" ref="AH57">_xlfn.IFS(
   OR(G57="",ISBLANK(G57),G57=0),0,
   ISNUMBER(MATCH(G57,{2,3,5,7,11,13,17,19,23,29,31,37,41,43},0)),"소",
   AND(ISNUMBER(G57),MOD(G57,3)=0),"배",
   AND(ISNUMBER(G57),G57&gt;0),"자"
)</f>
        <v>자</v>
      </c>
      <c r="AI57" s="30"/>
      <c r="AJ57" s="3">
        <f>COUNTIFS(B57:G57,"&gt;=1",B57:G57,"&lt;=14")</f>
        <v>1</v>
      </c>
      <c r="AK57" s="3">
        <f>COUNTIFS(B57:G57,"&gt;=15",B57:G57,"&lt;=31")</f>
        <v>4</v>
      </c>
      <c r="AL57" s="3">
        <f>6-AK57-AJ57</f>
        <v>1</v>
      </c>
      <c r="AM57" s="33"/>
      <c r="AN57" s="3">
        <f>COUNTIFS($B57:$G57, "&gt;=1",$B57:$G57, "&lt;=9")</f>
        <v>0</v>
      </c>
      <c r="AO57" s="3">
        <f>COUNTIFS($B57:$G57, "&gt;=10",$B57:$G57, "&lt;=18")</f>
        <v>2</v>
      </c>
      <c r="AP57" s="3">
        <f>COUNTIFS($B57:$G57, "&gt;=19",$B57:$G57, "&lt;=27")</f>
        <v>2</v>
      </c>
      <c r="AQ57" s="3">
        <f>COUNTIFS($B57:$G57, "&gt;=28",$B57:$G57, "&lt;=36")</f>
        <v>2</v>
      </c>
      <c r="AR57" s="3">
        <f>COUNTIFS($B57:$G57, "&gt;=37",$B57:$G57, "&lt;=45")</f>
        <v>0</v>
      </c>
      <c r="AS57" s="28" t="e">
        <f>#REF!</f>
        <v>#REF!</v>
      </c>
      <c r="AT57" s="28" t="e">
        <f>#REF!*2</f>
        <v>#REF!</v>
      </c>
      <c r="AU57" s="28" t="e">
        <f>#REF!</f>
        <v>#REF!</v>
      </c>
      <c r="AV57" s="28" t="e">
        <f>#REF!*2</f>
        <v>#REF!</v>
      </c>
      <c r="AW57" s="28" t="e">
        <f>#REF!</f>
        <v>#REF!</v>
      </c>
      <c r="AX57" s="28" t="e">
        <f>#REF!*2</f>
        <v>#REF!</v>
      </c>
      <c r="AY57" s="28" t="e">
        <f>#REF!</f>
        <v>#REF!</v>
      </c>
      <c r="AZ57" s="28" t="e">
        <f>#REF!*2</f>
        <v>#REF!</v>
      </c>
      <c r="BA57" s="28" t="e">
        <f>#REF!</f>
        <v>#REF!</v>
      </c>
      <c r="BB57" s="28" t="e">
        <f>#REF!*2</f>
        <v>#REF!</v>
      </c>
      <c r="BC57" s="28" t="e">
        <f>#REF!</f>
        <v>#REF!</v>
      </c>
      <c r="BD57" s="28" t="e">
        <f>#REF!*2</f>
        <v>#REF!</v>
      </c>
      <c r="BE57" s="9" t="e">
        <f>#REF!-#REF!</f>
        <v>#REF!</v>
      </c>
      <c r="BF57" s="9" t="e">
        <f>#REF!-#REF!</f>
        <v>#REF!</v>
      </c>
      <c r="BG57" s="9" t="e">
        <f>#REF!-#REF!</f>
        <v>#REF!</v>
      </c>
      <c r="BH57" s="9" t="e">
        <f>#REF!-#REF!</f>
        <v>#REF!</v>
      </c>
      <c r="BI57" s="9" t="e">
        <f>#REF!-#REF!</f>
        <v>#REF!</v>
      </c>
      <c r="BJ57" s="33"/>
      <c r="BK57" s="3">
        <f>COUNTIFS(B57:G57, "&gt;=1", B57:G57, "&lt;=9")</f>
        <v>0</v>
      </c>
      <c r="BL57" s="3">
        <f>COUNTIFS(B57:G57, "&gt;=10", B57:G57, "&lt;=19")</f>
        <v>3</v>
      </c>
      <c r="BM57" s="3">
        <f>COUNTIFS(B57:G57, "&gt;=20", B57:G57, "&lt;=29")</f>
        <v>2</v>
      </c>
      <c r="BN57" s="3">
        <f>COUNTIFS(B57:G57, "&gt;=30", B57:G57, "&lt;=39")</f>
        <v>1</v>
      </c>
      <c r="BO57" s="3">
        <f>COUNTIFS(B57:G57, "&gt;=40", B57:G57, "&lt;=45")</f>
        <v>0</v>
      </c>
      <c r="BP57" s="28" t="e">
        <f>#REF!</f>
        <v>#REF!</v>
      </c>
      <c r="BQ57" s="28" t="e">
        <f>#REF!*2</f>
        <v>#REF!</v>
      </c>
      <c r="BR57" s="28" t="e">
        <f>#REF!</f>
        <v>#REF!</v>
      </c>
      <c r="BS57" s="28" t="e">
        <f>#REF!*2</f>
        <v>#REF!</v>
      </c>
      <c r="BT57" s="28" t="e">
        <f>#REF!</f>
        <v>#REF!</v>
      </c>
      <c r="BU57" s="28" t="e">
        <f>#REF!*2</f>
        <v>#REF!</v>
      </c>
      <c r="BV57" s="28" t="e">
        <f>#REF!</f>
        <v>#REF!</v>
      </c>
      <c r="BW57" s="28" t="e">
        <f>#REF!*2</f>
        <v>#REF!</v>
      </c>
      <c r="BX57" s="28" t="e">
        <f>#REF!</f>
        <v>#REF!</v>
      </c>
      <c r="BY57" s="28" t="e">
        <f>#REF!*2</f>
        <v>#REF!</v>
      </c>
      <c r="BZ57" s="28" t="e">
        <f>#REF!</f>
        <v>#REF!</v>
      </c>
      <c r="CA57" s="28" t="e">
        <f>#REF!*2</f>
        <v>#REF!</v>
      </c>
      <c r="CB57" s="9">
        <f>C57-B57</f>
        <v>2</v>
      </c>
      <c r="CC57" s="9">
        <f>D57-C57</f>
        <v>3</v>
      </c>
      <c r="CD57" s="9">
        <f>E57-D57</f>
        <v>1</v>
      </c>
      <c r="CE57" s="9">
        <f>F57-E57</f>
        <v>9</v>
      </c>
      <c r="CF57" s="9">
        <f>G57-F57</f>
        <v>5</v>
      </c>
      <c r="CG57" s="33"/>
      <c r="CH57" s="9">
        <f>C57-B57</f>
        <v>2</v>
      </c>
      <c r="CI57" s="9">
        <f>D57-C57</f>
        <v>3</v>
      </c>
      <c r="CJ57" s="9">
        <f>E57-D57</f>
        <v>1</v>
      </c>
      <c r="CK57" s="9">
        <f>F57-E57</f>
        <v>9</v>
      </c>
      <c r="CL57" s="9">
        <f>G57-F57</f>
        <v>5</v>
      </c>
      <c r="CM57" s="32"/>
      <c r="CN57" s="3">
        <f>IF(OR(CH57="",ISBLANK(CH57),CH57=0),0,IF(MOD(CH57,2)=1,1,2))</f>
        <v>2</v>
      </c>
      <c r="CO57" s="3">
        <f>IF(OR(CI57="",ISBLANK(CI57),CI57=0),0,IF(MOD(CI57,2)=1,1,2))</f>
        <v>1</v>
      </c>
      <c r="CP57" s="3">
        <f>IF(OR(CJ57="",ISBLANK(CJ57),CJ57=0),0,IF(MOD(CJ57,2)=1,1,2))</f>
        <v>1</v>
      </c>
      <c r="CQ57" s="3">
        <f>IF(OR(CK57="",ISBLANK(CK57),CK57=0),0,IF(MOD(CK57,2)=1,1,2))</f>
        <v>1</v>
      </c>
      <c r="CR57" s="3">
        <f>IF(OR(CL57="",ISBLANK(CL57),CL57=0),0,IF(MOD(CL57,2)=1,1,2))</f>
        <v>1</v>
      </c>
      <c r="CS57" s="31"/>
      <c r="CT57" s="3" cm="1">
        <f t="array" ref="CT57">SUMPRODUCT(--(MOD(CH57:CL57,2)=1))</f>
        <v>4</v>
      </c>
      <c r="CU57" s="3">
        <f>5-CT57</f>
        <v>1</v>
      </c>
      <c r="CV57" s="30"/>
      <c r="CW57" s="3" cm="1">
        <f t="array" ref="CW57">SUMPRODUCT(--(MOD(CH57:CL57,10)&gt;=1), --(MOD(CH57:CL57,10)&lt;=5))</f>
        <v>4</v>
      </c>
      <c r="CX57" s="3">
        <f>5-CW57</f>
        <v>1</v>
      </c>
      <c r="CY57" s="30"/>
      <c r="CZ57" s="3" cm="1">
        <f t="array" ref="CZ57">IFERROR(COUNT(_xlfn._xlws.FILTER(CH57:CL57, ISNUMBER(MATCH(CH57:CL57, {2,3,5,7,11,13,17,19,23,29,31,37,41,43}, 0)))), 0)</f>
        <v>3</v>
      </c>
      <c r="DA57" s="3" cm="1">
        <f t="array" ref="DA57">IFERROR(COUNT(_xlfn._xlws.FILTER(CH57:CL57, ISNUMBER(MATCH(CH57:CL57, {1,4,8,10,14,16,20,22,25,26,28,32,34,35,38,40,44}, 0)))), 0)</f>
        <v>1</v>
      </c>
      <c r="DB57" s="3" cm="1">
        <f t="array" ref="DB57">IFERROR(COUNT(_xlfn._xlws.FILTER(CH57:CL57, ISNUMBER(MATCH(CH57:CL57, {6,9,12,15,18,21,24,27,30,33,36,39,42,45}, 0)))), 0)</f>
        <v>1</v>
      </c>
      <c r="DC57" s="29"/>
      <c r="DD57" s="28" t="e">
        <f>#REF!</f>
        <v>#REF!</v>
      </c>
      <c r="DE57" s="28" t="e">
        <f>#REF!*2</f>
        <v>#REF!</v>
      </c>
      <c r="DF57" s="28" t="e">
        <f>#REF!</f>
        <v>#REF!</v>
      </c>
      <c r="DG57" s="28" t="e">
        <f>#REF!*2</f>
        <v>#REF!</v>
      </c>
      <c r="DH57" s="28" t="e">
        <f>#REF!</f>
        <v>#REF!</v>
      </c>
      <c r="DI57" s="28" t="e">
        <f>#REF!*2</f>
        <v>#REF!</v>
      </c>
      <c r="DJ57" s="28" t="e">
        <f>#REF!</f>
        <v>#REF!</v>
      </c>
      <c r="DK57" s="28" t="e">
        <f>#REF!*2</f>
        <v>#REF!</v>
      </c>
      <c r="DL57" s="28" t="e">
        <f>#REF!</f>
        <v>#REF!</v>
      </c>
      <c r="DM57" s="28" t="e">
        <f>#REF!*2</f>
        <v>#REF!</v>
      </c>
      <c r="DN57" s="27"/>
      <c r="DO57" s="26" t="str" cm="1">
        <f t="array" ref="DO57">_xlfn.IFS(
   OR(CH57="",ISBLANK(CH57),CH57=0),0,
   ISNUMBER(MATCH(CH57,{2,3,5,7,11,13,17,19,23,29,31,37,41,43},0)),"소",
   AND(ISNUMBER(CH57),MOD(CH57,3)=0),"배",
   AND(ISNUMBER(CH57),CH57&gt;0),"자"
)</f>
        <v>소</v>
      </c>
      <c r="DP57" s="26" t="str" cm="1">
        <f t="array" ref="DP57">_xlfn.IFS(
   OR(CI57="",ISBLANK(CI57),CI57=0),0,
   ISNUMBER(MATCH(CI57,{2,3,5,7,11,13,17,19,23,29,31,37,41,43},0)),"소",
   AND(ISNUMBER(CI57),MOD(CI57,3)=0),"배",
   AND(ISNUMBER(CI57),CI57&gt;0),"자"
)</f>
        <v>소</v>
      </c>
      <c r="DQ57" s="26" t="str" cm="1">
        <f t="array" ref="DQ57">_xlfn.IFS(
   OR(CJ57="",ISBLANK(CJ57),CJ57=0),0,
   ISNUMBER(MATCH(CJ57,{2,3,5,7,11,13,17,19,23,29,31,37,41,43},0)),"소",
   AND(ISNUMBER(CJ57),MOD(CJ57,3)=0),"배",
   AND(ISNUMBER(CJ57),CJ57&gt;0),"자"
)</f>
        <v>자</v>
      </c>
      <c r="DR57" s="26" t="str" cm="1">
        <f t="array" ref="DR57">_xlfn.IFS(
   OR(CK57="",ISBLANK(CK57),CK57=0),0,
   ISNUMBER(MATCH(CK57,{2,3,5,7,11,13,17,19,23,29,31,37,41,43},0)),"소",
   AND(ISNUMBER(CK57),MOD(CK57,3)=0),"배",
   AND(ISNUMBER(CK57),CK57&gt;0),"자"
)</f>
        <v>배</v>
      </c>
      <c r="DS57" s="26" t="str" cm="1">
        <f t="array" ref="DS57">_xlfn.IFS(
   OR(CL57="",ISBLANK(CL57),CL57=0),0,
   ISNUMBER(MATCH(CL57,{2,3,5,7,11,13,17,19,23,29,31,37,41,43},0)),"소",
   AND(ISNUMBER(CL57),MOD(CL57,3)=0),"배",
   AND(ISNUMBER(CL57),CL57&gt;0),"자"
)</f>
        <v>소</v>
      </c>
      <c r="DT57" s="25"/>
    </row>
    <row r="58" spans="2:124" x14ac:dyDescent="0.3">
      <c r="B58" s="3">
        <v>5</v>
      </c>
      <c r="C58" s="3">
        <v>12</v>
      </c>
      <c r="D58" s="3">
        <v>15</v>
      </c>
      <c r="E58" s="3">
        <v>30</v>
      </c>
      <c r="F58" s="3">
        <v>37</v>
      </c>
      <c r="G58" s="3">
        <v>40</v>
      </c>
      <c r="H58" s="32"/>
      <c r="I58" s="3">
        <f>IF(OR(B58="",ISBLANK(B58),B58=0),0,IF(MOD(B58,2)=1,1,2))</f>
        <v>1</v>
      </c>
      <c r="J58" s="3">
        <f>IF(OR(C58="",ISBLANK(C58),C58=0),0,IF(MOD(C58,2)=1,1,2))</f>
        <v>2</v>
      </c>
      <c r="K58" s="3">
        <f>IF(OR(D58="",ISBLANK(D58),D58=0),0,IF(MOD(D58,2)=1,1,2))</f>
        <v>1</v>
      </c>
      <c r="L58" s="3">
        <f>IF(OR(E58="",ISBLANK(E58),E58=0),0,IF(MOD(E58,2)=1,1,2))</f>
        <v>2</v>
      </c>
      <c r="M58" s="3">
        <f>IF(OR(F58="",ISBLANK(F58),F58=0),0,IF(MOD(F58,2)=1,1,2))</f>
        <v>1</v>
      </c>
      <c r="N58" s="3">
        <f>IF(OR(G58="",ISBLANK(G58),G58=0),0,IF(MOD(G58,2)=1,1,2))</f>
        <v>2</v>
      </c>
      <c r="O58" s="32"/>
      <c r="P58" s="3" cm="1">
        <f t="array" ref="P58">SUMPRODUCT(--(MOD(B58:G58,2)=1))</f>
        <v>3</v>
      </c>
      <c r="Q58" s="3">
        <f>6-P58</f>
        <v>3</v>
      </c>
      <c r="R58" s="34"/>
      <c r="S58" s="3">
        <f>COUNTIFS(B58:G58,"&gt;=1",B58:G58,"&lt;=23")</f>
        <v>3</v>
      </c>
      <c r="T58" s="3">
        <f>6-S58</f>
        <v>3</v>
      </c>
      <c r="U58" s="34"/>
      <c r="V58" s="3" cm="1">
        <f t="array" ref="V58">SUMPRODUCT(--(MOD(B58:G58,10)&gt;=1), --(MOD(B58:G58,10)&lt;=5))</f>
        <v>3</v>
      </c>
      <c r="W58" s="3">
        <f>6-V58</f>
        <v>3</v>
      </c>
      <c r="X58" s="34"/>
      <c r="Y58" s="3" cm="1">
        <f t="array" ref="Y58">IFERROR(COUNT(_xlfn._xlws.FILTER(B58:G58, ISNUMBER(MATCH(B58:G58, {2,3,5,7,11,13,17,19,23,29,31,37,41,43}, 0)))), 0)</f>
        <v>2</v>
      </c>
      <c r="Z58" s="3" cm="1">
        <f t="array" ref="Z58">IFERROR(COUNT(_xlfn._xlws.FILTER(B58:G58, ISNUMBER(MATCH(B58:G58, {1,4,8,10,14,16,20,22,25,26,28,32,34,35,38,40,44}, 0)))), 0)</f>
        <v>1</v>
      </c>
      <c r="AA58" s="3" cm="1">
        <f t="array" ref="AA58">IFERROR(COUNT(_xlfn._xlws.FILTER(B58:G58, ISNUMBER(MATCH(B58:G58, {6,9,12,15,18,21,24,27,30,33,36,39,42,45}, 0)))), 0)</f>
        <v>3</v>
      </c>
      <c r="AB58" s="30"/>
      <c r="AC58" s="26" t="str" cm="1">
        <f t="array" ref="AC58">_xlfn.IFS(
   OR(B58="",ISBLANK(B58),B58=0),0,
   ISNUMBER(MATCH(B58,{2,3,5,7,11,13,17,19,23,29,31,37,41,43},0)),"소",
   AND(ISNUMBER(B58),MOD(B58,3)=0),"배",
   AND(ISNUMBER(B58),B58&gt;0),"자"
)</f>
        <v>소</v>
      </c>
      <c r="AD58" s="26" t="str" cm="1">
        <f t="array" ref="AD58">_xlfn.IFS(
   OR(C58="",ISBLANK(C58),C58=0),0,
   ISNUMBER(MATCH(C58,{2,3,5,7,11,13,17,19,23,29,31,37,41,43},0)),"소",
   AND(ISNUMBER(C58),MOD(C58,3)=0),"배",
   AND(ISNUMBER(C58),C58&gt;0),"자"
)</f>
        <v>배</v>
      </c>
      <c r="AE58" s="26" t="str" cm="1">
        <f t="array" ref="AE58">_xlfn.IFS(
   OR(D58="",ISBLANK(D58),D58=0),0,
   ISNUMBER(MATCH(D58,{2,3,5,7,11,13,17,19,23,29,31,37,41,43},0)),"소",
   AND(ISNUMBER(D58),MOD(D58,3)=0),"배",
   AND(ISNUMBER(D58),D58&gt;0),"자"
)</f>
        <v>배</v>
      </c>
      <c r="AF58" s="26" t="str" cm="1">
        <f t="array" ref="AF58">_xlfn.IFS(
   OR(E58="",ISBLANK(E58),E58=0),0,
   ISNUMBER(MATCH(E58,{2,3,5,7,11,13,17,19,23,29,31,37,41,43},0)),"소",
   AND(ISNUMBER(E58),MOD(E58,3)=0),"배",
   AND(ISNUMBER(E58),E58&gt;0),"자"
)</f>
        <v>배</v>
      </c>
      <c r="AG58" s="26" t="str" cm="1">
        <f t="array" ref="AG58">_xlfn.IFS(
   OR(F58="",ISBLANK(F58),F58=0),0,
   ISNUMBER(MATCH(F58,{2,3,5,7,11,13,17,19,23,29,31,37,41,43},0)),"소",
   AND(ISNUMBER(F58),MOD(F58,3)=0),"배",
   AND(ISNUMBER(F58),F58&gt;0),"자"
)</f>
        <v>소</v>
      </c>
      <c r="AH58" s="26" t="str" cm="1">
        <f t="array" ref="AH58">_xlfn.IFS(
   OR(G58="",ISBLANK(G58),G58=0),0,
   ISNUMBER(MATCH(G58,{2,3,5,7,11,13,17,19,23,29,31,37,41,43},0)),"소",
   AND(ISNUMBER(G58),MOD(G58,3)=0),"배",
   AND(ISNUMBER(G58),G58&gt;0),"자"
)</f>
        <v>자</v>
      </c>
      <c r="AI58" s="30"/>
      <c r="AJ58" s="3">
        <f>COUNTIFS(B58:G58,"&gt;=1",B58:G58,"&lt;=14")</f>
        <v>2</v>
      </c>
      <c r="AK58" s="3">
        <f>COUNTIFS(B58:G58,"&gt;=15",B58:G58,"&lt;=31")</f>
        <v>2</v>
      </c>
      <c r="AL58" s="3">
        <f>6-AK58-AJ58</f>
        <v>2</v>
      </c>
      <c r="AM58" s="33"/>
      <c r="AN58" s="3">
        <f>COUNTIFS($B58:$G58, "&gt;=1",$B58:$G58, "&lt;=9")</f>
        <v>1</v>
      </c>
      <c r="AO58" s="3">
        <f>COUNTIFS($B58:$G58, "&gt;=10",$B58:$G58, "&lt;=18")</f>
        <v>2</v>
      </c>
      <c r="AP58" s="3">
        <f>COUNTIFS($B58:$G58, "&gt;=19",$B58:$G58, "&lt;=27")</f>
        <v>0</v>
      </c>
      <c r="AQ58" s="3">
        <f>COUNTIFS($B58:$G58, "&gt;=28",$B58:$G58, "&lt;=36")</f>
        <v>1</v>
      </c>
      <c r="AR58" s="3">
        <f>COUNTIFS($B58:$G58, "&gt;=37",$B58:$G58, "&lt;=45")</f>
        <v>2</v>
      </c>
      <c r="AS58" s="28" t="e">
        <f>#REF!</f>
        <v>#REF!</v>
      </c>
      <c r="AT58" s="28" t="e">
        <f>#REF!*2</f>
        <v>#REF!</v>
      </c>
      <c r="AU58" s="28" t="e">
        <f>#REF!</f>
        <v>#REF!</v>
      </c>
      <c r="AV58" s="28" t="e">
        <f>#REF!*2</f>
        <v>#REF!</v>
      </c>
      <c r="AW58" s="28" t="e">
        <f>#REF!</f>
        <v>#REF!</v>
      </c>
      <c r="AX58" s="28" t="e">
        <f>#REF!*2</f>
        <v>#REF!</v>
      </c>
      <c r="AY58" s="28" t="e">
        <f>#REF!</f>
        <v>#REF!</v>
      </c>
      <c r="AZ58" s="28" t="e">
        <f>#REF!*2</f>
        <v>#REF!</v>
      </c>
      <c r="BA58" s="28" t="e">
        <f>#REF!</f>
        <v>#REF!</v>
      </c>
      <c r="BB58" s="28" t="e">
        <f>#REF!*2</f>
        <v>#REF!</v>
      </c>
      <c r="BC58" s="28" t="e">
        <f>#REF!</f>
        <v>#REF!</v>
      </c>
      <c r="BD58" s="28" t="e">
        <f>#REF!*2</f>
        <v>#REF!</v>
      </c>
      <c r="BE58" s="9" t="e">
        <f>#REF!-#REF!</f>
        <v>#REF!</v>
      </c>
      <c r="BF58" s="9" t="e">
        <f>#REF!-#REF!</f>
        <v>#REF!</v>
      </c>
      <c r="BG58" s="9" t="e">
        <f>#REF!-#REF!</f>
        <v>#REF!</v>
      </c>
      <c r="BH58" s="9" t="e">
        <f>#REF!-#REF!</f>
        <v>#REF!</v>
      </c>
      <c r="BI58" s="9" t="e">
        <f>#REF!-#REF!</f>
        <v>#REF!</v>
      </c>
      <c r="BJ58" s="33"/>
      <c r="BK58" s="3">
        <f>COUNTIFS(B58:G58, "&gt;=1", B58:G58, "&lt;=9")</f>
        <v>1</v>
      </c>
      <c r="BL58" s="3">
        <f>COUNTIFS(B58:G58, "&gt;=10", B58:G58, "&lt;=19")</f>
        <v>2</v>
      </c>
      <c r="BM58" s="3">
        <f>COUNTIFS(B58:G58, "&gt;=20", B58:G58, "&lt;=29")</f>
        <v>0</v>
      </c>
      <c r="BN58" s="3">
        <f>COUNTIFS(B58:G58, "&gt;=30", B58:G58, "&lt;=39")</f>
        <v>2</v>
      </c>
      <c r="BO58" s="3">
        <f>COUNTIFS(B58:G58, "&gt;=40", B58:G58, "&lt;=45")</f>
        <v>1</v>
      </c>
      <c r="BP58" s="28" t="e">
        <f>#REF!</f>
        <v>#REF!</v>
      </c>
      <c r="BQ58" s="28" t="e">
        <f>#REF!*2</f>
        <v>#REF!</v>
      </c>
      <c r="BR58" s="28" t="e">
        <f>#REF!</f>
        <v>#REF!</v>
      </c>
      <c r="BS58" s="28" t="e">
        <f>#REF!*2</f>
        <v>#REF!</v>
      </c>
      <c r="BT58" s="28" t="e">
        <f>#REF!</f>
        <v>#REF!</v>
      </c>
      <c r="BU58" s="28" t="e">
        <f>#REF!*2</f>
        <v>#REF!</v>
      </c>
      <c r="BV58" s="28" t="e">
        <f>#REF!</f>
        <v>#REF!</v>
      </c>
      <c r="BW58" s="28" t="e">
        <f>#REF!*2</f>
        <v>#REF!</v>
      </c>
      <c r="BX58" s="28" t="e">
        <f>#REF!</f>
        <v>#REF!</v>
      </c>
      <c r="BY58" s="28" t="e">
        <f>#REF!*2</f>
        <v>#REF!</v>
      </c>
      <c r="BZ58" s="28" t="e">
        <f>#REF!</f>
        <v>#REF!</v>
      </c>
      <c r="CA58" s="28" t="e">
        <f>#REF!*2</f>
        <v>#REF!</v>
      </c>
      <c r="CB58" s="9">
        <f>C58-B58</f>
        <v>7</v>
      </c>
      <c r="CC58" s="9">
        <f>D58-C58</f>
        <v>3</v>
      </c>
      <c r="CD58" s="9">
        <f>E58-D58</f>
        <v>15</v>
      </c>
      <c r="CE58" s="9">
        <f>F58-E58</f>
        <v>7</v>
      </c>
      <c r="CF58" s="9">
        <f>G58-F58</f>
        <v>3</v>
      </c>
      <c r="CG58" s="33"/>
      <c r="CH58" s="9">
        <f>C58-B58</f>
        <v>7</v>
      </c>
      <c r="CI58" s="9">
        <f>D58-C58</f>
        <v>3</v>
      </c>
      <c r="CJ58" s="9">
        <f>E58-D58</f>
        <v>15</v>
      </c>
      <c r="CK58" s="9">
        <f>F58-E58</f>
        <v>7</v>
      </c>
      <c r="CL58" s="9">
        <f>G58-F58</f>
        <v>3</v>
      </c>
      <c r="CM58" s="32"/>
      <c r="CN58" s="3">
        <f>IF(OR(CH58="",ISBLANK(CH58),CH58=0),0,IF(MOD(CH58,2)=1,1,2))</f>
        <v>1</v>
      </c>
      <c r="CO58" s="3">
        <f>IF(OR(CI58="",ISBLANK(CI58),CI58=0),0,IF(MOD(CI58,2)=1,1,2))</f>
        <v>1</v>
      </c>
      <c r="CP58" s="3">
        <f>IF(OR(CJ58="",ISBLANK(CJ58),CJ58=0),0,IF(MOD(CJ58,2)=1,1,2))</f>
        <v>1</v>
      </c>
      <c r="CQ58" s="3">
        <f>IF(OR(CK58="",ISBLANK(CK58),CK58=0),0,IF(MOD(CK58,2)=1,1,2))</f>
        <v>1</v>
      </c>
      <c r="CR58" s="3">
        <f>IF(OR(CL58="",ISBLANK(CL58),CL58=0),0,IF(MOD(CL58,2)=1,1,2))</f>
        <v>1</v>
      </c>
      <c r="CS58" s="31"/>
      <c r="CT58" s="3" cm="1">
        <f t="array" ref="CT58">SUMPRODUCT(--(MOD(CH58:CL58,2)=1))</f>
        <v>5</v>
      </c>
      <c r="CU58" s="3">
        <f>5-CT58</f>
        <v>0</v>
      </c>
      <c r="CV58" s="30"/>
      <c r="CW58" s="3" cm="1">
        <f t="array" ref="CW58">SUMPRODUCT(--(MOD(CH58:CL58,10)&gt;=1), --(MOD(CH58:CL58,10)&lt;=5))</f>
        <v>3</v>
      </c>
      <c r="CX58" s="3">
        <f>5-CW58</f>
        <v>2</v>
      </c>
      <c r="CY58" s="30"/>
      <c r="CZ58" s="3" cm="1">
        <f t="array" ref="CZ58">IFERROR(COUNT(_xlfn._xlws.FILTER(CH58:CL58, ISNUMBER(MATCH(CH58:CL58, {2,3,5,7,11,13,17,19,23,29,31,37,41,43}, 0)))), 0)</f>
        <v>4</v>
      </c>
      <c r="DA58" s="3" cm="1">
        <f t="array" ref="DA58">IFERROR(COUNT(_xlfn._xlws.FILTER(CH58:CL58, ISNUMBER(MATCH(CH58:CL58, {1,4,8,10,14,16,20,22,25,26,28,32,34,35,38,40,44}, 0)))), 0)</f>
        <v>0</v>
      </c>
      <c r="DB58" s="3" cm="1">
        <f t="array" ref="DB58">IFERROR(COUNT(_xlfn._xlws.FILTER(CH58:CL58, ISNUMBER(MATCH(CH58:CL58, {6,9,12,15,18,21,24,27,30,33,36,39,42,45}, 0)))), 0)</f>
        <v>1</v>
      </c>
      <c r="DC58" s="29"/>
      <c r="DD58" s="28" t="e">
        <f>#REF!</f>
        <v>#REF!</v>
      </c>
      <c r="DE58" s="28" t="e">
        <f>#REF!*2</f>
        <v>#REF!</v>
      </c>
      <c r="DF58" s="28" t="e">
        <f>#REF!</f>
        <v>#REF!</v>
      </c>
      <c r="DG58" s="28" t="e">
        <f>#REF!*2</f>
        <v>#REF!</v>
      </c>
      <c r="DH58" s="28" t="e">
        <f>#REF!</f>
        <v>#REF!</v>
      </c>
      <c r="DI58" s="28" t="e">
        <f>#REF!*2</f>
        <v>#REF!</v>
      </c>
      <c r="DJ58" s="28" t="e">
        <f>#REF!</f>
        <v>#REF!</v>
      </c>
      <c r="DK58" s="28" t="e">
        <f>#REF!*2</f>
        <v>#REF!</v>
      </c>
      <c r="DL58" s="28" t="e">
        <f>#REF!</f>
        <v>#REF!</v>
      </c>
      <c r="DM58" s="28" t="e">
        <f>#REF!*2</f>
        <v>#REF!</v>
      </c>
      <c r="DN58" s="27"/>
      <c r="DO58" s="26" t="str" cm="1">
        <f t="array" ref="DO58">_xlfn.IFS(
   OR(CH58="",ISBLANK(CH58),CH58=0),0,
   ISNUMBER(MATCH(CH58,{2,3,5,7,11,13,17,19,23,29,31,37,41,43},0)),"소",
   AND(ISNUMBER(CH58),MOD(CH58,3)=0),"배",
   AND(ISNUMBER(CH58),CH58&gt;0),"자"
)</f>
        <v>소</v>
      </c>
      <c r="DP58" s="26" t="str" cm="1">
        <f t="array" ref="DP58">_xlfn.IFS(
   OR(CI58="",ISBLANK(CI58),CI58=0),0,
   ISNUMBER(MATCH(CI58,{2,3,5,7,11,13,17,19,23,29,31,37,41,43},0)),"소",
   AND(ISNUMBER(CI58),MOD(CI58,3)=0),"배",
   AND(ISNUMBER(CI58),CI58&gt;0),"자"
)</f>
        <v>소</v>
      </c>
      <c r="DQ58" s="26" t="str" cm="1">
        <f t="array" ref="DQ58">_xlfn.IFS(
   OR(CJ58="",ISBLANK(CJ58),CJ58=0),0,
   ISNUMBER(MATCH(CJ58,{2,3,5,7,11,13,17,19,23,29,31,37,41,43},0)),"소",
   AND(ISNUMBER(CJ58),MOD(CJ58,3)=0),"배",
   AND(ISNUMBER(CJ58),CJ58&gt;0),"자"
)</f>
        <v>배</v>
      </c>
      <c r="DR58" s="26" t="str" cm="1">
        <f t="array" ref="DR58">_xlfn.IFS(
   OR(CK58="",ISBLANK(CK58),CK58=0),0,
   ISNUMBER(MATCH(CK58,{2,3,5,7,11,13,17,19,23,29,31,37,41,43},0)),"소",
   AND(ISNUMBER(CK58),MOD(CK58,3)=0),"배",
   AND(ISNUMBER(CK58),CK58&gt;0),"자"
)</f>
        <v>소</v>
      </c>
      <c r="DS58" s="26" t="str" cm="1">
        <f t="array" ref="DS58">_xlfn.IFS(
   OR(CL58="",ISBLANK(CL58),CL58=0),0,
   ISNUMBER(MATCH(CL58,{2,3,5,7,11,13,17,19,23,29,31,37,41,43},0)),"소",
   AND(ISNUMBER(CL58),MOD(CL58,3)=0),"배",
   AND(ISNUMBER(CL58),CL58&gt;0),"자"
)</f>
        <v>소</v>
      </c>
      <c r="DT58" s="25"/>
    </row>
    <row r="59" spans="2:124" x14ac:dyDescent="0.3">
      <c r="B59" s="3">
        <v>7</v>
      </c>
      <c r="C59" s="3">
        <v>10</v>
      </c>
      <c r="D59" s="3">
        <v>22</v>
      </c>
      <c r="E59" s="3">
        <v>29</v>
      </c>
      <c r="F59" s="3">
        <v>31</v>
      </c>
      <c r="G59" s="3">
        <v>38</v>
      </c>
      <c r="H59" s="32"/>
      <c r="I59" s="3">
        <f>IF(OR(B59="",ISBLANK(B59),B59=0),0,IF(MOD(B59,2)=1,1,2))</f>
        <v>1</v>
      </c>
      <c r="J59" s="3">
        <f>IF(OR(C59="",ISBLANK(C59),C59=0),0,IF(MOD(C59,2)=1,1,2))</f>
        <v>2</v>
      </c>
      <c r="K59" s="3">
        <f>IF(OR(D59="",ISBLANK(D59),D59=0),0,IF(MOD(D59,2)=1,1,2))</f>
        <v>2</v>
      </c>
      <c r="L59" s="3">
        <f>IF(OR(E59="",ISBLANK(E59),E59=0),0,IF(MOD(E59,2)=1,1,2))</f>
        <v>1</v>
      </c>
      <c r="M59" s="3">
        <f>IF(OR(F59="",ISBLANK(F59),F59=0),0,IF(MOD(F59,2)=1,1,2))</f>
        <v>1</v>
      </c>
      <c r="N59" s="3">
        <f>IF(OR(G59="",ISBLANK(G59),G59=0),0,IF(MOD(G59,2)=1,1,2))</f>
        <v>2</v>
      </c>
      <c r="O59" s="32"/>
      <c r="P59" s="3" cm="1">
        <f t="array" ref="P59">SUMPRODUCT(--(MOD(B59:G59,2)=1))</f>
        <v>3</v>
      </c>
      <c r="Q59" s="3">
        <f>6-P59</f>
        <v>3</v>
      </c>
      <c r="R59" s="34"/>
      <c r="S59" s="3">
        <f>COUNTIFS(B59:G59,"&gt;=1",B59:G59,"&lt;=23")</f>
        <v>3</v>
      </c>
      <c r="T59" s="3">
        <f>6-S59</f>
        <v>3</v>
      </c>
      <c r="U59" s="34"/>
      <c r="V59" s="3" cm="1">
        <f t="array" ref="V59">SUMPRODUCT(--(MOD(B59:G59,10)&gt;=1), --(MOD(B59:G59,10)&lt;=5))</f>
        <v>2</v>
      </c>
      <c r="W59" s="3">
        <f>6-V59</f>
        <v>4</v>
      </c>
      <c r="X59" s="34"/>
      <c r="Y59" s="3" cm="1">
        <f t="array" ref="Y59">IFERROR(COUNT(_xlfn._xlws.FILTER(B59:G59, ISNUMBER(MATCH(B59:G59, {2,3,5,7,11,13,17,19,23,29,31,37,41,43}, 0)))), 0)</f>
        <v>3</v>
      </c>
      <c r="Z59" s="3" cm="1">
        <f t="array" ref="Z59">IFERROR(COUNT(_xlfn._xlws.FILTER(B59:G59, ISNUMBER(MATCH(B59:G59, {1,4,8,10,14,16,20,22,25,26,28,32,34,35,38,40,44}, 0)))), 0)</f>
        <v>3</v>
      </c>
      <c r="AA59" s="3" cm="1">
        <f t="array" ref="AA59">IFERROR(COUNT(_xlfn._xlws.FILTER(B59:G59, ISNUMBER(MATCH(B59:G59, {6,9,12,15,18,21,24,27,30,33,36,39,42,45}, 0)))), 0)</f>
        <v>0</v>
      </c>
      <c r="AB59" s="30"/>
      <c r="AC59" s="26" t="str" cm="1">
        <f t="array" ref="AC59">_xlfn.IFS(
   OR(B59="",ISBLANK(B59),B59=0),0,
   ISNUMBER(MATCH(B59,{2,3,5,7,11,13,17,19,23,29,31,37,41,43},0)),"소",
   AND(ISNUMBER(B59),MOD(B59,3)=0),"배",
   AND(ISNUMBER(B59),B59&gt;0),"자"
)</f>
        <v>소</v>
      </c>
      <c r="AD59" s="26" t="str" cm="1">
        <f t="array" ref="AD59">_xlfn.IFS(
   OR(C59="",ISBLANK(C59),C59=0),0,
   ISNUMBER(MATCH(C59,{2,3,5,7,11,13,17,19,23,29,31,37,41,43},0)),"소",
   AND(ISNUMBER(C59),MOD(C59,3)=0),"배",
   AND(ISNUMBER(C59),C59&gt;0),"자"
)</f>
        <v>자</v>
      </c>
      <c r="AE59" s="26" t="str" cm="1">
        <f t="array" ref="AE59">_xlfn.IFS(
   OR(D59="",ISBLANK(D59),D59=0),0,
   ISNUMBER(MATCH(D59,{2,3,5,7,11,13,17,19,23,29,31,37,41,43},0)),"소",
   AND(ISNUMBER(D59),MOD(D59,3)=0),"배",
   AND(ISNUMBER(D59),D59&gt;0),"자"
)</f>
        <v>자</v>
      </c>
      <c r="AF59" s="26" t="str" cm="1">
        <f t="array" ref="AF59">_xlfn.IFS(
   OR(E59="",ISBLANK(E59),E59=0),0,
   ISNUMBER(MATCH(E59,{2,3,5,7,11,13,17,19,23,29,31,37,41,43},0)),"소",
   AND(ISNUMBER(E59),MOD(E59,3)=0),"배",
   AND(ISNUMBER(E59),E59&gt;0),"자"
)</f>
        <v>소</v>
      </c>
      <c r="AG59" s="26" t="str" cm="1">
        <f t="array" ref="AG59">_xlfn.IFS(
   OR(F59="",ISBLANK(F59),F59=0),0,
   ISNUMBER(MATCH(F59,{2,3,5,7,11,13,17,19,23,29,31,37,41,43},0)),"소",
   AND(ISNUMBER(F59),MOD(F59,3)=0),"배",
   AND(ISNUMBER(F59),F59&gt;0),"자"
)</f>
        <v>소</v>
      </c>
      <c r="AH59" s="26" t="str" cm="1">
        <f t="array" ref="AH59">_xlfn.IFS(
   OR(G59="",ISBLANK(G59),G59=0),0,
   ISNUMBER(MATCH(G59,{2,3,5,7,11,13,17,19,23,29,31,37,41,43},0)),"소",
   AND(ISNUMBER(G59),MOD(G59,3)=0),"배",
   AND(ISNUMBER(G59),G59&gt;0),"자"
)</f>
        <v>자</v>
      </c>
      <c r="AI59" s="30"/>
      <c r="AJ59" s="3">
        <f>COUNTIFS(B59:G59,"&gt;=1",B59:G59,"&lt;=14")</f>
        <v>2</v>
      </c>
      <c r="AK59" s="3">
        <f>COUNTIFS(B59:G59,"&gt;=15",B59:G59,"&lt;=31")</f>
        <v>3</v>
      </c>
      <c r="AL59" s="3">
        <f>6-AK59-AJ59</f>
        <v>1</v>
      </c>
      <c r="AM59" s="33"/>
      <c r="AN59" s="3">
        <f>COUNTIFS($B59:$G59, "&gt;=1",$B59:$G59, "&lt;=9")</f>
        <v>1</v>
      </c>
      <c r="AO59" s="3">
        <f>COUNTIFS($B59:$G59, "&gt;=10",$B59:$G59, "&lt;=18")</f>
        <v>1</v>
      </c>
      <c r="AP59" s="3">
        <f>COUNTIFS($B59:$G59, "&gt;=19",$B59:$G59, "&lt;=27")</f>
        <v>1</v>
      </c>
      <c r="AQ59" s="3">
        <f>COUNTIFS($B59:$G59, "&gt;=28",$B59:$G59, "&lt;=36")</f>
        <v>2</v>
      </c>
      <c r="AR59" s="3">
        <f>COUNTIFS($B59:$G59, "&gt;=37",$B59:$G59, "&lt;=45")</f>
        <v>1</v>
      </c>
      <c r="AS59" s="28" t="e">
        <f>#REF!</f>
        <v>#REF!</v>
      </c>
      <c r="AT59" s="28" t="e">
        <f>#REF!*2</f>
        <v>#REF!</v>
      </c>
      <c r="AU59" s="28" t="e">
        <f>#REF!</f>
        <v>#REF!</v>
      </c>
      <c r="AV59" s="28" t="e">
        <f>#REF!*2</f>
        <v>#REF!</v>
      </c>
      <c r="AW59" s="28" t="e">
        <f>#REF!</f>
        <v>#REF!</v>
      </c>
      <c r="AX59" s="28" t="e">
        <f>#REF!*2</f>
        <v>#REF!</v>
      </c>
      <c r="AY59" s="28" t="e">
        <f>#REF!</f>
        <v>#REF!</v>
      </c>
      <c r="AZ59" s="28" t="e">
        <f>#REF!*2</f>
        <v>#REF!</v>
      </c>
      <c r="BA59" s="28" t="e">
        <f>#REF!</f>
        <v>#REF!</v>
      </c>
      <c r="BB59" s="28" t="e">
        <f>#REF!*2</f>
        <v>#REF!</v>
      </c>
      <c r="BC59" s="28" t="e">
        <f>#REF!</f>
        <v>#REF!</v>
      </c>
      <c r="BD59" s="28" t="e">
        <f>#REF!*2</f>
        <v>#REF!</v>
      </c>
      <c r="BE59" s="9" t="e">
        <f>#REF!-#REF!</f>
        <v>#REF!</v>
      </c>
      <c r="BF59" s="9" t="e">
        <f>#REF!-#REF!</f>
        <v>#REF!</v>
      </c>
      <c r="BG59" s="9" t="e">
        <f>#REF!-#REF!</f>
        <v>#REF!</v>
      </c>
      <c r="BH59" s="9" t="e">
        <f>#REF!-#REF!</f>
        <v>#REF!</v>
      </c>
      <c r="BI59" s="9" t="e">
        <f>#REF!-#REF!</f>
        <v>#REF!</v>
      </c>
      <c r="BJ59" s="33"/>
      <c r="BK59" s="3">
        <f>COUNTIFS(B59:G59, "&gt;=1", B59:G59, "&lt;=9")</f>
        <v>1</v>
      </c>
      <c r="BL59" s="3">
        <f>COUNTIFS(B59:G59, "&gt;=10", B59:G59, "&lt;=19")</f>
        <v>1</v>
      </c>
      <c r="BM59" s="3">
        <f>COUNTIFS(B59:G59, "&gt;=20", B59:G59, "&lt;=29")</f>
        <v>2</v>
      </c>
      <c r="BN59" s="3">
        <f>COUNTIFS(B59:G59, "&gt;=30", B59:G59, "&lt;=39")</f>
        <v>2</v>
      </c>
      <c r="BO59" s="3">
        <f>COUNTIFS(B59:G59, "&gt;=40", B59:G59, "&lt;=45")</f>
        <v>0</v>
      </c>
      <c r="BP59" s="28" t="e">
        <f>#REF!</f>
        <v>#REF!</v>
      </c>
      <c r="BQ59" s="28" t="e">
        <f>#REF!*2</f>
        <v>#REF!</v>
      </c>
      <c r="BR59" s="28" t="e">
        <f>#REF!</f>
        <v>#REF!</v>
      </c>
      <c r="BS59" s="28" t="e">
        <f>#REF!*2</f>
        <v>#REF!</v>
      </c>
      <c r="BT59" s="28" t="e">
        <f>#REF!</f>
        <v>#REF!</v>
      </c>
      <c r="BU59" s="28" t="e">
        <f>#REF!*2</f>
        <v>#REF!</v>
      </c>
      <c r="BV59" s="28" t="e">
        <f>#REF!</f>
        <v>#REF!</v>
      </c>
      <c r="BW59" s="28" t="e">
        <f>#REF!*2</f>
        <v>#REF!</v>
      </c>
      <c r="BX59" s="28" t="e">
        <f>#REF!</f>
        <v>#REF!</v>
      </c>
      <c r="BY59" s="28" t="e">
        <f>#REF!*2</f>
        <v>#REF!</v>
      </c>
      <c r="BZ59" s="28" t="e">
        <f>#REF!</f>
        <v>#REF!</v>
      </c>
      <c r="CA59" s="28" t="e">
        <f>#REF!*2</f>
        <v>#REF!</v>
      </c>
      <c r="CB59" s="9">
        <f>C59-B59</f>
        <v>3</v>
      </c>
      <c r="CC59" s="9">
        <f>D59-C59</f>
        <v>12</v>
      </c>
      <c r="CD59" s="9">
        <f>E59-D59</f>
        <v>7</v>
      </c>
      <c r="CE59" s="9">
        <f>F59-E59</f>
        <v>2</v>
      </c>
      <c r="CF59" s="9">
        <f>G59-F59</f>
        <v>7</v>
      </c>
      <c r="CG59" s="33"/>
      <c r="CH59" s="9">
        <f>C59-B59</f>
        <v>3</v>
      </c>
      <c r="CI59" s="9">
        <f>D59-C59</f>
        <v>12</v>
      </c>
      <c r="CJ59" s="9">
        <f>E59-D59</f>
        <v>7</v>
      </c>
      <c r="CK59" s="9">
        <f>F59-E59</f>
        <v>2</v>
      </c>
      <c r="CL59" s="9">
        <f>G59-F59</f>
        <v>7</v>
      </c>
      <c r="CM59" s="32"/>
      <c r="CN59" s="3">
        <f>IF(OR(CH59="",ISBLANK(CH59),CH59=0),0,IF(MOD(CH59,2)=1,1,2))</f>
        <v>1</v>
      </c>
      <c r="CO59" s="3">
        <f>IF(OR(CI59="",ISBLANK(CI59),CI59=0),0,IF(MOD(CI59,2)=1,1,2))</f>
        <v>2</v>
      </c>
      <c r="CP59" s="3">
        <f>IF(OR(CJ59="",ISBLANK(CJ59),CJ59=0),0,IF(MOD(CJ59,2)=1,1,2))</f>
        <v>1</v>
      </c>
      <c r="CQ59" s="3">
        <f>IF(OR(CK59="",ISBLANK(CK59),CK59=0),0,IF(MOD(CK59,2)=1,1,2))</f>
        <v>2</v>
      </c>
      <c r="CR59" s="3">
        <f>IF(OR(CL59="",ISBLANK(CL59),CL59=0),0,IF(MOD(CL59,2)=1,1,2))</f>
        <v>1</v>
      </c>
      <c r="CS59" s="31"/>
      <c r="CT59" s="3" cm="1">
        <f t="array" ref="CT59">SUMPRODUCT(--(MOD(CH59:CL59,2)=1))</f>
        <v>3</v>
      </c>
      <c r="CU59" s="3">
        <f>5-CT59</f>
        <v>2</v>
      </c>
      <c r="CV59" s="30"/>
      <c r="CW59" s="3" cm="1">
        <f t="array" ref="CW59">SUMPRODUCT(--(MOD(CH59:CL59,10)&gt;=1), --(MOD(CH59:CL59,10)&lt;=5))</f>
        <v>3</v>
      </c>
      <c r="CX59" s="3">
        <f>5-CW59</f>
        <v>2</v>
      </c>
      <c r="CY59" s="30"/>
      <c r="CZ59" s="3" cm="1">
        <f t="array" ref="CZ59">IFERROR(COUNT(_xlfn._xlws.FILTER(CH59:CL59, ISNUMBER(MATCH(CH59:CL59, {2,3,5,7,11,13,17,19,23,29,31,37,41,43}, 0)))), 0)</f>
        <v>4</v>
      </c>
      <c r="DA59" s="3" cm="1">
        <f t="array" ref="DA59">IFERROR(COUNT(_xlfn._xlws.FILTER(CH59:CL59, ISNUMBER(MATCH(CH59:CL59, {1,4,8,10,14,16,20,22,25,26,28,32,34,35,38,40,44}, 0)))), 0)</f>
        <v>0</v>
      </c>
      <c r="DB59" s="3" cm="1">
        <f t="array" ref="DB59">IFERROR(COUNT(_xlfn._xlws.FILTER(CH59:CL59, ISNUMBER(MATCH(CH59:CL59, {6,9,12,15,18,21,24,27,30,33,36,39,42,45}, 0)))), 0)</f>
        <v>1</v>
      </c>
      <c r="DC59" s="29"/>
      <c r="DD59" s="28" t="e">
        <f>#REF!</f>
        <v>#REF!</v>
      </c>
      <c r="DE59" s="28" t="e">
        <f>#REF!*2</f>
        <v>#REF!</v>
      </c>
      <c r="DF59" s="28" t="e">
        <f>#REF!</f>
        <v>#REF!</v>
      </c>
      <c r="DG59" s="28" t="e">
        <f>#REF!*2</f>
        <v>#REF!</v>
      </c>
      <c r="DH59" s="28" t="e">
        <f>#REF!</f>
        <v>#REF!</v>
      </c>
      <c r="DI59" s="28" t="e">
        <f>#REF!*2</f>
        <v>#REF!</v>
      </c>
      <c r="DJ59" s="28" t="e">
        <f>#REF!</f>
        <v>#REF!</v>
      </c>
      <c r="DK59" s="28" t="e">
        <f>#REF!*2</f>
        <v>#REF!</v>
      </c>
      <c r="DL59" s="28" t="e">
        <f>#REF!</f>
        <v>#REF!</v>
      </c>
      <c r="DM59" s="28" t="e">
        <f>#REF!*2</f>
        <v>#REF!</v>
      </c>
      <c r="DN59" s="27"/>
      <c r="DO59" s="26" t="str" cm="1">
        <f t="array" ref="DO59">_xlfn.IFS(
   OR(CH59="",ISBLANK(CH59),CH59=0),0,
   ISNUMBER(MATCH(CH59,{2,3,5,7,11,13,17,19,23,29,31,37,41,43},0)),"소",
   AND(ISNUMBER(CH59),MOD(CH59,3)=0),"배",
   AND(ISNUMBER(CH59),CH59&gt;0),"자"
)</f>
        <v>소</v>
      </c>
      <c r="DP59" s="26" t="str" cm="1">
        <f t="array" ref="DP59">_xlfn.IFS(
   OR(CI59="",ISBLANK(CI59),CI59=0),0,
   ISNUMBER(MATCH(CI59,{2,3,5,7,11,13,17,19,23,29,31,37,41,43},0)),"소",
   AND(ISNUMBER(CI59),MOD(CI59,3)=0),"배",
   AND(ISNUMBER(CI59),CI59&gt;0),"자"
)</f>
        <v>배</v>
      </c>
      <c r="DQ59" s="26" t="str" cm="1">
        <f t="array" ref="DQ59">_xlfn.IFS(
   OR(CJ59="",ISBLANK(CJ59),CJ59=0),0,
   ISNUMBER(MATCH(CJ59,{2,3,5,7,11,13,17,19,23,29,31,37,41,43},0)),"소",
   AND(ISNUMBER(CJ59),MOD(CJ59,3)=0),"배",
   AND(ISNUMBER(CJ59),CJ59&gt;0),"자"
)</f>
        <v>소</v>
      </c>
      <c r="DR59" s="26" t="str" cm="1">
        <f t="array" ref="DR59">_xlfn.IFS(
   OR(CK59="",ISBLANK(CK59),CK59=0),0,
   ISNUMBER(MATCH(CK59,{2,3,5,7,11,13,17,19,23,29,31,37,41,43},0)),"소",
   AND(ISNUMBER(CK59),MOD(CK59,3)=0),"배",
   AND(ISNUMBER(CK59),CK59&gt;0),"자"
)</f>
        <v>소</v>
      </c>
      <c r="DS59" s="26" t="str" cm="1">
        <f t="array" ref="DS59">_xlfn.IFS(
   OR(CL59="",ISBLANK(CL59),CL59=0),0,
   ISNUMBER(MATCH(CL59,{2,3,5,7,11,13,17,19,23,29,31,37,41,43},0)),"소",
   AND(ISNUMBER(CL59),MOD(CL59,3)=0),"배",
   AND(ISNUMBER(CL59),CL59&gt;0),"자"
)</f>
        <v>소</v>
      </c>
      <c r="DT59" s="25"/>
    </row>
    <row r="60" spans="2:124" x14ac:dyDescent="0.3">
      <c r="B60" s="3">
        <v>7</v>
      </c>
      <c r="C60" s="3">
        <v>11</v>
      </c>
      <c r="D60" s="3">
        <v>12</v>
      </c>
      <c r="E60" s="3">
        <v>21</v>
      </c>
      <c r="F60" s="3">
        <v>26</v>
      </c>
      <c r="G60" s="3">
        <v>35</v>
      </c>
      <c r="H60" s="32"/>
      <c r="I60" s="3">
        <f>IF(OR(B60="",ISBLANK(B60),B60=0),0,IF(MOD(B60,2)=1,1,2))</f>
        <v>1</v>
      </c>
      <c r="J60" s="3">
        <f>IF(OR(C60="",ISBLANK(C60),C60=0),0,IF(MOD(C60,2)=1,1,2))</f>
        <v>1</v>
      </c>
      <c r="K60" s="3">
        <f>IF(OR(D60="",ISBLANK(D60),D60=0),0,IF(MOD(D60,2)=1,1,2))</f>
        <v>2</v>
      </c>
      <c r="L60" s="3">
        <f>IF(OR(E60="",ISBLANK(E60),E60=0),0,IF(MOD(E60,2)=1,1,2))</f>
        <v>1</v>
      </c>
      <c r="M60" s="3">
        <f>IF(OR(F60="",ISBLANK(F60),F60=0),0,IF(MOD(F60,2)=1,1,2))</f>
        <v>2</v>
      </c>
      <c r="N60" s="3">
        <f>IF(OR(G60="",ISBLANK(G60),G60=0),0,IF(MOD(G60,2)=1,1,2))</f>
        <v>1</v>
      </c>
      <c r="O60" s="32"/>
      <c r="P60" s="3" cm="1">
        <f t="array" ref="P60">SUMPRODUCT(--(MOD(B60:G60,2)=1))</f>
        <v>4</v>
      </c>
      <c r="Q60" s="3">
        <f>6-P60</f>
        <v>2</v>
      </c>
      <c r="R60" s="34"/>
      <c r="S60" s="3">
        <f>COUNTIFS(B60:G60,"&gt;=1",B60:G60,"&lt;=23")</f>
        <v>4</v>
      </c>
      <c r="T60" s="3">
        <f>6-S60</f>
        <v>2</v>
      </c>
      <c r="U60" s="34"/>
      <c r="V60" s="3" cm="1">
        <f t="array" ref="V60">SUMPRODUCT(--(MOD(B60:G60,10)&gt;=1), --(MOD(B60:G60,10)&lt;=5))</f>
        <v>4</v>
      </c>
      <c r="W60" s="3">
        <f>6-V60</f>
        <v>2</v>
      </c>
      <c r="X60" s="34"/>
      <c r="Y60" s="3" cm="1">
        <f t="array" ref="Y60">IFERROR(COUNT(_xlfn._xlws.FILTER(B60:G60, ISNUMBER(MATCH(B60:G60, {2,3,5,7,11,13,17,19,23,29,31,37,41,43}, 0)))), 0)</f>
        <v>2</v>
      </c>
      <c r="Z60" s="3" cm="1">
        <f t="array" ref="Z60">IFERROR(COUNT(_xlfn._xlws.FILTER(B60:G60, ISNUMBER(MATCH(B60:G60, {1,4,8,10,14,16,20,22,25,26,28,32,34,35,38,40,44}, 0)))), 0)</f>
        <v>2</v>
      </c>
      <c r="AA60" s="3" cm="1">
        <f t="array" ref="AA60">IFERROR(COUNT(_xlfn._xlws.FILTER(B60:G60, ISNUMBER(MATCH(B60:G60, {6,9,12,15,18,21,24,27,30,33,36,39,42,45}, 0)))), 0)</f>
        <v>2</v>
      </c>
      <c r="AB60" s="30"/>
      <c r="AC60" s="26" t="str" cm="1">
        <f t="array" ref="AC60">_xlfn.IFS(
   OR(B60="",ISBLANK(B60),B60=0),0,
   ISNUMBER(MATCH(B60,{2,3,5,7,11,13,17,19,23,29,31,37,41,43},0)),"소",
   AND(ISNUMBER(B60),MOD(B60,3)=0),"배",
   AND(ISNUMBER(B60),B60&gt;0),"자"
)</f>
        <v>소</v>
      </c>
      <c r="AD60" s="26" t="str" cm="1">
        <f t="array" ref="AD60">_xlfn.IFS(
   OR(C60="",ISBLANK(C60),C60=0),0,
   ISNUMBER(MATCH(C60,{2,3,5,7,11,13,17,19,23,29,31,37,41,43},0)),"소",
   AND(ISNUMBER(C60),MOD(C60,3)=0),"배",
   AND(ISNUMBER(C60),C60&gt;0),"자"
)</f>
        <v>소</v>
      </c>
      <c r="AE60" s="26" t="str" cm="1">
        <f t="array" ref="AE60">_xlfn.IFS(
   OR(D60="",ISBLANK(D60),D60=0),0,
   ISNUMBER(MATCH(D60,{2,3,5,7,11,13,17,19,23,29,31,37,41,43},0)),"소",
   AND(ISNUMBER(D60),MOD(D60,3)=0),"배",
   AND(ISNUMBER(D60),D60&gt;0),"자"
)</f>
        <v>배</v>
      </c>
      <c r="AF60" s="26" t="str" cm="1">
        <f t="array" ref="AF60">_xlfn.IFS(
   OR(E60="",ISBLANK(E60),E60=0),0,
   ISNUMBER(MATCH(E60,{2,3,5,7,11,13,17,19,23,29,31,37,41,43},0)),"소",
   AND(ISNUMBER(E60),MOD(E60,3)=0),"배",
   AND(ISNUMBER(E60),E60&gt;0),"자"
)</f>
        <v>배</v>
      </c>
      <c r="AG60" s="26" t="str" cm="1">
        <f t="array" ref="AG60">_xlfn.IFS(
   OR(F60="",ISBLANK(F60),F60=0),0,
   ISNUMBER(MATCH(F60,{2,3,5,7,11,13,17,19,23,29,31,37,41,43},0)),"소",
   AND(ISNUMBER(F60),MOD(F60,3)=0),"배",
   AND(ISNUMBER(F60),F60&gt;0),"자"
)</f>
        <v>자</v>
      </c>
      <c r="AH60" s="26" t="str" cm="1">
        <f t="array" ref="AH60">_xlfn.IFS(
   OR(G60="",ISBLANK(G60),G60=0),0,
   ISNUMBER(MATCH(G60,{2,3,5,7,11,13,17,19,23,29,31,37,41,43},0)),"소",
   AND(ISNUMBER(G60),MOD(G60,3)=0),"배",
   AND(ISNUMBER(G60),G60&gt;0),"자"
)</f>
        <v>자</v>
      </c>
      <c r="AI60" s="30"/>
      <c r="AJ60" s="3">
        <f>COUNTIFS(B60:G60,"&gt;=1",B60:G60,"&lt;=14")</f>
        <v>3</v>
      </c>
      <c r="AK60" s="3">
        <f>COUNTIFS(B60:G60,"&gt;=15",B60:G60,"&lt;=31")</f>
        <v>2</v>
      </c>
      <c r="AL60" s="3">
        <f>6-AK60-AJ60</f>
        <v>1</v>
      </c>
      <c r="AM60" s="33"/>
      <c r="AN60" s="3">
        <f>COUNTIFS($B60:$G60, "&gt;=1",$B60:$G60, "&lt;=9")</f>
        <v>1</v>
      </c>
      <c r="AO60" s="3">
        <f>COUNTIFS($B60:$G60, "&gt;=10",$B60:$G60, "&lt;=18")</f>
        <v>2</v>
      </c>
      <c r="AP60" s="3">
        <f>COUNTIFS($B60:$G60, "&gt;=19",$B60:$G60, "&lt;=27")</f>
        <v>2</v>
      </c>
      <c r="AQ60" s="3">
        <f>COUNTIFS($B60:$G60, "&gt;=28",$B60:$G60, "&lt;=36")</f>
        <v>1</v>
      </c>
      <c r="AR60" s="3">
        <f>COUNTIFS($B60:$G60, "&gt;=37",$B60:$G60, "&lt;=45")</f>
        <v>0</v>
      </c>
      <c r="AS60" s="28" t="e">
        <f>#REF!</f>
        <v>#REF!</v>
      </c>
      <c r="AT60" s="28" t="e">
        <f>#REF!*2</f>
        <v>#REF!</v>
      </c>
      <c r="AU60" s="28" t="e">
        <f>#REF!</f>
        <v>#REF!</v>
      </c>
      <c r="AV60" s="28" t="e">
        <f>#REF!*2</f>
        <v>#REF!</v>
      </c>
      <c r="AW60" s="28" t="e">
        <f>#REF!</f>
        <v>#REF!</v>
      </c>
      <c r="AX60" s="28" t="e">
        <f>#REF!*2</f>
        <v>#REF!</v>
      </c>
      <c r="AY60" s="28" t="e">
        <f>#REF!</f>
        <v>#REF!</v>
      </c>
      <c r="AZ60" s="28" t="e">
        <f>#REF!*2</f>
        <v>#REF!</v>
      </c>
      <c r="BA60" s="28" t="e">
        <f>#REF!</f>
        <v>#REF!</v>
      </c>
      <c r="BB60" s="28" t="e">
        <f>#REF!*2</f>
        <v>#REF!</v>
      </c>
      <c r="BC60" s="28" t="e">
        <f>#REF!</f>
        <v>#REF!</v>
      </c>
      <c r="BD60" s="28" t="e">
        <f>#REF!*2</f>
        <v>#REF!</v>
      </c>
      <c r="BE60" s="9" t="e">
        <f>#REF!-#REF!</f>
        <v>#REF!</v>
      </c>
      <c r="BF60" s="9" t="e">
        <f>#REF!-#REF!</f>
        <v>#REF!</v>
      </c>
      <c r="BG60" s="9" t="e">
        <f>#REF!-#REF!</f>
        <v>#REF!</v>
      </c>
      <c r="BH60" s="9" t="e">
        <f>#REF!-#REF!</f>
        <v>#REF!</v>
      </c>
      <c r="BI60" s="9" t="e">
        <f>#REF!-#REF!</f>
        <v>#REF!</v>
      </c>
      <c r="BJ60" s="33"/>
      <c r="BK60" s="3">
        <f>COUNTIFS(B60:G60, "&gt;=1", B60:G60, "&lt;=9")</f>
        <v>1</v>
      </c>
      <c r="BL60" s="3">
        <f>COUNTIFS(B60:G60, "&gt;=10", B60:G60, "&lt;=19")</f>
        <v>2</v>
      </c>
      <c r="BM60" s="3">
        <f>COUNTIFS(B60:G60, "&gt;=20", B60:G60, "&lt;=29")</f>
        <v>2</v>
      </c>
      <c r="BN60" s="3">
        <f>COUNTIFS(B60:G60, "&gt;=30", B60:G60, "&lt;=39")</f>
        <v>1</v>
      </c>
      <c r="BO60" s="3">
        <f>COUNTIFS(B60:G60, "&gt;=40", B60:G60, "&lt;=45")</f>
        <v>0</v>
      </c>
      <c r="BP60" s="28" t="e">
        <f>#REF!</f>
        <v>#REF!</v>
      </c>
      <c r="BQ60" s="28" t="e">
        <f>#REF!*2</f>
        <v>#REF!</v>
      </c>
      <c r="BR60" s="28" t="e">
        <f>#REF!</f>
        <v>#REF!</v>
      </c>
      <c r="BS60" s="28" t="e">
        <f>#REF!*2</f>
        <v>#REF!</v>
      </c>
      <c r="BT60" s="28" t="e">
        <f>#REF!</f>
        <v>#REF!</v>
      </c>
      <c r="BU60" s="28" t="e">
        <f>#REF!*2</f>
        <v>#REF!</v>
      </c>
      <c r="BV60" s="28" t="e">
        <f>#REF!</f>
        <v>#REF!</v>
      </c>
      <c r="BW60" s="28" t="e">
        <f>#REF!*2</f>
        <v>#REF!</v>
      </c>
      <c r="BX60" s="28" t="e">
        <f>#REF!</f>
        <v>#REF!</v>
      </c>
      <c r="BY60" s="28" t="e">
        <f>#REF!*2</f>
        <v>#REF!</v>
      </c>
      <c r="BZ60" s="28" t="e">
        <f>#REF!</f>
        <v>#REF!</v>
      </c>
      <c r="CA60" s="28" t="e">
        <f>#REF!*2</f>
        <v>#REF!</v>
      </c>
      <c r="CB60" s="9">
        <f>C60-B60</f>
        <v>4</v>
      </c>
      <c r="CC60" s="9">
        <f>D60-C60</f>
        <v>1</v>
      </c>
      <c r="CD60" s="9">
        <f>E60-D60</f>
        <v>9</v>
      </c>
      <c r="CE60" s="9">
        <f>F60-E60</f>
        <v>5</v>
      </c>
      <c r="CF60" s="9">
        <f>G60-F60</f>
        <v>9</v>
      </c>
      <c r="CG60" s="33"/>
      <c r="CH60" s="9">
        <f>C60-B60</f>
        <v>4</v>
      </c>
      <c r="CI60" s="9">
        <f>D60-C60</f>
        <v>1</v>
      </c>
      <c r="CJ60" s="9">
        <f>E60-D60</f>
        <v>9</v>
      </c>
      <c r="CK60" s="9">
        <f>F60-E60</f>
        <v>5</v>
      </c>
      <c r="CL60" s="9">
        <f>G60-F60</f>
        <v>9</v>
      </c>
      <c r="CM60" s="32"/>
      <c r="CN60" s="3">
        <f>IF(OR(CH60="",ISBLANK(CH60),CH60=0),0,IF(MOD(CH60,2)=1,1,2))</f>
        <v>2</v>
      </c>
      <c r="CO60" s="3">
        <f>IF(OR(CI60="",ISBLANK(CI60),CI60=0),0,IF(MOD(CI60,2)=1,1,2))</f>
        <v>1</v>
      </c>
      <c r="CP60" s="3">
        <f>IF(OR(CJ60="",ISBLANK(CJ60),CJ60=0),0,IF(MOD(CJ60,2)=1,1,2))</f>
        <v>1</v>
      </c>
      <c r="CQ60" s="3">
        <f>IF(OR(CK60="",ISBLANK(CK60),CK60=0),0,IF(MOD(CK60,2)=1,1,2))</f>
        <v>1</v>
      </c>
      <c r="CR60" s="3">
        <f>IF(OR(CL60="",ISBLANK(CL60),CL60=0),0,IF(MOD(CL60,2)=1,1,2))</f>
        <v>1</v>
      </c>
      <c r="CS60" s="31"/>
      <c r="CT60" s="3" cm="1">
        <f t="array" ref="CT60">SUMPRODUCT(--(MOD(CH60:CL60,2)=1))</f>
        <v>4</v>
      </c>
      <c r="CU60" s="3">
        <f>5-CT60</f>
        <v>1</v>
      </c>
      <c r="CV60" s="30"/>
      <c r="CW60" s="3" cm="1">
        <f t="array" ref="CW60">SUMPRODUCT(--(MOD(CH60:CL60,10)&gt;=1), --(MOD(CH60:CL60,10)&lt;=5))</f>
        <v>3</v>
      </c>
      <c r="CX60" s="3">
        <f>5-CW60</f>
        <v>2</v>
      </c>
      <c r="CY60" s="30"/>
      <c r="CZ60" s="3" cm="1">
        <f t="array" ref="CZ60">IFERROR(COUNT(_xlfn._xlws.FILTER(CH60:CL60, ISNUMBER(MATCH(CH60:CL60, {2,3,5,7,11,13,17,19,23,29,31,37,41,43}, 0)))), 0)</f>
        <v>1</v>
      </c>
      <c r="DA60" s="3" cm="1">
        <f t="array" ref="DA60">IFERROR(COUNT(_xlfn._xlws.FILTER(CH60:CL60, ISNUMBER(MATCH(CH60:CL60, {1,4,8,10,14,16,20,22,25,26,28,32,34,35,38,40,44}, 0)))), 0)</f>
        <v>2</v>
      </c>
      <c r="DB60" s="3" cm="1">
        <f t="array" ref="DB60">IFERROR(COUNT(_xlfn._xlws.FILTER(CH60:CL60, ISNUMBER(MATCH(CH60:CL60, {6,9,12,15,18,21,24,27,30,33,36,39,42,45}, 0)))), 0)</f>
        <v>2</v>
      </c>
      <c r="DC60" s="29"/>
      <c r="DD60" s="28" t="e">
        <f>#REF!</f>
        <v>#REF!</v>
      </c>
      <c r="DE60" s="28" t="e">
        <f>#REF!*2</f>
        <v>#REF!</v>
      </c>
      <c r="DF60" s="28" t="e">
        <f>#REF!</f>
        <v>#REF!</v>
      </c>
      <c r="DG60" s="28" t="e">
        <f>#REF!*2</f>
        <v>#REF!</v>
      </c>
      <c r="DH60" s="28" t="e">
        <f>#REF!</f>
        <v>#REF!</v>
      </c>
      <c r="DI60" s="28" t="e">
        <f>#REF!*2</f>
        <v>#REF!</v>
      </c>
      <c r="DJ60" s="28" t="e">
        <f>#REF!</f>
        <v>#REF!</v>
      </c>
      <c r="DK60" s="28" t="e">
        <f>#REF!*2</f>
        <v>#REF!</v>
      </c>
      <c r="DL60" s="28" t="e">
        <f>#REF!</f>
        <v>#REF!</v>
      </c>
      <c r="DM60" s="28" t="e">
        <f>#REF!*2</f>
        <v>#REF!</v>
      </c>
      <c r="DN60" s="27"/>
      <c r="DO60" s="26" t="str" cm="1">
        <f t="array" ref="DO60">_xlfn.IFS(
   OR(CH60="",ISBLANK(CH60),CH60=0),0,
   ISNUMBER(MATCH(CH60,{2,3,5,7,11,13,17,19,23,29,31,37,41,43},0)),"소",
   AND(ISNUMBER(CH60),MOD(CH60,3)=0),"배",
   AND(ISNUMBER(CH60),CH60&gt;0),"자"
)</f>
        <v>자</v>
      </c>
      <c r="DP60" s="26" t="str" cm="1">
        <f t="array" ref="DP60">_xlfn.IFS(
   OR(CI60="",ISBLANK(CI60),CI60=0),0,
   ISNUMBER(MATCH(CI60,{2,3,5,7,11,13,17,19,23,29,31,37,41,43},0)),"소",
   AND(ISNUMBER(CI60),MOD(CI60,3)=0),"배",
   AND(ISNUMBER(CI60),CI60&gt;0),"자"
)</f>
        <v>자</v>
      </c>
      <c r="DQ60" s="26" t="str" cm="1">
        <f t="array" ref="DQ60">_xlfn.IFS(
   OR(CJ60="",ISBLANK(CJ60),CJ60=0),0,
   ISNUMBER(MATCH(CJ60,{2,3,5,7,11,13,17,19,23,29,31,37,41,43},0)),"소",
   AND(ISNUMBER(CJ60),MOD(CJ60,3)=0),"배",
   AND(ISNUMBER(CJ60),CJ60&gt;0),"자"
)</f>
        <v>배</v>
      </c>
      <c r="DR60" s="26" t="str" cm="1">
        <f t="array" ref="DR60">_xlfn.IFS(
   OR(CK60="",ISBLANK(CK60),CK60=0),0,
   ISNUMBER(MATCH(CK60,{2,3,5,7,11,13,17,19,23,29,31,37,41,43},0)),"소",
   AND(ISNUMBER(CK60),MOD(CK60,3)=0),"배",
   AND(ISNUMBER(CK60),CK60&gt;0),"자"
)</f>
        <v>소</v>
      </c>
      <c r="DS60" s="26" t="str" cm="1">
        <f t="array" ref="DS60">_xlfn.IFS(
   OR(CL60="",ISBLANK(CL60),CL60=0),0,
   ISNUMBER(MATCH(CL60,{2,3,5,7,11,13,17,19,23,29,31,37,41,43},0)),"소",
   AND(ISNUMBER(CL60),MOD(CL60,3)=0),"배",
   AND(ISNUMBER(CL60),CL60&gt;0),"자"
)</f>
        <v>배</v>
      </c>
      <c r="DT60" s="25"/>
    </row>
    <row r="61" spans="2:124" x14ac:dyDescent="0.3">
      <c r="B61" s="3">
        <v>2</v>
      </c>
      <c r="C61" s="3">
        <v>8</v>
      </c>
      <c r="D61" s="3">
        <v>28</v>
      </c>
      <c r="E61" s="3">
        <v>30</v>
      </c>
      <c r="F61" s="3">
        <v>37</v>
      </c>
      <c r="G61" s="3">
        <v>41</v>
      </c>
      <c r="H61" s="32"/>
      <c r="I61" s="3">
        <f>IF(OR(B61="",ISBLANK(B61),B61=0),0,IF(MOD(B61,2)=1,1,2))</f>
        <v>2</v>
      </c>
      <c r="J61" s="3">
        <f>IF(OR(C61="",ISBLANK(C61),C61=0),0,IF(MOD(C61,2)=1,1,2))</f>
        <v>2</v>
      </c>
      <c r="K61" s="3">
        <f>IF(OR(D61="",ISBLANK(D61),D61=0),0,IF(MOD(D61,2)=1,1,2))</f>
        <v>2</v>
      </c>
      <c r="L61" s="3">
        <f>IF(OR(E61="",ISBLANK(E61),E61=0),0,IF(MOD(E61,2)=1,1,2))</f>
        <v>2</v>
      </c>
      <c r="M61" s="3">
        <f>IF(OR(F61="",ISBLANK(F61),F61=0),0,IF(MOD(F61,2)=1,1,2))</f>
        <v>1</v>
      </c>
      <c r="N61" s="3">
        <f>IF(OR(G61="",ISBLANK(G61),G61=0),0,IF(MOD(G61,2)=1,1,2))</f>
        <v>1</v>
      </c>
      <c r="O61" s="32"/>
      <c r="P61" s="3" cm="1">
        <f t="array" ref="P61">SUMPRODUCT(--(MOD(B61:G61,2)=1))</f>
        <v>2</v>
      </c>
      <c r="Q61" s="3">
        <f>6-P61</f>
        <v>4</v>
      </c>
      <c r="R61" s="34"/>
      <c r="S61" s="3">
        <f>COUNTIFS(B61:G61,"&gt;=1",B61:G61,"&lt;=23")</f>
        <v>2</v>
      </c>
      <c r="T61" s="3">
        <f>6-S61</f>
        <v>4</v>
      </c>
      <c r="U61" s="34"/>
      <c r="V61" s="3" cm="1">
        <f t="array" ref="V61">SUMPRODUCT(--(MOD(B61:G61,10)&gt;=1), --(MOD(B61:G61,10)&lt;=5))</f>
        <v>2</v>
      </c>
      <c r="W61" s="3">
        <f>6-V61</f>
        <v>4</v>
      </c>
      <c r="X61" s="34"/>
      <c r="Y61" s="3" cm="1">
        <f t="array" ref="Y61">IFERROR(COUNT(_xlfn._xlws.FILTER(B61:G61, ISNUMBER(MATCH(B61:G61, {2,3,5,7,11,13,17,19,23,29,31,37,41,43}, 0)))), 0)</f>
        <v>3</v>
      </c>
      <c r="Z61" s="3" cm="1">
        <f t="array" ref="Z61">IFERROR(COUNT(_xlfn._xlws.FILTER(B61:G61, ISNUMBER(MATCH(B61:G61, {1,4,8,10,14,16,20,22,25,26,28,32,34,35,38,40,44}, 0)))), 0)</f>
        <v>2</v>
      </c>
      <c r="AA61" s="3" cm="1">
        <f t="array" ref="AA61">IFERROR(COUNT(_xlfn._xlws.FILTER(B61:G61, ISNUMBER(MATCH(B61:G61, {6,9,12,15,18,21,24,27,30,33,36,39,42,45}, 0)))), 0)</f>
        <v>1</v>
      </c>
      <c r="AB61" s="30"/>
      <c r="AC61" s="26" t="str" cm="1">
        <f t="array" ref="AC61">_xlfn.IFS(
   OR(B61="",ISBLANK(B61),B61=0),0,
   ISNUMBER(MATCH(B61,{2,3,5,7,11,13,17,19,23,29,31,37,41,43},0)),"소",
   AND(ISNUMBER(B61),MOD(B61,3)=0),"배",
   AND(ISNUMBER(B61),B61&gt;0),"자"
)</f>
        <v>소</v>
      </c>
      <c r="AD61" s="26" t="str" cm="1">
        <f t="array" ref="AD61">_xlfn.IFS(
   OR(C61="",ISBLANK(C61),C61=0),0,
   ISNUMBER(MATCH(C61,{2,3,5,7,11,13,17,19,23,29,31,37,41,43},0)),"소",
   AND(ISNUMBER(C61),MOD(C61,3)=0),"배",
   AND(ISNUMBER(C61),C61&gt;0),"자"
)</f>
        <v>자</v>
      </c>
      <c r="AE61" s="26" t="str" cm="1">
        <f t="array" ref="AE61">_xlfn.IFS(
   OR(D61="",ISBLANK(D61),D61=0),0,
   ISNUMBER(MATCH(D61,{2,3,5,7,11,13,17,19,23,29,31,37,41,43},0)),"소",
   AND(ISNUMBER(D61),MOD(D61,3)=0),"배",
   AND(ISNUMBER(D61),D61&gt;0),"자"
)</f>
        <v>자</v>
      </c>
      <c r="AF61" s="26" t="str" cm="1">
        <f t="array" ref="AF61">_xlfn.IFS(
   OR(E61="",ISBLANK(E61),E61=0),0,
   ISNUMBER(MATCH(E61,{2,3,5,7,11,13,17,19,23,29,31,37,41,43},0)),"소",
   AND(ISNUMBER(E61),MOD(E61,3)=0),"배",
   AND(ISNUMBER(E61),E61&gt;0),"자"
)</f>
        <v>배</v>
      </c>
      <c r="AG61" s="26" t="str" cm="1">
        <f t="array" ref="AG61">_xlfn.IFS(
   OR(F61="",ISBLANK(F61),F61=0),0,
   ISNUMBER(MATCH(F61,{2,3,5,7,11,13,17,19,23,29,31,37,41,43},0)),"소",
   AND(ISNUMBER(F61),MOD(F61,3)=0),"배",
   AND(ISNUMBER(F61),F61&gt;0),"자"
)</f>
        <v>소</v>
      </c>
      <c r="AH61" s="26" t="str" cm="1">
        <f t="array" ref="AH61">_xlfn.IFS(
   OR(G61="",ISBLANK(G61),G61=0),0,
   ISNUMBER(MATCH(G61,{2,3,5,7,11,13,17,19,23,29,31,37,41,43},0)),"소",
   AND(ISNUMBER(G61),MOD(G61,3)=0),"배",
   AND(ISNUMBER(G61),G61&gt;0),"자"
)</f>
        <v>소</v>
      </c>
      <c r="AI61" s="30"/>
      <c r="AJ61" s="3">
        <f>COUNTIFS(B61:G61,"&gt;=1",B61:G61,"&lt;=14")</f>
        <v>2</v>
      </c>
      <c r="AK61" s="3">
        <f>COUNTIFS(B61:G61,"&gt;=15",B61:G61,"&lt;=31")</f>
        <v>2</v>
      </c>
      <c r="AL61" s="3">
        <f>6-AK61-AJ61</f>
        <v>2</v>
      </c>
      <c r="AM61" s="33"/>
      <c r="AN61" s="3">
        <f>COUNTIFS($B61:$G61, "&gt;=1",$B61:$G61, "&lt;=9")</f>
        <v>2</v>
      </c>
      <c r="AO61" s="3">
        <f>COUNTIFS($B61:$G61, "&gt;=10",$B61:$G61, "&lt;=18")</f>
        <v>0</v>
      </c>
      <c r="AP61" s="3">
        <f>COUNTIFS($B61:$G61, "&gt;=19",$B61:$G61, "&lt;=27")</f>
        <v>0</v>
      </c>
      <c r="AQ61" s="3">
        <f>COUNTIFS($B61:$G61, "&gt;=28",$B61:$G61, "&lt;=36")</f>
        <v>2</v>
      </c>
      <c r="AR61" s="3">
        <f>COUNTIFS($B61:$G61, "&gt;=37",$B61:$G61, "&lt;=45")</f>
        <v>2</v>
      </c>
      <c r="AS61" s="28" t="e">
        <f>#REF!</f>
        <v>#REF!</v>
      </c>
      <c r="AT61" s="28" t="e">
        <f>#REF!*2</f>
        <v>#REF!</v>
      </c>
      <c r="AU61" s="28" t="e">
        <f>#REF!</f>
        <v>#REF!</v>
      </c>
      <c r="AV61" s="28" t="e">
        <f>#REF!*2</f>
        <v>#REF!</v>
      </c>
      <c r="AW61" s="28" t="e">
        <f>#REF!</f>
        <v>#REF!</v>
      </c>
      <c r="AX61" s="28" t="e">
        <f>#REF!*2</f>
        <v>#REF!</v>
      </c>
      <c r="AY61" s="28" t="e">
        <f>#REF!</f>
        <v>#REF!</v>
      </c>
      <c r="AZ61" s="28" t="e">
        <f>#REF!*2</f>
        <v>#REF!</v>
      </c>
      <c r="BA61" s="28" t="e">
        <f>#REF!</f>
        <v>#REF!</v>
      </c>
      <c r="BB61" s="28" t="e">
        <f>#REF!*2</f>
        <v>#REF!</v>
      </c>
      <c r="BC61" s="28" t="e">
        <f>#REF!</f>
        <v>#REF!</v>
      </c>
      <c r="BD61" s="28" t="e">
        <f>#REF!*2</f>
        <v>#REF!</v>
      </c>
      <c r="BE61" s="9" t="e">
        <f>#REF!-#REF!</f>
        <v>#REF!</v>
      </c>
      <c r="BF61" s="9" t="e">
        <f>#REF!-#REF!</f>
        <v>#REF!</v>
      </c>
      <c r="BG61" s="9" t="e">
        <f>#REF!-#REF!</f>
        <v>#REF!</v>
      </c>
      <c r="BH61" s="9" t="e">
        <f>#REF!-#REF!</f>
        <v>#REF!</v>
      </c>
      <c r="BI61" s="9" t="e">
        <f>#REF!-#REF!</f>
        <v>#REF!</v>
      </c>
      <c r="BJ61" s="33"/>
      <c r="BK61" s="3">
        <f>COUNTIFS(B61:G61, "&gt;=1", B61:G61, "&lt;=9")</f>
        <v>2</v>
      </c>
      <c r="BL61" s="3">
        <f>COUNTIFS(B61:G61, "&gt;=10", B61:G61, "&lt;=19")</f>
        <v>0</v>
      </c>
      <c r="BM61" s="3">
        <f>COUNTIFS(B61:G61, "&gt;=20", B61:G61, "&lt;=29")</f>
        <v>1</v>
      </c>
      <c r="BN61" s="3">
        <f>COUNTIFS(B61:G61, "&gt;=30", B61:G61, "&lt;=39")</f>
        <v>2</v>
      </c>
      <c r="BO61" s="3">
        <f>COUNTIFS(B61:G61, "&gt;=40", B61:G61, "&lt;=45")</f>
        <v>1</v>
      </c>
      <c r="BP61" s="28" t="e">
        <f>#REF!</f>
        <v>#REF!</v>
      </c>
      <c r="BQ61" s="28" t="e">
        <f>#REF!*2</f>
        <v>#REF!</v>
      </c>
      <c r="BR61" s="28" t="e">
        <f>#REF!</f>
        <v>#REF!</v>
      </c>
      <c r="BS61" s="28" t="e">
        <f>#REF!*2</f>
        <v>#REF!</v>
      </c>
      <c r="BT61" s="28" t="e">
        <f>#REF!</f>
        <v>#REF!</v>
      </c>
      <c r="BU61" s="28" t="e">
        <f>#REF!*2</f>
        <v>#REF!</v>
      </c>
      <c r="BV61" s="28" t="e">
        <f>#REF!</f>
        <v>#REF!</v>
      </c>
      <c r="BW61" s="28" t="e">
        <f>#REF!*2</f>
        <v>#REF!</v>
      </c>
      <c r="BX61" s="28" t="e">
        <f>#REF!</f>
        <v>#REF!</v>
      </c>
      <c r="BY61" s="28" t="e">
        <f>#REF!*2</f>
        <v>#REF!</v>
      </c>
      <c r="BZ61" s="28" t="e">
        <f>#REF!</f>
        <v>#REF!</v>
      </c>
      <c r="CA61" s="28" t="e">
        <f>#REF!*2</f>
        <v>#REF!</v>
      </c>
      <c r="CB61" s="9">
        <f>C61-B61</f>
        <v>6</v>
      </c>
      <c r="CC61" s="9">
        <f>D61-C61</f>
        <v>20</v>
      </c>
      <c r="CD61" s="9">
        <f>E61-D61</f>
        <v>2</v>
      </c>
      <c r="CE61" s="9">
        <f>F61-E61</f>
        <v>7</v>
      </c>
      <c r="CF61" s="9">
        <f>G61-F61</f>
        <v>4</v>
      </c>
      <c r="CG61" s="33"/>
      <c r="CH61" s="9">
        <f>C61-B61</f>
        <v>6</v>
      </c>
      <c r="CI61" s="9">
        <f>D61-C61</f>
        <v>20</v>
      </c>
      <c r="CJ61" s="9">
        <f>E61-D61</f>
        <v>2</v>
      </c>
      <c r="CK61" s="9">
        <f>F61-E61</f>
        <v>7</v>
      </c>
      <c r="CL61" s="9">
        <f>G61-F61</f>
        <v>4</v>
      </c>
      <c r="CM61" s="32"/>
      <c r="CN61" s="3">
        <f>IF(OR(CH61="",ISBLANK(CH61),CH61=0),0,IF(MOD(CH61,2)=1,1,2))</f>
        <v>2</v>
      </c>
      <c r="CO61" s="3">
        <f>IF(OR(CI61="",ISBLANK(CI61),CI61=0),0,IF(MOD(CI61,2)=1,1,2))</f>
        <v>2</v>
      </c>
      <c r="CP61" s="3">
        <f>IF(OR(CJ61="",ISBLANK(CJ61),CJ61=0),0,IF(MOD(CJ61,2)=1,1,2))</f>
        <v>2</v>
      </c>
      <c r="CQ61" s="3">
        <f>IF(OR(CK61="",ISBLANK(CK61),CK61=0),0,IF(MOD(CK61,2)=1,1,2))</f>
        <v>1</v>
      </c>
      <c r="CR61" s="3">
        <f>IF(OR(CL61="",ISBLANK(CL61),CL61=0),0,IF(MOD(CL61,2)=1,1,2))</f>
        <v>2</v>
      </c>
      <c r="CS61" s="31"/>
      <c r="CT61" s="3" cm="1">
        <f t="array" ref="CT61">SUMPRODUCT(--(MOD(CH61:CL61,2)=1))</f>
        <v>1</v>
      </c>
      <c r="CU61" s="3">
        <f>5-CT61</f>
        <v>4</v>
      </c>
      <c r="CV61" s="30"/>
      <c r="CW61" s="3" cm="1">
        <f t="array" ref="CW61">SUMPRODUCT(--(MOD(CH61:CL61,10)&gt;=1), --(MOD(CH61:CL61,10)&lt;=5))</f>
        <v>2</v>
      </c>
      <c r="CX61" s="3">
        <f>5-CW61</f>
        <v>3</v>
      </c>
      <c r="CY61" s="30"/>
      <c r="CZ61" s="3" cm="1">
        <f t="array" ref="CZ61">IFERROR(COUNT(_xlfn._xlws.FILTER(CH61:CL61, ISNUMBER(MATCH(CH61:CL61, {2,3,5,7,11,13,17,19,23,29,31,37,41,43}, 0)))), 0)</f>
        <v>2</v>
      </c>
      <c r="DA61" s="3" cm="1">
        <f t="array" ref="DA61">IFERROR(COUNT(_xlfn._xlws.FILTER(CH61:CL61, ISNUMBER(MATCH(CH61:CL61, {1,4,8,10,14,16,20,22,25,26,28,32,34,35,38,40,44}, 0)))), 0)</f>
        <v>2</v>
      </c>
      <c r="DB61" s="3" cm="1">
        <f t="array" ref="DB61">IFERROR(COUNT(_xlfn._xlws.FILTER(CH61:CL61, ISNUMBER(MATCH(CH61:CL61, {6,9,12,15,18,21,24,27,30,33,36,39,42,45}, 0)))), 0)</f>
        <v>1</v>
      </c>
      <c r="DC61" s="29"/>
      <c r="DD61" s="28" t="e">
        <f>#REF!</f>
        <v>#REF!</v>
      </c>
      <c r="DE61" s="28" t="e">
        <f>#REF!*2</f>
        <v>#REF!</v>
      </c>
      <c r="DF61" s="28" t="e">
        <f>#REF!</f>
        <v>#REF!</v>
      </c>
      <c r="DG61" s="28" t="e">
        <f>#REF!*2</f>
        <v>#REF!</v>
      </c>
      <c r="DH61" s="28" t="e">
        <f>#REF!</f>
        <v>#REF!</v>
      </c>
      <c r="DI61" s="28" t="e">
        <f>#REF!*2</f>
        <v>#REF!</v>
      </c>
      <c r="DJ61" s="28" t="e">
        <f>#REF!</f>
        <v>#REF!</v>
      </c>
      <c r="DK61" s="28" t="e">
        <f>#REF!*2</f>
        <v>#REF!</v>
      </c>
      <c r="DL61" s="28" t="e">
        <f>#REF!</f>
        <v>#REF!</v>
      </c>
      <c r="DM61" s="28" t="e">
        <f>#REF!*2</f>
        <v>#REF!</v>
      </c>
      <c r="DN61" s="27"/>
      <c r="DO61" s="26" t="str" cm="1">
        <f t="array" ref="DO61">_xlfn.IFS(
   OR(CH61="",ISBLANK(CH61),CH61=0),0,
   ISNUMBER(MATCH(CH61,{2,3,5,7,11,13,17,19,23,29,31,37,41,43},0)),"소",
   AND(ISNUMBER(CH61),MOD(CH61,3)=0),"배",
   AND(ISNUMBER(CH61),CH61&gt;0),"자"
)</f>
        <v>배</v>
      </c>
      <c r="DP61" s="26" t="str" cm="1">
        <f t="array" ref="DP61">_xlfn.IFS(
   OR(CI61="",ISBLANK(CI61),CI61=0),0,
   ISNUMBER(MATCH(CI61,{2,3,5,7,11,13,17,19,23,29,31,37,41,43},0)),"소",
   AND(ISNUMBER(CI61),MOD(CI61,3)=0),"배",
   AND(ISNUMBER(CI61),CI61&gt;0),"자"
)</f>
        <v>자</v>
      </c>
      <c r="DQ61" s="26" t="str" cm="1">
        <f t="array" ref="DQ61">_xlfn.IFS(
   OR(CJ61="",ISBLANK(CJ61),CJ61=0),0,
   ISNUMBER(MATCH(CJ61,{2,3,5,7,11,13,17,19,23,29,31,37,41,43},0)),"소",
   AND(ISNUMBER(CJ61),MOD(CJ61,3)=0),"배",
   AND(ISNUMBER(CJ61),CJ61&gt;0),"자"
)</f>
        <v>소</v>
      </c>
      <c r="DR61" s="26" t="str" cm="1">
        <f t="array" ref="DR61">_xlfn.IFS(
   OR(CK61="",ISBLANK(CK61),CK61=0),0,
   ISNUMBER(MATCH(CK61,{2,3,5,7,11,13,17,19,23,29,31,37,41,43},0)),"소",
   AND(ISNUMBER(CK61),MOD(CK61,3)=0),"배",
   AND(ISNUMBER(CK61),CK61&gt;0),"자"
)</f>
        <v>소</v>
      </c>
      <c r="DS61" s="26" t="str" cm="1">
        <f t="array" ref="DS61">_xlfn.IFS(
   OR(CL61="",ISBLANK(CL61),CL61=0),0,
   ISNUMBER(MATCH(CL61,{2,3,5,7,11,13,17,19,23,29,31,37,41,43},0)),"소",
   AND(ISNUMBER(CL61),MOD(CL61,3)=0),"배",
   AND(ISNUMBER(CL61),CL61&gt;0),"자"
)</f>
        <v>자</v>
      </c>
      <c r="DT61" s="25"/>
    </row>
    <row r="62" spans="2:124" x14ac:dyDescent="0.3">
      <c r="B62" s="3">
        <v>10</v>
      </c>
      <c r="C62" s="3">
        <v>16</v>
      </c>
      <c r="D62" s="3">
        <v>17</v>
      </c>
      <c r="E62" s="3">
        <v>27</v>
      </c>
      <c r="F62" s="3">
        <v>28</v>
      </c>
      <c r="G62" s="3">
        <v>36</v>
      </c>
      <c r="H62" s="32"/>
      <c r="I62" s="3">
        <f>IF(OR(B62="",ISBLANK(B62),B62=0),0,IF(MOD(B62,2)=1,1,2))</f>
        <v>2</v>
      </c>
      <c r="J62" s="3">
        <f>IF(OR(C62="",ISBLANK(C62),C62=0),0,IF(MOD(C62,2)=1,1,2))</f>
        <v>2</v>
      </c>
      <c r="K62" s="3">
        <f>IF(OR(D62="",ISBLANK(D62),D62=0),0,IF(MOD(D62,2)=1,1,2))</f>
        <v>1</v>
      </c>
      <c r="L62" s="3">
        <f>IF(OR(E62="",ISBLANK(E62),E62=0),0,IF(MOD(E62,2)=1,1,2))</f>
        <v>1</v>
      </c>
      <c r="M62" s="3">
        <f>IF(OR(F62="",ISBLANK(F62),F62=0),0,IF(MOD(F62,2)=1,1,2))</f>
        <v>2</v>
      </c>
      <c r="N62" s="3">
        <f>IF(OR(G62="",ISBLANK(G62),G62=0),0,IF(MOD(G62,2)=1,1,2))</f>
        <v>2</v>
      </c>
      <c r="O62" s="32"/>
      <c r="P62" s="3" cm="1">
        <f t="array" ref="P62">SUMPRODUCT(--(MOD(B62:G62,2)=1))</f>
        <v>2</v>
      </c>
      <c r="Q62" s="3">
        <f>6-P62</f>
        <v>4</v>
      </c>
      <c r="R62" s="34"/>
      <c r="S62" s="3">
        <f>COUNTIFS(B62:G62,"&gt;=1",B62:G62,"&lt;=23")</f>
        <v>3</v>
      </c>
      <c r="T62" s="3">
        <f>6-S62</f>
        <v>3</v>
      </c>
      <c r="U62" s="34"/>
      <c r="V62" s="3" cm="1">
        <f t="array" ref="V62">SUMPRODUCT(--(MOD(B62:G62,10)&gt;=1), --(MOD(B62:G62,10)&lt;=5))</f>
        <v>0</v>
      </c>
      <c r="W62" s="3">
        <f>6-V62</f>
        <v>6</v>
      </c>
      <c r="X62" s="34"/>
      <c r="Y62" s="3" cm="1">
        <f t="array" ref="Y62">IFERROR(COUNT(_xlfn._xlws.FILTER(B62:G62, ISNUMBER(MATCH(B62:G62, {2,3,5,7,11,13,17,19,23,29,31,37,41,43}, 0)))), 0)</f>
        <v>1</v>
      </c>
      <c r="Z62" s="3" cm="1">
        <f t="array" ref="Z62">IFERROR(COUNT(_xlfn._xlws.FILTER(B62:G62, ISNUMBER(MATCH(B62:G62, {1,4,8,10,14,16,20,22,25,26,28,32,34,35,38,40,44}, 0)))), 0)</f>
        <v>3</v>
      </c>
      <c r="AA62" s="3" cm="1">
        <f t="array" ref="AA62">IFERROR(COUNT(_xlfn._xlws.FILTER(B62:G62, ISNUMBER(MATCH(B62:G62, {6,9,12,15,18,21,24,27,30,33,36,39,42,45}, 0)))), 0)</f>
        <v>2</v>
      </c>
      <c r="AB62" s="30"/>
      <c r="AC62" s="26" t="str" cm="1">
        <f t="array" ref="AC62">_xlfn.IFS(
   OR(B62="",ISBLANK(B62),B62=0),0,
   ISNUMBER(MATCH(B62,{2,3,5,7,11,13,17,19,23,29,31,37,41,43},0)),"소",
   AND(ISNUMBER(B62),MOD(B62,3)=0),"배",
   AND(ISNUMBER(B62),B62&gt;0),"자"
)</f>
        <v>자</v>
      </c>
      <c r="AD62" s="26" t="str" cm="1">
        <f t="array" ref="AD62">_xlfn.IFS(
   OR(C62="",ISBLANK(C62),C62=0),0,
   ISNUMBER(MATCH(C62,{2,3,5,7,11,13,17,19,23,29,31,37,41,43},0)),"소",
   AND(ISNUMBER(C62),MOD(C62,3)=0),"배",
   AND(ISNUMBER(C62),C62&gt;0),"자"
)</f>
        <v>자</v>
      </c>
      <c r="AE62" s="26" t="str" cm="1">
        <f t="array" ref="AE62">_xlfn.IFS(
   OR(D62="",ISBLANK(D62),D62=0),0,
   ISNUMBER(MATCH(D62,{2,3,5,7,11,13,17,19,23,29,31,37,41,43},0)),"소",
   AND(ISNUMBER(D62),MOD(D62,3)=0),"배",
   AND(ISNUMBER(D62),D62&gt;0),"자"
)</f>
        <v>소</v>
      </c>
      <c r="AF62" s="26" t="str" cm="1">
        <f t="array" ref="AF62">_xlfn.IFS(
   OR(E62="",ISBLANK(E62),E62=0),0,
   ISNUMBER(MATCH(E62,{2,3,5,7,11,13,17,19,23,29,31,37,41,43},0)),"소",
   AND(ISNUMBER(E62),MOD(E62,3)=0),"배",
   AND(ISNUMBER(E62),E62&gt;0),"자"
)</f>
        <v>배</v>
      </c>
      <c r="AG62" s="26" t="str" cm="1">
        <f t="array" ref="AG62">_xlfn.IFS(
   OR(F62="",ISBLANK(F62),F62=0),0,
   ISNUMBER(MATCH(F62,{2,3,5,7,11,13,17,19,23,29,31,37,41,43},0)),"소",
   AND(ISNUMBER(F62),MOD(F62,3)=0),"배",
   AND(ISNUMBER(F62),F62&gt;0),"자"
)</f>
        <v>자</v>
      </c>
      <c r="AH62" s="26" t="str" cm="1">
        <f t="array" ref="AH62">_xlfn.IFS(
   OR(G62="",ISBLANK(G62),G62=0),0,
   ISNUMBER(MATCH(G62,{2,3,5,7,11,13,17,19,23,29,31,37,41,43},0)),"소",
   AND(ISNUMBER(G62),MOD(G62,3)=0),"배",
   AND(ISNUMBER(G62),G62&gt;0),"자"
)</f>
        <v>배</v>
      </c>
      <c r="AI62" s="30"/>
      <c r="AJ62" s="3">
        <f>COUNTIFS(B62:G62,"&gt;=1",B62:G62,"&lt;=14")</f>
        <v>1</v>
      </c>
      <c r="AK62" s="3">
        <f>COUNTIFS(B62:G62,"&gt;=15",B62:G62,"&lt;=31")</f>
        <v>4</v>
      </c>
      <c r="AL62" s="3">
        <f>6-AK62-AJ62</f>
        <v>1</v>
      </c>
      <c r="AM62" s="33"/>
      <c r="AN62" s="3">
        <f>COUNTIFS($B62:$G62, "&gt;=1",$B62:$G62, "&lt;=9")</f>
        <v>0</v>
      </c>
      <c r="AO62" s="3">
        <f>COUNTIFS($B62:$G62, "&gt;=10",$B62:$G62, "&lt;=18")</f>
        <v>3</v>
      </c>
      <c r="AP62" s="3">
        <f>COUNTIFS($B62:$G62, "&gt;=19",$B62:$G62, "&lt;=27")</f>
        <v>1</v>
      </c>
      <c r="AQ62" s="3">
        <f>COUNTIFS($B62:$G62, "&gt;=28",$B62:$G62, "&lt;=36")</f>
        <v>2</v>
      </c>
      <c r="AR62" s="3">
        <f>COUNTIFS($B62:$G62, "&gt;=37",$B62:$G62, "&lt;=45")</f>
        <v>0</v>
      </c>
      <c r="AS62" s="28" t="e">
        <f>#REF!</f>
        <v>#REF!</v>
      </c>
      <c r="AT62" s="28" t="e">
        <f>#REF!*2</f>
        <v>#REF!</v>
      </c>
      <c r="AU62" s="28" t="e">
        <f>#REF!</f>
        <v>#REF!</v>
      </c>
      <c r="AV62" s="28" t="e">
        <f>#REF!*2</f>
        <v>#REF!</v>
      </c>
      <c r="AW62" s="28" t="e">
        <f>#REF!</f>
        <v>#REF!</v>
      </c>
      <c r="AX62" s="28" t="e">
        <f>#REF!*2</f>
        <v>#REF!</v>
      </c>
      <c r="AY62" s="28" t="e">
        <f>#REF!</f>
        <v>#REF!</v>
      </c>
      <c r="AZ62" s="28" t="e">
        <f>#REF!*2</f>
        <v>#REF!</v>
      </c>
      <c r="BA62" s="28" t="e">
        <f>#REF!</f>
        <v>#REF!</v>
      </c>
      <c r="BB62" s="28" t="e">
        <f>#REF!*2</f>
        <v>#REF!</v>
      </c>
      <c r="BC62" s="28" t="e">
        <f>#REF!</f>
        <v>#REF!</v>
      </c>
      <c r="BD62" s="28" t="e">
        <f>#REF!*2</f>
        <v>#REF!</v>
      </c>
      <c r="BE62" s="9" t="e">
        <f>#REF!-#REF!</f>
        <v>#REF!</v>
      </c>
      <c r="BF62" s="9" t="e">
        <f>#REF!-#REF!</f>
        <v>#REF!</v>
      </c>
      <c r="BG62" s="9" t="e">
        <f>#REF!-#REF!</f>
        <v>#REF!</v>
      </c>
      <c r="BH62" s="9" t="e">
        <f>#REF!-#REF!</f>
        <v>#REF!</v>
      </c>
      <c r="BI62" s="9" t="e">
        <f>#REF!-#REF!</f>
        <v>#REF!</v>
      </c>
      <c r="BJ62" s="33"/>
      <c r="BK62" s="3">
        <f>COUNTIFS(B62:G62, "&gt;=1", B62:G62, "&lt;=9")</f>
        <v>0</v>
      </c>
      <c r="BL62" s="3">
        <f>COUNTIFS(B62:G62, "&gt;=10", B62:G62, "&lt;=19")</f>
        <v>3</v>
      </c>
      <c r="BM62" s="3">
        <f>COUNTIFS(B62:G62, "&gt;=20", B62:G62, "&lt;=29")</f>
        <v>2</v>
      </c>
      <c r="BN62" s="3">
        <f>COUNTIFS(B62:G62, "&gt;=30", B62:G62, "&lt;=39")</f>
        <v>1</v>
      </c>
      <c r="BO62" s="3">
        <f>COUNTIFS(B62:G62, "&gt;=40", B62:G62, "&lt;=45")</f>
        <v>0</v>
      </c>
      <c r="BP62" s="28" t="e">
        <f>#REF!</f>
        <v>#REF!</v>
      </c>
      <c r="BQ62" s="28" t="e">
        <f>#REF!*2</f>
        <v>#REF!</v>
      </c>
      <c r="BR62" s="28" t="e">
        <f>#REF!</f>
        <v>#REF!</v>
      </c>
      <c r="BS62" s="28" t="e">
        <f>#REF!*2</f>
        <v>#REF!</v>
      </c>
      <c r="BT62" s="28" t="e">
        <f>#REF!</f>
        <v>#REF!</v>
      </c>
      <c r="BU62" s="28" t="e">
        <f>#REF!*2</f>
        <v>#REF!</v>
      </c>
      <c r="BV62" s="28" t="e">
        <f>#REF!</f>
        <v>#REF!</v>
      </c>
      <c r="BW62" s="28" t="e">
        <f>#REF!*2</f>
        <v>#REF!</v>
      </c>
      <c r="BX62" s="28" t="e">
        <f>#REF!</f>
        <v>#REF!</v>
      </c>
      <c r="BY62" s="28" t="e">
        <f>#REF!*2</f>
        <v>#REF!</v>
      </c>
      <c r="BZ62" s="28" t="e">
        <f>#REF!</f>
        <v>#REF!</v>
      </c>
      <c r="CA62" s="28" t="e">
        <f>#REF!*2</f>
        <v>#REF!</v>
      </c>
      <c r="CB62" s="9">
        <f>C62-B62</f>
        <v>6</v>
      </c>
      <c r="CC62" s="9">
        <f>D62-C62</f>
        <v>1</v>
      </c>
      <c r="CD62" s="9">
        <f>E62-D62</f>
        <v>10</v>
      </c>
      <c r="CE62" s="9">
        <f>F62-E62</f>
        <v>1</v>
      </c>
      <c r="CF62" s="9">
        <f>G62-F62</f>
        <v>8</v>
      </c>
      <c r="CG62" s="33"/>
      <c r="CH62" s="9">
        <f>C62-B62</f>
        <v>6</v>
      </c>
      <c r="CI62" s="9">
        <f>D62-C62</f>
        <v>1</v>
      </c>
      <c r="CJ62" s="9">
        <f>E62-D62</f>
        <v>10</v>
      </c>
      <c r="CK62" s="9">
        <f>F62-E62</f>
        <v>1</v>
      </c>
      <c r="CL62" s="9">
        <f>G62-F62</f>
        <v>8</v>
      </c>
      <c r="CM62" s="32"/>
      <c r="CN62" s="3">
        <f>IF(OR(CH62="",ISBLANK(CH62),CH62=0),0,IF(MOD(CH62,2)=1,1,2))</f>
        <v>2</v>
      </c>
      <c r="CO62" s="3">
        <f>IF(OR(CI62="",ISBLANK(CI62),CI62=0),0,IF(MOD(CI62,2)=1,1,2))</f>
        <v>1</v>
      </c>
      <c r="CP62" s="3">
        <f>IF(OR(CJ62="",ISBLANK(CJ62),CJ62=0),0,IF(MOD(CJ62,2)=1,1,2))</f>
        <v>2</v>
      </c>
      <c r="CQ62" s="3">
        <f>IF(OR(CK62="",ISBLANK(CK62),CK62=0),0,IF(MOD(CK62,2)=1,1,2))</f>
        <v>1</v>
      </c>
      <c r="CR62" s="3">
        <f>IF(OR(CL62="",ISBLANK(CL62),CL62=0),0,IF(MOD(CL62,2)=1,1,2))</f>
        <v>2</v>
      </c>
      <c r="CS62" s="31"/>
      <c r="CT62" s="3" cm="1">
        <f t="array" ref="CT62">SUMPRODUCT(--(MOD(CH62:CL62,2)=1))</f>
        <v>2</v>
      </c>
      <c r="CU62" s="3">
        <f>5-CT62</f>
        <v>3</v>
      </c>
      <c r="CV62" s="30"/>
      <c r="CW62" s="3" cm="1">
        <f t="array" ref="CW62">SUMPRODUCT(--(MOD(CH62:CL62,10)&gt;=1), --(MOD(CH62:CL62,10)&lt;=5))</f>
        <v>2</v>
      </c>
      <c r="CX62" s="3">
        <f>5-CW62</f>
        <v>3</v>
      </c>
      <c r="CY62" s="30"/>
      <c r="CZ62" s="3" cm="1">
        <f t="array" ref="CZ62">IFERROR(COUNT(_xlfn._xlws.FILTER(CH62:CL62, ISNUMBER(MATCH(CH62:CL62, {2,3,5,7,11,13,17,19,23,29,31,37,41,43}, 0)))), 0)</f>
        <v>0</v>
      </c>
      <c r="DA62" s="3" cm="1">
        <f t="array" ref="DA62">IFERROR(COUNT(_xlfn._xlws.FILTER(CH62:CL62, ISNUMBER(MATCH(CH62:CL62, {1,4,8,10,14,16,20,22,25,26,28,32,34,35,38,40,44}, 0)))), 0)</f>
        <v>4</v>
      </c>
      <c r="DB62" s="3" cm="1">
        <f t="array" ref="DB62">IFERROR(COUNT(_xlfn._xlws.FILTER(CH62:CL62, ISNUMBER(MATCH(CH62:CL62, {6,9,12,15,18,21,24,27,30,33,36,39,42,45}, 0)))), 0)</f>
        <v>1</v>
      </c>
      <c r="DC62" s="29"/>
      <c r="DD62" s="28" t="e">
        <f>#REF!</f>
        <v>#REF!</v>
      </c>
      <c r="DE62" s="28" t="e">
        <f>#REF!*2</f>
        <v>#REF!</v>
      </c>
      <c r="DF62" s="28" t="e">
        <f>#REF!</f>
        <v>#REF!</v>
      </c>
      <c r="DG62" s="28" t="e">
        <f>#REF!*2</f>
        <v>#REF!</v>
      </c>
      <c r="DH62" s="28" t="e">
        <f>#REF!</f>
        <v>#REF!</v>
      </c>
      <c r="DI62" s="28" t="e">
        <f>#REF!*2</f>
        <v>#REF!</v>
      </c>
      <c r="DJ62" s="28" t="e">
        <f>#REF!</f>
        <v>#REF!</v>
      </c>
      <c r="DK62" s="28" t="e">
        <f>#REF!*2</f>
        <v>#REF!</v>
      </c>
      <c r="DL62" s="28" t="e">
        <f>#REF!</f>
        <v>#REF!</v>
      </c>
      <c r="DM62" s="28" t="e">
        <f>#REF!*2</f>
        <v>#REF!</v>
      </c>
      <c r="DN62" s="27"/>
      <c r="DO62" s="26" t="str" cm="1">
        <f t="array" ref="DO62">_xlfn.IFS(
   OR(CH62="",ISBLANK(CH62),CH62=0),0,
   ISNUMBER(MATCH(CH62,{2,3,5,7,11,13,17,19,23,29,31,37,41,43},0)),"소",
   AND(ISNUMBER(CH62),MOD(CH62,3)=0),"배",
   AND(ISNUMBER(CH62),CH62&gt;0),"자"
)</f>
        <v>배</v>
      </c>
      <c r="DP62" s="26" t="str" cm="1">
        <f t="array" ref="DP62">_xlfn.IFS(
   OR(CI62="",ISBLANK(CI62),CI62=0),0,
   ISNUMBER(MATCH(CI62,{2,3,5,7,11,13,17,19,23,29,31,37,41,43},0)),"소",
   AND(ISNUMBER(CI62),MOD(CI62,3)=0),"배",
   AND(ISNUMBER(CI62),CI62&gt;0),"자"
)</f>
        <v>자</v>
      </c>
      <c r="DQ62" s="26" t="str" cm="1">
        <f t="array" ref="DQ62">_xlfn.IFS(
   OR(CJ62="",ISBLANK(CJ62),CJ62=0),0,
   ISNUMBER(MATCH(CJ62,{2,3,5,7,11,13,17,19,23,29,31,37,41,43},0)),"소",
   AND(ISNUMBER(CJ62),MOD(CJ62,3)=0),"배",
   AND(ISNUMBER(CJ62),CJ62&gt;0),"자"
)</f>
        <v>자</v>
      </c>
      <c r="DR62" s="26" t="str" cm="1">
        <f t="array" ref="DR62">_xlfn.IFS(
   OR(CK62="",ISBLANK(CK62),CK62=0),0,
   ISNUMBER(MATCH(CK62,{2,3,5,7,11,13,17,19,23,29,31,37,41,43},0)),"소",
   AND(ISNUMBER(CK62),MOD(CK62,3)=0),"배",
   AND(ISNUMBER(CK62),CK62&gt;0),"자"
)</f>
        <v>자</v>
      </c>
      <c r="DS62" s="26" t="str" cm="1">
        <f t="array" ref="DS62">_xlfn.IFS(
   OR(CL62="",ISBLANK(CL62),CL62=0),0,
   ISNUMBER(MATCH(CL62,{2,3,5,7,11,13,17,19,23,29,31,37,41,43},0)),"소",
   AND(ISNUMBER(CL62),MOD(CL62,3)=0),"배",
   AND(ISNUMBER(CL62),CL62&gt;0),"자"
)</f>
        <v>자</v>
      </c>
      <c r="DT62" s="25"/>
    </row>
    <row r="63" spans="2:124" x14ac:dyDescent="0.3">
      <c r="B63" s="3">
        <v>3</v>
      </c>
      <c r="C63" s="3">
        <v>4</v>
      </c>
      <c r="D63" s="3">
        <v>12</v>
      </c>
      <c r="E63" s="3">
        <v>15</v>
      </c>
      <c r="F63" s="3">
        <v>26</v>
      </c>
      <c r="G63" s="3">
        <v>34</v>
      </c>
      <c r="H63" s="32"/>
      <c r="I63" s="3">
        <f>IF(OR(B63="",ISBLANK(B63),B63=0),0,IF(MOD(B63,2)=1,1,2))</f>
        <v>1</v>
      </c>
      <c r="J63" s="3">
        <f>IF(OR(C63="",ISBLANK(C63),C63=0),0,IF(MOD(C63,2)=1,1,2))</f>
        <v>2</v>
      </c>
      <c r="K63" s="3">
        <f>IF(OR(D63="",ISBLANK(D63),D63=0),0,IF(MOD(D63,2)=1,1,2))</f>
        <v>2</v>
      </c>
      <c r="L63" s="3">
        <f>IF(OR(E63="",ISBLANK(E63),E63=0),0,IF(MOD(E63,2)=1,1,2))</f>
        <v>1</v>
      </c>
      <c r="M63" s="3">
        <f>IF(OR(F63="",ISBLANK(F63),F63=0),0,IF(MOD(F63,2)=1,1,2))</f>
        <v>2</v>
      </c>
      <c r="N63" s="3">
        <f>IF(OR(G63="",ISBLANK(G63),G63=0),0,IF(MOD(G63,2)=1,1,2))</f>
        <v>2</v>
      </c>
      <c r="O63" s="32"/>
      <c r="P63" s="3" cm="1">
        <f t="array" ref="P63">SUMPRODUCT(--(MOD(B63:G63,2)=1))</f>
        <v>2</v>
      </c>
      <c r="Q63" s="3">
        <f>6-P63</f>
        <v>4</v>
      </c>
      <c r="R63" s="34"/>
      <c r="S63" s="3">
        <f>COUNTIFS(B63:G63,"&gt;=1",B63:G63,"&lt;=23")</f>
        <v>4</v>
      </c>
      <c r="T63" s="3">
        <f>6-S63</f>
        <v>2</v>
      </c>
      <c r="U63" s="34"/>
      <c r="V63" s="3" cm="1">
        <f t="array" ref="V63">SUMPRODUCT(--(MOD(B63:G63,10)&gt;=1), --(MOD(B63:G63,10)&lt;=5))</f>
        <v>5</v>
      </c>
      <c r="W63" s="3">
        <f>6-V63</f>
        <v>1</v>
      </c>
      <c r="X63" s="34"/>
      <c r="Y63" s="3" cm="1">
        <f t="array" ref="Y63">IFERROR(COUNT(_xlfn._xlws.FILTER(B63:G63, ISNUMBER(MATCH(B63:G63, {2,3,5,7,11,13,17,19,23,29,31,37,41,43}, 0)))), 0)</f>
        <v>1</v>
      </c>
      <c r="Z63" s="3" cm="1">
        <f t="array" ref="Z63">IFERROR(COUNT(_xlfn._xlws.FILTER(B63:G63, ISNUMBER(MATCH(B63:G63, {1,4,8,10,14,16,20,22,25,26,28,32,34,35,38,40,44}, 0)))), 0)</f>
        <v>3</v>
      </c>
      <c r="AA63" s="3" cm="1">
        <f t="array" ref="AA63">IFERROR(COUNT(_xlfn._xlws.FILTER(B63:G63, ISNUMBER(MATCH(B63:G63, {6,9,12,15,18,21,24,27,30,33,36,39,42,45}, 0)))), 0)</f>
        <v>2</v>
      </c>
      <c r="AB63" s="30"/>
      <c r="AC63" s="26" t="str" cm="1">
        <f t="array" ref="AC63">_xlfn.IFS(
   OR(B63="",ISBLANK(B63),B63=0),0,
   ISNUMBER(MATCH(B63,{2,3,5,7,11,13,17,19,23,29,31,37,41,43},0)),"소",
   AND(ISNUMBER(B63),MOD(B63,3)=0),"배",
   AND(ISNUMBER(B63),B63&gt;0),"자"
)</f>
        <v>소</v>
      </c>
      <c r="AD63" s="26" t="str" cm="1">
        <f t="array" ref="AD63">_xlfn.IFS(
   OR(C63="",ISBLANK(C63),C63=0),0,
   ISNUMBER(MATCH(C63,{2,3,5,7,11,13,17,19,23,29,31,37,41,43},0)),"소",
   AND(ISNUMBER(C63),MOD(C63,3)=0),"배",
   AND(ISNUMBER(C63),C63&gt;0),"자"
)</f>
        <v>자</v>
      </c>
      <c r="AE63" s="26" t="str" cm="1">
        <f t="array" ref="AE63">_xlfn.IFS(
   OR(D63="",ISBLANK(D63),D63=0),0,
   ISNUMBER(MATCH(D63,{2,3,5,7,11,13,17,19,23,29,31,37,41,43},0)),"소",
   AND(ISNUMBER(D63),MOD(D63,3)=0),"배",
   AND(ISNUMBER(D63),D63&gt;0),"자"
)</f>
        <v>배</v>
      </c>
      <c r="AF63" s="26" t="str" cm="1">
        <f t="array" ref="AF63">_xlfn.IFS(
   OR(E63="",ISBLANK(E63),E63=0),0,
   ISNUMBER(MATCH(E63,{2,3,5,7,11,13,17,19,23,29,31,37,41,43},0)),"소",
   AND(ISNUMBER(E63),MOD(E63,3)=0),"배",
   AND(ISNUMBER(E63),E63&gt;0),"자"
)</f>
        <v>배</v>
      </c>
      <c r="AG63" s="26" t="str" cm="1">
        <f t="array" ref="AG63">_xlfn.IFS(
   OR(F63="",ISBLANK(F63),F63=0),0,
   ISNUMBER(MATCH(F63,{2,3,5,7,11,13,17,19,23,29,31,37,41,43},0)),"소",
   AND(ISNUMBER(F63),MOD(F63,3)=0),"배",
   AND(ISNUMBER(F63),F63&gt;0),"자"
)</f>
        <v>자</v>
      </c>
      <c r="AH63" s="26" t="str" cm="1">
        <f t="array" ref="AH63">_xlfn.IFS(
   OR(G63="",ISBLANK(G63),G63=0),0,
   ISNUMBER(MATCH(G63,{2,3,5,7,11,13,17,19,23,29,31,37,41,43},0)),"소",
   AND(ISNUMBER(G63),MOD(G63,3)=0),"배",
   AND(ISNUMBER(G63),G63&gt;0),"자"
)</f>
        <v>자</v>
      </c>
      <c r="AI63" s="30"/>
      <c r="AJ63" s="3">
        <f>COUNTIFS(B63:G63,"&gt;=1",B63:G63,"&lt;=14")</f>
        <v>3</v>
      </c>
      <c r="AK63" s="3">
        <f>COUNTIFS(B63:G63,"&gt;=15",B63:G63,"&lt;=31")</f>
        <v>2</v>
      </c>
      <c r="AL63" s="3">
        <f>6-AK63-AJ63</f>
        <v>1</v>
      </c>
      <c r="AM63" s="33"/>
      <c r="AN63" s="3">
        <f>COUNTIFS($B63:$G63, "&gt;=1",$B63:$G63, "&lt;=9")</f>
        <v>2</v>
      </c>
      <c r="AO63" s="3">
        <f>COUNTIFS($B63:$G63, "&gt;=10",$B63:$G63, "&lt;=18")</f>
        <v>2</v>
      </c>
      <c r="AP63" s="3">
        <f>COUNTIFS($B63:$G63, "&gt;=19",$B63:$G63, "&lt;=27")</f>
        <v>1</v>
      </c>
      <c r="AQ63" s="3">
        <f>COUNTIFS($B63:$G63, "&gt;=28",$B63:$G63, "&lt;=36")</f>
        <v>1</v>
      </c>
      <c r="AR63" s="3">
        <f>COUNTIFS($B63:$G63, "&gt;=37",$B63:$G63, "&lt;=45")</f>
        <v>0</v>
      </c>
      <c r="AS63" s="28" t="e">
        <f>#REF!</f>
        <v>#REF!</v>
      </c>
      <c r="AT63" s="28" t="e">
        <f>#REF!*2</f>
        <v>#REF!</v>
      </c>
      <c r="AU63" s="28" t="e">
        <f>#REF!</f>
        <v>#REF!</v>
      </c>
      <c r="AV63" s="28" t="e">
        <f>#REF!*2</f>
        <v>#REF!</v>
      </c>
      <c r="AW63" s="28" t="e">
        <f>#REF!</f>
        <v>#REF!</v>
      </c>
      <c r="AX63" s="28" t="e">
        <f>#REF!*2</f>
        <v>#REF!</v>
      </c>
      <c r="AY63" s="28" t="e">
        <f>#REF!</f>
        <v>#REF!</v>
      </c>
      <c r="AZ63" s="28" t="e">
        <f>#REF!*2</f>
        <v>#REF!</v>
      </c>
      <c r="BA63" s="28" t="e">
        <f>#REF!</f>
        <v>#REF!</v>
      </c>
      <c r="BB63" s="28" t="e">
        <f>#REF!*2</f>
        <v>#REF!</v>
      </c>
      <c r="BC63" s="28" t="e">
        <f>#REF!</f>
        <v>#REF!</v>
      </c>
      <c r="BD63" s="28" t="e">
        <f>#REF!*2</f>
        <v>#REF!</v>
      </c>
      <c r="BE63" s="9" t="e">
        <f>#REF!-#REF!</f>
        <v>#REF!</v>
      </c>
      <c r="BF63" s="9" t="e">
        <f>#REF!-#REF!</f>
        <v>#REF!</v>
      </c>
      <c r="BG63" s="9" t="e">
        <f>#REF!-#REF!</f>
        <v>#REF!</v>
      </c>
      <c r="BH63" s="9" t="e">
        <f>#REF!-#REF!</f>
        <v>#REF!</v>
      </c>
      <c r="BI63" s="9" t="e">
        <f>#REF!-#REF!</f>
        <v>#REF!</v>
      </c>
      <c r="BJ63" s="33"/>
      <c r="BK63" s="3">
        <f>COUNTIFS(B63:G63, "&gt;=1", B63:G63, "&lt;=9")</f>
        <v>2</v>
      </c>
      <c r="BL63" s="3">
        <f>COUNTIFS(B63:G63, "&gt;=10", B63:G63, "&lt;=19")</f>
        <v>2</v>
      </c>
      <c r="BM63" s="3">
        <f>COUNTIFS(B63:G63, "&gt;=20", B63:G63, "&lt;=29")</f>
        <v>1</v>
      </c>
      <c r="BN63" s="3">
        <f>COUNTIFS(B63:G63, "&gt;=30", B63:G63, "&lt;=39")</f>
        <v>1</v>
      </c>
      <c r="BO63" s="3">
        <f>COUNTIFS(B63:G63, "&gt;=40", B63:G63, "&lt;=45")</f>
        <v>0</v>
      </c>
      <c r="BP63" s="28" t="e">
        <f>#REF!</f>
        <v>#REF!</v>
      </c>
      <c r="BQ63" s="28" t="e">
        <f>#REF!*2</f>
        <v>#REF!</v>
      </c>
      <c r="BR63" s="28" t="e">
        <f>#REF!</f>
        <v>#REF!</v>
      </c>
      <c r="BS63" s="28" t="e">
        <f>#REF!*2</f>
        <v>#REF!</v>
      </c>
      <c r="BT63" s="28" t="e">
        <f>#REF!</f>
        <v>#REF!</v>
      </c>
      <c r="BU63" s="28" t="e">
        <f>#REF!*2</f>
        <v>#REF!</v>
      </c>
      <c r="BV63" s="28" t="e">
        <f>#REF!</f>
        <v>#REF!</v>
      </c>
      <c r="BW63" s="28" t="e">
        <f>#REF!*2</f>
        <v>#REF!</v>
      </c>
      <c r="BX63" s="28" t="e">
        <f>#REF!</f>
        <v>#REF!</v>
      </c>
      <c r="BY63" s="28" t="e">
        <f>#REF!*2</f>
        <v>#REF!</v>
      </c>
      <c r="BZ63" s="28" t="e">
        <f>#REF!</f>
        <v>#REF!</v>
      </c>
      <c r="CA63" s="28" t="e">
        <f>#REF!*2</f>
        <v>#REF!</v>
      </c>
      <c r="CB63" s="9">
        <f>C63-B63</f>
        <v>1</v>
      </c>
      <c r="CC63" s="9">
        <f>D63-C63</f>
        <v>8</v>
      </c>
      <c r="CD63" s="9">
        <f>E63-D63</f>
        <v>3</v>
      </c>
      <c r="CE63" s="9">
        <f>F63-E63</f>
        <v>11</v>
      </c>
      <c r="CF63" s="9">
        <f>G63-F63</f>
        <v>8</v>
      </c>
      <c r="CG63" s="33"/>
      <c r="CH63" s="9">
        <f>C63-B63</f>
        <v>1</v>
      </c>
      <c r="CI63" s="9">
        <f>D63-C63</f>
        <v>8</v>
      </c>
      <c r="CJ63" s="9">
        <f>E63-D63</f>
        <v>3</v>
      </c>
      <c r="CK63" s="9">
        <f>F63-E63</f>
        <v>11</v>
      </c>
      <c r="CL63" s="9">
        <f>G63-F63</f>
        <v>8</v>
      </c>
      <c r="CM63" s="32"/>
      <c r="CN63" s="3">
        <f>IF(OR(CH63="",ISBLANK(CH63),CH63=0),0,IF(MOD(CH63,2)=1,1,2))</f>
        <v>1</v>
      </c>
      <c r="CO63" s="3">
        <f>IF(OR(CI63="",ISBLANK(CI63),CI63=0),0,IF(MOD(CI63,2)=1,1,2))</f>
        <v>2</v>
      </c>
      <c r="CP63" s="3">
        <f>IF(OR(CJ63="",ISBLANK(CJ63),CJ63=0),0,IF(MOD(CJ63,2)=1,1,2))</f>
        <v>1</v>
      </c>
      <c r="CQ63" s="3">
        <f>IF(OR(CK63="",ISBLANK(CK63),CK63=0),0,IF(MOD(CK63,2)=1,1,2))</f>
        <v>1</v>
      </c>
      <c r="CR63" s="3">
        <f>IF(OR(CL63="",ISBLANK(CL63),CL63=0),0,IF(MOD(CL63,2)=1,1,2))</f>
        <v>2</v>
      </c>
      <c r="CS63" s="31"/>
      <c r="CT63" s="3" cm="1">
        <f t="array" ref="CT63">SUMPRODUCT(--(MOD(CH63:CL63,2)=1))</f>
        <v>3</v>
      </c>
      <c r="CU63" s="3">
        <f>5-CT63</f>
        <v>2</v>
      </c>
      <c r="CV63" s="30"/>
      <c r="CW63" s="3" cm="1">
        <f t="array" ref="CW63">SUMPRODUCT(--(MOD(CH63:CL63,10)&gt;=1), --(MOD(CH63:CL63,10)&lt;=5))</f>
        <v>3</v>
      </c>
      <c r="CX63" s="3">
        <f>5-CW63</f>
        <v>2</v>
      </c>
      <c r="CY63" s="30"/>
      <c r="CZ63" s="3" cm="1">
        <f t="array" ref="CZ63">IFERROR(COUNT(_xlfn._xlws.FILTER(CH63:CL63, ISNUMBER(MATCH(CH63:CL63, {2,3,5,7,11,13,17,19,23,29,31,37,41,43}, 0)))), 0)</f>
        <v>2</v>
      </c>
      <c r="DA63" s="3" cm="1">
        <f t="array" ref="DA63">IFERROR(COUNT(_xlfn._xlws.FILTER(CH63:CL63, ISNUMBER(MATCH(CH63:CL63, {1,4,8,10,14,16,20,22,25,26,28,32,34,35,38,40,44}, 0)))), 0)</f>
        <v>3</v>
      </c>
      <c r="DB63" s="3" cm="1">
        <f t="array" ref="DB63">IFERROR(COUNT(_xlfn._xlws.FILTER(CH63:CL63, ISNUMBER(MATCH(CH63:CL63, {6,9,12,15,18,21,24,27,30,33,36,39,42,45}, 0)))), 0)</f>
        <v>0</v>
      </c>
      <c r="DC63" s="29"/>
      <c r="DD63" s="28" t="e">
        <f>#REF!</f>
        <v>#REF!</v>
      </c>
      <c r="DE63" s="28" t="e">
        <f>#REF!*2</f>
        <v>#REF!</v>
      </c>
      <c r="DF63" s="28" t="e">
        <f>#REF!</f>
        <v>#REF!</v>
      </c>
      <c r="DG63" s="28" t="e">
        <f>#REF!*2</f>
        <v>#REF!</v>
      </c>
      <c r="DH63" s="28" t="e">
        <f>#REF!</f>
        <v>#REF!</v>
      </c>
      <c r="DI63" s="28" t="e">
        <f>#REF!*2</f>
        <v>#REF!</v>
      </c>
      <c r="DJ63" s="28" t="e">
        <f>#REF!</f>
        <v>#REF!</v>
      </c>
      <c r="DK63" s="28" t="e">
        <f>#REF!*2</f>
        <v>#REF!</v>
      </c>
      <c r="DL63" s="28" t="e">
        <f>#REF!</f>
        <v>#REF!</v>
      </c>
      <c r="DM63" s="28" t="e">
        <f>#REF!*2</f>
        <v>#REF!</v>
      </c>
      <c r="DN63" s="27"/>
      <c r="DO63" s="26" t="str" cm="1">
        <f t="array" ref="DO63">_xlfn.IFS(
   OR(CH63="",ISBLANK(CH63),CH63=0),0,
   ISNUMBER(MATCH(CH63,{2,3,5,7,11,13,17,19,23,29,31,37,41,43},0)),"소",
   AND(ISNUMBER(CH63),MOD(CH63,3)=0),"배",
   AND(ISNUMBER(CH63),CH63&gt;0),"자"
)</f>
        <v>자</v>
      </c>
      <c r="DP63" s="26" t="str" cm="1">
        <f t="array" ref="DP63">_xlfn.IFS(
   OR(CI63="",ISBLANK(CI63),CI63=0),0,
   ISNUMBER(MATCH(CI63,{2,3,5,7,11,13,17,19,23,29,31,37,41,43},0)),"소",
   AND(ISNUMBER(CI63),MOD(CI63,3)=0),"배",
   AND(ISNUMBER(CI63),CI63&gt;0),"자"
)</f>
        <v>자</v>
      </c>
      <c r="DQ63" s="26" t="str" cm="1">
        <f t="array" ref="DQ63">_xlfn.IFS(
   OR(CJ63="",ISBLANK(CJ63),CJ63=0),0,
   ISNUMBER(MATCH(CJ63,{2,3,5,7,11,13,17,19,23,29,31,37,41,43},0)),"소",
   AND(ISNUMBER(CJ63),MOD(CJ63,3)=0),"배",
   AND(ISNUMBER(CJ63),CJ63&gt;0),"자"
)</f>
        <v>소</v>
      </c>
      <c r="DR63" s="26" t="str" cm="1">
        <f t="array" ref="DR63">_xlfn.IFS(
   OR(CK63="",ISBLANK(CK63),CK63=0),0,
   ISNUMBER(MATCH(CK63,{2,3,5,7,11,13,17,19,23,29,31,37,41,43},0)),"소",
   AND(ISNUMBER(CK63),MOD(CK63,3)=0),"배",
   AND(ISNUMBER(CK63),CK63&gt;0),"자"
)</f>
        <v>소</v>
      </c>
      <c r="DS63" s="26" t="str" cm="1">
        <f t="array" ref="DS63">_xlfn.IFS(
   OR(CL63="",ISBLANK(CL63),CL63=0),0,
   ISNUMBER(MATCH(CL63,{2,3,5,7,11,13,17,19,23,29,31,37,41,43},0)),"소",
   AND(ISNUMBER(CL63),MOD(CL63,3)=0),"배",
   AND(ISNUMBER(CL63),CL63&gt;0),"자"
)</f>
        <v>자</v>
      </c>
      <c r="DT63" s="25"/>
    </row>
    <row r="64" spans="2:124" x14ac:dyDescent="0.3">
      <c r="B64" s="3">
        <v>2</v>
      </c>
      <c r="C64" s="3">
        <v>11</v>
      </c>
      <c r="D64" s="3">
        <v>31</v>
      </c>
      <c r="E64" s="3">
        <v>33</v>
      </c>
      <c r="F64" s="3">
        <v>37</v>
      </c>
      <c r="G64" s="3">
        <v>44</v>
      </c>
      <c r="H64" s="32"/>
      <c r="I64" s="3">
        <f>IF(OR(B64="",ISBLANK(B64),B64=0),0,IF(MOD(B64,2)=1,1,2))</f>
        <v>2</v>
      </c>
      <c r="J64" s="3">
        <f>IF(OR(C64="",ISBLANK(C64),C64=0),0,IF(MOD(C64,2)=1,1,2))</f>
        <v>1</v>
      </c>
      <c r="K64" s="3">
        <f>IF(OR(D64="",ISBLANK(D64),D64=0),0,IF(MOD(D64,2)=1,1,2))</f>
        <v>1</v>
      </c>
      <c r="L64" s="3">
        <f>IF(OR(E64="",ISBLANK(E64),E64=0),0,IF(MOD(E64,2)=1,1,2))</f>
        <v>1</v>
      </c>
      <c r="M64" s="3">
        <f>IF(OR(F64="",ISBLANK(F64),F64=0),0,IF(MOD(F64,2)=1,1,2))</f>
        <v>1</v>
      </c>
      <c r="N64" s="3">
        <f>IF(OR(G64="",ISBLANK(G64),G64=0),0,IF(MOD(G64,2)=1,1,2))</f>
        <v>2</v>
      </c>
      <c r="O64" s="32"/>
      <c r="P64" s="3" cm="1">
        <f t="array" ref="P64">SUMPRODUCT(--(MOD(B64:G64,2)=1))</f>
        <v>4</v>
      </c>
      <c r="Q64" s="3">
        <f>6-P64</f>
        <v>2</v>
      </c>
      <c r="R64" s="34"/>
      <c r="S64" s="3">
        <f>COUNTIFS(B64:G64,"&gt;=1",B64:G64,"&lt;=23")</f>
        <v>2</v>
      </c>
      <c r="T64" s="3">
        <f>6-S64</f>
        <v>4</v>
      </c>
      <c r="U64" s="34"/>
      <c r="V64" s="3" cm="1">
        <f t="array" ref="V64">SUMPRODUCT(--(MOD(B64:G64,10)&gt;=1), --(MOD(B64:G64,10)&lt;=5))</f>
        <v>5</v>
      </c>
      <c r="W64" s="3">
        <f>6-V64</f>
        <v>1</v>
      </c>
      <c r="X64" s="34"/>
      <c r="Y64" s="3" cm="1">
        <f t="array" ref="Y64">IFERROR(COUNT(_xlfn._xlws.FILTER(B64:G64, ISNUMBER(MATCH(B64:G64, {2,3,5,7,11,13,17,19,23,29,31,37,41,43}, 0)))), 0)</f>
        <v>4</v>
      </c>
      <c r="Z64" s="3" cm="1">
        <f t="array" ref="Z64">IFERROR(COUNT(_xlfn._xlws.FILTER(B64:G64, ISNUMBER(MATCH(B64:G64, {1,4,8,10,14,16,20,22,25,26,28,32,34,35,38,40,44}, 0)))), 0)</f>
        <v>1</v>
      </c>
      <c r="AA64" s="3" cm="1">
        <f t="array" ref="AA64">IFERROR(COUNT(_xlfn._xlws.FILTER(B64:G64, ISNUMBER(MATCH(B64:G64, {6,9,12,15,18,21,24,27,30,33,36,39,42,45}, 0)))), 0)</f>
        <v>1</v>
      </c>
      <c r="AB64" s="30"/>
      <c r="AC64" s="26" t="str" cm="1">
        <f t="array" ref="AC64">_xlfn.IFS(
   OR(B64="",ISBLANK(B64),B64=0),0,
   ISNUMBER(MATCH(B64,{2,3,5,7,11,13,17,19,23,29,31,37,41,43},0)),"소",
   AND(ISNUMBER(B64),MOD(B64,3)=0),"배",
   AND(ISNUMBER(B64),B64&gt;0),"자"
)</f>
        <v>소</v>
      </c>
      <c r="AD64" s="26" t="str" cm="1">
        <f t="array" ref="AD64">_xlfn.IFS(
   OR(C64="",ISBLANK(C64),C64=0),0,
   ISNUMBER(MATCH(C64,{2,3,5,7,11,13,17,19,23,29,31,37,41,43},0)),"소",
   AND(ISNUMBER(C64),MOD(C64,3)=0),"배",
   AND(ISNUMBER(C64),C64&gt;0),"자"
)</f>
        <v>소</v>
      </c>
      <c r="AE64" s="26" t="str" cm="1">
        <f t="array" ref="AE64">_xlfn.IFS(
   OR(D64="",ISBLANK(D64),D64=0),0,
   ISNUMBER(MATCH(D64,{2,3,5,7,11,13,17,19,23,29,31,37,41,43},0)),"소",
   AND(ISNUMBER(D64),MOD(D64,3)=0),"배",
   AND(ISNUMBER(D64),D64&gt;0),"자"
)</f>
        <v>소</v>
      </c>
      <c r="AF64" s="26" t="str" cm="1">
        <f t="array" ref="AF64">_xlfn.IFS(
   OR(E64="",ISBLANK(E64),E64=0),0,
   ISNUMBER(MATCH(E64,{2,3,5,7,11,13,17,19,23,29,31,37,41,43},0)),"소",
   AND(ISNUMBER(E64),MOD(E64,3)=0),"배",
   AND(ISNUMBER(E64),E64&gt;0),"자"
)</f>
        <v>배</v>
      </c>
      <c r="AG64" s="26" t="str" cm="1">
        <f t="array" ref="AG64">_xlfn.IFS(
   OR(F64="",ISBLANK(F64),F64=0),0,
   ISNUMBER(MATCH(F64,{2,3,5,7,11,13,17,19,23,29,31,37,41,43},0)),"소",
   AND(ISNUMBER(F64),MOD(F64,3)=0),"배",
   AND(ISNUMBER(F64),F64&gt;0),"자"
)</f>
        <v>소</v>
      </c>
      <c r="AH64" s="26" t="str" cm="1">
        <f t="array" ref="AH64">_xlfn.IFS(
   OR(G64="",ISBLANK(G64),G64=0),0,
   ISNUMBER(MATCH(G64,{2,3,5,7,11,13,17,19,23,29,31,37,41,43},0)),"소",
   AND(ISNUMBER(G64),MOD(G64,3)=0),"배",
   AND(ISNUMBER(G64),G64&gt;0),"자"
)</f>
        <v>자</v>
      </c>
      <c r="AI64" s="30"/>
      <c r="AJ64" s="3">
        <f>COUNTIFS(B64:G64,"&gt;=1",B64:G64,"&lt;=14")</f>
        <v>2</v>
      </c>
      <c r="AK64" s="3">
        <f>COUNTIFS(B64:G64,"&gt;=15",B64:G64,"&lt;=31")</f>
        <v>1</v>
      </c>
      <c r="AL64" s="3">
        <f>6-AK64-AJ64</f>
        <v>3</v>
      </c>
      <c r="AM64" s="33"/>
      <c r="AN64" s="3">
        <f>COUNTIFS($B64:$G64, "&gt;=1",$B64:$G64, "&lt;=9")</f>
        <v>1</v>
      </c>
      <c r="AO64" s="3">
        <f>COUNTIFS($B64:$G64, "&gt;=10",$B64:$G64, "&lt;=18")</f>
        <v>1</v>
      </c>
      <c r="AP64" s="3">
        <f>COUNTIFS($B64:$G64, "&gt;=19",$B64:$G64, "&lt;=27")</f>
        <v>0</v>
      </c>
      <c r="AQ64" s="3">
        <f>COUNTIFS($B64:$G64, "&gt;=28",$B64:$G64, "&lt;=36")</f>
        <v>2</v>
      </c>
      <c r="AR64" s="3">
        <f>COUNTIFS($B64:$G64, "&gt;=37",$B64:$G64, "&lt;=45")</f>
        <v>2</v>
      </c>
      <c r="AS64" s="28" t="e">
        <f>#REF!</f>
        <v>#REF!</v>
      </c>
      <c r="AT64" s="28" t="e">
        <f>#REF!*2</f>
        <v>#REF!</v>
      </c>
      <c r="AU64" s="28" t="e">
        <f>#REF!</f>
        <v>#REF!</v>
      </c>
      <c r="AV64" s="28" t="e">
        <f>#REF!*2</f>
        <v>#REF!</v>
      </c>
      <c r="AW64" s="28" t="e">
        <f>#REF!</f>
        <v>#REF!</v>
      </c>
      <c r="AX64" s="28" t="e">
        <f>#REF!*2</f>
        <v>#REF!</v>
      </c>
      <c r="AY64" s="28" t="e">
        <f>#REF!</f>
        <v>#REF!</v>
      </c>
      <c r="AZ64" s="28" t="e">
        <f>#REF!*2</f>
        <v>#REF!</v>
      </c>
      <c r="BA64" s="28" t="e">
        <f>#REF!</f>
        <v>#REF!</v>
      </c>
      <c r="BB64" s="28" t="e">
        <f>#REF!*2</f>
        <v>#REF!</v>
      </c>
      <c r="BC64" s="28" t="e">
        <f>#REF!</f>
        <v>#REF!</v>
      </c>
      <c r="BD64" s="28" t="e">
        <f>#REF!*2</f>
        <v>#REF!</v>
      </c>
      <c r="BE64" s="9" t="e">
        <f>#REF!-#REF!</f>
        <v>#REF!</v>
      </c>
      <c r="BF64" s="9" t="e">
        <f>#REF!-#REF!</f>
        <v>#REF!</v>
      </c>
      <c r="BG64" s="9" t="e">
        <f>#REF!-#REF!</f>
        <v>#REF!</v>
      </c>
      <c r="BH64" s="9" t="e">
        <f>#REF!-#REF!</f>
        <v>#REF!</v>
      </c>
      <c r="BI64" s="9" t="e">
        <f>#REF!-#REF!</f>
        <v>#REF!</v>
      </c>
      <c r="BJ64" s="33"/>
      <c r="BK64" s="3">
        <f>COUNTIFS(B64:G64, "&gt;=1", B64:G64, "&lt;=9")</f>
        <v>1</v>
      </c>
      <c r="BL64" s="3">
        <f>COUNTIFS(B64:G64, "&gt;=10", B64:G64, "&lt;=19")</f>
        <v>1</v>
      </c>
      <c r="BM64" s="3">
        <f>COUNTIFS(B64:G64, "&gt;=20", B64:G64, "&lt;=29")</f>
        <v>0</v>
      </c>
      <c r="BN64" s="3">
        <f>COUNTIFS(B64:G64, "&gt;=30", B64:G64, "&lt;=39")</f>
        <v>3</v>
      </c>
      <c r="BO64" s="3">
        <f>COUNTIFS(B64:G64, "&gt;=40", B64:G64, "&lt;=45")</f>
        <v>1</v>
      </c>
      <c r="BP64" s="28" t="e">
        <f>#REF!</f>
        <v>#REF!</v>
      </c>
      <c r="BQ64" s="28" t="e">
        <f>#REF!*2</f>
        <v>#REF!</v>
      </c>
      <c r="BR64" s="28" t="e">
        <f>#REF!</f>
        <v>#REF!</v>
      </c>
      <c r="BS64" s="28" t="e">
        <f>#REF!*2</f>
        <v>#REF!</v>
      </c>
      <c r="BT64" s="28" t="e">
        <f>#REF!</f>
        <v>#REF!</v>
      </c>
      <c r="BU64" s="28" t="e">
        <f>#REF!*2</f>
        <v>#REF!</v>
      </c>
      <c r="BV64" s="28" t="e">
        <f>#REF!</f>
        <v>#REF!</v>
      </c>
      <c r="BW64" s="28" t="e">
        <f>#REF!*2</f>
        <v>#REF!</v>
      </c>
      <c r="BX64" s="28" t="e">
        <f>#REF!</f>
        <v>#REF!</v>
      </c>
      <c r="BY64" s="28" t="e">
        <f>#REF!*2</f>
        <v>#REF!</v>
      </c>
      <c r="BZ64" s="28" t="e">
        <f>#REF!</f>
        <v>#REF!</v>
      </c>
      <c r="CA64" s="28" t="e">
        <f>#REF!*2</f>
        <v>#REF!</v>
      </c>
      <c r="CB64" s="9">
        <f>C64-B64</f>
        <v>9</v>
      </c>
      <c r="CC64" s="9">
        <f>D64-C64</f>
        <v>20</v>
      </c>
      <c r="CD64" s="9">
        <f>E64-D64</f>
        <v>2</v>
      </c>
      <c r="CE64" s="9">
        <f>F64-E64</f>
        <v>4</v>
      </c>
      <c r="CF64" s="9">
        <f>G64-F64</f>
        <v>7</v>
      </c>
      <c r="CG64" s="33"/>
      <c r="CH64" s="9">
        <f>C64-B64</f>
        <v>9</v>
      </c>
      <c r="CI64" s="9">
        <f>D64-C64</f>
        <v>20</v>
      </c>
      <c r="CJ64" s="9">
        <f>E64-D64</f>
        <v>2</v>
      </c>
      <c r="CK64" s="9">
        <f>F64-E64</f>
        <v>4</v>
      </c>
      <c r="CL64" s="9">
        <f>G64-F64</f>
        <v>7</v>
      </c>
      <c r="CM64" s="32"/>
      <c r="CN64" s="3">
        <f>IF(OR(CH64="",ISBLANK(CH64),CH64=0),0,IF(MOD(CH64,2)=1,1,2))</f>
        <v>1</v>
      </c>
      <c r="CO64" s="3">
        <f>IF(OR(CI64="",ISBLANK(CI64),CI64=0),0,IF(MOD(CI64,2)=1,1,2))</f>
        <v>2</v>
      </c>
      <c r="CP64" s="3">
        <f>IF(OR(CJ64="",ISBLANK(CJ64),CJ64=0),0,IF(MOD(CJ64,2)=1,1,2))</f>
        <v>2</v>
      </c>
      <c r="CQ64" s="3">
        <f>IF(OR(CK64="",ISBLANK(CK64),CK64=0),0,IF(MOD(CK64,2)=1,1,2))</f>
        <v>2</v>
      </c>
      <c r="CR64" s="3">
        <f>IF(OR(CL64="",ISBLANK(CL64),CL64=0),0,IF(MOD(CL64,2)=1,1,2))</f>
        <v>1</v>
      </c>
      <c r="CS64" s="31"/>
      <c r="CT64" s="3" cm="1">
        <f t="array" ref="CT64">SUMPRODUCT(--(MOD(CH64:CL64,2)=1))</f>
        <v>2</v>
      </c>
      <c r="CU64" s="3">
        <f>5-CT64</f>
        <v>3</v>
      </c>
      <c r="CV64" s="30"/>
      <c r="CW64" s="3" cm="1">
        <f t="array" ref="CW64">SUMPRODUCT(--(MOD(CH64:CL64,10)&gt;=1), --(MOD(CH64:CL64,10)&lt;=5))</f>
        <v>2</v>
      </c>
      <c r="CX64" s="3">
        <f>5-CW64</f>
        <v>3</v>
      </c>
      <c r="CY64" s="30"/>
      <c r="CZ64" s="3" cm="1">
        <f t="array" ref="CZ64">IFERROR(COUNT(_xlfn._xlws.FILTER(CH64:CL64, ISNUMBER(MATCH(CH64:CL64, {2,3,5,7,11,13,17,19,23,29,31,37,41,43}, 0)))), 0)</f>
        <v>2</v>
      </c>
      <c r="DA64" s="3" cm="1">
        <f t="array" ref="DA64">IFERROR(COUNT(_xlfn._xlws.FILTER(CH64:CL64, ISNUMBER(MATCH(CH64:CL64, {1,4,8,10,14,16,20,22,25,26,28,32,34,35,38,40,44}, 0)))), 0)</f>
        <v>2</v>
      </c>
      <c r="DB64" s="3" cm="1">
        <f t="array" ref="DB64">IFERROR(COUNT(_xlfn._xlws.FILTER(CH64:CL64, ISNUMBER(MATCH(CH64:CL64, {6,9,12,15,18,21,24,27,30,33,36,39,42,45}, 0)))), 0)</f>
        <v>1</v>
      </c>
      <c r="DC64" s="29"/>
      <c r="DD64" s="28" t="e">
        <f>#REF!</f>
        <v>#REF!</v>
      </c>
      <c r="DE64" s="28" t="e">
        <f>#REF!*2</f>
        <v>#REF!</v>
      </c>
      <c r="DF64" s="28" t="e">
        <f>#REF!</f>
        <v>#REF!</v>
      </c>
      <c r="DG64" s="28" t="e">
        <f>#REF!*2</f>
        <v>#REF!</v>
      </c>
      <c r="DH64" s="28" t="e">
        <f>#REF!</f>
        <v>#REF!</v>
      </c>
      <c r="DI64" s="28" t="e">
        <f>#REF!*2</f>
        <v>#REF!</v>
      </c>
      <c r="DJ64" s="28" t="e">
        <f>#REF!</f>
        <v>#REF!</v>
      </c>
      <c r="DK64" s="28" t="e">
        <f>#REF!*2</f>
        <v>#REF!</v>
      </c>
      <c r="DL64" s="28" t="e">
        <f>#REF!</f>
        <v>#REF!</v>
      </c>
      <c r="DM64" s="28" t="e">
        <f>#REF!*2</f>
        <v>#REF!</v>
      </c>
      <c r="DN64" s="27"/>
      <c r="DO64" s="26" t="str" cm="1">
        <f t="array" ref="DO64">_xlfn.IFS(
   OR(CH64="",ISBLANK(CH64),CH64=0),0,
   ISNUMBER(MATCH(CH64,{2,3,5,7,11,13,17,19,23,29,31,37,41,43},0)),"소",
   AND(ISNUMBER(CH64),MOD(CH64,3)=0),"배",
   AND(ISNUMBER(CH64),CH64&gt;0),"자"
)</f>
        <v>배</v>
      </c>
      <c r="DP64" s="26" t="str" cm="1">
        <f t="array" ref="DP64">_xlfn.IFS(
   OR(CI64="",ISBLANK(CI64),CI64=0),0,
   ISNUMBER(MATCH(CI64,{2,3,5,7,11,13,17,19,23,29,31,37,41,43},0)),"소",
   AND(ISNUMBER(CI64),MOD(CI64,3)=0),"배",
   AND(ISNUMBER(CI64),CI64&gt;0),"자"
)</f>
        <v>자</v>
      </c>
      <c r="DQ64" s="26" t="str" cm="1">
        <f t="array" ref="DQ64">_xlfn.IFS(
   OR(CJ64="",ISBLANK(CJ64),CJ64=0),0,
   ISNUMBER(MATCH(CJ64,{2,3,5,7,11,13,17,19,23,29,31,37,41,43},0)),"소",
   AND(ISNUMBER(CJ64),MOD(CJ64,3)=0),"배",
   AND(ISNUMBER(CJ64),CJ64&gt;0),"자"
)</f>
        <v>소</v>
      </c>
      <c r="DR64" s="26" t="str" cm="1">
        <f t="array" ref="DR64">_xlfn.IFS(
   OR(CK64="",ISBLANK(CK64),CK64=0),0,
   ISNUMBER(MATCH(CK64,{2,3,5,7,11,13,17,19,23,29,31,37,41,43},0)),"소",
   AND(ISNUMBER(CK64),MOD(CK64,3)=0),"배",
   AND(ISNUMBER(CK64),CK64&gt;0),"자"
)</f>
        <v>자</v>
      </c>
      <c r="DS64" s="26" t="str" cm="1">
        <f t="array" ref="DS64">_xlfn.IFS(
   OR(CL64="",ISBLANK(CL64),CL64=0),0,
   ISNUMBER(MATCH(CL64,{2,3,5,7,11,13,17,19,23,29,31,37,41,43},0)),"소",
   AND(ISNUMBER(CL64),MOD(CL64,3)=0),"배",
   AND(ISNUMBER(CL64),CL64&gt;0),"자"
)</f>
        <v>소</v>
      </c>
      <c r="DT64" s="25"/>
    </row>
    <row r="65" spans="2:124" x14ac:dyDescent="0.3">
      <c r="B65" s="3">
        <v>6</v>
      </c>
      <c r="C65" s="3">
        <v>11</v>
      </c>
      <c r="D65" s="3">
        <v>17</v>
      </c>
      <c r="E65" s="3">
        <v>19</v>
      </c>
      <c r="F65" s="3">
        <v>40</v>
      </c>
      <c r="G65" s="3">
        <v>43</v>
      </c>
      <c r="H65" s="32"/>
      <c r="I65" s="3">
        <f>IF(OR(B65="",ISBLANK(B65),B65=0),0,IF(MOD(B65,2)=1,1,2))</f>
        <v>2</v>
      </c>
      <c r="J65" s="3">
        <f>IF(OR(C65="",ISBLANK(C65),C65=0),0,IF(MOD(C65,2)=1,1,2))</f>
        <v>1</v>
      </c>
      <c r="K65" s="3">
        <f>IF(OR(D65="",ISBLANK(D65),D65=0),0,IF(MOD(D65,2)=1,1,2))</f>
        <v>1</v>
      </c>
      <c r="L65" s="3">
        <f>IF(OR(E65="",ISBLANK(E65),E65=0),0,IF(MOD(E65,2)=1,1,2))</f>
        <v>1</v>
      </c>
      <c r="M65" s="3">
        <f>IF(OR(F65="",ISBLANK(F65),F65=0),0,IF(MOD(F65,2)=1,1,2))</f>
        <v>2</v>
      </c>
      <c r="N65" s="3">
        <f>IF(OR(G65="",ISBLANK(G65),G65=0),0,IF(MOD(G65,2)=1,1,2))</f>
        <v>1</v>
      </c>
      <c r="O65" s="32"/>
      <c r="P65" s="3" cm="1">
        <f t="array" ref="P65">SUMPRODUCT(--(MOD(B65:G65,2)=1))</f>
        <v>4</v>
      </c>
      <c r="Q65" s="3">
        <f>6-P65</f>
        <v>2</v>
      </c>
      <c r="R65" s="34"/>
      <c r="S65" s="3">
        <f>COUNTIFS(B65:G65,"&gt;=1",B65:G65,"&lt;=23")</f>
        <v>4</v>
      </c>
      <c r="T65" s="3">
        <f>6-S65</f>
        <v>2</v>
      </c>
      <c r="U65" s="34"/>
      <c r="V65" s="3" cm="1">
        <f t="array" ref="V65">SUMPRODUCT(--(MOD(B65:G65,10)&gt;=1), --(MOD(B65:G65,10)&lt;=5))</f>
        <v>2</v>
      </c>
      <c r="W65" s="3">
        <f>6-V65</f>
        <v>4</v>
      </c>
      <c r="X65" s="34"/>
      <c r="Y65" s="3" cm="1">
        <f t="array" ref="Y65">IFERROR(COUNT(_xlfn._xlws.FILTER(B65:G65, ISNUMBER(MATCH(B65:G65, {2,3,5,7,11,13,17,19,23,29,31,37,41,43}, 0)))), 0)</f>
        <v>4</v>
      </c>
      <c r="Z65" s="3" cm="1">
        <f t="array" ref="Z65">IFERROR(COUNT(_xlfn._xlws.FILTER(B65:G65, ISNUMBER(MATCH(B65:G65, {1,4,8,10,14,16,20,22,25,26,28,32,34,35,38,40,44}, 0)))), 0)</f>
        <v>1</v>
      </c>
      <c r="AA65" s="3" cm="1">
        <f t="array" ref="AA65">IFERROR(COUNT(_xlfn._xlws.FILTER(B65:G65, ISNUMBER(MATCH(B65:G65, {6,9,12,15,18,21,24,27,30,33,36,39,42,45}, 0)))), 0)</f>
        <v>1</v>
      </c>
      <c r="AB65" s="30"/>
      <c r="AC65" s="26" t="str" cm="1">
        <f t="array" ref="AC65">_xlfn.IFS(
   OR(B65="",ISBLANK(B65),B65=0),0,
   ISNUMBER(MATCH(B65,{2,3,5,7,11,13,17,19,23,29,31,37,41,43},0)),"소",
   AND(ISNUMBER(B65),MOD(B65,3)=0),"배",
   AND(ISNUMBER(B65),B65&gt;0),"자"
)</f>
        <v>배</v>
      </c>
      <c r="AD65" s="26" t="str" cm="1">
        <f t="array" ref="AD65">_xlfn.IFS(
   OR(C65="",ISBLANK(C65),C65=0),0,
   ISNUMBER(MATCH(C65,{2,3,5,7,11,13,17,19,23,29,31,37,41,43},0)),"소",
   AND(ISNUMBER(C65),MOD(C65,3)=0),"배",
   AND(ISNUMBER(C65),C65&gt;0),"자"
)</f>
        <v>소</v>
      </c>
      <c r="AE65" s="26" t="str" cm="1">
        <f t="array" ref="AE65">_xlfn.IFS(
   OR(D65="",ISBLANK(D65),D65=0),0,
   ISNUMBER(MATCH(D65,{2,3,5,7,11,13,17,19,23,29,31,37,41,43},0)),"소",
   AND(ISNUMBER(D65),MOD(D65,3)=0),"배",
   AND(ISNUMBER(D65),D65&gt;0),"자"
)</f>
        <v>소</v>
      </c>
      <c r="AF65" s="26" t="str" cm="1">
        <f t="array" ref="AF65">_xlfn.IFS(
   OR(E65="",ISBLANK(E65),E65=0),0,
   ISNUMBER(MATCH(E65,{2,3,5,7,11,13,17,19,23,29,31,37,41,43},0)),"소",
   AND(ISNUMBER(E65),MOD(E65,3)=0),"배",
   AND(ISNUMBER(E65),E65&gt;0),"자"
)</f>
        <v>소</v>
      </c>
      <c r="AG65" s="26" t="str" cm="1">
        <f t="array" ref="AG65">_xlfn.IFS(
   OR(F65="",ISBLANK(F65),F65=0),0,
   ISNUMBER(MATCH(F65,{2,3,5,7,11,13,17,19,23,29,31,37,41,43},0)),"소",
   AND(ISNUMBER(F65),MOD(F65,3)=0),"배",
   AND(ISNUMBER(F65),F65&gt;0),"자"
)</f>
        <v>자</v>
      </c>
      <c r="AH65" s="26" t="str" cm="1">
        <f t="array" ref="AH65">_xlfn.IFS(
   OR(G65="",ISBLANK(G65),G65=0),0,
   ISNUMBER(MATCH(G65,{2,3,5,7,11,13,17,19,23,29,31,37,41,43},0)),"소",
   AND(ISNUMBER(G65),MOD(G65,3)=0),"배",
   AND(ISNUMBER(G65),G65&gt;0),"자"
)</f>
        <v>소</v>
      </c>
      <c r="AI65" s="30"/>
      <c r="AJ65" s="3">
        <f>COUNTIFS(B65:G65,"&gt;=1",B65:G65,"&lt;=14")</f>
        <v>2</v>
      </c>
      <c r="AK65" s="3">
        <f>COUNTIFS(B65:G65,"&gt;=15",B65:G65,"&lt;=31")</f>
        <v>2</v>
      </c>
      <c r="AL65" s="3">
        <f>6-AK65-AJ65</f>
        <v>2</v>
      </c>
      <c r="AM65" s="33"/>
      <c r="AN65" s="3">
        <f>COUNTIFS($B65:$G65, "&gt;=1",$B65:$G65, "&lt;=9")</f>
        <v>1</v>
      </c>
      <c r="AO65" s="3">
        <f>COUNTIFS($B65:$G65, "&gt;=10",$B65:$G65, "&lt;=18")</f>
        <v>2</v>
      </c>
      <c r="AP65" s="3">
        <f>COUNTIFS($B65:$G65, "&gt;=19",$B65:$G65, "&lt;=27")</f>
        <v>1</v>
      </c>
      <c r="AQ65" s="3">
        <f>COUNTIFS($B65:$G65, "&gt;=28",$B65:$G65, "&lt;=36")</f>
        <v>0</v>
      </c>
      <c r="AR65" s="3">
        <f>COUNTIFS($B65:$G65, "&gt;=37",$B65:$G65, "&lt;=45")</f>
        <v>2</v>
      </c>
      <c r="AS65" s="28" t="e">
        <f>#REF!</f>
        <v>#REF!</v>
      </c>
      <c r="AT65" s="28" t="e">
        <f>#REF!*2</f>
        <v>#REF!</v>
      </c>
      <c r="AU65" s="28" t="e">
        <f>#REF!</f>
        <v>#REF!</v>
      </c>
      <c r="AV65" s="28" t="e">
        <f>#REF!*2</f>
        <v>#REF!</v>
      </c>
      <c r="AW65" s="28" t="e">
        <f>#REF!</f>
        <v>#REF!</v>
      </c>
      <c r="AX65" s="28" t="e">
        <f>#REF!*2</f>
        <v>#REF!</v>
      </c>
      <c r="AY65" s="28" t="e">
        <f>#REF!</f>
        <v>#REF!</v>
      </c>
      <c r="AZ65" s="28" t="e">
        <f>#REF!*2</f>
        <v>#REF!</v>
      </c>
      <c r="BA65" s="28" t="e">
        <f>#REF!</f>
        <v>#REF!</v>
      </c>
      <c r="BB65" s="28" t="e">
        <f>#REF!*2</f>
        <v>#REF!</v>
      </c>
      <c r="BC65" s="28" t="e">
        <f>#REF!</f>
        <v>#REF!</v>
      </c>
      <c r="BD65" s="28" t="e">
        <f>#REF!*2</f>
        <v>#REF!</v>
      </c>
      <c r="BE65" s="9" t="e">
        <f>#REF!-#REF!</f>
        <v>#REF!</v>
      </c>
      <c r="BF65" s="9" t="e">
        <f>#REF!-#REF!</f>
        <v>#REF!</v>
      </c>
      <c r="BG65" s="9" t="e">
        <f>#REF!-#REF!</f>
        <v>#REF!</v>
      </c>
      <c r="BH65" s="9" t="e">
        <f>#REF!-#REF!</f>
        <v>#REF!</v>
      </c>
      <c r="BI65" s="9" t="e">
        <f>#REF!-#REF!</f>
        <v>#REF!</v>
      </c>
      <c r="BJ65" s="33"/>
      <c r="BK65" s="3">
        <f>COUNTIFS(B65:G65, "&gt;=1", B65:G65, "&lt;=9")</f>
        <v>1</v>
      </c>
      <c r="BL65" s="3">
        <f>COUNTIFS(B65:G65, "&gt;=10", B65:G65, "&lt;=19")</f>
        <v>3</v>
      </c>
      <c r="BM65" s="3">
        <f>COUNTIFS(B65:G65, "&gt;=20", B65:G65, "&lt;=29")</f>
        <v>0</v>
      </c>
      <c r="BN65" s="3">
        <f>COUNTIFS(B65:G65, "&gt;=30", B65:G65, "&lt;=39")</f>
        <v>0</v>
      </c>
      <c r="BO65" s="3">
        <f>COUNTIFS(B65:G65, "&gt;=40", B65:G65, "&lt;=45")</f>
        <v>2</v>
      </c>
      <c r="BP65" s="28" t="e">
        <f>#REF!</f>
        <v>#REF!</v>
      </c>
      <c r="BQ65" s="28" t="e">
        <f>#REF!*2</f>
        <v>#REF!</v>
      </c>
      <c r="BR65" s="28" t="e">
        <f>#REF!</f>
        <v>#REF!</v>
      </c>
      <c r="BS65" s="28" t="e">
        <f>#REF!*2</f>
        <v>#REF!</v>
      </c>
      <c r="BT65" s="28" t="e">
        <f>#REF!</f>
        <v>#REF!</v>
      </c>
      <c r="BU65" s="28" t="e">
        <f>#REF!*2</f>
        <v>#REF!</v>
      </c>
      <c r="BV65" s="28" t="e">
        <f>#REF!</f>
        <v>#REF!</v>
      </c>
      <c r="BW65" s="28" t="e">
        <f>#REF!*2</f>
        <v>#REF!</v>
      </c>
      <c r="BX65" s="28" t="e">
        <f>#REF!</f>
        <v>#REF!</v>
      </c>
      <c r="BY65" s="28" t="e">
        <f>#REF!*2</f>
        <v>#REF!</v>
      </c>
      <c r="BZ65" s="28" t="e">
        <f>#REF!</f>
        <v>#REF!</v>
      </c>
      <c r="CA65" s="28" t="e">
        <f>#REF!*2</f>
        <v>#REF!</v>
      </c>
      <c r="CB65" s="9">
        <f>C65-B65</f>
        <v>5</v>
      </c>
      <c r="CC65" s="9">
        <f>D65-C65</f>
        <v>6</v>
      </c>
      <c r="CD65" s="9">
        <f>E65-D65</f>
        <v>2</v>
      </c>
      <c r="CE65" s="9">
        <f>F65-E65</f>
        <v>21</v>
      </c>
      <c r="CF65" s="9">
        <f>G65-F65</f>
        <v>3</v>
      </c>
      <c r="CG65" s="33"/>
      <c r="CH65" s="9">
        <f>C65-B65</f>
        <v>5</v>
      </c>
      <c r="CI65" s="9">
        <f>D65-C65</f>
        <v>6</v>
      </c>
      <c r="CJ65" s="9">
        <f>E65-D65</f>
        <v>2</v>
      </c>
      <c r="CK65" s="9">
        <f>F65-E65</f>
        <v>21</v>
      </c>
      <c r="CL65" s="9">
        <f>G65-F65</f>
        <v>3</v>
      </c>
      <c r="CM65" s="32"/>
      <c r="CN65" s="3">
        <f>IF(OR(CH65="",ISBLANK(CH65),CH65=0),0,IF(MOD(CH65,2)=1,1,2))</f>
        <v>1</v>
      </c>
      <c r="CO65" s="3">
        <f>IF(OR(CI65="",ISBLANK(CI65),CI65=0),0,IF(MOD(CI65,2)=1,1,2))</f>
        <v>2</v>
      </c>
      <c r="CP65" s="3">
        <f>IF(OR(CJ65="",ISBLANK(CJ65),CJ65=0),0,IF(MOD(CJ65,2)=1,1,2))</f>
        <v>2</v>
      </c>
      <c r="CQ65" s="3">
        <f>IF(OR(CK65="",ISBLANK(CK65),CK65=0),0,IF(MOD(CK65,2)=1,1,2))</f>
        <v>1</v>
      </c>
      <c r="CR65" s="3">
        <f>IF(OR(CL65="",ISBLANK(CL65),CL65=0),0,IF(MOD(CL65,2)=1,1,2))</f>
        <v>1</v>
      </c>
      <c r="CS65" s="31"/>
      <c r="CT65" s="3" cm="1">
        <f t="array" ref="CT65">SUMPRODUCT(--(MOD(CH65:CL65,2)=1))</f>
        <v>3</v>
      </c>
      <c r="CU65" s="3">
        <f>5-CT65</f>
        <v>2</v>
      </c>
      <c r="CV65" s="30"/>
      <c r="CW65" s="3" cm="1">
        <f t="array" ref="CW65">SUMPRODUCT(--(MOD(CH65:CL65,10)&gt;=1), --(MOD(CH65:CL65,10)&lt;=5))</f>
        <v>4</v>
      </c>
      <c r="CX65" s="3">
        <f>5-CW65</f>
        <v>1</v>
      </c>
      <c r="CY65" s="30"/>
      <c r="CZ65" s="3" cm="1">
        <f t="array" ref="CZ65">IFERROR(COUNT(_xlfn._xlws.FILTER(CH65:CL65, ISNUMBER(MATCH(CH65:CL65, {2,3,5,7,11,13,17,19,23,29,31,37,41,43}, 0)))), 0)</f>
        <v>3</v>
      </c>
      <c r="DA65" s="3" cm="1">
        <f t="array" ref="DA65">IFERROR(COUNT(_xlfn._xlws.FILTER(CH65:CL65, ISNUMBER(MATCH(CH65:CL65, {1,4,8,10,14,16,20,22,25,26,28,32,34,35,38,40,44}, 0)))), 0)</f>
        <v>0</v>
      </c>
      <c r="DB65" s="3" cm="1">
        <f t="array" ref="DB65">IFERROR(COUNT(_xlfn._xlws.FILTER(CH65:CL65, ISNUMBER(MATCH(CH65:CL65, {6,9,12,15,18,21,24,27,30,33,36,39,42,45}, 0)))), 0)</f>
        <v>2</v>
      </c>
      <c r="DC65" s="29"/>
      <c r="DD65" s="28" t="e">
        <f>#REF!</f>
        <v>#REF!</v>
      </c>
      <c r="DE65" s="28" t="e">
        <f>#REF!*2</f>
        <v>#REF!</v>
      </c>
      <c r="DF65" s="28" t="e">
        <f>#REF!</f>
        <v>#REF!</v>
      </c>
      <c r="DG65" s="28" t="e">
        <f>#REF!*2</f>
        <v>#REF!</v>
      </c>
      <c r="DH65" s="28" t="e">
        <f>#REF!</f>
        <v>#REF!</v>
      </c>
      <c r="DI65" s="28" t="e">
        <f>#REF!*2</f>
        <v>#REF!</v>
      </c>
      <c r="DJ65" s="28" t="e">
        <f>#REF!</f>
        <v>#REF!</v>
      </c>
      <c r="DK65" s="28" t="e">
        <f>#REF!*2</f>
        <v>#REF!</v>
      </c>
      <c r="DL65" s="28" t="e">
        <f>#REF!</f>
        <v>#REF!</v>
      </c>
      <c r="DM65" s="28" t="e">
        <f>#REF!*2</f>
        <v>#REF!</v>
      </c>
      <c r="DN65" s="27"/>
      <c r="DO65" s="26" t="str" cm="1">
        <f t="array" ref="DO65">_xlfn.IFS(
   OR(CH65="",ISBLANK(CH65),CH65=0),0,
   ISNUMBER(MATCH(CH65,{2,3,5,7,11,13,17,19,23,29,31,37,41,43},0)),"소",
   AND(ISNUMBER(CH65),MOD(CH65,3)=0),"배",
   AND(ISNUMBER(CH65),CH65&gt;0),"자"
)</f>
        <v>소</v>
      </c>
      <c r="DP65" s="26" t="str" cm="1">
        <f t="array" ref="DP65">_xlfn.IFS(
   OR(CI65="",ISBLANK(CI65),CI65=0),0,
   ISNUMBER(MATCH(CI65,{2,3,5,7,11,13,17,19,23,29,31,37,41,43},0)),"소",
   AND(ISNUMBER(CI65),MOD(CI65,3)=0),"배",
   AND(ISNUMBER(CI65),CI65&gt;0),"자"
)</f>
        <v>배</v>
      </c>
      <c r="DQ65" s="26" t="str" cm="1">
        <f t="array" ref="DQ65">_xlfn.IFS(
   OR(CJ65="",ISBLANK(CJ65),CJ65=0),0,
   ISNUMBER(MATCH(CJ65,{2,3,5,7,11,13,17,19,23,29,31,37,41,43},0)),"소",
   AND(ISNUMBER(CJ65),MOD(CJ65,3)=0),"배",
   AND(ISNUMBER(CJ65),CJ65&gt;0),"자"
)</f>
        <v>소</v>
      </c>
      <c r="DR65" s="26" t="str" cm="1">
        <f t="array" ref="DR65">_xlfn.IFS(
   OR(CK65="",ISBLANK(CK65),CK65=0),0,
   ISNUMBER(MATCH(CK65,{2,3,5,7,11,13,17,19,23,29,31,37,41,43},0)),"소",
   AND(ISNUMBER(CK65),MOD(CK65,3)=0),"배",
   AND(ISNUMBER(CK65),CK65&gt;0),"자"
)</f>
        <v>배</v>
      </c>
      <c r="DS65" s="26" t="str" cm="1">
        <f t="array" ref="DS65">_xlfn.IFS(
   OR(CL65="",ISBLANK(CL65),CL65=0),0,
   ISNUMBER(MATCH(CL65,{2,3,5,7,11,13,17,19,23,29,31,37,41,43},0)),"소",
   AND(ISNUMBER(CL65),MOD(CL65,3)=0),"배",
   AND(ISNUMBER(CL65),CL65&gt;0),"자"
)</f>
        <v>소</v>
      </c>
      <c r="DT65" s="25"/>
    </row>
    <row r="66" spans="2:124" x14ac:dyDescent="0.3">
      <c r="B66" s="3">
        <v>7</v>
      </c>
      <c r="C66" s="3">
        <v>11</v>
      </c>
      <c r="D66" s="3">
        <v>24</v>
      </c>
      <c r="E66" s="3">
        <v>26</v>
      </c>
      <c r="F66" s="3">
        <v>27</v>
      </c>
      <c r="G66" s="3">
        <v>37</v>
      </c>
      <c r="H66" s="32"/>
      <c r="I66" s="3">
        <f>IF(OR(B66="",ISBLANK(B66),B66=0),0,IF(MOD(B66,2)=1,1,2))</f>
        <v>1</v>
      </c>
      <c r="J66" s="3">
        <f>IF(OR(C66="",ISBLANK(C66),C66=0),0,IF(MOD(C66,2)=1,1,2))</f>
        <v>1</v>
      </c>
      <c r="K66" s="3">
        <f>IF(OR(D66="",ISBLANK(D66),D66=0),0,IF(MOD(D66,2)=1,1,2))</f>
        <v>2</v>
      </c>
      <c r="L66" s="3">
        <f>IF(OR(E66="",ISBLANK(E66),E66=0),0,IF(MOD(E66,2)=1,1,2))</f>
        <v>2</v>
      </c>
      <c r="M66" s="3">
        <f>IF(OR(F66="",ISBLANK(F66),F66=0),0,IF(MOD(F66,2)=1,1,2))</f>
        <v>1</v>
      </c>
      <c r="N66" s="3">
        <f>IF(OR(G66="",ISBLANK(G66),G66=0),0,IF(MOD(G66,2)=1,1,2))</f>
        <v>1</v>
      </c>
      <c r="O66" s="32"/>
      <c r="P66" s="3" cm="1">
        <f t="array" ref="P66">SUMPRODUCT(--(MOD(B66:G66,2)=1))</f>
        <v>4</v>
      </c>
      <c r="Q66" s="3">
        <f>6-P66</f>
        <v>2</v>
      </c>
      <c r="R66" s="34"/>
      <c r="S66" s="3">
        <f>COUNTIFS(B66:G66,"&gt;=1",B66:G66,"&lt;=23")</f>
        <v>2</v>
      </c>
      <c r="T66" s="3">
        <f>6-S66</f>
        <v>4</v>
      </c>
      <c r="U66" s="34"/>
      <c r="V66" s="3" cm="1">
        <f t="array" ref="V66">SUMPRODUCT(--(MOD(B66:G66,10)&gt;=1), --(MOD(B66:G66,10)&lt;=5))</f>
        <v>2</v>
      </c>
      <c r="W66" s="3">
        <f>6-V66</f>
        <v>4</v>
      </c>
      <c r="X66" s="34"/>
      <c r="Y66" s="3" cm="1">
        <f t="array" ref="Y66">IFERROR(COUNT(_xlfn._xlws.FILTER(B66:G66, ISNUMBER(MATCH(B66:G66, {2,3,5,7,11,13,17,19,23,29,31,37,41,43}, 0)))), 0)</f>
        <v>3</v>
      </c>
      <c r="Z66" s="3" cm="1">
        <f t="array" ref="Z66">IFERROR(COUNT(_xlfn._xlws.FILTER(B66:G66, ISNUMBER(MATCH(B66:G66, {1,4,8,10,14,16,20,22,25,26,28,32,34,35,38,40,44}, 0)))), 0)</f>
        <v>1</v>
      </c>
      <c r="AA66" s="3" cm="1">
        <f t="array" ref="AA66">IFERROR(COUNT(_xlfn._xlws.FILTER(B66:G66, ISNUMBER(MATCH(B66:G66, {6,9,12,15,18,21,24,27,30,33,36,39,42,45}, 0)))), 0)</f>
        <v>2</v>
      </c>
      <c r="AB66" s="30"/>
      <c r="AC66" s="26" t="str" cm="1">
        <f t="array" ref="AC66">_xlfn.IFS(
   OR(B66="",ISBLANK(B66),B66=0),0,
   ISNUMBER(MATCH(B66,{2,3,5,7,11,13,17,19,23,29,31,37,41,43},0)),"소",
   AND(ISNUMBER(B66),MOD(B66,3)=0),"배",
   AND(ISNUMBER(B66),B66&gt;0),"자"
)</f>
        <v>소</v>
      </c>
      <c r="AD66" s="26" t="str" cm="1">
        <f t="array" ref="AD66">_xlfn.IFS(
   OR(C66="",ISBLANK(C66),C66=0),0,
   ISNUMBER(MATCH(C66,{2,3,5,7,11,13,17,19,23,29,31,37,41,43},0)),"소",
   AND(ISNUMBER(C66),MOD(C66,3)=0),"배",
   AND(ISNUMBER(C66),C66&gt;0),"자"
)</f>
        <v>소</v>
      </c>
      <c r="AE66" s="26" t="str" cm="1">
        <f t="array" ref="AE66">_xlfn.IFS(
   OR(D66="",ISBLANK(D66),D66=0),0,
   ISNUMBER(MATCH(D66,{2,3,5,7,11,13,17,19,23,29,31,37,41,43},0)),"소",
   AND(ISNUMBER(D66),MOD(D66,3)=0),"배",
   AND(ISNUMBER(D66),D66&gt;0),"자"
)</f>
        <v>배</v>
      </c>
      <c r="AF66" s="26" t="str" cm="1">
        <f t="array" ref="AF66">_xlfn.IFS(
   OR(E66="",ISBLANK(E66),E66=0),0,
   ISNUMBER(MATCH(E66,{2,3,5,7,11,13,17,19,23,29,31,37,41,43},0)),"소",
   AND(ISNUMBER(E66),MOD(E66,3)=0),"배",
   AND(ISNUMBER(E66),E66&gt;0),"자"
)</f>
        <v>자</v>
      </c>
      <c r="AG66" s="26" t="str" cm="1">
        <f t="array" ref="AG66">_xlfn.IFS(
   OR(F66="",ISBLANK(F66),F66=0),0,
   ISNUMBER(MATCH(F66,{2,3,5,7,11,13,17,19,23,29,31,37,41,43},0)),"소",
   AND(ISNUMBER(F66),MOD(F66,3)=0),"배",
   AND(ISNUMBER(F66),F66&gt;0),"자"
)</f>
        <v>배</v>
      </c>
      <c r="AH66" s="26" t="str" cm="1">
        <f t="array" ref="AH66">_xlfn.IFS(
   OR(G66="",ISBLANK(G66),G66=0),0,
   ISNUMBER(MATCH(G66,{2,3,5,7,11,13,17,19,23,29,31,37,41,43},0)),"소",
   AND(ISNUMBER(G66),MOD(G66,3)=0),"배",
   AND(ISNUMBER(G66),G66&gt;0),"자"
)</f>
        <v>소</v>
      </c>
      <c r="AI66" s="30"/>
      <c r="AJ66" s="3">
        <f>COUNTIFS(B66:G66,"&gt;=1",B66:G66,"&lt;=14")</f>
        <v>2</v>
      </c>
      <c r="AK66" s="3">
        <f>COUNTIFS(B66:G66,"&gt;=15",B66:G66,"&lt;=31")</f>
        <v>3</v>
      </c>
      <c r="AL66" s="3">
        <f>6-AK66-AJ66</f>
        <v>1</v>
      </c>
      <c r="AM66" s="33"/>
      <c r="AN66" s="3">
        <f>COUNTIFS($B66:$G66, "&gt;=1",$B66:$G66, "&lt;=9")</f>
        <v>1</v>
      </c>
      <c r="AO66" s="3">
        <f>COUNTIFS($B66:$G66, "&gt;=10",$B66:$G66, "&lt;=18")</f>
        <v>1</v>
      </c>
      <c r="AP66" s="3">
        <f>COUNTIFS($B66:$G66, "&gt;=19",$B66:$G66, "&lt;=27")</f>
        <v>3</v>
      </c>
      <c r="AQ66" s="3">
        <f>COUNTIFS($B66:$G66, "&gt;=28",$B66:$G66, "&lt;=36")</f>
        <v>0</v>
      </c>
      <c r="AR66" s="3">
        <f>COUNTIFS($B66:$G66, "&gt;=37",$B66:$G66, "&lt;=45")</f>
        <v>1</v>
      </c>
      <c r="AS66" s="28" t="e">
        <f>#REF!</f>
        <v>#REF!</v>
      </c>
      <c r="AT66" s="28" t="e">
        <f>#REF!*2</f>
        <v>#REF!</v>
      </c>
      <c r="AU66" s="28" t="e">
        <f>#REF!</f>
        <v>#REF!</v>
      </c>
      <c r="AV66" s="28" t="e">
        <f>#REF!*2</f>
        <v>#REF!</v>
      </c>
      <c r="AW66" s="28" t="e">
        <f>#REF!</f>
        <v>#REF!</v>
      </c>
      <c r="AX66" s="28" t="e">
        <f>#REF!*2</f>
        <v>#REF!</v>
      </c>
      <c r="AY66" s="28" t="e">
        <f>#REF!</f>
        <v>#REF!</v>
      </c>
      <c r="AZ66" s="28" t="e">
        <f>#REF!*2</f>
        <v>#REF!</v>
      </c>
      <c r="BA66" s="28" t="e">
        <f>#REF!</f>
        <v>#REF!</v>
      </c>
      <c r="BB66" s="28" t="e">
        <f>#REF!*2</f>
        <v>#REF!</v>
      </c>
      <c r="BC66" s="28" t="e">
        <f>#REF!</f>
        <v>#REF!</v>
      </c>
      <c r="BD66" s="28" t="e">
        <f>#REF!*2</f>
        <v>#REF!</v>
      </c>
      <c r="BE66" s="9" t="e">
        <f>#REF!-#REF!</f>
        <v>#REF!</v>
      </c>
      <c r="BF66" s="9" t="e">
        <f>#REF!-#REF!</f>
        <v>#REF!</v>
      </c>
      <c r="BG66" s="9" t="e">
        <f>#REF!-#REF!</f>
        <v>#REF!</v>
      </c>
      <c r="BH66" s="9" t="e">
        <f>#REF!-#REF!</f>
        <v>#REF!</v>
      </c>
      <c r="BI66" s="9" t="e">
        <f>#REF!-#REF!</f>
        <v>#REF!</v>
      </c>
      <c r="BJ66" s="33"/>
      <c r="BK66" s="3">
        <f>COUNTIFS(B66:G66, "&gt;=1", B66:G66, "&lt;=9")</f>
        <v>1</v>
      </c>
      <c r="BL66" s="3">
        <f>COUNTIFS(B66:G66, "&gt;=10", B66:G66, "&lt;=19")</f>
        <v>1</v>
      </c>
      <c r="BM66" s="3">
        <f>COUNTIFS(B66:G66, "&gt;=20", B66:G66, "&lt;=29")</f>
        <v>3</v>
      </c>
      <c r="BN66" s="3">
        <f>COUNTIFS(B66:G66, "&gt;=30", B66:G66, "&lt;=39")</f>
        <v>1</v>
      </c>
      <c r="BO66" s="3">
        <f>COUNTIFS(B66:G66, "&gt;=40", B66:G66, "&lt;=45")</f>
        <v>0</v>
      </c>
      <c r="BP66" s="28" t="e">
        <f>#REF!</f>
        <v>#REF!</v>
      </c>
      <c r="BQ66" s="28" t="e">
        <f>#REF!*2</f>
        <v>#REF!</v>
      </c>
      <c r="BR66" s="28" t="e">
        <f>#REF!</f>
        <v>#REF!</v>
      </c>
      <c r="BS66" s="28" t="e">
        <f>#REF!*2</f>
        <v>#REF!</v>
      </c>
      <c r="BT66" s="28" t="e">
        <f>#REF!</f>
        <v>#REF!</v>
      </c>
      <c r="BU66" s="28" t="e">
        <f>#REF!*2</f>
        <v>#REF!</v>
      </c>
      <c r="BV66" s="28" t="e">
        <f>#REF!</f>
        <v>#REF!</v>
      </c>
      <c r="BW66" s="28" t="e">
        <f>#REF!*2</f>
        <v>#REF!</v>
      </c>
      <c r="BX66" s="28" t="e">
        <f>#REF!</f>
        <v>#REF!</v>
      </c>
      <c r="BY66" s="28" t="e">
        <f>#REF!*2</f>
        <v>#REF!</v>
      </c>
      <c r="BZ66" s="28" t="e">
        <f>#REF!</f>
        <v>#REF!</v>
      </c>
      <c r="CA66" s="28" t="e">
        <f>#REF!*2</f>
        <v>#REF!</v>
      </c>
      <c r="CB66" s="9">
        <f>C66-B66</f>
        <v>4</v>
      </c>
      <c r="CC66" s="9">
        <f>D66-C66</f>
        <v>13</v>
      </c>
      <c r="CD66" s="9">
        <f>E66-D66</f>
        <v>2</v>
      </c>
      <c r="CE66" s="9">
        <f>F66-E66</f>
        <v>1</v>
      </c>
      <c r="CF66" s="9">
        <f>G66-F66</f>
        <v>10</v>
      </c>
      <c r="CG66" s="33"/>
      <c r="CH66" s="9">
        <f>C66-B66</f>
        <v>4</v>
      </c>
      <c r="CI66" s="9">
        <f>D66-C66</f>
        <v>13</v>
      </c>
      <c r="CJ66" s="9">
        <f>E66-D66</f>
        <v>2</v>
      </c>
      <c r="CK66" s="9">
        <f>F66-E66</f>
        <v>1</v>
      </c>
      <c r="CL66" s="9">
        <f>G66-F66</f>
        <v>10</v>
      </c>
      <c r="CM66" s="32"/>
      <c r="CN66" s="3">
        <f>IF(OR(CH66="",ISBLANK(CH66),CH66=0),0,IF(MOD(CH66,2)=1,1,2))</f>
        <v>2</v>
      </c>
      <c r="CO66" s="3">
        <f>IF(OR(CI66="",ISBLANK(CI66),CI66=0),0,IF(MOD(CI66,2)=1,1,2))</f>
        <v>1</v>
      </c>
      <c r="CP66" s="3">
        <f>IF(OR(CJ66="",ISBLANK(CJ66),CJ66=0),0,IF(MOD(CJ66,2)=1,1,2))</f>
        <v>2</v>
      </c>
      <c r="CQ66" s="3">
        <f>IF(OR(CK66="",ISBLANK(CK66),CK66=0),0,IF(MOD(CK66,2)=1,1,2))</f>
        <v>1</v>
      </c>
      <c r="CR66" s="3">
        <f>IF(OR(CL66="",ISBLANK(CL66),CL66=0),0,IF(MOD(CL66,2)=1,1,2))</f>
        <v>2</v>
      </c>
      <c r="CS66" s="31"/>
      <c r="CT66" s="3" cm="1">
        <f t="array" ref="CT66">SUMPRODUCT(--(MOD(CH66:CL66,2)=1))</f>
        <v>2</v>
      </c>
      <c r="CU66" s="3">
        <f>5-CT66</f>
        <v>3</v>
      </c>
      <c r="CV66" s="30"/>
      <c r="CW66" s="3" cm="1">
        <f t="array" ref="CW66">SUMPRODUCT(--(MOD(CH66:CL66,10)&gt;=1), --(MOD(CH66:CL66,10)&lt;=5))</f>
        <v>4</v>
      </c>
      <c r="CX66" s="3">
        <f>5-CW66</f>
        <v>1</v>
      </c>
      <c r="CY66" s="30"/>
      <c r="CZ66" s="3" cm="1">
        <f t="array" ref="CZ66">IFERROR(COUNT(_xlfn._xlws.FILTER(CH66:CL66, ISNUMBER(MATCH(CH66:CL66, {2,3,5,7,11,13,17,19,23,29,31,37,41,43}, 0)))), 0)</f>
        <v>2</v>
      </c>
      <c r="DA66" s="3" cm="1">
        <f t="array" ref="DA66">IFERROR(COUNT(_xlfn._xlws.FILTER(CH66:CL66, ISNUMBER(MATCH(CH66:CL66, {1,4,8,10,14,16,20,22,25,26,28,32,34,35,38,40,44}, 0)))), 0)</f>
        <v>3</v>
      </c>
      <c r="DB66" s="3" cm="1">
        <f t="array" ref="DB66">IFERROR(COUNT(_xlfn._xlws.FILTER(CH66:CL66, ISNUMBER(MATCH(CH66:CL66, {6,9,12,15,18,21,24,27,30,33,36,39,42,45}, 0)))), 0)</f>
        <v>0</v>
      </c>
      <c r="DC66" s="29"/>
      <c r="DD66" s="28" t="e">
        <f>#REF!</f>
        <v>#REF!</v>
      </c>
      <c r="DE66" s="28" t="e">
        <f>#REF!*2</f>
        <v>#REF!</v>
      </c>
      <c r="DF66" s="28" t="e">
        <f>#REF!</f>
        <v>#REF!</v>
      </c>
      <c r="DG66" s="28" t="e">
        <f>#REF!*2</f>
        <v>#REF!</v>
      </c>
      <c r="DH66" s="28" t="e">
        <f>#REF!</f>
        <v>#REF!</v>
      </c>
      <c r="DI66" s="28" t="e">
        <f>#REF!*2</f>
        <v>#REF!</v>
      </c>
      <c r="DJ66" s="28" t="e">
        <f>#REF!</f>
        <v>#REF!</v>
      </c>
      <c r="DK66" s="28" t="e">
        <f>#REF!*2</f>
        <v>#REF!</v>
      </c>
      <c r="DL66" s="28" t="e">
        <f>#REF!</f>
        <v>#REF!</v>
      </c>
      <c r="DM66" s="28" t="e">
        <f>#REF!*2</f>
        <v>#REF!</v>
      </c>
      <c r="DN66" s="27"/>
      <c r="DO66" s="26" t="str" cm="1">
        <f t="array" ref="DO66">_xlfn.IFS(
   OR(CH66="",ISBLANK(CH66),CH66=0),0,
   ISNUMBER(MATCH(CH66,{2,3,5,7,11,13,17,19,23,29,31,37,41,43},0)),"소",
   AND(ISNUMBER(CH66),MOD(CH66,3)=0),"배",
   AND(ISNUMBER(CH66),CH66&gt;0),"자"
)</f>
        <v>자</v>
      </c>
      <c r="DP66" s="26" t="str" cm="1">
        <f t="array" ref="DP66">_xlfn.IFS(
   OR(CI66="",ISBLANK(CI66),CI66=0),0,
   ISNUMBER(MATCH(CI66,{2,3,5,7,11,13,17,19,23,29,31,37,41,43},0)),"소",
   AND(ISNUMBER(CI66),MOD(CI66,3)=0),"배",
   AND(ISNUMBER(CI66),CI66&gt;0),"자"
)</f>
        <v>소</v>
      </c>
      <c r="DQ66" s="26" t="str" cm="1">
        <f t="array" ref="DQ66">_xlfn.IFS(
   OR(CJ66="",ISBLANK(CJ66),CJ66=0),0,
   ISNUMBER(MATCH(CJ66,{2,3,5,7,11,13,17,19,23,29,31,37,41,43},0)),"소",
   AND(ISNUMBER(CJ66),MOD(CJ66,3)=0),"배",
   AND(ISNUMBER(CJ66),CJ66&gt;0),"자"
)</f>
        <v>소</v>
      </c>
      <c r="DR66" s="26" t="str" cm="1">
        <f t="array" ref="DR66">_xlfn.IFS(
   OR(CK66="",ISBLANK(CK66),CK66=0),0,
   ISNUMBER(MATCH(CK66,{2,3,5,7,11,13,17,19,23,29,31,37,41,43},0)),"소",
   AND(ISNUMBER(CK66),MOD(CK66,3)=0),"배",
   AND(ISNUMBER(CK66),CK66&gt;0),"자"
)</f>
        <v>자</v>
      </c>
      <c r="DS66" s="26" t="str" cm="1">
        <f t="array" ref="DS66">_xlfn.IFS(
   OR(CL66="",ISBLANK(CL66),CL66=0),0,
   ISNUMBER(MATCH(CL66,{2,3,5,7,11,13,17,19,23,29,31,37,41,43},0)),"소",
   AND(ISNUMBER(CL66),MOD(CL66,3)=0),"배",
   AND(ISNUMBER(CL66),CL66&gt;0),"자"
)</f>
        <v>자</v>
      </c>
      <c r="DT66" s="25"/>
    </row>
    <row r="67" spans="2:124" x14ac:dyDescent="0.3">
      <c r="B67" s="3">
        <v>3</v>
      </c>
      <c r="C67" s="3">
        <v>6</v>
      </c>
      <c r="D67" s="3">
        <v>13</v>
      </c>
      <c r="E67" s="3">
        <v>15</v>
      </c>
      <c r="F67" s="3">
        <v>16</v>
      </c>
      <c r="G67" s="3">
        <v>22</v>
      </c>
      <c r="H67" s="32"/>
      <c r="I67" s="3">
        <f>IF(OR(B67="",ISBLANK(B67),B67=0),0,IF(MOD(B67,2)=1,1,2))</f>
        <v>1</v>
      </c>
      <c r="J67" s="3">
        <f>IF(OR(C67="",ISBLANK(C67),C67=0),0,IF(MOD(C67,2)=1,1,2))</f>
        <v>2</v>
      </c>
      <c r="K67" s="3">
        <f>IF(OR(D67="",ISBLANK(D67),D67=0),0,IF(MOD(D67,2)=1,1,2))</f>
        <v>1</v>
      </c>
      <c r="L67" s="3">
        <f>IF(OR(E67="",ISBLANK(E67),E67=0),0,IF(MOD(E67,2)=1,1,2))</f>
        <v>1</v>
      </c>
      <c r="M67" s="3">
        <f>IF(OR(F67="",ISBLANK(F67),F67=0),0,IF(MOD(F67,2)=1,1,2))</f>
        <v>2</v>
      </c>
      <c r="N67" s="3">
        <f>IF(OR(G67="",ISBLANK(G67),G67=0),0,IF(MOD(G67,2)=1,1,2))</f>
        <v>2</v>
      </c>
      <c r="O67" s="32"/>
      <c r="P67" s="3" cm="1">
        <f t="array" ref="P67">SUMPRODUCT(--(MOD(B67:G67,2)=1))</f>
        <v>3</v>
      </c>
      <c r="Q67" s="3">
        <f>6-P67</f>
        <v>3</v>
      </c>
      <c r="R67" s="34"/>
      <c r="S67" s="3">
        <f>COUNTIFS(B67:G67,"&gt;=1",B67:G67,"&lt;=23")</f>
        <v>6</v>
      </c>
      <c r="T67" s="3">
        <f>6-S67</f>
        <v>0</v>
      </c>
      <c r="U67" s="34"/>
      <c r="V67" s="3" cm="1">
        <f t="array" ref="V67">SUMPRODUCT(--(MOD(B67:G67,10)&gt;=1), --(MOD(B67:G67,10)&lt;=5))</f>
        <v>4</v>
      </c>
      <c r="W67" s="3">
        <f>6-V67</f>
        <v>2</v>
      </c>
      <c r="X67" s="34"/>
      <c r="Y67" s="3" cm="1">
        <f t="array" ref="Y67">IFERROR(COUNT(_xlfn._xlws.FILTER(B67:G67, ISNUMBER(MATCH(B67:G67, {2,3,5,7,11,13,17,19,23,29,31,37,41,43}, 0)))), 0)</f>
        <v>2</v>
      </c>
      <c r="Z67" s="3" cm="1">
        <f t="array" ref="Z67">IFERROR(COUNT(_xlfn._xlws.FILTER(B67:G67, ISNUMBER(MATCH(B67:G67, {1,4,8,10,14,16,20,22,25,26,28,32,34,35,38,40,44}, 0)))), 0)</f>
        <v>2</v>
      </c>
      <c r="AA67" s="3" cm="1">
        <f t="array" ref="AA67">IFERROR(COUNT(_xlfn._xlws.FILTER(B67:G67, ISNUMBER(MATCH(B67:G67, {6,9,12,15,18,21,24,27,30,33,36,39,42,45}, 0)))), 0)</f>
        <v>2</v>
      </c>
      <c r="AB67" s="30"/>
      <c r="AC67" s="26" t="str" cm="1">
        <f t="array" ref="AC67">_xlfn.IFS(
   OR(B67="",ISBLANK(B67),B67=0),0,
   ISNUMBER(MATCH(B67,{2,3,5,7,11,13,17,19,23,29,31,37,41,43},0)),"소",
   AND(ISNUMBER(B67),MOD(B67,3)=0),"배",
   AND(ISNUMBER(B67),B67&gt;0),"자"
)</f>
        <v>소</v>
      </c>
      <c r="AD67" s="26" t="str" cm="1">
        <f t="array" ref="AD67">_xlfn.IFS(
   OR(C67="",ISBLANK(C67),C67=0),0,
   ISNUMBER(MATCH(C67,{2,3,5,7,11,13,17,19,23,29,31,37,41,43},0)),"소",
   AND(ISNUMBER(C67),MOD(C67,3)=0),"배",
   AND(ISNUMBER(C67),C67&gt;0),"자"
)</f>
        <v>배</v>
      </c>
      <c r="AE67" s="26" t="str" cm="1">
        <f t="array" ref="AE67">_xlfn.IFS(
   OR(D67="",ISBLANK(D67),D67=0),0,
   ISNUMBER(MATCH(D67,{2,3,5,7,11,13,17,19,23,29,31,37,41,43},0)),"소",
   AND(ISNUMBER(D67),MOD(D67,3)=0),"배",
   AND(ISNUMBER(D67),D67&gt;0),"자"
)</f>
        <v>소</v>
      </c>
      <c r="AF67" s="26" t="str" cm="1">
        <f t="array" ref="AF67">_xlfn.IFS(
   OR(E67="",ISBLANK(E67),E67=0),0,
   ISNUMBER(MATCH(E67,{2,3,5,7,11,13,17,19,23,29,31,37,41,43},0)),"소",
   AND(ISNUMBER(E67),MOD(E67,3)=0),"배",
   AND(ISNUMBER(E67),E67&gt;0),"자"
)</f>
        <v>배</v>
      </c>
      <c r="AG67" s="26" t="str" cm="1">
        <f t="array" ref="AG67">_xlfn.IFS(
   OR(F67="",ISBLANK(F67),F67=0),0,
   ISNUMBER(MATCH(F67,{2,3,5,7,11,13,17,19,23,29,31,37,41,43},0)),"소",
   AND(ISNUMBER(F67),MOD(F67,3)=0),"배",
   AND(ISNUMBER(F67),F67&gt;0),"자"
)</f>
        <v>자</v>
      </c>
      <c r="AH67" s="26" t="str" cm="1">
        <f t="array" ref="AH67">_xlfn.IFS(
   OR(G67="",ISBLANK(G67),G67=0),0,
   ISNUMBER(MATCH(G67,{2,3,5,7,11,13,17,19,23,29,31,37,41,43},0)),"소",
   AND(ISNUMBER(G67),MOD(G67,3)=0),"배",
   AND(ISNUMBER(G67),G67&gt;0),"자"
)</f>
        <v>자</v>
      </c>
      <c r="AI67" s="30"/>
      <c r="AJ67" s="3">
        <f>COUNTIFS(B67:G67,"&gt;=1",B67:G67,"&lt;=14")</f>
        <v>3</v>
      </c>
      <c r="AK67" s="3">
        <f>COUNTIFS(B67:G67,"&gt;=15",B67:G67,"&lt;=31")</f>
        <v>3</v>
      </c>
      <c r="AL67" s="3">
        <f>6-AK67-AJ67</f>
        <v>0</v>
      </c>
      <c r="AM67" s="33"/>
      <c r="AN67" s="3">
        <f>COUNTIFS($B67:$G67, "&gt;=1",$B67:$G67, "&lt;=9")</f>
        <v>2</v>
      </c>
      <c r="AO67" s="3">
        <f>COUNTIFS($B67:$G67, "&gt;=10",$B67:$G67, "&lt;=18")</f>
        <v>3</v>
      </c>
      <c r="AP67" s="3">
        <f>COUNTIFS($B67:$G67, "&gt;=19",$B67:$G67, "&lt;=27")</f>
        <v>1</v>
      </c>
      <c r="AQ67" s="3">
        <f>COUNTIFS($B67:$G67, "&gt;=28",$B67:$G67, "&lt;=36")</f>
        <v>0</v>
      </c>
      <c r="AR67" s="3">
        <f>COUNTIFS($B67:$G67, "&gt;=37",$B67:$G67, "&lt;=45")</f>
        <v>0</v>
      </c>
      <c r="AS67" s="28" t="e">
        <f>#REF!</f>
        <v>#REF!</v>
      </c>
      <c r="AT67" s="28" t="e">
        <f>#REF!*2</f>
        <v>#REF!</v>
      </c>
      <c r="AU67" s="28" t="e">
        <f>#REF!</f>
        <v>#REF!</v>
      </c>
      <c r="AV67" s="28" t="e">
        <f>#REF!*2</f>
        <v>#REF!</v>
      </c>
      <c r="AW67" s="28" t="e">
        <f>#REF!</f>
        <v>#REF!</v>
      </c>
      <c r="AX67" s="28" t="e">
        <f>#REF!*2</f>
        <v>#REF!</v>
      </c>
      <c r="AY67" s="28" t="e">
        <f>#REF!</f>
        <v>#REF!</v>
      </c>
      <c r="AZ67" s="28" t="e">
        <f>#REF!*2</f>
        <v>#REF!</v>
      </c>
      <c r="BA67" s="28" t="e">
        <f>#REF!</f>
        <v>#REF!</v>
      </c>
      <c r="BB67" s="28" t="e">
        <f>#REF!*2</f>
        <v>#REF!</v>
      </c>
      <c r="BC67" s="28" t="e">
        <f>#REF!</f>
        <v>#REF!</v>
      </c>
      <c r="BD67" s="28" t="e">
        <f>#REF!*2</f>
        <v>#REF!</v>
      </c>
      <c r="BE67" s="9" t="e">
        <f>#REF!-#REF!</f>
        <v>#REF!</v>
      </c>
      <c r="BF67" s="9" t="e">
        <f>#REF!-#REF!</f>
        <v>#REF!</v>
      </c>
      <c r="BG67" s="9" t="e">
        <f>#REF!-#REF!</f>
        <v>#REF!</v>
      </c>
      <c r="BH67" s="9" t="e">
        <f>#REF!-#REF!</f>
        <v>#REF!</v>
      </c>
      <c r="BI67" s="9" t="e">
        <f>#REF!-#REF!</f>
        <v>#REF!</v>
      </c>
      <c r="BJ67" s="33"/>
      <c r="BK67" s="3">
        <f>COUNTIFS(B67:G67, "&gt;=1", B67:G67, "&lt;=9")</f>
        <v>2</v>
      </c>
      <c r="BL67" s="3">
        <f>COUNTIFS(B67:G67, "&gt;=10", B67:G67, "&lt;=19")</f>
        <v>3</v>
      </c>
      <c r="BM67" s="3">
        <f>COUNTIFS(B67:G67, "&gt;=20", B67:G67, "&lt;=29")</f>
        <v>1</v>
      </c>
      <c r="BN67" s="3">
        <f>COUNTIFS(B67:G67, "&gt;=30", B67:G67, "&lt;=39")</f>
        <v>0</v>
      </c>
      <c r="BO67" s="3">
        <f>COUNTIFS(B67:G67, "&gt;=40", B67:G67, "&lt;=45")</f>
        <v>0</v>
      </c>
      <c r="BP67" s="28" t="e">
        <f>#REF!</f>
        <v>#REF!</v>
      </c>
      <c r="BQ67" s="28" t="e">
        <f>#REF!*2</f>
        <v>#REF!</v>
      </c>
      <c r="BR67" s="28" t="e">
        <f>#REF!</f>
        <v>#REF!</v>
      </c>
      <c r="BS67" s="28" t="e">
        <f>#REF!*2</f>
        <v>#REF!</v>
      </c>
      <c r="BT67" s="28" t="e">
        <f>#REF!</f>
        <v>#REF!</v>
      </c>
      <c r="BU67" s="28" t="e">
        <f>#REF!*2</f>
        <v>#REF!</v>
      </c>
      <c r="BV67" s="28" t="e">
        <f>#REF!</f>
        <v>#REF!</v>
      </c>
      <c r="BW67" s="28" t="e">
        <f>#REF!*2</f>
        <v>#REF!</v>
      </c>
      <c r="BX67" s="28" t="e">
        <f>#REF!</f>
        <v>#REF!</v>
      </c>
      <c r="BY67" s="28" t="e">
        <f>#REF!*2</f>
        <v>#REF!</v>
      </c>
      <c r="BZ67" s="28" t="e">
        <f>#REF!</f>
        <v>#REF!</v>
      </c>
      <c r="CA67" s="28" t="e">
        <f>#REF!*2</f>
        <v>#REF!</v>
      </c>
      <c r="CB67" s="9">
        <f>C67-B67</f>
        <v>3</v>
      </c>
      <c r="CC67" s="9">
        <f>D67-C67</f>
        <v>7</v>
      </c>
      <c r="CD67" s="9">
        <f>E67-D67</f>
        <v>2</v>
      </c>
      <c r="CE67" s="9">
        <f>F67-E67</f>
        <v>1</v>
      </c>
      <c r="CF67" s="9">
        <f>G67-F67</f>
        <v>6</v>
      </c>
      <c r="CG67" s="33"/>
      <c r="CH67" s="9">
        <f>C67-B67</f>
        <v>3</v>
      </c>
      <c r="CI67" s="9">
        <f>D67-C67</f>
        <v>7</v>
      </c>
      <c r="CJ67" s="9">
        <f>E67-D67</f>
        <v>2</v>
      </c>
      <c r="CK67" s="9">
        <f>F67-E67</f>
        <v>1</v>
      </c>
      <c r="CL67" s="9">
        <f>G67-F67</f>
        <v>6</v>
      </c>
      <c r="CM67" s="32"/>
      <c r="CN67" s="3">
        <f>IF(OR(CH67="",ISBLANK(CH67),CH67=0),0,IF(MOD(CH67,2)=1,1,2))</f>
        <v>1</v>
      </c>
      <c r="CO67" s="3">
        <f>IF(OR(CI67="",ISBLANK(CI67),CI67=0),0,IF(MOD(CI67,2)=1,1,2))</f>
        <v>1</v>
      </c>
      <c r="CP67" s="3">
        <f>IF(OR(CJ67="",ISBLANK(CJ67),CJ67=0),0,IF(MOD(CJ67,2)=1,1,2))</f>
        <v>2</v>
      </c>
      <c r="CQ67" s="3">
        <f>IF(OR(CK67="",ISBLANK(CK67),CK67=0),0,IF(MOD(CK67,2)=1,1,2))</f>
        <v>1</v>
      </c>
      <c r="CR67" s="3">
        <f>IF(OR(CL67="",ISBLANK(CL67),CL67=0),0,IF(MOD(CL67,2)=1,1,2))</f>
        <v>2</v>
      </c>
      <c r="CS67" s="31"/>
      <c r="CT67" s="3" cm="1">
        <f t="array" ref="CT67">SUMPRODUCT(--(MOD(CH67:CL67,2)=1))</f>
        <v>3</v>
      </c>
      <c r="CU67" s="3">
        <f>5-CT67</f>
        <v>2</v>
      </c>
      <c r="CV67" s="30"/>
      <c r="CW67" s="3" cm="1">
        <f t="array" ref="CW67">SUMPRODUCT(--(MOD(CH67:CL67,10)&gt;=1), --(MOD(CH67:CL67,10)&lt;=5))</f>
        <v>3</v>
      </c>
      <c r="CX67" s="3">
        <f>5-CW67</f>
        <v>2</v>
      </c>
      <c r="CY67" s="30"/>
      <c r="CZ67" s="3" cm="1">
        <f t="array" ref="CZ67">IFERROR(COUNT(_xlfn._xlws.FILTER(CH67:CL67, ISNUMBER(MATCH(CH67:CL67, {2,3,5,7,11,13,17,19,23,29,31,37,41,43}, 0)))), 0)</f>
        <v>3</v>
      </c>
      <c r="DA67" s="3" cm="1">
        <f t="array" ref="DA67">IFERROR(COUNT(_xlfn._xlws.FILTER(CH67:CL67, ISNUMBER(MATCH(CH67:CL67, {1,4,8,10,14,16,20,22,25,26,28,32,34,35,38,40,44}, 0)))), 0)</f>
        <v>1</v>
      </c>
      <c r="DB67" s="3" cm="1">
        <f t="array" ref="DB67">IFERROR(COUNT(_xlfn._xlws.FILTER(CH67:CL67, ISNUMBER(MATCH(CH67:CL67, {6,9,12,15,18,21,24,27,30,33,36,39,42,45}, 0)))), 0)</f>
        <v>1</v>
      </c>
      <c r="DC67" s="29"/>
      <c r="DD67" s="28" t="e">
        <f>#REF!</f>
        <v>#REF!</v>
      </c>
      <c r="DE67" s="28" t="e">
        <f>#REF!*2</f>
        <v>#REF!</v>
      </c>
      <c r="DF67" s="28" t="e">
        <f>#REF!</f>
        <v>#REF!</v>
      </c>
      <c r="DG67" s="28" t="e">
        <f>#REF!*2</f>
        <v>#REF!</v>
      </c>
      <c r="DH67" s="28" t="e">
        <f>#REF!</f>
        <v>#REF!</v>
      </c>
      <c r="DI67" s="28" t="e">
        <f>#REF!*2</f>
        <v>#REF!</v>
      </c>
      <c r="DJ67" s="28" t="e">
        <f>#REF!</f>
        <v>#REF!</v>
      </c>
      <c r="DK67" s="28" t="e">
        <f>#REF!*2</f>
        <v>#REF!</v>
      </c>
      <c r="DL67" s="28" t="e">
        <f>#REF!</f>
        <v>#REF!</v>
      </c>
      <c r="DM67" s="28" t="e">
        <f>#REF!*2</f>
        <v>#REF!</v>
      </c>
      <c r="DN67" s="27"/>
      <c r="DO67" s="26" t="str" cm="1">
        <f t="array" ref="DO67">_xlfn.IFS(
   OR(CH67="",ISBLANK(CH67),CH67=0),0,
   ISNUMBER(MATCH(CH67,{2,3,5,7,11,13,17,19,23,29,31,37,41,43},0)),"소",
   AND(ISNUMBER(CH67),MOD(CH67,3)=0),"배",
   AND(ISNUMBER(CH67),CH67&gt;0),"자"
)</f>
        <v>소</v>
      </c>
      <c r="DP67" s="26" t="str" cm="1">
        <f t="array" ref="DP67">_xlfn.IFS(
   OR(CI67="",ISBLANK(CI67),CI67=0),0,
   ISNUMBER(MATCH(CI67,{2,3,5,7,11,13,17,19,23,29,31,37,41,43},0)),"소",
   AND(ISNUMBER(CI67),MOD(CI67,3)=0),"배",
   AND(ISNUMBER(CI67),CI67&gt;0),"자"
)</f>
        <v>소</v>
      </c>
      <c r="DQ67" s="26" t="str" cm="1">
        <f t="array" ref="DQ67">_xlfn.IFS(
   OR(CJ67="",ISBLANK(CJ67),CJ67=0),0,
   ISNUMBER(MATCH(CJ67,{2,3,5,7,11,13,17,19,23,29,31,37,41,43},0)),"소",
   AND(ISNUMBER(CJ67),MOD(CJ67,3)=0),"배",
   AND(ISNUMBER(CJ67),CJ67&gt;0),"자"
)</f>
        <v>소</v>
      </c>
      <c r="DR67" s="26" t="str" cm="1">
        <f t="array" ref="DR67">_xlfn.IFS(
   OR(CK67="",ISBLANK(CK67),CK67=0),0,
   ISNUMBER(MATCH(CK67,{2,3,5,7,11,13,17,19,23,29,31,37,41,43},0)),"소",
   AND(ISNUMBER(CK67),MOD(CK67,3)=0),"배",
   AND(ISNUMBER(CK67),CK67&gt;0),"자"
)</f>
        <v>자</v>
      </c>
      <c r="DS67" s="26" t="str" cm="1">
        <f t="array" ref="DS67">_xlfn.IFS(
   OR(CL67="",ISBLANK(CL67),CL67=0),0,
   ISNUMBER(MATCH(CL67,{2,3,5,7,11,13,17,19,23,29,31,37,41,43},0)),"소",
   AND(ISNUMBER(CL67),MOD(CL67,3)=0),"배",
   AND(ISNUMBER(CL67),CL67&gt;0),"자"
)</f>
        <v>배</v>
      </c>
      <c r="DT67" s="25"/>
    </row>
    <row r="68" spans="2:124" x14ac:dyDescent="0.3">
      <c r="B68" s="3">
        <v>8</v>
      </c>
      <c r="C68" s="3">
        <v>15</v>
      </c>
      <c r="D68" s="3">
        <v>19</v>
      </c>
      <c r="E68" s="3">
        <v>21</v>
      </c>
      <c r="F68" s="3">
        <v>32</v>
      </c>
      <c r="G68" s="3">
        <v>36</v>
      </c>
      <c r="H68" s="32"/>
      <c r="I68" s="3">
        <f>IF(OR(B68="",ISBLANK(B68),B68=0),0,IF(MOD(B68,2)=1,1,2))</f>
        <v>2</v>
      </c>
      <c r="J68" s="3">
        <f>IF(OR(C68="",ISBLANK(C68),C68=0),0,IF(MOD(C68,2)=1,1,2))</f>
        <v>1</v>
      </c>
      <c r="K68" s="3">
        <f>IF(OR(D68="",ISBLANK(D68),D68=0),0,IF(MOD(D68,2)=1,1,2))</f>
        <v>1</v>
      </c>
      <c r="L68" s="3">
        <f>IF(OR(E68="",ISBLANK(E68),E68=0),0,IF(MOD(E68,2)=1,1,2))</f>
        <v>1</v>
      </c>
      <c r="M68" s="3">
        <f>IF(OR(F68="",ISBLANK(F68),F68=0),0,IF(MOD(F68,2)=1,1,2))</f>
        <v>2</v>
      </c>
      <c r="N68" s="3">
        <f>IF(OR(G68="",ISBLANK(G68),G68=0),0,IF(MOD(G68,2)=1,1,2))</f>
        <v>2</v>
      </c>
      <c r="O68" s="32"/>
      <c r="P68" s="3" cm="1">
        <f t="array" ref="P68">SUMPRODUCT(--(MOD(B68:G68,2)=1))</f>
        <v>3</v>
      </c>
      <c r="Q68" s="3">
        <f>6-P68</f>
        <v>3</v>
      </c>
      <c r="R68" s="34"/>
      <c r="S68" s="3">
        <f>COUNTIFS(B68:G68,"&gt;=1",B68:G68,"&lt;=23")</f>
        <v>4</v>
      </c>
      <c r="T68" s="3">
        <f>6-S68</f>
        <v>2</v>
      </c>
      <c r="U68" s="34"/>
      <c r="V68" s="3" cm="1">
        <f t="array" ref="V68">SUMPRODUCT(--(MOD(B68:G68,10)&gt;=1), --(MOD(B68:G68,10)&lt;=5))</f>
        <v>3</v>
      </c>
      <c r="W68" s="3">
        <f>6-V68</f>
        <v>3</v>
      </c>
      <c r="X68" s="34"/>
      <c r="Y68" s="3" cm="1">
        <f t="array" ref="Y68">IFERROR(COUNT(_xlfn._xlws.FILTER(B68:G68, ISNUMBER(MATCH(B68:G68, {2,3,5,7,11,13,17,19,23,29,31,37,41,43}, 0)))), 0)</f>
        <v>1</v>
      </c>
      <c r="Z68" s="3" cm="1">
        <f t="array" ref="Z68">IFERROR(COUNT(_xlfn._xlws.FILTER(B68:G68, ISNUMBER(MATCH(B68:G68, {1,4,8,10,14,16,20,22,25,26,28,32,34,35,38,40,44}, 0)))), 0)</f>
        <v>2</v>
      </c>
      <c r="AA68" s="3" cm="1">
        <f t="array" ref="AA68">IFERROR(COUNT(_xlfn._xlws.FILTER(B68:G68, ISNUMBER(MATCH(B68:G68, {6,9,12,15,18,21,24,27,30,33,36,39,42,45}, 0)))), 0)</f>
        <v>3</v>
      </c>
      <c r="AB68" s="30"/>
      <c r="AC68" s="26" t="str" cm="1">
        <f t="array" ref="AC68">_xlfn.IFS(
   OR(B68="",ISBLANK(B68),B68=0),0,
   ISNUMBER(MATCH(B68,{2,3,5,7,11,13,17,19,23,29,31,37,41,43},0)),"소",
   AND(ISNUMBER(B68),MOD(B68,3)=0),"배",
   AND(ISNUMBER(B68),B68&gt;0),"자"
)</f>
        <v>자</v>
      </c>
      <c r="AD68" s="26" t="str" cm="1">
        <f t="array" ref="AD68">_xlfn.IFS(
   OR(C68="",ISBLANK(C68),C68=0),0,
   ISNUMBER(MATCH(C68,{2,3,5,7,11,13,17,19,23,29,31,37,41,43},0)),"소",
   AND(ISNUMBER(C68),MOD(C68,3)=0),"배",
   AND(ISNUMBER(C68),C68&gt;0),"자"
)</f>
        <v>배</v>
      </c>
      <c r="AE68" s="26" t="str" cm="1">
        <f t="array" ref="AE68">_xlfn.IFS(
   OR(D68="",ISBLANK(D68),D68=0),0,
   ISNUMBER(MATCH(D68,{2,3,5,7,11,13,17,19,23,29,31,37,41,43},0)),"소",
   AND(ISNUMBER(D68),MOD(D68,3)=0),"배",
   AND(ISNUMBER(D68),D68&gt;0),"자"
)</f>
        <v>소</v>
      </c>
      <c r="AF68" s="26" t="str" cm="1">
        <f t="array" ref="AF68">_xlfn.IFS(
   OR(E68="",ISBLANK(E68),E68=0),0,
   ISNUMBER(MATCH(E68,{2,3,5,7,11,13,17,19,23,29,31,37,41,43},0)),"소",
   AND(ISNUMBER(E68),MOD(E68,3)=0),"배",
   AND(ISNUMBER(E68),E68&gt;0),"자"
)</f>
        <v>배</v>
      </c>
      <c r="AG68" s="26" t="str" cm="1">
        <f t="array" ref="AG68">_xlfn.IFS(
   OR(F68="",ISBLANK(F68),F68=0),0,
   ISNUMBER(MATCH(F68,{2,3,5,7,11,13,17,19,23,29,31,37,41,43},0)),"소",
   AND(ISNUMBER(F68),MOD(F68,3)=0),"배",
   AND(ISNUMBER(F68),F68&gt;0),"자"
)</f>
        <v>자</v>
      </c>
      <c r="AH68" s="26" t="str" cm="1">
        <f t="array" ref="AH68">_xlfn.IFS(
   OR(G68="",ISBLANK(G68),G68=0),0,
   ISNUMBER(MATCH(G68,{2,3,5,7,11,13,17,19,23,29,31,37,41,43},0)),"소",
   AND(ISNUMBER(G68),MOD(G68,3)=0),"배",
   AND(ISNUMBER(G68),G68&gt;0),"자"
)</f>
        <v>배</v>
      </c>
      <c r="AI68" s="30"/>
      <c r="AJ68" s="3">
        <f>COUNTIFS(B68:G68,"&gt;=1",B68:G68,"&lt;=14")</f>
        <v>1</v>
      </c>
      <c r="AK68" s="3">
        <f>COUNTIFS(B68:G68,"&gt;=15",B68:G68,"&lt;=31")</f>
        <v>3</v>
      </c>
      <c r="AL68" s="3">
        <f>6-AK68-AJ68</f>
        <v>2</v>
      </c>
      <c r="AM68" s="33"/>
      <c r="AN68" s="3">
        <f>COUNTIFS($B68:$G68, "&gt;=1",$B68:$G68, "&lt;=9")</f>
        <v>1</v>
      </c>
      <c r="AO68" s="3">
        <f>COUNTIFS($B68:$G68, "&gt;=10",$B68:$G68, "&lt;=18")</f>
        <v>1</v>
      </c>
      <c r="AP68" s="3">
        <f>COUNTIFS($B68:$G68, "&gt;=19",$B68:$G68, "&lt;=27")</f>
        <v>2</v>
      </c>
      <c r="AQ68" s="3">
        <f>COUNTIFS($B68:$G68, "&gt;=28",$B68:$G68, "&lt;=36")</f>
        <v>2</v>
      </c>
      <c r="AR68" s="3">
        <f>COUNTIFS($B68:$G68, "&gt;=37",$B68:$G68, "&lt;=45")</f>
        <v>0</v>
      </c>
      <c r="AS68" s="28" t="e">
        <f>#REF!</f>
        <v>#REF!</v>
      </c>
      <c r="AT68" s="28" t="e">
        <f>#REF!*2</f>
        <v>#REF!</v>
      </c>
      <c r="AU68" s="28" t="e">
        <f>#REF!</f>
        <v>#REF!</v>
      </c>
      <c r="AV68" s="28" t="e">
        <f>#REF!*2</f>
        <v>#REF!</v>
      </c>
      <c r="AW68" s="28" t="e">
        <f>#REF!</f>
        <v>#REF!</v>
      </c>
      <c r="AX68" s="28" t="e">
        <f>#REF!*2</f>
        <v>#REF!</v>
      </c>
      <c r="AY68" s="28" t="e">
        <f>#REF!</f>
        <v>#REF!</v>
      </c>
      <c r="AZ68" s="28" t="e">
        <f>#REF!*2</f>
        <v>#REF!</v>
      </c>
      <c r="BA68" s="28" t="e">
        <f>#REF!</f>
        <v>#REF!</v>
      </c>
      <c r="BB68" s="28" t="e">
        <f>#REF!*2</f>
        <v>#REF!</v>
      </c>
      <c r="BC68" s="28" t="e">
        <f>#REF!</f>
        <v>#REF!</v>
      </c>
      <c r="BD68" s="28" t="e">
        <f>#REF!*2</f>
        <v>#REF!</v>
      </c>
      <c r="BE68" s="9" t="e">
        <f>#REF!-#REF!</f>
        <v>#REF!</v>
      </c>
      <c r="BF68" s="9" t="e">
        <f>#REF!-#REF!</f>
        <v>#REF!</v>
      </c>
      <c r="BG68" s="9" t="e">
        <f>#REF!-#REF!</f>
        <v>#REF!</v>
      </c>
      <c r="BH68" s="9" t="e">
        <f>#REF!-#REF!</f>
        <v>#REF!</v>
      </c>
      <c r="BI68" s="9" t="e">
        <f>#REF!-#REF!</f>
        <v>#REF!</v>
      </c>
      <c r="BJ68" s="33"/>
      <c r="BK68" s="3">
        <f>COUNTIFS(B68:G68, "&gt;=1", B68:G68, "&lt;=9")</f>
        <v>1</v>
      </c>
      <c r="BL68" s="3">
        <f>COUNTIFS(B68:G68, "&gt;=10", B68:G68, "&lt;=19")</f>
        <v>2</v>
      </c>
      <c r="BM68" s="3">
        <f>COUNTIFS(B68:G68, "&gt;=20", B68:G68, "&lt;=29")</f>
        <v>1</v>
      </c>
      <c r="BN68" s="3">
        <f>COUNTIFS(B68:G68, "&gt;=30", B68:G68, "&lt;=39")</f>
        <v>2</v>
      </c>
      <c r="BO68" s="3">
        <f>COUNTIFS(B68:G68, "&gt;=40", B68:G68, "&lt;=45")</f>
        <v>0</v>
      </c>
      <c r="BP68" s="28" t="e">
        <f>#REF!</f>
        <v>#REF!</v>
      </c>
      <c r="BQ68" s="28" t="e">
        <f>#REF!*2</f>
        <v>#REF!</v>
      </c>
      <c r="BR68" s="28" t="e">
        <f>#REF!</f>
        <v>#REF!</v>
      </c>
      <c r="BS68" s="28" t="e">
        <f>#REF!*2</f>
        <v>#REF!</v>
      </c>
      <c r="BT68" s="28" t="e">
        <f>#REF!</f>
        <v>#REF!</v>
      </c>
      <c r="BU68" s="28" t="e">
        <f>#REF!*2</f>
        <v>#REF!</v>
      </c>
      <c r="BV68" s="28" t="e">
        <f>#REF!</f>
        <v>#REF!</v>
      </c>
      <c r="BW68" s="28" t="e">
        <f>#REF!*2</f>
        <v>#REF!</v>
      </c>
      <c r="BX68" s="28" t="e">
        <f>#REF!</f>
        <v>#REF!</v>
      </c>
      <c r="BY68" s="28" t="e">
        <f>#REF!*2</f>
        <v>#REF!</v>
      </c>
      <c r="BZ68" s="28" t="e">
        <f>#REF!</f>
        <v>#REF!</v>
      </c>
      <c r="CA68" s="28" t="e">
        <f>#REF!*2</f>
        <v>#REF!</v>
      </c>
      <c r="CB68" s="9">
        <f>C68-B68</f>
        <v>7</v>
      </c>
      <c r="CC68" s="9">
        <f>D68-C68</f>
        <v>4</v>
      </c>
      <c r="CD68" s="9">
        <f>E68-D68</f>
        <v>2</v>
      </c>
      <c r="CE68" s="9">
        <f>F68-E68</f>
        <v>11</v>
      </c>
      <c r="CF68" s="9">
        <f>G68-F68</f>
        <v>4</v>
      </c>
      <c r="CG68" s="33"/>
      <c r="CH68" s="9">
        <f>C68-B68</f>
        <v>7</v>
      </c>
      <c r="CI68" s="9">
        <f>D68-C68</f>
        <v>4</v>
      </c>
      <c r="CJ68" s="9">
        <f>E68-D68</f>
        <v>2</v>
      </c>
      <c r="CK68" s="9">
        <f>F68-E68</f>
        <v>11</v>
      </c>
      <c r="CL68" s="9">
        <f>G68-F68</f>
        <v>4</v>
      </c>
      <c r="CM68" s="32"/>
      <c r="CN68" s="3">
        <f>IF(OR(CH68="",ISBLANK(CH68),CH68=0),0,IF(MOD(CH68,2)=1,1,2))</f>
        <v>1</v>
      </c>
      <c r="CO68" s="3">
        <f>IF(OR(CI68="",ISBLANK(CI68),CI68=0),0,IF(MOD(CI68,2)=1,1,2))</f>
        <v>2</v>
      </c>
      <c r="CP68" s="3">
        <f>IF(OR(CJ68="",ISBLANK(CJ68),CJ68=0),0,IF(MOD(CJ68,2)=1,1,2))</f>
        <v>2</v>
      </c>
      <c r="CQ68" s="3">
        <f>IF(OR(CK68="",ISBLANK(CK68),CK68=0),0,IF(MOD(CK68,2)=1,1,2))</f>
        <v>1</v>
      </c>
      <c r="CR68" s="3">
        <f>IF(OR(CL68="",ISBLANK(CL68),CL68=0),0,IF(MOD(CL68,2)=1,1,2))</f>
        <v>2</v>
      </c>
      <c r="CS68" s="31"/>
      <c r="CT68" s="3" cm="1">
        <f t="array" ref="CT68">SUMPRODUCT(--(MOD(CH68:CL68,2)=1))</f>
        <v>2</v>
      </c>
      <c r="CU68" s="3">
        <f>5-CT68</f>
        <v>3</v>
      </c>
      <c r="CV68" s="30"/>
      <c r="CW68" s="3" cm="1">
        <f t="array" ref="CW68">SUMPRODUCT(--(MOD(CH68:CL68,10)&gt;=1), --(MOD(CH68:CL68,10)&lt;=5))</f>
        <v>4</v>
      </c>
      <c r="CX68" s="3">
        <f>5-CW68</f>
        <v>1</v>
      </c>
      <c r="CY68" s="30"/>
      <c r="CZ68" s="3" cm="1">
        <f t="array" ref="CZ68">IFERROR(COUNT(_xlfn._xlws.FILTER(CH68:CL68, ISNUMBER(MATCH(CH68:CL68, {2,3,5,7,11,13,17,19,23,29,31,37,41,43}, 0)))), 0)</f>
        <v>3</v>
      </c>
      <c r="DA68" s="3" cm="1">
        <f t="array" ref="DA68">IFERROR(COUNT(_xlfn._xlws.FILTER(CH68:CL68, ISNUMBER(MATCH(CH68:CL68, {1,4,8,10,14,16,20,22,25,26,28,32,34,35,38,40,44}, 0)))), 0)</f>
        <v>2</v>
      </c>
      <c r="DB68" s="3" cm="1">
        <f t="array" ref="DB68">IFERROR(COUNT(_xlfn._xlws.FILTER(CH68:CL68, ISNUMBER(MATCH(CH68:CL68, {6,9,12,15,18,21,24,27,30,33,36,39,42,45}, 0)))), 0)</f>
        <v>0</v>
      </c>
      <c r="DC68" s="29"/>
      <c r="DD68" s="28" t="e">
        <f>#REF!</f>
        <v>#REF!</v>
      </c>
      <c r="DE68" s="28" t="e">
        <f>#REF!*2</f>
        <v>#REF!</v>
      </c>
      <c r="DF68" s="28" t="e">
        <f>#REF!</f>
        <v>#REF!</v>
      </c>
      <c r="DG68" s="28" t="e">
        <f>#REF!*2</f>
        <v>#REF!</v>
      </c>
      <c r="DH68" s="28" t="e">
        <f>#REF!</f>
        <v>#REF!</v>
      </c>
      <c r="DI68" s="28" t="e">
        <f>#REF!*2</f>
        <v>#REF!</v>
      </c>
      <c r="DJ68" s="28" t="e">
        <f>#REF!</f>
        <v>#REF!</v>
      </c>
      <c r="DK68" s="28" t="e">
        <f>#REF!*2</f>
        <v>#REF!</v>
      </c>
      <c r="DL68" s="28" t="e">
        <f>#REF!</f>
        <v>#REF!</v>
      </c>
      <c r="DM68" s="28" t="e">
        <f>#REF!*2</f>
        <v>#REF!</v>
      </c>
      <c r="DN68" s="27"/>
      <c r="DO68" s="26" t="str" cm="1">
        <f t="array" ref="DO68">_xlfn.IFS(
   OR(CH68="",ISBLANK(CH68),CH68=0),0,
   ISNUMBER(MATCH(CH68,{2,3,5,7,11,13,17,19,23,29,31,37,41,43},0)),"소",
   AND(ISNUMBER(CH68),MOD(CH68,3)=0),"배",
   AND(ISNUMBER(CH68),CH68&gt;0),"자"
)</f>
        <v>소</v>
      </c>
      <c r="DP68" s="26" t="str" cm="1">
        <f t="array" ref="DP68">_xlfn.IFS(
   OR(CI68="",ISBLANK(CI68),CI68=0),0,
   ISNUMBER(MATCH(CI68,{2,3,5,7,11,13,17,19,23,29,31,37,41,43},0)),"소",
   AND(ISNUMBER(CI68),MOD(CI68,3)=0),"배",
   AND(ISNUMBER(CI68),CI68&gt;0),"자"
)</f>
        <v>자</v>
      </c>
      <c r="DQ68" s="26" t="str" cm="1">
        <f t="array" ref="DQ68">_xlfn.IFS(
   OR(CJ68="",ISBLANK(CJ68),CJ68=0),0,
   ISNUMBER(MATCH(CJ68,{2,3,5,7,11,13,17,19,23,29,31,37,41,43},0)),"소",
   AND(ISNUMBER(CJ68),MOD(CJ68,3)=0),"배",
   AND(ISNUMBER(CJ68),CJ68&gt;0),"자"
)</f>
        <v>소</v>
      </c>
      <c r="DR68" s="26" t="str" cm="1">
        <f t="array" ref="DR68">_xlfn.IFS(
   OR(CK68="",ISBLANK(CK68),CK68=0),0,
   ISNUMBER(MATCH(CK68,{2,3,5,7,11,13,17,19,23,29,31,37,41,43},0)),"소",
   AND(ISNUMBER(CK68),MOD(CK68,3)=0),"배",
   AND(ISNUMBER(CK68),CK68&gt;0),"자"
)</f>
        <v>소</v>
      </c>
      <c r="DS68" s="26" t="str" cm="1">
        <f t="array" ref="DS68">_xlfn.IFS(
   OR(CL68="",ISBLANK(CL68),CL68=0),0,
   ISNUMBER(MATCH(CL68,{2,3,5,7,11,13,17,19,23,29,31,37,41,43},0)),"소",
   AND(ISNUMBER(CL68),MOD(CL68,3)=0),"배",
   AND(ISNUMBER(CL68),CL68&gt;0),"자"
)</f>
        <v>자</v>
      </c>
      <c r="DT68" s="25"/>
    </row>
    <row r="69" spans="2:124" x14ac:dyDescent="0.3">
      <c r="B69" s="3">
        <v>8</v>
      </c>
      <c r="C69" s="3">
        <v>9</v>
      </c>
      <c r="D69" s="3">
        <v>18</v>
      </c>
      <c r="E69" s="3">
        <v>35</v>
      </c>
      <c r="F69" s="3">
        <v>39</v>
      </c>
      <c r="G69" s="3">
        <v>45</v>
      </c>
      <c r="H69" s="32"/>
      <c r="I69" s="3">
        <f>IF(OR(B69="",ISBLANK(B69),B69=0),0,IF(MOD(B69,2)=1,1,2))</f>
        <v>2</v>
      </c>
      <c r="J69" s="3">
        <f>IF(OR(C69="",ISBLANK(C69),C69=0),0,IF(MOD(C69,2)=1,1,2))</f>
        <v>1</v>
      </c>
      <c r="K69" s="3">
        <f>IF(OR(D69="",ISBLANK(D69),D69=0),0,IF(MOD(D69,2)=1,1,2))</f>
        <v>2</v>
      </c>
      <c r="L69" s="3">
        <f>IF(OR(E69="",ISBLANK(E69),E69=0),0,IF(MOD(E69,2)=1,1,2))</f>
        <v>1</v>
      </c>
      <c r="M69" s="3">
        <f>IF(OR(F69="",ISBLANK(F69),F69=0),0,IF(MOD(F69,2)=1,1,2))</f>
        <v>1</v>
      </c>
      <c r="N69" s="3">
        <f>IF(OR(G69="",ISBLANK(G69),G69=0),0,IF(MOD(G69,2)=1,1,2))</f>
        <v>1</v>
      </c>
      <c r="O69" s="32"/>
      <c r="P69" s="3" cm="1">
        <f t="array" ref="P69">SUMPRODUCT(--(MOD(B69:G69,2)=1))</f>
        <v>4</v>
      </c>
      <c r="Q69" s="3">
        <f>6-P69</f>
        <v>2</v>
      </c>
      <c r="R69" s="34"/>
      <c r="S69" s="3">
        <f>COUNTIFS(B69:G69,"&gt;=1",B69:G69,"&lt;=23")</f>
        <v>3</v>
      </c>
      <c r="T69" s="3">
        <f>6-S69</f>
        <v>3</v>
      </c>
      <c r="U69" s="34"/>
      <c r="V69" s="3" cm="1">
        <f t="array" ref="V69">SUMPRODUCT(--(MOD(B69:G69,10)&gt;=1), --(MOD(B69:G69,10)&lt;=5))</f>
        <v>2</v>
      </c>
      <c r="W69" s="3">
        <f>6-V69</f>
        <v>4</v>
      </c>
      <c r="X69" s="34"/>
      <c r="Y69" s="3" cm="1">
        <f t="array" ref="Y69">IFERROR(COUNT(_xlfn._xlws.FILTER(B69:G69, ISNUMBER(MATCH(B69:G69, {2,3,5,7,11,13,17,19,23,29,31,37,41,43}, 0)))), 0)</f>
        <v>0</v>
      </c>
      <c r="Z69" s="3" cm="1">
        <f t="array" ref="Z69">IFERROR(COUNT(_xlfn._xlws.FILTER(B69:G69, ISNUMBER(MATCH(B69:G69, {1,4,8,10,14,16,20,22,25,26,28,32,34,35,38,40,44}, 0)))), 0)</f>
        <v>2</v>
      </c>
      <c r="AA69" s="3" cm="1">
        <f t="array" ref="AA69">IFERROR(COUNT(_xlfn._xlws.FILTER(B69:G69, ISNUMBER(MATCH(B69:G69, {6,9,12,15,18,21,24,27,30,33,36,39,42,45}, 0)))), 0)</f>
        <v>4</v>
      </c>
      <c r="AB69" s="30"/>
      <c r="AC69" s="26" t="str" cm="1">
        <f t="array" ref="AC69">_xlfn.IFS(
   OR(B69="",ISBLANK(B69),B69=0),0,
   ISNUMBER(MATCH(B69,{2,3,5,7,11,13,17,19,23,29,31,37,41,43},0)),"소",
   AND(ISNUMBER(B69),MOD(B69,3)=0),"배",
   AND(ISNUMBER(B69),B69&gt;0),"자"
)</f>
        <v>자</v>
      </c>
      <c r="AD69" s="26" t="str" cm="1">
        <f t="array" ref="AD69">_xlfn.IFS(
   OR(C69="",ISBLANK(C69),C69=0),0,
   ISNUMBER(MATCH(C69,{2,3,5,7,11,13,17,19,23,29,31,37,41,43},0)),"소",
   AND(ISNUMBER(C69),MOD(C69,3)=0),"배",
   AND(ISNUMBER(C69),C69&gt;0),"자"
)</f>
        <v>배</v>
      </c>
      <c r="AE69" s="26" t="str" cm="1">
        <f t="array" ref="AE69">_xlfn.IFS(
   OR(D69="",ISBLANK(D69),D69=0),0,
   ISNUMBER(MATCH(D69,{2,3,5,7,11,13,17,19,23,29,31,37,41,43},0)),"소",
   AND(ISNUMBER(D69),MOD(D69,3)=0),"배",
   AND(ISNUMBER(D69),D69&gt;0),"자"
)</f>
        <v>배</v>
      </c>
      <c r="AF69" s="26" t="str" cm="1">
        <f t="array" ref="AF69">_xlfn.IFS(
   OR(E69="",ISBLANK(E69),E69=0),0,
   ISNUMBER(MATCH(E69,{2,3,5,7,11,13,17,19,23,29,31,37,41,43},0)),"소",
   AND(ISNUMBER(E69),MOD(E69,3)=0),"배",
   AND(ISNUMBER(E69),E69&gt;0),"자"
)</f>
        <v>자</v>
      </c>
      <c r="AG69" s="26" t="str" cm="1">
        <f t="array" ref="AG69">_xlfn.IFS(
   OR(F69="",ISBLANK(F69),F69=0),0,
   ISNUMBER(MATCH(F69,{2,3,5,7,11,13,17,19,23,29,31,37,41,43},0)),"소",
   AND(ISNUMBER(F69),MOD(F69,3)=0),"배",
   AND(ISNUMBER(F69),F69&gt;0),"자"
)</f>
        <v>배</v>
      </c>
      <c r="AH69" s="26" t="str" cm="1">
        <f t="array" ref="AH69">_xlfn.IFS(
   OR(G69="",ISBLANK(G69),G69=0),0,
   ISNUMBER(MATCH(G69,{2,3,5,7,11,13,17,19,23,29,31,37,41,43},0)),"소",
   AND(ISNUMBER(G69),MOD(G69,3)=0),"배",
   AND(ISNUMBER(G69),G69&gt;0),"자"
)</f>
        <v>배</v>
      </c>
      <c r="AI69" s="30"/>
      <c r="AJ69" s="3">
        <f>COUNTIFS(B69:G69,"&gt;=1",B69:G69,"&lt;=14")</f>
        <v>2</v>
      </c>
      <c r="AK69" s="3">
        <f>COUNTIFS(B69:G69,"&gt;=15",B69:G69,"&lt;=31")</f>
        <v>1</v>
      </c>
      <c r="AL69" s="3">
        <f>6-AK69-AJ69</f>
        <v>3</v>
      </c>
      <c r="AM69" s="33"/>
      <c r="AN69" s="3">
        <f>COUNTIFS($B69:$G69, "&gt;=1",$B69:$G69, "&lt;=9")</f>
        <v>2</v>
      </c>
      <c r="AO69" s="3">
        <f>COUNTIFS($B69:$G69, "&gt;=10",$B69:$G69, "&lt;=18")</f>
        <v>1</v>
      </c>
      <c r="AP69" s="3">
        <f>COUNTIFS($B69:$G69, "&gt;=19",$B69:$G69, "&lt;=27")</f>
        <v>0</v>
      </c>
      <c r="AQ69" s="3">
        <f>COUNTIFS($B69:$G69, "&gt;=28",$B69:$G69, "&lt;=36")</f>
        <v>1</v>
      </c>
      <c r="AR69" s="3">
        <f>COUNTIFS($B69:$G69, "&gt;=37",$B69:$G69, "&lt;=45")</f>
        <v>2</v>
      </c>
      <c r="AS69" s="28" t="e">
        <f>#REF!</f>
        <v>#REF!</v>
      </c>
      <c r="AT69" s="28" t="e">
        <f>#REF!*2</f>
        <v>#REF!</v>
      </c>
      <c r="AU69" s="28" t="e">
        <f>#REF!</f>
        <v>#REF!</v>
      </c>
      <c r="AV69" s="28" t="e">
        <f>#REF!*2</f>
        <v>#REF!</v>
      </c>
      <c r="AW69" s="28" t="e">
        <f>#REF!</f>
        <v>#REF!</v>
      </c>
      <c r="AX69" s="28" t="e">
        <f>#REF!*2</f>
        <v>#REF!</v>
      </c>
      <c r="AY69" s="28" t="e">
        <f>#REF!</f>
        <v>#REF!</v>
      </c>
      <c r="AZ69" s="28" t="e">
        <f>#REF!*2</f>
        <v>#REF!</v>
      </c>
      <c r="BA69" s="28" t="e">
        <f>#REF!</f>
        <v>#REF!</v>
      </c>
      <c r="BB69" s="28" t="e">
        <f>#REF!*2</f>
        <v>#REF!</v>
      </c>
      <c r="BC69" s="28" t="e">
        <f>#REF!</f>
        <v>#REF!</v>
      </c>
      <c r="BD69" s="28" t="e">
        <f>#REF!*2</f>
        <v>#REF!</v>
      </c>
      <c r="BE69" s="9" t="e">
        <f>#REF!-#REF!</f>
        <v>#REF!</v>
      </c>
      <c r="BF69" s="9" t="e">
        <f>#REF!-#REF!</f>
        <v>#REF!</v>
      </c>
      <c r="BG69" s="9" t="e">
        <f>#REF!-#REF!</f>
        <v>#REF!</v>
      </c>
      <c r="BH69" s="9" t="e">
        <f>#REF!-#REF!</f>
        <v>#REF!</v>
      </c>
      <c r="BI69" s="9" t="e">
        <f>#REF!-#REF!</f>
        <v>#REF!</v>
      </c>
      <c r="BJ69" s="33"/>
      <c r="BK69" s="3">
        <f>COUNTIFS(B69:G69, "&gt;=1", B69:G69, "&lt;=9")</f>
        <v>2</v>
      </c>
      <c r="BL69" s="3">
        <f>COUNTIFS(B69:G69, "&gt;=10", B69:G69, "&lt;=19")</f>
        <v>1</v>
      </c>
      <c r="BM69" s="3">
        <f>COUNTIFS(B69:G69, "&gt;=20", B69:G69, "&lt;=29")</f>
        <v>0</v>
      </c>
      <c r="BN69" s="3">
        <f>COUNTIFS(B69:G69, "&gt;=30", B69:G69, "&lt;=39")</f>
        <v>2</v>
      </c>
      <c r="BO69" s="3">
        <f>COUNTIFS(B69:G69, "&gt;=40", B69:G69, "&lt;=45")</f>
        <v>1</v>
      </c>
      <c r="BP69" s="28" t="e">
        <f>#REF!</f>
        <v>#REF!</v>
      </c>
      <c r="BQ69" s="28" t="e">
        <f>#REF!*2</f>
        <v>#REF!</v>
      </c>
      <c r="BR69" s="28" t="e">
        <f>#REF!</f>
        <v>#REF!</v>
      </c>
      <c r="BS69" s="28" t="e">
        <f>#REF!*2</f>
        <v>#REF!</v>
      </c>
      <c r="BT69" s="28" t="e">
        <f>#REF!</f>
        <v>#REF!</v>
      </c>
      <c r="BU69" s="28" t="e">
        <f>#REF!*2</f>
        <v>#REF!</v>
      </c>
      <c r="BV69" s="28" t="e">
        <f>#REF!</f>
        <v>#REF!</v>
      </c>
      <c r="BW69" s="28" t="e">
        <f>#REF!*2</f>
        <v>#REF!</v>
      </c>
      <c r="BX69" s="28" t="e">
        <f>#REF!</f>
        <v>#REF!</v>
      </c>
      <c r="BY69" s="28" t="e">
        <f>#REF!*2</f>
        <v>#REF!</v>
      </c>
      <c r="BZ69" s="28" t="e">
        <f>#REF!</f>
        <v>#REF!</v>
      </c>
      <c r="CA69" s="28" t="e">
        <f>#REF!*2</f>
        <v>#REF!</v>
      </c>
      <c r="CB69" s="9">
        <f>C69-B69</f>
        <v>1</v>
      </c>
      <c r="CC69" s="9">
        <f>D69-C69</f>
        <v>9</v>
      </c>
      <c r="CD69" s="9">
        <f>E69-D69</f>
        <v>17</v>
      </c>
      <c r="CE69" s="9">
        <f>F69-E69</f>
        <v>4</v>
      </c>
      <c r="CF69" s="9">
        <f>G69-F69</f>
        <v>6</v>
      </c>
      <c r="CG69" s="33"/>
      <c r="CH69" s="9">
        <f>C69-B69</f>
        <v>1</v>
      </c>
      <c r="CI69" s="9">
        <f>D69-C69</f>
        <v>9</v>
      </c>
      <c r="CJ69" s="9">
        <f>E69-D69</f>
        <v>17</v>
      </c>
      <c r="CK69" s="9">
        <f>F69-E69</f>
        <v>4</v>
      </c>
      <c r="CL69" s="9">
        <f>G69-F69</f>
        <v>6</v>
      </c>
      <c r="CM69" s="32"/>
      <c r="CN69" s="3">
        <f>IF(OR(CH69="",ISBLANK(CH69),CH69=0),0,IF(MOD(CH69,2)=1,1,2))</f>
        <v>1</v>
      </c>
      <c r="CO69" s="3">
        <f>IF(OR(CI69="",ISBLANK(CI69),CI69=0),0,IF(MOD(CI69,2)=1,1,2))</f>
        <v>1</v>
      </c>
      <c r="CP69" s="3">
        <f>IF(OR(CJ69="",ISBLANK(CJ69),CJ69=0),0,IF(MOD(CJ69,2)=1,1,2))</f>
        <v>1</v>
      </c>
      <c r="CQ69" s="3">
        <f>IF(OR(CK69="",ISBLANK(CK69),CK69=0),0,IF(MOD(CK69,2)=1,1,2))</f>
        <v>2</v>
      </c>
      <c r="CR69" s="3">
        <f>IF(OR(CL69="",ISBLANK(CL69),CL69=0),0,IF(MOD(CL69,2)=1,1,2))</f>
        <v>2</v>
      </c>
      <c r="CS69" s="31"/>
      <c r="CT69" s="3" cm="1">
        <f t="array" ref="CT69">SUMPRODUCT(--(MOD(CH69:CL69,2)=1))</f>
        <v>3</v>
      </c>
      <c r="CU69" s="3">
        <f>5-CT69</f>
        <v>2</v>
      </c>
      <c r="CV69" s="30"/>
      <c r="CW69" s="3" cm="1">
        <f t="array" ref="CW69">SUMPRODUCT(--(MOD(CH69:CL69,10)&gt;=1), --(MOD(CH69:CL69,10)&lt;=5))</f>
        <v>2</v>
      </c>
      <c r="CX69" s="3">
        <f>5-CW69</f>
        <v>3</v>
      </c>
      <c r="CY69" s="30"/>
      <c r="CZ69" s="3" cm="1">
        <f t="array" ref="CZ69">IFERROR(COUNT(_xlfn._xlws.FILTER(CH69:CL69, ISNUMBER(MATCH(CH69:CL69, {2,3,5,7,11,13,17,19,23,29,31,37,41,43}, 0)))), 0)</f>
        <v>1</v>
      </c>
      <c r="DA69" s="3" cm="1">
        <f t="array" ref="DA69">IFERROR(COUNT(_xlfn._xlws.FILTER(CH69:CL69, ISNUMBER(MATCH(CH69:CL69, {1,4,8,10,14,16,20,22,25,26,28,32,34,35,38,40,44}, 0)))), 0)</f>
        <v>2</v>
      </c>
      <c r="DB69" s="3" cm="1">
        <f t="array" ref="DB69">IFERROR(COUNT(_xlfn._xlws.FILTER(CH69:CL69, ISNUMBER(MATCH(CH69:CL69, {6,9,12,15,18,21,24,27,30,33,36,39,42,45}, 0)))), 0)</f>
        <v>2</v>
      </c>
      <c r="DC69" s="29"/>
      <c r="DD69" s="28" t="e">
        <f>#REF!</f>
        <v>#REF!</v>
      </c>
      <c r="DE69" s="28" t="e">
        <f>#REF!*2</f>
        <v>#REF!</v>
      </c>
      <c r="DF69" s="28" t="e">
        <f>#REF!</f>
        <v>#REF!</v>
      </c>
      <c r="DG69" s="28" t="e">
        <f>#REF!*2</f>
        <v>#REF!</v>
      </c>
      <c r="DH69" s="28" t="e">
        <f>#REF!</f>
        <v>#REF!</v>
      </c>
      <c r="DI69" s="28" t="e">
        <f>#REF!*2</f>
        <v>#REF!</v>
      </c>
      <c r="DJ69" s="28" t="e">
        <f>#REF!</f>
        <v>#REF!</v>
      </c>
      <c r="DK69" s="28" t="e">
        <f>#REF!*2</f>
        <v>#REF!</v>
      </c>
      <c r="DL69" s="28" t="e">
        <f>#REF!</f>
        <v>#REF!</v>
      </c>
      <c r="DM69" s="28" t="e">
        <f>#REF!*2</f>
        <v>#REF!</v>
      </c>
      <c r="DN69" s="27"/>
      <c r="DO69" s="26" t="str" cm="1">
        <f t="array" ref="DO69">_xlfn.IFS(
   OR(CH69="",ISBLANK(CH69),CH69=0),0,
   ISNUMBER(MATCH(CH69,{2,3,5,7,11,13,17,19,23,29,31,37,41,43},0)),"소",
   AND(ISNUMBER(CH69),MOD(CH69,3)=0),"배",
   AND(ISNUMBER(CH69),CH69&gt;0),"자"
)</f>
        <v>자</v>
      </c>
      <c r="DP69" s="26" t="str" cm="1">
        <f t="array" ref="DP69">_xlfn.IFS(
   OR(CI69="",ISBLANK(CI69),CI69=0),0,
   ISNUMBER(MATCH(CI69,{2,3,5,7,11,13,17,19,23,29,31,37,41,43},0)),"소",
   AND(ISNUMBER(CI69),MOD(CI69,3)=0),"배",
   AND(ISNUMBER(CI69),CI69&gt;0),"자"
)</f>
        <v>배</v>
      </c>
      <c r="DQ69" s="26" t="str" cm="1">
        <f t="array" ref="DQ69">_xlfn.IFS(
   OR(CJ69="",ISBLANK(CJ69),CJ69=0),0,
   ISNUMBER(MATCH(CJ69,{2,3,5,7,11,13,17,19,23,29,31,37,41,43},0)),"소",
   AND(ISNUMBER(CJ69),MOD(CJ69,3)=0),"배",
   AND(ISNUMBER(CJ69),CJ69&gt;0),"자"
)</f>
        <v>소</v>
      </c>
      <c r="DR69" s="26" t="str" cm="1">
        <f t="array" ref="DR69">_xlfn.IFS(
   OR(CK69="",ISBLANK(CK69),CK69=0),0,
   ISNUMBER(MATCH(CK69,{2,3,5,7,11,13,17,19,23,29,31,37,41,43},0)),"소",
   AND(ISNUMBER(CK69),MOD(CK69,3)=0),"배",
   AND(ISNUMBER(CK69),CK69&gt;0),"자"
)</f>
        <v>자</v>
      </c>
      <c r="DS69" s="26" t="str" cm="1">
        <f t="array" ref="DS69">_xlfn.IFS(
   OR(CL69="",ISBLANK(CL69),CL69=0),0,
   ISNUMBER(MATCH(CL69,{2,3,5,7,11,13,17,19,23,29,31,37,41,43},0)),"소",
   AND(ISNUMBER(CL69),MOD(CL69,3)=0),"배",
   AND(ISNUMBER(CL69),CL69&gt;0),"자"
)</f>
        <v>배</v>
      </c>
      <c r="DT69" s="25"/>
    </row>
    <row r="70" spans="2:124" x14ac:dyDescent="0.3">
      <c r="B70" s="3">
        <v>2</v>
      </c>
      <c r="C70" s="3">
        <v>3</v>
      </c>
      <c r="D70" s="3">
        <v>9</v>
      </c>
      <c r="E70" s="3">
        <v>15</v>
      </c>
      <c r="F70" s="3">
        <v>27</v>
      </c>
      <c r="G70" s="3">
        <v>29</v>
      </c>
      <c r="H70" s="32"/>
      <c r="I70" s="3">
        <f>IF(OR(B70="",ISBLANK(B70),B70=0),0,IF(MOD(B70,2)=1,1,2))</f>
        <v>2</v>
      </c>
      <c r="J70" s="3">
        <f>IF(OR(C70="",ISBLANK(C70),C70=0),0,IF(MOD(C70,2)=1,1,2))</f>
        <v>1</v>
      </c>
      <c r="K70" s="3">
        <f>IF(OR(D70="",ISBLANK(D70),D70=0),0,IF(MOD(D70,2)=1,1,2))</f>
        <v>1</v>
      </c>
      <c r="L70" s="3">
        <f>IF(OR(E70="",ISBLANK(E70),E70=0),0,IF(MOD(E70,2)=1,1,2))</f>
        <v>1</v>
      </c>
      <c r="M70" s="3">
        <f>IF(OR(F70="",ISBLANK(F70),F70=0),0,IF(MOD(F70,2)=1,1,2))</f>
        <v>1</v>
      </c>
      <c r="N70" s="3">
        <f>IF(OR(G70="",ISBLANK(G70),G70=0),0,IF(MOD(G70,2)=1,1,2))</f>
        <v>1</v>
      </c>
      <c r="O70" s="32"/>
      <c r="P70" s="3" cm="1">
        <f t="array" ref="P70">SUMPRODUCT(--(MOD(B70:G70,2)=1))</f>
        <v>5</v>
      </c>
      <c r="Q70" s="3">
        <f>6-P70</f>
        <v>1</v>
      </c>
      <c r="R70" s="34"/>
      <c r="S70" s="3">
        <f>COUNTIFS(B70:G70,"&gt;=1",B70:G70,"&lt;=23")</f>
        <v>4</v>
      </c>
      <c r="T70" s="3">
        <f>6-S70</f>
        <v>2</v>
      </c>
      <c r="U70" s="34"/>
      <c r="V70" s="3" cm="1">
        <f t="array" ref="V70">SUMPRODUCT(--(MOD(B70:G70,10)&gt;=1), --(MOD(B70:G70,10)&lt;=5))</f>
        <v>3</v>
      </c>
      <c r="W70" s="3">
        <f>6-V70</f>
        <v>3</v>
      </c>
      <c r="X70" s="34"/>
      <c r="Y70" s="3" cm="1">
        <f t="array" ref="Y70">IFERROR(COUNT(_xlfn._xlws.FILTER(B70:G70, ISNUMBER(MATCH(B70:G70, {2,3,5,7,11,13,17,19,23,29,31,37,41,43}, 0)))), 0)</f>
        <v>3</v>
      </c>
      <c r="Z70" s="3" cm="1">
        <f t="array" ref="Z70">IFERROR(COUNT(_xlfn._xlws.FILTER(B70:G70, ISNUMBER(MATCH(B70:G70, {1,4,8,10,14,16,20,22,25,26,28,32,34,35,38,40,44}, 0)))), 0)</f>
        <v>0</v>
      </c>
      <c r="AA70" s="3" cm="1">
        <f t="array" ref="AA70">IFERROR(COUNT(_xlfn._xlws.FILTER(B70:G70, ISNUMBER(MATCH(B70:G70, {6,9,12,15,18,21,24,27,30,33,36,39,42,45}, 0)))), 0)</f>
        <v>3</v>
      </c>
      <c r="AB70" s="30"/>
      <c r="AC70" s="26" t="str" cm="1">
        <f t="array" ref="AC70">_xlfn.IFS(
   OR(B70="",ISBLANK(B70),B70=0),0,
   ISNUMBER(MATCH(B70,{2,3,5,7,11,13,17,19,23,29,31,37,41,43},0)),"소",
   AND(ISNUMBER(B70),MOD(B70,3)=0),"배",
   AND(ISNUMBER(B70),B70&gt;0),"자"
)</f>
        <v>소</v>
      </c>
      <c r="AD70" s="26" t="str" cm="1">
        <f t="array" ref="AD70">_xlfn.IFS(
   OR(C70="",ISBLANK(C70),C70=0),0,
   ISNUMBER(MATCH(C70,{2,3,5,7,11,13,17,19,23,29,31,37,41,43},0)),"소",
   AND(ISNUMBER(C70),MOD(C70,3)=0),"배",
   AND(ISNUMBER(C70),C70&gt;0),"자"
)</f>
        <v>소</v>
      </c>
      <c r="AE70" s="26" t="str" cm="1">
        <f t="array" ref="AE70">_xlfn.IFS(
   OR(D70="",ISBLANK(D70),D70=0),0,
   ISNUMBER(MATCH(D70,{2,3,5,7,11,13,17,19,23,29,31,37,41,43},0)),"소",
   AND(ISNUMBER(D70),MOD(D70,3)=0),"배",
   AND(ISNUMBER(D70),D70&gt;0),"자"
)</f>
        <v>배</v>
      </c>
      <c r="AF70" s="26" t="str" cm="1">
        <f t="array" ref="AF70">_xlfn.IFS(
   OR(E70="",ISBLANK(E70),E70=0),0,
   ISNUMBER(MATCH(E70,{2,3,5,7,11,13,17,19,23,29,31,37,41,43},0)),"소",
   AND(ISNUMBER(E70),MOD(E70,3)=0),"배",
   AND(ISNUMBER(E70),E70&gt;0),"자"
)</f>
        <v>배</v>
      </c>
      <c r="AG70" s="26" t="str" cm="1">
        <f t="array" ref="AG70">_xlfn.IFS(
   OR(F70="",ISBLANK(F70),F70=0),0,
   ISNUMBER(MATCH(F70,{2,3,5,7,11,13,17,19,23,29,31,37,41,43},0)),"소",
   AND(ISNUMBER(F70),MOD(F70,3)=0),"배",
   AND(ISNUMBER(F70),F70&gt;0),"자"
)</f>
        <v>배</v>
      </c>
      <c r="AH70" s="26" t="str" cm="1">
        <f t="array" ref="AH70">_xlfn.IFS(
   OR(G70="",ISBLANK(G70),G70=0),0,
   ISNUMBER(MATCH(G70,{2,3,5,7,11,13,17,19,23,29,31,37,41,43},0)),"소",
   AND(ISNUMBER(G70),MOD(G70,3)=0),"배",
   AND(ISNUMBER(G70),G70&gt;0),"자"
)</f>
        <v>소</v>
      </c>
      <c r="AI70" s="30"/>
      <c r="AJ70" s="3">
        <f>COUNTIFS(B70:G70,"&gt;=1",B70:G70,"&lt;=14")</f>
        <v>3</v>
      </c>
      <c r="AK70" s="3">
        <f>COUNTIFS(B70:G70,"&gt;=15",B70:G70,"&lt;=31")</f>
        <v>3</v>
      </c>
      <c r="AL70" s="3">
        <f>6-AK70-AJ70</f>
        <v>0</v>
      </c>
      <c r="AM70" s="33"/>
      <c r="AN70" s="3">
        <f>COUNTIFS($B70:$G70, "&gt;=1",$B70:$G70, "&lt;=9")</f>
        <v>3</v>
      </c>
      <c r="AO70" s="3">
        <f>COUNTIFS($B70:$G70, "&gt;=10",$B70:$G70, "&lt;=18")</f>
        <v>1</v>
      </c>
      <c r="AP70" s="3">
        <f>COUNTIFS($B70:$G70, "&gt;=19",$B70:$G70, "&lt;=27")</f>
        <v>1</v>
      </c>
      <c r="AQ70" s="3">
        <f>COUNTIFS($B70:$G70, "&gt;=28",$B70:$G70, "&lt;=36")</f>
        <v>1</v>
      </c>
      <c r="AR70" s="3">
        <f>COUNTIFS($B70:$G70, "&gt;=37",$B70:$G70, "&lt;=45")</f>
        <v>0</v>
      </c>
      <c r="AS70" s="28" t="e">
        <f>#REF!</f>
        <v>#REF!</v>
      </c>
      <c r="AT70" s="28" t="e">
        <f>#REF!*2</f>
        <v>#REF!</v>
      </c>
      <c r="AU70" s="28" t="e">
        <f>#REF!</f>
        <v>#REF!</v>
      </c>
      <c r="AV70" s="28" t="e">
        <f>#REF!*2</f>
        <v>#REF!</v>
      </c>
      <c r="AW70" s="28" t="e">
        <f>#REF!</f>
        <v>#REF!</v>
      </c>
      <c r="AX70" s="28" t="e">
        <f>#REF!*2</f>
        <v>#REF!</v>
      </c>
      <c r="AY70" s="28" t="e">
        <f>#REF!</f>
        <v>#REF!</v>
      </c>
      <c r="AZ70" s="28" t="e">
        <f>#REF!*2</f>
        <v>#REF!</v>
      </c>
      <c r="BA70" s="28" t="e">
        <f>#REF!</f>
        <v>#REF!</v>
      </c>
      <c r="BB70" s="28" t="e">
        <f>#REF!*2</f>
        <v>#REF!</v>
      </c>
      <c r="BC70" s="28" t="e">
        <f>#REF!</f>
        <v>#REF!</v>
      </c>
      <c r="BD70" s="28" t="e">
        <f>#REF!*2</f>
        <v>#REF!</v>
      </c>
      <c r="BE70" s="9" t="e">
        <f>#REF!-#REF!</f>
        <v>#REF!</v>
      </c>
      <c r="BF70" s="9" t="e">
        <f>#REF!-#REF!</f>
        <v>#REF!</v>
      </c>
      <c r="BG70" s="9" t="e">
        <f>#REF!-#REF!</f>
        <v>#REF!</v>
      </c>
      <c r="BH70" s="9" t="e">
        <f>#REF!-#REF!</f>
        <v>#REF!</v>
      </c>
      <c r="BI70" s="9" t="e">
        <f>#REF!-#REF!</f>
        <v>#REF!</v>
      </c>
      <c r="BJ70" s="33"/>
      <c r="BK70" s="3">
        <f>COUNTIFS(B70:G70, "&gt;=1", B70:G70, "&lt;=9")</f>
        <v>3</v>
      </c>
      <c r="BL70" s="3">
        <f>COUNTIFS(B70:G70, "&gt;=10", B70:G70, "&lt;=19")</f>
        <v>1</v>
      </c>
      <c r="BM70" s="3">
        <f>COUNTIFS(B70:G70, "&gt;=20", B70:G70, "&lt;=29")</f>
        <v>2</v>
      </c>
      <c r="BN70" s="3">
        <f>COUNTIFS(B70:G70, "&gt;=30", B70:G70, "&lt;=39")</f>
        <v>0</v>
      </c>
      <c r="BO70" s="3">
        <f>COUNTIFS(B70:G70, "&gt;=40", B70:G70, "&lt;=45")</f>
        <v>0</v>
      </c>
      <c r="BP70" s="28" t="e">
        <f>#REF!</f>
        <v>#REF!</v>
      </c>
      <c r="BQ70" s="28" t="e">
        <f>#REF!*2</f>
        <v>#REF!</v>
      </c>
      <c r="BR70" s="28" t="e">
        <f>#REF!</f>
        <v>#REF!</v>
      </c>
      <c r="BS70" s="28" t="e">
        <f>#REF!*2</f>
        <v>#REF!</v>
      </c>
      <c r="BT70" s="28" t="e">
        <f>#REF!</f>
        <v>#REF!</v>
      </c>
      <c r="BU70" s="28" t="e">
        <f>#REF!*2</f>
        <v>#REF!</v>
      </c>
      <c r="BV70" s="28" t="e">
        <f>#REF!</f>
        <v>#REF!</v>
      </c>
      <c r="BW70" s="28" t="e">
        <f>#REF!*2</f>
        <v>#REF!</v>
      </c>
      <c r="BX70" s="28" t="e">
        <f>#REF!</f>
        <v>#REF!</v>
      </c>
      <c r="BY70" s="28" t="e">
        <f>#REF!*2</f>
        <v>#REF!</v>
      </c>
      <c r="BZ70" s="28" t="e">
        <f>#REF!</f>
        <v>#REF!</v>
      </c>
      <c r="CA70" s="28" t="e">
        <f>#REF!*2</f>
        <v>#REF!</v>
      </c>
      <c r="CB70" s="9">
        <f>C70-B70</f>
        <v>1</v>
      </c>
      <c r="CC70" s="9">
        <f>D70-C70</f>
        <v>6</v>
      </c>
      <c r="CD70" s="9">
        <f>E70-D70</f>
        <v>6</v>
      </c>
      <c r="CE70" s="9">
        <f>F70-E70</f>
        <v>12</v>
      </c>
      <c r="CF70" s="9">
        <f>G70-F70</f>
        <v>2</v>
      </c>
      <c r="CG70" s="33"/>
      <c r="CH70" s="9">
        <f>C70-B70</f>
        <v>1</v>
      </c>
      <c r="CI70" s="9">
        <f>D70-C70</f>
        <v>6</v>
      </c>
      <c r="CJ70" s="9">
        <f>E70-D70</f>
        <v>6</v>
      </c>
      <c r="CK70" s="9">
        <f>F70-E70</f>
        <v>12</v>
      </c>
      <c r="CL70" s="9">
        <f>G70-F70</f>
        <v>2</v>
      </c>
      <c r="CM70" s="32"/>
      <c r="CN70" s="3">
        <f>IF(OR(CH70="",ISBLANK(CH70),CH70=0),0,IF(MOD(CH70,2)=1,1,2))</f>
        <v>1</v>
      </c>
      <c r="CO70" s="3">
        <f>IF(OR(CI70="",ISBLANK(CI70),CI70=0),0,IF(MOD(CI70,2)=1,1,2))</f>
        <v>2</v>
      </c>
      <c r="CP70" s="3">
        <f>IF(OR(CJ70="",ISBLANK(CJ70),CJ70=0),0,IF(MOD(CJ70,2)=1,1,2))</f>
        <v>2</v>
      </c>
      <c r="CQ70" s="3">
        <f>IF(OR(CK70="",ISBLANK(CK70),CK70=0),0,IF(MOD(CK70,2)=1,1,2))</f>
        <v>2</v>
      </c>
      <c r="CR70" s="3">
        <f>IF(OR(CL70="",ISBLANK(CL70),CL70=0),0,IF(MOD(CL70,2)=1,1,2))</f>
        <v>2</v>
      </c>
      <c r="CS70" s="31"/>
      <c r="CT70" s="3" cm="1">
        <f t="array" ref="CT70">SUMPRODUCT(--(MOD(CH70:CL70,2)=1))</f>
        <v>1</v>
      </c>
      <c r="CU70" s="3">
        <f>5-CT70</f>
        <v>4</v>
      </c>
      <c r="CV70" s="30"/>
      <c r="CW70" s="3" cm="1">
        <f t="array" ref="CW70">SUMPRODUCT(--(MOD(CH70:CL70,10)&gt;=1), --(MOD(CH70:CL70,10)&lt;=5))</f>
        <v>3</v>
      </c>
      <c r="CX70" s="3">
        <f>5-CW70</f>
        <v>2</v>
      </c>
      <c r="CY70" s="30"/>
      <c r="CZ70" s="3" cm="1">
        <f t="array" ref="CZ70">IFERROR(COUNT(_xlfn._xlws.FILTER(CH70:CL70, ISNUMBER(MATCH(CH70:CL70, {2,3,5,7,11,13,17,19,23,29,31,37,41,43}, 0)))), 0)</f>
        <v>1</v>
      </c>
      <c r="DA70" s="3" cm="1">
        <f t="array" ref="DA70">IFERROR(COUNT(_xlfn._xlws.FILTER(CH70:CL70, ISNUMBER(MATCH(CH70:CL70, {1,4,8,10,14,16,20,22,25,26,28,32,34,35,38,40,44}, 0)))), 0)</f>
        <v>1</v>
      </c>
      <c r="DB70" s="3" cm="1">
        <f t="array" ref="DB70">IFERROR(COUNT(_xlfn._xlws.FILTER(CH70:CL70, ISNUMBER(MATCH(CH70:CL70, {6,9,12,15,18,21,24,27,30,33,36,39,42,45}, 0)))), 0)</f>
        <v>3</v>
      </c>
      <c r="DC70" s="29"/>
      <c r="DD70" s="28" t="e">
        <f>#REF!</f>
        <v>#REF!</v>
      </c>
      <c r="DE70" s="28" t="e">
        <f>#REF!*2</f>
        <v>#REF!</v>
      </c>
      <c r="DF70" s="28" t="e">
        <f>#REF!</f>
        <v>#REF!</v>
      </c>
      <c r="DG70" s="28" t="e">
        <f>#REF!*2</f>
        <v>#REF!</v>
      </c>
      <c r="DH70" s="28" t="e">
        <f>#REF!</f>
        <v>#REF!</v>
      </c>
      <c r="DI70" s="28" t="e">
        <f>#REF!*2</f>
        <v>#REF!</v>
      </c>
      <c r="DJ70" s="28" t="e">
        <f>#REF!</f>
        <v>#REF!</v>
      </c>
      <c r="DK70" s="28" t="e">
        <f>#REF!*2</f>
        <v>#REF!</v>
      </c>
      <c r="DL70" s="28" t="e">
        <f>#REF!</f>
        <v>#REF!</v>
      </c>
      <c r="DM70" s="28" t="e">
        <f>#REF!*2</f>
        <v>#REF!</v>
      </c>
      <c r="DN70" s="27"/>
      <c r="DO70" s="26" t="str" cm="1">
        <f t="array" ref="DO70">_xlfn.IFS(
   OR(CH70="",ISBLANK(CH70),CH70=0),0,
   ISNUMBER(MATCH(CH70,{2,3,5,7,11,13,17,19,23,29,31,37,41,43},0)),"소",
   AND(ISNUMBER(CH70),MOD(CH70,3)=0),"배",
   AND(ISNUMBER(CH70),CH70&gt;0),"자"
)</f>
        <v>자</v>
      </c>
      <c r="DP70" s="26" t="str" cm="1">
        <f t="array" ref="DP70">_xlfn.IFS(
   OR(CI70="",ISBLANK(CI70),CI70=0),0,
   ISNUMBER(MATCH(CI70,{2,3,5,7,11,13,17,19,23,29,31,37,41,43},0)),"소",
   AND(ISNUMBER(CI70),MOD(CI70,3)=0),"배",
   AND(ISNUMBER(CI70),CI70&gt;0),"자"
)</f>
        <v>배</v>
      </c>
      <c r="DQ70" s="26" t="str" cm="1">
        <f t="array" ref="DQ70">_xlfn.IFS(
   OR(CJ70="",ISBLANK(CJ70),CJ70=0),0,
   ISNUMBER(MATCH(CJ70,{2,3,5,7,11,13,17,19,23,29,31,37,41,43},0)),"소",
   AND(ISNUMBER(CJ70),MOD(CJ70,3)=0),"배",
   AND(ISNUMBER(CJ70),CJ70&gt;0),"자"
)</f>
        <v>배</v>
      </c>
      <c r="DR70" s="26" t="str" cm="1">
        <f t="array" ref="DR70">_xlfn.IFS(
   OR(CK70="",ISBLANK(CK70),CK70=0),0,
   ISNUMBER(MATCH(CK70,{2,3,5,7,11,13,17,19,23,29,31,37,41,43},0)),"소",
   AND(ISNUMBER(CK70),MOD(CK70,3)=0),"배",
   AND(ISNUMBER(CK70),CK70&gt;0),"자"
)</f>
        <v>배</v>
      </c>
      <c r="DS70" s="26" t="str" cm="1">
        <f t="array" ref="DS70">_xlfn.IFS(
   OR(CL70="",ISBLANK(CL70),CL70=0),0,
   ISNUMBER(MATCH(CL70,{2,3,5,7,11,13,17,19,23,29,31,37,41,43},0)),"소",
   AND(ISNUMBER(CL70),MOD(CL70,3)=0),"배",
   AND(ISNUMBER(CL70),CL70&gt;0),"자"
)</f>
        <v>소</v>
      </c>
      <c r="DT70" s="25"/>
    </row>
    <row r="71" spans="2:124" x14ac:dyDescent="0.3">
      <c r="B71" s="3">
        <v>30</v>
      </c>
      <c r="C71" s="3">
        <v>31</v>
      </c>
      <c r="D71" s="3">
        <v>32</v>
      </c>
      <c r="E71" s="3">
        <v>35</v>
      </c>
      <c r="F71" s="3">
        <v>36</v>
      </c>
      <c r="G71" s="3">
        <v>37</v>
      </c>
      <c r="H71" s="32"/>
      <c r="I71" s="3">
        <f>IF(OR(B71="",ISBLANK(B71),B71=0),0,IF(MOD(B71,2)=1,1,2))</f>
        <v>2</v>
      </c>
      <c r="J71" s="3">
        <f>IF(OR(C71="",ISBLANK(C71),C71=0),0,IF(MOD(C71,2)=1,1,2))</f>
        <v>1</v>
      </c>
      <c r="K71" s="3">
        <f>IF(OR(D71="",ISBLANK(D71),D71=0),0,IF(MOD(D71,2)=1,1,2))</f>
        <v>2</v>
      </c>
      <c r="L71" s="3">
        <f>IF(OR(E71="",ISBLANK(E71),E71=0),0,IF(MOD(E71,2)=1,1,2))</f>
        <v>1</v>
      </c>
      <c r="M71" s="3">
        <f>IF(OR(F71="",ISBLANK(F71),F71=0),0,IF(MOD(F71,2)=1,1,2))</f>
        <v>2</v>
      </c>
      <c r="N71" s="3">
        <f>IF(OR(G71="",ISBLANK(G71),G71=0),0,IF(MOD(G71,2)=1,1,2))</f>
        <v>1</v>
      </c>
      <c r="O71" s="32"/>
      <c r="P71" s="3" cm="1">
        <f t="array" ref="P71">SUMPRODUCT(--(MOD(B71:G71,2)=1))</f>
        <v>3</v>
      </c>
      <c r="Q71" s="3">
        <f>6-P71</f>
        <v>3</v>
      </c>
      <c r="R71" s="34"/>
      <c r="S71" s="3">
        <f>COUNTIFS(B71:G71,"&gt;=1",B71:G71,"&lt;=23")</f>
        <v>0</v>
      </c>
      <c r="T71" s="3">
        <f>6-S71</f>
        <v>6</v>
      </c>
      <c r="U71" s="34"/>
      <c r="V71" s="3" cm="1">
        <f t="array" ref="V71">SUMPRODUCT(--(MOD(B71:G71,10)&gt;=1), --(MOD(B71:G71,10)&lt;=5))</f>
        <v>3</v>
      </c>
      <c r="W71" s="3">
        <f>6-V71</f>
        <v>3</v>
      </c>
      <c r="X71" s="34"/>
      <c r="Y71" s="3" cm="1">
        <f t="array" ref="Y71">IFERROR(COUNT(_xlfn._xlws.FILTER(B71:G71, ISNUMBER(MATCH(B71:G71, {2,3,5,7,11,13,17,19,23,29,31,37,41,43}, 0)))), 0)</f>
        <v>2</v>
      </c>
      <c r="Z71" s="3" cm="1">
        <f t="array" ref="Z71">IFERROR(COUNT(_xlfn._xlws.FILTER(B71:G71, ISNUMBER(MATCH(B71:G71, {1,4,8,10,14,16,20,22,25,26,28,32,34,35,38,40,44}, 0)))), 0)</f>
        <v>2</v>
      </c>
      <c r="AA71" s="3" cm="1">
        <f t="array" ref="AA71">IFERROR(COUNT(_xlfn._xlws.FILTER(B71:G71, ISNUMBER(MATCH(B71:G71, {6,9,12,15,18,21,24,27,30,33,36,39,42,45}, 0)))), 0)</f>
        <v>2</v>
      </c>
      <c r="AB71" s="30"/>
      <c r="AC71" s="26" t="str" cm="1">
        <f t="array" ref="AC71">_xlfn.IFS(
   OR(B71="",ISBLANK(B71),B71=0),0,
   ISNUMBER(MATCH(B71,{2,3,5,7,11,13,17,19,23,29,31,37,41,43},0)),"소",
   AND(ISNUMBER(B71),MOD(B71,3)=0),"배",
   AND(ISNUMBER(B71),B71&gt;0),"자"
)</f>
        <v>배</v>
      </c>
      <c r="AD71" s="26" t="str" cm="1">
        <f t="array" ref="AD71">_xlfn.IFS(
   OR(C71="",ISBLANK(C71),C71=0),0,
   ISNUMBER(MATCH(C71,{2,3,5,7,11,13,17,19,23,29,31,37,41,43},0)),"소",
   AND(ISNUMBER(C71),MOD(C71,3)=0),"배",
   AND(ISNUMBER(C71),C71&gt;0),"자"
)</f>
        <v>소</v>
      </c>
      <c r="AE71" s="26" t="str" cm="1">
        <f t="array" ref="AE71">_xlfn.IFS(
   OR(D71="",ISBLANK(D71),D71=0),0,
   ISNUMBER(MATCH(D71,{2,3,5,7,11,13,17,19,23,29,31,37,41,43},0)),"소",
   AND(ISNUMBER(D71),MOD(D71,3)=0),"배",
   AND(ISNUMBER(D71),D71&gt;0),"자"
)</f>
        <v>자</v>
      </c>
      <c r="AF71" s="26" t="str" cm="1">
        <f t="array" ref="AF71">_xlfn.IFS(
   OR(E71="",ISBLANK(E71),E71=0),0,
   ISNUMBER(MATCH(E71,{2,3,5,7,11,13,17,19,23,29,31,37,41,43},0)),"소",
   AND(ISNUMBER(E71),MOD(E71,3)=0),"배",
   AND(ISNUMBER(E71),E71&gt;0),"자"
)</f>
        <v>자</v>
      </c>
      <c r="AG71" s="26" t="str" cm="1">
        <f t="array" ref="AG71">_xlfn.IFS(
   OR(F71="",ISBLANK(F71),F71=0),0,
   ISNUMBER(MATCH(F71,{2,3,5,7,11,13,17,19,23,29,31,37,41,43},0)),"소",
   AND(ISNUMBER(F71),MOD(F71,3)=0),"배",
   AND(ISNUMBER(F71),F71&gt;0),"자"
)</f>
        <v>배</v>
      </c>
      <c r="AH71" s="26" t="str" cm="1">
        <f t="array" ref="AH71">_xlfn.IFS(
   OR(G71="",ISBLANK(G71),G71=0),0,
   ISNUMBER(MATCH(G71,{2,3,5,7,11,13,17,19,23,29,31,37,41,43},0)),"소",
   AND(ISNUMBER(G71),MOD(G71,3)=0),"배",
   AND(ISNUMBER(G71),G71&gt;0),"자"
)</f>
        <v>소</v>
      </c>
      <c r="AI71" s="30"/>
      <c r="AJ71" s="3">
        <f>COUNTIFS(B71:G71,"&gt;=1",B71:G71,"&lt;=14")</f>
        <v>0</v>
      </c>
      <c r="AK71" s="3">
        <f>COUNTIFS(B71:G71,"&gt;=15",B71:G71,"&lt;=31")</f>
        <v>2</v>
      </c>
      <c r="AL71" s="3">
        <f>6-AK71-AJ71</f>
        <v>4</v>
      </c>
      <c r="AM71" s="33"/>
      <c r="AN71" s="3">
        <f>COUNTIFS($B71:$G71, "&gt;=1",$B71:$G71, "&lt;=9")</f>
        <v>0</v>
      </c>
      <c r="AO71" s="3">
        <f>COUNTIFS($B71:$G71, "&gt;=10",$B71:$G71, "&lt;=18")</f>
        <v>0</v>
      </c>
      <c r="AP71" s="3">
        <f>COUNTIFS($B71:$G71, "&gt;=19",$B71:$G71, "&lt;=27")</f>
        <v>0</v>
      </c>
      <c r="AQ71" s="3">
        <f>COUNTIFS($B71:$G71, "&gt;=28",$B71:$G71, "&lt;=36")</f>
        <v>5</v>
      </c>
      <c r="AR71" s="3">
        <f>COUNTIFS($B71:$G71, "&gt;=37",$B71:$G71, "&lt;=45")</f>
        <v>1</v>
      </c>
      <c r="AS71" s="28" t="e">
        <f>#REF!</f>
        <v>#REF!</v>
      </c>
      <c r="AT71" s="28" t="e">
        <f>#REF!*2</f>
        <v>#REF!</v>
      </c>
      <c r="AU71" s="28" t="e">
        <f>#REF!</f>
        <v>#REF!</v>
      </c>
      <c r="AV71" s="28" t="e">
        <f>#REF!*2</f>
        <v>#REF!</v>
      </c>
      <c r="AW71" s="28" t="e">
        <f>#REF!</f>
        <v>#REF!</v>
      </c>
      <c r="AX71" s="28" t="e">
        <f>#REF!*2</f>
        <v>#REF!</v>
      </c>
      <c r="AY71" s="28" t="e">
        <f>#REF!</f>
        <v>#REF!</v>
      </c>
      <c r="AZ71" s="28" t="e">
        <f>#REF!*2</f>
        <v>#REF!</v>
      </c>
      <c r="BA71" s="28" t="e">
        <f>#REF!</f>
        <v>#REF!</v>
      </c>
      <c r="BB71" s="28" t="e">
        <f>#REF!*2</f>
        <v>#REF!</v>
      </c>
      <c r="BC71" s="28" t="e">
        <f>#REF!</f>
        <v>#REF!</v>
      </c>
      <c r="BD71" s="28" t="e">
        <f>#REF!*2</f>
        <v>#REF!</v>
      </c>
      <c r="BE71" s="9" t="e">
        <f>#REF!-#REF!</f>
        <v>#REF!</v>
      </c>
      <c r="BF71" s="9" t="e">
        <f>#REF!-#REF!</f>
        <v>#REF!</v>
      </c>
      <c r="BG71" s="9" t="e">
        <f>#REF!-#REF!</f>
        <v>#REF!</v>
      </c>
      <c r="BH71" s="9" t="e">
        <f>#REF!-#REF!</f>
        <v>#REF!</v>
      </c>
      <c r="BI71" s="9" t="e">
        <f>#REF!-#REF!</f>
        <v>#REF!</v>
      </c>
      <c r="BJ71" s="33"/>
      <c r="BK71" s="3">
        <f>COUNTIFS(B71:G71, "&gt;=1", B71:G71, "&lt;=9")</f>
        <v>0</v>
      </c>
      <c r="BL71" s="3">
        <f>COUNTIFS(B71:G71, "&gt;=10", B71:G71, "&lt;=19")</f>
        <v>0</v>
      </c>
      <c r="BM71" s="3">
        <f>COUNTIFS(B71:G71, "&gt;=20", B71:G71, "&lt;=29")</f>
        <v>0</v>
      </c>
      <c r="BN71" s="3">
        <f>COUNTIFS(B71:G71, "&gt;=30", B71:G71, "&lt;=39")</f>
        <v>6</v>
      </c>
      <c r="BO71" s="3">
        <f>COUNTIFS(B71:G71, "&gt;=40", B71:G71, "&lt;=45")</f>
        <v>0</v>
      </c>
      <c r="BP71" s="28" t="e">
        <f>#REF!</f>
        <v>#REF!</v>
      </c>
      <c r="BQ71" s="28" t="e">
        <f>#REF!*2</f>
        <v>#REF!</v>
      </c>
      <c r="BR71" s="28" t="e">
        <f>#REF!</f>
        <v>#REF!</v>
      </c>
      <c r="BS71" s="28" t="e">
        <f>#REF!*2</f>
        <v>#REF!</v>
      </c>
      <c r="BT71" s="28" t="e">
        <f>#REF!</f>
        <v>#REF!</v>
      </c>
      <c r="BU71" s="28" t="e">
        <f>#REF!*2</f>
        <v>#REF!</v>
      </c>
      <c r="BV71" s="28" t="e">
        <f>#REF!</f>
        <v>#REF!</v>
      </c>
      <c r="BW71" s="28" t="e">
        <f>#REF!*2</f>
        <v>#REF!</v>
      </c>
      <c r="BX71" s="28" t="e">
        <f>#REF!</f>
        <v>#REF!</v>
      </c>
      <c r="BY71" s="28" t="e">
        <f>#REF!*2</f>
        <v>#REF!</v>
      </c>
      <c r="BZ71" s="28" t="e">
        <f>#REF!</f>
        <v>#REF!</v>
      </c>
      <c r="CA71" s="28" t="e">
        <f>#REF!*2</f>
        <v>#REF!</v>
      </c>
      <c r="CB71" s="9">
        <f>C71-B71</f>
        <v>1</v>
      </c>
      <c r="CC71" s="9">
        <f>D71-C71</f>
        <v>1</v>
      </c>
      <c r="CD71" s="9">
        <f>E71-D71</f>
        <v>3</v>
      </c>
      <c r="CE71" s="9">
        <f>F71-E71</f>
        <v>1</v>
      </c>
      <c r="CF71" s="9">
        <f>G71-F71</f>
        <v>1</v>
      </c>
      <c r="CG71" s="33"/>
      <c r="CH71" s="9">
        <f>C71-B71</f>
        <v>1</v>
      </c>
      <c r="CI71" s="9">
        <f>D71-C71</f>
        <v>1</v>
      </c>
      <c r="CJ71" s="9">
        <f>E71-D71</f>
        <v>3</v>
      </c>
      <c r="CK71" s="9">
        <f>F71-E71</f>
        <v>1</v>
      </c>
      <c r="CL71" s="9">
        <f>G71-F71</f>
        <v>1</v>
      </c>
      <c r="CM71" s="32"/>
      <c r="CN71" s="3">
        <f>IF(OR(CH71="",ISBLANK(CH71),CH71=0),0,IF(MOD(CH71,2)=1,1,2))</f>
        <v>1</v>
      </c>
      <c r="CO71" s="3">
        <f>IF(OR(CI71="",ISBLANK(CI71),CI71=0),0,IF(MOD(CI71,2)=1,1,2))</f>
        <v>1</v>
      </c>
      <c r="CP71" s="3">
        <f>IF(OR(CJ71="",ISBLANK(CJ71),CJ71=0),0,IF(MOD(CJ71,2)=1,1,2))</f>
        <v>1</v>
      </c>
      <c r="CQ71" s="3">
        <f>IF(OR(CK71="",ISBLANK(CK71),CK71=0),0,IF(MOD(CK71,2)=1,1,2))</f>
        <v>1</v>
      </c>
      <c r="CR71" s="3">
        <f>IF(OR(CL71="",ISBLANK(CL71),CL71=0),0,IF(MOD(CL71,2)=1,1,2))</f>
        <v>1</v>
      </c>
      <c r="CS71" s="31"/>
      <c r="CT71" s="3" cm="1">
        <f t="array" ref="CT71">SUMPRODUCT(--(MOD(CH71:CL71,2)=1))</f>
        <v>5</v>
      </c>
      <c r="CU71" s="3">
        <f>5-CT71</f>
        <v>0</v>
      </c>
      <c r="CV71" s="30"/>
      <c r="CW71" s="3" cm="1">
        <f t="array" ref="CW71">SUMPRODUCT(--(MOD(CH71:CL71,10)&gt;=1), --(MOD(CH71:CL71,10)&lt;=5))</f>
        <v>5</v>
      </c>
      <c r="CX71" s="3">
        <f>5-CW71</f>
        <v>0</v>
      </c>
      <c r="CY71" s="30"/>
      <c r="CZ71" s="3" cm="1">
        <f t="array" ref="CZ71">IFERROR(COUNT(_xlfn._xlws.FILTER(CH71:CL71, ISNUMBER(MATCH(CH71:CL71, {2,3,5,7,11,13,17,19,23,29,31,37,41,43}, 0)))), 0)</f>
        <v>1</v>
      </c>
      <c r="DA71" s="3" cm="1">
        <f t="array" ref="DA71">IFERROR(COUNT(_xlfn._xlws.FILTER(CH71:CL71, ISNUMBER(MATCH(CH71:CL71, {1,4,8,10,14,16,20,22,25,26,28,32,34,35,38,40,44}, 0)))), 0)</f>
        <v>4</v>
      </c>
      <c r="DB71" s="3" cm="1">
        <f t="array" ref="DB71">IFERROR(COUNT(_xlfn._xlws.FILTER(CH71:CL71, ISNUMBER(MATCH(CH71:CL71, {6,9,12,15,18,21,24,27,30,33,36,39,42,45}, 0)))), 0)</f>
        <v>0</v>
      </c>
      <c r="DC71" s="29"/>
      <c r="DD71" s="28" t="e">
        <f>#REF!</f>
        <v>#REF!</v>
      </c>
      <c r="DE71" s="28" t="e">
        <f>#REF!*2</f>
        <v>#REF!</v>
      </c>
      <c r="DF71" s="28" t="e">
        <f>#REF!</f>
        <v>#REF!</v>
      </c>
      <c r="DG71" s="28" t="e">
        <f>#REF!*2</f>
        <v>#REF!</v>
      </c>
      <c r="DH71" s="28" t="e">
        <f>#REF!</f>
        <v>#REF!</v>
      </c>
      <c r="DI71" s="28" t="e">
        <f>#REF!*2</f>
        <v>#REF!</v>
      </c>
      <c r="DJ71" s="28" t="e">
        <f>#REF!</f>
        <v>#REF!</v>
      </c>
      <c r="DK71" s="28" t="e">
        <f>#REF!*2</f>
        <v>#REF!</v>
      </c>
      <c r="DL71" s="28" t="e">
        <f>#REF!</f>
        <v>#REF!</v>
      </c>
      <c r="DM71" s="28" t="e">
        <f>#REF!*2</f>
        <v>#REF!</v>
      </c>
      <c r="DN71" s="27"/>
      <c r="DO71" s="26" t="str" cm="1">
        <f t="array" ref="DO71">_xlfn.IFS(
   OR(CH71="",ISBLANK(CH71),CH71=0),0,
   ISNUMBER(MATCH(CH71,{2,3,5,7,11,13,17,19,23,29,31,37,41,43},0)),"소",
   AND(ISNUMBER(CH71),MOD(CH71,3)=0),"배",
   AND(ISNUMBER(CH71),CH71&gt;0),"자"
)</f>
        <v>자</v>
      </c>
      <c r="DP71" s="26" t="str" cm="1">
        <f t="array" ref="DP71">_xlfn.IFS(
   OR(CI71="",ISBLANK(CI71),CI71=0),0,
   ISNUMBER(MATCH(CI71,{2,3,5,7,11,13,17,19,23,29,31,37,41,43},0)),"소",
   AND(ISNUMBER(CI71),MOD(CI71,3)=0),"배",
   AND(ISNUMBER(CI71),CI71&gt;0),"자"
)</f>
        <v>자</v>
      </c>
      <c r="DQ71" s="26" t="str" cm="1">
        <f t="array" ref="DQ71">_xlfn.IFS(
   OR(CJ71="",ISBLANK(CJ71),CJ71=0),0,
   ISNUMBER(MATCH(CJ71,{2,3,5,7,11,13,17,19,23,29,31,37,41,43},0)),"소",
   AND(ISNUMBER(CJ71),MOD(CJ71,3)=0),"배",
   AND(ISNUMBER(CJ71),CJ71&gt;0),"자"
)</f>
        <v>소</v>
      </c>
      <c r="DR71" s="26" t="str" cm="1">
        <f t="array" ref="DR71">_xlfn.IFS(
   OR(CK71="",ISBLANK(CK71),CK71=0),0,
   ISNUMBER(MATCH(CK71,{2,3,5,7,11,13,17,19,23,29,31,37,41,43},0)),"소",
   AND(ISNUMBER(CK71),MOD(CK71,3)=0),"배",
   AND(ISNUMBER(CK71),CK71&gt;0),"자"
)</f>
        <v>자</v>
      </c>
      <c r="DS71" s="26" t="str" cm="1">
        <f t="array" ref="DS71">_xlfn.IFS(
   OR(CL71="",ISBLANK(CL71),CL71=0),0,
   ISNUMBER(MATCH(CL71,{2,3,5,7,11,13,17,19,23,29,31,37,41,43},0)),"소",
   AND(ISNUMBER(CL71),MOD(CL71,3)=0),"배",
   AND(ISNUMBER(CL71),CL71&gt;0),"자"
)</f>
        <v>자</v>
      </c>
      <c r="DT71" s="25"/>
    </row>
    <row r="72" spans="2:124" x14ac:dyDescent="0.3">
      <c r="B72" s="3">
        <v>1</v>
      </c>
      <c r="C72" s="3">
        <v>9</v>
      </c>
      <c r="D72" s="3">
        <v>10</v>
      </c>
      <c r="E72" s="3">
        <v>13</v>
      </c>
      <c r="F72" s="3">
        <v>35</v>
      </c>
      <c r="G72" s="3">
        <v>44</v>
      </c>
      <c r="H72" s="32"/>
      <c r="I72" s="3">
        <f>IF(OR(B72="",ISBLANK(B72),B72=0),0,IF(MOD(B72,2)=1,1,2))</f>
        <v>1</v>
      </c>
      <c r="J72" s="3">
        <f>IF(OR(C72="",ISBLANK(C72),C72=0),0,IF(MOD(C72,2)=1,1,2))</f>
        <v>1</v>
      </c>
      <c r="K72" s="3">
        <f>IF(OR(D72="",ISBLANK(D72),D72=0),0,IF(MOD(D72,2)=1,1,2))</f>
        <v>2</v>
      </c>
      <c r="L72" s="3">
        <f>IF(OR(E72="",ISBLANK(E72),E72=0),0,IF(MOD(E72,2)=1,1,2))</f>
        <v>1</v>
      </c>
      <c r="M72" s="3">
        <f>IF(OR(F72="",ISBLANK(F72),F72=0),0,IF(MOD(F72,2)=1,1,2))</f>
        <v>1</v>
      </c>
      <c r="N72" s="3">
        <f>IF(OR(G72="",ISBLANK(G72),G72=0),0,IF(MOD(G72,2)=1,1,2))</f>
        <v>2</v>
      </c>
      <c r="O72" s="32"/>
      <c r="P72" s="3" cm="1">
        <f t="array" ref="P72">SUMPRODUCT(--(MOD(B72:G72,2)=1))</f>
        <v>4</v>
      </c>
      <c r="Q72" s="3">
        <f>6-P72</f>
        <v>2</v>
      </c>
      <c r="R72" s="34"/>
      <c r="S72" s="3">
        <f>COUNTIFS(B72:G72,"&gt;=1",B72:G72,"&lt;=23")</f>
        <v>4</v>
      </c>
      <c r="T72" s="3">
        <f>6-S72</f>
        <v>2</v>
      </c>
      <c r="U72" s="34"/>
      <c r="V72" s="3" cm="1">
        <f t="array" ref="V72">SUMPRODUCT(--(MOD(B72:G72,10)&gt;=1), --(MOD(B72:G72,10)&lt;=5))</f>
        <v>4</v>
      </c>
      <c r="W72" s="3">
        <f>6-V72</f>
        <v>2</v>
      </c>
      <c r="X72" s="34"/>
      <c r="Y72" s="3" cm="1">
        <f t="array" ref="Y72">IFERROR(COUNT(_xlfn._xlws.FILTER(B72:G72, ISNUMBER(MATCH(B72:G72, {2,3,5,7,11,13,17,19,23,29,31,37,41,43}, 0)))), 0)</f>
        <v>1</v>
      </c>
      <c r="Z72" s="3" cm="1">
        <f t="array" ref="Z72">IFERROR(COUNT(_xlfn._xlws.FILTER(B72:G72, ISNUMBER(MATCH(B72:G72, {1,4,8,10,14,16,20,22,25,26,28,32,34,35,38,40,44}, 0)))), 0)</f>
        <v>4</v>
      </c>
      <c r="AA72" s="3" cm="1">
        <f t="array" ref="AA72">IFERROR(COUNT(_xlfn._xlws.FILTER(B72:G72, ISNUMBER(MATCH(B72:G72, {6,9,12,15,18,21,24,27,30,33,36,39,42,45}, 0)))), 0)</f>
        <v>1</v>
      </c>
      <c r="AB72" s="30"/>
      <c r="AC72" s="26" t="str" cm="1">
        <f t="array" ref="AC72">_xlfn.IFS(
   OR(B72="",ISBLANK(B72),B72=0),0,
   ISNUMBER(MATCH(B72,{2,3,5,7,11,13,17,19,23,29,31,37,41,43},0)),"소",
   AND(ISNUMBER(B72),MOD(B72,3)=0),"배",
   AND(ISNUMBER(B72),B72&gt;0),"자"
)</f>
        <v>자</v>
      </c>
      <c r="AD72" s="26" t="str" cm="1">
        <f t="array" ref="AD72">_xlfn.IFS(
   OR(C72="",ISBLANK(C72),C72=0),0,
   ISNUMBER(MATCH(C72,{2,3,5,7,11,13,17,19,23,29,31,37,41,43},0)),"소",
   AND(ISNUMBER(C72),MOD(C72,3)=0),"배",
   AND(ISNUMBER(C72),C72&gt;0),"자"
)</f>
        <v>배</v>
      </c>
      <c r="AE72" s="26" t="str" cm="1">
        <f t="array" ref="AE72">_xlfn.IFS(
   OR(D72="",ISBLANK(D72),D72=0),0,
   ISNUMBER(MATCH(D72,{2,3,5,7,11,13,17,19,23,29,31,37,41,43},0)),"소",
   AND(ISNUMBER(D72),MOD(D72,3)=0),"배",
   AND(ISNUMBER(D72),D72&gt;0),"자"
)</f>
        <v>자</v>
      </c>
      <c r="AF72" s="26" t="str" cm="1">
        <f t="array" ref="AF72">_xlfn.IFS(
   OR(E72="",ISBLANK(E72),E72=0),0,
   ISNUMBER(MATCH(E72,{2,3,5,7,11,13,17,19,23,29,31,37,41,43},0)),"소",
   AND(ISNUMBER(E72),MOD(E72,3)=0),"배",
   AND(ISNUMBER(E72),E72&gt;0),"자"
)</f>
        <v>소</v>
      </c>
      <c r="AG72" s="26" t="str" cm="1">
        <f t="array" ref="AG72">_xlfn.IFS(
   OR(F72="",ISBLANK(F72),F72=0),0,
   ISNUMBER(MATCH(F72,{2,3,5,7,11,13,17,19,23,29,31,37,41,43},0)),"소",
   AND(ISNUMBER(F72),MOD(F72,3)=0),"배",
   AND(ISNUMBER(F72),F72&gt;0),"자"
)</f>
        <v>자</v>
      </c>
      <c r="AH72" s="26" t="str" cm="1">
        <f t="array" ref="AH72">_xlfn.IFS(
   OR(G72="",ISBLANK(G72),G72=0),0,
   ISNUMBER(MATCH(G72,{2,3,5,7,11,13,17,19,23,29,31,37,41,43},0)),"소",
   AND(ISNUMBER(G72),MOD(G72,3)=0),"배",
   AND(ISNUMBER(G72),G72&gt;0),"자"
)</f>
        <v>자</v>
      </c>
      <c r="AI72" s="30"/>
      <c r="AJ72" s="3">
        <f>COUNTIFS(B72:G72,"&gt;=1",B72:G72,"&lt;=14")</f>
        <v>4</v>
      </c>
      <c r="AK72" s="3">
        <f>COUNTIFS(B72:G72,"&gt;=15",B72:G72,"&lt;=31")</f>
        <v>0</v>
      </c>
      <c r="AL72" s="3">
        <f>6-AK72-AJ72</f>
        <v>2</v>
      </c>
      <c r="AM72" s="33"/>
      <c r="AN72" s="3">
        <f>COUNTIFS($B72:$G72, "&gt;=1",$B72:$G72, "&lt;=9")</f>
        <v>2</v>
      </c>
      <c r="AO72" s="3">
        <f>COUNTIFS($B72:$G72, "&gt;=10",$B72:$G72, "&lt;=18")</f>
        <v>2</v>
      </c>
      <c r="AP72" s="3">
        <f>COUNTIFS($B72:$G72, "&gt;=19",$B72:$G72, "&lt;=27")</f>
        <v>0</v>
      </c>
      <c r="AQ72" s="3">
        <f>COUNTIFS($B72:$G72, "&gt;=28",$B72:$G72, "&lt;=36")</f>
        <v>1</v>
      </c>
      <c r="AR72" s="3">
        <f>COUNTIFS($B72:$G72, "&gt;=37",$B72:$G72, "&lt;=45")</f>
        <v>1</v>
      </c>
      <c r="AS72" s="28" t="e">
        <f>#REF!</f>
        <v>#REF!</v>
      </c>
      <c r="AT72" s="28" t="e">
        <f>#REF!*2</f>
        <v>#REF!</v>
      </c>
      <c r="AU72" s="28" t="e">
        <f>#REF!</f>
        <v>#REF!</v>
      </c>
      <c r="AV72" s="28" t="e">
        <f>#REF!*2</f>
        <v>#REF!</v>
      </c>
      <c r="AW72" s="28" t="e">
        <f>#REF!</f>
        <v>#REF!</v>
      </c>
      <c r="AX72" s="28" t="e">
        <f>#REF!*2</f>
        <v>#REF!</v>
      </c>
      <c r="AY72" s="28" t="e">
        <f>#REF!</f>
        <v>#REF!</v>
      </c>
      <c r="AZ72" s="28" t="e">
        <f>#REF!*2</f>
        <v>#REF!</v>
      </c>
      <c r="BA72" s="28" t="e">
        <f>#REF!</f>
        <v>#REF!</v>
      </c>
      <c r="BB72" s="28" t="e">
        <f>#REF!*2</f>
        <v>#REF!</v>
      </c>
      <c r="BC72" s="28" t="e">
        <f>#REF!</f>
        <v>#REF!</v>
      </c>
      <c r="BD72" s="28" t="e">
        <f>#REF!*2</f>
        <v>#REF!</v>
      </c>
      <c r="BE72" s="9" t="e">
        <f>#REF!-#REF!</f>
        <v>#REF!</v>
      </c>
      <c r="BF72" s="9" t="e">
        <f>#REF!-#REF!</f>
        <v>#REF!</v>
      </c>
      <c r="BG72" s="9" t="e">
        <f>#REF!-#REF!</f>
        <v>#REF!</v>
      </c>
      <c r="BH72" s="9" t="e">
        <f>#REF!-#REF!</f>
        <v>#REF!</v>
      </c>
      <c r="BI72" s="9" t="e">
        <f>#REF!-#REF!</f>
        <v>#REF!</v>
      </c>
      <c r="BJ72" s="33"/>
      <c r="BK72" s="3">
        <f>COUNTIFS(B72:G72, "&gt;=1", B72:G72, "&lt;=9")</f>
        <v>2</v>
      </c>
      <c r="BL72" s="3">
        <f>COUNTIFS(B72:G72, "&gt;=10", B72:G72, "&lt;=19")</f>
        <v>2</v>
      </c>
      <c r="BM72" s="3">
        <f>COUNTIFS(B72:G72, "&gt;=20", B72:G72, "&lt;=29")</f>
        <v>0</v>
      </c>
      <c r="BN72" s="3">
        <f>COUNTIFS(B72:G72, "&gt;=30", B72:G72, "&lt;=39")</f>
        <v>1</v>
      </c>
      <c r="BO72" s="3">
        <f>COUNTIFS(B72:G72, "&gt;=40", B72:G72, "&lt;=45")</f>
        <v>1</v>
      </c>
      <c r="BP72" s="28" t="e">
        <f>#REF!</f>
        <v>#REF!</v>
      </c>
      <c r="BQ72" s="28" t="e">
        <f>#REF!*2</f>
        <v>#REF!</v>
      </c>
      <c r="BR72" s="28" t="e">
        <f>#REF!</f>
        <v>#REF!</v>
      </c>
      <c r="BS72" s="28" t="e">
        <f>#REF!*2</f>
        <v>#REF!</v>
      </c>
      <c r="BT72" s="28" t="e">
        <f>#REF!</f>
        <v>#REF!</v>
      </c>
      <c r="BU72" s="28" t="e">
        <f>#REF!*2</f>
        <v>#REF!</v>
      </c>
      <c r="BV72" s="28" t="e">
        <f>#REF!</f>
        <v>#REF!</v>
      </c>
      <c r="BW72" s="28" t="e">
        <f>#REF!*2</f>
        <v>#REF!</v>
      </c>
      <c r="BX72" s="28" t="e">
        <f>#REF!</f>
        <v>#REF!</v>
      </c>
      <c r="BY72" s="28" t="e">
        <f>#REF!*2</f>
        <v>#REF!</v>
      </c>
      <c r="BZ72" s="28" t="e">
        <f>#REF!</f>
        <v>#REF!</v>
      </c>
      <c r="CA72" s="28" t="e">
        <f>#REF!*2</f>
        <v>#REF!</v>
      </c>
      <c r="CB72" s="9">
        <f>C72-B72</f>
        <v>8</v>
      </c>
      <c r="CC72" s="9">
        <f>D72-C72</f>
        <v>1</v>
      </c>
      <c r="CD72" s="9">
        <f>E72-D72</f>
        <v>3</v>
      </c>
      <c r="CE72" s="9">
        <f>F72-E72</f>
        <v>22</v>
      </c>
      <c r="CF72" s="9">
        <f>G72-F72</f>
        <v>9</v>
      </c>
      <c r="CG72" s="33"/>
      <c r="CH72" s="9">
        <f>C72-B72</f>
        <v>8</v>
      </c>
      <c r="CI72" s="9">
        <f>D72-C72</f>
        <v>1</v>
      </c>
      <c r="CJ72" s="9">
        <f>E72-D72</f>
        <v>3</v>
      </c>
      <c r="CK72" s="9">
        <f>F72-E72</f>
        <v>22</v>
      </c>
      <c r="CL72" s="9">
        <f>G72-F72</f>
        <v>9</v>
      </c>
      <c r="CM72" s="32"/>
      <c r="CN72" s="3">
        <f>IF(OR(CH72="",ISBLANK(CH72),CH72=0),0,IF(MOD(CH72,2)=1,1,2))</f>
        <v>2</v>
      </c>
      <c r="CO72" s="3">
        <f>IF(OR(CI72="",ISBLANK(CI72),CI72=0),0,IF(MOD(CI72,2)=1,1,2))</f>
        <v>1</v>
      </c>
      <c r="CP72" s="3">
        <f>IF(OR(CJ72="",ISBLANK(CJ72),CJ72=0),0,IF(MOD(CJ72,2)=1,1,2))</f>
        <v>1</v>
      </c>
      <c r="CQ72" s="3">
        <f>IF(OR(CK72="",ISBLANK(CK72),CK72=0),0,IF(MOD(CK72,2)=1,1,2))</f>
        <v>2</v>
      </c>
      <c r="CR72" s="3">
        <f>IF(OR(CL72="",ISBLANK(CL72),CL72=0),0,IF(MOD(CL72,2)=1,1,2))</f>
        <v>1</v>
      </c>
      <c r="CS72" s="31"/>
      <c r="CT72" s="3" cm="1">
        <f t="array" ref="CT72">SUMPRODUCT(--(MOD(CH72:CL72,2)=1))</f>
        <v>3</v>
      </c>
      <c r="CU72" s="3">
        <f>5-CT72</f>
        <v>2</v>
      </c>
      <c r="CV72" s="30"/>
      <c r="CW72" s="3" cm="1">
        <f t="array" ref="CW72">SUMPRODUCT(--(MOD(CH72:CL72,10)&gt;=1), --(MOD(CH72:CL72,10)&lt;=5))</f>
        <v>3</v>
      </c>
      <c r="CX72" s="3">
        <f>5-CW72</f>
        <v>2</v>
      </c>
      <c r="CY72" s="30"/>
      <c r="CZ72" s="3" cm="1">
        <f t="array" ref="CZ72">IFERROR(COUNT(_xlfn._xlws.FILTER(CH72:CL72, ISNUMBER(MATCH(CH72:CL72, {2,3,5,7,11,13,17,19,23,29,31,37,41,43}, 0)))), 0)</f>
        <v>1</v>
      </c>
      <c r="DA72" s="3" cm="1">
        <f t="array" ref="DA72">IFERROR(COUNT(_xlfn._xlws.FILTER(CH72:CL72, ISNUMBER(MATCH(CH72:CL72, {1,4,8,10,14,16,20,22,25,26,28,32,34,35,38,40,44}, 0)))), 0)</f>
        <v>3</v>
      </c>
      <c r="DB72" s="3" cm="1">
        <f t="array" ref="DB72">IFERROR(COUNT(_xlfn._xlws.FILTER(CH72:CL72, ISNUMBER(MATCH(CH72:CL72, {6,9,12,15,18,21,24,27,30,33,36,39,42,45}, 0)))), 0)</f>
        <v>1</v>
      </c>
      <c r="DC72" s="29"/>
      <c r="DD72" s="28" t="e">
        <f>#REF!</f>
        <v>#REF!</v>
      </c>
      <c r="DE72" s="28" t="e">
        <f>#REF!*2</f>
        <v>#REF!</v>
      </c>
      <c r="DF72" s="28" t="e">
        <f>#REF!</f>
        <v>#REF!</v>
      </c>
      <c r="DG72" s="28" t="e">
        <f>#REF!*2</f>
        <v>#REF!</v>
      </c>
      <c r="DH72" s="28" t="e">
        <f>#REF!</f>
        <v>#REF!</v>
      </c>
      <c r="DI72" s="28" t="e">
        <f>#REF!*2</f>
        <v>#REF!</v>
      </c>
      <c r="DJ72" s="28" t="e">
        <f>#REF!</f>
        <v>#REF!</v>
      </c>
      <c r="DK72" s="28" t="e">
        <f>#REF!*2</f>
        <v>#REF!</v>
      </c>
      <c r="DL72" s="28" t="e">
        <f>#REF!</f>
        <v>#REF!</v>
      </c>
      <c r="DM72" s="28" t="e">
        <f>#REF!*2</f>
        <v>#REF!</v>
      </c>
      <c r="DN72" s="27"/>
      <c r="DO72" s="26" t="str" cm="1">
        <f t="array" ref="DO72">_xlfn.IFS(
   OR(CH72="",ISBLANK(CH72),CH72=0),0,
   ISNUMBER(MATCH(CH72,{2,3,5,7,11,13,17,19,23,29,31,37,41,43},0)),"소",
   AND(ISNUMBER(CH72),MOD(CH72,3)=0),"배",
   AND(ISNUMBER(CH72),CH72&gt;0),"자"
)</f>
        <v>자</v>
      </c>
      <c r="DP72" s="26" t="str" cm="1">
        <f t="array" ref="DP72">_xlfn.IFS(
   OR(CI72="",ISBLANK(CI72),CI72=0),0,
   ISNUMBER(MATCH(CI72,{2,3,5,7,11,13,17,19,23,29,31,37,41,43},0)),"소",
   AND(ISNUMBER(CI72),MOD(CI72,3)=0),"배",
   AND(ISNUMBER(CI72),CI72&gt;0),"자"
)</f>
        <v>자</v>
      </c>
      <c r="DQ72" s="26" t="str" cm="1">
        <f t="array" ref="DQ72">_xlfn.IFS(
   OR(CJ72="",ISBLANK(CJ72),CJ72=0),0,
   ISNUMBER(MATCH(CJ72,{2,3,5,7,11,13,17,19,23,29,31,37,41,43},0)),"소",
   AND(ISNUMBER(CJ72),MOD(CJ72,3)=0),"배",
   AND(ISNUMBER(CJ72),CJ72&gt;0),"자"
)</f>
        <v>소</v>
      </c>
      <c r="DR72" s="26" t="str" cm="1">
        <f t="array" ref="DR72">_xlfn.IFS(
   OR(CK72="",ISBLANK(CK72),CK72=0),0,
   ISNUMBER(MATCH(CK72,{2,3,5,7,11,13,17,19,23,29,31,37,41,43},0)),"소",
   AND(ISNUMBER(CK72),MOD(CK72,3)=0),"배",
   AND(ISNUMBER(CK72),CK72&gt;0),"자"
)</f>
        <v>자</v>
      </c>
      <c r="DS72" s="26" t="str" cm="1">
        <f t="array" ref="DS72">_xlfn.IFS(
   OR(CL72="",ISBLANK(CL72),CL72=0),0,
   ISNUMBER(MATCH(CL72,{2,3,5,7,11,13,17,19,23,29,31,37,41,43},0)),"소",
   AND(ISNUMBER(CL72),MOD(CL72,3)=0),"배",
   AND(ISNUMBER(CL72),CL72&gt;0),"자"
)</f>
        <v>배</v>
      </c>
      <c r="DT72" s="25"/>
    </row>
    <row r="73" spans="2:124" x14ac:dyDescent="0.3">
      <c r="B73" s="3">
        <v>4</v>
      </c>
      <c r="C73" s="3">
        <v>8</v>
      </c>
      <c r="D73" s="3">
        <v>22</v>
      </c>
      <c r="E73" s="3">
        <v>26</v>
      </c>
      <c r="F73" s="3">
        <v>32</v>
      </c>
      <c r="G73" s="3">
        <v>38</v>
      </c>
      <c r="H73" s="32"/>
      <c r="I73" s="3">
        <f>IF(OR(B73="",ISBLANK(B73),B73=0),0,IF(MOD(B73,2)=1,1,2))</f>
        <v>2</v>
      </c>
      <c r="J73" s="3">
        <f>IF(OR(C73="",ISBLANK(C73),C73=0),0,IF(MOD(C73,2)=1,1,2))</f>
        <v>2</v>
      </c>
      <c r="K73" s="3">
        <f>IF(OR(D73="",ISBLANK(D73),D73=0),0,IF(MOD(D73,2)=1,1,2))</f>
        <v>2</v>
      </c>
      <c r="L73" s="3">
        <f>IF(OR(E73="",ISBLANK(E73),E73=0),0,IF(MOD(E73,2)=1,1,2))</f>
        <v>2</v>
      </c>
      <c r="M73" s="3">
        <f>IF(OR(F73="",ISBLANK(F73),F73=0),0,IF(MOD(F73,2)=1,1,2))</f>
        <v>2</v>
      </c>
      <c r="N73" s="3">
        <f>IF(OR(G73="",ISBLANK(G73),G73=0),0,IF(MOD(G73,2)=1,1,2))</f>
        <v>2</v>
      </c>
      <c r="O73" s="32"/>
      <c r="P73" s="3" cm="1">
        <f t="array" ref="P73">SUMPRODUCT(--(MOD(B73:G73,2)=1))</f>
        <v>0</v>
      </c>
      <c r="Q73" s="3">
        <f>6-P73</f>
        <v>6</v>
      </c>
      <c r="R73" s="34"/>
      <c r="S73" s="3">
        <f>COUNTIFS(B73:G73,"&gt;=1",B73:G73,"&lt;=23")</f>
        <v>3</v>
      </c>
      <c r="T73" s="3">
        <f>6-S73</f>
        <v>3</v>
      </c>
      <c r="U73" s="34"/>
      <c r="V73" s="3" cm="1">
        <f t="array" ref="V73">SUMPRODUCT(--(MOD(B73:G73,10)&gt;=1), --(MOD(B73:G73,10)&lt;=5))</f>
        <v>3</v>
      </c>
      <c r="W73" s="3">
        <f>6-V73</f>
        <v>3</v>
      </c>
      <c r="X73" s="34"/>
      <c r="Y73" s="3" cm="1">
        <f t="array" ref="Y73">IFERROR(COUNT(_xlfn._xlws.FILTER(B73:G73, ISNUMBER(MATCH(B73:G73, {2,3,5,7,11,13,17,19,23,29,31,37,41,43}, 0)))), 0)</f>
        <v>0</v>
      </c>
      <c r="Z73" s="3" cm="1">
        <f t="array" ref="Z73">IFERROR(COUNT(_xlfn._xlws.FILTER(B73:G73, ISNUMBER(MATCH(B73:G73, {1,4,8,10,14,16,20,22,25,26,28,32,34,35,38,40,44}, 0)))), 0)</f>
        <v>6</v>
      </c>
      <c r="AA73" s="3" cm="1">
        <f t="array" ref="AA73">IFERROR(COUNT(_xlfn._xlws.FILTER(B73:G73, ISNUMBER(MATCH(B73:G73, {6,9,12,15,18,21,24,27,30,33,36,39,42,45}, 0)))), 0)</f>
        <v>0</v>
      </c>
      <c r="AB73" s="30"/>
      <c r="AC73" s="26" t="str" cm="1">
        <f t="array" ref="AC73">_xlfn.IFS(
   OR(B73="",ISBLANK(B73),B73=0),0,
   ISNUMBER(MATCH(B73,{2,3,5,7,11,13,17,19,23,29,31,37,41,43},0)),"소",
   AND(ISNUMBER(B73),MOD(B73,3)=0),"배",
   AND(ISNUMBER(B73),B73&gt;0),"자"
)</f>
        <v>자</v>
      </c>
      <c r="AD73" s="26" t="str" cm="1">
        <f t="array" ref="AD73">_xlfn.IFS(
   OR(C73="",ISBLANK(C73),C73=0),0,
   ISNUMBER(MATCH(C73,{2,3,5,7,11,13,17,19,23,29,31,37,41,43},0)),"소",
   AND(ISNUMBER(C73),MOD(C73,3)=0),"배",
   AND(ISNUMBER(C73),C73&gt;0),"자"
)</f>
        <v>자</v>
      </c>
      <c r="AE73" s="26" t="str" cm="1">
        <f t="array" ref="AE73">_xlfn.IFS(
   OR(D73="",ISBLANK(D73),D73=0),0,
   ISNUMBER(MATCH(D73,{2,3,5,7,11,13,17,19,23,29,31,37,41,43},0)),"소",
   AND(ISNUMBER(D73),MOD(D73,3)=0),"배",
   AND(ISNUMBER(D73),D73&gt;0),"자"
)</f>
        <v>자</v>
      </c>
      <c r="AF73" s="26" t="str" cm="1">
        <f t="array" ref="AF73">_xlfn.IFS(
   OR(E73="",ISBLANK(E73),E73=0),0,
   ISNUMBER(MATCH(E73,{2,3,5,7,11,13,17,19,23,29,31,37,41,43},0)),"소",
   AND(ISNUMBER(E73),MOD(E73,3)=0),"배",
   AND(ISNUMBER(E73),E73&gt;0),"자"
)</f>
        <v>자</v>
      </c>
      <c r="AG73" s="26" t="str" cm="1">
        <f t="array" ref="AG73">_xlfn.IFS(
   OR(F73="",ISBLANK(F73),F73=0),0,
   ISNUMBER(MATCH(F73,{2,3,5,7,11,13,17,19,23,29,31,37,41,43},0)),"소",
   AND(ISNUMBER(F73),MOD(F73,3)=0),"배",
   AND(ISNUMBER(F73),F73&gt;0),"자"
)</f>
        <v>자</v>
      </c>
      <c r="AH73" s="26" t="str" cm="1">
        <f t="array" ref="AH73">_xlfn.IFS(
   OR(G73="",ISBLANK(G73),G73=0),0,
   ISNUMBER(MATCH(G73,{2,3,5,7,11,13,17,19,23,29,31,37,41,43},0)),"소",
   AND(ISNUMBER(G73),MOD(G73,3)=0),"배",
   AND(ISNUMBER(G73),G73&gt;0),"자"
)</f>
        <v>자</v>
      </c>
      <c r="AI73" s="30"/>
      <c r="AJ73" s="3">
        <f>COUNTIFS(B73:G73,"&gt;=1",B73:G73,"&lt;=14")</f>
        <v>2</v>
      </c>
      <c r="AK73" s="3">
        <f>COUNTIFS(B73:G73,"&gt;=15",B73:G73,"&lt;=31")</f>
        <v>2</v>
      </c>
      <c r="AL73" s="3">
        <f>6-AK73-AJ73</f>
        <v>2</v>
      </c>
      <c r="AM73" s="33"/>
      <c r="AN73" s="3">
        <f>COUNTIFS($B73:$G73, "&gt;=1",$B73:$G73, "&lt;=9")</f>
        <v>2</v>
      </c>
      <c r="AO73" s="3">
        <f>COUNTIFS($B73:$G73, "&gt;=10",$B73:$G73, "&lt;=18")</f>
        <v>0</v>
      </c>
      <c r="AP73" s="3">
        <f>COUNTIFS($B73:$G73, "&gt;=19",$B73:$G73, "&lt;=27")</f>
        <v>2</v>
      </c>
      <c r="AQ73" s="3">
        <f>COUNTIFS($B73:$G73, "&gt;=28",$B73:$G73, "&lt;=36")</f>
        <v>1</v>
      </c>
      <c r="AR73" s="3">
        <f>COUNTIFS($B73:$G73, "&gt;=37",$B73:$G73, "&lt;=45")</f>
        <v>1</v>
      </c>
      <c r="AS73" s="28" t="e">
        <f>#REF!</f>
        <v>#REF!</v>
      </c>
      <c r="AT73" s="28" t="e">
        <f>#REF!*2</f>
        <v>#REF!</v>
      </c>
      <c r="AU73" s="28" t="e">
        <f>#REF!</f>
        <v>#REF!</v>
      </c>
      <c r="AV73" s="28" t="e">
        <f>#REF!*2</f>
        <v>#REF!</v>
      </c>
      <c r="AW73" s="28" t="e">
        <f>#REF!</f>
        <v>#REF!</v>
      </c>
      <c r="AX73" s="28" t="e">
        <f>#REF!*2</f>
        <v>#REF!</v>
      </c>
      <c r="AY73" s="28" t="e">
        <f>#REF!</f>
        <v>#REF!</v>
      </c>
      <c r="AZ73" s="28" t="e">
        <f>#REF!*2</f>
        <v>#REF!</v>
      </c>
      <c r="BA73" s="28" t="e">
        <f>#REF!</f>
        <v>#REF!</v>
      </c>
      <c r="BB73" s="28" t="e">
        <f>#REF!*2</f>
        <v>#REF!</v>
      </c>
      <c r="BC73" s="28" t="e">
        <f>#REF!</f>
        <v>#REF!</v>
      </c>
      <c r="BD73" s="28" t="e">
        <f>#REF!*2</f>
        <v>#REF!</v>
      </c>
      <c r="BE73" s="9" t="e">
        <f>#REF!-#REF!</f>
        <v>#REF!</v>
      </c>
      <c r="BF73" s="9" t="e">
        <f>#REF!-#REF!</f>
        <v>#REF!</v>
      </c>
      <c r="BG73" s="9" t="e">
        <f>#REF!-#REF!</f>
        <v>#REF!</v>
      </c>
      <c r="BH73" s="9" t="e">
        <f>#REF!-#REF!</f>
        <v>#REF!</v>
      </c>
      <c r="BI73" s="9" t="e">
        <f>#REF!-#REF!</f>
        <v>#REF!</v>
      </c>
      <c r="BJ73" s="33"/>
      <c r="BK73" s="3">
        <f>COUNTIFS(B73:G73, "&gt;=1", B73:G73, "&lt;=9")</f>
        <v>2</v>
      </c>
      <c r="BL73" s="3">
        <f>COUNTIFS(B73:G73, "&gt;=10", B73:G73, "&lt;=19")</f>
        <v>0</v>
      </c>
      <c r="BM73" s="3">
        <f>COUNTIFS(B73:G73, "&gt;=20", B73:G73, "&lt;=29")</f>
        <v>2</v>
      </c>
      <c r="BN73" s="3">
        <f>COUNTIFS(B73:G73, "&gt;=30", B73:G73, "&lt;=39")</f>
        <v>2</v>
      </c>
      <c r="BO73" s="3">
        <f>COUNTIFS(B73:G73, "&gt;=40", B73:G73, "&lt;=45")</f>
        <v>0</v>
      </c>
      <c r="BP73" s="28" t="e">
        <f>#REF!</f>
        <v>#REF!</v>
      </c>
      <c r="BQ73" s="28" t="e">
        <f>#REF!*2</f>
        <v>#REF!</v>
      </c>
      <c r="BR73" s="28" t="e">
        <f>#REF!</f>
        <v>#REF!</v>
      </c>
      <c r="BS73" s="28" t="e">
        <f>#REF!*2</f>
        <v>#REF!</v>
      </c>
      <c r="BT73" s="28" t="e">
        <f>#REF!</f>
        <v>#REF!</v>
      </c>
      <c r="BU73" s="28" t="e">
        <f>#REF!*2</f>
        <v>#REF!</v>
      </c>
      <c r="BV73" s="28" t="e">
        <f>#REF!</f>
        <v>#REF!</v>
      </c>
      <c r="BW73" s="28" t="e">
        <f>#REF!*2</f>
        <v>#REF!</v>
      </c>
      <c r="BX73" s="28" t="e">
        <f>#REF!</f>
        <v>#REF!</v>
      </c>
      <c r="BY73" s="28" t="e">
        <f>#REF!*2</f>
        <v>#REF!</v>
      </c>
      <c r="BZ73" s="28" t="e">
        <f>#REF!</f>
        <v>#REF!</v>
      </c>
      <c r="CA73" s="28" t="e">
        <f>#REF!*2</f>
        <v>#REF!</v>
      </c>
      <c r="CB73" s="9">
        <f>C73-B73</f>
        <v>4</v>
      </c>
      <c r="CC73" s="9">
        <f>D73-C73</f>
        <v>14</v>
      </c>
      <c r="CD73" s="9">
        <f>E73-D73</f>
        <v>4</v>
      </c>
      <c r="CE73" s="9">
        <f>F73-E73</f>
        <v>6</v>
      </c>
      <c r="CF73" s="9">
        <f>G73-F73</f>
        <v>6</v>
      </c>
      <c r="CG73" s="33"/>
      <c r="CH73" s="9">
        <f>C73-B73</f>
        <v>4</v>
      </c>
      <c r="CI73" s="9">
        <f>D73-C73</f>
        <v>14</v>
      </c>
      <c r="CJ73" s="9">
        <f>E73-D73</f>
        <v>4</v>
      </c>
      <c r="CK73" s="9">
        <f>F73-E73</f>
        <v>6</v>
      </c>
      <c r="CL73" s="9">
        <f>G73-F73</f>
        <v>6</v>
      </c>
      <c r="CM73" s="32"/>
      <c r="CN73" s="3">
        <f>IF(OR(CH73="",ISBLANK(CH73),CH73=0),0,IF(MOD(CH73,2)=1,1,2))</f>
        <v>2</v>
      </c>
      <c r="CO73" s="3">
        <f>IF(OR(CI73="",ISBLANK(CI73),CI73=0),0,IF(MOD(CI73,2)=1,1,2))</f>
        <v>2</v>
      </c>
      <c r="CP73" s="3">
        <f>IF(OR(CJ73="",ISBLANK(CJ73),CJ73=0),0,IF(MOD(CJ73,2)=1,1,2))</f>
        <v>2</v>
      </c>
      <c r="CQ73" s="3">
        <f>IF(OR(CK73="",ISBLANK(CK73),CK73=0),0,IF(MOD(CK73,2)=1,1,2))</f>
        <v>2</v>
      </c>
      <c r="CR73" s="3">
        <f>IF(OR(CL73="",ISBLANK(CL73),CL73=0),0,IF(MOD(CL73,2)=1,1,2))</f>
        <v>2</v>
      </c>
      <c r="CS73" s="31"/>
      <c r="CT73" s="3" cm="1">
        <f t="array" ref="CT73">SUMPRODUCT(--(MOD(CH73:CL73,2)=1))</f>
        <v>0</v>
      </c>
      <c r="CU73" s="3">
        <f>5-CT73</f>
        <v>5</v>
      </c>
      <c r="CV73" s="30"/>
      <c r="CW73" s="3" cm="1">
        <f t="array" ref="CW73">SUMPRODUCT(--(MOD(CH73:CL73,10)&gt;=1), --(MOD(CH73:CL73,10)&lt;=5))</f>
        <v>3</v>
      </c>
      <c r="CX73" s="3">
        <f>5-CW73</f>
        <v>2</v>
      </c>
      <c r="CY73" s="30"/>
      <c r="CZ73" s="3" cm="1">
        <f t="array" ref="CZ73">IFERROR(COUNT(_xlfn._xlws.FILTER(CH73:CL73, ISNUMBER(MATCH(CH73:CL73, {2,3,5,7,11,13,17,19,23,29,31,37,41,43}, 0)))), 0)</f>
        <v>0</v>
      </c>
      <c r="DA73" s="3" cm="1">
        <f t="array" ref="DA73">IFERROR(COUNT(_xlfn._xlws.FILTER(CH73:CL73, ISNUMBER(MATCH(CH73:CL73, {1,4,8,10,14,16,20,22,25,26,28,32,34,35,38,40,44}, 0)))), 0)</f>
        <v>3</v>
      </c>
      <c r="DB73" s="3" cm="1">
        <f t="array" ref="DB73">IFERROR(COUNT(_xlfn._xlws.FILTER(CH73:CL73, ISNUMBER(MATCH(CH73:CL73, {6,9,12,15,18,21,24,27,30,33,36,39,42,45}, 0)))), 0)</f>
        <v>2</v>
      </c>
      <c r="DC73" s="29"/>
      <c r="DD73" s="28" t="e">
        <f>#REF!</f>
        <v>#REF!</v>
      </c>
      <c r="DE73" s="28" t="e">
        <f>#REF!*2</f>
        <v>#REF!</v>
      </c>
      <c r="DF73" s="28" t="e">
        <f>#REF!</f>
        <v>#REF!</v>
      </c>
      <c r="DG73" s="28" t="e">
        <f>#REF!*2</f>
        <v>#REF!</v>
      </c>
      <c r="DH73" s="28" t="e">
        <f>#REF!</f>
        <v>#REF!</v>
      </c>
      <c r="DI73" s="28" t="e">
        <f>#REF!*2</f>
        <v>#REF!</v>
      </c>
      <c r="DJ73" s="28" t="e">
        <f>#REF!</f>
        <v>#REF!</v>
      </c>
      <c r="DK73" s="28" t="e">
        <f>#REF!*2</f>
        <v>#REF!</v>
      </c>
      <c r="DL73" s="28" t="e">
        <f>#REF!</f>
        <v>#REF!</v>
      </c>
      <c r="DM73" s="28" t="e">
        <f>#REF!*2</f>
        <v>#REF!</v>
      </c>
      <c r="DN73" s="27"/>
      <c r="DO73" s="26" t="str" cm="1">
        <f t="array" ref="DO73">_xlfn.IFS(
   OR(CH73="",ISBLANK(CH73),CH73=0),0,
   ISNUMBER(MATCH(CH73,{2,3,5,7,11,13,17,19,23,29,31,37,41,43},0)),"소",
   AND(ISNUMBER(CH73),MOD(CH73,3)=0),"배",
   AND(ISNUMBER(CH73),CH73&gt;0),"자"
)</f>
        <v>자</v>
      </c>
      <c r="DP73" s="26" t="str" cm="1">
        <f t="array" ref="DP73">_xlfn.IFS(
   OR(CI73="",ISBLANK(CI73),CI73=0),0,
   ISNUMBER(MATCH(CI73,{2,3,5,7,11,13,17,19,23,29,31,37,41,43},0)),"소",
   AND(ISNUMBER(CI73),MOD(CI73,3)=0),"배",
   AND(ISNUMBER(CI73),CI73&gt;0),"자"
)</f>
        <v>자</v>
      </c>
      <c r="DQ73" s="26" t="str" cm="1">
        <f t="array" ref="DQ73">_xlfn.IFS(
   OR(CJ73="",ISBLANK(CJ73),CJ73=0),0,
   ISNUMBER(MATCH(CJ73,{2,3,5,7,11,13,17,19,23,29,31,37,41,43},0)),"소",
   AND(ISNUMBER(CJ73),MOD(CJ73,3)=0),"배",
   AND(ISNUMBER(CJ73),CJ73&gt;0),"자"
)</f>
        <v>자</v>
      </c>
      <c r="DR73" s="26" t="str" cm="1">
        <f t="array" ref="DR73">_xlfn.IFS(
   OR(CK73="",ISBLANK(CK73),CK73=0),0,
   ISNUMBER(MATCH(CK73,{2,3,5,7,11,13,17,19,23,29,31,37,41,43},0)),"소",
   AND(ISNUMBER(CK73),MOD(CK73,3)=0),"배",
   AND(ISNUMBER(CK73),CK73&gt;0),"자"
)</f>
        <v>배</v>
      </c>
      <c r="DS73" s="26" t="str" cm="1">
        <f t="array" ref="DS73">_xlfn.IFS(
   OR(CL73="",ISBLANK(CL73),CL73=0),0,
   ISNUMBER(MATCH(CL73,{2,3,5,7,11,13,17,19,23,29,31,37,41,43},0)),"소",
   AND(ISNUMBER(CL73),MOD(CL73,3)=0),"배",
   AND(ISNUMBER(CL73),CL73&gt;0),"자"
)</f>
        <v>배</v>
      </c>
      <c r="DT73" s="25"/>
    </row>
    <row r="74" spans="2:124" x14ac:dyDescent="0.3">
      <c r="B74" s="3">
        <v>10</v>
      </c>
      <c r="C74" s="3">
        <v>16</v>
      </c>
      <c r="D74" s="3">
        <v>19</v>
      </c>
      <c r="E74" s="3">
        <v>27</v>
      </c>
      <c r="F74" s="3">
        <v>37</v>
      </c>
      <c r="G74" s="3">
        <v>38</v>
      </c>
      <c r="H74" s="32"/>
      <c r="I74" s="3">
        <f>IF(OR(B74="",ISBLANK(B74),B74=0),0,IF(MOD(B74,2)=1,1,2))</f>
        <v>2</v>
      </c>
      <c r="J74" s="3">
        <f>IF(OR(C74="",ISBLANK(C74),C74=0),0,IF(MOD(C74,2)=1,1,2))</f>
        <v>2</v>
      </c>
      <c r="K74" s="3">
        <f>IF(OR(D74="",ISBLANK(D74),D74=0),0,IF(MOD(D74,2)=1,1,2))</f>
        <v>1</v>
      </c>
      <c r="L74" s="3">
        <f>IF(OR(E74="",ISBLANK(E74),E74=0),0,IF(MOD(E74,2)=1,1,2))</f>
        <v>1</v>
      </c>
      <c r="M74" s="3">
        <f>IF(OR(F74="",ISBLANK(F74),F74=0),0,IF(MOD(F74,2)=1,1,2))</f>
        <v>1</v>
      </c>
      <c r="N74" s="3">
        <f>IF(OR(G74="",ISBLANK(G74),G74=0),0,IF(MOD(G74,2)=1,1,2))</f>
        <v>2</v>
      </c>
      <c r="O74" s="32"/>
      <c r="P74" s="3" cm="1">
        <f t="array" ref="P74">SUMPRODUCT(--(MOD(B74:G74,2)=1))</f>
        <v>3</v>
      </c>
      <c r="Q74" s="3">
        <f>6-P74</f>
        <v>3</v>
      </c>
      <c r="R74" s="34"/>
      <c r="S74" s="3">
        <f>COUNTIFS(B74:G74,"&gt;=1",B74:G74,"&lt;=23")</f>
        <v>3</v>
      </c>
      <c r="T74" s="3">
        <f>6-S74</f>
        <v>3</v>
      </c>
      <c r="U74" s="34"/>
      <c r="V74" s="3" cm="1">
        <f t="array" ref="V74">SUMPRODUCT(--(MOD(B74:G74,10)&gt;=1), --(MOD(B74:G74,10)&lt;=5))</f>
        <v>0</v>
      </c>
      <c r="W74" s="3">
        <f>6-V74</f>
        <v>6</v>
      </c>
      <c r="X74" s="34"/>
      <c r="Y74" s="3" cm="1">
        <f t="array" ref="Y74">IFERROR(COUNT(_xlfn._xlws.FILTER(B74:G74, ISNUMBER(MATCH(B74:G74, {2,3,5,7,11,13,17,19,23,29,31,37,41,43}, 0)))), 0)</f>
        <v>2</v>
      </c>
      <c r="Z74" s="3" cm="1">
        <f t="array" ref="Z74">IFERROR(COUNT(_xlfn._xlws.FILTER(B74:G74, ISNUMBER(MATCH(B74:G74, {1,4,8,10,14,16,20,22,25,26,28,32,34,35,38,40,44}, 0)))), 0)</f>
        <v>3</v>
      </c>
      <c r="AA74" s="3" cm="1">
        <f t="array" ref="AA74">IFERROR(COUNT(_xlfn._xlws.FILTER(B74:G74, ISNUMBER(MATCH(B74:G74, {6,9,12,15,18,21,24,27,30,33,36,39,42,45}, 0)))), 0)</f>
        <v>1</v>
      </c>
      <c r="AB74" s="30"/>
      <c r="AC74" s="26" t="str" cm="1">
        <f t="array" ref="AC74">_xlfn.IFS(
   OR(B74="",ISBLANK(B74),B74=0),0,
   ISNUMBER(MATCH(B74,{2,3,5,7,11,13,17,19,23,29,31,37,41,43},0)),"소",
   AND(ISNUMBER(B74),MOD(B74,3)=0),"배",
   AND(ISNUMBER(B74),B74&gt;0),"자"
)</f>
        <v>자</v>
      </c>
      <c r="AD74" s="26" t="str" cm="1">
        <f t="array" ref="AD74">_xlfn.IFS(
   OR(C74="",ISBLANK(C74),C74=0),0,
   ISNUMBER(MATCH(C74,{2,3,5,7,11,13,17,19,23,29,31,37,41,43},0)),"소",
   AND(ISNUMBER(C74),MOD(C74,3)=0),"배",
   AND(ISNUMBER(C74),C74&gt;0),"자"
)</f>
        <v>자</v>
      </c>
      <c r="AE74" s="26" t="str" cm="1">
        <f t="array" ref="AE74">_xlfn.IFS(
   OR(D74="",ISBLANK(D74),D74=0),0,
   ISNUMBER(MATCH(D74,{2,3,5,7,11,13,17,19,23,29,31,37,41,43},0)),"소",
   AND(ISNUMBER(D74),MOD(D74,3)=0),"배",
   AND(ISNUMBER(D74),D74&gt;0),"자"
)</f>
        <v>소</v>
      </c>
      <c r="AF74" s="26" t="str" cm="1">
        <f t="array" ref="AF74">_xlfn.IFS(
   OR(E74="",ISBLANK(E74),E74=0),0,
   ISNUMBER(MATCH(E74,{2,3,5,7,11,13,17,19,23,29,31,37,41,43},0)),"소",
   AND(ISNUMBER(E74),MOD(E74,3)=0),"배",
   AND(ISNUMBER(E74),E74&gt;0),"자"
)</f>
        <v>배</v>
      </c>
      <c r="AG74" s="26" t="str" cm="1">
        <f t="array" ref="AG74">_xlfn.IFS(
   OR(F74="",ISBLANK(F74),F74=0),0,
   ISNUMBER(MATCH(F74,{2,3,5,7,11,13,17,19,23,29,31,37,41,43},0)),"소",
   AND(ISNUMBER(F74),MOD(F74,3)=0),"배",
   AND(ISNUMBER(F74),F74&gt;0),"자"
)</f>
        <v>소</v>
      </c>
      <c r="AH74" s="26" t="str" cm="1">
        <f t="array" ref="AH74">_xlfn.IFS(
   OR(G74="",ISBLANK(G74),G74=0),0,
   ISNUMBER(MATCH(G74,{2,3,5,7,11,13,17,19,23,29,31,37,41,43},0)),"소",
   AND(ISNUMBER(G74),MOD(G74,3)=0),"배",
   AND(ISNUMBER(G74),G74&gt;0),"자"
)</f>
        <v>자</v>
      </c>
      <c r="AI74" s="30"/>
      <c r="AJ74" s="3">
        <f>COUNTIFS(B74:G74,"&gt;=1",B74:G74,"&lt;=14")</f>
        <v>1</v>
      </c>
      <c r="AK74" s="3">
        <f>COUNTIFS(B74:G74,"&gt;=15",B74:G74,"&lt;=31")</f>
        <v>3</v>
      </c>
      <c r="AL74" s="3">
        <f>6-AK74-AJ74</f>
        <v>2</v>
      </c>
      <c r="AM74" s="33"/>
      <c r="AN74" s="3">
        <f>COUNTIFS($B74:$G74, "&gt;=1",$B74:$G74, "&lt;=9")</f>
        <v>0</v>
      </c>
      <c r="AO74" s="3">
        <f>COUNTIFS($B74:$G74, "&gt;=10",$B74:$G74, "&lt;=18")</f>
        <v>2</v>
      </c>
      <c r="AP74" s="3">
        <f>COUNTIFS($B74:$G74, "&gt;=19",$B74:$G74, "&lt;=27")</f>
        <v>2</v>
      </c>
      <c r="AQ74" s="3">
        <f>COUNTIFS($B74:$G74, "&gt;=28",$B74:$G74, "&lt;=36")</f>
        <v>0</v>
      </c>
      <c r="AR74" s="3">
        <f>COUNTIFS($B74:$G74, "&gt;=37",$B74:$G74, "&lt;=45")</f>
        <v>2</v>
      </c>
      <c r="AS74" s="28" t="e">
        <f>#REF!</f>
        <v>#REF!</v>
      </c>
      <c r="AT74" s="28" t="e">
        <f>#REF!*2</f>
        <v>#REF!</v>
      </c>
      <c r="AU74" s="28" t="e">
        <f>#REF!</f>
        <v>#REF!</v>
      </c>
      <c r="AV74" s="28" t="e">
        <f>#REF!*2</f>
        <v>#REF!</v>
      </c>
      <c r="AW74" s="28" t="e">
        <f>#REF!</f>
        <v>#REF!</v>
      </c>
      <c r="AX74" s="28" t="e">
        <f>#REF!*2</f>
        <v>#REF!</v>
      </c>
      <c r="AY74" s="28" t="e">
        <f>#REF!</f>
        <v>#REF!</v>
      </c>
      <c r="AZ74" s="28" t="e">
        <f>#REF!*2</f>
        <v>#REF!</v>
      </c>
      <c r="BA74" s="28" t="e">
        <f>#REF!</f>
        <v>#REF!</v>
      </c>
      <c r="BB74" s="28" t="e">
        <f>#REF!*2</f>
        <v>#REF!</v>
      </c>
      <c r="BC74" s="28" t="e">
        <f>#REF!</f>
        <v>#REF!</v>
      </c>
      <c r="BD74" s="28" t="e">
        <f>#REF!*2</f>
        <v>#REF!</v>
      </c>
      <c r="BE74" s="9" t="e">
        <f>#REF!-#REF!</f>
        <v>#REF!</v>
      </c>
      <c r="BF74" s="9" t="e">
        <f>#REF!-#REF!</f>
        <v>#REF!</v>
      </c>
      <c r="BG74" s="9" t="e">
        <f>#REF!-#REF!</f>
        <v>#REF!</v>
      </c>
      <c r="BH74" s="9" t="e">
        <f>#REF!-#REF!</f>
        <v>#REF!</v>
      </c>
      <c r="BI74" s="9" t="e">
        <f>#REF!-#REF!</f>
        <v>#REF!</v>
      </c>
      <c r="BJ74" s="33"/>
      <c r="BK74" s="3">
        <f>COUNTIFS(B74:G74, "&gt;=1", B74:G74, "&lt;=9")</f>
        <v>0</v>
      </c>
      <c r="BL74" s="3">
        <f>COUNTIFS(B74:G74, "&gt;=10", B74:G74, "&lt;=19")</f>
        <v>3</v>
      </c>
      <c r="BM74" s="3">
        <f>COUNTIFS(B74:G74, "&gt;=20", B74:G74, "&lt;=29")</f>
        <v>1</v>
      </c>
      <c r="BN74" s="3">
        <f>COUNTIFS(B74:G74, "&gt;=30", B74:G74, "&lt;=39")</f>
        <v>2</v>
      </c>
      <c r="BO74" s="3">
        <f>COUNTIFS(B74:G74, "&gt;=40", B74:G74, "&lt;=45")</f>
        <v>0</v>
      </c>
      <c r="BP74" s="28" t="e">
        <f>#REF!</f>
        <v>#REF!</v>
      </c>
      <c r="BQ74" s="28" t="e">
        <f>#REF!*2</f>
        <v>#REF!</v>
      </c>
      <c r="BR74" s="28" t="e">
        <f>#REF!</f>
        <v>#REF!</v>
      </c>
      <c r="BS74" s="28" t="e">
        <f>#REF!*2</f>
        <v>#REF!</v>
      </c>
      <c r="BT74" s="28" t="e">
        <f>#REF!</f>
        <v>#REF!</v>
      </c>
      <c r="BU74" s="28" t="e">
        <f>#REF!*2</f>
        <v>#REF!</v>
      </c>
      <c r="BV74" s="28" t="e">
        <f>#REF!</f>
        <v>#REF!</v>
      </c>
      <c r="BW74" s="28" t="e">
        <f>#REF!*2</f>
        <v>#REF!</v>
      </c>
      <c r="BX74" s="28" t="e">
        <f>#REF!</f>
        <v>#REF!</v>
      </c>
      <c r="BY74" s="28" t="e">
        <f>#REF!*2</f>
        <v>#REF!</v>
      </c>
      <c r="BZ74" s="28" t="e">
        <f>#REF!</f>
        <v>#REF!</v>
      </c>
      <c r="CA74" s="28" t="e">
        <f>#REF!*2</f>
        <v>#REF!</v>
      </c>
      <c r="CB74" s="9">
        <f>C74-B74</f>
        <v>6</v>
      </c>
      <c r="CC74" s="9">
        <f>D74-C74</f>
        <v>3</v>
      </c>
      <c r="CD74" s="9">
        <f>E74-D74</f>
        <v>8</v>
      </c>
      <c r="CE74" s="9">
        <f>F74-E74</f>
        <v>10</v>
      </c>
      <c r="CF74" s="9">
        <f>G74-F74</f>
        <v>1</v>
      </c>
      <c r="CG74" s="33"/>
      <c r="CH74" s="9">
        <f>C74-B74</f>
        <v>6</v>
      </c>
      <c r="CI74" s="9">
        <f>D74-C74</f>
        <v>3</v>
      </c>
      <c r="CJ74" s="9">
        <f>E74-D74</f>
        <v>8</v>
      </c>
      <c r="CK74" s="9">
        <f>F74-E74</f>
        <v>10</v>
      </c>
      <c r="CL74" s="9">
        <f>G74-F74</f>
        <v>1</v>
      </c>
      <c r="CM74" s="32"/>
      <c r="CN74" s="3">
        <f>IF(OR(CH74="",ISBLANK(CH74),CH74=0),0,IF(MOD(CH74,2)=1,1,2))</f>
        <v>2</v>
      </c>
      <c r="CO74" s="3">
        <f>IF(OR(CI74="",ISBLANK(CI74),CI74=0),0,IF(MOD(CI74,2)=1,1,2))</f>
        <v>1</v>
      </c>
      <c r="CP74" s="3">
        <f>IF(OR(CJ74="",ISBLANK(CJ74),CJ74=0),0,IF(MOD(CJ74,2)=1,1,2))</f>
        <v>2</v>
      </c>
      <c r="CQ74" s="3">
        <f>IF(OR(CK74="",ISBLANK(CK74),CK74=0),0,IF(MOD(CK74,2)=1,1,2))</f>
        <v>2</v>
      </c>
      <c r="CR74" s="3">
        <f>IF(OR(CL74="",ISBLANK(CL74),CL74=0),0,IF(MOD(CL74,2)=1,1,2))</f>
        <v>1</v>
      </c>
      <c r="CS74" s="31"/>
      <c r="CT74" s="3" cm="1">
        <f t="array" ref="CT74">SUMPRODUCT(--(MOD(CH74:CL74,2)=1))</f>
        <v>2</v>
      </c>
      <c r="CU74" s="3">
        <f>5-CT74</f>
        <v>3</v>
      </c>
      <c r="CV74" s="30"/>
      <c r="CW74" s="3" cm="1">
        <f t="array" ref="CW74">SUMPRODUCT(--(MOD(CH74:CL74,10)&gt;=1), --(MOD(CH74:CL74,10)&lt;=5))</f>
        <v>2</v>
      </c>
      <c r="CX74" s="3">
        <f>5-CW74</f>
        <v>3</v>
      </c>
      <c r="CY74" s="30"/>
      <c r="CZ74" s="3" cm="1">
        <f t="array" ref="CZ74">IFERROR(COUNT(_xlfn._xlws.FILTER(CH74:CL74, ISNUMBER(MATCH(CH74:CL74, {2,3,5,7,11,13,17,19,23,29,31,37,41,43}, 0)))), 0)</f>
        <v>1</v>
      </c>
      <c r="DA74" s="3" cm="1">
        <f t="array" ref="DA74">IFERROR(COUNT(_xlfn._xlws.FILTER(CH74:CL74, ISNUMBER(MATCH(CH74:CL74, {1,4,8,10,14,16,20,22,25,26,28,32,34,35,38,40,44}, 0)))), 0)</f>
        <v>3</v>
      </c>
      <c r="DB74" s="3" cm="1">
        <f t="array" ref="DB74">IFERROR(COUNT(_xlfn._xlws.FILTER(CH74:CL74, ISNUMBER(MATCH(CH74:CL74, {6,9,12,15,18,21,24,27,30,33,36,39,42,45}, 0)))), 0)</f>
        <v>1</v>
      </c>
      <c r="DC74" s="29"/>
      <c r="DD74" s="28" t="e">
        <f>#REF!</f>
        <v>#REF!</v>
      </c>
      <c r="DE74" s="28" t="e">
        <f>#REF!*2</f>
        <v>#REF!</v>
      </c>
      <c r="DF74" s="28" t="e">
        <f>#REF!</f>
        <v>#REF!</v>
      </c>
      <c r="DG74" s="28" t="e">
        <f>#REF!*2</f>
        <v>#REF!</v>
      </c>
      <c r="DH74" s="28" t="e">
        <f>#REF!</f>
        <v>#REF!</v>
      </c>
      <c r="DI74" s="28" t="e">
        <f>#REF!*2</f>
        <v>#REF!</v>
      </c>
      <c r="DJ74" s="28" t="e">
        <f>#REF!</f>
        <v>#REF!</v>
      </c>
      <c r="DK74" s="28" t="e">
        <f>#REF!*2</f>
        <v>#REF!</v>
      </c>
      <c r="DL74" s="28" t="e">
        <f>#REF!</f>
        <v>#REF!</v>
      </c>
      <c r="DM74" s="28" t="e">
        <f>#REF!*2</f>
        <v>#REF!</v>
      </c>
      <c r="DN74" s="27"/>
      <c r="DO74" s="26" t="str" cm="1">
        <f t="array" ref="DO74">_xlfn.IFS(
   OR(CH74="",ISBLANK(CH74),CH74=0),0,
   ISNUMBER(MATCH(CH74,{2,3,5,7,11,13,17,19,23,29,31,37,41,43},0)),"소",
   AND(ISNUMBER(CH74),MOD(CH74,3)=0),"배",
   AND(ISNUMBER(CH74),CH74&gt;0),"자"
)</f>
        <v>배</v>
      </c>
      <c r="DP74" s="26" t="str" cm="1">
        <f t="array" ref="DP74">_xlfn.IFS(
   OR(CI74="",ISBLANK(CI74),CI74=0),0,
   ISNUMBER(MATCH(CI74,{2,3,5,7,11,13,17,19,23,29,31,37,41,43},0)),"소",
   AND(ISNUMBER(CI74),MOD(CI74,3)=0),"배",
   AND(ISNUMBER(CI74),CI74&gt;0),"자"
)</f>
        <v>소</v>
      </c>
      <c r="DQ74" s="26" t="str" cm="1">
        <f t="array" ref="DQ74">_xlfn.IFS(
   OR(CJ74="",ISBLANK(CJ74),CJ74=0),0,
   ISNUMBER(MATCH(CJ74,{2,3,5,7,11,13,17,19,23,29,31,37,41,43},0)),"소",
   AND(ISNUMBER(CJ74),MOD(CJ74,3)=0),"배",
   AND(ISNUMBER(CJ74),CJ74&gt;0),"자"
)</f>
        <v>자</v>
      </c>
      <c r="DR74" s="26" t="str" cm="1">
        <f t="array" ref="DR74">_xlfn.IFS(
   OR(CK74="",ISBLANK(CK74),CK74=0),0,
   ISNUMBER(MATCH(CK74,{2,3,5,7,11,13,17,19,23,29,31,37,41,43},0)),"소",
   AND(ISNUMBER(CK74),MOD(CK74,3)=0),"배",
   AND(ISNUMBER(CK74),CK74&gt;0),"자"
)</f>
        <v>자</v>
      </c>
      <c r="DS74" s="26" t="str" cm="1">
        <f t="array" ref="DS74">_xlfn.IFS(
   OR(CL74="",ISBLANK(CL74),CL74=0),0,
   ISNUMBER(MATCH(CL74,{2,3,5,7,11,13,17,19,23,29,31,37,41,43},0)),"소",
   AND(ISNUMBER(CL74),MOD(CL74,3)=0),"배",
   AND(ISNUMBER(CL74),CL74&gt;0),"자"
)</f>
        <v>자</v>
      </c>
      <c r="DT74" s="25"/>
    </row>
    <row r="75" spans="2:124" x14ac:dyDescent="0.3">
      <c r="B75" s="3">
        <v>30</v>
      </c>
      <c r="C75" s="3">
        <v>31</v>
      </c>
      <c r="D75" s="3">
        <v>34</v>
      </c>
      <c r="E75" s="3">
        <v>39</v>
      </c>
      <c r="F75" s="3">
        <v>41</v>
      </c>
      <c r="G75" s="3">
        <v>45</v>
      </c>
      <c r="H75" s="32"/>
      <c r="I75" s="3">
        <f>IF(OR(B75="",ISBLANK(B75),B75=0),0,IF(MOD(B75,2)=1,1,2))</f>
        <v>2</v>
      </c>
      <c r="J75" s="3">
        <f>IF(OR(C75="",ISBLANK(C75),C75=0),0,IF(MOD(C75,2)=1,1,2))</f>
        <v>1</v>
      </c>
      <c r="K75" s="3">
        <f>IF(OR(D75="",ISBLANK(D75),D75=0),0,IF(MOD(D75,2)=1,1,2))</f>
        <v>2</v>
      </c>
      <c r="L75" s="3">
        <f>IF(OR(E75="",ISBLANK(E75),E75=0),0,IF(MOD(E75,2)=1,1,2))</f>
        <v>1</v>
      </c>
      <c r="M75" s="3">
        <f>IF(OR(F75="",ISBLANK(F75),F75=0),0,IF(MOD(F75,2)=1,1,2))</f>
        <v>1</v>
      </c>
      <c r="N75" s="3">
        <f>IF(OR(G75="",ISBLANK(G75),G75=0),0,IF(MOD(G75,2)=1,1,2))</f>
        <v>1</v>
      </c>
      <c r="O75" s="32"/>
      <c r="P75" s="3" cm="1">
        <f t="array" ref="P75">SUMPRODUCT(--(MOD(B75:G75,2)=1))</f>
        <v>4</v>
      </c>
      <c r="Q75" s="3">
        <f>6-P75</f>
        <v>2</v>
      </c>
      <c r="R75" s="34"/>
      <c r="S75" s="3">
        <f>COUNTIFS(B75:G75,"&gt;=1",B75:G75,"&lt;=23")</f>
        <v>0</v>
      </c>
      <c r="T75" s="3">
        <f>6-S75</f>
        <v>6</v>
      </c>
      <c r="U75" s="34"/>
      <c r="V75" s="3" cm="1">
        <f t="array" ref="V75">SUMPRODUCT(--(MOD(B75:G75,10)&gt;=1), --(MOD(B75:G75,10)&lt;=5))</f>
        <v>4</v>
      </c>
      <c r="W75" s="3">
        <f>6-V75</f>
        <v>2</v>
      </c>
      <c r="X75" s="34"/>
      <c r="Y75" s="3" cm="1">
        <f t="array" ref="Y75">IFERROR(COUNT(_xlfn._xlws.FILTER(B75:G75, ISNUMBER(MATCH(B75:G75, {2,3,5,7,11,13,17,19,23,29,31,37,41,43}, 0)))), 0)</f>
        <v>2</v>
      </c>
      <c r="Z75" s="3" cm="1">
        <f t="array" ref="Z75">IFERROR(COUNT(_xlfn._xlws.FILTER(B75:G75, ISNUMBER(MATCH(B75:G75, {1,4,8,10,14,16,20,22,25,26,28,32,34,35,38,40,44}, 0)))), 0)</f>
        <v>1</v>
      </c>
      <c r="AA75" s="3" cm="1">
        <f t="array" ref="AA75">IFERROR(COUNT(_xlfn._xlws.FILTER(B75:G75, ISNUMBER(MATCH(B75:G75, {6,9,12,15,18,21,24,27,30,33,36,39,42,45}, 0)))), 0)</f>
        <v>3</v>
      </c>
      <c r="AB75" s="30"/>
      <c r="AC75" s="26" t="str" cm="1">
        <f t="array" ref="AC75">_xlfn.IFS(
   OR(B75="",ISBLANK(B75),B75=0),0,
   ISNUMBER(MATCH(B75,{2,3,5,7,11,13,17,19,23,29,31,37,41,43},0)),"소",
   AND(ISNUMBER(B75),MOD(B75,3)=0),"배",
   AND(ISNUMBER(B75),B75&gt;0),"자"
)</f>
        <v>배</v>
      </c>
      <c r="AD75" s="26" t="str" cm="1">
        <f t="array" ref="AD75">_xlfn.IFS(
   OR(C75="",ISBLANK(C75),C75=0),0,
   ISNUMBER(MATCH(C75,{2,3,5,7,11,13,17,19,23,29,31,37,41,43},0)),"소",
   AND(ISNUMBER(C75),MOD(C75,3)=0),"배",
   AND(ISNUMBER(C75),C75&gt;0),"자"
)</f>
        <v>소</v>
      </c>
      <c r="AE75" s="26" t="str" cm="1">
        <f t="array" ref="AE75">_xlfn.IFS(
   OR(D75="",ISBLANK(D75),D75=0),0,
   ISNUMBER(MATCH(D75,{2,3,5,7,11,13,17,19,23,29,31,37,41,43},0)),"소",
   AND(ISNUMBER(D75),MOD(D75,3)=0),"배",
   AND(ISNUMBER(D75),D75&gt;0),"자"
)</f>
        <v>자</v>
      </c>
      <c r="AF75" s="26" t="str" cm="1">
        <f t="array" ref="AF75">_xlfn.IFS(
   OR(E75="",ISBLANK(E75),E75=0),0,
   ISNUMBER(MATCH(E75,{2,3,5,7,11,13,17,19,23,29,31,37,41,43},0)),"소",
   AND(ISNUMBER(E75),MOD(E75,3)=0),"배",
   AND(ISNUMBER(E75),E75&gt;0),"자"
)</f>
        <v>배</v>
      </c>
      <c r="AG75" s="26" t="str" cm="1">
        <f t="array" ref="AG75">_xlfn.IFS(
   OR(F75="",ISBLANK(F75),F75=0),0,
   ISNUMBER(MATCH(F75,{2,3,5,7,11,13,17,19,23,29,31,37,41,43},0)),"소",
   AND(ISNUMBER(F75),MOD(F75,3)=0),"배",
   AND(ISNUMBER(F75),F75&gt;0),"자"
)</f>
        <v>소</v>
      </c>
      <c r="AH75" s="26" t="str" cm="1">
        <f t="array" ref="AH75">_xlfn.IFS(
   OR(G75="",ISBLANK(G75),G75=0),0,
   ISNUMBER(MATCH(G75,{2,3,5,7,11,13,17,19,23,29,31,37,41,43},0)),"소",
   AND(ISNUMBER(G75),MOD(G75,3)=0),"배",
   AND(ISNUMBER(G75),G75&gt;0),"자"
)</f>
        <v>배</v>
      </c>
      <c r="AI75" s="30"/>
      <c r="AJ75" s="3">
        <f>COUNTIFS(B75:G75,"&gt;=1",B75:G75,"&lt;=14")</f>
        <v>0</v>
      </c>
      <c r="AK75" s="3">
        <f>COUNTIFS(B75:G75,"&gt;=15",B75:G75,"&lt;=31")</f>
        <v>2</v>
      </c>
      <c r="AL75" s="3">
        <f>6-AK75-AJ75</f>
        <v>4</v>
      </c>
      <c r="AM75" s="33"/>
      <c r="AN75" s="3">
        <f>COUNTIFS($B75:$G75, "&gt;=1",$B75:$G75, "&lt;=9")</f>
        <v>0</v>
      </c>
      <c r="AO75" s="3">
        <f>COUNTIFS($B75:$G75, "&gt;=10",$B75:$G75, "&lt;=18")</f>
        <v>0</v>
      </c>
      <c r="AP75" s="3">
        <f>COUNTIFS($B75:$G75, "&gt;=19",$B75:$G75, "&lt;=27")</f>
        <v>0</v>
      </c>
      <c r="AQ75" s="3">
        <f>COUNTIFS($B75:$G75, "&gt;=28",$B75:$G75, "&lt;=36")</f>
        <v>3</v>
      </c>
      <c r="AR75" s="3">
        <f>COUNTIFS($B75:$G75, "&gt;=37",$B75:$G75, "&lt;=45")</f>
        <v>3</v>
      </c>
      <c r="AS75" s="28" t="e">
        <f>#REF!</f>
        <v>#REF!</v>
      </c>
      <c r="AT75" s="28" t="e">
        <f>#REF!*2</f>
        <v>#REF!</v>
      </c>
      <c r="AU75" s="28" t="e">
        <f>#REF!</f>
        <v>#REF!</v>
      </c>
      <c r="AV75" s="28" t="e">
        <f>#REF!*2</f>
        <v>#REF!</v>
      </c>
      <c r="AW75" s="28" t="e">
        <f>#REF!</f>
        <v>#REF!</v>
      </c>
      <c r="AX75" s="28" t="e">
        <f>#REF!*2</f>
        <v>#REF!</v>
      </c>
      <c r="AY75" s="28" t="e">
        <f>#REF!</f>
        <v>#REF!</v>
      </c>
      <c r="AZ75" s="28" t="e">
        <f>#REF!*2</f>
        <v>#REF!</v>
      </c>
      <c r="BA75" s="28" t="e">
        <f>#REF!</f>
        <v>#REF!</v>
      </c>
      <c r="BB75" s="28" t="e">
        <f>#REF!*2</f>
        <v>#REF!</v>
      </c>
      <c r="BC75" s="28" t="e">
        <f>#REF!</f>
        <v>#REF!</v>
      </c>
      <c r="BD75" s="28" t="e">
        <f>#REF!*2</f>
        <v>#REF!</v>
      </c>
      <c r="BE75" s="9" t="e">
        <f>#REF!-#REF!</f>
        <v>#REF!</v>
      </c>
      <c r="BF75" s="9" t="e">
        <f>#REF!-#REF!</f>
        <v>#REF!</v>
      </c>
      <c r="BG75" s="9" t="e">
        <f>#REF!-#REF!</f>
        <v>#REF!</v>
      </c>
      <c r="BH75" s="9" t="e">
        <f>#REF!-#REF!</f>
        <v>#REF!</v>
      </c>
      <c r="BI75" s="9" t="e">
        <f>#REF!-#REF!</f>
        <v>#REF!</v>
      </c>
      <c r="BJ75" s="33"/>
      <c r="BK75" s="3">
        <f>COUNTIFS(B75:G75, "&gt;=1", B75:G75, "&lt;=9")</f>
        <v>0</v>
      </c>
      <c r="BL75" s="3">
        <f>COUNTIFS(B75:G75, "&gt;=10", B75:G75, "&lt;=19")</f>
        <v>0</v>
      </c>
      <c r="BM75" s="3">
        <f>COUNTIFS(B75:G75, "&gt;=20", B75:G75, "&lt;=29")</f>
        <v>0</v>
      </c>
      <c r="BN75" s="3">
        <f>COUNTIFS(B75:G75, "&gt;=30", B75:G75, "&lt;=39")</f>
        <v>4</v>
      </c>
      <c r="BO75" s="3">
        <f>COUNTIFS(B75:G75, "&gt;=40", B75:G75, "&lt;=45")</f>
        <v>2</v>
      </c>
      <c r="BP75" s="28" t="e">
        <f>#REF!</f>
        <v>#REF!</v>
      </c>
      <c r="BQ75" s="28" t="e">
        <f>#REF!*2</f>
        <v>#REF!</v>
      </c>
      <c r="BR75" s="28" t="e">
        <f>#REF!</f>
        <v>#REF!</v>
      </c>
      <c r="BS75" s="28" t="e">
        <f>#REF!*2</f>
        <v>#REF!</v>
      </c>
      <c r="BT75" s="28" t="e">
        <f>#REF!</f>
        <v>#REF!</v>
      </c>
      <c r="BU75" s="28" t="e">
        <f>#REF!*2</f>
        <v>#REF!</v>
      </c>
      <c r="BV75" s="28" t="e">
        <f>#REF!</f>
        <v>#REF!</v>
      </c>
      <c r="BW75" s="28" t="e">
        <f>#REF!*2</f>
        <v>#REF!</v>
      </c>
      <c r="BX75" s="28" t="e">
        <f>#REF!</f>
        <v>#REF!</v>
      </c>
      <c r="BY75" s="28" t="e">
        <f>#REF!*2</f>
        <v>#REF!</v>
      </c>
      <c r="BZ75" s="28" t="e">
        <f>#REF!</f>
        <v>#REF!</v>
      </c>
      <c r="CA75" s="28" t="e">
        <f>#REF!*2</f>
        <v>#REF!</v>
      </c>
      <c r="CB75" s="9">
        <f>C75-B75</f>
        <v>1</v>
      </c>
      <c r="CC75" s="9">
        <f>D75-C75</f>
        <v>3</v>
      </c>
      <c r="CD75" s="9">
        <f>E75-D75</f>
        <v>5</v>
      </c>
      <c r="CE75" s="9">
        <f>F75-E75</f>
        <v>2</v>
      </c>
      <c r="CF75" s="9">
        <f>G75-F75</f>
        <v>4</v>
      </c>
      <c r="CG75" s="33"/>
      <c r="CH75" s="9">
        <f>C75-B75</f>
        <v>1</v>
      </c>
      <c r="CI75" s="9">
        <f>D75-C75</f>
        <v>3</v>
      </c>
      <c r="CJ75" s="9">
        <f>E75-D75</f>
        <v>5</v>
      </c>
      <c r="CK75" s="9">
        <f>F75-E75</f>
        <v>2</v>
      </c>
      <c r="CL75" s="9">
        <f>G75-F75</f>
        <v>4</v>
      </c>
      <c r="CM75" s="32"/>
      <c r="CN75" s="3">
        <f>IF(OR(CH75="",ISBLANK(CH75),CH75=0),0,IF(MOD(CH75,2)=1,1,2))</f>
        <v>1</v>
      </c>
      <c r="CO75" s="3">
        <f>IF(OR(CI75="",ISBLANK(CI75),CI75=0),0,IF(MOD(CI75,2)=1,1,2))</f>
        <v>1</v>
      </c>
      <c r="CP75" s="3">
        <f>IF(OR(CJ75="",ISBLANK(CJ75),CJ75=0),0,IF(MOD(CJ75,2)=1,1,2))</f>
        <v>1</v>
      </c>
      <c r="CQ75" s="3">
        <f>IF(OR(CK75="",ISBLANK(CK75),CK75=0),0,IF(MOD(CK75,2)=1,1,2))</f>
        <v>2</v>
      </c>
      <c r="CR75" s="3">
        <f>IF(OR(CL75="",ISBLANK(CL75),CL75=0),0,IF(MOD(CL75,2)=1,1,2))</f>
        <v>2</v>
      </c>
      <c r="CS75" s="31"/>
      <c r="CT75" s="3" cm="1">
        <f t="array" ref="CT75">SUMPRODUCT(--(MOD(CH75:CL75,2)=1))</f>
        <v>3</v>
      </c>
      <c r="CU75" s="3">
        <f>5-CT75</f>
        <v>2</v>
      </c>
      <c r="CV75" s="30"/>
      <c r="CW75" s="3" cm="1">
        <f t="array" ref="CW75">SUMPRODUCT(--(MOD(CH75:CL75,10)&gt;=1), --(MOD(CH75:CL75,10)&lt;=5))</f>
        <v>5</v>
      </c>
      <c r="CX75" s="3">
        <f>5-CW75</f>
        <v>0</v>
      </c>
      <c r="CY75" s="30"/>
      <c r="CZ75" s="3" cm="1">
        <f t="array" ref="CZ75">IFERROR(COUNT(_xlfn._xlws.FILTER(CH75:CL75, ISNUMBER(MATCH(CH75:CL75, {2,3,5,7,11,13,17,19,23,29,31,37,41,43}, 0)))), 0)</f>
        <v>3</v>
      </c>
      <c r="DA75" s="3" cm="1">
        <f t="array" ref="DA75">IFERROR(COUNT(_xlfn._xlws.FILTER(CH75:CL75, ISNUMBER(MATCH(CH75:CL75, {1,4,8,10,14,16,20,22,25,26,28,32,34,35,38,40,44}, 0)))), 0)</f>
        <v>2</v>
      </c>
      <c r="DB75" s="3" cm="1">
        <f t="array" ref="DB75">IFERROR(COUNT(_xlfn._xlws.FILTER(CH75:CL75, ISNUMBER(MATCH(CH75:CL75, {6,9,12,15,18,21,24,27,30,33,36,39,42,45}, 0)))), 0)</f>
        <v>0</v>
      </c>
      <c r="DC75" s="29"/>
      <c r="DD75" s="28" t="e">
        <f>#REF!</f>
        <v>#REF!</v>
      </c>
      <c r="DE75" s="28" t="e">
        <f>#REF!*2</f>
        <v>#REF!</v>
      </c>
      <c r="DF75" s="28" t="e">
        <f>#REF!</f>
        <v>#REF!</v>
      </c>
      <c r="DG75" s="28" t="e">
        <f>#REF!*2</f>
        <v>#REF!</v>
      </c>
      <c r="DH75" s="28" t="e">
        <f>#REF!</f>
        <v>#REF!</v>
      </c>
      <c r="DI75" s="28" t="e">
        <f>#REF!*2</f>
        <v>#REF!</v>
      </c>
      <c r="DJ75" s="28" t="e">
        <f>#REF!</f>
        <v>#REF!</v>
      </c>
      <c r="DK75" s="28" t="e">
        <f>#REF!*2</f>
        <v>#REF!</v>
      </c>
      <c r="DL75" s="28" t="e">
        <f>#REF!</f>
        <v>#REF!</v>
      </c>
      <c r="DM75" s="28" t="e">
        <f>#REF!*2</f>
        <v>#REF!</v>
      </c>
      <c r="DN75" s="27"/>
      <c r="DO75" s="26" t="str" cm="1">
        <f t="array" ref="DO75">_xlfn.IFS(
   OR(CH75="",ISBLANK(CH75),CH75=0),0,
   ISNUMBER(MATCH(CH75,{2,3,5,7,11,13,17,19,23,29,31,37,41,43},0)),"소",
   AND(ISNUMBER(CH75),MOD(CH75,3)=0),"배",
   AND(ISNUMBER(CH75),CH75&gt;0),"자"
)</f>
        <v>자</v>
      </c>
      <c r="DP75" s="26" t="str" cm="1">
        <f t="array" ref="DP75">_xlfn.IFS(
   OR(CI75="",ISBLANK(CI75),CI75=0),0,
   ISNUMBER(MATCH(CI75,{2,3,5,7,11,13,17,19,23,29,31,37,41,43},0)),"소",
   AND(ISNUMBER(CI75),MOD(CI75,3)=0),"배",
   AND(ISNUMBER(CI75),CI75&gt;0),"자"
)</f>
        <v>소</v>
      </c>
      <c r="DQ75" s="26" t="str" cm="1">
        <f t="array" ref="DQ75">_xlfn.IFS(
   OR(CJ75="",ISBLANK(CJ75),CJ75=0),0,
   ISNUMBER(MATCH(CJ75,{2,3,5,7,11,13,17,19,23,29,31,37,41,43},0)),"소",
   AND(ISNUMBER(CJ75),MOD(CJ75,3)=0),"배",
   AND(ISNUMBER(CJ75),CJ75&gt;0),"자"
)</f>
        <v>소</v>
      </c>
      <c r="DR75" s="26" t="str" cm="1">
        <f t="array" ref="DR75">_xlfn.IFS(
   OR(CK75="",ISBLANK(CK75),CK75=0),0,
   ISNUMBER(MATCH(CK75,{2,3,5,7,11,13,17,19,23,29,31,37,41,43},0)),"소",
   AND(ISNUMBER(CK75),MOD(CK75,3)=0),"배",
   AND(ISNUMBER(CK75),CK75&gt;0),"자"
)</f>
        <v>소</v>
      </c>
      <c r="DS75" s="26" t="str" cm="1">
        <f t="array" ref="DS75">_xlfn.IFS(
   OR(CL75="",ISBLANK(CL75),CL75=0),0,
   ISNUMBER(MATCH(CL75,{2,3,5,7,11,13,17,19,23,29,31,37,41,43},0)),"소",
   AND(ISNUMBER(CL75),MOD(CL75,3)=0),"배",
   AND(ISNUMBER(CL75),CL75&gt;0),"자"
)</f>
        <v>자</v>
      </c>
      <c r="DT75" s="25"/>
    </row>
    <row r="76" spans="2:124" x14ac:dyDescent="0.3">
      <c r="B76" s="3">
        <v>5</v>
      </c>
      <c r="C76" s="3">
        <v>7</v>
      </c>
      <c r="D76" s="3">
        <v>12</v>
      </c>
      <c r="E76" s="3">
        <v>20</v>
      </c>
      <c r="F76" s="3">
        <v>25</v>
      </c>
      <c r="G76" s="3">
        <v>26</v>
      </c>
      <c r="H76" s="32"/>
      <c r="I76" s="3">
        <f>IF(OR(B76="",ISBLANK(B76),B76=0),0,IF(MOD(B76,2)=1,1,2))</f>
        <v>1</v>
      </c>
      <c r="J76" s="3">
        <f>IF(OR(C76="",ISBLANK(C76),C76=0),0,IF(MOD(C76,2)=1,1,2))</f>
        <v>1</v>
      </c>
      <c r="K76" s="3">
        <f>IF(OR(D76="",ISBLANK(D76),D76=0),0,IF(MOD(D76,2)=1,1,2))</f>
        <v>2</v>
      </c>
      <c r="L76" s="3">
        <f>IF(OR(E76="",ISBLANK(E76),E76=0),0,IF(MOD(E76,2)=1,1,2))</f>
        <v>2</v>
      </c>
      <c r="M76" s="3">
        <f>IF(OR(F76="",ISBLANK(F76),F76=0),0,IF(MOD(F76,2)=1,1,2))</f>
        <v>1</v>
      </c>
      <c r="N76" s="3">
        <f>IF(OR(G76="",ISBLANK(G76),G76=0),0,IF(MOD(G76,2)=1,1,2))</f>
        <v>2</v>
      </c>
      <c r="O76" s="32"/>
      <c r="P76" s="3" cm="1">
        <f t="array" ref="P76">SUMPRODUCT(--(MOD(B76:G76,2)=1))</f>
        <v>3</v>
      </c>
      <c r="Q76" s="3">
        <f>6-P76</f>
        <v>3</v>
      </c>
      <c r="R76" s="34"/>
      <c r="S76" s="3">
        <f>COUNTIFS(B76:G76,"&gt;=1",B76:G76,"&lt;=23")</f>
        <v>4</v>
      </c>
      <c r="T76" s="3">
        <f>6-S76</f>
        <v>2</v>
      </c>
      <c r="U76" s="34"/>
      <c r="V76" s="3" cm="1">
        <f t="array" ref="V76">SUMPRODUCT(--(MOD(B76:G76,10)&gt;=1), --(MOD(B76:G76,10)&lt;=5))</f>
        <v>3</v>
      </c>
      <c r="W76" s="3">
        <f>6-V76</f>
        <v>3</v>
      </c>
      <c r="X76" s="34"/>
      <c r="Y76" s="3" cm="1">
        <f t="array" ref="Y76">IFERROR(COUNT(_xlfn._xlws.FILTER(B76:G76, ISNUMBER(MATCH(B76:G76, {2,3,5,7,11,13,17,19,23,29,31,37,41,43}, 0)))), 0)</f>
        <v>2</v>
      </c>
      <c r="Z76" s="3" cm="1">
        <f t="array" ref="Z76">IFERROR(COUNT(_xlfn._xlws.FILTER(B76:G76, ISNUMBER(MATCH(B76:G76, {1,4,8,10,14,16,20,22,25,26,28,32,34,35,38,40,44}, 0)))), 0)</f>
        <v>3</v>
      </c>
      <c r="AA76" s="3" cm="1">
        <f t="array" ref="AA76">IFERROR(COUNT(_xlfn._xlws.FILTER(B76:G76, ISNUMBER(MATCH(B76:G76, {6,9,12,15,18,21,24,27,30,33,36,39,42,45}, 0)))), 0)</f>
        <v>1</v>
      </c>
      <c r="AB76" s="30"/>
      <c r="AC76" s="26" t="str" cm="1">
        <f t="array" ref="AC76">_xlfn.IFS(
   OR(B76="",ISBLANK(B76),B76=0),0,
   ISNUMBER(MATCH(B76,{2,3,5,7,11,13,17,19,23,29,31,37,41,43},0)),"소",
   AND(ISNUMBER(B76),MOD(B76,3)=0),"배",
   AND(ISNUMBER(B76),B76&gt;0),"자"
)</f>
        <v>소</v>
      </c>
      <c r="AD76" s="26" t="str" cm="1">
        <f t="array" ref="AD76">_xlfn.IFS(
   OR(C76="",ISBLANK(C76),C76=0),0,
   ISNUMBER(MATCH(C76,{2,3,5,7,11,13,17,19,23,29,31,37,41,43},0)),"소",
   AND(ISNUMBER(C76),MOD(C76,3)=0),"배",
   AND(ISNUMBER(C76),C76&gt;0),"자"
)</f>
        <v>소</v>
      </c>
      <c r="AE76" s="26" t="str" cm="1">
        <f t="array" ref="AE76">_xlfn.IFS(
   OR(D76="",ISBLANK(D76),D76=0),0,
   ISNUMBER(MATCH(D76,{2,3,5,7,11,13,17,19,23,29,31,37,41,43},0)),"소",
   AND(ISNUMBER(D76),MOD(D76,3)=0),"배",
   AND(ISNUMBER(D76),D76&gt;0),"자"
)</f>
        <v>배</v>
      </c>
      <c r="AF76" s="26" t="str" cm="1">
        <f t="array" ref="AF76">_xlfn.IFS(
   OR(E76="",ISBLANK(E76),E76=0),0,
   ISNUMBER(MATCH(E76,{2,3,5,7,11,13,17,19,23,29,31,37,41,43},0)),"소",
   AND(ISNUMBER(E76),MOD(E76,3)=0),"배",
   AND(ISNUMBER(E76),E76&gt;0),"자"
)</f>
        <v>자</v>
      </c>
      <c r="AG76" s="26" t="str" cm="1">
        <f t="array" ref="AG76">_xlfn.IFS(
   OR(F76="",ISBLANK(F76),F76=0),0,
   ISNUMBER(MATCH(F76,{2,3,5,7,11,13,17,19,23,29,31,37,41,43},0)),"소",
   AND(ISNUMBER(F76),MOD(F76,3)=0),"배",
   AND(ISNUMBER(F76),F76&gt;0),"자"
)</f>
        <v>자</v>
      </c>
      <c r="AH76" s="26" t="str" cm="1">
        <f t="array" ref="AH76">_xlfn.IFS(
   OR(G76="",ISBLANK(G76),G76=0),0,
   ISNUMBER(MATCH(G76,{2,3,5,7,11,13,17,19,23,29,31,37,41,43},0)),"소",
   AND(ISNUMBER(G76),MOD(G76,3)=0),"배",
   AND(ISNUMBER(G76),G76&gt;0),"자"
)</f>
        <v>자</v>
      </c>
      <c r="AI76" s="30"/>
      <c r="AJ76" s="3">
        <f>COUNTIFS(B76:G76,"&gt;=1",B76:G76,"&lt;=14")</f>
        <v>3</v>
      </c>
      <c r="AK76" s="3">
        <f>COUNTIFS(B76:G76,"&gt;=15",B76:G76,"&lt;=31")</f>
        <v>3</v>
      </c>
      <c r="AL76" s="3">
        <f>6-AK76-AJ76</f>
        <v>0</v>
      </c>
      <c r="AM76" s="33"/>
      <c r="AN76" s="3">
        <f>COUNTIFS($B76:$G76, "&gt;=1",$B76:$G76, "&lt;=9")</f>
        <v>2</v>
      </c>
      <c r="AO76" s="3">
        <f>COUNTIFS($B76:$G76, "&gt;=10",$B76:$G76, "&lt;=18")</f>
        <v>1</v>
      </c>
      <c r="AP76" s="3">
        <f>COUNTIFS($B76:$G76, "&gt;=19",$B76:$G76, "&lt;=27")</f>
        <v>3</v>
      </c>
      <c r="AQ76" s="3">
        <f>COUNTIFS($B76:$G76, "&gt;=28",$B76:$G76, "&lt;=36")</f>
        <v>0</v>
      </c>
      <c r="AR76" s="3">
        <f>COUNTIFS($B76:$G76, "&gt;=37",$B76:$G76, "&lt;=45")</f>
        <v>0</v>
      </c>
      <c r="AS76" s="28" t="e">
        <f>#REF!</f>
        <v>#REF!</v>
      </c>
      <c r="AT76" s="28" t="e">
        <f>#REF!*2</f>
        <v>#REF!</v>
      </c>
      <c r="AU76" s="28" t="e">
        <f>#REF!</f>
        <v>#REF!</v>
      </c>
      <c r="AV76" s="28" t="e">
        <f>#REF!*2</f>
        <v>#REF!</v>
      </c>
      <c r="AW76" s="28" t="e">
        <f>#REF!</f>
        <v>#REF!</v>
      </c>
      <c r="AX76" s="28" t="e">
        <f>#REF!*2</f>
        <v>#REF!</v>
      </c>
      <c r="AY76" s="28" t="e">
        <f>#REF!</f>
        <v>#REF!</v>
      </c>
      <c r="AZ76" s="28" t="e">
        <f>#REF!*2</f>
        <v>#REF!</v>
      </c>
      <c r="BA76" s="28" t="e">
        <f>#REF!</f>
        <v>#REF!</v>
      </c>
      <c r="BB76" s="28" t="e">
        <f>#REF!*2</f>
        <v>#REF!</v>
      </c>
      <c r="BC76" s="28" t="e">
        <f>#REF!</f>
        <v>#REF!</v>
      </c>
      <c r="BD76" s="28" t="e">
        <f>#REF!*2</f>
        <v>#REF!</v>
      </c>
      <c r="BE76" s="9" t="e">
        <f>#REF!-#REF!</f>
        <v>#REF!</v>
      </c>
      <c r="BF76" s="9" t="e">
        <f>#REF!-#REF!</f>
        <v>#REF!</v>
      </c>
      <c r="BG76" s="9" t="e">
        <f>#REF!-#REF!</f>
        <v>#REF!</v>
      </c>
      <c r="BH76" s="9" t="e">
        <f>#REF!-#REF!</f>
        <v>#REF!</v>
      </c>
      <c r="BI76" s="9" t="e">
        <f>#REF!-#REF!</f>
        <v>#REF!</v>
      </c>
      <c r="BJ76" s="33"/>
      <c r="BK76" s="3">
        <f>COUNTIFS(B76:G76, "&gt;=1", B76:G76, "&lt;=9")</f>
        <v>2</v>
      </c>
      <c r="BL76" s="3">
        <f>COUNTIFS(B76:G76, "&gt;=10", B76:G76, "&lt;=19")</f>
        <v>1</v>
      </c>
      <c r="BM76" s="3">
        <f>COUNTIFS(B76:G76, "&gt;=20", B76:G76, "&lt;=29")</f>
        <v>3</v>
      </c>
      <c r="BN76" s="3">
        <f>COUNTIFS(B76:G76, "&gt;=30", B76:G76, "&lt;=39")</f>
        <v>0</v>
      </c>
      <c r="BO76" s="3">
        <f>COUNTIFS(B76:G76, "&gt;=40", B76:G76, "&lt;=45")</f>
        <v>0</v>
      </c>
      <c r="BP76" s="28" t="e">
        <f>#REF!</f>
        <v>#REF!</v>
      </c>
      <c r="BQ76" s="28" t="e">
        <f>#REF!*2</f>
        <v>#REF!</v>
      </c>
      <c r="BR76" s="28" t="e">
        <f>#REF!</f>
        <v>#REF!</v>
      </c>
      <c r="BS76" s="28" t="e">
        <f>#REF!*2</f>
        <v>#REF!</v>
      </c>
      <c r="BT76" s="28" t="e">
        <f>#REF!</f>
        <v>#REF!</v>
      </c>
      <c r="BU76" s="28" t="e">
        <f>#REF!*2</f>
        <v>#REF!</v>
      </c>
      <c r="BV76" s="28" t="e">
        <f>#REF!</f>
        <v>#REF!</v>
      </c>
      <c r="BW76" s="28" t="e">
        <f>#REF!*2</f>
        <v>#REF!</v>
      </c>
      <c r="BX76" s="28" t="e">
        <f>#REF!</f>
        <v>#REF!</v>
      </c>
      <c r="BY76" s="28" t="e">
        <f>#REF!*2</f>
        <v>#REF!</v>
      </c>
      <c r="BZ76" s="28" t="e">
        <f>#REF!</f>
        <v>#REF!</v>
      </c>
      <c r="CA76" s="28" t="e">
        <f>#REF!*2</f>
        <v>#REF!</v>
      </c>
      <c r="CB76" s="9">
        <f>C76-B76</f>
        <v>2</v>
      </c>
      <c r="CC76" s="9">
        <f>D76-C76</f>
        <v>5</v>
      </c>
      <c r="CD76" s="9">
        <f>E76-D76</f>
        <v>8</v>
      </c>
      <c r="CE76" s="9">
        <f>F76-E76</f>
        <v>5</v>
      </c>
      <c r="CF76" s="9">
        <f>G76-F76</f>
        <v>1</v>
      </c>
      <c r="CG76" s="33"/>
      <c r="CH76" s="9">
        <f>C76-B76</f>
        <v>2</v>
      </c>
      <c r="CI76" s="9">
        <f>D76-C76</f>
        <v>5</v>
      </c>
      <c r="CJ76" s="9">
        <f>E76-D76</f>
        <v>8</v>
      </c>
      <c r="CK76" s="9">
        <f>F76-E76</f>
        <v>5</v>
      </c>
      <c r="CL76" s="9">
        <f>G76-F76</f>
        <v>1</v>
      </c>
      <c r="CM76" s="32"/>
      <c r="CN76" s="3">
        <f>IF(OR(CH76="",ISBLANK(CH76),CH76=0),0,IF(MOD(CH76,2)=1,1,2))</f>
        <v>2</v>
      </c>
      <c r="CO76" s="3">
        <f>IF(OR(CI76="",ISBLANK(CI76),CI76=0),0,IF(MOD(CI76,2)=1,1,2))</f>
        <v>1</v>
      </c>
      <c r="CP76" s="3">
        <f>IF(OR(CJ76="",ISBLANK(CJ76),CJ76=0),0,IF(MOD(CJ76,2)=1,1,2))</f>
        <v>2</v>
      </c>
      <c r="CQ76" s="3">
        <f>IF(OR(CK76="",ISBLANK(CK76),CK76=0),0,IF(MOD(CK76,2)=1,1,2))</f>
        <v>1</v>
      </c>
      <c r="CR76" s="3">
        <f>IF(OR(CL76="",ISBLANK(CL76),CL76=0),0,IF(MOD(CL76,2)=1,1,2))</f>
        <v>1</v>
      </c>
      <c r="CS76" s="31"/>
      <c r="CT76" s="3" cm="1">
        <f t="array" ref="CT76">SUMPRODUCT(--(MOD(CH76:CL76,2)=1))</f>
        <v>3</v>
      </c>
      <c r="CU76" s="3">
        <f>5-CT76</f>
        <v>2</v>
      </c>
      <c r="CV76" s="30"/>
      <c r="CW76" s="3" cm="1">
        <f t="array" ref="CW76">SUMPRODUCT(--(MOD(CH76:CL76,10)&gt;=1), --(MOD(CH76:CL76,10)&lt;=5))</f>
        <v>4</v>
      </c>
      <c r="CX76" s="3">
        <f>5-CW76</f>
        <v>1</v>
      </c>
      <c r="CY76" s="30"/>
      <c r="CZ76" s="3" cm="1">
        <f t="array" ref="CZ76">IFERROR(COUNT(_xlfn._xlws.FILTER(CH76:CL76, ISNUMBER(MATCH(CH76:CL76, {2,3,5,7,11,13,17,19,23,29,31,37,41,43}, 0)))), 0)</f>
        <v>3</v>
      </c>
      <c r="DA76" s="3" cm="1">
        <f t="array" ref="DA76">IFERROR(COUNT(_xlfn._xlws.FILTER(CH76:CL76, ISNUMBER(MATCH(CH76:CL76, {1,4,8,10,14,16,20,22,25,26,28,32,34,35,38,40,44}, 0)))), 0)</f>
        <v>2</v>
      </c>
      <c r="DB76" s="3" cm="1">
        <f t="array" ref="DB76">IFERROR(COUNT(_xlfn._xlws.FILTER(CH76:CL76, ISNUMBER(MATCH(CH76:CL76, {6,9,12,15,18,21,24,27,30,33,36,39,42,45}, 0)))), 0)</f>
        <v>0</v>
      </c>
      <c r="DC76" s="29"/>
      <c r="DD76" s="28" t="e">
        <f>#REF!</f>
        <v>#REF!</v>
      </c>
      <c r="DE76" s="28" t="e">
        <f>#REF!*2</f>
        <v>#REF!</v>
      </c>
      <c r="DF76" s="28" t="e">
        <f>#REF!</f>
        <v>#REF!</v>
      </c>
      <c r="DG76" s="28" t="e">
        <f>#REF!*2</f>
        <v>#REF!</v>
      </c>
      <c r="DH76" s="28" t="e">
        <f>#REF!</f>
        <v>#REF!</v>
      </c>
      <c r="DI76" s="28" t="e">
        <f>#REF!*2</f>
        <v>#REF!</v>
      </c>
      <c r="DJ76" s="28" t="e">
        <f>#REF!</f>
        <v>#REF!</v>
      </c>
      <c r="DK76" s="28" t="e">
        <f>#REF!*2</f>
        <v>#REF!</v>
      </c>
      <c r="DL76" s="28" t="e">
        <f>#REF!</f>
        <v>#REF!</v>
      </c>
      <c r="DM76" s="28" t="e">
        <f>#REF!*2</f>
        <v>#REF!</v>
      </c>
      <c r="DN76" s="27"/>
      <c r="DO76" s="26" t="str" cm="1">
        <f t="array" ref="DO76">_xlfn.IFS(
   OR(CH76="",ISBLANK(CH76),CH76=0),0,
   ISNUMBER(MATCH(CH76,{2,3,5,7,11,13,17,19,23,29,31,37,41,43},0)),"소",
   AND(ISNUMBER(CH76),MOD(CH76,3)=0),"배",
   AND(ISNUMBER(CH76),CH76&gt;0),"자"
)</f>
        <v>소</v>
      </c>
      <c r="DP76" s="26" t="str" cm="1">
        <f t="array" ref="DP76">_xlfn.IFS(
   OR(CI76="",ISBLANK(CI76),CI76=0),0,
   ISNUMBER(MATCH(CI76,{2,3,5,7,11,13,17,19,23,29,31,37,41,43},0)),"소",
   AND(ISNUMBER(CI76),MOD(CI76,3)=0),"배",
   AND(ISNUMBER(CI76),CI76&gt;0),"자"
)</f>
        <v>소</v>
      </c>
      <c r="DQ76" s="26" t="str" cm="1">
        <f t="array" ref="DQ76">_xlfn.IFS(
   OR(CJ76="",ISBLANK(CJ76),CJ76=0),0,
   ISNUMBER(MATCH(CJ76,{2,3,5,7,11,13,17,19,23,29,31,37,41,43},0)),"소",
   AND(ISNUMBER(CJ76),MOD(CJ76,3)=0),"배",
   AND(ISNUMBER(CJ76),CJ76&gt;0),"자"
)</f>
        <v>자</v>
      </c>
      <c r="DR76" s="26" t="str" cm="1">
        <f t="array" ref="DR76">_xlfn.IFS(
   OR(CK76="",ISBLANK(CK76),CK76=0),0,
   ISNUMBER(MATCH(CK76,{2,3,5,7,11,13,17,19,23,29,31,37,41,43},0)),"소",
   AND(ISNUMBER(CK76),MOD(CK76,3)=0),"배",
   AND(ISNUMBER(CK76),CK76&gt;0),"자"
)</f>
        <v>소</v>
      </c>
      <c r="DS76" s="26" t="str" cm="1">
        <f t="array" ref="DS76">_xlfn.IFS(
   OR(CL76="",ISBLANK(CL76),CL76=0),0,
   ISNUMBER(MATCH(CL76,{2,3,5,7,11,13,17,19,23,29,31,37,41,43},0)),"소",
   AND(ISNUMBER(CL76),MOD(CL76,3)=0),"배",
   AND(ISNUMBER(CL76),CL76&gt;0),"자"
)</f>
        <v>자</v>
      </c>
      <c r="DT76" s="25"/>
    </row>
    <row r="77" spans="2:124" x14ac:dyDescent="0.3">
      <c r="B77" s="3">
        <v>21</v>
      </c>
      <c r="C77" s="3">
        <v>25</v>
      </c>
      <c r="D77" s="3">
        <v>27</v>
      </c>
      <c r="E77" s="3">
        <v>32</v>
      </c>
      <c r="F77" s="3">
        <v>37</v>
      </c>
      <c r="G77" s="3">
        <v>38</v>
      </c>
      <c r="H77" s="32"/>
      <c r="I77" s="3">
        <f>IF(OR(B77="",ISBLANK(B77),B77=0),0,IF(MOD(B77,2)=1,1,2))</f>
        <v>1</v>
      </c>
      <c r="J77" s="3">
        <f>IF(OR(C77="",ISBLANK(C77),C77=0),0,IF(MOD(C77,2)=1,1,2))</f>
        <v>1</v>
      </c>
      <c r="K77" s="3">
        <f>IF(OR(D77="",ISBLANK(D77),D77=0),0,IF(MOD(D77,2)=1,1,2))</f>
        <v>1</v>
      </c>
      <c r="L77" s="3">
        <f>IF(OR(E77="",ISBLANK(E77),E77=0),0,IF(MOD(E77,2)=1,1,2))</f>
        <v>2</v>
      </c>
      <c r="M77" s="3">
        <f>IF(OR(F77="",ISBLANK(F77),F77=0),0,IF(MOD(F77,2)=1,1,2))</f>
        <v>1</v>
      </c>
      <c r="N77" s="3">
        <f>IF(OR(G77="",ISBLANK(G77),G77=0),0,IF(MOD(G77,2)=1,1,2))</f>
        <v>2</v>
      </c>
      <c r="O77" s="32"/>
      <c r="P77" s="3" cm="1">
        <f t="array" ref="P77">SUMPRODUCT(--(MOD(B77:G77,2)=1))</f>
        <v>4</v>
      </c>
      <c r="Q77" s="3">
        <f>6-P77</f>
        <v>2</v>
      </c>
      <c r="R77" s="34"/>
      <c r="S77" s="3">
        <f>COUNTIFS(B77:G77,"&gt;=1",B77:G77,"&lt;=23")</f>
        <v>1</v>
      </c>
      <c r="T77" s="3">
        <f>6-S77</f>
        <v>5</v>
      </c>
      <c r="U77" s="34"/>
      <c r="V77" s="3" cm="1">
        <f t="array" ref="V77">SUMPRODUCT(--(MOD(B77:G77,10)&gt;=1), --(MOD(B77:G77,10)&lt;=5))</f>
        <v>3</v>
      </c>
      <c r="W77" s="3">
        <f>6-V77</f>
        <v>3</v>
      </c>
      <c r="X77" s="34"/>
      <c r="Y77" s="3" cm="1">
        <f t="array" ref="Y77">IFERROR(COUNT(_xlfn._xlws.FILTER(B77:G77, ISNUMBER(MATCH(B77:G77, {2,3,5,7,11,13,17,19,23,29,31,37,41,43}, 0)))), 0)</f>
        <v>1</v>
      </c>
      <c r="Z77" s="3" cm="1">
        <f t="array" ref="Z77">IFERROR(COUNT(_xlfn._xlws.FILTER(B77:G77, ISNUMBER(MATCH(B77:G77, {1,4,8,10,14,16,20,22,25,26,28,32,34,35,38,40,44}, 0)))), 0)</f>
        <v>3</v>
      </c>
      <c r="AA77" s="3" cm="1">
        <f t="array" ref="AA77">IFERROR(COUNT(_xlfn._xlws.FILTER(B77:G77, ISNUMBER(MATCH(B77:G77, {6,9,12,15,18,21,24,27,30,33,36,39,42,45}, 0)))), 0)</f>
        <v>2</v>
      </c>
      <c r="AB77" s="30"/>
      <c r="AC77" s="26" t="str" cm="1">
        <f t="array" ref="AC77">_xlfn.IFS(
   OR(B77="",ISBLANK(B77),B77=0),0,
   ISNUMBER(MATCH(B77,{2,3,5,7,11,13,17,19,23,29,31,37,41,43},0)),"소",
   AND(ISNUMBER(B77),MOD(B77,3)=0),"배",
   AND(ISNUMBER(B77),B77&gt;0),"자"
)</f>
        <v>배</v>
      </c>
      <c r="AD77" s="26" t="str" cm="1">
        <f t="array" ref="AD77">_xlfn.IFS(
   OR(C77="",ISBLANK(C77),C77=0),0,
   ISNUMBER(MATCH(C77,{2,3,5,7,11,13,17,19,23,29,31,37,41,43},0)),"소",
   AND(ISNUMBER(C77),MOD(C77,3)=0),"배",
   AND(ISNUMBER(C77),C77&gt;0),"자"
)</f>
        <v>자</v>
      </c>
      <c r="AE77" s="26" t="str" cm="1">
        <f t="array" ref="AE77">_xlfn.IFS(
   OR(D77="",ISBLANK(D77),D77=0),0,
   ISNUMBER(MATCH(D77,{2,3,5,7,11,13,17,19,23,29,31,37,41,43},0)),"소",
   AND(ISNUMBER(D77),MOD(D77,3)=0),"배",
   AND(ISNUMBER(D77),D77&gt;0),"자"
)</f>
        <v>배</v>
      </c>
      <c r="AF77" s="26" t="str" cm="1">
        <f t="array" ref="AF77">_xlfn.IFS(
   OR(E77="",ISBLANK(E77),E77=0),0,
   ISNUMBER(MATCH(E77,{2,3,5,7,11,13,17,19,23,29,31,37,41,43},0)),"소",
   AND(ISNUMBER(E77),MOD(E77,3)=0),"배",
   AND(ISNUMBER(E77),E77&gt;0),"자"
)</f>
        <v>자</v>
      </c>
      <c r="AG77" s="26" t="str" cm="1">
        <f t="array" ref="AG77">_xlfn.IFS(
   OR(F77="",ISBLANK(F77),F77=0),0,
   ISNUMBER(MATCH(F77,{2,3,5,7,11,13,17,19,23,29,31,37,41,43},0)),"소",
   AND(ISNUMBER(F77),MOD(F77,3)=0),"배",
   AND(ISNUMBER(F77),F77&gt;0),"자"
)</f>
        <v>소</v>
      </c>
      <c r="AH77" s="26" t="str" cm="1">
        <f t="array" ref="AH77">_xlfn.IFS(
   OR(G77="",ISBLANK(G77),G77=0),0,
   ISNUMBER(MATCH(G77,{2,3,5,7,11,13,17,19,23,29,31,37,41,43},0)),"소",
   AND(ISNUMBER(G77),MOD(G77,3)=0),"배",
   AND(ISNUMBER(G77),G77&gt;0),"자"
)</f>
        <v>자</v>
      </c>
      <c r="AI77" s="30"/>
      <c r="AJ77" s="3">
        <f>COUNTIFS(B77:G77,"&gt;=1",B77:G77,"&lt;=14")</f>
        <v>0</v>
      </c>
      <c r="AK77" s="3">
        <f>COUNTIFS(B77:G77,"&gt;=15",B77:G77,"&lt;=31")</f>
        <v>3</v>
      </c>
      <c r="AL77" s="3">
        <f>6-AK77-AJ77</f>
        <v>3</v>
      </c>
      <c r="AM77" s="33"/>
      <c r="AN77" s="3">
        <f>COUNTIFS($B77:$G77, "&gt;=1",$B77:$G77, "&lt;=9")</f>
        <v>0</v>
      </c>
      <c r="AO77" s="3">
        <f>COUNTIFS($B77:$G77, "&gt;=10",$B77:$G77, "&lt;=18")</f>
        <v>0</v>
      </c>
      <c r="AP77" s="3">
        <f>COUNTIFS($B77:$G77, "&gt;=19",$B77:$G77, "&lt;=27")</f>
        <v>3</v>
      </c>
      <c r="AQ77" s="3">
        <f>COUNTIFS($B77:$G77, "&gt;=28",$B77:$G77, "&lt;=36")</f>
        <v>1</v>
      </c>
      <c r="AR77" s="3">
        <f>COUNTIFS($B77:$G77, "&gt;=37",$B77:$G77, "&lt;=45")</f>
        <v>2</v>
      </c>
      <c r="AS77" s="28" t="e">
        <f>#REF!</f>
        <v>#REF!</v>
      </c>
      <c r="AT77" s="28" t="e">
        <f>#REF!*2</f>
        <v>#REF!</v>
      </c>
      <c r="AU77" s="28" t="e">
        <f>#REF!</f>
        <v>#REF!</v>
      </c>
      <c r="AV77" s="28" t="e">
        <f>#REF!*2</f>
        <v>#REF!</v>
      </c>
      <c r="AW77" s="28" t="e">
        <f>#REF!</f>
        <v>#REF!</v>
      </c>
      <c r="AX77" s="28" t="e">
        <f>#REF!*2</f>
        <v>#REF!</v>
      </c>
      <c r="AY77" s="28" t="e">
        <f>#REF!</f>
        <v>#REF!</v>
      </c>
      <c r="AZ77" s="28" t="e">
        <f>#REF!*2</f>
        <v>#REF!</v>
      </c>
      <c r="BA77" s="28" t="e">
        <f>#REF!</f>
        <v>#REF!</v>
      </c>
      <c r="BB77" s="28" t="e">
        <f>#REF!*2</f>
        <v>#REF!</v>
      </c>
      <c r="BC77" s="28" t="e">
        <f>#REF!</f>
        <v>#REF!</v>
      </c>
      <c r="BD77" s="28" t="e">
        <f>#REF!*2</f>
        <v>#REF!</v>
      </c>
      <c r="BE77" s="9" t="e">
        <f>#REF!-#REF!</f>
        <v>#REF!</v>
      </c>
      <c r="BF77" s="9" t="e">
        <f>#REF!-#REF!</f>
        <v>#REF!</v>
      </c>
      <c r="BG77" s="9" t="e">
        <f>#REF!-#REF!</f>
        <v>#REF!</v>
      </c>
      <c r="BH77" s="9" t="e">
        <f>#REF!-#REF!</f>
        <v>#REF!</v>
      </c>
      <c r="BI77" s="9" t="e">
        <f>#REF!-#REF!</f>
        <v>#REF!</v>
      </c>
      <c r="BJ77" s="33"/>
      <c r="BK77" s="3">
        <f>COUNTIFS(B77:G77, "&gt;=1", B77:G77, "&lt;=9")</f>
        <v>0</v>
      </c>
      <c r="BL77" s="3">
        <f>COUNTIFS(B77:G77, "&gt;=10", B77:G77, "&lt;=19")</f>
        <v>0</v>
      </c>
      <c r="BM77" s="3">
        <f>COUNTIFS(B77:G77, "&gt;=20", B77:G77, "&lt;=29")</f>
        <v>3</v>
      </c>
      <c r="BN77" s="3">
        <f>COUNTIFS(B77:G77, "&gt;=30", B77:G77, "&lt;=39")</f>
        <v>3</v>
      </c>
      <c r="BO77" s="3">
        <f>COUNTIFS(B77:G77, "&gt;=40", B77:G77, "&lt;=45")</f>
        <v>0</v>
      </c>
      <c r="BP77" s="28" t="e">
        <f>#REF!</f>
        <v>#REF!</v>
      </c>
      <c r="BQ77" s="28" t="e">
        <f>#REF!*2</f>
        <v>#REF!</v>
      </c>
      <c r="BR77" s="28" t="e">
        <f>#REF!</f>
        <v>#REF!</v>
      </c>
      <c r="BS77" s="28" t="e">
        <f>#REF!*2</f>
        <v>#REF!</v>
      </c>
      <c r="BT77" s="28" t="e">
        <f>#REF!</f>
        <v>#REF!</v>
      </c>
      <c r="BU77" s="28" t="e">
        <f>#REF!*2</f>
        <v>#REF!</v>
      </c>
      <c r="BV77" s="28" t="e">
        <f>#REF!</f>
        <v>#REF!</v>
      </c>
      <c r="BW77" s="28" t="e">
        <f>#REF!*2</f>
        <v>#REF!</v>
      </c>
      <c r="BX77" s="28" t="e">
        <f>#REF!</f>
        <v>#REF!</v>
      </c>
      <c r="BY77" s="28" t="e">
        <f>#REF!*2</f>
        <v>#REF!</v>
      </c>
      <c r="BZ77" s="28" t="e">
        <f>#REF!</f>
        <v>#REF!</v>
      </c>
      <c r="CA77" s="28" t="e">
        <f>#REF!*2</f>
        <v>#REF!</v>
      </c>
      <c r="CB77" s="9">
        <f>C77-B77</f>
        <v>4</v>
      </c>
      <c r="CC77" s="9">
        <f>D77-C77</f>
        <v>2</v>
      </c>
      <c r="CD77" s="9">
        <f>E77-D77</f>
        <v>5</v>
      </c>
      <c r="CE77" s="9">
        <f>F77-E77</f>
        <v>5</v>
      </c>
      <c r="CF77" s="9">
        <f>G77-F77</f>
        <v>1</v>
      </c>
      <c r="CG77" s="33"/>
      <c r="CH77" s="9">
        <f>C77-B77</f>
        <v>4</v>
      </c>
      <c r="CI77" s="9">
        <f>D77-C77</f>
        <v>2</v>
      </c>
      <c r="CJ77" s="9">
        <f>E77-D77</f>
        <v>5</v>
      </c>
      <c r="CK77" s="9">
        <f>F77-E77</f>
        <v>5</v>
      </c>
      <c r="CL77" s="9">
        <f>G77-F77</f>
        <v>1</v>
      </c>
      <c r="CM77" s="32"/>
      <c r="CN77" s="3">
        <f>IF(OR(CH77="",ISBLANK(CH77),CH77=0),0,IF(MOD(CH77,2)=1,1,2))</f>
        <v>2</v>
      </c>
      <c r="CO77" s="3">
        <f>IF(OR(CI77="",ISBLANK(CI77),CI77=0),0,IF(MOD(CI77,2)=1,1,2))</f>
        <v>2</v>
      </c>
      <c r="CP77" s="3">
        <f>IF(OR(CJ77="",ISBLANK(CJ77),CJ77=0),0,IF(MOD(CJ77,2)=1,1,2))</f>
        <v>1</v>
      </c>
      <c r="CQ77" s="3">
        <f>IF(OR(CK77="",ISBLANK(CK77),CK77=0),0,IF(MOD(CK77,2)=1,1,2))</f>
        <v>1</v>
      </c>
      <c r="CR77" s="3">
        <f>IF(OR(CL77="",ISBLANK(CL77),CL77=0),0,IF(MOD(CL77,2)=1,1,2))</f>
        <v>1</v>
      </c>
      <c r="CS77" s="31"/>
      <c r="CT77" s="3" cm="1">
        <f t="array" ref="CT77">SUMPRODUCT(--(MOD(CH77:CL77,2)=1))</f>
        <v>3</v>
      </c>
      <c r="CU77" s="3">
        <f>5-CT77</f>
        <v>2</v>
      </c>
      <c r="CV77" s="30"/>
      <c r="CW77" s="3" cm="1">
        <f t="array" ref="CW77">SUMPRODUCT(--(MOD(CH77:CL77,10)&gt;=1), --(MOD(CH77:CL77,10)&lt;=5))</f>
        <v>5</v>
      </c>
      <c r="CX77" s="3">
        <f>5-CW77</f>
        <v>0</v>
      </c>
      <c r="CY77" s="30"/>
      <c r="CZ77" s="3" cm="1">
        <f t="array" ref="CZ77">IFERROR(COUNT(_xlfn._xlws.FILTER(CH77:CL77, ISNUMBER(MATCH(CH77:CL77, {2,3,5,7,11,13,17,19,23,29,31,37,41,43}, 0)))), 0)</f>
        <v>3</v>
      </c>
      <c r="DA77" s="3" cm="1">
        <f t="array" ref="DA77">IFERROR(COUNT(_xlfn._xlws.FILTER(CH77:CL77, ISNUMBER(MATCH(CH77:CL77, {1,4,8,10,14,16,20,22,25,26,28,32,34,35,38,40,44}, 0)))), 0)</f>
        <v>2</v>
      </c>
      <c r="DB77" s="3" cm="1">
        <f t="array" ref="DB77">IFERROR(COUNT(_xlfn._xlws.FILTER(CH77:CL77, ISNUMBER(MATCH(CH77:CL77, {6,9,12,15,18,21,24,27,30,33,36,39,42,45}, 0)))), 0)</f>
        <v>0</v>
      </c>
      <c r="DC77" s="29"/>
      <c r="DD77" s="28" t="e">
        <f>#REF!</f>
        <v>#REF!</v>
      </c>
      <c r="DE77" s="28" t="e">
        <f>#REF!*2</f>
        <v>#REF!</v>
      </c>
      <c r="DF77" s="28" t="e">
        <f>#REF!</f>
        <v>#REF!</v>
      </c>
      <c r="DG77" s="28" t="e">
        <f>#REF!*2</f>
        <v>#REF!</v>
      </c>
      <c r="DH77" s="28" t="e">
        <f>#REF!</f>
        <v>#REF!</v>
      </c>
      <c r="DI77" s="28" t="e">
        <f>#REF!*2</f>
        <v>#REF!</v>
      </c>
      <c r="DJ77" s="28" t="e">
        <f>#REF!</f>
        <v>#REF!</v>
      </c>
      <c r="DK77" s="28" t="e">
        <f>#REF!*2</f>
        <v>#REF!</v>
      </c>
      <c r="DL77" s="28" t="e">
        <f>#REF!</f>
        <v>#REF!</v>
      </c>
      <c r="DM77" s="28" t="e">
        <f>#REF!*2</f>
        <v>#REF!</v>
      </c>
      <c r="DN77" s="27"/>
      <c r="DO77" s="26" t="str" cm="1">
        <f t="array" ref="DO77">_xlfn.IFS(
   OR(CH77="",ISBLANK(CH77),CH77=0),0,
   ISNUMBER(MATCH(CH77,{2,3,5,7,11,13,17,19,23,29,31,37,41,43},0)),"소",
   AND(ISNUMBER(CH77),MOD(CH77,3)=0),"배",
   AND(ISNUMBER(CH77),CH77&gt;0),"자"
)</f>
        <v>자</v>
      </c>
      <c r="DP77" s="26" t="str" cm="1">
        <f t="array" ref="DP77">_xlfn.IFS(
   OR(CI77="",ISBLANK(CI77),CI77=0),0,
   ISNUMBER(MATCH(CI77,{2,3,5,7,11,13,17,19,23,29,31,37,41,43},0)),"소",
   AND(ISNUMBER(CI77),MOD(CI77,3)=0),"배",
   AND(ISNUMBER(CI77),CI77&gt;0),"자"
)</f>
        <v>소</v>
      </c>
      <c r="DQ77" s="26" t="str" cm="1">
        <f t="array" ref="DQ77">_xlfn.IFS(
   OR(CJ77="",ISBLANK(CJ77),CJ77=0),0,
   ISNUMBER(MATCH(CJ77,{2,3,5,7,11,13,17,19,23,29,31,37,41,43},0)),"소",
   AND(ISNUMBER(CJ77),MOD(CJ77,3)=0),"배",
   AND(ISNUMBER(CJ77),CJ77&gt;0),"자"
)</f>
        <v>소</v>
      </c>
      <c r="DR77" s="26" t="str" cm="1">
        <f t="array" ref="DR77">_xlfn.IFS(
   OR(CK77="",ISBLANK(CK77),CK77=0),0,
   ISNUMBER(MATCH(CK77,{2,3,5,7,11,13,17,19,23,29,31,37,41,43},0)),"소",
   AND(ISNUMBER(CK77),MOD(CK77,3)=0),"배",
   AND(ISNUMBER(CK77),CK77&gt;0),"자"
)</f>
        <v>소</v>
      </c>
      <c r="DS77" s="26" t="str" cm="1">
        <f t="array" ref="DS77">_xlfn.IFS(
   OR(CL77="",ISBLANK(CL77),CL77=0),0,
   ISNUMBER(MATCH(CL77,{2,3,5,7,11,13,17,19,23,29,31,37,41,43},0)),"소",
   AND(ISNUMBER(CL77),MOD(CL77,3)=0),"배",
   AND(ISNUMBER(CL77),CL77&gt;0),"자"
)</f>
        <v>자</v>
      </c>
      <c r="DT77" s="25"/>
    </row>
    <row r="78" spans="2:124" x14ac:dyDescent="0.3">
      <c r="B78" s="3">
        <v>3</v>
      </c>
      <c r="C78" s="3">
        <v>9</v>
      </c>
      <c r="D78" s="3">
        <v>27</v>
      </c>
      <c r="E78" s="3">
        <v>28</v>
      </c>
      <c r="F78" s="3">
        <v>38</v>
      </c>
      <c r="G78" s="3">
        <v>39</v>
      </c>
      <c r="H78" s="32"/>
      <c r="I78" s="3">
        <f>IF(OR(B78="",ISBLANK(B78),B78=0),0,IF(MOD(B78,2)=1,1,2))</f>
        <v>1</v>
      </c>
      <c r="J78" s="3">
        <f>IF(OR(C78="",ISBLANK(C78),C78=0),0,IF(MOD(C78,2)=1,1,2))</f>
        <v>1</v>
      </c>
      <c r="K78" s="3">
        <f>IF(OR(D78="",ISBLANK(D78),D78=0),0,IF(MOD(D78,2)=1,1,2))</f>
        <v>1</v>
      </c>
      <c r="L78" s="3">
        <f>IF(OR(E78="",ISBLANK(E78),E78=0),0,IF(MOD(E78,2)=1,1,2))</f>
        <v>2</v>
      </c>
      <c r="M78" s="3">
        <f>IF(OR(F78="",ISBLANK(F78),F78=0),0,IF(MOD(F78,2)=1,1,2))</f>
        <v>2</v>
      </c>
      <c r="N78" s="3">
        <f>IF(OR(G78="",ISBLANK(G78),G78=0),0,IF(MOD(G78,2)=1,1,2))</f>
        <v>1</v>
      </c>
      <c r="O78" s="32"/>
      <c r="P78" s="3" cm="1">
        <f t="array" ref="P78">SUMPRODUCT(--(MOD(B78:G78,2)=1))</f>
        <v>4</v>
      </c>
      <c r="Q78" s="3">
        <f>6-P78</f>
        <v>2</v>
      </c>
      <c r="R78" s="34"/>
      <c r="S78" s="3">
        <f>COUNTIFS(B78:G78,"&gt;=1",B78:G78,"&lt;=23")</f>
        <v>2</v>
      </c>
      <c r="T78" s="3">
        <f>6-S78</f>
        <v>4</v>
      </c>
      <c r="U78" s="34"/>
      <c r="V78" s="3" cm="1">
        <f t="array" ref="V78">SUMPRODUCT(--(MOD(B78:G78,10)&gt;=1), --(MOD(B78:G78,10)&lt;=5))</f>
        <v>1</v>
      </c>
      <c r="W78" s="3">
        <f>6-V78</f>
        <v>5</v>
      </c>
      <c r="X78" s="34"/>
      <c r="Y78" s="3" cm="1">
        <f t="array" ref="Y78">IFERROR(COUNT(_xlfn._xlws.FILTER(B78:G78, ISNUMBER(MATCH(B78:G78, {2,3,5,7,11,13,17,19,23,29,31,37,41,43}, 0)))), 0)</f>
        <v>1</v>
      </c>
      <c r="Z78" s="3" cm="1">
        <f t="array" ref="Z78">IFERROR(COUNT(_xlfn._xlws.FILTER(B78:G78, ISNUMBER(MATCH(B78:G78, {1,4,8,10,14,16,20,22,25,26,28,32,34,35,38,40,44}, 0)))), 0)</f>
        <v>2</v>
      </c>
      <c r="AA78" s="3" cm="1">
        <f t="array" ref="AA78">IFERROR(COUNT(_xlfn._xlws.FILTER(B78:G78, ISNUMBER(MATCH(B78:G78, {6,9,12,15,18,21,24,27,30,33,36,39,42,45}, 0)))), 0)</f>
        <v>3</v>
      </c>
      <c r="AB78" s="30"/>
      <c r="AC78" s="26" t="str" cm="1">
        <f t="array" ref="AC78">_xlfn.IFS(
   OR(B78="",ISBLANK(B78),B78=0),0,
   ISNUMBER(MATCH(B78,{2,3,5,7,11,13,17,19,23,29,31,37,41,43},0)),"소",
   AND(ISNUMBER(B78),MOD(B78,3)=0),"배",
   AND(ISNUMBER(B78),B78&gt;0),"자"
)</f>
        <v>소</v>
      </c>
      <c r="AD78" s="26" t="str" cm="1">
        <f t="array" ref="AD78">_xlfn.IFS(
   OR(C78="",ISBLANK(C78),C78=0),0,
   ISNUMBER(MATCH(C78,{2,3,5,7,11,13,17,19,23,29,31,37,41,43},0)),"소",
   AND(ISNUMBER(C78),MOD(C78,3)=0),"배",
   AND(ISNUMBER(C78),C78&gt;0),"자"
)</f>
        <v>배</v>
      </c>
      <c r="AE78" s="26" t="str" cm="1">
        <f t="array" ref="AE78">_xlfn.IFS(
   OR(D78="",ISBLANK(D78),D78=0),0,
   ISNUMBER(MATCH(D78,{2,3,5,7,11,13,17,19,23,29,31,37,41,43},0)),"소",
   AND(ISNUMBER(D78),MOD(D78,3)=0),"배",
   AND(ISNUMBER(D78),D78&gt;0),"자"
)</f>
        <v>배</v>
      </c>
      <c r="AF78" s="26" t="str" cm="1">
        <f t="array" ref="AF78">_xlfn.IFS(
   OR(E78="",ISBLANK(E78),E78=0),0,
   ISNUMBER(MATCH(E78,{2,3,5,7,11,13,17,19,23,29,31,37,41,43},0)),"소",
   AND(ISNUMBER(E78),MOD(E78,3)=0),"배",
   AND(ISNUMBER(E78),E78&gt;0),"자"
)</f>
        <v>자</v>
      </c>
      <c r="AG78" s="26" t="str" cm="1">
        <f t="array" ref="AG78">_xlfn.IFS(
   OR(F78="",ISBLANK(F78),F78=0),0,
   ISNUMBER(MATCH(F78,{2,3,5,7,11,13,17,19,23,29,31,37,41,43},0)),"소",
   AND(ISNUMBER(F78),MOD(F78,3)=0),"배",
   AND(ISNUMBER(F78),F78&gt;0),"자"
)</f>
        <v>자</v>
      </c>
      <c r="AH78" s="26" t="str" cm="1">
        <f t="array" ref="AH78">_xlfn.IFS(
   OR(G78="",ISBLANK(G78),G78=0),0,
   ISNUMBER(MATCH(G78,{2,3,5,7,11,13,17,19,23,29,31,37,41,43},0)),"소",
   AND(ISNUMBER(G78),MOD(G78,3)=0),"배",
   AND(ISNUMBER(G78),G78&gt;0),"자"
)</f>
        <v>배</v>
      </c>
      <c r="AI78" s="30"/>
      <c r="AJ78" s="3">
        <f>COUNTIFS(B78:G78,"&gt;=1",B78:G78,"&lt;=14")</f>
        <v>2</v>
      </c>
      <c r="AK78" s="3">
        <f>COUNTIFS(B78:G78,"&gt;=15",B78:G78,"&lt;=31")</f>
        <v>2</v>
      </c>
      <c r="AL78" s="3">
        <f>6-AK78-AJ78</f>
        <v>2</v>
      </c>
      <c r="AM78" s="33"/>
      <c r="AN78" s="3">
        <f>COUNTIFS($B78:$G78, "&gt;=1",$B78:$G78, "&lt;=9")</f>
        <v>2</v>
      </c>
      <c r="AO78" s="3">
        <f>COUNTIFS($B78:$G78, "&gt;=10",$B78:$G78, "&lt;=18")</f>
        <v>0</v>
      </c>
      <c r="AP78" s="3">
        <f>COUNTIFS($B78:$G78, "&gt;=19",$B78:$G78, "&lt;=27")</f>
        <v>1</v>
      </c>
      <c r="AQ78" s="3">
        <f>COUNTIFS($B78:$G78, "&gt;=28",$B78:$G78, "&lt;=36")</f>
        <v>1</v>
      </c>
      <c r="AR78" s="3">
        <f>COUNTIFS($B78:$G78, "&gt;=37",$B78:$G78, "&lt;=45")</f>
        <v>2</v>
      </c>
      <c r="AS78" s="28" t="e">
        <f>#REF!</f>
        <v>#REF!</v>
      </c>
      <c r="AT78" s="28" t="e">
        <f>#REF!*2</f>
        <v>#REF!</v>
      </c>
      <c r="AU78" s="28" t="e">
        <f>#REF!</f>
        <v>#REF!</v>
      </c>
      <c r="AV78" s="28" t="e">
        <f>#REF!*2</f>
        <v>#REF!</v>
      </c>
      <c r="AW78" s="28" t="e">
        <f>#REF!</f>
        <v>#REF!</v>
      </c>
      <c r="AX78" s="28" t="e">
        <f>#REF!*2</f>
        <v>#REF!</v>
      </c>
      <c r="AY78" s="28" t="e">
        <f>#REF!</f>
        <v>#REF!</v>
      </c>
      <c r="AZ78" s="28" t="e">
        <f>#REF!*2</f>
        <v>#REF!</v>
      </c>
      <c r="BA78" s="28" t="e">
        <f>#REF!</f>
        <v>#REF!</v>
      </c>
      <c r="BB78" s="28" t="e">
        <f>#REF!*2</f>
        <v>#REF!</v>
      </c>
      <c r="BC78" s="28" t="e">
        <f>#REF!</f>
        <v>#REF!</v>
      </c>
      <c r="BD78" s="28" t="e">
        <f>#REF!*2</f>
        <v>#REF!</v>
      </c>
      <c r="BE78" s="9" t="e">
        <f>#REF!-#REF!</f>
        <v>#REF!</v>
      </c>
      <c r="BF78" s="9" t="e">
        <f>#REF!-#REF!</f>
        <v>#REF!</v>
      </c>
      <c r="BG78" s="9" t="e">
        <f>#REF!-#REF!</f>
        <v>#REF!</v>
      </c>
      <c r="BH78" s="9" t="e">
        <f>#REF!-#REF!</f>
        <v>#REF!</v>
      </c>
      <c r="BI78" s="9" t="e">
        <f>#REF!-#REF!</f>
        <v>#REF!</v>
      </c>
      <c r="BJ78" s="33"/>
      <c r="BK78" s="3">
        <f>COUNTIFS(B78:G78, "&gt;=1", B78:G78, "&lt;=9")</f>
        <v>2</v>
      </c>
      <c r="BL78" s="3">
        <f>COUNTIFS(B78:G78, "&gt;=10", B78:G78, "&lt;=19")</f>
        <v>0</v>
      </c>
      <c r="BM78" s="3">
        <f>COUNTIFS(B78:G78, "&gt;=20", B78:G78, "&lt;=29")</f>
        <v>2</v>
      </c>
      <c r="BN78" s="3">
        <f>COUNTIFS(B78:G78, "&gt;=30", B78:G78, "&lt;=39")</f>
        <v>2</v>
      </c>
      <c r="BO78" s="3">
        <f>COUNTIFS(B78:G78, "&gt;=40", B78:G78, "&lt;=45")</f>
        <v>0</v>
      </c>
      <c r="BP78" s="28" t="e">
        <f>#REF!</f>
        <v>#REF!</v>
      </c>
      <c r="BQ78" s="28" t="e">
        <f>#REF!*2</f>
        <v>#REF!</v>
      </c>
      <c r="BR78" s="28" t="e">
        <f>#REF!</f>
        <v>#REF!</v>
      </c>
      <c r="BS78" s="28" t="e">
        <f>#REF!*2</f>
        <v>#REF!</v>
      </c>
      <c r="BT78" s="28" t="e">
        <f>#REF!</f>
        <v>#REF!</v>
      </c>
      <c r="BU78" s="28" t="e">
        <f>#REF!*2</f>
        <v>#REF!</v>
      </c>
      <c r="BV78" s="28" t="e">
        <f>#REF!</f>
        <v>#REF!</v>
      </c>
      <c r="BW78" s="28" t="e">
        <f>#REF!*2</f>
        <v>#REF!</v>
      </c>
      <c r="BX78" s="28" t="e">
        <f>#REF!</f>
        <v>#REF!</v>
      </c>
      <c r="BY78" s="28" t="e">
        <f>#REF!*2</f>
        <v>#REF!</v>
      </c>
      <c r="BZ78" s="28" t="e">
        <f>#REF!</f>
        <v>#REF!</v>
      </c>
      <c r="CA78" s="28" t="e">
        <f>#REF!*2</f>
        <v>#REF!</v>
      </c>
      <c r="CB78" s="9">
        <f>C78-B78</f>
        <v>6</v>
      </c>
      <c r="CC78" s="9">
        <f>D78-C78</f>
        <v>18</v>
      </c>
      <c r="CD78" s="9">
        <f>E78-D78</f>
        <v>1</v>
      </c>
      <c r="CE78" s="9">
        <f>F78-E78</f>
        <v>10</v>
      </c>
      <c r="CF78" s="9">
        <f>G78-F78</f>
        <v>1</v>
      </c>
      <c r="CG78" s="33"/>
      <c r="CH78" s="9">
        <f>C78-B78</f>
        <v>6</v>
      </c>
      <c r="CI78" s="9">
        <f>D78-C78</f>
        <v>18</v>
      </c>
      <c r="CJ78" s="9">
        <f>E78-D78</f>
        <v>1</v>
      </c>
      <c r="CK78" s="9">
        <f>F78-E78</f>
        <v>10</v>
      </c>
      <c r="CL78" s="9">
        <f>G78-F78</f>
        <v>1</v>
      </c>
      <c r="CM78" s="32"/>
      <c r="CN78" s="3">
        <f>IF(OR(CH78="",ISBLANK(CH78),CH78=0),0,IF(MOD(CH78,2)=1,1,2))</f>
        <v>2</v>
      </c>
      <c r="CO78" s="3">
        <f>IF(OR(CI78="",ISBLANK(CI78),CI78=0),0,IF(MOD(CI78,2)=1,1,2))</f>
        <v>2</v>
      </c>
      <c r="CP78" s="3">
        <f>IF(OR(CJ78="",ISBLANK(CJ78),CJ78=0),0,IF(MOD(CJ78,2)=1,1,2))</f>
        <v>1</v>
      </c>
      <c r="CQ78" s="3">
        <f>IF(OR(CK78="",ISBLANK(CK78),CK78=0),0,IF(MOD(CK78,2)=1,1,2))</f>
        <v>2</v>
      </c>
      <c r="CR78" s="3">
        <f>IF(OR(CL78="",ISBLANK(CL78),CL78=0),0,IF(MOD(CL78,2)=1,1,2))</f>
        <v>1</v>
      </c>
      <c r="CS78" s="31"/>
      <c r="CT78" s="3" cm="1">
        <f t="array" ref="CT78">SUMPRODUCT(--(MOD(CH78:CL78,2)=1))</f>
        <v>2</v>
      </c>
      <c r="CU78" s="3">
        <f>5-CT78</f>
        <v>3</v>
      </c>
      <c r="CV78" s="30"/>
      <c r="CW78" s="3" cm="1">
        <f t="array" ref="CW78">SUMPRODUCT(--(MOD(CH78:CL78,10)&gt;=1), --(MOD(CH78:CL78,10)&lt;=5))</f>
        <v>2</v>
      </c>
      <c r="CX78" s="3">
        <f>5-CW78</f>
        <v>3</v>
      </c>
      <c r="CY78" s="30"/>
      <c r="CZ78" s="3" cm="1">
        <f t="array" ref="CZ78">IFERROR(COUNT(_xlfn._xlws.FILTER(CH78:CL78, ISNUMBER(MATCH(CH78:CL78, {2,3,5,7,11,13,17,19,23,29,31,37,41,43}, 0)))), 0)</f>
        <v>0</v>
      </c>
      <c r="DA78" s="3" cm="1">
        <f t="array" ref="DA78">IFERROR(COUNT(_xlfn._xlws.FILTER(CH78:CL78, ISNUMBER(MATCH(CH78:CL78, {1,4,8,10,14,16,20,22,25,26,28,32,34,35,38,40,44}, 0)))), 0)</f>
        <v>3</v>
      </c>
      <c r="DB78" s="3" cm="1">
        <f t="array" ref="DB78">IFERROR(COUNT(_xlfn._xlws.FILTER(CH78:CL78, ISNUMBER(MATCH(CH78:CL78, {6,9,12,15,18,21,24,27,30,33,36,39,42,45}, 0)))), 0)</f>
        <v>2</v>
      </c>
      <c r="DC78" s="29"/>
      <c r="DD78" s="28" t="e">
        <f>#REF!</f>
        <v>#REF!</v>
      </c>
      <c r="DE78" s="28" t="e">
        <f>#REF!*2</f>
        <v>#REF!</v>
      </c>
      <c r="DF78" s="28" t="e">
        <f>#REF!</f>
        <v>#REF!</v>
      </c>
      <c r="DG78" s="28" t="e">
        <f>#REF!*2</f>
        <v>#REF!</v>
      </c>
      <c r="DH78" s="28" t="e">
        <f>#REF!</f>
        <v>#REF!</v>
      </c>
      <c r="DI78" s="28" t="e">
        <f>#REF!*2</f>
        <v>#REF!</v>
      </c>
      <c r="DJ78" s="28" t="e">
        <f>#REF!</f>
        <v>#REF!</v>
      </c>
      <c r="DK78" s="28" t="e">
        <f>#REF!*2</f>
        <v>#REF!</v>
      </c>
      <c r="DL78" s="28" t="e">
        <f>#REF!</f>
        <v>#REF!</v>
      </c>
      <c r="DM78" s="28" t="e">
        <f>#REF!*2</f>
        <v>#REF!</v>
      </c>
      <c r="DN78" s="27"/>
      <c r="DO78" s="26" t="str" cm="1">
        <f t="array" ref="DO78">_xlfn.IFS(
   OR(CH78="",ISBLANK(CH78),CH78=0),0,
   ISNUMBER(MATCH(CH78,{2,3,5,7,11,13,17,19,23,29,31,37,41,43},0)),"소",
   AND(ISNUMBER(CH78),MOD(CH78,3)=0),"배",
   AND(ISNUMBER(CH78),CH78&gt;0),"자"
)</f>
        <v>배</v>
      </c>
      <c r="DP78" s="26" t="str" cm="1">
        <f t="array" ref="DP78">_xlfn.IFS(
   OR(CI78="",ISBLANK(CI78),CI78=0),0,
   ISNUMBER(MATCH(CI78,{2,3,5,7,11,13,17,19,23,29,31,37,41,43},0)),"소",
   AND(ISNUMBER(CI78),MOD(CI78,3)=0),"배",
   AND(ISNUMBER(CI78),CI78&gt;0),"자"
)</f>
        <v>배</v>
      </c>
      <c r="DQ78" s="26" t="str" cm="1">
        <f t="array" ref="DQ78">_xlfn.IFS(
   OR(CJ78="",ISBLANK(CJ78),CJ78=0),0,
   ISNUMBER(MATCH(CJ78,{2,3,5,7,11,13,17,19,23,29,31,37,41,43},0)),"소",
   AND(ISNUMBER(CJ78),MOD(CJ78,3)=0),"배",
   AND(ISNUMBER(CJ78),CJ78&gt;0),"자"
)</f>
        <v>자</v>
      </c>
      <c r="DR78" s="26" t="str" cm="1">
        <f t="array" ref="DR78">_xlfn.IFS(
   OR(CK78="",ISBLANK(CK78),CK78=0),0,
   ISNUMBER(MATCH(CK78,{2,3,5,7,11,13,17,19,23,29,31,37,41,43},0)),"소",
   AND(ISNUMBER(CK78),MOD(CK78,3)=0),"배",
   AND(ISNUMBER(CK78),CK78&gt;0),"자"
)</f>
        <v>자</v>
      </c>
      <c r="DS78" s="26" t="str" cm="1">
        <f t="array" ref="DS78">_xlfn.IFS(
   OR(CL78="",ISBLANK(CL78),CL78=0),0,
   ISNUMBER(MATCH(CL78,{2,3,5,7,11,13,17,19,23,29,31,37,41,43},0)),"소",
   AND(ISNUMBER(CL78),MOD(CL78,3)=0),"배",
   AND(ISNUMBER(CL78),CL78&gt;0),"자"
)</f>
        <v>자</v>
      </c>
      <c r="DT78" s="25"/>
    </row>
    <row r="79" spans="2:124" x14ac:dyDescent="0.3">
      <c r="B79" s="3">
        <v>7</v>
      </c>
      <c r="C79" s="3">
        <v>13</v>
      </c>
      <c r="D79" s="3">
        <v>18</v>
      </c>
      <c r="E79" s="3">
        <v>36</v>
      </c>
      <c r="F79" s="3">
        <v>39</v>
      </c>
      <c r="G79" s="3">
        <v>45</v>
      </c>
      <c r="H79" s="32"/>
      <c r="I79" s="3">
        <f>IF(OR(B79="",ISBLANK(B79),B79=0),0,IF(MOD(B79,2)=1,1,2))</f>
        <v>1</v>
      </c>
      <c r="J79" s="3">
        <f>IF(OR(C79="",ISBLANK(C79),C79=0),0,IF(MOD(C79,2)=1,1,2))</f>
        <v>1</v>
      </c>
      <c r="K79" s="3">
        <f>IF(OR(D79="",ISBLANK(D79),D79=0),0,IF(MOD(D79,2)=1,1,2))</f>
        <v>2</v>
      </c>
      <c r="L79" s="3">
        <f>IF(OR(E79="",ISBLANK(E79),E79=0),0,IF(MOD(E79,2)=1,1,2))</f>
        <v>2</v>
      </c>
      <c r="M79" s="3">
        <f>IF(OR(F79="",ISBLANK(F79),F79=0),0,IF(MOD(F79,2)=1,1,2))</f>
        <v>1</v>
      </c>
      <c r="N79" s="3">
        <f>IF(OR(G79="",ISBLANK(G79),G79=0),0,IF(MOD(G79,2)=1,1,2))</f>
        <v>1</v>
      </c>
      <c r="O79" s="32"/>
      <c r="P79" s="3" cm="1">
        <f t="array" ref="P79">SUMPRODUCT(--(MOD(B79:G79,2)=1))</f>
        <v>4</v>
      </c>
      <c r="Q79" s="3">
        <f>6-P79</f>
        <v>2</v>
      </c>
      <c r="R79" s="34"/>
      <c r="S79" s="3">
        <f>COUNTIFS(B79:G79,"&gt;=1",B79:G79,"&lt;=23")</f>
        <v>3</v>
      </c>
      <c r="T79" s="3">
        <f>6-S79</f>
        <v>3</v>
      </c>
      <c r="U79" s="34"/>
      <c r="V79" s="3" cm="1">
        <f t="array" ref="V79">SUMPRODUCT(--(MOD(B79:G79,10)&gt;=1), --(MOD(B79:G79,10)&lt;=5))</f>
        <v>2</v>
      </c>
      <c r="W79" s="3">
        <f>6-V79</f>
        <v>4</v>
      </c>
      <c r="X79" s="34"/>
      <c r="Y79" s="3" cm="1">
        <f t="array" ref="Y79">IFERROR(COUNT(_xlfn._xlws.FILTER(B79:G79, ISNUMBER(MATCH(B79:G79, {2,3,5,7,11,13,17,19,23,29,31,37,41,43}, 0)))), 0)</f>
        <v>2</v>
      </c>
      <c r="Z79" s="3" cm="1">
        <f t="array" ref="Z79">IFERROR(COUNT(_xlfn._xlws.FILTER(B79:G79, ISNUMBER(MATCH(B79:G79, {1,4,8,10,14,16,20,22,25,26,28,32,34,35,38,40,44}, 0)))), 0)</f>
        <v>0</v>
      </c>
      <c r="AA79" s="3" cm="1">
        <f t="array" ref="AA79">IFERROR(COUNT(_xlfn._xlws.FILTER(B79:G79, ISNUMBER(MATCH(B79:G79, {6,9,12,15,18,21,24,27,30,33,36,39,42,45}, 0)))), 0)</f>
        <v>4</v>
      </c>
      <c r="AB79" s="30"/>
      <c r="AC79" s="26" t="str" cm="1">
        <f t="array" ref="AC79">_xlfn.IFS(
   OR(B79="",ISBLANK(B79),B79=0),0,
   ISNUMBER(MATCH(B79,{2,3,5,7,11,13,17,19,23,29,31,37,41,43},0)),"소",
   AND(ISNUMBER(B79),MOD(B79,3)=0),"배",
   AND(ISNUMBER(B79),B79&gt;0),"자"
)</f>
        <v>소</v>
      </c>
      <c r="AD79" s="26" t="str" cm="1">
        <f t="array" ref="AD79">_xlfn.IFS(
   OR(C79="",ISBLANK(C79),C79=0),0,
   ISNUMBER(MATCH(C79,{2,3,5,7,11,13,17,19,23,29,31,37,41,43},0)),"소",
   AND(ISNUMBER(C79),MOD(C79,3)=0),"배",
   AND(ISNUMBER(C79),C79&gt;0),"자"
)</f>
        <v>소</v>
      </c>
      <c r="AE79" s="26" t="str" cm="1">
        <f t="array" ref="AE79">_xlfn.IFS(
   OR(D79="",ISBLANK(D79),D79=0),0,
   ISNUMBER(MATCH(D79,{2,3,5,7,11,13,17,19,23,29,31,37,41,43},0)),"소",
   AND(ISNUMBER(D79),MOD(D79,3)=0),"배",
   AND(ISNUMBER(D79),D79&gt;0),"자"
)</f>
        <v>배</v>
      </c>
      <c r="AF79" s="26" t="str" cm="1">
        <f t="array" ref="AF79">_xlfn.IFS(
   OR(E79="",ISBLANK(E79),E79=0),0,
   ISNUMBER(MATCH(E79,{2,3,5,7,11,13,17,19,23,29,31,37,41,43},0)),"소",
   AND(ISNUMBER(E79),MOD(E79,3)=0),"배",
   AND(ISNUMBER(E79),E79&gt;0),"자"
)</f>
        <v>배</v>
      </c>
      <c r="AG79" s="26" t="str" cm="1">
        <f t="array" ref="AG79">_xlfn.IFS(
   OR(F79="",ISBLANK(F79),F79=0),0,
   ISNUMBER(MATCH(F79,{2,3,5,7,11,13,17,19,23,29,31,37,41,43},0)),"소",
   AND(ISNUMBER(F79),MOD(F79,3)=0),"배",
   AND(ISNUMBER(F79),F79&gt;0),"자"
)</f>
        <v>배</v>
      </c>
      <c r="AH79" s="26" t="str" cm="1">
        <f t="array" ref="AH79">_xlfn.IFS(
   OR(G79="",ISBLANK(G79),G79=0),0,
   ISNUMBER(MATCH(G79,{2,3,5,7,11,13,17,19,23,29,31,37,41,43},0)),"소",
   AND(ISNUMBER(G79),MOD(G79,3)=0),"배",
   AND(ISNUMBER(G79),G79&gt;0),"자"
)</f>
        <v>배</v>
      </c>
      <c r="AI79" s="30"/>
      <c r="AJ79" s="3">
        <f>COUNTIFS(B79:G79,"&gt;=1",B79:G79,"&lt;=14")</f>
        <v>2</v>
      </c>
      <c r="AK79" s="3">
        <f>COUNTIFS(B79:G79,"&gt;=15",B79:G79,"&lt;=31")</f>
        <v>1</v>
      </c>
      <c r="AL79" s="3">
        <f>6-AK79-AJ79</f>
        <v>3</v>
      </c>
      <c r="AM79" s="33"/>
      <c r="AN79" s="3">
        <f>COUNTIFS($B79:$G79, "&gt;=1",$B79:$G79, "&lt;=9")</f>
        <v>1</v>
      </c>
      <c r="AO79" s="3">
        <f>COUNTIFS($B79:$G79, "&gt;=10",$B79:$G79, "&lt;=18")</f>
        <v>2</v>
      </c>
      <c r="AP79" s="3">
        <f>COUNTIFS($B79:$G79, "&gt;=19",$B79:$G79, "&lt;=27")</f>
        <v>0</v>
      </c>
      <c r="AQ79" s="3">
        <f>COUNTIFS($B79:$G79, "&gt;=28",$B79:$G79, "&lt;=36")</f>
        <v>1</v>
      </c>
      <c r="AR79" s="3">
        <f>COUNTIFS($B79:$G79, "&gt;=37",$B79:$G79, "&lt;=45")</f>
        <v>2</v>
      </c>
      <c r="AS79" s="28" t="e">
        <f>#REF!</f>
        <v>#REF!</v>
      </c>
      <c r="AT79" s="28" t="e">
        <f>#REF!*2</f>
        <v>#REF!</v>
      </c>
      <c r="AU79" s="28" t="e">
        <f>#REF!</f>
        <v>#REF!</v>
      </c>
      <c r="AV79" s="28" t="e">
        <f>#REF!*2</f>
        <v>#REF!</v>
      </c>
      <c r="AW79" s="28" t="e">
        <f>#REF!</f>
        <v>#REF!</v>
      </c>
      <c r="AX79" s="28" t="e">
        <f>#REF!*2</f>
        <v>#REF!</v>
      </c>
      <c r="AY79" s="28" t="e">
        <f>#REF!</f>
        <v>#REF!</v>
      </c>
      <c r="AZ79" s="28" t="e">
        <f>#REF!*2</f>
        <v>#REF!</v>
      </c>
      <c r="BA79" s="28" t="e">
        <f>#REF!</f>
        <v>#REF!</v>
      </c>
      <c r="BB79" s="28" t="e">
        <f>#REF!*2</f>
        <v>#REF!</v>
      </c>
      <c r="BC79" s="28" t="e">
        <f>#REF!</f>
        <v>#REF!</v>
      </c>
      <c r="BD79" s="28" t="e">
        <f>#REF!*2</f>
        <v>#REF!</v>
      </c>
      <c r="BE79" s="9" t="e">
        <f>#REF!-#REF!</f>
        <v>#REF!</v>
      </c>
      <c r="BF79" s="9" t="e">
        <f>#REF!-#REF!</f>
        <v>#REF!</v>
      </c>
      <c r="BG79" s="9" t="e">
        <f>#REF!-#REF!</f>
        <v>#REF!</v>
      </c>
      <c r="BH79" s="9" t="e">
        <f>#REF!-#REF!</f>
        <v>#REF!</v>
      </c>
      <c r="BI79" s="9" t="e">
        <f>#REF!-#REF!</f>
        <v>#REF!</v>
      </c>
      <c r="BJ79" s="33"/>
      <c r="BK79" s="3">
        <f>COUNTIFS(B79:G79, "&gt;=1", B79:G79, "&lt;=9")</f>
        <v>1</v>
      </c>
      <c r="BL79" s="3">
        <f>COUNTIFS(B79:G79, "&gt;=10", B79:G79, "&lt;=19")</f>
        <v>2</v>
      </c>
      <c r="BM79" s="3">
        <f>COUNTIFS(B79:G79, "&gt;=20", B79:G79, "&lt;=29")</f>
        <v>0</v>
      </c>
      <c r="BN79" s="3">
        <f>COUNTIFS(B79:G79, "&gt;=30", B79:G79, "&lt;=39")</f>
        <v>2</v>
      </c>
      <c r="BO79" s="3">
        <f>COUNTIFS(B79:G79, "&gt;=40", B79:G79, "&lt;=45")</f>
        <v>1</v>
      </c>
      <c r="BP79" s="28" t="e">
        <f>#REF!</f>
        <v>#REF!</v>
      </c>
      <c r="BQ79" s="28" t="e">
        <f>#REF!*2</f>
        <v>#REF!</v>
      </c>
      <c r="BR79" s="28" t="e">
        <f>#REF!</f>
        <v>#REF!</v>
      </c>
      <c r="BS79" s="28" t="e">
        <f>#REF!*2</f>
        <v>#REF!</v>
      </c>
      <c r="BT79" s="28" t="e">
        <f>#REF!</f>
        <v>#REF!</v>
      </c>
      <c r="BU79" s="28" t="e">
        <f>#REF!*2</f>
        <v>#REF!</v>
      </c>
      <c r="BV79" s="28" t="e">
        <f>#REF!</f>
        <v>#REF!</v>
      </c>
      <c r="BW79" s="28" t="e">
        <f>#REF!*2</f>
        <v>#REF!</v>
      </c>
      <c r="BX79" s="28" t="e">
        <f>#REF!</f>
        <v>#REF!</v>
      </c>
      <c r="BY79" s="28" t="e">
        <f>#REF!*2</f>
        <v>#REF!</v>
      </c>
      <c r="BZ79" s="28" t="e">
        <f>#REF!</f>
        <v>#REF!</v>
      </c>
      <c r="CA79" s="28" t="e">
        <f>#REF!*2</f>
        <v>#REF!</v>
      </c>
      <c r="CB79" s="9">
        <f>C79-B79</f>
        <v>6</v>
      </c>
      <c r="CC79" s="9">
        <f>D79-C79</f>
        <v>5</v>
      </c>
      <c r="CD79" s="9">
        <f>E79-D79</f>
        <v>18</v>
      </c>
      <c r="CE79" s="9">
        <f>F79-E79</f>
        <v>3</v>
      </c>
      <c r="CF79" s="9">
        <f>G79-F79</f>
        <v>6</v>
      </c>
      <c r="CG79" s="33"/>
      <c r="CH79" s="9">
        <f>C79-B79</f>
        <v>6</v>
      </c>
      <c r="CI79" s="9">
        <f>D79-C79</f>
        <v>5</v>
      </c>
      <c r="CJ79" s="9">
        <f>E79-D79</f>
        <v>18</v>
      </c>
      <c r="CK79" s="9">
        <f>F79-E79</f>
        <v>3</v>
      </c>
      <c r="CL79" s="9">
        <f>G79-F79</f>
        <v>6</v>
      </c>
      <c r="CM79" s="32"/>
      <c r="CN79" s="3">
        <f>IF(OR(CH79="",ISBLANK(CH79),CH79=0),0,IF(MOD(CH79,2)=1,1,2))</f>
        <v>2</v>
      </c>
      <c r="CO79" s="3">
        <f>IF(OR(CI79="",ISBLANK(CI79),CI79=0),0,IF(MOD(CI79,2)=1,1,2))</f>
        <v>1</v>
      </c>
      <c r="CP79" s="3">
        <f>IF(OR(CJ79="",ISBLANK(CJ79),CJ79=0),0,IF(MOD(CJ79,2)=1,1,2))</f>
        <v>2</v>
      </c>
      <c r="CQ79" s="3">
        <f>IF(OR(CK79="",ISBLANK(CK79),CK79=0),0,IF(MOD(CK79,2)=1,1,2))</f>
        <v>1</v>
      </c>
      <c r="CR79" s="3">
        <f>IF(OR(CL79="",ISBLANK(CL79),CL79=0),0,IF(MOD(CL79,2)=1,1,2))</f>
        <v>2</v>
      </c>
      <c r="CS79" s="31"/>
      <c r="CT79" s="3" cm="1">
        <f t="array" ref="CT79">SUMPRODUCT(--(MOD(CH79:CL79,2)=1))</f>
        <v>2</v>
      </c>
      <c r="CU79" s="3">
        <f>5-CT79</f>
        <v>3</v>
      </c>
      <c r="CV79" s="30"/>
      <c r="CW79" s="3" cm="1">
        <f t="array" ref="CW79">SUMPRODUCT(--(MOD(CH79:CL79,10)&gt;=1), --(MOD(CH79:CL79,10)&lt;=5))</f>
        <v>2</v>
      </c>
      <c r="CX79" s="3">
        <f>5-CW79</f>
        <v>3</v>
      </c>
      <c r="CY79" s="30"/>
      <c r="CZ79" s="3" cm="1">
        <f t="array" ref="CZ79">IFERROR(COUNT(_xlfn._xlws.FILTER(CH79:CL79, ISNUMBER(MATCH(CH79:CL79, {2,3,5,7,11,13,17,19,23,29,31,37,41,43}, 0)))), 0)</f>
        <v>2</v>
      </c>
      <c r="DA79" s="3" cm="1">
        <f t="array" ref="DA79">IFERROR(COUNT(_xlfn._xlws.FILTER(CH79:CL79, ISNUMBER(MATCH(CH79:CL79, {1,4,8,10,14,16,20,22,25,26,28,32,34,35,38,40,44}, 0)))), 0)</f>
        <v>0</v>
      </c>
      <c r="DB79" s="3" cm="1">
        <f t="array" ref="DB79">IFERROR(COUNT(_xlfn._xlws.FILTER(CH79:CL79, ISNUMBER(MATCH(CH79:CL79, {6,9,12,15,18,21,24,27,30,33,36,39,42,45}, 0)))), 0)</f>
        <v>3</v>
      </c>
      <c r="DC79" s="29"/>
      <c r="DD79" s="28" t="e">
        <f>#REF!</f>
        <v>#REF!</v>
      </c>
      <c r="DE79" s="28" t="e">
        <f>#REF!*2</f>
        <v>#REF!</v>
      </c>
      <c r="DF79" s="28" t="e">
        <f>#REF!</f>
        <v>#REF!</v>
      </c>
      <c r="DG79" s="28" t="e">
        <f>#REF!*2</f>
        <v>#REF!</v>
      </c>
      <c r="DH79" s="28" t="e">
        <f>#REF!</f>
        <v>#REF!</v>
      </c>
      <c r="DI79" s="28" t="e">
        <f>#REF!*2</f>
        <v>#REF!</v>
      </c>
      <c r="DJ79" s="28" t="e">
        <f>#REF!</f>
        <v>#REF!</v>
      </c>
      <c r="DK79" s="28" t="e">
        <f>#REF!*2</f>
        <v>#REF!</v>
      </c>
      <c r="DL79" s="28" t="e">
        <f>#REF!</f>
        <v>#REF!</v>
      </c>
      <c r="DM79" s="28" t="e">
        <f>#REF!*2</f>
        <v>#REF!</v>
      </c>
      <c r="DN79" s="27"/>
      <c r="DO79" s="26" t="str" cm="1">
        <f t="array" ref="DO79">_xlfn.IFS(
   OR(CH79="",ISBLANK(CH79),CH79=0),0,
   ISNUMBER(MATCH(CH79,{2,3,5,7,11,13,17,19,23,29,31,37,41,43},0)),"소",
   AND(ISNUMBER(CH79),MOD(CH79,3)=0),"배",
   AND(ISNUMBER(CH79),CH79&gt;0),"자"
)</f>
        <v>배</v>
      </c>
      <c r="DP79" s="26" t="str" cm="1">
        <f t="array" ref="DP79">_xlfn.IFS(
   OR(CI79="",ISBLANK(CI79),CI79=0),0,
   ISNUMBER(MATCH(CI79,{2,3,5,7,11,13,17,19,23,29,31,37,41,43},0)),"소",
   AND(ISNUMBER(CI79),MOD(CI79,3)=0),"배",
   AND(ISNUMBER(CI79),CI79&gt;0),"자"
)</f>
        <v>소</v>
      </c>
      <c r="DQ79" s="26" t="str" cm="1">
        <f t="array" ref="DQ79">_xlfn.IFS(
   OR(CJ79="",ISBLANK(CJ79),CJ79=0),0,
   ISNUMBER(MATCH(CJ79,{2,3,5,7,11,13,17,19,23,29,31,37,41,43},0)),"소",
   AND(ISNUMBER(CJ79),MOD(CJ79,3)=0),"배",
   AND(ISNUMBER(CJ79),CJ79&gt;0),"자"
)</f>
        <v>배</v>
      </c>
      <c r="DR79" s="26" t="str" cm="1">
        <f t="array" ref="DR79">_xlfn.IFS(
   OR(CK79="",ISBLANK(CK79),CK79=0),0,
   ISNUMBER(MATCH(CK79,{2,3,5,7,11,13,17,19,23,29,31,37,41,43},0)),"소",
   AND(ISNUMBER(CK79),MOD(CK79,3)=0),"배",
   AND(ISNUMBER(CK79),CK79&gt;0),"자"
)</f>
        <v>소</v>
      </c>
      <c r="DS79" s="26" t="str" cm="1">
        <f t="array" ref="DS79">_xlfn.IFS(
   OR(CL79="",ISBLANK(CL79),CL79=0),0,
   ISNUMBER(MATCH(CL79,{2,3,5,7,11,13,17,19,23,29,31,37,41,43},0)),"소",
   AND(ISNUMBER(CL79),MOD(CL79,3)=0),"배",
   AND(ISNUMBER(CL79),CL79&gt;0),"자"
)</f>
        <v>배</v>
      </c>
      <c r="DT79" s="25"/>
    </row>
    <row r="80" spans="2:124" ht="14.25" thickBot="1" x14ac:dyDescent="0.35">
      <c r="B80" s="3">
        <v>2</v>
      </c>
      <c r="C80" s="3">
        <v>12</v>
      </c>
      <c r="D80" s="3">
        <v>20</v>
      </c>
      <c r="E80" s="3">
        <v>24</v>
      </c>
      <c r="F80" s="3">
        <v>34</v>
      </c>
      <c r="G80" s="3">
        <v>42</v>
      </c>
      <c r="H80" s="32"/>
      <c r="I80" s="3">
        <f>IF(OR(B80="",ISBLANK(B80),B80=0),0,IF(MOD(B80,2)=1,1,2))</f>
        <v>2</v>
      </c>
      <c r="J80" s="3">
        <f>IF(OR(C80="",ISBLANK(C80),C80=0),0,IF(MOD(C80,2)=1,1,2))</f>
        <v>2</v>
      </c>
      <c r="K80" s="3">
        <f>IF(OR(D80="",ISBLANK(D80),D80=0),0,IF(MOD(D80,2)=1,1,2))</f>
        <v>2</v>
      </c>
      <c r="L80" s="3">
        <f>IF(OR(E80="",ISBLANK(E80),E80=0),0,IF(MOD(E80,2)=1,1,2))</f>
        <v>2</v>
      </c>
      <c r="M80" s="3">
        <f>IF(OR(F80="",ISBLANK(F80),F80=0),0,IF(MOD(F80,2)=1,1,2))</f>
        <v>2</v>
      </c>
      <c r="N80" s="3">
        <f>IF(OR(G80="",ISBLANK(G80),G80=0),0,IF(MOD(G80,2)=1,1,2))</f>
        <v>2</v>
      </c>
      <c r="O80" s="32"/>
      <c r="P80" s="3" cm="1">
        <f t="array" ref="P80">SUMPRODUCT(--(MOD(B80:G80,2)=1))</f>
        <v>0</v>
      </c>
      <c r="Q80" s="3">
        <f>6-P80</f>
        <v>6</v>
      </c>
      <c r="R80" s="34"/>
      <c r="S80" s="3">
        <f>COUNTIFS(B80:G80,"&gt;=1",B80:G80,"&lt;=23")</f>
        <v>3</v>
      </c>
      <c r="T80" s="3">
        <f>6-S80</f>
        <v>3</v>
      </c>
      <c r="U80" s="34"/>
      <c r="V80" s="3" cm="1">
        <f t="array" ref="V80">SUMPRODUCT(--(MOD(B80:G80,10)&gt;=1), --(MOD(B80:G80,10)&lt;=5))</f>
        <v>5</v>
      </c>
      <c r="W80" s="3">
        <f>6-V80</f>
        <v>1</v>
      </c>
      <c r="X80" s="34"/>
      <c r="Y80" s="3" cm="1">
        <f t="array" ref="Y80">IFERROR(COUNT(_xlfn._xlws.FILTER(B80:G80, ISNUMBER(MATCH(B80:G80, {2,3,5,7,11,13,17,19,23,29,31,37,41,43}, 0)))), 0)</f>
        <v>1</v>
      </c>
      <c r="Z80" s="3" cm="1">
        <f t="array" ref="Z80">IFERROR(COUNT(_xlfn._xlws.FILTER(B80:G80, ISNUMBER(MATCH(B80:G80, {1,4,8,10,14,16,20,22,25,26,28,32,34,35,38,40,44}, 0)))), 0)</f>
        <v>2</v>
      </c>
      <c r="AA80" s="3" cm="1">
        <f t="array" ref="AA80">IFERROR(COUNT(_xlfn._xlws.FILTER(B80:G80, ISNUMBER(MATCH(B80:G80, {6,9,12,15,18,21,24,27,30,33,36,39,42,45}, 0)))), 0)</f>
        <v>3</v>
      </c>
      <c r="AB80" s="30"/>
      <c r="AC80" s="26" t="str" cm="1">
        <f t="array" ref="AC80">_xlfn.IFS(
   OR(B80="",ISBLANK(B80),B80=0),0,
   ISNUMBER(MATCH(B80,{2,3,5,7,11,13,17,19,23,29,31,37,41,43},0)),"소",
   AND(ISNUMBER(B80),MOD(B80,3)=0),"배",
   AND(ISNUMBER(B80),B80&gt;0),"자"
)</f>
        <v>소</v>
      </c>
      <c r="AD80" s="26" t="str" cm="1">
        <f t="array" ref="AD80">_xlfn.IFS(
   OR(C80="",ISBLANK(C80),C80=0),0,
   ISNUMBER(MATCH(C80,{2,3,5,7,11,13,17,19,23,29,31,37,41,43},0)),"소",
   AND(ISNUMBER(C80),MOD(C80,3)=0),"배",
   AND(ISNUMBER(C80),C80&gt;0),"자"
)</f>
        <v>배</v>
      </c>
      <c r="AE80" s="26" t="str" cm="1">
        <f t="array" ref="AE80">_xlfn.IFS(
   OR(D80="",ISBLANK(D80),D80=0),0,
   ISNUMBER(MATCH(D80,{2,3,5,7,11,13,17,19,23,29,31,37,41,43},0)),"소",
   AND(ISNUMBER(D80),MOD(D80,3)=0),"배",
   AND(ISNUMBER(D80),D80&gt;0),"자"
)</f>
        <v>자</v>
      </c>
      <c r="AF80" s="26" t="str" cm="1">
        <f t="array" ref="AF80">_xlfn.IFS(
   OR(E80="",ISBLANK(E80),E80=0),0,
   ISNUMBER(MATCH(E80,{2,3,5,7,11,13,17,19,23,29,31,37,41,43},0)),"소",
   AND(ISNUMBER(E80),MOD(E80,3)=0),"배",
   AND(ISNUMBER(E80),E80&gt;0),"자"
)</f>
        <v>배</v>
      </c>
      <c r="AG80" s="26" t="str" cm="1">
        <f t="array" ref="AG80">_xlfn.IFS(
   OR(F80="",ISBLANK(F80),F80=0),0,
   ISNUMBER(MATCH(F80,{2,3,5,7,11,13,17,19,23,29,31,37,41,43},0)),"소",
   AND(ISNUMBER(F80),MOD(F80,3)=0),"배",
   AND(ISNUMBER(F80),F80&gt;0),"자"
)</f>
        <v>자</v>
      </c>
      <c r="AH80" s="26" t="str" cm="1">
        <f t="array" ref="AH80">_xlfn.IFS(
   OR(G80="",ISBLANK(G80),G80=0),0,
   ISNUMBER(MATCH(G80,{2,3,5,7,11,13,17,19,23,29,31,37,41,43},0)),"소",
   AND(ISNUMBER(G80),MOD(G80,3)=0),"배",
   AND(ISNUMBER(G80),G80&gt;0),"자"
)</f>
        <v>배</v>
      </c>
      <c r="AI80" s="30"/>
      <c r="AJ80" s="3">
        <f>COUNTIFS(B80:G80,"&gt;=1",B80:G80,"&lt;=14")</f>
        <v>2</v>
      </c>
      <c r="AK80" s="3">
        <f>COUNTIFS(B80:G80,"&gt;=15",B80:G80,"&lt;=31")</f>
        <v>2</v>
      </c>
      <c r="AL80" s="3">
        <f>6-AK80-AJ80</f>
        <v>2</v>
      </c>
      <c r="AM80" s="33"/>
      <c r="AN80" s="3">
        <f>COUNTIFS($B80:$G80, "&gt;=1",$B80:$G80, "&lt;=9")</f>
        <v>1</v>
      </c>
      <c r="AO80" s="3">
        <f>COUNTIFS($B80:$G80, "&gt;=10",$B80:$G80, "&lt;=18")</f>
        <v>1</v>
      </c>
      <c r="AP80" s="3">
        <f>COUNTIFS($B80:$G80, "&gt;=19",$B80:$G80, "&lt;=27")</f>
        <v>2</v>
      </c>
      <c r="AQ80" s="3">
        <f>COUNTIFS($B80:$G80, "&gt;=28",$B80:$G80, "&lt;=36")</f>
        <v>1</v>
      </c>
      <c r="AR80" s="3">
        <f>COUNTIFS($B80:$G80, "&gt;=37",$B80:$G80, "&lt;=45")</f>
        <v>1</v>
      </c>
      <c r="AS80" s="28" t="e">
        <f>#REF!</f>
        <v>#REF!</v>
      </c>
      <c r="AT80" s="28" t="e">
        <f>#REF!*2</f>
        <v>#REF!</v>
      </c>
      <c r="AU80" s="28" t="e">
        <f>#REF!</f>
        <v>#REF!</v>
      </c>
      <c r="AV80" s="28" t="e">
        <f>#REF!*2</f>
        <v>#REF!</v>
      </c>
      <c r="AW80" s="28" t="e">
        <f>#REF!</f>
        <v>#REF!</v>
      </c>
      <c r="AX80" s="28" t="e">
        <f>#REF!*2</f>
        <v>#REF!</v>
      </c>
      <c r="AY80" s="28" t="e">
        <f>#REF!</f>
        <v>#REF!</v>
      </c>
      <c r="AZ80" s="28" t="e">
        <f>#REF!*2</f>
        <v>#REF!</v>
      </c>
      <c r="BA80" s="28" t="e">
        <f>#REF!</f>
        <v>#REF!</v>
      </c>
      <c r="BB80" s="28" t="e">
        <f>#REF!*2</f>
        <v>#REF!</v>
      </c>
      <c r="BC80" s="28" t="e">
        <f>#REF!</f>
        <v>#REF!</v>
      </c>
      <c r="BD80" s="28" t="e">
        <f>#REF!*2</f>
        <v>#REF!</v>
      </c>
      <c r="BE80" s="9" t="e">
        <f>#REF!-#REF!</f>
        <v>#REF!</v>
      </c>
      <c r="BF80" s="9" t="e">
        <f>#REF!-#REF!</f>
        <v>#REF!</v>
      </c>
      <c r="BG80" s="9" t="e">
        <f>#REF!-#REF!</f>
        <v>#REF!</v>
      </c>
      <c r="BH80" s="9" t="e">
        <f>#REF!-#REF!</f>
        <v>#REF!</v>
      </c>
      <c r="BI80" s="9" t="e">
        <f>#REF!-#REF!</f>
        <v>#REF!</v>
      </c>
      <c r="BJ80" s="33"/>
      <c r="BK80" s="3">
        <f>COUNTIFS(B80:G80, "&gt;=1", B80:G80, "&lt;=9")</f>
        <v>1</v>
      </c>
      <c r="BL80" s="3">
        <f>COUNTIFS(B80:G80, "&gt;=10", B80:G80, "&lt;=19")</f>
        <v>1</v>
      </c>
      <c r="BM80" s="3">
        <f>COUNTIFS(B80:G80, "&gt;=20", B80:G80, "&lt;=29")</f>
        <v>2</v>
      </c>
      <c r="BN80" s="3">
        <f>COUNTIFS(B80:G80, "&gt;=30", B80:G80, "&lt;=39")</f>
        <v>1</v>
      </c>
      <c r="BO80" s="3">
        <f>COUNTIFS(B80:G80, "&gt;=40", B80:G80, "&lt;=45")</f>
        <v>1</v>
      </c>
      <c r="BP80" s="28" t="e">
        <f>#REF!</f>
        <v>#REF!</v>
      </c>
      <c r="BQ80" s="28" t="e">
        <f>#REF!*2</f>
        <v>#REF!</v>
      </c>
      <c r="BR80" s="28" t="e">
        <f>#REF!</f>
        <v>#REF!</v>
      </c>
      <c r="BS80" s="28" t="e">
        <f>#REF!*2</f>
        <v>#REF!</v>
      </c>
      <c r="BT80" s="28" t="e">
        <f>#REF!</f>
        <v>#REF!</v>
      </c>
      <c r="BU80" s="28" t="e">
        <f>#REF!*2</f>
        <v>#REF!</v>
      </c>
      <c r="BV80" s="28" t="e">
        <f>#REF!</f>
        <v>#REF!</v>
      </c>
      <c r="BW80" s="28" t="e">
        <f>#REF!*2</f>
        <v>#REF!</v>
      </c>
      <c r="BX80" s="28" t="e">
        <f>#REF!</f>
        <v>#REF!</v>
      </c>
      <c r="BY80" s="28" t="e">
        <f>#REF!*2</f>
        <v>#REF!</v>
      </c>
      <c r="BZ80" s="28" t="e">
        <f>#REF!</f>
        <v>#REF!</v>
      </c>
      <c r="CA80" s="28" t="e">
        <f>#REF!*2</f>
        <v>#REF!</v>
      </c>
      <c r="CB80" s="9">
        <f>C80-B80</f>
        <v>10</v>
      </c>
      <c r="CC80" s="9">
        <f>D80-C80</f>
        <v>8</v>
      </c>
      <c r="CD80" s="9">
        <f>E80-D80</f>
        <v>4</v>
      </c>
      <c r="CE80" s="9">
        <f>F80-E80</f>
        <v>10</v>
      </c>
      <c r="CF80" s="9">
        <f>G80-F80</f>
        <v>8</v>
      </c>
      <c r="CG80" s="33"/>
      <c r="CH80" s="9">
        <f>C80-B80</f>
        <v>10</v>
      </c>
      <c r="CI80" s="9">
        <f>D80-C80</f>
        <v>8</v>
      </c>
      <c r="CJ80" s="9">
        <f>E80-D80</f>
        <v>4</v>
      </c>
      <c r="CK80" s="9">
        <f>F80-E80</f>
        <v>10</v>
      </c>
      <c r="CL80" s="9">
        <f>G80-F80</f>
        <v>8</v>
      </c>
      <c r="CM80" s="32"/>
      <c r="CN80" s="3">
        <f>IF(OR(CH80="",ISBLANK(CH80),CH80=0),0,IF(MOD(CH80,2)=1,1,2))</f>
        <v>2</v>
      </c>
      <c r="CO80" s="3">
        <f>IF(OR(CI80="",ISBLANK(CI80),CI80=0),0,IF(MOD(CI80,2)=1,1,2))</f>
        <v>2</v>
      </c>
      <c r="CP80" s="3">
        <f>IF(OR(CJ80="",ISBLANK(CJ80),CJ80=0),0,IF(MOD(CJ80,2)=1,1,2))</f>
        <v>2</v>
      </c>
      <c r="CQ80" s="3">
        <f>IF(OR(CK80="",ISBLANK(CK80),CK80=0),0,IF(MOD(CK80,2)=1,1,2))</f>
        <v>2</v>
      </c>
      <c r="CR80" s="3">
        <f>IF(OR(CL80="",ISBLANK(CL80),CL80=0),0,IF(MOD(CL80,2)=1,1,2))</f>
        <v>2</v>
      </c>
      <c r="CS80" s="31"/>
      <c r="CT80" s="3" cm="1">
        <f t="array" ref="CT80">SUMPRODUCT(--(MOD(CH80:CL80,2)=1))</f>
        <v>0</v>
      </c>
      <c r="CU80" s="3">
        <f>5-CT80</f>
        <v>5</v>
      </c>
      <c r="CV80" s="30"/>
      <c r="CW80" s="3" cm="1">
        <f t="array" ref="CW80">SUMPRODUCT(--(MOD(CH80:CL80,10)&gt;=1), --(MOD(CH80:CL80,10)&lt;=5))</f>
        <v>1</v>
      </c>
      <c r="CX80" s="3">
        <f>5-CW80</f>
        <v>4</v>
      </c>
      <c r="CY80" s="30"/>
      <c r="CZ80" s="3" cm="1">
        <f t="array" ref="CZ80">IFERROR(COUNT(_xlfn._xlws.FILTER(CH80:CL80, ISNUMBER(MATCH(CH80:CL80, {2,3,5,7,11,13,17,19,23,29,31,37,41,43}, 0)))), 0)</f>
        <v>0</v>
      </c>
      <c r="DA80" s="3" cm="1">
        <f t="array" ref="DA80">IFERROR(COUNT(_xlfn._xlws.FILTER(CH80:CL80, ISNUMBER(MATCH(CH80:CL80, {1,4,8,10,14,16,20,22,25,26,28,32,34,35,38,40,44}, 0)))), 0)</f>
        <v>5</v>
      </c>
      <c r="DB80" s="3" cm="1">
        <f t="array" ref="DB80">IFERROR(COUNT(_xlfn._xlws.FILTER(CH80:CL80, ISNUMBER(MATCH(CH80:CL80, {6,9,12,15,18,21,24,27,30,33,36,39,42,45}, 0)))), 0)</f>
        <v>0</v>
      </c>
      <c r="DC80" s="29"/>
      <c r="DD80" s="28" t="e">
        <f>#REF!</f>
        <v>#REF!</v>
      </c>
      <c r="DE80" s="28" t="e">
        <f>#REF!*2</f>
        <v>#REF!</v>
      </c>
      <c r="DF80" s="28" t="e">
        <f>#REF!</f>
        <v>#REF!</v>
      </c>
      <c r="DG80" s="28" t="e">
        <f>#REF!*2</f>
        <v>#REF!</v>
      </c>
      <c r="DH80" s="28" t="e">
        <f>#REF!</f>
        <v>#REF!</v>
      </c>
      <c r="DI80" s="28" t="e">
        <f>#REF!*2</f>
        <v>#REF!</v>
      </c>
      <c r="DJ80" s="28" t="e">
        <f>#REF!</f>
        <v>#REF!</v>
      </c>
      <c r="DK80" s="28" t="e">
        <f>#REF!*2</f>
        <v>#REF!</v>
      </c>
      <c r="DL80" s="28" t="e">
        <f>#REF!</f>
        <v>#REF!</v>
      </c>
      <c r="DM80" s="28" t="e">
        <f>#REF!*2</f>
        <v>#REF!</v>
      </c>
      <c r="DN80" s="27"/>
      <c r="DO80" s="26" t="str" cm="1">
        <f t="array" ref="DO80">_xlfn.IFS(
   OR(CH80="",ISBLANK(CH80),CH80=0),0,
   ISNUMBER(MATCH(CH80,{2,3,5,7,11,13,17,19,23,29,31,37,41,43},0)),"소",
   AND(ISNUMBER(CH80),MOD(CH80,3)=0),"배",
   AND(ISNUMBER(CH80),CH80&gt;0),"자"
)</f>
        <v>자</v>
      </c>
      <c r="DP80" s="26" t="str" cm="1">
        <f t="array" ref="DP80">_xlfn.IFS(
   OR(CI80="",ISBLANK(CI80),CI80=0),0,
   ISNUMBER(MATCH(CI80,{2,3,5,7,11,13,17,19,23,29,31,37,41,43},0)),"소",
   AND(ISNUMBER(CI80),MOD(CI80,3)=0),"배",
   AND(ISNUMBER(CI80),CI80&gt;0),"자"
)</f>
        <v>자</v>
      </c>
      <c r="DQ80" s="26" t="str" cm="1">
        <f t="array" ref="DQ80">_xlfn.IFS(
   OR(CJ80="",ISBLANK(CJ80),CJ80=0),0,
   ISNUMBER(MATCH(CJ80,{2,3,5,7,11,13,17,19,23,29,31,37,41,43},0)),"소",
   AND(ISNUMBER(CJ80),MOD(CJ80,3)=0),"배",
   AND(ISNUMBER(CJ80),CJ80&gt;0),"자"
)</f>
        <v>자</v>
      </c>
      <c r="DR80" s="26" t="str" cm="1">
        <f t="array" ref="DR80">_xlfn.IFS(
   OR(CK80="",ISBLANK(CK80),CK80=0),0,
   ISNUMBER(MATCH(CK80,{2,3,5,7,11,13,17,19,23,29,31,37,41,43},0)),"소",
   AND(ISNUMBER(CK80),MOD(CK80,3)=0),"배",
   AND(ISNUMBER(CK80),CK80&gt;0),"자"
)</f>
        <v>자</v>
      </c>
      <c r="DS80" s="26" t="str" cm="1">
        <f t="array" ref="DS80">_xlfn.IFS(
   OR(CL80="",ISBLANK(CL80),CL80=0),0,
   ISNUMBER(MATCH(CL80,{2,3,5,7,11,13,17,19,23,29,31,37,41,43},0)),"소",
   AND(ISNUMBER(CL80),MOD(CL80,3)=0),"배",
   AND(ISNUMBER(CL80),CL80&gt;0),"자"
)</f>
        <v>자</v>
      </c>
      <c r="DT80" s="25"/>
    </row>
    <row r="81" spans="1:124" ht="14.25" thickBot="1" x14ac:dyDescent="0.35">
      <c r="A81" s="49"/>
      <c r="B81" s="17">
        <v>20</v>
      </c>
      <c r="C81" s="18">
        <v>21</v>
      </c>
      <c r="D81" s="18">
        <v>22</v>
      </c>
      <c r="E81" s="18">
        <v>25</v>
      </c>
      <c r="F81" s="18">
        <v>28</v>
      </c>
      <c r="G81" s="15">
        <v>29</v>
      </c>
      <c r="H81" s="32"/>
      <c r="I81" s="3">
        <f>IF(OR(B81="",ISBLANK(B81),B81=0),0,IF(MOD(B81,2)=1,1,2))</f>
        <v>2</v>
      </c>
      <c r="J81" s="3">
        <f>IF(OR(C81="",ISBLANK(C81),C81=0),0,IF(MOD(C81,2)=1,1,2))</f>
        <v>1</v>
      </c>
      <c r="K81" s="3">
        <f>IF(OR(D81="",ISBLANK(D81),D81=0),0,IF(MOD(D81,2)=1,1,2))</f>
        <v>2</v>
      </c>
      <c r="L81" s="3">
        <f>IF(OR(E81="",ISBLANK(E81),E81=0),0,IF(MOD(E81,2)=1,1,2))</f>
        <v>1</v>
      </c>
      <c r="M81" s="3">
        <f>IF(OR(F81="",ISBLANK(F81),F81=0),0,IF(MOD(F81,2)=1,1,2))</f>
        <v>2</v>
      </c>
      <c r="N81" s="3">
        <f>IF(OR(G81="",ISBLANK(G81),G81=0),0,IF(MOD(G81,2)=1,1,2))</f>
        <v>1</v>
      </c>
      <c r="O81" s="32"/>
      <c r="P81" s="3" cm="1">
        <f t="array" ref="P81">SUMPRODUCT(--(MOD(B81:G81,2)=1))</f>
        <v>3</v>
      </c>
      <c r="Q81" s="3">
        <f>6-P81</f>
        <v>3</v>
      </c>
      <c r="R81" s="34"/>
      <c r="S81" s="3">
        <f>COUNTIFS(B81:G81,"&gt;=1",B81:G81,"&lt;=23")</f>
        <v>3</v>
      </c>
      <c r="T81" s="3">
        <f>6-S81</f>
        <v>3</v>
      </c>
      <c r="U81" s="34"/>
      <c r="V81" s="3" cm="1">
        <f t="array" ref="V81">SUMPRODUCT(--(MOD(B81:G81,10)&gt;=1), --(MOD(B81:G81,10)&lt;=5))</f>
        <v>3</v>
      </c>
      <c r="W81" s="3">
        <f>6-V81</f>
        <v>3</v>
      </c>
      <c r="X81" s="34"/>
      <c r="Y81" s="3" cm="1">
        <f t="array" ref="Y81">IFERROR(COUNT(_xlfn._xlws.FILTER(B81:G81, ISNUMBER(MATCH(B81:G81, {2,3,5,7,11,13,17,19,23,29,31,37,41,43}, 0)))), 0)</f>
        <v>1</v>
      </c>
      <c r="Z81" s="3" cm="1">
        <f t="array" ref="Z81">IFERROR(COUNT(_xlfn._xlws.FILTER(B81:G81, ISNUMBER(MATCH(B81:G81, {1,4,8,10,14,16,20,22,25,26,28,32,34,35,38,40,44}, 0)))), 0)</f>
        <v>4</v>
      </c>
      <c r="AA81" s="3" cm="1">
        <f t="array" ref="AA81">IFERROR(COUNT(_xlfn._xlws.FILTER(B81:G81, ISNUMBER(MATCH(B81:G81, {6,9,12,15,18,21,24,27,30,33,36,39,42,45}, 0)))), 0)</f>
        <v>1</v>
      </c>
      <c r="AB81" s="30"/>
      <c r="AC81" s="26" t="str" cm="1">
        <f t="array" ref="AC81">_xlfn.IFS(
   OR(B81="",ISBLANK(B81),B81=0),0,
   ISNUMBER(MATCH(B81,{2,3,5,7,11,13,17,19,23,29,31,37,41,43},0)),"소",
   AND(ISNUMBER(B81),MOD(B81,3)=0),"배",
   AND(ISNUMBER(B81),B81&gt;0),"자"
)</f>
        <v>자</v>
      </c>
      <c r="AD81" s="26" t="str" cm="1">
        <f t="array" ref="AD81">_xlfn.IFS(
   OR(C81="",ISBLANK(C81),C81=0),0,
   ISNUMBER(MATCH(C81,{2,3,5,7,11,13,17,19,23,29,31,37,41,43},0)),"소",
   AND(ISNUMBER(C81),MOD(C81,3)=0),"배",
   AND(ISNUMBER(C81),C81&gt;0),"자"
)</f>
        <v>배</v>
      </c>
      <c r="AE81" s="26" t="str" cm="1">
        <f t="array" ref="AE81">_xlfn.IFS(
   OR(D81="",ISBLANK(D81),D81=0),0,
   ISNUMBER(MATCH(D81,{2,3,5,7,11,13,17,19,23,29,31,37,41,43},0)),"소",
   AND(ISNUMBER(D81),MOD(D81,3)=0),"배",
   AND(ISNUMBER(D81),D81&gt;0),"자"
)</f>
        <v>자</v>
      </c>
      <c r="AF81" s="26" t="str" cm="1">
        <f t="array" ref="AF81">_xlfn.IFS(
   OR(E81="",ISBLANK(E81),E81=0),0,
   ISNUMBER(MATCH(E81,{2,3,5,7,11,13,17,19,23,29,31,37,41,43},0)),"소",
   AND(ISNUMBER(E81),MOD(E81,3)=0),"배",
   AND(ISNUMBER(E81),E81&gt;0),"자"
)</f>
        <v>자</v>
      </c>
      <c r="AG81" s="26" t="str" cm="1">
        <f t="array" ref="AG81">_xlfn.IFS(
   OR(F81="",ISBLANK(F81),F81=0),0,
   ISNUMBER(MATCH(F81,{2,3,5,7,11,13,17,19,23,29,31,37,41,43},0)),"소",
   AND(ISNUMBER(F81),MOD(F81,3)=0),"배",
   AND(ISNUMBER(F81),F81&gt;0),"자"
)</f>
        <v>자</v>
      </c>
      <c r="AH81" s="26" t="str" cm="1">
        <f t="array" ref="AH81">_xlfn.IFS(
   OR(G81="",ISBLANK(G81),G81=0),0,
   ISNUMBER(MATCH(G81,{2,3,5,7,11,13,17,19,23,29,31,37,41,43},0)),"소",
   AND(ISNUMBER(G81),MOD(G81,3)=0),"배",
   AND(ISNUMBER(G81),G81&gt;0),"자"
)</f>
        <v>소</v>
      </c>
      <c r="AI81" s="30"/>
      <c r="AJ81" s="3">
        <f>COUNTIFS(B81:G81,"&gt;=1",B81:G81,"&lt;=14")</f>
        <v>0</v>
      </c>
      <c r="AK81" s="3">
        <f>COUNTIFS(B81:G81,"&gt;=15",B81:G81,"&lt;=31")</f>
        <v>6</v>
      </c>
      <c r="AL81" s="3">
        <f>6-AK81-AJ81</f>
        <v>0</v>
      </c>
      <c r="AM81" s="33"/>
      <c r="AN81" s="3">
        <f>COUNTIFS($B81:$G81, "&gt;=1",$B81:$G81, "&lt;=9")</f>
        <v>0</v>
      </c>
      <c r="AO81" s="3">
        <f>COUNTIFS($B81:$G81, "&gt;=10",$B81:$G81, "&lt;=18")</f>
        <v>0</v>
      </c>
      <c r="AP81" s="3">
        <f>COUNTIFS($B81:$G81, "&gt;=19",$B81:$G81, "&lt;=27")</f>
        <v>4</v>
      </c>
      <c r="AQ81" s="3">
        <f>COUNTIFS($B81:$G81, "&gt;=28",$B81:$G81, "&lt;=36")</f>
        <v>2</v>
      </c>
      <c r="AR81" s="3">
        <f>COUNTIFS($B81:$G81, "&gt;=37",$B81:$G81, "&lt;=45")</f>
        <v>0</v>
      </c>
      <c r="AS81" s="28" t="e">
        <f>#REF!</f>
        <v>#REF!</v>
      </c>
      <c r="AT81" s="28" t="e">
        <f>#REF!*2</f>
        <v>#REF!</v>
      </c>
      <c r="AU81" s="28" t="e">
        <f>#REF!</f>
        <v>#REF!</v>
      </c>
      <c r="AV81" s="28" t="e">
        <f>#REF!*2</f>
        <v>#REF!</v>
      </c>
      <c r="AW81" s="28" t="e">
        <f>#REF!</f>
        <v>#REF!</v>
      </c>
      <c r="AX81" s="28" t="e">
        <f>#REF!*2</f>
        <v>#REF!</v>
      </c>
      <c r="AY81" s="28" t="e">
        <f>#REF!</f>
        <v>#REF!</v>
      </c>
      <c r="AZ81" s="28" t="e">
        <f>#REF!*2</f>
        <v>#REF!</v>
      </c>
      <c r="BA81" s="28" t="e">
        <f>#REF!</f>
        <v>#REF!</v>
      </c>
      <c r="BB81" s="28" t="e">
        <f>#REF!*2</f>
        <v>#REF!</v>
      </c>
      <c r="BC81" s="28" t="e">
        <f>#REF!</f>
        <v>#REF!</v>
      </c>
      <c r="BD81" s="28" t="e">
        <f>#REF!*2</f>
        <v>#REF!</v>
      </c>
      <c r="BE81" s="9" t="e">
        <f>#REF!-#REF!</f>
        <v>#REF!</v>
      </c>
      <c r="BF81" s="9" t="e">
        <f>#REF!-#REF!</f>
        <v>#REF!</v>
      </c>
      <c r="BG81" s="9" t="e">
        <f>#REF!-#REF!</f>
        <v>#REF!</v>
      </c>
      <c r="BH81" s="9" t="e">
        <f>#REF!-#REF!</f>
        <v>#REF!</v>
      </c>
      <c r="BI81" s="9" t="e">
        <f>#REF!-#REF!</f>
        <v>#REF!</v>
      </c>
      <c r="BJ81" s="33"/>
      <c r="BK81" s="3">
        <f>COUNTIFS(B81:G81, "&gt;=1", B81:G81, "&lt;=9")</f>
        <v>0</v>
      </c>
      <c r="BL81" s="3">
        <f>COUNTIFS(B81:G81, "&gt;=10", B81:G81, "&lt;=19")</f>
        <v>0</v>
      </c>
      <c r="BM81" s="3">
        <f>COUNTIFS(B81:G81, "&gt;=20", B81:G81, "&lt;=29")</f>
        <v>6</v>
      </c>
      <c r="BN81" s="3">
        <f>COUNTIFS(B81:G81, "&gt;=30", B81:G81, "&lt;=39")</f>
        <v>0</v>
      </c>
      <c r="BO81" s="3">
        <f>COUNTIFS(B81:G81, "&gt;=40", B81:G81, "&lt;=45")</f>
        <v>0</v>
      </c>
      <c r="BP81" s="28" t="e">
        <f>#REF!</f>
        <v>#REF!</v>
      </c>
      <c r="BQ81" s="28" t="e">
        <f>#REF!*2</f>
        <v>#REF!</v>
      </c>
      <c r="BR81" s="28" t="e">
        <f>#REF!</f>
        <v>#REF!</v>
      </c>
      <c r="BS81" s="28" t="e">
        <f>#REF!*2</f>
        <v>#REF!</v>
      </c>
      <c r="BT81" s="28" t="e">
        <f>#REF!</f>
        <v>#REF!</v>
      </c>
      <c r="BU81" s="28" t="e">
        <f>#REF!*2</f>
        <v>#REF!</v>
      </c>
      <c r="BV81" s="28" t="e">
        <f>#REF!</f>
        <v>#REF!</v>
      </c>
      <c r="BW81" s="28" t="e">
        <f>#REF!*2</f>
        <v>#REF!</v>
      </c>
      <c r="BX81" s="28" t="e">
        <f>#REF!</f>
        <v>#REF!</v>
      </c>
      <c r="BY81" s="28" t="e">
        <f>#REF!*2</f>
        <v>#REF!</v>
      </c>
      <c r="BZ81" s="28" t="e">
        <f>#REF!</f>
        <v>#REF!</v>
      </c>
      <c r="CA81" s="28" t="e">
        <f>#REF!*2</f>
        <v>#REF!</v>
      </c>
      <c r="CB81" s="9">
        <f>C81-B81</f>
        <v>1</v>
      </c>
      <c r="CC81" s="9">
        <f>D81-C81</f>
        <v>1</v>
      </c>
      <c r="CD81" s="9">
        <f>E81-D81</f>
        <v>3</v>
      </c>
      <c r="CE81" s="9">
        <f>F81-E81</f>
        <v>3</v>
      </c>
      <c r="CF81" s="9">
        <f>G81-F81</f>
        <v>1</v>
      </c>
      <c r="CG81" s="33"/>
      <c r="CH81" s="9">
        <f>C81-B81</f>
        <v>1</v>
      </c>
      <c r="CI81" s="9">
        <f>D81-C81</f>
        <v>1</v>
      </c>
      <c r="CJ81" s="9">
        <f>E81-D81</f>
        <v>3</v>
      </c>
      <c r="CK81" s="9">
        <f>F81-E81</f>
        <v>3</v>
      </c>
      <c r="CL81" s="9">
        <f>G81-F81</f>
        <v>1</v>
      </c>
      <c r="CM81" s="32"/>
      <c r="CN81" s="3">
        <f>IF(OR(CH81="",ISBLANK(CH81),CH81=0),0,IF(MOD(CH81,2)=1,1,2))</f>
        <v>1</v>
      </c>
      <c r="CO81" s="3">
        <f>IF(OR(CI81="",ISBLANK(CI81),CI81=0),0,IF(MOD(CI81,2)=1,1,2))</f>
        <v>1</v>
      </c>
      <c r="CP81" s="3">
        <f>IF(OR(CJ81="",ISBLANK(CJ81),CJ81=0),0,IF(MOD(CJ81,2)=1,1,2))</f>
        <v>1</v>
      </c>
      <c r="CQ81" s="3">
        <f>IF(OR(CK81="",ISBLANK(CK81),CK81=0),0,IF(MOD(CK81,2)=1,1,2))</f>
        <v>1</v>
      </c>
      <c r="CR81" s="3">
        <f>IF(OR(CL81="",ISBLANK(CL81),CL81=0),0,IF(MOD(CL81,2)=1,1,2))</f>
        <v>1</v>
      </c>
      <c r="CS81" s="31"/>
      <c r="CT81" s="3" cm="1">
        <f t="array" ref="CT81">SUMPRODUCT(--(MOD(CH81:CL81,2)=1))</f>
        <v>5</v>
      </c>
      <c r="CU81" s="3">
        <f>5-CT81</f>
        <v>0</v>
      </c>
      <c r="CV81" s="30"/>
      <c r="CW81" s="3" cm="1">
        <f t="array" ref="CW81">SUMPRODUCT(--(MOD(CH81:CL81,10)&gt;=1), --(MOD(CH81:CL81,10)&lt;=5))</f>
        <v>5</v>
      </c>
      <c r="CX81" s="3">
        <f>5-CW81</f>
        <v>0</v>
      </c>
      <c r="CY81" s="30"/>
      <c r="CZ81" s="3" cm="1">
        <f t="array" ref="CZ81">IFERROR(COUNT(_xlfn._xlws.FILTER(CH81:CL81, ISNUMBER(MATCH(CH81:CL81, {2,3,5,7,11,13,17,19,23,29,31,37,41,43}, 0)))), 0)</f>
        <v>2</v>
      </c>
      <c r="DA81" s="3" cm="1">
        <f t="array" ref="DA81">IFERROR(COUNT(_xlfn._xlws.FILTER(CH81:CL81, ISNUMBER(MATCH(CH81:CL81, {1,4,8,10,14,16,20,22,25,26,28,32,34,35,38,40,44}, 0)))), 0)</f>
        <v>3</v>
      </c>
      <c r="DB81" s="3" cm="1">
        <f t="array" ref="DB81">IFERROR(COUNT(_xlfn._xlws.FILTER(CH81:CL81, ISNUMBER(MATCH(CH81:CL81, {6,9,12,15,18,21,24,27,30,33,36,39,42,45}, 0)))), 0)</f>
        <v>0</v>
      </c>
      <c r="DC81" s="29"/>
      <c r="DD81" s="28" t="e">
        <f>#REF!</f>
        <v>#REF!</v>
      </c>
      <c r="DE81" s="28" t="e">
        <f>#REF!*2</f>
        <v>#REF!</v>
      </c>
      <c r="DF81" s="28" t="e">
        <f>#REF!</f>
        <v>#REF!</v>
      </c>
      <c r="DG81" s="28" t="e">
        <f>#REF!*2</f>
        <v>#REF!</v>
      </c>
      <c r="DH81" s="28" t="e">
        <f>#REF!</f>
        <v>#REF!</v>
      </c>
      <c r="DI81" s="28" t="e">
        <f>#REF!*2</f>
        <v>#REF!</v>
      </c>
      <c r="DJ81" s="28" t="e">
        <f>#REF!</f>
        <v>#REF!</v>
      </c>
      <c r="DK81" s="28" t="e">
        <f>#REF!*2</f>
        <v>#REF!</v>
      </c>
      <c r="DL81" s="28" t="e">
        <f>#REF!</f>
        <v>#REF!</v>
      </c>
      <c r="DM81" s="28" t="e">
        <f>#REF!*2</f>
        <v>#REF!</v>
      </c>
      <c r="DN81" s="27"/>
      <c r="DO81" s="26" t="str" cm="1">
        <f t="array" ref="DO81">_xlfn.IFS(
   OR(CH81="",ISBLANK(CH81),CH81=0),0,
   ISNUMBER(MATCH(CH81,{2,3,5,7,11,13,17,19,23,29,31,37,41,43},0)),"소",
   AND(ISNUMBER(CH81),MOD(CH81,3)=0),"배",
   AND(ISNUMBER(CH81),CH81&gt;0),"자"
)</f>
        <v>자</v>
      </c>
      <c r="DP81" s="26" t="str" cm="1">
        <f t="array" ref="DP81">_xlfn.IFS(
   OR(CI81="",ISBLANK(CI81),CI81=0),0,
   ISNUMBER(MATCH(CI81,{2,3,5,7,11,13,17,19,23,29,31,37,41,43},0)),"소",
   AND(ISNUMBER(CI81),MOD(CI81,3)=0),"배",
   AND(ISNUMBER(CI81),CI81&gt;0),"자"
)</f>
        <v>자</v>
      </c>
      <c r="DQ81" s="26" t="str" cm="1">
        <f t="array" ref="DQ81">_xlfn.IFS(
   OR(CJ81="",ISBLANK(CJ81),CJ81=0),0,
   ISNUMBER(MATCH(CJ81,{2,3,5,7,11,13,17,19,23,29,31,37,41,43},0)),"소",
   AND(ISNUMBER(CJ81),MOD(CJ81,3)=0),"배",
   AND(ISNUMBER(CJ81),CJ81&gt;0),"자"
)</f>
        <v>소</v>
      </c>
      <c r="DR81" s="26" t="str" cm="1">
        <f t="array" ref="DR81">_xlfn.IFS(
   OR(CK81="",ISBLANK(CK81),CK81=0),0,
   ISNUMBER(MATCH(CK81,{2,3,5,7,11,13,17,19,23,29,31,37,41,43},0)),"소",
   AND(ISNUMBER(CK81),MOD(CK81,3)=0),"배",
   AND(ISNUMBER(CK81),CK81&gt;0),"자"
)</f>
        <v>소</v>
      </c>
      <c r="DS81" s="26" t="str" cm="1">
        <f t="array" ref="DS81">_xlfn.IFS(
   OR(CL81="",ISBLANK(CL81),CL81=0),0,
   ISNUMBER(MATCH(CL81,{2,3,5,7,11,13,17,19,23,29,31,37,41,43},0)),"소",
   AND(ISNUMBER(CL81),MOD(CL81,3)=0),"배",
   AND(ISNUMBER(CL81),CL81&gt;0),"자"
)</f>
        <v>자</v>
      </c>
      <c r="DT81" s="25"/>
    </row>
    <row r="82" spans="1:124" x14ac:dyDescent="0.3">
      <c r="B82" s="3">
        <v>2</v>
      </c>
      <c r="C82" s="3">
        <v>13</v>
      </c>
      <c r="D82" s="3">
        <v>15</v>
      </c>
      <c r="E82" s="3">
        <v>16</v>
      </c>
      <c r="F82" s="3">
        <v>33</v>
      </c>
      <c r="G82" s="3">
        <v>43</v>
      </c>
      <c r="H82" s="32"/>
      <c r="I82" s="3">
        <f>IF(OR(B82="",ISBLANK(B82),B82=0),0,IF(MOD(B82,2)=1,1,2))</f>
        <v>2</v>
      </c>
      <c r="J82" s="3">
        <f>IF(OR(C82="",ISBLANK(C82),C82=0),0,IF(MOD(C82,2)=1,1,2))</f>
        <v>1</v>
      </c>
      <c r="K82" s="3">
        <f>IF(OR(D82="",ISBLANK(D82),D82=0),0,IF(MOD(D82,2)=1,1,2))</f>
        <v>1</v>
      </c>
      <c r="L82" s="3">
        <f>IF(OR(E82="",ISBLANK(E82),E82=0),0,IF(MOD(E82,2)=1,1,2))</f>
        <v>2</v>
      </c>
      <c r="M82" s="3">
        <f>IF(OR(F82="",ISBLANK(F82),F82=0),0,IF(MOD(F82,2)=1,1,2))</f>
        <v>1</v>
      </c>
      <c r="N82" s="3">
        <f>IF(OR(G82="",ISBLANK(G82),G82=0),0,IF(MOD(G82,2)=1,1,2))</f>
        <v>1</v>
      </c>
      <c r="O82" s="32"/>
      <c r="P82" s="3" cm="1">
        <f t="array" ref="P82">SUMPRODUCT(--(MOD(B82:G82,2)=1))</f>
        <v>4</v>
      </c>
      <c r="Q82" s="3">
        <f>6-P82</f>
        <v>2</v>
      </c>
      <c r="R82" s="34"/>
      <c r="S82" s="3">
        <f>COUNTIFS(B82:G82,"&gt;=1",B82:G82,"&lt;=23")</f>
        <v>4</v>
      </c>
      <c r="T82" s="3">
        <f>6-S82</f>
        <v>2</v>
      </c>
      <c r="U82" s="34"/>
      <c r="V82" s="3" cm="1">
        <f t="array" ref="V82">SUMPRODUCT(--(MOD(B82:G82,10)&gt;=1), --(MOD(B82:G82,10)&lt;=5))</f>
        <v>5</v>
      </c>
      <c r="W82" s="3">
        <f>6-V82</f>
        <v>1</v>
      </c>
      <c r="X82" s="34"/>
      <c r="Y82" s="3" cm="1">
        <f t="array" ref="Y82">IFERROR(COUNT(_xlfn._xlws.FILTER(B82:G82, ISNUMBER(MATCH(B82:G82, {2,3,5,7,11,13,17,19,23,29,31,37,41,43}, 0)))), 0)</f>
        <v>3</v>
      </c>
      <c r="Z82" s="3" cm="1">
        <f t="array" ref="Z82">IFERROR(COUNT(_xlfn._xlws.FILTER(B82:G82, ISNUMBER(MATCH(B82:G82, {1,4,8,10,14,16,20,22,25,26,28,32,34,35,38,40,44}, 0)))), 0)</f>
        <v>1</v>
      </c>
      <c r="AA82" s="3" cm="1">
        <f t="array" ref="AA82">IFERROR(COUNT(_xlfn._xlws.FILTER(B82:G82, ISNUMBER(MATCH(B82:G82, {6,9,12,15,18,21,24,27,30,33,36,39,42,45}, 0)))), 0)</f>
        <v>2</v>
      </c>
      <c r="AB82" s="30"/>
      <c r="AC82" s="26" t="str" cm="1">
        <f t="array" ref="AC82">_xlfn.IFS(
   OR(B82="",ISBLANK(B82),B82=0),0,
   ISNUMBER(MATCH(B82,{2,3,5,7,11,13,17,19,23,29,31,37,41,43},0)),"소",
   AND(ISNUMBER(B82),MOD(B82,3)=0),"배",
   AND(ISNUMBER(B82),B82&gt;0),"자"
)</f>
        <v>소</v>
      </c>
      <c r="AD82" s="26" t="str" cm="1">
        <f t="array" ref="AD82">_xlfn.IFS(
   OR(C82="",ISBLANK(C82),C82=0),0,
   ISNUMBER(MATCH(C82,{2,3,5,7,11,13,17,19,23,29,31,37,41,43},0)),"소",
   AND(ISNUMBER(C82),MOD(C82,3)=0),"배",
   AND(ISNUMBER(C82),C82&gt;0),"자"
)</f>
        <v>소</v>
      </c>
      <c r="AE82" s="26" t="str" cm="1">
        <f t="array" ref="AE82">_xlfn.IFS(
   OR(D82="",ISBLANK(D82),D82=0),0,
   ISNUMBER(MATCH(D82,{2,3,5,7,11,13,17,19,23,29,31,37,41,43},0)),"소",
   AND(ISNUMBER(D82),MOD(D82,3)=0),"배",
   AND(ISNUMBER(D82),D82&gt;0),"자"
)</f>
        <v>배</v>
      </c>
      <c r="AF82" s="26" t="str" cm="1">
        <f t="array" ref="AF82">_xlfn.IFS(
   OR(E82="",ISBLANK(E82),E82=0),0,
   ISNUMBER(MATCH(E82,{2,3,5,7,11,13,17,19,23,29,31,37,41,43},0)),"소",
   AND(ISNUMBER(E82),MOD(E82,3)=0),"배",
   AND(ISNUMBER(E82),E82&gt;0),"자"
)</f>
        <v>자</v>
      </c>
      <c r="AG82" s="26" t="str" cm="1">
        <f t="array" ref="AG82">_xlfn.IFS(
   OR(F82="",ISBLANK(F82),F82=0),0,
   ISNUMBER(MATCH(F82,{2,3,5,7,11,13,17,19,23,29,31,37,41,43},0)),"소",
   AND(ISNUMBER(F82),MOD(F82,3)=0),"배",
   AND(ISNUMBER(F82),F82&gt;0),"자"
)</f>
        <v>배</v>
      </c>
      <c r="AH82" s="26" t="str" cm="1">
        <f t="array" ref="AH82">_xlfn.IFS(
   OR(G82="",ISBLANK(G82),G82=0),0,
   ISNUMBER(MATCH(G82,{2,3,5,7,11,13,17,19,23,29,31,37,41,43},0)),"소",
   AND(ISNUMBER(G82),MOD(G82,3)=0),"배",
   AND(ISNUMBER(G82),G82&gt;0),"자"
)</f>
        <v>소</v>
      </c>
      <c r="AI82" s="30"/>
      <c r="AJ82" s="3">
        <f>COUNTIFS(B82:G82,"&gt;=1",B82:G82,"&lt;=14")</f>
        <v>2</v>
      </c>
      <c r="AK82" s="3">
        <f>COUNTIFS(B82:G82,"&gt;=15",B82:G82,"&lt;=31")</f>
        <v>2</v>
      </c>
      <c r="AL82" s="3">
        <f>6-AK82-AJ82</f>
        <v>2</v>
      </c>
      <c r="AM82" s="33"/>
      <c r="AN82" s="3">
        <f>COUNTIFS($B82:$G82, "&gt;=1",$B82:$G82, "&lt;=9")</f>
        <v>1</v>
      </c>
      <c r="AO82" s="3">
        <f>COUNTIFS($B82:$G82, "&gt;=10",$B82:$G82, "&lt;=18")</f>
        <v>3</v>
      </c>
      <c r="AP82" s="3">
        <f>COUNTIFS($B82:$G82, "&gt;=19",$B82:$G82, "&lt;=27")</f>
        <v>0</v>
      </c>
      <c r="AQ82" s="3">
        <f>COUNTIFS($B82:$G82, "&gt;=28",$B82:$G82, "&lt;=36")</f>
        <v>1</v>
      </c>
      <c r="AR82" s="3">
        <f>COUNTIFS($B82:$G82, "&gt;=37",$B82:$G82, "&lt;=45")</f>
        <v>1</v>
      </c>
      <c r="AS82" s="28" t="e">
        <f>#REF!</f>
        <v>#REF!</v>
      </c>
      <c r="AT82" s="28" t="e">
        <f>#REF!*2</f>
        <v>#REF!</v>
      </c>
      <c r="AU82" s="28" t="e">
        <f>#REF!</f>
        <v>#REF!</v>
      </c>
      <c r="AV82" s="28" t="e">
        <f>#REF!*2</f>
        <v>#REF!</v>
      </c>
      <c r="AW82" s="28" t="e">
        <f>#REF!</f>
        <v>#REF!</v>
      </c>
      <c r="AX82" s="28" t="e">
        <f>#REF!*2</f>
        <v>#REF!</v>
      </c>
      <c r="AY82" s="28" t="e">
        <f>#REF!</f>
        <v>#REF!</v>
      </c>
      <c r="AZ82" s="28" t="e">
        <f>#REF!*2</f>
        <v>#REF!</v>
      </c>
      <c r="BA82" s="28" t="e">
        <f>#REF!</f>
        <v>#REF!</v>
      </c>
      <c r="BB82" s="28" t="e">
        <f>#REF!*2</f>
        <v>#REF!</v>
      </c>
      <c r="BC82" s="28" t="e">
        <f>#REF!</f>
        <v>#REF!</v>
      </c>
      <c r="BD82" s="28" t="e">
        <f>#REF!*2</f>
        <v>#REF!</v>
      </c>
      <c r="BE82" s="9" t="e">
        <f>#REF!-#REF!</f>
        <v>#REF!</v>
      </c>
      <c r="BF82" s="9" t="e">
        <f>#REF!-#REF!</f>
        <v>#REF!</v>
      </c>
      <c r="BG82" s="9" t="e">
        <f>#REF!-#REF!</f>
        <v>#REF!</v>
      </c>
      <c r="BH82" s="9" t="e">
        <f>#REF!-#REF!</f>
        <v>#REF!</v>
      </c>
      <c r="BI82" s="9" t="e">
        <f>#REF!-#REF!</f>
        <v>#REF!</v>
      </c>
      <c r="BJ82" s="33"/>
      <c r="BK82" s="3">
        <f>COUNTIFS(B82:G82, "&gt;=1", B82:G82, "&lt;=9")</f>
        <v>1</v>
      </c>
      <c r="BL82" s="3">
        <f>COUNTIFS(B82:G82, "&gt;=10", B82:G82, "&lt;=19")</f>
        <v>3</v>
      </c>
      <c r="BM82" s="3">
        <f>COUNTIFS(B82:G82, "&gt;=20", B82:G82, "&lt;=29")</f>
        <v>0</v>
      </c>
      <c r="BN82" s="3">
        <f>COUNTIFS(B82:G82, "&gt;=30", B82:G82, "&lt;=39")</f>
        <v>1</v>
      </c>
      <c r="BO82" s="3">
        <f>COUNTIFS(B82:G82, "&gt;=40", B82:G82, "&lt;=45")</f>
        <v>1</v>
      </c>
      <c r="BP82" s="28" t="e">
        <f>#REF!</f>
        <v>#REF!</v>
      </c>
      <c r="BQ82" s="28" t="e">
        <f>#REF!*2</f>
        <v>#REF!</v>
      </c>
      <c r="BR82" s="28" t="e">
        <f>#REF!</f>
        <v>#REF!</v>
      </c>
      <c r="BS82" s="28" t="e">
        <f>#REF!*2</f>
        <v>#REF!</v>
      </c>
      <c r="BT82" s="28" t="e">
        <f>#REF!</f>
        <v>#REF!</v>
      </c>
      <c r="BU82" s="28" t="e">
        <f>#REF!*2</f>
        <v>#REF!</v>
      </c>
      <c r="BV82" s="28" t="e">
        <f>#REF!</f>
        <v>#REF!</v>
      </c>
      <c r="BW82" s="28" t="e">
        <f>#REF!*2</f>
        <v>#REF!</v>
      </c>
      <c r="BX82" s="28" t="e">
        <f>#REF!</f>
        <v>#REF!</v>
      </c>
      <c r="BY82" s="28" t="e">
        <f>#REF!*2</f>
        <v>#REF!</v>
      </c>
      <c r="BZ82" s="28" t="e">
        <f>#REF!</f>
        <v>#REF!</v>
      </c>
      <c r="CA82" s="28" t="e">
        <f>#REF!*2</f>
        <v>#REF!</v>
      </c>
      <c r="CB82" s="9">
        <f>C82-B82</f>
        <v>11</v>
      </c>
      <c r="CC82" s="9">
        <f>D82-C82</f>
        <v>2</v>
      </c>
      <c r="CD82" s="9">
        <f>E82-D82</f>
        <v>1</v>
      </c>
      <c r="CE82" s="9">
        <f>F82-E82</f>
        <v>17</v>
      </c>
      <c r="CF82" s="9">
        <f>G82-F82</f>
        <v>10</v>
      </c>
      <c r="CG82" s="33"/>
      <c r="CH82" s="9">
        <f>C82-B82</f>
        <v>11</v>
      </c>
      <c r="CI82" s="9">
        <f>D82-C82</f>
        <v>2</v>
      </c>
      <c r="CJ82" s="9">
        <f>E82-D82</f>
        <v>1</v>
      </c>
      <c r="CK82" s="9">
        <f>F82-E82</f>
        <v>17</v>
      </c>
      <c r="CL82" s="9">
        <f>G82-F82</f>
        <v>10</v>
      </c>
      <c r="CM82" s="32"/>
      <c r="CN82" s="3">
        <f>IF(OR(CH82="",ISBLANK(CH82),CH82=0),0,IF(MOD(CH82,2)=1,1,2))</f>
        <v>1</v>
      </c>
      <c r="CO82" s="3">
        <f>IF(OR(CI82="",ISBLANK(CI82),CI82=0),0,IF(MOD(CI82,2)=1,1,2))</f>
        <v>2</v>
      </c>
      <c r="CP82" s="3">
        <f>IF(OR(CJ82="",ISBLANK(CJ82),CJ82=0),0,IF(MOD(CJ82,2)=1,1,2))</f>
        <v>1</v>
      </c>
      <c r="CQ82" s="3">
        <f>IF(OR(CK82="",ISBLANK(CK82),CK82=0),0,IF(MOD(CK82,2)=1,1,2))</f>
        <v>1</v>
      </c>
      <c r="CR82" s="3">
        <f>IF(OR(CL82="",ISBLANK(CL82),CL82=0),0,IF(MOD(CL82,2)=1,1,2))</f>
        <v>2</v>
      </c>
      <c r="CS82" s="31"/>
      <c r="CT82" s="3" cm="1">
        <f t="array" ref="CT82">SUMPRODUCT(--(MOD(CH82:CL82,2)=1))</f>
        <v>3</v>
      </c>
      <c r="CU82" s="3">
        <f>5-CT82</f>
        <v>2</v>
      </c>
      <c r="CV82" s="30"/>
      <c r="CW82" s="3" cm="1">
        <f t="array" ref="CW82">SUMPRODUCT(--(MOD(CH82:CL82,10)&gt;=1), --(MOD(CH82:CL82,10)&lt;=5))</f>
        <v>3</v>
      </c>
      <c r="CX82" s="3">
        <f>5-CW82</f>
        <v>2</v>
      </c>
      <c r="CY82" s="30"/>
      <c r="CZ82" s="3" cm="1">
        <f t="array" ref="CZ82">IFERROR(COUNT(_xlfn._xlws.FILTER(CH82:CL82, ISNUMBER(MATCH(CH82:CL82, {2,3,5,7,11,13,17,19,23,29,31,37,41,43}, 0)))), 0)</f>
        <v>3</v>
      </c>
      <c r="DA82" s="3" cm="1">
        <f t="array" ref="DA82">IFERROR(COUNT(_xlfn._xlws.FILTER(CH82:CL82, ISNUMBER(MATCH(CH82:CL82, {1,4,8,10,14,16,20,22,25,26,28,32,34,35,38,40,44}, 0)))), 0)</f>
        <v>2</v>
      </c>
      <c r="DB82" s="3" cm="1">
        <f t="array" ref="DB82">IFERROR(COUNT(_xlfn._xlws.FILTER(CH82:CL82, ISNUMBER(MATCH(CH82:CL82, {6,9,12,15,18,21,24,27,30,33,36,39,42,45}, 0)))), 0)</f>
        <v>0</v>
      </c>
      <c r="DC82" s="29"/>
      <c r="DD82" s="28" t="e">
        <f>#REF!</f>
        <v>#REF!</v>
      </c>
      <c r="DE82" s="28" t="e">
        <f>#REF!*2</f>
        <v>#REF!</v>
      </c>
      <c r="DF82" s="28" t="e">
        <f>#REF!</f>
        <v>#REF!</v>
      </c>
      <c r="DG82" s="28" t="e">
        <f>#REF!*2</f>
        <v>#REF!</v>
      </c>
      <c r="DH82" s="28" t="e">
        <f>#REF!</f>
        <v>#REF!</v>
      </c>
      <c r="DI82" s="28" t="e">
        <f>#REF!*2</f>
        <v>#REF!</v>
      </c>
      <c r="DJ82" s="28" t="e">
        <f>#REF!</f>
        <v>#REF!</v>
      </c>
      <c r="DK82" s="28" t="e">
        <f>#REF!*2</f>
        <v>#REF!</v>
      </c>
      <c r="DL82" s="28" t="e">
        <f>#REF!</f>
        <v>#REF!</v>
      </c>
      <c r="DM82" s="28" t="e">
        <f>#REF!*2</f>
        <v>#REF!</v>
      </c>
      <c r="DN82" s="27"/>
      <c r="DO82" s="26" t="str" cm="1">
        <f t="array" ref="DO82">_xlfn.IFS(
   OR(CH82="",ISBLANK(CH82),CH82=0),0,
   ISNUMBER(MATCH(CH82,{2,3,5,7,11,13,17,19,23,29,31,37,41,43},0)),"소",
   AND(ISNUMBER(CH82),MOD(CH82,3)=0),"배",
   AND(ISNUMBER(CH82),CH82&gt;0),"자"
)</f>
        <v>소</v>
      </c>
      <c r="DP82" s="26" t="str" cm="1">
        <f t="array" ref="DP82">_xlfn.IFS(
   OR(CI82="",ISBLANK(CI82),CI82=0),0,
   ISNUMBER(MATCH(CI82,{2,3,5,7,11,13,17,19,23,29,31,37,41,43},0)),"소",
   AND(ISNUMBER(CI82),MOD(CI82,3)=0),"배",
   AND(ISNUMBER(CI82),CI82&gt;0),"자"
)</f>
        <v>소</v>
      </c>
      <c r="DQ82" s="26" t="str" cm="1">
        <f t="array" ref="DQ82">_xlfn.IFS(
   OR(CJ82="",ISBLANK(CJ82),CJ82=0),0,
   ISNUMBER(MATCH(CJ82,{2,3,5,7,11,13,17,19,23,29,31,37,41,43},0)),"소",
   AND(ISNUMBER(CJ82),MOD(CJ82,3)=0),"배",
   AND(ISNUMBER(CJ82),CJ82&gt;0),"자"
)</f>
        <v>자</v>
      </c>
      <c r="DR82" s="26" t="str" cm="1">
        <f t="array" ref="DR82">_xlfn.IFS(
   OR(CK82="",ISBLANK(CK82),CK82=0),0,
   ISNUMBER(MATCH(CK82,{2,3,5,7,11,13,17,19,23,29,31,37,41,43},0)),"소",
   AND(ISNUMBER(CK82),MOD(CK82,3)=0),"배",
   AND(ISNUMBER(CK82),CK82&gt;0),"자"
)</f>
        <v>소</v>
      </c>
      <c r="DS82" s="26" t="str" cm="1">
        <f t="array" ref="DS82">_xlfn.IFS(
   OR(CL82="",ISBLANK(CL82),CL82=0),0,
   ISNUMBER(MATCH(CL82,{2,3,5,7,11,13,17,19,23,29,31,37,41,43},0)),"소",
   AND(ISNUMBER(CL82),MOD(CL82,3)=0),"배",
   AND(ISNUMBER(CL82),CL82&gt;0),"자"
)</f>
        <v>자</v>
      </c>
      <c r="DT82" s="25"/>
    </row>
    <row r="83" spans="1:124" x14ac:dyDescent="0.3">
      <c r="B83" s="3">
        <v>17</v>
      </c>
      <c r="C83" s="3">
        <v>18</v>
      </c>
      <c r="D83" s="3">
        <v>23</v>
      </c>
      <c r="E83" s="3">
        <v>25</v>
      </c>
      <c r="F83" s="3">
        <v>38</v>
      </c>
      <c r="G83" s="3">
        <v>39</v>
      </c>
      <c r="H83" s="32"/>
      <c r="I83" s="3">
        <f>IF(OR(B83="",ISBLANK(B83),B83=0),0,IF(MOD(B83,2)=1,1,2))</f>
        <v>1</v>
      </c>
      <c r="J83" s="3">
        <f>IF(OR(C83="",ISBLANK(C83),C83=0),0,IF(MOD(C83,2)=1,1,2))</f>
        <v>2</v>
      </c>
      <c r="K83" s="3">
        <f>IF(OR(D83="",ISBLANK(D83),D83=0),0,IF(MOD(D83,2)=1,1,2))</f>
        <v>1</v>
      </c>
      <c r="L83" s="3">
        <f>IF(OR(E83="",ISBLANK(E83),E83=0),0,IF(MOD(E83,2)=1,1,2))</f>
        <v>1</v>
      </c>
      <c r="M83" s="3">
        <f>IF(OR(F83="",ISBLANK(F83),F83=0),0,IF(MOD(F83,2)=1,1,2))</f>
        <v>2</v>
      </c>
      <c r="N83" s="3">
        <f>IF(OR(G83="",ISBLANK(G83),G83=0),0,IF(MOD(G83,2)=1,1,2))</f>
        <v>1</v>
      </c>
      <c r="O83" s="32"/>
      <c r="P83" s="3" cm="1">
        <f t="array" ref="P83">SUMPRODUCT(--(MOD(B83:G83,2)=1))</f>
        <v>4</v>
      </c>
      <c r="Q83" s="3">
        <f>6-P83</f>
        <v>2</v>
      </c>
      <c r="R83" s="34"/>
      <c r="S83" s="3">
        <f>COUNTIFS(B83:G83,"&gt;=1",B83:G83,"&lt;=23")</f>
        <v>3</v>
      </c>
      <c r="T83" s="3">
        <f>6-S83</f>
        <v>3</v>
      </c>
      <c r="U83" s="34"/>
      <c r="V83" s="3" cm="1">
        <f t="array" ref="V83">SUMPRODUCT(--(MOD(B83:G83,10)&gt;=1), --(MOD(B83:G83,10)&lt;=5))</f>
        <v>2</v>
      </c>
      <c r="W83" s="3">
        <f>6-V83</f>
        <v>4</v>
      </c>
      <c r="X83" s="34"/>
      <c r="Y83" s="3" cm="1">
        <f t="array" ref="Y83">IFERROR(COUNT(_xlfn._xlws.FILTER(B83:G83, ISNUMBER(MATCH(B83:G83, {2,3,5,7,11,13,17,19,23,29,31,37,41,43}, 0)))), 0)</f>
        <v>2</v>
      </c>
      <c r="Z83" s="3" cm="1">
        <f t="array" ref="Z83">IFERROR(COUNT(_xlfn._xlws.FILTER(B83:G83, ISNUMBER(MATCH(B83:G83, {1,4,8,10,14,16,20,22,25,26,28,32,34,35,38,40,44}, 0)))), 0)</f>
        <v>2</v>
      </c>
      <c r="AA83" s="3" cm="1">
        <f t="array" ref="AA83">IFERROR(COUNT(_xlfn._xlws.FILTER(B83:G83, ISNUMBER(MATCH(B83:G83, {6,9,12,15,18,21,24,27,30,33,36,39,42,45}, 0)))), 0)</f>
        <v>2</v>
      </c>
      <c r="AB83" s="30"/>
      <c r="AC83" s="26" t="str" cm="1">
        <f t="array" ref="AC83">_xlfn.IFS(
   OR(B83="",ISBLANK(B83),B83=0),0,
   ISNUMBER(MATCH(B83,{2,3,5,7,11,13,17,19,23,29,31,37,41,43},0)),"소",
   AND(ISNUMBER(B83),MOD(B83,3)=0),"배",
   AND(ISNUMBER(B83),B83&gt;0),"자"
)</f>
        <v>소</v>
      </c>
      <c r="AD83" s="26" t="str" cm="1">
        <f t="array" ref="AD83">_xlfn.IFS(
   OR(C83="",ISBLANK(C83),C83=0),0,
   ISNUMBER(MATCH(C83,{2,3,5,7,11,13,17,19,23,29,31,37,41,43},0)),"소",
   AND(ISNUMBER(C83),MOD(C83,3)=0),"배",
   AND(ISNUMBER(C83),C83&gt;0),"자"
)</f>
        <v>배</v>
      </c>
      <c r="AE83" s="26" t="str" cm="1">
        <f t="array" ref="AE83">_xlfn.IFS(
   OR(D83="",ISBLANK(D83),D83=0),0,
   ISNUMBER(MATCH(D83,{2,3,5,7,11,13,17,19,23,29,31,37,41,43},0)),"소",
   AND(ISNUMBER(D83),MOD(D83,3)=0),"배",
   AND(ISNUMBER(D83),D83&gt;0),"자"
)</f>
        <v>소</v>
      </c>
      <c r="AF83" s="26" t="str" cm="1">
        <f t="array" ref="AF83">_xlfn.IFS(
   OR(E83="",ISBLANK(E83),E83=0),0,
   ISNUMBER(MATCH(E83,{2,3,5,7,11,13,17,19,23,29,31,37,41,43},0)),"소",
   AND(ISNUMBER(E83),MOD(E83,3)=0),"배",
   AND(ISNUMBER(E83),E83&gt;0),"자"
)</f>
        <v>자</v>
      </c>
      <c r="AG83" s="26" t="str" cm="1">
        <f t="array" ref="AG83">_xlfn.IFS(
   OR(F83="",ISBLANK(F83),F83=0),0,
   ISNUMBER(MATCH(F83,{2,3,5,7,11,13,17,19,23,29,31,37,41,43},0)),"소",
   AND(ISNUMBER(F83),MOD(F83,3)=0),"배",
   AND(ISNUMBER(F83),F83&gt;0),"자"
)</f>
        <v>자</v>
      </c>
      <c r="AH83" s="26" t="str" cm="1">
        <f t="array" ref="AH83">_xlfn.IFS(
   OR(G83="",ISBLANK(G83),G83=0),0,
   ISNUMBER(MATCH(G83,{2,3,5,7,11,13,17,19,23,29,31,37,41,43},0)),"소",
   AND(ISNUMBER(G83),MOD(G83,3)=0),"배",
   AND(ISNUMBER(G83),G83&gt;0),"자"
)</f>
        <v>배</v>
      </c>
      <c r="AI83" s="30"/>
      <c r="AJ83" s="3">
        <f>COUNTIFS(B83:G83,"&gt;=1",B83:G83,"&lt;=14")</f>
        <v>0</v>
      </c>
      <c r="AK83" s="3">
        <f>COUNTIFS(B83:G83,"&gt;=15",B83:G83,"&lt;=31")</f>
        <v>4</v>
      </c>
      <c r="AL83" s="3">
        <f>6-AK83-AJ83</f>
        <v>2</v>
      </c>
      <c r="AM83" s="33"/>
      <c r="AN83" s="3">
        <f>COUNTIFS($B83:$G83, "&gt;=1",$B83:$G83, "&lt;=9")</f>
        <v>0</v>
      </c>
      <c r="AO83" s="3">
        <f>COUNTIFS($B83:$G83, "&gt;=10",$B83:$G83, "&lt;=18")</f>
        <v>2</v>
      </c>
      <c r="AP83" s="3">
        <f>COUNTIFS($B83:$G83, "&gt;=19",$B83:$G83, "&lt;=27")</f>
        <v>2</v>
      </c>
      <c r="AQ83" s="3">
        <f>COUNTIFS($B83:$G83, "&gt;=28",$B83:$G83, "&lt;=36")</f>
        <v>0</v>
      </c>
      <c r="AR83" s="3">
        <f>COUNTIFS($B83:$G83, "&gt;=37",$B83:$G83, "&lt;=45")</f>
        <v>2</v>
      </c>
      <c r="AS83" s="28" t="e">
        <f>#REF!</f>
        <v>#REF!</v>
      </c>
      <c r="AT83" s="28" t="e">
        <f>#REF!*2</f>
        <v>#REF!</v>
      </c>
      <c r="AU83" s="28" t="e">
        <f>#REF!</f>
        <v>#REF!</v>
      </c>
      <c r="AV83" s="28" t="e">
        <f>#REF!*2</f>
        <v>#REF!</v>
      </c>
      <c r="AW83" s="28" t="e">
        <f>#REF!</f>
        <v>#REF!</v>
      </c>
      <c r="AX83" s="28" t="e">
        <f>#REF!*2</f>
        <v>#REF!</v>
      </c>
      <c r="AY83" s="28" t="e">
        <f>#REF!</f>
        <v>#REF!</v>
      </c>
      <c r="AZ83" s="28" t="e">
        <f>#REF!*2</f>
        <v>#REF!</v>
      </c>
      <c r="BA83" s="28" t="e">
        <f>#REF!</f>
        <v>#REF!</v>
      </c>
      <c r="BB83" s="28" t="e">
        <f>#REF!*2</f>
        <v>#REF!</v>
      </c>
      <c r="BC83" s="28" t="e">
        <f>#REF!</f>
        <v>#REF!</v>
      </c>
      <c r="BD83" s="28" t="e">
        <f>#REF!*2</f>
        <v>#REF!</v>
      </c>
      <c r="BE83" s="9" t="e">
        <f>#REF!-#REF!</f>
        <v>#REF!</v>
      </c>
      <c r="BF83" s="9" t="e">
        <f>#REF!-#REF!</f>
        <v>#REF!</v>
      </c>
      <c r="BG83" s="9" t="e">
        <f>#REF!-#REF!</f>
        <v>#REF!</v>
      </c>
      <c r="BH83" s="9" t="e">
        <f>#REF!-#REF!</f>
        <v>#REF!</v>
      </c>
      <c r="BI83" s="9" t="e">
        <f>#REF!-#REF!</f>
        <v>#REF!</v>
      </c>
      <c r="BJ83" s="33"/>
      <c r="BK83" s="3">
        <f>COUNTIFS(B83:G83, "&gt;=1", B83:G83, "&lt;=9")</f>
        <v>0</v>
      </c>
      <c r="BL83" s="3">
        <f>COUNTIFS(B83:G83, "&gt;=10", B83:G83, "&lt;=19")</f>
        <v>2</v>
      </c>
      <c r="BM83" s="3">
        <f>COUNTIFS(B83:G83, "&gt;=20", B83:G83, "&lt;=29")</f>
        <v>2</v>
      </c>
      <c r="BN83" s="3">
        <f>COUNTIFS(B83:G83, "&gt;=30", B83:G83, "&lt;=39")</f>
        <v>2</v>
      </c>
      <c r="BO83" s="3">
        <f>COUNTIFS(B83:G83, "&gt;=40", B83:G83, "&lt;=45")</f>
        <v>0</v>
      </c>
      <c r="BP83" s="28" t="e">
        <f>#REF!</f>
        <v>#REF!</v>
      </c>
      <c r="BQ83" s="28" t="e">
        <f>#REF!*2</f>
        <v>#REF!</v>
      </c>
      <c r="BR83" s="28" t="e">
        <f>#REF!</f>
        <v>#REF!</v>
      </c>
      <c r="BS83" s="28" t="e">
        <f>#REF!*2</f>
        <v>#REF!</v>
      </c>
      <c r="BT83" s="28" t="e">
        <f>#REF!</f>
        <v>#REF!</v>
      </c>
      <c r="BU83" s="28" t="e">
        <f>#REF!*2</f>
        <v>#REF!</v>
      </c>
      <c r="BV83" s="28" t="e">
        <f>#REF!</f>
        <v>#REF!</v>
      </c>
      <c r="BW83" s="28" t="e">
        <f>#REF!*2</f>
        <v>#REF!</v>
      </c>
      <c r="BX83" s="28" t="e">
        <f>#REF!</f>
        <v>#REF!</v>
      </c>
      <c r="BY83" s="28" t="e">
        <f>#REF!*2</f>
        <v>#REF!</v>
      </c>
      <c r="BZ83" s="28" t="e">
        <f>#REF!</f>
        <v>#REF!</v>
      </c>
      <c r="CA83" s="28" t="e">
        <f>#REF!*2</f>
        <v>#REF!</v>
      </c>
      <c r="CB83" s="9">
        <f>C83-B83</f>
        <v>1</v>
      </c>
      <c r="CC83" s="9">
        <f>D83-C83</f>
        <v>5</v>
      </c>
      <c r="CD83" s="9">
        <f>E83-D83</f>
        <v>2</v>
      </c>
      <c r="CE83" s="9">
        <f>F83-E83</f>
        <v>13</v>
      </c>
      <c r="CF83" s="9">
        <f>G83-F83</f>
        <v>1</v>
      </c>
      <c r="CG83" s="33"/>
      <c r="CH83" s="9">
        <f>C83-B83</f>
        <v>1</v>
      </c>
      <c r="CI83" s="9">
        <f>D83-C83</f>
        <v>5</v>
      </c>
      <c r="CJ83" s="9">
        <f>E83-D83</f>
        <v>2</v>
      </c>
      <c r="CK83" s="9">
        <f>F83-E83</f>
        <v>13</v>
      </c>
      <c r="CL83" s="9">
        <f>G83-F83</f>
        <v>1</v>
      </c>
      <c r="CM83" s="32"/>
      <c r="CN83" s="3">
        <f>IF(OR(CH83="",ISBLANK(CH83),CH83=0),0,IF(MOD(CH83,2)=1,1,2))</f>
        <v>1</v>
      </c>
      <c r="CO83" s="3">
        <f>IF(OR(CI83="",ISBLANK(CI83),CI83=0),0,IF(MOD(CI83,2)=1,1,2))</f>
        <v>1</v>
      </c>
      <c r="CP83" s="3">
        <f>IF(OR(CJ83="",ISBLANK(CJ83),CJ83=0),0,IF(MOD(CJ83,2)=1,1,2))</f>
        <v>2</v>
      </c>
      <c r="CQ83" s="3">
        <f>IF(OR(CK83="",ISBLANK(CK83),CK83=0),0,IF(MOD(CK83,2)=1,1,2))</f>
        <v>1</v>
      </c>
      <c r="CR83" s="3">
        <f>IF(OR(CL83="",ISBLANK(CL83),CL83=0),0,IF(MOD(CL83,2)=1,1,2))</f>
        <v>1</v>
      </c>
      <c r="CS83" s="31"/>
      <c r="CT83" s="3" cm="1">
        <f t="array" ref="CT83">SUMPRODUCT(--(MOD(CH83:CL83,2)=1))</f>
        <v>4</v>
      </c>
      <c r="CU83" s="3">
        <f>5-CT83</f>
        <v>1</v>
      </c>
      <c r="CV83" s="30"/>
      <c r="CW83" s="3" cm="1">
        <f t="array" ref="CW83">SUMPRODUCT(--(MOD(CH83:CL83,10)&gt;=1), --(MOD(CH83:CL83,10)&lt;=5))</f>
        <v>5</v>
      </c>
      <c r="CX83" s="3">
        <f>5-CW83</f>
        <v>0</v>
      </c>
      <c r="CY83" s="30"/>
      <c r="CZ83" s="3" cm="1">
        <f t="array" ref="CZ83">IFERROR(COUNT(_xlfn._xlws.FILTER(CH83:CL83, ISNUMBER(MATCH(CH83:CL83, {2,3,5,7,11,13,17,19,23,29,31,37,41,43}, 0)))), 0)</f>
        <v>3</v>
      </c>
      <c r="DA83" s="3" cm="1">
        <f t="array" ref="DA83">IFERROR(COUNT(_xlfn._xlws.FILTER(CH83:CL83, ISNUMBER(MATCH(CH83:CL83, {1,4,8,10,14,16,20,22,25,26,28,32,34,35,38,40,44}, 0)))), 0)</f>
        <v>2</v>
      </c>
      <c r="DB83" s="3" cm="1">
        <f t="array" ref="DB83">IFERROR(COUNT(_xlfn._xlws.FILTER(CH83:CL83, ISNUMBER(MATCH(CH83:CL83, {6,9,12,15,18,21,24,27,30,33,36,39,42,45}, 0)))), 0)</f>
        <v>0</v>
      </c>
      <c r="DC83" s="29"/>
      <c r="DD83" s="28" t="e">
        <f>#REF!</f>
        <v>#REF!</v>
      </c>
      <c r="DE83" s="28" t="e">
        <f>#REF!*2</f>
        <v>#REF!</v>
      </c>
      <c r="DF83" s="28" t="e">
        <f>#REF!</f>
        <v>#REF!</v>
      </c>
      <c r="DG83" s="28" t="e">
        <f>#REF!*2</f>
        <v>#REF!</v>
      </c>
      <c r="DH83" s="28" t="e">
        <f>#REF!</f>
        <v>#REF!</v>
      </c>
      <c r="DI83" s="28" t="e">
        <f>#REF!*2</f>
        <v>#REF!</v>
      </c>
      <c r="DJ83" s="28" t="e">
        <f>#REF!</f>
        <v>#REF!</v>
      </c>
      <c r="DK83" s="28" t="e">
        <f>#REF!*2</f>
        <v>#REF!</v>
      </c>
      <c r="DL83" s="28" t="e">
        <f>#REF!</f>
        <v>#REF!</v>
      </c>
      <c r="DM83" s="28" t="e">
        <f>#REF!*2</f>
        <v>#REF!</v>
      </c>
      <c r="DN83" s="27"/>
      <c r="DO83" s="26" t="str" cm="1">
        <f t="array" ref="DO83">_xlfn.IFS(
   OR(CH83="",ISBLANK(CH83),CH83=0),0,
   ISNUMBER(MATCH(CH83,{2,3,5,7,11,13,17,19,23,29,31,37,41,43},0)),"소",
   AND(ISNUMBER(CH83),MOD(CH83,3)=0),"배",
   AND(ISNUMBER(CH83),CH83&gt;0),"자"
)</f>
        <v>자</v>
      </c>
      <c r="DP83" s="26" t="str" cm="1">
        <f t="array" ref="DP83">_xlfn.IFS(
   OR(CI83="",ISBLANK(CI83),CI83=0),0,
   ISNUMBER(MATCH(CI83,{2,3,5,7,11,13,17,19,23,29,31,37,41,43},0)),"소",
   AND(ISNUMBER(CI83),MOD(CI83,3)=0),"배",
   AND(ISNUMBER(CI83),CI83&gt;0),"자"
)</f>
        <v>소</v>
      </c>
      <c r="DQ83" s="26" t="str" cm="1">
        <f t="array" ref="DQ83">_xlfn.IFS(
   OR(CJ83="",ISBLANK(CJ83),CJ83=0),0,
   ISNUMBER(MATCH(CJ83,{2,3,5,7,11,13,17,19,23,29,31,37,41,43},0)),"소",
   AND(ISNUMBER(CJ83),MOD(CJ83,3)=0),"배",
   AND(ISNUMBER(CJ83),CJ83&gt;0),"자"
)</f>
        <v>소</v>
      </c>
      <c r="DR83" s="26" t="str" cm="1">
        <f t="array" ref="DR83">_xlfn.IFS(
   OR(CK83="",ISBLANK(CK83),CK83=0),0,
   ISNUMBER(MATCH(CK83,{2,3,5,7,11,13,17,19,23,29,31,37,41,43},0)),"소",
   AND(ISNUMBER(CK83),MOD(CK83,3)=0),"배",
   AND(ISNUMBER(CK83),CK83&gt;0),"자"
)</f>
        <v>소</v>
      </c>
      <c r="DS83" s="26" t="str" cm="1">
        <f t="array" ref="DS83">_xlfn.IFS(
   OR(CL83="",ISBLANK(CL83),CL83=0),0,
   ISNUMBER(MATCH(CL83,{2,3,5,7,11,13,17,19,23,29,31,37,41,43},0)),"소",
   AND(ISNUMBER(CL83),MOD(CL83,3)=0),"배",
   AND(ISNUMBER(CL83),CL83&gt;0),"자"
)</f>
        <v>자</v>
      </c>
      <c r="DT83" s="25"/>
    </row>
    <row r="84" spans="1:124" x14ac:dyDescent="0.3">
      <c r="B84" s="3">
        <v>6</v>
      </c>
      <c r="C84" s="3">
        <v>7</v>
      </c>
      <c r="D84" s="3">
        <v>27</v>
      </c>
      <c r="E84" s="3">
        <v>29</v>
      </c>
      <c r="F84" s="3">
        <v>38</v>
      </c>
      <c r="G84" s="3">
        <v>45</v>
      </c>
      <c r="H84" s="32"/>
      <c r="I84" s="3">
        <f>IF(OR(B84="",ISBLANK(B84),B84=0),0,IF(MOD(B84,2)=1,1,2))</f>
        <v>2</v>
      </c>
      <c r="J84" s="3">
        <f>IF(OR(C84="",ISBLANK(C84),C84=0),0,IF(MOD(C84,2)=1,1,2))</f>
        <v>1</v>
      </c>
      <c r="K84" s="3">
        <f>IF(OR(D84="",ISBLANK(D84),D84=0),0,IF(MOD(D84,2)=1,1,2))</f>
        <v>1</v>
      </c>
      <c r="L84" s="3">
        <f>IF(OR(E84="",ISBLANK(E84),E84=0),0,IF(MOD(E84,2)=1,1,2))</f>
        <v>1</v>
      </c>
      <c r="M84" s="3">
        <f>IF(OR(F84="",ISBLANK(F84),F84=0),0,IF(MOD(F84,2)=1,1,2))</f>
        <v>2</v>
      </c>
      <c r="N84" s="3">
        <f>IF(OR(G84="",ISBLANK(G84),G84=0),0,IF(MOD(G84,2)=1,1,2))</f>
        <v>1</v>
      </c>
      <c r="O84" s="32"/>
      <c r="P84" s="3" cm="1">
        <f t="array" ref="P84">SUMPRODUCT(--(MOD(B84:G84,2)=1))</f>
        <v>4</v>
      </c>
      <c r="Q84" s="3">
        <f>6-P84</f>
        <v>2</v>
      </c>
      <c r="R84" s="34"/>
      <c r="S84" s="3">
        <f>COUNTIFS(B84:G84,"&gt;=1",B84:G84,"&lt;=23")</f>
        <v>2</v>
      </c>
      <c r="T84" s="3">
        <f>6-S84</f>
        <v>4</v>
      </c>
      <c r="U84" s="34"/>
      <c r="V84" s="3" cm="1">
        <f t="array" ref="V84">SUMPRODUCT(--(MOD(B84:G84,10)&gt;=1), --(MOD(B84:G84,10)&lt;=5))</f>
        <v>1</v>
      </c>
      <c r="W84" s="3">
        <f>6-V84</f>
        <v>5</v>
      </c>
      <c r="X84" s="34"/>
      <c r="Y84" s="3" cm="1">
        <f t="array" ref="Y84">IFERROR(COUNT(_xlfn._xlws.FILTER(B84:G84, ISNUMBER(MATCH(B84:G84, {2,3,5,7,11,13,17,19,23,29,31,37,41,43}, 0)))), 0)</f>
        <v>2</v>
      </c>
      <c r="Z84" s="3" cm="1">
        <f t="array" ref="Z84">IFERROR(COUNT(_xlfn._xlws.FILTER(B84:G84, ISNUMBER(MATCH(B84:G84, {1,4,8,10,14,16,20,22,25,26,28,32,34,35,38,40,44}, 0)))), 0)</f>
        <v>1</v>
      </c>
      <c r="AA84" s="3" cm="1">
        <f t="array" ref="AA84">IFERROR(COUNT(_xlfn._xlws.FILTER(B84:G84, ISNUMBER(MATCH(B84:G84, {6,9,12,15,18,21,24,27,30,33,36,39,42,45}, 0)))), 0)</f>
        <v>3</v>
      </c>
      <c r="AB84" s="30"/>
      <c r="AC84" s="26" t="str" cm="1">
        <f t="array" ref="AC84">_xlfn.IFS(
   OR(B84="",ISBLANK(B84),B84=0),0,
   ISNUMBER(MATCH(B84,{2,3,5,7,11,13,17,19,23,29,31,37,41,43},0)),"소",
   AND(ISNUMBER(B84),MOD(B84,3)=0),"배",
   AND(ISNUMBER(B84),B84&gt;0),"자"
)</f>
        <v>배</v>
      </c>
      <c r="AD84" s="26" t="str" cm="1">
        <f t="array" ref="AD84">_xlfn.IFS(
   OR(C84="",ISBLANK(C84),C84=0),0,
   ISNUMBER(MATCH(C84,{2,3,5,7,11,13,17,19,23,29,31,37,41,43},0)),"소",
   AND(ISNUMBER(C84),MOD(C84,3)=0),"배",
   AND(ISNUMBER(C84),C84&gt;0),"자"
)</f>
        <v>소</v>
      </c>
      <c r="AE84" s="26" t="str" cm="1">
        <f t="array" ref="AE84">_xlfn.IFS(
   OR(D84="",ISBLANK(D84),D84=0),0,
   ISNUMBER(MATCH(D84,{2,3,5,7,11,13,17,19,23,29,31,37,41,43},0)),"소",
   AND(ISNUMBER(D84),MOD(D84,3)=0),"배",
   AND(ISNUMBER(D84),D84&gt;0),"자"
)</f>
        <v>배</v>
      </c>
      <c r="AF84" s="26" t="str" cm="1">
        <f t="array" ref="AF84">_xlfn.IFS(
   OR(E84="",ISBLANK(E84),E84=0),0,
   ISNUMBER(MATCH(E84,{2,3,5,7,11,13,17,19,23,29,31,37,41,43},0)),"소",
   AND(ISNUMBER(E84),MOD(E84,3)=0),"배",
   AND(ISNUMBER(E84),E84&gt;0),"자"
)</f>
        <v>소</v>
      </c>
      <c r="AG84" s="26" t="str" cm="1">
        <f t="array" ref="AG84">_xlfn.IFS(
   OR(F84="",ISBLANK(F84),F84=0),0,
   ISNUMBER(MATCH(F84,{2,3,5,7,11,13,17,19,23,29,31,37,41,43},0)),"소",
   AND(ISNUMBER(F84),MOD(F84,3)=0),"배",
   AND(ISNUMBER(F84),F84&gt;0),"자"
)</f>
        <v>자</v>
      </c>
      <c r="AH84" s="26" t="str" cm="1">
        <f t="array" ref="AH84">_xlfn.IFS(
   OR(G84="",ISBLANK(G84),G84=0),0,
   ISNUMBER(MATCH(G84,{2,3,5,7,11,13,17,19,23,29,31,37,41,43},0)),"소",
   AND(ISNUMBER(G84),MOD(G84,3)=0),"배",
   AND(ISNUMBER(G84),G84&gt;0),"자"
)</f>
        <v>배</v>
      </c>
      <c r="AI84" s="30"/>
      <c r="AJ84" s="3">
        <f>COUNTIFS(B84:G84,"&gt;=1",B84:G84,"&lt;=14")</f>
        <v>2</v>
      </c>
      <c r="AK84" s="3">
        <f>COUNTIFS(B84:G84,"&gt;=15",B84:G84,"&lt;=31")</f>
        <v>2</v>
      </c>
      <c r="AL84" s="3">
        <f>6-AK84-AJ84</f>
        <v>2</v>
      </c>
      <c r="AM84" s="33"/>
      <c r="AN84" s="3">
        <f>COUNTIFS($B84:$G84, "&gt;=1",$B84:$G84, "&lt;=9")</f>
        <v>2</v>
      </c>
      <c r="AO84" s="3">
        <f>COUNTIFS($B84:$G84, "&gt;=10",$B84:$G84, "&lt;=18")</f>
        <v>0</v>
      </c>
      <c r="AP84" s="3">
        <f>COUNTIFS($B84:$G84, "&gt;=19",$B84:$G84, "&lt;=27")</f>
        <v>1</v>
      </c>
      <c r="AQ84" s="3">
        <f>COUNTIFS($B84:$G84, "&gt;=28",$B84:$G84, "&lt;=36")</f>
        <v>1</v>
      </c>
      <c r="AR84" s="3">
        <f>COUNTIFS($B84:$G84, "&gt;=37",$B84:$G84, "&lt;=45")</f>
        <v>2</v>
      </c>
      <c r="AS84" s="28" t="e">
        <f>#REF!</f>
        <v>#REF!</v>
      </c>
      <c r="AT84" s="28" t="e">
        <f>#REF!*2</f>
        <v>#REF!</v>
      </c>
      <c r="AU84" s="28" t="e">
        <f>#REF!</f>
        <v>#REF!</v>
      </c>
      <c r="AV84" s="28" t="e">
        <f>#REF!*2</f>
        <v>#REF!</v>
      </c>
      <c r="AW84" s="28" t="e">
        <f>#REF!</f>
        <v>#REF!</v>
      </c>
      <c r="AX84" s="28" t="e">
        <f>#REF!*2</f>
        <v>#REF!</v>
      </c>
      <c r="AY84" s="28" t="e">
        <f>#REF!</f>
        <v>#REF!</v>
      </c>
      <c r="AZ84" s="28" t="e">
        <f>#REF!*2</f>
        <v>#REF!</v>
      </c>
      <c r="BA84" s="28" t="e">
        <f>#REF!</f>
        <v>#REF!</v>
      </c>
      <c r="BB84" s="28" t="e">
        <f>#REF!*2</f>
        <v>#REF!</v>
      </c>
      <c r="BC84" s="28" t="e">
        <f>#REF!</f>
        <v>#REF!</v>
      </c>
      <c r="BD84" s="28" t="e">
        <f>#REF!*2</f>
        <v>#REF!</v>
      </c>
      <c r="BE84" s="9" t="e">
        <f>#REF!-#REF!</f>
        <v>#REF!</v>
      </c>
      <c r="BF84" s="9" t="e">
        <f>#REF!-#REF!</f>
        <v>#REF!</v>
      </c>
      <c r="BG84" s="9" t="e">
        <f>#REF!-#REF!</f>
        <v>#REF!</v>
      </c>
      <c r="BH84" s="9" t="e">
        <f>#REF!-#REF!</f>
        <v>#REF!</v>
      </c>
      <c r="BI84" s="9" t="e">
        <f>#REF!-#REF!</f>
        <v>#REF!</v>
      </c>
      <c r="BJ84" s="33"/>
      <c r="BK84" s="3">
        <f>COUNTIFS(B84:G84, "&gt;=1", B84:G84, "&lt;=9")</f>
        <v>2</v>
      </c>
      <c r="BL84" s="3">
        <f>COUNTIFS(B84:G84, "&gt;=10", B84:G84, "&lt;=19")</f>
        <v>0</v>
      </c>
      <c r="BM84" s="3">
        <f>COUNTIFS(B84:G84, "&gt;=20", B84:G84, "&lt;=29")</f>
        <v>2</v>
      </c>
      <c r="BN84" s="3">
        <f>COUNTIFS(B84:G84, "&gt;=30", B84:G84, "&lt;=39")</f>
        <v>1</v>
      </c>
      <c r="BO84" s="3">
        <f>COUNTIFS(B84:G84, "&gt;=40", B84:G84, "&lt;=45")</f>
        <v>1</v>
      </c>
      <c r="BP84" s="28" t="e">
        <f>#REF!</f>
        <v>#REF!</v>
      </c>
      <c r="BQ84" s="28" t="e">
        <f>#REF!*2</f>
        <v>#REF!</v>
      </c>
      <c r="BR84" s="28" t="e">
        <f>#REF!</f>
        <v>#REF!</v>
      </c>
      <c r="BS84" s="28" t="e">
        <f>#REF!*2</f>
        <v>#REF!</v>
      </c>
      <c r="BT84" s="28" t="e">
        <f>#REF!</f>
        <v>#REF!</v>
      </c>
      <c r="BU84" s="28" t="e">
        <f>#REF!*2</f>
        <v>#REF!</v>
      </c>
      <c r="BV84" s="28" t="e">
        <f>#REF!</f>
        <v>#REF!</v>
      </c>
      <c r="BW84" s="28" t="e">
        <f>#REF!*2</f>
        <v>#REF!</v>
      </c>
      <c r="BX84" s="28" t="e">
        <f>#REF!</f>
        <v>#REF!</v>
      </c>
      <c r="BY84" s="28" t="e">
        <f>#REF!*2</f>
        <v>#REF!</v>
      </c>
      <c r="BZ84" s="28" t="e">
        <f>#REF!</f>
        <v>#REF!</v>
      </c>
      <c r="CA84" s="28" t="e">
        <f>#REF!*2</f>
        <v>#REF!</v>
      </c>
      <c r="CB84" s="9">
        <f>C84-B84</f>
        <v>1</v>
      </c>
      <c r="CC84" s="9">
        <f>D84-C84</f>
        <v>20</v>
      </c>
      <c r="CD84" s="9">
        <f>E84-D84</f>
        <v>2</v>
      </c>
      <c r="CE84" s="9">
        <f>F84-E84</f>
        <v>9</v>
      </c>
      <c r="CF84" s="9">
        <f>G84-F84</f>
        <v>7</v>
      </c>
      <c r="CG84" s="33"/>
      <c r="CH84" s="9">
        <f>C84-B84</f>
        <v>1</v>
      </c>
      <c r="CI84" s="9">
        <f>D84-C84</f>
        <v>20</v>
      </c>
      <c r="CJ84" s="9">
        <f>E84-D84</f>
        <v>2</v>
      </c>
      <c r="CK84" s="9">
        <f>F84-E84</f>
        <v>9</v>
      </c>
      <c r="CL84" s="9">
        <f>G84-F84</f>
        <v>7</v>
      </c>
      <c r="CM84" s="32"/>
      <c r="CN84" s="3">
        <f>IF(OR(CH84="",ISBLANK(CH84),CH84=0),0,IF(MOD(CH84,2)=1,1,2))</f>
        <v>1</v>
      </c>
      <c r="CO84" s="3">
        <f>IF(OR(CI84="",ISBLANK(CI84),CI84=0),0,IF(MOD(CI84,2)=1,1,2))</f>
        <v>2</v>
      </c>
      <c r="CP84" s="3">
        <f>IF(OR(CJ84="",ISBLANK(CJ84),CJ84=0),0,IF(MOD(CJ84,2)=1,1,2))</f>
        <v>2</v>
      </c>
      <c r="CQ84" s="3">
        <f>IF(OR(CK84="",ISBLANK(CK84),CK84=0),0,IF(MOD(CK84,2)=1,1,2))</f>
        <v>1</v>
      </c>
      <c r="CR84" s="3">
        <f>IF(OR(CL84="",ISBLANK(CL84),CL84=0),0,IF(MOD(CL84,2)=1,1,2))</f>
        <v>1</v>
      </c>
      <c r="CS84" s="31"/>
      <c r="CT84" s="3" cm="1">
        <f t="array" ref="CT84">SUMPRODUCT(--(MOD(CH84:CL84,2)=1))</f>
        <v>3</v>
      </c>
      <c r="CU84" s="3">
        <f>5-CT84</f>
        <v>2</v>
      </c>
      <c r="CV84" s="30"/>
      <c r="CW84" s="3" cm="1">
        <f t="array" ref="CW84">SUMPRODUCT(--(MOD(CH84:CL84,10)&gt;=1), --(MOD(CH84:CL84,10)&lt;=5))</f>
        <v>2</v>
      </c>
      <c r="CX84" s="3">
        <f>5-CW84</f>
        <v>3</v>
      </c>
      <c r="CY84" s="30"/>
      <c r="CZ84" s="3" cm="1">
        <f t="array" ref="CZ84">IFERROR(COUNT(_xlfn._xlws.FILTER(CH84:CL84, ISNUMBER(MATCH(CH84:CL84, {2,3,5,7,11,13,17,19,23,29,31,37,41,43}, 0)))), 0)</f>
        <v>2</v>
      </c>
      <c r="DA84" s="3" cm="1">
        <f t="array" ref="DA84">IFERROR(COUNT(_xlfn._xlws.FILTER(CH84:CL84, ISNUMBER(MATCH(CH84:CL84, {1,4,8,10,14,16,20,22,25,26,28,32,34,35,38,40,44}, 0)))), 0)</f>
        <v>2</v>
      </c>
      <c r="DB84" s="3" cm="1">
        <f t="array" ref="DB84">IFERROR(COUNT(_xlfn._xlws.FILTER(CH84:CL84, ISNUMBER(MATCH(CH84:CL84, {6,9,12,15,18,21,24,27,30,33,36,39,42,45}, 0)))), 0)</f>
        <v>1</v>
      </c>
      <c r="DC84" s="29"/>
      <c r="DD84" s="28" t="e">
        <f>#REF!</f>
        <v>#REF!</v>
      </c>
      <c r="DE84" s="28" t="e">
        <f>#REF!*2</f>
        <v>#REF!</v>
      </c>
      <c r="DF84" s="28" t="e">
        <f>#REF!</f>
        <v>#REF!</v>
      </c>
      <c r="DG84" s="28" t="e">
        <f>#REF!*2</f>
        <v>#REF!</v>
      </c>
      <c r="DH84" s="28" t="e">
        <f>#REF!</f>
        <v>#REF!</v>
      </c>
      <c r="DI84" s="28" t="e">
        <f>#REF!*2</f>
        <v>#REF!</v>
      </c>
      <c r="DJ84" s="28" t="e">
        <f>#REF!</f>
        <v>#REF!</v>
      </c>
      <c r="DK84" s="28" t="e">
        <f>#REF!*2</f>
        <v>#REF!</v>
      </c>
      <c r="DL84" s="28" t="e">
        <f>#REF!</f>
        <v>#REF!</v>
      </c>
      <c r="DM84" s="28" t="e">
        <f>#REF!*2</f>
        <v>#REF!</v>
      </c>
      <c r="DN84" s="27"/>
      <c r="DO84" s="26" t="str" cm="1">
        <f t="array" ref="DO84">_xlfn.IFS(
   OR(CH84="",ISBLANK(CH84),CH84=0),0,
   ISNUMBER(MATCH(CH84,{2,3,5,7,11,13,17,19,23,29,31,37,41,43},0)),"소",
   AND(ISNUMBER(CH84),MOD(CH84,3)=0),"배",
   AND(ISNUMBER(CH84),CH84&gt;0),"자"
)</f>
        <v>자</v>
      </c>
      <c r="DP84" s="26" t="str" cm="1">
        <f t="array" ref="DP84">_xlfn.IFS(
   OR(CI84="",ISBLANK(CI84),CI84=0),0,
   ISNUMBER(MATCH(CI84,{2,3,5,7,11,13,17,19,23,29,31,37,41,43},0)),"소",
   AND(ISNUMBER(CI84),MOD(CI84,3)=0),"배",
   AND(ISNUMBER(CI84),CI84&gt;0),"자"
)</f>
        <v>자</v>
      </c>
      <c r="DQ84" s="26" t="str" cm="1">
        <f t="array" ref="DQ84">_xlfn.IFS(
   OR(CJ84="",ISBLANK(CJ84),CJ84=0),0,
   ISNUMBER(MATCH(CJ84,{2,3,5,7,11,13,17,19,23,29,31,37,41,43},0)),"소",
   AND(ISNUMBER(CJ84),MOD(CJ84,3)=0),"배",
   AND(ISNUMBER(CJ84),CJ84&gt;0),"자"
)</f>
        <v>소</v>
      </c>
      <c r="DR84" s="26" t="str" cm="1">
        <f t="array" ref="DR84">_xlfn.IFS(
   OR(CK84="",ISBLANK(CK84),CK84=0),0,
   ISNUMBER(MATCH(CK84,{2,3,5,7,11,13,17,19,23,29,31,37,41,43},0)),"소",
   AND(ISNUMBER(CK84),MOD(CK84,3)=0),"배",
   AND(ISNUMBER(CK84),CK84&gt;0),"자"
)</f>
        <v>배</v>
      </c>
      <c r="DS84" s="26" t="str" cm="1">
        <f t="array" ref="DS84">_xlfn.IFS(
   OR(CL84="",ISBLANK(CL84),CL84=0),0,
   ISNUMBER(MATCH(CL84,{2,3,5,7,11,13,17,19,23,29,31,37,41,43},0)),"소",
   AND(ISNUMBER(CL84),MOD(CL84,3)=0),"배",
   AND(ISNUMBER(CL84),CL84&gt;0),"자"
)</f>
        <v>소</v>
      </c>
      <c r="DT84" s="25"/>
    </row>
    <row r="85" spans="1:124" x14ac:dyDescent="0.3">
      <c r="B85" s="3">
        <v>14</v>
      </c>
      <c r="C85" s="3">
        <v>23</v>
      </c>
      <c r="D85" s="3">
        <v>25</v>
      </c>
      <c r="E85" s="3">
        <v>27</v>
      </c>
      <c r="F85" s="3">
        <v>29</v>
      </c>
      <c r="G85" s="3">
        <v>42</v>
      </c>
      <c r="H85" s="32"/>
      <c r="I85" s="3">
        <f>IF(OR(B85="",ISBLANK(B85),B85=0),0,IF(MOD(B85,2)=1,1,2))</f>
        <v>2</v>
      </c>
      <c r="J85" s="3">
        <f>IF(OR(C85="",ISBLANK(C85),C85=0),0,IF(MOD(C85,2)=1,1,2))</f>
        <v>1</v>
      </c>
      <c r="K85" s="3">
        <f>IF(OR(D85="",ISBLANK(D85),D85=0),0,IF(MOD(D85,2)=1,1,2))</f>
        <v>1</v>
      </c>
      <c r="L85" s="3">
        <f>IF(OR(E85="",ISBLANK(E85),E85=0),0,IF(MOD(E85,2)=1,1,2))</f>
        <v>1</v>
      </c>
      <c r="M85" s="3">
        <f>IF(OR(F85="",ISBLANK(F85),F85=0),0,IF(MOD(F85,2)=1,1,2))</f>
        <v>1</v>
      </c>
      <c r="N85" s="3">
        <f>IF(OR(G85="",ISBLANK(G85),G85=0),0,IF(MOD(G85,2)=1,1,2))</f>
        <v>2</v>
      </c>
      <c r="O85" s="32"/>
      <c r="P85" s="3" cm="1">
        <f t="array" ref="P85">SUMPRODUCT(--(MOD(B85:G85,2)=1))</f>
        <v>4</v>
      </c>
      <c r="Q85" s="3">
        <f>6-P85</f>
        <v>2</v>
      </c>
      <c r="R85" s="34"/>
      <c r="S85" s="3">
        <f>COUNTIFS(B85:G85,"&gt;=1",B85:G85,"&lt;=23")</f>
        <v>2</v>
      </c>
      <c r="T85" s="3">
        <f>6-S85</f>
        <v>4</v>
      </c>
      <c r="U85" s="34"/>
      <c r="V85" s="3" cm="1">
        <f t="array" ref="V85">SUMPRODUCT(--(MOD(B85:G85,10)&gt;=1), --(MOD(B85:G85,10)&lt;=5))</f>
        <v>4</v>
      </c>
      <c r="W85" s="3">
        <f>6-V85</f>
        <v>2</v>
      </c>
      <c r="X85" s="34"/>
      <c r="Y85" s="3" cm="1">
        <f t="array" ref="Y85">IFERROR(COUNT(_xlfn._xlws.FILTER(B85:G85, ISNUMBER(MATCH(B85:G85, {2,3,5,7,11,13,17,19,23,29,31,37,41,43}, 0)))), 0)</f>
        <v>2</v>
      </c>
      <c r="Z85" s="3" cm="1">
        <f t="array" ref="Z85">IFERROR(COUNT(_xlfn._xlws.FILTER(B85:G85, ISNUMBER(MATCH(B85:G85, {1,4,8,10,14,16,20,22,25,26,28,32,34,35,38,40,44}, 0)))), 0)</f>
        <v>2</v>
      </c>
      <c r="AA85" s="3" cm="1">
        <f t="array" ref="AA85">IFERROR(COUNT(_xlfn._xlws.FILTER(B85:G85, ISNUMBER(MATCH(B85:G85, {6,9,12,15,18,21,24,27,30,33,36,39,42,45}, 0)))), 0)</f>
        <v>2</v>
      </c>
      <c r="AB85" s="30"/>
      <c r="AC85" s="26" t="str" cm="1">
        <f t="array" ref="AC85">_xlfn.IFS(
   OR(B85="",ISBLANK(B85),B85=0),0,
   ISNUMBER(MATCH(B85,{2,3,5,7,11,13,17,19,23,29,31,37,41,43},0)),"소",
   AND(ISNUMBER(B85),MOD(B85,3)=0),"배",
   AND(ISNUMBER(B85),B85&gt;0),"자"
)</f>
        <v>자</v>
      </c>
      <c r="AD85" s="26" t="str" cm="1">
        <f t="array" ref="AD85">_xlfn.IFS(
   OR(C85="",ISBLANK(C85),C85=0),0,
   ISNUMBER(MATCH(C85,{2,3,5,7,11,13,17,19,23,29,31,37,41,43},0)),"소",
   AND(ISNUMBER(C85),MOD(C85,3)=0),"배",
   AND(ISNUMBER(C85),C85&gt;0),"자"
)</f>
        <v>소</v>
      </c>
      <c r="AE85" s="26" t="str" cm="1">
        <f t="array" ref="AE85">_xlfn.IFS(
   OR(D85="",ISBLANK(D85),D85=0),0,
   ISNUMBER(MATCH(D85,{2,3,5,7,11,13,17,19,23,29,31,37,41,43},0)),"소",
   AND(ISNUMBER(D85),MOD(D85,3)=0),"배",
   AND(ISNUMBER(D85),D85&gt;0),"자"
)</f>
        <v>자</v>
      </c>
      <c r="AF85" s="26" t="str" cm="1">
        <f t="array" ref="AF85">_xlfn.IFS(
   OR(E85="",ISBLANK(E85),E85=0),0,
   ISNUMBER(MATCH(E85,{2,3,5,7,11,13,17,19,23,29,31,37,41,43},0)),"소",
   AND(ISNUMBER(E85),MOD(E85,3)=0),"배",
   AND(ISNUMBER(E85),E85&gt;0),"자"
)</f>
        <v>배</v>
      </c>
      <c r="AG85" s="26" t="str" cm="1">
        <f t="array" ref="AG85">_xlfn.IFS(
   OR(F85="",ISBLANK(F85),F85=0),0,
   ISNUMBER(MATCH(F85,{2,3,5,7,11,13,17,19,23,29,31,37,41,43},0)),"소",
   AND(ISNUMBER(F85),MOD(F85,3)=0),"배",
   AND(ISNUMBER(F85),F85&gt;0),"자"
)</f>
        <v>소</v>
      </c>
      <c r="AH85" s="26" t="str" cm="1">
        <f t="array" ref="AH85">_xlfn.IFS(
   OR(G85="",ISBLANK(G85),G85=0),0,
   ISNUMBER(MATCH(G85,{2,3,5,7,11,13,17,19,23,29,31,37,41,43},0)),"소",
   AND(ISNUMBER(G85),MOD(G85,3)=0),"배",
   AND(ISNUMBER(G85),G85&gt;0),"자"
)</f>
        <v>배</v>
      </c>
      <c r="AI85" s="30"/>
      <c r="AJ85" s="3">
        <f>COUNTIFS(B85:G85,"&gt;=1",B85:G85,"&lt;=14")</f>
        <v>1</v>
      </c>
      <c r="AK85" s="3">
        <f>COUNTIFS(B85:G85,"&gt;=15",B85:G85,"&lt;=31")</f>
        <v>4</v>
      </c>
      <c r="AL85" s="3">
        <f>6-AK85-AJ85</f>
        <v>1</v>
      </c>
      <c r="AM85" s="33"/>
      <c r="AN85" s="3">
        <f>COUNTIFS($B85:$G85, "&gt;=1",$B85:$G85, "&lt;=9")</f>
        <v>0</v>
      </c>
      <c r="AO85" s="3">
        <f>COUNTIFS($B85:$G85, "&gt;=10",$B85:$G85, "&lt;=18")</f>
        <v>1</v>
      </c>
      <c r="AP85" s="3">
        <f>COUNTIFS($B85:$G85, "&gt;=19",$B85:$G85, "&lt;=27")</f>
        <v>3</v>
      </c>
      <c r="AQ85" s="3">
        <f>COUNTIFS($B85:$G85, "&gt;=28",$B85:$G85, "&lt;=36")</f>
        <v>1</v>
      </c>
      <c r="AR85" s="3">
        <f>COUNTIFS($B85:$G85, "&gt;=37",$B85:$G85, "&lt;=45")</f>
        <v>1</v>
      </c>
      <c r="AS85" s="28" t="e">
        <f>#REF!</f>
        <v>#REF!</v>
      </c>
      <c r="AT85" s="28" t="e">
        <f>#REF!*2</f>
        <v>#REF!</v>
      </c>
      <c r="AU85" s="28" t="e">
        <f>#REF!</f>
        <v>#REF!</v>
      </c>
      <c r="AV85" s="28" t="e">
        <f>#REF!*2</f>
        <v>#REF!</v>
      </c>
      <c r="AW85" s="28" t="e">
        <f>#REF!</f>
        <v>#REF!</v>
      </c>
      <c r="AX85" s="28" t="e">
        <f>#REF!*2</f>
        <v>#REF!</v>
      </c>
      <c r="AY85" s="28" t="e">
        <f>#REF!</f>
        <v>#REF!</v>
      </c>
      <c r="AZ85" s="28" t="e">
        <f>#REF!*2</f>
        <v>#REF!</v>
      </c>
      <c r="BA85" s="28" t="e">
        <f>#REF!</f>
        <v>#REF!</v>
      </c>
      <c r="BB85" s="28" t="e">
        <f>#REF!*2</f>
        <v>#REF!</v>
      </c>
      <c r="BC85" s="28" t="e">
        <f>#REF!</f>
        <v>#REF!</v>
      </c>
      <c r="BD85" s="28" t="e">
        <f>#REF!*2</f>
        <v>#REF!</v>
      </c>
      <c r="BE85" s="9" t="e">
        <f>#REF!-#REF!</f>
        <v>#REF!</v>
      </c>
      <c r="BF85" s="9" t="e">
        <f>#REF!-#REF!</f>
        <v>#REF!</v>
      </c>
      <c r="BG85" s="9" t="e">
        <f>#REF!-#REF!</f>
        <v>#REF!</v>
      </c>
      <c r="BH85" s="9" t="e">
        <f>#REF!-#REF!</f>
        <v>#REF!</v>
      </c>
      <c r="BI85" s="9" t="e">
        <f>#REF!-#REF!</f>
        <v>#REF!</v>
      </c>
      <c r="BJ85" s="33"/>
      <c r="BK85" s="3">
        <f>COUNTIFS(B85:G85, "&gt;=1", B85:G85, "&lt;=9")</f>
        <v>0</v>
      </c>
      <c r="BL85" s="3">
        <f>COUNTIFS(B85:G85, "&gt;=10", B85:G85, "&lt;=19")</f>
        <v>1</v>
      </c>
      <c r="BM85" s="3">
        <f>COUNTIFS(B85:G85, "&gt;=20", B85:G85, "&lt;=29")</f>
        <v>4</v>
      </c>
      <c r="BN85" s="3">
        <f>COUNTIFS(B85:G85, "&gt;=30", B85:G85, "&lt;=39")</f>
        <v>0</v>
      </c>
      <c r="BO85" s="3">
        <f>COUNTIFS(B85:G85, "&gt;=40", B85:G85, "&lt;=45")</f>
        <v>1</v>
      </c>
      <c r="BP85" s="28" t="e">
        <f>#REF!</f>
        <v>#REF!</v>
      </c>
      <c r="BQ85" s="28" t="e">
        <f>#REF!*2</f>
        <v>#REF!</v>
      </c>
      <c r="BR85" s="28" t="e">
        <f>#REF!</f>
        <v>#REF!</v>
      </c>
      <c r="BS85" s="28" t="e">
        <f>#REF!*2</f>
        <v>#REF!</v>
      </c>
      <c r="BT85" s="28" t="e">
        <f>#REF!</f>
        <v>#REF!</v>
      </c>
      <c r="BU85" s="28" t="e">
        <f>#REF!*2</f>
        <v>#REF!</v>
      </c>
      <c r="BV85" s="28" t="e">
        <f>#REF!</f>
        <v>#REF!</v>
      </c>
      <c r="BW85" s="28" t="e">
        <f>#REF!*2</f>
        <v>#REF!</v>
      </c>
      <c r="BX85" s="28" t="e">
        <f>#REF!</f>
        <v>#REF!</v>
      </c>
      <c r="BY85" s="28" t="e">
        <f>#REF!*2</f>
        <v>#REF!</v>
      </c>
      <c r="BZ85" s="28" t="e">
        <f>#REF!</f>
        <v>#REF!</v>
      </c>
      <c r="CA85" s="28" t="e">
        <f>#REF!*2</f>
        <v>#REF!</v>
      </c>
      <c r="CB85" s="9">
        <f>C85-B85</f>
        <v>9</v>
      </c>
      <c r="CC85" s="9">
        <f>D85-C85</f>
        <v>2</v>
      </c>
      <c r="CD85" s="9">
        <f>E85-D85</f>
        <v>2</v>
      </c>
      <c r="CE85" s="9">
        <f>F85-E85</f>
        <v>2</v>
      </c>
      <c r="CF85" s="9">
        <f>G85-F85</f>
        <v>13</v>
      </c>
      <c r="CG85" s="33"/>
      <c r="CH85" s="9">
        <f>C85-B85</f>
        <v>9</v>
      </c>
      <c r="CI85" s="9">
        <f>D85-C85</f>
        <v>2</v>
      </c>
      <c r="CJ85" s="9">
        <f>E85-D85</f>
        <v>2</v>
      </c>
      <c r="CK85" s="9">
        <f>F85-E85</f>
        <v>2</v>
      </c>
      <c r="CL85" s="9">
        <f>G85-F85</f>
        <v>13</v>
      </c>
      <c r="CM85" s="32"/>
      <c r="CN85" s="3">
        <f>IF(OR(CH85="",ISBLANK(CH85),CH85=0),0,IF(MOD(CH85,2)=1,1,2))</f>
        <v>1</v>
      </c>
      <c r="CO85" s="3">
        <f>IF(OR(CI85="",ISBLANK(CI85),CI85=0),0,IF(MOD(CI85,2)=1,1,2))</f>
        <v>2</v>
      </c>
      <c r="CP85" s="3">
        <f>IF(OR(CJ85="",ISBLANK(CJ85),CJ85=0),0,IF(MOD(CJ85,2)=1,1,2))</f>
        <v>2</v>
      </c>
      <c r="CQ85" s="3">
        <f>IF(OR(CK85="",ISBLANK(CK85),CK85=0),0,IF(MOD(CK85,2)=1,1,2))</f>
        <v>2</v>
      </c>
      <c r="CR85" s="3">
        <f>IF(OR(CL85="",ISBLANK(CL85),CL85=0),0,IF(MOD(CL85,2)=1,1,2))</f>
        <v>1</v>
      </c>
      <c r="CS85" s="31"/>
      <c r="CT85" s="3" cm="1">
        <f t="array" ref="CT85">SUMPRODUCT(--(MOD(CH85:CL85,2)=1))</f>
        <v>2</v>
      </c>
      <c r="CU85" s="3">
        <f>5-CT85</f>
        <v>3</v>
      </c>
      <c r="CV85" s="30"/>
      <c r="CW85" s="3" cm="1">
        <f t="array" ref="CW85">SUMPRODUCT(--(MOD(CH85:CL85,10)&gt;=1), --(MOD(CH85:CL85,10)&lt;=5))</f>
        <v>4</v>
      </c>
      <c r="CX85" s="3">
        <f>5-CW85</f>
        <v>1</v>
      </c>
      <c r="CY85" s="30"/>
      <c r="CZ85" s="3" cm="1">
        <f t="array" ref="CZ85">IFERROR(COUNT(_xlfn._xlws.FILTER(CH85:CL85, ISNUMBER(MATCH(CH85:CL85, {2,3,5,7,11,13,17,19,23,29,31,37,41,43}, 0)))), 0)</f>
        <v>4</v>
      </c>
      <c r="DA85" s="3" cm="1">
        <f t="array" ref="DA85">IFERROR(COUNT(_xlfn._xlws.FILTER(CH85:CL85, ISNUMBER(MATCH(CH85:CL85, {1,4,8,10,14,16,20,22,25,26,28,32,34,35,38,40,44}, 0)))), 0)</f>
        <v>0</v>
      </c>
      <c r="DB85" s="3" cm="1">
        <f t="array" ref="DB85">IFERROR(COUNT(_xlfn._xlws.FILTER(CH85:CL85, ISNUMBER(MATCH(CH85:CL85, {6,9,12,15,18,21,24,27,30,33,36,39,42,45}, 0)))), 0)</f>
        <v>1</v>
      </c>
      <c r="DC85" s="29"/>
      <c r="DD85" s="28" t="e">
        <f>#REF!</f>
        <v>#REF!</v>
      </c>
      <c r="DE85" s="28" t="e">
        <f>#REF!*2</f>
        <v>#REF!</v>
      </c>
      <c r="DF85" s="28" t="e">
        <f>#REF!</f>
        <v>#REF!</v>
      </c>
      <c r="DG85" s="28" t="e">
        <f>#REF!*2</f>
        <v>#REF!</v>
      </c>
      <c r="DH85" s="28" t="e">
        <f>#REF!</f>
        <v>#REF!</v>
      </c>
      <c r="DI85" s="28" t="e">
        <f>#REF!*2</f>
        <v>#REF!</v>
      </c>
      <c r="DJ85" s="28" t="e">
        <f>#REF!</f>
        <v>#REF!</v>
      </c>
      <c r="DK85" s="28" t="e">
        <f>#REF!*2</f>
        <v>#REF!</v>
      </c>
      <c r="DL85" s="28" t="e">
        <f>#REF!</f>
        <v>#REF!</v>
      </c>
      <c r="DM85" s="28" t="e">
        <f>#REF!*2</f>
        <v>#REF!</v>
      </c>
      <c r="DN85" s="27"/>
      <c r="DO85" s="26" t="str" cm="1">
        <f t="array" ref="DO85">_xlfn.IFS(
   OR(CH85="",ISBLANK(CH85),CH85=0),0,
   ISNUMBER(MATCH(CH85,{2,3,5,7,11,13,17,19,23,29,31,37,41,43},0)),"소",
   AND(ISNUMBER(CH85),MOD(CH85,3)=0),"배",
   AND(ISNUMBER(CH85),CH85&gt;0),"자"
)</f>
        <v>배</v>
      </c>
      <c r="DP85" s="26" t="str" cm="1">
        <f t="array" ref="DP85">_xlfn.IFS(
   OR(CI85="",ISBLANK(CI85),CI85=0),0,
   ISNUMBER(MATCH(CI85,{2,3,5,7,11,13,17,19,23,29,31,37,41,43},0)),"소",
   AND(ISNUMBER(CI85),MOD(CI85,3)=0),"배",
   AND(ISNUMBER(CI85),CI85&gt;0),"자"
)</f>
        <v>소</v>
      </c>
      <c r="DQ85" s="26" t="str" cm="1">
        <f t="array" ref="DQ85">_xlfn.IFS(
   OR(CJ85="",ISBLANK(CJ85),CJ85=0),0,
   ISNUMBER(MATCH(CJ85,{2,3,5,7,11,13,17,19,23,29,31,37,41,43},0)),"소",
   AND(ISNUMBER(CJ85),MOD(CJ85,3)=0),"배",
   AND(ISNUMBER(CJ85),CJ85&gt;0),"자"
)</f>
        <v>소</v>
      </c>
      <c r="DR85" s="26" t="str" cm="1">
        <f t="array" ref="DR85">_xlfn.IFS(
   OR(CK85="",ISBLANK(CK85),CK85=0),0,
   ISNUMBER(MATCH(CK85,{2,3,5,7,11,13,17,19,23,29,31,37,41,43},0)),"소",
   AND(ISNUMBER(CK85),MOD(CK85,3)=0),"배",
   AND(ISNUMBER(CK85),CK85&gt;0),"자"
)</f>
        <v>소</v>
      </c>
      <c r="DS85" s="26" t="str" cm="1">
        <f t="array" ref="DS85">_xlfn.IFS(
   OR(CL85="",ISBLANK(CL85),CL85=0),0,
   ISNUMBER(MATCH(CL85,{2,3,5,7,11,13,17,19,23,29,31,37,41,43},0)),"소",
   AND(ISNUMBER(CL85),MOD(CL85,3)=0),"배",
   AND(ISNUMBER(CL85),CL85&gt;0),"자"
)</f>
        <v>소</v>
      </c>
      <c r="DT85" s="25"/>
    </row>
    <row r="86" spans="1:124" x14ac:dyDescent="0.3">
      <c r="B86" s="3">
        <v>8</v>
      </c>
      <c r="C86" s="3">
        <v>23</v>
      </c>
      <c r="D86" s="3">
        <v>31</v>
      </c>
      <c r="E86" s="3">
        <v>35</v>
      </c>
      <c r="F86" s="3">
        <v>39</v>
      </c>
      <c r="G86" s="3">
        <v>40</v>
      </c>
      <c r="H86" s="32"/>
      <c r="I86" s="3">
        <f>IF(OR(B86="",ISBLANK(B86),B86=0),0,IF(MOD(B86,2)=1,1,2))</f>
        <v>2</v>
      </c>
      <c r="J86" s="3">
        <f>IF(OR(C86="",ISBLANK(C86),C86=0),0,IF(MOD(C86,2)=1,1,2))</f>
        <v>1</v>
      </c>
      <c r="K86" s="3">
        <f>IF(OR(D86="",ISBLANK(D86),D86=0),0,IF(MOD(D86,2)=1,1,2))</f>
        <v>1</v>
      </c>
      <c r="L86" s="3">
        <f>IF(OR(E86="",ISBLANK(E86),E86=0),0,IF(MOD(E86,2)=1,1,2))</f>
        <v>1</v>
      </c>
      <c r="M86" s="3">
        <f>IF(OR(F86="",ISBLANK(F86),F86=0),0,IF(MOD(F86,2)=1,1,2))</f>
        <v>1</v>
      </c>
      <c r="N86" s="3">
        <f>IF(OR(G86="",ISBLANK(G86),G86=0),0,IF(MOD(G86,2)=1,1,2))</f>
        <v>2</v>
      </c>
      <c r="O86" s="32"/>
      <c r="P86" s="3" cm="1">
        <f t="array" ref="P86">SUMPRODUCT(--(MOD(B86:G86,2)=1))</f>
        <v>4</v>
      </c>
      <c r="Q86" s="3">
        <f>6-P86</f>
        <v>2</v>
      </c>
      <c r="R86" s="34"/>
      <c r="S86" s="3">
        <f>COUNTIFS(B86:G86,"&gt;=1",B86:G86,"&lt;=23")</f>
        <v>2</v>
      </c>
      <c r="T86" s="3">
        <f>6-S86</f>
        <v>4</v>
      </c>
      <c r="U86" s="34"/>
      <c r="V86" s="3" cm="1">
        <f t="array" ref="V86">SUMPRODUCT(--(MOD(B86:G86,10)&gt;=1), --(MOD(B86:G86,10)&lt;=5))</f>
        <v>3</v>
      </c>
      <c r="W86" s="3">
        <f>6-V86</f>
        <v>3</v>
      </c>
      <c r="X86" s="34"/>
      <c r="Y86" s="3" cm="1">
        <f t="array" ref="Y86">IFERROR(COUNT(_xlfn._xlws.FILTER(B86:G86, ISNUMBER(MATCH(B86:G86, {2,3,5,7,11,13,17,19,23,29,31,37,41,43}, 0)))), 0)</f>
        <v>2</v>
      </c>
      <c r="Z86" s="3" cm="1">
        <f t="array" ref="Z86">IFERROR(COUNT(_xlfn._xlws.FILTER(B86:G86, ISNUMBER(MATCH(B86:G86, {1,4,8,10,14,16,20,22,25,26,28,32,34,35,38,40,44}, 0)))), 0)</f>
        <v>3</v>
      </c>
      <c r="AA86" s="3" cm="1">
        <f t="array" ref="AA86">IFERROR(COUNT(_xlfn._xlws.FILTER(B86:G86, ISNUMBER(MATCH(B86:G86, {6,9,12,15,18,21,24,27,30,33,36,39,42,45}, 0)))), 0)</f>
        <v>1</v>
      </c>
      <c r="AB86" s="30"/>
      <c r="AC86" s="26" t="str" cm="1">
        <f t="array" ref="AC86">_xlfn.IFS(
   OR(B86="",ISBLANK(B86),B86=0),0,
   ISNUMBER(MATCH(B86,{2,3,5,7,11,13,17,19,23,29,31,37,41,43},0)),"소",
   AND(ISNUMBER(B86),MOD(B86,3)=0),"배",
   AND(ISNUMBER(B86),B86&gt;0),"자"
)</f>
        <v>자</v>
      </c>
      <c r="AD86" s="26" t="str" cm="1">
        <f t="array" ref="AD86">_xlfn.IFS(
   OR(C86="",ISBLANK(C86),C86=0),0,
   ISNUMBER(MATCH(C86,{2,3,5,7,11,13,17,19,23,29,31,37,41,43},0)),"소",
   AND(ISNUMBER(C86),MOD(C86,3)=0),"배",
   AND(ISNUMBER(C86),C86&gt;0),"자"
)</f>
        <v>소</v>
      </c>
      <c r="AE86" s="26" t="str" cm="1">
        <f t="array" ref="AE86">_xlfn.IFS(
   OR(D86="",ISBLANK(D86),D86=0),0,
   ISNUMBER(MATCH(D86,{2,3,5,7,11,13,17,19,23,29,31,37,41,43},0)),"소",
   AND(ISNUMBER(D86),MOD(D86,3)=0),"배",
   AND(ISNUMBER(D86),D86&gt;0),"자"
)</f>
        <v>소</v>
      </c>
      <c r="AF86" s="26" t="str" cm="1">
        <f t="array" ref="AF86">_xlfn.IFS(
   OR(E86="",ISBLANK(E86),E86=0),0,
   ISNUMBER(MATCH(E86,{2,3,5,7,11,13,17,19,23,29,31,37,41,43},0)),"소",
   AND(ISNUMBER(E86),MOD(E86,3)=0),"배",
   AND(ISNUMBER(E86),E86&gt;0),"자"
)</f>
        <v>자</v>
      </c>
      <c r="AG86" s="26" t="str" cm="1">
        <f t="array" ref="AG86">_xlfn.IFS(
   OR(F86="",ISBLANK(F86),F86=0),0,
   ISNUMBER(MATCH(F86,{2,3,5,7,11,13,17,19,23,29,31,37,41,43},0)),"소",
   AND(ISNUMBER(F86),MOD(F86,3)=0),"배",
   AND(ISNUMBER(F86),F86&gt;0),"자"
)</f>
        <v>배</v>
      </c>
      <c r="AH86" s="26" t="str" cm="1">
        <f t="array" ref="AH86">_xlfn.IFS(
   OR(G86="",ISBLANK(G86),G86=0),0,
   ISNUMBER(MATCH(G86,{2,3,5,7,11,13,17,19,23,29,31,37,41,43},0)),"소",
   AND(ISNUMBER(G86),MOD(G86,3)=0),"배",
   AND(ISNUMBER(G86),G86&gt;0),"자"
)</f>
        <v>자</v>
      </c>
      <c r="AI86" s="30"/>
      <c r="AJ86" s="3">
        <f>COUNTIFS(B86:G86,"&gt;=1",B86:G86,"&lt;=14")</f>
        <v>1</v>
      </c>
      <c r="AK86" s="3">
        <f>COUNTIFS(B86:G86,"&gt;=15",B86:G86,"&lt;=31")</f>
        <v>2</v>
      </c>
      <c r="AL86" s="3">
        <f>6-AK86-AJ86</f>
        <v>3</v>
      </c>
      <c r="AM86" s="33"/>
      <c r="AN86" s="3">
        <f>COUNTIFS($B86:$G86, "&gt;=1",$B86:$G86, "&lt;=9")</f>
        <v>1</v>
      </c>
      <c r="AO86" s="3">
        <f>COUNTIFS($B86:$G86, "&gt;=10",$B86:$G86, "&lt;=18")</f>
        <v>0</v>
      </c>
      <c r="AP86" s="3">
        <f>COUNTIFS($B86:$G86, "&gt;=19",$B86:$G86, "&lt;=27")</f>
        <v>1</v>
      </c>
      <c r="AQ86" s="3">
        <f>COUNTIFS($B86:$G86, "&gt;=28",$B86:$G86, "&lt;=36")</f>
        <v>2</v>
      </c>
      <c r="AR86" s="3">
        <f>COUNTIFS($B86:$G86, "&gt;=37",$B86:$G86, "&lt;=45")</f>
        <v>2</v>
      </c>
      <c r="AS86" s="28" t="e">
        <f>#REF!</f>
        <v>#REF!</v>
      </c>
      <c r="AT86" s="28" t="e">
        <f>#REF!*2</f>
        <v>#REF!</v>
      </c>
      <c r="AU86" s="28" t="e">
        <f>#REF!</f>
        <v>#REF!</v>
      </c>
      <c r="AV86" s="28" t="e">
        <f>#REF!*2</f>
        <v>#REF!</v>
      </c>
      <c r="AW86" s="28" t="e">
        <f>#REF!</f>
        <v>#REF!</v>
      </c>
      <c r="AX86" s="28" t="e">
        <f>#REF!*2</f>
        <v>#REF!</v>
      </c>
      <c r="AY86" s="28" t="e">
        <f>#REF!</f>
        <v>#REF!</v>
      </c>
      <c r="AZ86" s="28" t="e">
        <f>#REF!*2</f>
        <v>#REF!</v>
      </c>
      <c r="BA86" s="28" t="e">
        <f>#REF!</f>
        <v>#REF!</v>
      </c>
      <c r="BB86" s="28" t="e">
        <f>#REF!*2</f>
        <v>#REF!</v>
      </c>
      <c r="BC86" s="28" t="e">
        <f>#REF!</f>
        <v>#REF!</v>
      </c>
      <c r="BD86" s="28" t="e">
        <f>#REF!*2</f>
        <v>#REF!</v>
      </c>
      <c r="BE86" s="9" t="e">
        <f>#REF!-#REF!</f>
        <v>#REF!</v>
      </c>
      <c r="BF86" s="9" t="e">
        <f>#REF!-#REF!</f>
        <v>#REF!</v>
      </c>
      <c r="BG86" s="9" t="e">
        <f>#REF!-#REF!</f>
        <v>#REF!</v>
      </c>
      <c r="BH86" s="9" t="e">
        <f>#REF!-#REF!</f>
        <v>#REF!</v>
      </c>
      <c r="BI86" s="9" t="e">
        <f>#REF!-#REF!</f>
        <v>#REF!</v>
      </c>
      <c r="BJ86" s="33"/>
      <c r="BK86" s="3">
        <f>COUNTIFS(B86:G86, "&gt;=1", B86:G86, "&lt;=9")</f>
        <v>1</v>
      </c>
      <c r="BL86" s="3">
        <f>COUNTIFS(B86:G86, "&gt;=10", B86:G86, "&lt;=19")</f>
        <v>0</v>
      </c>
      <c r="BM86" s="3">
        <f>COUNTIFS(B86:G86, "&gt;=20", B86:G86, "&lt;=29")</f>
        <v>1</v>
      </c>
      <c r="BN86" s="3">
        <f>COUNTIFS(B86:G86, "&gt;=30", B86:G86, "&lt;=39")</f>
        <v>3</v>
      </c>
      <c r="BO86" s="3">
        <f>COUNTIFS(B86:G86, "&gt;=40", B86:G86, "&lt;=45")</f>
        <v>1</v>
      </c>
      <c r="BP86" s="28" t="e">
        <f>#REF!</f>
        <v>#REF!</v>
      </c>
      <c r="BQ86" s="28" t="e">
        <f>#REF!*2</f>
        <v>#REF!</v>
      </c>
      <c r="BR86" s="28" t="e">
        <f>#REF!</f>
        <v>#REF!</v>
      </c>
      <c r="BS86" s="28" t="e">
        <f>#REF!*2</f>
        <v>#REF!</v>
      </c>
      <c r="BT86" s="28" t="e">
        <f>#REF!</f>
        <v>#REF!</v>
      </c>
      <c r="BU86" s="28" t="e">
        <f>#REF!*2</f>
        <v>#REF!</v>
      </c>
      <c r="BV86" s="28" t="e">
        <f>#REF!</f>
        <v>#REF!</v>
      </c>
      <c r="BW86" s="28" t="e">
        <f>#REF!*2</f>
        <v>#REF!</v>
      </c>
      <c r="BX86" s="28" t="e">
        <f>#REF!</f>
        <v>#REF!</v>
      </c>
      <c r="BY86" s="28" t="e">
        <f>#REF!*2</f>
        <v>#REF!</v>
      </c>
      <c r="BZ86" s="28" t="e">
        <f>#REF!</f>
        <v>#REF!</v>
      </c>
      <c r="CA86" s="28" t="e">
        <f>#REF!*2</f>
        <v>#REF!</v>
      </c>
      <c r="CB86" s="9">
        <f>C86-B86</f>
        <v>15</v>
      </c>
      <c r="CC86" s="9">
        <f>D86-C86</f>
        <v>8</v>
      </c>
      <c r="CD86" s="9">
        <f>E86-D86</f>
        <v>4</v>
      </c>
      <c r="CE86" s="9">
        <f>F86-E86</f>
        <v>4</v>
      </c>
      <c r="CF86" s="9">
        <f>G86-F86</f>
        <v>1</v>
      </c>
      <c r="CG86" s="33"/>
      <c r="CH86" s="9">
        <f>C86-B86</f>
        <v>15</v>
      </c>
      <c r="CI86" s="9">
        <f>D86-C86</f>
        <v>8</v>
      </c>
      <c r="CJ86" s="9">
        <f>E86-D86</f>
        <v>4</v>
      </c>
      <c r="CK86" s="9">
        <f>F86-E86</f>
        <v>4</v>
      </c>
      <c r="CL86" s="9">
        <f>G86-F86</f>
        <v>1</v>
      </c>
      <c r="CM86" s="32"/>
      <c r="CN86" s="3">
        <f>IF(OR(CH86="",ISBLANK(CH86),CH86=0),0,IF(MOD(CH86,2)=1,1,2))</f>
        <v>1</v>
      </c>
      <c r="CO86" s="3">
        <f>IF(OR(CI86="",ISBLANK(CI86),CI86=0),0,IF(MOD(CI86,2)=1,1,2))</f>
        <v>2</v>
      </c>
      <c r="CP86" s="3">
        <f>IF(OR(CJ86="",ISBLANK(CJ86),CJ86=0),0,IF(MOD(CJ86,2)=1,1,2))</f>
        <v>2</v>
      </c>
      <c r="CQ86" s="3">
        <f>IF(OR(CK86="",ISBLANK(CK86),CK86=0),0,IF(MOD(CK86,2)=1,1,2))</f>
        <v>2</v>
      </c>
      <c r="CR86" s="3">
        <f>IF(OR(CL86="",ISBLANK(CL86),CL86=0),0,IF(MOD(CL86,2)=1,1,2))</f>
        <v>1</v>
      </c>
      <c r="CS86" s="31"/>
      <c r="CT86" s="3" cm="1">
        <f t="array" ref="CT86">SUMPRODUCT(--(MOD(CH86:CL86,2)=1))</f>
        <v>2</v>
      </c>
      <c r="CU86" s="3">
        <f>5-CT86</f>
        <v>3</v>
      </c>
      <c r="CV86" s="30"/>
      <c r="CW86" s="3" cm="1">
        <f t="array" ref="CW86">SUMPRODUCT(--(MOD(CH86:CL86,10)&gt;=1), --(MOD(CH86:CL86,10)&lt;=5))</f>
        <v>4</v>
      </c>
      <c r="CX86" s="3">
        <f>5-CW86</f>
        <v>1</v>
      </c>
      <c r="CY86" s="30"/>
      <c r="CZ86" s="3" cm="1">
        <f t="array" ref="CZ86">IFERROR(COUNT(_xlfn._xlws.FILTER(CH86:CL86, ISNUMBER(MATCH(CH86:CL86, {2,3,5,7,11,13,17,19,23,29,31,37,41,43}, 0)))), 0)</f>
        <v>0</v>
      </c>
      <c r="DA86" s="3" cm="1">
        <f t="array" ref="DA86">IFERROR(COUNT(_xlfn._xlws.FILTER(CH86:CL86, ISNUMBER(MATCH(CH86:CL86, {1,4,8,10,14,16,20,22,25,26,28,32,34,35,38,40,44}, 0)))), 0)</f>
        <v>4</v>
      </c>
      <c r="DB86" s="3" cm="1">
        <f t="array" ref="DB86">IFERROR(COUNT(_xlfn._xlws.FILTER(CH86:CL86, ISNUMBER(MATCH(CH86:CL86, {6,9,12,15,18,21,24,27,30,33,36,39,42,45}, 0)))), 0)</f>
        <v>1</v>
      </c>
      <c r="DC86" s="29"/>
      <c r="DD86" s="28" t="e">
        <f>#REF!</f>
        <v>#REF!</v>
      </c>
      <c r="DE86" s="28" t="e">
        <f>#REF!*2</f>
        <v>#REF!</v>
      </c>
      <c r="DF86" s="28" t="e">
        <f>#REF!</f>
        <v>#REF!</v>
      </c>
      <c r="DG86" s="28" t="e">
        <f>#REF!*2</f>
        <v>#REF!</v>
      </c>
      <c r="DH86" s="28" t="e">
        <f>#REF!</f>
        <v>#REF!</v>
      </c>
      <c r="DI86" s="28" t="e">
        <f>#REF!*2</f>
        <v>#REF!</v>
      </c>
      <c r="DJ86" s="28" t="e">
        <f>#REF!</f>
        <v>#REF!</v>
      </c>
      <c r="DK86" s="28" t="e">
        <f>#REF!*2</f>
        <v>#REF!</v>
      </c>
      <c r="DL86" s="28" t="e">
        <f>#REF!</f>
        <v>#REF!</v>
      </c>
      <c r="DM86" s="28" t="e">
        <f>#REF!*2</f>
        <v>#REF!</v>
      </c>
      <c r="DN86" s="27"/>
      <c r="DO86" s="26" t="str" cm="1">
        <f t="array" ref="DO86">_xlfn.IFS(
   OR(CH86="",ISBLANK(CH86),CH86=0),0,
   ISNUMBER(MATCH(CH86,{2,3,5,7,11,13,17,19,23,29,31,37,41,43},0)),"소",
   AND(ISNUMBER(CH86),MOD(CH86,3)=0),"배",
   AND(ISNUMBER(CH86),CH86&gt;0),"자"
)</f>
        <v>배</v>
      </c>
      <c r="DP86" s="26" t="str" cm="1">
        <f t="array" ref="DP86">_xlfn.IFS(
   OR(CI86="",ISBLANK(CI86),CI86=0),0,
   ISNUMBER(MATCH(CI86,{2,3,5,7,11,13,17,19,23,29,31,37,41,43},0)),"소",
   AND(ISNUMBER(CI86),MOD(CI86,3)=0),"배",
   AND(ISNUMBER(CI86),CI86&gt;0),"자"
)</f>
        <v>자</v>
      </c>
      <c r="DQ86" s="26" t="str" cm="1">
        <f t="array" ref="DQ86">_xlfn.IFS(
   OR(CJ86="",ISBLANK(CJ86),CJ86=0),0,
   ISNUMBER(MATCH(CJ86,{2,3,5,7,11,13,17,19,23,29,31,37,41,43},0)),"소",
   AND(ISNUMBER(CJ86),MOD(CJ86,3)=0),"배",
   AND(ISNUMBER(CJ86),CJ86&gt;0),"자"
)</f>
        <v>자</v>
      </c>
      <c r="DR86" s="26" t="str" cm="1">
        <f t="array" ref="DR86">_xlfn.IFS(
   OR(CK86="",ISBLANK(CK86),CK86=0),0,
   ISNUMBER(MATCH(CK86,{2,3,5,7,11,13,17,19,23,29,31,37,41,43},0)),"소",
   AND(ISNUMBER(CK86),MOD(CK86,3)=0),"배",
   AND(ISNUMBER(CK86),CK86&gt;0),"자"
)</f>
        <v>자</v>
      </c>
      <c r="DS86" s="26" t="str" cm="1">
        <f t="array" ref="DS86">_xlfn.IFS(
   OR(CL86="",ISBLANK(CL86),CL86=0),0,
   ISNUMBER(MATCH(CL86,{2,3,5,7,11,13,17,19,23,29,31,37,41,43},0)),"소",
   AND(ISNUMBER(CL86),MOD(CL86,3)=0),"배",
   AND(ISNUMBER(CL86),CL86&gt;0),"자"
)</f>
        <v>자</v>
      </c>
      <c r="DT86" s="25"/>
    </row>
    <row r="87" spans="1:124" x14ac:dyDescent="0.3">
      <c r="B87" s="3">
        <v>9</v>
      </c>
      <c r="C87" s="3">
        <v>21</v>
      </c>
      <c r="D87" s="3">
        <v>24</v>
      </c>
      <c r="E87" s="3">
        <v>30</v>
      </c>
      <c r="F87" s="3">
        <v>33</v>
      </c>
      <c r="G87" s="3">
        <v>37</v>
      </c>
      <c r="H87" s="32"/>
      <c r="I87" s="3">
        <f>IF(OR(B87="",ISBLANK(B87),B87=0),0,IF(MOD(B87,2)=1,1,2))</f>
        <v>1</v>
      </c>
      <c r="J87" s="3">
        <f>IF(OR(C87="",ISBLANK(C87),C87=0),0,IF(MOD(C87,2)=1,1,2))</f>
        <v>1</v>
      </c>
      <c r="K87" s="3">
        <f>IF(OR(D87="",ISBLANK(D87),D87=0),0,IF(MOD(D87,2)=1,1,2))</f>
        <v>2</v>
      </c>
      <c r="L87" s="3">
        <f>IF(OR(E87="",ISBLANK(E87),E87=0),0,IF(MOD(E87,2)=1,1,2))</f>
        <v>2</v>
      </c>
      <c r="M87" s="3">
        <f>IF(OR(F87="",ISBLANK(F87),F87=0),0,IF(MOD(F87,2)=1,1,2))</f>
        <v>1</v>
      </c>
      <c r="N87" s="3">
        <f>IF(OR(G87="",ISBLANK(G87),G87=0),0,IF(MOD(G87,2)=1,1,2))</f>
        <v>1</v>
      </c>
      <c r="O87" s="32"/>
      <c r="P87" s="3" cm="1">
        <f t="array" ref="P87">SUMPRODUCT(--(MOD(B87:G87,2)=1))</f>
        <v>4</v>
      </c>
      <c r="Q87" s="3">
        <f>6-P87</f>
        <v>2</v>
      </c>
      <c r="R87" s="34"/>
      <c r="S87" s="3">
        <f>COUNTIFS(B87:G87,"&gt;=1",B87:G87,"&lt;=23")</f>
        <v>2</v>
      </c>
      <c r="T87" s="3">
        <f>6-S87</f>
        <v>4</v>
      </c>
      <c r="U87" s="34"/>
      <c r="V87" s="3" cm="1">
        <f t="array" ref="V87">SUMPRODUCT(--(MOD(B87:G87,10)&gt;=1), --(MOD(B87:G87,10)&lt;=5))</f>
        <v>3</v>
      </c>
      <c r="W87" s="3">
        <f>6-V87</f>
        <v>3</v>
      </c>
      <c r="X87" s="34"/>
      <c r="Y87" s="3" cm="1">
        <f t="array" ref="Y87">IFERROR(COUNT(_xlfn._xlws.FILTER(B87:G87, ISNUMBER(MATCH(B87:G87, {2,3,5,7,11,13,17,19,23,29,31,37,41,43}, 0)))), 0)</f>
        <v>1</v>
      </c>
      <c r="Z87" s="3" cm="1">
        <f t="array" ref="Z87">IFERROR(COUNT(_xlfn._xlws.FILTER(B87:G87, ISNUMBER(MATCH(B87:G87, {1,4,8,10,14,16,20,22,25,26,28,32,34,35,38,40,44}, 0)))), 0)</f>
        <v>0</v>
      </c>
      <c r="AA87" s="3" cm="1">
        <f t="array" ref="AA87">IFERROR(COUNT(_xlfn._xlws.FILTER(B87:G87, ISNUMBER(MATCH(B87:G87, {6,9,12,15,18,21,24,27,30,33,36,39,42,45}, 0)))), 0)</f>
        <v>5</v>
      </c>
      <c r="AB87" s="30"/>
      <c r="AC87" s="26" t="str" cm="1">
        <f t="array" ref="AC87">_xlfn.IFS(
   OR(B87="",ISBLANK(B87),B87=0),0,
   ISNUMBER(MATCH(B87,{2,3,5,7,11,13,17,19,23,29,31,37,41,43},0)),"소",
   AND(ISNUMBER(B87),MOD(B87,3)=0),"배",
   AND(ISNUMBER(B87),B87&gt;0),"자"
)</f>
        <v>배</v>
      </c>
      <c r="AD87" s="26" t="str" cm="1">
        <f t="array" ref="AD87">_xlfn.IFS(
   OR(C87="",ISBLANK(C87),C87=0),0,
   ISNUMBER(MATCH(C87,{2,3,5,7,11,13,17,19,23,29,31,37,41,43},0)),"소",
   AND(ISNUMBER(C87),MOD(C87,3)=0),"배",
   AND(ISNUMBER(C87),C87&gt;0),"자"
)</f>
        <v>배</v>
      </c>
      <c r="AE87" s="26" t="str" cm="1">
        <f t="array" ref="AE87">_xlfn.IFS(
   OR(D87="",ISBLANK(D87),D87=0),0,
   ISNUMBER(MATCH(D87,{2,3,5,7,11,13,17,19,23,29,31,37,41,43},0)),"소",
   AND(ISNUMBER(D87),MOD(D87,3)=0),"배",
   AND(ISNUMBER(D87),D87&gt;0),"자"
)</f>
        <v>배</v>
      </c>
      <c r="AF87" s="26" t="str" cm="1">
        <f t="array" ref="AF87">_xlfn.IFS(
   OR(E87="",ISBLANK(E87),E87=0),0,
   ISNUMBER(MATCH(E87,{2,3,5,7,11,13,17,19,23,29,31,37,41,43},0)),"소",
   AND(ISNUMBER(E87),MOD(E87,3)=0),"배",
   AND(ISNUMBER(E87),E87&gt;0),"자"
)</f>
        <v>배</v>
      </c>
      <c r="AG87" s="26" t="str" cm="1">
        <f t="array" ref="AG87">_xlfn.IFS(
   OR(F87="",ISBLANK(F87),F87=0),0,
   ISNUMBER(MATCH(F87,{2,3,5,7,11,13,17,19,23,29,31,37,41,43},0)),"소",
   AND(ISNUMBER(F87),MOD(F87,3)=0),"배",
   AND(ISNUMBER(F87),F87&gt;0),"자"
)</f>
        <v>배</v>
      </c>
      <c r="AH87" s="26" t="str" cm="1">
        <f t="array" ref="AH87">_xlfn.IFS(
   OR(G87="",ISBLANK(G87),G87=0),0,
   ISNUMBER(MATCH(G87,{2,3,5,7,11,13,17,19,23,29,31,37,41,43},0)),"소",
   AND(ISNUMBER(G87),MOD(G87,3)=0),"배",
   AND(ISNUMBER(G87),G87&gt;0),"자"
)</f>
        <v>소</v>
      </c>
      <c r="AI87" s="30"/>
      <c r="AJ87" s="3">
        <f>COUNTIFS(B87:G87,"&gt;=1",B87:G87,"&lt;=14")</f>
        <v>1</v>
      </c>
      <c r="AK87" s="3">
        <f>COUNTIFS(B87:G87,"&gt;=15",B87:G87,"&lt;=31")</f>
        <v>3</v>
      </c>
      <c r="AL87" s="3">
        <f>6-AK87-AJ87</f>
        <v>2</v>
      </c>
      <c r="AM87" s="33"/>
      <c r="AN87" s="3">
        <f>COUNTIFS($B87:$G87, "&gt;=1",$B87:$G87, "&lt;=9")</f>
        <v>1</v>
      </c>
      <c r="AO87" s="3">
        <f>COUNTIFS($B87:$G87, "&gt;=10",$B87:$G87, "&lt;=18")</f>
        <v>0</v>
      </c>
      <c r="AP87" s="3">
        <f>COUNTIFS($B87:$G87, "&gt;=19",$B87:$G87, "&lt;=27")</f>
        <v>2</v>
      </c>
      <c r="AQ87" s="3">
        <f>COUNTIFS($B87:$G87, "&gt;=28",$B87:$G87, "&lt;=36")</f>
        <v>2</v>
      </c>
      <c r="AR87" s="3">
        <f>COUNTIFS($B87:$G87, "&gt;=37",$B87:$G87, "&lt;=45")</f>
        <v>1</v>
      </c>
      <c r="AS87" s="28" t="e">
        <f>#REF!</f>
        <v>#REF!</v>
      </c>
      <c r="AT87" s="28" t="e">
        <f>#REF!*2</f>
        <v>#REF!</v>
      </c>
      <c r="AU87" s="28" t="e">
        <f>#REF!</f>
        <v>#REF!</v>
      </c>
      <c r="AV87" s="28" t="e">
        <f>#REF!*2</f>
        <v>#REF!</v>
      </c>
      <c r="AW87" s="28" t="e">
        <f>#REF!</f>
        <v>#REF!</v>
      </c>
      <c r="AX87" s="28" t="e">
        <f>#REF!*2</f>
        <v>#REF!</v>
      </c>
      <c r="AY87" s="28" t="e">
        <f>#REF!</f>
        <v>#REF!</v>
      </c>
      <c r="AZ87" s="28" t="e">
        <f>#REF!*2</f>
        <v>#REF!</v>
      </c>
      <c r="BA87" s="28" t="e">
        <f>#REF!</f>
        <v>#REF!</v>
      </c>
      <c r="BB87" s="28" t="e">
        <f>#REF!*2</f>
        <v>#REF!</v>
      </c>
      <c r="BC87" s="28" t="e">
        <f>#REF!</f>
        <v>#REF!</v>
      </c>
      <c r="BD87" s="28" t="e">
        <f>#REF!*2</f>
        <v>#REF!</v>
      </c>
      <c r="BE87" s="9" t="e">
        <f>#REF!-#REF!</f>
        <v>#REF!</v>
      </c>
      <c r="BF87" s="9" t="e">
        <f>#REF!-#REF!</f>
        <v>#REF!</v>
      </c>
      <c r="BG87" s="9" t="e">
        <f>#REF!-#REF!</f>
        <v>#REF!</v>
      </c>
      <c r="BH87" s="9" t="e">
        <f>#REF!-#REF!</f>
        <v>#REF!</v>
      </c>
      <c r="BI87" s="9" t="e">
        <f>#REF!-#REF!</f>
        <v>#REF!</v>
      </c>
      <c r="BJ87" s="33"/>
      <c r="BK87" s="3">
        <f>COUNTIFS(B87:G87, "&gt;=1", B87:G87, "&lt;=9")</f>
        <v>1</v>
      </c>
      <c r="BL87" s="3">
        <f>COUNTIFS(B87:G87, "&gt;=10", B87:G87, "&lt;=19")</f>
        <v>0</v>
      </c>
      <c r="BM87" s="3">
        <f>COUNTIFS(B87:G87, "&gt;=20", B87:G87, "&lt;=29")</f>
        <v>2</v>
      </c>
      <c r="BN87" s="3">
        <f>COUNTIFS(B87:G87, "&gt;=30", B87:G87, "&lt;=39")</f>
        <v>3</v>
      </c>
      <c r="BO87" s="3">
        <f>COUNTIFS(B87:G87, "&gt;=40", B87:G87, "&lt;=45")</f>
        <v>0</v>
      </c>
      <c r="BP87" s="28" t="e">
        <f>#REF!</f>
        <v>#REF!</v>
      </c>
      <c r="BQ87" s="28" t="e">
        <f>#REF!*2</f>
        <v>#REF!</v>
      </c>
      <c r="BR87" s="28" t="e">
        <f>#REF!</f>
        <v>#REF!</v>
      </c>
      <c r="BS87" s="28" t="e">
        <f>#REF!*2</f>
        <v>#REF!</v>
      </c>
      <c r="BT87" s="28" t="e">
        <f>#REF!</f>
        <v>#REF!</v>
      </c>
      <c r="BU87" s="28" t="e">
        <f>#REF!*2</f>
        <v>#REF!</v>
      </c>
      <c r="BV87" s="28" t="e">
        <f>#REF!</f>
        <v>#REF!</v>
      </c>
      <c r="BW87" s="28" t="e">
        <f>#REF!*2</f>
        <v>#REF!</v>
      </c>
      <c r="BX87" s="28" t="e">
        <f>#REF!</f>
        <v>#REF!</v>
      </c>
      <c r="BY87" s="28" t="e">
        <f>#REF!*2</f>
        <v>#REF!</v>
      </c>
      <c r="BZ87" s="28" t="e">
        <f>#REF!</f>
        <v>#REF!</v>
      </c>
      <c r="CA87" s="28" t="e">
        <f>#REF!*2</f>
        <v>#REF!</v>
      </c>
      <c r="CB87" s="9">
        <f>C87-B87</f>
        <v>12</v>
      </c>
      <c r="CC87" s="9">
        <f>D87-C87</f>
        <v>3</v>
      </c>
      <c r="CD87" s="9">
        <f>E87-D87</f>
        <v>6</v>
      </c>
      <c r="CE87" s="9">
        <f>F87-E87</f>
        <v>3</v>
      </c>
      <c r="CF87" s="9">
        <f>G87-F87</f>
        <v>4</v>
      </c>
      <c r="CG87" s="33"/>
      <c r="CH87" s="9">
        <f>C87-B87</f>
        <v>12</v>
      </c>
      <c r="CI87" s="9">
        <f>D87-C87</f>
        <v>3</v>
      </c>
      <c r="CJ87" s="9">
        <f>E87-D87</f>
        <v>6</v>
      </c>
      <c r="CK87" s="9">
        <f>F87-E87</f>
        <v>3</v>
      </c>
      <c r="CL87" s="9">
        <f>G87-F87</f>
        <v>4</v>
      </c>
      <c r="CM87" s="32"/>
      <c r="CN87" s="3">
        <f>IF(OR(CH87="",ISBLANK(CH87),CH87=0),0,IF(MOD(CH87,2)=1,1,2))</f>
        <v>2</v>
      </c>
      <c r="CO87" s="3">
        <f>IF(OR(CI87="",ISBLANK(CI87),CI87=0),0,IF(MOD(CI87,2)=1,1,2))</f>
        <v>1</v>
      </c>
      <c r="CP87" s="3">
        <f>IF(OR(CJ87="",ISBLANK(CJ87),CJ87=0),0,IF(MOD(CJ87,2)=1,1,2))</f>
        <v>2</v>
      </c>
      <c r="CQ87" s="3">
        <f>IF(OR(CK87="",ISBLANK(CK87),CK87=0),0,IF(MOD(CK87,2)=1,1,2))</f>
        <v>1</v>
      </c>
      <c r="CR87" s="3">
        <f>IF(OR(CL87="",ISBLANK(CL87),CL87=0),0,IF(MOD(CL87,2)=1,1,2))</f>
        <v>2</v>
      </c>
      <c r="CS87" s="31"/>
      <c r="CT87" s="3" cm="1">
        <f t="array" ref="CT87">SUMPRODUCT(--(MOD(CH87:CL87,2)=1))</f>
        <v>2</v>
      </c>
      <c r="CU87" s="3">
        <f>5-CT87</f>
        <v>3</v>
      </c>
      <c r="CV87" s="30"/>
      <c r="CW87" s="3" cm="1">
        <f t="array" ref="CW87">SUMPRODUCT(--(MOD(CH87:CL87,10)&gt;=1), --(MOD(CH87:CL87,10)&lt;=5))</f>
        <v>4</v>
      </c>
      <c r="CX87" s="3">
        <f>5-CW87</f>
        <v>1</v>
      </c>
      <c r="CY87" s="30"/>
      <c r="CZ87" s="3" cm="1">
        <f t="array" ref="CZ87">IFERROR(COUNT(_xlfn._xlws.FILTER(CH87:CL87, ISNUMBER(MATCH(CH87:CL87, {2,3,5,7,11,13,17,19,23,29,31,37,41,43}, 0)))), 0)</f>
        <v>2</v>
      </c>
      <c r="DA87" s="3" cm="1">
        <f t="array" ref="DA87">IFERROR(COUNT(_xlfn._xlws.FILTER(CH87:CL87, ISNUMBER(MATCH(CH87:CL87, {1,4,8,10,14,16,20,22,25,26,28,32,34,35,38,40,44}, 0)))), 0)</f>
        <v>1</v>
      </c>
      <c r="DB87" s="3" cm="1">
        <f t="array" ref="DB87">IFERROR(COUNT(_xlfn._xlws.FILTER(CH87:CL87, ISNUMBER(MATCH(CH87:CL87, {6,9,12,15,18,21,24,27,30,33,36,39,42,45}, 0)))), 0)</f>
        <v>2</v>
      </c>
      <c r="DC87" s="29"/>
      <c r="DD87" s="28" t="e">
        <f>#REF!</f>
        <v>#REF!</v>
      </c>
      <c r="DE87" s="28" t="e">
        <f>#REF!*2</f>
        <v>#REF!</v>
      </c>
      <c r="DF87" s="28" t="e">
        <f>#REF!</f>
        <v>#REF!</v>
      </c>
      <c r="DG87" s="28" t="e">
        <f>#REF!*2</f>
        <v>#REF!</v>
      </c>
      <c r="DH87" s="28" t="e">
        <f>#REF!</f>
        <v>#REF!</v>
      </c>
      <c r="DI87" s="28" t="e">
        <f>#REF!*2</f>
        <v>#REF!</v>
      </c>
      <c r="DJ87" s="28" t="e">
        <f>#REF!</f>
        <v>#REF!</v>
      </c>
      <c r="DK87" s="28" t="e">
        <f>#REF!*2</f>
        <v>#REF!</v>
      </c>
      <c r="DL87" s="28" t="e">
        <f>#REF!</f>
        <v>#REF!</v>
      </c>
      <c r="DM87" s="28" t="e">
        <f>#REF!*2</f>
        <v>#REF!</v>
      </c>
      <c r="DN87" s="27"/>
      <c r="DO87" s="26" t="str" cm="1">
        <f t="array" ref="DO87">_xlfn.IFS(
   OR(CH87="",ISBLANK(CH87),CH87=0),0,
   ISNUMBER(MATCH(CH87,{2,3,5,7,11,13,17,19,23,29,31,37,41,43},0)),"소",
   AND(ISNUMBER(CH87),MOD(CH87,3)=0),"배",
   AND(ISNUMBER(CH87),CH87&gt;0),"자"
)</f>
        <v>배</v>
      </c>
      <c r="DP87" s="26" t="str" cm="1">
        <f t="array" ref="DP87">_xlfn.IFS(
   OR(CI87="",ISBLANK(CI87),CI87=0),0,
   ISNUMBER(MATCH(CI87,{2,3,5,7,11,13,17,19,23,29,31,37,41,43},0)),"소",
   AND(ISNUMBER(CI87),MOD(CI87,3)=0),"배",
   AND(ISNUMBER(CI87),CI87&gt;0),"자"
)</f>
        <v>소</v>
      </c>
      <c r="DQ87" s="26" t="str" cm="1">
        <f t="array" ref="DQ87">_xlfn.IFS(
   OR(CJ87="",ISBLANK(CJ87),CJ87=0),0,
   ISNUMBER(MATCH(CJ87,{2,3,5,7,11,13,17,19,23,29,31,37,41,43},0)),"소",
   AND(ISNUMBER(CJ87),MOD(CJ87,3)=0),"배",
   AND(ISNUMBER(CJ87),CJ87&gt;0),"자"
)</f>
        <v>배</v>
      </c>
      <c r="DR87" s="26" t="str" cm="1">
        <f t="array" ref="DR87">_xlfn.IFS(
   OR(CK87="",ISBLANK(CK87),CK87=0),0,
   ISNUMBER(MATCH(CK87,{2,3,5,7,11,13,17,19,23,29,31,37,41,43},0)),"소",
   AND(ISNUMBER(CK87),MOD(CK87,3)=0),"배",
   AND(ISNUMBER(CK87),CK87&gt;0),"자"
)</f>
        <v>소</v>
      </c>
      <c r="DS87" s="26" t="str" cm="1">
        <f t="array" ref="DS87">_xlfn.IFS(
   OR(CL87="",ISBLANK(CL87),CL87=0),0,
   ISNUMBER(MATCH(CL87,{2,3,5,7,11,13,17,19,23,29,31,37,41,43},0)),"소",
   AND(ISNUMBER(CL87),MOD(CL87,3)=0),"배",
   AND(ISNUMBER(CL87),CL87&gt;0),"자"
)</f>
        <v>자</v>
      </c>
      <c r="DT87" s="25"/>
    </row>
    <row r="88" spans="1:124" x14ac:dyDescent="0.3">
      <c r="B88" s="3">
        <v>5</v>
      </c>
      <c r="C88" s="3">
        <v>12</v>
      </c>
      <c r="D88" s="3">
        <v>24</v>
      </c>
      <c r="E88" s="3">
        <v>26</v>
      </c>
      <c r="F88" s="3">
        <v>39</v>
      </c>
      <c r="G88" s="3">
        <v>42</v>
      </c>
      <c r="H88" s="32"/>
      <c r="I88" s="3">
        <f>IF(OR(B88="",ISBLANK(B88),B88=0),0,IF(MOD(B88,2)=1,1,2))</f>
        <v>1</v>
      </c>
      <c r="J88" s="3">
        <f>IF(OR(C88="",ISBLANK(C88),C88=0),0,IF(MOD(C88,2)=1,1,2))</f>
        <v>2</v>
      </c>
      <c r="K88" s="3">
        <f>IF(OR(D88="",ISBLANK(D88),D88=0),0,IF(MOD(D88,2)=1,1,2))</f>
        <v>2</v>
      </c>
      <c r="L88" s="3">
        <f>IF(OR(E88="",ISBLANK(E88),E88=0),0,IF(MOD(E88,2)=1,1,2))</f>
        <v>2</v>
      </c>
      <c r="M88" s="3">
        <f>IF(OR(F88="",ISBLANK(F88),F88=0),0,IF(MOD(F88,2)=1,1,2))</f>
        <v>1</v>
      </c>
      <c r="N88" s="3">
        <f>IF(OR(G88="",ISBLANK(G88),G88=0),0,IF(MOD(G88,2)=1,1,2))</f>
        <v>2</v>
      </c>
      <c r="O88" s="32"/>
      <c r="P88" s="3" cm="1">
        <f t="array" ref="P88">SUMPRODUCT(--(MOD(B88:G88,2)=1))</f>
        <v>2</v>
      </c>
      <c r="Q88" s="3">
        <f>6-P88</f>
        <v>4</v>
      </c>
      <c r="R88" s="34"/>
      <c r="S88" s="3">
        <f>COUNTIFS(B88:G88,"&gt;=1",B88:G88,"&lt;=23")</f>
        <v>2</v>
      </c>
      <c r="T88" s="3">
        <f>6-S88</f>
        <v>4</v>
      </c>
      <c r="U88" s="34"/>
      <c r="V88" s="3" cm="1">
        <f t="array" ref="V88">SUMPRODUCT(--(MOD(B88:G88,10)&gt;=1), --(MOD(B88:G88,10)&lt;=5))</f>
        <v>4</v>
      </c>
      <c r="W88" s="3">
        <f>6-V88</f>
        <v>2</v>
      </c>
      <c r="X88" s="34"/>
      <c r="Y88" s="3" cm="1">
        <f t="array" ref="Y88">IFERROR(COUNT(_xlfn._xlws.FILTER(B88:G88, ISNUMBER(MATCH(B88:G88, {2,3,5,7,11,13,17,19,23,29,31,37,41,43}, 0)))), 0)</f>
        <v>1</v>
      </c>
      <c r="Z88" s="3" cm="1">
        <f t="array" ref="Z88">IFERROR(COUNT(_xlfn._xlws.FILTER(B88:G88, ISNUMBER(MATCH(B88:G88, {1,4,8,10,14,16,20,22,25,26,28,32,34,35,38,40,44}, 0)))), 0)</f>
        <v>1</v>
      </c>
      <c r="AA88" s="3" cm="1">
        <f t="array" ref="AA88">IFERROR(COUNT(_xlfn._xlws.FILTER(B88:G88, ISNUMBER(MATCH(B88:G88, {6,9,12,15,18,21,24,27,30,33,36,39,42,45}, 0)))), 0)</f>
        <v>4</v>
      </c>
      <c r="AB88" s="30"/>
      <c r="AC88" s="26" t="str" cm="1">
        <f t="array" ref="AC88">_xlfn.IFS(
   OR(B88="",ISBLANK(B88),B88=0),0,
   ISNUMBER(MATCH(B88,{2,3,5,7,11,13,17,19,23,29,31,37,41,43},0)),"소",
   AND(ISNUMBER(B88),MOD(B88,3)=0),"배",
   AND(ISNUMBER(B88),B88&gt;0),"자"
)</f>
        <v>소</v>
      </c>
      <c r="AD88" s="26" t="str" cm="1">
        <f t="array" ref="AD88">_xlfn.IFS(
   OR(C88="",ISBLANK(C88),C88=0),0,
   ISNUMBER(MATCH(C88,{2,3,5,7,11,13,17,19,23,29,31,37,41,43},0)),"소",
   AND(ISNUMBER(C88),MOD(C88,3)=0),"배",
   AND(ISNUMBER(C88),C88&gt;0),"자"
)</f>
        <v>배</v>
      </c>
      <c r="AE88" s="26" t="str" cm="1">
        <f t="array" ref="AE88">_xlfn.IFS(
   OR(D88="",ISBLANK(D88),D88=0),0,
   ISNUMBER(MATCH(D88,{2,3,5,7,11,13,17,19,23,29,31,37,41,43},0)),"소",
   AND(ISNUMBER(D88),MOD(D88,3)=0),"배",
   AND(ISNUMBER(D88),D88&gt;0),"자"
)</f>
        <v>배</v>
      </c>
      <c r="AF88" s="26" t="str" cm="1">
        <f t="array" ref="AF88">_xlfn.IFS(
   OR(E88="",ISBLANK(E88),E88=0),0,
   ISNUMBER(MATCH(E88,{2,3,5,7,11,13,17,19,23,29,31,37,41,43},0)),"소",
   AND(ISNUMBER(E88),MOD(E88,3)=0),"배",
   AND(ISNUMBER(E88),E88&gt;0),"자"
)</f>
        <v>자</v>
      </c>
      <c r="AG88" s="26" t="str" cm="1">
        <f t="array" ref="AG88">_xlfn.IFS(
   OR(F88="",ISBLANK(F88),F88=0),0,
   ISNUMBER(MATCH(F88,{2,3,5,7,11,13,17,19,23,29,31,37,41,43},0)),"소",
   AND(ISNUMBER(F88),MOD(F88,3)=0),"배",
   AND(ISNUMBER(F88),F88&gt;0),"자"
)</f>
        <v>배</v>
      </c>
      <c r="AH88" s="26" t="str" cm="1">
        <f t="array" ref="AH88">_xlfn.IFS(
   OR(G88="",ISBLANK(G88),G88=0),0,
   ISNUMBER(MATCH(G88,{2,3,5,7,11,13,17,19,23,29,31,37,41,43},0)),"소",
   AND(ISNUMBER(G88),MOD(G88,3)=0),"배",
   AND(ISNUMBER(G88),G88&gt;0),"자"
)</f>
        <v>배</v>
      </c>
      <c r="AI88" s="30"/>
      <c r="AJ88" s="3">
        <f>COUNTIFS(B88:G88,"&gt;=1",B88:G88,"&lt;=14")</f>
        <v>2</v>
      </c>
      <c r="AK88" s="3">
        <f>COUNTIFS(B88:G88,"&gt;=15",B88:G88,"&lt;=31")</f>
        <v>2</v>
      </c>
      <c r="AL88" s="3">
        <f>6-AK88-AJ88</f>
        <v>2</v>
      </c>
      <c r="AM88" s="33"/>
      <c r="AN88" s="3">
        <f>COUNTIFS($B88:$G88, "&gt;=1",$B88:$G88, "&lt;=9")</f>
        <v>1</v>
      </c>
      <c r="AO88" s="3">
        <f>COUNTIFS($B88:$G88, "&gt;=10",$B88:$G88, "&lt;=18")</f>
        <v>1</v>
      </c>
      <c r="AP88" s="3">
        <f>COUNTIFS($B88:$G88, "&gt;=19",$B88:$G88, "&lt;=27")</f>
        <v>2</v>
      </c>
      <c r="AQ88" s="3">
        <f>COUNTIFS($B88:$G88, "&gt;=28",$B88:$G88, "&lt;=36")</f>
        <v>0</v>
      </c>
      <c r="AR88" s="3">
        <f>COUNTIFS($B88:$G88, "&gt;=37",$B88:$G88, "&lt;=45")</f>
        <v>2</v>
      </c>
      <c r="AS88" s="28" t="e">
        <f>#REF!</f>
        <v>#REF!</v>
      </c>
      <c r="AT88" s="28" t="e">
        <f>#REF!*2</f>
        <v>#REF!</v>
      </c>
      <c r="AU88" s="28" t="e">
        <f>#REF!</f>
        <v>#REF!</v>
      </c>
      <c r="AV88" s="28" t="e">
        <f>#REF!*2</f>
        <v>#REF!</v>
      </c>
      <c r="AW88" s="28" t="e">
        <f>#REF!</f>
        <v>#REF!</v>
      </c>
      <c r="AX88" s="28" t="e">
        <f>#REF!*2</f>
        <v>#REF!</v>
      </c>
      <c r="AY88" s="28" t="e">
        <f>#REF!</f>
        <v>#REF!</v>
      </c>
      <c r="AZ88" s="28" t="e">
        <f>#REF!*2</f>
        <v>#REF!</v>
      </c>
      <c r="BA88" s="28" t="e">
        <f>#REF!</f>
        <v>#REF!</v>
      </c>
      <c r="BB88" s="28" t="e">
        <f>#REF!*2</f>
        <v>#REF!</v>
      </c>
      <c r="BC88" s="28" t="e">
        <f>#REF!</f>
        <v>#REF!</v>
      </c>
      <c r="BD88" s="28" t="e">
        <f>#REF!*2</f>
        <v>#REF!</v>
      </c>
      <c r="BE88" s="9" t="e">
        <f>#REF!-#REF!</f>
        <v>#REF!</v>
      </c>
      <c r="BF88" s="9" t="e">
        <f>#REF!-#REF!</f>
        <v>#REF!</v>
      </c>
      <c r="BG88" s="9" t="e">
        <f>#REF!-#REF!</f>
        <v>#REF!</v>
      </c>
      <c r="BH88" s="9" t="e">
        <f>#REF!-#REF!</f>
        <v>#REF!</v>
      </c>
      <c r="BI88" s="9" t="e">
        <f>#REF!-#REF!</f>
        <v>#REF!</v>
      </c>
      <c r="BJ88" s="33"/>
      <c r="BK88" s="3">
        <f>COUNTIFS(B88:G88, "&gt;=1", B88:G88, "&lt;=9")</f>
        <v>1</v>
      </c>
      <c r="BL88" s="3">
        <f>COUNTIFS(B88:G88, "&gt;=10", B88:G88, "&lt;=19")</f>
        <v>1</v>
      </c>
      <c r="BM88" s="3">
        <f>COUNTIFS(B88:G88, "&gt;=20", B88:G88, "&lt;=29")</f>
        <v>2</v>
      </c>
      <c r="BN88" s="3">
        <f>COUNTIFS(B88:G88, "&gt;=30", B88:G88, "&lt;=39")</f>
        <v>1</v>
      </c>
      <c r="BO88" s="3">
        <f>COUNTIFS(B88:G88, "&gt;=40", B88:G88, "&lt;=45")</f>
        <v>1</v>
      </c>
      <c r="BP88" s="28" t="e">
        <f>#REF!</f>
        <v>#REF!</v>
      </c>
      <c r="BQ88" s="28" t="e">
        <f>#REF!*2</f>
        <v>#REF!</v>
      </c>
      <c r="BR88" s="28" t="e">
        <f>#REF!</f>
        <v>#REF!</v>
      </c>
      <c r="BS88" s="28" t="e">
        <f>#REF!*2</f>
        <v>#REF!</v>
      </c>
      <c r="BT88" s="28" t="e">
        <f>#REF!</f>
        <v>#REF!</v>
      </c>
      <c r="BU88" s="28" t="e">
        <f>#REF!*2</f>
        <v>#REF!</v>
      </c>
      <c r="BV88" s="28" t="e">
        <f>#REF!</f>
        <v>#REF!</v>
      </c>
      <c r="BW88" s="28" t="e">
        <f>#REF!*2</f>
        <v>#REF!</v>
      </c>
      <c r="BX88" s="28" t="e">
        <f>#REF!</f>
        <v>#REF!</v>
      </c>
      <c r="BY88" s="28" t="e">
        <f>#REF!*2</f>
        <v>#REF!</v>
      </c>
      <c r="BZ88" s="28" t="e">
        <f>#REF!</f>
        <v>#REF!</v>
      </c>
      <c r="CA88" s="28" t="e">
        <f>#REF!*2</f>
        <v>#REF!</v>
      </c>
      <c r="CB88" s="9">
        <f>C88-B88</f>
        <v>7</v>
      </c>
      <c r="CC88" s="9">
        <f>D88-C88</f>
        <v>12</v>
      </c>
      <c r="CD88" s="9">
        <f>E88-D88</f>
        <v>2</v>
      </c>
      <c r="CE88" s="9">
        <f>F88-E88</f>
        <v>13</v>
      </c>
      <c r="CF88" s="9">
        <f>G88-F88</f>
        <v>3</v>
      </c>
      <c r="CG88" s="33"/>
      <c r="CH88" s="9">
        <f>C88-B88</f>
        <v>7</v>
      </c>
      <c r="CI88" s="9">
        <f>D88-C88</f>
        <v>12</v>
      </c>
      <c r="CJ88" s="9">
        <f>E88-D88</f>
        <v>2</v>
      </c>
      <c r="CK88" s="9">
        <f>F88-E88</f>
        <v>13</v>
      </c>
      <c r="CL88" s="9">
        <f>G88-F88</f>
        <v>3</v>
      </c>
      <c r="CM88" s="32"/>
      <c r="CN88" s="3">
        <f>IF(OR(CH88="",ISBLANK(CH88),CH88=0),0,IF(MOD(CH88,2)=1,1,2))</f>
        <v>1</v>
      </c>
      <c r="CO88" s="3">
        <f>IF(OR(CI88="",ISBLANK(CI88),CI88=0),0,IF(MOD(CI88,2)=1,1,2))</f>
        <v>2</v>
      </c>
      <c r="CP88" s="3">
        <f>IF(OR(CJ88="",ISBLANK(CJ88),CJ88=0),0,IF(MOD(CJ88,2)=1,1,2))</f>
        <v>2</v>
      </c>
      <c r="CQ88" s="3">
        <f>IF(OR(CK88="",ISBLANK(CK88),CK88=0),0,IF(MOD(CK88,2)=1,1,2))</f>
        <v>1</v>
      </c>
      <c r="CR88" s="3">
        <f>IF(OR(CL88="",ISBLANK(CL88),CL88=0),0,IF(MOD(CL88,2)=1,1,2))</f>
        <v>1</v>
      </c>
      <c r="CS88" s="31"/>
      <c r="CT88" s="3" cm="1">
        <f t="array" ref="CT88">SUMPRODUCT(--(MOD(CH88:CL88,2)=1))</f>
        <v>3</v>
      </c>
      <c r="CU88" s="3">
        <f>5-CT88</f>
        <v>2</v>
      </c>
      <c r="CV88" s="30"/>
      <c r="CW88" s="3" cm="1">
        <f t="array" ref="CW88">SUMPRODUCT(--(MOD(CH88:CL88,10)&gt;=1), --(MOD(CH88:CL88,10)&lt;=5))</f>
        <v>4</v>
      </c>
      <c r="CX88" s="3">
        <f>5-CW88</f>
        <v>1</v>
      </c>
      <c r="CY88" s="30"/>
      <c r="CZ88" s="3" cm="1">
        <f t="array" ref="CZ88">IFERROR(COUNT(_xlfn._xlws.FILTER(CH88:CL88, ISNUMBER(MATCH(CH88:CL88, {2,3,5,7,11,13,17,19,23,29,31,37,41,43}, 0)))), 0)</f>
        <v>4</v>
      </c>
      <c r="DA88" s="3" cm="1">
        <f t="array" ref="DA88">IFERROR(COUNT(_xlfn._xlws.FILTER(CH88:CL88, ISNUMBER(MATCH(CH88:CL88, {1,4,8,10,14,16,20,22,25,26,28,32,34,35,38,40,44}, 0)))), 0)</f>
        <v>0</v>
      </c>
      <c r="DB88" s="3" cm="1">
        <f t="array" ref="DB88">IFERROR(COUNT(_xlfn._xlws.FILTER(CH88:CL88, ISNUMBER(MATCH(CH88:CL88, {6,9,12,15,18,21,24,27,30,33,36,39,42,45}, 0)))), 0)</f>
        <v>1</v>
      </c>
      <c r="DC88" s="29"/>
      <c r="DD88" s="28" t="e">
        <f>#REF!</f>
        <v>#REF!</v>
      </c>
      <c r="DE88" s="28" t="e">
        <f>#REF!*2</f>
        <v>#REF!</v>
      </c>
      <c r="DF88" s="28" t="e">
        <f>#REF!</f>
        <v>#REF!</v>
      </c>
      <c r="DG88" s="28" t="e">
        <f>#REF!*2</f>
        <v>#REF!</v>
      </c>
      <c r="DH88" s="28" t="e">
        <f>#REF!</f>
        <v>#REF!</v>
      </c>
      <c r="DI88" s="28" t="e">
        <f>#REF!*2</f>
        <v>#REF!</v>
      </c>
      <c r="DJ88" s="28" t="e">
        <f>#REF!</f>
        <v>#REF!</v>
      </c>
      <c r="DK88" s="28" t="e">
        <f>#REF!*2</f>
        <v>#REF!</v>
      </c>
      <c r="DL88" s="28" t="e">
        <f>#REF!</f>
        <v>#REF!</v>
      </c>
      <c r="DM88" s="28" t="e">
        <f>#REF!*2</f>
        <v>#REF!</v>
      </c>
      <c r="DN88" s="27"/>
      <c r="DO88" s="26" t="str" cm="1">
        <f t="array" ref="DO88">_xlfn.IFS(
   OR(CH88="",ISBLANK(CH88),CH88=0),0,
   ISNUMBER(MATCH(CH88,{2,3,5,7,11,13,17,19,23,29,31,37,41,43},0)),"소",
   AND(ISNUMBER(CH88),MOD(CH88,3)=0),"배",
   AND(ISNUMBER(CH88),CH88&gt;0),"자"
)</f>
        <v>소</v>
      </c>
      <c r="DP88" s="26" t="str" cm="1">
        <f t="array" ref="DP88">_xlfn.IFS(
   OR(CI88="",ISBLANK(CI88),CI88=0),0,
   ISNUMBER(MATCH(CI88,{2,3,5,7,11,13,17,19,23,29,31,37,41,43},0)),"소",
   AND(ISNUMBER(CI88),MOD(CI88,3)=0),"배",
   AND(ISNUMBER(CI88),CI88&gt;0),"자"
)</f>
        <v>배</v>
      </c>
      <c r="DQ88" s="26" t="str" cm="1">
        <f t="array" ref="DQ88">_xlfn.IFS(
   OR(CJ88="",ISBLANK(CJ88),CJ88=0),0,
   ISNUMBER(MATCH(CJ88,{2,3,5,7,11,13,17,19,23,29,31,37,41,43},0)),"소",
   AND(ISNUMBER(CJ88),MOD(CJ88,3)=0),"배",
   AND(ISNUMBER(CJ88),CJ88&gt;0),"자"
)</f>
        <v>소</v>
      </c>
      <c r="DR88" s="26" t="str" cm="1">
        <f t="array" ref="DR88">_xlfn.IFS(
   OR(CK88="",ISBLANK(CK88),CK88=0),0,
   ISNUMBER(MATCH(CK88,{2,3,5,7,11,13,17,19,23,29,31,37,41,43},0)),"소",
   AND(ISNUMBER(CK88),MOD(CK88,3)=0),"배",
   AND(ISNUMBER(CK88),CK88&gt;0),"자"
)</f>
        <v>소</v>
      </c>
      <c r="DS88" s="26" t="str" cm="1">
        <f t="array" ref="DS88">_xlfn.IFS(
   OR(CL88="",ISBLANK(CL88),CL88=0),0,
   ISNUMBER(MATCH(CL88,{2,3,5,7,11,13,17,19,23,29,31,37,41,43},0)),"소",
   AND(ISNUMBER(CL88),MOD(CL88,3)=0),"배",
   AND(ISNUMBER(CL88),CL88&gt;0),"자"
)</f>
        <v>소</v>
      </c>
      <c r="DT88" s="25"/>
    </row>
    <row r="89" spans="1:124" x14ac:dyDescent="0.3">
      <c r="B89" s="3">
        <v>3</v>
      </c>
      <c r="C89" s="3">
        <v>13</v>
      </c>
      <c r="D89" s="3">
        <v>28</v>
      </c>
      <c r="E89" s="3">
        <v>34</v>
      </c>
      <c r="F89" s="3">
        <v>38</v>
      </c>
      <c r="G89" s="3">
        <v>42</v>
      </c>
      <c r="H89" s="32"/>
      <c r="I89" s="3">
        <f>IF(OR(B89="",ISBLANK(B89),B89=0),0,IF(MOD(B89,2)=1,1,2))</f>
        <v>1</v>
      </c>
      <c r="J89" s="3">
        <f>IF(OR(C89="",ISBLANK(C89),C89=0),0,IF(MOD(C89,2)=1,1,2))</f>
        <v>1</v>
      </c>
      <c r="K89" s="3">
        <f>IF(OR(D89="",ISBLANK(D89),D89=0),0,IF(MOD(D89,2)=1,1,2))</f>
        <v>2</v>
      </c>
      <c r="L89" s="3">
        <f>IF(OR(E89="",ISBLANK(E89),E89=0),0,IF(MOD(E89,2)=1,1,2))</f>
        <v>2</v>
      </c>
      <c r="M89" s="3">
        <f>IF(OR(F89="",ISBLANK(F89),F89=0),0,IF(MOD(F89,2)=1,1,2))</f>
        <v>2</v>
      </c>
      <c r="N89" s="3">
        <f>IF(OR(G89="",ISBLANK(G89),G89=0),0,IF(MOD(G89,2)=1,1,2))</f>
        <v>2</v>
      </c>
      <c r="O89" s="32"/>
      <c r="P89" s="3" cm="1">
        <f t="array" ref="P89">SUMPRODUCT(--(MOD(B89:G89,2)=1))</f>
        <v>2</v>
      </c>
      <c r="Q89" s="3">
        <f>6-P89</f>
        <v>4</v>
      </c>
      <c r="R89" s="34"/>
      <c r="S89" s="3">
        <f>COUNTIFS(B89:G89,"&gt;=1",B89:G89,"&lt;=23")</f>
        <v>2</v>
      </c>
      <c r="T89" s="3">
        <f>6-S89</f>
        <v>4</v>
      </c>
      <c r="U89" s="34"/>
      <c r="V89" s="3" cm="1">
        <f t="array" ref="V89">SUMPRODUCT(--(MOD(B89:G89,10)&gt;=1), --(MOD(B89:G89,10)&lt;=5))</f>
        <v>4</v>
      </c>
      <c r="W89" s="3">
        <f>6-V89</f>
        <v>2</v>
      </c>
      <c r="X89" s="34"/>
      <c r="Y89" s="3" cm="1">
        <f t="array" ref="Y89">IFERROR(COUNT(_xlfn._xlws.FILTER(B89:G89, ISNUMBER(MATCH(B89:G89, {2,3,5,7,11,13,17,19,23,29,31,37,41,43}, 0)))), 0)</f>
        <v>2</v>
      </c>
      <c r="Z89" s="3" cm="1">
        <f t="array" ref="Z89">IFERROR(COUNT(_xlfn._xlws.FILTER(B89:G89, ISNUMBER(MATCH(B89:G89, {1,4,8,10,14,16,20,22,25,26,28,32,34,35,38,40,44}, 0)))), 0)</f>
        <v>3</v>
      </c>
      <c r="AA89" s="3" cm="1">
        <f t="array" ref="AA89">IFERROR(COUNT(_xlfn._xlws.FILTER(B89:G89, ISNUMBER(MATCH(B89:G89, {6,9,12,15,18,21,24,27,30,33,36,39,42,45}, 0)))), 0)</f>
        <v>1</v>
      </c>
      <c r="AB89" s="30"/>
      <c r="AC89" s="26" t="str" cm="1">
        <f t="array" ref="AC89">_xlfn.IFS(
   OR(B89="",ISBLANK(B89),B89=0),0,
   ISNUMBER(MATCH(B89,{2,3,5,7,11,13,17,19,23,29,31,37,41,43},0)),"소",
   AND(ISNUMBER(B89),MOD(B89,3)=0),"배",
   AND(ISNUMBER(B89),B89&gt;0),"자"
)</f>
        <v>소</v>
      </c>
      <c r="AD89" s="26" t="str" cm="1">
        <f t="array" ref="AD89">_xlfn.IFS(
   OR(C89="",ISBLANK(C89),C89=0),0,
   ISNUMBER(MATCH(C89,{2,3,5,7,11,13,17,19,23,29,31,37,41,43},0)),"소",
   AND(ISNUMBER(C89),MOD(C89,3)=0),"배",
   AND(ISNUMBER(C89),C89&gt;0),"자"
)</f>
        <v>소</v>
      </c>
      <c r="AE89" s="26" t="str" cm="1">
        <f t="array" ref="AE89">_xlfn.IFS(
   OR(D89="",ISBLANK(D89),D89=0),0,
   ISNUMBER(MATCH(D89,{2,3,5,7,11,13,17,19,23,29,31,37,41,43},0)),"소",
   AND(ISNUMBER(D89),MOD(D89,3)=0),"배",
   AND(ISNUMBER(D89),D89&gt;0),"자"
)</f>
        <v>자</v>
      </c>
      <c r="AF89" s="26" t="str" cm="1">
        <f t="array" ref="AF89">_xlfn.IFS(
   OR(E89="",ISBLANK(E89),E89=0),0,
   ISNUMBER(MATCH(E89,{2,3,5,7,11,13,17,19,23,29,31,37,41,43},0)),"소",
   AND(ISNUMBER(E89),MOD(E89,3)=0),"배",
   AND(ISNUMBER(E89),E89&gt;0),"자"
)</f>
        <v>자</v>
      </c>
      <c r="AG89" s="26" t="str" cm="1">
        <f t="array" ref="AG89">_xlfn.IFS(
   OR(F89="",ISBLANK(F89),F89=0),0,
   ISNUMBER(MATCH(F89,{2,3,5,7,11,13,17,19,23,29,31,37,41,43},0)),"소",
   AND(ISNUMBER(F89),MOD(F89,3)=0),"배",
   AND(ISNUMBER(F89),F89&gt;0),"자"
)</f>
        <v>자</v>
      </c>
      <c r="AH89" s="26" t="str" cm="1">
        <f t="array" ref="AH89">_xlfn.IFS(
   OR(G89="",ISBLANK(G89),G89=0),0,
   ISNUMBER(MATCH(G89,{2,3,5,7,11,13,17,19,23,29,31,37,41,43},0)),"소",
   AND(ISNUMBER(G89),MOD(G89,3)=0),"배",
   AND(ISNUMBER(G89),G89&gt;0),"자"
)</f>
        <v>배</v>
      </c>
      <c r="AI89" s="30"/>
      <c r="AJ89" s="3">
        <f>COUNTIFS(B89:G89,"&gt;=1",B89:G89,"&lt;=14")</f>
        <v>2</v>
      </c>
      <c r="AK89" s="3">
        <f>COUNTIFS(B89:G89,"&gt;=15",B89:G89,"&lt;=31")</f>
        <v>1</v>
      </c>
      <c r="AL89" s="3">
        <f>6-AK89-AJ89</f>
        <v>3</v>
      </c>
      <c r="AM89" s="33"/>
      <c r="AN89" s="3">
        <f>COUNTIFS($B89:$G89, "&gt;=1",$B89:$G89, "&lt;=9")</f>
        <v>1</v>
      </c>
      <c r="AO89" s="3">
        <f>COUNTIFS($B89:$G89, "&gt;=10",$B89:$G89, "&lt;=18")</f>
        <v>1</v>
      </c>
      <c r="AP89" s="3">
        <f>COUNTIFS($B89:$G89, "&gt;=19",$B89:$G89, "&lt;=27")</f>
        <v>0</v>
      </c>
      <c r="AQ89" s="3">
        <f>COUNTIFS($B89:$G89, "&gt;=28",$B89:$G89, "&lt;=36")</f>
        <v>2</v>
      </c>
      <c r="AR89" s="3">
        <f>COUNTIFS($B89:$G89, "&gt;=37",$B89:$G89, "&lt;=45")</f>
        <v>2</v>
      </c>
      <c r="AS89" s="28" t="e">
        <f>#REF!</f>
        <v>#REF!</v>
      </c>
      <c r="AT89" s="28" t="e">
        <f>#REF!*2</f>
        <v>#REF!</v>
      </c>
      <c r="AU89" s="28" t="e">
        <f>#REF!</f>
        <v>#REF!</v>
      </c>
      <c r="AV89" s="28" t="e">
        <f>#REF!*2</f>
        <v>#REF!</v>
      </c>
      <c r="AW89" s="28" t="e">
        <f>#REF!</f>
        <v>#REF!</v>
      </c>
      <c r="AX89" s="28" t="e">
        <f>#REF!*2</f>
        <v>#REF!</v>
      </c>
      <c r="AY89" s="28" t="e">
        <f>#REF!</f>
        <v>#REF!</v>
      </c>
      <c r="AZ89" s="28" t="e">
        <f>#REF!*2</f>
        <v>#REF!</v>
      </c>
      <c r="BA89" s="28" t="e">
        <f>#REF!</f>
        <v>#REF!</v>
      </c>
      <c r="BB89" s="28" t="e">
        <f>#REF!*2</f>
        <v>#REF!</v>
      </c>
      <c r="BC89" s="28" t="e">
        <f>#REF!</f>
        <v>#REF!</v>
      </c>
      <c r="BD89" s="28" t="e">
        <f>#REF!*2</f>
        <v>#REF!</v>
      </c>
      <c r="BE89" s="9" t="e">
        <f>#REF!-#REF!</f>
        <v>#REF!</v>
      </c>
      <c r="BF89" s="9" t="e">
        <f>#REF!-#REF!</f>
        <v>#REF!</v>
      </c>
      <c r="BG89" s="9" t="e">
        <f>#REF!-#REF!</f>
        <v>#REF!</v>
      </c>
      <c r="BH89" s="9" t="e">
        <f>#REF!-#REF!</f>
        <v>#REF!</v>
      </c>
      <c r="BI89" s="9" t="e">
        <f>#REF!-#REF!</f>
        <v>#REF!</v>
      </c>
      <c r="BJ89" s="33"/>
      <c r="BK89" s="3">
        <f>COUNTIFS(B89:G89, "&gt;=1", B89:G89, "&lt;=9")</f>
        <v>1</v>
      </c>
      <c r="BL89" s="3">
        <f>COUNTIFS(B89:G89, "&gt;=10", B89:G89, "&lt;=19")</f>
        <v>1</v>
      </c>
      <c r="BM89" s="3">
        <f>COUNTIFS(B89:G89, "&gt;=20", B89:G89, "&lt;=29")</f>
        <v>1</v>
      </c>
      <c r="BN89" s="3">
        <f>COUNTIFS(B89:G89, "&gt;=30", B89:G89, "&lt;=39")</f>
        <v>2</v>
      </c>
      <c r="BO89" s="3">
        <f>COUNTIFS(B89:G89, "&gt;=40", B89:G89, "&lt;=45")</f>
        <v>1</v>
      </c>
      <c r="BP89" s="28" t="e">
        <f>#REF!</f>
        <v>#REF!</v>
      </c>
      <c r="BQ89" s="28" t="e">
        <f>#REF!*2</f>
        <v>#REF!</v>
      </c>
      <c r="BR89" s="28" t="e">
        <f>#REF!</f>
        <v>#REF!</v>
      </c>
      <c r="BS89" s="28" t="e">
        <f>#REF!*2</f>
        <v>#REF!</v>
      </c>
      <c r="BT89" s="28" t="e">
        <f>#REF!</f>
        <v>#REF!</v>
      </c>
      <c r="BU89" s="28" t="e">
        <f>#REF!*2</f>
        <v>#REF!</v>
      </c>
      <c r="BV89" s="28" t="e">
        <f>#REF!</f>
        <v>#REF!</v>
      </c>
      <c r="BW89" s="28" t="e">
        <f>#REF!*2</f>
        <v>#REF!</v>
      </c>
      <c r="BX89" s="28" t="e">
        <f>#REF!</f>
        <v>#REF!</v>
      </c>
      <c r="BY89" s="28" t="e">
        <f>#REF!*2</f>
        <v>#REF!</v>
      </c>
      <c r="BZ89" s="28" t="e">
        <f>#REF!</f>
        <v>#REF!</v>
      </c>
      <c r="CA89" s="28" t="e">
        <f>#REF!*2</f>
        <v>#REF!</v>
      </c>
      <c r="CB89" s="9">
        <f>C89-B89</f>
        <v>10</v>
      </c>
      <c r="CC89" s="9">
        <f>D89-C89</f>
        <v>15</v>
      </c>
      <c r="CD89" s="9">
        <f>E89-D89</f>
        <v>6</v>
      </c>
      <c r="CE89" s="9">
        <f>F89-E89</f>
        <v>4</v>
      </c>
      <c r="CF89" s="9">
        <f>G89-F89</f>
        <v>4</v>
      </c>
      <c r="CG89" s="33"/>
      <c r="CH89" s="9">
        <f>C89-B89</f>
        <v>10</v>
      </c>
      <c r="CI89" s="9">
        <f>D89-C89</f>
        <v>15</v>
      </c>
      <c r="CJ89" s="9">
        <f>E89-D89</f>
        <v>6</v>
      </c>
      <c r="CK89" s="9">
        <f>F89-E89</f>
        <v>4</v>
      </c>
      <c r="CL89" s="9">
        <f>G89-F89</f>
        <v>4</v>
      </c>
      <c r="CM89" s="32"/>
      <c r="CN89" s="3">
        <f>IF(OR(CH89="",ISBLANK(CH89),CH89=0),0,IF(MOD(CH89,2)=1,1,2))</f>
        <v>2</v>
      </c>
      <c r="CO89" s="3">
        <f>IF(OR(CI89="",ISBLANK(CI89),CI89=0),0,IF(MOD(CI89,2)=1,1,2))</f>
        <v>1</v>
      </c>
      <c r="CP89" s="3">
        <f>IF(OR(CJ89="",ISBLANK(CJ89),CJ89=0),0,IF(MOD(CJ89,2)=1,1,2))</f>
        <v>2</v>
      </c>
      <c r="CQ89" s="3">
        <f>IF(OR(CK89="",ISBLANK(CK89),CK89=0),0,IF(MOD(CK89,2)=1,1,2))</f>
        <v>2</v>
      </c>
      <c r="CR89" s="3">
        <f>IF(OR(CL89="",ISBLANK(CL89),CL89=0),0,IF(MOD(CL89,2)=1,1,2))</f>
        <v>2</v>
      </c>
      <c r="CS89" s="31"/>
      <c r="CT89" s="3" cm="1">
        <f t="array" ref="CT89">SUMPRODUCT(--(MOD(CH89:CL89,2)=1))</f>
        <v>1</v>
      </c>
      <c r="CU89" s="3">
        <f>5-CT89</f>
        <v>4</v>
      </c>
      <c r="CV89" s="30"/>
      <c r="CW89" s="3" cm="1">
        <f t="array" ref="CW89">SUMPRODUCT(--(MOD(CH89:CL89,10)&gt;=1), --(MOD(CH89:CL89,10)&lt;=5))</f>
        <v>3</v>
      </c>
      <c r="CX89" s="3">
        <f>5-CW89</f>
        <v>2</v>
      </c>
      <c r="CY89" s="30"/>
      <c r="CZ89" s="3" cm="1">
        <f t="array" ref="CZ89">IFERROR(COUNT(_xlfn._xlws.FILTER(CH89:CL89, ISNUMBER(MATCH(CH89:CL89, {2,3,5,7,11,13,17,19,23,29,31,37,41,43}, 0)))), 0)</f>
        <v>0</v>
      </c>
      <c r="DA89" s="3" cm="1">
        <f t="array" ref="DA89">IFERROR(COUNT(_xlfn._xlws.FILTER(CH89:CL89, ISNUMBER(MATCH(CH89:CL89, {1,4,8,10,14,16,20,22,25,26,28,32,34,35,38,40,44}, 0)))), 0)</f>
        <v>3</v>
      </c>
      <c r="DB89" s="3" cm="1">
        <f t="array" ref="DB89">IFERROR(COUNT(_xlfn._xlws.FILTER(CH89:CL89, ISNUMBER(MATCH(CH89:CL89, {6,9,12,15,18,21,24,27,30,33,36,39,42,45}, 0)))), 0)</f>
        <v>2</v>
      </c>
      <c r="DC89" s="29"/>
      <c r="DD89" s="28" t="e">
        <f>#REF!</f>
        <v>#REF!</v>
      </c>
      <c r="DE89" s="28" t="e">
        <f>#REF!*2</f>
        <v>#REF!</v>
      </c>
      <c r="DF89" s="28" t="e">
        <f>#REF!</f>
        <v>#REF!</v>
      </c>
      <c r="DG89" s="28" t="e">
        <f>#REF!*2</f>
        <v>#REF!</v>
      </c>
      <c r="DH89" s="28" t="e">
        <f>#REF!</f>
        <v>#REF!</v>
      </c>
      <c r="DI89" s="28" t="e">
        <f>#REF!*2</f>
        <v>#REF!</v>
      </c>
      <c r="DJ89" s="28" t="e">
        <f>#REF!</f>
        <v>#REF!</v>
      </c>
      <c r="DK89" s="28" t="e">
        <f>#REF!*2</f>
        <v>#REF!</v>
      </c>
      <c r="DL89" s="28" t="e">
        <f>#REF!</f>
        <v>#REF!</v>
      </c>
      <c r="DM89" s="28" t="e">
        <f>#REF!*2</f>
        <v>#REF!</v>
      </c>
      <c r="DN89" s="27"/>
      <c r="DO89" s="26" t="str" cm="1">
        <f t="array" ref="DO89">_xlfn.IFS(
   OR(CH89="",ISBLANK(CH89),CH89=0),0,
   ISNUMBER(MATCH(CH89,{2,3,5,7,11,13,17,19,23,29,31,37,41,43},0)),"소",
   AND(ISNUMBER(CH89),MOD(CH89,3)=0),"배",
   AND(ISNUMBER(CH89),CH89&gt;0),"자"
)</f>
        <v>자</v>
      </c>
      <c r="DP89" s="26" t="str" cm="1">
        <f t="array" ref="DP89">_xlfn.IFS(
   OR(CI89="",ISBLANK(CI89),CI89=0),0,
   ISNUMBER(MATCH(CI89,{2,3,5,7,11,13,17,19,23,29,31,37,41,43},0)),"소",
   AND(ISNUMBER(CI89),MOD(CI89,3)=0),"배",
   AND(ISNUMBER(CI89),CI89&gt;0),"자"
)</f>
        <v>배</v>
      </c>
      <c r="DQ89" s="26" t="str" cm="1">
        <f t="array" ref="DQ89">_xlfn.IFS(
   OR(CJ89="",ISBLANK(CJ89),CJ89=0),0,
   ISNUMBER(MATCH(CJ89,{2,3,5,7,11,13,17,19,23,29,31,37,41,43},0)),"소",
   AND(ISNUMBER(CJ89),MOD(CJ89,3)=0),"배",
   AND(ISNUMBER(CJ89),CJ89&gt;0),"자"
)</f>
        <v>배</v>
      </c>
      <c r="DR89" s="26" t="str" cm="1">
        <f t="array" ref="DR89">_xlfn.IFS(
   OR(CK89="",ISBLANK(CK89),CK89=0),0,
   ISNUMBER(MATCH(CK89,{2,3,5,7,11,13,17,19,23,29,31,37,41,43},0)),"소",
   AND(ISNUMBER(CK89),MOD(CK89,3)=0),"배",
   AND(ISNUMBER(CK89),CK89&gt;0),"자"
)</f>
        <v>자</v>
      </c>
      <c r="DS89" s="26" t="str" cm="1">
        <f t="array" ref="DS89">_xlfn.IFS(
   OR(CL89="",ISBLANK(CL89),CL89=0),0,
   ISNUMBER(MATCH(CL89,{2,3,5,7,11,13,17,19,23,29,31,37,41,43},0)),"소",
   AND(ISNUMBER(CL89),MOD(CL89,3)=0),"배",
   AND(ISNUMBER(CL89),CL89&gt;0),"자"
)</f>
        <v>자</v>
      </c>
      <c r="DT89" s="25"/>
    </row>
    <row r="90" spans="1:124" x14ac:dyDescent="0.3">
      <c r="B90" s="3">
        <v>3</v>
      </c>
      <c r="C90" s="3">
        <v>6</v>
      </c>
      <c r="D90" s="3">
        <v>7</v>
      </c>
      <c r="E90" s="3">
        <v>11</v>
      </c>
      <c r="F90" s="3">
        <v>12</v>
      </c>
      <c r="G90" s="3">
        <v>17</v>
      </c>
      <c r="H90" s="32"/>
      <c r="I90" s="3">
        <f>IF(OR(B90="",ISBLANK(B90),B90=0),0,IF(MOD(B90,2)=1,1,2))</f>
        <v>1</v>
      </c>
      <c r="J90" s="3">
        <f>IF(OR(C90="",ISBLANK(C90),C90=0),0,IF(MOD(C90,2)=1,1,2))</f>
        <v>2</v>
      </c>
      <c r="K90" s="3">
        <f>IF(OR(D90="",ISBLANK(D90),D90=0),0,IF(MOD(D90,2)=1,1,2))</f>
        <v>1</v>
      </c>
      <c r="L90" s="3">
        <f>IF(OR(E90="",ISBLANK(E90),E90=0),0,IF(MOD(E90,2)=1,1,2))</f>
        <v>1</v>
      </c>
      <c r="M90" s="3">
        <f>IF(OR(F90="",ISBLANK(F90),F90=0),0,IF(MOD(F90,2)=1,1,2))</f>
        <v>2</v>
      </c>
      <c r="N90" s="3">
        <f>IF(OR(G90="",ISBLANK(G90),G90=0),0,IF(MOD(G90,2)=1,1,2))</f>
        <v>1</v>
      </c>
      <c r="O90" s="32"/>
      <c r="P90" s="3" cm="1">
        <f t="array" ref="P90">SUMPRODUCT(--(MOD(B90:G90,2)=1))</f>
        <v>4</v>
      </c>
      <c r="Q90" s="3">
        <f>6-P90</f>
        <v>2</v>
      </c>
      <c r="R90" s="34"/>
      <c r="S90" s="3">
        <f>COUNTIFS(B90:G90,"&gt;=1",B90:G90,"&lt;=23")</f>
        <v>6</v>
      </c>
      <c r="T90" s="3">
        <f>6-S90</f>
        <v>0</v>
      </c>
      <c r="U90" s="34"/>
      <c r="V90" s="3" cm="1">
        <f t="array" ref="V90">SUMPRODUCT(--(MOD(B90:G90,10)&gt;=1), --(MOD(B90:G90,10)&lt;=5))</f>
        <v>3</v>
      </c>
      <c r="W90" s="3">
        <f>6-V90</f>
        <v>3</v>
      </c>
      <c r="X90" s="34"/>
      <c r="Y90" s="3" cm="1">
        <f t="array" ref="Y90">IFERROR(COUNT(_xlfn._xlws.FILTER(B90:G90, ISNUMBER(MATCH(B90:G90, {2,3,5,7,11,13,17,19,23,29,31,37,41,43}, 0)))), 0)</f>
        <v>4</v>
      </c>
      <c r="Z90" s="3" cm="1">
        <f t="array" ref="Z90">IFERROR(COUNT(_xlfn._xlws.FILTER(B90:G90, ISNUMBER(MATCH(B90:G90, {1,4,8,10,14,16,20,22,25,26,28,32,34,35,38,40,44}, 0)))), 0)</f>
        <v>0</v>
      </c>
      <c r="AA90" s="3" cm="1">
        <f t="array" ref="AA90">IFERROR(COUNT(_xlfn._xlws.FILTER(B90:G90, ISNUMBER(MATCH(B90:G90, {6,9,12,15,18,21,24,27,30,33,36,39,42,45}, 0)))), 0)</f>
        <v>2</v>
      </c>
      <c r="AB90" s="30"/>
      <c r="AC90" s="26" t="str" cm="1">
        <f t="array" ref="AC90">_xlfn.IFS(
   OR(B90="",ISBLANK(B90),B90=0),0,
   ISNUMBER(MATCH(B90,{2,3,5,7,11,13,17,19,23,29,31,37,41,43},0)),"소",
   AND(ISNUMBER(B90),MOD(B90,3)=0),"배",
   AND(ISNUMBER(B90),B90&gt;0),"자"
)</f>
        <v>소</v>
      </c>
      <c r="AD90" s="26" t="str" cm="1">
        <f t="array" ref="AD90">_xlfn.IFS(
   OR(C90="",ISBLANK(C90),C90=0),0,
   ISNUMBER(MATCH(C90,{2,3,5,7,11,13,17,19,23,29,31,37,41,43},0)),"소",
   AND(ISNUMBER(C90),MOD(C90,3)=0),"배",
   AND(ISNUMBER(C90),C90&gt;0),"자"
)</f>
        <v>배</v>
      </c>
      <c r="AE90" s="26" t="str" cm="1">
        <f t="array" ref="AE90">_xlfn.IFS(
   OR(D90="",ISBLANK(D90),D90=0),0,
   ISNUMBER(MATCH(D90,{2,3,5,7,11,13,17,19,23,29,31,37,41,43},0)),"소",
   AND(ISNUMBER(D90),MOD(D90,3)=0),"배",
   AND(ISNUMBER(D90),D90&gt;0),"자"
)</f>
        <v>소</v>
      </c>
      <c r="AF90" s="26" t="str" cm="1">
        <f t="array" ref="AF90">_xlfn.IFS(
   OR(E90="",ISBLANK(E90),E90=0),0,
   ISNUMBER(MATCH(E90,{2,3,5,7,11,13,17,19,23,29,31,37,41,43},0)),"소",
   AND(ISNUMBER(E90),MOD(E90,3)=0),"배",
   AND(ISNUMBER(E90),E90&gt;0),"자"
)</f>
        <v>소</v>
      </c>
      <c r="AG90" s="26" t="str" cm="1">
        <f t="array" ref="AG90">_xlfn.IFS(
   OR(F90="",ISBLANK(F90),F90=0),0,
   ISNUMBER(MATCH(F90,{2,3,5,7,11,13,17,19,23,29,31,37,41,43},0)),"소",
   AND(ISNUMBER(F90),MOD(F90,3)=0),"배",
   AND(ISNUMBER(F90),F90&gt;0),"자"
)</f>
        <v>배</v>
      </c>
      <c r="AH90" s="26" t="str" cm="1">
        <f t="array" ref="AH90">_xlfn.IFS(
   OR(G90="",ISBLANK(G90),G90=0),0,
   ISNUMBER(MATCH(G90,{2,3,5,7,11,13,17,19,23,29,31,37,41,43},0)),"소",
   AND(ISNUMBER(G90),MOD(G90,3)=0),"배",
   AND(ISNUMBER(G90),G90&gt;0),"자"
)</f>
        <v>소</v>
      </c>
      <c r="AI90" s="30"/>
      <c r="AJ90" s="3">
        <f>COUNTIFS(B90:G90,"&gt;=1",B90:G90,"&lt;=14")</f>
        <v>5</v>
      </c>
      <c r="AK90" s="3">
        <f>COUNTIFS(B90:G90,"&gt;=15",B90:G90,"&lt;=31")</f>
        <v>1</v>
      </c>
      <c r="AL90" s="3">
        <f>6-AK90-AJ90</f>
        <v>0</v>
      </c>
      <c r="AM90" s="33"/>
      <c r="AN90" s="3">
        <f>COUNTIFS($B90:$G90, "&gt;=1",$B90:$G90, "&lt;=9")</f>
        <v>3</v>
      </c>
      <c r="AO90" s="3">
        <f>COUNTIFS($B90:$G90, "&gt;=10",$B90:$G90, "&lt;=18")</f>
        <v>3</v>
      </c>
      <c r="AP90" s="3">
        <f>COUNTIFS($B90:$G90, "&gt;=19",$B90:$G90, "&lt;=27")</f>
        <v>0</v>
      </c>
      <c r="AQ90" s="3">
        <f>COUNTIFS($B90:$G90, "&gt;=28",$B90:$G90, "&lt;=36")</f>
        <v>0</v>
      </c>
      <c r="AR90" s="3">
        <f>COUNTIFS($B90:$G90, "&gt;=37",$B90:$G90, "&lt;=45")</f>
        <v>0</v>
      </c>
      <c r="AS90" s="28" t="e">
        <f>#REF!</f>
        <v>#REF!</v>
      </c>
      <c r="AT90" s="28" t="e">
        <f>#REF!*2</f>
        <v>#REF!</v>
      </c>
      <c r="AU90" s="28" t="e">
        <f>#REF!</f>
        <v>#REF!</v>
      </c>
      <c r="AV90" s="28" t="e">
        <f>#REF!*2</f>
        <v>#REF!</v>
      </c>
      <c r="AW90" s="28" t="e">
        <f>#REF!</f>
        <v>#REF!</v>
      </c>
      <c r="AX90" s="28" t="e">
        <f>#REF!*2</f>
        <v>#REF!</v>
      </c>
      <c r="AY90" s="28" t="e">
        <f>#REF!</f>
        <v>#REF!</v>
      </c>
      <c r="AZ90" s="28" t="e">
        <f>#REF!*2</f>
        <v>#REF!</v>
      </c>
      <c r="BA90" s="28" t="e">
        <f>#REF!</f>
        <v>#REF!</v>
      </c>
      <c r="BB90" s="28" t="e">
        <f>#REF!*2</f>
        <v>#REF!</v>
      </c>
      <c r="BC90" s="28" t="e">
        <f>#REF!</f>
        <v>#REF!</v>
      </c>
      <c r="BD90" s="28" t="e">
        <f>#REF!*2</f>
        <v>#REF!</v>
      </c>
      <c r="BE90" s="9" t="e">
        <f>#REF!-#REF!</f>
        <v>#REF!</v>
      </c>
      <c r="BF90" s="9" t="e">
        <f>#REF!-#REF!</f>
        <v>#REF!</v>
      </c>
      <c r="BG90" s="9" t="e">
        <f>#REF!-#REF!</f>
        <v>#REF!</v>
      </c>
      <c r="BH90" s="9" t="e">
        <f>#REF!-#REF!</f>
        <v>#REF!</v>
      </c>
      <c r="BI90" s="9" t="e">
        <f>#REF!-#REF!</f>
        <v>#REF!</v>
      </c>
      <c r="BJ90" s="33"/>
      <c r="BK90" s="3">
        <f>COUNTIFS(B90:G90, "&gt;=1", B90:G90, "&lt;=9")</f>
        <v>3</v>
      </c>
      <c r="BL90" s="3">
        <f>COUNTIFS(B90:G90, "&gt;=10", B90:G90, "&lt;=19")</f>
        <v>3</v>
      </c>
      <c r="BM90" s="3">
        <f>COUNTIFS(B90:G90, "&gt;=20", B90:G90, "&lt;=29")</f>
        <v>0</v>
      </c>
      <c r="BN90" s="3">
        <f>COUNTIFS(B90:G90, "&gt;=30", B90:G90, "&lt;=39")</f>
        <v>0</v>
      </c>
      <c r="BO90" s="3">
        <f>COUNTIFS(B90:G90, "&gt;=40", B90:G90, "&lt;=45")</f>
        <v>0</v>
      </c>
      <c r="BP90" s="28" t="e">
        <f>#REF!</f>
        <v>#REF!</v>
      </c>
      <c r="BQ90" s="28" t="e">
        <f>#REF!*2</f>
        <v>#REF!</v>
      </c>
      <c r="BR90" s="28" t="e">
        <f>#REF!</f>
        <v>#REF!</v>
      </c>
      <c r="BS90" s="28" t="e">
        <f>#REF!*2</f>
        <v>#REF!</v>
      </c>
      <c r="BT90" s="28" t="e">
        <f>#REF!</f>
        <v>#REF!</v>
      </c>
      <c r="BU90" s="28" t="e">
        <f>#REF!*2</f>
        <v>#REF!</v>
      </c>
      <c r="BV90" s="28" t="e">
        <f>#REF!</f>
        <v>#REF!</v>
      </c>
      <c r="BW90" s="28" t="e">
        <f>#REF!*2</f>
        <v>#REF!</v>
      </c>
      <c r="BX90" s="28" t="e">
        <f>#REF!</f>
        <v>#REF!</v>
      </c>
      <c r="BY90" s="28" t="e">
        <f>#REF!*2</f>
        <v>#REF!</v>
      </c>
      <c r="BZ90" s="28" t="e">
        <f>#REF!</f>
        <v>#REF!</v>
      </c>
      <c r="CA90" s="28" t="e">
        <f>#REF!*2</f>
        <v>#REF!</v>
      </c>
      <c r="CB90" s="9">
        <f>C90-B90</f>
        <v>3</v>
      </c>
      <c r="CC90" s="9">
        <f>D90-C90</f>
        <v>1</v>
      </c>
      <c r="CD90" s="9">
        <f>E90-D90</f>
        <v>4</v>
      </c>
      <c r="CE90" s="9">
        <f>F90-E90</f>
        <v>1</v>
      </c>
      <c r="CF90" s="9">
        <f>G90-F90</f>
        <v>5</v>
      </c>
      <c r="CG90" s="33"/>
      <c r="CH90" s="9">
        <f>C90-B90</f>
        <v>3</v>
      </c>
      <c r="CI90" s="9">
        <f>D90-C90</f>
        <v>1</v>
      </c>
      <c r="CJ90" s="9">
        <f>E90-D90</f>
        <v>4</v>
      </c>
      <c r="CK90" s="9">
        <f>F90-E90</f>
        <v>1</v>
      </c>
      <c r="CL90" s="9">
        <f>G90-F90</f>
        <v>5</v>
      </c>
      <c r="CM90" s="32"/>
      <c r="CN90" s="3">
        <f>IF(OR(CH90="",ISBLANK(CH90),CH90=0),0,IF(MOD(CH90,2)=1,1,2))</f>
        <v>1</v>
      </c>
      <c r="CO90" s="3">
        <f>IF(OR(CI90="",ISBLANK(CI90),CI90=0),0,IF(MOD(CI90,2)=1,1,2))</f>
        <v>1</v>
      </c>
      <c r="CP90" s="3">
        <f>IF(OR(CJ90="",ISBLANK(CJ90),CJ90=0),0,IF(MOD(CJ90,2)=1,1,2))</f>
        <v>2</v>
      </c>
      <c r="CQ90" s="3">
        <f>IF(OR(CK90="",ISBLANK(CK90),CK90=0),0,IF(MOD(CK90,2)=1,1,2))</f>
        <v>1</v>
      </c>
      <c r="CR90" s="3">
        <f>IF(OR(CL90="",ISBLANK(CL90),CL90=0),0,IF(MOD(CL90,2)=1,1,2))</f>
        <v>1</v>
      </c>
      <c r="CS90" s="31"/>
      <c r="CT90" s="3" cm="1">
        <f t="array" ref="CT90">SUMPRODUCT(--(MOD(CH90:CL90,2)=1))</f>
        <v>4</v>
      </c>
      <c r="CU90" s="3">
        <f>5-CT90</f>
        <v>1</v>
      </c>
      <c r="CV90" s="30"/>
      <c r="CW90" s="3" cm="1">
        <f t="array" ref="CW90">SUMPRODUCT(--(MOD(CH90:CL90,10)&gt;=1), --(MOD(CH90:CL90,10)&lt;=5))</f>
        <v>5</v>
      </c>
      <c r="CX90" s="3">
        <f>5-CW90</f>
        <v>0</v>
      </c>
      <c r="CY90" s="30"/>
      <c r="CZ90" s="3" cm="1">
        <f t="array" ref="CZ90">IFERROR(COUNT(_xlfn._xlws.FILTER(CH90:CL90, ISNUMBER(MATCH(CH90:CL90, {2,3,5,7,11,13,17,19,23,29,31,37,41,43}, 0)))), 0)</f>
        <v>2</v>
      </c>
      <c r="DA90" s="3" cm="1">
        <f t="array" ref="DA90">IFERROR(COUNT(_xlfn._xlws.FILTER(CH90:CL90, ISNUMBER(MATCH(CH90:CL90, {1,4,8,10,14,16,20,22,25,26,28,32,34,35,38,40,44}, 0)))), 0)</f>
        <v>3</v>
      </c>
      <c r="DB90" s="3" cm="1">
        <f t="array" ref="DB90">IFERROR(COUNT(_xlfn._xlws.FILTER(CH90:CL90, ISNUMBER(MATCH(CH90:CL90, {6,9,12,15,18,21,24,27,30,33,36,39,42,45}, 0)))), 0)</f>
        <v>0</v>
      </c>
      <c r="DC90" s="29"/>
      <c r="DD90" s="28" t="e">
        <f>#REF!</f>
        <v>#REF!</v>
      </c>
      <c r="DE90" s="28" t="e">
        <f>#REF!*2</f>
        <v>#REF!</v>
      </c>
      <c r="DF90" s="28" t="e">
        <f>#REF!</f>
        <v>#REF!</v>
      </c>
      <c r="DG90" s="28" t="e">
        <f>#REF!*2</f>
        <v>#REF!</v>
      </c>
      <c r="DH90" s="28" t="e">
        <f>#REF!</f>
        <v>#REF!</v>
      </c>
      <c r="DI90" s="28" t="e">
        <f>#REF!*2</f>
        <v>#REF!</v>
      </c>
      <c r="DJ90" s="28" t="e">
        <f>#REF!</f>
        <v>#REF!</v>
      </c>
      <c r="DK90" s="28" t="e">
        <f>#REF!*2</f>
        <v>#REF!</v>
      </c>
      <c r="DL90" s="28" t="e">
        <f>#REF!</f>
        <v>#REF!</v>
      </c>
      <c r="DM90" s="28" t="e">
        <f>#REF!*2</f>
        <v>#REF!</v>
      </c>
      <c r="DN90" s="27"/>
      <c r="DO90" s="26" t="str" cm="1">
        <f t="array" ref="DO90">_xlfn.IFS(
   OR(CH90="",ISBLANK(CH90),CH90=0),0,
   ISNUMBER(MATCH(CH90,{2,3,5,7,11,13,17,19,23,29,31,37,41,43},0)),"소",
   AND(ISNUMBER(CH90),MOD(CH90,3)=0),"배",
   AND(ISNUMBER(CH90),CH90&gt;0),"자"
)</f>
        <v>소</v>
      </c>
      <c r="DP90" s="26" t="str" cm="1">
        <f t="array" ref="DP90">_xlfn.IFS(
   OR(CI90="",ISBLANK(CI90),CI90=0),0,
   ISNUMBER(MATCH(CI90,{2,3,5,7,11,13,17,19,23,29,31,37,41,43},0)),"소",
   AND(ISNUMBER(CI90),MOD(CI90,3)=0),"배",
   AND(ISNUMBER(CI90),CI90&gt;0),"자"
)</f>
        <v>자</v>
      </c>
      <c r="DQ90" s="26" t="str" cm="1">
        <f t="array" ref="DQ90">_xlfn.IFS(
   OR(CJ90="",ISBLANK(CJ90),CJ90=0),0,
   ISNUMBER(MATCH(CJ90,{2,3,5,7,11,13,17,19,23,29,31,37,41,43},0)),"소",
   AND(ISNUMBER(CJ90),MOD(CJ90,3)=0),"배",
   AND(ISNUMBER(CJ90),CJ90&gt;0),"자"
)</f>
        <v>자</v>
      </c>
      <c r="DR90" s="26" t="str" cm="1">
        <f t="array" ref="DR90">_xlfn.IFS(
   OR(CK90="",ISBLANK(CK90),CK90=0),0,
   ISNUMBER(MATCH(CK90,{2,3,5,7,11,13,17,19,23,29,31,37,41,43},0)),"소",
   AND(ISNUMBER(CK90),MOD(CK90,3)=0),"배",
   AND(ISNUMBER(CK90),CK90&gt;0),"자"
)</f>
        <v>자</v>
      </c>
      <c r="DS90" s="26" t="str" cm="1">
        <f t="array" ref="DS90">_xlfn.IFS(
   OR(CL90="",ISBLANK(CL90),CL90=0),0,
   ISNUMBER(MATCH(CL90,{2,3,5,7,11,13,17,19,23,29,31,37,41,43},0)),"소",
   AND(ISNUMBER(CL90),MOD(CL90,3)=0),"배",
   AND(ISNUMBER(CL90),CL90&gt;0),"자"
)</f>
        <v>소</v>
      </c>
      <c r="DT90" s="25"/>
    </row>
    <row r="91" spans="1:124" x14ac:dyDescent="0.3">
      <c r="B91" s="3">
        <v>7</v>
      </c>
      <c r="C91" s="3">
        <v>9</v>
      </c>
      <c r="D91" s="3">
        <v>24</v>
      </c>
      <c r="E91" s="3">
        <v>40</v>
      </c>
      <c r="F91" s="3">
        <v>42</v>
      </c>
      <c r="G91" s="3">
        <v>44</v>
      </c>
      <c r="H91" s="32"/>
      <c r="I91" s="3">
        <f>IF(OR(B91="",ISBLANK(B91),B91=0),0,IF(MOD(B91,2)=1,1,2))</f>
        <v>1</v>
      </c>
      <c r="J91" s="3">
        <f>IF(OR(C91="",ISBLANK(C91),C91=0),0,IF(MOD(C91,2)=1,1,2))</f>
        <v>1</v>
      </c>
      <c r="K91" s="3">
        <f>IF(OR(D91="",ISBLANK(D91),D91=0),0,IF(MOD(D91,2)=1,1,2))</f>
        <v>2</v>
      </c>
      <c r="L91" s="3">
        <f>IF(OR(E91="",ISBLANK(E91),E91=0),0,IF(MOD(E91,2)=1,1,2))</f>
        <v>2</v>
      </c>
      <c r="M91" s="3">
        <f>IF(OR(F91="",ISBLANK(F91),F91=0),0,IF(MOD(F91,2)=1,1,2))</f>
        <v>2</v>
      </c>
      <c r="N91" s="3">
        <f>IF(OR(G91="",ISBLANK(G91),G91=0),0,IF(MOD(G91,2)=1,1,2))</f>
        <v>2</v>
      </c>
      <c r="O91" s="32"/>
      <c r="P91" s="3" cm="1">
        <f t="array" ref="P91">SUMPRODUCT(--(MOD(B91:G91,2)=1))</f>
        <v>2</v>
      </c>
      <c r="Q91" s="3">
        <f>6-P91</f>
        <v>4</v>
      </c>
      <c r="R91" s="34"/>
      <c r="S91" s="3">
        <f>COUNTIFS(B91:G91,"&gt;=1",B91:G91,"&lt;=23")</f>
        <v>2</v>
      </c>
      <c r="T91" s="3">
        <f>6-S91</f>
        <v>4</v>
      </c>
      <c r="U91" s="34"/>
      <c r="V91" s="3" cm="1">
        <f t="array" ref="V91">SUMPRODUCT(--(MOD(B91:G91,10)&gt;=1), --(MOD(B91:G91,10)&lt;=5))</f>
        <v>3</v>
      </c>
      <c r="W91" s="3">
        <f>6-V91</f>
        <v>3</v>
      </c>
      <c r="X91" s="34"/>
      <c r="Y91" s="3" cm="1">
        <f t="array" ref="Y91">IFERROR(COUNT(_xlfn._xlws.FILTER(B91:G91, ISNUMBER(MATCH(B91:G91, {2,3,5,7,11,13,17,19,23,29,31,37,41,43}, 0)))), 0)</f>
        <v>1</v>
      </c>
      <c r="Z91" s="3" cm="1">
        <f t="array" ref="Z91">IFERROR(COUNT(_xlfn._xlws.FILTER(B91:G91, ISNUMBER(MATCH(B91:G91, {1,4,8,10,14,16,20,22,25,26,28,32,34,35,38,40,44}, 0)))), 0)</f>
        <v>2</v>
      </c>
      <c r="AA91" s="3" cm="1">
        <f t="array" ref="AA91">IFERROR(COUNT(_xlfn._xlws.FILTER(B91:G91, ISNUMBER(MATCH(B91:G91, {6,9,12,15,18,21,24,27,30,33,36,39,42,45}, 0)))), 0)</f>
        <v>3</v>
      </c>
      <c r="AB91" s="30"/>
      <c r="AC91" s="26" t="str" cm="1">
        <f t="array" ref="AC91">_xlfn.IFS(
   OR(B91="",ISBLANK(B91),B91=0),0,
   ISNUMBER(MATCH(B91,{2,3,5,7,11,13,17,19,23,29,31,37,41,43},0)),"소",
   AND(ISNUMBER(B91),MOD(B91,3)=0),"배",
   AND(ISNUMBER(B91),B91&gt;0),"자"
)</f>
        <v>소</v>
      </c>
      <c r="AD91" s="26" t="str" cm="1">
        <f t="array" ref="AD91">_xlfn.IFS(
   OR(C91="",ISBLANK(C91),C91=0),0,
   ISNUMBER(MATCH(C91,{2,3,5,7,11,13,17,19,23,29,31,37,41,43},0)),"소",
   AND(ISNUMBER(C91),MOD(C91,3)=0),"배",
   AND(ISNUMBER(C91),C91&gt;0),"자"
)</f>
        <v>배</v>
      </c>
      <c r="AE91" s="26" t="str" cm="1">
        <f t="array" ref="AE91">_xlfn.IFS(
   OR(D91="",ISBLANK(D91),D91=0),0,
   ISNUMBER(MATCH(D91,{2,3,5,7,11,13,17,19,23,29,31,37,41,43},0)),"소",
   AND(ISNUMBER(D91),MOD(D91,3)=0),"배",
   AND(ISNUMBER(D91),D91&gt;0),"자"
)</f>
        <v>배</v>
      </c>
      <c r="AF91" s="26" t="str" cm="1">
        <f t="array" ref="AF91">_xlfn.IFS(
   OR(E91="",ISBLANK(E91),E91=0),0,
   ISNUMBER(MATCH(E91,{2,3,5,7,11,13,17,19,23,29,31,37,41,43},0)),"소",
   AND(ISNUMBER(E91),MOD(E91,3)=0),"배",
   AND(ISNUMBER(E91),E91&gt;0),"자"
)</f>
        <v>자</v>
      </c>
      <c r="AG91" s="26" t="str" cm="1">
        <f t="array" ref="AG91">_xlfn.IFS(
   OR(F91="",ISBLANK(F91),F91=0),0,
   ISNUMBER(MATCH(F91,{2,3,5,7,11,13,17,19,23,29,31,37,41,43},0)),"소",
   AND(ISNUMBER(F91),MOD(F91,3)=0),"배",
   AND(ISNUMBER(F91),F91&gt;0),"자"
)</f>
        <v>배</v>
      </c>
      <c r="AH91" s="26" t="str" cm="1">
        <f t="array" ref="AH91">_xlfn.IFS(
   OR(G91="",ISBLANK(G91),G91=0),0,
   ISNUMBER(MATCH(G91,{2,3,5,7,11,13,17,19,23,29,31,37,41,43},0)),"소",
   AND(ISNUMBER(G91),MOD(G91,3)=0),"배",
   AND(ISNUMBER(G91),G91&gt;0),"자"
)</f>
        <v>자</v>
      </c>
      <c r="AI91" s="30"/>
      <c r="AJ91" s="3">
        <f>COUNTIFS(B91:G91,"&gt;=1",B91:G91,"&lt;=14")</f>
        <v>2</v>
      </c>
      <c r="AK91" s="3">
        <f>COUNTIFS(B91:G91,"&gt;=15",B91:G91,"&lt;=31")</f>
        <v>1</v>
      </c>
      <c r="AL91" s="3">
        <f>6-AK91-AJ91</f>
        <v>3</v>
      </c>
      <c r="AM91" s="33"/>
      <c r="AN91" s="3">
        <f>COUNTIFS($B91:$G91, "&gt;=1",$B91:$G91, "&lt;=9")</f>
        <v>2</v>
      </c>
      <c r="AO91" s="3">
        <f>COUNTIFS($B91:$G91, "&gt;=10",$B91:$G91, "&lt;=18")</f>
        <v>0</v>
      </c>
      <c r="AP91" s="3">
        <f>COUNTIFS($B91:$G91, "&gt;=19",$B91:$G91, "&lt;=27")</f>
        <v>1</v>
      </c>
      <c r="AQ91" s="3">
        <f>COUNTIFS($B91:$G91, "&gt;=28",$B91:$G91, "&lt;=36")</f>
        <v>0</v>
      </c>
      <c r="AR91" s="3">
        <f>COUNTIFS($B91:$G91, "&gt;=37",$B91:$G91, "&lt;=45")</f>
        <v>3</v>
      </c>
      <c r="AS91" s="28" t="e">
        <f>#REF!</f>
        <v>#REF!</v>
      </c>
      <c r="AT91" s="28" t="e">
        <f>#REF!*2</f>
        <v>#REF!</v>
      </c>
      <c r="AU91" s="28" t="e">
        <f>#REF!</f>
        <v>#REF!</v>
      </c>
      <c r="AV91" s="28" t="e">
        <f>#REF!*2</f>
        <v>#REF!</v>
      </c>
      <c r="AW91" s="28" t="e">
        <f>#REF!</f>
        <v>#REF!</v>
      </c>
      <c r="AX91" s="28" t="e">
        <f>#REF!*2</f>
        <v>#REF!</v>
      </c>
      <c r="AY91" s="28" t="e">
        <f>#REF!</f>
        <v>#REF!</v>
      </c>
      <c r="AZ91" s="28" t="e">
        <f>#REF!*2</f>
        <v>#REF!</v>
      </c>
      <c r="BA91" s="28" t="e">
        <f>#REF!</f>
        <v>#REF!</v>
      </c>
      <c r="BB91" s="28" t="e">
        <f>#REF!*2</f>
        <v>#REF!</v>
      </c>
      <c r="BC91" s="28" t="e">
        <f>#REF!</f>
        <v>#REF!</v>
      </c>
      <c r="BD91" s="28" t="e">
        <f>#REF!*2</f>
        <v>#REF!</v>
      </c>
      <c r="BE91" s="9" t="e">
        <f>#REF!-#REF!</f>
        <v>#REF!</v>
      </c>
      <c r="BF91" s="9" t="e">
        <f>#REF!-#REF!</f>
        <v>#REF!</v>
      </c>
      <c r="BG91" s="9" t="e">
        <f>#REF!-#REF!</f>
        <v>#REF!</v>
      </c>
      <c r="BH91" s="9" t="e">
        <f>#REF!-#REF!</f>
        <v>#REF!</v>
      </c>
      <c r="BI91" s="9" t="e">
        <f>#REF!-#REF!</f>
        <v>#REF!</v>
      </c>
      <c r="BJ91" s="33"/>
      <c r="BK91" s="3">
        <f>COUNTIFS(B91:G91, "&gt;=1", B91:G91, "&lt;=9")</f>
        <v>2</v>
      </c>
      <c r="BL91" s="3">
        <f>COUNTIFS(B91:G91, "&gt;=10", B91:G91, "&lt;=19")</f>
        <v>0</v>
      </c>
      <c r="BM91" s="3">
        <f>COUNTIFS(B91:G91, "&gt;=20", B91:G91, "&lt;=29")</f>
        <v>1</v>
      </c>
      <c r="BN91" s="3">
        <f>COUNTIFS(B91:G91, "&gt;=30", B91:G91, "&lt;=39")</f>
        <v>0</v>
      </c>
      <c r="BO91" s="3">
        <f>COUNTIFS(B91:G91, "&gt;=40", B91:G91, "&lt;=45")</f>
        <v>3</v>
      </c>
      <c r="BP91" s="28" t="e">
        <f>#REF!</f>
        <v>#REF!</v>
      </c>
      <c r="BQ91" s="28" t="e">
        <f>#REF!*2</f>
        <v>#REF!</v>
      </c>
      <c r="BR91" s="28" t="e">
        <f>#REF!</f>
        <v>#REF!</v>
      </c>
      <c r="BS91" s="28" t="e">
        <f>#REF!*2</f>
        <v>#REF!</v>
      </c>
      <c r="BT91" s="28" t="e">
        <f>#REF!</f>
        <v>#REF!</v>
      </c>
      <c r="BU91" s="28" t="e">
        <f>#REF!*2</f>
        <v>#REF!</v>
      </c>
      <c r="BV91" s="28" t="e">
        <f>#REF!</f>
        <v>#REF!</v>
      </c>
      <c r="BW91" s="28" t="e">
        <f>#REF!*2</f>
        <v>#REF!</v>
      </c>
      <c r="BX91" s="28" t="e">
        <f>#REF!</f>
        <v>#REF!</v>
      </c>
      <c r="BY91" s="28" t="e">
        <f>#REF!*2</f>
        <v>#REF!</v>
      </c>
      <c r="BZ91" s="28" t="e">
        <f>#REF!</f>
        <v>#REF!</v>
      </c>
      <c r="CA91" s="28" t="e">
        <f>#REF!*2</f>
        <v>#REF!</v>
      </c>
      <c r="CB91" s="9">
        <f>C91-B91</f>
        <v>2</v>
      </c>
      <c r="CC91" s="9">
        <f>D91-C91</f>
        <v>15</v>
      </c>
      <c r="CD91" s="9">
        <f>E91-D91</f>
        <v>16</v>
      </c>
      <c r="CE91" s="9">
        <f>F91-E91</f>
        <v>2</v>
      </c>
      <c r="CF91" s="9">
        <f>G91-F91</f>
        <v>2</v>
      </c>
      <c r="CG91" s="33"/>
      <c r="CH91" s="9">
        <f>C91-B91</f>
        <v>2</v>
      </c>
      <c r="CI91" s="9">
        <f>D91-C91</f>
        <v>15</v>
      </c>
      <c r="CJ91" s="9">
        <f>E91-D91</f>
        <v>16</v>
      </c>
      <c r="CK91" s="9">
        <f>F91-E91</f>
        <v>2</v>
      </c>
      <c r="CL91" s="9">
        <f>G91-F91</f>
        <v>2</v>
      </c>
      <c r="CM91" s="32"/>
      <c r="CN91" s="3">
        <f>IF(OR(CH91="",ISBLANK(CH91),CH91=0),0,IF(MOD(CH91,2)=1,1,2))</f>
        <v>2</v>
      </c>
      <c r="CO91" s="3">
        <f>IF(OR(CI91="",ISBLANK(CI91),CI91=0),0,IF(MOD(CI91,2)=1,1,2))</f>
        <v>1</v>
      </c>
      <c r="CP91" s="3">
        <f>IF(OR(CJ91="",ISBLANK(CJ91),CJ91=0),0,IF(MOD(CJ91,2)=1,1,2))</f>
        <v>2</v>
      </c>
      <c r="CQ91" s="3">
        <f>IF(OR(CK91="",ISBLANK(CK91),CK91=0),0,IF(MOD(CK91,2)=1,1,2))</f>
        <v>2</v>
      </c>
      <c r="CR91" s="3">
        <f>IF(OR(CL91="",ISBLANK(CL91),CL91=0),0,IF(MOD(CL91,2)=1,1,2))</f>
        <v>2</v>
      </c>
      <c r="CS91" s="31"/>
      <c r="CT91" s="3" cm="1">
        <f t="array" ref="CT91">SUMPRODUCT(--(MOD(CH91:CL91,2)=1))</f>
        <v>1</v>
      </c>
      <c r="CU91" s="3">
        <f>5-CT91</f>
        <v>4</v>
      </c>
      <c r="CV91" s="30"/>
      <c r="CW91" s="3" cm="1">
        <f t="array" ref="CW91">SUMPRODUCT(--(MOD(CH91:CL91,10)&gt;=1), --(MOD(CH91:CL91,10)&lt;=5))</f>
        <v>4</v>
      </c>
      <c r="CX91" s="3">
        <f>5-CW91</f>
        <v>1</v>
      </c>
      <c r="CY91" s="30"/>
      <c r="CZ91" s="3" cm="1">
        <f t="array" ref="CZ91">IFERROR(COUNT(_xlfn._xlws.FILTER(CH91:CL91, ISNUMBER(MATCH(CH91:CL91, {2,3,5,7,11,13,17,19,23,29,31,37,41,43}, 0)))), 0)</f>
        <v>3</v>
      </c>
      <c r="DA91" s="3" cm="1">
        <f t="array" ref="DA91">IFERROR(COUNT(_xlfn._xlws.FILTER(CH91:CL91, ISNUMBER(MATCH(CH91:CL91, {1,4,8,10,14,16,20,22,25,26,28,32,34,35,38,40,44}, 0)))), 0)</f>
        <v>1</v>
      </c>
      <c r="DB91" s="3" cm="1">
        <f t="array" ref="DB91">IFERROR(COUNT(_xlfn._xlws.FILTER(CH91:CL91, ISNUMBER(MATCH(CH91:CL91, {6,9,12,15,18,21,24,27,30,33,36,39,42,45}, 0)))), 0)</f>
        <v>1</v>
      </c>
      <c r="DC91" s="29"/>
      <c r="DD91" s="28" t="e">
        <f>#REF!</f>
        <v>#REF!</v>
      </c>
      <c r="DE91" s="28" t="e">
        <f>#REF!*2</f>
        <v>#REF!</v>
      </c>
      <c r="DF91" s="28" t="e">
        <f>#REF!</f>
        <v>#REF!</v>
      </c>
      <c r="DG91" s="28" t="e">
        <f>#REF!*2</f>
        <v>#REF!</v>
      </c>
      <c r="DH91" s="28" t="e">
        <f>#REF!</f>
        <v>#REF!</v>
      </c>
      <c r="DI91" s="28" t="e">
        <f>#REF!*2</f>
        <v>#REF!</v>
      </c>
      <c r="DJ91" s="28" t="e">
        <f>#REF!</f>
        <v>#REF!</v>
      </c>
      <c r="DK91" s="28" t="e">
        <f>#REF!*2</f>
        <v>#REF!</v>
      </c>
      <c r="DL91" s="28" t="e">
        <f>#REF!</f>
        <v>#REF!</v>
      </c>
      <c r="DM91" s="28" t="e">
        <f>#REF!*2</f>
        <v>#REF!</v>
      </c>
      <c r="DN91" s="27"/>
      <c r="DO91" s="26" t="str" cm="1">
        <f t="array" ref="DO91">_xlfn.IFS(
   OR(CH91="",ISBLANK(CH91),CH91=0),0,
   ISNUMBER(MATCH(CH91,{2,3,5,7,11,13,17,19,23,29,31,37,41,43},0)),"소",
   AND(ISNUMBER(CH91),MOD(CH91,3)=0),"배",
   AND(ISNUMBER(CH91),CH91&gt;0),"자"
)</f>
        <v>소</v>
      </c>
      <c r="DP91" s="26" t="str" cm="1">
        <f t="array" ref="DP91">_xlfn.IFS(
   OR(CI91="",ISBLANK(CI91),CI91=0),0,
   ISNUMBER(MATCH(CI91,{2,3,5,7,11,13,17,19,23,29,31,37,41,43},0)),"소",
   AND(ISNUMBER(CI91),MOD(CI91,3)=0),"배",
   AND(ISNUMBER(CI91),CI91&gt;0),"자"
)</f>
        <v>배</v>
      </c>
      <c r="DQ91" s="26" t="str" cm="1">
        <f t="array" ref="DQ91">_xlfn.IFS(
   OR(CJ91="",ISBLANK(CJ91),CJ91=0),0,
   ISNUMBER(MATCH(CJ91,{2,3,5,7,11,13,17,19,23,29,31,37,41,43},0)),"소",
   AND(ISNUMBER(CJ91),MOD(CJ91,3)=0),"배",
   AND(ISNUMBER(CJ91),CJ91&gt;0),"자"
)</f>
        <v>자</v>
      </c>
      <c r="DR91" s="26" t="str" cm="1">
        <f t="array" ref="DR91">_xlfn.IFS(
   OR(CK91="",ISBLANK(CK91),CK91=0),0,
   ISNUMBER(MATCH(CK91,{2,3,5,7,11,13,17,19,23,29,31,37,41,43},0)),"소",
   AND(ISNUMBER(CK91),MOD(CK91,3)=0),"배",
   AND(ISNUMBER(CK91),CK91&gt;0),"자"
)</f>
        <v>소</v>
      </c>
      <c r="DS91" s="26" t="str" cm="1">
        <f t="array" ref="DS91">_xlfn.IFS(
   OR(CL91="",ISBLANK(CL91),CL91=0),0,
   ISNUMBER(MATCH(CL91,{2,3,5,7,11,13,17,19,23,29,31,37,41,43},0)),"소",
   AND(ISNUMBER(CL91),MOD(CL91,3)=0),"배",
   AND(ISNUMBER(CL91),CL91&gt;0),"자"
)</f>
        <v>소</v>
      </c>
      <c r="DT91" s="25"/>
    </row>
    <row r="92" spans="1:124" x14ac:dyDescent="0.3">
      <c r="B92" s="3">
        <v>1</v>
      </c>
      <c r="C92" s="3">
        <v>5</v>
      </c>
      <c r="D92" s="3">
        <v>18</v>
      </c>
      <c r="E92" s="3">
        <v>20</v>
      </c>
      <c r="F92" s="3">
        <v>30</v>
      </c>
      <c r="G92" s="3">
        <v>35</v>
      </c>
      <c r="H92" s="32"/>
      <c r="I92" s="3">
        <f>IF(OR(B92="",ISBLANK(B92),B92=0),0,IF(MOD(B92,2)=1,1,2))</f>
        <v>1</v>
      </c>
      <c r="J92" s="3">
        <f>IF(OR(C92="",ISBLANK(C92),C92=0),0,IF(MOD(C92,2)=1,1,2))</f>
        <v>1</v>
      </c>
      <c r="K92" s="3">
        <f>IF(OR(D92="",ISBLANK(D92),D92=0),0,IF(MOD(D92,2)=1,1,2))</f>
        <v>2</v>
      </c>
      <c r="L92" s="3">
        <f>IF(OR(E92="",ISBLANK(E92),E92=0),0,IF(MOD(E92,2)=1,1,2))</f>
        <v>2</v>
      </c>
      <c r="M92" s="3">
        <f>IF(OR(F92="",ISBLANK(F92),F92=0),0,IF(MOD(F92,2)=1,1,2))</f>
        <v>2</v>
      </c>
      <c r="N92" s="3">
        <f>IF(OR(G92="",ISBLANK(G92),G92=0),0,IF(MOD(G92,2)=1,1,2))</f>
        <v>1</v>
      </c>
      <c r="O92" s="32"/>
      <c r="P92" s="3" cm="1">
        <f t="array" ref="P92">SUMPRODUCT(--(MOD(B92:G92,2)=1))</f>
        <v>3</v>
      </c>
      <c r="Q92" s="3">
        <f>6-P92</f>
        <v>3</v>
      </c>
      <c r="R92" s="34"/>
      <c r="S92" s="3">
        <f>COUNTIFS(B92:G92,"&gt;=1",B92:G92,"&lt;=23")</f>
        <v>4</v>
      </c>
      <c r="T92" s="3">
        <f>6-S92</f>
        <v>2</v>
      </c>
      <c r="U92" s="34"/>
      <c r="V92" s="3" cm="1">
        <f t="array" ref="V92">SUMPRODUCT(--(MOD(B92:G92,10)&gt;=1), --(MOD(B92:G92,10)&lt;=5))</f>
        <v>3</v>
      </c>
      <c r="W92" s="3">
        <f>6-V92</f>
        <v>3</v>
      </c>
      <c r="X92" s="34"/>
      <c r="Y92" s="3" cm="1">
        <f t="array" ref="Y92">IFERROR(COUNT(_xlfn._xlws.FILTER(B92:G92, ISNUMBER(MATCH(B92:G92, {2,3,5,7,11,13,17,19,23,29,31,37,41,43}, 0)))), 0)</f>
        <v>1</v>
      </c>
      <c r="Z92" s="3" cm="1">
        <f t="array" ref="Z92">IFERROR(COUNT(_xlfn._xlws.FILTER(B92:G92, ISNUMBER(MATCH(B92:G92, {1,4,8,10,14,16,20,22,25,26,28,32,34,35,38,40,44}, 0)))), 0)</f>
        <v>3</v>
      </c>
      <c r="AA92" s="3" cm="1">
        <f t="array" ref="AA92">IFERROR(COUNT(_xlfn._xlws.FILTER(B92:G92, ISNUMBER(MATCH(B92:G92, {6,9,12,15,18,21,24,27,30,33,36,39,42,45}, 0)))), 0)</f>
        <v>2</v>
      </c>
      <c r="AB92" s="30"/>
      <c r="AC92" s="26" t="str" cm="1">
        <f t="array" ref="AC92">_xlfn.IFS(
   OR(B92="",ISBLANK(B92),B92=0),0,
   ISNUMBER(MATCH(B92,{2,3,5,7,11,13,17,19,23,29,31,37,41,43},0)),"소",
   AND(ISNUMBER(B92),MOD(B92,3)=0),"배",
   AND(ISNUMBER(B92),B92&gt;0),"자"
)</f>
        <v>자</v>
      </c>
      <c r="AD92" s="26" t="str" cm="1">
        <f t="array" ref="AD92">_xlfn.IFS(
   OR(C92="",ISBLANK(C92),C92=0),0,
   ISNUMBER(MATCH(C92,{2,3,5,7,11,13,17,19,23,29,31,37,41,43},0)),"소",
   AND(ISNUMBER(C92),MOD(C92,3)=0),"배",
   AND(ISNUMBER(C92),C92&gt;0),"자"
)</f>
        <v>소</v>
      </c>
      <c r="AE92" s="26" t="str" cm="1">
        <f t="array" ref="AE92">_xlfn.IFS(
   OR(D92="",ISBLANK(D92),D92=0),0,
   ISNUMBER(MATCH(D92,{2,3,5,7,11,13,17,19,23,29,31,37,41,43},0)),"소",
   AND(ISNUMBER(D92),MOD(D92,3)=0),"배",
   AND(ISNUMBER(D92),D92&gt;0),"자"
)</f>
        <v>배</v>
      </c>
      <c r="AF92" s="26" t="str" cm="1">
        <f t="array" ref="AF92">_xlfn.IFS(
   OR(E92="",ISBLANK(E92),E92=0),0,
   ISNUMBER(MATCH(E92,{2,3,5,7,11,13,17,19,23,29,31,37,41,43},0)),"소",
   AND(ISNUMBER(E92),MOD(E92,3)=0),"배",
   AND(ISNUMBER(E92),E92&gt;0),"자"
)</f>
        <v>자</v>
      </c>
      <c r="AG92" s="26" t="str" cm="1">
        <f t="array" ref="AG92">_xlfn.IFS(
   OR(F92="",ISBLANK(F92),F92=0),0,
   ISNUMBER(MATCH(F92,{2,3,5,7,11,13,17,19,23,29,31,37,41,43},0)),"소",
   AND(ISNUMBER(F92),MOD(F92,3)=0),"배",
   AND(ISNUMBER(F92),F92&gt;0),"자"
)</f>
        <v>배</v>
      </c>
      <c r="AH92" s="26" t="str" cm="1">
        <f t="array" ref="AH92">_xlfn.IFS(
   OR(G92="",ISBLANK(G92),G92=0),0,
   ISNUMBER(MATCH(G92,{2,3,5,7,11,13,17,19,23,29,31,37,41,43},0)),"소",
   AND(ISNUMBER(G92),MOD(G92,3)=0),"배",
   AND(ISNUMBER(G92),G92&gt;0),"자"
)</f>
        <v>자</v>
      </c>
      <c r="AI92" s="30"/>
      <c r="AJ92" s="3">
        <f>COUNTIFS(B92:G92,"&gt;=1",B92:G92,"&lt;=14")</f>
        <v>2</v>
      </c>
      <c r="AK92" s="3">
        <f>COUNTIFS(B92:G92,"&gt;=15",B92:G92,"&lt;=31")</f>
        <v>3</v>
      </c>
      <c r="AL92" s="3">
        <f>6-AK92-AJ92</f>
        <v>1</v>
      </c>
      <c r="AM92" s="33"/>
      <c r="AN92" s="3">
        <f>COUNTIFS($B92:$G92, "&gt;=1",$B92:$G92, "&lt;=9")</f>
        <v>2</v>
      </c>
      <c r="AO92" s="3">
        <f>COUNTIFS($B92:$G92, "&gt;=10",$B92:$G92, "&lt;=18")</f>
        <v>1</v>
      </c>
      <c r="AP92" s="3">
        <f>COUNTIFS($B92:$G92, "&gt;=19",$B92:$G92, "&lt;=27")</f>
        <v>1</v>
      </c>
      <c r="AQ92" s="3">
        <f>COUNTIFS($B92:$G92, "&gt;=28",$B92:$G92, "&lt;=36")</f>
        <v>2</v>
      </c>
      <c r="AR92" s="3">
        <f>COUNTIFS($B92:$G92, "&gt;=37",$B92:$G92, "&lt;=45")</f>
        <v>0</v>
      </c>
      <c r="AS92" s="28" t="e">
        <f>#REF!</f>
        <v>#REF!</v>
      </c>
      <c r="AT92" s="28" t="e">
        <f>#REF!*2</f>
        <v>#REF!</v>
      </c>
      <c r="AU92" s="28" t="e">
        <f>#REF!</f>
        <v>#REF!</v>
      </c>
      <c r="AV92" s="28" t="e">
        <f>#REF!*2</f>
        <v>#REF!</v>
      </c>
      <c r="AW92" s="28" t="e">
        <f>#REF!</f>
        <v>#REF!</v>
      </c>
      <c r="AX92" s="28" t="e">
        <f>#REF!*2</f>
        <v>#REF!</v>
      </c>
      <c r="AY92" s="28" t="e">
        <f>#REF!</f>
        <v>#REF!</v>
      </c>
      <c r="AZ92" s="28" t="e">
        <f>#REF!*2</f>
        <v>#REF!</v>
      </c>
      <c r="BA92" s="28" t="e">
        <f>#REF!</f>
        <v>#REF!</v>
      </c>
      <c r="BB92" s="28" t="e">
        <f>#REF!*2</f>
        <v>#REF!</v>
      </c>
      <c r="BC92" s="28" t="e">
        <f>#REF!</f>
        <v>#REF!</v>
      </c>
      <c r="BD92" s="28" t="e">
        <f>#REF!*2</f>
        <v>#REF!</v>
      </c>
      <c r="BE92" s="9" t="e">
        <f>#REF!-#REF!</f>
        <v>#REF!</v>
      </c>
      <c r="BF92" s="9" t="e">
        <f>#REF!-#REF!</f>
        <v>#REF!</v>
      </c>
      <c r="BG92" s="9" t="e">
        <f>#REF!-#REF!</f>
        <v>#REF!</v>
      </c>
      <c r="BH92" s="9" t="e">
        <f>#REF!-#REF!</f>
        <v>#REF!</v>
      </c>
      <c r="BI92" s="9" t="e">
        <f>#REF!-#REF!</f>
        <v>#REF!</v>
      </c>
      <c r="BJ92" s="33"/>
      <c r="BK92" s="3">
        <f>COUNTIFS(B92:G92, "&gt;=1", B92:G92, "&lt;=9")</f>
        <v>2</v>
      </c>
      <c r="BL92" s="3">
        <f>COUNTIFS(B92:G92, "&gt;=10", B92:G92, "&lt;=19")</f>
        <v>1</v>
      </c>
      <c r="BM92" s="3">
        <f>COUNTIFS(B92:G92, "&gt;=20", B92:G92, "&lt;=29")</f>
        <v>1</v>
      </c>
      <c r="BN92" s="3">
        <f>COUNTIFS(B92:G92, "&gt;=30", B92:G92, "&lt;=39")</f>
        <v>2</v>
      </c>
      <c r="BO92" s="3">
        <f>COUNTIFS(B92:G92, "&gt;=40", B92:G92, "&lt;=45")</f>
        <v>0</v>
      </c>
      <c r="BP92" s="28" t="e">
        <f>#REF!</f>
        <v>#REF!</v>
      </c>
      <c r="BQ92" s="28" t="e">
        <f>#REF!*2</f>
        <v>#REF!</v>
      </c>
      <c r="BR92" s="28" t="e">
        <f>#REF!</f>
        <v>#REF!</v>
      </c>
      <c r="BS92" s="28" t="e">
        <f>#REF!*2</f>
        <v>#REF!</v>
      </c>
      <c r="BT92" s="28" t="e">
        <f>#REF!</f>
        <v>#REF!</v>
      </c>
      <c r="BU92" s="28" t="e">
        <f>#REF!*2</f>
        <v>#REF!</v>
      </c>
      <c r="BV92" s="28" t="e">
        <f>#REF!</f>
        <v>#REF!</v>
      </c>
      <c r="BW92" s="28" t="e">
        <f>#REF!*2</f>
        <v>#REF!</v>
      </c>
      <c r="BX92" s="28" t="e">
        <f>#REF!</f>
        <v>#REF!</v>
      </c>
      <c r="BY92" s="28" t="e">
        <f>#REF!*2</f>
        <v>#REF!</v>
      </c>
      <c r="BZ92" s="28" t="e">
        <f>#REF!</f>
        <v>#REF!</v>
      </c>
      <c r="CA92" s="28" t="e">
        <f>#REF!*2</f>
        <v>#REF!</v>
      </c>
      <c r="CB92" s="9">
        <f>C92-B92</f>
        <v>4</v>
      </c>
      <c r="CC92" s="9">
        <f>D92-C92</f>
        <v>13</v>
      </c>
      <c r="CD92" s="9">
        <f>E92-D92</f>
        <v>2</v>
      </c>
      <c r="CE92" s="9">
        <f>F92-E92</f>
        <v>10</v>
      </c>
      <c r="CF92" s="9">
        <f>G92-F92</f>
        <v>5</v>
      </c>
      <c r="CG92" s="33"/>
      <c r="CH92" s="9">
        <f>C92-B92</f>
        <v>4</v>
      </c>
      <c r="CI92" s="9">
        <f>D92-C92</f>
        <v>13</v>
      </c>
      <c r="CJ92" s="9">
        <f>E92-D92</f>
        <v>2</v>
      </c>
      <c r="CK92" s="9">
        <f>F92-E92</f>
        <v>10</v>
      </c>
      <c r="CL92" s="9">
        <f>G92-F92</f>
        <v>5</v>
      </c>
      <c r="CM92" s="32"/>
      <c r="CN92" s="3">
        <f>IF(OR(CH92="",ISBLANK(CH92),CH92=0),0,IF(MOD(CH92,2)=1,1,2))</f>
        <v>2</v>
      </c>
      <c r="CO92" s="3">
        <f>IF(OR(CI92="",ISBLANK(CI92),CI92=0),0,IF(MOD(CI92,2)=1,1,2))</f>
        <v>1</v>
      </c>
      <c r="CP92" s="3">
        <f>IF(OR(CJ92="",ISBLANK(CJ92),CJ92=0),0,IF(MOD(CJ92,2)=1,1,2))</f>
        <v>2</v>
      </c>
      <c r="CQ92" s="3">
        <f>IF(OR(CK92="",ISBLANK(CK92),CK92=0),0,IF(MOD(CK92,2)=1,1,2))</f>
        <v>2</v>
      </c>
      <c r="CR92" s="3">
        <f>IF(OR(CL92="",ISBLANK(CL92),CL92=0),0,IF(MOD(CL92,2)=1,1,2))</f>
        <v>1</v>
      </c>
      <c r="CS92" s="31"/>
      <c r="CT92" s="3" cm="1">
        <f t="array" ref="CT92">SUMPRODUCT(--(MOD(CH92:CL92,2)=1))</f>
        <v>2</v>
      </c>
      <c r="CU92" s="3">
        <f>5-CT92</f>
        <v>3</v>
      </c>
      <c r="CV92" s="30"/>
      <c r="CW92" s="3" cm="1">
        <f t="array" ref="CW92">SUMPRODUCT(--(MOD(CH92:CL92,10)&gt;=1), --(MOD(CH92:CL92,10)&lt;=5))</f>
        <v>4</v>
      </c>
      <c r="CX92" s="3">
        <f>5-CW92</f>
        <v>1</v>
      </c>
      <c r="CY92" s="30"/>
      <c r="CZ92" s="3" cm="1">
        <f t="array" ref="CZ92">IFERROR(COUNT(_xlfn._xlws.FILTER(CH92:CL92, ISNUMBER(MATCH(CH92:CL92, {2,3,5,7,11,13,17,19,23,29,31,37,41,43}, 0)))), 0)</f>
        <v>3</v>
      </c>
      <c r="DA92" s="3" cm="1">
        <f t="array" ref="DA92">IFERROR(COUNT(_xlfn._xlws.FILTER(CH92:CL92, ISNUMBER(MATCH(CH92:CL92, {1,4,8,10,14,16,20,22,25,26,28,32,34,35,38,40,44}, 0)))), 0)</f>
        <v>2</v>
      </c>
      <c r="DB92" s="3" cm="1">
        <f t="array" ref="DB92">IFERROR(COUNT(_xlfn._xlws.FILTER(CH92:CL92, ISNUMBER(MATCH(CH92:CL92, {6,9,12,15,18,21,24,27,30,33,36,39,42,45}, 0)))), 0)</f>
        <v>0</v>
      </c>
      <c r="DC92" s="29"/>
      <c r="DD92" s="28" t="e">
        <f>#REF!</f>
        <v>#REF!</v>
      </c>
      <c r="DE92" s="28" t="e">
        <f>#REF!*2</f>
        <v>#REF!</v>
      </c>
      <c r="DF92" s="28" t="e">
        <f>#REF!</f>
        <v>#REF!</v>
      </c>
      <c r="DG92" s="28" t="e">
        <f>#REF!*2</f>
        <v>#REF!</v>
      </c>
      <c r="DH92" s="28" t="e">
        <f>#REF!</f>
        <v>#REF!</v>
      </c>
      <c r="DI92" s="28" t="e">
        <f>#REF!*2</f>
        <v>#REF!</v>
      </c>
      <c r="DJ92" s="28" t="e">
        <f>#REF!</f>
        <v>#REF!</v>
      </c>
      <c r="DK92" s="28" t="e">
        <f>#REF!*2</f>
        <v>#REF!</v>
      </c>
      <c r="DL92" s="28" t="e">
        <f>#REF!</f>
        <v>#REF!</v>
      </c>
      <c r="DM92" s="28" t="e">
        <f>#REF!*2</f>
        <v>#REF!</v>
      </c>
      <c r="DN92" s="27"/>
      <c r="DO92" s="26" t="str" cm="1">
        <f t="array" ref="DO92">_xlfn.IFS(
   OR(CH92="",ISBLANK(CH92),CH92=0),0,
   ISNUMBER(MATCH(CH92,{2,3,5,7,11,13,17,19,23,29,31,37,41,43},0)),"소",
   AND(ISNUMBER(CH92),MOD(CH92,3)=0),"배",
   AND(ISNUMBER(CH92),CH92&gt;0),"자"
)</f>
        <v>자</v>
      </c>
      <c r="DP92" s="26" t="str" cm="1">
        <f t="array" ref="DP92">_xlfn.IFS(
   OR(CI92="",ISBLANK(CI92),CI92=0),0,
   ISNUMBER(MATCH(CI92,{2,3,5,7,11,13,17,19,23,29,31,37,41,43},0)),"소",
   AND(ISNUMBER(CI92),MOD(CI92,3)=0),"배",
   AND(ISNUMBER(CI92),CI92&gt;0),"자"
)</f>
        <v>소</v>
      </c>
      <c r="DQ92" s="26" t="str" cm="1">
        <f t="array" ref="DQ92">_xlfn.IFS(
   OR(CJ92="",ISBLANK(CJ92),CJ92=0),0,
   ISNUMBER(MATCH(CJ92,{2,3,5,7,11,13,17,19,23,29,31,37,41,43},0)),"소",
   AND(ISNUMBER(CJ92),MOD(CJ92,3)=0),"배",
   AND(ISNUMBER(CJ92),CJ92&gt;0),"자"
)</f>
        <v>소</v>
      </c>
      <c r="DR92" s="26" t="str" cm="1">
        <f t="array" ref="DR92">_xlfn.IFS(
   OR(CK92="",ISBLANK(CK92),CK92=0),0,
   ISNUMBER(MATCH(CK92,{2,3,5,7,11,13,17,19,23,29,31,37,41,43},0)),"소",
   AND(ISNUMBER(CK92),MOD(CK92,3)=0),"배",
   AND(ISNUMBER(CK92),CK92&gt;0),"자"
)</f>
        <v>자</v>
      </c>
      <c r="DS92" s="26" t="str" cm="1">
        <f t="array" ref="DS92">_xlfn.IFS(
   OR(CL92="",ISBLANK(CL92),CL92=0),0,
   ISNUMBER(MATCH(CL92,{2,3,5,7,11,13,17,19,23,29,31,37,41,43},0)),"소",
   AND(ISNUMBER(CL92),MOD(CL92,3)=0),"배",
   AND(ISNUMBER(CL92),CL92&gt;0),"자"
)</f>
        <v>소</v>
      </c>
      <c r="DT92" s="25"/>
    </row>
    <row r="93" spans="1:124" ht="14.25" thickBot="1" x14ac:dyDescent="0.35">
      <c r="B93" s="3">
        <v>8</v>
      </c>
      <c r="C93" s="3">
        <v>11</v>
      </c>
      <c r="D93" s="3">
        <v>14</v>
      </c>
      <c r="E93" s="3">
        <v>17</v>
      </c>
      <c r="F93" s="3">
        <v>36</v>
      </c>
      <c r="G93" s="3">
        <v>39</v>
      </c>
      <c r="H93" s="32"/>
      <c r="I93" s="3">
        <f>IF(OR(B93="",ISBLANK(B93),B93=0),0,IF(MOD(B93,2)=1,1,2))</f>
        <v>2</v>
      </c>
      <c r="J93" s="3">
        <f>IF(OR(C93="",ISBLANK(C93),C93=0),0,IF(MOD(C93,2)=1,1,2))</f>
        <v>1</v>
      </c>
      <c r="K93" s="3">
        <f>IF(OR(D93="",ISBLANK(D93),D93=0),0,IF(MOD(D93,2)=1,1,2))</f>
        <v>2</v>
      </c>
      <c r="L93" s="3">
        <f>IF(OR(E93="",ISBLANK(E93),E93=0),0,IF(MOD(E93,2)=1,1,2))</f>
        <v>1</v>
      </c>
      <c r="M93" s="3">
        <f>IF(OR(F93="",ISBLANK(F93),F93=0),0,IF(MOD(F93,2)=1,1,2))</f>
        <v>2</v>
      </c>
      <c r="N93" s="3">
        <f>IF(OR(G93="",ISBLANK(G93),G93=0),0,IF(MOD(G93,2)=1,1,2))</f>
        <v>1</v>
      </c>
      <c r="O93" s="32"/>
      <c r="P93" s="3" cm="1">
        <f t="array" ref="P93">SUMPRODUCT(--(MOD(B93:G93,2)=1))</f>
        <v>3</v>
      </c>
      <c r="Q93" s="3">
        <f>6-P93</f>
        <v>3</v>
      </c>
      <c r="R93" s="34"/>
      <c r="S93" s="3">
        <f>COUNTIFS(B93:G93,"&gt;=1",B93:G93,"&lt;=23")</f>
        <v>4</v>
      </c>
      <c r="T93" s="3">
        <f>6-S93</f>
        <v>2</v>
      </c>
      <c r="U93" s="34"/>
      <c r="V93" s="3" cm="1">
        <f t="array" ref="V93">SUMPRODUCT(--(MOD(B93:G93,10)&gt;=1), --(MOD(B93:G93,10)&lt;=5))</f>
        <v>2</v>
      </c>
      <c r="W93" s="3">
        <f>6-V93</f>
        <v>4</v>
      </c>
      <c r="X93" s="34"/>
      <c r="Y93" s="3" cm="1">
        <f t="array" ref="Y93">IFERROR(COUNT(_xlfn._xlws.FILTER(B93:G93, ISNUMBER(MATCH(B93:G93, {2,3,5,7,11,13,17,19,23,29,31,37,41,43}, 0)))), 0)</f>
        <v>2</v>
      </c>
      <c r="Z93" s="3" cm="1">
        <f t="array" ref="Z93">IFERROR(COUNT(_xlfn._xlws.FILTER(B93:G93, ISNUMBER(MATCH(B93:G93, {1,4,8,10,14,16,20,22,25,26,28,32,34,35,38,40,44}, 0)))), 0)</f>
        <v>2</v>
      </c>
      <c r="AA93" s="3" cm="1">
        <f t="array" ref="AA93">IFERROR(COUNT(_xlfn._xlws.FILTER(B93:G93, ISNUMBER(MATCH(B93:G93, {6,9,12,15,18,21,24,27,30,33,36,39,42,45}, 0)))), 0)</f>
        <v>2</v>
      </c>
      <c r="AB93" s="30"/>
      <c r="AC93" s="26" t="str" cm="1">
        <f t="array" ref="AC93">_xlfn.IFS(
   OR(B93="",ISBLANK(B93),B93=0),0,
   ISNUMBER(MATCH(B93,{2,3,5,7,11,13,17,19,23,29,31,37,41,43},0)),"소",
   AND(ISNUMBER(B93),MOD(B93,3)=0),"배",
   AND(ISNUMBER(B93),B93&gt;0),"자"
)</f>
        <v>자</v>
      </c>
      <c r="AD93" s="26" t="str" cm="1">
        <f t="array" ref="AD93">_xlfn.IFS(
   OR(C93="",ISBLANK(C93),C93=0),0,
   ISNUMBER(MATCH(C93,{2,3,5,7,11,13,17,19,23,29,31,37,41,43},0)),"소",
   AND(ISNUMBER(C93),MOD(C93,3)=0),"배",
   AND(ISNUMBER(C93),C93&gt;0),"자"
)</f>
        <v>소</v>
      </c>
      <c r="AE93" s="26" t="str" cm="1">
        <f t="array" ref="AE93">_xlfn.IFS(
   OR(D93="",ISBLANK(D93),D93=0),0,
   ISNUMBER(MATCH(D93,{2,3,5,7,11,13,17,19,23,29,31,37,41,43},0)),"소",
   AND(ISNUMBER(D93),MOD(D93,3)=0),"배",
   AND(ISNUMBER(D93),D93&gt;0),"자"
)</f>
        <v>자</v>
      </c>
      <c r="AF93" s="26" t="str" cm="1">
        <f t="array" ref="AF93">_xlfn.IFS(
   OR(E93="",ISBLANK(E93),E93=0),0,
   ISNUMBER(MATCH(E93,{2,3,5,7,11,13,17,19,23,29,31,37,41,43},0)),"소",
   AND(ISNUMBER(E93),MOD(E93,3)=0),"배",
   AND(ISNUMBER(E93),E93&gt;0),"자"
)</f>
        <v>소</v>
      </c>
      <c r="AG93" s="26" t="str" cm="1">
        <f t="array" ref="AG93">_xlfn.IFS(
   OR(F93="",ISBLANK(F93),F93=0),0,
   ISNUMBER(MATCH(F93,{2,3,5,7,11,13,17,19,23,29,31,37,41,43},0)),"소",
   AND(ISNUMBER(F93),MOD(F93,3)=0),"배",
   AND(ISNUMBER(F93),F93&gt;0),"자"
)</f>
        <v>배</v>
      </c>
      <c r="AH93" s="26" t="str" cm="1">
        <f t="array" ref="AH93">_xlfn.IFS(
   OR(G93="",ISBLANK(G93),G93=0),0,
   ISNUMBER(MATCH(G93,{2,3,5,7,11,13,17,19,23,29,31,37,41,43},0)),"소",
   AND(ISNUMBER(G93),MOD(G93,3)=0),"배",
   AND(ISNUMBER(G93),G93&gt;0),"자"
)</f>
        <v>배</v>
      </c>
      <c r="AI93" s="30"/>
      <c r="AJ93" s="3">
        <f>COUNTIFS(B93:G93,"&gt;=1",B93:G93,"&lt;=14")</f>
        <v>3</v>
      </c>
      <c r="AK93" s="3">
        <f>COUNTIFS(B93:G93,"&gt;=15",B93:G93,"&lt;=31")</f>
        <v>1</v>
      </c>
      <c r="AL93" s="3">
        <f>6-AK93-AJ93</f>
        <v>2</v>
      </c>
      <c r="AM93" s="33"/>
      <c r="AN93" s="3">
        <f>COUNTIFS($B93:$G93, "&gt;=1",$B93:$G93, "&lt;=9")</f>
        <v>1</v>
      </c>
      <c r="AO93" s="3">
        <f>COUNTIFS($B93:$G93, "&gt;=10",$B93:$G93, "&lt;=18")</f>
        <v>3</v>
      </c>
      <c r="AP93" s="3">
        <f>COUNTIFS($B93:$G93, "&gt;=19",$B93:$G93, "&lt;=27")</f>
        <v>0</v>
      </c>
      <c r="AQ93" s="3">
        <f>COUNTIFS($B93:$G93, "&gt;=28",$B93:$G93, "&lt;=36")</f>
        <v>1</v>
      </c>
      <c r="AR93" s="3">
        <f>COUNTIFS($B93:$G93, "&gt;=37",$B93:$G93, "&lt;=45")</f>
        <v>1</v>
      </c>
      <c r="AS93" s="28" t="e">
        <f>#REF!</f>
        <v>#REF!</v>
      </c>
      <c r="AT93" s="28" t="e">
        <f>#REF!*2</f>
        <v>#REF!</v>
      </c>
      <c r="AU93" s="28" t="e">
        <f>#REF!</f>
        <v>#REF!</v>
      </c>
      <c r="AV93" s="28" t="e">
        <f>#REF!*2</f>
        <v>#REF!</v>
      </c>
      <c r="AW93" s="28" t="e">
        <f>#REF!</f>
        <v>#REF!</v>
      </c>
      <c r="AX93" s="28" t="e">
        <f>#REF!*2</f>
        <v>#REF!</v>
      </c>
      <c r="AY93" s="28" t="e">
        <f>#REF!</f>
        <v>#REF!</v>
      </c>
      <c r="AZ93" s="28" t="e">
        <f>#REF!*2</f>
        <v>#REF!</v>
      </c>
      <c r="BA93" s="28" t="e">
        <f>#REF!</f>
        <v>#REF!</v>
      </c>
      <c r="BB93" s="28" t="e">
        <f>#REF!*2</f>
        <v>#REF!</v>
      </c>
      <c r="BC93" s="28" t="e">
        <f>#REF!</f>
        <v>#REF!</v>
      </c>
      <c r="BD93" s="28" t="e">
        <f>#REF!*2</f>
        <v>#REF!</v>
      </c>
      <c r="BE93" s="9" t="e">
        <f>#REF!-#REF!</f>
        <v>#REF!</v>
      </c>
      <c r="BF93" s="9" t="e">
        <f>#REF!-#REF!</f>
        <v>#REF!</v>
      </c>
      <c r="BG93" s="9" t="e">
        <f>#REF!-#REF!</f>
        <v>#REF!</v>
      </c>
      <c r="BH93" s="9" t="e">
        <f>#REF!-#REF!</f>
        <v>#REF!</v>
      </c>
      <c r="BI93" s="9" t="e">
        <f>#REF!-#REF!</f>
        <v>#REF!</v>
      </c>
      <c r="BJ93" s="33"/>
      <c r="BK93" s="3">
        <f>COUNTIFS(B93:G93, "&gt;=1", B93:G93, "&lt;=9")</f>
        <v>1</v>
      </c>
      <c r="BL93" s="3">
        <f>COUNTIFS(B93:G93, "&gt;=10", B93:G93, "&lt;=19")</f>
        <v>3</v>
      </c>
      <c r="BM93" s="3">
        <f>COUNTIFS(B93:G93, "&gt;=20", B93:G93, "&lt;=29")</f>
        <v>0</v>
      </c>
      <c r="BN93" s="3">
        <f>COUNTIFS(B93:G93, "&gt;=30", B93:G93, "&lt;=39")</f>
        <v>2</v>
      </c>
      <c r="BO93" s="3">
        <f>COUNTIFS(B93:G93, "&gt;=40", B93:G93, "&lt;=45")</f>
        <v>0</v>
      </c>
      <c r="BP93" s="28" t="e">
        <f>#REF!</f>
        <v>#REF!</v>
      </c>
      <c r="BQ93" s="28" t="e">
        <f>#REF!*2</f>
        <v>#REF!</v>
      </c>
      <c r="BR93" s="28" t="e">
        <f>#REF!</f>
        <v>#REF!</v>
      </c>
      <c r="BS93" s="28" t="e">
        <f>#REF!*2</f>
        <v>#REF!</v>
      </c>
      <c r="BT93" s="28" t="e">
        <f>#REF!</f>
        <v>#REF!</v>
      </c>
      <c r="BU93" s="28" t="e">
        <f>#REF!*2</f>
        <v>#REF!</v>
      </c>
      <c r="BV93" s="28" t="e">
        <f>#REF!</f>
        <v>#REF!</v>
      </c>
      <c r="BW93" s="28" t="e">
        <f>#REF!*2</f>
        <v>#REF!</v>
      </c>
      <c r="BX93" s="28" t="e">
        <f>#REF!</f>
        <v>#REF!</v>
      </c>
      <c r="BY93" s="28" t="e">
        <f>#REF!*2</f>
        <v>#REF!</v>
      </c>
      <c r="BZ93" s="28" t="e">
        <f>#REF!</f>
        <v>#REF!</v>
      </c>
      <c r="CA93" s="28" t="e">
        <f>#REF!*2</f>
        <v>#REF!</v>
      </c>
      <c r="CB93" s="9">
        <f>C93-B93</f>
        <v>3</v>
      </c>
      <c r="CC93" s="9">
        <f>D93-C93</f>
        <v>3</v>
      </c>
      <c r="CD93" s="9">
        <f>E93-D93</f>
        <v>3</v>
      </c>
      <c r="CE93" s="9">
        <f>F93-E93</f>
        <v>19</v>
      </c>
      <c r="CF93" s="9">
        <f>G93-F93</f>
        <v>3</v>
      </c>
      <c r="CG93" s="33"/>
      <c r="CH93" s="9">
        <f>C93-B93</f>
        <v>3</v>
      </c>
      <c r="CI93" s="9">
        <f>D93-C93</f>
        <v>3</v>
      </c>
      <c r="CJ93" s="9">
        <f>E93-D93</f>
        <v>3</v>
      </c>
      <c r="CK93" s="9">
        <f>F93-E93</f>
        <v>19</v>
      </c>
      <c r="CL93" s="9">
        <f>G93-F93</f>
        <v>3</v>
      </c>
      <c r="CM93" s="32"/>
      <c r="CN93" s="3">
        <f>IF(OR(CH93="",ISBLANK(CH93),CH93=0),0,IF(MOD(CH93,2)=1,1,2))</f>
        <v>1</v>
      </c>
      <c r="CO93" s="3">
        <f>IF(OR(CI93="",ISBLANK(CI93),CI93=0),0,IF(MOD(CI93,2)=1,1,2))</f>
        <v>1</v>
      </c>
      <c r="CP93" s="3">
        <f>IF(OR(CJ93="",ISBLANK(CJ93),CJ93=0),0,IF(MOD(CJ93,2)=1,1,2))</f>
        <v>1</v>
      </c>
      <c r="CQ93" s="3">
        <f>IF(OR(CK93="",ISBLANK(CK93),CK93=0),0,IF(MOD(CK93,2)=1,1,2))</f>
        <v>1</v>
      </c>
      <c r="CR93" s="3">
        <f>IF(OR(CL93="",ISBLANK(CL93),CL93=0),0,IF(MOD(CL93,2)=1,1,2))</f>
        <v>1</v>
      </c>
      <c r="CS93" s="31"/>
      <c r="CT93" s="3" cm="1">
        <f t="array" ref="CT93">SUMPRODUCT(--(MOD(CH93:CL93,2)=1))</f>
        <v>5</v>
      </c>
      <c r="CU93" s="3">
        <f>5-CT93</f>
        <v>0</v>
      </c>
      <c r="CV93" s="30"/>
      <c r="CW93" s="3" cm="1">
        <f t="array" ref="CW93">SUMPRODUCT(--(MOD(CH93:CL93,10)&gt;=1), --(MOD(CH93:CL93,10)&lt;=5))</f>
        <v>4</v>
      </c>
      <c r="CX93" s="3">
        <f>5-CW93</f>
        <v>1</v>
      </c>
      <c r="CY93" s="30"/>
      <c r="CZ93" s="3" cm="1">
        <f t="array" ref="CZ93">IFERROR(COUNT(_xlfn._xlws.FILTER(CH93:CL93, ISNUMBER(MATCH(CH93:CL93, {2,3,5,7,11,13,17,19,23,29,31,37,41,43}, 0)))), 0)</f>
        <v>5</v>
      </c>
      <c r="DA93" s="3" cm="1">
        <f t="array" ref="DA93">IFERROR(COUNT(_xlfn._xlws.FILTER(CH93:CL93, ISNUMBER(MATCH(CH93:CL93, {1,4,8,10,14,16,20,22,25,26,28,32,34,35,38,40,44}, 0)))), 0)</f>
        <v>0</v>
      </c>
      <c r="DB93" s="3" cm="1">
        <f t="array" ref="DB93">IFERROR(COUNT(_xlfn._xlws.FILTER(CH93:CL93, ISNUMBER(MATCH(CH93:CL93, {6,9,12,15,18,21,24,27,30,33,36,39,42,45}, 0)))), 0)</f>
        <v>0</v>
      </c>
      <c r="DC93" s="29"/>
      <c r="DD93" s="28" t="e">
        <f>#REF!</f>
        <v>#REF!</v>
      </c>
      <c r="DE93" s="28" t="e">
        <f>#REF!*2</f>
        <v>#REF!</v>
      </c>
      <c r="DF93" s="28" t="e">
        <f>#REF!</f>
        <v>#REF!</v>
      </c>
      <c r="DG93" s="28" t="e">
        <f>#REF!*2</f>
        <v>#REF!</v>
      </c>
      <c r="DH93" s="28" t="e">
        <f>#REF!</f>
        <v>#REF!</v>
      </c>
      <c r="DI93" s="28" t="e">
        <f>#REF!*2</f>
        <v>#REF!</v>
      </c>
      <c r="DJ93" s="28" t="e">
        <f>#REF!</f>
        <v>#REF!</v>
      </c>
      <c r="DK93" s="28" t="e">
        <f>#REF!*2</f>
        <v>#REF!</v>
      </c>
      <c r="DL93" s="28" t="e">
        <f>#REF!</f>
        <v>#REF!</v>
      </c>
      <c r="DM93" s="28" t="e">
        <f>#REF!*2</f>
        <v>#REF!</v>
      </c>
      <c r="DN93" s="27"/>
      <c r="DO93" s="26" t="str" cm="1">
        <f t="array" ref="DO93">_xlfn.IFS(
   OR(CH93="",ISBLANK(CH93),CH93=0),0,
   ISNUMBER(MATCH(CH93,{2,3,5,7,11,13,17,19,23,29,31,37,41,43},0)),"소",
   AND(ISNUMBER(CH93),MOD(CH93,3)=0),"배",
   AND(ISNUMBER(CH93),CH93&gt;0),"자"
)</f>
        <v>소</v>
      </c>
      <c r="DP93" s="26" t="str" cm="1">
        <f t="array" ref="DP93">_xlfn.IFS(
   OR(CI93="",ISBLANK(CI93),CI93=0),0,
   ISNUMBER(MATCH(CI93,{2,3,5,7,11,13,17,19,23,29,31,37,41,43},0)),"소",
   AND(ISNUMBER(CI93),MOD(CI93,3)=0),"배",
   AND(ISNUMBER(CI93),CI93&gt;0),"자"
)</f>
        <v>소</v>
      </c>
      <c r="DQ93" s="26" t="str" cm="1">
        <f t="array" ref="DQ93">_xlfn.IFS(
   OR(CJ93="",ISBLANK(CJ93),CJ93=0),0,
   ISNUMBER(MATCH(CJ93,{2,3,5,7,11,13,17,19,23,29,31,37,41,43},0)),"소",
   AND(ISNUMBER(CJ93),MOD(CJ93,3)=0),"배",
   AND(ISNUMBER(CJ93),CJ93&gt;0),"자"
)</f>
        <v>소</v>
      </c>
      <c r="DR93" s="26" t="str" cm="1">
        <f t="array" ref="DR93">_xlfn.IFS(
   OR(CK93="",ISBLANK(CK93),CK93=0),0,
   ISNUMBER(MATCH(CK93,{2,3,5,7,11,13,17,19,23,29,31,37,41,43},0)),"소",
   AND(ISNUMBER(CK93),MOD(CK93,3)=0),"배",
   AND(ISNUMBER(CK93),CK93&gt;0),"자"
)</f>
        <v>소</v>
      </c>
      <c r="DS93" s="26" t="str" cm="1">
        <f t="array" ref="DS93">_xlfn.IFS(
   OR(CL93="",ISBLANK(CL93),CL93=0),0,
   ISNUMBER(MATCH(CL93,{2,3,5,7,11,13,17,19,23,29,31,37,41,43},0)),"소",
   AND(ISNUMBER(CL93),MOD(CL93,3)=0),"배",
   AND(ISNUMBER(CL93),CL93&gt;0),"자"
)</f>
        <v>소</v>
      </c>
      <c r="DT93" s="25"/>
    </row>
    <row r="94" spans="1:124" ht="14.25" thickBot="1" x14ac:dyDescent="0.35">
      <c r="A94" s="49"/>
      <c r="B94" s="17">
        <v>3</v>
      </c>
      <c r="C94" s="18">
        <v>4</v>
      </c>
      <c r="D94" s="18">
        <v>6</v>
      </c>
      <c r="E94" s="15">
        <v>8</v>
      </c>
      <c r="F94" s="3">
        <v>32</v>
      </c>
      <c r="G94" s="3">
        <v>42</v>
      </c>
      <c r="H94" s="32"/>
      <c r="I94" s="3">
        <f>IF(OR(B94="",ISBLANK(B94),B94=0),0,IF(MOD(B94,2)=1,1,2))</f>
        <v>1</v>
      </c>
      <c r="J94" s="3">
        <f>IF(OR(C94="",ISBLANK(C94),C94=0),0,IF(MOD(C94,2)=1,1,2))</f>
        <v>2</v>
      </c>
      <c r="K94" s="3">
        <f>IF(OR(D94="",ISBLANK(D94),D94=0),0,IF(MOD(D94,2)=1,1,2))</f>
        <v>2</v>
      </c>
      <c r="L94" s="3">
        <f>IF(OR(E94="",ISBLANK(E94),E94=0),0,IF(MOD(E94,2)=1,1,2))</f>
        <v>2</v>
      </c>
      <c r="M94" s="3">
        <f>IF(OR(F94="",ISBLANK(F94),F94=0),0,IF(MOD(F94,2)=1,1,2))</f>
        <v>2</v>
      </c>
      <c r="N94" s="3">
        <f>IF(OR(G94="",ISBLANK(G94),G94=0),0,IF(MOD(G94,2)=1,1,2))</f>
        <v>2</v>
      </c>
      <c r="O94" s="32"/>
      <c r="P94" s="3" cm="1">
        <f t="array" ref="P94">SUMPRODUCT(--(MOD(B94:G94,2)=1))</f>
        <v>1</v>
      </c>
      <c r="Q94" s="3">
        <f>6-P94</f>
        <v>5</v>
      </c>
      <c r="R94" s="34"/>
      <c r="S94" s="3">
        <f>COUNTIFS(B94:G94,"&gt;=1",B94:G94,"&lt;=23")</f>
        <v>4</v>
      </c>
      <c r="T94" s="3">
        <f>6-S94</f>
        <v>2</v>
      </c>
      <c r="U94" s="34"/>
      <c r="V94" s="3" cm="1">
        <f t="array" ref="V94">SUMPRODUCT(--(MOD(B94:G94,10)&gt;=1), --(MOD(B94:G94,10)&lt;=5))</f>
        <v>4</v>
      </c>
      <c r="W94" s="3">
        <f>6-V94</f>
        <v>2</v>
      </c>
      <c r="X94" s="34"/>
      <c r="Y94" s="3" cm="1">
        <f t="array" ref="Y94">IFERROR(COUNT(_xlfn._xlws.FILTER(B94:G94, ISNUMBER(MATCH(B94:G94, {2,3,5,7,11,13,17,19,23,29,31,37,41,43}, 0)))), 0)</f>
        <v>1</v>
      </c>
      <c r="Z94" s="3" cm="1">
        <f t="array" ref="Z94">IFERROR(COUNT(_xlfn._xlws.FILTER(B94:G94, ISNUMBER(MATCH(B94:G94, {1,4,8,10,14,16,20,22,25,26,28,32,34,35,38,40,44}, 0)))), 0)</f>
        <v>3</v>
      </c>
      <c r="AA94" s="3" cm="1">
        <f t="array" ref="AA94">IFERROR(COUNT(_xlfn._xlws.FILTER(B94:G94, ISNUMBER(MATCH(B94:G94, {6,9,12,15,18,21,24,27,30,33,36,39,42,45}, 0)))), 0)</f>
        <v>2</v>
      </c>
      <c r="AB94" s="30"/>
      <c r="AC94" s="26" t="str" cm="1">
        <f t="array" ref="AC94">_xlfn.IFS(
   OR(B94="",ISBLANK(B94),B94=0),0,
   ISNUMBER(MATCH(B94,{2,3,5,7,11,13,17,19,23,29,31,37,41,43},0)),"소",
   AND(ISNUMBER(B94),MOD(B94,3)=0),"배",
   AND(ISNUMBER(B94),B94&gt;0),"자"
)</f>
        <v>소</v>
      </c>
      <c r="AD94" s="26" t="str" cm="1">
        <f t="array" ref="AD94">_xlfn.IFS(
   OR(C94="",ISBLANK(C94),C94=0),0,
   ISNUMBER(MATCH(C94,{2,3,5,7,11,13,17,19,23,29,31,37,41,43},0)),"소",
   AND(ISNUMBER(C94),MOD(C94,3)=0),"배",
   AND(ISNUMBER(C94),C94&gt;0),"자"
)</f>
        <v>자</v>
      </c>
      <c r="AE94" s="26" t="str" cm="1">
        <f t="array" ref="AE94">_xlfn.IFS(
   OR(D94="",ISBLANK(D94),D94=0),0,
   ISNUMBER(MATCH(D94,{2,3,5,7,11,13,17,19,23,29,31,37,41,43},0)),"소",
   AND(ISNUMBER(D94),MOD(D94,3)=0),"배",
   AND(ISNUMBER(D94),D94&gt;0),"자"
)</f>
        <v>배</v>
      </c>
      <c r="AF94" s="26" t="str" cm="1">
        <f t="array" ref="AF94">_xlfn.IFS(
   OR(E94="",ISBLANK(E94),E94=0),0,
   ISNUMBER(MATCH(E94,{2,3,5,7,11,13,17,19,23,29,31,37,41,43},0)),"소",
   AND(ISNUMBER(E94),MOD(E94,3)=0),"배",
   AND(ISNUMBER(E94),E94&gt;0),"자"
)</f>
        <v>자</v>
      </c>
      <c r="AG94" s="26" t="str" cm="1">
        <f t="array" ref="AG94">_xlfn.IFS(
   OR(F94="",ISBLANK(F94),F94=0),0,
   ISNUMBER(MATCH(F94,{2,3,5,7,11,13,17,19,23,29,31,37,41,43},0)),"소",
   AND(ISNUMBER(F94),MOD(F94,3)=0),"배",
   AND(ISNUMBER(F94),F94&gt;0),"자"
)</f>
        <v>자</v>
      </c>
      <c r="AH94" s="26" t="str" cm="1">
        <f t="array" ref="AH94">_xlfn.IFS(
   OR(G94="",ISBLANK(G94),G94=0),0,
   ISNUMBER(MATCH(G94,{2,3,5,7,11,13,17,19,23,29,31,37,41,43},0)),"소",
   AND(ISNUMBER(G94),MOD(G94,3)=0),"배",
   AND(ISNUMBER(G94),G94&gt;0),"자"
)</f>
        <v>배</v>
      </c>
      <c r="AI94" s="30"/>
      <c r="AJ94" s="3">
        <f>COUNTIFS(B94:G94,"&gt;=1",B94:G94,"&lt;=14")</f>
        <v>4</v>
      </c>
      <c r="AK94" s="3">
        <f>COUNTIFS(B94:G94,"&gt;=15",B94:G94,"&lt;=31")</f>
        <v>0</v>
      </c>
      <c r="AL94" s="3">
        <f>6-AK94-AJ94</f>
        <v>2</v>
      </c>
      <c r="AM94" s="33"/>
      <c r="AN94" s="3">
        <f>COUNTIFS($B94:$G94, "&gt;=1",$B94:$G94, "&lt;=9")</f>
        <v>4</v>
      </c>
      <c r="AO94" s="3">
        <f>COUNTIFS($B94:$G94, "&gt;=10",$B94:$G94, "&lt;=18")</f>
        <v>0</v>
      </c>
      <c r="AP94" s="3">
        <f>COUNTIFS($B94:$G94, "&gt;=19",$B94:$G94, "&lt;=27")</f>
        <v>0</v>
      </c>
      <c r="AQ94" s="3">
        <f>COUNTIFS($B94:$G94, "&gt;=28",$B94:$G94, "&lt;=36")</f>
        <v>1</v>
      </c>
      <c r="AR94" s="3">
        <f>COUNTIFS($B94:$G94, "&gt;=37",$B94:$G94, "&lt;=45")</f>
        <v>1</v>
      </c>
      <c r="AS94" s="28" t="e">
        <f>#REF!</f>
        <v>#REF!</v>
      </c>
      <c r="AT94" s="28" t="e">
        <f>#REF!*2</f>
        <v>#REF!</v>
      </c>
      <c r="AU94" s="28" t="e">
        <f>#REF!</f>
        <v>#REF!</v>
      </c>
      <c r="AV94" s="28" t="e">
        <f>#REF!*2</f>
        <v>#REF!</v>
      </c>
      <c r="AW94" s="28" t="e">
        <f>#REF!</f>
        <v>#REF!</v>
      </c>
      <c r="AX94" s="28" t="e">
        <f>#REF!*2</f>
        <v>#REF!</v>
      </c>
      <c r="AY94" s="28" t="e">
        <f>#REF!</f>
        <v>#REF!</v>
      </c>
      <c r="AZ94" s="28" t="e">
        <f>#REF!*2</f>
        <v>#REF!</v>
      </c>
      <c r="BA94" s="28" t="e">
        <f>#REF!</f>
        <v>#REF!</v>
      </c>
      <c r="BB94" s="28" t="e">
        <f>#REF!*2</f>
        <v>#REF!</v>
      </c>
      <c r="BC94" s="28" t="e">
        <f>#REF!</f>
        <v>#REF!</v>
      </c>
      <c r="BD94" s="28" t="e">
        <f>#REF!*2</f>
        <v>#REF!</v>
      </c>
      <c r="BE94" s="9" t="e">
        <f>#REF!-#REF!</f>
        <v>#REF!</v>
      </c>
      <c r="BF94" s="9" t="e">
        <f>#REF!-#REF!</f>
        <v>#REF!</v>
      </c>
      <c r="BG94" s="9" t="e">
        <f>#REF!-#REF!</f>
        <v>#REF!</v>
      </c>
      <c r="BH94" s="9" t="e">
        <f>#REF!-#REF!</f>
        <v>#REF!</v>
      </c>
      <c r="BI94" s="9" t="e">
        <f>#REF!-#REF!</f>
        <v>#REF!</v>
      </c>
      <c r="BJ94" s="33"/>
      <c r="BK94" s="3">
        <f>COUNTIFS(B94:G94, "&gt;=1", B94:G94, "&lt;=9")</f>
        <v>4</v>
      </c>
      <c r="BL94" s="3">
        <f>COUNTIFS(B94:G94, "&gt;=10", B94:G94, "&lt;=19")</f>
        <v>0</v>
      </c>
      <c r="BM94" s="3">
        <f>COUNTIFS(B94:G94, "&gt;=20", B94:G94, "&lt;=29")</f>
        <v>0</v>
      </c>
      <c r="BN94" s="3">
        <f>COUNTIFS(B94:G94, "&gt;=30", B94:G94, "&lt;=39")</f>
        <v>1</v>
      </c>
      <c r="BO94" s="3">
        <f>COUNTIFS(B94:G94, "&gt;=40", B94:G94, "&lt;=45")</f>
        <v>1</v>
      </c>
      <c r="BP94" s="28" t="e">
        <f>#REF!</f>
        <v>#REF!</v>
      </c>
      <c r="BQ94" s="28" t="e">
        <f>#REF!*2</f>
        <v>#REF!</v>
      </c>
      <c r="BR94" s="28" t="e">
        <f>#REF!</f>
        <v>#REF!</v>
      </c>
      <c r="BS94" s="28" t="e">
        <f>#REF!*2</f>
        <v>#REF!</v>
      </c>
      <c r="BT94" s="28" t="e">
        <f>#REF!</f>
        <v>#REF!</v>
      </c>
      <c r="BU94" s="28" t="e">
        <f>#REF!*2</f>
        <v>#REF!</v>
      </c>
      <c r="BV94" s="28" t="e">
        <f>#REF!</f>
        <v>#REF!</v>
      </c>
      <c r="BW94" s="28" t="e">
        <f>#REF!*2</f>
        <v>#REF!</v>
      </c>
      <c r="BX94" s="28" t="e">
        <f>#REF!</f>
        <v>#REF!</v>
      </c>
      <c r="BY94" s="28" t="e">
        <f>#REF!*2</f>
        <v>#REF!</v>
      </c>
      <c r="BZ94" s="28" t="e">
        <f>#REF!</f>
        <v>#REF!</v>
      </c>
      <c r="CA94" s="28" t="e">
        <f>#REF!*2</f>
        <v>#REF!</v>
      </c>
      <c r="CB94" s="9">
        <f>C94-B94</f>
        <v>1</v>
      </c>
      <c r="CC94" s="9">
        <f>D94-C94</f>
        <v>2</v>
      </c>
      <c r="CD94" s="9">
        <f>E94-D94</f>
        <v>2</v>
      </c>
      <c r="CE94" s="9">
        <f>F94-E94</f>
        <v>24</v>
      </c>
      <c r="CF94" s="9">
        <f>G94-F94</f>
        <v>10</v>
      </c>
      <c r="CG94" s="33"/>
      <c r="CH94" s="9">
        <f>C94-B94</f>
        <v>1</v>
      </c>
      <c r="CI94" s="9">
        <f>D94-C94</f>
        <v>2</v>
      </c>
      <c r="CJ94" s="9">
        <f>E94-D94</f>
        <v>2</v>
      </c>
      <c r="CK94" s="9">
        <f>F94-E94</f>
        <v>24</v>
      </c>
      <c r="CL94" s="9">
        <f>G94-F94</f>
        <v>10</v>
      </c>
      <c r="CM94" s="32"/>
      <c r="CN94" s="3">
        <f>IF(OR(CH94="",ISBLANK(CH94),CH94=0),0,IF(MOD(CH94,2)=1,1,2))</f>
        <v>1</v>
      </c>
      <c r="CO94" s="3">
        <f>IF(OR(CI94="",ISBLANK(CI94),CI94=0),0,IF(MOD(CI94,2)=1,1,2))</f>
        <v>2</v>
      </c>
      <c r="CP94" s="3">
        <f>IF(OR(CJ94="",ISBLANK(CJ94),CJ94=0),0,IF(MOD(CJ94,2)=1,1,2))</f>
        <v>2</v>
      </c>
      <c r="CQ94" s="3">
        <f>IF(OR(CK94="",ISBLANK(CK94),CK94=0),0,IF(MOD(CK94,2)=1,1,2))</f>
        <v>2</v>
      </c>
      <c r="CR94" s="3">
        <f>IF(OR(CL94="",ISBLANK(CL94),CL94=0),0,IF(MOD(CL94,2)=1,1,2))</f>
        <v>2</v>
      </c>
      <c r="CS94" s="31"/>
      <c r="CT94" s="3" cm="1">
        <f t="array" ref="CT94">SUMPRODUCT(--(MOD(CH94:CL94,2)=1))</f>
        <v>1</v>
      </c>
      <c r="CU94" s="3">
        <f>5-CT94</f>
        <v>4</v>
      </c>
      <c r="CV94" s="30"/>
      <c r="CW94" s="3" cm="1">
        <f t="array" ref="CW94">SUMPRODUCT(--(MOD(CH94:CL94,10)&gt;=1), --(MOD(CH94:CL94,10)&lt;=5))</f>
        <v>4</v>
      </c>
      <c r="CX94" s="3">
        <f>5-CW94</f>
        <v>1</v>
      </c>
      <c r="CY94" s="30"/>
      <c r="CZ94" s="3" cm="1">
        <f t="array" ref="CZ94">IFERROR(COUNT(_xlfn._xlws.FILTER(CH94:CL94, ISNUMBER(MATCH(CH94:CL94, {2,3,5,7,11,13,17,19,23,29,31,37,41,43}, 0)))), 0)</f>
        <v>2</v>
      </c>
      <c r="DA94" s="3" cm="1">
        <f t="array" ref="DA94">IFERROR(COUNT(_xlfn._xlws.FILTER(CH94:CL94, ISNUMBER(MATCH(CH94:CL94, {1,4,8,10,14,16,20,22,25,26,28,32,34,35,38,40,44}, 0)))), 0)</f>
        <v>2</v>
      </c>
      <c r="DB94" s="3" cm="1">
        <f t="array" ref="DB94">IFERROR(COUNT(_xlfn._xlws.FILTER(CH94:CL94, ISNUMBER(MATCH(CH94:CL94, {6,9,12,15,18,21,24,27,30,33,36,39,42,45}, 0)))), 0)</f>
        <v>1</v>
      </c>
      <c r="DC94" s="29"/>
      <c r="DD94" s="28" t="e">
        <f>#REF!</f>
        <v>#REF!</v>
      </c>
      <c r="DE94" s="28" t="e">
        <f>#REF!*2</f>
        <v>#REF!</v>
      </c>
      <c r="DF94" s="28" t="e">
        <f>#REF!</f>
        <v>#REF!</v>
      </c>
      <c r="DG94" s="28" t="e">
        <f>#REF!*2</f>
        <v>#REF!</v>
      </c>
      <c r="DH94" s="28" t="e">
        <f>#REF!</f>
        <v>#REF!</v>
      </c>
      <c r="DI94" s="28" t="e">
        <f>#REF!*2</f>
        <v>#REF!</v>
      </c>
      <c r="DJ94" s="28" t="e">
        <f>#REF!</f>
        <v>#REF!</v>
      </c>
      <c r="DK94" s="28" t="e">
        <f>#REF!*2</f>
        <v>#REF!</v>
      </c>
      <c r="DL94" s="28" t="e">
        <f>#REF!</f>
        <v>#REF!</v>
      </c>
      <c r="DM94" s="28" t="e">
        <f>#REF!*2</f>
        <v>#REF!</v>
      </c>
      <c r="DN94" s="27"/>
      <c r="DO94" s="26" t="str" cm="1">
        <f t="array" ref="DO94">_xlfn.IFS(
   OR(CH94="",ISBLANK(CH94),CH94=0),0,
   ISNUMBER(MATCH(CH94,{2,3,5,7,11,13,17,19,23,29,31,37,41,43},0)),"소",
   AND(ISNUMBER(CH94),MOD(CH94,3)=0),"배",
   AND(ISNUMBER(CH94),CH94&gt;0),"자"
)</f>
        <v>자</v>
      </c>
      <c r="DP94" s="26" t="str" cm="1">
        <f t="array" ref="DP94">_xlfn.IFS(
   OR(CI94="",ISBLANK(CI94),CI94=0),0,
   ISNUMBER(MATCH(CI94,{2,3,5,7,11,13,17,19,23,29,31,37,41,43},0)),"소",
   AND(ISNUMBER(CI94),MOD(CI94,3)=0),"배",
   AND(ISNUMBER(CI94),CI94&gt;0),"자"
)</f>
        <v>소</v>
      </c>
      <c r="DQ94" s="26" t="str" cm="1">
        <f t="array" ref="DQ94">_xlfn.IFS(
   OR(CJ94="",ISBLANK(CJ94),CJ94=0),0,
   ISNUMBER(MATCH(CJ94,{2,3,5,7,11,13,17,19,23,29,31,37,41,43},0)),"소",
   AND(ISNUMBER(CJ94),MOD(CJ94,3)=0),"배",
   AND(ISNUMBER(CJ94),CJ94&gt;0),"자"
)</f>
        <v>소</v>
      </c>
      <c r="DR94" s="26" t="str" cm="1">
        <f t="array" ref="DR94">_xlfn.IFS(
   OR(CK94="",ISBLANK(CK94),CK94=0),0,
   ISNUMBER(MATCH(CK94,{2,3,5,7,11,13,17,19,23,29,31,37,41,43},0)),"소",
   AND(ISNUMBER(CK94),MOD(CK94,3)=0),"배",
   AND(ISNUMBER(CK94),CK94&gt;0),"자"
)</f>
        <v>배</v>
      </c>
      <c r="DS94" s="26" t="str" cm="1">
        <f t="array" ref="DS94">_xlfn.IFS(
   OR(CL94="",ISBLANK(CL94),CL94=0),0,
   ISNUMBER(MATCH(CL94,{2,3,5,7,11,13,17,19,23,29,31,37,41,43},0)),"소",
   AND(ISNUMBER(CL94),MOD(CL94,3)=0),"배",
   AND(ISNUMBER(CL94),CL94&gt;0),"자"
)</f>
        <v>자</v>
      </c>
      <c r="DT94" s="25"/>
    </row>
    <row r="95" spans="1:124" x14ac:dyDescent="0.3">
      <c r="B95" s="3">
        <v>7</v>
      </c>
      <c r="C95" s="3">
        <v>9</v>
      </c>
      <c r="D95" s="3">
        <v>11</v>
      </c>
      <c r="E95" s="3">
        <v>21</v>
      </c>
      <c r="F95" s="3">
        <v>30</v>
      </c>
      <c r="G95" s="3">
        <v>35</v>
      </c>
      <c r="H95" s="32"/>
      <c r="I95" s="3">
        <f>IF(OR(B95="",ISBLANK(B95),B95=0),0,IF(MOD(B95,2)=1,1,2))</f>
        <v>1</v>
      </c>
      <c r="J95" s="3">
        <f>IF(OR(C95="",ISBLANK(C95),C95=0),0,IF(MOD(C95,2)=1,1,2))</f>
        <v>1</v>
      </c>
      <c r="K95" s="3">
        <f>IF(OR(D95="",ISBLANK(D95),D95=0),0,IF(MOD(D95,2)=1,1,2))</f>
        <v>1</v>
      </c>
      <c r="L95" s="3">
        <f>IF(OR(E95="",ISBLANK(E95),E95=0),0,IF(MOD(E95,2)=1,1,2))</f>
        <v>1</v>
      </c>
      <c r="M95" s="3">
        <f>IF(OR(F95="",ISBLANK(F95),F95=0),0,IF(MOD(F95,2)=1,1,2))</f>
        <v>2</v>
      </c>
      <c r="N95" s="3">
        <f>IF(OR(G95="",ISBLANK(G95),G95=0),0,IF(MOD(G95,2)=1,1,2))</f>
        <v>1</v>
      </c>
      <c r="O95" s="32"/>
      <c r="P95" s="3" cm="1">
        <f t="array" ref="P95">SUMPRODUCT(--(MOD(B95:G95,2)=1))</f>
        <v>5</v>
      </c>
      <c r="Q95" s="3">
        <f>6-P95</f>
        <v>1</v>
      </c>
      <c r="R95" s="34"/>
      <c r="S95" s="3">
        <f>COUNTIFS(B95:G95,"&gt;=1",B95:G95,"&lt;=23")</f>
        <v>4</v>
      </c>
      <c r="T95" s="3">
        <f>6-S95</f>
        <v>2</v>
      </c>
      <c r="U95" s="34"/>
      <c r="V95" s="3" cm="1">
        <f t="array" ref="V95">SUMPRODUCT(--(MOD(B95:G95,10)&gt;=1), --(MOD(B95:G95,10)&lt;=5))</f>
        <v>3</v>
      </c>
      <c r="W95" s="3">
        <f>6-V95</f>
        <v>3</v>
      </c>
      <c r="X95" s="34"/>
      <c r="Y95" s="3" cm="1">
        <f t="array" ref="Y95">IFERROR(COUNT(_xlfn._xlws.FILTER(B95:G95, ISNUMBER(MATCH(B95:G95, {2,3,5,7,11,13,17,19,23,29,31,37,41,43}, 0)))), 0)</f>
        <v>2</v>
      </c>
      <c r="Z95" s="3" cm="1">
        <f t="array" ref="Z95">IFERROR(COUNT(_xlfn._xlws.FILTER(B95:G95, ISNUMBER(MATCH(B95:G95, {1,4,8,10,14,16,20,22,25,26,28,32,34,35,38,40,44}, 0)))), 0)</f>
        <v>1</v>
      </c>
      <c r="AA95" s="3" cm="1">
        <f t="array" ref="AA95">IFERROR(COUNT(_xlfn._xlws.FILTER(B95:G95, ISNUMBER(MATCH(B95:G95, {6,9,12,15,18,21,24,27,30,33,36,39,42,45}, 0)))), 0)</f>
        <v>3</v>
      </c>
      <c r="AB95" s="30"/>
      <c r="AC95" s="26" t="str" cm="1">
        <f t="array" ref="AC95">_xlfn.IFS(
   OR(B95="",ISBLANK(B95),B95=0),0,
   ISNUMBER(MATCH(B95,{2,3,5,7,11,13,17,19,23,29,31,37,41,43},0)),"소",
   AND(ISNUMBER(B95),MOD(B95,3)=0),"배",
   AND(ISNUMBER(B95),B95&gt;0),"자"
)</f>
        <v>소</v>
      </c>
      <c r="AD95" s="26" t="str" cm="1">
        <f t="array" ref="AD95">_xlfn.IFS(
   OR(C95="",ISBLANK(C95),C95=0),0,
   ISNUMBER(MATCH(C95,{2,3,5,7,11,13,17,19,23,29,31,37,41,43},0)),"소",
   AND(ISNUMBER(C95),MOD(C95,3)=0),"배",
   AND(ISNUMBER(C95),C95&gt;0),"자"
)</f>
        <v>배</v>
      </c>
      <c r="AE95" s="26" t="str" cm="1">
        <f t="array" ref="AE95">_xlfn.IFS(
   OR(D95="",ISBLANK(D95),D95=0),0,
   ISNUMBER(MATCH(D95,{2,3,5,7,11,13,17,19,23,29,31,37,41,43},0)),"소",
   AND(ISNUMBER(D95),MOD(D95,3)=0),"배",
   AND(ISNUMBER(D95),D95&gt;0),"자"
)</f>
        <v>소</v>
      </c>
      <c r="AF95" s="26" t="str" cm="1">
        <f t="array" ref="AF95">_xlfn.IFS(
   OR(E95="",ISBLANK(E95),E95=0),0,
   ISNUMBER(MATCH(E95,{2,3,5,7,11,13,17,19,23,29,31,37,41,43},0)),"소",
   AND(ISNUMBER(E95),MOD(E95,3)=0),"배",
   AND(ISNUMBER(E95),E95&gt;0),"자"
)</f>
        <v>배</v>
      </c>
      <c r="AG95" s="26" t="str" cm="1">
        <f t="array" ref="AG95">_xlfn.IFS(
   OR(F95="",ISBLANK(F95),F95=0),0,
   ISNUMBER(MATCH(F95,{2,3,5,7,11,13,17,19,23,29,31,37,41,43},0)),"소",
   AND(ISNUMBER(F95),MOD(F95,3)=0),"배",
   AND(ISNUMBER(F95),F95&gt;0),"자"
)</f>
        <v>배</v>
      </c>
      <c r="AH95" s="26" t="str" cm="1">
        <f t="array" ref="AH95">_xlfn.IFS(
   OR(G95="",ISBLANK(G95),G95=0),0,
   ISNUMBER(MATCH(G95,{2,3,5,7,11,13,17,19,23,29,31,37,41,43},0)),"소",
   AND(ISNUMBER(G95),MOD(G95,3)=0),"배",
   AND(ISNUMBER(G95),G95&gt;0),"자"
)</f>
        <v>자</v>
      </c>
      <c r="AI95" s="30"/>
      <c r="AJ95" s="3">
        <f>COUNTIFS(B95:G95,"&gt;=1",B95:G95,"&lt;=14")</f>
        <v>3</v>
      </c>
      <c r="AK95" s="3">
        <f>COUNTIFS(B95:G95,"&gt;=15",B95:G95,"&lt;=31")</f>
        <v>2</v>
      </c>
      <c r="AL95" s="3">
        <f>6-AK95-AJ95</f>
        <v>1</v>
      </c>
      <c r="AM95" s="33"/>
      <c r="AN95" s="3">
        <f>COUNTIFS($B95:$G95, "&gt;=1",$B95:$G95, "&lt;=9")</f>
        <v>2</v>
      </c>
      <c r="AO95" s="3">
        <f>COUNTIFS($B95:$G95, "&gt;=10",$B95:$G95, "&lt;=18")</f>
        <v>1</v>
      </c>
      <c r="AP95" s="3">
        <f>COUNTIFS($B95:$G95, "&gt;=19",$B95:$G95, "&lt;=27")</f>
        <v>1</v>
      </c>
      <c r="AQ95" s="3">
        <f>COUNTIFS($B95:$G95, "&gt;=28",$B95:$G95, "&lt;=36")</f>
        <v>2</v>
      </c>
      <c r="AR95" s="3">
        <f>COUNTIFS($B95:$G95, "&gt;=37",$B95:$G95, "&lt;=45")</f>
        <v>0</v>
      </c>
      <c r="AS95" s="28" t="e">
        <f>#REF!</f>
        <v>#REF!</v>
      </c>
      <c r="AT95" s="28" t="e">
        <f>#REF!*2</f>
        <v>#REF!</v>
      </c>
      <c r="AU95" s="28" t="e">
        <f>#REF!</f>
        <v>#REF!</v>
      </c>
      <c r="AV95" s="28" t="e">
        <f>#REF!*2</f>
        <v>#REF!</v>
      </c>
      <c r="AW95" s="28" t="e">
        <f>#REF!</f>
        <v>#REF!</v>
      </c>
      <c r="AX95" s="28" t="e">
        <f>#REF!*2</f>
        <v>#REF!</v>
      </c>
      <c r="AY95" s="28" t="e">
        <f>#REF!</f>
        <v>#REF!</v>
      </c>
      <c r="AZ95" s="28" t="e">
        <f>#REF!*2</f>
        <v>#REF!</v>
      </c>
      <c r="BA95" s="28" t="e">
        <f>#REF!</f>
        <v>#REF!</v>
      </c>
      <c r="BB95" s="28" t="e">
        <f>#REF!*2</f>
        <v>#REF!</v>
      </c>
      <c r="BC95" s="28" t="e">
        <f>#REF!</f>
        <v>#REF!</v>
      </c>
      <c r="BD95" s="28" t="e">
        <f>#REF!*2</f>
        <v>#REF!</v>
      </c>
      <c r="BE95" s="9" t="e">
        <f>#REF!-#REF!</f>
        <v>#REF!</v>
      </c>
      <c r="BF95" s="9" t="e">
        <f>#REF!-#REF!</f>
        <v>#REF!</v>
      </c>
      <c r="BG95" s="9" t="e">
        <f>#REF!-#REF!</f>
        <v>#REF!</v>
      </c>
      <c r="BH95" s="9" t="e">
        <f>#REF!-#REF!</f>
        <v>#REF!</v>
      </c>
      <c r="BI95" s="9" t="e">
        <f>#REF!-#REF!</f>
        <v>#REF!</v>
      </c>
      <c r="BJ95" s="33"/>
      <c r="BK95" s="3">
        <f>COUNTIFS(B95:G95, "&gt;=1", B95:G95, "&lt;=9")</f>
        <v>2</v>
      </c>
      <c r="BL95" s="3">
        <f>COUNTIFS(B95:G95, "&gt;=10", B95:G95, "&lt;=19")</f>
        <v>1</v>
      </c>
      <c r="BM95" s="3">
        <f>COUNTIFS(B95:G95, "&gt;=20", B95:G95, "&lt;=29")</f>
        <v>1</v>
      </c>
      <c r="BN95" s="3">
        <f>COUNTIFS(B95:G95, "&gt;=30", B95:G95, "&lt;=39")</f>
        <v>2</v>
      </c>
      <c r="BO95" s="3">
        <f>COUNTIFS(B95:G95, "&gt;=40", B95:G95, "&lt;=45")</f>
        <v>0</v>
      </c>
      <c r="BP95" s="28" t="e">
        <f>#REF!</f>
        <v>#REF!</v>
      </c>
      <c r="BQ95" s="28" t="e">
        <f>#REF!*2</f>
        <v>#REF!</v>
      </c>
      <c r="BR95" s="28" t="e">
        <f>#REF!</f>
        <v>#REF!</v>
      </c>
      <c r="BS95" s="28" t="e">
        <f>#REF!*2</f>
        <v>#REF!</v>
      </c>
      <c r="BT95" s="28" t="e">
        <f>#REF!</f>
        <v>#REF!</v>
      </c>
      <c r="BU95" s="28" t="e">
        <f>#REF!*2</f>
        <v>#REF!</v>
      </c>
      <c r="BV95" s="28" t="e">
        <f>#REF!</f>
        <v>#REF!</v>
      </c>
      <c r="BW95" s="28" t="e">
        <f>#REF!*2</f>
        <v>#REF!</v>
      </c>
      <c r="BX95" s="28" t="e">
        <f>#REF!</f>
        <v>#REF!</v>
      </c>
      <c r="BY95" s="28" t="e">
        <f>#REF!*2</f>
        <v>#REF!</v>
      </c>
      <c r="BZ95" s="28" t="e">
        <f>#REF!</f>
        <v>#REF!</v>
      </c>
      <c r="CA95" s="28" t="e">
        <f>#REF!*2</f>
        <v>#REF!</v>
      </c>
      <c r="CB95" s="9">
        <f>C95-B95</f>
        <v>2</v>
      </c>
      <c r="CC95" s="9">
        <f>D95-C95</f>
        <v>2</v>
      </c>
      <c r="CD95" s="9">
        <f>E95-D95</f>
        <v>10</v>
      </c>
      <c r="CE95" s="9">
        <f>F95-E95</f>
        <v>9</v>
      </c>
      <c r="CF95" s="9">
        <f>G95-F95</f>
        <v>5</v>
      </c>
      <c r="CG95" s="33"/>
      <c r="CH95" s="9">
        <f>C95-B95</f>
        <v>2</v>
      </c>
      <c r="CI95" s="9">
        <f>D95-C95</f>
        <v>2</v>
      </c>
      <c r="CJ95" s="9">
        <f>E95-D95</f>
        <v>10</v>
      </c>
      <c r="CK95" s="9">
        <f>F95-E95</f>
        <v>9</v>
      </c>
      <c r="CL95" s="9">
        <f>G95-F95</f>
        <v>5</v>
      </c>
      <c r="CM95" s="32"/>
      <c r="CN95" s="3">
        <f>IF(OR(CH95="",ISBLANK(CH95),CH95=0),0,IF(MOD(CH95,2)=1,1,2))</f>
        <v>2</v>
      </c>
      <c r="CO95" s="3">
        <f>IF(OR(CI95="",ISBLANK(CI95),CI95=0),0,IF(MOD(CI95,2)=1,1,2))</f>
        <v>2</v>
      </c>
      <c r="CP95" s="3">
        <f>IF(OR(CJ95="",ISBLANK(CJ95),CJ95=0),0,IF(MOD(CJ95,2)=1,1,2))</f>
        <v>2</v>
      </c>
      <c r="CQ95" s="3">
        <f>IF(OR(CK95="",ISBLANK(CK95),CK95=0),0,IF(MOD(CK95,2)=1,1,2))</f>
        <v>1</v>
      </c>
      <c r="CR95" s="3">
        <f>IF(OR(CL95="",ISBLANK(CL95),CL95=0),0,IF(MOD(CL95,2)=1,1,2))</f>
        <v>1</v>
      </c>
      <c r="CS95" s="31"/>
      <c r="CT95" s="3" cm="1">
        <f t="array" ref="CT95">SUMPRODUCT(--(MOD(CH95:CL95,2)=1))</f>
        <v>2</v>
      </c>
      <c r="CU95" s="3">
        <f>5-CT95</f>
        <v>3</v>
      </c>
      <c r="CV95" s="30"/>
      <c r="CW95" s="3" cm="1">
        <f t="array" ref="CW95">SUMPRODUCT(--(MOD(CH95:CL95,10)&gt;=1), --(MOD(CH95:CL95,10)&lt;=5))</f>
        <v>3</v>
      </c>
      <c r="CX95" s="3">
        <f>5-CW95</f>
        <v>2</v>
      </c>
      <c r="CY95" s="30"/>
      <c r="CZ95" s="3" cm="1">
        <f t="array" ref="CZ95">IFERROR(COUNT(_xlfn._xlws.FILTER(CH95:CL95, ISNUMBER(MATCH(CH95:CL95, {2,3,5,7,11,13,17,19,23,29,31,37,41,43}, 0)))), 0)</f>
        <v>3</v>
      </c>
      <c r="DA95" s="3" cm="1">
        <f t="array" ref="DA95">IFERROR(COUNT(_xlfn._xlws.FILTER(CH95:CL95, ISNUMBER(MATCH(CH95:CL95, {1,4,8,10,14,16,20,22,25,26,28,32,34,35,38,40,44}, 0)))), 0)</f>
        <v>1</v>
      </c>
      <c r="DB95" s="3" cm="1">
        <f t="array" ref="DB95">IFERROR(COUNT(_xlfn._xlws.FILTER(CH95:CL95, ISNUMBER(MATCH(CH95:CL95, {6,9,12,15,18,21,24,27,30,33,36,39,42,45}, 0)))), 0)</f>
        <v>1</v>
      </c>
      <c r="DC95" s="29"/>
      <c r="DD95" s="28" t="e">
        <f>#REF!</f>
        <v>#REF!</v>
      </c>
      <c r="DE95" s="28" t="e">
        <f>#REF!*2</f>
        <v>#REF!</v>
      </c>
      <c r="DF95" s="28" t="e">
        <f>#REF!</f>
        <v>#REF!</v>
      </c>
      <c r="DG95" s="28" t="e">
        <f>#REF!*2</f>
        <v>#REF!</v>
      </c>
      <c r="DH95" s="28" t="e">
        <f>#REF!</f>
        <v>#REF!</v>
      </c>
      <c r="DI95" s="28" t="e">
        <f>#REF!*2</f>
        <v>#REF!</v>
      </c>
      <c r="DJ95" s="28" t="e">
        <f>#REF!</f>
        <v>#REF!</v>
      </c>
      <c r="DK95" s="28" t="e">
        <f>#REF!*2</f>
        <v>#REF!</v>
      </c>
      <c r="DL95" s="28" t="e">
        <f>#REF!</f>
        <v>#REF!</v>
      </c>
      <c r="DM95" s="28" t="e">
        <f>#REF!*2</f>
        <v>#REF!</v>
      </c>
      <c r="DN95" s="27"/>
      <c r="DO95" s="26" t="str" cm="1">
        <f t="array" ref="DO95">_xlfn.IFS(
   OR(CH95="",ISBLANK(CH95),CH95=0),0,
   ISNUMBER(MATCH(CH95,{2,3,5,7,11,13,17,19,23,29,31,37,41,43},0)),"소",
   AND(ISNUMBER(CH95),MOD(CH95,3)=0),"배",
   AND(ISNUMBER(CH95),CH95&gt;0),"자"
)</f>
        <v>소</v>
      </c>
      <c r="DP95" s="26" t="str" cm="1">
        <f t="array" ref="DP95">_xlfn.IFS(
   OR(CI95="",ISBLANK(CI95),CI95=0),0,
   ISNUMBER(MATCH(CI95,{2,3,5,7,11,13,17,19,23,29,31,37,41,43},0)),"소",
   AND(ISNUMBER(CI95),MOD(CI95,3)=0),"배",
   AND(ISNUMBER(CI95),CI95&gt;0),"자"
)</f>
        <v>소</v>
      </c>
      <c r="DQ95" s="26" t="str" cm="1">
        <f t="array" ref="DQ95">_xlfn.IFS(
   OR(CJ95="",ISBLANK(CJ95),CJ95=0),0,
   ISNUMBER(MATCH(CJ95,{2,3,5,7,11,13,17,19,23,29,31,37,41,43},0)),"소",
   AND(ISNUMBER(CJ95),MOD(CJ95,3)=0),"배",
   AND(ISNUMBER(CJ95),CJ95&gt;0),"자"
)</f>
        <v>자</v>
      </c>
      <c r="DR95" s="26" t="str" cm="1">
        <f t="array" ref="DR95">_xlfn.IFS(
   OR(CK95="",ISBLANK(CK95),CK95=0),0,
   ISNUMBER(MATCH(CK95,{2,3,5,7,11,13,17,19,23,29,31,37,41,43},0)),"소",
   AND(ISNUMBER(CK95),MOD(CK95,3)=0),"배",
   AND(ISNUMBER(CK95),CK95&gt;0),"자"
)</f>
        <v>배</v>
      </c>
      <c r="DS95" s="26" t="str" cm="1">
        <f t="array" ref="DS95">_xlfn.IFS(
   OR(CL95="",ISBLANK(CL95),CL95=0),0,
   ISNUMBER(MATCH(CL95,{2,3,5,7,11,13,17,19,23,29,31,37,41,43},0)),"소",
   AND(ISNUMBER(CL95),MOD(CL95,3)=0),"배",
   AND(ISNUMBER(CL95),CL95&gt;0),"자"
)</f>
        <v>소</v>
      </c>
      <c r="DT95" s="25"/>
    </row>
    <row r="96" spans="1:124" x14ac:dyDescent="0.3">
      <c r="B96" s="3">
        <v>3</v>
      </c>
      <c r="C96" s="3">
        <v>7</v>
      </c>
      <c r="D96" s="3">
        <v>15</v>
      </c>
      <c r="E96" s="3">
        <v>16</v>
      </c>
      <c r="F96" s="3">
        <v>19</v>
      </c>
      <c r="G96" s="3">
        <v>43</v>
      </c>
      <c r="H96" s="32"/>
      <c r="I96" s="3">
        <f>IF(OR(B96="",ISBLANK(B96),B96=0),0,IF(MOD(B96,2)=1,1,2))</f>
        <v>1</v>
      </c>
      <c r="J96" s="3">
        <f>IF(OR(C96="",ISBLANK(C96),C96=0),0,IF(MOD(C96,2)=1,1,2))</f>
        <v>1</v>
      </c>
      <c r="K96" s="3">
        <f>IF(OR(D96="",ISBLANK(D96),D96=0),0,IF(MOD(D96,2)=1,1,2))</f>
        <v>1</v>
      </c>
      <c r="L96" s="3">
        <f>IF(OR(E96="",ISBLANK(E96),E96=0),0,IF(MOD(E96,2)=1,1,2))</f>
        <v>2</v>
      </c>
      <c r="M96" s="3">
        <f>IF(OR(F96="",ISBLANK(F96),F96=0),0,IF(MOD(F96,2)=1,1,2))</f>
        <v>1</v>
      </c>
      <c r="N96" s="3">
        <f>IF(OR(G96="",ISBLANK(G96),G96=0),0,IF(MOD(G96,2)=1,1,2))</f>
        <v>1</v>
      </c>
      <c r="O96" s="32"/>
      <c r="P96" s="3" cm="1">
        <f t="array" ref="P96">SUMPRODUCT(--(MOD(B96:G96,2)=1))</f>
        <v>5</v>
      </c>
      <c r="Q96" s="3">
        <f>6-P96</f>
        <v>1</v>
      </c>
      <c r="R96" s="34"/>
      <c r="S96" s="3">
        <f>COUNTIFS(B96:G96,"&gt;=1",B96:G96,"&lt;=23")</f>
        <v>5</v>
      </c>
      <c r="T96" s="3">
        <f>6-S96</f>
        <v>1</v>
      </c>
      <c r="U96" s="34"/>
      <c r="V96" s="3" cm="1">
        <f t="array" ref="V96">SUMPRODUCT(--(MOD(B96:G96,10)&gt;=1), --(MOD(B96:G96,10)&lt;=5))</f>
        <v>3</v>
      </c>
      <c r="W96" s="3">
        <f>6-V96</f>
        <v>3</v>
      </c>
      <c r="X96" s="34"/>
      <c r="Y96" s="3" cm="1">
        <f t="array" ref="Y96">IFERROR(COUNT(_xlfn._xlws.FILTER(B96:G96, ISNUMBER(MATCH(B96:G96, {2,3,5,7,11,13,17,19,23,29,31,37,41,43}, 0)))), 0)</f>
        <v>4</v>
      </c>
      <c r="Z96" s="3" cm="1">
        <f t="array" ref="Z96">IFERROR(COUNT(_xlfn._xlws.FILTER(B96:G96, ISNUMBER(MATCH(B96:G96, {1,4,8,10,14,16,20,22,25,26,28,32,34,35,38,40,44}, 0)))), 0)</f>
        <v>1</v>
      </c>
      <c r="AA96" s="3" cm="1">
        <f t="array" ref="AA96">IFERROR(COUNT(_xlfn._xlws.FILTER(B96:G96, ISNUMBER(MATCH(B96:G96, {6,9,12,15,18,21,24,27,30,33,36,39,42,45}, 0)))), 0)</f>
        <v>1</v>
      </c>
      <c r="AB96" s="30"/>
      <c r="AC96" s="26" t="str" cm="1">
        <f t="array" ref="AC96">_xlfn.IFS(
   OR(B96="",ISBLANK(B96),B96=0),0,
   ISNUMBER(MATCH(B96,{2,3,5,7,11,13,17,19,23,29,31,37,41,43},0)),"소",
   AND(ISNUMBER(B96),MOD(B96,3)=0),"배",
   AND(ISNUMBER(B96),B96&gt;0),"자"
)</f>
        <v>소</v>
      </c>
      <c r="AD96" s="26" t="str" cm="1">
        <f t="array" ref="AD96">_xlfn.IFS(
   OR(C96="",ISBLANK(C96),C96=0),0,
   ISNUMBER(MATCH(C96,{2,3,5,7,11,13,17,19,23,29,31,37,41,43},0)),"소",
   AND(ISNUMBER(C96),MOD(C96,3)=0),"배",
   AND(ISNUMBER(C96),C96&gt;0),"자"
)</f>
        <v>소</v>
      </c>
      <c r="AE96" s="26" t="str" cm="1">
        <f t="array" ref="AE96">_xlfn.IFS(
   OR(D96="",ISBLANK(D96),D96=0),0,
   ISNUMBER(MATCH(D96,{2,3,5,7,11,13,17,19,23,29,31,37,41,43},0)),"소",
   AND(ISNUMBER(D96),MOD(D96,3)=0),"배",
   AND(ISNUMBER(D96),D96&gt;0),"자"
)</f>
        <v>배</v>
      </c>
      <c r="AF96" s="26" t="str" cm="1">
        <f t="array" ref="AF96">_xlfn.IFS(
   OR(E96="",ISBLANK(E96),E96=0),0,
   ISNUMBER(MATCH(E96,{2,3,5,7,11,13,17,19,23,29,31,37,41,43},0)),"소",
   AND(ISNUMBER(E96),MOD(E96,3)=0),"배",
   AND(ISNUMBER(E96),E96&gt;0),"자"
)</f>
        <v>자</v>
      </c>
      <c r="AG96" s="26" t="str" cm="1">
        <f t="array" ref="AG96">_xlfn.IFS(
   OR(F96="",ISBLANK(F96),F96=0),0,
   ISNUMBER(MATCH(F96,{2,3,5,7,11,13,17,19,23,29,31,37,41,43},0)),"소",
   AND(ISNUMBER(F96),MOD(F96,3)=0),"배",
   AND(ISNUMBER(F96),F96&gt;0),"자"
)</f>
        <v>소</v>
      </c>
      <c r="AH96" s="26" t="str" cm="1">
        <f t="array" ref="AH96">_xlfn.IFS(
   OR(G96="",ISBLANK(G96),G96=0),0,
   ISNUMBER(MATCH(G96,{2,3,5,7,11,13,17,19,23,29,31,37,41,43},0)),"소",
   AND(ISNUMBER(G96),MOD(G96,3)=0),"배",
   AND(ISNUMBER(G96),G96&gt;0),"자"
)</f>
        <v>소</v>
      </c>
      <c r="AI96" s="30"/>
      <c r="AJ96" s="3">
        <f>COUNTIFS(B96:G96,"&gt;=1",B96:G96,"&lt;=14")</f>
        <v>2</v>
      </c>
      <c r="AK96" s="3">
        <f>COUNTIFS(B96:G96,"&gt;=15",B96:G96,"&lt;=31")</f>
        <v>3</v>
      </c>
      <c r="AL96" s="3">
        <f>6-AK96-AJ96</f>
        <v>1</v>
      </c>
      <c r="AM96" s="33"/>
      <c r="AN96" s="3">
        <f>COUNTIFS($B96:$G96, "&gt;=1",$B96:$G96, "&lt;=9")</f>
        <v>2</v>
      </c>
      <c r="AO96" s="3">
        <f>COUNTIFS($B96:$G96, "&gt;=10",$B96:$G96, "&lt;=18")</f>
        <v>2</v>
      </c>
      <c r="AP96" s="3">
        <f>COUNTIFS($B96:$G96, "&gt;=19",$B96:$G96, "&lt;=27")</f>
        <v>1</v>
      </c>
      <c r="AQ96" s="3">
        <f>COUNTIFS($B96:$G96, "&gt;=28",$B96:$G96, "&lt;=36")</f>
        <v>0</v>
      </c>
      <c r="AR96" s="3">
        <f>COUNTIFS($B96:$G96, "&gt;=37",$B96:$G96, "&lt;=45")</f>
        <v>1</v>
      </c>
      <c r="AS96" s="28" t="e">
        <f>#REF!</f>
        <v>#REF!</v>
      </c>
      <c r="AT96" s="28" t="e">
        <f>#REF!*2</f>
        <v>#REF!</v>
      </c>
      <c r="AU96" s="28" t="e">
        <f>#REF!</f>
        <v>#REF!</v>
      </c>
      <c r="AV96" s="28" t="e">
        <f>#REF!*2</f>
        <v>#REF!</v>
      </c>
      <c r="AW96" s="28" t="e">
        <f>#REF!</f>
        <v>#REF!</v>
      </c>
      <c r="AX96" s="28" t="e">
        <f>#REF!*2</f>
        <v>#REF!</v>
      </c>
      <c r="AY96" s="28" t="e">
        <f>#REF!</f>
        <v>#REF!</v>
      </c>
      <c r="AZ96" s="28" t="e">
        <f>#REF!*2</f>
        <v>#REF!</v>
      </c>
      <c r="BA96" s="28" t="e">
        <f>#REF!</f>
        <v>#REF!</v>
      </c>
      <c r="BB96" s="28" t="e">
        <f>#REF!*2</f>
        <v>#REF!</v>
      </c>
      <c r="BC96" s="28" t="e">
        <f>#REF!</f>
        <v>#REF!</v>
      </c>
      <c r="BD96" s="28" t="e">
        <f>#REF!*2</f>
        <v>#REF!</v>
      </c>
      <c r="BE96" s="9" t="e">
        <f>#REF!-#REF!</f>
        <v>#REF!</v>
      </c>
      <c r="BF96" s="9" t="e">
        <f>#REF!-#REF!</f>
        <v>#REF!</v>
      </c>
      <c r="BG96" s="9" t="e">
        <f>#REF!-#REF!</f>
        <v>#REF!</v>
      </c>
      <c r="BH96" s="9" t="e">
        <f>#REF!-#REF!</f>
        <v>#REF!</v>
      </c>
      <c r="BI96" s="9" t="e">
        <f>#REF!-#REF!</f>
        <v>#REF!</v>
      </c>
      <c r="BJ96" s="33"/>
      <c r="BK96" s="3">
        <f>COUNTIFS(B96:G96, "&gt;=1", B96:G96, "&lt;=9")</f>
        <v>2</v>
      </c>
      <c r="BL96" s="3">
        <f>COUNTIFS(B96:G96, "&gt;=10", B96:G96, "&lt;=19")</f>
        <v>3</v>
      </c>
      <c r="BM96" s="3">
        <f>COUNTIFS(B96:G96, "&gt;=20", B96:G96, "&lt;=29")</f>
        <v>0</v>
      </c>
      <c r="BN96" s="3">
        <f>COUNTIFS(B96:G96, "&gt;=30", B96:G96, "&lt;=39")</f>
        <v>0</v>
      </c>
      <c r="BO96" s="3">
        <f>COUNTIFS(B96:G96, "&gt;=40", B96:G96, "&lt;=45")</f>
        <v>1</v>
      </c>
      <c r="BP96" s="28" t="e">
        <f>#REF!</f>
        <v>#REF!</v>
      </c>
      <c r="BQ96" s="28" t="e">
        <f>#REF!*2</f>
        <v>#REF!</v>
      </c>
      <c r="BR96" s="28" t="e">
        <f>#REF!</f>
        <v>#REF!</v>
      </c>
      <c r="BS96" s="28" t="e">
        <f>#REF!*2</f>
        <v>#REF!</v>
      </c>
      <c r="BT96" s="28" t="e">
        <f>#REF!</f>
        <v>#REF!</v>
      </c>
      <c r="BU96" s="28" t="e">
        <f>#REF!*2</f>
        <v>#REF!</v>
      </c>
      <c r="BV96" s="28" t="e">
        <f>#REF!</f>
        <v>#REF!</v>
      </c>
      <c r="BW96" s="28" t="e">
        <f>#REF!*2</f>
        <v>#REF!</v>
      </c>
      <c r="BX96" s="28" t="e">
        <f>#REF!</f>
        <v>#REF!</v>
      </c>
      <c r="BY96" s="28" t="e">
        <f>#REF!*2</f>
        <v>#REF!</v>
      </c>
      <c r="BZ96" s="28" t="e">
        <f>#REF!</f>
        <v>#REF!</v>
      </c>
      <c r="CA96" s="28" t="e">
        <f>#REF!*2</f>
        <v>#REF!</v>
      </c>
      <c r="CB96" s="9">
        <f>C96-B96</f>
        <v>4</v>
      </c>
      <c r="CC96" s="9">
        <f>D96-C96</f>
        <v>8</v>
      </c>
      <c r="CD96" s="9">
        <f>E96-D96</f>
        <v>1</v>
      </c>
      <c r="CE96" s="9">
        <f>F96-E96</f>
        <v>3</v>
      </c>
      <c r="CF96" s="9">
        <f>G96-F96</f>
        <v>24</v>
      </c>
      <c r="CG96" s="33"/>
      <c r="CH96" s="9">
        <f>C96-B96</f>
        <v>4</v>
      </c>
      <c r="CI96" s="9">
        <f>D96-C96</f>
        <v>8</v>
      </c>
      <c r="CJ96" s="9">
        <f>E96-D96</f>
        <v>1</v>
      </c>
      <c r="CK96" s="9">
        <f>F96-E96</f>
        <v>3</v>
      </c>
      <c r="CL96" s="9">
        <f>G96-F96</f>
        <v>24</v>
      </c>
      <c r="CM96" s="32"/>
      <c r="CN96" s="3">
        <f>IF(OR(CH96="",ISBLANK(CH96),CH96=0),0,IF(MOD(CH96,2)=1,1,2))</f>
        <v>2</v>
      </c>
      <c r="CO96" s="3">
        <f>IF(OR(CI96="",ISBLANK(CI96),CI96=0),0,IF(MOD(CI96,2)=1,1,2))</f>
        <v>2</v>
      </c>
      <c r="CP96" s="3">
        <f>IF(OR(CJ96="",ISBLANK(CJ96),CJ96=0),0,IF(MOD(CJ96,2)=1,1,2))</f>
        <v>1</v>
      </c>
      <c r="CQ96" s="3">
        <f>IF(OR(CK96="",ISBLANK(CK96),CK96=0),0,IF(MOD(CK96,2)=1,1,2))</f>
        <v>1</v>
      </c>
      <c r="CR96" s="3">
        <f>IF(OR(CL96="",ISBLANK(CL96),CL96=0),0,IF(MOD(CL96,2)=1,1,2))</f>
        <v>2</v>
      </c>
      <c r="CS96" s="31"/>
      <c r="CT96" s="3" cm="1">
        <f t="array" ref="CT96">SUMPRODUCT(--(MOD(CH96:CL96,2)=1))</f>
        <v>2</v>
      </c>
      <c r="CU96" s="3">
        <f>5-CT96</f>
        <v>3</v>
      </c>
      <c r="CV96" s="30"/>
      <c r="CW96" s="3" cm="1">
        <f t="array" ref="CW96">SUMPRODUCT(--(MOD(CH96:CL96,10)&gt;=1), --(MOD(CH96:CL96,10)&lt;=5))</f>
        <v>4</v>
      </c>
      <c r="CX96" s="3">
        <f>5-CW96</f>
        <v>1</v>
      </c>
      <c r="CY96" s="30"/>
      <c r="CZ96" s="3" cm="1">
        <f t="array" ref="CZ96">IFERROR(COUNT(_xlfn._xlws.FILTER(CH96:CL96, ISNUMBER(MATCH(CH96:CL96, {2,3,5,7,11,13,17,19,23,29,31,37,41,43}, 0)))), 0)</f>
        <v>1</v>
      </c>
      <c r="DA96" s="3" cm="1">
        <f t="array" ref="DA96">IFERROR(COUNT(_xlfn._xlws.FILTER(CH96:CL96, ISNUMBER(MATCH(CH96:CL96, {1,4,8,10,14,16,20,22,25,26,28,32,34,35,38,40,44}, 0)))), 0)</f>
        <v>3</v>
      </c>
      <c r="DB96" s="3" cm="1">
        <f t="array" ref="DB96">IFERROR(COUNT(_xlfn._xlws.FILTER(CH96:CL96, ISNUMBER(MATCH(CH96:CL96, {6,9,12,15,18,21,24,27,30,33,36,39,42,45}, 0)))), 0)</f>
        <v>1</v>
      </c>
      <c r="DC96" s="29"/>
      <c r="DD96" s="28" t="e">
        <f>#REF!</f>
        <v>#REF!</v>
      </c>
      <c r="DE96" s="28" t="e">
        <f>#REF!*2</f>
        <v>#REF!</v>
      </c>
      <c r="DF96" s="28" t="e">
        <f>#REF!</f>
        <v>#REF!</v>
      </c>
      <c r="DG96" s="28" t="e">
        <f>#REF!*2</f>
        <v>#REF!</v>
      </c>
      <c r="DH96" s="28" t="e">
        <f>#REF!</f>
        <v>#REF!</v>
      </c>
      <c r="DI96" s="28" t="e">
        <f>#REF!*2</f>
        <v>#REF!</v>
      </c>
      <c r="DJ96" s="28" t="e">
        <f>#REF!</f>
        <v>#REF!</v>
      </c>
      <c r="DK96" s="28" t="e">
        <f>#REF!*2</f>
        <v>#REF!</v>
      </c>
      <c r="DL96" s="28" t="e">
        <f>#REF!</f>
        <v>#REF!</v>
      </c>
      <c r="DM96" s="28" t="e">
        <f>#REF!*2</f>
        <v>#REF!</v>
      </c>
      <c r="DN96" s="27"/>
      <c r="DO96" s="26" t="str" cm="1">
        <f t="array" ref="DO96">_xlfn.IFS(
   OR(CH96="",ISBLANK(CH96),CH96=0),0,
   ISNUMBER(MATCH(CH96,{2,3,5,7,11,13,17,19,23,29,31,37,41,43},0)),"소",
   AND(ISNUMBER(CH96),MOD(CH96,3)=0),"배",
   AND(ISNUMBER(CH96),CH96&gt;0),"자"
)</f>
        <v>자</v>
      </c>
      <c r="DP96" s="26" t="str" cm="1">
        <f t="array" ref="DP96">_xlfn.IFS(
   OR(CI96="",ISBLANK(CI96),CI96=0),0,
   ISNUMBER(MATCH(CI96,{2,3,5,7,11,13,17,19,23,29,31,37,41,43},0)),"소",
   AND(ISNUMBER(CI96),MOD(CI96,3)=0),"배",
   AND(ISNUMBER(CI96),CI96&gt;0),"자"
)</f>
        <v>자</v>
      </c>
      <c r="DQ96" s="26" t="str" cm="1">
        <f t="array" ref="DQ96">_xlfn.IFS(
   OR(CJ96="",ISBLANK(CJ96),CJ96=0),0,
   ISNUMBER(MATCH(CJ96,{2,3,5,7,11,13,17,19,23,29,31,37,41,43},0)),"소",
   AND(ISNUMBER(CJ96),MOD(CJ96,3)=0),"배",
   AND(ISNUMBER(CJ96),CJ96&gt;0),"자"
)</f>
        <v>자</v>
      </c>
      <c r="DR96" s="26" t="str" cm="1">
        <f t="array" ref="DR96">_xlfn.IFS(
   OR(CK96="",ISBLANK(CK96),CK96=0),0,
   ISNUMBER(MATCH(CK96,{2,3,5,7,11,13,17,19,23,29,31,37,41,43},0)),"소",
   AND(ISNUMBER(CK96),MOD(CK96,3)=0),"배",
   AND(ISNUMBER(CK96),CK96&gt;0),"자"
)</f>
        <v>소</v>
      </c>
      <c r="DS96" s="26" t="str" cm="1">
        <f t="array" ref="DS96">_xlfn.IFS(
   OR(CL96="",ISBLANK(CL96),CL96=0),0,
   ISNUMBER(MATCH(CL96,{2,3,5,7,11,13,17,19,23,29,31,37,41,43},0)),"소",
   AND(ISNUMBER(CL96),MOD(CL96,3)=0),"배",
   AND(ISNUMBER(CL96),CL96&gt;0),"자"
)</f>
        <v>배</v>
      </c>
      <c r="DT96" s="25"/>
    </row>
    <row r="97" spans="2:124" x14ac:dyDescent="0.3">
      <c r="B97" s="3">
        <v>5</v>
      </c>
      <c r="C97" s="3">
        <v>6</v>
      </c>
      <c r="D97" s="3">
        <v>11</v>
      </c>
      <c r="E97" s="3">
        <v>27</v>
      </c>
      <c r="F97" s="3">
        <v>43</v>
      </c>
      <c r="G97" s="3">
        <v>44</v>
      </c>
      <c r="H97" s="32"/>
      <c r="I97" s="3">
        <f>IF(OR(B97="",ISBLANK(B97),B97=0),0,IF(MOD(B97,2)=1,1,2))</f>
        <v>1</v>
      </c>
      <c r="J97" s="3">
        <f>IF(OR(C97="",ISBLANK(C97),C97=0),0,IF(MOD(C97,2)=1,1,2))</f>
        <v>2</v>
      </c>
      <c r="K97" s="3">
        <f>IF(OR(D97="",ISBLANK(D97),D97=0),0,IF(MOD(D97,2)=1,1,2))</f>
        <v>1</v>
      </c>
      <c r="L97" s="3">
        <f>IF(OR(E97="",ISBLANK(E97),E97=0),0,IF(MOD(E97,2)=1,1,2))</f>
        <v>1</v>
      </c>
      <c r="M97" s="3">
        <f>IF(OR(F97="",ISBLANK(F97),F97=0),0,IF(MOD(F97,2)=1,1,2))</f>
        <v>1</v>
      </c>
      <c r="N97" s="3">
        <f>IF(OR(G97="",ISBLANK(G97),G97=0),0,IF(MOD(G97,2)=1,1,2))</f>
        <v>2</v>
      </c>
      <c r="O97" s="32"/>
      <c r="P97" s="3" cm="1">
        <f t="array" ref="P97">SUMPRODUCT(--(MOD(B97:G97,2)=1))</f>
        <v>4</v>
      </c>
      <c r="Q97" s="3">
        <f>6-P97</f>
        <v>2</v>
      </c>
      <c r="R97" s="34"/>
      <c r="S97" s="3">
        <f>COUNTIFS(B97:G97,"&gt;=1",B97:G97,"&lt;=23")</f>
        <v>3</v>
      </c>
      <c r="T97" s="3">
        <f>6-S97</f>
        <v>3</v>
      </c>
      <c r="U97" s="34"/>
      <c r="V97" s="3" cm="1">
        <f t="array" ref="V97">SUMPRODUCT(--(MOD(B97:G97,10)&gt;=1), --(MOD(B97:G97,10)&lt;=5))</f>
        <v>4</v>
      </c>
      <c r="W97" s="3">
        <f>6-V97</f>
        <v>2</v>
      </c>
      <c r="X97" s="34"/>
      <c r="Y97" s="3" cm="1">
        <f t="array" ref="Y97">IFERROR(COUNT(_xlfn._xlws.FILTER(B97:G97, ISNUMBER(MATCH(B97:G97, {2,3,5,7,11,13,17,19,23,29,31,37,41,43}, 0)))), 0)</f>
        <v>3</v>
      </c>
      <c r="Z97" s="3" cm="1">
        <f t="array" ref="Z97">IFERROR(COUNT(_xlfn._xlws.FILTER(B97:G97, ISNUMBER(MATCH(B97:G97, {1,4,8,10,14,16,20,22,25,26,28,32,34,35,38,40,44}, 0)))), 0)</f>
        <v>1</v>
      </c>
      <c r="AA97" s="3" cm="1">
        <f t="array" ref="AA97">IFERROR(COUNT(_xlfn._xlws.FILTER(B97:G97, ISNUMBER(MATCH(B97:G97, {6,9,12,15,18,21,24,27,30,33,36,39,42,45}, 0)))), 0)</f>
        <v>2</v>
      </c>
      <c r="AB97" s="30"/>
      <c r="AC97" s="26" t="str" cm="1">
        <f t="array" ref="AC97">_xlfn.IFS(
   OR(B97="",ISBLANK(B97),B97=0),0,
   ISNUMBER(MATCH(B97,{2,3,5,7,11,13,17,19,23,29,31,37,41,43},0)),"소",
   AND(ISNUMBER(B97),MOD(B97,3)=0),"배",
   AND(ISNUMBER(B97),B97&gt;0),"자"
)</f>
        <v>소</v>
      </c>
      <c r="AD97" s="26" t="str" cm="1">
        <f t="array" ref="AD97">_xlfn.IFS(
   OR(C97="",ISBLANK(C97),C97=0),0,
   ISNUMBER(MATCH(C97,{2,3,5,7,11,13,17,19,23,29,31,37,41,43},0)),"소",
   AND(ISNUMBER(C97),MOD(C97,3)=0),"배",
   AND(ISNUMBER(C97),C97&gt;0),"자"
)</f>
        <v>배</v>
      </c>
      <c r="AE97" s="26" t="str" cm="1">
        <f t="array" ref="AE97">_xlfn.IFS(
   OR(D97="",ISBLANK(D97),D97=0),0,
   ISNUMBER(MATCH(D97,{2,3,5,7,11,13,17,19,23,29,31,37,41,43},0)),"소",
   AND(ISNUMBER(D97),MOD(D97,3)=0),"배",
   AND(ISNUMBER(D97),D97&gt;0),"자"
)</f>
        <v>소</v>
      </c>
      <c r="AF97" s="26" t="str" cm="1">
        <f t="array" ref="AF97">_xlfn.IFS(
   OR(E97="",ISBLANK(E97),E97=0),0,
   ISNUMBER(MATCH(E97,{2,3,5,7,11,13,17,19,23,29,31,37,41,43},0)),"소",
   AND(ISNUMBER(E97),MOD(E97,3)=0),"배",
   AND(ISNUMBER(E97),E97&gt;0),"자"
)</f>
        <v>배</v>
      </c>
      <c r="AG97" s="26" t="str" cm="1">
        <f t="array" ref="AG97">_xlfn.IFS(
   OR(F97="",ISBLANK(F97),F97=0),0,
   ISNUMBER(MATCH(F97,{2,3,5,7,11,13,17,19,23,29,31,37,41,43},0)),"소",
   AND(ISNUMBER(F97),MOD(F97,3)=0),"배",
   AND(ISNUMBER(F97),F97&gt;0),"자"
)</f>
        <v>소</v>
      </c>
      <c r="AH97" s="26" t="str" cm="1">
        <f t="array" ref="AH97">_xlfn.IFS(
   OR(G97="",ISBLANK(G97),G97=0),0,
   ISNUMBER(MATCH(G97,{2,3,5,7,11,13,17,19,23,29,31,37,41,43},0)),"소",
   AND(ISNUMBER(G97),MOD(G97,3)=0),"배",
   AND(ISNUMBER(G97),G97&gt;0),"자"
)</f>
        <v>자</v>
      </c>
      <c r="AI97" s="30"/>
      <c r="AJ97" s="3">
        <f>COUNTIFS(B97:G97,"&gt;=1",B97:G97,"&lt;=14")</f>
        <v>3</v>
      </c>
      <c r="AK97" s="3">
        <f>COUNTIFS(B97:G97,"&gt;=15",B97:G97,"&lt;=31")</f>
        <v>1</v>
      </c>
      <c r="AL97" s="3">
        <f>6-AK97-AJ97</f>
        <v>2</v>
      </c>
      <c r="AM97" s="33"/>
      <c r="AN97" s="3">
        <f>COUNTIFS($B97:$G97, "&gt;=1",$B97:$G97, "&lt;=9")</f>
        <v>2</v>
      </c>
      <c r="AO97" s="3">
        <f>COUNTIFS($B97:$G97, "&gt;=10",$B97:$G97, "&lt;=18")</f>
        <v>1</v>
      </c>
      <c r="AP97" s="3">
        <f>COUNTIFS($B97:$G97, "&gt;=19",$B97:$G97, "&lt;=27")</f>
        <v>1</v>
      </c>
      <c r="AQ97" s="3">
        <f>COUNTIFS($B97:$G97, "&gt;=28",$B97:$G97, "&lt;=36")</f>
        <v>0</v>
      </c>
      <c r="AR97" s="3">
        <f>COUNTIFS($B97:$G97, "&gt;=37",$B97:$G97, "&lt;=45")</f>
        <v>2</v>
      </c>
      <c r="AS97" s="28" t="e">
        <f>#REF!</f>
        <v>#REF!</v>
      </c>
      <c r="AT97" s="28" t="e">
        <f>#REF!*2</f>
        <v>#REF!</v>
      </c>
      <c r="AU97" s="28" t="e">
        <f>#REF!</f>
        <v>#REF!</v>
      </c>
      <c r="AV97" s="28" t="e">
        <f>#REF!*2</f>
        <v>#REF!</v>
      </c>
      <c r="AW97" s="28" t="e">
        <f>#REF!</f>
        <v>#REF!</v>
      </c>
      <c r="AX97" s="28" t="e">
        <f>#REF!*2</f>
        <v>#REF!</v>
      </c>
      <c r="AY97" s="28" t="e">
        <f>#REF!</f>
        <v>#REF!</v>
      </c>
      <c r="AZ97" s="28" t="e">
        <f>#REF!*2</f>
        <v>#REF!</v>
      </c>
      <c r="BA97" s="28" t="e">
        <f>#REF!</f>
        <v>#REF!</v>
      </c>
      <c r="BB97" s="28" t="e">
        <f>#REF!*2</f>
        <v>#REF!</v>
      </c>
      <c r="BC97" s="28" t="e">
        <f>#REF!</f>
        <v>#REF!</v>
      </c>
      <c r="BD97" s="28" t="e">
        <f>#REF!*2</f>
        <v>#REF!</v>
      </c>
      <c r="BE97" s="9" t="e">
        <f>#REF!-#REF!</f>
        <v>#REF!</v>
      </c>
      <c r="BF97" s="9" t="e">
        <f>#REF!-#REF!</f>
        <v>#REF!</v>
      </c>
      <c r="BG97" s="9" t="e">
        <f>#REF!-#REF!</f>
        <v>#REF!</v>
      </c>
      <c r="BH97" s="9" t="e">
        <f>#REF!-#REF!</f>
        <v>#REF!</v>
      </c>
      <c r="BI97" s="9" t="e">
        <f>#REF!-#REF!</f>
        <v>#REF!</v>
      </c>
      <c r="BJ97" s="33"/>
      <c r="BK97" s="3">
        <f>COUNTIFS(B97:G97, "&gt;=1", B97:G97, "&lt;=9")</f>
        <v>2</v>
      </c>
      <c r="BL97" s="3">
        <f>COUNTIFS(B97:G97, "&gt;=10", B97:G97, "&lt;=19")</f>
        <v>1</v>
      </c>
      <c r="BM97" s="3">
        <f>COUNTIFS(B97:G97, "&gt;=20", B97:G97, "&lt;=29")</f>
        <v>1</v>
      </c>
      <c r="BN97" s="3">
        <f>COUNTIFS(B97:G97, "&gt;=30", B97:G97, "&lt;=39")</f>
        <v>0</v>
      </c>
      <c r="BO97" s="3">
        <f>COUNTIFS(B97:G97, "&gt;=40", B97:G97, "&lt;=45")</f>
        <v>2</v>
      </c>
      <c r="BP97" s="28" t="e">
        <f>#REF!</f>
        <v>#REF!</v>
      </c>
      <c r="BQ97" s="28" t="e">
        <f>#REF!*2</f>
        <v>#REF!</v>
      </c>
      <c r="BR97" s="28" t="e">
        <f>#REF!</f>
        <v>#REF!</v>
      </c>
      <c r="BS97" s="28" t="e">
        <f>#REF!*2</f>
        <v>#REF!</v>
      </c>
      <c r="BT97" s="28" t="e">
        <f>#REF!</f>
        <v>#REF!</v>
      </c>
      <c r="BU97" s="28" t="e">
        <f>#REF!*2</f>
        <v>#REF!</v>
      </c>
      <c r="BV97" s="28" t="e">
        <f>#REF!</f>
        <v>#REF!</v>
      </c>
      <c r="BW97" s="28" t="e">
        <f>#REF!*2</f>
        <v>#REF!</v>
      </c>
      <c r="BX97" s="28" t="e">
        <f>#REF!</f>
        <v>#REF!</v>
      </c>
      <c r="BY97" s="28" t="e">
        <f>#REF!*2</f>
        <v>#REF!</v>
      </c>
      <c r="BZ97" s="28" t="e">
        <f>#REF!</f>
        <v>#REF!</v>
      </c>
      <c r="CA97" s="28" t="e">
        <f>#REF!*2</f>
        <v>#REF!</v>
      </c>
      <c r="CB97" s="9">
        <f>C97-B97</f>
        <v>1</v>
      </c>
      <c r="CC97" s="9">
        <f>D97-C97</f>
        <v>5</v>
      </c>
      <c r="CD97" s="9">
        <f>E97-D97</f>
        <v>16</v>
      </c>
      <c r="CE97" s="9">
        <f>F97-E97</f>
        <v>16</v>
      </c>
      <c r="CF97" s="9">
        <f>G97-F97</f>
        <v>1</v>
      </c>
      <c r="CG97" s="33"/>
      <c r="CH97" s="9">
        <f>C97-B97</f>
        <v>1</v>
      </c>
      <c r="CI97" s="9">
        <f>D97-C97</f>
        <v>5</v>
      </c>
      <c r="CJ97" s="9">
        <f>E97-D97</f>
        <v>16</v>
      </c>
      <c r="CK97" s="9">
        <f>F97-E97</f>
        <v>16</v>
      </c>
      <c r="CL97" s="9">
        <f>G97-F97</f>
        <v>1</v>
      </c>
      <c r="CM97" s="32"/>
      <c r="CN97" s="3">
        <f>IF(OR(CH97="",ISBLANK(CH97),CH97=0),0,IF(MOD(CH97,2)=1,1,2))</f>
        <v>1</v>
      </c>
      <c r="CO97" s="3">
        <f>IF(OR(CI97="",ISBLANK(CI97),CI97=0),0,IF(MOD(CI97,2)=1,1,2))</f>
        <v>1</v>
      </c>
      <c r="CP97" s="3">
        <f>IF(OR(CJ97="",ISBLANK(CJ97),CJ97=0),0,IF(MOD(CJ97,2)=1,1,2))</f>
        <v>2</v>
      </c>
      <c r="CQ97" s="3">
        <f>IF(OR(CK97="",ISBLANK(CK97),CK97=0),0,IF(MOD(CK97,2)=1,1,2))</f>
        <v>2</v>
      </c>
      <c r="CR97" s="3">
        <f>IF(OR(CL97="",ISBLANK(CL97),CL97=0),0,IF(MOD(CL97,2)=1,1,2))</f>
        <v>1</v>
      </c>
      <c r="CS97" s="31"/>
      <c r="CT97" s="3" cm="1">
        <f t="array" ref="CT97">SUMPRODUCT(--(MOD(CH97:CL97,2)=1))</f>
        <v>3</v>
      </c>
      <c r="CU97" s="3">
        <f>5-CT97</f>
        <v>2</v>
      </c>
      <c r="CV97" s="30"/>
      <c r="CW97" s="3" cm="1">
        <f t="array" ref="CW97">SUMPRODUCT(--(MOD(CH97:CL97,10)&gt;=1), --(MOD(CH97:CL97,10)&lt;=5))</f>
        <v>3</v>
      </c>
      <c r="CX97" s="3">
        <f>5-CW97</f>
        <v>2</v>
      </c>
      <c r="CY97" s="30"/>
      <c r="CZ97" s="3" cm="1">
        <f t="array" ref="CZ97">IFERROR(COUNT(_xlfn._xlws.FILTER(CH97:CL97, ISNUMBER(MATCH(CH97:CL97, {2,3,5,7,11,13,17,19,23,29,31,37,41,43}, 0)))), 0)</f>
        <v>1</v>
      </c>
      <c r="DA97" s="3" cm="1">
        <f t="array" ref="DA97">IFERROR(COUNT(_xlfn._xlws.FILTER(CH97:CL97, ISNUMBER(MATCH(CH97:CL97, {1,4,8,10,14,16,20,22,25,26,28,32,34,35,38,40,44}, 0)))), 0)</f>
        <v>4</v>
      </c>
      <c r="DB97" s="3" cm="1">
        <f t="array" ref="DB97">IFERROR(COUNT(_xlfn._xlws.FILTER(CH97:CL97, ISNUMBER(MATCH(CH97:CL97, {6,9,12,15,18,21,24,27,30,33,36,39,42,45}, 0)))), 0)</f>
        <v>0</v>
      </c>
      <c r="DC97" s="29"/>
      <c r="DD97" s="28" t="e">
        <f>#REF!</f>
        <v>#REF!</v>
      </c>
      <c r="DE97" s="28" t="e">
        <f>#REF!*2</f>
        <v>#REF!</v>
      </c>
      <c r="DF97" s="28" t="e">
        <f>#REF!</f>
        <v>#REF!</v>
      </c>
      <c r="DG97" s="28" t="e">
        <f>#REF!*2</f>
        <v>#REF!</v>
      </c>
      <c r="DH97" s="28" t="e">
        <f>#REF!</f>
        <v>#REF!</v>
      </c>
      <c r="DI97" s="28" t="e">
        <f>#REF!*2</f>
        <v>#REF!</v>
      </c>
      <c r="DJ97" s="28" t="e">
        <f>#REF!</f>
        <v>#REF!</v>
      </c>
      <c r="DK97" s="28" t="e">
        <f>#REF!*2</f>
        <v>#REF!</v>
      </c>
      <c r="DL97" s="28" t="e">
        <f>#REF!</f>
        <v>#REF!</v>
      </c>
      <c r="DM97" s="28" t="e">
        <f>#REF!*2</f>
        <v>#REF!</v>
      </c>
      <c r="DN97" s="27"/>
      <c r="DO97" s="26" t="str" cm="1">
        <f t="array" ref="DO97">_xlfn.IFS(
   OR(CH97="",ISBLANK(CH97),CH97=0),0,
   ISNUMBER(MATCH(CH97,{2,3,5,7,11,13,17,19,23,29,31,37,41,43},0)),"소",
   AND(ISNUMBER(CH97),MOD(CH97,3)=0),"배",
   AND(ISNUMBER(CH97),CH97&gt;0),"자"
)</f>
        <v>자</v>
      </c>
      <c r="DP97" s="26" t="str" cm="1">
        <f t="array" ref="DP97">_xlfn.IFS(
   OR(CI97="",ISBLANK(CI97),CI97=0),0,
   ISNUMBER(MATCH(CI97,{2,3,5,7,11,13,17,19,23,29,31,37,41,43},0)),"소",
   AND(ISNUMBER(CI97),MOD(CI97,3)=0),"배",
   AND(ISNUMBER(CI97),CI97&gt;0),"자"
)</f>
        <v>소</v>
      </c>
      <c r="DQ97" s="26" t="str" cm="1">
        <f t="array" ref="DQ97">_xlfn.IFS(
   OR(CJ97="",ISBLANK(CJ97),CJ97=0),0,
   ISNUMBER(MATCH(CJ97,{2,3,5,7,11,13,17,19,23,29,31,37,41,43},0)),"소",
   AND(ISNUMBER(CJ97),MOD(CJ97,3)=0),"배",
   AND(ISNUMBER(CJ97),CJ97&gt;0),"자"
)</f>
        <v>자</v>
      </c>
      <c r="DR97" s="26" t="str" cm="1">
        <f t="array" ref="DR97">_xlfn.IFS(
   OR(CK97="",ISBLANK(CK97),CK97=0),0,
   ISNUMBER(MATCH(CK97,{2,3,5,7,11,13,17,19,23,29,31,37,41,43},0)),"소",
   AND(ISNUMBER(CK97),MOD(CK97,3)=0),"배",
   AND(ISNUMBER(CK97),CK97&gt;0),"자"
)</f>
        <v>자</v>
      </c>
      <c r="DS97" s="26" t="str" cm="1">
        <f t="array" ref="DS97">_xlfn.IFS(
   OR(CL97="",ISBLANK(CL97),CL97=0),0,
   ISNUMBER(MATCH(CL97,{2,3,5,7,11,13,17,19,23,29,31,37,41,43},0)),"소",
   AND(ISNUMBER(CL97),MOD(CL97,3)=0),"배",
   AND(ISNUMBER(CL97),CL97&gt;0),"자"
)</f>
        <v>자</v>
      </c>
      <c r="DT97" s="25"/>
    </row>
    <row r="98" spans="2:124" x14ac:dyDescent="0.3">
      <c r="B98" s="3">
        <v>3</v>
      </c>
      <c r="C98" s="3">
        <v>16</v>
      </c>
      <c r="D98" s="3">
        <v>18</v>
      </c>
      <c r="E98" s="3">
        <v>24</v>
      </c>
      <c r="F98" s="3">
        <v>40</v>
      </c>
      <c r="G98" s="3">
        <v>44</v>
      </c>
      <c r="H98" s="32"/>
      <c r="I98" s="3">
        <f>IF(OR(B98="",ISBLANK(B98),B98=0),0,IF(MOD(B98,2)=1,1,2))</f>
        <v>1</v>
      </c>
      <c r="J98" s="3">
        <f>IF(OR(C98="",ISBLANK(C98),C98=0),0,IF(MOD(C98,2)=1,1,2))</f>
        <v>2</v>
      </c>
      <c r="K98" s="3">
        <f>IF(OR(D98="",ISBLANK(D98),D98=0),0,IF(MOD(D98,2)=1,1,2))</f>
        <v>2</v>
      </c>
      <c r="L98" s="3">
        <f>IF(OR(E98="",ISBLANK(E98),E98=0),0,IF(MOD(E98,2)=1,1,2))</f>
        <v>2</v>
      </c>
      <c r="M98" s="3">
        <f>IF(OR(F98="",ISBLANK(F98),F98=0),0,IF(MOD(F98,2)=1,1,2))</f>
        <v>2</v>
      </c>
      <c r="N98" s="3">
        <f>IF(OR(G98="",ISBLANK(G98),G98=0),0,IF(MOD(G98,2)=1,1,2))</f>
        <v>2</v>
      </c>
      <c r="O98" s="32"/>
      <c r="P98" s="3" cm="1">
        <f t="array" ref="P98">SUMPRODUCT(--(MOD(B98:G98,2)=1))</f>
        <v>1</v>
      </c>
      <c r="Q98" s="3">
        <f>6-P98</f>
        <v>5</v>
      </c>
      <c r="R98" s="34"/>
      <c r="S98" s="3">
        <f>COUNTIFS(B98:G98,"&gt;=1",B98:G98,"&lt;=23")</f>
        <v>3</v>
      </c>
      <c r="T98" s="3">
        <f>6-S98</f>
        <v>3</v>
      </c>
      <c r="U98" s="34"/>
      <c r="V98" s="3" cm="1">
        <f t="array" ref="V98">SUMPRODUCT(--(MOD(B98:G98,10)&gt;=1), --(MOD(B98:G98,10)&lt;=5))</f>
        <v>3</v>
      </c>
      <c r="W98" s="3">
        <f>6-V98</f>
        <v>3</v>
      </c>
      <c r="X98" s="34"/>
      <c r="Y98" s="3" cm="1">
        <f t="array" ref="Y98">IFERROR(COUNT(_xlfn._xlws.FILTER(B98:G98, ISNUMBER(MATCH(B98:G98, {2,3,5,7,11,13,17,19,23,29,31,37,41,43}, 0)))), 0)</f>
        <v>1</v>
      </c>
      <c r="Z98" s="3" cm="1">
        <f t="array" ref="Z98">IFERROR(COUNT(_xlfn._xlws.FILTER(B98:G98, ISNUMBER(MATCH(B98:G98, {1,4,8,10,14,16,20,22,25,26,28,32,34,35,38,40,44}, 0)))), 0)</f>
        <v>3</v>
      </c>
      <c r="AA98" s="3" cm="1">
        <f t="array" ref="AA98">IFERROR(COUNT(_xlfn._xlws.FILTER(B98:G98, ISNUMBER(MATCH(B98:G98, {6,9,12,15,18,21,24,27,30,33,36,39,42,45}, 0)))), 0)</f>
        <v>2</v>
      </c>
      <c r="AB98" s="30"/>
      <c r="AC98" s="26" t="str" cm="1">
        <f t="array" ref="AC98">_xlfn.IFS(
   OR(B98="",ISBLANK(B98),B98=0),0,
   ISNUMBER(MATCH(B98,{2,3,5,7,11,13,17,19,23,29,31,37,41,43},0)),"소",
   AND(ISNUMBER(B98),MOD(B98,3)=0),"배",
   AND(ISNUMBER(B98),B98&gt;0),"자"
)</f>
        <v>소</v>
      </c>
      <c r="AD98" s="26" t="str" cm="1">
        <f t="array" ref="AD98">_xlfn.IFS(
   OR(C98="",ISBLANK(C98),C98=0),0,
   ISNUMBER(MATCH(C98,{2,3,5,7,11,13,17,19,23,29,31,37,41,43},0)),"소",
   AND(ISNUMBER(C98),MOD(C98,3)=0),"배",
   AND(ISNUMBER(C98),C98&gt;0),"자"
)</f>
        <v>자</v>
      </c>
      <c r="AE98" s="26" t="str" cm="1">
        <f t="array" ref="AE98">_xlfn.IFS(
   OR(D98="",ISBLANK(D98),D98=0),0,
   ISNUMBER(MATCH(D98,{2,3,5,7,11,13,17,19,23,29,31,37,41,43},0)),"소",
   AND(ISNUMBER(D98),MOD(D98,3)=0),"배",
   AND(ISNUMBER(D98),D98&gt;0),"자"
)</f>
        <v>배</v>
      </c>
      <c r="AF98" s="26" t="str" cm="1">
        <f t="array" ref="AF98">_xlfn.IFS(
   OR(E98="",ISBLANK(E98),E98=0),0,
   ISNUMBER(MATCH(E98,{2,3,5,7,11,13,17,19,23,29,31,37,41,43},0)),"소",
   AND(ISNUMBER(E98),MOD(E98,3)=0),"배",
   AND(ISNUMBER(E98),E98&gt;0),"자"
)</f>
        <v>배</v>
      </c>
      <c r="AG98" s="26" t="str" cm="1">
        <f t="array" ref="AG98">_xlfn.IFS(
   OR(F98="",ISBLANK(F98),F98=0),0,
   ISNUMBER(MATCH(F98,{2,3,5,7,11,13,17,19,23,29,31,37,41,43},0)),"소",
   AND(ISNUMBER(F98),MOD(F98,3)=0),"배",
   AND(ISNUMBER(F98),F98&gt;0),"자"
)</f>
        <v>자</v>
      </c>
      <c r="AH98" s="26" t="str" cm="1">
        <f t="array" ref="AH98">_xlfn.IFS(
   OR(G98="",ISBLANK(G98),G98=0),0,
   ISNUMBER(MATCH(G98,{2,3,5,7,11,13,17,19,23,29,31,37,41,43},0)),"소",
   AND(ISNUMBER(G98),MOD(G98,3)=0),"배",
   AND(ISNUMBER(G98),G98&gt;0),"자"
)</f>
        <v>자</v>
      </c>
      <c r="AI98" s="30"/>
      <c r="AJ98" s="3">
        <f>COUNTIFS(B98:G98,"&gt;=1",B98:G98,"&lt;=14")</f>
        <v>1</v>
      </c>
      <c r="AK98" s="3">
        <f>COUNTIFS(B98:G98,"&gt;=15",B98:G98,"&lt;=31")</f>
        <v>3</v>
      </c>
      <c r="AL98" s="3">
        <f>6-AK98-AJ98</f>
        <v>2</v>
      </c>
      <c r="AM98" s="33"/>
      <c r="AN98" s="3">
        <f>COUNTIFS($B98:$G98, "&gt;=1",$B98:$G98, "&lt;=9")</f>
        <v>1</v>
      </c>
      <c r="AO98" s="3">
        <f>COUNTIFS($B98:$G98, "&gt;=10",$B98:$G98, "&lt;=18")</f>
        <v>2</v>
      </c>
      <c r="AP98" s="3">
        <f>COUNTIFS($B98:$G98, "&gt;=19",$B98:$G98, "&lt;=27")</f>
        <v>1</v>
      </c>
      <c r="AQ98" s="3">
        <f>COUNTIFS($B98:$G98, "&gt;=28",$B98:$G98, "&lt;=36")</f>
        <v>0</v>
      </c>
      <c r="AR98" s="3">
        <f>COUNTIFS($B98:$G98, "&gt;=37",$B98:$G98, "&lt;=45")</f>
        <v>2</v>
      </c>
      <c r="AS98" s="28" t="e">
        <f>#REF!</f>
        <v>#REF!</v>
      </c>
      <c r="AT98" s="28" t="e">
        <f>#REF!*2</f>
        <v>#REF!</v>
      </c>
      <c r="AU98" s="28" t="e">
        <f>#REF!</f>
        <v>#REF!</v>
      </c>
      <c r="AV98" s="28" t="e">
        <f>#REF!*2</f>
        <v>#REF!</v>
      </c>
      <c r="AW98" s="28" t="e">
        <f>#REF!</f>
        <v>#REF!</v>
      </c>
      <c r="AX98" s="28" t="e">
        <f>#REF!*2</f>
        <v>#REF!</v>
      </c>
      <c r="AY98" s="28" t="e">
        <f>#REF!</f>
        <v>#REF!</v>
      </c>
      <c r="AZ98" s="28" t="e">
        <f>#REF!*2</f>
        <v>#REF!</v>
      </c>
      <c r="BA98" s="28" t="e">
        <f>#REF!</f>
        <v>#REF!</v>
      </c>
      <c r="BB98" s="28" t="e">
        <f>#REF!*2</f>
        <v>#REF!</v>
      </c>
      <c r="BC98" s="28" t="e">
        <f>#REF!</f>
        <v>#REF!</v>
      </c>
      <c r="BD98" s="28" t="e">
        <f>#REF!*2</f>
        <v>#REF!</v>
      </c>
      <c r="BE98" s="9" t="e">
        <f>#REF!-#REF!</f>
        <v>#REF!</v>
      </c>
      <c r="BF98" s="9" t="e">
        <f>#REF!-#REF!</f>
        <v>#REF!</v>
      </c>
      <c r="BG98" s="9" t="e">
        <f>#REF!-#REF!</f>
        <v>#REF!</v>
      </c>
      <c r="BH98" s="9" t="e">
        <f>#REF!-#REF!</f>
        <v>#REF!</v>
      </c>
      <c r="BI98" s="9" t="e">
        <f>#REF!-#REF!</f>
        <v>#REF!</v>
      </c>
      <c r="BJ98" s="33"/>
      <c r="BK98" s="3">
        <f>COUNTIFS(B98:G98, "&gt;=1", B98:G98, "&lt;=9")</f>
        <v>1</v>
      </c>
      <c r="BL98" s="3">
        <f>COUNTIFS(B98:G98, "&gt;=10", B98:G98, "&lt;=19")</f>
        <v>2</v>
      </c>
      <c r="BM98" s="3">
        <f>COUNTIFS(B98:G98, "&gt;=20", B98:G98, "&lt;=29")</f>
        <v>1</v>
      </c>
      <c r="BN98" s="3">
        <f>COUNTIFS(B98:G98, "&gt;=30", B98:G98, "&lt;=39")</f>
        <v>0</v>
      </c>
      <c r="BO98" s="3">
        <f>COUNTIFS(B98:G98, "&gt;=40", B98:G98, "&lt;=45")</f>
        <v>2</v>
      </c>
      <c r="BP98" s="28" t="e">
        <f>#REF!</f>
        <v>#REF!</v>
      </c>
      <c r="BQ98" s="28" t="e">
        <f>#REF!*2</f>
        <v>#REF!</v>
      </c>
      <c r="BR98" s="28" t="e">
        <f>#REF!</f>
        <v>#REF!</v>
      </c>
      <c r="BS98" s="28" t="e">
        <f>#REF!*2</f>
        <v>#REF!</v>
      </c>
      <c r="BT98" s="28" t="e">
        <f>#REF!</f>
        <v>#REF!</v>
      </c>
      <c r="BU98" s="28" t="e">
        <f>#REF!*2</f>
        <v>#REF!</v>
      </c>
      <c r="BV98" s="28" t="e">
        <f>#REF!</f>
        <v>#REF!</v>
      </c>
      <c r="BW98" s="28" t="e">
        <f>#REF!*2</f>
        <v>#REF!</v>
      </c>
      <c r="BX98" s="28" t="e">
        <f>#REF!</f>
        <v>#REF!</v>
      </c>
      <c r="BY98" s="28" t="e">
        <f>#REF!*2</f>
        <v>#REF!</v>
      </c>
      <c r="BZ98" s="28" t="e">
        <f>#REF!</f>
        <v>#REF!</v>
      </c>
      <c r="CA98" s="28" t="e">
        <f>#REF!*2</f>
        <v>#REF!</v>
      </c>
      <c r="CB98" s="9">
        <f>C98-B98</f>
        <v>13</v>
      </c>
      <c r="CC98" s="9">
        <f>D98-C98</f>
        <v>2</v>
      </c>
      <c r="CD98" s="9">
        <f>E98-D98</f>
        <v>6</v>
      </c>
      <c r="CE98" s="9">
        <f>F98-E98</f>
        <v>16</v>
      </c>
      <c r="CF98" s="9">
        <f>G98-F98</f>
        <v>4</v>
      </c>
      <c r="CG98" s="33"/>
      <c r="CH98" s="9">
        <f>C98-B98</f>
        <v>13</v>
      </c>
      <c r="CI98" s="9">
        <f>D98-C98</f>
        <v>2</v>
      </c>
      <c r="CJ98" s="9">
        <f>E98-D98</f>
        <v>6</v>
      </c>
      <c r="CK98" s="9">
        <f>F98-E98</f>
        <v>16</v>
      </c>
      <c r="CL98" s="9">
        <f>G98-F98</f>
        <v>4</v>
      </c>
      <c r="CM98" s="32"/>
      <c r="CN98" s="3">
        <f>IF(OR(CH98="",ISBLANK(CH98),CH98=0),0,IF(MOD(CH98,2)=1,1,2))</f>
        <v>1</v>
      </c>
      <c r="CO98" s="3">
        <f>IF(OR(CI98="",ISBLANK(CI98),CI98=0),0,IF(MOD(CI98,2)=1,1,2))</f>
        <v>2</v>
      </c>
      <c r="CP98" s="3">
        <f>IF(OR(CJ98="",ISBLANK(CJ98),CJ98=0),0,IF(MOD(CJ98,2)=1,1,2))</f>
        <v>2</v>
      </c>
      <c r="CQ98" s="3">
        <f>IF(OR(CK98="",ISBLANK(CK98),CK98=0),0,IF(MOD(CK98,2)=1,1,2))</f>
        <v>2</v>
      </c>
      <c r="CR98" s="3">
        <f>IF(OR(CL98="",ISBLANK(CL98),CL98=0),0,IF(MOD(CL98,2)=1,1,2))</f>
        <v>2</v>
      </c>
      <c r="CS98" s="31"/>
      <c r="CT98" s="3" cm="1">
        <f t="array" ref="CT98">SUMPRODUCT(--(MOD(CH98:CL98,2)=1))</f>
        <v>1</v>
      </c>
      <c r="CU98" s="3">
        <f>5-CT98</f>
        <v>4</v>
      </c>
      <c r="CV98" s="30"/>
      <c r="CW98" s="3" cm="1">
        <f t="array" ref="CW98">SUMPRODUCT(--(MOD(CH98:CL98,10)&gt;=1), --(MOD(CH98:CL98,10)&lt;=5))</f>
        <v>3</v>
      </c>
      <c r="CX98" s="3">
        <f>5-CW98</f>
        <v>2</v>
      </c>
      <c r="CY98" s="30"/>
      <c r="CZ98" s="3" cm="1">
        <f t="array" ref="CZ98">IFERROR(COUNT(_xlfn._xlws.FILTER(CH98:CL98, ISNUMBER(MATCH(CH98:CL98, {2,3,5,7,11,13,17,19,23,29,31,37,41,43}, 0)))), 0)</f>
        <v>2</v>
      </c>
      <c r="DA98" s="3" cm="1">
        <f t="array" ref="DA98">IFERROR(COUNT(_xlfn._xlws.FILTER(CH98:CL98, ISNUMBER(MATCH(CH98:CL98, {1,4,8,10,14,16,20,22,25,26,28,32,34,35,38,40,44}, 0)))), 0)</f>
        <v>2</v>
      </c>
      <c r="DB98" s="3" cm="1">
        <f t="array" ref="DB98">IFERROR(COUNT(_xlfn._xlws.FILTER(CH98:CL98, ISNUMBER(MATCH(CH98:CL98, {6,9,12,15,18,21,24,27,30,33,36,39,42,45}, 0)))), 0)</f>
        <v>1</v>
      </c>
      <c r="DC98" s="29"/>
      <c r="DD98" s="28" t="e">
        <f>#REF!</f>
        <v>#REF!</v>
      </c>
      <c r="DE98" s="28" t="e">
        <f>#REF!*2</f>
        <v>#REF!</v>
      </c>
      <c r="DF98" s="28" t="e">
        <f>#REF!</f>
        <v>#REF!</v>
      </c>
      <c r="DG98" s="28" t="e">
        <f>#REF!*2</f>
        <v>#REF!</v>
      </c>
      <c r="DH98" s="28" t="e">
        <f>#REF!</f>
        <v>#REF!</v>
      </c>
      <c r="DI98" s="28" t="e">
        <f>#REF!*2</f>
        <v>#REF!</v>
      </c>
      <c r="DJ98" s="28" t="e">
        <f>#REF!</f>
        <v>#REF!</v>
      </c>
      <c r="DK98" s="28" t="e">
        <f>#REF!*2</f>
        <v>#REF!</v>
      </c>
      <c r="DL98" s="28" t="e">
        <f>#REF!</f>
        <v>#REF!</v>
      </c>
      <c r="DM98" s="28" t="e">
        <f>#REF!*2</f>
        <v>#REF!</v>
      </c>
      <c r="DN98" s="27"/>
      <c r="DO98" s="26" t="str" cm="1">
        <f t="array" ref="DO98">_xlfn.IFS(
   OR(CH98="",ISBLANK(CH98),CH98=0),0,
   ISNUMBER(MATCH(CH98,{2,3,5,7,11,13,17,19,23,29,31,37,41,43},0)),"소",
   AND(ISNUMBER(CH98),MOD(CH98,3)=0),"배",
   AND(ISNUMBER(CH98),CH98&gt;0),"자"
)</f>
        <v>소</v>
      </c>
      <c r="DP98" s="26" t="str" cm="1">
        <f t="array" ref="DP98">_xlfn.IFS(
   OR(CI98="",ISBLANK(CI98),CI98=0),0,
   ISNUMBER(MATCH(CI98,{2,3,5,7,11,13,17,19,23,29,31,37,41,43},0)),"소",
   AND(ISNUMBER(CI98),MOD(CI98,3)=0),"배",
   AND(ISNUMBER(CI98),CI98&gt;0),"자"
)</f>
        <v>소</v>
      </c>
      <c r="DQ98" s="26" t="str" cm="1">
        <f t="array" ref="DQ98">_xlfn.IFS(
   OR(CJ98="",ISBLANK(CJ98),CJ98=0),0,
   ISNUMBER(MATCH(CJ98,{2,3,5,7,11,13,17,19,23,29,31,37,41,43},0)),"소",
   AND(ISNUMBER(CJ98),MOD(CJ98,3)=0),"배",
   AND(ISNUMBER(CJ98),CJ98&gt;0),"자"
)</f>
        <v>배</v>
      </c>
      <c r="DR98" s="26" t="str" cm="1">
        <f t="array" ref="DR98">_xlfn.IFS(
   OR(CK98="",ISBLANK(CK98),CK98=0),0,
   ISNUMBER(MATCH(CK98,{2,3,5,7,11,13,17,19,23,29,31,37,41,43},0)),"소",
   AND(ISNUMBER(CK98),MOD(CK98,3)=0),"배",
   AND(ISNUMBER(CK98),CK98&gt;0),"자"
)</f>
        <v>자</v>
      </c>
      <c r="DS98" s="26" t="str" cm="1">
        <f t="array" ref="DS98">_xlfn.IFS(
   OR(CL98="",ISBLANK(CL98),CL98=0),0,
   ISNUMBER(MATCH(CL98,{2,3,5,7,11,13,17,19,23,29,31,37,41,43},0)),"소",
   AND(ISNUMBER(CL98),MOD(CL98,3)=0),"배",
   AND(ISNUMBER(CL98),CL98&gt;0),"자"
)</f>
        <v>자</v>
      </c>
      <c r="DT98" s="25"/>
    </row>
    <row r="99" spans="2:124" x14ac:dyDescent="0.3">
      <c r="B99" s="3">
        <v>6</v>
      </c>
      <c r="C99" s="3">
        <v>12</v>
      </c>
      <c r="D99" s="3">
        <v>18</v>
      </c>
      <c r="E99" s="3">
        <v>37</v>
      </c>
      <c r="F99" s="3">
        <v>40</v>
      </c>
      <c r="G99" s="3">
        <v>41</v>
      </c>
      <c r="H99" s="32"/>
      <c r="I99" s="3">
        <f>IF(OR(B99="",ISBLANK(B99),B99=0),0,IF(MOD(B99,2)=1,1,2))</f>
        <v>2</v>
      </c>
      <c r="J99" s="3">
        <f>IF(OR(C99="",ISBLANK(C99),C99=0),0,IF(MOD(C99,2)=1,1,2))</f>
        <v>2</v>
      </c>
      <c r="K99" s="3">
        <f>IF(OR(D99="",ISBLANK(D99),D99=0),0,IF(MOD(D99,2)=1,1,2))</f>
        <v>2</v>
      </c>
      <c r="L99" s="3">
        <f>IF(OR(E99="",ISBLANK(E99),E99=0),0,IF(MOD(E99,2)=1,1,2))</f>
        <v>1</v>
      </c>
      <c r="M99" s="3">
        <f>IF(OR(F99="",ISBLANK(F99),F99=0),0,IF(MOD(F99,2)=1,1,2))</f>
        <v>2</v>
      </c>
      <c r="N99" s="3">
        <f>IF(OR(G99="",ISBLANK(G99),G99=0),0,IF(MOD(G99,2)=1,1,2))</f>
        <v>1</v>
      </c>
      <c r="O99" s="32"/>
      <c r="P99" s="3" cm="1">
        <f t="array" ref="P99">SUMPRODUCT(--(MOD(B99:G99,2)=1))</f>
        <v>2</v>
      </c>
      <c r="Q99" s="3">
        <f>6-P99</f>
        <v>4</v>
      </c>
      <c r="R99" s="34"/>
      <c r="S99" s="3">
        <f>COUNTIFS(B99:G99,"&gt;=1",B99:G99,"&lt;=23")</f>
        <v>3</v>
      </c>
      <c r="T99" s="3">
        <f>6-S99</f>
        <v>3</v>
      </c>
      <c r="U99" s="34"/>
      <c r="V99" s="3" cm="1">
        <f t="array" ref="V99">SUMPRODUCT(--(MOD(B99:G99,10)&gt;=1), --(MOD(B99:G99,10)&lt;=5))</f>
        <v>2</v>
      </c>
      <c r="W99" s="3">
        <f>6-V99</f>
        <v>4</v>
      </c>
      <c r="X99" s="34"/>
      <c r="Y99" s="3" cm="1">
        <f t="array" ref="Y99">IFERROR(COUNT(_xlfn._xlws.FILTER(B99:G99, ISNUMBER(MATCH(B99:G99, {2,3,5,7,11,13,17,19,23,29,31,37,41,43}, 0)))), 0)</f>
        <v>2</v>
      </c>
      <c r="Z99" s="3" cm="1">
        <f t="array" ref="Z99">IFERROR(COUNT(_xlfn._xlws.FILTER(B99:G99, ISNUMBER(MATCH(B99:G99, {1,4,8,10,14,16,20,22,25,26,28,32,34,35,38,40,44}, 0)))), 0)</f>
        <v>1</v>
      </c>
      <c r="AA99" s="3" cm="1">
        <f t="array" ref="AA99">IFERROR(COUNT(_xlfn._xlws.FILTER(B99:G99, ISNUMBER(MATCH(B99:G99, {6,9,12,15,18,21,24,27,30,33,36,39,42,45}, 0)))), 0)</f>
        <v>3</v>
      </c>
      <c r="AB99" s="30"/>
      <c r="AC99" s="26" t="str" cm="1">
        <f t="array" ref="AC99">_xlfn.IFS(
   OR(B99="",ISBLANK(B99),B99=0),0,
   ISNUMBER(MATCH(B99,{2,3,5,7,11,13,17,19,23,29,31,37,41,43},0)),"소",
   AND(ISNUMBER(B99),MOD(B99,3)=0),"배",
   AND(ISNUMBER(B99),B99&gt;0),"자"
)</f>
        <v>배</v>
      </c>
      <c r="AD99" s="26" t="str" cm="1">
        <f t="array" ref="AD99">_xlfn.IFS(
   OR(C99="",ISBLANK(C99),C99=0),0,
   ISNUMBER(MATCH(C99,{2,3,5,7,11,13,17,19,23,29,31,37,41,43},0)),"소",
   AND(ISNUMBER(C99),MOD(C99,3)=0),"배",
   AND(ISNUMBER(C99),C99&gt;0),"자"
)</f>
        <v>배</v>
      </c>
      <c r="AE99" s="26" t="str" cm="1">
        <f t="array" ref="AE99">_xlfn.IFS(
   OR(D99="",ISBLANK(D99),D99=0),0,
   ISNUMBER(MATCH(D99,{2,3,5,7,11,13,17,19,23,29,31,37,41,43},0)),"소",
   AND(ISNUMBER(D99),MOD(D99,3)=0),"배",
   AND(ISNUMBER(D99),D99&gt;0),"자"
)</f>
        <v>배</v>
      </c>
      <c r="AF99" s="26" t="str" cm="1">
        <f t="array" ref="AF99">_xlfn.IFS(
   OR(E99="",ISBLANK(E99),E99=0),0,
   ISNUMBER(MATCH(E99,{2,3,5,7,11,13,17,19,23,29,31,37,41,43},0)),"소",
   AND(ISNUMBER(E99),MOD(E99,3)=0),"배",
   AND(ISNUMBER(E99),E99&gt;0),"자"
)</f>
        <v>소</v>
      </c>
      <c r="AG99" s="26" t="str" cm="1">
        <f t="array" ref="AG99">_xlfn.IFS(
   OR(F99="",ISBLANK(F99),F99=0),0,
   ISNUMBER(MATCH(F99,{2,3,5,7,11,13,17,19,23,29,31,37,41,43},0)),"소",
   AND(ISNUMBER(F99),MOD(F99,3)=0),"배",
   AND(ISNUMBER(F99),F99&gt;0),"자"
)</f>
        <v>자</v>
      </c>
      <c r="AH99" s="26" t="str" cm="1">
        <f t="array" ref="AH99">_xlfn.IFS(
   OR(G99="",ISBLANK(G99),G99=0),0,
   ISNUMBER(MATCH(G99,{2,3,5,7,11,13,17,19,23,29,31,37,41,43},0)),"소",
   AND(ISNUMBER(G99),MOD(G99,3)=0),"배",
   AND(ISNUMBER(G99),G99&gt;0),"자"
)</f>
        <v>소</v>
      </c>
      <c r="AI99" s="30"/>
      <c r="AJ99" s="3">
        <f>COUNTIFS(B99:G99,"&gt;=1",B99:G99,"&lt;=14")</f>
        <v>2</v>
      </c>
      <c r="AK99" s="3">
        <f>COUNTIFS(B99:G99,"&gt;=15",B99:G99,"&lt;=31")</f>
        <v>1</v>
      </c>
      <c r="AL99" s="3">
        <f>6-AK99-AJ99</f>
        <v>3</v>
      </c>
      <c r="AM99" s="33"/>
      <c r="AN99" s="3">
        <f>COUNTIFS($B99:$G99, "&gt;=1",$B99:$G99, "&lt;=9")</f>
        <v>1</v>
      </c>
      <c r="AO99" s="3">
        <f>COUNTIFS($B99:$G99, "&gt;=10",$B99:$G99, "&lt;=18")</f>
        <v>2</v>
      </c>
      <c r="AP99" s="3">
        <f>COUNTIFS($B99:$G99, "&gt;=19",$B99:$G99, "&lt;=27")</f>
        <v>0</v>
      </c>
      <c r="AQ99" s="3">
        <f>COUNTIFS($B99:$G99, "&gt;=28",$B99:$G99, "&lt;=36")</f>
        <v>0</v>
      </c>
      <c r="AR99" s="3">
        <f>COUNTIFS($B99:$G99, "&gt;=37",$B99:$G99, "&lt;=45")</f>
        <v>3</v>
      </c>
      <c r="AS99" s="28" t="e">
        <f>#REF!</f>
        <v>#REF!</v>
      </c>
      <c r="AT99" s="28" t="e">
        <f>#REF!*2</f>
        <v>#REF!</v>
      </c>
      <c r="AU99" s="28" t="e">
        <f>#REF!</f>
        <v>#REF!</v>
      </c>
      <c r="AV99" s="28" t="e">
        <f>#REF!*2</f>
        <v>#REF!</v>
      </c>
      <c r="AW99" s="28" t="e">
        <f>#REF!</f>
        <v>#REF!</v>
      </c>
      <c r="AX99" s="28" t="e">
        <f>#REF!*2</f>
        <v>#REF!</v>
      </c>
      <c r="AY99" s="28" t="e">
        <f>#REF!</f>
        <v>#REF!</v>
      </c>
      <c r="AZ99" s="28" t="e">
        <f>#REF!*2</f>
        <v>#REF!</v>
      </c>
      <c r="BA99" s="28" t="e">
        <f>#REF!</f>
        <v>#REF!</v>
      </c>
      <c r="BB99" s="28" t="e">
        <f>#REF!*2</f>
        <v>#REF!</v>
      </c>
      <c r="BC99" s="28" t="e">
        <f>#REF!</f>
        <v>#REF!</v>
      </c>
      <c r="BD99" s="28" t="e">
        <f>#REF!*2</f>
        <v>#REF!</v>
      </c>
      <c r="BE99" s="9" t="e">
        <f>#REF!-#REF!</f>
        <v>#REF!</v>
      </c>
      <c r="BF99" s="9" t="e">
        <f>#REF!-#REF!</f>
        <v>#REF!</v>
      </c>
      <c r="BG99" s="9" t="e">
        <f>#REF!-#REF!</f>
        <v>#REF!</v>
      </c>
      <c r="BH99" s="9" t="e">
        <f>#REF!-#REF!</f>
        <v>#REF!</v>
      </c>
      <c r="BI99" s="9" t="e">
        <f>#REF!-#REF!</f>
        <v>#REF!</v>
      </c>
      <c r="BJ99" s="33"/>
      <c r="BK99" s="3">
        <f>COUNTIFS(B99:G99, "&gt;=1", B99:G99, "&lt;=9")</f>
        <v>1</v>
      </c>
      <c r="BL99" s="3">
        <f>COUNTIFS(B99:G99, "&gt;=10", B99:G99, "&lt;=19")</f>
        <v>2</v>
      </c>
      <c r="BM99" s="3">
        <f>COUNTIFS(B99:G99, "&gt;=20", B99:G99, "&lt;=29")</f>
        <v>0</v>
      </c>
      <c r="BN99" s="3">
        <f>COUNTIFS(B99:G99, "&gt;=30", B99:G99, "&lt;=39")</f>
        <v>1</v>
      </c>
      <c r="BO99" s="3">
        <f>COUNTIFS(B99:G99, "&gt;=40", B99:G99, "&lt;=45")</f>
        <v>2</v>
      </c>
      <c r="BP99" s="28" t="e">
        <f>#REF!</f>
        <v>#REF!</v>
      </c>
      <c r="BQ99" s="28" t="e">
        <f>#REF!*2</f>
        <v>#REF!</v>
      </c>
      <c r="BR99" s="28" t="e">
        <f>#REF!</f>
        <v>#REF!</v>
      </c>
      <c r="BS99" s="28" t="e">
        <f>#REF!*2</f>
        <v>#REF!</v>
      </c>
      <c r="BT99" s="28" t="e">
        <f>#REF!</f>
        <v>#REF!</v>
      </c>
      <c r="BU99" s="28" t="e">
        <f>#REF!*2</f>
        <v>#REF!</v>
      </c>
      <c r="BV99" s="28" t="e">
        <f>#REF!</f>
        <v>#REF!</v>
      </c>
      <c r="BW99" s="28" t="e">
        <f>#REF!*2</f>
        <v>#REF!</v>
      </c>
      <c r="BX99" s="28" t="e">
        <f>#REF!</f>
        <v>#REF!</v>
      </c>
      <c r="BY99" s="28" t="e">
        <f>#REF!*2</f>
        <v>#REF!</v>
      </c>
      <c r="BZ99" s="28" t="e">
        <f>#REF!</f>
        <v>#REF!</v>
      </c>
      <c r="CA99" s="28" t="e">
        <f>#REF!*2</f>
        <v>#REF!</v>
      </c>
      <c r="CB99" s="9">
        <f>C99-B99</f>
        <v>6</v>
      </c>
      <c r="CC99" s="9">
        <f>D99-C99</f>
        <v>6</v>
      </c>
      <c r="CD99" s="9">
        <f>E99-D99</f>
        <v>19</v>
      </c>
      <c r="CE99" s="9">
        <f>F99-E99</f>
        <v>3</v>
      </c>
      <c r="CF99" s="9">
        <f>G99-F99</f>
        <v>1</v>
      </c>
      <c r="CG99" s="33"/>
      <c r="CH99" s="9">
        <f>C99-B99</f>
        <v>6</v>
      </c>
      <c r="CI99" s="9">
        <f>D99-C99</f>
        <v>6</v>
      </c>
      <c r="CJ99" s="9">
        <f>E99-D99</f>
        <v>19</v>
      </c>
      <c r="CK99" s="9">
        <f>F99-E99</f>
        <v>3</v>
      </c>
      <c r="CL99" s="9">
        <f>G99-F99</f>
        <v>1</v>
      </c>
      <c r="CM99" s="32"/>
      <c r="CN99" s="3">
        <f>IF(OR(CH99="",ISBLANK(CH99),CH99=0),0,IF(MOD(CH99,2)=1,1,2))</f>
        <v>2</v>
      </c>
      <c r="CO99" s="3">
        <f>IF(OR(CI99="",ISBLANK(CI99),CI99=0),0,IF(MOD(CI99,2)=1,1,2))</f>
        <v>2</v>
      </c>
      <c r="CP99" s="3">
        <f>IF(OR(CJ99="",ISBLANK(CJ99),CJ99=0),0,IF(MOD(CJ99,2)=1,1,2))</f>
        <v>1</v>
      </c>
      <c r="CQ99" s="3">
        <f>IF(OR(CK99="",ISBLANK(CK99),CK99=0),0,IF(MOD(CK99,2)=1,1,2))</f>
        <v>1</v>
      </c>
      <c r="CR99" s="3">
        <f>IF(OR(CL99="",ISBLANK(CL99),CL99=0),0,IF(MOD(CL99,2)=1,1,2))</f>
        <v>1</v>
      </c>
      <c r="CS99" s="31"/>
      <c r="CT99" s="3" cm="1">
        <f t="array" ref="CT99">SUMPRODUCT(--(MOD(CH99:CL99,2)=1))</f>
        <v>3</v>
      </c>
      <c r="CU99" s="3">
        <f>5-CT99</f>
        <v>2</v>
      </c>
      <c r="CV99" s="30"/>
      <c r="CW99" s="3" cm="1">
        <f t="array" ref="CW99">SUMPRODUCT(--(MOD(CH99:CL99,10)&gt;=1), --(MOD(CH99:CL99,10)&lt;=5))</f>
        <v>2</v>
      </c>
      <c r="CX99" s="3">
        <f>5-CW99</f>
        <v>3</v>
      </c>
      <c r="CY99" s="30"/>
      <c r="CZ99" s="3" cm="1">
        <f t="array" ref="CZ99">IFERROR(COUNT(_xlfn._xlws.FILTER(CH99:CL99, ISNUMBER(MATCH(CH99:CL99, {2,3,5,7,11,13,17,19,23,29,31,37,41,43}, 0)))), 0)</f>
        <v>2</v>
      </c>
      <c r="DA99" s="3" cm="1">
        <f t="array" ref="DA99">IFERROR(COUNT(_xlfn._xlws.FILTER(CH99:CL99, ISNUMBER(MATCH(CH99:CL99, {1,4,8,10,14,16,20,22,25,26,28,32,34,35,38,40,44}, 0)))), 0)</f>
        <v>1</v>
      </c>
      <c r="DB99" s="3" cm="1">
        <f t="array" ref="DB99">IFERROR(COUNT(_xlfn._xlws.FILTER(CH99:CL99, ISNUMBER(MATCH(CH99:CL99, {6,9,12,15,18,21,24,27,30,33,36,39,42,45}, 0)))), 0)</f>
        <v>2</v>
      </c>
      <c r="DC99" s="29"/>
      <c r="DD99" s="28" t="e">
        <f>#REF!</f>
        <v>#REF!</v>
      </c>
      <c r="DE99" s="28" t="e">
        <f>#REF!*2</f>
        <v>#REF!</v>
      </c>
      <c r="DF99" s="28" t="e">
        <f>#REF!</f>
        <v>#REF!</v>
      </c>
      <c r="DG99" s="28" t="e">
        <f>#REF!*2</f>
        <v>#REF!</v>
      </c>
      <c r="DH99" s="28" t="e">
        <f>#REF!</f>
        <v>#REF!</v>
      </c>
      <c r="DI99" s="28" t="e">
        <f>#REF!*2</f>
        <v>#REF!</v>
      </c>
      <c r="DJ99" s="28" t="e">
        <f>#REF!</f>
        <v>#REF!</v>
      </c>
      <c r="DK99" s="28" t="e">
        <f>#REF!*2</f>
        <v>#REF!</v>
      </c>
      <c r="DL99" s="28" t="e">
        <f>#REF!</f>
        <v>#REF!</v>
      </c>
      <c r="DM99" s="28" t="e">
        <f>#REF!*2</f>
        <v>#REF!</v>
      </c>
      <c r="DN99" s="27"/>
      <c r="DO99" s="26" t="str" cm="1">
        <f t="array" ref="DO99">_xlfn.IFS(
   OR(CH99="",ISBLANK(CH99),CH99=0),0,
   ISNUMBER(MATCH(CH99,{2,3,5,7,11,13,17,19,23,29,31,37,41,43},0)),"소",
   AND(ISNUMBER(CH99),MOD(CH99,3)=0),"배",
   AND(ISNUMBER(CH99),CH99&gt;0),"자"
)</f>
        <v>배</v>
      </c>
      <c r="DP99" s="26" t="str" cm="1">
        <f t="array" ref="DP99">_xlfn.IFS(
   OR(CI99="",ISBLANK(CI99),CI99=0),0,
   ISNUMBER(MATCH(CI99,{2,3,5,7,11,13,17,19,23,29,31,37,41,43},0)),"소",
   AND(ISNUMBER(CI99),MOD(CI99,3)=0),"배",
   AND(ISNUMBER(CI99),CI99&gt;0),"자"
)</f>
        <v>배</v>
      </c>
      <c r="DQ99" s="26" t="str" cm="1">
        <f t="array" ref="DQ99">_xlfn.IFS(
   OR(CJ99="",ISBLANK(CJ99),CJ99=0),0,
   ISNUMBER(MATCH(CJ99,{2,3,5,7,11,13,17,19,23,29,31,37,41,43},0)),"소",
   AND(ISNUMBER(CJ99),MOD(CJ99,3)=0),"배",
   AND(ISNUMBER(CJ99),CJ99&gt;0),"자"
)</f>
        <v>소</v>
      </c>
      <c r="DR99" s="26" t="str" cm="1">
        <f t="array" ref="DR99">_xlfn.IFS(
   OR(CK99="",ISBLANK(CK99),CK99=0),0,
   ISNUMBER(MATCH(CK99,{2,3,5,7,11,13,17,19,23,29,31,37,41,43},0)),"소",
   AND(ISNUMBER(CK99),MOD(CK99,3)=0),"배",
   AND(ISNUMBER(CK99),CK99&gt;0),"자"
)</f>
        <v>소</v>
      </c>
      <c r="DS99" s="26" t="str" cm="1">
        <f t="array" ref="DS99">_xlfn.IFS(
   OR(CL99="",ISBLANK(CL99),CL99=0),0,
   ISNUMBER(MATCH(CL99,{2,3,5,7,11,13,17,19,23,29,31,37,41,43},0)),"소",
   AND(ISNUMBER(CL99),MOD(CL99,3)=0),"배",
   AND(ISNUMBER(CL99),CL99&gt;0),"자"
)</f>
        <v>자</v>
      </c>
      <c r="DT99" s="25"/>
    </row>
    <row r="100" spans="2:124" x14ac:dyDescent="0.3">
      <c r="B100" s="3">
        <v>8</v>
      </c>
      <c r="C100" s="3">
        <v>10</v>
      </c>
      <c r="D100" s="3">
        <v>14</v>
      </c>
      <c r="E100" s="3">
        <v>20</v>
      </c>
      <c r="F100" s="3">
        <v>33</v>
      </c>
      <c r="G100" s="3">
        <v>41</v>
      </c>
      <c r="H100" s="32"/>
      <c r="I100" s="3">
        <f>IF(OR(B100="",ISBLANK(B100),B100=0),0,IF(MOD(B100,2)=1,1,2))</f>
        <v>2</v>
      </c>
      <c r="J100" s="3">
        <f>IF(OR(C100="",ISBLANK(C100),C100=0),0,IF(MOD(C100,2)=1,1,2))</f>
        <v>2</v>
      </c>
      <c r="K100" s="3">
        <f>IF(OR(D100="",ISBLANK(D100),D100=0),0,IF(MOD(D100,2)=1,1,2))</f>
        <v>2</v>
      </c>
      <c r="L100" s="3">
        <f>IF(OR(E100="",ISBLANK(E100),E100=0),0,IF(MOD(E100,2)=1,1,2))</f>
        <v>2</v>
      </c>
      <c r="M100" s="3">
        <f>IF(OR(F100="",ISBLANK(F100),F100=0),0,IF(MOD(F100,2)=1,1,2))</f>
        <v>1</v>
      </c>
      <c r="N100" s="3">
        <f>IF(OR(G100="",ISBLANK(G100),G100=0),0,IF(MOD(G100,2)=1,1,2))</f>
        <v>1</v>
      </c>
      <c r="O100" s="32"/>
      <c r="P100" s="3" cm="1">
        <f t="array" ref="P100">SUMPRODUCT(--(MOD(B100:G100,2)=1))</f>
        <v>2</v>
      </c>
      <c r="Q100" s="3">
        <f>6-P100</f>
        <v>4</v>
      </c>
      <c r="R100" s="34"/>
      <c r="S100" s="3">
        <f>COUNTIFS(B100:G100,"&gt;=1",B100:G100,"&lt;=23")</f>
        <v>4</v>
      </c>
      <c r="T100" s="3">
        <f>6-S100</f>
        <v>2</v>
      </c>
      <c r="U100" s="34"/>
      <c r="V100" s="3" cm="1">
        <f t="array" ref="V100">SUMPRODUCT(--(MOD(B100:G100,10)&gt;=1), --(MOD(B100:G100,10)&lt;=5))</f>
        <v>3</v>
      </c>
      <c r="W100" s="3">
        <f>6-V100</f>
        <v>3</v>
      </c>
      <c r="X100" s="34"/>
      <c r="Y100" s="3" cm="1">
        <f t="array" ref="Y100">IFERROR(COUNT(_xlfn._xlws.FILTER(B100:G100, ISNUMBER(MATCH(B100:G100, {2,3,5,7,11,13,17,19,23,29,31,37,41,43}, 0)))), 0)</f>
        <v>1</v>
      </c>
      <c r="Z100" s="3" cm="1">
        <f t="array" ref="Z100">IFERROR(COUNT(_xlfn._xlws.FILTER(B100:G100, ISNUMBER(MATCH(B100:G100, {1,4,8,10,14,16,20,22,25,26,28,32,34,35,38,40,44}, 0)))), 0)</f>
        <v>4</v>
      </c>
      <c r="AA100" s="3" cm="1">
        <f t="array" ref="AA100">IFERROR(COUNT(_xlfn._xlws.FILTER(B100:G100, ISNUMBER(MATCH(B100:G100, {6,9,12,15,18,21,24,27,30,33,36,39,42,45}, 0)))), 0)</f>
        <v>1</v>
      </c>
      <c r="AB100" s="30"/>
      <c r="AC100" s="26" t="str" cm="1">
        <f t="array" ref="AC100">_xlfn.IFS(
   OR(B100="",ISBLANK(B100),B100=0),0,
   ISNUMBER(MATCH(B100,{2,3,5,7,11,13,17,19,23,29,31,37,41,43},0)),"소",
   AND(ISNUMBER(B100),MOD(B100,3)=0),"배",
   AND(ISNUMBER(B100),B100&gt;0),"자"
)</f>
        <v>자</v>
      </c>
      <c r="AD100" s="26" t="str" cm="1">
        <f t="array" ref="AD100">_xlfn.IFS(
   OR(C100="",ISBLANK(C100),C100=0),0,
   ISNUMBER(MATCH(C100,{2,3,5,7,11,13,17,19,23,29,31,37,41,43},0)),"소",
   AND(ISNUMBER(C100),MOD(C100,3)=0),"배",
   AND(ISNUMBER(C100),C100&gt;0),"자"
)</f>
        <v>자</v>
      </c>
      <c r="AE100" s="26" t="str" cm="1">
        <f t="array" ref="AE100">_xlfn.IFS(
   OR(D100="",ISBLANK(D100),D100=0),0,
   ISNUMBER(MATCH(D100,{2,3,5,7,11,13,17,19,23,29,31,37,41,43},0)),"소",
   AND(ISNUMBER(D100),MOD(D100,3)=0),"배",
   AND(ISNUMBER(D100),D100&gt;0),"자"
)</f>
        <v>자</v>
      </c>
      <c r="AF100" s="26" t="str" cm="1">
        <f t="array" ref="AF100">_xlfn.IFS(
   OR(E100="",ISBLANK(E100),E100=0),0,
   ISNUMBER(MATCH(E100,{2,3,5,7,11,13,17,19,23,29,31,37,41,43},0)),"소",
   AND(ISNUMBER(E100),MOD(E100,3)=0),"배",
   AND(ISNUMBER(E100),E100&gt;0),"자"
)</f>
        <v>자</v>
      </c>
      <c r="AG100" s="26" t="str" cm="1">
        <f t="array" ref="AG100">_xlfn.IFS(
   OR(F100="",ISBLANK(F100),F100=0),0,
   ISNUMBER(MATCH(F100,{2,3,5,7,11,13,17,19,23,29,31,37,41,43},0)),"소",
   AND(ISNUMBER(F100),MOD(F100,3)=0),"배",
   AND(ISNUMBER(F100),F100&gt;0),"자"
)</f>
        <v>배</v>
      </c>
      <c r="AH100" s="26" t="str" cm="1">
        <f t="array" ref="AH100">_xlfn.IFS(
   OR(G100="",ISBLANK(G100),G100=0),0,
   ISNUMBER(MATCH(G100,{2,3,5,7,11,13,17,19,23,29,31,37,41,43},0)),"소",
   AND(ISNUMBER(G100),MOD(G100,3)=0),"배",
   AND(ISNUMBER(G100),G100&gt;0),"자"
)</f>
        <v>소</v>
      </c>
      <c r="AI100" s="30"/>
      <c r="AJ100" s="3">
        <f>COUNTIFS(B100:G100,"&gt;=1",B100:G100,"&lt;=14")</f>
        <v>3</v>
      </c>
      <c r="AK100" s="3">
        <f>COUNTIFS(B100:G100,"&gt;=15",B100:G100,"&lt;=31")</f>
        <v>1</v>
      </c>
      <c r="AL100" s="3">
        <f>6-AK100-AJ100</f>
        <v>2</v>
      </c>
      <c r="AM100" s="33"/>
      <c r="AN100" s="3">
        <f>COUNTIFS($B100:$G100, "&gt;=1",$B100:$G100, "&lt;=9")</f>
        <v>1</v>
      </c>
      <c r="AO100" s="3">
        <f>COUNTIFS($B100:$G100, "&gt;=10",$B100:$G100, "&lt;=18")</f>
        <v>2</v>
      </c>
      <c r="AP100" s="3">
        <f>COUNTIFS($B100:$G100, "&gt;=19",$B100:$G100, "&lt;=27")</f>
        <v>1</v>
      </c>
      <c r="AQ100" s="3">
        <f>COUNTIFS($B100:$G100, "&gt;=28",$B100:$G100, "&lt;=36")</f>
        <v>1</v>
      </c>
      <c r="AR100" s="3">
        <f>COUNTIFS($B100:$G100, "&gt;=37",$B100:$G100, "&lt;=45")</f>
        <v>1</v>
      </c>
      <c r="AS100" s="28" t="e">
        <f>#REF!</f>
        <v>#REF!</v>
      </c>
      <c r="AT100" s="28" t="e">
        <f>#REF!*2</f>
        <v>#REF!</v>
      </c>
      <c r="AU100" s="28" t="e">
        <f>#REF!</f>
        <v>#REF!</v>
      </c>
      <c r="AV100" s="28" t="e">
        <f>#REF!*2</f>
        <v>#REF!</v>
      </c>
      <c r="AW100" s="28" t="e">
        <f>#REF!</f>
        <v>#REF!</v>
      </c>
      <c r="AX100" s="28" t="e">
        <f>#REF!*2</f>
        <v>#REF!</v>
      </c>
      <c r="AY100" s="28" t="e">
        <f>#REF!</f>
        <v>#REF!</v>
      </c>
      <c r="AZ100" s="28" t="e">
        <f>#REF!*2</f>
        <v>#REF!</v>
      </c>
      <c r="BA100" s="28" t="e">
        <f>#REF!</f>
        <v>#REF!</v>
      </c>
      <c r="BB100" s="28" t="e">
        <f>#REF!*2</f>
        <v>#REF!</v>
      </c>
      <c r="BC100" s="28" t="e">
        <f>#REF!</f>
        <v>#REF!</v>
      </c>
      <c r="BD100" s="28" t="e">
        <f>#REF!*2</f>
        <v>#REF!</v>
      </c>
      <c r="BE100" s="9" t="e">
        <f>#REF!-#REF!</f>
        <v>#REF!</v>
      </c>
      <c r="BF100" s="9" t="e">
        <f>#REF!-#REF!</f>
        <v>#REF!</v>
      </c>
      <c r="BG100" s="9" t="e">
        <f>#REF!-#REF!</f>
        <v>#REF!</v>
      </c>
      <c r="BH100" s="9" t="e">
        <f>#REF!-#REF!</f>
        <v>#REF!</v>
      </c>
      <c r="BI100" s="9" t="e">
        <f>#REF!-#REF!</f>
        <v>#REF!</v>
      </c>
      <c r="BJ100" s="33"/>
      <c r="BK100" s="3">
        <f>COUNTIFS(B100:G100, "&gt;=1", B100:G100, "&lt;=9")</f>
        <v>1</v>
      </c>
      <c r="BL100" s="3">
        <f>COUNTIFS(B100:G100, "&gt;=10", B100:G100, "&lt;=19")</f>
        <v>2</v>
      </c>
      <c r="BM100" s="3">
        <f>COUNTIFS(B100:G100, "&gt;=20", B100:G100, "&lt;=29")</f>
        <v>1</v>
      </c>
      <c r="BN100" s="3">
        <f>COUNTIFS(B100:G100, "&gt;=30", B100:G100, "&lt;=39")</f>
        <v>1</v>
      </c>
      <c r="BO100" s="3">
        <f>COUNTIFS(B100:G100, "&gt;=40", B100:G100, "&lt;=45")</f>
        <v>1</v>
      </c>
      <c r="BP100" s="28" t="e">
        <f>#REF!</f>
        <v>#REF!</v>
      </c>
      <c r="BQ100" s="28" t="e">
        <f>#REF!*2</f>
        <v>#REF!</v>
      </c>
      <c r="BR100" s="28" t="e">
        <f>#REF!</f>
        <v>#REF!</v>
      </c>
      <c r="BS100" s="28" t="e">
        <f>#REF!*2</f>
        <v>#REF!</v>
      </c>
      <c r="BT100" s="28" t="e">
        <f>#REF!</f>
        <v>#REF!</v>
      </c>
      <c r="BU100" s="28" t="e">
        <f>#REF!*2</f>
        <v>#REF!</v>
      </c>
      <c r="BV100" s="28" t="e">
        <f>#REF!</f>
        <v>#REF!</v>
      </c>
      <c r="BW100" s="28" t="e">
        <f>#REF!*2</f>
        <v>#REF!</v>
      </c>
      <c r="BX100" s="28" t="e">
        <f>#REF!</f>
        <v>#REF!</v>
      </c>
      <c r="BY100" s="28" t="e">
        <f>#REF!*2</f>
        <v>#REF!</v>
      </c>
      <c r="BZ100" s="28" t="e">
        <f>#REF!</f>
        <v>#REF!</v>
      </c>
      <c r="CA100" s="28" t="e">
        <f>#REF!*2</f>
        <v>#REF!</v>
      </c>
      <c r="CB100" s="9">
        <f>C100-B100</f>
        <v>2</v>
      </c>
      <c r="CC100" s="9">
        <f>D100-C100</f>
        <v>4</v>
      </c>
      <c r="CD100" s="9">
        <f>E100-D100</f>
        <v>6</v>
      </c>
      <c r="CE100" s="9">
        <f>F100-E100</f>
        <v>13</v>
      </c>
      <c r="CF100" s="9">
        <f>G100-F100</f>
        <v>8</v>
      </c>
      <c r="CG100" s="33"/>
      <c r="CH100" s="9">
        <f>C100-B100</f>
        <v>2</v>
      </c>
      <c r="CI100" s="9">
        <f>D100-C100</f>
        <v>4</v>
      </c>
      <c r="CJ100" s="9">
        <f>E100-D100</f>
        <v>6</v>
      </c>
      <c r="CK100" s="9">
        <f>F100-E100</f>
        <v>13</v>
      </c>
      <c r="CL100" s="9">
        <f>G100-F100</f>
        <v>8</v>
      </c>
      <c r="CM100" s="32"/>
      <c r="CN100" s="3">
        <f>IF(OR(CH100="",ISBLANK(CH100),CH100=0),0,IF(MOD(CH100,2)=1,1,2))</f>
        <v>2</v>
      </c>
      <c r="CO100" s="3">
        <f>IF(OR(CI100="",ISBLANK(CI100),CI100=0),0,IF(MOD(CI100,2)=1,1,2))</f>
        <v>2</v>
      </c>
      <c r="CP100" s="3">
        <f>IF(OR(CJ100="",ISBLANK(CJ100),CJ100=0),0,IF(MOD(CJ100,2)=1,1,2))</f>
        <v>2</v>
      </c>
      <c r="CQ100" s="3">
        <f>IF(OR(CK100="",ISBLANK(CK100),CK100=0),0,IF(MOD(CK100,2)=1,1,2))</f>
        <v>1</v>
      </c>
      <c r="CR100" s="3">
        <f>IF(OR(CL100="",ISBLANK(CL100),CL100=0),0,IF(MOD(CL100,2)=1,1,2))</f>
        <v>2</v>
      </c>
      <c r="CS100" s="31"/>
      <c r="CT100" s="3" cm="1">
        <f t="array" ref="CT100">SUMPRODUCT(--(MOD(CH100:CL100,2)=1))</f>
        <v>1</v>
      </c>
      <c r="CU100" s="3">
        <f>5-CT100</f>
        <v>4</v>
      </c>
      <c r="CV100" s="30"/>
      <c r="CW100" s="3" cm="1">
        <f t="array" ref="CW100">SUMPRODUCT(--(MOD(CH100:CL100,10)&gt;=1), --(MOD(CH100:CL100,10)&lt;=5))</f>
        <v>3</v>
      </c>
      <c r="CX100" s="3">
        <f>5-CW100</f>
        <v>2</v>
      </c>
      <c r="CY100" s="30"/>
      <c r="CZ100" s="3" cm="1">
        <f t="array" ref="CZ100">IFERROR(COUNT(_xlfn._xlws.FILTER(CH100:CL100, ISNUMBER(MATCH(CH100:CL100, {2,3,5,7,11,13,17,19,23,29,31,37,41,43}, 0)))), 0)</f>
        <v>2</v>
      </c>
      <c r="DA100" s="3" cm="1">
        <f t="array" ref="DA100">IFERROR(COUNT(_xlfn._xlws.FILTER(CH100:CL100, ISNUMBER(MATCH(CH100:CL100, {1,4,8,10,14,16,20,22,25,26,28,32,34,35,38,40,44}, 0)))), 0)</f>
        <v>2</v>
      </c>
      <c r="DB100" s="3" cm="1">
        <f t="array" ref="DB100">IFERROR(COUNT(_xlfn._xlws.FILTER(CH100:CL100, ISNUMBER(MATCH(CH100:CL100, {6,9,12,15,18,21,24,27,30,33,36,39,42,45}, 0)))), 0)</f>
        <v>1</v>
      </c>
      <c r="DC100" s="29"/>
      <c r="DD100" s="28" t="e">
        <f>#REF!</f>
        <v>#REF!</v>
      </c>
      <c r="DE100" s="28" t="e">
        <f>#REF!*2</f>
        <v>#REF!</v>
      </c>
      <c r="DF100" s="28" t="e">
        <f>#REF!</f>
        <v>#REF!</v>
      </c>
      <c r="DG100" s="28" t="e">
        <f>#REF!*2</f>
        <v>#REF!</v>
      </c>
      <c r="DH100" s="28" t="e">
        <f>#REF!</f>
        <v>#REF!</v>
      </c>
      <c r="DI100" s="28" t="e">
        <f>#REF!*2</f>
        <v>#REF!</v>
      </c>
      <c r="DJ100" s="28" t="e">
        <f>#REF!</f>
        <v>#REF!</v>
      </c>
      <c r="DK100" s="28" t="e">
        <f>#REF!*2</f>
        <v>#REF!</v>
      </c>
      <c r="DL100" s="28" t="e">
        <f>#REF!</f>
        <v>#REF!</v>
      </c>
      <c r="DM100" s="28" t="e">
        <f>#REF!*2</f>
        <v>#REF!</v>
      </c>
      <c r="DN100" s="27"/>
      <c r="DO100" s="26" t="str" cm="1">
        <f t="array" ref="DO100">_xlfn.IFS(
   OR(CH100="",ISBLANK(CH100),CH100=0),0,
   ISNUMBER(MATCH(CH100,{2,3,5,7,11,13,17,19,23,29,31,37,41,43},0)),"소",
   AND(ISNUMBER(CH100),MOD(CH100,3)=0),"배",
   AND(ISNUMBER(CH100),CH100&gt;0),"자"
)</f>
        <v>소</v>
      </c>
      <c r="DP100" s="26" t="str" cm="1">
        <f t="array" ref="DP100">_xlfn.IFS(
   OR(CI100="",ISBLANK(CI100),CI100=0),0,
   ISNUMBER(MATCH(CI100,{2,3,5,7,11,13,17,19,23,29,31,37,41,43},0)),"소",
   AND(ISNUMBER(CI100),MOD(CI100,3)=0),"배",
   AND(ISNUMBER(CI100),CI100&gt;0),"자"
)</f>
        <v>자</v>
      </c>
      <c r="DQ100" s="26" t="str" cm="1">
        <f t="array" ref="DQ100">_xlfn.IFS(
   OR(CJ100="",ISBLANK(CJ100),CJ100=0),0,
   ISNUMBER(MATCH(CJ100,{2,3,5,7,11,13,17,19,23,29,31,37,41,43},0)),"소",
   AND(ISNUMBER(CJ100),MOD(CJ100,3)=0),"배",
   AND(ISNUMBER(CJ100),CJ100&gt;0),"자"
)</f>
        <v>배</v>
      </c>
      <c r="DR100" s="26" t="str" cm="1">
        <f t="array" ref="DR100">_xlfn.IFS(
   OR(CK100="",ISBLANK(CK100),CK100=0),0,
   ISNUMBER(MATCH(CK100,{2,3,5,7,11,13,17,19,23,29,31,37,41,43},0)),"소",
   AND(ISNUMBER(CK100),MOD(CK100,3)=0),"배",
   AND(ISNUMBER(CK100),CK100&gt;0),"자"
)</f>
        <v>소</v>
      </c>
      <c r="DS100" s="26" t="str" cm="1">
        <f t="array" ref="DS100">_xlfn.IFS(
   OR(CL100="",ISBLANK(CL100),CL100=0),0,
   ISNUMBER(MATCH(CL100,{2,3,5,7,11,13,17,19,23,29,31,37,41,43},0)),"소",
   AND(ISNUMBER(CL100),MOD(CL100,3)=0),"배",
   AND(ISNUMBER(CL100),CL100&gt;0),"자"
)</f>
        <v>자</v>
      </c>
      <c r="DT100" s="25"/>
    </row>
    <row r="101" spans="2:124" x14ac:dyDescent="0.3">
      <c r="B101" s="3">
        <v>1</v>
      </c>
      <c r="C101" s="3">
        <v>13</v>
      </c>
      <c r="D101" s="3">
        <v>21</v>
      </c>
      <c r="E101" s="3">
        <v>25</v>
      </c>
      <c r="F101" s="3">
        <v>28</v>
      </c>
      <c r="G101" s="3">
        <v>31</v>
      </c>
      <c r="H101" s="32"/>
      <c r="I101" s="3">
        <f>IF(OR(B101="",ISBLANK(B101),B101=0),0,IF(MOD(B101,2)=1,1,2))</f>
        <v>1</v>
      </c>
      <c r="J101" s="3">
        <f>IF(OR(C101="",ISBLANK(C101),C101=0),0,IF(MOD(C101,2)=1,1,2))</f>
        <v>1</v>
      </c>
      <c r="K101" s="3">
        <f>IF(OR(D101="",ISBLANK(D101),D101=0),0,IF(MOD(D101,2)=1,1,2))</f>
        <v>1</v>
      </c>
      <c r="L101" s="3">
        <f>IF(OR(E101="",ISBLANK(E101),E101=0),0,IF(MOD(E101,2)=1,1,2))</f>
        <v>1</v>
      </c>
      <c r="M101" s="3">
        <f>IF(OR(F101="",ISBLANK(F101),F101=0),0,IF(MOD(F101,2)=1,1,2))</f>
        <v>2</v>
      </c>
      <c r="N101" s="3">
        <f>IF(OR(G101="",ISBLANK(G101),G101=0),0,IF(MOD(G101,2)=1,1,2))</f>
        <v>1</v>
      </c>
      <c r="O101" s="32"/>
      <c r="P101" s="3" cm="1">
        <f t="array" ref="P101">SUMPRODUCT(--(MOD(B101:G101,2)=1))</f>
        <v>5</v>
      </c>
      <c r="Q101" s="3">
        <f>6-P101</f>
        <v>1</v>
      </c>
      <c r="R101" s="34"/>
      <c r="S101" s="3">
        <f>COUNTIFS(B101:G101,"&gt;=1",B101:G101,"&lt;=23")</f>
        <v>3</v>
      </c>
      <c r="T101" s="3">
        <f>6-S101</f>
        <v>3</v>
      </c>
      <c r="U101" s="34"/>
      <c r="V101" s="3" cm="1">
        <f t="array" ref="V101">SUMPRODUCT(--(MOD(B101:G101,10)&gt;=1), --(MOD(B101:G101,10)&lt;=5))</f>
        <v>5</v>
      </c>
      <c r="W101" s="3">
        <f>6-V101</f>
        <v>1</v>
      </c>
      <c r="X101" s="34"/>
      <c r="Y101" s="3" cm="1">
        <f t="array" ref="Y101">IFERROR(COUNT(_xlfn._xlws.FILTER(B101:G101, ISNUMBER(MATCH(B101:G101, {2,3,5,7,11,13,17,19,23,29,31,37,41,43}, 0)))), 0)</f>
        <v>2</v>
      </c>
      <c r="Z101" s="3" cm="1">
        <f t="array" ref="Z101">IFERROR(COUNT(_xlfn._xlws.FILTER(B101:G101, ISNUMBER(MATCH(B101:G101, {1,4,8,10,14,16,20,22,25,26,28,32,34,35,38,40,44}, 0)))), 0)</f>
        <v>3</v>
      </c>
      <c r="AA101" s="3" cm="1">
        <f t="array" ref="AA101">IFERROR(COUNT(_xlfn._xlws.FILTER(B101:G101, ISNUMBER(MATCH(B101:G101, {6,9,12,15,18,21,24,27,30,33,36,39,42,45}, 0)))), 0)</f>
        <v>1</v>
      </c>
      <c r="AB101" s="30"/>
      <c r="AC101" s="26" t="str" cm="1">
        <f t="array" ref="AC101">_xlfn.IFS(
   OR(B101="",ISBLANK(B101),B101=0),0,
   ISNUMBER(MATCH(B101,{2,3,5,7,11,13,17,19,23,29,31,37,41,43},0)),"소",
   AND(ISNUMBER(B101),MOD(B101,3)=0),"배",
   AND(ISNUMBER(B101),B101&gt;0),"자"
)</f>
        <v>자</v>
      </c>
      <c r="AD101" s="26" t="str" cm="1">
        <f t="array" ref="AD101">_xlfn.IFS(
   OR(C101="",ISBLANK(C101),C101=0),0,
   ISNUMBER(MATCH(C101,{2,3,5,7,11,13,17,19,23,29,31,37,41,43},0)),"소",
   AND(ISNUMBER(C101),MOD(C101,3)=0),"배",
   AND(ISNUMBER(C101),C101&gt;0),"자"
)</f>
        <v>소</v>
      </c>
      <c r="AE101" s="26" t="str" cm="1">
        <f t="array" ref="AE101">_xlfn.IFS(
   OR(D101="",ISBLANK(D101),D101=0),0,
   ISNUMBER(MATCH(D101,{2,3,5,7,11,13,17,19,23,29,31,37,41,43},0)),"소",
   AND(ISNUMBER(D101),MOD(D101,3)=0),"배",
   AND(ISNUMBER(D101),D101&gt;0),"자"
)</f>
        <v>배</v>
      </c>
      <c r="AF101" s="26" t="str" cm="1">
        <f t="array" ref="AF101">_xlfn.IFS(
   OR(E101="",ISBLANK(E101),E101=0),0,
   ISNUMBER(MATCH(E101,{2,3,5,7,11,13,17,19,23,29,31,37,41,43},0)),"소",
   AND(ISNUMBER(E101),MOD(E101,3)=0),"배",
   AND(ISNUMBER(E101),E101&gt;0),"자"
)</f>
        <v>자</v>
      </c>
      <c r="AG101" s="26" t="str" cm="1">
        <f t="array" ref="AG101">_xlfn.IFS(
   OR(F101="",ISBLANK(F101),F101=0),0,
   ISNUMBER(MATCH(F101,{2,3,5,7,11,13,17,19,23,29,31,37,41,43},0)),"소",
   AND(ISNUMBER(F101),MOD(F101,3)=0),"배",
   AND(ISNUMBER(F101),F101&gt;0),"자"
)</f>
        <v>자</v>
      </c>
      <c r="AH101" s="26" t="str" cm="1">
        <f t="array" ref="AH101">_xlfn.IFS(
   OR(G101="",ISBLANK(G101),G101=0),0,
   ISNUMBER(MATCH(G101,{2,3,5,7,11,13,17,19,23,29,31,37,41,43},0)),"소",
   AND(ISNUMBER(G101),MOD(G101,3)=0),"배",
   AND(ISNUMBER(G101),G101&gt;0),"자"
)</f>
        <v>소</v>
      </c>
      <c r="AI101" s="30"/>
      <c r="AJ101" s="3">
        <f>COUNTIFS(B101:G101,"&gt;=1",B101:G101,"&lt;=14")</f>
        <v>2</v>
      </c>
      <c r="AK101" s="3">
        <f>COUNTIFS(B101:G101,"&gt;=15",B101:G101,"&lt;=31")</f>
        <v>4</v>
      </c>
      <c r="AL101" s="3">
        <f>6-AK101-AJ101</f>
        <v>0</v>
      </c>
      <c r="AM101" s="33"/>
      <c r="AN101" s="3">
        <f>COUNTIFS($B101:$G101, "&gt;=1",$B101:$G101, "&lt;=9")</f>
        <v>1</v>
      </c>
      <c r="AO101" s="3">
        <f>COUNTIFS($B101:$G101, "&gt;=10",$B101:$G101, "&lt;=18")</f>
        <v>1</v>
      </c>
      <c r="AP101" s="3">
        <f>COUNTIFS($B101:$G101, "&gt;=19",$B101:$G101, "&lt;=27")</f>
        <v>2</v>
      </c>
      <c r="AQ101" s="3">
        <f>COUNTIFS($B101:$G101, "&gt;=28",$B101:$G101, "&lt;=36")</f>
        <v>2</v>
      </c>
      <c r="AR101" s="3">
        <f>COUNTIFS($B101:$G101, "&gt;=37",$B101:$G101, "&lt;=45")</f>
        <v>0</v>
      </c>
      <c r="AS101" s="28" t="e">
        <f>#REF!</f>
        <v>#REF!</v>
      </c>
      <c r="AT101" s="28" t="e">
        <f>#REF!*2</f>
        <v>#REF!</v>
      </c>
      <c r="AU101" s="28" t="e">
        <f>#REF!</f>
        <v>#REF!</v>
      </c>
      <c r="AV101" s="28" t="e">
        <f>#REF!*2</f>
        <v>#REF!</v>
      </c>
      <c r="AW101" s="28" t="e">
        <f>#REF!</f>
        <v>#REF!</v>
      </c>
      <c r="AX101" s="28" t="e">
        <f>#REF!*2</f>
        <v>#REF!</v>
      </c>
      <c r="AY101" s="28" t="e">
        <f>#REF!</f>
        <v>#REF!</v>
      </c>
      <c r="AZ101" s="28" t="e">
        <f>#REF!*2</f>
        <v>#REF!</v>
      </c>
      <c r="BA101" s="28" t="e">
        <f>#REF!</f>
        <v>#REF!</v>
      </c>
      <c r="BB101" s="28" t="e">
        <f>#REF!*2</f>
        <v>#REF!</v>
      </c>
      <c r="BC101" s="28" t="e">
        <f>#REF!</f>
        <v>#REF!</v>
      </c>
      <c r="BD101" s="28" t="e">
        <f>#REF!*2</f>
        <v>#REF!</v>
      </c>
      <c r="BE101" s="9" t="e">
        <f>#REF!-#REF!</f>
        <v>#REF!</v>
      </c>
      <c r="BF101" s="9" t="e">
        <f>#REF!-#REF!</f>
        <v>#REF!</v>
      </c>
      <c r="BG101" s="9" t="e">
        <f>#REF!-#REF!</f>
        <v>#REF!</v>
      </c>
      <c r="BH101" s="9" t="e">
        <f>#REF!-#REF!</f>
        <v>#REF!</v>
      </c>
      <c r="BI101" s="9" t="e">
        <f>#REF!-#REF!</f>
        <v>#REF!</v>
      </c>
      <c r="BJ101" s="33"/>
      <c r="BK101" s="3">
        <f>COUNTIFS(B101:G101, "&gt;=1", B101:G101, "&lt;=9")</f>
        <v>1</v>
      </c>
      <c r="BL101" s="3">
        <f>COUNTIFS(B101:G101, "&gt;=10", B101:G101, "&lt;=19")</f>
        <v>1</v>
      </c>
      <c r="BM101" s="3">
        <f>COUNTIFS(B101:G101, "&gt;=20", B101:G101, "&lt;=29")</f>
        <v>3</v>
      </c>
      <c r="BN101" s="3">
        <f>COUNTIFS(B101:G101, "&gt;=30", B101:G101, "&lt;=39")</f>
        <v>1</v>
      </c>
      <c r="BO101" s="3">
        <f>COUNTIFS(B101:G101, "&gt;=40", B101:G101, "&lt;=45")</f>
        <v>0</v>
      </c>
      <c r="BP101" s="28" t="e">
        <f>#REF!</f>
        <v>#REF!</v>
      </c>
      <c r="BQ101" s="28" t="e">
        <f>#REF!*2</f>
        <v>#REF!</v>
      </c>
      <c r="BR101" s="28" t="e">
        <f>#REF!</f>
        <v>#REF!</v>
      </c>
      <c r="BS101" s="28" t="e">
        <f>#REF!*2</f>
        <v>#REF!</v>
      </c>
      <c r="BT101" s="28" t="e">
        <f>#REF!</f>
        <v>#REF!</v>
      </c>
      <c r="BU101" s="28" t="e">
        <f>#REF!*2</f>
        <v>#REF!</v>
      </c>
      <c r="BV101" s="28" t="e">
        <f>#REF!</f>
        <v>#REF!</v>
      </c>
      <c r="BW101" s="28" t="e">
        <f>#REF!*2</f>
        <v>#REF!</v>
      </c>
      <c r="BX101" s="28" t="e">
        <f>#REF!</f>
        <v>#REF!</v>
      </c>
      <c r="BY101" s="28" t="e">
        <f>#REF!*2</f>
        <v>#REF!</v>
      </c>
      <c r="BZ101" s="28" t="e">
        <f>#REF!</f>
        <v>#REF!</v>
      </c>
      <c r="CA101" s="28" t="e">
        <f>#REF!*2</f>
        <v>#REF!</v>
      </c>
      <c r="CB101" s="9">
        <f>C101-B101</f>
        <v>12</v>
      </c>
      <c r="CC101" s="9">
        <f>D101-C101</f>
        <v>8</v>
      </c>
      <c r="CD101" s="9">
        <f>E101-D101</f>
        <v>4</v>
      </c>
      <c r="CE101" s="9">
        <f>F101-E101</f>
        <v>3</v>
      </c>
      <c r="CF101" s="9">
        <f>G101-F101</f>
        <v>3</v>
      </c>
      <c r="CG101" s="33"/>
      <c r="CH101" s="9">
        <f>C101-B101</f>
        <v>12</v>
      </c>
      <c r="CI101" s="9">
        <f>D101-C101</f>
        <v>8</v>
      </c>
      <c r="CJ101" s="9">
        <f>E101-D101</f>
        <v>4</v>
      </c>
      <c r="CK101" s="9">
        <f>F101-E101</f>
        <v>3</v>
      </c>
      <c r="CL101" s="9">
        <f>G101-F101</f>
        <v>3</v>
      </c>
      <c r="CM101" s="32"/>
      <c r="CN101" s="3">
        <f>IF(OR(CH101="",ISBLANK(CH101),CH101=0),0,IF(MOD(CH101,2)=1,1,2))</f>
        <v>2</v>
      </c>
      <c r="CO101" s="3">
        <f>IF(OR(CI101="",ISBLANK(CI101),CI101=0),0,IF(MOD(CI101,2)=1,1,2))</f>
        <v>2</v>
      </c>
      <c r="CP101" s="3">
        <f>IF(OR(CJ101="",ISBLANK(CJ101),CJ101=0),0,IF(MOD(CJ101,2)=1,1,2))</f>
        <v>2</v>
      </c>
      <c r="CQ101" s="3">
        <f>IF(OR(CK101="",ISBLANK(CK101),CK101=0),0,IF(MOD(CK101,2)=1,1,2))</f>
        <v>1</v>
      </c>
      <c r="CR101" s="3">
        <f>IF(OR(CL101="",ISBLANK(CL101),CL101=0),0,IF(MOD(CL101,2)=1,1,2))</f>
        <v>1</v>
      </c>
      <c r="CS101" s="31"/>
      <c r="CT101" s="3" cm="1">
        <f t="array" ref="CT101">SUMPRODUCT(--(MOD(CH101:CL101,2)=1))</f>
        <v>2</v>
      </c>
      <c r="CU101" s="3">
        <f>5-CT101</f>
        <v>3</v>
      </c>
      <c r="CV101" s="30"/>
      <c r="CW101" s="3" cm="1">
        <f t="array" ref="CW101">SUMPRODUCT(--(MOD(CH101:CL101,10)&gt;=1), --(MOD(CH101:CL101,10)&lt;=5))</f>
        <v>4</v>
      </c>
      <c r="CX101" s="3">
        <f>5-CW101</f>
        <v>1</v>
      </c>
      <c r="CY101" s="30"/>
      <c r="CZ101" s="3" cm="1">
        <f t="array" ref="CZ101">IFERROR(COUNT(_xlfn._xlws.FILTER(CH101:CL101, ISNUMBER(MATCH(CH101:CL101, {2,3,5,7,11,13,17,19,23,29,31,37,41,43}, 0)))), 0)</f>
        <v>2</v>
      </c>
      <c r="DA101" s="3" cm="1">
        <f t="array" ref="DA101">IFERROR(COUNT(_xlfn._xlws.FILTER(CH101:CL101, ISNUMBER(MATCH(CH101:CL101, {1,4,8,10,14,16,20,22,25,26,28,32,34,35,38,40,44}, 0)))), 0)</f>
        <v>2</v>
      </c>
      <c r="DB101" s="3" cm="1">
        <f t="array" ref="DB101">IFERROR(COUNT(_xlfn._xlws.FILTER(CH101:CL101, ISNUMBER(MATCH(CH101:CL101, {6,9,12,15,18,21,24,27,30,33,36,39,42,45}, 0)))), 0)</f>
        <v>1</v>
      </c>
      <c r="DC101" s="29"/>
      <c r="DD101" s="28" t="e">
        <f>#REF!</f>
        <v>#REF!</v>
      </c>
      <c r="DE101" s="28" t="e">
        <f>#REF!*2</f>
        <v>#REF!</v>
      </c>
      <c r="DF101" s="28" t="e">
        <f>#REF!</f>
        <v>#REF!</v>
      </c>
      <c r="DG101" s="28" t="e">
        <f>#REF!*2</f>
        <v>#REF!</v>
      </c>
      <c r="DH101" s="28" t="e">
        <f>#REF!</f>
        <v>#REF!</v>
      </c>
      <c r="DI101" s="28" t="e">
        <f>#REF!*2</f>
        <v>#REF!</v>
      </c>
      <c r="DJ101" s="28" t="e">
        <f>#REF!</f>
        <v>#REF!</v>
      </c>
      <c r="DK101" s="28" t="e">
        <f>#REF!*2</f>
        <v>#REF!</v>
      </c>
      <c r="DL101" s="28" t="e">
        <f>#REF!</f>
        <v>#REF!</v>
      </c>
      <c r="DM101" s="28" t="e">
        <f>#REF!*2</f>
        <v>#REF!</v>
      </c>
      <c r="DN101" s="27"/>
      <c r="DO101" s="26" t="str" cm="1">
        <f t="array" ref="DO101">_xlfn.IFS(
   OR(CH101="",ISBLANK(CH101),CH101=0),0,
   ISNUMBER(MATCH(CH101,{2,3,5,7,11,13,17,19,23,29,31,37,41,43},0)),"소",
   AND(ISNUMBER(CH101),MOD(CH101,3)=0),"배",
   AND(ISNUMBER(CH101),CH101&gt;0),"자"
)</f>
        <v>배</v>
      </c>
      <c r="DP101" s="26" t="str" cm="1">
        <f t="array" ref="DP101">_xlfn.IFS(
   OR(CI101="",ISBLANK(CI101),CI101=0),0,
   ISNUMBER(MATCH(CI101,{2,3,5,7,11,13,17,19,23,29,31,37,41,43},0)),"소",
   AND(ISNUMBER(CI101),MOD(CI101,3)=0),"배",
   AND(ISNUMBER(CI101),CI101&gt;0),"자"
)</f>
        <v>자</v>
      </c>
      <c r="DQ101" s="26" t="str" cm="1">
        <f t="array" ref="DQ101">_xlfn.IFS(
   OR(CJ101="",ISBLANK(CJ101),CJ101=0),0,
   ISNUMBER(MATCH(CJ101,{2,3,5,7,11,13,17,19,23,29,31,37,41,43},0)),"소",
   AND(ISNUMBER(CJ101),MOD(CJ101,3)=0),"배",
   AND(ISNUMBER(CJ101),CJ101&gt;0),"자"
)</f>
        <v>자</v>
      </c>
      <c r="DR101" s="26" t="str" cm="1">
        <f t="array" ref="DR101">_xlfn.IFS(
   OR(CK101="",ISBLANK(CK101),CK101=0),0,
   ISNUMBER(MATCH(CK101,{2,3,5,7,11,13,17,19,23,29,31,37,41,43},0)),"소",
   AND(ISNUMBER(CK101),MOD(CK101,3)=0),"배",
   AND(ISNUMBER(CK101),CK101&gt;0),"자"
)</f>
        <v>소</v>
      </c>
      <c r="DS101" s="26" t="str" cm="1">
        <f t="array" ref="DS101">_xlfn.IFS(
   OR(CL101="",ISBLANK(CL101),CL101=0),0,
   ISNUMBER(MATCH(CL101,{2,3,5,7,11,13,17,19,23,29,31,37,41,43},0)),"소",
   AND(ISNUMBER(CL101),MOD(CL101,3)=0),"배",
   AND(ISNUMBER(CL101),CL101&gt;0),"자"
)</f>
        <v>소</v>
      </c>
      <c r="DT101" s="25"/>
    </row>
    <row r="102" spans="2:124" x14ac:dyDescent="0.3">
      <c r="B102" s="3">
        <v>4</v>
      </c>
      <c r="C102" s="3">
        <v>15</v>
      </c>
      <c r="D102" s="3">
        <v>17</v>
      </c>
      <c r="E102" s="3">
        <v>23</v>
      </c>
      <c r="F102" s="3">
        <v>27</v>
      </c>
      <c r="G102" s="3">
        <v>36</v>
      </c>
      <c r="H102" s="32"/>
      <c r="I102" s="3">
        <f>IF(OR(B102="",ISBLANK(B102),B102=0),0,IF(MOD(B102,2)=1,1,2))</f>
        <v>2</v>
      </c>
      <c r="J102" s="3">
        <f>IF(OR(C102="",ISBLANK(C102),C102=0),0,IF(MOD(C102,2)=1,1,2))</f>
        <v>1</v>
      </c>
      <c r="K102" s="3">
        <f>IF(OR(D102="",ISBLANK(D102),D102=0),0,IF(MOD(D102,2)=1,1,2))</f>
        <v>1</v>
      </c>
      <c r="L102" s="3">
        <f>IF(OR(E102="",ISBLANK(E102),E102=0),0,IF(MOD(E102,2)=1,1,2))</f>
        <v>1</v>
      </c>
      <c r="M102" s="3">
        <f>IF(OR(F102="",ISBLANK(F102),F102=0),0,IF(MOD(F102,2)=1,1,2))</f>
        <v>1</v>
      </c>
      <c r="N102" s="3">
        <f>IF(OR(G102="",ISBLANK(G102),G102=0),0,IF(MOD(G102,2)=1,1,2))</f>
        <v>2</v>
      </c>
      <c r="O102" s="32"/>
      <c r="P102" s="3" cm="1">
        <f t="array" ref="P102">SUMPRODUCT(--(MOD(B102:G102,2)=1))</f>
        <v>4</v>
      </c>
      <c r="Q102" s="3">
        <f>6-P102</f>
        <v>2</v>
      </c>
      <c r="R102" s="34"/>
      <c r="S102" s="3">
        <f>COUNTIFS(B102:G102,"&gt;=1",B102:G102,"&lt;=23")</f>
        <v>4</v>
      </c>
      <c r="T102" s="3">
        <f>6-S102</f>
        <v>2</v>
      </c>
      <c r="U102" s="34"/>
      <c r="V102" s="3" cm="1">
        <f t="array" ref="V102">SUMPRODUCT(--(MOD(B102:G102,10)&gt;=1), --(MOD(B102:G102,10)&lt;=5))</f>
        <v>3</v>
      </c>
      <c r="W102" s="3">
        <f>6-V102</f>
        <v>3</v>
      </c>
      <c r="X102" s="34"/>
      <c r="Y102" s="3" cm="1">
        <f t="array" ref="Y102">IFERROR(COUNT(_xlfn._xlws.FILTER(B102:G102, ISNUMBER(MATCH(B102:G102, {2,3,5,7,11,13,17,19,23,29,31,37,41,43}, 0)))), 0)</f>
        <v>2</v>
      </c>
      <c r="Z102" s="3" cm="1">
        <f t="array" ref="Z102">IFERROR(COUNT(_xlfn._xlws.FILTER(B102:G102, ISNUMBER(MATCH(B102:G102, {1,4,8,10,14,16,20,22,25,26,28,32,34,35,38,40,44}, 0)))), 0)</f>
        <v>1</v>
      </c>
      <c r="AA102" s="3" cm="1">
        <f t="array" ref="AA102">IFERROR(COUNT(_xlfn._xlws.FILTER(B102:G102, ISNUMBER(MATCH(B102:G102, {6,9,12,15,18,21,24,27,30,33,36,39,42,45}, 0)))), 0)</f>
        <v>3</v>
      </c>
      <c r="AB102" s="30"/>
      <c r="AC102" s="26" t="str" cm="1">
        <f t="array" ref="AC102">_xlfn.IFS(
   OR(B102="",ISBLANK(B102),B102=0),0,
   ISNUMBER(MATCH(B102,{2,3,5,7,11,13,17,19,23,29,31,37,41,43},0)),"소",
   AND(ISNUMBER(B102),MOD(B102,3)=0),"배",
   AND(ISNUMBER(B102),B102&gt;0),"자"
)</f>
        <v>자</v>
      </c>
      <c r="AD102" s="26" t="str" cm="1">
        <f t="array" ref="AD102">_xlfn.IFS(
   OR(C102="",ISBLANK(C102),C102=0),0,
   ISNUMBER(MATCH(C102,{2,3,5,7,11,13,17,19,23,29,31,37,41,43},0)),"소",
   AND(ISNUMBER(C102),MOD(C102,3)=0),"배",
   AND(ISNUMBER(C102),C102&gt;0),"자"
)</f>
        <v>배</v>
      </c>
      <c r="AE102" s="26" t="str" cm="1">
        <f t="array" ref="AE102">_xlfn.IFS(
   OR(D102="",ISBLANK(D102),D102=0),0,
   ISNUMBER(MATCH(D102,{2,3,5,7,11,13,17,19,23,29,31,37,41,43},0)),"소",
   AND(ISNUMBER(D102),MOD(D102,3)=0),"배",
   AND(ISNUMBER(D102),D102&gt;0),"자"
)</f>
        <v>소</v>
      </c>
      <c r="AF102" s="26" t="str" cm="1">
        <f t="array" ref="AF102">_xlfn.IFS(
   OR(E102="",ISBLANK(E102),E102=0),0,
   ISNUMBER(MATCH(E102,{2,3,5,7,11,13,17,19,23,29,31,37,41,43},0)),"소",
   AND(ISNUMBER(E102),MOD(E102,3)=0),"배",
   AND(ISNUMBER(E102),E102&gt;0),"자"
)</f>
        <v>소</v>
      </c>
      <c r="AG102" s="26" t="str" cm="1">
        <f t="array" ref="AG102">_xlfn.IFS(
   OR(F102="",ISBLANK(F102),F102=0),0,
   ISNUMBER(MATCH(F102,{2,3,5,7,11,13,17,19,23,29,31,37,41,43},0)),"소",
   AND(ISNUMBER(F102),MOD(F102,3)=0),"배",
   AND(ISNUMBER(F102),F102&gt;0),"자"
)</f>
        <v>배</v>
      </c>
      <c r="AH102" s="26" t="str" cm="1">
        <f t="array" ref="AH102">_xlfn.IFS(
   OR(G102="",ISBLANK(G102),G102=0),0,
   ISNUMBER(MATCH(G102,{2,3,5,7,11,13,17,19,23,29,31,37,41,43},0)),"소",
   AND(ISNUMBER(G102),MOD(G102,3)=0),"배",
   AND(ISNUMBER(G102),G102&gt;0),"자"
)</f>
        <v>배</v>
      </c>
      <c r="AI102" s="30"/>
      <c r="AJ102" s="3">
        <f>COUNTIFS(B102:G102,"&gt;=1",B102:G102,"&lt;=14")</f>
        <v>1</v>
      </c>
      <c r="AK102" s="3">
        <f>COUNTIFS(B102:G102,"&gt;=15",B102:G102,"&lt;=31")</f>
        <v>4</v>
      </c>
      <c r="AL102" s="3">
        <f>6-AK102-AJ102</f>
        <v>1</v>
      </c>
      <c r="AM102" s="33"/>
      <c r="AN102" s="3">
        <f>COUNTIFS($B102:$G102, "&gt;=1",$B102:$G102, "&lt;=9")</f>
        <v>1</v>
      </c>
      <c r="AO102" s="3">
        <f>COUNTIFS($B102:$G102, "&gt;=10",$B102:$G102, "&lt;=18")</f>
        <v>2</v>
      </c>
      <c r="AP102" s="3">
        <f>COUNTIFS($B102:$G102, "&gt;=19",$B102:$G102, "&lt;=27")</f>
        <v>2</v>
      </c>
      <c r="AQ102" s="3">
        <f>COUNTIFS($B102:$G102, "&gt;=28",$B102:$G102, "&lt;=36")</f>
        <v>1</v>
      </c>
      <c r="AR102" s="3">
        <f>COUNTIFS($B102:$G102, "&gt;=37",$B102:$G102, "&lt;=45")</f>
        <v>0</v>
      </c>
      <c r="AS102" s="28" t="e">
        <f>#REF!</f>
        <v>#REF!</v>
      </c>
      <c r="AT102" s="28" t="e">
        <f>#REF!*2</f>
        <v>#REF!</v>
      </c>
      <c r="AU102" s="28" t="e">
        <f>#REF!</f>
        <v>#REF!</v>
      </c>
      <c r="AV102" s="28" t="e">
        <f>#REF!*2</f>
        <v>#REF!</v>
      </c>
      <c r="AW102" s="28" t="e">
        <f>#REF!</f>
        <v>#REF!</v>
      </c>
      <c r="AX102" s="28" t="e">
        <f>#REF!*2</f>
        <v>#REF!</v>
      </c>
      <c r="AY102" s="28" t="e">
        <f>#REF!</f>
        <v>#REF!</v>
      </c>
      <c r="AZ102" s="28" t="e">
        <f>#REF!*2</f>
        <v>#REF!</v>
      </c>
      <c r="BA102" s="28" t="e">
        <f>#REF!</f>
        <v>#REF!</v>
      </c>
      <c r="BB102" s="28" t="e">
        <f>#REF!*2</f>
        <v>#REF!</v>
      </c>
      <c r="BC102" s="28" t="e">
        <f>#REF!</f>
        <v>#REF!</v>
      </c>
      <c r="BD102" s="28" t="e">
        <f>#REF!*2</f>
        <v>#REF!</v>
      </c>
      <c r="BE102" s="9" t="e">
        <f>#REF!-#REF!</f>
        <v>#REF!</v>
      </c>
      <c r="BF102" s="9" t="e">
        <f>#REF!-#REF!</f>
        <v>#REF!</v>
      </c>
      <c r="BG102" s="9" t="e">
        <f>#REF!-#REF!</f>
        <v>#REF!</v>
      </c>
      <c r="BH102" s="9" t="e">
        <f>#REF!-#REF!</f>
        <v>#REF!</v>
      </c>
      <c r="BI102" s="9" t="e">
        <f>#REF!-#REF!</f>
        <v>#REF!</v>
      </c>
      <c r="BJ102" s="33"/>
      <c r="BK102" s="3">
        <f>COUNTIFS(B102:G102, "&gt;=1", B102:G102, "&lt;=9")</f>
        <v>1</v>
      </c>
      <c r="BL102" s="3">
        <f>COUNTIFS(B102:G102, "&gt;=10", B102:G102, "&lt;=19")</f>
        <v>2</v>
      </c>
      <c r="BM102" s="3">
        <f>COUNTIFS(B102:G102, "&gt;=20", B102:G102, "&lt;=29")</f>
        <v>2</v>
      </c>
      <c r="BN102" s="3">
        <f>COUNTIFS(B102:G102, "&gt;=30", B102:G102, "&lt;=39")</f>
        <v>1</v>
      </c>
      <c r="BO102" s="3">
        <f>COUNTIFS(B102:G102, "&gt;=40", B102:G102, "&lt;=45")</f>
        <v>0</v>
      </c>
      <c r="BP102" s="28" t="e">
        <f>#REF!</f>
        <v>#REF!</v>
      </c>
      <c r="BQ102" s="28" t="e">
        <f>#REF!*2</f>
        <v>#REF!</v>
      </c>
      <c r="BR102" s="28" t="e">
        <f>#REF!</f>
        <v>#REF!</v>
      </c>
      <c r="BS102" s="28" t="e">
        <f>#REF!*2</f>
        <v>#REF!</v>
      </c>
      <c r="BT102" s="28" t="e">
        <f>#REF!</f>
        <v>#REF!</v>
      </c>
      <c r="BU102" s="28" t="e">
        <f>#REF!*2</f>
        <v>#REF!</v>
      </c>
      <c r="BV102" s="28" t="e">
        <f>#REF!</f>
        <v>#REF!</v>
      </c>
      <c r="BW102" s="28" t="e">
        <f>#REF!*2</f>
        <v>#REF!</v>
      </c>
      <c r="BX102" s="28" t="e">
        <f>#REF!</f>
        <v>#REF!</v>
      </c>
      <c r="BY102" s="28" t="e">
        <f>#REF!*2</f>
        <v>#REF!</v>
      </c>
      <c r="BZ102" s="28" t="e">
        <f>#REF!</f>
        <v>#REF!</v>
      </c>
      <c r="CA102" s="28" t="e">
        <f>#REF!*2</f>
        <v>#REF!</v>
      </c>
      <c r="CB102" s="9">
        <f>C102-B102</f>
        <v>11</v>
      </c>
      <c r="CC102" s="9">
        <f>D102-C102</f>
        <v>2</v>
      </c>
      <c r="CD102" s="9">
        <f>E102-D102</f>
        <v>6</v>
      </c>
      <c r="CE102" s="9">
        <f>F102-E102</f>
        <v>4</v>
      </c>
      <c r="CF102" s="9">
        <f>G102-F102</f>
        <v>9</v>
      </c>
      <c r="CG102" s="33"/>
      <c r="CH102" s="9">
        <f>C102-B102</f>
        <v>11</v>
      </c>
      <c r="CI102" s="9">
        <f>D102-C102</f>
        <v>2</v>
      </c>
      <c r="CJ102" s="9">
        <f>E102-D102</f>
        <v>6</v>
      </c>
      <c r="CK102" s="9">
        <f>F102-E102</f>
        <v>4</v>
      </c>
      <c r="CL102" s="9">
        <f>G102-F102</f>
        <v>9</v>
      </c>
      <c r="CM102" s="32"/>
      <c r="CN102" s="3">
        <f>IF(OR(CH102="",ISBLANK(CH102),CH102=0),0,IF(MOD(CH102,2)=1,1,2))</f>
        <v>1</v>
      </c>
      <c r="CO102" s="3">
        <f>IF(OR(CI102="",ISBLANK(CI102),CI102=0),0,IF(MOD(CI102,2)=1,1,2))</f>
        <v>2</v>
      </c>
      <c r="CP102" s="3">
        <f>IF(OR(CJ102="",ISBLANK(CJ102),CJ102=0),0,IF(MOD(CJ102,2)=1,1,2))</f>
        <v>2</v>
      </c>
      <c r="CQ102" s="3">
        <f>IF(OR(CK102="",ISBLANK(CK102),CK102=0),0,IF(MOD(CK102,2)=1,1,2))</f>
        <v>2</v>
      </c>
      <c r="CR102" s="3">
        <f>IF(OR(CL102="",ISBLANK(CL102),CL102=0),0,IF(MOD(CL102,2)=1,1,2))</f>
        <v>1</v>
      </c>
      <c r="CS102" s="31"/>
      <c r="CT102" s="3" cm="1">
        <f t="array" ref="CT102">SUMPRODUCT(--(MOD(CH102:CL102,2)=1))</f>
        <v>2</v>
      </c>
      <c r="CU102" s="3">
        <f>5-CT102</f>
        <v>3</v>
      </c>
      <c r="CV102" s="30"/>
      <c r="CW102" s="3" cm="1">
        <f t="array" ref="CW102">SUMPRODUCT(--(MOD(CH102:CL102,10)&gt;=1), --(MOD(CH102:CL102,10)&lt;=5))</f>
        <v>3</v>
      </c>
      <c r="CX102" s="3">
        <f>5-CW102</f>
        <v>2</v>
      </c>
      <c r="CY102" s="30"/>
      <c r="CZ102" s="3" cm="1">
        <f t="array" ref="CZ102">IFERROR(COUNT(_xlfn._xlws.FILTER(CH102:CL102, ISNUMBER(MATCH(CH102:CL102, {2,3,5,7,11,13,17,19,23,29,31,37,41,43}, 0)))), 0)</f>
        <v>2</v>
      </c>
      <c r="DA102" s="3" cm="1">
        <f t="array" ref="DA102">IFERROR(COUNT(_xlfn._xlws.FILTER(CH102:CL102, ISNUMBER(MATCH(CH102:CL102, {1,4,8,10,14,16,20,22,25,26,28,32,34,35,38,40,44}, 0)))), 0)</f>
        <v>1</v>
      </c>
      <c r="DB102" s="3" cm="1">
        <f t="array" ref="DB102">IFERROR(COUNT(_xlfn._xlws.FILTER(CH102:CL102, ISNUMBER(MATCH(CH102:CL102, {6,9,12,15,18,21,24,27,30,33,36,39,42,45}, 0)))), 0)</f>
        <v>2</v>
      </c>
      <c r="DC102" s="29"/>
      <c r="DD102" s="28" t="e">
        <f>#REF!</f>
        <v>#REF!</v>
      </c>
      <c r="DE102" s="28" t="e">
        <f>#REF!*2</f>
        <v>#REF!</v>
      </c>
      <c r="DF102" s="28" t="e">
        <f>#REF!</f>
        <v>#REF!</v>
      </c>
      <c r="DG102" s="28" t="e">
        <f>#REF!*2</f>
        <v>#REF!</v>
      </c>
      <c r="DH102" s="28" t="e">
        <f>#REF!</f>
        <v>#REF!</v>
      </c>
      <c r="DI102" s="28" t="e">
        <f>#REF!*2</f>
        <v>#REF!</v>
      </c>
      <c r="DJ102" s="28" t="e">
        <f>#REF!</f>
        <v>#REF!</v>
      </c>
      <c r="DK102" s="28" t="e">
        <f>#REF!*2</f>
        <v>#REF!</v>
      </c>
      <c r="DL102" s="28" t="e">
        <f>#REF!</f>
        <v>#REF!</v>
      </c>
      <c r="DM102" s="28" t="e">
        <f>#REF!*2</f>
        <v>#REF!</v>
      </c>
      <c r="DN102" s="27"/>
      <c r="DO102" s="26" t="str" cm="1">
        <f t="array" ref="DO102">_xlfn.IFS(
   OR(CH102="",ISBLANK(CH102),CH102=0),0,
   ISNUMBER(MATCH(CH102,{2,3,5,7,11,13,17,19,23,29,31,37,41,43},0)),"소",
   AND(ISNUMBER(CH102),MOD(CH102,3)=0),"배",
   AND(ISNUMBER(CH102),CH102&gt;0),"자"
)</f>
        <v>소</v>
      </c>
      <c r="DP102" s="26" t="str" cm="1">
        <f t="array" ref="DP102">_xlfn.IFS(
   OR(CI102="",ISBLANK(CI102),CI102=0),0,
   ISNUMBER(MATCH(CI102,{2,3,5,7,11,13,17,19,23,29,31,37,41,43},0)),"소",
   AND(ISNUMBER(CI102),MOD(CI102,3)=0),"배",
   AND(ISNUMBER(CI102),CI102&gt;0),"자"
)</f>
        <v>소</v>
      </c>
      <c r="DQ102" s="26" t="str" cm="1">
        <f t="array" ref="DQ102">_xlfn.IFS(
   OR(CJ102="",ISBLANK(CJ102),CJ102=0),0,
   ISNUMBER(MATCH(CJ102,{2,3,5,7,11,13,17,19,23,29,31,37,41,43},0)),"소",
   AND(ISNUMBER(CJ102),MOD(CJ102,3)=0),"배",
   AND(ISNUMBER(CJ102),CJ102&gt;0),"자"
)</f>
        <v>배</v>
      </c>
      <c r="DR102" s="26" t="str" cm="1">
        <f t="array" ref="DR102">_xlfn.IFS(
   OR(CK102="",ISBLANK(CK102),CK102=0),0,
   ISNUMBER(MATCH(CK102,{2,3,5,7,11,13,17,19,23,29,31,37,41,43},0)),"소",
   AND(ISNUMBER(CK102),MOD(CK102,3)=0),"배",
   AND(ISNUMBER(CK102),CK102&gt;0),"자"
)</f>
        <v>자</v>
      </c>
      <c r="DS102" s="26" t="str" cm="1">
        <f t="array" ref="DS102">_xlfn.IFS(
   OR(CL102="",ISBLANK(CL102),CL102=0),0,
   ISNUMBER(MATCH(CL102,{2,3,5,7,11,13,17,19,23,29,31,37,41,43},0)),"소",
   AND(ISNUMBER(CL102),MOD(CL102,3)=0),"배",
   AND(ISNUMBER(CL102),CL102&gt;0),"자"
)</f>
        <v>배</v>
      </c>
      <c r="DT102" s="25"/>
    </row>
    <row r="103" spans="2:124" x14ac:dyDescent="0.3">
      <c r="B103" s="3">
        <v>14</v>
      </c>
      <c r="C103" s="3">
        <v>16</v>
      </c>
      <c r="D103" s="3">
        <v>23</v>
      </c>
      <c r="E103" s="3">
        <v>25</v>
      </c>
      <c r="F103" s="3">
        <v>31</v>
      </c>
      <c r="G103" s="3">
        <v>37</v>
      </c>
      <c r="H103" s="32"/>
      <c r="I103" s="3">
        <f>IF(OR(B103="",ISBLANK(B103),B103=0),0,IF(MOD(B103,2)=1,1,2))</f>
        <v>2</v>
      </c>
      <c r="J103" s="3">
        <f>IF(OR(C103="",ISBLANK(C103),C103=0),0,IF(MOD(C103,2)=1,1,2))</f>
        <v>2</v>
      </c>
      <c r="K103" s="3">
        <f>IF(OR(D103="",ISBLANK(D103),D103=0),0,IF(MOD(D103,2)=1,1,2))</f>
        <v>1</v>
      </c>
      <c r="L103" s="3">
        <f>IF(OR(E103="",ISBLANK(E103),E103=0),0,IF(MOD(E103,2)=1,1,2))</f>
        <v>1</v>
      </c>
      <c r="M103" s="3">
        <f>IF(OR(F103="",ISBLANK(F103),F103=0),0,IF(MOD(F103,2)=1,1,2))</f>
        <v>1</v>
      </c>
      <c r="N103" s="3">
        <f>IF(OR(G103="",ISBLANK(G103),G103=0),0,IF(MOD(G103,2)=1,1,2))</f>
        <v>1</v>
      </c>
      <c r="O103" s="32"/>
      <c r="P103" s="3" cm="1">
        <f t="array" ref="P103">SUMPRODUCT(--(MOD(B103:G103,2)=1))</f>
        <v>4</v>
      </c>
      <c r="Q103" s="3">
        <f>6-P103</f>
        <v>2</v>
      </c>
      <c r="R103" s="34"/>
      <c r="S103" s="3">
        <f>COUNTIFS(B103:G103,"&gt;=1",B103:G103,"&lt;=23")</f>
        <v>3</v>
      </c>
      <c r="T103" s="3">
        <f>6-S103</f>
        <v>3</v>
      </c>
      <c r="U103" s="34"/>
      <c r="V103" s="3" cm="1">
        <f t="array" ref="V103">SUMPRODUCT(--(MOD(B103:G103,10)&gt;=1), --(MOD(B103:G103,10)&lt;=5))</f>
        <v>4</v>
      </c>
      <c r="W103" s="3">
        <f>6-V103</f>
        <v>2</v>
      </c>
      <c r="X103" s="34"/>
      <c r="Y103" s="3" cm="1">
        <f t="array" ref="Y103">IFERROR(COUNT(_xlfn._xlws.FILTER(B103:G103, ISNUMBER(MATCH(B103:G103, {2,3,5,7,11,13,17,19,23,29,31,37,41,43}, 0)))), 0)</f>
        <v>3</v>
      </c>
      <c r="Z103" s="3" cm="1">
        <f t="array" ref="Z103">IFERROR(COUNT(_xlfn._xlws.FILTER(B103:G103, ISNUMBER(MATCH(B103:G103, {1,4,8,10,14,16,20,22,25,26,28,32,34,35,38,40,44}, 0)))), 0)</f>
        <v>3</v>
      </c>
      <c r="AA103" s="3" cm="1">
        <f t="array" ref="AA103">IFERROR(COUNT(_xlfn._xlws.FILTER(B103:G103, ISNUMBER(MATCH(B103:G103, {6,9,12,15,18,21,24,27,30,33,36,39,42,45}, 0)))), 0)</f>
        <v>0</v>
      </c>
      <c r="AB103" s="30"/>
      <c r="AC103" s="26" t="str" cm="1">
        <f t="array" ref="AC103">_xlfn.IFS(
   OR(B103="",ISBLANK(B103),B103=0),0,
   ISNUMBER(MATCH(B103,{2,3,5,7,11,13,17,19,23,29,31,37,41,43},0)),"소",
   AND(ISNUMBER(B103),MOD(B103,3)=0),"배",
   AND(ISNUMBER(B103),B103&gt;0),"자"
)</f>
        <v>자</v>
      </c>
      <c r="AD103" s="26" t="str" cm="1">
        <f t="array" ref="AD103">_xlfn.IFS(
   OR(C103="",ISBLANK(C103),C103=0),0,
   ISNUMBER(MATCH(C103,{2,3,5,7,11,13,17,19,23,29,31,37,41,43},0)),"소",
   AND(ISNUMBER(C103),MOD(C103,3)=0),"배",
   AND(ISNUMBER(C103),C103&gt;0),"자"
)</f>
        <v>자</v>
      </c>
      <c r="AE103" s="26" t="str" cm="1">
        <f t="array" ref="AE103">_xlfn.IFS(
   OR(D103="",ISBLANK(D103),D103=0),0,
   ISNUMBER(MATCH(D103,{2,3,5,7,11,13,17,19,23,29,31,37,41,43},0)),"소",
   AND(ISNUMBER(D103),MOD(D103,3)=0),"배",
   AND(ISNUMBER(D103),D103&gt;0),"자"
)</f>
        <v>소</v>
      </c>
      <c r="AF103" s="26" t="str" cm="1">
        <f t="array" ref="AF103">_xlfn.IFS(
   OR(E103="",ISBLANK(E103),E103=0),0,
   ISNUMBER(MATCH(E103,{2,3,5,7,11,13,17,19,23,29,31,37,41,43},0)),"소",
   AND(ISNUMBER(E103),MOD(E103,3)=0),"배",
   AND(ISNUMBER(E103),E103&gt;0),"자"
)</f>
        <v>자</v>
      </c>
      <c r="AG103" s="26" t="str" cm="1">
        <f t="array" ref="AG103">_xlfn.IFS(
   OR(F103="",ISBLANK(F103),F103=0),0,
   ISNUMBER(MATCH(F103,{2,3,5,7,11,13,17,19,23,29,31,37,41,43},0)),"소",
   AND(ISNUMBER(F103),MOD(F103,3)=0),"배",
   AND(ISNUMBER(F103),F103&gt;0),"자"
)</f>
        <v>소</v>
      </c>
      <c r="AH103" s="26" t="str" cm="1">
        <f t="array" ref="AH103">_xlfn.IFS(
   OR(G103="",ISBLANK(G103),G103=0),0,
   ISNUMBER(MATCH(G103,{2,3,5,7,11,13,17,19,23,29,31,37,41,43},0)),"소",
   AND(ISNUMBER(G103),MOD(G103,3)=0),"배",
   AND(ISNUMBER(G103),G103&gt;0),"자"
)</f>
        <v>소</v>
      </c>
      <c r="AI103" s="30"/>
      <c r="AJ103" s="3">
        <f>COUNTIFS(B103:G103,"&gt;=1",B103:G103,"&lt;=14")</f>
        <v>1</v>
      </c>
      <c r="AK103" s="3">
        <f>COUNTIFS(B103:G103,"&gt;=15",B103:G103,"&lt;=31")</f>
        <v>4</v>
      </c>
      <c r="AL103" s="3">
        <f>6-AK103-AJ103</f>
        <v>1</v>
      </c>
      <c r="AM103" s="33"/>
      <c r="AN103" s="3">
        <f>COUNTIFS($B103:$G103, "&gt;=1",$B103:$G103, "&lt;=9")</f>
        <v>0</v>
      </c>
      <c r="AO103" s="3">
        <f>COUNTIFS($B103:$G103, "&gt;=10",$B103:$G103, "&lt;=18")</f>
        <v>2</v>
      </c>
      <c r="AP103" s="3">
        <f>COUNTIFS($B103:$G103, "&gt;=19",$B103:$G103, "&lt;=27")</f>
        <v>2</v>
      </c>
      <c r="AQ103" s="3">
        <f>COUNTIFS($B103:$G103, "&gt;=28",$B103:$G103, "&lt;=36")</f>
        <v>1</v>
      </c>
      <c r="AR103" s="3">
        <f>COUNTIFS($B103:$G103, "&gt;=37",$B103:$G103, "&lt;=45")</f>
        <v>1</v>
      </c>
      <c r="AS103" s="28" t="e">
        <f>#REF!</f>
        <v>#REF!</v>
      </c>
      <c r="AT103" s="28" t="e">
        <f>#REF!*2</f>
        <v>#REF!</v>
      </c>
      <c r="AU103" s="28" t="e">
        <f>#REF!</f>
        <v>#REF!</v>
      </c>
      <c r="AV103" s="28" t="e">
        <f>#REF!*2</f>
        <v>#REF!</v>
      </c>
      <c r="AW103" s="28" t="e">
        <f>#REF!</f>
        <v>#REF!</v>
      </c>
      <c r="AX103" s="28" t="e">
        <f>#REF!*2</f>
        <v>#REF!</v>
      </c>
      <c r="AY103" s="28" t="e">
        <f>#REF!</f>
        <v>#REF!</v>
      </c>
      <c r="AZ103" s="28" t="e">
        <f>#REF!*2</f>
        <v>#REF!</v>
      </c>
      <c r="BA103" s="28" t="e">
        <f>#REF!</f>
        <v>#REF!</v>
      </c>
      <c r="BB103" s="28" t="e">
        <f>#REF!*2</f>
        <v>#REF!</v>
      </c>
      <c r="BC103" s="28" t="e">
        <f>#REF!</f>
        <v>#REF!</v>
      </c>
      <c r="BD103" s="28" t="e">
        <f>#REF!*2</f>
        <v>#REF!</v>
      </c>
      <c r="BE103" s="9" t="e">
        <f>#REF!-#REF!</f>
        <v>#REF!</v>
      </c>
      <c r="BF103" s="9" t="e">
        <f>#REF!-#REF!</f>
        <v>#REF!</v>
      </c>
      <c r="BG103" s="9" t="e">
        <f>#REF!-#REF!</f>
        <v>#REF!</v>
      </c>
      <c r="BH103" s="9" t="e">
        <f>#REF!-#REF!</f>
        <v>#REF!</v>
      </c>
      <c r="BI103" s="9" t="e">
        <f>#REF!-#REF!</f>
        <v>#REF!</v>
      </c>
      <c r="BJ103" s="33"/>
      <c r="BK103" s="3">
        <f>COUNTIFS(B103:G103, "&gt;=1", B103:G103, "&lt;=9")</f>
        <v>0</v>
      </c>
      <c r="BL103" s="3">
        <f>COUNTIFS(B103:G103, "&gt;=10", B103:G103, "&lt;=19")</f>
        <v>2</v>
      </c>
      <c r="BM103" s="3">
        <f>COUNTIFS(B103:G103, "&gt;=20", B103:G103, "&lt;=29")</f>
        <v>2</v>
      </c>
      <c r="BN103" s="3">
        <f>COUNTIFS(B103:G103, "&gt;=30", B103:G103, "&lt;=39")</f>
        <v>2</v>
      </c>
      <c r="BO103" s="3">
        <f>COUNTIFS(B103:G103, "&gt;=40", B103:G103, "&lt;=45")</f>
        <v>0</v>
      </c>
      <c r="BP103" s="28" t="e">
        <f>#REF!</f>
        <v>#REF!</v>
      </c>
      <c r="BQ103" s="28" t="e">
        <f>#REF!*2</f>
        <v>#REF!</v>
      </c>
      <c r="BR103" s="28" t="e">
        <f>#REF!</f>
        <v>#REF!</v>
      </c>
      <c r="BS103" s="28" t="e">
        <f>#REF!*2</f>
        <v>#REF!</v>
      </c>
      <c r="BT103" s="28" t="e">
        <f>#REF!</f>
        <v>#REF!</v>
      </c>
      <c r="BU103" s="28" t="e">
        <f>#REF!*2</f>
        <v>#REF!</v>
      </c>
      <c r="BV103" s="28" t="e">
        <f>#REF!</f>
        <v>#REF!</v>
      </c>
      <c r="BW103" s="28" t="e">
        <f>#REF!*2</f>
        <v>#REF!</v>
      </c>
      <c r="BX103" s="28" t="e">
        <f>#REF!</f>
        <v>#REF!</v>
      </c>
      <c r="BY103" s="28" t="e">
        <f>#REF!*2</f>
        <v>#REF!</v>
      </c>
      <c r="BZ103" s="28" t="e">
        <f>#REF!</f>
        <v>#REF!</v>
      </c>
      <c r="CA103" s="28" t="e">
        <f>#REF!*2</f>
        <v>#REF!</v>
      </c>
      <c r="CB103" s="9">
        <f>C103-B103</f>
        <v>2</v>
      </c>
      <c r="CC103" s="9">
        <f>D103-C103</f>
        <v>7</v>
      </c>
      <c r="CD103" s="9">
        <f>E103-D103</f>
        <v>2</v>
      </c>
      <c r="CE103" s="9">
        <f>F103-E103</f>
        <v>6</v>
      </c>
      <c r="CF103" s="9">
        <f>G103-F103</f>
        <v>6</v>
      </c>
      <c r="CG103" s="33"/>
      <c r="CH103" s="9">
        <f>C103-B103</f>
        <v>2</v>
      </c>
      <c r="CI103" s="9">
        <f>D103-C103</f>
        <v>7</v>
      </c>
      <c r="CJ103" s="9">
        <f>E103-D103</f>
        <v>2</v>
      </c>
      <c r="CK103" s="9">
        <f>F103-E103</f>
        <v>6</v>
      </c>
      <c r="CL103" s="9">
        <f>G103-F103</f>
        <v>6</v>
      </c>
      <c r="CM103" s="32"/>
      <c r="CN103" s="3">
        <f>IF(OR(CH103="",ISBLANK(CH103),CH103=0),0,IF(MOD(CH103,2)=1,1,2))</f>
        <v>2</v>
      </c>
      <c r="CO103" s="3">
        <f>IF(OR(CI103="",ISBLANK(CI103),CI103=0),0,IF(MOD(CI103,2)=1,1,2))</f>
        <v>1</v>
      </c>
      <c r="CP103" s="3">
        <f>IF(OR(CJ103="",ISBLANK(CJ103),CJ103=0),0,IF(MOD(CJ103,2)=1,1,2))</f>
        <v>2</v>
      </c>
      <c r="CQ103" s="3">
        <f>IF(OR(CK103="",ISBLANK(CK103),CK103=0),0,IF(MOD(CK103,2)=1,1,2))</f>
        <v>2</v>
      </c>
      <c r="CR103" s="3">
        <f>IF(OR(CL103="",ISBLANK(CL103),CL103=0),0,IF(MOD(CL103,2)=1,1,2))</f>
        <v>2</v>
      </c>
      <c r="CS103" s="31"/>
      <c r="CT103" s="3" cm="1">
        <f t="array" ref="CT103">SUMPRODUCT(--(MOD(CH103:CL103,2)=1))</f>
        <v>1</v>
      </c>
      <c r="CU103" s="3">
        <f>5-CT103</f>
        <v>4</v>
      </c>
      <c r="CV103" s="30"/>
      <c r="CW103" s="3" cm="1">
        <f t="array" ref="CW103">SUMPRODUCT(--(MOD(CH103:CL103,10)&gt;=1), --(MOD(CH103:CL103,10)&lt;=5))</f>
        <v>2</v>
      </c>
      <c r="CX103" s="3">
        <f>5-CW103</f>
        <v>3</v>
      </c>
      <c r="CY103" s="30"/>
      <c r="CZ103" s="3" cm="1">
        <f t="array" ref="CZ103">IFERROR(COUNT(_xlfn._xlws.FILTER(CH103:CL103, ISNUMBER(MATCH(CH103:CL103, {2,3,5,7,11,13,17,19,23,29,31,37,41,43}, 0)))), 0)</f>
        <v>3</v>
      </c>
      <c r="DA103" s="3" cm="1">
        <f t="array" ref="DA103">IFERROR(COUNT(_xlfn._xlws.FILTER(CH103:CL103, ISNUMBER(MATCH(CH103:CL103, {1,4,8,10,14,16,20,22,25,26,28,32,34,35,38,40,44}, 0)))), 0)</f>
        <v>0</v>
      </c>
      <c r="DB103" s="3" cm="1">
        <f t="array" ref="DB103">IFERROR(COUNT(_xlfn._xlws.FILTER(CH103:CL103, ISNUMBER(MATCH(CH103:CL103, {6,9,12,15,18,21,24,27,30,33,36,39,42,45}, 0)))), 0)</f>
        <v>2</v>
      </c>
      <c r="DC103" s="29"/>
      <c r="DD103" s="28" t="e">
        <f>#REF!</f>
        <v>#REF!</v>
      </c>
      <c r="DE103" s="28" t="e">
        <f>#REF!*2</f>
        <v>#REF!</v>
      </c>
      <c r="DF103" s="28" t="e">
        <f>#REF!</f>
        <v>#REF!</v>
      </c>
      <c r="DG103" s="28" t="e">
        <f>#REF!*2</f>
        <v>#REF!</v>
      </c>
      <c r="DH103" s="28" t="e">
        <f>#REF!</f>
        <v>#REF!</v>
      </c>
      <c r="DI103" s="28" t="e">
        <f>#REF!*2</f>
        <v>#REF!</v>
      </c>
      <c r="DJ103" s="28" t="e">
        <f>#REF!</f>
        <v>#REF!</v>
      </c>
      <c r="DK103" s="28" t="e">
        <f>#REF!*2</f>
        <v>#REF!</v>
      </c>
      <c r="DL103" s="28" t="e">
        <f>#REF!</f>
        <v>#REF!</v>
      </c>
      <c r="DM103" s="28" t="e">
        <f>#REF!*2</f>
        <v>#REF!</v>
      </c>
      <c r="DN103" s="27"/>
      <c r="DO103" s="26" t="str" cm="1">
        <f t="array" ref="DO103">_xlfn.IFS(
   OR(CH103="",ISBLANK(CH103),CH103=0),0,
   ISNUMBER(MATCH(CH103,{2,3,5,7,11,13,17,19,23,29,31,37,41,43},0)),"소",
   AND(ISNUMBER(CH103),MOD(CH103,3)=0),"배",
   AND(ISNUMBER(CH103),CH103&gt;0),"자"
)</f>
        <v>소</v>
      </c>
      <c r="DP103" s="26" t="str" cm="1">
        <f t="array" ref="DP103">_xlfn.IFS(
   OR(CI103="",ISBLANK(CI103),CI103=0),0,
   ISNUMBER(MATCH(CI103,{2,3,5,7,11,13,17,19,23,29,31,37,41,43},0)),"소",
   AND(ISNUMBER(CI103),MOD(CI103,3)=0),"배",
   AND(ISNUMBER(CI103),CI103&gt;0),"자"
)</f>
        <v>소</v>
      </c>
      <c r="DQ103" s="26" t="str" cm="1">
        <f t="array" ref="DQ103">_xlfn.IFS(
   OR(CJ103="",ISBLANK(CJ103),CJ103=0),0,
   ISNUMBER(MATCH(CJ103,{2,3,5,7,11,13,17,19,23,29,31,37,41,43},0)),"소",
   AND(ISNUMBER(CJ103),MOD(CJ103,3)=0),"배",
   AND(ISNUMBER(CJ103),CJ103&gt;0),"자"
)</f>
        <v>소</v>
      </c>
      <c r="DR103" s="26" t="str" cm="1">
        <f t="array" ref="DR103">_xlfn.IFS(
   OR(CK103="",ISBLANK(CK103),CK103=0),0,
   ISNUMBER(MATCH(CK103,{2,3,5,7,11,13,17,19,23,29,31,37,41,43},0)),"소",
   AND(ISNUMBER(CK103),MOD(CK103,3)=0),"배",
   AND(ISNUMBER(CK103),CK103&gt;0),"자"
)</f>
        <v>배</v>
      </c>
      <c r="DS103" s="26" t="str" cm="1">
        <f t="array" ref="DS103">_xlfn.IFS(
   OR(CL103="",ISBLANK(CL103),CL103=0),0,
   ISNUMBER(MATCH(CL103,{2,3,5,7,11,13,17,19,23,29,31,37,41,43},0)),"소",
   AND(ISNUMBER(CL103),MOD(CL103,3)=0),"배",
   AND(ISNUMBER(CL103),CL103&gt;0),"자"
)</f>
        <v>배</v>
      </c>
      <c r="DT103" s="25"/>
    </row>
    <row r="104" spans="2:124" x14ac:dyDescent="0.3">
      <c r="B104" s="3">
        <v>6</v>
      </c>
      <c r="C104" s="3">
        <v>17</v>
      </c>
      <c r="D104" s="3">
        <v>22</v>
      </c>
      <c r="E104" s="3">
        <v>28</v>
      </c>
      <c r="F104" s="3">
        <v>29</v>
      </c>
      <c r="G104" s="3">
        <v>32</v>
      </c>
      <c r="H104" s="32"/>
      <c r="I104" s="3">
        <f>IF(OR(B104="",ISBLANK(B104),B104=0),0,IF(MOD(B104,2)=1,1,2))</f>
        <v>2</v>
      </c>
      <c r="J104" s="3">
        <f>IF(OR(C104="",ISBLANK(C104),C104=0),0,IF(MOD(C104,2)=1,1,2))</f>
        <v>1</v>
      </c>
      <c r="K104" s="3">
        <f>IF(OR(D104="",ISBLANK(D104),D104=0),0,IF(MOD(D104,2)=1,1,2))</f>
        <v>2</v>
      </c>
      <c r="L104" s="3">
        <f>IF(OR(E104="",ISBLANK(E104),E104=0),0,IF(MOD(E104,2)=1,1,2))</f>
        <v>2</v>
      </c>
      <c r="M104" s="3">
        <f>IF(OR(F104="",ISBLANK(F104),F104=0),0,IF(MOD(F104,2)=1,1,2))</f>
        <v>1</v>
      </c>
      <c r="N104" s="3">
        <f>IF(OR(G104="",ISBLANK(G104),G104=0),0,IF(MOD(G104,2)=1,1,2))</f>
        <v>2</v>
      </c>
      <c r="O104" s="32"/>
      <c r="P104" s="3" cm="1">
        <f t="array" ref="P104">SUMPRODUCT(--(MOD(B104:G104,2)=1))</f>
        <v>2</v>
      </c>
      <c r="Q104" s="3">
        <f>6-P104</f>
        <v>4</v>
      </c>
      <c r="R104" s="34"/>
      <c r="S104" s="3">
        <f>COUNTIFS(B104:G104,"&gt;=1",B104:G104,"&lt;=23")</f>
        <v>3</v>
      </c>
      <c r="T104" s="3">
        <f>6-S104</f>
        <v>3</v>
      </c>
      <c r="U104" s="34"/>
      <c r="V104" s="3" cm="1">
        <f t="array" ref="V104">SUMPRODUCT(--(MOD(B104:G104,10)&gt;=1), --(MOD(B104:G104,10)&lt;=5))</f>
        <v>2</v>
      </c>
      <c r="W104" s="3">
        <f>6-V104</f>
        <v>4</v>
      </c>
      <c r="X104" s="34"/>
      <c r="Y104" s="3" cm="1">
        <f t="array" ref="Y104">IFERROR(COUNT(_xlfn._xlws.FILTER(B104:G104, ISNUMBER(MATCH(B104:G104, {2,3,5,7,11,13,17,19,23,29,31,37,41,43}, 0)))), 0)</f>
        <v>2</v>
      </c>
      <c r="Z104" s="3" cm="1">
        <f t="array" ref="Z104">IFERROR(COUNT(_xlfn._xlws.FILTER(B104:G104, ISNUMBER(MATCH(B104:G104, {1,4,8,10,14,16,20,22,25,26,28,32,34,35,38,40,44}, 0)))), 0)</f>
        <v>3</v>
      </c>
      <c r="AA104" s="3" cm="1">
        <f t="array" ref="AA104">IFERROR(COUNT(_xlfn._xlws.FILTER(B104:G104, ISNUMBER(MATCH(B104:G104, {6,9,12,15,18,21,24,27,30,33,36,39,42,45}, 0)))), 0)</f>
        <v>1</v>
      </c>
      <c r="AB104" s="30"/>
      <c r="AC104" s="26" t="str" cm="1">
        <f t="array" ref="AC104">_xlfn.IFS(
   OR(B104="",ISBLANK(B104),B104=0),0,
   ISNUMBER(MATCH(B104,{2,3,5,7,11,13,17,19,23,29,31,37,41,43},0)),"소",
   AND(ISNUMBER(B104),MOD(B104,3)=0),"배",
   AND(ISNUMBER(B104),B104&gt;0),"자"
)</f>
        <v>배</v>
      </c>
      <c r="AD104" s="26" t="str" cm="1">
        <f t="array" ref="AD104">_xlfn.IFS(
   OR(C104="",ISBLANK(C104),C104=0),0,
   ISNUMBER(MATCH(C104,{2,3,5,7,11,13,17,19,23,29,31,37,41,43},0)),"소",
   AND(ISNUMBER(C104),MOD(C104,3)=0),"배",
   AND(ISNUMBER(C104),C104&gt;0),"자"
)</f>
        <v>소</v>
      </c>
      <c r="AE104" s="26" t="str" cm="1">
        <f t="array" ref="AE104">_xlfn.IFS(
   OR(D104="",ISBLANK(D104),D104=0),0,
   ISNUMBER(MATCH(D104,{2,3,5,7,11,13,17,19,23,29,31,37,41,43},0)),"소",
   AND(ISNUMBER(D104),MOD(D104,3)=0),"배",
   AND(ISNUMBER(D104),D104&gt;0),"자"
)</f>
        <v>자</v>
      </c>
      <c r="AF104" s="26" t="str" cm="1">
        <f t="array" ref="AF104">_xlfn.IFS(
   OR(E104="",ISBLANK(E104),E104=0),0,
   ISNUMBER(MATCH(E104,{2,3,5,7,11,13,17,19,23,29,31,37,41,43},0)),"소",
   AND(ISNUMBER(E104),MOD(E104,3)=0),"배",
   AND(ISNUMBER(E104),E104&gt;0),"자"
)</f>
        <v>자</v>
      </c>
      <c r="AG104" s="26" t="str" cm="1">
        <f t="array" ref="AG104">_xlfn.IFS(
   OR(F104="",ISBLANK(F104),F104=0),0,
   ISNUMBER(MATCH(F104,{2,3,5,7,11,13,17,19,23,29,31,37,41,43},0)),"소",
   AND(ISNUMBER(F104),MOD(F104,3)=0),"배",
   AND(ISNUMBER(F104),F104&gt;0),"자"
)</f>
        <v>소</v>
      </c>
      <c r="AH104" s="26" t="str" cm="1">
        <f t="array" ref="AH104">_xlfn.IFS(
   OR(G104="",ISBLANK(G104),G104=0),0,
   ISNUMBER(MATCH(G104,{2,3,5,7,11,13,17,19,23,29,31,37,41,43},0)),"소",
   AND(ISNUMBER(G104),MOD(G104,3)=0),"배",
   AND(ISNUMBER(G104),G104&gt;0),"자"
)</f>
        <v>자</v>
      </c>
      <c r="AI104" s="30"/>
      <c r="AJ104" s="3">
        <f>COUNTIFS(B104:G104,"&gt;=1",B104:G104,"&lt;=14")</f>
        <v>1</v>
      </c>
      <c r="AK104" s="3">
        <f>COUNTIFS(B104:G104,"&gt;=15",B104:G104,"&lt;=31")</f>
        <v>4</v>
      </c>
      <c r="AL104" s="3">
        <f>6-AK104-AJ104</f>
        <v>1</v>
      </c>
      <c r="AM104" s="33"/>
      <c r="AN104" s="3">
        <f>COUNTIFS($B104:$G104, "&gt;=1",$B104:$G104, "&lt;=9")</f>
        <v>1</v>
      </c>
      <c r="AO104" s="3">
        <f>COUNTIFS($B104:$G104, "&gt;=10",$B104:$G104, "&lt;=18")</f>
        <v>1</v>
      </c>
      <c r="AP104" s="3">
        <f>COUNTIFS($B104:$G104, "&gt;=19",$B104:$G104, "&lt;=27")</f>
        <v>1</v>
      </c>
      <c r="AQ104" s="3">
        <f>COUNTIFS($B104:$G104, "&gt;=28",$B104:$G104, "&lt;=36")</f>
        <v>3</v>
      </c>
      <c r="AR104" s="3">
        <f>COUNTIFS($B104:$G104, "&gt;=37",$B104:$G104, "&lt;=45")</f>
        <v>0</v>
      </c>
      <c r="AS104" s="28" t="e">
        <f>#REF!</f>
        <v>#REF!</v>
      </c>
      <c r="AT104" s="28" t="e">
        <f>#REF!*2</f>
        <v>#REF!</v>
      </c>
      <c r="AU104" s="28" t="e">
        <f>#REF!</f>
        <v>#REF!</v>
      </c>
      <c r="AV104" s="28" t="e">
        <f>#REF!*2</f>
        <v>#REF!</v>
      </c>
      <c r="AW104" s="28" t="e">
        <f>#REF!</f>
        <v>#REF!</v>
      </c>
      <c r="AX104" s="28" t="e">
        <f>#REF!*2</f>
        <v>#REF!</v>
      </c>
      <c r="AY104" s="28" t="e">
        <f>#REF!</f>
        <v>#REF!</v>
      </c>
      <c r="AZ104" s="28" t="e">
        <f>#REF!*2</f>
        <v>#REF!</v>
      </c>
      <c r="BA104" s="28" t="e">
        <f>#REF!</f>
        <v>#REF!</v>
      </c>
      <c r="BB104" s="28" t="e">
        <f>#REF!*2</f>
        <v>#REF!</v>
      </c>
      <c r="BC104" s="28" t="e">
        <f>#REF!</f>
        <v>#REF!</v>
      </c>
      <c r="BD104" s="28" t="e">
        <f>#REF!*2</f>
        <v>#REF!</v>
      </c>
      <c r="BE104" s="9" t="e">
        <f>#REF!-#REF!</f>
        <v>#REF!</v>
      </c>
      <c r="BF104" s="9" t="e">
        <f>#REF!-#REF!</f>
        <v>#REF!</v>
      </c>
      <c r="BG104" s="9" t="e">
        <f>#REF!-#REF!</f>
        <v>#REF!</v>
      </c>
      <c r="BH104" s="9" t="e">
        <f>#REF!-#REF!</f>
        <v>#REF!</v>
      </c>
      <c r="BI104" s="9" t="e">
        <f>#REF!-#REF!</f>
        <v>#REF!</v>
      </c>
      <c r="BJ104" s="33"/>
      <c r="BK104" s="3">
        <f>COUNTIFS(B104:G104, "&gt;=1", B104:G104, "&lt;=9")</f>
        <v>1</v>
      </c>
      <c r="BL104" s="3">
        <f>COUNTIFS(B104:G104, "&gt;=10", B104:G104, "&lt;=19")</f>
        <v>1</v>
      </c>
      <c r="BM104" s="3">
        <f>COUNTIFS(B104:G104, "&gt;=20", B104:G104, "&lt;=29")</f>
        <v>3</v>
      </c>
      <c r="BN104" s="3">
        <f>COUNTIFS(B104:G104, "&gt;=30", B104:G104, "&lt;=39")</f>
        <v>1</v>
      </c>
      <c r="BO104" s="3">
        <f>COUNTIFS(B104:G104, "&gt;=40", B104:G104, "&lt;=45")</f>
        <v>0</v>
      </c>
      <c r="BP104" s="28" t="e">
        <f>#REF!</f>
        <v>#REF!</v>
      </c>
      <c r="BQ104" s="28" t="e">
        <f>#REF!*2</f>
        <v>#REF!</v>
      </c>
      <c r="BR104" s="28" t="e">
        <f>#REF!</f>
        <v>#REF!</v>
      </c>
      <c r="BS104" s="28" t="e">
        <f>#REF!*2</f>
        <v>#REF!</v>
      </c>
      <c r="BT104" s="28" t="e">
        <f>#REF!</f>
        <v>#REF!</v>
      </c>
      <c r="BU104" s="28" t="e">
        <f>#REF!*2</f>
        <v>#REF!</v>
      </c>
      <c r="BV104" s="28" t="e">
        <f>#REF!</f>
        <v>#REF!</v>
      </c>
      <c r="BW104" s="28" t="e">
        <f>#REF!*2</f>
        <v>#REF!</v>
      </c>
      <c r="BX104" s="28" t="e">
        <f>#REF!</f>
        <v>#REF!</v>
      </c>
      <c r="BY104" s="28" t="e">
        <f>#REF!*2</f>
        <v>#REF!</v>
      </c>
      <c r="BZ104" s="28" t="e">
        <f>#REF!</f>
        <v>#REF!</v>
      </c>
      <c r="CA104" s="28" t="e">
        <f>#REF!*2</f>
        <v>#REF!</v>
      </c>
      <c r="CB104" s="9">
        <f>C104-B104</f>
        <v>11</v>
      </c>
      <c r="CC104" s="9">
        <f>D104-C104</f>
        <v>5</v>
      </c>
      <c r="CD104" s="9">
        <f>E104-D104</f>
        <v>6</v>
      </c>
      <c r="CE104" s="9">
        <f>F104-E104</f>
        <v>1</v>
      </c>
      <c r="CF104" s="9">
        <f>G104-F104</f>
        <v>3</v>
      </c>
      <c r="CG104" s="33"/>
      <c r="CH104" s="9">
        <f>C104-B104</f>
        <v>11</v>
      </c>
      <c r="CI104" s="9">
        <f>D104-C104</f>
        <v>5</v>
      </c>
      <c r="CJ104" s="9">
        <f>E104-D104</f>
        <v>6</v>
      </c>
      <c r="CK104" s="9">
        <f>F104-E104</f>
        <v>1</v>
      </c>
      <c r="CL104" s="9">
        <f>G104-F104</f>
        <v>3</v>
      </c>
      <c r="CM104" s="32"/>
      <c r="CN104" s="3">
        <f>IF(OR(CH104="",ISBLANK(CH104),CH104=0),0,IF(MOD(CH104,2)=1,1,2))</f>
        <v>1</v>
      </c>
      <c r="CO104" s="3">
        <f>IF(OR(CI104="",ISBLANK(CI104),CI104=0),0,IF(MOD(CI104,2)=1,1,2))</f>
        <v>1</v>
      </c>
      <c r="CP104" s="3">
        <f>IF(OR(CJ104="",ISBLANK(CJ104),CJ104=0),0,IF(MOD(CJ104,2)=1,1,2))</f>
        <v>2</v>
      </c>
      <c r="CQ104" s="3">
        <f>IF(OR(CK104="",ISBLANK(CK104),CK104=0),0,IF(MOD(CK104,2)=1,1,2))</f>
        <v>1</v>
      </c>
      <c r="CR104" s="3">
        <f>IF(OR(CL104="",ISBLANK(CL104),CL104=0),0,IF(MOD(CL104,2)=1,1,2))</f>
        <v>1</v>
      </c>
      <c r="CS104" s="31"/>
      <c r="CT104" s="3" cm="1">
        <f t="array" ref="CT104">SUMPRODUCT(--(MOD(CH104:CL104,2)=1))</f>
        <v>4</v>
      </c>
      <c r="CU104" s="3">
        <f>5-CT104</f>
        <v>1</v>
      </c>
      <c r="CV104" s="30"/>
      <c r="CW104" s="3" cm="1">
        <f t="array" ref="CW104">SUMPRODUCT(--(MOD(CH104:CL104,10)&gt;=1), --(MOD(CH104:CL104,10)&lt;=5))</f>
        <v>4</v>
      </c>
      <c r="CX104" s="3">
        <f>5-CW104</f>
        <v>1</v>
      </c>
      <c r="CY104" s="30"/>
      <c r="CZ104" s="3" cm="1">
        <f t="array" ref="CZ104">IFERROR(COUNT(_xlfn._xlws.FILTER(CH104:CL104, ISNUMBER(MATCH(CH104:CL104, {2,3,5,7,11,13,17,19,23,29,31,37,41,43}, 0)))), 0)</f>
        <v>3</v>
      </c>
      <c r="DA104" s="3" cm="1">
        <f t="array" ref="DA104">IFERROR(COUNT(_xlfn._xlws.FILTER(CH104:CL104, ISNUMBER(MATCH(CH104:CL104, {1,4,8,10,14,16,20,22,25,26,28,32,34,35,38,40,44}, 0)))), 0)</f>
        <v>1</v>
      </c>
      <c r="DB104" s="3" cm="1">
        <f t="array" ref="DB104">IFERROR(COUNT(_xlfn._xlws.FILTER(CH104:CL104, ISNUMBER(MATCH(CH104:CL104, {6,9,12,15,18,21,24,27,30,33,36,39,42,45}, 0)))), 0)</f>
        <v>1</v>
      </c>
      <c r="DC104" s="29"/>
      <c r="DD104" s="28" t="e">
        <f>#REF!</f>
        <v>#REF!</v>
      </c>
      <c r="DE104" s="28" t="e">
        <f>#REF!*2</f>
        <v>#REF!</v>
      </c>
      <c r="DF104" s="28" t="e">
        <f>#REF!</f>
        <v>#REF!</v>
      </c>
      <c r="DG104" s="28" t="e">
        <f>#REF!*2</f>
        <v>#REF!</v>
      </c>
      <c r="DH104" s="28" t="e">
        <f>#REF!</f>
        <v>#REF!</v>
      </c>
      <c r="DI104" s="28" t="e">
        <f>#REF!*2</f>
        <v>#REF!</v>
      </c>
      <c r="DJ104" s="28" t="e">
        <f>#REF!</f>
        <v>#REF!</v>
      </c>
      <c r="DK104" s="28" t="e">
        <f>#REF!*2</f>
        <v>#REF!</v>
      </c>
      <c r="DL104" s="28" t="e">
        <f>#REF!</f>
        <v>#REF!</v>
      </c>
      <c r="DM104" s="28" t="e">
        <f>#REF!*2</f>
        <v>#REF!</v>
      </c>
      <c r="DN104" s="27"/>
      <c r="DO104" s="26" t="str" cm="1">
        <f t="array" ref="DO104">_xlfn.IFS(
   OR(CH104="",ISBLANK(CH104),CH104=0),0,
   ISNUMBER(MATCH(CH104,{2,3,5,7,11,13,17,19,23,29,31,37,41,43},0)),"소",
   AND(ISNUMBER(CH104),MOD(CH104,3)=0),"배",
   AND(ISNUMBER(CH104),CH104&gt;0),"자"
)</f>
        <v>소</v>
      </c>
      <c r="DP104" s="26" t="str" cm="1">
        <f t="array" ref="DP104">_xlfn.IFS(
   OR(CI104="",ISBLANK(CI104),CI104=0),0,
   ISNUMBER(MATCH(CI104,{2,3,5,7,11,13,17,19,23,29,31,37,41,43},0)),"소",
   AND(ISNUMBER(CI104),MOD(CI104,3)=0),"배",
   AND(ISNUMBER(CI104),CI104&gt;0),"자"
)</f>
        <v>소</v>
      </c>
      <c r="DQ104" s="26" t="str" cm="1">
        <f t="array" ref="DQ104">_xlfn.IFS(
   OR(CJ104="",ISBLANK(CJ104),CJ104=0),0,
   ISNUMBER(MATCH(CJ104,{2,3,5,7,11,13,17,19,23,29,31,37,41,43},0)),"소",
   AND(ISNUMBER(CJ104),MOD(CJ104,3)=0),"배",
   AND(ISNUMBER(CJ104),CJ104&gt;0),"자"
)</f>
        <v>배</v>
      </c>
      <c r="DR104" s="26" t="str" cm="1">
        <f t="array" ref="DR104">_xlfn.IFS(
   OR(CK104="",ISBLANK(CK104),CK104=0),0,
   ISNUMBER(MATCH(CK104,{2,3,5,7,11,13,17,19,23,29,31,37,41,43},0)),"소",
   AND(ISNUMBER(CK104),MOD(CK104,3)=0),"배",
   AND(ISNUMBER(CK104),CK104&gt;0),"자"
)</f>
        <v>자</v>
      </c>
      <c r="DS104" s="26" t="str" cm="1">
        <f t="array" ref="DS104">_xlfn.IFS(
   OR(CL104="",ISBLANK(CL104),CL104=0),0,
   ISNUMBER(MATCH(CL104,{2,3,5,7,11,13,17,19,23,29,31,37,41,43},0)),"소",
   AND(ISNUMBER(CL104),MOD(CL104,3)=0),"배",
   AND(ISNUMBER(CL104),CL104&gt;0),"자"
)</f>
        <v>소</v>
      </c>
      <c r="DT104" s="25"/>
    </row>
    <row r="105" spans="2:124" x14ac:dyDescent="0.3">
      <c r="B105" s="3">
        <v>2</v>
      </c>
      <c r="C105" s="3">
        <v>8</v>
      </c>
      <c r="D105" s="3">
        <v>13</v>
      </c>
      <c r="E105" s="3">
        <v>16</v>
      </c>
      <c r="F105" s="3">
        <v>23</v>
      </c>
      <c r="G105" s="3">
        <v>28</v>
      </c>
      <c r="H105" s="32"/>
      <c r="I105" s="3">
        <f>IF(OR(B105="",ISBLANK(B105),B105=0),0,IF(MOD(B105,2)=1,1,2))</f>
        <v>2</v>
      </c>
      <c r="J105" s="3">
        <f>IF(OR(C105="",ISBLANK(C105),C105=0),0,IF(MOD(C105,2)=1,1,2))</f>
        <v>2</v>
      </c>
      <c r="K105" s="3">
        <f>IF(OR(D105="",ISBLANK(D105),D105=0),0,IF(MOD(D105,2)=1,1,2))</f>
        <v>1</v>
      </c>
      <c r="L105" s="3">
        <f>IF(OR(E105="",ISBLANK(E105),E105=0),0,IF(MOD(E105,2)=1,1,2))</f>
        <v>2</v>
      </c>
      <c r="M105" s="3">
        <f>IF(OR(F105="",ISBLANK(F105),F105=0),0,IF(MOD(F105,2)=1,1,2))</f>
        <v>1</v>
      </c>
      <c r="N105" s="3">
        <f>IF(OR(G105="",ISBLANK(G105),G105=0),0,IF(MOD(G105,2)=1,1,2))</f>
        <v>2</v>
      </c>
      <c r="O105" s="32"/>
      <c r="P105" s="3" cm="1">
        <f t="array" ref="P105">SUMPRODUCT(--(MOD(B105:G105,2)=1))</f>
        <v>2</v>
      </c>
      <c r="Q105" s="3">
        <f>6-P105</f>
        <v>4</v>
      </c>
      <c r="R105" s="34"/>
      <c r="S105" s="3">
        <f>COUNTIFS(B105:G105,"&gt;=1",B105:G105,"&lt;=23")</f>
        <v>5</v>
      </c>
      <c r="T105" s="3">
        <f>6-S105</f>
        <v>1</v>
      </c>
      <c r="U105" s="34"/>
      <c r="V105" s="3" cm="1">
        <f t="array" ref="V105">SUMPRODUCT(--(MOD(B105:G105,10)&gt;=1), --(MOD(B105:G105,10)&lt;=5))</f>
        <v>3</v>
      </c>
      <c r="W105" s="3">
        <f>6-V105</f>
        <v>3</v>
      </c>
      <c r="X105" s="34"/>
      <c r="Y105" s="3" cm="1">
        <f t="array" ref="Y105">IFERROR(COUNT(_xlfn._xlws.FILTER(B105:G105, ISNUMBER(MATCH(B105:G105, {2,3,5,7,11,13,17,19,23,29,31,37,41,43}, 0)))), 0)</f>
        <v>3</v>
      </c>
      <c r="Z105" s="3" cm="1">
        <f t="array" ref="Z105">IFERROR(COUNT(_xlfn._xlws.FILTER(B105:G105, ISNUMBER(MATCH(B105:G105, {1,4,8,10,14,16,20,22,25,26,28,32,34,35,38,40,44}, 0)))), 0)</f>
        <v>3</v>
      </c>
      <c r="AA105" s="3" cm="1">
        <f t="array" ref="AA105">IFERROR(COUNT(_xlfn._xlws.FILTER(B105:G105, ISNUMBER(MATCH(B105:G105, {6,9,12,15,18,21,24,27,30,33,36,39,42,45}, 0)))), 0)</f>
        <v>0</v>
      </c>
      <c r="AB105" s="30"/>
      <c r="AC105" s="26" t="str" cm="1">
        <f t="array" ref="AC105">_xlfn.IFS(
   OR(B105="",ISBLANK(B105),B105=0),0,
   ISNUMBER(MATCH(B105,{2,3,5,7,11,13,17,19,23,29,31,37,41,43},0)),"소",
   AND(ISNUMBER(B105),MOD(B105,3)=0),"배",
   AND(ISNUMBER(B105),B105&gt;0),"자"
)</f>
        <v>소</v>
      </c>
      <c r="AD105" s="26" t="str" cm="1">
        <f t="array" ref="AD105">_xlfn.IFS(
   OR(C105="",ISBLANK(C105),C105=0),0,
   ISNUMBER(MATCH(C105,{2,3,5,7,11,13,17,19,23,29,31,37,41,43},0)),"소",
   AND(ISNUMBER(C105),MOD(C105,3)=0),"배",
   AND(ISNUMBER(C105),C105&gt;0),"자"
)</f>
        <v>자</v>
      </c>
      <c r="AE105" s="26" t="str" cm="1">
        <f t="array" ref="AE105">_xlfn.IFS(
   OR(D105="",ISBLANK(D105),D105=0),0,
   ISNUMBER(MATCH(D105,{2,3,5,7,11,13,17,19,23,29,31,37,41,43},0)),"소",
   AND(ISNUMBER(D105),MOD(D105,3)=0),"배",
   AND(ISNUMBER(D105),D105&gt;0),"자"
)</f>
        <v>소</v>
      </c>
      <c r="AF105" s="26" t="str" cm="1">
        <f t="array" ref="AF105">_xlfn.IFS(
   OR(E105="",ISBLANK(E105),E105=0),0,
   ISNUMBER(MATCH(E105,{2,3,5,7,11,13,17,19,23,29,31,37,41,43},0)),"소",
   AND(ISNUMBER(E105),MOD(E105,3)=0),"배",
   AND(ISNUMBER(E105),E105&gt;0),"자"
)</f>
        <v>자</v>
      </c>
      <c r="AG105" s="26" t="str" cm="1">
        <f t="array" ref="AG105">_xlfn.IFS(
   OR(F105="",ISBLANK(F105),F105=0),0,
   ISNUMBER(MATCH(F105,{2,3,5,7,11,13,17,19,23,29,31,37,41,43},0)),"소",
   AND(ISNUMBER(F105),MOD(F105,3)=0),"배",
   AND(ISNUMBER(F105),F105&gt;0),"자"
)</f>
        <v>소</v>
      </c>
      <c r="AH105" s="26" t="str" cm="1">
        <f t="array" ref="AH105">_xlfn.IFS(
   OR(G105="",ISBLANK(G105),G105=0),0,
   ISNUMBER(MATCH(G105,{2,3,5,7,11,13,17,19,23,29,31,37,41,43},0)),"소",
   AND(ISNUMBER(G105),MOD(G105,3)=0),"배",
   AND(ISNUMBER(G105),G105&gt;0),"자"
)</f>
        <v>자</v>
      </c>
      <c r="AI105" s="30"/>
      <c r="AJ105" s="3">
        <f>COUNTIFS(B105:G105,"&gt;=1",B105:G105,"&lt;=14")</f>
        <v>3</v>
      </c>
      <c r="AK105" s="3">
        <f>COUNTIFS(B105:G105,"&gt;=15",B105:G105,"&lt;=31")</f>
        <v>3</v>
      </c>
      <c r="AL105" s="3">
        <f>6-AK105-AJ105</f>
        <v>0</v>
      </c>
      <c r="AM105" s="33"/>
      <c r="AN105" s="3">
        <f>COUNTIFS($B105:$G105, "&gt;=1",$B105:$G105, "&lt;=9")</f>
        <v>2</v>
      </c>
      <c r="AO105" s="3">
        <f>COUNTIFS($B105:$G105, "&gt;=10",$B105:$G105, "&lt;=18")</f>
        <v>2</v>
      </c>
      <c r="AP105" s="3">
        <f>COUNTIFS($B105:$G105, "&gt;=19",$B105:$G105, "&lt;=27")</f>
        <v>1</v>
      </c>
      <c r="AQ105" s="3">
        <f>COUNTIFS($B105:$G105, "&gt;=28",$B105:$G105, "&lt;=36")</f>
        <v>1</v>
      </c>
      <c r="AR105" s="3">
        <f>COUNTIFS($B105:$G105, "&gt;=37",$B105:$G105, "&lt;=45")</f>
        <v>0</v>
      </c>
      <c r="AS105" s="28" t="e">
        <f>#REF!</f>
        <v>#REF!</v>
      </c>
      <c r="AT105" s="28" t="e">
        <f>#REF!*2</f>
        <v>#REF!</v>
      </c>
      <c r="AU105" s="28" t="e">
        <f>#REF!</f>
        <v>#REF!</v>
      </c>
      <c r="AV105" s="28" t="e">
        <f>#REF!*2</f>
        <v>#REF!</v>
      </c>
      <c r="AW105" s="28" t="e">
        <f>#REF!</f>
        <v>#REF!</v>
      </c>
      <c r="AX105" s="28" t="e">
        <f>#REF!*2</f>
        <v>#REF!</v>
      </c>
      <c r="AY105" s="28" t="e">
        <f>#REF!</f>
        <v>#REF!</v>
      </c>
      <c r="AZ105" s="28" t="e">
        <f>#REF!*2</f>
        <v>#REF!</v>
      </c>
      <c r="BA105" s="28" t="e">
        <f>#REF!</f>
        <v>#REF!</v>
      </c>
      <c r="BB105" s="28" t="e">
        <f>#REF!*2</f>
        <v>#REF!</v>
      </c>
      <c r="BC105" s="28" t="e">
        <f>#REF!</f>
        <v>#REF!</v>
      </c>
      <c r="BD105" s="28" t="e">
        <f>#REF!*2</f>
        <v>#REF!</v>
      </c>
      <c r="BE105" s="9" t="e">
        <f>#REF!-#REF!</f>
        <v>#REF!</v>
      </c>
      <c r="BF105" s="9" t="e">
        <f>#REF!-#REF!</f>
        <v>#REF!</v>
      </c>
      <c r="BG105" s="9" t="e">
        <f>#REF!-#REF!</f>
        <v>#REF!</v>
      </c>
      <c r="BH105" s="9" t="e">
        <f>#REF!-#REF!</f>
        <v>#REF!</v>
      </c>
      <c r="BI105" s="9" t="e">
        <f>#REF!-#REF!</f>
        <v>#REF!</v>
      </c>
      <c r="BJ105" s="33"/>
      <c r="BK105" s="3">
        <f>COUNTIFS(B105:G105, "&gt;=1", B105:G105, "&lt;=9")</f>
        <v>2</v>
      </c>
      <c r="BL105" s="3">
        <f>COUNTIFS(B105:G105, "&gt;=10", B105:G105, "&lt;=19")</f>
        <v>2</v>
      </c>
      <c r="BM105" s="3">
        <f>COUNTIFS(B105:G105, "&gt;=20", B105:G105, "&lt;=29")</f>
        <v>2</v>
      </c>
      <c r="BN105" s="3">
        <f>COUNTIFS(B105:G105, "&gt;=30", B105:G105, "&lt;=39")</f>
        <v>0</v>
      </c>
      <c r="BO105" s="3">
        <f>COUNTIFS(B105:G105, "&gt;=40", B105:G105, "&lt;=45")</f>
        <v>0</v>
      </c>
      <c r="BP105" s="28" t="e">
        <f>#REF!</f>
        <v>#REF!</v>
      </c>
      <c r="BQ105" s="28" t="e">
        <f>#REF!*2</f>
        <v>#REF!</v>
      </c>
      <c r="BR105" s="28" t="e">
        <f>#REF!</f>
        <v>#REF!</v>
      </c>
      <c r="BS105" s="28" t="e">
        <f>#REF!*2</f>
        <v>#REF!</v>
      </c>
      <c r="BT105" s="28" t="e">
        <f>#REF!</f>
        <v>#REF!</v>
      </c>
      <c r="BU105" s="28" t="e">
        <f>#REF!*2</f>
        <v>#REF!</v>
      </c>
      <c r="BV105" s="28" t="e">
        <f>#REF!</f>
        <v>#REF!</v>
      </c>
      <c r="BW105" s="28" t="e">
        <f>#REF!*2</f>
        <v>#REF!</v>
      </c>
      <c r="BX105" s="28" t="e">
        <f>#REF!</f>
        <v>#REF!</v>
      </c>
      <c r="BY105" s="28" t="e">
        <f>#REF!*2</f>
        <v>#REF!</v>
      </c>
      <c r="BZ105" s="28" t="e">
        <f>#REF!</f>
        <v>#REF!</v>
      </c>
      <c r="CA105" s="28" t="e">
        <f>#REF!*2</f>
        <v>#REF!</v>
      </c>
      <c r="CB105" s="9">
        <f>C105-B105</f>
        <v>6</v>
      </c>
      <c r="CC105" s="9">
        <f>D105-C105</f>
        <v>5</v>
      </c>
      <c r="CD105" s="9">
        <f>E105-D105</f>
        <v>3</v>
      </c>
      <c r="CE105" s="9">
        <f>F105-E105</f>
        <v>7</v>
      </c>
      <c r="CF105" s="9">
        <f>G105-F105</f>
        <v>5</v>
      </c>
      <c r="CG105" s="33"/>
      <c r="CH105" s="9">
        <f>C105-B105</f>
        <v>6</v>
      </c>
      <c r="CI105" s="9">
        <f>D105-C105</f>
        <v>5</v>
      </c>
      <c r="CJ105" s="9">
        <f>E105-D105</f>
        <v>3</v>
      </c>
      <c r="CK105" s="9">
        <f>F105-E105</f>
        <v>7</v>
      </c>
      <c r="CL105" s="9">
        <f>G105-F105</f>
        <v>5</v>
      </c>
      <c r="CM105" s="32"/>
      <c r="CN105" s="3">
        <f>IF(OR(CH105="",ISBLANK(CH105),CH105=0),0,IF(MOD(CH105,2)=1,1,2))</f>
        <v>2</v>
      </c>
      <c r="CO105" s="3">
        <f>IF(OR(CI105="",ISBLANK(CI105),CI105=0),0,IF(MOD(CI105,2)=1,1,2))</f>
        <v>1</v>
      </c>
      <c r="CP105" s="3">
        <f>IF(OR(CJ105="",ISBLANK(CJ105),CJ105=0),0,IF(MOD(CJ105,2)=1,1,2))</f>
        <v>1</v>
      </c>
      <c r="CQ105" s="3">
        <f>IF(OR(CK105="",ISBLANK(CK105),CK105=0),0,IF(MOD(CK105,2)=1,1,2))</f>
        <v>1</v>
      </c>
      <c r="CR105" s="3">
        <f>IF(OR(CL105="",ISBLANK(CL105),CL105=0),0,IF(MOD(CL105,2)=1,1,2))</f>
        <v>1</v>
      </c>
      <c r="CS105" s="31"/>
      <c r="CT105" s="3" cm="1">
        <f t="array" ref="CT105">SUMPRODUCT(--(MOD(CH105:CL105,2)=1))</f>
        <v>4</v>
      </c>
      <c r="CU105" s="3">
        <f>5-CT105</f>
        <v>1</v>
      </c>
      <c r="CV105" s="30"/>
      <c r="CW105" s="3" cm="1">
        <f t="array" ref="CW105">SUMPRODUCT(--(MOD(CH105:CL105,10)&gt;=1), --(MOD(CH105:CL105,10)&lt;=5))</f>
        <v>3</v>
      </c>
      <c r="CX105" s="3">
        <f>5-CW105</f>
        <v>2</v>
      </c>
      <c r="CY105" s="30"/>
      <c r="CZ105" s="3" cm="1">
        <f t="array" ref="CZ105">IFERROR(COUNT(_xlfn._xlws.FILTER(CH105:CL105, ISNUMBER(MATCH(CH105:CL105, {2,3,5,7,11,13,17,19,23,29,31,37,41,43}, 0)))), 0)</f>
        <v>4</v>
      </c>
      <c r="DA105" s="3" cm="1">
        <f t="array" ref="DA105">IFERROR(COUNT(_xlfn._xlws.FILTER(CH105:CL105, ISNUMBER(MATCH(CH105:CL105, {1,4,8,10,14,16,20,22,25,26,28,32,34,35,38,40,44}, 0)))), 0)</f>
        <v>0</v>
      </c>
      <c r="DB105" s="3" cm="1">
        <f t="array" ref="DB105">IFERROR(COUNT(_xlfn._xlws.FILTER(CH105:CL105, ISNUMBER(MATCH(CH105:CL105, {6,9,12,15,18,21,24,27,30,33,36,39,42,45}, 0)))), 0)</f>
        <v>1</v>
      </c>
      <c r="DC105" s="29"/>
      <c r="DD105" s="28" t="e">
        <f>#REF!</f>
        <v>#REF!</v>
      </c>
      <c r="DE105" s="28" t="e">
        <f>#REF!*2</f>
        <v>#REF!</v>
      </c>
      <c r="DF105" s="28" t="e">
        <f>#REF!</f>
        <v>#REF!</v>
      </c>
      <c r="DG105" s="28" t="e">
        <f>#REF!*2</f>
        <v>#REF!</v>
      </c>
      <c r="DH105" s="28" t="e">
        <f>#REF!</f>
        <v>#REF!</v>
      </c>
      <c r="DI105" s="28" t="e">
        <f>#REF!*2</f>
        <v>#REF!</v>
      </c>
      <c r="DJ105" s="28" t="e">
        <f>#REF!</f>
        <v>#REF!</v>
      </c>
      <c r="DK105" s="28" t="e">
        <f>#REF!*2</f>
        <v>#REF!</v>
      </c>
      <c r="DL105" s="28" t="e">
        <f>#REF!</f>
        <v>#REF!</v>
      </c>
      <c r="DM105" s="28" t="e">
        <f>#REF!*2</f>
        <v>#REF!</v>
      </c>
      <c r="DN105" s="27"/>
      <c r="DO105" s="26" t="str" cm="1">
        <f t="array" ref="DO105">_xlfn.IFS(
   OR(CH105="",ISBLANK(CH105),CH105=0),0,
   ISNUMBER(MATCH(CH105,{2,3,5,7,11,13,17,19,23,29,31,37,41,43},0)),"소",
   AND(ISNUMBER(CH105),MOD(CH105,3)=0),"배",
   AND(ISNUMBER(CH105),CH105&gt;0),"자"
)</f>
        <v>배</v>
      </c>
      <c r="DP105" s="26" t="str" cm="1">
        <f t="array" ref="DP105">_xlfn.IFS(
   OR(CI105="",ISBLANK(CI105),CI105=0),0,
   ISNUMBER(MATCH(CI105,{2,3,5,7,11,13,17,19,23,29,31,37,41,43},0)),"소",
   AND(ISNUMBER(CI105),MOD(CI105,3)=0),"배",
   AND(ISNUMBER(CI105),CI105&gt;0),"자"
)</f>
        <v>소</v>
      </c>
      <c r="DQ105" s="26" t="str" cm="1">
        <f t="array" ref="DQ105">_xlfn.IFS(
   OR(CJ105="",ISBLANK(CJ105),CJ105=0),0,
   ISNUMBER(MATCH(CJ105,{2,3,5,7,11,13,17,19,23,29,31,37,41,43},0)),"소",
   AND(ISNUMBER(CJ105),MOD(CJ105,3)=0),"배",
   AND(ISNUMBER(CJ105),CJ105&gt;0),"자"
)</f>
        <v>소</v>
      </c>
      <c r="DR105" s="26" t="str" cm="1">
        <f t="array" ref="DR105">_xlfn.IFS(
   OR(CK105="",ISBLANK(CK105),CK105=0),0,
   ISNUMBER(MATCH(CK105,{2,3,5,7,11,13,17,19,23,29,31,37,41,43},0)),"소",
   AND(ISNUMBER(CK105),MOD(CK105,3)=0),"배",
   AND(ISNUMBER(CK105),CK105&gt;0),"자"
)</f>
        <v>소</v>
      </c>
      <c r="DS105" s="26" t="str" cm="1">
        <f t="array" ref="DS105">_xlfn.IFS(
   OR(CL105="",ISBLANK(CL105),CL105=0),0,
   ISNUMBER(MATCH(CL105,{2,3,5,7,11,13,17,19,23,29,31,37,41,43},0)),"소",
   AND(ISNUMBER(CL105),MOD(CL105,3)=0),"배",
   AND(ISNUMBER(CL105),CL105&gt;0),"자"
)</f>
        <v>소</v>
      </c>
      <c r="DT105" s="25"/>
    </row>
    <row r="106" spans="2:124" x14ac:dyDescent="0.3">
      <c r="B106" s="3">
        <v>5</v>
      </c>
      <c r="C106" s="3">
        <v>13</v>
      </c>
      <c r="D106" s="3">
        <v>26</v>
      </c>
      <c r="E106" s="3">
        <v>29</v>
      </c>
      <c r="F106" s="3">
        <v>37</v>
      </c>
      <c r="G106" s="3">
        <v>40</v>
      </c>
      <c r="H106" s="32"/>
      <c r="I106" s="3">
        <f>IF(OR(B106="",ISBLANK(B106),B106=0),0,IF(MOD(B106,2)=1,1,2))</f>
        <v>1</v>
      </c>
      <c r="J106" s="3">
        <f>IF(OR(C106="",ISBLANK(C106),C106=0),0,IF(MOD(C106,2)=1,1,2))</f>
        <v>1</v>
      </c>
      <c r="K106" s="3">
        <f>IF(OR(D106="",ISBLANK(D106),D106=0),0,IF(MOD(D106,2)=1,1,2))</f>
        <v>2</v>
      </c>
      <c r="L106" s="3">
        <f>IF(OR(E106="",ISBLANK(E106),E106=0),0,IF(MOD(E106,2)=1,1,2))</f>
        <v>1</v>
      </c>
      <c r="M106" s="3">
        <f>IF(OR(F106="",ISBLANK(F106),F106=0),0,IF(MOD(F106,2)=1,1,2))</f>
        <v>1</v>
      </c>
      <c r="N106" s="3">
        <f>IF(OR(G106="",ISBLANK(G106),G106=0),0,IF(MOD(G106,2)=1,1,2))</f>
        <v>2</v>
      </c>
      <c r="O106" s="32"/>
      <c r="P106" s="3" cm="1">
        <f t="array" ref="P106">SUMPRODUCT(--(MOD(B106:G106,2)=1))</f>
        <v>4</v>
      </c>
      <c r="Q106" s="3">
        <f>6-P106</f>
        <v>2</v>
      </c>
      <c r="R106" s="34"/>
      <c r="S106" s="3">
        <f>COUNTIFS(B106:G106,"&gt;=1",B106:G106,"&lt;=23")</f>
        <v>2</v>
      </c>
      <c r="T106" s="3">
        <f>6-S106</f>
        <v>4</v>
      </c>
      <c r="U106" s="34"/>
      <c r="V106" s="3" cm="1">
        <f t="array" ref="V106">SUMPRODUCT(--(MOD(B106:G106,10)&gt;=1), --(MOD(B106:G106,10)&lt;=5))</f>
        <v>2</v>
      </c>
      <c r="W106" s="3">
        <f>6-V106</f>
        <v>4</v>
      </c>
      <c r="X106" s="34"/>
      <c r="Y106" s="3" cm="1">
        <f t="array" ref="Y106">IFERROR(COUNT(_xlfn._xlws.FILTER(B106:G106, ISNUMBER(MATCH(B106:G106, {2,3,5,7,11,13,17,19,23,29,31,37,41,43}, 0)))), 0)</f>
        <v>4</v>
      </c>
      <c r="Z106" s="3" cm="1">
        <f t="array" ref="Z106">IFERROR(COUNT(_xlfn._xlws.FILTER(B106:G106, ISNUMBER(MATCH(B106:G106, {1,4,8,10,14,16,20,22,25,26,28,32,34,35,38,40,44}, 0)))), 0)</f>
        <v>2</v>
      </c>
      <c r="AA106" s="3" cm="1">
        <f t="array" ref="AA106">IFERROR(COUNT(_xlfn._xlws.FILTER(B106:G106, ISNUMBER(MATCH(B106:G106, {6,9,12,15,18,21,24,27,30,33,36,39,42,45}, 0)))), 0)</f>
        <v>0</v>
      </c>
      <c r="AB106" s="30"/>
      <c r="AC106" s="26" t="str" cm="1">
        <f t="array" ref="AC106">_xlfn.IFS(
   OR(B106="",ISBLANK(B106),B106=0),0,
   ISNUMBER(MATCH(B106,{2,3,5,7,11,13,17,19,23,29,31,37,41,43},0)),"소",
   AND(ISNUMBER(B106),MOD(B106,3)=0),"배",
   AND(ISNUMBER(B106),B106&gt;0),"자"
)</f>
        <v>소</v>
      </c>
      <c r="AD106" s="26" t="str" cm="1">
        <f t="array" ref="AD106">_xlfn.IFS(
   OR(C106="",ISBLANK(C106),C106=0),0,
   ISNUMBER(MATCH(C106,{2,3,5,7,11,13,17,19,23,29,31,37,41,43},0)),"소",
   AND(ISNUMBER(C106),MOD(C106,3)=0),"배",
   AND(ISNUMBER(C106),C106&gt;0),"자"
)</f>
        <v>소</v>
      </c>
      <c r="AE106" s="26" t="str" cm="1">
        <f t="array" ref="AE106">_xlfn.IFS(
   OR(D106="",ISBLANK(D106),D106=0),0,
   ISNUMBER(MATCH(D106,{2,3,5,7,11,13,17,19,23,29,31,37,41,43},0)),"소",
   AND(ISNUMBER(D106),MOD(D106,3)=0),"배",
   AND(ISNUMBER(D106),D106&gt;0),"자"
)</f>
        <v>자</v>
      </c>
      <c r="AF106" s="26" t="str" cm="1">
        <f t="array" ref="AF106">_xlfn.IFS(
   OR(E106="",ISBLANK(E106),E106=0),0,
   ISNUMBER(MATCH(E106,{2,3,5,7,11,13,17,19,23,29,31,37,41,43},0)),"소",
   AND(ISNUMBER(E106),MOD(E106,3)=0),"배",
   AND(ISNUMBER(E106),E106&gt;0),"자"
)</f>
        <v>소</v>
      </c>
      <c r="AG106" s="26" t="str" cm="1">
        <f t="array" ref="AG106">_xlfn.IFS(
   OR(F106="",ISBLANK(F106),F106=0),0,
   ISNUMBER(MATCH(F106,{2,3,5,7,11,13,17,19,23,29,31,37,41,43},0)),"소",
   AND(ISNUMBER(F106),MOD(F106,3)=0),"배",
   AND(ISNUMBER(F106),F106&gt;0),"자"
)</f>
        <v>소</v>
      </c>
      <c r="AH106" s="26" t="str" cm="1">
        <f t="array" ref="AH106">_xlfn.IFS(
   OR(G106="",ISBLANK(G106),G106=0),0,
   ISNUMBER(MATCH(G106,{2,3,5,7,11,13,17,19,23,29,31,37,41,43},0)),"소",
   AND(ISNUMBER(G106),MOD(G106,3)=0),"배",
   AND(ISNUMBER(G106),G106&gt;0),"자"
)</f>
        <v>자</v>
      </c>
      <c r="AI106" s="30"/>
      <c r="AJ106" s="3">
        <f>COUNTIFS(B106:G106,"&gt;=1",B106:G106,"&lt;=14")</f>
        <v>2</v>
      </c>
      <c r="AK106" s="3">
        <f>COUNTIFS(B106:G106,"&gt;=15",B106:G106,"&lt;=31")</f>
        <v>2</v>
      </c>
      <c r="AL106" s="3">
        <f>6-AK106-AJ106</f>
        <v>2</v>
      </c>
      <c r="AM106" s="33"/>
      <c r="AN106" s="3">
        <f>COUNTIFS($B106:$G106, "&gt;=1",$B106:$G106, "&lt;=9")</f>
        <v>1</v>
      </c>
      <c r="AO106" s="3">
        <f>COUNTIFS($B106:$G106, "&gt;=10",$B106:$G106, "&lt;=18")</f>
        <v>1</v>
      </c>
      <c r="AP106" s="3">
        <f>COUNTIFS($B106:$G106, "&gt;=19",$B106:$G106, "&lt;=27")</f>
        <v>1</v>
      </c>
      <c r="AQ106" s="3">
        <f>COUNTIFS($B106:$G106, "&gt;=28",$B106:$G106, "&lt;=36")</f>
        <v>1</v>
      </c>
      <c r="AR106" s="3">
        <f>COUNTIFS($B106:$G106, "&gt;=37",$B106:$G106, "&lt;=45")</f>
        <v>2</v>
      </c>
      <c r="AS106" s="28" t="e">
        <f>#REF!</f>
        <v>#REF!</v>
      </c>
      <c r="AT106" s="28" t="e">
        <f>#REF!*2</f>
        <v>#REF!</v>
      </c>
      <c r="AU106" s="28" t="e">
        <f>#REF!</f>
        <v>#REF!</v>
      </c>
      <c r="AV106" s="28" t="e">
        <f>#REF!*2</f>
        <v>#REF!</v>
      </c>
      <c r="AW106" s="28" t="e">
        <f>#REF!</f>
        <v>#REF!</v>
      </c>
      <c r="AX106" s="28" t="e">
        <f>#REF!*2</f>
        <v>#REF!</v>
      </c>
      <c r="AY106" s="28" t="e">
        <f>#REF!</f>
        <v>#REF!</v>
      </c>
      <c r="AZ106" s="28" t="e">
        <f>#REF!*2</f>
        <v>#REF!</v>
      </c>
      <c r="BA106" s="28" t="e">
        <f>#REF!</f>
        <v>#REF!</v>
      </c>
      <c r="BB106" s="28" t="e">
        <f>#REF!*2</f>
        <v>#REF!</v>
      </c>
      <c r="BC106" s="28" t="e">
        <f>#REF!</f>
        <v>#REF!</v>
      </c>
      <c r="BD106" s="28" t="e">
        <f>#REF!*2</f>
        <v>#REF!</v>
      </c>
      <c r="BE106" s="9" t="e">
        <f>#REF!-#REF!</f>
        <v>#REF!</v>
      </c>
      <c r="BF106" s="9" t="e">
        <f>#REF!-#REF!</f>
        <v>#REF!</v>
      </c>
      <c r="BG106" s="9" t="e">
        <f>#REF!-#REF!</f>
        <v>#REF!</v>
      </c>
      <c r="BH106" s="9" t="e">
        <f>#REF!-#REF!</f>
        <v>#REF!</v>
      </c>
      <c r="BI106" s="9" t="e">
        <f>#REF!-#REF!</f>
        <v>#REF!</v>
      </c>
      <c r="BJ106" s="33"/>
      <c r="BK106" s="3">
        <f>COUNTIFS(B106:G106, "&gt;=1", B106:G106, "&lt;=9")</f>
        <v>1</v>
      </c>
      <c r="BL106" s="3">
        <f>COUNTIFS(B106:G106, "&gt;=10", B106:G106, "&lt;=19")</f>
        <v>1</v>
      </c>
      <c r="BM106" s="3">
        <f>COUNTIFS(B106:G106, "&gt;=20", B106:G106, "&lt;=29")</f>
        <v>2</v>
      </c>
      <c r="BN106" s="3">
        <f>COUNTIFS(B106:G106, "&gt;=30", B106:G106, "&lt;=39")</f>
        <v>1</v>
      </c>
      <c r="BO106" s="3">
        <f>COUNTIFS(B106:G106, "&gt;=40", B106:G106, "&lt;=45")</f>
        <v>1</v>
      </c>
      <c r="BP106" s="28" t="e">
        <f>#REF!</f>
        <v>#REF!</v>
      </c>
      <c r="BQ106" s="28" t="e">
        <f>#REF!*2</f>
        <v>#REF!</v>
      </c>
      <c r="BR106" s="28" t="e">
        <f>#REF!</f>
        <v>#REF!</v>
      </c>
      <c r="BS106" s="28" t="e">
        <f>#REF!*2</f>
        <v>#REF!</v>
      </c>
      <c r="BT106" s="28" t="e">
        <f>#REF!</f>
        <v>#REF!</v>
      </c>
      <c r="BU106" s="28" t="e">
        <f>#REF!*2</f>
        <v>#REF!</v>
      </c>
      <c r="BV106" s="28" t="e">
        <f>#REF!</f>
        <v>#REF!</v>
      </c>
      <c r="BW106" s="28" t="e">
        <f>#REF!*2</f>
        <v>#REF!</v>
      </c>
      <c r="BX106" s="28" t="e">
        <f>#REF!</f>
        <v>#REF!</v>
      </c>
      <c r="BY106" s="28" t="e">
        <f>#REF!*2</f>
        <v>#REF!</v>
      </c>
      <c r="BZ106" s="28" t="e">
        <f>#REF!</f>
        <v>#REF!</v>
      </c>
      <c r="CA106" s="28" t="e">
        <f>#REF!*2</f>
        <v>#REF!</v>
      </c>
      <c r="CB106" s="9">
        <f>C106-B106</f>
        <v>8</v>
      </c>
      <c r="CC106" s="9">
        <f>D106-C106</f>
        <v>13</v>
      </c>
      <c r="CD106" s="9">
        <f>E106-D106</f>
        <v>3</v>
      </c>
      <c r="CE106" s="9">
        <f>F106-E106</f>
        <v>8</v>
      </c>
      <c r="CF106" s="9">
        <f>G106-F106</f>
        <v>3</v>
      </c>
      <c r="CG106" s="33"/>
      <c r="CH106" s="9">
        <f>C106-B106</f>
        <v>8</v>
      </c>
      <c r="CI106" s="9">
        <f>D106-C106</f>
        <v>13</v>
      </c>
      <c r="CJ106" s="9">
        <f>E106-D106</f>
        <v>3</v>
      </c>
      <c r="CK106" s="9">
        <f>F106-E106</f>
        <v>8</v>
      </c>
      <c r="CL106" s="9">
        <f>G106-F106</f>
        <v>3</v>
      </c>
      <c r="CM106" s="32"/>
      <c r="CN106" s="3">
        <f>IF(OR(CH106="",ISBLANK(CH106),CH106=0),0,IF(MOD(CH106,2)=1,1,2))</f>
        <v>2</v>
      </c>
      <c r="CO106" s="3">
        <f>IF(OR(CI106="",ISBLANK(CI106),CI106=0),0,IF(MOD(CI106,2)=1,1,2))</f>
        <v>1</v>
      </c>
      <c r="CP106" s="3">
        <f>IF(OR(CJ106="",ISBLANK(CJ106),CJ106=0),0,IF(MOD(CJ106,2)=1,1,2))</f>
        <v>1</v>
      </c>
      <c r="CQ106" s="3">
        <f>IF(OR(CK106="",ISBLANK(CK106),CK106=0),0,IF(MOD(CK106,2)=1,1,2))</f>
        <v>2</v>
      </c>
      <c r="CR106" s="3">
        <f>IF(OR(CL106="",ISBLANK(CL106),CL106=0),0,IF(MOD(CL106,2)=1,1,2))</f>
        <v>1</v>
      </c>
      <c r="CS106" s="31"/>
      <c r="CT106" s="3" cm="1">
        <f t="array" ref="CT106">SUMPRODUCT(--(MOD(CH106:CL106,2)=1))</f>
        <v>3</v>
      </c>
      <c r="CU106" s="3">
        <f>5-CT106</f>
        <v>2</v>
      </c>
      <c r="CV106" s="30"/>
      <c r="CW106" s="3" cm="1">
        <f t="array" ref="CW106">SUMPRODUCT(--(MOD(CH106:CL106,10)&gt;=1), --(MOD(CH106:CL106,10)&lt;=5))</f>
        <v>3</v>
      </c>
      <c r="CX106" s="3">
        <f>5-CW106</f>
        <v>2</v>
      </c>
      <c r="CY106" s="30"/>
      <c r="CZ106" s="3" cm="1">
        <f t="array" ref="CZ106">IFERROR(COUNT(_xlfn._xlws.FILTER(CH106:CL106, ISNUMBER(MATCH(CH106:CL106, {2,3,5,7,11,13,17,19,23,29,31,37,41,43}, 0)))), 0)</f>
        <v>3</v>
      </c>
      <c r="DA106" s="3" cm="1">
        <f t="array" ref="DA106">IFERROR(COUNT(_xlfn._xlws.FILTER(CH106:CL106, ISNUMBER(MATCH(CH106:CL106, {1,4,8,10,14,16,20,22,25,26,28,32,34,35,38,40,44}, 0)))), 0)</f>
        <v>2</v>
      </c>
      <c r="DB106" s="3" cm="1">
        <f t="array" ref="DB106">IFERROR(COUNT(_xlfn._xlws.FILTER(CH106:CL106, ISNUMBER(MATCH(CH106:CL106, {6,9,12,15,18,21,24,27,30,33,36,39,42,45}, 0)))), 0)</f>
        <v>0</v>
      </c>
      <c r="DC106" s="29"/>
      <c r="DD106" s="28" t="e">
        <f>#REF!</f>
        <v>#REF!</v>
      </c>
      <c r="DE106" s="28" t="e">
        <f>#REF!*2</f>
        <v>#REF!</v>
      </c>
      <c r="DF106" s="28" t="e">
        <f>#REF!</f>
        <v>#REF!</v>
      </c>
      <c r="DG106" s="28" t="e">
        <f>#REF!*2</f>
        <v>#REF!</v>
      </c>
      <c r="DH106" s="28" t="e">
        <f>#REF!</f>
        <v>#REF!</v>
      </c>
      <c r="DI106" s="28" t="e">
        <f>#REF!*2</f>
        <v>#REF!</v>
      </c>
      <c r="DJ106" s="28" t="e">
        <f>#REF!</f>
        <v>#REF!</v>
      </c>
      <c r="DK106" s="28" t="e">
        <f>#REF!*2</f>
        <v>#REF!</v>
      </c>
      <c r="DL106" s="28" t="e">
        <f>#REF!</f>
        <v>#REF!</v>
      </c>
      <c r="DM106" s="28" t="e">
        <f>#REF!*2</f>
        <v>#REF!</v>
      </c>
      <c r="DN106" s="27"/>
      <c r="DO106" s="26" t="str" cm="1">
        <f t="array" ref="DO106">_xlfn.IFS(
   OR(CH106="",ISBLANK(CH106),CH106=0),0,
   ISNUMBER(MATCH(CH106,{2,3,5,7,11,13,17,19,23,29,31,37,41,43},0)),"소",
   AND(ISNUMBER(CH106),MOD(CH106,3)=0),"배",
   AND(ISNUMBER(CH106),CH106&gt;0),"자"
)</f>
        <v>자</v>
      </c>
      <c r="DP106" s="26" t="str" cm="1">
        <f t="array" ref="DP106">_xlfn.IFS(
   OR(CI106="",ISBLANK(CI106),CI106=0),0,
   ISNUMBER(MATCH(CI106,{2,3,5,7,11,13,17,19,23,29,31,37,41,43},0)),"소",
   AND(ISNUMBER(CI106),MOD(CI106,3)=0),"배",
   AND(ISNUMBER(CI106),CI106&gt;0),"자"
)</f>
        <v>소</v>
      </c>
      <c r="DQ106" s="26" t="str" cm="1">
        <f t="array" ref="DQ106">_xlfn.IFS(
   OR(CJ106="",ISBLANK(CJ106),CJ106=0),0,
   ISNUMBER(MATCH(CJ106,{2,3,5,7,11,13,17,19,23,29,31,37,41,43},0)),"소",
   AND(ISNUMBER(CJ106),MOD(CJ106,3)=0),"배",
   AND(ISNUMBER(CJ106),CJ106&gt;0),"자"
)</f>
        <v>소</v>
      </c>
      <c r="DR106" s="26" t="str" cm="1">
        <f t="array" ref="DR106">_xlfn.IFS(
   OR(CK106="",ISBLANK(CK106),CK106=0),0,
   ISNUMBER(MATCH(CK106,{2,3,5,7,11,13,17,19,23,29,31,37,41,43},0)),"소",
   AND(ISNUMBER(CK106),MOD(CK106,3)=0),"배",
   AND(ISNUMBER(CK106),CK106&gt;0),"자"
)</f>
        <v>자</v>
      </c>
      <c r="DS106" s="26" t="str" cm="1">
        <f t="array" ref="DS106">_xlfn.IFS(
   OR(CL106="",ISBLANK(CL106),CL106=0),0,
   ISNUMBER(MATCH(CL106,{2,3,5,7,11,13,17,19,23,29,31,37,41,43},0)),"소",
   AND(ISNUMBER(CL106),MOD(CL106,3)=0),"배",
   AND(ISNUMBER(CL106),CL106&gt;0),"자"
)</f>
        <v>소</v>
      </c>
      <c r="DT106" s="25"/>
    </row>
    <row r="107" spans="2:124" x14ac:dyDescent="0.3">
      <c r="B107" s="3">
        <v>3</v>
      </c>
      <c r="C107" s="3">
        <v>4</v>
      </c>
      <c r="D107" s="3">
        <v>12</v>
      </c>
      <c r="E107" s="3">
        <v>19</v>
      </c>
      <c r="F107" s="3">
        <v>22</v>
      </c>
      <c r="G107" s="3">
        <v>27</v>
      </c>
      <c r="H107" s="32"/>
      <c r="I107" s="3">
        <f>IF(OR(B107="",ISBLANK(B107),B107=0),0,IF(MOD(B107,2)=1,1,2))</f>
        <v>1</v>
      </c>
      <c r="J107" s="3">
        <f>IF(OR(C107="",ISBLANK(C107),C107=0),0,IF(MOD(C107,2)=1,1,2))</f>
        <v>2</v>
      </c>
      <c r="K107" s="3">
        <f>IF(OR(D107="",ISBLANK(D107),D107=0),0,IF(MOD(D107,2)=1,1,2))</f>
        <v>2</v>
      </c>
      <c r="L107" s="3">
        <f>IF(OR(E107="",ISBLANK(E107),E107=0),0,IF(MOD(E107,2)=1,1,2))</f>
        <v>1</v>
      </c>
      <c r="M107" s="3">
        <f>IF(OR(F107="",ISBLANK(F107),F107=0),0,IF(MOD(F107,2)=1,1,2))</f>
        <v>2</v>
      </c>
      <c r="N107" s="3">
        <f>IF(OR(G107="",ISBLANK(G107),G107=0),0,IF(MOD(G107,2)=1,1,2))</f>
        <v>1</v>
      </c>
      <c r="O107" s="32"/>
      <c r="P107" s="3" cm="1">
        <f t="array" ref="P107">SUMPRODUCT(--(MOD(B107:G107,2)=1))</f>
        <v>3</v>
      </c>
      <c r="Q107" s="3">
        <f>6-P107</f>
        <v>3</v>
      </c>
      <c r="R107" s="34"/>
      <c r="S107" s="3">
        <f>COUNTIFS(B107:G107,"&gt;=1",B107:G107,"&lt;=23")</f>
        <v>5</v>
      </c>
      <c r="T107" s="3">
        <f>6-S107</f>
        <v>1</v>
      </c>
      <c r="U107" s="34"/>
      <c r="V107" s="3" cm="1">
        <f t="array" ref="V107">SUMPRODUCT(--(MOD(B107:G107,10)&gt;=1), --(MOD(B107:G107,10)&lt;=5))</f>
        <v>4</v>
      </c>
      <c r="W107" s="3">
        <f>6-V107</f>
        <v>2</v>
      </c>
      <c r="X107" s="34"/>
      <c r="Y107" s="3" cm="1">
        <f t="array" ref="Y107">IFERROR(COUNT(_xlfn._xlws.FILTER(B107:G107, ISNUMBER(MATCH(B107:G107, {2,3,5,7,11,13,17,19,23,29,31,37,41,43}, 0)))), 0)</f>
        <v>2</v>
      </c>
      <c r="Z107" s="3" cm="1">
        <f t="array" ref="Z107">IFERROR(COUNT(_xlfn._xlws.FILTER(B107:G107, ISNUMBER(MATCH(B107:G107, {1,4,8,10,14,16,20,22,25,26,28,32,34,35,38,40,44}, 0)))), 0)</f>
        <v>2</v>
      </c>
      <c r="AA107" s="3" cm="1">
        <f t="array" ref="AA107">IFERROR(COUNT(_xlfn._xlws.FILTER(B107:G107, ISNUMBER(MATCH(B107:G107, {6,9,12,15,18,21,24,27,30,33,36,39,42,45}, 0)))), 0)</f>
        <v>2</v>
      </c>
      <c r="AB107" s="30"/>
      <c r="AC107" s="26" t="str" cm="1">
        <f t="array" ref="AC107">_xlfn.IFS(
   OR(B107="",ISBLANK(B107),B107=0),0,
   ISNUMBER(MATCH(B107,{2,3,5,7,11,13,17,19,23,29,31,37,41,43},0)),"소",
   AND(ISNUMBER(B107),MOD(B107,3)=0),"배",
   AND(ISNUMBER(B107),B107&gt;0),"자"
)</f>
        <v>소</v>
      </c>
      <c r="AD107" s="26" t="str" cm="1">
        <f t="array" ref="AD107">_xlfn.IFS(
   OR(C107="",ISBLANK(C107),C107=0),0,
   ISNUMBER(MATCH(C107,{2,3,5,7,11,13,17,19,23,29,31,37,41,43},0)),"소",
   AND(ISNUMBER(C107),MOD(C107,3)=0),"배",
   AND(ISNUMBER(C107),C107&gt;0),"자"
)</f>
        <v>자</v>
      </c>
      <c r="AE107" s="26" t="str" cm="1">
        <f t="array" ref="AE107">_xlfn.IFS(
   OR(D107="",ISBLANK(D107),D107=0),0,
   ISNUMBER(MATCH(D107,{2,3,5,7,11,13,17,19,23,29,31,37,41,43},0)),"소",
   AND(ISNUMBER(D107),MOD(D107,3)=0),"배",
   AND(ISNUMBER(D107),D107&gt;0),"자"
)</f>
        <v>배</v>
      </c>
      <c r="AF107" s="26" t="str" cm="1">
        <f t="array" ref="AF107">_xlfn.IFS(
   OR(E107="",ISBLANK(E107),E107=0),0,
   ISNUMBER(MATCH(E107,{2,3,5,7,11,13,17,19,23,29,31,37,41,43},0)),"소",
   AND(ISNUMBER(E107),MOD(E107,3)=0),"배",
   AND(ISNUMBER(E107),E107&gt;0),"자"
)</f>
        <v>소</v>
      </c>
      <c r="AG107" s="26" t="str" cm="1">
        <f t="array" ref="AG107">_xlfn.IFS(
   OR(F107="",ISBLANK(F107),F107=0),0,
   ISNUMBER(MATCH(F107,{2,3,5,7,11,13,17,19,23,29,31,37,41,43},0)),"소",
   AND(ISNUMBER(F107),MOD(F107,3)=0),"배",
   AND(ISNUMBER(F107),F107&gt;0),"자"
)</f>
        <v>자</v>
      </c>
      <c r="AH107" s="26" t="str" cm="1">
        <f t="array" ref="AH107">_xlfn.IFS(
   OR(G107="",ISBLANK(G107),G107=0),0,
   ISNUMBER(MATCH(G107,{2,3,5,7,11,13,17,19,23,29,31,37,41,43},0)),"소",
   AND(ISNUMBER(G107),MOD(G107,3)=0),"배",
   AND(ISNUMBER(G107),G107&gt;0),"자"
)</f>
        <v>배</v>
      </c>
      <c r="AI107" s="30"/>
      <c r="AJ107" s="3">
        <f>COUNTIFS(B107:G107,"&gt;=1",B107:G107,"&lt;=14")</f>
        <v>3</v>
      </c>
      <c r="AK107" s="3">
        <f>COUNTIFS(B107:G107,"&gt;=15",B107:G107,"&lt;=31")</f>
        <v>3</v>
      </c>
      <c r="AL107" s="3">
        <f>6-AK107-AJ107</f>
        <v>0</v>
      </c>
      <c r="AM107" s="33"/>
      <c r="AN107" s="3">
        <f>COUNTIFS($B107:$G107, "&gt;=1",$B107:$G107, "&lt;=9")</f>
        <v>2</v>
      </c>
      <c r="AO107" s="3">
        <f>COUNTIFS($B107:$G107, "&gt;=10",$B107:$G107, "&lt;=18")</f>
        <v>1</v>
      </c>
      <c r="AP107" s="3">
        <f>COUNTIFS($B107:$G107, "&gt;=19",$B107:$G107, "&lt;=27")</f>
        <v>3</v>
      </c>
      <c r="AQ107" s="3">
        <f>COUNTIFS($B107:$G107, "&gt;=28",$B107:$G107, "&lt;=36")</f>
        <v>0</v>
      </c>
      <c r="AR107" s="3">
        <f>COUNTIFS($B107:$G107, "&gt;=37",$B107:$G107, "&lt;=45")</f>
        <v>0</v>
      </c>
      <c r="AS107" s="28" t="e">
        <f>#REF!</f>
        <v>#REF!</v>
      </c>
      <c r="AT107" s="28" t="e">
        <f>#REF!*2</f>
        <v>#REF!</v>
      </c>
      <c r="AU107" s="28" t="e">
        <f>#REF!</f>
        <v>#REF!</v>
      </c>
      <c r="AV107" s="28" t="e">
        <f>#REF!*2</f>
        <v>#REF!</v>
      </c>
      <c r="AW107" s="28" t="e">
        <f>#REF!</f>
        <v>#REF!</v>
      </c>
      <c r="AX107" s="28" t="e">
        <f>#REF!*2</f>
        <v>#REF!</v>
      </c>
      <c r="AY107" s="28" t="e">
        <f>#REF!</f>
        <v>#REF!</v>
      </c>
      <c r="AZ107" s="28" t="e">
        <f>#REF!*2</f>
        <v>#REF!</v>
      </c>
      <c r="BA107" s="28" t="e">
        <f>#REF!</f>
        <v>#REF!</v>
      </c>
      <c r="BB107" s="28" t="e">
        <f>#REF!*2</f>
        <v>#REF!</v>
      </c>
      <c r="BC107" s="28" t="e">
        <f>#REF!</f>
        <v>#REF!</v>
      </c>
      <c r="BD107" s="28" t="e">
        <f>#REF!*2</f>
        <v>#REF!</v>
      </c>
      <c r="BE107" s="9" t="e">
        <f>#REF!-#REF!</f>
        <v>#REF!</v>
      </c>
      <c r="BF107" s="9" t="e">
        <f>#REF!-#REF!</f>
        <v>#REF!</v>
      </c>
      <c r="BG107" s="9" t="e">
        <f>#REF!-#REF!</f>
        <v>#REF!</v>
      </c>
      <c r="BH107" s="9" t="e">
        <f>#REF!-#REF!</f>
        <v>#REF!</v>
      </c>
      <c r="BI107" s="9" t="e">
        <f>#REF!-#REF!</f>
        <v>#REF!</v>
      </c>
      <c r="BJ107" s="33"/>
      <c r="BK107" s="3">
        <f>COUNTIFS(B107:G107, "&gt;=1", B107:G107, "&lt;=9")</f>
        <v>2</v>
      </c>
      <c r="BL107" s="3">
        <f>COUNTIFS(B107:G107, "&gt;=10", B107:G107, "&lt;=19")</f>
        <v>2</v>
      </c>
      <c r="BM107" s="3">
        <f>COUNTIFS(B107:G107, "&gt;=20", B107:G107, "&lt;=29")</f>
        <v>2</v>
      </c>
      <c r="BN107" s="3">
        <f>COUNTIFS(B107:G107, "&gt;=30", B107:G107, "&lt;=39")</f>
        <v>0</v>
      </c>
      <c r="BO107" s="3">
        <f>COUNTIFS(B107:G107, "&gt;=40", B107:G107, "&lt;=45")</f>
        <v>0</v>
      </c>
      <c r="BP107" s="28" t="e">
        <f>#REF!</f>
        <v>#REF!</v>
      </c>
      <c r="BQ107" s="28" t="e">
        <f>#REF!*2</f>
        <v>#REF!</v>
      </c>
      <c r="BR107" s="28" t="e">
        <f>#REF!</f>
        <v>#REF!</v>
      </c>
      <c r="BS107" s="28" t="e">
        <f>#REF!*2</f>
        <v>#REF!</v>
      </c>
      <c r="BT107" s="28" t="e">
        <f>#REF!</f>
        <v>#REF!</v>
      </c>
      <c r="BU107" s="28" t="e">
        <f>#REF!*2</f>
        <v>#REF!</v>
      </c>
      <c r="BV107" s="28" t="e">
        <f>#REF!</f>
        <v>#REF!</v>
      </c>
      <c r="BW107" s="28" t="e">
        <f>#REF!*2</f>
        <v>#REF!</v>
      </c>
      <c r="BX107" s="28" t="e">
        <f>#REF!</f>
        <v>#REF!</v>
      </c>
      <c r="BY107" s="28" t="e">
        <f>#REF!*2</f>
        <v>#REF!</v>
      </c>
      <c r="BZ107" s="28" t="e">
        <f>#REF!</f>
        <v>#REF!</v>
      </c>
      <c r="CA107" s="28" t="e">
        <f>#REF!*2</f>
        <v>#REF!</v>
      </c>
      <c r="CB107" s="9">
        <f>C107-B107</f>
        <v>1</v>
      </c>
      <c r="CC107" s="9">
        <f>D107-C107</f>
        <v>8</v>
      </c>
      <c r="CD107" s="9">
        <f>E107-D107</f>
        <v>7</v>
      </c>
      <c r="CE107" s="9">
        <f>F107-E107</f>
        <v>3</v>
      </c>
      <c r="CF107" s="9">
        <f>G107-F107</f>
        <v>5</v>
      </c>
      <c r="CG107" s="33"/>
      <c r="CH107" s="9">
        <f>C107-B107</f>
        <v>1</v>
      </c>
      <c r="CI107" s="9">
        <f>D107-C107</f>
        <v>8</v>
      </c>
      <c r="CJ107" s="9">
        <f>E107-D107</f>
        <v>7</v>
      </c>
      <c r="CK107" s="9">
        <f>F107-E107</f>
        <v>3</v>
      </c>
      <c r="CL107" s="9">
        <f>G107-F107</f>
        <v>5</v>
      </c>
      <c r="CM107" s="32"/>
      <c r="CN107" s="3">
        <f>IF(OR(CH107="",ISBLANK(CH107),CH107=0),0,IF(MOD(CH107,2)=1,1,2))</f>
        <v>1</v>
      </c>
      <c r="CO107" s="3">
        <f>IF(OR(CI107="",ISBLANK(CI107),CI107=0),0,IF(MOD(CI107,2)=1,1,2))</f>
        <v>2</v>
      </c>
      <c r="CP107" s="3">
        <f>IF(OR(CJ107="",ISBLANK(CJ107),CJ107=0),0,IF(MOD(CJ107,2)=1,1,2))</f>
        <v>1</v>
      </c>
      <c r="CQ107" s="3">
        <f>IF(OR(CK107="",ISBLANK(CK107),CK107=0),0,IF(MOD(CK107,2)=1,1,2))</f>
        <v>1</v>
      </c>
      <c r="CR107" s="3">
        <f>IF(OR(CL107="",ISBLANK(CL107),CL107=0),0,IF(MOD(CL107,2)=1,1,2))</f>
        <v>1</v>
      </c>
      <c r="CS107" s="31"/>
      <c r="CT107" s="3" cm="1">
        <f t="array" ref="CT107">SUMPRODUCT(--(MOD(CH107:CL107,2)=1))</f>
        <v>4</v>
      </c>
      <c r="CU107" s="3">
        <f>5-CT107</f>
        <v>1</v>
      </c>
      <c r="CV107" s="30"/>
      <c r="CW107" s="3" cm="1">
        <f t="array" ref="CW107">SUMPRODUCT(--(MOD(CH107:CL107,10)&gt;=1), --(MOD(CH107:CL107,10)&lt;=5))</f>
        <v>3</v>
      </c>
      <c r="CX107" s="3">
        <f>5-CW107</f>
        <v>2</v>
      </c>
      <c r="CY107" s="30"/>
      <c r="CZ107" s="3" cm="1">
        <f t="array" ref="CZ107">IFERROR(COUNT(_xlfn._xlws.FILTER(CH107:CL107, ISNUMBER(MATCH(CH107:CL107, {2,3,5,7,11,13,17,19,23,29,31,37,41,43}, 0)))), 0)</f>
        <v>3</v>
      </c>
      <c r="DA107" s="3" cm="1">
        <f t="array" ref="DA107">IFERROR(COUNT(_xlfn._xlws.FILTER(CH107:CL107, ISNUMBER(MATCH(CH107:CL107, {1,4,8,10,14,16,20,22,25,26,28,32,34,35,38,40,44}, 0)))), 0)</f>
        <v>2</v>
      </c>
      <c r="DB107" s="3" cm="1">
        <f t="array" ref="DB107">IFERROR(COUNT(_xlfn._xlws.FILTER(CH107:CL107, ISNUMBER(MATCH(CH107:CL107, {6,9,12,15,18,21,24,27,30,33,36,39,42,45}, 0)))), 0)</f>
        <v>0</v>
      </c>
      <c r="DC107" s="29"/>
      <c r="DD107" s="28" t="e">
        <f>#REF!</f>
        <v>#REF!</v>
      </c>
      <c r="DE107" s="28" t="e">
        <f>#REF!*2</f>
        <v>#REF!</v>
      </c>
      <c r="DF107" s="28" t="e">
        <f>#REF!</f>
        <v>#REF!</v>
      </c>
      <c r="DG107" s="28" t="e">
        <f>#REF!*2</f>
        <v>#REF!</v>
      </c>
      <c r="DH107" s="28" t="e">
        <f>#REF!</f>
        <v>#REF!</v>
      </c>
      <c r="DI107" s="28" t="e">
        <f>#REF!*2</f>
        <v>#REF!</v>
      </c>
      <c r="DJ107" s="28" t="e">
        <f>#REF!</f>
        <v>#REF!</v>
      </c>
      <c r="DK107" s="28" t="e">
        <f>#REF!*2</f>
        <v>#REF!</v>
      </c>
      <c r="DL107" s="28" t="e">
        <f>#REF!</f>
        <v>#REF!</v>
      </c>
      <c r="DM107" s="28" t="e">
        <f>#REF!*2</f>
        <v>#REF!</v>
      </c>
      <c r="DN107" s="27"/>
      <c r="DO107" s="26" t="str" cm="1">
        <f t="array" ref="DO107">_xlfn.IFS(
   OR(CH107="",ISBLANK(CH107),CH107=0),0,
   ISNUMBER(MATCH(CH107,{2,3,5,7,11,13,17,19,23,29,31,37,41,43},0)),"소",
   AND(ISNUMBER(CH107),MOD(CH107,3)=0),"배",
   AND(ISNUMBER(CH107),CH107&gt;0),"자"
)</f>
        <v>자</v>
      </c>
      <c r="DP107" s="26" t="str" cm="1">
        <f t="array" ref="DP107">_xlfn.IFS(
   OR(CI107="",ISBLANK(CI107),CI107=0),0,
   ISNUMBER(MATCH(CI107,{2,3,5,7,11,13,17,19,23,29,31,37,41,43},0)),"소",
   AND(ISNUMBER(CI107),MOD(CI107,3)=0),"배",
   AND(ISNUMBER(CI107),CI107&gt;0),"자"
)</f>
        <v>자</v>
      </c>
      <c r="DQ107" s="26" t="str" cm="1">
        <f t="array" ref="DQ107">_xlfn.IFS(
   OR(CJ107="",ISBLANK(CJ107),CJ107=0),0,
   ISNUMBER(MATCH(CJ107,{2,3,5,7,11,13,17,19,23,29,31,37,41,43},0)),"소",
   AND(ISNUMBER(CJ107),MOD(CJ107,3)=0),"배",
   AND(ISNUMBER(CJ107),CJ107&gt;0),"자"
)</f>
        <v>소</v>
      </c>
      <c r="DR107" s="26" t="str" cm="1">
        <f t="array" ref="DR107">_xlfn.IFS(
   OR(CK107="",ISBLANK(CK107),CK107=0),0,
   ISNUMBER(MATCH(CK107,{2,3,5,7,11,13,17,19,23,29,31,37,41,43},0)),"소",
   AND(ISNUMBER(CK107),MOD(CK107,3)=0),"배",
   AND(ISNUMBER(CK107),CK107&gt;0),"자"
)</f>
        <v>소</v>
      </c>
      <c r="DS107" s="26" t="str" cm="1">
        <f t="array" ref="DS107">_xlfn.IFS(
   OR(CL107="",ISBLANK(CL107),CL107=0),0,
   ISNUMBER(MATCH(CL107,{2,3,5,7,11,13,17,19,23,29,31,37,41,43},0)),"소",
   AND(ISNUMBER(CL107),MOD(CL107,3)=0),"배",
   AND(ISNUMBER(CL107),CL107&gt;0),"자"
)</f>
        <v>소</v>
      </c>
      <c r="DT107" s="25"/>
    </row>
    <row r="108" spans="2:124" x14ac:dyDescent="0.3">
      <c r="B108" s="3">
        <v>9</v>
      </c>
      <c r="C108" s="3">
        <v>19</v>
      </c>
      <c r="D108" s="3">
        <v>29</v>
      </c>
      <c r="E108" s="3">
        <v>35</v>
      </c>
      <c r="F108" s="3">
        <v>37</v>
      </c>
      <c r="G108" s="3">
        <v>38</v>
      </c>
      <c r="H108" s="32"/>
      <c r="I108" s="3">
        <f>IF(OR(B108="",ISBLANK(B108),B108=0),0,IF(MOD(B108,2)=1,1,2))</f>
        <v>1</v>
      </c>
      <c r="J108" s="3">
        <f>IF(OR(C108="",ISBLANK(C108),C108=0),0,IF(MOD(C108,2)=1,1,2))</f>
        <v>1</v>
      </c>
      <c r="K108" s="3">
        <f>IF(OR(D108="",ISBLANK(D108),D108=0),0,IF(MOD(D108,2)=1,1,2))</f>
        <v>1</v>
      </c>
      <c r="L108" s="3">
        <f>IF(OR(E108="",ISBLANK(E108),E108=0),0,IF(MOD(E108,2)=1,1,2))</f>
        <v>1</v>
      </c>
      <c r="M108" s="3">
        <f>IF(OR(F108="",ISBLANK(F108),F108=0),0,IF(MOD(F108,2)=1,1,2))</f>
        <v>1</v>
      </c>
      <c r="N108" s="3">
        <f>IF(OR(G108="",ISBLANK(G108),G108=0),0,IF(MOD(G108,2)=1,1,2))</f>
        <v>2</v>
      </c>
      <c r="O108" s="32"/>
      <c r="P108" s="3" cm="1">
        <f t="array" ref="P108">SUMPRODUCT(--(MOD(B108:G108,2)=1))</f>
        <v>5</v>
      </c>
      <c r="Q108" s="3">
        <f>6-P108</f>
        <v>1</v>
      </c>
      <c r="R108" s="34"/>
      <c r="S108" s="3">
        <f>COUNTIFS(B108:G108,"&gt;=1",B108:G108,"&lt;=23")</f>
        <v>2</v>
      </c>
      <c r="T108" s="3">
        <f>6-S108</f>
        <v>4</v>
      </c>
      <c r="U108" s="34"/>
      <c r="V108" s="3" cm="1">
        <f t="array" ref="V108">SUMPRODUCT(--(MOD(B108:G108,10)&gt;=1), --(MOD(B108:G108,10)&lt;=5))</f>
        <v>1</v>
      </c>
      <c r="W108" s="3">
        <f>6-V108</f>
        <v>5</v>
      </c>
      <c r="X108" s="34"/>
      <c r="Y108" s="3" cm="1">
        <f t="array" ref="Y108">IFERROR(COUNT(_xlfn._xlws.FILTER(B108:G108, ISNUMBER(MATCH(B108:G108, {2,3,5,7,11,13,17,19,23,29,31,37,41,43}, 0)))), 0)</f>
        <v>3</v>
      </c>
      <c r="Z108" s="3" cm="1">
        <f t="array" ref="Z108">IFERROR(COUNT(_xlfn._xlws.FILTER(B108:G108, ISNUMBER(MATCH(B108:G108, {1,4,8,10,14,16,20,22,25,26,28,32,34,35,38,40,44}, 0)))), 0)</f>
        <v>2</v>
      </c>
      <c r="AA108" s="3" cm="1">
        <f t="array" ref="AA108">IFERROR(COUNT(_xlfn._xlws.FILTER(B108:G108, ISNUMBER(MATCH(B108:G108, {6,9,12,15,18,21,24,27,30,33,36,39,42,45}, 0)))), 0)</f>
        <v>1</v>
      </c>
      <c r="AB108" s="30"/>
      <c r="AC108" s="26" t="str" cm="1">
        <f t="array" ref="AC108">_xlfn.IFS(
   OR(B108="",ISBLANK(B108),B108=0),0,
   ISNUMBER(MATCH(B108,{2,3,5,7,11,13,17,19,23,29,31,37,41,43},0)),"소",
   AND(ISNUMBER(B108),MOD(B108,3)=0),"배",
   AND(ISNUMBER(B108),B108&gt;0),"자"
)</f>
        <v>배</v>
      </c>
      <c r="AD108" s="26" t="str" cm="1">
        <f t="array" ref="AD108">_xlfn.IFS(
   OR(C108="",ISBLANK(C108),C108=0),0,
   ISNUMBER(MATCH(C108,{2,3,5,7,11,13,17,19,23,29,31,37,41,43},0)),"소",
   AND(ISNUMBER(C108),MOD(C108,3)=0),"배",
   AND(ISNUMBER(C108),C108&gt;0),"자"
)</f>
        <v>소</v>
      </c>
      <c r="AE108" s="26" t="str" cm="1">
        <f t="array" ref="AE108">_xlfn.IFS(
   OR(D108="",ISBLANK(D108),D108=0),0,
   ISNUMBER(MATCH(D108,{2,3,5,7,11,13,17,19,23,29,31,37,41,43},0)),"소",
   AND(ISNUMBER(D108),MOD(D108,3)=0),"배",
   AND(ISNUMBER(D108),D108&gt;0),"자"
)</f>
        <v>소</v>
      </c>
      <c r="AF108" s="26" t="str" cm="1">
        <f t="array" ref="AF108">_xlfn.IFS(
   OR(E108="",ISBLANK(E108),E108=0),0,
   ISNUMBER(MATCH(E108,{2,3,5,7,11,13,17,19,23,29,31,37,41,43},0)),"소",
   AND(ISNUMBER(E108),MOD(E108,3)=0),"배",
   AND(ISNUMBER(E108),E108&gt;0),"자"
)</f>
        <v>자</v>
      </c>
      <c r="AG108" s="26" t="str" cm="1">
        <f t="array" ref="AG108">_xlfn.IFS(
   OR(F108="",ISBLANK(F108),F108=0),0,
   ISNUMBER(MATCH(F108,{2,3,5,7,11,13,17,19,23,29,31,37,41,43},0)),"소",
   AND(ISNUMBER(F108),MOD(F108,3)=0),"배",
   AND(ISNUMBER(F108),F108&gt;0),"자"
)</f>
        <v>소</v>
      </c>
      <c r="AH108" s="26" t="str" cm="1">
        <f t="array" ref="AH108">_xlfn.IFS(
   OR(G108="",ISBLANK(G108),G108=0),0,
   ISNUMBER(MATCH(G108,{2,3,5,7,11,13,17,19,23,29,31,37,41,43},0)),"소",
   AND(ISNUMBER(G108),MOD(G108,3)=0),"배",
   AND(ISNUMBER(G108),G108&gt;0),"자"
)</f>
        <v>자</v>
      </c>
      <c r="AI108" s="30"/>
      <c r="AJ108" s="3">
        <f>COUNTIFS(B108:G108,"&gt;=1",B108:G108,"&lt;=14")</f>
        <v>1</v>
      </c>
      <c r="AK108" s="3">
        <f>COUNTIFS(B108:G108,"&gt;=15",B108:G108,"&lt;=31")</f>
        <v>2</v>
      </c>
      <c r="AL108" s="3">
        <f>6-AK108-AJ108</f>
        <v>3</v>
      </c>
      <c r="AM108" s="33"/>
      <c r="AN108" s="3">
        <f>COUNTIFS($B108:$G108, "&gt;=1",$B108:$G108, "&lt;=9")</f>
        <v>1</v>
      </c>
      <c r="AO108" s="3">
        <f>COUNTIFS($B108:$G108, "&gt;=10",$B108:$G108, "&lt;=18")</f>
        <v>0</v>
      </c>
      <c r="AP108" s="3">
        <f>COUNTIFS($B108:$G108, "&gt;=19",$B108:$G108, "&lt;=27")</f>
        <v>1</v>
      </c>
      <c r="AQ108" s="3">
        <f>COUNTIFS($B108:$G108, "&gt;=28",$B108:$G108, "&lt;=36")</f>
        <v>2</v>
      </c>
      <c r="AR108" s="3">
        <f>COUNTIFS($B108:$G108, "&gt;=37",$B108:$G108, "&lt;=45")</f>
        <v>2</v>
      </c>
      <c r="AS108" s="28" t="e">
        <f>#REF!</f>
        <v>#REF!</v>
      </c>
      <c r="AT108" s="28" t="e">
        <f>#REF!*2</f>
        <v>#REF!</v>
      </c>
      <c r="AU108" s="28" t="e">
        <f>#REF!</f>
        <v>#REF!</v>
      </c>
      <c r="AV108" s="28" t="e">
        <f>#REF!*2</f>
        <v>#REF!</v>
      </c>
      <c r="AW108" s="28" t="e">
        <f>#REF!</f>
        <v>#REF!</v>
      </c>
      <c r="AX108" s="28" t="e">
        <f>#REF!*2</f>
        <v>#REF!</v>
      </c>
      <c r="AY108" s="28" t="e">
        <f>#REF!</f>
        <v>#REF!</v>
      </c>
      <c r="AZ108" s="28" t="e">
        <f>#REF!*2</f>
        <v>#REF!</v>
      </c>
      <c r="BA108" s="28" t="e">
        <f>#REF!</f>
        <v>#REF!</v>
      </c>
      <c r="BB108" s="28" t="e">
        <f>#REF!*2</f>
        <v>#REF!</v>
      </c>
      <c r="BC108" s="28" t="e">
        <f>#REF!</f>
        <v>#REF!</v>
      </c>
      <c r="BD108" s="28" t="e">
        <f>#REF!*2</f>
        <v>#REF!</v>
      </c>
      <c r="BE108" s="9" t="e">
        <f>#REF!-#REF!</f>
        <v>#REF!</v>
      </c>
      <c r="BF108" s="9" t="e">
        <f>#REF!-#REF!</f>
        <v>#REF!</v>
      </c>
      <c r="BG108" s="9" t="e">
        <f>#REF!-#REF!</f>
        <v>#REF!</v>
      </c>
      <c r="BH108" s="9" t="e">
        <f>#REF!-#REF!</f>
        <v>#REF!</v>
      </c>
      <c r="BI108" s="9" t="e">
        <f>#REF!-#REF!</f>
        <v>#REF!</v>
      </c>
      <c r="BJ108" s="33"/>
      <c r="BK108" s="3">
        <f>COUNTIFS(B108:G108, "&gt;=1", B108:G108, "&lt;=9")</f>
        <v>1</v>
      </c>
      <c r="BL108" s="3">
        <f>COUNTIFS(B108:G108, "&gt;=10", B108:G108, "&lt;=19")</f>
        <v>1</v>
      </c>
      <c r="BM108" s="3">
        <f>COUNTIFS(B108:G108, "&gt;=20", B108:G108, "&lt;=29")</f>
        <v>1</v>
      </c>
      <c r="BN108" s="3">
        <f>COUNTIFS(B108:G108, "&gt;=30", B108:G108, "&lt;=39")</f>
        <v>3</v>
      </c>
      <c r="BO108" s="3">
        <f>COUNTIFS(B108:G108, "&gt;=40", B108:G108, "&lt;=45")</f>
        <v>0</v>
      </c>
      <c r="BP108" s="28" t="e">
        <f>#REF!</f>
        <v>#REF!</v>
      </c>
      <c r="BQ108" s="28" t="e">
        <f>#REF!*2</f>
        <v>#REF!</v>
      </c>
      <c r="BR108" s="28" t="e">
        <f>#REF!</f>
        <v>#REF!</v>
      </c>
      <c r="BS108" s="28" t="e">
        <f>#REF!*2</f>
        <v>#REF!</v>
      </c>
      <c r="BT108" s="28" t="e">
        <f>#REF!</f>
        <v>#REF!</v>
      </c>
      <c r="BU108" s="28" t="e">
        <f>#REF!*2</f>
        <v>#REF!</v>
      </c>
      <c r="BV108" s="28" t="e">
        <f>#REF!</f>
        <v>#REF!</v>
      </c>
      <c r="BW108" s="28" t="e">
        <f>#REF!*2</f>
        <v>#REF!</v>
      </c>
      <c r="BX108" s="28" t="e">
        <f>#REF!</f>
        <v>#REF!</v>
      </c>
      <c r="BY108" s="28" t="e">
        <f>#REF!*2</f>
        <v>#REF!</v>
      </c>
      <c r="BZ108" s="28" t="e">
        <f>#REF!</f>
        <v>#REF!</v>
      </c>
      <c r="CA108" s="28" t="e">
        <f>#REF!*2</f>
        <v>#REF!</v>
      </c>
      <c r="CB108" s="9">
        <f>C108-B108</f>
        <v>10</v>
      </c>
      <c r="CC108" s="9">
        <f>D108-C108</f>
        <v>10</v>
      </c>
      <c r="CD108" s="9">
        <f>E108-D108</f>
        <v>6</v>
      </c>
      <c r="CE108" s="9">
        <f>F108-E108</f>
        <v>2</v>
      </c>
      <c r="CF108" s="9">
        <f>G108-F108</f>
        <v>1</v>
      </c>
      <c r="CG108" s="33"/>
      <c r="CH108" s="9">
        <f>C108-B108</f>
        <v>10</v>
      </c>
      <c r="CI108" s="9">
        <f>D108-C108</f>
        <v>10</v>
      </c>
      <c r="CJ108" s="9">
        <f>E108-D108</f>
        <v>6</v>
      </c>
      <c r="CK108" s="9">
        <f>F108-E108</f>
        <v>2</v>
      </c>
      <c r="CL108" s="9">
        <f>G108-F108</f>
        <v>1</v>
      </c>
      <c r="CM108" s="32"/>
      <c r="CN108" s="3">
        <f>IF(OR(CH108="",ISBLANK(CH108),CH108=0),0,IF(MOD(CH108,2)=1,1,2))</f>
        <v>2</v>
      </c>
      <c r="CO108" s="3">
        <f>IF(OR(CI108="",ISBLANK(CI108),CI108=0),0,IF(MOD(CI108,2)=1,1,2))</f>
        <v>2</v>
      </c>
      <c r="CP108" s="3">
        <f>IF(OR(CJ108="",ISBLANK(CJ108),CJ108=0),0,IF(MOD(CJ108,2)=1,1,2))</f>
        <v>2</v>
      </c>
      <c r="CQ108" s="3">
        <f>IF(OR(CK108="",ISBLANK(CK108),CK108=0),0,IF(MOD(CK108,2)=1,1,2))</f>
        <v>2</v>
      </c>
      <c r="CR108" s="3">
        <f>IF(OR(CL108="",ISBLANK(CL108),CL108=0),0,IF(MOD(CL108,2)=1,1,2))</f>
        <v>1</v>
      </c>
      <c r="CS108" s="31"/>
      <c r="CT108" s="3" cm="1">
        <f t="array" ref="CT108">SUMPRODUCT(--(MOD(CH108:CL108,2)=1))</f>
        <v>1</v>
      </c>
      <c r="CU108" s="3">
        <f>5-CT108</f>
        <v>4</v>
      </c>
      <c r="CV108" s="30"/>
      <c r="CW108" s="3" cm="1">
        <f t="array" ref="CW108">SUMPRODUCT(--(MOD(CH108:CL108,10)&gt;=1), --(MOD(CH108:CL108,10)&lt;=5))</f>
        <v>2</v>
      </c>
      <c r="CX108" s="3">
        <f>5-CW108</f>
        <v>3</v>
      </c>
      <c r="CY108" s="30"/>
      <c r="CZ108" s="3" cm="1">
        <f t="array" ref="CZ108">IFERROR(COUNT(_xlfn._xlws.FILTER(CH108:CL108, ISNUMBER(MATCH(CH108:CL108, {2,3,5,7,11,13,17,19,23,29,31,37,41,43}, 0)))), 0)</f>
        <v>1</v>
      </c>
      <c r="DA108" s="3" cm="1">
        <f t="array" ref="DA108">IFERROR(COUNT(_xlfn._xlws.FILTER(CH108:CL108, ISNUMBER(MATCH(CH108:CL108, {1,4,8,10,14,16,20,22,25,26,28,32,34,35,38,40,44}, 0)))), 0)</f>
        <v>3</v>
      </c>
      <c r="DB108" s="3" cm="1">
        <f t="array" ref="DB108">IFERROR(COUNT(_xlfn._xlws.FILTER(CH108:CL108, ISNUMBER(MATCH(CH108:CL108, {6,9,12,15,18,21,24,27,30,33,36,39,42,45}, 0)))), 0)</f>
        <v>1</v>
      </c>
      <c r="DC108" s="29"/>
      <c r="DD108" s="28" t="e">
        <f>#REF!</f>
        <v>#REF!</v>
      </c>
      <c r="DE108" s="28" t="e">
        <f>#REF!*2</f>
        <v>#REF!</v>
      </c>
      <c r="DF108" s="28" t="e">
        <f>#REF!</f>
        <v>#REF!</v>
      </c>
      <c r="DG108" s="28" t="e">
        <f>#REF!*2</f>
        <v>#REF!</v>
      </c>
      <c r="DH108" s="28" t="e">
        <f>#REF!</f>
        <v>#REF!</v>
      </c>
      <c r="DI108" s="28" t="e">
        <f>#REF!*2</f>
        <v>#REF!</v>
      </c>
      <c r="DJ108" s="28" t="e">
        <f>#REF!</f>
        <v>#REF!</v>
      </c>
      <c r="DK108" s="28" t="e">
        <f>#REF!*2</f>
        <v>#REF!</v>
      </c>
      <c r="DL108" s="28" t="e">
        <f>#REF!</f>
        <v>#REF!</v>
      </c>
      <c r="DM108" s="28" t="e">
        <f>#REF!*2</f>
        <v>#REF!</v>
      </c>
      <c r="DN108" s="27"/>
      <c r="DO108" s="26" t="str" cm="1">
        <f t="array" ref="DO108">_xlfn.IFS(
   OR(CH108="",ISBLANK(CH108),CH108=0),0,
   ISNUMBER(MATCH(CH108,{2,3,5,7,11,13,17,19,23,29,31,37,41,43},0)),"소",
   AND(ISNUMBER(CH108),MOD(CH108,3)=0),"배",
   AND(ISNUMBER(CH108),CH108&gt;0),"자"
)</f>
        <v>자</v>
      </c>
      <c r="DP108" s="26" t="str" cm="1">
        <f t="array" ref="DP108">_xlfn.IFS(
   OR(CI108="",ISBLANK(CI108),CI108=0),0,
   ISNUMBER(MATCH(CI108,{2,3,5,7,11,13,17,19,23,29,31,37,41,43},0)),"소",
   AND(ISNUMBER(CI108),MOD(CI108,3)=0),"배",
   AND(ISNUMBER(CI108),CI108&gt;0),"자"
)</f>
        <v>자</v>
      </c>
      <c r="DQ108" s="26" t="str" cm="1">
        <f t="array" ref="DQ108">_xlfn.IFS(
   OR(CJ108="",ISBLANK(CJ108),CJ108=0),0,
   ISNUMBER(MATCH(CJ108,{2,3,5,7,11,13,17,19,23,29,31,37,41,43},0)),"소",
   AND(ISNUMBER(CJ108),MOD(CJ108,3)=0),"배",
   AND(ISNUMBER(CJ108),CJ108&gt;0),"자"
)</f>
        <v>배</v>
      </c>
      <c r="DR108" s="26" t="str" cm="1">
        <f t="array" ref="DR108">_xlfn.IFS(
   OR(CK108="",ISBLANK(CK108),CK108=0),0,
   ISNUMBER(MATCH(CK108,{2,3,5,7,11,13,17,19,23,29,31,37,41,43},0)),"소",
   AND(ISNUMBER(CK108),MOD(CK108,3)=0),"배",
   AND(ISNUMBER(CK108),CK108&gt;0),"자"
)</f>
        <v>소</v>
      </c>
      <c r="DS108" s="26" t="str" cm="1">
        <f t="array" ref="DS108">_xlfn.IFS(
   OR(CL108="",ISBLANK(CL108),CL108=0),0,
   ISNUMBER(MATCH(CL108,{2,3,5,7,11,13,17,19,23,29,31,37,41,43},0)),"소",
   AND(ISNUMBER(CL108),MOD(CL108,3)=0),"배",
   AND(ISNUMBER(CL108),CL108&gt;0),"자"
)</f>
        <v>자</v>
      </c>
      <c r="DT108" s="25"/>
    </row>
    <row r="109" spans="2:124" x14ac:dyDescent="0.3">
      <c r="B109" s="3">
        <v>7</v>
      </c>
      <c r="C109" s="3">
        <v>9</v>
      </c>
      <c r="D109" s="3">
        <v>19</v>
      </c>
      <c r="E109" s="3">
        <v>23</v>
      </c>
      <c r="F109" s="3">
        <v>26</v>
      </c>
      <c r="G109" s="3">
        <v>45</v>
      </c>
      <c r="H109" s="32"/>
      <c r="I109" s="3">
        <f>IF(OR(B109="",ISBLANK(B109),B109=0),0,IF(MOD(B109,2)=1,1,2))</f>
        <v>1</v>
      </c>
      <c r="J109" s="3">
        <f>IF(OR(C109="",ISBLANK(C109),C109=0),0,IF(MOD(C109,2)=1,1,2))</f>
        <v>1</v>
      </c>
      <c r="K109" s="3">
        <f>IF(OR(D109="",ISBLANK(D109),D109=0),0,IF(MOD(D109,2)=1,1,2))</f>
        <v>1</v>
      </c>
      <c r="L109" s="3">
        <f>IF(OR(E109="",ISBLANK(E109),E109=0),0,IF(MOD(E109,2)=1,1,2))</f>
        <v>1</v>
      </c>
      <c r="M109" s="3">
        <f>IF(OR(F109="",ISBLANK(F109),F109=0),0,IF(MOD(F109,2)=1,1,2))</f>
        <v>2</v>
      </c>
      <c r="N109" s="3">
        <f>IF(OR(G109="",ISBLANK(G109),G109=0),0,IF(MOD(G109,2)=1,1,2))</f>
        <v>1</v>
      </c>
      <c r="O109" s="32"/>
      <c r="P109" s="3" cm="1">
        <f t="array" ref="P109">SUMPRODUCT(--(MOD(B109:G109,2)=1))</f>
        <v>5</v>
      </c>
      <c r="Q109" s="3">
        <f>6-P109</f>
        <v>1</v>
      </c>
      <c r="R109" s="34"/>
      <c r="S109" s="3">
        <f>COUNTIFS(B109:G109,"&gt;=1",B109:G109,"&lt;=23")</f>
        <v>4</v>
      </c>
      <c r="T109" s="3">
        <f>6-S109</f>
        <v>2</v>
      </c>
      <c r="U109" s="34"/>
      <c r="V109" s="3" cm="1">
        <f t="array" ref="V109">SUMPRODUCT(--(MOD(B109:G109,10)&gt;=1), --(MOD(B109:G109,10)&lt;=5))</f>
        <v>2</v>
      </c>
      <c r="W109" s="3">
        <f>6-V109</f>
        <v>4</v>
      </c>
      <c r="X109" s="34"/>
      <c r="Y109" s="3" cm="1">
        <f t="array" ref="Y109">IFERROR(COUNT(_xlfn._xlws.FILTER(B109:G109, ISNUMBER(MATCH(B109:G109, {2,3,5,7,11,13,17,19,23,29,31,37,41,43}, 0)))), 0)</f>
        <v>3</v>
      </c>
      <c r="Z109" s="3" cm="1">
        <f t="array" ref="Z109">IFERROR(COUNT(_xlfn._xlws.FILTER(B109:G109, ISNUMBER(MATCH(B109:G109, {1,4,8,10,14,16,20,22,25,26,28,32,34,35,38,40,44}, 0)))), 0)</f>
        <v>1</v>
      </c>
      <c r="AA109" s="3" cm="1">
        <f t="array" ref="AA109">IFERROR(COUNT(_xlfn._xlws.FILTER(B109:G109, ISNUMBER(MATCH(B109:G109, {6,9,12,15,18,21,24,27,30,33,36,39,42,45}, 0)))), 0)</f>
        <v>2</v>
      </c>
      <c r="AB109" s="30"/>
      <c r="AC109" s="26" t="str" cm="1">
        <f t="array" ref="AC109">_xlfn.IFS(
   OR(B109="",ISBLANK(B109),B109=0),0,
   ISNUMBER(MATCH(B109,{2,3,5,7,11,13,17,19,23,29,31,37,41,43},0)),"소",
   AND(ISNUMBER(B109),MOD(B109,3)=0),"배",
   AND(ISNUMBER(B109),B109&gt;0),"자"
)</f>
        <v>소</v>
      </c>
      <c r="AD109" s="26" t="str" cm="1">
        <f t="array" ref="AD109">_xlfn.IFS(
   OR(C109="",ISBLANK(C109),C109=0),0,
   ISNUMBER(MATCH(C109,{2,3,5,7,11,13,17,19,23,29,31,37,41,43},0)),"소",
   AND(ISNUMBER(C109),MOD(C109,3)=0),"배",
   AND(ISNUMBER(C109),C109&gt;0),"자"
)</f>
        <v>배</v>
      </c>
      <c r="AE109" s="26" t="str" cm="1">
        <f t="array" ref="AE109">_xlfn.IFS(
   OR(D109="",ISBLANK(D109),D109=0),0,
   ISNUMBER(MATCH(D109,{2,3,5,7,11,13,17,19,23,29,31,37,41,43},0)),"소",
   AND(ISNUMBER(D109),MOD(D109,3)=0),"배",
   AND(ISNUMBER(D109),D109&gt;0),"자"
)</f>
        <v>소</v>
      </c>
      <c r="AF109" s="26" t="str" cm="1">
        <f t="array" ref="AF109">_xlfn.IFS(
   OR(E109="",ISBLANK(E109),E109=0),0,
   ISNUMBER(MATCH(E109,{2,3,5,7,11,13,17,19,23,29,31,37,41,43},0)),"소",
   AND(ISNUMBER(E109),MOD(E109,3)=0),"배",
   AND(ISNUMBER(E109),E109&gt;0),"자"
)</f>
        <v>소</v>
      </c>
      <c r="AG109" s="26" t="str" cm="1">
        <f t="array" ref="AG109">_xlfn.IFS(
   OR(F109="",ISBLANK(F109),F109=0),0,
   ISNUMBER(MATCH(F109,{2,3,5,7,11,13,17,19,23,29,31,37,41,43},0)),"소",
   AND(ISNUMBER(F109),MOD(F109,3)=0),"배",
   AND(ISNUMBER(F109),F109&gt;0),"자"
)</f>
        <v>자</v>
      </c>
      <c r="AH109" s="26" t="str" cm="1">
        <f t="array" ref="AH109">_xlfn.IFS(
   OR(G109="",ISBLANK(G109),G109=0),0,
   ISNUMBER(MATCH(G109,{2,3,5,7,11,13,17,19,23,29,31,37,41,43},0)),"소",
   AND(ISNUMBER(G109),MOD(G109,3)=0),"배",
   AND(ISNUMBER(G109),G109&gt;0),"자"
)</f>
        <v>배</v>
      </c>
      <c r="AI109" s="30"/>
      <c r="AJ109" s="3">
        <f>COUNTIFS(B109:G109,"&gt;=1",B109:G109,"&lt;=14")</f>
        <v>2</v>
      </c>
      <c r="AK109" s="3">
        <f>COUNTIFS(B109:G109,"&gt;=15",B109:G109,"&lt;=31")</f>
        <v>3</v>
      </c>
      <c r="AL109" s="3">
        <f>6-AK109-AJ109</f>
        <v>1</v>
      </c>
      <c r="AM109" s="33"/>
      <c r="AN109" s="3">
        <f>COUNTIFS($B109:$G109, "&gt;=1",$B109:$G109, "&lt;=9")</f>
        <v>2</v>
      </c>
      <c r="AO109" s="3">
        <f>COUNTIFS($B109:$G109, "&gt;=10",$B109:$G109, "&lt;=18")</f>
        <v>0</v>
      </c>
      <c r="AP109" s="3">
        <f>COUNTIFS($B109:$G109, "&gt;=19",$B109:$G109, "&lt;=27")</f>
        <v>3</v>
      </c>
      <c r="AQ109" s="3">
        <f>COUNTIFS($B109:$G109, "&gt;=28",$B109:$G109, "&lt;=36")</f>
        <v>0</v>
      </c>
      <c r="AR109" s="3">
        <f>COUNTIFS($B109:$G109, "&gt;=37",$B109:$G109, "&lt;=45")</f>
        <v>1</v>
      </c>
      <c r="AS109" s="28" t="e">
        <f>#REF!</f>
        <v>#REF!</v>
      </c>
      <c r="AT109" s="28" t="e">
        <f>#REF!*2</f>
        <v>#REF!</v>
      </c>
      <c r="AU109" s="28" t="e">
        <f>#REF!</f>
        <v>#REF!</v>
      </c>
      <c r="AV109" s="28" t="e">
        <f>#REF!*2</f>
        <v>#REF!</v>
      </c>
      <c r="AW109" s="28" t="e">
        <f>#REF!</f>
        <v>#REF!</v>
      </c>
      <c r="AX109" s="28" t="e">
        <f>#REF!*2</f>
        <v>#REF!</v>
      </c>
      <c r="AY109" s="28" t="e">
        <f>#REF!</f>
        <v>#REF!</v>
      </c>
      <c r="AZ109" s="28" t="e">
        <f>#REF!*2</f>
        <v>#REF!</v>
      </c>
      <c r="BA109" s="28" t="e">
        <f>#REF!</f>
        <v>#REF!</v>
      </c>
      <c r="BB109" s="28" t="e">
        <f>#REF!*2</f>
        <v>#REF!</v>
      </c>
      <c r="BC109" s="28" t="e">
        <f>#REF!</f>
        <v>#REF!</v>
      </c>
      <c r="BD109" s="28" t="e">
        <f>#REF!*2</f>
        <v>#REF!</v>
      </c>
      <c r="BE109" s="9" t="e">
        <f>#REF!-#REF!</f>
        <v>#REF!</v>
      </c>
      <c r="BF109" s="9" t="e">
        <f>#REF!-#REF!</f>
        <v>#REF!</v>
      </c>
      <c r="BG109" s="9" t="e">
        <f>#REF!-#REF!</f>
        <v>#REF!</v>
      </c>
      <c r="BH109" s="9" t="e">
        <f>#REF!-#REF!</f>
        <v>#REF!</v>
      </c>
      <c r="BI109" s="9" t="e">
        <f>#REF!-#REF!</f>
        <v>#REF!</v>
      </c>
      <c r="BJ109" s="33"/>
      <c r="BK109" s="3">
        <f>COUNTIFS(B109:G109, "&gt;=1", B109:G109, "&lt;=9")</f>
        <v>2</v>
      </c>
      <c r="BL109" s="3">
        <f>COUNTIFS(B109:G109, "&gt;=10", B109:G109, "&lt;=19")</f>
        <v>1</v>
      </c>
      <c r="BM109" s="3">
        <f>COUNTIFS(B109:G109, "&gt;=20", B109:G109, "&lt;=29")</f>
        <v>2</v>
      </c>
      <c r="BN109" s="3">
        <f>COUNTIFS(B109:G109, "&gt;=30", B109:G109, "&lt;=39")</f>
        <v>0</v>
      </c>
      <c r="BO109" s="3">
        <f>COUNTIFS(B109:G109, "&gt;=40", B109:G109, "&lt;=45")</f>
        <v>1</v>
      </c>
      <c r="BP109" s="28" t="e">
        <f>#REF!</f>
        <v>#REF!</v>
      </c>
      <c r="BQ109" s="28" t="e">
        <f>#REF!*2</f>
        <v>#REF!</v>
      </c>
      <c r="BR109" s="28" t="e">
        <f>#REF!</f>
        <v>#REF!</v>
      </c>
      <c r="BS109" s="28" t="e">
        <f>#REF!*2</f>
        <v>#REF!</v>
      </c>
      <c r="BT109" s="28" t="e">
        <f>#REF!</f>
        <v>#REF!</v>
      </c>
      <c r="BU109" s="28" t="e">
        <f>#REF!*2</f>
        <v>#REF!</v>
      </c>
      <c r="BV109" s="28" t="e">
        <f>#REF!</f>
        <v>#REF!</v>
      </c>
      <c r="BW109" s="28" t="e">
        <f>#REF!*2</f>
        <v>#REF!</v>
      </c>
      <c r="BX109" s="28" t="e">
        <f>#REF!</f>
        <v>#REF!</v>
      </c>
      <c r="BY109" s="28" t="e">
        <f>#REF!*2</f>
        <v>#REF!</v>
      </c>
      <c r="BZ109" s="28" t="e">
        <f>#REF!</f>
        <v>#REF!</v>
      </c>
      <c r="CA109" s="28" t="e">
        <f>#REF!*2</f>
        <v>#REF!</v>
      </c>
      <c r="CB109" s="9">
        <f>C109-B109</f>
        <v>2</v>
      </c>
      <c r="CC109" s="9">
        <f>D109-C109</f>
        <v>10</v>
      </c>
      <c r="CD109" s="9">
        <f>E109-D109</f>
        <v>4</v>
      </c>
      <c r="CE109" s="9">
        <f>F109-E109</f>
        <v>3</v>
      </c>
      <c r="CF109" s="9">
        <f>G109-F109</f>
        <v>19</v>
      </c>
      <c r="CG109" s="33"/>
      <c r="CH109" s="9">
        <f>C109-B109</f>
        <v>2</v>
      </c>
      <c r="CI109" s="9">
        <f>D109-C109</f>
        <v>10</v>
      </c>
      <c r="CJ109" s="9">
        <f>E109-D109</f>
        <v>4</v>
      </c>
      <c r="CK109" s="9">
        <f>F109-E109</f>
        <v>3</v>
      </c>
      <c r="CL109" s="9">
        <f>G109-F109</f>
        <v>19</v>
      </c>
      <c r="CM109" s="32"/>
      <c r="CN109" s="3">
        <f>IF(OR(CH109="",ISBLANK(CH109),CH109=0),0,IF(MOD(CH109,2)=1,1,2))</f>
        <v>2</v>
      </c>
      <c r="CO109" s="3">
        <f>IF(OR(CI109="",ISBLANK(CI109),CI109=0),0,IF(MOD(CI109,2)=1,1,2))</f>
        <v>2</v>
      </c>
      <c r="CP109" s="3">
        <f>IF(OR(CJ109="",ISBLANK(CJ109),CJ109=0),0,IF(MOD(CJ109,2)=1,1,2))</f>
        <v>2</v>
      </c>
      <c r="CQ109" s="3">
        <f>IF(OR(CK109="",ISBLANK(CK109),CK109=0),0,IF(MOD(CK109,2)=1,1,2))</f>
        <v>1</v>
      </c>
      <c r="CR109" s="3">
        <f>IF(OR(CL109="",ISBLANK(CL109),CL109=0),0,IF(MOD(CL109,2)=1,1,2))</f>
        <v>1</v>
      </c>
      <c r="CS109" s="31"/>
      <c r="CT109" s="3" cm="1">
        <f t="array" ref="CT109">SUMPRODUCT(--(MOD(CH109:CL109,2)=1))</f>
        <v>2</v>
      </c>
      <c r="CU109" s="3">
        <f>5-CT109</f>
        <v>3</v>
      </c>
      <c r="CV109" s="30"/>
      <c r="CW109" s="3" cm="1">
        <f t="array" ref="CW109">SUMPRODUCT(--(MOD(CH109:CL109,10)&gt;=1), --(MOD(CH109:CL109,10)&lt;=5))</f>
        <v>3</v>
      </c>
      <c r="CX109" s="3">
        <f>5-CW109</f>
        <v>2</v>
      </c>
      <c r="CY109" s="30"/>
      <c r="CZ109" s="3" cm="1">
        <f t="array" ref="CZ109">IFERROR(COUNT(_xlfn._xlws.FILTER(CH109:CL109, ISNUMBER(MATCH(CH109:CL109, {2,3,5,7,11,13,17,19,23,29,31,37,41,43}, 0)))), 0)</f>
        <v>3</v>
      </c>
      <c r="DA109" s="3" cm="1">
        <f t="array" ref="DA109">IFERROR(COUNT(_xlfn._xlws.FILTER(CH109:CL109, ISNUMBER(MATCH(CH109:CL109, {1,4,8,10,14,16,20,22,25,26,28,32,34,35,38,40,44}, 0)))), 0)</f>
        <v>2</v>
      </c>
      <c r="DB109" s="3" cm="1">
        <f t="array" ref="DB109">IFERROR(COUNT(_xlfn._xlws.FILTER(CH109:CL109, ISNUMBER(MATCH(CH109:CL109, {6,9,12,15,18,21,24,27,30,33,36,39,42,45}, 0)))), 0)</f>
        <v>0</v>
      </c>
      <c r="DC109" s="29"/>
      <c r="DD109" s="28" t="e">
        <f>#REF!</f>
        <v>#REF!</v>
      </c>
      <c r="DE109" s="28" t="e">
        <f>#REF!*2</f>
        <v>#REF!</v>
      </c>
      <c r="DF109" s="28" t="e">
        <f>#REF!</f>
        <v>#REF!</v>
      </c>
      <c r="DG109" s="28" t="e">
        <f>#REF!*2</f>
        <v>#REF!</v>
      </c>
      <c r="DH109" s="28" t="e">
        <f>#REF!</f>
        <v>#REF!</v>
      </c>
      <c r="DI109" s="28" t="e">
        <f>#REF!*2</f>
        <v>#REF!</v>
      </c>
      <c r="DJ109" s="28" t="e">
        <f>#REF!</f>
        <v>#REF!</v>
      </c>
      <c r="DK109" s="28" t="e">
        <f>#REF!*2</f>
        <v>#REF!</v>
      </c>
      <c r="DL109" s="28" t="e">
        <f>#REF!</f>
        <v>#REF!</v>
      </c>
      <c r="DM109" s="28" t="e">
        <f>#REF!*2</f>
        <v>#REF!</v>
      </c>
      <c r="DN109" s="27"/>
      <c r="DO109" s="26" t="str" cm="1">
        <f t="array" ref="DO109">_xlfn.IFS(
   OR(CH109="",ISBLANK(CH109),CH109=0),0,
   ISNUMBER(MATCH(CH109,{2,3,5,7,11,13,17,19,23,29,31,37,41,43},0)),"소",
   AND(ISNUMBER(CH109),MOD(CH109,3)=0),"배",
   AND(ISNUMBER(CH109),CH109&gt;0),"자"
)</f>
        <v>소</v>
      </c>
      <c r="DP109" s="26" t="str" cm="1">
        <f t="array" ref="DP109">_xlfn.IFS(
   OR(CI109="",ISBLANK(CI109),CI109=0),0,
   ISNUMBER(MATCH(CI109,{2,3,5,7,11,13,17,19,23,29,31,37,41,43},0)),"소",
   AND(ISNUMBER(CI109),MOD(CI109,3)=0),"배",
   AND(ISNUMBER(CI109),CI109&gt;0),"자"
)</f>
        <v>자</v>
      </c>
      <c r="DQ109" s="26" t="str" cm="1">
        <f t="array" ref="DQ109">_xlfn.IFS(
   OR(CJ109="",ISBLANK(CJ109),CJ109=0),0,
   ISNUMBER(MATCH(CJ109,{2,3,5,7,11,13,17,19,23,29,31,37,41,43},0)),"소",
   AND(ISNUMBER(CJ109),MOD(CJ109,3)=0),"배",
   AND(ISNUMBER(CJ109),CJ109&gt;0),"자"
)</f>
        <v>자</v>
      </c>
      <c r="DR109" s="26" t="str" cm="1">
        <f t="array" ref="DR109">_xlfn.IFS(
   OR(CK109="",ISBLANK(CK109),CK109=0),0,
   ISNUMBER(MATCH(CK109,{2,3,5,7,11,13,17,19,23,29,31,37,41,43},0)),"소",
   AND(ISNUMBER(CK109),MOD(CK109,3)=0),"배",
   AND(ISNUMBER(CK109),CK109&gt;0),"자"
)</f>
        <v>소</v>
      </c>
      <c r="DS109" s="26" t="str" cm="1">
        <f t="array" ref="DS109">_xlfn.IFS(
   OR(CL109="",ISBLANK(CL109),CL109=0),0,
   ISNUMBER(MATCH(CL109,{2,3,5,7,11,13,17,19,23,29,31,37,41,43},0)),"소",
   AND(ISNUMBER(CL109),MOD(CL109,3)=0),"배",
   AND(ISNUMBER(CL109),CL109&gt;0),"자"
)</f>
        <v>소</v>
      </c>
      <c r="DT109" s="25"/>
    </row>
    <row r="110" spans="2:124" x14ac:dyDescent="0.3">
      <c r="B110" s="3">
        <v>1</v>
      </c>
      <c r="C110" s="3">
        <v>4</v>
      </c>
      <c r="D110" s="3">
        <v>11</v>
      </c>
      <c r="E110" s="3">
        <v>12</v>
      </c>
      <c r="F110" s="3">
        <v>20</v>
      </c>
      <c r="G110" s="3">
        <v>41</v>
      </c>
      <c r="H110" s="32"/>
      <c r="I110" s="3">
        <f>IF(OR(B110="",ISBLANK(B110),B110=0),0,IF(MOD(B110,2)=1,1,2))</f>
        <v>1</v>
      </c>
      <c r="J110" s="3">
        <f>IF(OR(C110="",ISBLANK(C110),C110=0),0,IF(MOD(C110,2)=1,1,2))</f>
        <v>2</v>
      </c>
      <c r="K110" s="3">
        <f>IF(OR(D110="",ISBLANK(D110),D110=0),0,IF(MOD(D110,2)=1,1,2))</f>
        <v>1</v>
      </c>
      <c r="L110" s="3">
        <f>IF(OR(E110="",ISBLANK(E110),E110=0),0,IF(MOD(E110,2)=1,1,2))</f>
        <v>2</v>
      </c>
      <c r="M110" s="3">
        <f>IF(OR(F110="",ISBLANK(F110),F110=0),0,IF(MOD(F110,2)=1,1,2))</f>
        <v>2</v>
      </c>
      <c r="N110" s="3">
        <f>IF(OR(G110="",ISBLANK(G110),G110=0),0,IF(MOD(G110,2)=1,1,2))</f>
        <v>1</v>
      </c>
      <c r="O110" s="32"/>
      <c r="P110" s="3" cm="1">
        <f t="array" ref="P110">SUMPRODUCT(--(MOD(B110:G110,2)=1))</f>
        <v>3</v>
      </c>
      <c r="Q110" s="3">
        <f>6-P110</f>
        <v>3</v>
      </c>
      <c r="R110" s="34"/>
      <c r="S110" s="3">
        <f>COUNTIFS(B110:G110,"&gt;=1",B110:G110,"&lt;=23")</f>
        <v>5</v>
      </c>
      <c r="T110" s="3">
        <f>6-S110</f>
        <v>1</v>
      </c>
      <c r="U110" s="34"/>
      <c r="V110" s="3" cm="1">
        <f t="array" ref="V110">SUMPRODUCT(--(MOD(B110:G110,10)&gt;=1), --(MOD(B110:G110,10)&lt;=5))</f>
        <v>5</v>
      </c>
      <c r="W110" s="3">
        <f>6-V110</f>
        <v>1</v>
      </c>
      <c r="X110" s="34"/>
      <c r="Y110" s="3" cm="1">
        <f t="array" ref="Y110">IFERROR(COUNT(_xlfn._xlws.FILTER(B110:G110, ISNUMBER(MATCH(B110:G110, {2,3,5,7,11,13,17,19,23,29,31,37,41,43}, 0)))), 0)</f>
        <v>2</v>
      </c>
      <c r="Z110" s="3" cm="1">
        <f t="array" ref="Z110">IFERROR(COUNT(_xlfn._xlws.FILTER(B110:G110, ISNUMBER(MATCH(B110:G110, {1,4,8,10,14,16,20,22,25,26,28,32,34,35,38,40,44}, 0)))), 0)</f>
        <v>3</v>
      </c>
      <c r="AA110" s="3" cm="1">
        <f t="array" ref="AA110">IFERROR(COUNT(_xlfn._xlws.FILTER(B110:G110, ISNUMBER(MATCH(B110:G110, {6,9,12,15,18,21,24,27,30,33,36,39,42,45}, 0)))), 0)</f>
        <v>1</v>
      </c>
      <c r="AB110" s="30"/>
      <c r="AC110" s="26" t="str" cm="1">
        <f t="array" ref="AC110">_xlfn.IFS(
   OR(B110="",ISBLANK(B110),B110=0),0,
   ISNUMBER(MATCH(B110,{2,3,5,7,11,13,17,19,23,29,31,37,41,43},0)),"소",
   AND(ISNUMBER(B110),MOD(B110,3)=0),"배",
   AND(ISNUMBER(B110),B110&gt;0),"자"
)</f>
        <v>자</v>
      </c>
      <c r="AD110" s="26" t="str" cm="1">
        <f t="array" ref="AD110">_xlfn.IFS(
   OR(C110="",ISBLANK(C110),C110=0),0,
   ISNUMBER(MATCH(C110,{2,3,5,7,11,13,17,19,23,29,31,37,41,43},0)),"소",
   AND(ISNUMBER(C110),MOD(C110,3)=0),"배",
   AND(ISNUMBER(C110),C110&gt;0),"자"
)</f>
        <v>자</v>
      </c>
      <c r="AE110" s="26" t="str" cm="1">
        <f t="array" ref="AE110">_xlfn.IFS(
   OR(D110="",ISBLANK(D110),D110=0),0,
   ISNUMBER(MATCH(D110,{2,3,5,7,11,13,17,19,23,29,31,37,41,43},0)),"소",
   AND(ISNUMBER(D110),MOD(D110,3)=0),"배",
   AND(ISNUMBER(D110),D110&gt;0),"자"
)</f>
        <v>소</v>
      </c>
      <c r="AF110" s="26" t="str" cm="1">
        <f t="array" ref="AF110">_xlfn.IFS(
   OR(E110="",ISBLANK(E110),E110=0),0,
   ISNUMBER(MATCH(E110,{2,3,5,7,11,13,17,19,23,29,31,37,41,43},0)),"소",
   AND(ISNUMBER(E110),MOD(E110,3)=0),"배",
   AND(ISNUMBER(E110),E110&gt;0),"자"
)</f>
        <v>배</v>
      </c>
      <c r="AG110" s="26" t="str" cm="1">
        <f t="array" ref="AG110">_xlfn.IFS(
   OR(F110="",ISBLANK(F110),F110=0),0,
   ISNUMBER(MATCH(F110,{2,3,5,7,11,13,17,19,23,29,31,37,41,43},0)),"소",
   AND(ISNUMBER(F110),MOD(F110,3)=0),"배",
   AND(ISNUMBER(F110),F110&gt;0),"자"
)</f>
        <v>자</v>
      </c>
      <c r="AH110" s="26" t="str" cm="1">
        <f t="array" ref="AH110">_xlfn.IFS(
   OR(G110="",ISBLANK(G110),G110=0),0,
   ISNUMBER(MATCH(G110,{2,3,5,7,11,13,17,19,23,29,31,37,41,43},0)),"소",
   AND(ISNUMBER(G110),MOD(G110,3)=0),"배",
   AND(ISNUMBER(G110),G110&gt;0),"자"
)</f>
        <v>소</v>
      </c>
      <c r="AI110" s="30"/>
      <c r="AJ110" s="3">
        <f>COUNTIFS(B110:G110,"&gt;=1",B110:G110,"&lt;=14")</f>
        <v>4</v>
      </c>
      <c r="AK110" s="3">
        <f>COUNTIFS(B110:G110,"&gt;=15",B110:G110,"&lt;=31")</f>
        <v>1</v>
      </c>
      <c r="AL110" s="3">
        <f>6-AK110-AJ110</f>
        <v>1</v>
      </c>
      <c r="AM110" s="33"/>
      <c r="AN110" s="3">
        <f>COUNTIFS($B110:$G110, "&gt;=1",$B110:$G110, "&lt;=9")</f>
        <v>2</v>
      </c>
      <c r="AO110" s="3">
        <f>COUNTIFS($B110:$G110, "&gt;=10",$B110:$G110, "&lt;=18")</f>
        <v>2</v>
      </c>
      <c r="AP110" s="3">
        <f>COUNTIFS($B110:$G110, "&gt;=19",$B110:$G110, "&lt;=27")</f>
        <v>1</v>
      </c>
      <c r="AQ110" s="3">
        <f>COUNTIFS($B110:$G110, "&gt;=28",$B110:$G110, "&lt;=36")</f>
        <v>0</v>
      </c>
      <c r="AR110" s="3">
        <f>COUNTIFS($B110:$G110, "&gt;=37",$B110:$G110, "&lt;=45")</f>
        <v>1</v>
      </c>
      <c r="AS110" s="28" t="e">
        <f>#REF!</f>
        <v>#REF!</v>
      </c>
      <c r="AT110" s="28" t="e">
        <f>#REF!*2</f>
        <v>#REF!</v>
      </c>
      <c r="AU110" s="28" t="e">
        <f>#REF!</f>
        <v>#REF!</v>
      </c>
      <c r="AV110" s="28" t="e">
        <f>#REF!*2</f>
        <v>#REF!</v>
      </c>
      <c r="AW110" s="28" t="e">
        <f>#REF!</f>
        <v>#REF!</v>
      </c>
      <c r="AX110" s="28" t="e">
        <f>#REF!*2</f>
        <v>#REF!</v>
      </c>
      <c r="AY110" s="28" t="e">
        <f>#REF!</f>
        <v>#REF!</v>
      </c>
      <c r="AZ110" s="28" t="e">
        <f>#REF!*2</f>
        <v>#REF!</v>
      </c>
      <c r="BA110" s="28" t="e">
        <f>#REF!</f>
        <v>#REF!</v>
      </c>
      <c r="BB110" s="28" t="e">
        <f>#REF!*2</f>
        <v>#REF!</v>
      </c>
      <c r="BC110" s="28" t="e">
        <f>#REF!</f>
        <v>#REF!</v>
      </c>
      <c r="BD110" s="28" t="e">
        <f>#REF!*2</f>
        <v>#REF!</v>
      </c>
      <c r="BE110" s="9" t="e">
        <f>#REF!-#REF!</f>
        <v>#REF!</v>
      </c>
      <c r="BF110" s="9" t="e">
        <f>#REF!-#REF!</f>
        <v>#REF!</v>
      </c>
      <c r="BG110" s="9" t="e">
        <f>#REF!-#REF!</f>
        <v>#REF!</v>
      </c>
      <c r="BH110" s="9" t="e">
        <f>#REF!-#REF!</f>
        <v>#REF!</v>
      </c>
      <c r="BI110" s="9" t="e">
        <f>#REF!-#REF!</f>
        <v>#REF!</v>
      </c>
      <c r="BJ110" s="33"/>
      <c r="BK110" s="3">
        <f>COUNTIFS(B110:G110, "&gt;=1", B110:G110, "&lt;=9")</f>
        <v>2</v>
      </c>
      <c r="BL110" s="3">
        <f>COUNTIFS(B110:G110, "&gt;=10", B110:G110, "&lt;=19")</f>
        <v>2</v>
      </c>
      <c r="BM110" s="3">
        <f>COUNTIFS(B110:G110, "&gt;=20", B110:G110, "&lt;=29")</f>
        <v>1</v>
      </c>
      <c r="BN110" s="3">
        <f>COUNTIFS(B110:G110, "&gt;=30", B110:G110, "&lt;=39")</f>
        <v>0</v>
      </c>
      <c r="BO110" s="3">
        <f>COUNTIFS(B110:G110, "&gt;=40", B110:G110, "&lt;=45")</f>
        <v>1</v>
      </c>
      <c r="BP110" s="28" t="e">
        <f>#REF!</f>
        <v>#REF!</v>
      </c>
      <c r="BQ110" s="28" t="e">
        <f>#REF!*2</f>
        <v>#REF!</v>
      </c>
      <c r="BR110" s="28" t="e">
        <f>#REF!</f>
        <v>#REF!</v>
      </c>
      <c r="BS110" s="28" t="e">
        <f>#REF!*2</f>
        <v>#REF!</v>
      </c>
      <c r="BT110" s="28" t="e">
        <f>#REF!</f>
        <v>#REF!</v>
      </c>
      <c r="BU110" s="28" t="e">
        <f>#REF!*2</f>
        <v>#REF!</v>
      </c>
      <c r="BV110" s="28" t="e">
        <f>#REF!</f>
        <v>#REF!</v>
      </c>
      <c r="BW110" s="28" t="e">
        <f>#REF!*2</f>
        <v>#REF!</v>
      </c>
      <c r="BX110" s="28" t="e">
        <f>#REF!</f>
        <v>#REF!</v>
      </c>
      <c r="BY110" s="28" t="e">
        <f>#REF!*2</f>
        <v>#REF!</v>
      </c>
      <c r="BZ110" s="28" t="e">
        <f>#REF!</f>
        <v>#REF!</v>
      </c>
      <c r="CA110" s="28" t="e">
        <f>#REF!*2</f>
        <v>#REF!</v>
      </c>
      <c r="CB110" s="9">
        <f>C110-B110</f>
        <v>3</v>
      </c>
      <c r="CC110" s="9">
        <f>D110-C110</f>
        <v>7</v>
      </c>
      <c r="CD110" s="9">
        <f>E110-D110</f>
        <v>1</v>
      </c>
      <c r="CE110" s="9">
        <f>F110-E110</f>
        <v>8</v>
      </c>
      <c r="CF110" s="9">
        <f>G110-F110</f>
        <v>21</v>
      </c>
      <c r="CG110" s="33"/>
      <c r="CH110" s="9">
        <f>C110-B110</f>
        <v>3</v>
      </c>
      <c r="CI110" s="9">
        <f>D110-C110</f>
        <v>7</v>
      </c>
      <c r="CJ110" s="9">
        <f>E110-D110</f>
        <v>1</v>
      </c>
      <c r="CK110" s="9">
        <f>F110-E110</f>
        <v>8</v>
      </c>
      <c r="CL110" s="9">
        <f>G110-F110</f>
        <v>21</v>
      </c>
      <c r="CM110" s="32"/>
      <c r="CN110" s="3">
        <f>IF(OR(CH110="",ISBLANK(CH110),CH110=0),0,IF(MOD(CH110,2)=1,1,2))</f>
        <v>1</v>
      </c>
      <c r="CO110" s="3">
        <f>IF(OR(CI110="",ISBLANK(CI110),CI110=0),0,IF(MOD(CI110,2)=1,1,2))</f>
        <v>1</v>
      </c>
      <c r="CP110" s="3">
        <f>IF(OR(CJ110="",ISBLANK(CJ110),CJ110=0),0,IF(MOD(CJ110,2)=1,1,2))</f>
        <v>1</v>
      </c>
      <c r="CQ110" s="3">
        <f>IF(OR(CK110="",ISBLANK(CK110),CK110=0),0,IF(MOD(CK110,2)=1,1,2))</f>
        <v>2</v>
      </c>
      <c r="CR110" s="3">
        <f>IF(OR(CL110="",ISBLANK(CL110),CL110=0),0,IF(MOD(CL110,2)=1,1,2))</f>
        <v>1</v>
      </c>
      <c r="CS110" s="31"/>
      <c r="CT110" s="3" cm="1">
        <f t="array" ref="CT110">SUMPRODUCT(--(MOD(CH110:CL110,2)=1))</f>
        <v>4</v>
      </c>
      <c r="CU110" s="3">
        <f>5-CT110</f>
        <v>1</v>
      </c>
      <c r="CV110" s="30"/>
      <c r="CW110" s="3" cm="1">
        <f t="array" ref="CW110">SUMPRODUCT(--(MOD(CH110:CL110,10)&gt;=1), --(MOD(CH110:CL110,10)&lt;=5))</f>
        <v>3</v>
      </c>
      <c r="CX110" s="3">
        <f>5-CW110</f>
        <v>2</v>
      </c>
      <c r="CY110" s="30"/>
      <c r="CZ110" s="3" cm="1">
        <f t="array" ref="CZ110">IFERROR(COUNT(_xlfn._xlws.FILTER(CH110:CL110, ISNUMBER(MATCH(CH110:CL110, {2,3,5,7,11,13,17,19,23,29,31,37,41,43}, 0)))), 0)</f>
        <v>2</v>
      </c>
      <c r="DA110" s="3" cm="1">
        <f t="array" ref="DA110">IFERROR(COUNT(_xlfn._xlws.FILTER(CH110:CL110, ISNUMBER(MATCH(CH110:CL110, {1,4,8,10,14,16,20,22,25,26,28,32,34,35,38,40,44}, 0)))), 0)</f>
        <v>2</v>
      </c>
      <c r="DB110" s="3" cm="1">
        <f t="array" ref="DB110">IFERROR(COUNT(_xlfn._xlws.FILTER(CH110:CL110, ISNUMBER(MATCH(CH110:CL110, {6,9,12,15,18,21,24,27,30,33,36,39,42,45}, 0)))), 0)</f>
        <v>1</v>
      </c>
      <c r="DC110" s="29"/>
      <c r="DD110" s="28" t="e">
        <f>#REF!</f>
        <v>#REF!</v>
      </c>
      <c r="DE110" s="28" t="e">
        <f>#REF!*2</f>
        <v>#REF!</v>
      </c>
      <c r="DF110" s="28" t="e">
        <f>#REF!</f>
        <v>#REF!</v>
      </c>
      <c r="DG110" s="28" t="e">
        <f>#REF!*2</f>
        <v>#REF!</v>
      </c>
      <c r="DH110" s="28" t="e">
        <f>#REF!</f>
        <v>#REF!</v>
      </c>
      <c r="DI110" s="28" t="e">
        <f>#REF!*2</f>
        <v>#REF!</v>
      </c>
      <c r="DJ110" s="28" t="e">
        <f>#REF!</f>
        <v>#REF!</v>
      </c>
      <c r="DK110" s="28" t="e">
        <f>#REF!*2</f>
        <v>#REF!</v>
      </c>
      <c r="DL110" s="28" t="e">
        <f>#REF!</f>
        <v>#REF!</v>
      </c>
      <c r="DM110" s="28" t="e">
        <f>#REF!*2</f>
        <v>#REF!</v>
      </c>
      <c r="DN110" s="27"/>
      <c r="DO110" s="26" t="str" cm="1">
        <f t="array" ref="DO110">_xlfn.IFS(
   OR(CH110="",ISBLANK(CH110),CH110=0),0,
   ISNUMBER(MATCH(CH110,{2,3,5,7,11,13,17,19,23,29,31,37,41,43},0)),"소",
   AND(ISNUMBER(CH110),MOD(CH110,3)=0),"배",
   AND(ISNUMBER(CH110),CH110&gt;0),"자"
)</f>
        <v>소</v>
      </c>
      <c r="DP110" s="26" t="str" cm="1">
        <f t="array" ref="DP110">_xlfn.IFS(
   OR(CI110="",ISBLANK(CI110),CI110=0),0,
   ISNUMBER(MATCH(CI110,{2,3,5,7,11,13,17,19,23,29,31,37,41,43},0)),"소",
   AND(ISNUMBER(CI110),MOD(CI110,3)=0),"배",
   AND(ISNUMBER(CI110),CI110&gt;0),"자"
)</f>
        <v>소</v>
      </c>
      <c r="DQ110" s="26" t="str" cm="1">
        <f t="array" ref="DQ110">_xlfn.IFS(
   OR(CJ110="",ISBLANK(CJ110),CJ110=0),0,
   ISNUMBER(MATCH(CJ110,{2,3,5,7,11,13,17,19,23,29,31,37,41,43},0)),"소",
   AND(ISNUMBER(CJ110),MOD(CJ110,3)=0),"배",
   AND(ISNUMBER(CJ110),CJ110&gt;0),"자"
)</f>
        <v>자</v>
      </c>
      <c r="DR110" s="26" t="str" cm="1">
        <f t="array" ref="DR110">_xlfn.IFS(
   OR(CK110="",ISBLANK(CK110),CK110=0),0,
   ISNUMBER(MATCH(CK110,{2,3,5,7,11,13,17,19,23,29,31,37,41,43},0)),"소",
   AND(ISNUMBER(CK110),MOD(CK110,3)=0),"배",
   AND(ISNUMBER(CK110),CK110&gt;0),"자"
)</f>
        <v>자</v>
      </c>
      <c r="DS110" s="26" t="str" cm="1">
        <f t="array" ref="DS110">_xlfn.IFS(
   OR(CL110="",ISBLANK(CL110),CL110=0),0,
   ISNUMBER(MATCH(CL110,{2,3,5,7,11,13,17,19,23,29,31,37,41,43},0)),"소",
   AND(ISNUMBER(CL110),MOD(CL110,3)=0),"배",
   AND(ISNUMBER(CL110),CL110&gt;0),"자"
)</f>
        <v>배</v>
      </c>
      <c r="DT110" s="25"/>
    </row>
    <row r="111" spans="2:124" x14ac:dyDescent="0.3">
      <c r="B111" s="3">
        <v>10</v>
      </c>
      <c r="C111" s="3">
        <v>16</v>
      </c>
      <c r="D111" s="3">
        <v>23</v>
      </c>
      <c r="E111" s="3">
        <v>36</v>
      </c>
      <c r="F111" s="3">
        <v>39</v>
      </c>
      <c r="G111" s="3">
        <v>40</v>
      </c>
      <c r="H111" s="32"/>
      <c r="I111" s="3">
        <f>IF(OR(B111="",ISBLANK(B111),B111=0),0,IF(MOD(B111,2)=1,1,2))</f>
        <v>2</v>
      </c>
      <c r="J111" s="3">
        <f>IF(OR(C111="",ISBLANK(C111),C111=0),0,IF(MOD(C111,2)=1,1,2))</f>
        <v>2</v>
      </c>
      <c r="K111" s="3">
        <f>IF(OR(D111="",ISBLANK(D111),D111=0),0,IF(MOD(D111,2)=1,1,2))</f>
        <v>1</v>
      </c>
      <c r="L111" s="3">
        <f>IF(OR(E111="",ISBLANK(E111),E111=0),0,IF(MOD(E111,2)=1,1,2))</f>
        <v>2</v>
      </c>
      <c r="M111" s="3">
        <f>IF(OR(F111="",ISBLANK(F111),F111=0),0,IF(MOD(F111,2)=1,1,2))</f>
        <v>1</v>
      </c>
      <c r="N111" s="3">
        <f>IF(OR(G111="",ISBLANK(G111),G111=0),0,IF(MOD(G111,2)=1,1,2))</f>
        <v>2</v>
      </c>
      <c r="O111" s="32"/>
      <c r="P111" s="3" cm="1">
        <f t="array" ref="P111">SUMPRODUCT(--(MOD(B111:G111,2)=1))</f>
        <v>2</v>
      </c>
      <c r="Q111" s="3">
        <f>6-P111</f>
        <v>4</v>
      </c>
      <c r="R111" s="34"/>
      <c r="S111" s="3">
        <f>COUNTIFS(B111:G111,"&gt;=1",B111:G111,"&lt;=23")</f>
        <v>3</v>
      </c>
      <c r="T111" s="3">
        <f>6-S111</f>
        <v>3</v>
      </c>
      <c r="U111" s="34"/>
      <c r="V111" s="3" cm="1">
        <f t="array" ref="V111">SUMPRODUCT(--(MOD(B111:G111,10)&gt;=1), --(MOD(B111:G111,10)&lt;=5))</f>
        <v>1</v>
      </c>
      <c r="W111" s="3">
        <f>6-V111</f>
        <v>5</v>
      </c>
      <c r="X111" s="34"/>
      <c r="Y111" s="3" cm="1">
        <f t="array" ref="Y111">IFERROR(COUNT(_xlfn._xlws.FILTER(B111:G111, ISNUMBER(MATCH(B111:G111, {2,3,5,7,11,13,17,19,23,29,31,37,41,43}, 0)))), 0)</f>
        <v>1</v>
      </c>
      <c r="Z111" s="3" cm="1">
        <f t="array" ref="Z111">IFERROR(COUNT(_xlfn._xlws.FILTER(B111:G111, ISNUMBER(MATCH(B111:G111, {1,4,8,10,14,16,20,22,25,26,28,32,34,35,38,40,44}, 0)))), 0)</f>
        <v>3</v>
      </c>
      <c r="AA111" s="3" cm="1">
        <f t="array" ref="AA111">IFERROR(COUNT(_xlfn._xlws.FILTER(B111:G111, ISNUMBER(MATCH(B111:G111, {6,9,12,15,18,21,24,27,30,33,36,39,42,45}, 0)))), 0)</f>
        <v>2</v>
      </c>
      <c r="AB111" s="30"/>
      <c r="AC111" s="26" t="str" cm="1">
        <f t="array" ref="AC111">_xlfn.IFS(
   OR(B111="",ISBLANK(B111),B111=0),0,
   ISNUMBER(MATCH(B111,{2,3,5,7,11,13,17,19,23,29,31,37,41,43},0)),"소",
   AND(ISNUMBER(B111),MOD(B111,3)=0),"배",
   AND(ISNUMBER(B111),B111&gt;0),"자"
)</f>
        <v>자</v>
      </c>
      <c r="AD111" s="26" t="str" cm="1">
        <f t="array" ref="AD111">_xlfn.IFS(
   OR(C111="",ISBLANK(C111),C111=0),0,
   ISNUMBER(MATCH(C111,{2,3,5,7,11,13,17,19,23,29,31,37,41,43},0)),"소",
   AND(ISNUMBER(C111),MOD(C111,3)=0),"배",
   AND(ISNUMBER(C111),C111&gt;0),"자"
)</f>
        <v>자</v>
      </c>
      <c r="AE111" s="26" t="str" cm="1">
        <f t="array" ref="AE111">_xlfn.IFS(
   OR(D111="",ISBLANK(D111),D111=0),0,
   ISNUMBER(MATCH(D111,{2,3,5,7,11,13,17,19,23,29,31,37,41,43},0)),"소",
   AND(ISNUMBER(D111),MOD(D111,3)=0),"배",
   AND(ISNUMBER(D111),D111&gt;0),"자"
)</f>
        <v>소</v>
      </c>
      <c r="AF111" s="26" t="str" cm="1">
        <f t="array" ref="AF111">_xlfn.IFS(
   OR(E111="",ISBLANK(E111),E111=0),0,
   ISNUMBER(MATCH(E111,{2,3,5,7,11,13,17,19,23,29,31,37,41,43},0)),"소",
   AND(ISNUMBER(E111),MOD(E111,3)=0),"배",
   AND(ISNUMBER(E111),E111&gt;0),"자"
)</f>
        <v>배</v>
      </c>
      <c r="AG111" s="26" t="str" cm="1">
        <f t="array" ref="AG111">_xlfn.IFS(
   OR(F111="",ISBLANK(F111),F111=0),0,
   ISNUMBER(MATCH(F111,{2,3,5,7,11,13,17,19,23,29,31,37,41,43},0)),"소",
   AND(ISNUMBER(F111),MOD(F111,3)=0),"배",
   AND(ISNUMBER(F111),F111&gt;0),"자"
)</f>
        <v>배</v>
      </c>
      <c r="AH111" s="26" t="str" cm="1">
        <f t="array" ref="AH111">_xlfn.IFS(
   OR(G111="",ISBLANK(G111),G111=0),0,
   ISNUMBER(MATCH(G111,{2,3,5,7,11,13,17,19,23,29,31,37,41,43},0)),"소",
   AND(ISNUMBER(G111),MOD(G111,3)=0),"배",
   AND(ISNUMBER(G111),G111&gt;0),"자"
)</f>
        <v>자</v>
      </c>
      <c r="AI111" s="30"/>
      <c r="AJ111" s="3">
        <f>COUNTIFS(B111:G111,"&gt;=1",B111:G111,"&lt;=14")</f>
        <v>1</v>
      </c>
      <c r="AK111" s="3">
        <f>COUNTIFS(B111:G111,"&gt;=15",B111:G111,"&lt;=31")</f>
        <v>2</v>
      </c>
      <c r="AL111" s="3">
        <f>6-AK111-AJ111</f>
        <v>3</v>
      </c>
      <c r="AM111" s="33"/>
      <c r="AN111" s="3">
        <f>COUNTIFS($B111:$G111, "&gt;=1",$B111:$G111, "&lt;=9")</f>
        <v>0</v>
      </c>
      <c r="AO111" s="3">
        <f>COUNTIFS($B111:$G111, "&gt;=10",$B111:$G111, "&lt;=18")</f>
        <v>2</v>
      </c>
      <c r="AP111" s="3">
        <f>COUNTIFS($B111:$G111, "&gt;=19",$B111:$G111, "&lt;=27")</f>
        <v>1</v>
      </c>
      <c r="AQ111" s="3">
        <f>COUNTIFS($B111:$G111, "&gt;=28",$B111:$G111, "&lt;=36")</f>
        <v>1</v>
      </c>
      <c r="AR111" s="3">
        <f>COUNTIFS($B111:$G111, "&gt;=37",$B111:$G111, "&lt;=45")</f>
        <v>2</v>
      </c>
      <c r="AS111" s="28" t="e">
        <f>#REF!</f>
        <v>#REF!</v>
      </c>
      <c r="AT111" s="28" t="e">
        <f>#REF!*2</f>
        <v>#REF!</v>
      </c>
      <c r="AU111" s="28" t="e">
        <f>#REF!</f>
        <v>#REF!</v>
      </c>
      <c r="AV111" s="28" t="e">
        <f>#REF!*2</f>
        <v>#REF!</v>
      </c>
      <c r="AW111" s="28" t="e">
        <f>#REF!</f>
        <v>#REF!</v>
      </c>
      <c r="AX111" s="28" t="e">
        <f>#REF!*2</f>
        <v>#REF!</v>
      </c>
      <c r="AY111" s="28" t="e">
        <f>#REF!</f>
        <v>#REF!</v>
      </c>
      <c r="AZ111" s="28" t="e">
        <f>#REF!*2</f>
        <v>#REF!</v>
      </c>
      <c r="BA111" s="28" t="e">
        <f>#REF!</f>
        <v>#REF!</v>
      </c>
      <c r="BB111" s="28" t="e">
        <f>#REF!*2</f>
        <v>#REF!</v>
      </c>
      <c r="BC111" s="28" t="e">
        <f>#REF!</f>
        <v>#REF!</v>
      </c>
      <c r="BD111" s="28" t="e">
        <f>#REF!*2</f>
        <v>#REF!</v>
      </c>
      <c r="BE111" s="9" t="e">
        <f>#REF!-#REF!</f>
        <v>#REF!</v>
      </c>
      <c r="BF111" s="9" t="e">
        <f>#REF!-#REF!</f>
        <v>#REF!</v>
      </c>
      <c r="BG111" s="9" t="e">
        <f>#REF!-#REF!</f>
        <v>#REF!</v>
      </c>
      <c r="BH111" s="9" t="e">
        <f>#REF!-#REF!</f>
        <v>#REF!</v>
      </c>
      <c r="BI111" s="9" t="e">
        <f>#REF!-#REF!</f>
        <v>#REF!</v>
      </c>
      <c r="BJ111" s="33"/>
      <c r="BK111" s="3">
        <f>COUNTIFS(B111:G111, "&gt;=1", B111:G111, "&lt;=9")</f>
        <v>0</v>
      </c>
      <c r="BL111" s="3">
        <f>COUNTIFS(B111:G111, "&gt;=10", B111:G111, "&lt;=19")</f>
        <v>2</v>
      </c>
      <c r="BM111" s="3">
        <f>COUNTIFS(B111:G111, "&gt;=20", B111:G111, "&lt;=29")</f>
        <v>1</v>
      </c>
      <c r="BN111" s="3">
        <f>COUNTIFS(B111:G111, "&gt;=30", B111:G111, "&lt;=39")</f>
        <v>2</v>
      </c>
      <c r="BO111" s="3">
        <f>COUNTIFS(B111:G111, "&gt;=40", B111:G111, "&lt;=45")</f>
        <v>1</v>
      </c>
      <c r="BP111" s="28" t="e">
        <f>#REF!</f>
        <v>#REF!</v>
      </c>
      <c r="BQ111" s="28" t="e">
        <f>#REF!*2</f>
        <v>#REF!</v>
      </c>
      <c r="BR111" s="28" t="e">
        <f>#REF!</f>
        <v>#REF!</v>
      </c>
      <c r="BS111" s="28" t="e">
        <f>#REF!*2</f>
        <v>#REF!</v>
      </c>
      <c r="BT111" s="28" t="e">
        <f>#REF!</f>
        <v>#REF!</v>
      </c>
      <c r="BU111" s="28" t="e">
        <f>#REF!*2</f>
        <v>#REF!</v>
      </c>
      <c r="BV111" s="28" t="e">
        <f>#REF!</f>
        <v>#REF!</v>
      </c>
      <c r="BW111" s="28" t="e">
        <f>#REF!*2</f>
        <v>#REF!</v>
      </c>
      <c r="BX111" s="28" t="e">
        <f>#REF!</f>
        <v>#REF!</v>
      </c>
      <c r="BY111" s="28" t="e">
        <f>#REF!*2</f>
        <v>#REF!</v>
      </c>
      <c r="BZ111" s="28" t="e">
        <f>#REF!</f>
        <v>#REF!</v>
      </c>
      <c r="CA111" s="28" t="e">
        <f>#REF!*2</f>
        <v>#REF!</v>
      </c>
      <c r="CB111" s="9">
        <f>C111-B111</f>
        <v>6</v>
      </c>
      <c r="CC111" s="9">
        <f>D111-C111</f>
        <v>7</v>
      </c>
      <c r="CD111" s="9">
        <f>E111-D111</f>
        <v>13</v>
      </c>
      <c r="CE111" s="9">
        <f>F111-E111</f>
        <v>3</v>
      </c>
      <c r="CF111" s="9">
        <f>G111-F111</f>
        <v>1</v>
      </c>
      <c r="CG111" s="33"/>
      <c r="CH111" s="9">
        <f>C111-B111</f>
        <v>6</v>
      </c>
      <c r="CI111" s="9">
        <f>D111-C111</f>
        <v>7</v>
      </c>
      <c r="CJ111" s="9">
        <f>E111-D111</f>
        <v>13</v>
      </c>
      <c r="CK111" s="9">
        <f>F111-E111</f>
        <v>3</v>
      </c>
      <c r="CL111" s="9">
        <f>G111-F111</f>
        <v>1</v>
      </c>
      <c r="CM111" s="32"/>
      <c r="CN111" s="3">
        <f>IF(OR(CH111="",ISBLANK(CH111),CH111=0),0,IF(MOD(CH111,2)=1,1,2))</f>
        <v>2</v>
      </c>
      <c r="CO111" s="3">
        <f>IF(OR(CI111="",ISBLANK(CI111),CI111=0),0,IF(MOD(CI111,2)=1,1,2))</f>
        <v>1</v>
      </c>
      <c r="CP111" s="3">
        <f>IF(OR(CJ111="",ISBLANK(CJ111),CJ111=0),0,IF(MOD(CJ111,2)=1,1,2))</f>
        <v>1</v>
      </c>
      <c r="CQ111" s="3">
        <f>IF(OR(CK111="",ISBLANK(CK111),CK111=0),0,IF(MOD(CK111,2)=1,1,2))</f>
        <v>1</v>
      </c>
      <c r="CR111" s="3">
        <f>IF(OR(CL111="",ISBLANK(CL111),CL111=0),0,IF(MOD(CL111,2)=1,1,2))</f>
        <v>1</v>
      </c>
      <c r="CS111" s="31"/>
      <c r="CT111" s="3" cm="1">
        <f t="array" ref="CT111">SUMPRODUCT(--(MOD(CH111:CL111,2)=1))</f>
        <v>4</v>
      </c>
      <c r="CU111" s="3">
        <f>5-CT111</f>
        <v>1</v>
      </c>
      <c r="CV111" s="30"/>
      <c r="CW111" s="3" cm="1">
        <f t="array" ref="CW111">SUMPRODUCT(--(MOD(CH111:CL111,10)&gt;=1), --(MOD(CH111:CL111,10)&lt;=5))</f>
        <v>3</v>
      </c>
      <c r="CX111" s="3">
        <f>5-CW111</f>
        <v>2</v>
      </c>
      <c r="CY111" s="30"/>
      <c r="CZ111" s="3" cm="1">
        <f t="array" ref="CZ111">IFERROR(COUNT(_xlfn._xlws.FILTER(CH111:CL111, ISNUMBER(MATCH(CH111:CL111, {2,3,5,7,11,13,17,19,23,29,31,37,41,43}, 0)))), 0)</f>
        <v>3</v>
      </c>
      <c r="DA111" s="3" cm="1">
        <f t="array" ref="DA111">IFERROR(COUNT(_xlfn._xlws.FILTER(CH111:CL111, ISNUMBER(MATCH(CH111:CL111, {1,4,8,10,14,16,20,22,25,26,28,32,34,35,38,40,44}, 0)))), 0)</f>
        <v>1</v>
      </c>
      <c r="DB111" s="3" cm="1">
        <f t="array" ref="DB111">IFERROR(COUNT(_xlfn._xlws.FILTER(CH111:CL111, ISNUMBER(MATCH(CH111:CL111, {6,9,12,15,18,21,24,27,30,33,36,39,42,45}, 0)))), 0)</f>
        <v>1</v>
      </c>
      <c r="DC111" s="29"/>
      <c r="DD111" s="28" t="e">
        <f>#REF!</f>
        <v>#REF!</v>
      </c>
      <c r="DE111" s="28" t="e">
        <f>#REF!*2</f>
        <v>#REF!</v>
      </c>
      <c r="DF111" s="28" t="e">
        <f>#REF!</f>
        <v>#REF!</v>
      </c>
      <c r="DG111" s="28" t="e">
        <f>#REF!*2</f>
        <v>#REF!</v>
      </c>
      <c r="DH111" s="28" t="e">
        <f>#REF!</f>
        <v>#REF!</v>
      </c>
      <c r="DI111" s="28" t="e">
        <f>#REF!*2</f>
        <v>#REF!</v>
      </c>
      <c r="DJ111" s="28" t="e">
        <f>#REF!</f>
        <v>#REF!</v>
      </c>
      <c r="DK111" s="28" t="e">
        <f>#REF!*2</f>
        <v>#REF!</v>
      </c>
      <c r="DL111" s="28" t="e">
        <f>#REF!</f>
        <v>#REF!</v>
      </c>
      <c r="DM111" s="28" t="e">
        <f>#REF!*2</f>
        <v>#REF!</v>
      </c>
      <c r="DN111" s="27"/>
      <c r="DO111" s="26" t="str" cm="1">
        <f t="array" ref="DO111">_xlfn.IFS(
   OR(CH111="",ISBLANK(CH111),CH111=0),0,
   ISNUMBER(MATCH(CH111,{2,3,5,7,11,13,17,19,23,29,31,37,41,43},0)),"소",
   AND(ISNUMBER(CH111),MOD(CH111,3)=0),"배",
   AND(ISNUMBER(CH111),CH111&gt;0),"자"
)</f>
        <v>배</v>
      </c>
      <c r="DP111" s="26" t="str" cm="1">
        <f t="array" ref="DP111">_xlfn.IFS(
   OR(CI111="",ISBLANK(CI111),CI111=0),0,
   ISNUMBER(MATCH(CI111,{2,3,5,7,11,13,17,19,23,29,31,37,41,43},0)),"소",
   AND(ISNUMBER(CI111),MOD(CI111,3)=0),"배",
   AND(ISNUMBER(CI111),CI111&gt;0),"자"
)</f>
        <v>소</v>
      </c>
      <c r="DQ111" s="26" t="str" cm="1">
        <f t="array" ref="DQ111">_xlfn.IFS(
   OR(CJ111="",ISBLANK(CJ111),CJ111=0),0,
   ISNUMBER(MATCH(CJ111,{2,3,5,7,11,13,17,19,23,29,31,37,41,43},0)),"소",
   AND(ISNUMBER(CJ111),MOD(CJ111,3)=0),"배",
   AND(ISNUMBER(CJ111),CJ111&gt;0),"자"
)</f>
        <v>소</v>
      </c>
      <c r="DR111" s="26" t="str" cm="1">
        <f t="array" ref="DR111">_xlfn.IFS(
   OR(CK111="",ISBLANK(CK111),CK111=0),0,
   ISNUMBER(MATCH(CK111,{2,3,5,7,11,13,17,19,23,29,31,37,41,43},0)),"소",
   AND(ISNUMBER(CK111),MOD(CK111,3)=0),"배",
   AND(ISNUMBER(CK111),CK111&gt;0),"자"
)</f>
        <v>소</v>
      </c>
      <c r="DS111" s="26" t="str" cm="1">
        <f t="array" ref="DS111">_xlfn.IFS(
   OR(CL111="",ISBLANK(CL111),CL111=0),0,
   ISNUMBER(MATCH(CL111,{2,3,5,7,11,13,17,19,23,29,31,37,41,43},0)),"소",
   AND(ISNUMBER(CL111),MOD(CL111,3)=0),"배",
   AND(ISNUMBER(CL111),CL111&gt;0),"자"
)</f>
        <v>자</v>
      </c>
      <c r="DT111" s="25"/>
    </row>
    <row r="112" spans="2:124" ht="14.25" thickBot="1" x14ac:dyDescent="0.35">
      <c r="B112" s="3">
        <v>6</v>
      </c>
      <c r="C112" s="3">
        <v>9</v>
      </c>
      <c r="D112" s="3">
        <v>16</v>
      </c>
      <c r="E112" s="3">
        <v>19</v>
      </c>
      <c r="F112" s="3">
        <v>24</v>
      </c>
      <c r="G112" s="3">
        <v>28</v>
      </c>
      <c r="H112" s="32"/>
      <c r="I112" s="3">
        <f>IF(OR(B112="",ISBLANK(B112),B112=0),0,IF(MOD(B112,2)=1,1,2))</f>
        <v>2</v>
      </c>
      <c r="J112" s="3">
        <f>IF(OR(C112="",ISBLANK(C112),C112=0),0,IF(MOD(C112,2)=1,1,2))</f>
        <v>1</v>
      </c>
      <c r="K112" s="3">
        <f>IF(OR(D112="",ISBLANK(D112),D112=0),0,IF(MOD(D112,2)=1,1,2))</f>
        <v>2</v>
      </c>
      <c r="L112" s="3">
        <f>IF(OR(E112="",ISBLANK(E112),E112=0),0,IF(MOD(E112,2)=1,1,2))</f>
        <v>1</v>
      </c>
      <c r="M112" s="3">
        <f>IF(OR(F112="",ISBLANK(F112),F112=0),0,IF(MOD(F112,2)=1,1,2))</f>
        <v>2</v>
      </c>
      <c r="N112" s="3">
        <f>IF(OR(G112="",ISBLANK(G112),G112=0),0,IF(MOD(G112,2)=1,1,2))</f>
        <v>2</v>
      </c>
      <c r="O112" s="32"/>
      <c r="P112" s="3" cm="1">
        <f t="array" ref="P112">SUMPRODUCT(--(MOD(B112:G112,2)=1))</f>
        <v>2</v>
      </c>
      <c r="Q112" s="3">
        <f>6-P112</f>
        <v>4</v>
      </c>
      <c r="R112" s="34"/>
      <c r="S112" s="3">
        <f>COUNTIFS(B112:G112,"&gt;=1",B112:G112,"&lt;=23")</f>
        <v>4</v>
      </c>
      <c r="T112" s="3">
        <f>6-S112</f>
        <v>2</v>
      </c>
      <c r="U112" s="34"/>
      <c r="V112" s="3" cm="1">
        <f t="array" ref="V112">SUMPRODUCT(--(MOD(B112:G112,10)&gt;=1), --(MOD(B112:G112,10)&lt;=5))</f>
        <v>1</v>
      </c>
      <c r="W112" s="3">
        <f>6-V112</f>
        <v>5</v>
      </c>
      <c r="X112" s="34"/>
      <c r="Y112" s="3" cm="1">
        <f t="array" ref="Y112">IFERROR(COUNT(_xlfn._xlws.FILTER(B112:G112, ISNUMBER(MATCH(B112:G112, {2,3,5,7,11,13,17,19,23,29,31,37,41,43}, 0)))), 0)</f>
        <v>1</v>
      </c>
      <c r="Z112" s="3" cm="1">
        <f t="array" ref="Z112">IFERROR(COUNT(_xlfn._xlws.FILTER(B112:G112, ISNUMBER(MATCH(B112:G112, {1,4,8,10,14,16,20,22,25,26,28,32,34,35,38,40,44}, 0)))), 0)</f>
        <v>2</v>
      </c>
      <c r="AA112" s="3" cm="1">
        <f t="array" ref="AA112">IFERROR(COUNT(_xlfn._xlws.FILTER(B112:G112, ISNUMBER(MATCH(B112:G112, {6,9,12,15,18,21,24,27,30,33,36,39,42,45}, 0)))), 0)</f>
        <v>3</v>
      </c>
      <c r="AB112" s="30"/>
      <c r="AC112" s="26" t="str" cm="1">
        <f t="array" ref="AC112">_xlfn.IFS(
   OR(B112="",ISBLANK(B112),B112=0),0,
   ISNUMBER(MATCH(B112,{2,3,5,7,11,13,17,19,23,29,31,37,41,43},0)),"소",
   AND(ISNUMBER(B112),MOD(B112,3)=0),"배",
   AND(ISNUMBER(B112),B112&gt;0),"자"
)</f>
        <v>배</v>
      </c>
      <c r="AD112" s="26" t="str" cm="1">
        <f t="array" ref="AD112">_xlfn.IFS(
   OR(C112="",ISBLANK(C112),C112=0),0,
   ISNUMBER(MATCH(C112,{2,3,5,7,11,13,17,19,23,29,31,37,41,43},0)),"소",
   AND(ISNUMBER(C112),MOD(C112,3)=0),"배",
   AND(ISNUMBER(C112),C112&gt;0),"자"
)</f>
        <v>배</v>
      </c>
      <c r="AE112" s="26" t="str" cm="1">
        <f t="array" ref="AE112">_xlfn.IFS(
   OR(D112="",ISBLANK(D112),D112=0),0,
   ISNUMBER(MATCH(D112,{2,3,5,7,11,13,17,19,23,29,31,37,41,43},0)),"소",
   AND(ISNUMBER(D112),MOD(D112,3)=0),"배",
   AND(ISNUMBER(D112),D112&gt;0),"자"
)</f>
        <v>자</v>
      </c>
      <c r="AF112" s="26" t="str" cm="1">
        <f t="array" ref="AF112">_xlfn.IFS(
   OR(E112="",ISBLANK(E112),E112=0),0,
   ISNUMBER(MATCH(E112,{2,3,5,7,11,13,17,19,23,29,31,37,41,43},0)),"소",
   AND(ISNUMBER(E112),MOD(E112,3)=0),"배",
   AND(ISNUMBER(E112),E112&gt;0),"자"
)</f>
        <v>소</v>
      </c>
      <c r="AG112" s="26" t="str" cm="1">
        <f t="array" ref="AG112">_xlfn.IFS(
   OR(F112="",ISBLANK(F112),F112=0),0,
   ISNUMBER(MATCH(F112,{2,3,5,7,11,13,17,19,23,29,31,37,41,43},0)),"소",
   AND(ISNUMBER(F112),MOD(F112,3)=0),"배",
   AND(ISNUMBER(F112),F112&gt;0),"자"
)</f>
        <v>배</v>
      </c>
      <c r="AH112" s="26" t="str" cm="1">
        <f t="array" ref="AH112">_xlfn.IFS(
   OR(G112="",ISBLANK(G112),G112=0),0,
   ISNUMBER(MATCH(G112,{2,3,5,7,11,13,17,19,23,29,31,37,41,43},0)),"소",
   AND(ISNUMBER(G112),MOD(G112,3)=0),"배",
   AND(ISNUMBER(G112),G112&gt;0),"자"
)</f>
        <v>자</v>
      </c>
      <c r="AI112" s="30"/>
      <c r="AJ112" s="3">
        <f>COUNTIFS(B112:G112,"&gt;=1",B112:G112,"&lt;=14")</f>
        <v>2</v>
      </c>
      <c r="AK112" s="3">
        <f>COUNTIFS(B112:G112,"&gt;=15",B112:G112,"&lt;=31")</f>
        <v>4</v>
      </c>
      <c r="AL112" s="3">
        <f>6-AK112-AJ112</f>
        <v>0</v>
      </c>
      <c r="AM112" s="33"/>
      <c r="AN112" s="3">
        <f>COUNTIFS($B112:$G112, "&gt;=1",$B112:$G112, "&lt;=9")</f>
        <v>2</v>
      </c>
      <c r="AO112" s="3">
        <f>COUNTIFS($B112:$G112, "&gt;=10",$B112:$G112, "&lt;=18")</f>
        <v>1</v>
      </c>
      <c r="AP112" s="3">
        <f>COUNTIFS($B112:$G112, "&gt;=19",$B112:$G112, "&lt;=27")</f>
        <v>2</v>
      </c>
      <c r="AQ112" s="3">
        <f>COUNTIFS($B112:$G112, "&gt;=28",$B112:$G112, "&lt;=36")</f>
        <v>1</v>
      </c>
      <c r="AR112" s="3">
        <f>COUNTIFS($B112:$G112, "&gt;=37",$B112:$G112, "&lt;=45")</f>
        <v>0</v>
      </c>
      <c r="AS112" s="28" t="e">
        <f>#REF!</f>
        <v>#REF!</v>
      </c>
      <c r="AT112" s="28" t="e">
        <f>#REF!*2</f>
        <v>#REF!</v>
      </c>
      <c r="AU112" s="28" t="e">
        <f>#REF!</f>
        <v>#REF!</v>
      </c>
      <c r="AV112" s="28" t="e">
        <f>#REF!*2</f>
        <v>#REF!</v>
      </c>
      <c r="AW112" s="28" t="e">
        <f>#REF!</f>
        <v>#REF!</v>
      </c>
      <c r="AX112" s="28" t="e">
        <f>#REF!*2</f>
        <v>#REF!</v>
      </c>
      <c r="AY112" s="28" t="e">
        <f>#REF!</f>
        <v>#REF!</v>
      </c>
      <c r="AZ112" s="28" t="e">
        <f>#REF!*2</f>
        <v>#REF!</v>
      </c>
      <c r="BA112" s="28" t="e">
        <f>#REF!</f>
        <v>#REF!</v>
      </c>
      <c r="BB112" s="28" t="e">
        <f>#REF!*2</f>
        <v>#REF!</v>
      </c>
      <c r="BC112" s="28" t="e">
        <f>#REF!</f>
        <v>#REF!</v>
      </c>
      <c r="BD112" s="28" t="e">
        <f>#REF!*2</f>
        <v>#REF!</v>
      </c>
      <c r="BE112" s="9" t="e">
        <f>#REF!-#REF!</f>
        <v>#REF!</v>
      </c>
      <c r="BF112" s="9" t="e">
        <f>#REF!-#REF!</f>
        <v>#REF!</v>
      </c>
      <c r="BG112" s="9" t="e">
        <f>#REF!-#REF!</f>
        <v>#REF!</v>
      </c>
      <c r="BH112" s="9" t="e">
        <f>#REF!-#REF!</f>
        <v>#REF!</v>
      </c>
      <c r="BI112" s="9" t="e">
        <f>#REF!-#REF!</f>
        <v>#REF!</v>
      </c>
      <c r="BJ112" s="33"/>
      <c r="BK112" s="3">
        <f>COUNTIFS(B112:G112, "&gt;=1", B112:G112, "&lt;=9")</f>
        <v>2</v>
      </c>
      <c r="BL112" s="3">
        <f>COUNTIFS(B112:G112, "&gt;=10", B112:G112, "&lt;=19")</f>
        <v>2</v>
      </c>
      <c r="BM112" s="3">
        <f>COUNTIFS(B112:G112, "&gt;=20", B112:G112, "&lt;=29")</f>
        <v>2</v>
      </c>
      <c r="BN112" s="3">
        <f>COUNTIFS(B112:G112, "&gt;=30", B112:G112, "&lt;=39")</f>
        <v>0</v>
      </c>
      <c r="BO112" s="3">
        <f>COUNTIFS(B112:G112, "&gt;=40", B112:G112, "&lt;=45")</f>
        <v>0</v>
      </c>
      <c r="BP112" s="28" t="e">
        <f>#REF!</f>
        <v>#REF!</v>
      </c>
      <c r="BQ112" s="28" t="e">
        <f>#REF!*2</f>
        <v>#REF!</v>
      </c>
      <c r="BR112" s="28" t="e">
        <f>#REF!</f>
        <v>#REF!</v>
      </c>
      <c r="BS112" s="28" t="e">
        <f>#REF!*2</f>
        <v>#REF!</v>
      </c>
      <c r="BT112" s="28" t="e">
        <f>#REF!</f>
        <v>#REF!</v>
      </c>
      <c r="BU112" s="28" t="e">
        <f>#REF!*2</f>
        <v>#REF!</v>
      </c>
      <c r="BV112" s="28" t="e">
        <f>#REF!</f>
        <v>#REF!</v>
      </c>
      <c r="BW112" s="28" t="e">
        <f>#REF!*2</f>
        <v>#REF!</v>
      </c>
      <c r="BX112" s="28" t="e">
        <f>#REF!</f>
        <v>#REF!</v>
      </c>
      <c r="BY112" s="28" t="e">
        <f>#REF!*2</f>
        <v>#REF!</v>
      </c>
      <c r="BZ112" s="28" t="e">
        <f>#REF!</f>
        <v>#REF!</v>
      </c>
      <c r="CA112" s="28" t="e">
        <f>#REF!*2</f>
        <v>#REF!</v>
      </c>
      <c r="CB112" s="9">
        <f>C112-B112</f>
        <v>3</v>
      </c>
      <c r="CC112" s="9">
        <f>D112-C112</f>
        <v>7</v>
      </c>
      <c r="CD112" s="9">
        <f>E112-D112</f>
        <v>3</v>
      </c>
      <c r="CE112" s="9">
        <f>F112-E112</f>
        <v>5</v>
      </c>
      <c r="CF112" s="9">
        <f>G112-F112</f>
        <v>4</v>
      </c>
      <c r="CG112" s="33"/>
      <c r="CH112" s="9">
        <f>C112-B112</f>
        <v>3</v>
      </c>
      <c r="CI112" s="9">
        <f>D112-C112</f>
        <v>7</v>
      </c>
      <c r="CJ112" s="9">
        <f>E112-D112</f>
        <v>3</v>
      </c>
      <c r="CK112" s="9">
        <f>F112-E112</f>
        <v>5</v>
      </c>
      <c r="CL112" s="9">
        <f>G112-F112</f>
        <v>4</v>
      </c>
      <c r="CM112" s="32"/>
      <c r="CN112" s="3">
        <f>IF(OR(CH112="",ISBLANK(CH112),CH112=0),0,IF(MOD(CH112,2)=1,1,2))</f>
        <v>1</v>
      </c>
      <c r="CO112" s="3">
        <f>IF(OR(CI112="",ISBLANK(CI112),CI112=0),0,IF(MOD(CI112,2)=1,1,2))</f>
        <v>1</v>
      </c>
      <c r="CP112" s="3">
        <f>IF(OR(CJ112="",ISBLANK(CJ112),CJ112=0),0,IF(MOD(CJ112,2)=1,1,2))</f>
        <v>1</v>
      </c>
      <c r="CQ112" s="3">
        <f>IF(OR(CK112="",ISBLANK(CK112),CK112=0),0,IF(MOD(CK112,2)=1,1,2))</f>
        <v>1</v>
      </c>
      <c r="CR112" s="3">
        <f>IF(OR(CL112="",ISBLANK(CL112),CL112=0),0,IF(MOD(CL112,2)=1,1,2))</f>
        <v>2</v>
      </c>
      <c r="CS112" s="31"/>
      <c r="CT112" s="3" cm="1">
        <f t="array" ref="CT112">SUMPRODUCT(--(MOD(CH112:CL112,2)=1))</f>
        <v>4</v>
      </c>
      <c r="CU112" s="3">
        <f>5-CT112</f>
        <v>1</v>
      </c>
      <c r="CV112" s="30"/>
      <c r="CW112" s="3" cm="1">
        <f t="array" ref="CW112">SUMPRODUCT(--(MOD(CH112:CL112,10)&gt;=1), --(MOD(CH112:CL112,10)&lt;=5))</f>
        <v>4</v>
      </c>
      <c r="CX112" s="3">
        <f>5-CW112</f>
        <v>1</v>
      </c>
      <c r="CY112" s="30"/>
      <c r="CZ112" s="3" cm="1">
        <f t="array" ref="CZ112">IFERROR(COUNT(_xlfn._xlws.FILTER(CH112:CL112, ISNUMBER(MATCH(CH112:CL112, {2,3,5,7,11,13,17,19,23,29,31,37,41,43}, 0)))), 0)</f>
        <v>4</v>
      </c>
      <c r="DA112" s="3" cm="1">
        <f t="array" ref="DA112">IFERROR(COUNT(_xlfn._xlws.FILTER(CH112:CL112, ISNUMBER(MATCH(CH112:CL112, {1,4,8,10,14,16,20,22,25,26,28,32,34,35,38,40,44}, 0)))), 0)</f>
        <v>1</v>
      </c>
      <c r="DB112" s="3" cm="1">
        <f t="array" ref="DB112">IFERROR(COUNT(_xlfn._xlws.FILTER(CH112:CL112, ISNUMBER(MATCH(CH112:CL112, {6,9,12,15,18,21,24,27,30,33,36,39,42,45}, 0)))), 0)</f>
        <v>0</v>
      </c>
      <c r="DC112" s="29"/>
      <c r="DD112" s="28" t="e">
        <f>#REF!</f>
        <v>#REF!</v>
      </c>
      <c r="DE112" s="28" t="e">
        <f>#REF!*2</f>
        <v>#REF!</v>
      </c>
      <c r="DF112" s="28" t="e">
        <f>#REF!</f>
        <v>#REF!</v>
      </c>
      <c r="DG112" s="28" t="e">
        <f>#REF!*2</f>
        <v>#REF!</v>
      </c>
      <c r="DH112" s="28" t="e">
        <f>#REF!</f>
        <v>#REF!</v>
      </c>
      <c r="DI112" s="28" t="e">
        <f>#REF!*2</f>
        <v>#REF!</v>
      </c>
      <c r="DJ112" s="28" t="e">
        <f>#REF!</f>
        <v>#REF!</v>
      </c>
      <c r="DK112" s="28" t="e">
        <f>#REF!*2</f>
        <v>#REF!</v>
      </c>
      <c r="DL112" s="28" t="e">
        <f>#REF!</f>
        <v>#REF!</v>
      </c>
      <c r="DM112" s="28" t="e">
        <f>#REF!*2</f>
        <v>#REF!</v>
      </c>
      <c r="DN112" s="27"/>
      <c r="DO112" s="26" t="str" cm="1">
        <f t="array" ref="DO112">_xlfn.IFS(
   OR(CH112="",ISBLANK(CH112),CH112=0),0,
   ISNUMBER(MATCH(CH112,{2,3,5,7,11,13,17,19,23,29,31,37,41,43},0)),"소",
   AND(ISNUMBER(CH112),MOD(CH112,3)=0),"배",
   AND(ISNUMBER(CH112),CH112&gt;0),"자"
)</f>
        <v>소</v>
      </c>
      <c r="DP112" s="26" t="str" cm="1">
        <f t="array" ref="DP112">_xlfn.IFS(
   OR(CI112="",ISBLANK(CI112),CI112=0),0,
   ISNUMBER(MATCH(CI112,{2,3,5,7,11,13,17,19,23,29,31,37,41,43},0)),"소",
   AND(ISNUMBER(CI112),MOD(CI112,3)=0),"배",
   AND(ISNUMBER(CI112),CI112&gt;0),"자"
)</f>
        <v>소</v>
      </c>
      <c r="DQ112" s="26" t="str" cm="1">
        <f t="array" ref="DQ112">_xlfn.IFS(
   OR(CJ112="",ISBLANK(CJ112),CJ112=0),0,
   ISNUMBER(MATCH(CJ112,{2,3,5,7,11,13,17,19,23,29,31,37,41,43},0)),"소",
   AND(ISNUMBER(CJ112),MOD(CJ112,3)=0),"배",
   AND(ISNUMBER(CJ112),CJ112&gt;0),"자"
)</f>
        <v>소</v>
      </c>
      <c r="DR112" s="26" t="str" cm="1">
        <f t="array" ref="DR112">_xlfn.IFS(
   OR(CK112="",ISBLANK(CK112),CK112=0),0,
   ISNUMBER(MATCH(CK112,{2,3,5,7,11,13,17,19,23,29,31,37,41,43},0)),"소",
   AND(ISNUMBER(CK112),MOD(CK112,3)=0),"배",
   AND(ISNUMBER(CK112),CK112&gt;0),"자"
)</f>
        <v>소</v>
      </c>
      <c r="DS112" s="26" t="str" cm="1">
        <f t="array" ref="DS112">_xlfn.IFS(
   OR(CL112="",ISBLANK(CL112),CL112=0),0,
   ISNUMBER(MATCH(CL112,{2,3,5,7,11,13,17,19,23,29,31,37,41,43},0)),"소",
   AND(ISNUMBER(CL112),MOD(CL112,3)=0),"배",
   AND(ISNUMBER(CL112),CL112&gt;0),"자"
)</f>
        <v>자</v>
      </c>
      <c r="DT112" s="25"/>
    </row>
    <row r="113" spans="2:124" ht="14.25" thickBot="1" x14ac:dyDescent="0.35">
      <c r="B113" s="3">
        <v>3</v>
      </c>
      <c r="C113" s="3">
        <v>13</v>
      </c>
      <c r="D113" s="3">
        <v>15</v>
      </c>
      <c r="E113" s="3">
        <v>24</v>
      </c>
      <c r="F113" s="3">
        <v>33</v>
      </c>
      <c r="G113" s="3">
        <v>37</v>
      </c>
      <c r="H113" s="32"/>
      <c r="I113" s="3">
        <f>IF(OR(B113="",ISBLANK(B113),B113=0),0,IF(MOD(B113,2)=1,1,2))</f>
        <v>1</v>
      </c>
      <c r="J113" s="3">
        <f>IF(OR(C113="",ISBLANK(C113),C113=0),0,IF(MOD(C113,2)=1,1,2))</f>
        <v>1</v>
      </c>
      <c r="K113" s="3">
        <f>IF(OR(D113="",ISBLANK(D113),D113=0),0,IF(MOD(D113,2)=1,1,2))</f>
        <v>1</v>
      </c>
      <c r="L113" s="3">
        <f>IF(OR(E113="",ISBLANK(E113),E113=0),0,IF(MOD(E113,2)=1,1,2))</f>
        <v>2</v>
      </c>
      <c r="M113" s="3">
        <f>IF(OR(F113="",ISBLANK(F113),F113=0),0,IF(MOD(F113,2)=1,1,2))</f>
        <v>1</v>
      </c>
      <c r="N113" s="3">
        <f>IF(OR(G113="",ISBLANK(G113),G113=0),0,IF(MOD(G113,2)=1,1,2))</f>
        <v>1</v>
      </c>
      <c r="O113" s="32"/>
      <c r="P113" s="3" cm="1">
        <f t="array" ref="P113">SUMPRODUCT(--(MOD(B113:G113,2)=1))</f>
        <v>5</v>
      </c>
      <c r="Q113" s="3">
        <f>6-P113</f>
        <v>1</v>
      </c>
      <c r="R113" s="34"/>
      <c r="S113" s="3">
        <f>COUNTIFS(B113:G113,"&gt;=1",B113:G113,"&lt;=23")</f>
        <v>3</v>
      </c>
      <c r="T113" s="3">
        <f>6-S113</f>
        <v>3</v>
      </c>
      <c r="U113" s="34"/>
      <c r="V113" s="3" cm="1">
        <f t="array" ref="V113">SUMPRODUCT(--(MOD(B113:G113,10)&gt;=1), --(MOD(B113:G113,10)&lt;=5))</f>
        <v>5</v>
      </c>
      <c r="W113" s="3">
        <f>6-V113</f>
        <v>1</v>
      </c>
      <c r="X113" s="34"/>
      <c r="Y113" s="3" cm="1">
        <f t="array" ref="Y113">IFERROR(COUNT(_xlfn._xlws.FILTER(B113:G113, ISNUMBER(MATCH(B113:G113, {2,3,5,7,11,13,17,19,23,29,31,37,41,43}, 0)))), 0)</f>
        <v>3</v>
      </c>
      <c r="Z113" s="3" cm="1">
        <f t="array" ref="Z113">IFERROR(COUNT(_xlfn._xlws.FILTER(B113:G113, ISNUMBER(MATCH(B113:G113, {1,4,8,10,14,16,20,22,25,26,28,32,34,35,38,40,44}, 0)))), 0)</f>
        <v>0</v>
      </c>
      <c r="AA113" s="3" cm="1">
        <f t="array" ref="AA113">IFERROR(COUNT(_xlfn._xlws.FILTER(B113:G113, ISNUMBER(MATCH(B113:G113, {6,9,12,15,18,21,24,27,30,33,36,39,42,45}, 0)))), 0)</f>
        <v>3</v>
      </c>
      <c r="AB113" s="30"/>
      <c r="AC113" s="26" t="str" cm="1">
        <f t="array" ref="AC113">_xlfn.IFS(
   OR(B113="",ISBLANK(B113),B113=0),0,
   ISNUMBER(MATCH(B113,{2,3,5,7,11,13,17,19,23,29,31,37,41,43},0)),"소",
   AND(ISNUMBER(B113),MOD(B113,3)=0),"배",
   AND(ISNUMBER(B113),B113&gt;0),"자"
)</f>
        <v>소</v>
      </c>
      <c r="AD113" s="26" t="str" cm="1">
        <f t="array" ref="AD113">_xlfn.IFS(
   OR(C113="",ISBLANK(C113),C113=0),0,
   ISNUMBER(MATCH(C113,{2,3,5,7,11,13,17,19,23,29,31,37,41,43},0)),"소",
   AND(ISNUMBER(C113),MOD(C113,3)=0),"배",
   AND(ISNUMBER(C113),C113&gt;0),"자"
)</f>
        <v>소</v>
      </c>
      <c r="AE113" s="26" t="str" cm="1">
        <f t="array" ref="AE113">_xlfn.IFS(
   OR(D113="",ISBLANK(D113),D113=0),0,
   ISNUMBER(MATCH(D113,{2,3,5,7,11,13,17,19,23,29,31,37,41,43},0)),"소",
   AND(ISNUMBER(D113),MOD(D113,3)=0),"배",
   AND(ISNUMBER(D113),D113&gt;0),"자"
)</f>
        <v>배</v>
      </c>
      <c r="AF113" s="26" t="str" cm="1">
        <f t="array" ref="AF113">_xlfn.IFS(
   OR(E113="",ISBLANK(E113),E113=0),0,
   ISNUMBER(MATCH(E113,{2,3,5,7,11,13,17,19,23,29,31,37,41,43},0)),"소",
   AND(ISNUMBER(E113),MOD(E113,3)=0),"배",
   AND(ISNUMBER(E113),E113&gt;0),"자"
)</f>
        <v>배</v>
      </c>
      <c r="AG113" s="26" t="str" cm="1">
        <f t="array" ref="AG113">_xlfn.IFS(
   OR(F113="",ISBLANK(F113),F113=0),0,
   ISNUMBER(MATCH(F113,{2,3,5,7,11,13,17,19,23,29,31,37,41,43},0)),"소",
   AND(ISNUMBER(F113),MOD(F113,3)=0),"배",
   AND(ISNUMBER(F113),F113&gt;0),"자"
)</f>
        <v>배</v>
      </c>
      <c r="AH113" s="26" t="str" cm="1">
        <f t="array" ref="AH113">_xlfn.IFS(
   OR(G113="",ISBLANK(G113),G113=0),0,
   ISNUMBER(MATCH(G113,{2,3,5,7,11,13,17,19,23,29,31,37,41,43},0)),"소",
   AND(ISNUMBER(G113),MOD(G113,3)=0),"배",
   AND(ISNUMBER(G113),G113&gt;0),"자"
)</f>
        <v>소</v>
      </c>
      <c r="AI113" s="30"/>
      <c r="AJ113" s="3">
        <f>COUNTIFS(B113:G113,"&gt;=1",B113:G113,"&lt;=14")</f>
        <v>2</v>
      </c>
      <c r="AK113" s="3">
        <f>COUNTIFS(B113:G113,"&gt;=15",B113:G113,"&lt;=31")</f>
        <v>2</v>
      </c>
      <c r="AL113" s="3">
        <f>6-AK113-AJ113</f>
        <v>2</v>
      </c>
      <c r="AM113" s="33"/>
      <c r="AN113" s="3">
        <f>COUNTIFS($B113:$G113, "&gt;=1",$B113:$G113, "&lt;=9")</f>
        <v>1</v>
      </c>
      <c r="AO113" s="3">
        <f>COUNTIFS($B113:$G113, "&gt;=10",$B113:$G113, "&lt;=18")</f>
        <v>2</v>
      </c>
      <c r="AP113" s="3">
        <f>COUNTIFS($B113:$G113, "&gt;=19",$B113:$G113, "&lt;=27")</f>
        <v>1</v>
      </c>
      <c r="AQ113" s="3">
        <f>COUNTIFS($B113:$G113, "&gt;=28",$B113:$G113, "&lt;=36")</f>
        <v>1</v>
      </c>
      <c r="AR113" s="3">
        <f>COUNTIFS($B113:$G113, "&gt;=37",$B113:$G113, "&lt;=45")</f>
        <v>1</v>
      </c>
      <c r="AS113" s="28" t="e">
        <f>#REF!</f>
        <v>#REF!</v>
      </c>
      <c r="AT113" s="28" t="e">
        <f>#REF!*2</f>
        <v>#REF!</v>
      </c>
      <c r="AU113" s="28" t="e">
        <f>#REF!</f>
        <v>#REF!</v>
      </c>
      <c r="AV113" s="28" t="e">
        <f>#REF!*2</f>
        <v>#REF!</v>
      </c>
      <c r="AW113" s="28" t="e">
        <f>#REF!</f>
        <v>#REF!</v>
      </c>
      <c r="AX113" s="28" t="e">
        <f>#REF!*2</f>
        <v>#REF!</v>
      </c>
      <c r="AY113" s="28" t="e">
        <f>#REF!</f>
        <v>#REF!</v>
      </c>
      <c r="AZ113" s="28" t="e">
        <f>#REF!*2</f>
        <v>#REF!</v>
      </c>
      <c r="BA113" s="28" t="e">
        <f>#REF!</f>
        <v>#REF!</v>
      </c>
      <c r="BB113" s="28" t="e">
        <f>#REF!*2</f>
        <v>#REF!</v>
      </c>
      <c r="BC113" s="28" t="e">
        <f>#REF!</f>
        <v>#REF!</v>
      </c>
      <c r="BD113" s="28" t="e">
        <f>#REF!*2</f>
        <v>#REF!</v>
      </c>
      <c r="BE113" s="9" t="e">
        <f>#REF!-#REF!</f>
        <v>#REF!</v>
      </c>
      <c r="BF113" s="9" t="e">
        <f>#REF!-#REF!</f>
        <v>#REF!</v>
      </c>
      <c r="BG113" s="9" t="e">
        <f>#REF!-#REF!</f>
        <v>#REF!</v>
      </c>
      <c r="BH113" s="9" t="e">
        <f>#REF!-#REF!</f>
        <v>#REF!</v>
      </c>
      <c r="BI113" s="9" t="e">
        <f>#REF!-#REF!</f>
        <v>#REF!</v>
      </c>
      <c r="BJ113" s="33"/>
      <c r="BK113" s="3">
        <f>COUNTIFS(B113:G113, "&gt;=1", B113:G113, "&lt;=9")</f>
        <v>1</v>
      </c>
      <c r="BL113" s="3">
        <f>COUNTIFS(B113:G113, "&gt;=10", B113:G113, "&lt;=19")</f>
        <v>2</v>
      </c>
      <c r="BM113" s="3">
        <f>COUNTIFS(B113:G113, "&gt;=20", B113:G113, "&lt;=29")</f>
        <v>1</v>
      </c>
      <c r="BN113" s="3">
        <f>COUNTIFS(B113:G113, "&gt;=30", B113:G113, "&lt;=39")</f>
        <v>2</v>
      </c>
      <c r="BO113" s="3">
        <f>COUNTIFS(B113:G113, "&gt;=40", B113:G113, "&lt;=45")</f>
        <v>0</v>
      </c>
      <c r="BP113" s="28" t="e">
        <f>#REF!</f>
        <v>#REF!</v>
      </c>
      <c r="BQ113" s="28" t="e">
        <f>#REF!*2</f>
        <v>#REF!</v>
      </c>
      <c r="BR113" s="28" t="e">
        <f>#REF!</f>
        <v>#REF!</v>
      </c>
      <c r="BS113" s="28" t="e">
        <f>#REF!*2</f>
        <v>#REF!</v>
      </c>
      <c r="BT113" s="28" t="e">
        <f>#REF!</f>
        <v>#REF!</v>
      </c>
      <c r="BU113" s="28" t="e">
        <f>#REF!*2</f>
        <v>#REF!</v>
      </c>
      <c r="BV113" s="28" t="e">
        <f>#REF!</f>
        <v>#REF!</v>
      </c>
      <c r="BW113" s="28" t="e">
        <f>#REF!*2</f>
        <v>#REF!</v>
      </c>
      <c r="BX113" s="28" t="e">
        <f>#REF!</f>
        <v>#REF!</v>
      </c>
      <c r="BY113" s="28" t="e">
        <f>#REF!*2</f>
        <v>#REF!</v>
      </c>
      <c r="BZ113" s="28" t="e">
        <f>#REF!</f>
        <v>#REF!</v>
      </c>
      <c r="CA113" s="28" t="e">
        <f>#REF!*2</f>
        <v>#REF!</v>
      </c>
      <c r="CB113" s="9">
        <f>C113-B113</f>
        <v>10</v>
      </c>
      <c r="CC113" s="9">
        <f>D113-C113</f>
        <v>2</v>
      </c>
      <c r="CD113" s="9">
        <f>E113-D113</f>
        <v>9</v>
      </c>
      <c r="CE113" s="9">
        <f>F113-E113</f>
        <v>9</v>
      </c>
      <c r="CF113" s="9">
        <f>G113-F113</f>
        <v>4</v>
      </c>
      <c r="CG113" s="33"/>
      <c r="CH113" s="9">
        <f>C113-B113</f>
        <v>10</v>
      </c>
      <c r="CI113" s="9">
        <f>D113-C113</f>
        <v>2</v>
      </c>
      <c r="CJ113" s="13">
        <f>E113-D113</f>
        <v>9</v>
      </c>
      <c r="CK113" s="11">
        <f>F113-E113</f>
        <v>9</v>
      </c>
      <c r="CL113" s="48">
        <f>G113-F113</f>
        <v>4</v>
      </c>
      <c r="CM113" s="32"/>
      <c r="CN113" s="3">
        <f>IF(OR(CH113="",ISBLANK(CH113),CH113=0),0,IF(MOD(CH113,2)=1,1,2))</f>
        <v>2</v>
      </c>
      <c r="CO113" s="3">
        <f>IF(OR(CI113="",ISBLANK(CI113),CI113=0),0,IF(MOD(CI113,2)=1,1,2))</f>
        <v>2</v>
      </c>
      <c r="CP113" s="3">
        <f>IF(OR(CJ113="",ISBLANK(CJ113),CJ113=0),0,IF(MOD(CJ113,2)=1,1,2))</f>
        <v>1</v>
      </c>
      <c r="CQ113" s="3">
        <f>IF(OR(CK113="",ISBLANK(CK113),CK113=0),0,IF(MOD(CK113,2)=1,1,2))</f>
        <v>1</v>
      </c>
      <c r="CR113" s="3">
        <f>IF(OR(CL113="",ISBLANK(CL113),CL113=0),0,IF(MOD(CL113,2)=1,1,2))</f>
        <v>2</v>
      </c>
      <c r="CS113" s="31"/>
      <c r="CT113" s="3" cm="1">
        <f t="array" ref="CT113">SUMPRODUCT(--(MOD(CH113:CL113,2)=1))</f>
        <v>2</v>
      </c>
      <c r="CU113" s="3">
        <f>5-CT113</f>
        <v>3</v>
      </c>
      <c r="CV113" s="30"/>
      <c r="CW113" s="3" cm="1">
        <f t="array" ref="CW113">SUMPRODUCT(--(MOD(CH113:CL113,10)&gt;=1), --(MOD(CH113:CL113,10)&lt;=5))</f>
        <v>2</v>
      </c>
      <c r="CX113" s="3">
        <f>5-CW113</f>
        <v>3</v>
      </c>
      <c r="CY113" s="30"/>
      <c r="CZ113" s="3" cm="1">
        <f t="array" ref="CZ113">IFERROR(COUNT(_xlfn._xlws.FILTER(CH113:CL113, ISNUMBER(MATCH(CH113:CL113, {2,3,5,7,11,13,17,19,23,29,31,37,41,43}, 0)))), 0)</f>
        <v>1</v>
      </c>
      <c r="DA113" s="3" cm="1">
        <f t="array" ref="DA113">IFERROR(COUNT(_xlfn._xlws.FILTER(CH113:CL113, ISNUMBER(MATCH(CH113:CL113, {1,4,8,10,14,16,20,22,25,26,28,32,34,35,38,40,44}, 0)))), 0)</f>
        <v>2</v>
      </c>
      <c r="DB113" s="3" cm="1">
        <f t="array" ref="DB113">IFERROR(COUNT(_xlfn._xlws.FILTER(CH113:CL113, ISNUMBER(MATCH(CH113:CL113, {6,9,12,15,18,21,24,27,30,33,36,39,42,45}, 0)))), 0)</f>
        <v>2</v>
      </c>
      <c r="DC113" s="29"/>
      <c r="DD113" s="28" t="e">
        <f>#REF!</f>
        <v>#REF!</v>
      </c>
      <c r="DE113" s="28" t="e">
        <f>#REF!*2</f>
        <v>#REF!</v>
      </c>
      <c r="DF113" s="28" t="e">
        <f>#REF!</f>
        <v>#REF!</v>
      </c>
      <c r="DG113" s="28" t="e">
        <f>#REF!*2</f>
        <v>#REF!</v>
      </c>
      <c r="DH113" s="28" t="e">
        <f>#REF!</f>
        <v>#REF!</v>
      </c>
      <c r="DI113" s="28" t="e">
        <f>#REF!*2</f>
        <v>#REF!</v>
      </c>
      <c r="DJ113" s="28" t="e">
        <f>#REF!</f>
        <v>#REF!</v>
      </c>
      <c r="DK113" s="28" t="e">
        <f>#REF!*2</f>
        <v>#REF!</v>
      </c>
      <c r="DL113" s="28" t="e">
        <f>#REF!</f>
        <v>#REF!</v>
      </c>
      <c r="DM113" s="28" t="e">
        <f>#REF!*2</f>
        <v>#REF!</v>
      </c>
      <c r="DN113" s="27"/>
      <c r="DO113" s="26" t="str" cm="1">
        <f t="array" ref="DO113">_xlfn.IFS(
   OR(CH113="",ISBLANK(CH113),CH113=0),0,
   ISNUMBER(MATCH(CH113,{2,3,5,7,11,13,17,19,23,29,31,37,41,43},0)),"소",
   AND(ISNUMBER(CH113),MOD(CH113,3)=0),"배",
   AND(ISNUMBER(CH113),CH113&gt;0),"자"
)</f>
        <v>자</v>
      </c>
      <c r="DP113" s="26" t="str" cm="1">
        <f t="array" ref="DP113">_xlfn.IFS(
   OR(CI113="",ISBLANK(CI113),CI113=0),0,
   ISNUMBER(MATCH(CI113,{2,3,5,7,11,13,17,19,23,29,31,37,41,43},0)),"소",
   AND(ISNUMBER(CI113),MOD(CI113,3)=0),"배",
   AND(ISNUMBER(CI113),CI113&gt;0),"자"
)</f>
        <v>소</v>
      </c>
      <c r="DQ113" s="26" t="str" cm="1">
        <f t="array" ref="DQ113">_xlfn.IFS(
   OR(CJ113="",ISBLANK(CJ113),CJ113=0),0,
   ISNUMBER(MATCH(CJ113,{2,3,5,7,11,13,17,19,23,29,31,37,41,43},0)),"소",
   AND(ISNUMBER(CJ113),MOD(CJ113,3)=0),"배",
   AND(ISNUMBER(CJ113),CJ113&gt;0),"자"
)</f>
        <v>배</v>
      </c>
      <c r="DR113" s="26" t="str" cm="1">
        <f t="array" ref="DR113">_xlfn.IFS(
   OR(CK113="",ISBLANK(CK113),CK113=0),0,
   ISNUMBER(MATCH(CK113,{2,3,5,7,11,13,17,19,23,29,31,37,41,43},0)),"소",
   AND(ISNUMBER(CK113),MOD(CK113,3)=0),"배",
   AND(ISNUMBER(CK113),CK113&gt;0),"자"
)</f>
        <v>배</v>
      </c>
      <c r="DS113" s="26" t="str" cm="1">
        <f t="array" ref="DS113">_xlfn.IFS(
   OR(CL113="",ISBLANK(CL113),CL113=0),0,
   ISNUMBER(MATCH(CL113,{2,3,5,7,11,13,17,19,23,29,31,37,41,43},0)),"소",
   AND(ISNUMBER(CL113),MOD(CL113,3)=0),"배",
   AND(ISNUMBER(CL113),CL113&gt;0),"자"
)</f>
        <v>자</v>
      </c>
      <c r="DT113" s="25"/>
    </row>
    <row r="114" spans="2:124" x14ac:dyDescent="0.3">
      <c r="B114" s="3">
        <v>3</v>
      </c>
      <c r="C114" s="3">
        <v>15</v>
      </c>
      <c r="D114" s="3">
        <v>27</v>
      </c>
      <c r="E114" s="3">
        <v>33</v>
      </c>
      <c r="F114" s="3">
        <v>34</v>
      </c>
      <c r="G114" s="3">
        <v>36</v>
      </c>
      <c r="H114" s="32"/>
      <c r="I114" s="3">
        <f>IF(OR(B114="",ISBLANK(B114),B114=0),0,IF(MOD(B114,2)=1,1,2))</f>
        <v>1</v>
      </c>
      <c r="J114" s="3">
        <f>IF(OR(C114="",ISBLANK(C114),C114=0),0,IF(MOD(C114,2)=1,1,2))</f>
        <v>1</v>
      </c>
      <c r="K114" s="3">
        <f>IF(OR(D114="",ISBLANK(D114),D114=0),0,IF(MOD(D114,2)=1,1,2))</f>
        <v>1</v>
      </c>
      <c r="L114" s="3">
        <f>IF(OR(E114="",ISBLANK(E114),E114=0),0,IF(MOD(E114,2)=1,1,2))</f>
        <v>1</v>
      </c>
      <c r="M114" s="3">
        <f>IF(OR(F114="",ISBLANK(F114),F114=0),0,IF(MOD(F114,2)=1,1,2))</f>
        <v>2</v>
      </c>
      <c r="N114" s="3">
        <f>IF(OR(G114="",ISBLANK(G114),G114=0),0,IF(MOD(G114,2)=1,1,2))</f>
        <v>2</v>
      </c>
      <c r="O114" s="32"/>
      <c r="P114" s="3" cm="1">
        <f t="array" ref="P114">SUMPRODUCT(--(MOD(B114:G114,2)=1))</f>
        <v>4</v>
      </c>
      <c r="Q114" s="3">
        <f>6-P114</f>
        <v>2</v>
      </c>
      <c r="R114" s="34"/>
      <c r="S114" s="3">
        <f>COUNTIFS(B114:G114,"&gt;=1",B114:G114,"&lt;=23")</f>
        <v>2</v>
      </c>
      <c r="T114" s="3">
        <f>6-S114</f>
        <v>4</v>
      </c>
      <c r="U114" s="34"/>
      <c r="V114" s="3" cm="1">
        <f t="array" ref="V114">SUMPRODUCT(--(MOD(B114:G114,10)&gt;=1), --(MOD(B114:G114,10)&lt;=5))</f>
        <v>4</v>
      </c>
      <c r="W114" s="3">
        <f>6-V114</f>
        <v>2</v>
      </c>
      <c r="X114" s="34"/>
      <c r="Y114" s="3" cm="1">
        <f t="array" ref="Y114">IFERROR(COUNT(_xlfn._xlws.FILTER(B114:G114, ISNUMBER(MATCH(B114:G114, {2,3,5,7,11,13,17,19,23,29,31,37,41,43}, 0)))), 0)</f>
        <v>1</v>
      </c>
      <c r="Z114" s="3" cm="1">
        <f t="array" ref="Z114">IFERROR(COUNT(_xlfn._xlws.FILTER(B114:G114, ISNUMBER(MATCH(B114:G114, {1,4,8,10,14,16,20,22,25,26,28,32,34,35,38,40,44}, 0)))), 0)</f>
        <v>1</v>
      </c>
      <c r="AA114" s="3" cm="1">
        <f t="array" ref="AA114">IFERROR(COUNT(_xlfn._xlws.FILTER(B114:G114, ISNUMBER(MATCH(B114:G114, {6,9,12,15,18,21,24,27,30,33,36,39,42,45}, 0)))), 0)</f>
        <v>4</v>
      </c>
      <c r="AB114" s="30"/>
      <c r="AC114" s="26" t="str" cm="1">
        <f t="array" ref="AC114">_xlfn.IFS(
   OR(B114="",ISBLANK(B114),B114=0),0,
   ISNUMBER(MATCH(B114,{2,3,5,7,11,13,17,19,23,29,31,37,41,43},0)),"소",
   AND(ISNUMBER(B114),MOD(B114,3)=0),"배",
   AND(ISNUMBER(B114),B114&gt;0),"자"
)</f>
        <v>소</v>
      </c>
      <c r="AD114" s="26" t="str" cm="1">
        <f t="array" ref="AD114">_xlfn.IFS(
   OR(C114="",ISBLANK(C114),C114=0),0,
   ISNUMBER(MATCH(C114,{2,3,5,7,11,13,17,19,23,29,31,37,41,43},0)),"소",
   AND(ISNUMBER(C114),MOD(C114,3)=0),"배",
   AND(ISNUMBER(C114),C114&gt;0),"자"
)</f>
        <v>배</v>
      </c>
      <c r="AE114" s="26" t="str" cm="1">
        <f t="array" ref="AE114">_xlfn.IFS(
   OR(D114="",ISBLANK(D114),D114=0),0,
   ISNUMBER(MATCH(D114,{2,3,5,7,11,13,17,19,23,29,31,37,41,43},0)),"소",
   AND(ISNUMBER(D114),MOD(D114,3)=0),"배",
   AND(ISNUMBER(D114),D114&gt;0),"자"
)</f>
        <v>배</v>
      </c>
      <c r="AF114" s="26" t="str" cm="1">
        <f t="array" ref="AF114">_xlfn.IFS(
   OR(E114="",ISBLANK(E114),E114=0),0,
   ISNUMBER(MATCH(E114,{2,3,5,7,11,13,17,19,23,29,31,37,41,43},0)),"소",
   AND(ISNUMBER(E114),MOD(E114,3)=0),"배",
   AND(ISNUMBER(E114),E114&gt;0),"자"
)</f>
        <v>배</v>
      </c>
      <c r="AG114" s="26" t="str" cm="1">
        <f t="array" ref="AG114">_xlfn.IFS(
   OR(F114="",ISBLANK(F114),F114=0),0,
   ISNUMBER(MATCH(F114,{2,3,5,7,11,13,17,19,23,29,31,37,41,43},0)),"소",
   AND(ISNUMBER(F114),MOD(F114,3)=0),"배",
   AND(ISNUMBER(F114),F114&gt;0),"자"
)</f>
        <v>자</v>
      </c>
      <c r="AH114" s="26" t="str" cm="1">
        <f t="array" ref="AH114">_xlfn.IFS(
   OR(G114="",ISBLANK(G114),G114=0),0,
   ISNUMBER(MATCH(G114,{2,3,5,7,11,13,17,19,23,29,31,37,41,43},0)),"소",
   AND(ISNUMBER(G114),MOD(G114,3)=0),"배",
   AND(ISNUMBER(G114),G114&gt;0),"자"
)</f>
        <v>배</v>
      </c>
      <c r="AI114" s="30"/>
      <c r="AJ114" s="3">
        <f>COUNTIFS(B114:G114,"&gt;=1",B114:G114,"&lt;=14")</f>
        <v>1</v>
      </c>
      <c r="AK114" s="3">
        <f>COUNTIFS(B114:G114,"&gt;=15",B114:G114,"&lt;=31")</f>
        <v>2</v>
      </c>
      <c r="AL114" s="3">
        <f>6-AK114-AJ114</f>
        <v>3</v>
      </c>
      <c r="AM114" s="33"/>
      <c r="AN114" s="3">
        <f>COUNTIFS($B114:$G114, "&gt;=1",$B114:$G114, "&lt;=9")</f>
        <v>1</v>
      </c>
      <c r="AO114" s="3">
        <f>COUNTIFS($B114:$G114, "&gt;=10",$B114:$G114, "&lt;=18")</f>
        <v>1</v>
      </c>
      <c r="AP114" s="3">
        <f>COUNTIFS($B114:$G114, "&gt;=19",$B114:$G114, "&lt;=27")</f>
        <v>1</v>
      </c>
      <c r="AQ114" s="3">
        <f>COUNTIFS($B114:$G114, "&gt;=28",$B114:$G114, "&lt;=36")</f>
        <v>3</v>
      </c>
      <c r="AR114" s="3">
        <f>COUNTIFS($B114:$G114, "&gt;=37",$B114:$G114, "&lt;=45")</f>
        <v>0</v>
      </c>
      <c r="AS114" s="28" t="e">
        <f>#REF!</f>
        <v>#REF!</v>
      </c>
      <c r="AT114" s="28" t="e">
        <f>#REF!*2</f>
        <v>#REF!</v>
      </c>
      <c r="AU114" s="28" t="e">
        <f>#REF!</f>
        <v>#REF!</v>
      </c>
      <c r="AV114" s="28" t="e">
        <f>#REF!*2</f>
        <v>#REF!</v>
      </c>
      <c r="AW114" s="28" t="e">
        <f>#REF!</f>
        <v>#REF!</v>
      </c>
      <c r="AX114" s="28" t="e">
        <f>#REF!*2</f>
        <v>#REF!</v>
      </c>
      <c r="AY114" s="28" t="e">
        <f>#REF!</f>
        <v>#REF!</v>
      </c>
      <c r="AZ114" s="28" t="e">
        <f>#REF!*2</f>
        <v>#REF!</v>
      </c>
      <c r="BA114" s="28" t="e">
        <f>#REF!</f>
        <v>#REF!</v>
      </c>
      <c r="BB114" s="28" t="e">
        <f>#REF!*2</f>
        <v>#REF!</v>
      </c>
      <c r="BC114" s="28" t="e">
        <f>#REF!</f>
        <v>#REF!</v>
      </c>
      <c r="BD114" s="28" t="e">
        <f>#REF!*2</f>
        <v>#REF!</v>
      </c>
      <c r="BE114" s="9" t="e">
        <f>#REF!-#REF!</f>
        <v>#REF!</v>
      </c>
      <c r="BF114" s="9" t="e">
        <f>#REF!-#REF!</f>
        <v>#REF!</v>
      </c>
      <c r="BG114" s="9" t="e">
        <f>#REF!-#REF!</f>
        <v>#REF!</v>
      </c>
      <c r="BH114" s="9" t="e">
        <f>#REF!-#REF!</f>
        <v>#REF!</v>
      </c>
      <c r="BI114" s="9" t="e">
        <f>#REF!-#REF!</f>
        <v>#REF!</v>
      </c>
      <c r="BJ114" s="33"/>
      <c r="BK114" s="3">
        <f>COUNTIFS(B114:G114, "&gt;=1", B114:G114, "&lt;=9")</f>
        <v>1</v>
      </c>
      <c r="BL114" s="3">
        <f>COUNTIFS(B114:G114, "&gt;=10", B114:G114, "&lt;=19")</f>
        <v>1</v>
      </c>
      <c r="BM114" s="3">
        <f>COUNTIFS(B114:G114, "&gt;=20", B114:G114, "&lt;=29")</f>
        <v>1</v>
      </c>
      <c r="BN114" s="3">
        <f>COUNTIFS(B114:G114, "&gt;=30", B114:G114, "&lt;=39")</f>
        <v>3</v>
      </c>
      <c r="BO114" s="3">
        <f>COUNTIFS(B114:G114, "&gt;=40", B114:G114, "&lt;=45")</f>
        <v>0</v>
      </c>
      <c r="BP114" s="28" t="e">
        <f>#REF!</f>
        <v>#REF!</v>
      </c>
      <c r="BQ114" s="28" t="e">
        <f>#REF!*2</f>
        <v>#REF!</v>
      </c>
      <c r="BR114" s="28" t="e">
        <f>#REF!</f>
        <v>#REF!</v>
      </c>
      <c r="BS114" s="28" t="e">
        <f>#REF!*2</f>
        <v>#REF!</v>
      </c>
      <c r="BT114" s="28" t="e">
        <f>#REF!</f>
        <v>#REF!</v>
      </c>
      <c r="BU114" s="28" t="e">
        <f>#REF!*2</f>
        <v>#REF!</v>
      </c>
      <c r="BV114" s="28" t="e">
        <f>#REF!</f>
        <v>#REF!</v>
      </c>
      <c r="BW114" s="28" t="e">
        <f>#REF!*2</f>
        <v>#REF!</v>
      </c>
      <c r="BX114" s="28" t="e">
        <f>#REF!</f>
        <v>#REF!</v>
      </c>
      <c r="BY114" s="28" t="e">
        <f>#REF!*2</f>
        <v>#REF!</v>
      </c>
      <c r="BZ114" s="28" t="e">
        <f>#REF!</f>
        <v>#REF!</v>
      </c>
      <c r="CA114" s="28" t="e">
        <f>#REF!*2</f>
        <v>#REF!</v>
      </c>
      <c r="CB114" s="9">
        <f>C114-B114</f>
        <v>12</v>
      </c>
      <c r="CC114" s="9">
        <f>D114-C114</f>
        <v>12</v>
      </c>
      <c r="CD114" s="9">
        <f>E114-D114</f>
        <v>6</v>
      </c>
      <c r="CE114" s="9">
        <f>F114-E114</f>
        <v>1</v>
      </c>
      <c r="CF114" s="9">
        <f>G114-F114</f>
        <v>2</v>
      </c>
      <c r="CG114" s="33"/>
      <c r="CH114" s="9">
        <f>C114-B114</f>
        <v>12</v>
      </c>
      <c r="CI114" s="9">
        <f>D114-C114</f>
        <v>12</v>
      </c>
      <c r="CJ114" s="9">
        <f>E114-D114</f>
        <v>6</v>
      </c>
      <c r="CK114" s="9">
        <f>F114-E114</f>
        <v>1</v>
      </c>
      <c r="CL114" s="9">
        <f>G114-F114</f>
        <v>2</v>
      </c>
      <c r="CM114" s="32"/>
      <c r="CN114" s="3">
        <f>IF(OR(CH114="",ISBLANK(CH114),CH114=0),0,IF(MOD(CH114,2)=1,1,2))</f>
        <v>2</v>
      </c>
      <c r="CO114" s="3">
        <f>IF(OR(CI114="",ISBLANK(CI114),CI114=0),0,IF(MOD(CI114,2)=1,1,2))</f>
        <v>2</v>
      </c>
      <c r="CP114" s="3">
        <f>IF(OR(CJ114="",ISBLANK(CJ114),CJ114=0),0,IF(MOD(CJ114,2)=1,1,2))</f>
        <v>2</v>
      </c>
      <c r="CQ114" s="3">
        <f>IF(OR(CK114="",ISBLANK(CK114),CK114=0),0,IF(MOD(CK114,2)=1,1,2))</f>
        <v>1</v>
      </c>
      <c r="CR114" s="3">
        <f>IF(OR(CL114="",ISBLANK(CL114),CL114=0),0,IF(MOD(CL114,2)=1,1,2))</f>
        <v>2</v>
      </c>
      <c r="CS114" s="31"/>
      <c r="CT114" s="3" cm="1">
        <f t="array" ref="CT114">SUMPRODUCT(--(MOD(CH114:CL114,2)=1))</f>
        <v>1</v>
      </c>
      <c r="CU114" s="3">
        <f>5-CT114</f>
        <v>4</v>
      </c>
      <c r="CV114" s="30"/>
      <c r="CW114" s="3" cm="1">
        <f t="array" ref="CW114">SUMPRODUCT(--(MOD(CH114:CL114,10)&gt;=1), --(MOD(CH114:CL114,10)&lt;=5))</f>
        <v>4</v>
      </c>
      <c r="CX114" s="3">
        <f>5-CW114</f>
        <v>1</v>
      </c>
      <c r="CY114" s="30"/>
      <c r="CZ114" s="3" cm="1">
        <f t="array" ref="CZ114">IFERROR(COUNT(_xlfn._xlws.FILTER(CH114:CL114, ISNUMBER(MATCH(CH114:CL114, {2,3,5,7,11,13,17,19,23,29,31,37,41,43}, 0)))), 0)</f>
        <v>1</v>
      </c>
      <c r="DA114" s="3" cm="1">
        <f t="array" ref="DA114">IFERROR(COUNT(_xlfn._xlws.FILTER(CH114:CL114, ISNUMBER(MATCH(CH114:CL114, {1,4,8,10,14,16,20,22,25,26,28,32,34,35,38,40,44}, 0)))), 0)</f>
        <v>1</v>
      </c>
      <c r="DB114" s="3" cm="1">
        <f t="array" ref="DB114">IFERROR(COUNT(_xlfn._xlws.FILTER(CH114:CL114, ISNUMBER(MATCH(CH114:CL114, {6,9,12,15,18,21,24,27,30,33,36,39,42,45}, 0)))), 0)</f>
        <v>3</v>
      </c>
      <c r="DC114" s="29"/>
      <c r="DD114" s="28" t="e">
        <f>#REF!</f>
        <v>#REF!</v>
      </c>
      <c r="DE114" s="28" t="e">
        <f>#REF!*2</f>
        <v>#REF!</v>
      </c>
      <c r="DF114" s="28" t="e">
        <f>#REF!</f>
        <v>#REF!</v>
      </c>
      <c r="DG114" s="28" t="e">
        <f>#REF!*2</f>
        <v>#REF!</v>
      </c>
      <c r="DH114" s="28" t="e">
        <f>#REF!</f>
        <v>#REF!</v>
      </c>
      <c r="DI114" s="28" t="e">
        <f>#REF!*2</f>
        <v>#REF!</v>
      </c>
      <c r="DJ114" s="28" t="e">
        <f>#REF!</f>
        <v>#REF!</v>
      </c>
      <c r="DK114" s="28" t="e">
        <f>#REF!*2</f>
        <v>#REF!</v>
      </c>
      <c r="DL114" s="28" t="e">
        <f>#REF!</f>
        <v>#REF!</v>
      </c>
      <c r="DM114" s="28" t="e">
        <f>#REF!*2</f>
        <v>#REF!</v>
      </c>
      <c r="DN114" s="27"/>
      <c r="DO114" s="26" t="str" cm="1">
        <f t="array" ref="DO114">_xlfn.IFS(
   OR(CH114="",ISBLANK(CH114),CH114=0),0,
   ISNUMBER(MATCH(CH114,{2,3,5,7,11,13,17,19,23,29,31,37,41,43},0)),"소",
   AND(ISNUMBER(CH114),MOD(CH114,3)=0),"배",
   AND(ISNUMBER(CH114),CH114&gt;0),"자"
)</f>
        <v>배</v>
      </c>
      <c r="DP114" s="26" t="str" cm="1">
        <f t="array" ref="DP114">_xlfn.IFS(
   OR(CI114="",ISBLANK(CI114),CI114=0),0,
   ISNUMBER(MATCH(CI114,{2,3,5,7,11,13,17,19,23,29,31,37,41,43},0)),"소",
   AND(ISNUMBER(CI114),MOD(CI114,3)=0),"배",
   AND(ISNUMBER(CI114),CI114&gt;0),"자"
)</f>
        <v>배</v>
      </c>
      <c r="DQ114" s="26" t="str" cm="1">
        <f t="array" ref="DQ114">_xlfn.IFS(
   OR(CJ114="",ISBLANK(CJ114),CJ114=0),0,
   ISNUMBER(MATCH(CJ114,{2,3,5,7,11,13,17,19,23,29,31,37,41,43},0)),"소",
   AND(ISNUMBER(CJ114),MOD(CJ114,3)=0),"배",
   AND(ISNUMBER(CJ114),CJ114&gt;0),"자"
)</f>
        <v>배</v>
      </c>
      <c r="DR114" s="26" t="str" cm="1">
        <f t="array" ref="DR114">_xlfn.IFS(
   OR(CK114="",ISBLANK(CK114),CK114=0),0,
   ISNUMBER(MATCH(CK114,{2,3,5,7,11,13,17,19,23,29,31,37,41,43},0)),"소",
   AND(ISNUMBER(CK114),MOD(CK114,3)=0),"배",
   AND(ISNUMBER(CK114),CK114&gt;0),"자"
)</f>
        <v>자</v>
      </c>
      <c r="DS114" s="26" t="str" cm="1">
        <f t="array" ref="DS114">_xlfn.IFS(
   OR(CL114="",ISBLANK(CL114),CL114=0),0,
   ISNUMBER(MATCH(CL114,{2,3,5,7,11,13,17,19,23,29,31,37,41,43},0)),"소",
   AND(ISNUMBER(CL114),MOD(CL114,3)=0),"배",
   AND(ISNUMBER(CL114),CL114&gt;0),"자"
)</f>
        <v>소</v>
      </c>
      <c r="DT114" s="25"/>
    </row>
    <row r="115" spans="2:124" ht="14.25" thickBot="1" x14ac:dyDescent="0.35">
      <c r="B115" s="3">
        <v>8</v>
      </c>
      <c r="C115" s="3">
        <v>12</v>
      </c>
      <c r="D115" s="3">
        <v>15</v>
      </c>
      <c r="E115" s="3">
        <v>29</v>
      </c>
      <c r="F115" s="3">
        <v>40</v>
      </c>
      <c r="G115" s="3">
        <v>45</v>
      </c>
      <c r="H115" s="32"/>
      <c r="I115" s="3">
        <f>IF(OR(B115="",ISBLANK(B115),B115=0),0,IF(MOD(B115,2)=1,1,2))</f>
        <v>2</v>
      </c>
      <c r="J115" s="3">
        <f>IF(OR(C115="",ISBLANK(C115),C115=0),0,IF(MOD(C115,2)=1,1,2))</f>
        <v>2</v>
      </c>
      <c r="K115" s="3">
        <f>IF(OR(D115="",ISBLANK(D115),D115=0),0,IF(MOD(D115,2)=1,1,2))</f>
        <v>1</v>
      </c>
      <c r="L115" s="3">
        <f>IF(OR(E115="",ISBLANK(E115),E115=0),0,IF(MOD(E115,2)=1,1,2))</f>
        <v>1</v>
      </c>
      <c r="M115" s="3">
        <f>IF(OR(F115="",ISBLANK(F115),F115=0),0,IF(MOD(F115,2)=1,1,2))</f>
        <v>2</v>
      </c>
      <c r="N115" s="3">
        <f>IF(OR(G115="",ISBLANK(G115),G115=0),0,IF(MOD(G115,2)=1,1,2))</f>
        <v>1</v>
      </c>
      <c r="O115" s="32"/>
      <c r="P115" s="3" cm="1">
        <f t="array" ref="P115">SUMPRODUCT(--(MOD(B115:G115,2)=1))</f>
        <v>3</v>
      </c>
      <c r="Q115" s="3">
        <f>6-P115</f>
        <v>3</v>
      </c>
      <c r="R115" s="34"/>
      <c r="S115" s="3">
        <f>COUNTIFS(B115:G115,"&gt;=1",B115:G115,"&lt;=23")</f>
        <v>3</v>
      </c>
      <c r="T115" s="3">
        <f>6-S115</f>
        <v>3</v>
      </c>
      <c r="U115" s="34"/>
      <c r="V115" s="3" cm="1">
        <f t="array" ref="V115">SUMPRODUCT(--(MOD(B115:G115,10)&gt;=1), --(MOD(B115:G115,10)&lt;=5))</f>
        <v>3</v>
      </c>
      <c r="W115" s="3">
        <f>6-V115</f>
        <v>3</v>
      </c>
      <c r="X115" s="34"/>
      <c r="Y115" s="3" cm="1">
        <f t="array" ref="Y115">IFERROR(COUNT(_xlfn._xlws.FILTER(B115:G115, ISNUMBER(MATCH(B115:G115, {2,3,5,7,11,13,17,19,23,29,31,37,41,43}, 0)))), 0)</f>
        <v>1</v>
      </c>
      <c r="Z115" s="3" cm="1">
        <f t="array" ref="Z115">IFERROR(COUNT(_xlfn._xlws.FILTER(B115:G115, ISNUMBER(MATCH(B115:G115, {1,4,8,10,14,16,20,22,25,26,28,32,34,35,38,40,44}, 0)))), 0)</f>
        <v>2</v>
      </c>
      <c r="AA115" s="3" cm="1">
        <f t="array" ref="AA115">IFERROR(COUNT(_xlfn._xlws.FILTER(B115:G115, ISNUMBER(MATCH(B115:G115, {6,9,12,15,18,21,24,27,30,33,36,39,42,45}, 0)))), 0)</f>
        <v>3</v>
      </c>
      <c r="AB115" s="30"/>
      <c r="AC115" s="26" t="str" cm="1">
        <f t="array" ref="AC115">_xlfn.IFS(
   OR(B115="",ISBLANK(B115),B115=0),0,
   ISNUMBER(MATCH(B115,{2,3,5,7,11,13,17,19,23,29,31,37,41,43},0)),"소",
   AND(ISNUMBER(B115),MOD(B115,3)=0),"배",
   AND(ISNUMBER(B115),B115&gt;0),"자"
)</f>
        <v>자</v>
      </c>
      <c r="AD115" s="26" t="str" cm="1">
        <f t="array" ref="AD115">_xlfn.IFS(
   OR(C115="",ISBLANK(C115),C115=0),0,
   ISNUMBER(MATCH(C115,{2,3,5,7,11,13,17,19,23,29,31,37,41,43},0)),"소",
   AND(ISNUMBER(C115),MOD(C115,3)=0),"배",
   AND(ISNUMBER(C115),C115&gt;0),"자"
)</f>
        <v>배</v>
      </c>
      <c r="AE115" s="26" t="str" cm="1">
        <f t="array" ref="AE115">_xlfn.IFS(
   OR(D115="",ISBLANK(D115),D115=0),0,
   ISNUMBER(MATCH(D115,{2,3,5,7,11,13,17,19,23,29,31,37,41,43},0)),"소",
   AND(ISNUMBER(D115),MOD(D115,3)=0),"배",
   AND(ISNUMBER(D115),D115&gt;0),"자"
)</f>
        <v>배</v>
      </c>
      <c r="AF115" s="26" t="str" cm="1">
        <f t="array" ref="AF115">_xlfn.IFS(
   OR(E115="",ISBLANK(E115),E115=0),0,
   ISNUMBER(MATCH(E115,{2,3,5,7,11,13,17,19,23,29,31,37,41,43},0)),"소",
   AND(ISNUMBER(E115),MOD(E115,3)=0),"배",
   AND(ISNUMBER(E115),E115&gt;0),"자"
)</f>
        <v>소</v>
      </c>
      <c r="AG115" s="26" t="str" cm="1">
        <f t="array" ref="AG115">_xlfn.IFS(
   OR(F115="",ISBLANK(F115),F115=0),0,
   ISNUMBER(MATCH(F115,{2,3,5,7,11,13,17,19,23,29,31,37,41,43},0)),"소",
   AND(ISNUMBER(F115),MOD(F115,3)=0),"배",
   AND(ISNUMBER(F115),F115&gt;0),"자"
)</f>
        <v>자</v>
      </c>
      <c r="AH115" s="26" t="str" cm="1">
        <f t="array" ref="AH115">_xlfn.IFS(
   OR(G115="",ISBLANK(G115),G115=0),0,
   ISNUMBER(MATCH(G115,{2,3,5,7,11,13,17,19,23,29,31,37,41,43},0)),"소",
   AND(ISNUMBER(G115),MOD(G115,3)=0),"배",
   AND(ISNUMBER(G115),G115&gt;0),"자"
)</f>
        <v>배</v>
      </c>
      <c r="AI115" s="30"/>
      <c r="AJ115" s="3">
        <f>COUNTIFS(B115:G115,"&gt;=1",B115:G115,"&lt;=14")</f>
        <v>2</v>
      </c>
      <c r="AK115" s="3">
        <f>COUNTIFS(B115:G115,"&gt;=15",B115:G115,"&lt;=31")</f>
        <v>2</v>
      </c>
      <c r="AL115" s="3">
        <f>6-AK115-AJ115</f>
        <v>2</v>
      </c>
      <c r="AM115" s="33"/>
      <c r="AN115" s="3">
        <f>COUNTIFS($B115:$G115, "&gt;=1",$B115:$G115, "&lt;=9")</f>
        <v>1</v>
      </c>
      <c r="AO115" s="3">
        <f>COUNTIFS($B115:$G115, "&gt;=10",$B115:$G115, "&lt;=18")</f>
        <v>2</v>
      </c>
      <c r="AP115" s="3">
        <f>COUNTIFS($B115:$G115, "&gt;=19",$B115:$G115, "&lt;=27")</f>
        <v>0</v>
      </c>
      <c r="AQ115" s="3">
        <f>COUNTIFS($B115:$G115, "&gt;=28",$B115:$G115, "&lt;=36")</f>
        <v>1</v>
      </c>
      <c r="AR115" s="3">
        <f>COUNTIFS($B115:$G115, "&gt;=37",$B115:$G115, "&lt;=45")</f>
        <v>2</v>
      </c>
      <c r="AS115" s="28" t="e">
        <f>#REF!</f>
        <v>#REF!</v>
      </c>
      <c r="AT115" s="28" t="e">
        <f>#REF!*2</f>
        <v>#REF!</v>
      </c>
      <c r="AU115" s="28" t="e">
        <f>#REF!</f>
        <v>#REF!</v>
      </c>
      <c r="AV115" s="28" t="e">
        <f>#REF!*2</f>
        <v>#REF!</v>
      </c>
      <c r="AW115" s="28" t="e">
        <f>#REF!</f>
        <v>#REF!</v>
      </c>
      <c r="AX115" s="28" t="e">
        <f>#REF!*2</f>
        <v>#REF!</v>
      </c>
      <c r="AY115" s="28" t="e">
        <f>#REF!</f>
        <v>#REF!</v>
      </c>
      <c r="AZ115" s="28" t="e">
        <f>#REF!*2</f>
        <v>#REF!</v>
      </c>
      <c r="BA115" s="28" t="e">
        <f>#REF!</f>
        <v>#REF!</v>
      </c>
      <c r="BB115" s="28" t="e">
        <f>#REF!*2</f>
        <v>#REF!</v>
      </c>
      <c r="BC115" s="28" t="e">
        <f>#REF!</f>
        <v>#REF!</v>
      </c>
      <c r="BD115" s="28" t="e">
        <f>#REF!*2</f>
        <v>#REF!</v>
      </c>
      <c r="BE115" s="9" t="e">
        <f>#REF!-#REF!</f>
        <v>#REF!</v>
      </c>
      <c r="BF115" s="9" t="e">
        <f>#REF!-#REF!</f>
        <v>#REF!</v>
      </c>
      <c r="BG115" s="9" t="e">
        <f>#REF!-#REF!</f>
        <v>#REF!</v>
      </c>
      <c r="BH115" s="9" t="e">
        <f>#REF!-#REF!</f>
        <v>#REF!</v>
      </c>
      <c r="BI115" s="9" t="e">
        <f>#REF!-#REF!</f>
        <v>#REF!</v>
      </c>
      <c r="BJ115" s="33"/>
      <c r="BK115" s="3">
        <f>COUNTIFS(B115:G115, "&gt;=1", B115:G115, "&lt;=9")</f>
        <v>1</v>
      </c>
      <c r="BL115" s="3">
        <f>COUNTIFS(B115:G115, "&gt;=10", B115:G115, "&lt;=19")</f>
        <v>2</v>
      </c>
      <c r="BM115" s="3">
        <f>COUNTIFS(B115:G115, "&gt;=20", B115:G115, "&lt;=29")</f>
        <v>1</v>
      </c>
      <c r="BN115" s="3">
        <f>COUNTIFS(B115:G115, "&gt;=30", B115:G115, "&lt;=39")</f>
        <v>0</v>
      </c>
      <c r="BO115" s="3">
        <f>COUNTIFS(B115:G115, "&gt;=40", B115:G115, "&lt;=45")</f>
        <v>2</v>
      </c>
      <c r="BP115" s="28" t="e">
        <f>#REF!</f>
        <v>#REF!</v>
      </c>
      <c r="BQ115" s="28" t="e">
        <f>#REF!*2</f>
        <v>#REF!</v>
      </c>
      <c r="BR115" s="28" t="e">
        <f>#REF!</f>
        <v>#REF!</v>
      </c>
      <c r="BS115" s="28" t="e">
        <f>#REF!*2</f>
        <v>#REF!</v>
      </c>
      <c r="BT115" s="28" t="e">
        <f>#REF!</f>
        <v>#REF!</v>
      </c>
      <c r="BU115" s="28" t="e">
        <f>#REF!*2</f>
        <v>#REF!</v>
      </c>
      <c r="BV115" s="28" t="e">
        <f>#REF!</f>
        <v>#REF!</v>
      </c>
      <c r="BW115" s="28" t="e">
        <f>#REF!*2</f>
        <v>#REF!</v>
      </c>
      <c r="BX115" s="28" t="e">
        <f>#REF!</f>
        <v>#REF!</v>
      </c>
      <c r="BY115" s="28" t="e">
        <f>#REF!*2</f>
        <v>#REF!</v>
      </c>
      <c r="BZ115" s="28" t="e">
        <f>#REF!</f>
        <v>#REF!</v>
      </c>
      <c r="CA115" s="28" t="e">
        <f>#REF!*2</f>
        <v>#REF!</v>
      </c>
      <c r="CB115" s="9">
        <f>C115-B115</f>
        <v>4</v>
      </c>
      <c r="CC115" s="9">
        <f>D115-C115</f>
        <v>3</v>
      </c>
      <c r="CD115" s="9">
        <f>E115-D115</f>
        <v>14</v>
      </c>
      <c r="CE115" s="9">
        <f>F115-E115</f>
        <v>11</v>
      </c>
      <c r="CF115" s="9">
        <f>G115-F115</f>
        <v>5</v>
      </c>
      <c r="CG115" s="33"/>
      <c r="CH115" s="9">
        <f>C115-B115</f>
        <v>4</v>
      </c>
      <c r="CI115" s="9">
        <f>D115-C115</f>
        <v>3</v>
      </c>
      <c r="CJ115" s="9">
        <f>E115-D115</f>
        <v>14</v>
      </c>
      <c r="CK115" s="9">
        <f>F115-E115</f>
        <v>11</v>
      </c>
      <c r="CL115" s="9">
        <f>G115-F115</f>
        <v>5</v>
      </c>
      <c r="CM115" s="32"/>
      <c r="CN115" s="3">
        <f>IF(OR(CH115="",ISBLANK(CH115),CH115=0),0,IF(MOD(CH115,2)=1,1,2))</f>
        <v>2</v>
      </c>
      <c r="CO115" s="3">
        <f>IF(OR(CI115="",ISBLANK(CI115),CI115=0),0,IF(MOD(CI115,2)=1,1,2))</f>
        <v>1</v>
      </c>
      <c r="CP115" s="3">
        <f>IF(OR(CJ115="",ISBLANK(CJ115),CJ115=0),0,IF(MOD(CJ115,2)=1,1,2))</f>
        <v>2</v>
      </c>
      <c r="CQ115" s="3">
        <f>IF(OR(CK115="",ISBLANK(CK115),CK115=0),0,IF(MOD(CK115,2)=1,1,2))</f>
        <v>1</v>
      </c>
      <c r="CR115" s="3">
        <f>IF(OR(CL115="",ISBLANK(CL115),CL115=0),0,IF(MOD(CL115,2)=1,1,2))</f>
        <v>1</v>
      </c>
      <c r="CS115" s="31"/>
      <c r="CT115" s="3" cm="1">
        <f t="array" ref="CT115">SUMPRODUCT(--(MOD(CH115:CL115,2)=1))</f>
        <v>3</v>
      </c>
      <c r="CU115" s="3">
        <f>5-CT115</f>
        <v>2</v>
      </c>
      <c r="CV115" s="30"/>
      <c r="CW115" s="3" cm="1">
        <f t="array" ref="CW115">SUMPRODUCT(--(MOD(CH115:CL115,10)&gt;=1), --(MOD(CH115:CL115,10)&lt;=5))</f>
        <v>5</v>
      </c>
      <c r="CX115" s="3">
        <f>5-CW115</f>
        <v>0</v>
      </c>
      <c r="CY115" s="30"/>
      <c r="CZ115" s="3" cm="1">
        <f t="array" ref="CZ115">IFERROR(COUNT(_xlfn._xlws.FILTER(CH115:CL115, ISNUMBER(MATCH(CH115:CL115, {2,3,5,7,11,13,17,19,23,29,31,37,41,43}, 0)))), 0)</f>
        <v>3</v>
      </c>
      <c r="DA115" s="3" cm="1">
        <f t="array" ref="DA115">IFERROR(COUNT(_xlfn._xlws.FILTER(CH115:CL115, ISNUMBER(MATCH(CH115:CL115, {1,4,8,10,14,16,20,22,25,26,28,32,34,35,38,40,44}, 0)))), 0)</f>
        <v>2</v>
      </c>
      <c r="DB115" s="3" cm="1">
        <f t="array" ref="DB115">IFERROR(COUNT(_xlfn._xlws.FILTER(CH115:CL115, ISNUMBER(MATCH(CH115:CL115, {6,9,12,15,18,21,24,27,30,33,36,39,42,45}, 0)))), 0)</f>
        <v>0</v>
      </c>
      <c r="DC115" s="29"/>
      <c r="DD115" s="28" t="e">
        <f>#REF!</f>
        <v>#REF!</v>
      </c>
      <c r="DE115" s="28" t="e">
        <f>#REF!*2</f>
        <v>#REF!</v>
      </c>
      <c r="DF115" s="28" t="e">
        <f>#REF!</f>
        <v>#REF!</v>
      </c>
      <c r="DG115" s="28" t="e">
        <f>#REF!*2</f>
        <v>#REF!</v>
      </c>
      <c r="DH115" s="28" t="e">
        <f>#REF!</f>
        <v>#REF!</v>
      </c>
      <c r="DI115" s="28" t="e">
        <f>#REF!*2</f>
        <v>#REF!</v>
      </c>
      <c r="DJ115" s="28" t="e">
        <f>#REF!</f>
        <v>#REF!</v>
      </c>
      <c r="DK115" s="28" t="e">
        <f>#REF!*2</f>
        <v>#REF!</v>
      </c>
      <c r="DL115" s="28" t="e">
        <f>#REF!</f>
        <v>#REF!</v>
      </c>
      <c r="DM115" s="28" t="e">
        <f>#REF!*2</f>
        <v>#REF!</v>
      </c>
      <c r="DN115" s="27"/>
      <c r="DO115" s="26" t="str" cm="1">
        <f t="array" ref="DO115">_xlfn.IFS(
   OR(CH115="",ISBLANK(CH115),CH115=0),0,
   ISNUMBER(MATCH(CH115,{2,3,5,7,11,13,17,19,23,29,31,37,41,43},0)),"소",
   AND(ISNUMBER(CH115),MOD(CH115,3)=0),"배",
   AND(ISNUMBER(CH115),CH115&gt;0),"자"
)</f>
        <v>자</v>
      </c>
      <c r="DP115" s="26" t="str" cm="1">
        <f t="array" ref="DP115">_xlfn.IFS(
   OR(CI115="",ISBLANK(CI115),CI115=0),0,
   ISNUMBER(MATCH(CI115,{2,3,5,7,11,13,17,19,23,29,31,37,41,43},0)),"소",
   AND(ISNUMBER(CI115),MOD(CI115,3)=0),"배",
   AND(ISNUMBER(CI115),CI115&gt;0),"자"
)</f>
        <v>소</v>
      </c>
      <c r="DQ115" s="26" t="str" cm="1">
        <f t="array" ref="DQ115">_xlfn.IFS(
   OR(CJ115="",ISBLANK(CJ115),CJ115=0),0,
   ISNUMBER(MATCH(CJ115,{2,3,5,7,11,13,17,19,23,29,31,37,41,43},0)),"소",
   AND(ISNUMBER(CJ115),MOD(CJ115,3)=0),"배",
   AND(ISNUMBER(CJ115),CJ115&gt;0),"자"
)</f>
        <v>자</v>
      </c>
      <c r="DR115" s="26" t="str" cm="1">
        <f t="array" ref="DR115">_xlfn.IFS(
   OR(CK115="",ISBLANK(CK115),CK115=0),0,
   ISNUMBER(MATCH(CK115,{2,3,5,7,11,13,17,19,23,29,31,37,41,43},0)),"소",
   AND(ISNUMBER(CK115),MOD(CK115,3)=0),"배",
   AND(ISNUMBER(CK115),CK115&gt;0),"자"
)</f>
        <v>소</v>
      </c>
      <c r="DS115" s="26" t="str" cm="1">
        <f t="array" ref="DS115">_xlfn.IFS(
   OR(CL115="",ISBLANK(CL115),CL115=0),0,
   ISNUMBER(MATCH(CL115,{2,3,5,7,11,13,17,19,23,29,31,37,41,43},0)),"소",
   AND(ISNUMBER(CL115),MOD(CL115,3)=0),"배",
   AND(ISNUMBER(CL115),CL115&gt;0),"자"
)</f>
        <v>소</v>
      </c>
      <c r="DT115" s="25"/>
    </row>
    <row r="116" spans="2:124" ht="14.25" thickBot="1" x14ac:dyDescent="0.35">
      <c r="B116" s="3">
        <v>1</v>
      </c>
      <c r="C116" s="3">
        <v>5</v>
      </c>
      <c r="D116" s="3">
        <v>7</v>
      </c>
      <c r="E116" s="3">
        <v>26</v>
      </c>
      <c r="F116" s="3">
        <v>28</v>
      </c>
      <c r="G116" s="3">
        <v>43</v>
      </c>
      <c r="H116" s="32"/>
      <c r="I116" s="3">
        <f>IF(OR(B116="",ISBLANK(B116),B116=0),0,IF(MOD(B116,2)=1,1,2))</f>
        <v>1</v>
      </c>
      <c r="J116" s="3">
        <f>IF(OR(C116="",ISBLANK(C116),C116=0),0,IF(MOD(C116,2)=1,1,2))</f>
        <v>1</v>
      </c>
      <c r="K116" s="3">
        <f>IF(OR(D116="",ISBLANK(D116),D116=0),0,IF(MOD(D116,2)=1,1,2))</f>
        <v>1</v>
      </c>
      <c r="L116" s="3">
        <f>IF(OR(E116="",ISBLANK(E116),E116=0),0,IF(MOD(E116,2)=1,1,2))</f>
        <v>2</v>
      </c>
      <c r="M116" s="3">
        <f>IF(OR(F116="",ISBLANK(F116),F116=0),0,IF(MOD(F116,2)=1,1,2))</f>
        <v>2</v>
      </c>
      <c r="N116" s="3">
        <f>IF(OR(G116="",ISBLANK(G116),G116=0),0,IF(MOD(G116,2)=1,1,2))</f>
        <v>1</v>
      </c>
      <c r="O116" s="32"/>
      <c r="P116" s="3" cm="1">
        <f t="array" ref="P116">SUMPRODUCT(--(MOD(B116:G116,2)=1))</f>
        <v>4</v>
      </c>
      <c r="Q116" s="3">
        <f>6-P116</f>
        <v>2</v>
      </c>
      <c r="R116" s="34"/>
      <c r="S116" s="3">
        <f>COUNTIFS(B116:G116,"&gt;=1",B116:G116,"&lt;=23")</f>
        <v>3</v>
      </c>
      <c r="T116" s="3">
        <f>6-S116</f>
        <v>3</v>
      </c>
      <c r="U116" s="34"/>
      <c r="V116" s="3" cm="1">
        <f t="array" ref="V116">SUMPRODUCT(--(MOD(B116:G116,10)&gt;=1), --(MOD(B116:G116,10)&lt;=5))</f>
        <v>3</v>
      </c>
      <c r="W116" s="3">
        <f>6-V116</f>
        <v>3</v>
      </c>
      <c r="X116" s="34"/>
      <c r="Y116" s="3" cm="1">
        <f t="array" ref="Y116">IFERROR(COUNT(_xlfn._xlws.FILTER(B116:G116, ISNUMBER(MATCH(B116:G116, {2,3,5,7,11,13,17,19,23,29,31,37,41,43}, 0)))), 0)</f>
        <v>3</v>
      </c>
      <c r="Z116" s="3" cm="1">
        <f t="array" ref="Z116">IFERROR(COUNT(_xlfn._xlws.FILTER(B116:G116, ISNUMBER(MATCH(B116:G116, {1,4,8,10,14,16,20,22,25,26,28,32,34,35,38,40,44}, 0)))), 0)</f>
        <v>3</v>
      </c>
      <c r="AA116" s="3" cm="1">
        <f t="array" ref="AA116">IFERROR(COUNT(_xlfn._xlws.FILTER(B116:G116, ISNUMBER(MATCH(B116:G116, {6,9,12,15,18,21,24,27,30,33,36,39,42,45}, 0)))), 0)</f>
        <v>0</v>
      </c>
      <c r="AB116" s="30"/>
      <c r="AC116" s="26" t="str" cm="1">
        <f t="array" ref="AC116">_xlfn.IFS(
   OR(B116="",ISBLANK(B116),B116=0),0,
   ISNUMBER(MATCH(B116,{2,3,5,7,11,13,17,19,23,29,31,37,41,43},0)),"소",
   AND(ISNUMBER(B116),MOD(B116,3)=0),"배",
   AND(ISNUMBER(B116),B116&gt;0),"자"
)</f>
        <v>자</v>
      </c>
      <c r="AD116" s="26" t="str" cm="1">
        <f t="array" ref="AD116">_xlfn.IFS(
   OR(C116="",ISBLANK(C116),C116=0),0,
   ISNUMBER(MATCH(C116,{2,3,5,7,11,13,17,19,23,29,31,37,41,43},0)),"소",
   AND(ISNUMBER(C116),MOD(C116,3)=0),"배",
   AND(ISNUMBER(C116),C116&gt;0),"자"
)</f>
        <v>소</v>
      </c>
      <c r="AE116" s="26" t="str" cm="1">
        <f t="array" ref="AE116">_xlfn.IFS(
   OR(D116="",ISBLANK(D116),D116=0),0,
   ISNUMBER(MATCH(D116,{2,3,5,7,11,13,17,19,23,29,31,37,41,43},0)),"소",
   AND(ISNUMBER(D116),MOD(D116,3)=0),"배",
   AND(ISNUMBER(D116),D116&gt;0),"자"
)</f>
        <v>소</v>
      </c>
      <c r="AF116" s="26" t="str" cm="1">
        <f t="array" ref="AF116">_xlfn.IFS(
   OR(E116="",ISBLANK(E116),E116=0),0,
   ISNUMBER(MATCH(E116,{2,3,5,7,11,13,17,19,23,29,31,37,41,43},0)),"소",
   AND(ISNUMBER(E116),MOD(E116,3)=0),"배",
   AND(ISNUMBER(E116),E116&gt;0),"자"
)</f>
        <v>자</v>
      </c>
      <c r="AG116" s="26" t="str" cm="1">
        <f t="array" ref="AG116">_xlfn.IFS(
   OR(F116="",ISBLANK(F116),F116=0),0,
   ISNUMBER(MATCH(F116,{2,3,5,7,11,13,17,19,23,29,31,37,41,43},0)),"소",
   AND(ISNUMBER(F116),MOD(F116,3)=0),"배",
   AND(ISNUMBER(F116),F116&gt;0),"자"
)</f>
        <v>자</v>
      </c>
      <c r="AH116" s="26" t="str" cm="1">
        <f t="array" ref="AH116">_xlfn.IFS(
   OR(G116="",ISBLANK(G116),G116=0),0,
   ISNUMBER(MATCH(G116,{2,3,5,7,11,13,17,19,23,29,31,37,41,43},0)),"소",
   AND(ISNUMBER(G116),MOD(G116,3)=0),"배",
   AND(ISNUMBER(G116),G116&gt;0),"자"
)</f>
        <v>소</v>
      </c>
      <c r="AI116" s="30"/>
      <c r="AJ116" s="3">
        <f>COUNTIFS(B116:G116,"&gt;=1",B116:G116,"&lt;=14")</f>
        <v>3</v>
      </c>
      <c r="AK116" s="3">
        <f>COUNTIFS(B116:G116,"&gt;=15",B116:G116,"&lt;=31")</f>
        <v>2</v>
      </c>
      <c r="AL116" s="3">
        <f>6-AK116-AJ116</f>
        <v>1</v>
      </c>
      <c r="AM116" s="33"/>
      <c r="AN116" s="3">
        <f>COUNTIFS($B116:$G116, "&gt;=1",$B116:$G116, "&lt;=9")</f>
        <v>3</v>
      </c>
      <c r="AO116" s="3">
        <f>COUNTIFS($B116:$G116, "&gt;=10",$B116:$G116, "&lt;=18")</f>
        <v>0</v>
      </c>
      <c r="AP116" s="3">
        <f>COUNTIFS($B116:$G116, "&gt;=19",$B116:$G116, "&lt;=27")</f>
        <v>1</v>
      </c>
      <c r="AQ116" s="3">
        <f>COUNTIFS($B116:$G116, "&gt;=28",$B116:$G116, "&lt;=36")</f>
        <v>1</v>
      </c>
      <c r="AR116" s="3">
        <f>COUNTIFS($B116:$G116, "&gt;=37",$B116:$G116, "&lt;=45")</f>
        <v>1</v>
      </c>
      <c r="AS116" s="28" t="e">
        <f>#REF!</f>
        <v>#REF!</v>
      </c>
      <c r="AT116" s="28" t="e">
        <f>#REF!*2</f>
        <v>#REF!</v>
      </c>
      <c r="AU116" s="28" t="e">
        <f>#REF!</f>
        <v>#REF!</v>
      </c>
      <c r="AV116" s="28" t="e">
        <f>#REF!*2</f>
        <v>#REF!</v>
      </c>
      <c r="AW116" s="28" t="e">
        <f>#REF!</f>
        <v>#REF!</v>
      </c>
      <c r="AX116" s="28" t="e">
        <f>#REF!*2</f>
        <v>#REF!</v>
      </c>
      <c r="AY116" s="28" t="e">
        <f>#REF!</f>
        <v>#REF!</v>
      </c>
      <c r="AZ116" s="28" t="e">
        <f>#REF!*2</f>
        <v>#REF!</v>
      </c>
      <c r="BA116" s="28" t="e">
        <f>#REF!</f>
        <v>#REF!</v>
      </c>
      <c r="BB116" s="28" t="e">
        <f>#REF!*2</f>
        <v>#REF!</v>
      </c>
      <c r="BC116" s="28" t="e">
        <f>#REF!</f>
        <v>#REF!</v>
      </c>
      <c r="BD116" s="28" t="e">
        <f>#REF!*2</f>
        <v>#REF!</v>
      </c>
      <c r="BE116" s="9" t="e">
        <f>#REF!-#REF!</f>
        <v>#REF!</v>
      </c>
      <c r="BF116" s="9" t="e">
        <f>#REF!-#REF!</f>
        <v>#REF!</v>
      </c>
      <c r="BG116" s="9" t="e">
        <f>#REF!-#REF!</f>
        <v>#REF!</v>
      </c>
      <c r="BH116" s="9" t="e">
        <f>#REF!-#REF!</f>
        <v>#REF!</v>
      </c>
      <c r="BI116" s="9" t="e">
        <f>#REF!-#REF!</f>
        <v>#REF!</v>
      </c>
      <c r="BJ116" s="33"/>
      <c r="BK116" s="3">
        <f>COUNTIFS(B116:G116, "&gt;=1", B116:G116, "&lt;=9")</f>
        <v>3</v>
      </c>
      <c r="BL116" s="3">
        <f>COUNTIFS(B116:G116, "&gt;=10", B116:G116, "&lt;=19")</f>
        <v>0</v>
      </c>
      <c r="BM116" s="3">
        <f>COUNTIFS(B116:G116, "&gt;=20", B116:G116, "&lt;=29")</f>
        <v>2</v>
      </c>
      <c r="BN116" s="3">
        <f>COUNTIFS(B116:G116, "&gt;=30", B116:G116, "&lt;=39")</f>
        <v>0</v>
      </c>
      <c r="BO116" s="3">
        <f>COUNTIFS(B116:G116, "&gt;=40", B116:G116, "&lt;=45")</f>
        <v>1</v>
      </c>
      <c r="BP116" s="28" t="e">
        <f>#REF!</f>
        <v>#REF!</v>
      </c>
      <c r="BQ116" s="28" t="e">
        <f>#REF!*2</f>
        <v>#REF!</v>
      </c>
      <c r="BR116" s="28" t="e">
        <f>#REF!</f>
        <v>#REF!</v>
      </c>
      <c r="BS116" s="28" t="e">
        <f>#REF!*2</f>
        <v>#REF!</v>
      </c>
      <c r="BT116" s="28" t="e">
        <f>#REF!</f>
        <v>#REF!</v>
      </c>
      <c r="BU116" s="28" t="e">
        <f>#REF!*2</f>
        <v>#REF!</v>
      </c>
      <c r="BV116" s="28" t="e">
        <f>#REF!</f>
        <v>#REF!</v>
      </c>
      <c r="BW116" s="28" t="e">
        <f>#REF!*2</f>
        <v>#REF!</v>
      </c>
      <c r="BX116" s="28" t="e">
        <f>#REF!</f>
        <v>#REF!</v>
      </c>
      <c r="BY116" s="28" t="e">
        <f>#REF!*2</f>
        <v>#REF!</v>
      </c>
      <c r="BZ116" s="28" t="e">
        <f>#REF!</f>
        <v>#REF!</v>
      </c>
      <c r="CA116" s="28" t="e">
        <f>#REF!*2</f>
        <v>#REF!</v>
      </c>
      <c r="CB116" s="9">
        <f>C116-B116</f>
        <v>4</v>
      </c>
      <c r="CC116" s="9">
        <f>D116-C116</f>
        <v>2</v>
      </c>
      <c r="CD116" s="9">
        <f>E116-D116</f>
        <v>19</v>
      </c>
      <c r="CE116" s="9">
        <f>F116-E116</f>
        <v>2</v>
      </c>
      <c r="CF116" s="9">
        <f>G116-F116</f>
        <v>15</v>
      </c>
      <c r="CG116" s="33"/>
      <c r="CH116" s="9">
        <f>C116-B116</f>
        <v>4</v>
      </c>
      <c r="CI116" s="12">
        <f>D116-C116</f>
        <v>2</v>
      </c>
      <c r="CJ116" s="9">
        <f>E116-D116</f>
        <v>19</v>
      </c>
      <c r="CK116" s="12">
        <f>F116-E116</f>
        <v>2</v>
      </c>
      <c r="CL116" s="9">
        <f>G116-F116</f>
        <v>15</v>
      </c>
      <c r="CM116" s="32"/>
      <c r="CN116" s="3">
        <f>IF(OR(CH116="",ISBLANK(CH116),CH116=0),0,IF(MOD(CH116,2)=1,1,2))</f>
        <v>2</v>
      </c>
      <c r="CO116" s="3">
        <f>IF(OR(CI116="",ISBLANK(CI116),CI116=0),0,IF(MOD(CI116,2)=1,1,2))</f>
        <v>2</v>
      </c>
      <c r="CP116" s="3">
        <f>IF(OR(CJ116="",ISBLANK(CJ116),CJ116=0),0,IF(MOD(CJ116,2)=1,1,2))</f>
        <v>1</v>
      </c>
      <c r="CQ116" s="3">
        <f>IF(OR(CK116="",ISBLANK(CK116),CK116=0),0,IF(MOD(CK116,2)=1,1,2))</f>
        <v>2</v>
      </c>
      <c r="CR116" s="3">
        <f>IF(OR(CL116="",ISBLANK(CL116),CL116=0),0,IF(MOD(CL116,2)=1,1,2))</f>
        <v>1</v>
      </c>
      <c r="CS116" s="31"/>
      <c r="CT116" s="3" cm="1">
        <f t="array" ref="CT116">SUMPRODUCT(--(MOD(CH116:CL116,2)=1))</f>
        <v>2</v>
      </c>
      <c r="CU116" s="3">
        <f>5-CT116</f>
        <v>3</v>
      </c>
      <c r="CV116" s="30"/>
      <c r="CW116" s="3" cm="1">
        <f t="array" ref="CW116">SUMPRODUCT(--(MOD(CH116:CL116,10)&gt;=1), --(MOD(CH116:CL116,10)&lt;=5))</f>
        <v>4</v>
      </c>
      <c r="CX116" s="3">
        <f>5-CW116</f>
        <v>1</v>
      </c>
      <c r="CY116" s="30"/>
      <c r="CZ116" s="3" cm="1">
        <f t="array" ref="CZ116">IFERROR(COUNT(_xlfn._xlws.FILTER(CH116:CL116, ISNUMBER(MATCH(CH116:CL116, {2,3,5,7,11,13,17,19,23,29,31,37,41,43}, 0)))), 0)</f>
        <v>3</v>
      </c>
      <c r="DA116" s="3" cm="1">
        <f t="array" ref="DA116">IFERROR(COUNT(_xlfn._xlws.FILTER(CH116:CL116, ISNUMBER(MATCH(CH116:CL116, {1,4,8,10,14,16,20,22,25,26,28,32,34,35,38,40,44}, 0)))), 0)</f>
        <v>1</v>
      </c>
      <c r="DB116" s="3" cm="1">
        <f t="array" ref="DB116">IFERROR(COUNT(_xlfn._xlws.FILTER(CH116:CL116, ISNUMBER(MATCH(CH116:CL116, {6,9,12,15,18,21,24,27,30,33,36,39,42,45}, 0)))), 0)</f>
        <v>1</v>
      </c>
      <c r="DC116" s="29"/>
      <c r="DD116" s="28" t="e">
        <f>#REF!</f>
        <v>#REF!</v>
      </c>
      <c r="DE116" s="28" t="e">
        <f>#REF!*2</f>
        <v>#REF!</v>
      </c>
      <c r="DF116" s="28" t="e">
        <f>#REF!</f>
        <v>#REF!</v>
      </c>
      <c r="DG116" s="28" t="e">
        <f>#REF!*2</f>
        <v>#REF!</v>
      </c>
      <c r="DH116" s="28" t="e">
        <f>#REF!</f>
        <v>#REF!</v>
      </c>
      <c r="DI116" s="28" t="e">
        <f>#REF!*2</f>
        <v>#REF!</v>
      </c>
      <c r="DJ116" s="28" t="e">
        <f>#REF!</f>
        <v>#REF!</v>
      </c>
      <c r="DK116" s="28" t="e">
        <f>#REF!*2</f>
        <v>#REF!</v>
      </c>
      <c r="DL116" s="28" t="e">
        <f>#REF!</f>
        <v>#REF!</v>
      </c>
      <c r="DM116" s="28" t="e">
        <f>#REF!*2</f>
        <v>#REF!</v>
      </c>
      <c r="DN116" s="27"/>
      <c r="DO116" s="26" t="str" cm="1">
        <f t="array" ref="DO116">_xlfn.IFS(
   OR(CH116="",ISBLANK(CH116),CH116=0),0,
   ISNUMBER(MATCH(CH116,{2,3,5,7,11,13,17,19,23,29,31,37,41,43},0)),"소",
   AND(ISNUMBER(CH116),MOD(CH116,3)=0),"배",
   AND(ISNUMBER(CH116),CH116&gt;0),"자"
)</f>
        <v>자</v>
      </c>
      <c r="DP116" s="26" t="str" cm="1">
        <f t="array" ref="DP116">_xlfn.IFS(
   OR(CI116="",ISBLANK(CI116),CI116=0),0,
   ISNUMBER(MATCH(CI116,{2,3,5,7,11,13,17,19,23,29,31,37,41,43},0)),"소",
   AND(ISNUMBER(CI116),MOD(CI116,3)=0),"배",
   AND(ISNUMBER(CI116),CI116&gt;0),"자"
)</f>
        <v>소</v>
      </c>
      <c r="DQ116" s="26" t="str" cm="1">
        <f t="array" ref="DQ116">_xlfn.IFS(
   OR(CJ116="",ISBLANK(CJ116),CJ116=0),0,
   ISNUMBER(MATCH(CJ116,{2,3,5,7,11,13,17,19,23,29,31,37,41,43},0)),"소",
   AND(ISNUMBER(CJ116),MOD(CJ116,3)=0),"배",
   AND(ISNUMBER(CJ116),CJ116&gt;0),"자"
)</f>
        <v>소</v>
      </c>
      <c r="DR116" s="26" t="str" cm="1">
        <f t="array" ref="DR116">_xlfn.IFS(
   OR(CK116="",ISBLANK(CK116),CK116=0),0,
   ISNUMBER(MATCH(CK116,{2,3,5,7,11,13,17,19,23,29,31,37,41,43},0)),"소",
   AND(ISNUMBER(CK116),MOD(CK116,3)=0),"배",
   AND(ISNUMBER(CK116),CK116&gt;0),"자"
)</f>
        <v>소</v>
      </c>
      <c r="DS116" s="26" t="str" cm="1">
        <f t="array" ref="DS116">_xlfn.IFS(
   OR(CL116="",ISBLANK(CL116),CL116=0),0,
   ISNUMBER(MATCH(CL116,{2,3,5,7,11,13,17,19,23,29,31,37,41,43},0)),"소",
   AND(ISNUMBER(CL116),MOD(CL116,3)=0),"배",
   AND(ISNUMBER(CL116),CL116&gt;0),"자"
)</f>
        <v>배</v>
      </c>
      <c r="DT116" s="25"/>
    </row>
    <row r="117" spans="2:124" x14ac:dyDescent="0.3">
      <c r="B117" s="3">
        <v>26</v>
      </c>
      <c r="C117" s="3">
        <v>30</v>
      </c>
      <c r="D117" s="3">
        <v>33</v>
      </c>
      <c r="E117" s="3">
        <v>38</v>
      </c>
      <c r="F117" s="3">
        <v>39</v>
      </c>
      <c r="G117" s="3">
        <v>41</v>
      </c>
      <c r="H117" s="32"/>
      <c r="I117" s="3">
        <f>IF(OR(B117="",ISBLANK(B117),B117=0),0,IF(MOD(B117,2)=1,1,2))</f>
        <v>2</v>
      </c>
      <c r="J117" s="3">
        <f>IF(OR(C117="",ISBLANK(C117),C117=0),0,IF(MOD(C117,2)=1,1,2))</f>
        <v>2</v>
      </c>
      <c r="K117" s="3">
        <f>IF(OR(D117="",ISBLANK(D117),D117=0),0,IF(MOD(D117,2)=1,1,2))</f>
        <v>1</v>
      </c>
      <c r="L117" s="3">
        <f>IF(OR(E117="",ISBLANK(E117),E117=0),0,IF(MOD(E117,2)=1,1,2))</f>
        <v>2</v>
      </c>
      <c r="M117" s="3">
        <f>IF(OR(F117="",ISBLANK(F117),F117=0),0,IF(MOD(F117,2)=1,1,2))</f>
        <v>1</v>
      </c>
      <c r="N117" s="3">
        <f>IF(OR(G117="",ISBLANK(G117),G117=0),0,IF(MOD(G117,2)=1,1,2))</f>
        <v>1</v>
      </c>
      <c r="O117" s="32"/>
      <c r="P117" s="3" cm="1">
        <f t="array" ref="P117">SUMPRODUCT(--(MOD(B117:G117,2)=1))</f>
        <v>3</v>
      </c>
      <c r="Q117" s="3">
        <f>6-P117</f>
        <v>3</v>
      </c>
      <c r="R117" s="34"/>
      <c r="S117" s="3">
        <f>COUNTIFS(B117:G117,"&gt;=1",B117:G117,"&lt;=23")</f>
        <v>0</v>
      </c>
      <c r="T117" s="3">
        <f>6-S117</f>
        <v>6</v>
      </c>
      <c r="U117" s="34"/>
      <c r="V117" s="3" cm="1">
        <f t="array" ref="V117">SUMPRODUCT(--(MOD(B117:G117,10)&gt;=1), --(MOD(B117:G117,10)&lt;=5))</f>
        <v>2</v>
      </c>
      <c r="W117" s="3">
        <f>6-V117</f>
        <v>4</v>
      </c>
      <c r="X117" s="34"/>
      <c r="Y117" s="3" cm="1">
        <f t="array" ref="Y117">IFERROR(COUNT(_xlfn._xlws.FILTER(B117:G117, ISNUMBER(MATCH(B117:G117, {2,3,5,7,11,13,17,19,23,29,31,37,41,43}, 0)))), 0)</f>
        <v>1</v>
      </c>
      <c r="Z117" s="3" cm="1">
        <f t="array" ref="Z117">IFERROR(COUNT(_xlfn._xlws.FILTER(B117:G117, ISNUMBER(MATCH(B117:G117, {1,4,8,10,14,16,20,22,25,26,28,32,34,35,38,40,44}, 0)))), 0)</f>
        <v>2</v>
      </c>
      <c r="AA117" s="3" cm="1">
        <f t="array" ref="AA117">IFERROR(COUNT(_xlfn._xlws.FILTER(B117:G117, ISNUMBER(MATCH(B117:G117, {6,9,12,15,18,21,24,27,30,33,36,39,42,45}, 0)))), 0)</f>
        <v>3</v>
      </c>
      <c r="AB117" s="30"/>
      <c r="AC117" s="26" t="str" cm="1">
        <f t="array" ref="AC117">_xlfn.IFS(
   OR(B117="",ISBLANK(B117),B117=0),0,
   ISNUMBER(MATCH(B117,{2,3,5,7,11,13,17,19,23,29,31,37,41,43},0)),"소",
   AND(ISNUMBER(B117),MOD(B117,3)=0),"배",
   AND(ISNUMBER(B117),B117&gt;0),"자"
)</f>
        <v>자</v>
      </c>
      <c r="AD117" s="26" t="str" cm="1">
        <f t="array" ref="AD117">_xlfn.IFS(
   OR(C117="",ISBLANK(C117),C117=0),0,
   ISNUMBER(MATCH(C117,{2,3,5,7,11,13,17,19,23,29,31,37,41,43},0)),"소",
   AND(ISNUMBER(C117),MOD(C117,3)=0),"배",
   AND(ISNUMBER(C117),C117&gt;0),"자"
)</f>
        <v>배</v>
      </c>
      <c r="AE117" s="26" t="str" cm="1">
        <f t="array" ref="AE117">_xlfn.IFS(
   OR(D117="",ISBLANK(D117),D117=0),0,
   ISNUMBER(MATCH(D117,{2,3,5,7,11,13,17,19,23,29,31,37,41,43},0)),"소",
   AND(ISNUMBER(D117),MOD(D117,3)=0),"배",
   AND(ISNUMBER(D117),D117&gt;0),"자"
)</f>
        <v>배</v>
      </c>
      <c r="AF117" s="26" t="str" cm="1">
        <f t="array" ref="AF117">_xlfn.IFS(
   OR(E117="",ISBLANK(E117),E117=0),0,
   ISNUMBER(MATCH(E117,{2,3,5,7,11,13,17,19,23,29,31,37,41,43},0)),"소",
   AND(ISNUMBER(E117),MOD(E117,3)=0),"배",
   AND(ISNUMBER(E117),E117&gt;0),"자"
)</f>
        <v>자</v>
      </c>
      <c r="AG117" s="26" t="str" cm="1">
        <f t="array" ref="AG117">_xlfn.IFS(
   OR(F117="",ISBLANK(F117),F117=0),0,
   ISNUMBER(MATCH(F117,{2,3,5,7,11,13,17,19,23,29,31,37,41,43},0)),"소",
   AND(ISNUMBER(F117),MOD(F117,3)=0),"배",
   AND(ISNUMBER(F117),F117&gt;0),"자"
)</f>
        <v>배</v>
      </c>
      <c r="AH117" s="26" t="str" cm="1">
        <f t="array" ref="AH117">_xlfn.IFS(
   OR(G117="",ISBLANK(G117),G117=0),0,
   ISNUMBER(MATCH(G117,{2,3,5,7,11,13,17,19,23,29,31,37,41,43},0)),"소",
   AND(ISNUMBER(G117),MOD(G117,3)=0),"배",
   AND(ISNUMBER(G117),G117&gt;0),"자"
)</f>
        <v>소</v>
      </c>
      <c r="AI117" s="30"/>
      <c r="AJ117" s="3">
        <f>COUNTIFS(B117:G117,"&gt;=1",B117:G117,"&lt;=14")</f>
        <v>0</v>
      </c>
      <c r="AK117" s="3">
        <f>COUNTIFS(B117:G117,"&gt;=15",B117:G117,"&lt;=31")</f>
        <v>2</v>
      </c>
      <c r="AL117" s="3">
        <f>6-AK117-AJ117</f>
        <v>4</v>
      </c>
      <c r="AM117" s="33"/>
      <c r="AN117" s="3">
        <f>COUNTIFS($B117:$G117, "&gt;=1",$B117:$G117, "&lt;=9")</f>
        <v>0</v>
      </c>
      <c r="AO117" s="3">
        <f>COUNTIFS($B117:$G117, "&gt;=10",$B117:$G117, "&lt;=18")</f>
        <v>0</v>
      </c>
      <c r="AP117" s="3">
        <f>COUNTIFS($B117:$G117, "&gt;=19",$B117:$G117, "&lt;=27")</f>
        <v>1</v>
      </c>
      <c r="AQ117" s="3">
        <f>COUNTIFS($B117:$G117, "&gt;=28",$B117:$G117, "&lt;=36")</f>
        <v>2</v>
      </c>
      <c r="AR117" s="3">
        <f>COUNTIFS($B117:$G117, "&gt;=37",$B117:$G117, "&lt;=45")</f>
        <v>3</v>
      </c>
      <c r="AS117" s="28" t="e">
        <f>#REF!</f>
        <v>#REF!</v>
      </c>
      <c r="AT117" s="28" t="e">
        <f>#REF!*2</f>
        <v>#REF!</v>
      </c>
      <c r="AU117" s="28" t="e">
        <f>#REF!</f>
        <v>#REF!</v>
      </c>
      <c r="AV117" s="28" t="e">
        <f>#REF!*2</f>
        <v>#REF!</v>
      </c>
      <c r="AW117" s="28" t="e">
        <f>#REF!</f>
        <v>#REF!</v>
      </c>
      <c r="AX117" s="28" t="e">
        <f>#REF!*2</f>
        <v>#REF!</v>
      </c>
      <c r="AY117" s="28" t="e">
        <f>#REF!</f>
        <v>#REF!</v>
      </c>
      <c r="AZ117" s="28" t="e">
        <f>#REF!*2</f>
        <v>#REF!</v>
      </c>
      <c r="BA117" s="28" t="e">
        <f>#REF!</f>
        <v>#REF!</v>
      </c>
      <c r="BB117" s="28" t="e">
        <f>#REF!*2</f>
        <v>#REF!</v>
      </c>
      <c r="BC117" s="28" t="e">
        <f>#REF!</f>
        <v>#REF!</v>
      </c>
      <c r="BD117" s="28" t="e">
        <f>#REF!*2</f>
        <v>#REF!</v>
      </c>
      <c r="BE117" s="9" t="e">
        <f>#REF!-#REF!</f>
        <v>#REF!</v>
      </c>
      <c r="BF117" s="9" t="e">
        <f>#REF!-#REF!</f>
        <v>#REF!</v>
      </c>
      <c r="BG117" s="9" t="e">
        <f>#REF!-#REF!</f>
        <v>#REF!</v>
      </c>
      <c r="BH117" s="9" t="e">
        <f>#REF!-#REF!</f>
        <v>#REF!</v>
      </c>
      <c r="BI117" s="9" t="e">
        <f>#REF!-#REF!</f>
        <v>#REF!</v>
      </c>
      <c r="BJ117" s="33"/>
      <c r="BK117" s="3">
        <f>COUNTIFS(B117:G117, "&gt;=1", B117:G117, "&lt;=9")</f>
        <v>0</v>
      </c>
      <c r="BL117" s="3">
        <f>COUNTIFS(B117:G117, "&gt;=10", B117:G117, "&lt;=19")</f>
        <v>0</v>
      </c>
      <c r="BM117" s="3">
        <f>COUNTIFS(B117:G117, "&gt;=20", B117:G117, "&lt;=29")</f>
        <v>1</v>
      </c>
      <c r="BN117" s="3">
        <f>COUNTIFS(B117:G117, "&gt;=30", B117:G117, "&lt;=39")</f>
        <v>4</v>
      </c>
      <c r="BO117" s="3">
        <f>COUNTIFS(B117:G117, "&gt;=40", B117:G117, "&lt;=45")</f>
        <v>1</v>
      </c>
      <c r="BP117" s="28" t="e">
        <f>#REF!</f>
        <v>#REF!</v>
      </c>
      <c r="BQ117" s="28" t="e">
        <f>#REF!*2</f>
        <v>#REF!</v>
      </c>
      <c r="BR117" s="28" t="e">
        <f>#REF!</f>
        <v>#REF!</v>
      </c>
      <c r="BS117" s="28" t="e">
        <f>#REF!*2</f>
        <v>#REF!</v>
      </c>
      <c r="BT117" s="28" t="e">
        <f>#REF!</f>
        <v>#REF!</v>
      </c>
      <c r="BU117" s="28" t="e">
        <f>#REF!*2</f>
        <v>#REF!</v>
      </c>
      <c r="BV117" s="28" t="e">
        <f>#REF!</f>
        <v>#REF!</v>
      </c>
      <c r="BW117" s="28" t="e">
        <f>#REF!*2</f>
        <v>#REF!</v>
      </c>
      <c r="BX117" s="28" t="e">
        <f>#REF!</f>
        <v>#REF!</v>
      </c>
      <c r="BY117" s="28" t="e">
        <f>#REF!*2</f>
        <v>#REF!</v>
      </c>
      <c r="BZ117" s="28" t="e">
        <f>#REF!</f>
        <v>#REF!</v>
      </c>
      <c r="CA117" s="28" t="e">
        <f>#REF!*2</f>
        <v>#REF!</v>
      </c>
      <c r="CB117" s="9">
        <f>C117-B117</f>
        <v>4</v>
      </c>
      <c r="CC117" s="9">
        <f>D117-C117</f>
        <v>3</v>
      </c>
      <c r="CD117" s="9">
        <f>E117-D117</f>
        <v>5</v>
      </c>
      <c r="CE117" s="9">
        <f>F117-E117</f>
        <v>1</v>
      </c>
      <c r="CF117" s="9">
        <f>G117-F117</f>
        <v>2</v>
      </c>
      <c r="CG117" s="33"/>
      <c r="CH117" s="9">
        <f>C117-B117</f>
        <v>4</v>
      </c>
      <c r="CI117" s="9">
        <f>D117-C117</f>
        <v>3</v>
      </c>
      <c r="CJ117" s="9">
        <f>E117-D117</f>
        <v>5</v>
      </c>
      <c r="CK117" s="9">
        <f>F117-E117</f>
        <v>1</v>
      </c>
      <c r="CL117" s="9">
        <f>G117-F117</f>
        <v>2</v>
      </c>
      <c r="CM117" s="32"/>
      <c r="CN117" s="3">
        <f>IF(OR(CH117="",ISBLANK(CH117),CH117=0),0,IF(MOD(CH117,2)=1,1,2))</f>
        <v>2</v>
      </c>
      <c r="CO117" s="3">
        <f>IF(OR(CI117="",ISBLANK(CI117),CI117=0),0,IF(MOD(CI117,2)=1,1,2))</f>
        <v>1</v>
      </c>
      <c r="CP117" s="3">
        <f>IF(OR(CJ117="",ISBLANK(CJ117),CJ117=0),0,IF(MOD(CJ117,2)=1,1,2))</f>
        <v>1</v>
      </c>
      <c r="CQ117" s="3">
        <f>IF(OR(CK117="",ISBLANK(CK117),CK117=0),0,IF(MOD(CK117,2)=1,1,2))</f>
        <v>1</v>
      </c>
      <c r="CR117" s="3">
        <f>IF(OR(CL117="",ISBLANK(CL117),CL117=0),0,IF(MOD(CL117,2)=1,1,2))</f>
        <v>2</v>
      </c>
      <c r="CS117" s="31"/>
      <c r="CT117" s="3" cm="1">
        <f t="array" ref="CT117">SUMPRODUCT(--(MOD(CH117:CL117,2)=1))</f>
        <v>3</v>
      </c>
      <c r="CU117" s="3">
        <f>5-CT117</f>
        <v>2</v>
      </c>
      <c r="CV117" s="30"/>
      <c r="CW117" s="3" cm="1">
        <f t="array" ref="CW117">SUMPRODUCT(--(MOD(CH117:CL117,10)&gt;=1), --(MOD(CH117:CL117,10)&lt;=5))</f>
        <v>5</v>
      </c>
      <c r="CX117" s="3">
        <f>5-CW117</f>
        <v>0</v>
      </c>
      <c r="CY117" s="30"/>
      <c r="CZ117" s="3" cm="1">
        <f t="array" ref="CZ117">IFERROR(COUNT(_xlfn._xlws.FILTER(CH117:CL117, ISNUMBER(MATCH(CH117:CL117, {2,3,5,7,11,13,17,19,23,29,31,37,41,43}, 0)))), 0)</f>
        <v>3</v>
      </c>
      <c r="DA117" s="3" cm="1">
        <f t="array" ref="DA117">IFERROR(COUNT(_xlfn._xlws.FILTER(CH117:CL117, ISNUMBER(MATCH(CH117:CL117, {1,4,8,10,14,16,20,22,25,26,28,32,34,35,38,40,44}, 0)))), 0)</f>
        <v>2</v>
      </c>
      <c r="DB117" s="3" cm="1">
        <f t="array" ref="DB117">IFERROR(COUNT(_xlfn._xlws.FILTER(CH117:CL117, ISNUMBER(MATCH(CH117:CL117, {6,9,12,15,18,21,24,27,30,33,36,39,42,45}, 0)))), 0)</f>
        <v>0</v>
      </c>
      <c r="DC117" s="29"/>
      <c r="DD117" s="28" t="e">
        <f>#REF!</f>
        <v>#REF!</v>
      </c>
      <c r="DE117" s="28" t="e">
        <f>#REF!*2</f>
        <v>#REF!</v>
      </c>
      <c r="DF117" s="28" t="e">
        <f>#REF!</f>
        <v>#REF!</v>
      </c>
      <c r="DG117" s="28" t="e">
        <f>#REF!*2</f>
        <v>#REF!</v>
      </c>
      <c r="DH117" s="28" t="e">
        <f>#REF!</f>
        <v>#REF!</v>
      </c>
      <c r="DI117" s="28" t="e">
        <f>#REF!*2</f>
        <v>#REF!</v>
      </c>
      <c r="DJ117" s="28" t="e">
        <f>#REF!</f>
        <v>#REF!</v>
      </c>
      <c r="DK117" s="28" t="e">
        <f>#REF!*2</f>
        <v>#REF!</v>
      </c>
      <c r="DL117" s="28" t="e">
        <f>#REF!</f>
        <v>#REF!</v>
      </c>
      <c r="DM117" s="28" t="e">
        <f>#REF!*2</f>
        <v>#REF!</v>
      </c>
      <c r="DN117" s="27"/>
      <c r="DO117" s="26" t="str" cm="1">
        <f t="array" ref="DO117">_xlfn.IFS(
   OR(CH117="",ISBLANK(CH117),CH117=0),0,
   ISNUMBER(MATCH(CH117,{2,3,5,7,11,13,17,19,23,29,31,37,41,43},0)),"소",
   AND(ISNUMBER(CH117),MOD(CH117,3)=0),"배",
   AND(ISNUMBER(CH117),CH117&gt;0),"자"
)</f>
        <v>자</v>
      </c>
      <c r="DP117" s="26" t="str" cm="1">
        <f t="array" ref="DP117">_xlfn.IFS(
   OR(CI117="",ISBLANK(CI117),CI117=0),0,
   ISNUMBER(MATCH(CI117,{2,3,5,7,11,13,17,19,23,29,31,37,41,43},0)),"소",
   AND(ISNUMBER(CI117),MOD(CI117,3)=0),"배",
   AND(ISNUMBER(CI117),CI117&gt;0),"자"
)</f>
        <v>소</v>
      </c>
      <c r="DQ117" s="26" t="str" cm="1">
        <f t="array" ref="DQ117">_xlfn.IFS(
   OR(CJ117="",ISBLANK(CJ117),CJ117=0),0,
   ISNUMBER(MATCH(CJ117,{2,3,5,7,11,13,17,19,23,29,31,37,41,43},0)),"소",
   AND(ISNUMBER(CJ117),MOD(CJ117,3)=0),"배",
   AND(ISNUMBER(CJ117),CJ117&gt;0),"자"
)</f>
        <v>소</v>
      </c>
      <c r="DR117" s="26" t="str" cm="1">
        <f t="array" ref="DR117">_xlfn.IFS(
   OR(CK117="",ISBLANK(CK117),CK117=0),0,
   ISNUMBER(MATCH(CK117,{2,3,5,7,11,13,17,19,23,29,31,37,41,43},0)),"소",
   AND(ISNUMBER(CK117),MOD(CK117,3)=0),"배",
   AND(ISNUMBER(CK117),CK117&gt;0),"자"
)</f>
        <v>자</v>
      </c>
      <c r="DS117" s="26" t="str" cm="1">
        <f t="array" ref="DS117">_xlfn.IFS(
   OR(CL117="",ISBLANK(CL117),CL117=0),0,
   ISNUMBER(MATCH(CL117,{2,3,5,7,11,13,17,19,23,29,31,37,41,43},0)),"소",
   AND(ISNUMBER(CL117),MOD(CL117,3)=0),"배",
   AND(ISNUMBER(CL117),CL117&gt;0),"자"
)</f>
        <v>소</v>
      </c>
      <c r="DT117" s="25"/>
    </row>
    <row r="118" spans="2:124" x14ac:dyDescent="0.3">
      <c r="B118" s="3">
        <v>16</v>
      </c>
      <c r="C118" s="3">
        <v>24</v>
      </c>
      <c r="D118" s="3">
        <v>25</v>
      </c>
      <c r="E118" s="3">
        <v>30</v>
      </c>
      <c r="F118" s="3">
        <v>31</v>
      </c>
      <c r="G118" s="3">
        <v>32</v>
      </c>
      <c r="H118" s="32"/>
      <c r="I118" s="3">
        <f>IF(OR(B118="",ISBLANK(B118),B118=0),0,IF(MOD(B118,2)=1,1,2))</f>
        <v>2</v>
      </c>
      <c r="J118" s="3">
        <f>IF(OR(C118="",ISBLANK(C118),C118=0),0,IF(MOD(C118,2)=1,1,2))</f>
        <v>2</v>
      </c>
      <c r="K118" s="3">
        <f>IF(OR(D118="",ISBLANK(D118),D118=0),0,IF(MOD(D118,2)=1,1,2))</f>
        <v>1</v>
      </c>
      <c r="L118" s="3">
        <f>IF(OR(E118="",ISBLANK(E118),E118=0),0,IF(MOD(E118,2)=1,1,2))</f>
        <v>2</v>
      </c>
      <c r="M118" s="3">
        <f>IF(OR(F118="",ISBLANK(F118),F118=0),0,IF(MOD(F118,2)=1,1,2))</f>
        <v>1</v>
      </c>
      <c r="N118" s="3">
        <f>IF(OR(G118="",ISBLANK(G118),G118=0),0,IF(MOD(G118,2)=1,1,2))</f>
        <v>2</v>
      </c>
      <c r="O118" s="32"/>
      <c r="P118" s="3" cm="1">
        <f t="array" ref="P118">SUMPRODUCT(--(MOD(B118:G118,2)=1))</f>
        <v>2</v>
      </c>
      <c r="Q118" s="3">
        <f>6-P118</f>
        <v>4</v>
      </c>
      <c r="R118" s="34"/>
      <c r="S118" s="3">
        <f>COUNTIFS(B118:G118,"&gt;=1",B118:G118,"&lt;=23")</f>
        <v>1</v>
      </c>
      <c r="T118" s="3">
        <f>6-S118</f>
        <v>5</v>
      </c>
      <c r="U118" s="34"/>
      <c r="V118" s="3" cm="1">
        <f t="array" ref="V118">SUMPRODUCT(--(MOD(B118:G118,10)&gt;=1), --(MOD(B118:G118,10)&lt;=5))</f>
        <v>4</v>
      </c>
      <c r="W118" s="3">
        <f>6-V118</f>
        <v>2</v>
      </c>
      <c r="X118" s="34"/>
      <c r="Y118" s="3" cm="1">
        <f t="array" ref="Y118">IFERROR(COUNT(_xlfn._xlws.FILTER(B118:G118, ISNUMBER(MATCH(B118:G118, {2,3,5,7,11,13,17,19,23,29,31,37,41,43}, 0)))), 0)</f>
        <v>1</v>
      </c>
      <c r="Z118" s="3" cm="1">
        <f t="array" ref="Z118">IFERROR(COUNT(_xlfn._xlws.FILTER(B118:G118, ISNUMBER(MATCH(B118:G118, {1,4,8,10,14,16,20,22,25,26,28,32,34,35,38,40,44}, 0)))), 0)</f>
        <v>3</v>
      </c>
      <c r="AA118" s="3" cm="1">
        <f t="array" ref="AA118">IFERROR(COUNT(_xlfn._xlws.FILTER(B118:G118, ISNUMBER(MATCH(B118:G118, {6,9,12,15,18,21,24,27,30,33,36,39,42,45}, 0)))), 0)</f>
        <v>2</v>
      </c>
      <c r="AB118" s="30"/>
      <c r="AC118" s="26" t="str" cm="1">
        <f t="array" ref="AC118">_xlfn.IFS(
   OR(B118="",ISBLANK(B118),B118=0),0,
   ISNUMBER(MATCH(B118,{2,3,5,7,11,13,17,19,23,29,31,37,41,43},0)),"소",
   AND(ISNUMBER(B118),MOD(B118,3)=0),"배",
   AND(ISNUMBER(B118),B118&gt;0),"자"
)</f>
        <v>자</v>
      </c>
      <c r="AD118" s="26" t="str" cm="1">
        <f t="array" ref="AD118">_xlfn.IFS(
   OR(C118="",ISBLANK(C118),C118=0),0,
   ISNUMBER(MATCH(C118,{2,3,5,7,11,13,17,19,23,29,31,37,41,43},0)),"소",
   AND(ISNUMBER(C118),MOD(C118,3)=0),"배",
   AND(ISNUMBER(C118),C118&gt;0),"자"
)</f>
        <v>배</v>
      </c>
      <c r="AE118" s="26" t="str" cm="1">
        <f t="array" ref="AE118">_xlfn.IFS(
   OR(D118="",ISBLANK(D118),D118=0),0,
   ISNUMBER(MATCH(D118,{2,3,5,7,11,13,17,19,23,29,31,37,41,43},0)),"소",
   AND(ISNUMBER(D118),MOD(D118,3)=0),"배",
   AND(ISNUMBER(D118),D118&gt;0),"자"
)</f>
        <v>자</v>
      </c>
      <c r="AF118" s="26" t="str" cm="1">
        <f t="array" ref="AF118">_xlfn.IFS(
   OR(E118="",ISBLANK(E118),E118=0),0,
   ISNUMBER(MATCH(E118,{2,3,5,7,11,13,17,19,23,29,31,37,41,43},0)),"소",
   AND(ISNUMBER(E118),MOD(E118,3)=0),"배",
   AND(ISNUMBER(E118),E118&gt;0),"자"
)</f>
        <v>배</v>
      </c>
      <c r="AG118" s="26" t="str" cm="1">
        <f t="array" ref="AG118">_xlfn.IFS(
   OR(F118="",ISBLANK(F118),F118=0),0,
   ISNUMBER(MATCH(F118,{2,3,5,7,11,13,17,19,23,29,31,37,41,43},0)),"소",
   AND(ISNUMBER(F118),MOD(F118,3)=0),"배",
   AND(ISNUMBER(F118),F118&gt;0),"자"
)</f>
        <v>소</v>
      </c>
      <c r="AH118" s="26" t="str" cm="1">
        <f t="array" ref="AH118">_xlfn.IFS(
   OR(G118="",ISBLANK(G118),G118=0),0,
   ISNUMBER(MATCH(G118,{2,3,5,7,11,13,17,19,23,29,31,37,41,43},0)),"소",
   AND(ISNUMBER(G118),MOD(G118,3)=0),"배",
   AND(ISNUMBER(G118),G118&gt;0),"자"
)</f>
        <v>자</v>
      </c>
      <c r="AI118" s="30"/>
      <c r="AJ118" s="3">
        <f>COUNTIFS(B118:G118,"&gt;=1",B118:G118,"&lt;=14")</f>
        <v>0</v>
      </c>
      <c r="AK118" s="3">
        <f>COUNTIFS(B118:G118,"&gt;=15",B118:G118,"&lt;=31")</f>
        <v>5</v>
      </c>
      <c r="AL118" s="3">
        <f>6-AK118-AJ118</f>
        <v>1</v>
      </c>
      <c r="AM118" s="33"/>
      <c r="AN118" s="3">
        <f>COUNTIFS($B118:$G118, "&gt;=1",$B118:$G118, "&lt;=9")</f>
        <v>0</v>
      </c>
      <c r="AO118" s="3">
        <f>COUNTIFS($B118:$G118, "&gt;=10",$B118:$G118, "&lt;=18")</f>
        <v>1</v>
      </c>
      <c r="AP118" s="3">
        <f>COUNTIFS($B118:$G118, "&gt;=19",$B118:$G118, "&lt;=27")</f>
        <v>2</v>
      </c>
      <c r="AQ118" s="3">
        <f>COUNTIFS($B118:$G118, "&gt;=28",$B118:$G118, "&lt;=36")</f>
        <v>3</v>
      </c>
      <c r="AR118" s="3">
        <f>COUNTIFS($B118:$G118, "&gt;=37",$B118:$G118, "&lt;=45")</f>
        <v>0</v>
      </c>
      <c r="AS118" s="28" t="e">
        <f>#REF!</f>
        <v>#REF!</v>
      </c>
      <c r="AT118" s="28" t="e">
        <f>#REF!*2</f>
        <v>#REF!</v>
      </c>
      <c r="AU118" s="28" t="e">
        <f>#REF!</f>
        <v>#REF!</v>
      </c>
      <c r="AV118" s="28" t="e">
        <f>#REF!*2</f>
        <v>#REF!</v>
      </c>
      <c r="AW118" s="28" t="e">
        <f>#REF!</f>
        <v>#REF!</v>
      </c>
      <c r="AX118" s="28" t="e">
        <f>#REF!*2</f>
        <v>#REF!</v>
      </c>
      <c r="AY118" s="28" t="e">
        <f>#REF!</f>
        <v>#REF!</v>
      </c>
      <c r="AZ118" s="28" t="e">
        <f>#REF!*2</f>
        <v>#REF!</v>
      </c>
      <c r="BA118" s="28" t="e">
        <f>#REF!</f>
        <v>#REF!</v>
      </c>
      <c r="BB118" s="28" t="e">
        <f>#REF!*2</f>
        <v>#REF!</v>
      </c>
      <c r="BC118" s="28" t="e">
        <f>#REF!</f>
        <v>#REF!</v>
      </c>
      <c r="BD118" s="28" t="e">
        <f>#REF!*2</f>
        <v>#REF!</v>
      </c>
      <c r="BE118" s="9" t="e">
        <f>#REF!-#REF!</f>
        <v>#REF!</v>
      </c>
      <c r="BF118" s="9" t="e">
        <f>#REF!-#REF!</f>
        <v>#REF!</v>
      </c>
      <c r="BG118" s="9" t="e">
        <f>#REF!-#REF!</f>
        <v>#REF!</v>
      </c>
      <c r="BH118" s="9" t="e">
        <f>#REF!-#REF!</f>
        <v>#REF!</v>
      </c>
      <c r="BI118" s="9" t="e">
        <f>#REF!-#REF!</f>
        <v>#REF!</v>
      </c>
      <c r="BJ118" s="33"/>
      <c r="BK118" s="3">
        <f>COUNTIFS(B118:G118, "&gt;=1", B118:G118, "&lt;=9")</f>
        <v>0</v>
      </c>
      <c r="BL118" s="3">
        <f>COUNTIFS(B118:G118, "&gt;=10", B118:G118, "&lt;=19")</f>
        <v>1</v>
      </c>
      <c r="BM118" s="3">
        <f>COUNTIFS(B118:G118, "&gt;=20", B118:G118, "&lt;=29")</f>
        <v>2</v>
      </c>
      <c r="BN118" s="3">
        <f>COUNTIFS(B118:G118, "&gt;=30", B118:G118, "&lt;=39")</f>
        <v>3</v>
      </c>
      <c r="BO118" s="3">
        <f>COUNTIFS(B118:G118, "&gt;=40", B118:G118, "&lt;=45")</f>
        <v>0</v>
      </c>
      <c r="BP118" s="28" t="e">
        <f>#REF!</f>
        <v>#REF!</v>
      </c>
      <c r="BQ118" s="28" t="e">
        <f>#REF!*2</f>
        <v>#REF!</v>
      </c>
      <c r="BR118" s="28" t="e">
        <f>#REF!</f>
        <v>#REF!</v>
      </c>
      <c r="BS118" s="28" t="e">
        <f>#REF!*2</f>
        <v>#REF!</v>
      </c>
      <c r="BT118" s="28" t="e">
        <f>#REF!</f>
        <v>#REF!</v>
      </c>
      <c r="BU118" s="28" t="e">
        <f>#REF!*2</f>
        <v>#REF!</v>
      </c>
      <c r="BV118" s="28" t="e">
        <f>#REF!</f>
        <v>#REF!</v>
      </c>
      <c r="BW118" s="28" t="e">
        <f>#REF!*2</f>
        <v>#REF!</v>
      </c>
      <c r="BX118" s="28" t="e">
        <f>#REF!</f>
        <v>#REF!</v>
      </c>
      <c r="BY118" s="28" t="e">
        <f>#REF!*2</f>
        <v>#REF!</v>
      </c>
      <c r="BZ118" s="28" t="e">
        <f>#REF!</f>
        <v>#REF!</v>
      </c>
      <c r="CA118" s="28" t="e">
        <f>#REF!*2</f>
        <v>#REF!</v>
      </c>
      <c r="CB118" s="9">
        <f>C118-B118</f>
        <v>8</v>
      </c>
      <c r="CC118" s="9">
        <f>D118-C118</f>
        <v>1</v>
      </c>
      <c r="CD118" s="9">
        <f>E118-D118</f>
        <v>5</v>
      </c>
      <c r="CE118" s="9">
        <f>F118-E118</f>
        <v>1</v>
      </c>
      <c r="CF118" s="9">
        <f>G118-F118</f>
        <v>1</v>
      </c>
      <c r="CG118" s="33"/>
      <c r="CH118" s="9">
        <f>C118-B118</f>
        <v>8</v>
      </c>
      <c r="CI118" s="9">
        <f>D118-C118</f>
        <v>1</v>
      </c>
      <c r="CJ118" s="9">
        <f>E118-D118</f>
        <v>5</v>
      </c>
      <c r="CK118" s="9">
        <f>F118-E118</f>
        <v>1</v>
      </c>
      <c r="CL118" s="9">
        <f>G118-F118</f>
        <v>1</v>
      </c>
      <c r="CM118" s="32"/>
      <c r="CN118" s="3">
        <f>IF(OR(CH118="",ISBLANK(CH118),CH118=0),0,IF(MOD(CH118,2)=1,1,2))</f>
        <v>2</v>
      </c>
      <c r="CO118" s="3">
        <f>IF(OR(CI118="",ISBLANK(CI118),CI118=0),0,IF(MOD(CI118,2)=1,1,2))</f>
        <v>1</v>
      </c>
      <c r="CP118" s="3">
        <f>IF(OR(CJ118="",ISBLANK(CJ118),CJ118=0),0,IF(MOD(CJ118,2)=1,1,2))</f>
        <v>1</v>
      </c>
      <c r="CQ118" s="3">
        <f>IF(OR(CK118="",ISBLANK(CK118),CK118=0),0,IF(MOD(CK118,2)=1,1,2))</f>
        <v>1</v>
      </c>
      <c r="CR118" s="3">
        <f>IF(OR(CL118="",ISBLANK(CL118),CL118=0),0,IF(MOD(CL118,2)=1,1,2))</f>
        <v>1</v>
      </c>
      <c r="CS118" s="31"/>
      <c r="CT118" s="3" cm="1">
        <f t="array" ref="CT118">SUMPRODUCT(--(MOD(CH118:CL118,2)=1))</f>
        <v>4</v>
      </c>
      <c r="CU118" s="3">
        <f>5-CT118</f>
        <v>1</v>
      </c>
      <c r="CV118" s="30"/>
      <c r="CW118" s="3" cm="1">
        <f t="array" ref="CW118">SUMPRODUCT(--(MOD(CH118:CL118,10)&gt;=1), --(MOD(CH118:CL118,10)&lt;=5))</f>
        <v>4</v>
      </c>
      <c r="CX118" s="3">
        <f>5-CW118</f>
        <v>1</v>
      </c>
      <c r="CY118" s="30"/>
      <c r="CZ118" s="3" cm="1">
        <f t="array" ref="CZ118">IFERROR(COUNT(_xlfn._xlws.FILTER(CH118:CL118, ISNUMBER(MATCH(CH118:CL118, {2,3,5,7,11,13,17,19,23,29,31,37,41,43}, 0)))), 0)</f>
        <v>1</v>
      </c>
      <c r="DA118" s="3" cm="1">
        <f t="array" ref="DA118">IFERROR(COUNT(_xlfn._xlws.FILTER(CH118:CL118, ISNUMBER(MATCH(CH118:CL118, {1,4,8,10,14,16,20,22,25,26,28,32,34,35,38,40,44}, 0)))), 0)</f>
        <v>4</v>
      </c>
      <c r="DB118" s="3" cm="1">
        <f t="array" ref="DB118">IFERROR(COUNT(_xlfn._xlws.FILTER(CH118:CL118, ISNUMBER(MATCH(CH118:CL118, {6,9,12,15,18,21,24,27,30,33,36,39,42,45}, 0)))), 0)</f>
        <v>0</v>
      </c>
      <c r="DC118" s="29"/>
      <c r="DD118" s="28" t="e">
        <f>#REF!</f>
        <v>#REF!</v>
      </c>
      <c r="DE118" s="28" t="e">
        <f>#REF!*2</f>
        <v>#REF!</v>
      </c>
      <c r="DF118" s="28" t="e">
        <f>#REF!</f>
        <v>#REF!</v>
      </c>
      <c r="DG118" s="28" t="e">
        <f>#REF!*2</f>
        <v>#REF!</v>
      </c>
      <c r="DH118" s="28" t="e">
        <f>#REF!</f>
        <v>#REF!</v>
      </c>
      <c r="DI118" s="28" t="e">
        <f>#REF!*2</f>
        <v>#REF!</v>
      </c>
      <c r="DJ118" s="28" t="e">
        <f>#REF!</f>
        <v>#REF!</v>
      </c>
      <c r="DK118" s="28" t="e">
        <f>#REF!*2</f>
        <v>#REF!</v>
      </c>
      <c r="DL118" s="28" t="e">
        <f>#REF!</f>
        <v>#REF!</v>
      </c>
      <c r="DM118" s="28" t="e">
        <f>#REF!*2</f>
        <v>#REF!</v>
      </c>
      <c r="DN118" s="27"/>
      <c r="DO118" s="26" t="str" cm="1">
        <f t="array" ref="DO118">_xlfn.IFS(
   OR(CH118="",ISBLANK(CH118),CH118=0),0,
   ISNUMBER(MATCH(CH118,{2,3,5,7,11,13,17,19,23,29,31,37,41,43},0)),"소",
   AND(ISNUMBER(CH118),MOD(CH118,3)=0),"배",
   AND(ISNUMBER(CH118),CH118&gt;0),"자"
)</f>
        <v>자</v>
      </c>
      <c r="DP118" s="26" t="str" cm="1">
        <f t="array" ref="DP118">_xlfn.IFS(
   OR(CI118="",ISBLANK(CI118),CI118=0),0,
   ISNUMBER(MATCH(CI118,{2,3,5,7,11,13,17,19,23,29,31,37,41,43},0)),"소",
   AND(ISNUMBER(CI118),MOD(CI118,3)=0),"배",
   AND(ISNUMBER(CI118),CI118&gt;0),"자"
)</f>
        <v>자</v>
      </c>
      <c r="DQ118" s="26" t="str" cm="1">
        <f t="array" ref="DQ118">_xlfn.IFS(
   OR(CJ118="",ISBLANK(CJ118),CJ118=0),0,
   ISNUMBER(MATCH(CJ118,{2,3,5,7,11,13,17,19,23,29,31,37,41,43},0)),"소",
   AND(ISNUMBER(CJ118),MOD(CJ118,3)=0),"배",
   AND(ISNUMBER(CJ118),CJ118&gt;0),"자"
)</f>
        <v>소</v>
      </c>
      <c r="DR118" s="26" t="str" cm="1">
        <f t="array" ref="DR118">_xlfn.IFS(
   OR(CK118="",ISBLANK(CK118),CK118=0),0,
   ISNUMBER(MATCH(CK118,{2,3,5,7,11,13,17,19,23,29,31,37,41,43},0)),"소",
   AND(ISNUMBER(CK118),MOD(CK118,3)=0),"배",
   AND(ISNUMBER(CK118),CK118&gt;0),"자"
)</f>
        <v>자</v>
      </c>
      <c r="DS118" s="26" t="str" cm="1">
        <f t="array" ref="DS118">_xlfn.IFS(
   OR(CL118="",ISBLANK(CL118),CL118=0),0,
   ISNUMBER(MATCH(CL118,{2,3,5,7,11,13,17,19,23,29,31,37,41,43},0)),"소",
   AND(ISNUMBER(CL118),MOD(CL118,3)=0),"배",
   AND(ISNUMBER(CL118),CL118&gt;0),"자"
)</f>
        <v>자</v>
      </c>
      <c r="DT118" s="25"/>
    </row>
    <row r="119" spans="2:124" ht="14.25" thickBot="1" x14ac:dyDescent="0.35">
      <c r="B119" s="3">
        <v>1</v>
      </c>
      <c r="C119" s="3">
        <v>2</v>
      </c>
      <c r="D119" s="3">
        <v>4</v>
      </c>
      <c r="E119" s="3">
        <v>16</v>
      </c>
      <c r="F119" s="3">
        <v>20</v>
      </c>
      <c r="G119" s="3">
        <v>32</v>
      </c>
      <c r="H119" s="32"/>
      <c r="I119" s="3">
        <f>IF(OR(B119="",ISBLANK(B119),B119=0),0,IF(MOD(B119,2)=1,1,2))</f>
        <v>1</v>
      </c>
      <c r="J119" s="3">
        <f>IF(OR(C119="",ISBLANK(C119),C119=0),0,IF(MOD(C119,2)=1,1,2))</f>
        <v>2</v>
      </c>
      <c r="K119" s="3">
        <f>IF(OR(D119="",ISBLANK(D119),D119=0),0,IF(MOD(D119,2)=1,1,2))</f>
        <v>2</v>
      </c>
      <c r="L119" s="3">
        <f>IF(OR(E119="",ISBLANK(E119),E119=0),0,IF(MOD(E119,2)=1,1,2))</f>
        <v>2</v>
      </c>
      <c r="M119" s="3">
        <f>IF(OR(F119="",ISBLANK(F119),F119=0),0,IF(MOD(F119,2)=1,1,2))</f>
        <v>2</v>
      </c>
      <c r="N119" s="3">
        <f>IF(OR(G119="",ISBLANK(G119),G119=0),0,IF(MOD(G119,2)=1,1,2))</f>
        <v>2</v>
      </c>
      <c r="O119" s="32"/>
      <c r="P119" s="3" cm="1">
        <f t="array" ref="P119">SUMPRODUCT(--(MOD(B119:G119,2)=1))</f>
        <v>1</v>
      </c>
      <c r="Q119" s="3">
        <f>6-P119</f>
        <v>5</v>
      </c>
      <c r="R119" s="34"/>
      <c r="S119" s="3">
        <f>COUNTIFS(B119:G119,"&gt;=1",B119:G119,"&lt;=23")</f>
        <v>5</v>
      </c>
      <c r="T119" s="3">
        <f>6-S119</f>
        <v>1</v>
      </c>
      <c r="U119" s="34"/>
      <c r="V119" s="3" cm="1">
        <f t="array" ref="V119">SUMPRODUCT(--(MOD(B119:G119,10)&gt;=1), --(MOD(B119:G119,10)&lt;=5))</f>
        <v>4</v>
      </c>
      <c r="W119" s="3">
        <f>6-V119</f>
        <v>2</v>
      </c>
      <c r="X119" s="34"/>
      <c r="Y119" s="3" cm="1">
        <f t="array" ref="Y119">IFERROR(COUNT(_xlfn._xlws.FILTER(B119:G119, ISNUMBER(MATCH(B119:G119, {2,3,5,7,11,13,17,19,23,29,31,37,41,43}, 0)))), 0)</f>
        <v>1</v>
      </c>
      <c r="Z119" s="3" cm="1">
        <f t="array" ref="Z119">IFERROR(COUNT(_xlfn._xlws.FILTER(B119:G119, ISNUMBER(MATCH(B119:G119, {1,4,8,10,14,16,20,22,25,26,28,32,34,35,38,40,44}, 0)))), 0)</f>
        <v>5</v>
      </c>
      <c r="AA119" s="3" cm="1">
        <f t="array" ref="AA119">IFERROR(COUNT(_xlfn._xlws.FILTER(B119:G119, ISNUMBER(MATCH(B119:G119, {6,9,12,15,18,21,24,27,30,33,36,39,42,45}, 0)))), 0)</f>
        <v>0</v>
      </c>
      <c r="AB119" s="30"/>
      <c r="AC119" s="26" t="str" cm="1">
        <f t="array" ref="AC119">_xlfn.IFS(
   OR(B119="",ISBLANK(B119),B119=0),0,
   ISNUMBER(MATCH(B119,{2,3,5,7,11,13,17,19,23,29,31,37,41,43},0)),"소",
   AND(ISNUMBER(B119),MOD(B119,3)=0),"배",
   AND(ISNUMBER(B119),B119&gt;0),"자"
)</f>
        <v>자</v>
      </c>
      <c r="AD119" s="26" t="str" cm="1">
        <f t="array" ref="AD119">_xlfn.IFS(
   OR(C119="",ISBLANK(C119),C119=0),0,
   ISNUMBER(MATCH(C119,{2,3,5,7,11,13,17,19,23,29,31,37,41,43},0)),"소",
   AND(ISNUMBER(C119),MOD(C119,3)=0),"배",
   AND(ISNUMBER(C119),C119&gt;0),"자"
)</f>
        <v>소</v>
      </c>
      <c r="AE119" s="26" t="str" cm="1">
        <f t="array" ref="AE119">_xlfn.IFS(
   OR(D119="",ISBLANK(D119),D119=0),0,
   ISNUMBER(MATCH(D119,{2,3,5,7,11,13,17,19,23,29,31,37,41,43},0)),"소",
   AND(ISNUMBER(D119),MOD(D119,3)=0),"배",
   AND(ISNUMBER(D119),D119&gt;0),"자"
)</f>
        <v>자</v>
      </c>
      <c r="AF119" s="26" t="str" cm="1">
        <f t="array" ref="AF119">_xlfn.IFS(
   OR(E119="",ISBLANK(E119),E119=0),0,
   ISNUMBER(MATCH(E119,{2,3,5,7,11,13,17,19,23,29,31,37,41,43},0)),"소",
   AND(ISNUMBER(E119),MOD(E119,3)=0),"배",
   AND(ISNUMBER(E119),E119&gt;0),"자"
)</f>
        <v>자</v>
      </c>
      <c r="AG119" s="26" t="str" cm="1">
        <f t="array" ref="AG119">_xlfn.IFS(
   OR(F119="",ISBLANK(F119),F119=0),0,
   ISNUMBER(MATCH(F119,{2,3,5,7,11,13,17,19,23,29,31,37,41,43},0)),"소",
   AND(ISNUMBER(F119),MOD(F119,3)=0),"배",
   AND(ISNUMBER(F119),F119&gt;0),"자"
)</f>
        <v>자</v>
      </c>
      <c r="AH119" s="26" t="str" cm="1">
        <f t="array" ref="AH119">_xlfn.IFS(
   OR(G119="",ISBLANK(G119),G119=0),0,
   ISNUMBER(MATCH(G119,{2,3,5,7,11,13,17,19,23,29,31,37,41,43},0)),"소",
   AND(ISNUMBER(G119),MOD(G119,3)=0),"배",
   AND(ISNUMBER(G119),G119&gt;0),"자"
)</f>
        <v>자</v>
      </c>
      <c r="AI119" s="30"/>
      <c r="AJ119" s="3">
        <f>COUNTIFS(B119:G119,"&gt;=1",B119:G119,"&lt;=14")</f>
        <v>3</v>
      </c>
      <c r="AK119" s="3">
        <f>COUNTIFS(B119:G119,"&gt;=15",B119:G119,"&lt;=31")</f>
        <v>2</v>
      </c>
      <c r="AL119" s="3">
        <f>6-AK119-AJ119</f>
        <v>1</v>
      </c>
      <c r="AM119" s="33"/>
      <c r="AN119" s="3">
        <f>COUNTIFS($B119:$G119, "&gt;=1",$B119:$G119, "&lt;=9")</f>
        <v>3</v>
      </c>
      <c r="AO119" s="3">
        <f>COUNTIFS($B119:$G119, "&gt;=10",$B119:$G119, "&lt;=18")</f>
        <v>1</v>
      </c>
      <c r="AP119" s="3">
        <f>COUNTIFS($B119:$G119, "&gt;=19",$B119:$G119, "&lt;=27")</f>
        <v>1</v>
      </c>
      <c r="AQ119" s="3">
        <f>COUNTIFS($B119:$G119, "&gt;=28",$B119:$G119, "&lt;=36")</f>
        <v>1</v>
      </c>
      <c r="AR119" s="3">
        <f>COUNTIFS($B119:$G119, "&gt;=37",$B119:$G119, "&lt;=45")</f>
        <v>0</v>
      </c>
      <c r="AS119" s="28" t="e">
        <f>#REF!</f>
        <v>#REF!</v>
      </c>
      <c r="AT119" s="28" t="e">
        <f>#REF!*2</f>
        <v>#REF!</v>
      </c>
      <c r="AU119" s="28" t="e">
        <f>#REF!</f>
        <v>#REF!</v>
      </c>
      <c r="AV119" s="28" t="e">
        <f>#REF!*2</f>
        <v>#REF!</v>
      </c>
      <c r="AW119" s="28" t="e">
        <f>#REF!</f>
        <v>#REF!</v>
      </c>
      <c r="AX119" s="28" t="e">
        <f>#REF!*2</f>
        <v>#REF!</v>
      </c>
      <c r="AY119" s="28" t="e">
        <f>#REF!</f>
        <v>#REF!</v>
      </c>
      <c r="AZ119" s="28" t="e">
        <f>#REF!*2</f>
        <v>#REF!</v>
      </c>
      <c r="BA119" s="28" t="e">
        <f>#REF!</f>
        <v>#REF!</v>
      </c>
      <c r="BB119" s="28" t="e">
        <f>#REF!*2</f>
        <v>#REF!</v>
      </c>
      <c r="BC119" s="28" t="e">
        <f>#REF!</f>
        <v>#REF!</v>
      </c>
      <c r="BD119" s="28" t="e">
        <f>#REF!*2</f>
        <v>#REF!</v>
      </c>
      <c r="BE119" s="9" t="e">
        <f>#REF!-#REF!</f>
        <v>#REF!</v>
      </c>
      <c r="BF119" s="9" t="e">
        <f>#REF!-#REF!</f>
        <v>#REF!</v>
      </c>
      <c r="BG119" s="9" t="e">
        <f>#REF!-#REF!</f>
        <v>#REF!</v>
      </c>
      <c r="BH119" s="9" t="e">
        <f>#REF!-#REF!</f>
        <v>#REF!</v>
      </c>
      <c r="BI119" s="9" t="e">
        <f>#REF!-#REF!</f>
        <v>#REF!</v>
      </c>
      <c r="BJ119" s="33"/>
      <c r="BK119" s="3">
        <f>COUNTIFS(B119:G119, "&gt;=1", B119:G119, "&lt;=9")</f>
        <v>3</v>
      </c>
      <c r="BL119" s="3">
        <f>COUNTIFS(B119:G119, "&gt;=10", B119:G119, "&lt;=19")</f>
        <v>1</v>
      </c>
      <c r="BM119" s="3">
        <f>COUNTIFS(B119:G119, "&gt;=20", B119:G119, "&lt;=29")</f>
        <v>1</v>
      </c>
      <c r="BN119" s="3">
        <f>COUNTIFS(B119:G119, "&gt;=30", B119:G119, "&lt;=39")</f>
        <v>1</v>
      </c>
      <c r="BO119" s="3">
        <f>COUNTIFS(B119:G119, "&gt;=40", B119:G119, "&lt;=45")</f>
        <v>0</v>
      </c>
      <c r="BP119" s="28" t="e">
        <f>#REF!</f>
        <v>#REF!</v>
      </c>
      <c r="BQ119" s="28" t="e">
        <f>#REF!*2</f>
        <v>#REF!</v>
      </c>
      <c r="BR119" s="28" t="e">
        <f>#REF!</f>
        <v>#REF!</v>
      </c>
      <c r="BS119" s="28" t="e">
        <f>#REF!*2</f>
        <v>#REF!</v>
      </c>
      <c r="BT119" s="28" t="e">
        <f>#REF!</f>
        <v>#REF!</v>
      </c>
      <c r="BU119" s="28" t="e">
        <f>#REF!*2</f>
        <v>#REF!</v>
      </c>
      <c r="BV119" s="28" t="e">
        <f>#REF!</f>
        <v>#REF!</v>
      </c>
      <c r="BW119" s="28" t="e">
        <f>#REF!*2</f>
        <v>#REF!</v>
      </c>
      <c r="BX119" s="28" t="e">
        <f>#REF!</f>
        <v>#REF!</v>
      </c>
      <c r="BY119" s="28" t="e">
        <f>#REF!*2</f>
        <v>#REF!</v>
      </c>
      <c r="BZ119" s="28" t="e">
        <f>#REF!</f>
        <v>#REF!</v>
      </c>
      <c r="CA119" s="28" t="e">
        <f>#REF!*2</f>
        <v>#REF!</v>
      </c>
      <c r="CB119" s="9">
        <f>C119-B119</f>
        <v>1</v>
      </c>
      <c r="CC119" s="9">
        <f>D119-C119</f>
        <v>2</v>
      </c>
      <c r="CD119" s="9">
        <f>E119-D119</f>
        <v>12</v>
      </c>
      <c r="CE119" s="9">
        <f>F119-E119</f>
        <v>4</v>
      </c>
      <c r="CF119" s="9">
        <f>G119-F119</f>
        <v>12</v>
      </c>
      <c r="CG119" s="33"/>
      <c r="CH119" s="9">
        <f>C119-B119</f>
        <v>1</v>
      </c>
      <c r="CI119" s="9">
        <f>D119-C119</f>
        <v>2</v>
      </c>
      <c r="CJ119" s="9">
        <f>E119-D119</f>
        <v>12</v>
      </c>
      <c r="CK119" s="9">
        <f>F119-E119</f>
        <v>4</v>
      </c>
      <c r="CL119" s="9">
        <f>G119-F119</f>
        <v>12</v>
      </c>
      <c r="CM119" s="32"/>
      <c r="CN119" s="3">
        <f>IF(OR(CH119="",ISBLANK(CH119),CH119=0),0,IF(MOD(CH119,2)=1,1,2))</f>
        <v>1</v>
      </c>
      <c r="CO119" s="3">
        <f>IF(OR(CI119="",ISBLANK(CI119),CI119=0),0,IF(MOD(CI119,2)=1,1,2))</f>
        <v>2</v>
      </c>
      <c r="CP119" s="3">
        <f>IF(OR(CJ119="",ISBLANK(CJ119),CJ119=0),0,IF(MOD(CJ119,2)=1,1,2))</f>
        <v>2</v>
      </c>
      <c r="CQ119" s="3">
        <f>IF(OR(CK119="",ISBLANK(CK119),CK119=0),0,IF(MOD(CK119,2)=1,1,2))</f>
        <v>2</v>
      </c>
      <c r="CR119" s="3">
        <f>IF(OR(CL119="",ISBLANK(CL119),CL119=0),0,IF(MOD(CL119,2)=1,1,2))</f>
        <v>2</v>
      </c>
      <c r="CS119" s="31"/>
      <c r="CT119" s="3" cm="1">
        <f t="array" ref="CT119">SUMPRODUCT(--(MOD(CH119:CL119,2)=1))</f>
        <v>1</v>
      </c>
      <c r="CU119" s="3">
        <f>5-CT119</f>
        <v>4</v>
      </c>
      <c r="CV119" s="30"/>
      <c r="CW119" s="3" cm="1">
        <f t="array" ref="CW119">SUMPRODUCT(--(MOD(CH119:CL119,10)&gt;=1), --(MOD(CH119:CL119,10)&lt;=5))</f>
        <v>5</v>
      </c>
      <c r="CX119" s="3">
        <f>5-CW119</f>
        <v>0</v>
      </c>
      <c r="CY119" s="30"/>
      <c r="CZ119" s="3" cm="1">
        <f t="array" ref="CZ119">IFERROR(COUNT(_xlfn._xlws.FILTER(CH119:CL119, ISNUMBER(MATCH(CH119:CL119, {2,3,5,7,11,13,17,19,23,29,31,37,41,43}, 0)))), 0)</f>
        <v>1</v>
      </c>
      <c r="DA119" s="3" cm="1">
        <f t="array" ref="DA119">IFERROR(COUNT(_xlfn._xlws.FILTER(CH119:CL119, ISNUMBER(MATCH(CH119:CL119, {1,4,8,10,14,16,20,22,25,26,28,32,34,35,38,40,44}, 0)))), 0)</f>
        <v>2</v>
      </c>
      <c r="DB119" s="3" cm="1">
        <f t="array" ref="DB119">IFERROR(COUNT(_xlfn._xlws.FILTER(CH119:CL119, ISNUMBER(MATCH(CH119:CL119, {6,9,12,15,18,21,24,27,30,33,36,39,42,45}, 0)))), 0)</f>
        <v>2</v>
      </c>
      <c r="DC119" s="29"/>
      <c r="DD119" s="28" t="e">
        <f>#REF!</f>
        <v>#REF!</v>
      </c>
      <c r="DE119" s="28" t="e">
        <f>#REF!*2</f>
        <v>#REF!</v>
      </c>
      <c r="DF119" s="28" t="e">
        <f>#REF!</f>
        <v>#REF!</v>
      </c>
      <c r="DG119" s="28" t="e">
        <f>#REF!*2</f>
        <v>#REF!</v>
      </c>
      <c r="DH119" s="28" t="e">
        <f>#REF!</f>
        <v>#REF!</v>
      </c>
      <c r="DI119" s="28" t="e">
        <f>#REF!*2</f>
        <v>#REF!</v>
      </c>
      <c r="DJ119" s="28" t="e">
        <f>#REF!</f>
        <v>#REF!</v>
      </c>
      <c r="DK119" s="28" t="e">
        <f>#REF!*2</f>
        <v>#REF!</v>
      </c>
      <c r="DL119" s="28" t="e">
        <f>#REF!</f>
        <v>#REF!</v>
      </c>
      <c r="DM119" s="28" t="e">
        <f>#REF!*2</f>
        <v>#REF!</v>
      </c>
      <c r="DN119" s="27"/>
      <c r="DO119" s="26" t="str" cm="1">
        <f t="array" ref="DO119">_xlfn.IFS(
   OR(CH119="",ISBLANK(CH119),CH119=0),0,
   ISNUMBER(MATCH(CH119,{2,3,5,7,11,13,17,19,23,29,31,37,41,43},0)),"소",
   AND(ISNUMBER(CH119),MOD(CH119,3)=0),"배",
   AND(ISNUMBER(CH119),CH119&gt;0),"자"
)</f>
        <v>자</v>
      </c>
      <c r="DP119" s="26" t="str" cm="1">
        <f t="array" ref="DP119">_xlfn.IFS(
   OR(CI119="",ISBLANK(CI119),CI119=0),0,
   ISNUMBER(MATCH(CI119,{2,3,5,7,11,13,17,19,23,29,31,37,41,43},0)),"소",
   AND(ISNUMBER(CI119),MOD(CI119,3)=0),"배",
   AND(ISNUMBER(CI119),CI119&gt;0),"자"
)</f>
        <v>소</v>
      </c>
      <c r="DQ119" s="26" t="str" cm="1">
        <f t="array" ref="DQ119">_xlfn.IFS(
   OR(CJ119="",ISBLANK(CJ119),CJ119=0),0,
   ISNUMBER(MATCH(CJ119,{2,3,5,7,11,13,17,19,23,29,31,37,41,43},0)),"소",
   AND(ISNUMBER(CJ119),MOD(CJ119,3)=0),"배",
   AND(ISNUMBER(CJ119),CJ119&gt;0),"자"
)</f>
        <v>배</v>
      </c>
      <c r="DR119" s="26" t="str" cm="1">
        <f t="array" ref="DR119">_xlfn.IFS(
   OR(CK119="",ISBLANK(CK119),CK119=0),0,
   ISNUMBER(MATCH(CK119,{2,3,5,7,11,13,17,19,23,29,31,37,41,43},0)),"소",
   AND(ISNUMBER(CK119),MOD(CK119,3)=0),"배",
   AND(ISNUMBER(CK119),CK119&gt;0),"자"
)</f>
        <v>자</v>
      </c>
      <c r="DS119" s="26" t="str" cm="1">
        <f t="array" ref="DS119">_xlfn.IFS(
   OR(CL119="",ISBLANK(CL119),CL119=0),0,
   ISNUMBER(MATCH(CL119,{2,3,5,7,11,13,17,19,23,29,31,37,41,43},0)),"소",
   AND(ISNUMBER(CL119),MOD(CL119,3)=0),"배",
   AND(ISNUMBER(CL119),CL119&gt;0),"자"
)</f>
        <v>배</v>
      </c>
      <c r="DT119" s="25"/>
    </row>
    <row r="120" spans="2:124" x14ac:dyDescent="0.3">
      <c r="B120" s="3">
        <v>7</v>
      </c>
      <c r="C120" s="3">
        <v>9</v>
      </c>
      <c r="D120" s="3">
        <v>24</v>
      </c>
      <c r="E120" s="3">
        <v>27</v>
      </c>
      <c r="F120" s="3">
        <v>35</v>
      </c>
      <c r="G120" s="3">
        <v>36</v>
      </c>
      <c r="H120" s="32"/>
      <c r="I120" s="3">
        <f>IF(OR(B120="",ISBLANK(B120),B120=0),0,IF(MOD(B120,2)=1,1,2))</f>
        <v>1</v>
      </c>
      <c r="J120" s="3">
        <f>IF(OR(C120="",ISBLANK(C120),C120=0),0,IF(MOD(C120,2)=1,1,2))</f>
        <v>1</v>
      </c>
      <c r="K120" s="3">
        <f>IF(OR(D120="",ISBLANK(D120),D120=0),0,IF(MOD(D120,2)=1,1,2))</f>
        <v>2</v>
      </c>
      <c r="L120" s="3">
        <f>IF(OR(E120="",ISBLANK(E120),E120=0),0,IF(MOD(E120,2)=1,1,2))</f>
        <v>1</v>
      </c>
      <c r="M120" s="3">
        <f>IF(OR(F120="",ISBLANK(F120),F120=0),0,IF(MOD(F120,2)=1,1,2))</f>
        <v>1</v>
      </c>
      <c r="N120" s="3">
        <f>IF(OR(G120="",ISBLANK(G120),G120=0),0,IF(MOD(G120,2)=1,1,2))</f>
        <v>2</v>
      </c>
      <c r="O120" s="32"/>
      <c r="P120" s="3" cm="1">
        <f t="array" ref="P120">SUMPRODUCT(--(MOD(B120:G120,2)=1))</f>
        <v>4</v>
      </c>
      <c r="Q120" s="3">
        <f>6-P120</f>
        <v>2</v>
      </c>
      <c r="R120" s="34"/>
      <c r="S120" s="3">
        <f>COUNTIFS(B120:G120,"&gt;=1",B120:G120,"&lt;=23")</f>
        <v>2</v>
      </c>
      <c r="T120" s="3">
        <f>6-S120</f>
        <v>4</v>
      </c>
      <c r="U120" s="34"/>
      <c r="V120" s="3" cm="1">
        <f t="array" ref="V120">SUMPRODUCT(--(MOD(B120:G120,10)&gt;=1), --(MOD(B120:G120,10)&lt;=5))</f>
        <v>2</v>
      </c>
      <c r="W120" s="3">
        <f>6-V120</f>
        <v>4</v>
      </c>
      <c r="X120" s="34"/>
      <c r="Y120" s="3" cm="1">
        <f t="array" ref="Y120">IFERROR(COUNT(_xlfn._xlws.FILTER(B120:G120, ISNUMBER(MATCH(B120:G120, {2,3,5,7,11,13,17,19,23,29,31,37,41,43}, 0)))), 0)</f>
        <v>1</v>
      </c>
      <c r="Z120" s="3" cm="1">
        <f t="array" ref="Z120">IFERROR(COUNT(_xlfn._xlws.FILTER(B120:G120, ISNUMBER(MATCH(B120:G120, {1,4,8,10,14,16,20,22,25,26,28,32,34,35,38,40,44}, 0)))), 0)</f>
        <v>1</v>
      </c>
      <c r="AA120" s="3" cm="1">
        <f t="array" ref="AA120">IFERROR(COUNT(_xlfn._xlws.FILTER(B120:G120, ISNUMBER(MATCH(B120:G120, {6,9,12,15,18,21,24,27,30,33,36,39,42,45}, 0)))), 0)</f>
        <v>4</v>
      </c>
      <c r="AB120" s="30"/>
      <c r="AC120" s="26" t="str" cm="1">
        <f t="array" ref="AC120">_xlfn.IFS(
   OR(B120="",ISBLANK(B120),B120=0),0,
   ISNUMBER(MATCH(B120,{2,3,5,7,11,13,17,19,23,29,31,37,41,43},0)),"소",
   AND(ISNUMBER(B120),MOD(B120,3)=0),"배",
   AND(ISNUMBER(B120),B120&gt;0),"자"
)</f>
        <v>소</v>
      </c>
      <c r="AD120" s="41" t="str" cm="1">
        <f t="array" ref="AD120">_xlfn.IFS(
   OR(C120="",ISBLANK(C120),C120=0),0,
   ISNUMBER(MATCH(C120,{2,3,5,7,11,13,17,19,23,29,31,37,41,43},0)),"소",
   AND(ISNUMBER(C120),MOD(C120,3)=0),"배",
   AND(ISNUMBER(C120),C120&gt;0),"자"
)</f>
        <v>배</v>
      </c>
      <c r="AE120" s="39" t="str" cm="1">
        <f t="array" ref="AE120">_xlfn.IFS(
   OR(D120="",ISBLANK(D120),D120=0),0,
   ISNUMBER(MATCH(D120,{2,3,5,7,11,13,17,19,23,29,31,37,41,43},0)),"소",
   AND(ISNUMBER(D120),MOD(D120,3)=0),"배",
   AND(ISNUMBER(D120),D120&gt;0),"자"
)</f>
        <v>배</v>
      </c>
      <c r="AF120" s="26" t="str" cm="1">
        <f t="array" ref="AF120">_xlfn.IFS(
   OR(E120="",ISBLANK(E120),E120=0),0,
   ISNUMBER(MATCH(E120,{2,3,5,7,11,13,17,19,23,29,31,37,41,43},0)),"소",
   AND(ISNUMBER(E120),MOD(E120,3)=0),"배",
   AND(ISNUMBER(E120),E120&gt;0),"자"
)</f>
        <v>배</v>
      </c>
      <c r="AG120" s="26" t="str" cm="1">
        <f t="array" ref="AG120">_xlfn.IFS(
   OR(F120="",ISBLANK(F120),F120=0),0,
   ISNUMBER(MATCH(F120,{2,3,5,7,11,13,17,19,23,29,31,37,41,43},0)),"소",
   AND(ISNUMBER(F120),MOD(F120,3)=0),"배",
   AND(ISNUMBER(F120),F120&gt;0),"자"
)</f>
        <v>자</v>
      </c>
      <c r="AH120" s="26" t="str" cm="1">
        <f t="array" ref="AH120">_xlfn.IFS(
   OR(G120="",ISBLANK(G120),G120=0),0,
   ISNUMBER(MATCH(G120,{2,3,5,7,11,13,17,19,23,29,31,37,41,43},0)),"소",
   AND(ISNUMBER(G120),MOD(G120,3)=0),"배",
   AND(ISNUMBER(G120),G120&gt;0),"자"
)</f>
        <v>배</v>
      </c>
      <c r="AI120" s="30"/>
      <c r="AJ120" s="3">
        <f>COUNTIFS(B120:G120,"&gt;=1",B120:G120,"&lt;=14")</f>
        <v>2</v>
      </c>
      <c r="AK120" s="3">
        <f>COUNTIFS(B120:G120,"&gt;=15",B120:G120,"&lt;=31")</f>
        <v>2</v>
      </c>
      <c r="AL120" s="3">
        <f>6-AK120-AJ120</f>
        <v>2</v>
      </c>
      <c r="AM120" s="33"/>
      <c r="AN120" s="3">
        <f>COUNTIFS($B120:$G120, "&gt;=1",$B120:$G120, "&lt;=9")</f>
        <v>2</v>
      </c>
      <c r="AO120" s="3">
        <f>COUNTIFS($B120:$G120, "&gt;=10",$B120:$G120, "&lt;=18")</f>
        <v>0</v>
      </c>
      <c r="AP120" s="3">
        <f>COUNTIFS($B120:$G120, "&gt;=19",$B120:$G120, "&lt;=27")</f>
        <v>2</v>
      </c>
      <c r="AQ120" s="3">
        <f>COUNTIFS($B120:$G120, "&gt;=28",$B120:$G120, "&lt;=36")</f>
        <v>2</v>
      </c>
      <c r="AR120" s="3">
        <f>COUNTIFS($B120:$G120, "&gt;=37",$B120:$G120, "&lt;=45")</f>
        <v>0</v>
      </c>
      <c r="AS120" s="28" t="e">
        <f>#REF!</f>
        <v>#REF!</v>
      </c>
      <c r="AT120" s="28" t="e">
        <f>#REF!*2</f>
        <v>#REF!</v>
      </c>
      <c r="AU120" s="28" t="e">
        <f>#REF!</f>
        <v>#REF!</v>
      </c>
      <c r="AV120" s="28" t="e">
        <f>#REF!*2</f>
        <v>#REF!</v>
      </c>
      <c r="AW120" s="28" t="e">
        <f>#REF!</f>
        <v>#REF!</v>
      </c>
      <c r="AX120" s="28" t="e">
        <f>#REF!*2</f>
        <v>#REF!</v>
      </c>
      <c r="AY120" s="28" t="e">
        <f>#REF!</f>
        <v>#REF!</v>
      </c>
      <c r="AZ120" s="28" t="e">
        <f>#REF!*2</f>
        <v>#REF!</v>
      </c>
      <c r="BA120" s="28" t="e">
        <f>#REF!</f>
        <v>#REF!</v>
      </c>
      <c r="BB120" s="28" t="e">
        <f>#REF!*2</f>
        <v>#REF!</v>
      </c>
      <c r="BC120" s="28" t="e">
        <f>#REF!</f>
        <v>#REF!</v>
      </c>
      <c r="BD120" s="28" t="e">
        <f>#REF!*2</f>
        <v>#REF!</v>
      </c>
      <c r="BE120" s="9" t="e">
        <f>#REF!-#REF!</f>
        <v>#REF!</v>
      </c>
      <c r="BF120" s="9" t="e">
        <f>#REF!-#REF!</f>
        <v>#REF!</v>
      </c>
      <c r="BG120" s="9" t="e">
        <f>#REF!-#REF!</f>
        <v>#REF!</v>
      </c>
      <c r="BH120" s="9" t="e">
        <f>#REF!-#REF!</f>
        <v>#REF!</v>
      </c>
      <c r="BI120" s="9" t="e">
        <f>#REF!-#REF!</f>
        <v>#REF!</v>
      </c>
      <c r="BJ120" s="33"/>
      <c r="BK120" s="3">
        <f>COUNTIFS(B120:G120, "&gt;=1", B120:G120, "&lt;=9")</f>
        <v>2</v>
      </c>
      <c r="BL120" s="3">
        <f>COUNTIFS(B120:G120, "&gt;=10", B120:G120, "&lt;=19")</f>
        <v>0</v>
      </c>
      <c r="BM120" s="3">
        <f>COUNTIFS(B120:G120, "&gt;=20", B120:G120, "&lt;=29")</f>
        <v>2</v>
      </c>
      <c r="BN120" s="3">
        <f>COUNTIFS(B120:G120, "&gt;=30", B120:G120, "&lt;=39")</f>
        <v>2</v>
      </c>
      <c r="BO120" s="3">
        <f>COUNTIFS(B120:G120, "&gt;=40", B120:G120, "&lt;=45")</f>
        <v>0</v>
      </c>
      <c r="BP120" s="28" t="e">
        <f>#REF!</f>
        <v>#REF!</v>
      </c>
      <c r="BQ120" s="28" t="e">
        <f>#REF!*2</f>
        <v>#REF!</v>
      </c>
      <c r="BR120" s="28" t="e">
        <f>#REF!</f>
        <v>#REF!</v>
      </c>
      <c r="BS120" s="28" t="e">
        <f>#REF!*2</f>
        <v>#REF!</v>
      </c>
      <c r="BT120" s="28" t="e">
        <f>#REF!</f>
        <v>#REF!</v>
      </c>
      <c r="BU120" s="28" t="e">
        <f>#REF!*2</f>
        <v>#REF!</v>
      </c>
      <c r="BV120" s="28" t="e">
        <f>#REF!</f>
        <v>#REF!</v>
      </c>
      <c r="BW120" s="28" t="e">
        <f>#REF!*2</f>
        <v>#REF!</v>
      </c>
      <c r="BX120" s="28" t="e">
        <f>#REF!</f>
        <v>#REF!</v>
      </c>
      <c r="BY120" s="28" t="e">
        <f>#REF!*2</f>
        <v>#REF!</v>
      </c>
      <c r="BZ120" s="28" t="e">
        <f>#REF!</f>
        <v>#REF!</v>
      </c>
      <c r="CA120" s="28" t="e">
        <f>#REF!*2</f>
        <v>#REF!</v>
      </c>
      <c r="CB120" s="9">
        <f>C120-B120</f>
        <v>2</v>
      </c>
      <c r="CC120" s="9">
        <f>D120-C120</f>
        <v>15</v>
      </c>
      <c r="CD120" s="9">
        <f>E120-D120</f>
        <v>3</v>
      </c>
      <c r="CE120" s="9">
        <f>F120-E120</f>
        <v>8</v>
      </c>
      <c r="CF120" s="9">
        <f>G120-F120</f>
        <v>1</v>
      </c>
      <c r="CG120" s="33"/>
      <c r="CH120" s="9">
        <f>C120-B120</f>
        <v>2</v>
      </c>
      <c r="CI120" s="9">
        <f>D120-C120</f>
        <v>15</v>
      </c>
      <c r="CJ120" s="9">
        <f>E120-D120</f>
        <v>3</v>
      </c>
      <c r="CK120" s="9">
        <f>F120-E120</f>
        <v>8</v>
      </c>
      <c r="CL120" s="9">
        <f>G120-F120</f>
        <v>1</v>
      </c>
      <c r="CM120" s="32"/>
      <c r="CN120" s="3">
        <f>IF(OR(CH120="",ISBLANK(CH120),CH120=0),0,IF(MOD(CH120,2)=1,1,2))</f>
        <v>2</v>
      </c>
      <c r="CO120" s="3">
        <f>IF(OR(CI120="",ISBLANK(CI120),CI120=0),0,IF(MOD(CI120,2)=1,1,2))</f>
        <v>1</v>
      </c>
      <c r="CP120" s="3">
        <f>IF(OR(CJ120="",ISBLANK(CJ120),CJ120=0),0,IF(MOD(CJ120,2)=1,1,2))</f>
        <v>1</v>
      </c>
      <c r="CQ120" s="3">
        <f>IF(OR(CK120="",ISBLANK(CK120),CK120=0),0,IF(MOD(CK120,2)=1,1,2))</f>
        <v>2</v>
      </c>
      <c r="CR120" s="3">
        <f>IF(OR(CL120="",ISBLANK(CL120),CL120=0),0,IF(MOD(CL120,2)=1,1,2))</f>
        <v>1</v>
      </c>
      <c r="CS120" s="31"/>
      <c r="CT120" s="3" cm="1">
        <f t="array" ref="CT120">SUMPRODUCT(--(MOD(CH120:CL120,2)=1))</f>
        <v>3</v>
      </c>
      <c r="CU120" s="3">
        <f>5-CT120</f>
        <v>2</v>
      </c>
      <c r="CV120" s="30"/>
      <c r="CW120" s="3" cm="1">
        <f t="array" ref="CW120">SUMPRODUCT(--(MOD(CH120:CL120,10)&gt;=1), --(MOD(CH120:CL120,10)&lt;=5))</f>
        <v>4</v>
      </c>
      <c r="CX120" s="3">
        <f>5-CW120</f>
        <v>1</v>
      </c>
      <c r="CY120" s="30"/>
      <c r="CZ120" s="3" cm="1">
        <f t="array" ref="CZ120">IFERROR(COUNT(_xlfn._xlws.FILTER(CH120:CL120, ISNUMBER(MATCH(CH120:CL120, {2,3,5,7,11,13,17,19,23,29,31,37,41,43}, 0)))), 0)</f>
        <v>2</v>
      </c>
      <c r="DA120" s="3" cm="1">
        <f t="array" ref="DA120">IFERROR(COUNT(_xlfn._xlws.FILTER(CH120:CL120, ISNUMBER(MATCH(CH120:CL120, {1,4,8,10,14,16,20,22,25,26,28,32,34,35,38,40,44}, 0)))), 0)</f>
        <v>2</v>
      </c>
      <c r="DB120" s="3" cm="1">
        <f t="array" ref="DB120">IFERROR(COUNT(_xlfn._xlws.FILTER(CH120:CL120, ISNUMBER(MATCH(CH120:CL120, {6,9,12,15,18,21,24,27,30,33,36,39,42,45}, 0)))), 0)</f>
        <v>1</v>
      </c>
      <c r="DC120" s="29"/>
      <c r="DD120" s="28" t="e">
        <f>#REF!</f>
        <v>#REF!</v>
      </c>
      <c r="DE120" s="28" t="e">
        <f>#REF!*2</f>
        <v>#REF!</v>
      </c>
      <c r="DF120" s="28" t="e">
        <f>#REF!</f>
        <v>#REF!</v>
      </c>
      <c r="DG120" s="28" t="e">
        <f>#REF!*2</f>
        <v>#REF!</v>
      </c>
      <c r="DH120" s="28" t="e">
        <f>#REF!</f>
        <v>#REF!</v>
      </c>
      <c r="DI120" s="28" t="e">
        <f>#REF!*2</f>
        <v>#REF!</v>
      </c>
      <c r="DJ120" s="28" t="e">
        <f>#REF!</f>
        <v>#REF!</v>
      </c>
      <c r="DK120" s="28" t="e">
        <f>#REF!*2</f>
        <v>#REF!</v>
      </c>
      <c r="DL120" s="28" t="e">
        <f>#REF!</f>
        <v>#REF!</v>
      </c>
      <c r="DM120" s="28" t="e">
        <f>#REF!*2</f>
        <v>#REF!</v>
      </c>
      <c r="DN120" s="27"/>
      <c r="DO120" s="26" t="str" cm="1">
        <f t="array" ref="DO120">_xlfn.IFS(
   OR(CH120="",ISBLANK(CH120),CH120=0),0,
   ISNUMBER(MATCH(CH120,{2,3,5,7,11,13,17,19,23,29,31,37,41,43},0)),"소",
   AND(ISNUMBER(CH120),MOD(CH120,3)=0),"배",
   AND(ISNUMBER(CH120),CH120&gt;0),"자"
)</f>
        <v>소</v>
      </c>
      <c r="DP120" s="26" t="str" cm="1">
        <f t="array" ref="DP120">_xlfn.IFS(
   OR(CI120="",ISBLANK(CI120),CI120=0),0,
   ISNUMBER(MATCH(CI120,{2,3,5,7,11,13,17,19,23,29,31,37,41,43},0)),"소",
   AND(ISNUMBER(CI120),MOD(CI120,3)=0),"배",
   AND(ISNUMBER(CI120),CI120&gt;0),"자"
)</f>
        <v>배</v>
      </c>
      <c r="DQ120" s="26" t="str" cm="1">
        <f t="array" ref="DQ120">_xlfn.IFS(
   OR(CJ120="",ISBLANK(CJ120),CJ120=0),0,
   ISNUMBER(MATCH(CJ120,{2,3,5,7,11,13,17,19,23,29,31,37,41,43},0)),"소",
   AND(ISNUMBER(CJ120),MOD(CJ120,3)=0),"배",
   AND(ISNUMBER(CJ120),CJ120&gt;0),"자"
)</f>
        <v>소</v>
      </c>
      <c r="DR120" s="26" t="str" cm="1">
        <f t="array" ref="DR120">_xlfn.IFS(
   OR(CK120="",ISBLANK(CK120),CK120=0),0,
   ISNUMBER(MATCH(CK120,{2,3,5,7,11,13,17,19,23,29,31,37,41,43},0)),"소",
   AND(ISNUMBER(CK120),MOD(CK120,3)=0),"배",
   AND(ISNUMBER(CK120),CK120&gt;0),"자"
)</f>
        <v>자</v>
      </c>
      <c r="DS120" s="26" t="str" cm="1">
        <f t="array" ref="DS120">_xlfn.IFS(
   OR(CL120="",ISBLANK(CL120),CL120=0),0,
   ISNUMBER(MATCH(CL120,{2,3,5,7,11,13,17,19,23,29,31,37,41,43},0)),"소",
   AND(ISNUMBER(CL120),MOD(CL120,3)=0),"배",
   AND(ISNUMBER(CL120),CL120&gt;0),"자"
)</f>
        <v>자</v>
      </c>
      <c r="DT120" s="25"/>
    </row>
    <row r="121" spans="2:124" x14ac:dyDescent="0.3">
      <c r="B121" s="3">
        <v>5</v>
      </c>
      <c r="C121" s="3">
        <v>12</v>
      </c>
      <c r="D121" s="3">
        <v>21</v>
      </c>
      <c r="E121" s="3">
        <v>33</v>
      </c>
      <c r="F121" s="3">
        <v>37</v>
      </c>
      <c r="G121" s="3">
        <v>40</v>
      </c>
      <c r="H121" s="32"/>
      <c r="I121" s="3">
        <f>IF(OR(B121="",ISBLANK(B121),B121=0),0,IF(MOD(B121,2)=1,1,2))</f>
        <v>1</v>
      </c>
      <c r="J121" s="3">
        <f>IF(OR(C121="",ISBLANK(C121),C121=0),0,IF(MOD(C121,2)=1,1,2))</f>
        <v>2</v>
      </c>
      <c r="K121" s="3">
        <f>IF(OR(D121="",ISBLANK(D121),D121=0),0,IF(MOD(D121,2)=1,1,2))</f>
        <v>1</v>
      </c>
      <c r="L121" s="3">
        <f>IF(OR(E121="",ISBLANK(E121),E121=0),0,IF(MOD(E121,2)=1,1,2))</f>
        <v>1</v>
      </c>
      <c r="M121" s="3">
        <f>IF(OR(F121="",ISBLANK(F121),F121=0),0,IF(MOD(F121,2)=1,1,2))</f>
        <v>1</v>
      </c>
      <c r="N121" s="3">
        <f>IF(OR(G121="",ISBLANK(G121),G121=0),0,IF(MOD(G121,2)=1,1,2))</f>
        <v>2</v>
      </c>
      <c r="O121" s="32"/>
      <c r="P121" s="3" cm="1">
        <f t="array" ref="P121">SUMPRODUCT(--(MOD(B121:G121,2)=1))</f>
        <v>4</v>
      </c>
      <c r="Q121" s="3">
        <f>6-P121</f>
        <v>2</v>
      </c>
      <c r="R121" s="34"/>
      <c r="S121" s="3">
        <f>COUNTIFS(B121:G121,"&gt;=1",B121:G121,"&lt;=23")</f>
        <v>3</v>
      </c>
      <c r="T121" s="3">
        <f>6-S121</f>
        <v>3</v>
      </c>
      <c r="U121" s="34"/>
      <c r="V121" s="3" cm="1">
        <f t="array" ref="V121">SUMPRODUCT(--(MOD(B121:G121,10)&gt;=1), --(MOD(B121:G121,10)&lt;=5))</f>
        <v>4</v>
      </c>
      <c r="W121" s="3">
        <f>6-V121</f>
        <v>2</v>
      </c>
      <c r="X121" s="34"/>
      <c r="Y121" s="3" cm="1">
        <f t="array" ref="Y121">IFERROR(COUNT(_xlfn._xlws.FILTER(B121:G121, ISNUMBER(MATCH(B121:G121, {2,3,5,7,11,13,17,19,23,29,31,37,41,43}, 0)))), 0)</f>
        <v>2</v>
      </c>
      <c r="Z121" s="3" cm="1">
        <f t="array" ref="Z121">IFERROR(COUNT(_xlfn._xlws.FILTER(B121:G121, ISNUMBER(MATCH(B121:G121, {1,4,8,10,14,16,20,22,25,26,28,32,34,35,38,40,44}, 0)))), 0)</f>
        <v>1</v>
      </c>
      <c r="AA121" s="3" cm="1">
        <f t="array" ref="AA121">IFERROR(COUNT(_xlfn._xlws.FILTER(B121:G121, ISNUMBER(MATCH(B121:G121, {6,9,12,15,18,21,24,27,30,33,36,39,42,45}, 0)))), 0)</f>
        <v>3</v>
      </c>
      <c r="AB121" s="30"/>
      <c r="AC121" s="26" t="str" cm="1">
        <f t="array" ref="AC121">_xlfn.IFS(
   OR(B121="",ISBLANK(B121),B121=0),0,
   ISNUMBER(MATCH(B121,{2,3,5,7,11,13,17,19,23,29,31,37,41,43},0)),"소",
   AND(ISNUMBER(B121),MOD(B121,3)=0),"배",
   AND(ISNUMBER(B121),B121&gt;0),"자"
)</f>
        <v>소</v>
      </c>
      <c r="AD121" s="47" t="str" cm="1">
        <f t="array" ref="AD121">_xlfn.IFS(
   OR(C121="",ISBLANK(C121),C121=0),0,
   ISNUMBER(MATCH(C121,{2,3,5,7,11,13,17,19,23,29,31,37,41,43},0)),"소",
   AND(ISNUMBER(C121),MOD(C121,3)=0),"배",
   AND(ISNUMBER(C121),C121&gt;0),"자"
)</f>
        <v>배</v>
      </c>
      <c r="AE121" s="46" t="str" cm="1">
        <f t="array" ref="AE121">_xlfn.IFS(
   OR(D121="",ISBLANK(D121),D121=0),0,
   ISNUMBER(MATCH(D121,{2,3,5,7,11,13,17,19,23,29,31,37,41,43},0)),"소",
   AND(ISNUMBER(D121),MOD(D121,3)=0),"배",
   AND(ISNUMBER(D121),D121&gt;0),"자"
)</f>
        <v>배</v>
      </c>
      <c r="AF121" s="26" t="str" cm="1">
        <f t="array" ref="AF121">_xlfn.IFS(
   OR(E121="",ISBLANK(E121),E121=0),0,
   ISNUMBER(MATCH(E121,{2,3,5,7,11,13,17,19,23,29,31,37,41,43},0)),"소",
   AND(ISNUMBER(E121),MOD(E121,3)=0),"배",
   AND(ISNUMBER(E121),E121&gt;0),"자"
)</f>
        <v>배</v>
      </c>
      <c r="AG121" s="26" t="str" cm="1">
        <f t="array" ref="AG121">_xlfn.IFS(
   OR(F121="",ISBLANK(F121),F121=0),0,
   ISNUMBER(MATCH(F121,{2,3,5,7,11,13,17,19,23,29,31,37,41,43},0)),"소",
   AND(ISNUMBER(F121),MOD(F121,3)=0),"배",
   AND(ISNUMBER(F121),F121&gt;0),"자"
)</f>
        <v>소</v>
      </c>
      <c r="AH121" s="26" t="str" cm="1">
        <f t="array" ref="AH121">_xlfn.IFS(
   OR(G121="",ISBLANK(G121),G121=0),0,
   ISNUMBER(MATCH(G121,{2,3,5,7,11,13,17,19,23,29,31,37,41,43},0)),"소",
   AND(ISNUMBER(G121),MOD(G121,3)=0),"배",
   AND(ISNUMBER(G121),G121&gt;0),"자"
)</f>
        <v>자</v>
      </c>
      <c r="AI121" s="30"/>
      <c r="AJ121" s="3">
        <f>COUNTIFS(B121:G121,"&gt;=1",B121:G121,"&lt;=14")</f>
        <v>2</v>
      </c>
      <c r="AK121" s="3">
        <f>COUNTIFS(B121:G121,"&gt;=15",B121:G121,"&lt;=31")</f>
        <v>1</v>
      </c>
      <c r="AL121" s="3">
        <f>6-AK121-AJ121</f>
        <v>3</v>
      </c>
      <c r="AM121" s="33"/>
      <c r="AN121" s="3">
        <f>COUNTIFS($B121:$G121, "&gt;=1",$B121:$G121, "&lt;=9")</f>
        <v>1</v>
      </c>
      <c r="AO121" s="3">
        <f>COUNTIFS($B121:$G121, "&gt;=10",$B121:$G121, "&lt;=18")</f>
        <v>1</v>
      </c>
      <c r="AP121" s="3">
        <f>COUNTIFS($B121:$G121, "&gt;=19",$B121:$G121, "&lt;=27")</f>
        <v>1</v>
      </c>
      <c r="AQ121" s="3">
        <f>COUNTIFS($B121:$G121, "&gt;=28",$B121:$G121, "&lt;=36")</f>
        <v>1</v>
      </c>
      <c r="AR121" s="3">
        <f>COUNTIFS($B121:$G121, "&gt;=37",$B121:$G121, "&lt;=45")</f>
        <v>2</v>
      </c>
      <c r="AS121" s="28" t="e">
        <f>#REF!</f>
        <v>#REF!</v>
      </c>
      <c r="AT121" s="28" t="e">
        <f>#REF!*2</f>
        <v>#REF!</v>
      </c>
      <c r="AU121" s="28" t="e">
        <f>#REF!</f>
        <v>#REF!</v>
      </c>
      <c r="AV121" s="28" t="e">
        <f>#REF!*2</f>
        <v>#REF!</v>
      </c>
      <c r="AW121" s="28" t="e">
        <f>#REF!</f>
        <v>#REF!</v>
      </c>
      <c r="AX121" s="28" t="e">
        <f>#REF!*2</f>
        <v>#REF!</v>
      </c>
      <c r="AY121" s="28" t="e">
        <f>#REF!</f>
        <v>#REF!</v>
      </c>
      <c r="AZ121" s="28" t="e">
        <f>#REF!*2</f>
        <v>#REF!</v>
      </c>
      <c r="BA121" s="28" t="e">
        <f>#REF!</f>
        <v>#REF!</v>
      </c>
      <c r="BB121" s="28" t="e">
        <f>#REF!*2</f>
        <v>#REF!</v>
      </c>
      <c r="BC121" s="28" t="e">
        <f>#REF!</f>
        <v>#REF!</v>
      </c>
      <c r="BD121" s="28" t="e">
        <f>#REF!*2</f>
        <v>#REF!</v>
      </c>
      <c r="BE121" s="9" t="e">
        <f>#REF!-#REF!</f>
        <v>#REF!</v>
      </c>
      <c r="BF121" s="9" t="e">
        <f>#REF!-#REF!</f>
        <v>#REF!</v>
      </c>
      <c r="BG121" s="9" t="e">
        <f>#REF!-#REF!</f>
        <v>#REF!</v>
      </c>
      <c r="BH121" s="9" t="e">
        <f>#REF!-#REF!</f>
        <v>#REF!</v>
      </c>
      <c r="BI121" s="9" t="e">
        <f>#REF!-#REF!</f>
        <v>#REF!</v>
      </c>
      <c r="BJ121" s="33"/>
      <c r="BK121" s="3">
        <f>COUNTIFS(B121:G121, "&gt;=1", B121:G121, "&lt;=9")</f>
        <v>1</v>
      </c>
      <c r="BL121" s="3">
        <f>COUNTIFS(B121:G121, "&gt;=10", B121:G121, "&lt;=19")</f>
        <v>1</v>
      </c>
      <c r="BM121" s="3">
        <f>COUNTIFS(B121:G121, "&gt;=20", B121:G121, "&lt;=29")</f>
        <v>1</v>
      </c>
      <c r="BN121" s="3">
        <f>COUNTIFS(B121:G121, "&gt;=30", B121:G121, "&lt;=39")</f>
        <v>2</v>
      </c>
      <c r="BO121" s="3">
        <f>COUNTIFS(B121:G121, "&gt;=40", B121:G121, "&lt;=45")</f>
        <v>1</v>
      </c>
      <c r="BP121" s="28" t="e">
        <f>#REF!</f>
        <v>#REF!</v>
      </c>
      <c r="BQ121" s="28" t="e">
        <f>#REF!*2</f>
        <v>#REF!</v>
      </c>
      <c r="BR121" s="28" t="e">
        <f>#REF!</f>
        <v>#REF!</v>
      </c>
      <c r="BS121" s="28" t="e">
        <f>#REF!*2</f>
        <v>#REF!</v>
      </c>
      <c r="BT121" s="28" t="e">
        <f>#REF!</f>
        <v>#REF!</v>
      </c>
      <c r="BU121" s="28" t="e">
        <f>#REF!*2</f>
        <v>#REF!</v>
      </c>
      <c r="BV121" s="28" t="e">
        <f>#REF!</f>
        <v>#REF!</v>
      </c>
      <c r="BW121" s="28" t="e">
        <f>#REF!*2</f>
        <v>#REF!</v>
      </c>
      <c r="BX121" s="28" t="e">
        <f>#REF!</f>
        <v>#REF!</v>
      </c>
      <c r="BY121" s="28" t="e">
        <f>#REF!*2</f>
        <v>#REF!</v>
      </c>
      <c r="BZ121" s="28" t="e">
        <f>#REF!</f>
        <v>#REF!</v>
      </c>
      <c r="CA121" s="28" t="e">
        <f>#REF!*2</f>
        <v>#REF!</v>
      </c>
      <c r="CB121" s="9">
        <f>C121-B121</f>
        <v>7</v>
      </c>
      <c r="CC121" s="9">
        <f>D121-C121</f>
        <v>9</v>
      </c>
      <c r="CD121" s="9">
        <f>E121-D121</f>
        <v>12</v>
      </c>
      <c r="CE121" s="9">
        <f>F121-E121</f>
        <v>4</v>
      </c>
      <c r="CF121" s="9">
        <f>G121-F121</f>
        <v>3</v>
      </c>
      <c r="CG121" s="33"/>
      <c r="CH121" s="9">
        <f>C121-B121</f>
        <v>7</v>
      </c>
      <c r="CI121" s="9">
        <f>D121-C121</f>
        <v>9</v>
      </c>
      <c r="CJ121" s="9">
        <f>E121-D121</f>
        <v>12</v>
      </c>
      <c r="CK121" s="9">
        <f>F121-E121</f>
        <v>4</v>
      </c>
      <c r="CL121" s="9">
        <f>G121-F121</f>
        <v>3</v>
      </c>
      <c r="CM121" s="32"/>
      <c r="CN121" s="3">
        <f>IF(OR(CH121="",ISBLANK(CH121),CH121=0),0,IF(MOD(CH121,2)=1,1,2))</f>
        <v>1</v>
      </c>
      <c r="CO121" s="3">
        <f>IF(OR(CI121="",ISBLANK(CI121),CI121=0),0,IF(MOD(CI121,2)=1,1,2))</f>
        <v>1</v>
      </c>
      <c r="CP121" s="3">
        <f>IF(OR(CJ121="",ISBLANK(CJ121),CJ121=0),0,IF(MOD(CJ121,2)=1,1,2))</f>
        <v>2</v>
      </c>
      <c r="CQ121" s="3">
        <f>IF(OR(CK121="",ISBLANK(CK121),CK121=0),0,IF(MOD(CK121,2)=1,1,2))</f>
        <v>2</v>
      </c>
      <c r="CR121" s="3">
        <f>IF(OR(CL121="",ISBLANK(CL121),CL121=0),0,IF(MOD(CL121,2)=1,1,2))</f>
        <v>1</v>
      </c>
      <c r="CS121" s="31"/>
      <c r="CT121" s="3" cm="1">
        <f t="array" ref="CT121">SUMPRODUCT(--(MOD(CH121:CL121,2)=1))</f>
        <v>3</v>
      </c>
      <c r="CU121" s="3">
        <f>5-CT121</f>
        <v>2</v>
      </c>
      <c r="CV121" s="30"/>
      <c r="CW121" s="3" cm="1">
        <f t="array" ref="CW121">SUMPRODUCT(--(MOD(CH121:CL121,10)&gt;=1), --(MOD(CH121:CL121,10)&lt;=5))</f>
        <v>3</v>
      </c>
      <c r="CX121" s="3">
        <f>5-CW121</f>
        <v>2</v>
      </c>
      <c r="CY121" s="30"/>
      <c r="CZ121" s="3" cm="1">
        <f t="array" ref="CZ121">IFERROR(COUNT(_xlfn._xlws.FILTER(CH121:CL121, ISNUMBER(MATCH(CH121:CL121, {2,3,5,7,11,13,17,19,23,29,31,37,41,43}, 0)))), 0)</f>
        <v>2</v>
      </c>
      <c r="DA121" s="3" cm="1">
        <f t="array" ref="DA121">IFERROR(COUNT(_xlfn._xlws.FILTER(CH121:CL121, ISNUMBER(MATCH(CH121:CL121, {1,4,8,10,14,16,20,22,25,26,28,32,34,35,38,40,44}, 0)))), 0)</f>
        <v>1</v>
      </c>
      <c r="DB121" s="3" cm="1">
        <f t="array" ref="DB121">IFERROR(COUNT(_xlfn._xlws.FILTER(CH121:CL121, ISNUMBER(MATCH(CH121:CL121, {6,9,12,15,18,21,24,27,30,33,36,39,42,45}, 0)))), 0)</f>
        <v>2</v>
      </c>
      <c r="DC121" s="29"/>
      <c r="DD121" s="28" t="e">
        <f>#REF!</f>
        <v>#REF!</v>
      </c>
      <c r="DE121" s="28" t="e">
        <f>#REF!*2</f>
        <v>#REF!</v>
      </c>
      <c r="DF121" s="28" t="e">
        <f>#REF!</f>
        <v>#REF!</v>
      </c>
      <c r="DG121" s="28" t="e">
        <f>#REF!*2</f>
        <v>#REF!</v>
      </c>
      <c r="DH121" s="28" t="e">
        <f>#REF!</f>
        <v>#REF!</v>
      </c>
      <c r="DI121" s="28" t="e">
        <f>#REF!*2</f>
        <v>#REF!</v>
      </c>
      <c r="DJ121" s="28" t="e">
        <f>#REF!</f>
        <v>#REF!</v>
      </c>
      <c r="DK121" s="28" t="e">
        <f>#REF!*2</f>
        <v>#REF!</v>
      </c>
      <c r="DL121" s="28" t="e">
        <f>#REF!</f>
        <v>#REF!</v>
      </c>
      <c r="DM121" s="28" t="e">
        <f>#REF!*2</f>
        <v>#REF!</v>
      </c>
      <c r="DN121" s="27"/>
      <c r="DO121" s="26" t="str" cm="1">
        <f t="array" ref="DO121">_xlfn.IFS(
   OR(CH121="",ISBLANK(CH121),CH121=0),0,
   ISNUMBER(MATCH(CH121,{2,3,5,7,11,13,17,19,23,29,31,37,41,43},0)),"소",
   AND(ISNUMBER(CH121),MOD(CH121,3)=0),"배",
   AND(ISNUMBER(CH121),CH121&gt;0),"자"
)</f>
        <v>소</v>
      </c>
      <c r="DP121" s="26" t="str" cm="1">
        <f t="array" ref="DP121">_xlfn.IFS(
   OR(CI121="",ISBLANK(CI121),CI121=0),0,
   ISNUMBER(MATCH(CI121,{2,3,5,7,11,13,17,19,23,29,31,37,41,43},0)),"소",
   AND(ISNUMBER(CI121),MOD(CI121,3)=0),"배",
   AND(ISNUMBER(CI121),CI121&gt;0),"자"
)</f>
        <v>배</v>
      </c>
      <c r="DQ121" s="26" t="str" cm="1">
        <f t="array" ref="DQ121">_xlfn.IFS(
   OR(CJ121="",ISBLANK(CJ121),CJ121=0),0,
   ISNUMBER(MATCH(CJ121,{2,3,5,7,11,13,17,19,23,29,31,37,41,43},0)),"소",
   AND(ISNUMBER(CJ121),MOD(CJ121,3)=0),"배",
   AND(ISNUMBER(CJ121),CJ121&gt;0),"자"
)</f>
        <v>배</v>
      </c>
      <c r="DR121" s="26" t="str" cm="1">
        <f t="array" ref="DR121">_xlfn.IFS(
   OR(CK121="",ISBLANK(CK121),CK121=0),0,
   ISNUMBER(MATCH(CK121,{2,3,5,7,11,13,17,19,23,29,31,37,41,43},0)),"소",
   AND(ISNUMBER(CK121),MOD(CK121,3)=0),"배",
   AND(ISNUMBER(CK121),CK121&gt;0),"자"
)</f>
        <v>자</v>
      </c>
      <c r="DS121" s="26" t="str" cm="1">
        <f t="array" ref="DS121">_xlfn.IFS(
   OR(CL121="",ISBLANK(CL121),CL121=0),0,
   ISNUMBER(MATCH(CL121,{2,3,5,7,11,13,17,19,23,29,31,37,41,43},0)),"소",
   AND(ISNUMBER(CL121),MOD(CL121,3)=0),"배",
   AND(ISNUMBER(CL121),CL121&gt;0),"자"
)</f>
        <v>소</v>
      </c>
      <c r="DT121" s="25"/>
    </row>
    <row r="122" spans="2:124" ht="14.25" thickBot="1" x14ac:dyDescent="0.35">
      <c r="B122" s="3">
        <v>3</v>
      </c>
      <c r="C122" s="3">
        <v>6</v>
      </c>
      <c r="D122" s="3">
        <v>18</v>
      </c>
      <c r="E122" s="3">
        <v>29</v>
      </c>
      <c r="F122" s="3">
        <v>35</v>
      </c>
      <c r="G122" s="3">
        <v>39</v>
      </c>
      <c r="H122" s="32"/>
      <c r="I122" s="3">
        <f>IF(OR(B122="",ISBLANK(B122),B122=0),0,IF(MOD(B122,2)=1,1,2))</f>
        <v>1</v>
      </c>
      <c r="J122" s="3">
        <f>IF(OR(C122="",ISBLANK(C122),C122=0),0,IF(MOD(C122,2)=1,1,2))</f>
        <v>2</v>
      </c>
      <c r="K122" s="3">
        <f>IF(OR(D122="",ISBLANK(D122),D122=0),0,IF(MOD(D122,2)=1,1,2))</f>
        <v>2</v>
      </c>
      <c r="L122" s="3">
        <f>IF(OR(E122="",ISBLANK(E122),E122=0),0,IF(MOD(E122,2)=1,1,2))</f>
        <v>1</v>
      </c>
      <c r="M122" s="3">
        <f>IF(OR(F122="",ISBLANK(F122),F122=0),0,IF(MOD(F122,2)=1,1,2))</f>
        <v>1</v>
      </c>
      <c r="N122" s="3">
        <f>IF(OR(G122="",ISBLANK(G122),G122=0),0,IF(MOD(G122,2)=1,1,2))</f>
        <v>1</v>
      </c>
      <c r="O122" s="32"/>
      <c r="P122" s="3" cm="1">
        <f t="array" ref="P122">SUMPRODUCT(--(MOD(B122:G122,2)=1))</f>
        <v>4</v>
      </c>
      <c r="Q122" s="3">
        <f>6-P122</f>
        <v>2</v>
      </c>
      <c r="R122" s="34"/>
      <c r="S122" s="3">
        <f>COUNTIFS(B122:G122,"&gt;=1",B122:G122,"&lt;=23")</f>
        <v>3</v>
      </c>
      <c r="T122" s="3">
        <f>6-S122</f>
        <v>3</v>
      </c>
      <c r="U122" s="34"/>
      <c r="V122" s="3" cm="1">
        <f t="array" ref="V122">SUMPRODUCT(--(MOD(B122:G122,10)&gt;=1), --(MOD(B122:G122,10)&lt;=5))</f>
        <v>2</v>
      </c>
      <c r="W122" s="3">
        <f>6-V122</f>
        <v>4</v>
      </c>
      <c r="X122" s="34"/>
      <c r="Y122" s="3" cm="1">
        <f t="array" ref="Y122">IFERROR(COUNT(_xlfn._xlws.FILTER(B122:G122, ISNUMBER(MATCH(B122:G122, {2,3,5,7,11,13,17,19,23,29,31,37,41,43}, 0)))), 0)</f>
        <v>2</v>
      </c>
      <c r="Z122" s="3" cm="1">
        <f t="array" ref="Z122">IFERROR(COUNT(_xlfn._xlws.FILTER(B122:G122, ISNUMBER(MATCH(B122:G122, {1,4,8,10,14,16,20,22,25,26,28,32,34,35,38,40,44}, 0)))), 0)</f>
        <v>1</v>
      </c>
      <c r="AA122" s="3" cm="1">
        <f t="array" ref="AA122">IFERROR(COUNT(_xlfn._xlws.FILTER(B122:G122, ISNUMBER(MATCH(B122:G122, {6,9,12,15,18,21,24,27,30,33,36,39,42,45}, 0)))), 0)</f>
        <v>3</v>
      </c>
      <c r="AB122" s="30"/>
      <c r="AC122" s="26" t="str" cm="1">
        <f t="array" ref="AC122">_xlfn.IFS(
   OR(B122="",ISBLANK(B122),B122=0),0,
   ISNUMBER(MATCH(B122,{2,3,5,7,11,13,17,19,23,29,31,37,41,43},0)),"소",
   AND(ISNUMBER(B122),MOD(B122,3)=0),"배",
   AND(ISNUMBER(B122),B122&gt;0),"자"
)</f>
        <v>소</v>
      </c>
      <c r="AD122" s="38" t="str" cm="1">
        <f t="array" ref="AD122">_xlfn.IFS(
   OR(C122="",ISBLANK(C122),C122=0),0,
   ISNUMBER(MATCH(C122,{2,3,5,7,11,13,17,19,23,29,31,37,41,43},0)),"소",
   AND(ISNUMBER(C122),MOD(C122,3)=0),"배",
   AND(ISNUMBER(C122),C122&gt;0),"자"
)</f>
        <v>배</v>
      </c>
      <c r="AE122" s="36" t="str" cm="1">
        <f t="array" ref="AE122">_xlfn.IFS(
   OR(D122="",ISBLANK(D122),D122=0),0,
   ISNUMBER(MATCH(D122,{2,3,5,7,11,13,17,19,23,29,31,37,41,43},0)),"소",
   AND(ISNUMBER(D122),MOD(D122,3)=0),"배",
   AND(ISNUMBER(D122),D122&gt;0),"자"
)</f>
        <v>배</v>
      </c>
      <c r="AF122" s="26" t="str" cm="1">
        <f t="array" ref="AF122">_xlfn.IFS(
   OR(E122="",ISBLANK(E122),E122=0),0,
   ISNUMBER(MATCH(E122,{2,3,5,7,11,13,17,19,23,29,31,37,41,43},0)),"소",
   AND(ISNUMBER(E122),MOD(E122,3)=0),"배",
   AND(ISNUMBER(E122),E122&gt;0),"자"
)</f>
        <v>소</v>
      </c>
      <c r="AG122" s="26" t="str" cm="1">
        <f t="array" ref="AG122">_xlfn.IFS(
   OR(F122="",ISBLANK(F122),F122=0),0,
   ISNUMBER(MATCH(F122,{2,3,5,7,11,13,17,19,23,29,31,37,41,43},0)),"소",
   AND(ISNUMBER(F122),MOD(F122,3)=0),"배",
   AND(ISNUMBER(F122),F122&gt;0),"자"
)</f>
        <v>자</v>
      </c>
      <c r="AH122" s="26" t="str" cm="1">
        <f t="array" ref="AH122">_xlfn.IFS(
   OR(G122="",ISBLANK(G122),G122=0),0,
   ISNUMBER(MATCH(G122,{2,3,5,7,11,13,17,19,23,29,31,37,41,43},0)),"소",
   AND(ISNUMBER(G122),MOD(G122,3)=0),"배",
   AND(ISNUMBER(G122),G122&gt;0),"자"
)</f>
        <v>배</v>
      </c>
      <c r="AI122" s="30"/>
      <c r="AJ122" s="3">
        <f>COUNTIFS(B122:G122,"&gt;=1",B122:G122,"&lt;=14")</f>
        <v>2</v>
      </c>
      <c r="AK122" s="3">
        <f>COUNTIFS(B122:G122,"&gt;=15",B122:G122,"&lt;=31")</f>
        <v>2</v>
      </c>
      <c r="AL122" s="3">
        <f>6-AK122-AJ122</f>
        <v>2</v>
      </c>
      <c r="AM122" s="33"/>
      <c r="AN122" s="3">
        <f>COUNTIFS($B122:$G122, "&gt;=1",$B122:$G122, "&lt;=9")</f>
        <v>2</v>
      </c>
      <c r="AO122" s="3">
        <f>COUNTIFS($B122:$G122, "&gt;=10",$B122:$G122, "&lt;=18")</f>
        <v>1</v>
      </c>
      <c r="AP122" s="3">
        <f>COUNTIFS($B122:$G122, "&gt;=19",$B122:$G122, "&lt;=27")</f>
        <v>0</v>
      </c>
      <c r="AQ122" s="3">
        <f>COUNTIFS($B122:$G122, "&gt;=28",$B122:$G122, "&lt;=36")</f>
        <v>2</v>
      </c>
      <c r="AR122" s="3">
        <f>COUNTIFS($B122:$G122, "&gt;=37",$B122:$G122, "&lt;=45")</f>
        <v>1</v>
      </c>
      <c r="AS122" s="28" t="e">
        <f>#REF!</f>
        <v>#REF!</v>
      </c>
      <c r="AT122" s="28" t="e">
        <f>#REF!*2</f>
        <v>#REF!</v>
      </c>
      <c r="AU122" s="28" t="e">
        <f>#REF!</f>
        <v>#REF!</v>
      </c>
      <c r="AV122" s="28" t="e">
        <f>#REF!*2</f>
        <v>#REF!</v>
      </c>
      <c r="AW122" s="28" t="e">
        <f>#REF!</f>
        <v>#REF!</v>
      </c>
      <c r="AX122" s="28" t="e">
        <f>#REF!*2</f>
        <v>#REF!</v>
      </c>
      <c r="AY122" s="28" t="e">
        <f>#REF!</f>
        <v>#REF!</v>
      </c>
      <c r="AZ122" s="28" t="e">
        <f>#REF!*2</f>
        <v>#REF!</v>
      </c>
      <c r="BA122" s="28" t="e">
        <f>#REF!</f>
        <v>#REF!</v>
      </c>
      <c r="BB122" s="28" t="e">
        <f>#REF!*2</f>
        <v>#REF!</v>
      </c>
      <c r="BC122" s="28" t="e">
        <f>#REF!</f>
        <v>#REF!</v>
      </c>
      <c r="BD122" s="28" t="e">
        <f>#REF!*2</f>
        <v>#REF!</v>
      </c>
      <c r="BE122" s="9" t="e">
        <f>#REF!-#REF!</f>
        <v>#REF!</v>
      </c>
      <c r="BF122" s="9" t="e">
        <f>#REF!-#REF!</f>
        <v>#REF!</v>
      </c>
      <c r="BG122" s="9" t="e">
        <f>#REF!-#REF!</f>
        <v>#REF!</v>
      </c>
      <c r="BH122" s="9" t="e">
        <f>#REF!-#REF!</f>
        <v>#REF!</v>
      </c>
      <c r="BI122" s="9" t="e">
        <f>#REF!-#REF!</f>
        <v>#REF!</v>
      </c>
      <c r="BJ122" s="33"/>
      <c r="BK122" s="3">
        <f>COUNTIFS(B122:G122, "&gt;=1", B122:G122, "&lt;=9")</f>
        <v>2</v>
      </c>
      <c r="BL122" s="3">
        <f>COUNTIFS(B122:G122, "&gt;=10", B122:G122, "&lt;=19")</f>
        <v>1</v>
      </c>
      <c r="BM122" s="3">
        <f>COUNTIFS(B122:G122, "&gt;=20", B122:G122, "&lt;=29")</f>
        <v>1</v>
      </c>
      <c r="BN122" s="3">
        <f>COUNTIFS(B122:G122, "&gt;=30", B122:G122, "&lt;=39")</f>
        <v>2</v>
      </c>
      <c r="BO122" s="3">
        <f>COUNTIFS(B122:G122, "&gt;=40", B122:G122, "&lt;=45")</f>
        <v>0</v>
      </c>
      <c r="BP122" s="28" t="e">
        <f>#REF!</f>
        <v>#REF!</v>
      </c>
      <c r="BQ122" s="28" t="e">
        <f>#REF!*2</f>
        <v>#REF!</v>
      </c>
      <c r="BR122" s="28" t="e">
        <f>#REF!</f>
        <v>#REF!</v>
      </c>
      <c r="BS122" s="28" t="e">
        <f>#REF!*2</f>
        <v>#REF!</v>
      </c>
      <c r="BT122" s="28" t="e">
        <f>#REF!</f>
        <v>#REF!</v>
      </c>
      <c r="BU122" s="28" t="e">
        <f>#REF!*2</f>
        <v>#REF!</v>
      </c>
      <c r="BV122" s="28" t="e">
        <f>#REF!</f>
        <v>#REF!</v>
      </c>
      <c r="BW122" s="28" t="e">
        <f>#REF!*2</f>
        <v>#REF!</v>
      </c>
      <c r="BX122" s="28" t="e">
        <f>#REF!</f>
        <v>#REF!</v>
      </c>
      <c r="BY122" s="28" t="e">
        <f>#REF!*2</f>
        <v>#REF!</v>
      </c>
      <c r="BZ122" s="28" t="e">
        <f>#REF!</f>
        <v>#REF!</v>
      </c>
      <c r="CA122" s="28" t="e">
        <f>#REF!*2</f>
        <v>#REF!</v>
      </c>
      <c r="CB122" s="9">
        <f>C122-B122</f>
        <v>3</v>
      </c>
      <c r="CC122" s="9">
        <f>D122-C122</f>
        <v>12</v>
      </c>
      <c r="CD122" s="9">
        <f>E122-D122</f>
        <v>11</v>
      </c>
      <c r="CE122" s="9">
        <f>F122-E122</f>
        <v>6</v>
      </c>
      <c r="CF122" s="9">
        <f>G122-F122</f>
        <v>4</v>
      </c>
      <c r="CG122" s="33"/>
      <c r="CH122" s="9">
        <f>C122-B122</f>
        <v>3</v>
      </c>
      <c r="CI122" s="9">
        <f>D122-C122</f>
        <v>12</v>
      </c>
      <c r="CJ122" s="9">
        <f>E122-D122</f>
        <v>11</v>
      </c>
      <c r="CK122" s="9">
        <f>F122-E122</f>
        <v>6</v>
      </c>
      <c r="CL122" s="9">
        <f>G122-F122</f>
        <v>4</v>
      </c>
      <c r="CM122" s="32"/>
      <c r="CN122" s="3">
        <f>IF(OR(CH122="",ISBLANK(CH122),CH122=0),0,IF(MOD(CH122,2)=1,1,2))</f>
        <v>1</v>
      </c>
      <c r="CO122" s="3">
        <f>IF(OR(CI122="",ISBLANK(CI122),CI122=0),0,IF(MOD(CI122,2)=1,1,2))</f>
        <v>2</v>
      </c>
      <c r="CP122" s="3">
        <f>IF(OR(CJ122="",ISBLANK(CJ122),CJ122=0),0,IF(MOD(CJ122,2)=1,1,2))</f>
        <v>1</v>
      </c>
      <c r="CQ122" s="3">
        <f>IF(OR(CK122="",ISBLANK(CK122),CK122=0),0,IF(MOD(CK122,2)=1,1,2))</f>
        <v>2</v>
      </c>
      <c r="CR122" s="3">
        <f>IF(OR(CL122="",ISBLANK(CL122),CL122=0),0,IF(MOD(CL122,2)=1,1,2))</f>
        <v>2</v>
      </c>
      <c r="CS122" s="31"/>
      <c r="CT122" s="3" cm="1">
        <f t="array" ref="CT122">SUMPRODUCT(--(MOD(CH122:CL122,2)=1))</f>
        <v>2</v>
      </c>
      <c r="CU122" s="3">
        <f>5-CT122</f>
        <v>3</v>
      </c>
      <c r="CV122" s="30"/>
      <c r="CW122" s="3" cm="1">
        <f t="array" ref="CW122">SUMPRODUCT(--(MOD(CH122:CL122,10)&gt;=1), --(MOD(CH122:CL122,10)&lt;=5))</f>
        <v>4</v>
      </c>
      <c r="CX122" s="3">
        <f>5-CW122</f>
        <v>1</v>
      </c>
      <c r="CY122" s="30"/>
      <c r="CZ122" s="3" cm="1">
        <f t="array" ref="CZ122">IFERROR(COUNT(_xlfn._xlws.FILTER(CH122:CL122, ISNUMBER(MATCH(CH122:CL122, {2,3,5,7,11,13,17,19,23,29,31,37,41,43}, 0)))), 0)</f>
        <v>2</v>
      </c>
      <c r="DA122" s="3" cm="1">
        <f t="array" ref="DA122">IFERROR(COUNT(_xlfn._xlws.FILTER(CH122:CL122, ISNUMBER(MATCH(CH122:CL122, {1,4,8,10,14,16,20,22,25,26,28,32,34,35,38,40,44}, 0)))), 0)</f>
        <v>1</v>
      </c>
      <c r="DB122" s="3" cm="1">
        <f t="array" ref="DB122">IFERROR(COUNT(_xlfn._xlws.FILTER(CH122:CL122, ISNUMBER(MATCH(CH122:CL122, {6,9,12,15,18,21,24,27,30,33,36,39,42,45}, 0)))), 0)</f>
        <v>2</v>
      </c>
      <c r="DC122" s="29"/>
      <c r="DD122" s="28" t="e">
        <f>#REF!</f>
        <v>#REF!</v>
      </c>
      <c r="DE122" s="28" t="e">
        <f>#REF!*2</f>
        <v>#REF!</v>
      </c>
      <c r="DF122" s="28" t="e">
        <f>#REF!</f>
        <v>#REF!</v>
      </c>
      <c r="DG122" s="28" t="e">
        <f>#REF!*2</f>
        <v>#REF!</v>
      </c>
      <c r="DH122" s="28" t="e">
        <f>#REF!</f>
        <v>#REF!</v>
      </c>
      <c r="DI122" s="28" t="e">
        <f>#REF!*2</f>
        <v>#REF!</v>
      </c>
      <c r="DJ122" s="28" t="e">
        <f>#REF!</f>
        <v>#REF!</v>
      </c>
      <c r="DK122" s="28" t="e">
        <f>#REF!*2</f>
        <v>#REF!</v>
      </c>
      <c r="DL122" s="28" t="e">
        <f>#REF!</f>
        <v>#REF!</v>
      </c>
      <c r="DM122" s="28" t="e">
        <f>#REF!*2</f>
        <v>#REF!</v>
      </c>
      <c r="DN122" s="27"/>
      <c r="DO122" s="26" t="str" cm="1">
        <f t="array" ref="DO122">_xlfn.IFS(
   OR(CH122="",ISBLANK(CH122),CH122=0),0,
   ISNUMBER(MATCH(CH122,{2,3,5,7,11,13,17,19,23,29,31,37,41,43},0)),"소",
   AND(ISNUMBER(CH122),MOD(CH122,3)=0),"배",
   AND(ISNUMBER(CH122),CH122&gt;0),"자"
)</f>
        <v>소</v>
      </c>
      <c r="DP122" s="26" t="str" cm="1">
        <f t="array" ref="DP122">_xlfn.IFS(
   OR(CI122="",ISBLANK(CI122),CI122=0),0,
   ISNUMBER(MATCH(CI122,{2,3,5,7,11,13,17,19,23,29,31,37,41,43},0)),"소",
   AND(ISNUMBER(CI122),MOD(CI122,3)=0),"배",
   AND(ISNUMBER(CI122),CI122&gt;0),"자"
)</f>
        <v>배</v>
      </c>
      <c r="DQ122" s="26" t="str" cm="1">
        <f t="array" ref="DQ122">_xlfn.IFS(
   OR(CJ122="",ISBLANK(CJ122),CJ122=0),0,
   ISNUMBER(MATCH(CJ122,{2,3,5,7,11,13,17,19,23,29,31,37,41,43},0)),"소",
   AND(ISNUMBER(CJ122),MOD(CJ122,3)=0),"배",
   AND(ISNUMBER(CJ122),CJ122&gt;0),"자"
)</f>
        <v>소</v>
      </c>
      <c r="DR122" s="26" t="str" cm="1">
        <f t="array" ref="DR122">_xlfn.IFS(
   OR(CK122="",ISBLANK(CK122),CK122=0),0,
   ISNUMBER(MATCH(CK122,{2,3,5,7,11,13,17,19,23,29,31,37,41,43},0)),"소",
   AND(ISNUMBER(CK122),MOD(CK122,3)=0),"배",
   AND(ISNUMBER(CK122),CK122&gt;0),"자"
)</f>
        <v>배</v>
      </c>
      <c r="DS122" s="26" t="str" cm="1">
        <f t="array" ref="DS122">_xlfn.IFS(
   OR(CL122="",ISBLANK(CL122),CL122=0),0,
   ISNUMBER(MATCH(CL122,{2,3,5,7,11,13,17,19,23,29,31,37,41,43},0)),"소",
   AND(ISNUMBER(CL122),MOD(CL122,3)=0),"배",
   AND(ISNUMBER(CL122),CL122&gt;0),"자"
)</f>
        <v>자</v>
      </c>
      <c r="DT122" s="25"/>
    </row>
    <row r="123" spans="2:124" x14ac:dyDescent="0.3">
      <c r="B123" s="3">
        <v>8</v>
      </c>
      <c r="C123" s="3">
        <v>16</v>
      </c>
      <c r="D123" s="3">
        <v>28</v>
      </c>
      <c r="E123" s="3">
        <v>30</v>
      </c>
      <c r="F123" s="3">
        <v>31</v>
      </c>
      <c r="G123" s="3">
        <v>44</v>
      </c>
      <c r="H123" s="32"/>
      <c r="I123" s="3">
        <f>IF(OR(B123="",ISBLANK(B123),B123=0),0,IF(MOD(B123,2)=1,1,2))</f>
        <v>2</v>
      </c>
      <c r="J123" s="3">
        <f>IF(OR(C123="",ISBLANK(C123),C123=0),0,IF(MOD(C123,2)=1,1,2))</f>
        <v>2</v>
      </c>
      <c r="K123" s="3">
        <f>IF(OR(D123="",ISBLANK(D123),D123=0),0,IF(MOD(D123,2)=1,1,2))</f>
        <v>2</v>
      </c>
      <c r="L123" s="3">
        <f>IF(OR(E123="",ISBLANK(E123),E123=0),0,IF(MOD(E123,2)=1,1,2))</f>
        <v>2</v>
      </c>
      <c r="M123" s="3">
        <f>IF(OR(F123="",ISBLANK(F123),F123=0),0,IF(MOD(F123,2)=1,1,2))</f>
        <v>1</v>
      </c>
      <c r="N123" s="3">
        <f>IF(OR(G123="",ISBLANK(G123),G123=0),0,IF(MOD(G123,2)=1,1,2))</f>
        <v>2</v>
      </c>
      <c r="O123" s="32"/>
      <c r="P123" s="3" cm="1">
        <f t="array" ref="P123">SUMPRODUCT(--(MOD(B123:G123,2)=1))</f>
        <v>1</v>
      </c>
      <c r="Q123" s="3">
        <f>6-P123</f>
        <v>5</v>
      </c>
      <c r="R123" s="34"/>
      <c r="S123" s="3">
        <f>COUNTIFS(B123:G123,"&gt;=1",B123:G123,"&lt;=23")</f>
        <v>2</v>
      </c>
      <c r="T123" s="3">
        <f>6-S123</f>
        <v>4</v>
      </c>
      <c r="U123" s="34"/>
      <c r="V123" s="3" cm="1">
        <f t="array" ref="V123">SUMPRODUCT(--(MOD(B123:G123,10)&gt;=1), --(MOD(B123:G123,10)&lt;=5))</f>
        <v>2</v>
      </c>
      <c r="W123" s="3">
        <f>6-V123</f>
        <v>4</v>
      </c>
      <c r="X123" s="34"/>
      <c r="Y123" s="3" cm="1">
        <f t="array" ref="Y123">IFERROR(COUNT(_xlfn._xlws.FILTER(B123:G123, ISNUMBER(MATCH(B123:G123, {2,3,5,7,11,13,17,19,23,29,31,37,41,43}, 0)))), 0)</f>
        <v>1</v>
      </c>
      <c r="Z123" s="3" cm="1">
        <f t="array" ref="Z123">IFERROR(COUNT(_xlfn._xlws.FILTER(B123:G123, ISNUMBER(MATCH(B123:G123, {1,4,8,10,14,16,20,22,25,26,28,32,34,35,38,40,44}, 0)))), 0)</f>
        <v>4</v>
      </c>
      <c r="AA123" s="3" cm="1">
        <f t="array" ref="AA123">IFERROR(COUNT(_xlfn._xlws.FILTER(B123:G123, ISNUMBER(MATCH(B123:G123, {6,9,12,15,18,21,24,27,30,33,36,39,42,45}, 0)))), 0)</f>
        <v>1</v>
      </c>
      <c r="AB123" s="30"/>
      <c r="AC123" s="45" t="str" cm="1">
        <f t="array" ref="AC123">_xlfn.IFS(
   OR(B123="",ISBLANK(B123),B123=0),0,
   ISNUMBER(MATCH(B123,{2,3,5,7,11,13,17,19,23,29,31,37,41,43},0)),"소",
   AND(ISNUMBER(B123),MOD(B123,3)=0),"배",
   AND(ISNUMBER(B123),B123&gt;0),"자"
)</f>
        <v>자</v>
      </c>
      <c r="AD123" s="26" t="str" cm="1">
        <f t="array" ref="AD123">_xlfn.IFS(
   OR(C123="",ISBLANK(C123),C123=0),0,
   ISNUMBER(MATCH(C123,{2,3,5,7,11,13,17,19,23,29,31,37,41,43},0)),"소",
   AND(ISNUMBER(C123),MOD(C123,3)=0),"배",
   AND(ISNUMBER(C123),C123&gt;0),"자"
)</f>
        <v>자</v>
      </c>
      <c r="AE123" s="26" t="str" cm="1">
        <f t="array" ref="AE123">_xlfn.IFS(
   OR(D123="",ISBLANK(D123),D123=0),0,
   ISNUMBER(MATCH(D123,{2,3,5,7,11,13,17,19,23,29,31,37,41,43},0)),"소",
   AND(ISNUMBER(D123),MOD(D123,3)=0),"배",
   AND(ISNUMBER(D123),D123&gt;0),"자"
)</f>
        <v>자</v>
      </c>
      <c r="AF123" s="26" t="str" cm="1">
        <f t="array" ref="AF123">_xlfn.IFS(
   OR(E123="",ISBLANK(E123),E123=0),0,
   ISNUMBER(MATCH(E123,{2,3,5,7,11,13,17,19,23,29,31,37,41,43},0)),"소",
   AND(ISNUMBER(E123),MOD(E123,3)=0),"배",
   AND(ISNUMBER(E123),E123&gt;0),"자"
)</f>
        <v>배</v>
      </c>
      <c r="AG123" s="26" t="str" cm="1">
        <f t="array" ref="AG123">_xlfn.IFS(
   OR(F123="",ISBLANK(F123),F123=0),0,
   ISNUMBER(MATCH(F123,{2,3,5,7,11,13,17,19,23,29,31,37,41,43},0)),"소",
   AND(ISNUMBER(F123),MOD(F123,3)=0),"배",
   AND(ISNUMBER(F123),F123&gt;0),"자"
)</f>
        <v>소</v>
      </c>
      <c r="AH123" s="26" t="str" cm="1">
        <f t="array" ref="AH123">_xlfn.IFS(
   OR(G123="",ISBLANK(G123),G123=0),0,
   ISNUMBER(MATCH(G123,{2,3,5,7,11,13,17,19,23,29,31,37,41,43},0)),"소",
   AND(ISNUMBER(G123),MOD(G123,3)=0),"배",
   AND(ISNUMBER(G123),G123&gt;0),"자"
)</f>
        <v>자</v>
      </c>
      <c r="AI123" s="30"/>
      <c r="AJ123" s="3">
        <f>COUNTIFS(B123:G123,"&gt;=1",B123:G123,"&lt;=14")</f>
        <v>1</v>
      </c>
      <c r="AK123" s="3">
        <f>COUNTIFS(B123:G123,"&gt;=15",B123:G123,"&lt;=31")</f>
        <v>4</v>
      </c>
      <c r="AL123" s="3">
        <f>6-AK123-AJ123</f>
        <v>1</v>
      </c>
      <c r="AM123" s="33"/>
      <c r="AN123" s="3">
        <f>COUNTIFS($B123:$G123, "&gt;=1",$B123:$G123, "&lt;=9")</f>
        <v>1</v>
      </c>
      <c r="AO123" s="3">
        <f>COUNTIFS($B123:$G123, "&gt;=10",$B123:$G123, "&lt;=18")</f>
        <v>1</v>
      </c>
      <c r="AP123" s="3">
        <f>COUNTIFS($B123:$G123, "&gt;=19",$B123:$G123, "&lt;=27")</f>
        <v>0</v>
      </c>
      <c r="AQ123" s="3">
        <f>COUNTIFS($B123:$G123, "&gt;=28",$B123:$G123, "&lt;=36")</f>
        <v>3</v>
      </c>
      <c r="AR123" s="3">
        <f>COUNTIFS($B123:$G123, "&gt;=37",$B123:$G123, "&lt;=45")</f>
        <v>1</v>
      </c>
      <c r="AS123" s="28" t="e">
        <f>#REF!</f>
        <v>#REF!</v>
      </c>
      <c r="AT123" s="28" t="e">
        <f>#REF!*2</f>
        <v>#REF!</v>
      </c>
      <c r="AU123" s="28" t="e">
        <f>#REF!</f>
        <v>#REF!</v>
      </c>
      <c r="AV123" s="28" t="e">
        <f>#REF!*2</f>
        <v>#REF!</v>
      </c>
      <c r="AW123" s="28" t="e">
        <f>#REF!</f>
        <v>#REF!</v>
      </c>
      <c r="AX123" s="28" t="e">
        <f>#REF!*2</f>
        <v>#REF!</v>
      </c>
      <c r="AY123" s="28" t="e">
        <f>#REF!</f>
        <v>#REF!</v>
      </c>
      <c r="AZ123" s="28" t="e">
        <f>#REF!*2</f>
        <v>#REF!</v>
      </c>
      <c r="BA123" s="28" t="e">
        <f>#REF!</f>
        <v>#REF!</v>
      </c>
      <c r="BB123" s="28" t="e">
        <f>#REF!*2</f>
        <v>#REF!</v>
      </c>
      <c r="BC123" s="28" t="e">
        <f>#REF!</f>
        <v>#REF!</v>
      </c>
      <c r="BD123" s="28" t="e">
        <f>#REF!*2</f>
        <v>#REF!</v>
      </c>
      <c r="BE123" s="9" t="e">
        <f>#REF!-#REF!</f>
        <v>#REF!</v>
      </c>
      <c r="BF123" s="9" t="e">
        <f>#REF!-#REF!</f>
        <v>#REF!</v>
      </c>
      <c r="BG123" s="9" t="e">
        <f>#REF!-#REF!</f>
        <v>#REF!</v>
      </c>
      <c r="BH123" s="9" t="e">
        <f>#REF!-#REF!</f>
        <v>#REF!</v>
      </c>
      <c r="BI123" s="9" t="e">
        <f>#REF!-#REF!</f>
        <v>#REF!</v>
      </c>
      <c r="BJ123" s="33"/>
      <c r="BK123" s="3">
        <f>COUNTIFS(B123:G123, "&gt;=1", B123:G123, "&lt;=9")</f>
        <v>1</v>
      </c>
      <c r="BL123" s="3">
        <f>COUNTIFS(B123:G123, "&gt;=10", B123:G123, "&lt;=19")</f>
        <v>1</v>
      </c>
      <c r="BM123" s="3">
        <f>COUNTIFS(B123:G123, "&gt;=20", B123:G123, "&lt;=29")</f>
        <v>1</v>
      </c>
      <c r="BN123" s="3">
        <f>COUNTIFS(B123:G123, "&gt;=30", B123:G123, "&lt;=39")</f>
        <v>2</v>
      </c>
      <c r="BO123" s="3">
        <f>COUNTIFS(B123:G123, "&gt;=40", B123:G123, "&lt;=45")</f>
        <v>1</v>
      </c>
      <c r="BP123" s="28" t="e">
        <f>#REF!</f>
        <v>#REF!</v>
      </c>
      <c r="BQ123" s="28" t="e">
        <f>#REF!*2</f>
        <v>#REF!</v>
      </c>
      <c r="BR123" s="28" t="e">
        <f>#REF!</f>
        <v>#REF!</v>
      </c>
      <c r="BS123" s="28" t="e">
        <f>#REF!*2</f>
        <v>#REF!</v>
      </c>
      <c r="BT123" s="28" t="e">
        <f>#REF!</f>
        <v>#REF!</v>
      </c>
      <c r="BU123" s="28" t="e">
        <f>#REF!*2</f>
        <v>#REF!</v>
      </c>
      <c r="BV123" s="28" t="e">
        <f>#REF!</f>
        <v>#REF!</v>
      </c>
      <c r="BW123" s="28" t="e">
        <f>#REF!*2</f>
        <v>#REF!</v>
      </c>
      <c r="BX123" s="28" t="e">
        <f>#REF!</f>
        <v>#REF!</v>
      </c>
      <c r="BY123" s="28" t="e">
        <f>#REF!*2</f>
        <v>#REF!</v>
      </c>
      <c r="BZ123" s="28" t="e">
        <f>#REF!</f>
        <v>#REF!</v>
      </c>
      <c r="CA123" s="28" t="e">
        <f>#REF!*2</f>
        <v>#REF!</v>
      </c>
      <c r="CB123" s="9">
        <f>C123-B123</f>
        <v>8</v>
      </c>
      <c r="CC123" s="9">
        <f>D123-C123</f>
        <v>12</v>
      </c>
      <c r="CD123" s="9">
        <f>E123-D123</f>
        <v>2</v>
      </c>
      <c r="CE123" s="9">
        <f>F123-E123</f>
        <v>1</v>
      </c>
      <c r="CF123" s="9">
        <f>G123-F123</f>
        <v>13</v>
      </c>
      <c r="CG123" s="33"/>
      <c r="CH123" s="9">
        <f>C123-B123</f>
        <v>8</v>
      </c>
      <c r="CI123" s="35">
        <f>D123-C123</f>
        <v>12</v>
      </c>
      <c r="CJ123" s="9">
        <f>E123-D123</f>
        <v>2</v>
      </c>
      <c r="CK123" s="9">
        <f>F123-E123</f>
        <v>1</v>
      </c>
      <c r="CL123" s="9">
        <f>G123-F123</f>
        <v>13</v>
      </c>
      <c r="CM123" s="32"/>
      <c r="CN123" s="3">
        <f>IF(OR(CH123="",ISBLANK(CH123),CH123=0),0,IF(MOD(CH123,2)=1,1,2))</f>
        <v>2</v>
      </c>
      <c r="CO123" s="3">
        <f>IF(OR(CI123="",ISBLANK(CI123),CI123=0),0,IF(MOD(CI123,2)=1,1,2))</f>
        <v>2</v>
      </c>
      <c r="CP123" s="3">
        <f>IF(OR(CJ123="",ISBLANK(CJ123),CJ123=0),0,IF(MOD(CJ123,2)=1,1,2))</f>
        <v>2</v>
      </c>
      <c r="CQ123" s="3">
        <f>IF(OR(CK123="",ISBLANK(CK123),CK123=0),0,IF(MOD(CK123,2)=1,1,2))</f>
        <v>1</v>
      </c>
      <c r="CR123" s="3">
        <f>IF(OR(CL123="",ISBLANK(CL123),CL123=0),0,IF(MOD(CL123,2)=1,1,2))</f>
        <v>1</v>
      </c>
      <c r="CS123" s="31"/>
      <c r="CT123" s="3" cm="1">
        <f t="array" ref="CT123">SUMPRODUCT(--(MOD(CH123:CL123,2)=1))</f>
        <v>2</v>
      </c>
      <c r="CU123" s="3">
        <f>5-CT123</f>
        <v>3</v>
      </c>
      <c r="CV123" s="30"/>
      <c r="CW123" s="3" cm="1">
        <f t="array" ref="CW123">SUMPRODUCT(--(MOD(CH123:CL123,10)&gt;=1), --(MOD(CH123:CL123,10)&lt;=5))</f>
        <v>4</v>
      </c>
      <c r="CX123" s="3">
        <f>5-CW123</f>
        <v>1</v>
      </c>
      <c r="CY123" s="30"/>
      <c r="CZ123" s="3" cm="1">
        <f t="array" ref="CZ123">IFERROR(COUNT(_xlfn._xlws.FILTER(CH123:CL123, ISNUMBER(MATCH(CH123:CL123, {2,3,5,7,11,13,17,19,23,29,31,37,41,43}, 0)))), 0)</f>
        <v>2</v>
      </c>
      <c r="DA123" s="3" cm="1">
        <f t="array" ref="DA123">IFERROR(COUNT(_xlfn._xlws.FILTER(CH123:CL123, ISNUMBER(MATCH(CH123:CL123, {1,4,8,10,14,16,20,22,25,26,28,32,34,35,38,40,44}, 0)))), 0)</f>
        <v>2</v>
      </c>
      <c r="DB123" s="3" cm="1">
        <f t="array" ref="DB123">IFERROR(COUNT(_xlfn._xlws.FILTER(CH123:CL123, ISNUMBER(MATCH(CH123:CL123, {6,9,12,15,18,21,24,27,30,33,36,39,42,45}, 0)))), 0)</f>
        <v>1</v>
      </c>
      <c r="DC123" s="29"/>
      <c r="DD123" s="28" t="e">
        <f>#REF!</f>
        <v>#REF!</v>
      </c>
      <c r="DE123" s="28" t="e">
        <f>#REF!*2</f>
        <v>#REF!</v>
      </c>
      <c r="DF123" s="28" t="e">
        <f>#REF!</f>
        <v>#REF!</v>
      </c>
      <c r="DG123" s="28" t="e">
        <f>#REF!*2</f>
        <v>#REF!</v>
      </c>
      <c r="DH123" s="28" t="e">
        <f>#REF!</f>
        <v>#REF!</v>
      </c>
      <c r="DI123" s="28" t="e">
        <f>#REF!*2</f>
        <v>#REF!</v>
      </c>
      <c r="DJ123" s="28" t="e">
        <f>#REF!</f>
        <v>#REF!</v>
      </c>
      <c r="DK123" s="28" t="e">
        <f>#REF!*2</f>
        <v>#REF!</v>
      </c>
      <c r="DL123" s="28" t="e">
        <f>#REF!</f>
        <v>#REF!</v>
      </c>
      <c r="DM123" s="28" t="e">
        <f>#REF!*2</f>
        <v>#REF!</v>
      </c>
      <c r="DN123" s="27"/>
      <c r="DO123" s="26" t="str" cm="1">
        <f t="array" ref="DO123">_xlfn.IFS(
   OR(CH123="",ISBLANK(CH123),CH123=0),0,
   ISNUMBER(MATCH(CH123,{2,3,5,7,11,13,17,19,23,29,31,37,41,43},0)),"소",
   AND(ISNUMBER(CH123),MOD(CH123,3)=0),"배",
   AND(ISNUMBER(CH123),CH123&gt;0),"자"
)</f>
        <v>자</v>
      </c>
      <c r="DP123" s="26" t="str" cm="1">
        <f t="array" ref="DP123">_xlfn.IFS(
   OR(CI123="",ISBLANK(CI123),CI123=0),0,
   ISNUMBER(MATCH(CI123,{2,3,5,7,11,13,17,19,23,29,31,37,41,43},0)),"소",
   AND(ISNUMBER(CI123),MOD(CI123,3)=0),"배",
   AND(ISNUMBER(CI123),CI123&gt;0),"자"
)</f>
        <v>배</v>
      </c>
      <c r="DQ123" s="26" t="str" cm="1">
        <f t="array" ref="DQ123">_xlfn.IFS(
   OR(CJ123="",ISBLANK(CJ123),CJ123=0),0,
   ISNUMBER(MATCH(CJ123,{2,3,5,7,11,13,17,19,23,29,31,37,41,43},0)),"소",
   AND(ISNUMBER(CJ123),MOD(CJ123,3)=0),"배",
   AND(ISNUMBER(CJ123),CJ123&gt;0),"자"
)</f>
        <v>소</v>
      </c>
      <c r="DR123" s="26" t="str" cm="1">
        <f t="array" ref="DR123">_xlfn.IFS(
   OR(CK123="",ISBLANK(CK123),CK123=0),0,
   ISNUMBER(MATCH(CK123,{2,3,5,7,11,13,17,19,23,29,31,37,41,43},0)),"소",
   AND(ISNUMBER(CK123),MOD(CK123,3)=0),"배",
   AND(ISNUMBER(CK123),CK123&gt;0),"자"
)</f>
        <v>자</v>
      </c>
      <c r="DS123" s="26" t="str" cm="1">
        <f t="array" ref="DS123">_xlfn.IFS(
   OR(CL123="",ISBLANK(CL123),CL123=0),0,
   ISNUMBER(MATCH(CL123,{2,3,5,7,11,13,17,19,23,29,31,37,41,43},0)),"소",
   AND(ISNUMBER(CL123),MOD(CL123,3)=0),"배",
   AND(ISNUMBER(CL123),CL123&gt;0),"자"
)</f>
        <v>소</v>
      </c>
      <c r="DT123" s="25"/>
    </row>
    <row r="124" spans="2:124" ht="14.25" thickBot="1" x14ac:dyDescent="0.35">
      <c r="B124" s="3">
        <v>1</v>
      </c>
      <c r="C124" s="3">
        <v>4</v>
      </c>
      <c r="D124" s="3">
        <v>16</v>
      </c>
      <c r="E124" s="3">
        <v>23</v>
      </c>
      <c r="F124" s="3">
        <v>31</v>
      </c>
      <c r="G124" s="3">
        <v>41</v>
      </c>
      <c r="H124" s="32"/>
      <c r="I124" s="3">
        <f>IF(OR(B124="",ISBLANK(B124),B124=0),0,IF(MOD(B124,2)=1,1,2))</f>
        <v>1</v>
      </c>
      <c r="J124" s="3">
        <f>IF(OR(C124="",ISBLANK(C124),C124=0),0,IF(MOD(C124,2)=1,1,2))</f>
        <v>2</v>
      </c>
      <c r="K124" s="3">
        <f>IF(OR(D124="",ISBLANK(D124),D124=0),0,IF(MOD(D124,2)=1,1,2))</f>
        <v>2</v>
      </c>
      <c r="L124" s="3">
        <f>IF(OR(E124="",ISBLANK(E124),E124=0),0,IF(MOD(E124,2)=1,1,2))</f>
        <v>1</v>
      </c>
      <c r="M124" s="3">
        <f>IF(OR(F124="",ISBLANK(F124),F124=0),0,IF(MOD(F124,2)=1,1,2))</f>
        <v>1</v>
      </c>
      <c r="N124" s="3">
        <f>IF(OR(G124="",ISBLANK(G124),G124=0),0,IF(MOD(G124,2)=1,1,2))</f>
        <v>1</v>
      </c>
      <c r="O124" s="32"/>
      <c r="P124" s="3" cm="1">
        <f t="array" ref="P124">SUMPRODUCT(--(MOD(B124:G124,2)=1))</f>
        <v>4</v>
      </c>
      <c r="Q124" s="3">
        <f>6-P124</f>
        <v>2</v>
      </c>
      <c r="R124" s="34"/>
      <c r="S124" s="3">
        <f>COUNTIFS(B124:G124,"&gt;=1",B124:G124,"&lt;=23")</f>
        <v>4</v>
      </c>
      <c r="T124" s="3">
        <f>6-S124</f>
        <v>2</v>
      </c>
      <c r="U124" s="34"/>
      <c r="V124" s="3" cm="1">
        <f t="array" ref="V124">SUMPRODUCT(--(MOD(B124:G124,10)&gt;=1), --(MOD(B124:G124,10)&lt;=5))</f>
        <v>5</v>
      </c>
      <c r="W124" s="3">
        <f>6-V124</f>
        <v>1</v>
      </c>
      <c r="X124" s="34"/>
      <c r="Y124" s="3" cm="1">
        <f t="array" ref="Y124">IFERROR(COUNT(_xlfn._xlws.FILTER(B124:G124, ISNUMBER(MATCH(B124:G124, {2,3,5,7,11,13,17,19,23,29,31,37,41,43}, 0)))), 0)</f>
        <v>3</v>
      </c>
      <c r="Z124" s="3" cm="1">
        <f t="array" ref="Z124">IFERROR(COUNT(_xlfn._xlws.FILTER(B124:G124, ISNUMBER(MATCH(B124:G124, {1,4,8,10,14,16,20,22,25,26,28,32,34,35,38,40,44}, 0)))), 0)</f>
        <v>3</v>
      </c>
      <c r="AA124" s="3" cm="1">
        <f t="array" ref="AA124">IFERROR(COUNT(_xlfn._xlws.FILTER(B124:G124, ISNUMBER(MATCH(B124:G124, {6,9,12,15,18,21,24,27,30,33,36,39,42,45}, 0)))), 0)</f>
        <v>0</v>
      </c>
      <c r="AB124" s="30"/>
      <c r="AC124" s="43" t="str" cm="1">
        <f t="array" ref="AC124">_xlfn.IFS(
   OR(B124="",ISBLANK(B124),B124=0),0,
   ISNUMBER(MATCH(B124,{2,3,5,7,11,13,17,19,23,29,31,37,41,43},0)),"소",
   AND(ISNUMBER(B124),MOD(B124,3)=0),"배",
   AND(ISNUMBER(B124),B124&gt;0),"자"
)</f>
        <v>자</v>
      </c>
      <c r="AD124" s="26" t="str" cm="1">
        <f t="array" ref="AD124">_xlfn.IFS(
   OR(C124="",ISBLANK(C124),C124=0),0,
   ISNUMBER(MATCH(C124,{2,3,5,7,11,13,17,19,23,29,31,37,41,43},0)),"소",
   AND(ISNUMBER(C124),MOD(C124,3)=0),"배",
   AND(ISNUMBER(C124),C124&gt;0),"자"
)</f>
        <v>자</v>
      </c>
      <c r="AE124" s="26" t="str" cm="1">
        <f t="array" ref="AE124">_xlfn.IFS(
   OR(D124="",ISBLANK(D124),D124=0),0,
   ISNUMBER(MATCH(D124,{2,3,5,7,11,13,17,19,23,29,31,37,41,43},0)),"소",
   AND(ISNUMBER(D124),MOD(D124,3)=0),"배",
   AND(ISNUMBER(D124),D124&gt;0),"자"
)</f>
        <v>자</v>
      </c>
      <c r="AF124" s="26" t="str" cm="1">
        <f t="array" ref="AF124">_xlfn.IFS(
   OR(E124="",ISBLANK(E124),E124=0),0,
   ISNUMBER(MATCH(E124,{2,3,5,7,11,13,17,19,23,29,31,37,41,43},0)),"소",
   AND(ISNUMBER(E124),MOD(E124,3)=0),"배",
   AND(ISNUMBER(E124),E124&gt;0),"자"
)</f>
        <v>소</v>
      </c>
      <c r="AG124" s="26" t="str" cm="1">
        <f t="array" ref="AG124">_xlfn.IFS(
   OR(F124="",ISBLANK(F124),F124=0),0,
   ISNUMBER(MATCH(F124,{2,3,5,7,11,13,17,19,23,29,31,37,41,43},0)),"소",
   AND(ISNUMBER(F124),MOD(F124,3)=0),"배",
   AND(ISNUMBER(F124),F124&gt;0),"자"
)</f>
        <v>소</v>
      </c>
      <c r="AH124" s="26" t="str" cm="1">
        <f t="array" ref="AH124">_xlfn.IFS(
   OR(G124="",ISBLANK(G124),G124=0),0,
   ISNUMBER(MATCH(G124,{2,3,5,7,11,13,17,19,23,29,31,37,41,43},0)),"소",
   AND(ISNUMBER(G124),MOD(G124,3)=0),"배",
   AND(ISNUMBER(G124),G124&gt;0),"자"
)</f>
        <v>소</v>
      </c>
      <c r="AI124" s="30"/>
      <c r="AJ124" s="3">
        <f>COUNTIFS(B124:G124,"&gt;=1",B124:G124,"&lt;=14")</f>
        <v>2</v>
      </c>
      <c r="AK124" s="3">
        <f>COUNTIFS(B124:G124,"&gt;=15",B124:G124,"&lt;=31")</f>
        <v>3</v>
      </c>
      <c r="AL124" s="3">
        <f>6-AK124-AJ124</f>
        <v>1</v>
      </c>
      <c r="AM124" s="33"/>
      <c r="AN124" s="3">
        <f>COUNTIFS($B124:$G124, "&gt;=1",$B124:$G124, "&lt;=9")</f>
        <v>2</v>
      </c>
      <c r="AO124" s="3">
        <f>COUNTIFS($B124:$G124, "&gt;=10",$B124:$G124, "&lt;=18")</f>
        <v>1</v>
      </c>
      <c r="AP124" s="3">
        <f>COUNTIFS($B124:$G124, "&gt;=19",$B124:$G124, "&lt;=27")</f>
        <v>1</v>
      </c>
      <c r="AQ124" s="3">
        <f>COUNTIFS($B124:$G124, "&gt;=28",$B124:$G124, "&lt;=36")</f>
        <v>1</v>
      </c>
      <c r="AR124" s="3">
        <f>COUNTIFS($B124:$G124, "&gt;=37",$B124:$G124, "&lt;=45")</f>
        <v>1</v>
      </c>
      <c r="AS124" s="28" t="e">
        <f>#REF!</f>
        <v>#REF!</v>
      </c>
      <c r="AT124" s="28" t="e">
        <f>#REF!*2</f>
        <v>#REF!</v>
      </c>
      <c r="AU124" s="28" t="e">
        <f>#REF!</f>
        <v>#REF!</v>
      </c>
      <c r="AV124" s="28" t="e">
        <f>#REF!*2</f>
        <v>#REF!</v>
      </c>
      <c r="AW124" s="28" t="e">
        <f>#REF!</f>
        <v>#REF!</v>
      </c>
      <c r="AX124" s="28" t="e">
        <f>#REF!*2</f>
        <v>#REF!</v>
      </c>
      <c r="AY124" s="28" t="e">
        <f>#REF!</f>
        <v>#REF!</v>
      </c>
      <c r="AZ124" s="28" t="e">
        <f>#REF!*2</f>
        <v>#REF!</v>
      </c>
      <c r="BA124" s="28" t="e">
        <f>#REF!</f>
        <v>#REF!</v>
      </c>
      <c r="BB124" s="28" t="e">
        <f>#REF!*2</f>
        <v>#REF!</v>
      </c>
      <c r="BC124" s="28" t="e">
        <f>#REF!</f>
        <v>#REF!</v>
      </c>
      <c r="BD124" s="28" t="e">
        <f>#REF!*2</f>
        <v>#REF!</v>
      </c>
      <c r="BE124" s="9" t="e">
        <f>#REF!-#REF!</f>
        <v>#REF!</v>
      </c>
      <c r="BF124" s="9" t="e">
        <f>#REF!-#REF!</f>
        <v>#REF!</v>
      </c>
      <c r="BG124" s="9" t="e">
        <f>#REF!-#REF!</f>
        <v>#REF!</v>
      </c>
      <c r="BH124" s="9" t="e">
        <f>#REF!-#REF!</f>
        <v>#REF!</v>
      </c>
      <c r="BI124" s="9" t="e">
        <f>#REF!-#REF!</f>
        <v>#REF!</v>
      </c>
      <c r="BJ124" s="33"/>
      <c r="BK124" s="3">
        <f>COUNTIFS(B124:G124, "&gt;=1", B124:G124, "&lt;=9")</f>
        <v>2</v>
      </c>
      <c r="BL124" s="3">
        <f>COUNTIFS(B124:G124, "&gt;=10", B124:G124, "&lt;=19")</f>
        <v>1</v>
      </c>
      <c r="BM124" s="3">
        <f>COUNTIFS(B124:G124, "&gt;=20", B124:G124, "&lt;=29")</f>
        <v>1</v>
      </c>
      <c r="BN124" s="3">
        <f>COUNTIFS(B124:G124, "&gt;=30", B124:G124, "&lt;=39")</f>
        <v>1</v>
      </c>
      <c r="BO124" s="3">
        <f>COUNTIFS(B124:G124, "&gt;=40", B124:G124, "&lt;=45")</f>
        <v>1</v>
      </c>
      <c r="BP124" s="28" t="e">
        <f>#REF!</f>
        <v>#REF!</v>
      </c>
      <c r="BQ124" s="28" t="e">
        <f>#REF!*2</f>
        <v>#REF!</v>
      </c>
      <c r="BR124" s="28" t="e">
        <f>#REF!</f>
        <v>#REF!</v>
      </c>
      <c r="BS124" s="28" t="e">
        <f>#REF!*2</f>
        <v>#REF!</v>
      </c>
      <c r="BT124" s="28" t="e">
        <f>#REF!</f>
        <v>#REF!</v>
      </c>
      <c r="BU124" s="28" t="e">
        <f>#REF!*2</f>
        <v>#REF!</v>
      </c>
      <c r="BV124" s="28" t="e">
        <f>#REF!</f>
        <v>#REF!</v>
      </c>
      <c r="BW124" s="28" t="e">
        <f>#REF!*2</f>
        <v>#REF!</v>
      </c>
      <c r="BX124" s="28" t="e">
        <f>#REF!</f>
        <v>#REF!</v>
      </c>
      <c r="BY124" s="28" t="e">
        <f>#REF!*2</f>
        <v>#REF!</v>
      </c>
      <c r="BZ124" s="28" t="e">
        <f>#REF!</f>
        <v>#REF!</v>
      </c>
      <c r="CA124" s="28" t="e">
        <f>#REF!*2</f>
        <v>#REF!</v>
      </c>
      <c r="CB124" s="9">
        <f>C124-B124</f>
        <v>3</v>
      </c>
      <c r="CC124" s="9">
        <f>D124-C124</f>
        <v>12</v>
      </c>
      <c r="CD124" s="9">
        <f>E124-D124</f>
        <v>7</v>
      </c>
      <c r="CE124" s="9">
        <f>F124-E124</f>
        <v>8</v>
      </c>
      <c r="CF124" s="9">
        <f>G124-F124</f>
        <v>10</v>
      </c>
      <c r="CG124" s="33"/>
      <c r="CH124" s="9">
        <f>C124-B124</f>
        <v>3</v>
      </c>
      <c r="CI124" s="44">
        <f>D124-C124</f>
        <v>12</v>
      </c>
      <c r="CJ124" s="9">
        <f>E124-D124</f>
        <v>7</v>
      </c>
      <c r="CK124" s="9">
        <f>F124-E124</f>
        <v>8</v>
      </c>
      <c r="CL124" s="9">
        <f>G124-F124</f>
        <v>10</v>
      </c>
      <c r="CM124" s="32"/>
      <c r="CN124" s="3">
        <f>IF(OR(CH124="",ISBLANK(CH124),CH124=0),0,IF(MOD(CH124,2)=1,1,2))</f>
        <v>1</v>
      </c>
      <c r="CO124" s="3">
        <f>IF(OR(CI124="",ISBLANK(CI124),CI124=0),0,IF(MOD(CI124,2)=1,1,2))</f>
        <v>2</v>
      </c>
      <c r="CP124" s="3">
        <f>IF(OR(CJ124="",ISBLANK(CJ124),CJ124=0),0,IF(MOD(CJ124,2)=1,1,2))</f>
        <v>1</v>
      </c>
      <c r="CQ124" s="3">
        <f>IF(OR(CK124="",ISBLANK(CK124),CK124=0),0,IF(MOD(CK124,2)=1,1,2))</f>
        <v>2</v>
      </c>
      <c r="CR124" s="3">
        <f>IF(OR(CL124="",ISBLANK(CL124),CL124=0),0,IF(MOD(CL124,2)=1,1,2))</f>
        <v>2</v>
      </c>
      <c r="CS124" s="31"/>
      <c r="CT124" s="3" cm="1">
        <f t="array" ref="CT124">SUMPRODUCT(--(MOD(CH124:CL124,2)=1))</f>
        <v>2</v>
      </c>
      <c r="CU124" s="3">
        <f>5-CT124</f>
        <v>3</v>
      </c>
      <c r="CV124" s="30"/>
      <c r="CW124" s="3" cm="1">
        <f t="array" ref="CW124">SUMPRODUCT(--(MOD(CH124:CL124,10)&gt;=1), --(MOD(CH124:CL124,10)&lt;=5))</f>
        <v>2</v>
      </c>
      <c r="CX124" s="3">
        <f>5-CW124</f>
        <v>3</v>
      </c>
      <c r="CY124" s="30"/>
      <c r="CZ124" s="3" cm="1">
        <f t="array" ref="CZ124">IFERROR(COUNT(_xlfn._xlws.FILTER(CH124:CL124, ISNUMBER(MATCH(CH124:CL124, {2,3,5,7,11,13,17,19,23,29,31,37,41,43}, 0)))), 0)</f>
        <v>2</v>
      </c>
      <c r="DA124" s="3" cm="1">
        <f t="array" ref="DA124">IFERROR(COUNT(_xlfn._xlws.FILTER(CH124:CL124, ISNUMBER(MATCH(CH124:CL124, {1,4,8,10,14,16,20,22,25,26,28,32,34,35,38,40,44}, 0)))), 0)</f>
        <v>2</v>
      </c>
      <c r="DB124" s="3" cm="1">
        <f t="array" ref="DB124">IFERROR(COUNT(_xlfn._xlws.FILTER(CH124:CL124, ISNUMBER(MATCH(CH124:CL124, {6,9,12,15,18,21,24,27,30,33,36,39,42,45}, 0)))), 0)</f>
        <v>1</v>
      </c>
      <c r="DC124" s="29"/>
      <c r="DD124" s="28" t="e">
        <f>#REF!</f>
        <v>#REF!</v>
      </c>
      <c r="DE124" s="28" t="e">
        <f>#REF!*2</f>
        <v>#REF!</v>
      </c>
      <c r="DF124" s="28" t="e">
        <f>#REF!</f>
        <v>#REF!</v>
      </c>
      <c r="DG124" s="28" t="e">
        <f>#REF!*2</f>
        <v>#REF!</v>
      </c>
      <c r="DH124" s="28" t="e">
        <f>#REF!</f>
        <v>#REF!</v>
      </c>
      <c r="DI124" s="28" t="e">
        <f>#REF!*2</f>
        <v>#REF!</v>
      </c>
      <c r="DJ124" s="28" t="e">
        <f>#REF!</f>
        <v>#REF!</v>
      </c>
      <c r="DK124" s="28" t="e">
        <f>#REF!*2</f>
        <v>#REF!</v>
      </c>
      <c r="DL124" s="28" t="e">
        <f>#REF!</f>
        <v>#REF!</v>
      </c>
      <c r="DM124" s="28" t="e">
        <f>#REF!*2</f>
        <v>#REF!</v>
      </c>
      <c r="DN124" s="27"/>
      <c r="DO124" s="26" t="str" cm="1">
        <f t="array" ref="DO124">_xlfn.IFS(
   OR(CH124="",ISBLANK(CH124),CH124=0),0,
   ISNUMBER(MATCH(CH124,{2,3,5,7,11,13,17,19,23,29,31,37,41,43},0)),"소",
   AND(ISNUMBER(CH124),MOD(CH124,3)=0),"배",
   AND(ISNUMBER(CH124),CH124&gt;0),"자"
)</f>
        <v>소</v>
      </c>
      <c r="DP124" s="26" t="str" cm="1">
        <f t="array" ref="DP124">_xlfn.IFS(
   OR(CI124="",ISBLANK(CI124),CI124=0),0,
   ISNUMBER(MATCH(CI124,{2,3,5,7,11,13,17,19,23,29,31,37,41,43},0)),"소",
   AND(ISNUMBER(CI124),MOD(CI124,3)=0),"배",
   AND(ISNUMBER(CI124),CI124&gt;0),"자"
)</f>
        <v>배</v>
      </c>
      <c r="DQ124" s="26" t="str" cm="1">
        <f t="array" ref="DQ124">_xlfn.IFS(
   OR(CJ124="",ISBLANK(CJ124),CJ124=0),0,
   ISNUMBER(MATCH(CJ124,{2,3,5,7,11,13,17,19,23,29,31,37,41,43},0)),"소",
   AND(ISNUMBER(CJ124),MOD(CJ124,3)=0),"배",
   AND(ISNUMBER(CJ124),CJ124&gt;0),"자"
)</f>
        <v>소</v>
      </c>
      <c r="DR124" s="26" t="str" cm="1">
        <f t="array" ref="DR124">_xlfn.IFS(
   OR(CK124="",ISBLANK(CK124),CK124=0),0,
   ISNUMBER(MATCH(CK124,{2,3,5,7,11,13,17,19,23,29,31,37,41,43},0)),"소",
   AND(ISNUMBER(CK124),MOD(CK124,3)=0),"배",
   AND(ISNUMBER(CK124),CK124&gt;0),"자"
)</f>
        <v>자</v>
      </c>
      <c r="DS124" s="26" t="str" cm="1">
        <f t="array" ref="DS124">_xlfn.IFS(
   OR(CL124="",ISBLANK(CL124),CL124=0),0,
   ISNUMBER(MATCH(CL124,{2,3,5,7,11,13,17,19,23,29,31,37,41,43},0)),"소",
   AND(ISNUMBER(CL124),MOD(CL124,3)=0),"배",
   AND(ISNUMBER(CL124),CL124&gt;0),"자"
)</f>
        <v>자</v>
      </c>
      <c r="DT124" s="25"/>
    </row>
    <row r="125" spans="2:124" ht="14.25" thickBot="1" x14ac:dyDescent="0.35">
      <c r="B125" s="3">
        <v>1</v>
      </c>
      <c r="C125" s="3">
        <v>3</v>
      </c>
      <c r="D125" s="3">
        <v>17</v>
      </c>
      <c r="E125" s="3">
        <v>26</v>
      </c>
      <c r="F125" s="3">
        <v>27</v>
      </c>
      <c r="G125" s="3">
        <v>42</v>
      </c>
      <c r="H125" s="32"/>
      <c r="I125" s="3">
        <f>IF(OR(B125="",ISBLANK(B125),B125=0),0,IF(MOD(B125,2)=1,1,2))</f>
        <v>1</v>
      </c>
      <c r="J125" s="3">
        <f>IF(OR(C125="",ISBLANK(C125),C125=0),0,IF(MOD(C125,2)=1,1,2))</f>
        <v>1</v>
      </c>
      <c r="K125" s="3">
        <f>IF(OR(D125="",ISBLANK(D125),D125=0),0,IF(MOD(D125,2)=1,1,2))</f>
        <v>1</v>
      </c>
      <c r="L125" s="3">
        <f>IF(OR(E125="",ISBLANK(E125),E125=0),0,IF(MOD(E125,2)=1,1,2))</f>
        <v>2</v>
      </c>
      <c r="M125" s="3">
        <f>IF(OR(F125="",ISBLANK(F125),F125=0),0,IF(MOD(F125,2)=1,1,2))</f>
        <v>1</v>
      </c>
      <c r="N125" s="3">
        <f>IF(OR(G125="",ISBLANK(G125),G125=0),0,IF(MOD(G125,2)=1,1,2))</f>
        <v>2</v>
      </c>
      <c r="O125" s="32"/>
      <c r="P125" s="3" cm="1">
        <f t="array" ref="P125">SUMPRODUCT(--(MOD(B125:G125,2)=1))</f>
        <v>4</v>
      </c>
      <c r="Q125" s="3">
        <f>6-P125</f>
        <v>2</v>
      </c>
      <c r="R125" s="34"/>
      <c r="S125" s="3">
        <f>COUNTIFS(B125:G125,"&gt;=1",B125:G125,"&lt;=23")</f>
        <v>3</v>
      </c>
      <c r="T125" s="3">
        <f>6-S125</f>
        <v>3</v>
      </c>
      <c r="U125" s="34"/>
      <c r="V125" s="3" cm="1">
        <f t="array" ref="V125">SUMPRODUCT(--(MOD(B125:G125,10)&gt;=1), --(MOD(B125:G125,10)&lt;=5))</f>
        <v>3</v>
      </c>
      <c r="W125" s="3">
        <f>6-V125</f>
        <v>3</v>
      </c>
      <c r="X125" s="34"/>
      <c r="Y125" s="3" cm="1">
        <f t="array" ref="Y125">IFERROR(COUNT(_xlfn._xlws.FILTER(B125:G125, ISNUMBER(MATCH(B125:G125, {2,3,5,7,11,13,17,19,23,29,31,37,41,43}, 0)))), 0)</f>
        <v>2</v>
      </c>
      <c r="Z125" s="3" cm="1">
        <f t="array" ref="Z125">IFERROR(COUNT(_xlfn._xlws.FILTER(B125:G125, ISNUMBER(MATCH(B125:G125, {1,4,8,10,14,16,20,22,25,26,28,32,34,35,38,40,44}, 0)))), 0)</f>
        <v>2</v>
      </c>
      <c r="AA125" s="3" cm="1">
        <f t="array" ref="AA125">IFERROR(COUNT(_xlfn._xlws.FILTER(B125:G125, ISNUMBER(MATCH(B125:G125, {6,9,12,15,18,21,24,27,30,33,36,39,42,45}, 0)))), 0)</f>
        <v>2</v>
      </c>
      <c r="AB125" s="30"/>
      <c r="AC125" s="43" t="str" cm="1">
        <f t="array" ref="AC125">_xlfn.IFS(
   OR(B125="",ISBLANK(B125),B125=0),0,
   ISNUMBER(MATCH(B125,{2,3,5,7,11,13,17,19,23,29,31,37,41,43},0)),"소",
   AND(ISNUMBER(B125),MOD(B125,3)=0),"배",
   AND(ISNUMBER(B125),B125&gt;0),"자"
)</f>
        <v>자</v>
      </c>
      <c r="AD125" s="26" t="str" cm="1">
        <f t="array" ref="AD125">_xlfn.IFS(
   OR(C125="",ISBLANK(C125),C125=0),0,
   ISNUMBER(MATCH(C125,{2,3,5,7,11,13,17,19,23,29,31,37,41,43},0)),"소",
   AND(ISNUMBER(C125),MOD(C125,3)=0),"배",
   AND(ISNUMBER(C125),C125&gt;0),"자"
)</f>
        <v>소</v>
      </c>
      <c r="AE125" s="26" t="str" cm="1">
        <f t="array" ref="AE125">_xlfn.IFS(
   OR(D125="",ISBLANK(D125),D125=0),0,
   ISNUMBER(MATCH(D125,{2,3,5,7,11,13,17,19,23,29,31,37,41,43},0)),"소",
   AND(ISNUMBER(D125),MOD(D125,3)=0),"배",
   AND(ISNUMBER(D125),D125&gt;0),"자"
)</f>
        <v>소</v>
      </c>
      <c r="AF125" s="26" t="str" cm="1">
        <f t="array" ref="AF125">_xlfn.IFS(
   OR(E125="",ISBLANK(E125),E125=0),0,
   ISNUMBER(MATCH(E125,{2,3,5,7,11,13,17,19,23,29,31,37,41,43},0)),"소",
   AND(ISNUMBER(E125),MOD(E125,3)=0),"배",
   AND(ISNUMBER(E125),E125&gt;0),"자"
)</f>
        <v>자</v>
      </c>
      <c r="AG125" s="26" t="str" cm="1">
        <f t="array" ref="AG125">_xlfn.IFS(
   OR(F125="",ISBLANK(F125),F125=0),0,
   ISNUMBER(MATCH(F125,{2,3,5,7,11,13,17,19,23,29,31,37,41,43},0)),"소",
   AND(ISNUMBER(F125),MOD(F125,3)=0),"배",
   AND(ISNUMBER(F125),F125&gt;0),"자"
)</f>
        <v>배</v>
      </c>
      <c r="AH125" s="26" t="str" cm="1">
        <f t="array" ref="AH125">_xlfn.IFS(
   OR(G125="",ISBLANK(G125),G125=0),0,
   ISNUMBER(MATCH(G125,{2,3,5,7,11,13,17,19,23,29,31,37,41,43},0)),"소",
   AND(ISNUMBER(G125),MOD(G125,3)=0),"배",
   AND(ISNUMBER(G125),G125&gt;0),"자"
)</f>
        <v>배</v>
      </c>
      <c r="AI125" s="30"/>
      <c r="AJ125" s="3">
        <f>COUNTIFS(B125:G125,"&gt;=1",B125:G125,"&lt;=14")</f>
        <v>2</v>
      </c>
      <c r="AK125" s="3">
        <f>COUNTIFS(B125:G125,"&gt;=15",B125:G125,"&lt;=31")</f>
        <v>3</v>
      </c>
      <c r="AL125" s="3">
        <f>6-AK125-AJ125</f>
        <v>1</v>
      </c>
      <c r="AM125" s="33"/>
      <c r="AN125" s="3">
        <f>COUNTIFS($B125:$G125, "&gt;=1",$B125:$G125, "&lt;=9")</f>
        <v>2</v>
      </c>
      <c r="AO125" s="3">
        <f>COUNTIFS($B125:$G125, "&gt;=10",$B125:$G125, "&lt;=18")</f>
        <v>1</v>
      </c>
      <c r="AP125" s="3">
        <f>COUNTIFS($B125:$G125, "&gt;=19",$B125:$G125, "&lt;=27")</f>
        <v>2</v>
      </c>
      <c r="AQ125" s="3">
        <f>COUNTIFS($B125:$G125, "&gt;=28",$B125:$G125, "&lt;=36")</f>
        <v>0</v>
      </c>
      <c r="AR125" s="3">
        <f>COUNTIFS($B125:$G125, "&gt;=37",$B125:$G125, "&lt;=45")</f>
        <v>1</v>
      </c>
      <c r="AS125" s="28" t="e">
        <f>#REF!</f>
        <v>#REF!</v>
      </c>
      <c r="AT125" s="28" t="e">
        <f>#REF!*2</f>
        <v>#REF!</v>
      </c>
      <c r="AU125" s="28" t="e">
        <f>#REF!</f>
        <v>#REF!</v>
      </c>
      <c r="AV125" s="28" t="e">
        <f>#REF!*2</f>
        <v>#REF!</v>
      </c>
      <c r="AW125" s="28" t="e">
        <f>#REF!</f>
        <v>#REF!</v>
      </c>
      <c r="AX125" s="28" t="e">
        <f>#REF!*2</f>
        <v>#REF!</v>
      </c>
      <c r="AY125" s="28" t="e">
        <f>#REF!</f>
        <v>#REF!</v>
      </c>
      <c r="AZ125" s="28" t="e">
        <f>#REF!*2</f>
        <v>#REF!</v>
      </c>
      <c r="BA125" s="28" t="e">
        <f>#REF!</f>
        <v>#REF!</v>
      </c>
      <c r="BB125" s="28" t="e">
        <f>#REF!*2</f>
        <v>#REF!</v>
      </c>
      <c r="BC125" s="28" t="e">
        <f>#REF!</f>
        <v>#REF!</v>
      </c>
      <c r="BD125" s="28" t="e">
        <f>#REF!*2</f>
        <v>#REF!</v>
      </c>
      <c r="BE125" s="9" t="e">
        <f>#REF!-#REF!</f>
        <v>#REF!</v>
      </c>
      <c r="BF125" s="9" t="e">
        <f>#REF!-#REF!</f>
        <v>#REF!</v>
      </c>
      <c r="BG125" s="9" t="e">
        <f>#REF!-#REF!</f>
        <v>#REF!</v>
      </c>
      <c r="BH125" s="9" t="e">
        <f>#REF!-#REF!</f>
        <v>#REF!</v>
      </c>
      <c r="BI125" s="9" t="e">
        <f>#REF!-#REF!</f>
        <v>#REF!</v>
      </c>
      <c r="BJ125" s="33"/>
      <c r="BK125" s="3">
        <f>COUNTIFS(B125:G125, "&gt;=1", B125:G125, "&lt;=9")</f>
        <v>2</v>
      </c>
      <c r="BL125" s="3">
        <f>COUNTIFS(B125:G125, "&gt;=10", B125:G125, "&lt;=19")</f>
        <v>1</v>
      </c>
      <c r="BM125" s="3">
        <f>COUNTIFS(B125:G125, "&gt;=20", B125:G125, "&lt;=29")</f>
        <v>2</v>
      </c>
      <c r="BN125" s="3">
        <f>COUNTIFS(B125:G125, "&gt;=30", B125:G125, "&lt;=39")</f>
        <v>0</v>
      </c>
      <c r="BO125" s="3">
        <f>COUNTIFS(B125:G125, "&gt;=40", B125:G125, "&lt;=45")</f>
        <v>1</v>
      </c>
      <c r="BP125" s="28" t="e">
        <f>#REF!</f>
        <v>#REF!</v>
      </c>
      <c r="BQ125" s="28" t="e">
        <f>#REF!*2</f>
        <v>#REF!</v>
      </c>
      <c r="BR125" s="28" t="e">
        <f>#REF!</f>
        <v>#REF!</v>
      </c>
      <c r="BS125" s="28" t="e">
        <f>#REF!*2</f>
        <v>#REF!</v>
      </c>
      <c r="BT125" s="28" t="e">
        <f>#REF!</f>
        <v>#REF!</v>
      </c>
      <c r="BU125" s="28" t="e">
        <f>#REF!*2</f>
        <v>#REF!</v>
      </c>
      <c r="BV125" s="28" t="e">
        <f>#REF!</f>
        <v>#REF!</v>
      </c>
      <c r="BW125" s="28" t="e">
        <f>#REF!*2</f>
        <v>#REF!</v>
      </c>
      <c r="BX125" s="28" t="e">
        <f>#REF!</f>
        <v>#REF!</v>
      </c>
      <c r="BY125" s="28" t="e">
        <f>#REF!*2</f>
        <v>#REF!</v>
      </c>
      <c r="BZ125" s="28" t="e">
        <f>#REF!</f>
        <v>#REF!</v>
      </c>
      <c r="CA125" s="28" t="e">
        <f>#REF!*2</f>
        <v>#REF!</v>
      </c>
      <c r="CB125" s="9">
        <f>C125-B125</f>
        <v>2</v>
      </c>
      <c r="CC125" s="9">
        <f>D125-C125</f>
        <v>14</v>
      </c>
      <c r="CD125" s="9">
        <f>E125-D125</f>
        <v>9</v>
      </c>
      <c r="CE125" s="9">
        <f>F125-E125</f>
        <v>1</v>
      </c>
      <c r="CF125" s="9">
        <f>G125-F125</f>
        <v>15</v>
      </c>
      <c r="CG125" s="33"/>
      <c r="CH125" s="9">
        <f>C125-B125</f>
        <v>2</v>
      </c>
      <c r="CI125" s="9">
        <f>D125-C125</f>
        <v>14</v>
      </c>
      <c r="CJ125" s="9">
        <f>E125-D125</f>
        <v>9</v>
      </c>
      <c r="CK125" s="9">
        <f>F125-E125</f>
        <v>1</v>
      </c>
      <c r="CL125" s="9">
        <f>G125-F125</f>
        <v>15</v>
      </c>
      <c r="CM125" s="32"/>
      <c r="CN125" s="3">
        <f>IF(OR(CH125="",ISBLANK(CH125),CH125=0),0,IF(MOD(CH125,2)=1,1,2))</f>
        <v>2</v>
      </c>
      <c r="CO125" s="3">
        <f>IF(OR(CI125="",ISBLANK(CI125),CI125=0),0,IF(MOD(CI125,2)=1,1,2))</f>
        <v>2</v>
      </c>
      <c r="CP125" s="3">
        <f>IF(OR(CJ125="",ISBLANK(CJ125),CJ125=0),0,IF(MOD(CJ125,2)=1,1,2))</f>
        <v>1</v>
      </c>
      <c r="CQ125" s="3">
        <f>IF(OR(CK125="",ISBLANK(CK125),CK125=0),0,IF(MOD(CK125,2)=1,1,2))</f>
        <v>1</v>
      </c>
      <c r="CR125" s="3">
        <f>IF(OR(CL125="",ISBLANK(CL125),CL125=0),0,IF(MOD(CL125,2)=1,1,2))</f>
        <v>1</v>
      </c>
      <c r="CS125" s="31"/>
      <c r="CT125" s="3" cm="1">
        <f t="array" ref="CT125">SUMPRODUCT(--(MOD(CH125:CL125,2)=1))</f>
        <v>3</v>
      </c>
      <c r="CU125" s="3">
        <f>5-CT125</f>
        <v>2</v>
      </c>
      <c r="CV125" s="30"/>
      <c r="CW125" s="3" cm="1">
        <f t="array" ref="CW125">SUMPRODUCT(--(MOD(CH125:CL125,10)&gt;=1), --(MOD(CH125:CL125,10)&lt;=5))</f>
        <v>4</v>
      </c>
      <c r="CX125" s="3">
        <f>5-CW125</f>
        <v>1</v>
      </c>
      <c r="CY125" s="30"/>
      <c r="CZ125" s="3" cm="1">
        <f t="array" ref="CZ125">IFERROR(COUNT(_xlfn._xlws.FILTER(CH125:CL125, ISNUMBER(MATCH(CH125:CL125, {2,3,5,7,11,13,17,19,23,29,31,37,41,43}, 0)))), 0)</f>
        <v>1</v>
      </c>
      <c r="DA125" s="3" cm="1">
        <f t="array" ref="DA125">IFERROR(COUNT(_xlfn._xlws.FILTER(CH125:CL125, ISNUMBER(MATCH(CH125:CL125, {1,4,8,10,14,16,20,22,25,26,28,32,34,35,38,40,44}, 0)))), 0)</f>
        <v>2</v>
      </c>
      <c r="DB125" s="3" cm="1">
        <f t="array" ref="DB125">IFERROR(COUNT(_xlfn._xlws.FILTER(CH125:CL125, ISNUMBER(MATCH(CH125:CL125, {6,9,12,15,18,21,24,27,30,33,36,39,42,45}, 0)))), 0)</f>
        <v>2</v>
      </c>
      <c r="DC125" s="29"/>
      <c r="DD125" s="28" t="e">
        <f>#REF!</f>
        <v>#REF!</v>
      </c>
      <c r="DE125" s="28" t="e">
        <f>#REF!*2</f>
        <v>#REF!</v>
      </c>
      <c r="DF125" s="28" t="e">
        <f>#REF!</f>
        <v>#REF!</v>
      </c>
      <c r="DG125" s="28" t="e">
        <f>#REF!*2</f>
        <v>#REF!</v>
      </c>
      <c r="DH125" s="28" t="e">
        <f>#REF!</f>
        <v>#REF!</v>
      </c>
      <c r="DI125" s="28" t="e">
        <f>#REF!*2</f>
        <v>#REF!</v>
      </c>
      <c r="DJ125" s="28" t="e">
        <f>#REF!</f>
        <v>#REF!</v>
      </c>
      <c r="DK125" s="28" t="e">
        <f>#REF!*2</f>
        <v>#REF!</v>
      </c>
      <c r="DL125" s="28" t="e">
        <f>#REF!</f>
        <v>#REF!</v>
      </c>
      <c r="DM125" s="28" t="e">
        <f>#REF!*2</f>
        <v>#REF!</v>
      </c>
      <c r="DN125" s="27"/>
      <c r="DO125" s="26" t="str" cm="1">
        <f t="array" ref="DO125">_xlfn.IFS(
   OR(CH125="",ISBLANK(CH125),CH125=0),0,
   ISNUMBER(MATCH(CH125,{2,3,5,7,11,13,17,19,23,29,31,37,41,43},0)),"소",
   AND(ISNUMBER(CH125),MOD(CH125,3)=0),"배",
   AND(ISNUMBER(CH125),CH125&gt;0),"자"
)</f>
        <v>소</v>
      </c>
      <c r="DP125" s="26" t="str" cm="1">
        <f t="array" ref="DP125">_xlfn.IFS(
   OR(CI125="",ISBLANK(CI125),CI125=0),0,
   ISNUMBER(MATCH(CI125,{2,3,5,7,11,13,17,19,23,29,31,37,41,43},0)),"소",
   AND(ISNUMBER(CI125),MOD(CI125,3)=0),"배",
   AND(ISNUMBER(CI125),CI125&gt;0),"자"
)</f>
        <v>자</v>
      </c>
      <c r="DQ125" s="26" t="str" cm="1">
        <f t="array" ref="DQ125">_xlfn.IFS(
   OR(CJ125="",ISBLANK(CJ125),CJ125=0),0,
   ISNUMBER(MATCH(CJ125,{2,3,5,7,11,13,17,19,23,29,31,37,41,43},0)),"소",
   AND(ISNUMBER(CJ125),MOD(CJ125,3)=0),"배",
   AND(ISNUMBER(CJ125),CJ125&gt;0),"자"
)</f>
        <v>배</v>
      </c>
      <c r="DR125" s="26" t="str" cm="1">
        <f t="array" ref="DR125">_xlfn.IFS(
   OR(CK125="",ISBLANK(CK125),CK125=0),0,
   ISNUMBER(MATCH(CK125,{2,3,5,7,11,13,17,19,23,29,31,37,41,43},0)),"소",
   AND(ISNUMBER(CK125),MOD(CK125,3)=0),"배",
   AND(ISNUMBER(CK125),CK125&gt;0),"자"
)</f>
        <v>자</v>
      </c>
      <c r="DS125" s="26" t="str" cm="1">
        <f t="array" ref="DS125">_xlfn.IFS(
   OR(CL125="",ISBLANK(CL125),CL125=0),0,
   ISNUMBER(MATCH(CL125,{2,3,5,7,11,13,17,19,23,29,31,37,41,43},0)),"소",
   AND(ISNUMBER(CL125),MOD(CL125,3)=0),"배",
   AND(ISNUMBER(CL125),CL125&gt;0),"자"
)</f>
        <v>배</v>
      </c>
      <c r="DT125" s="25"/>
    </row>
    <row r="126" spans="2:124" ht="14.25" thickBot="1" x14ac:dyDescent="0.35">
      <c r="B126" s="3">
        <v>10</v>
      </c>
      <c r="C126" s="3">
        <v>22</v>
      </c>
      <c r="D126" s="3">
        <v>24</v>
      </c>
      <c r="E126" s="3">
        <v>27</v>
      </c>
      <c r="F126" s="3">
        <v>38</v>
      </c>
      <c r="G126" s="3">
        <v>45</v>
      </c>
      <c r="H126" s="32"/>
      <c r="I126" s="3">
        <f>IF(OR(B126="",ISBLANK(B126),B126=0),0,IF(MOD(B126,2)=1,1,2))</f>
        <v>2</v>
      </c>
      <c r="J126" s="3">
        <f>IF(OR(C126="",ISBLANK(C126),C126=0),0,IF(MOD(C126,2)=1,1,2))</f>
        <v>2</v>
      </c>
      <c r="K126" s="3">
        <f>IF(OR(D126="",ISBLANK(D126),D126=0),0,IF(MOD(D126,2)=1,1,2))</f>
        <v>2</v>
      </c>
      <c r="L126" s="3">
        <f>IF(OR(E126="",ISBLANK(E126),E126=0),0,IF(MOD(E126,2)=1,1,2))</f>
        <v>1</v>
      </c>
      <c r="M126" s="3">
        <f>IF(OR(F126="",ISBLANK(F126),F126=0),0,IF(MOD(F126,2)=1,1,2))</f>
        <v>2</v>
      </c>
      <c r="N126" s="3">
        <f>IF(OR(G126="",ISBLANK(G126),G126=0),0,IF(MOD(G126,2)=1,1,2))</f>
        <v>1</v>
      </c>
      <c r="O126" s="32"/>
      <c r="P126" s="3" cm="1">
        <f t="array" ref="P126">SUMPRODUCT(--(MOD(B126:G126,2)=1))</f>
        <v>2</v>
      </c>
      <c r="Q126" s="3">
        <f>6-P126</f>
        <v>4</v>
      </c>
      <c r="R126" s="34"/>
      <c r="S126" s="3">
        <f>COUNTIFS(B126:G126,"&gt;=1",B126:G126,"&lt;=23")</f>
        <v>2</v>
      </c>
      <c r="T126" s="3">
        <f>6-S126</f>
        <v>4</v>
      </c>
      <c r="U126" s="34"/>
      <c r="V126" s="3" cm="1">
        <f t="array" ref="V126">SUMPRODUCT(--(MOD(B126:G126,10)&gt;=1), --(MOD(B126:G126,10)&lt;=5))</f>
        <v>3</v>
      </c>
      <c r="W126" s="3">
        <f>6-V126</f>
        <v>3</v>
      </c>
      <c r="X126" s="34"/>
      <c r="Y126" s="3" cm="1">
        <f t="array" ref="Y126">IFERROR(COUNT(_xlfn._xlws.FILTER(B126:G126, ISNUMBER(MATCH(B126:G126, {2,3,5,7,11,13,17,19,23,29,31,37,41,43}, 0)))), 0)</f>
        <v>0</v>
      </c>
      <c r="Z126" s="3" cm="1">
        <f t="array" ref="Z126">IFERROR(COUNT(_xlfn._xlws.FILTER(B126:G126, ISNUMBER(MATCH(B126:G126, {1,4,8,10,14,16,20,22,25,26,28,32,34,35,38,40,44}, 0)))), 0)</f>
        <v>3</v>
      </c>
      <c r="AA126" s="3" cm="1">
        <f t="array" ref="AA126">IFERROR(COUNT(_xlfn._xlws.FILTER(B126:G126, ISNUMBER(MATCH(B126:G126, {6,9,12,15,18,21,24,27,30,33,36,39,42,45}, 0)))), 0)</f>
        <v>3</v>
      </c>
      <c r="AB126" s="30"/>
      <c r="AC126" s="42" t="str" cm="1">
        <f t="array" ref="AC126">_xlfn.IFS(
   OR(B126="",ISBLANK(B126),B126=0),0,
   ISNUMBER(MATCH(B126,{2,3,5,7,11,13,17,19,23,29,31,37,41,43},0)),"소",
   AND(ISNUMBER(B126),MOD(B126,3)=0),"배",
   AND(ISNUMBER(B126),B126&gt;0),"자"
)</f>
        <v>자</v>
      </c>
      <c r="AD126" s="26" t="str" cm="1">
        <f t="array" ref="AD126">_xlfn.IFS(
   OR(C126="",ISBLANK(C126),C126=0),0,
   ISNUMBER(MATCH(C126,{2,3,5,7,11,13,17,19,23,29,31,37,41,43},0)),"소",
   AND(ISNUMBER(C126),MOD(C126,3)=0),"배",
   AND(ISNUMBER(C126),C126&gt;0),"자"
)</f>
        <v>자</v>
      </c>
      <c r="AE126" s="26" t="str" cm="1">
        <f t="array" ref="AE126">_xlfn.IFS(
   OR(D126="",ISBLANK(D126),D126=0),0,
   ISNUMBER(MATCH(D126,{2,3,5,7,11,13,17,19,23,29,31,37,41,43},0)),"소",
   AND(ISNUMBER(D126),MOD(D126,3)=0),"배",
   AND(ISNUMBER(D126),D126&gt;0),"자"
)</f>
        <v>배</v>
      </c>
      <c r="AF126" s="26" t="str" cm="1">
        <f t="array" ref="AF126">_xlfn.IFS(
   OR(E126="",ISBLANK(E126),E126=0),0,
   ISNUMBER(MATCH(E126,{2,3,5,7,11,13,17,19,23,29,31,37,41,43},0)),"소",
   AND(ISNUMBER(E126),MOD(E126,3)=0),"배",
   AND(ISNUMBER(E126),E126&gt;0),"자"
)</f>
        <v>배</v>
      </c>
      <c r="AG126" s="26" t="str" cm="1">
        <f t="array" ref="AG126">_xlfn.IFS(
   OR(F126="",ISBLANK(F126),F126=0),0,
   ISNUMBER(MATCH(F126,{2,3,5,7,11,13,17,19,23,29,31,37,41,43},0)),"소",
   AND(ISNUMBER(F126),MOD(F126,3)=0),"배",
   AND(ISNUMBER(F126),F126&gt;0),"자"
)</f>
        <v>자</v>
      </c>
      <c r="AH126" s="26" t="str" cm="1">
        <f t="array" ref="AH126">_xlfn.IFS(
   OR(G126="",ISBLANK(G126),G126=0),0,
   ISNUMBER(MATCH(G126,{2,3,5,7,11,13,17,19,23,29,31,37,41,43},0)),"소",
   AND(ISNUMBER(G126),MOD(G126,3)=0),"배",
   AND(ISNUMBER(G126),G126&gt;0),"자"
)</f>
        <v>배</v>
      </c>
      <c r="AI126" s="30"/>
      <c r="AJ126" s="3">
        <f>COUNTIFS(B126:G126,"&gt;=1",B126:G126,"&lt;=14")</f>
        <v>1</v>
      </c>
      <c r="AK126" s="3">
        <f>COUNTIFS(B126:G126,"&gt;=15",B126:G126,"&lt;=31")</f>
        <v>3</v>
      </c>
      <c r="AL126" s="3">
        <f>6-AK126-AJ126</f>
        <v>2</v>
      </c>
      <c r="AM126" s="33"/>
      <c r="AN126" s="3">
        <f>COUNTIFS($B126:$G126, "&gt;=1",$B126:$G126, "&lt;=9")</f>
        <v>0</v>
      </c>
      <c r="AO126" s="3">
        <f>COUNTIFS($B126:$G126, "&gt;=10",$B126:$G126, "&lt;=18")</f>
        <v>1</v>
      </c>
      <c r="AP126" s="3">
        <f>COUNTIFS($B126:$G126, "&gt;=19",$B126:$G126, "&lt;=27")</f>
        <v>3</v>
      </c>
      <c r="AQ126" s="3">
        <f>COUNTIFS($B126:$G126, "&gt;=28",$B126:$G126, "&lt;=36")</f>
        <v>0</v>
      </c>
      <c r="AR126" s="3">
        <f>COUNTIFS($B126:$G126, "&gt;=37",$B126:$G126, "&lt;=45")</f>
        <v>2</v>
      </c>
      <c r="AS126" s="28" t="e">
        <f>#REF!</f>
        <v>#REF!</v>
      </c>
      <c r="AT126" s="28" t="e">
        <f>#REF!*2</f>
        <v>#REF!</v>
      </c>
      <c r="AU126" s="28" t="e">
        <f>#REF!</f>
        <v>#REF!</v>
      </c>
      <c r="AV126" s="28" t="e">
        <f>#REF!*2</f>
        <v>#REF!</v>
      </c>
      <c r="AW126" s="28" t="e">
        <f>#REF!</f>
        <v>#REF!</v>
      </c>
      <c r="AX126" s="28" t="e">
        <f>#REF!*2</f>
        <v>#REF!</v>
      </c>
      <c r="AY126" s="28" t="e">
        <f>#REF!</f>
        <v>#REF!</v>
      </c>
      <c r="AZ126" s="28" t="e">
        <f>#REF!*2</f>
        <v>#REF!</v>
      </c>
      <c r="BA126" s="28" t="e">
        <f>#REF!</f>
        <v>#REF!</v>
      </c>
      <c r="BB126" s="28" t="e">
        <f>#REF!*2</f>
        <v>#REF!</v>
      </c>
      <c r="BC126" s="28" t="e">
        <f>#REF!</f>
        <v>#REF!</v>
      </c>
      <c r="BD126" s="28" t="e">
        <f>#REF!*2</f>
        <v>#REF!</v>
      </c>
      <c r="BE126" s="9" t="e">
        <f>#REF!-#REF!</f>
        <v>#REF!</v>
      </c>
      <c r="BF126" s="9" t="e">
        <f>#REF!-#REF!</f>
        <v>#REF!</v>
      </c>
      <c r="BG126" s="9" t="e">
        <f>#REF!-#REF!</f>
        <v>#REF!</v>
      </c>
      <c r="BH126" s="9" t="e">
        <f>#REF!-#REF!</f>
        <v>#REF!</v>
      </c>
      <c r="BI126" s="9" t="e">
        <f>#REF!-#REF!</f>
        <v>#REF!</v>
      </c>
      <c r="BJ126" s="33"/>
      <c r="BK126" s="3">
        <f>COUNTIFS(B126:G126, "&gt;=1", B126:G126, "&lt;=9")</f>
        <v>0</v>
      </c>
      <c r="BL126" s="3">
        <f>COUNTIFS(B126:G126, "&gt;=10", B126:G126, "&lt;=19")</f>
        <v>1</v>
      </c>
      <c r="BM126" s="3">
        <f>COUNTIFS(B126:G126, "&gt;=20", B126:G126, "&lt;=29")</f>
        <v>3</v>
      </c>
      <c r="BN126" s="3">
        <f>COUNTIFS(B126:G126, "&gt;=30", B126:G126, "&lt;=39")</f>
        <v>1</v>
      </c>
      <c r="BO126" s="3">
        <f>COUNTIFS(B126:G126, "&gt;=40", B126:G126, "&lt;=45")</f>
        <v>1</v>
      </c>
      <c r="BP126" s="28" t="e">
        <f>#REF!</f>
        <v>#REF!</v>
      </c>
      <c r="BQ126" s="28" t="e">
        <f>#REF!*2</f>
        <v>#REF!</v>
      </c>
      <c r="BR126" s="28" t="e">
        <f>#REF!</f>
        <v>#REF!</v>
      </c>
      <c r="BS126" s="28" t="e">
        <f>#REF!*2</f>
        <v>#REF!</v>
      </c>
      <c r="BT126" s="28" t="e">
        <f>#REF!</f>
        <v>#REF!</v>
      </c>
      <c r="BU126" s="28" t="e">
        <f>#REF!*2</f>
        <v>#REF!</v>
      </c>
      <c r="BV126" s="28" t="e">
        <f>#REF!</f>
        <v>#REF!</v>
      </c>
      <c r="BW126" s="28" t="e">
        <f>#REF!*2</f>
        <v>#REF!</v>
      </c>
      <c r="BX126" s="28" t="e">
        <f>#REF!</f>
        <v>#REF!</v>
      </c>
      <c r="BY126" s="28" t="e">
        <f>#REF!*2</f>
        <v>#REF!</v>
      </c>
      <c r="BZ126" s="28" t="e">
        <f>#REF!</f>
        <v>#REF!</v>
      </c>
      <c r="CA126" s="28" t="e">
        <f>#REF!*2</f>
        <v>#REF!</v>
      </c>
      <c r="CB126" s="9">
        <f>C126-B126</f>
        <v>12</v>
      </c>
      <c r="CC126" s="9">
        <f>D126-C126</f>
        <v>2</v>
      </c>
      <c r="CD126" s="9">
        <f>E126-D126</f>
        <v>3</v>
      </c>
      <c r="CE126" s="9">
        <f>F126-E126</f>
        <v>11</v>
      </c>
      <c r="CF126" s="9">
        <f>G126-F126</f>
        <v>7</v>
      </c>
      <c r="CG126" s="33"/>
      <c r="CH126" s="12">
        <f>C126-B126</f>
        <v>12</v>
      </c>
      <c r="CI126" s="9">
        <f>D126-C126</f>
        <v>2</v>
      </c>
      <c r="CJ126" s="9">
        <f>E126-D126</f>
        <v>3</v>
      </c>
      <c r="CK126" s="12">
        <f>F126-E126</f>
        <v>11</v>
      </c>
      <c r="CL126" s="9">
        <f>G126-F126</f>
        <v>7</v>
      </c>
      <c r="CM126" s="32"/>
      <c r="CN126" s="3">
        <f>IF(OR(CH126="",ISBLANK(CH126),CH126=0),0,IF(MOD(CH126,2)=1,1,2))</f>
        <v>2</v>
      </c>
      <c r="CO126" s="3">
        <f>IF(OR(CI126="",ISBLANK(CI126),CI126=0),0,IF(MOD(CI126,2)=1,1,2))</f>
        <v>2</v>
      </c>
      <c r="CP126" s="3">
        <f>IF(OR(CJ126="",ISBLANK(CJ126),CJ126=0),0,IF(MOD(CJ126,2)=1,1,2))</f>
        <v>1</v>
      </c>
      <c r="CQ126" s="3">
        <f>IF(OR(CK126="",ISBLANK(CK126),CK126=0),0,IF(MOD(CK126,2)=1,1,2))</f>
        <v>1</v>
      </c>
      <c r="CR126" s="3">
        <f>IF(OR(CL126="",ISBLANK(CL126),CL126=0),0,IF(MOD(CL126,2)=1,1,2))</f>
        <v>1</v>
      </c>
      <c r="CS126" s="31"/>
      <c r="CT126" s="3" cm="1">
        <f t="array" ref="CT126">SUMPRODUCT(--(MOD(CH126:CL126,2)=1))</f>
        <v>3</v>
      </c>
      <c r="CU126" s="3">
        <f>5-CT126</f>
        <v>2</v>
      </c>
      <c r="CV126" s="30"/>
      <c r="CW126" s="3" cm="1">
        <f t="array" ref="CW126">SUMPRODUCT(--(MOD(CH126:CL126,10)&gt;=1), --(MOD(CH126:CL126,10)&lt;=5))</f>
        <v>4</v>
      </c>
      <c r="CX126" s="3">
        <f>5-CW126</f>
        <v>1</v>
      </c>
      <c r="CY126" s="30"/>
      <c r="CZ126" s="3" cm="1">
        <f t="array" ref="CZ126">IFERROR(COUNT(_xlfn._xlws.FILTER(CH126:CL126, ISNUMBER(MATCH(CH126:CL126, {2,3,5,7,11,13,17,19,23,29,31,37,41,43}, 0)))), 0)</f>
        <v>4</v>
      </c>
      <c r="DA126" s="3" cm="1">
        <f t="array" ref="DA126">IFERROR(COUNT(_xlfn._xlws.FILTER(CH126:CL126, ISNUMBER(MATCH(CH126:CL126, {1,4,8,10,14,16,20,22,25,26,28,32,34,35,38,40,44}, 0)))), 0)</f>
        <v>0</v>
      </c>
      <c r="DB126" s="3" cm="1">
        <f t="array" ref="DB126">IFERROR(COUNT(_xlfn._xlws.FILTER(CH126:CL126, ISNUMBER(MATCH(CH126:CL126, {6,9,12,15,18,21,24,27,30,33,36,39,42,45}, 0)))), 0)</f>
        <v>1</v>
      </c>
      <c r="DC126" s="29"/>
      <c r="DD126" s="28" t="e">
        <f>#REF!</f>
        <v>#REF!</v>
      </c>
      <c r="DE126" s="28" t="e">
        <f>#REF!*2</f>
        <v>#REF!</v>
      </c>
      <c r="DF126" s="28" t="e">
        <f>#REF!</f>
        <v>#REF!</v>
      </c>
      <c r="DG126" s="28" t="e">
        <f>#REF!*2</f>
        <v>#REF!</v>
      </c>
      <c r="DH126" s="28" t="e">
        <f>#REF!</f>
        <v>#REF!</v>
      </c>
      <c r="DI126" s="28" t="e">
        <f>#REF!*2</f>
        <v>#REF!</v>
      </c>
      <c r="DJ126" s="28" t="e">
        <f>#REF!</f>
        <v>#REF!</v>
      </c>
      <c r="DK126" s="28" t="e">
        <f>#REF!*2</f>
        <v>#REF!</v>
      </c>
      <c r="DL126" s="28" t="e">
        <f>#REF!</f>
        <v>#REF!</v>
      </c>
      <c r="DM126" s="28" t="e">
        <f>#REF!*2</f>
        <v>#REF!</v>
      </c>
      <c r="DN126" s="27"/>
      <c r="DO126" s="26" t="str" cm="1">
        <f t="array" ref="DO126">_xlfn.IFS(
   OR(CH126="",ISBLANK(CH126),CH126=0),0,
   ISNUMBER(MATCH(CH126,{2,3,5,7,11,13,17,19,23,29,31,37,41,43},0)),"소",
   AND(ISNUMBER(CH126),MOD(CH126,3)=0),"배",
   AND(ISNUMBER(CH126),CH126&gt;0),"자"
)</f>
        <v>배</v>
      </c>
      <c r="DP126" s="26" t="str" cm="1">
        <f t="array" ref="DP126">_xlfn.IFS(
   OR(CI126="",ISBLANK(CI126),CI126=0),0,
   ISNUMBER(MATCH(CI126,{2,3,5,7,11,13,17,19,23,29,31,37,41,43},0)),"소",
   AND(ISNUMBER(CI126),MOD(CI126,3)=0),"배",
   AND(ISNUMBER(CI126),CI126&gt;0),"자"
)</f>
        <v>소</v>
      </c>
      <c r="DQ126" s="26" t="str" cm="1">
        <f t="array" ref="DQ126">_xlfn.IFS(
   OR(CJ126="",ISBLANK(CJ126),CJ126=0),0,
   ISNUMBER(MATCH(CJ126,{2,3,5,7,11,13,17,19,23,29,31,37,41,43},0)),"소",
   AND(ISNUMBER(CJ126),MOD(CJ126,3)=0),"배",
   AND(ISNUMBER(CJ126),CJ126&gt;0),"자"
)</f>
        <v>소</v>
      </c>
      <c r="DR126" s="26" t="str" cm="1">
        <f t="array" ref="DR126">_xlfn.IFS(
   OR(CK126="",ISBLANK(CK126),CK126=0),0,
   ISNUMBER(MATCH(CK126,{2,3,5,7,11,13,17,19,23,29,31,37,41,43},0)),"소",
   AND(ISNUMBER(CK126),MOD(CK126,3)=0),"배",
   AND(ISNUMBER(CK126),CK126&gt;0),"자"
)</f>
        <v>소</v>
      </c>
      <c r="DS126" s="26" t="str" cm="1">
        <f t="array" ref="DS126">_xlfn.IFS(
   OR(CL126="",ISBLANK(CL126),CL126=0),0,
   ISNUMBER(MATCH(CL126,{2,3,5,7,11,13,17,19,23,29,31,37,41,43},0)),"소",
   AND(ISNUMBER(CL126),MOD(CL126,3)=0),"배",
   AND(ISNUMBER(CL126),CL126&gt;0),"자"
)</f>
        <v>소</v>
      </c>
      <c r="DT126" s="25"/>
    </row>
    <row r="127" spans="2:124" ht="14.25" thickBot="1" x14ac:dyDescent="0.35">
      <c r="B127" s="3">
        <v>6</v>
      </c>
      <c r="C127" s="3">
        <v>27</v>
      </c>
      <c r="D127" s="3">
        <v>30</v>
      </c>
      <c r="E127" s="3">
        <v>36</v>
      </c>
      <c r="F127" s="3">
        <v>38</v>
      </c>
      <c r="G127" s="3">
        <v>42</v>
      </c>
      <c r="H127" s="32"/>
      <c r="I127" s="3">
        <f>IF(OR(B127="",ISBLANK(B127),B127=0),0,IF(MOD(B127,2)=1,1,2))</f>
        <v>2</v>
      </c>
      <c r="J127" s="3">
        <f>IF(OR(C127="",ISBLANK(C127),C127=0),0,IF(MOD(C127,2)=1,1,2))</f>
        <v>1</v>
      </c>
      <c r="K127" s="3">
        <f>IF(OR(D127="",ISBLANK(D127),D127=0),0,IF(MOD(D127,2)=1,1,2))</f>
        <v>2</v>
      </c>
      <c r="L127" s="3">
        <f>IF(OR(E127="",ISBLANK(E127),E127=0),0,IF(MOD(E127,2)=1,1,2))</f>
        <v>2</v>
      </c>
      <c r="M127" s="3">
        <f>IF(OR(F127="",ISBLANK(F127),F127=0),0,IF(MOD(F127,2)=1,1,2))</f>
        <v>2</v>
      </c>
      <c r="N127" s="3">
        <f>IF(OR(G127="",ISBLANK(G127),G127=0),0,IF(MOD(G127,2)=1,1,2))</f>
        <v>2</v>
      </c>
      <c r="O127" s="32"/>
      <c r="P127" s="3" cm="1">
        <f t="array" ref="P127">SUMPRODUCT(--(MOD(B127:G127,2)=1))</f>
        <v>1</v>
      </c>
      <c r="Q127" s="3">
        <f>6-P127</f>
        <v>5</v>
      </c>
      <c r="R127" s="34"/>
      <c r="S127" s="3">
        <f>COUNTIFS(B127:G127,"&gt;=1",B127:G127,"&lt;=23")</f>
        <v>1</v>
      </c>
      <c r="T127" s="3">
        <f>6-S127</f>
        <v>5</v>
      </c>
      <c r="U127" s="34"/>
      <c r="V127" s="3" cm="1">
        <f t="array" ref="V127">SUMPRODUCT(--(MOD(B127:G127,10)&gt;=1), --(MOD(B127:G127,10)&lt;=5))</f>
        <v>1</v>
      </c>
      <c r="W127" s="3">
        <f>6-V127</f>
        <v>5</v>
      </c>
      <c r="X127" s="34"/>
      <c r="Y127" s="3" cm="1">
        <f t="array" ref="Y127">IFERROR(COUNT(_xlfn._xlws.FILTER(B127:G127, ISNUMBER(MATCH(B127:G127, {2,3,5,7,11,13,17,19,23,29,31,37,41,43}, 0)))), 0)</f>
        <v>0</v>
      </c>
      <c r="Z127" s="3" cm="1">
        <f t="array" ref="Z127">IFERROR(COUNT(_xlfn._xlws.FILTER(B127:G127, ISNUMBER(MATCH(B127:G127, {1,4,8,10,14,16,20,22,25,26,28,32,34,35,38,40,44}, 0)))), 0)</f>
        <v>1</v>
      </c>
      <c r="AA127" s="3" cm="1">
        <f t="array" ref="AA127">IFERROR(COUNT(_xlfn._xlws.FILTER(B127:G127, ISNUMBER(MATCH(B127:G127, {6,9,12,15,18,21,24,27,30,33,36,39,42,45}, 0)))), 0)</f>
        <v>5</v>
      </c>
      <c r="AB127" s="30"/>
      <c r="AC127" s="26" t="str" cm="1">
        <f t="array" ref="AC127">_xlfn.IFS(
   OR(B127="",ISBLANK(B127),B127=0),0,
   ISNUMBER(MATCH(B127,{2,3,5,7,11,13,17,19,23,29,31,37,41,43},0)),"소",
   AND(ISNUMBER(B127),MOD(B127,3)=0),"배",
   AND(ISNUMBER(B127),B127&gt;0),"자"
)</f>
        <v>배</v>
      </c>
      <c r="AD127" s="26" t="str" cm="1">
        <f t="array" ref="AD127">_xlfn.IFS(
   OR(C127="",ISBLANK(C127),C127=0),0,
   ISNUMBER(MATCH(C127,{2,3,5,7,11,13,17,19,23,29,31,37,41,43},0)),"소",
   AND(ISNUMBER(C127),MOD(C127,3)=0),"배",
   AND(ISNUMBER(C127),C127&gt;0),"자"
)</f>
        <v>배</v>
      </c>
      <c r="AE127" s="26" t="str" cm="1">
        <f t="array" ref="AE127">_xlfn.IFS(
   OR(D127="",ISBLANK(D127),D127=0),0,
   ISNUMBER(MATCH(D127,{2,3,5,7,11,13,17,19,23,29,31,37,41,43},0)),"소",
   AND(ISNUMBER(D127),MOD(D127,3)=0),"배",
   AND(ISNUMBER(D127),D127&gt;0),"자"
)</f>
        <v>배</v>
      </c>
      <c r="AF127" s="26" t="str" cm="1">
        <f t="array" ref="AF127">_xlfn.IFS(
   OR(E127="",ISBLANK(E127),E127=0),0,
   ISNUMBER(MATCH(E127,{2,3,5,7,11,13,17,19,23,29,31,37,41,43},0)),"소",
   AND(ISNUMBER(E127),MOD(E127,3)=0),"배",
   AND(ISNUMBER(E127),E127&gt;0),"자"
)</f>
        <v>배</v>
      </c>
      <c r="AG127" s="26" t="str" cm="1">
        <f t="array" ref="AG127">_xlfn.IFS(
   OR(F127="",ISBLANK(F127),F127=0),0,
   ISNUMBER(MATCH(F127,{2,3,5,7,11,13,17,19,23,29,31,37,41,43},0)),"소",
   AND(ISNUMBER(F127),MOD(F127,3)=0),"배",
   AND(ISNUMBER(F127),F127&gt;0),"자"
)</f>
        <v>자</v>
      </c>
      <c r="AH127" s="26" t="str" cm="1">
        <f t="array" ref="AH127">_xlfn.IFS(
   OR(G127="",ISBLANK(G127),G127=0),0,
   ISNUMBER(MATCH(G127,{2,3,5,7,11,13,17,19,23,29,31,37,41,43},0)),"소",
   AND(ISNUMBER(G127),MOD(G127,3)=0),"배",
   AND(ISNUMBER(G127),G127&gt;0),"자"
)</f>
        <v>배</v>
      </c>
      <c r="AI127" s="30"/>
      <c r="AJ127" s="3">
        <f>COUNTIFS(B127:G127,"&gt;=1",B127:G127,"&lt;=14")</f>
        <v>1</v>
      </c>
      <c r="AK127" s="3">
        <f>COUNTIFS(B127:G127,"&gt;=15",B127:G127,"&lt;=31")</f>
        <v>2</v>
      </c>
      <c r="AL127" s="3">
        <f>6-AK127-AJ127</f>
        <v>3</v>
      </c>
      <c r="AM127" s="33"/>
      <c r="AN127" s="3">
        <f>COUNTIFS($B127:$G127, "&gt;=1",$B127:$G127, "&lt;=9")</f>
        <v>1</v>
      </c>
      <c r="AO127" s="3">
        <f>COUNTIFS($B127:$G127, "&gt;=10",$B127:$G127, "&lt;=18")</f>
        <v>0</v>
      </c>
      <c r="AP127" s="3">
        <f>COUNTIFS($B127:$G127, "&gt;=19",$B127:$G127, "&lt;=27")</f>
        <v>1</v>
      </c>
      <c r="AQ127" s="3">
        <f>COUNTIFS($B127:$G127, "&gt;=28",$B127:$G127, "&lt;=36")</f>
        <v>2</v>
      </c>
      <c r="AR127" s="3">
        <f>COUNTIFS($B127:$G127, "&gt;=37",$B127:$G127, "&lt;=45")</f>
        <v>2</v>
      </c>
      <c r="AS127" s="28" t="e">
        <f>#REF!</f>
        <v>#REF!</v>
      </c>
      <c r="AT127" s="28" t="e">
        <f>#REF!*2</f>
        <v>#REF!</v>
      </c>
      <c r="AU127" s="28" t="e">
        <f>#REF!</f>
        <v>#REF!</v>
      </c>
      <c r="AV127" s="28" t="e">
        <f>#REF!*2</f>
        <v>#REF!</v>
      </c>
      <c r="AW127" s="28" t="e">
        <f>#REF!</f>
        <v>#REF!</v>
      </c>
      <c r="AX127" s="28" t="e">
        <f>#REF!*2</f>
        <v>#REF!</v>
      </c>
      <c r="AY127" s="28" t="e">
        <f>#REF!</f>
        <v>#REF!</v>
      </c>
      <c r="AZ127" s="28" t="e">
        <f>#REF!*2</f>
        <v>#REF!</v>
      </c>
      <c r="BA127" s="28" t="e">
        <f>#REF!</f>
        <v>#REF!</v>
      </c>
      <c r="BB127" s="28" t="e">
        <f>#REF!*2</f>
        <v>#REF!</v>
      </c>
      <c r="BC127" s="28" t="e">
        <f>#REF!</f>
        <v>#REF!</v>
      </c>
      <c r="BD127" s="28" t="e">
        <f>#REF!*2</f>
        <v>#REF!</v>
      </c>
      <c r="BE127" s="9" t="e">
        <f>#REF!-#REF!</f>
        <v>#REF!</v>
      </c>
      <c r="BF127" s="9" t="e">
        <f>#REF!-#REF!</f>
        <v>#REF!</v>
      </c>
      <c r="BG127" s="9" t="e">
        <f>#REF!-#REF!</f>
        <v>#REF!</v>
      </c>
      <c r="BH127" s="9" t="e">
        <f>#REF!-#REF!</f>
        <v>#REF!</v>
      </c>
      <c r="BI127" s="9" t="e">
        <f>#REF!-#REF!</f>
        <v>#REF!</v>
      </c>
      <c r="BJ127" s="33"/>
      <c r="BK127" s="3">
        <f>COUNTIFS(B127:G127, "&gt;=1", B127:G127, "&lt;=9")</f>
        <v>1</v>
      </c>
      <c r="BL127" s="3">
        <f>COUNTIFS(B127:G127, "&gt;=10", B127:G127, "&lt;=19")</f>
        <v>0</v>
      </c>
      <c r="BM127" s="3">
        <f>COUNTIFS(B127:G127, "&gt;=20", B127:G127, "&lt;=29")</f>
        <v>1</v>
      </c>
      <c r="BN127" s="3">
        <f>COUNTIFS(B127:G127, "&gt;=30", B127:G127, "&lt;=39")</f>
        <v>3</v>
      </c>
      <c r="BO127" s="3">
        <f>COUNTIFS(B127:G127, "&gt;=40", B127:G127, "&lt;=45")</f>
        <v>1</v>
      </c>
      <c r="BP127" s="28" t="e">
        <f>#REF!</f>
        <v>#REF!</v>
      </c>
      <c r="BQ127" s="28" t="e">
        <f>#REF!*2</f>
        <v>#REF!</v>
      </c>
      <c r="BR127" s="28" t="e">
        <f>#REF!</f>
        <v>#REF!</v>
      </c>
      <c r="BS127" s="28" t="e">
        <f>#REF!*2</f>
        <v>#REF!</v>
      </c>
      <c r="BT127" s="28" t="e">
        <f>#REF!</f>
        <v>#REF!</v>
      </c>
      <c r="BU127" s="28" t="e">
        <f>#REF!*2</f>
        <v>#REF!</v>
      </c>
      <c r="BV127" s="28" t="e">
        <f>#REF!</f>
        <v>#REF!</v>
      </c>
      <c r="BW127" s="28" t="e">
        <f>#REF!*2</f>
        <v>#REF!</v>
      </c>
      <c r="BX127" s="28" t="e">
        <f>#REF!</f>
        <v>#REF!</v>
      </c>
      <c r="BY127" s="28" t="e">
        <f>#REF!*2</f>
        <v>#REF!</v>
      </c>
      <c r="BZ127" s="28" t="e">
        <f>#REF!</f>
        <v>#REF!</v>
      </c>
      <c r="CA127" s="28" t="e">
        <f>#REF!*2</f>
        <v>#REF!</v>
      </c>
      <c r="CB127" s="9">
        <f>C127-B127</f>
        <v>21</v>
      </c>
      <c r="CC127" s="9">
        <f>D127-C127</f>
        <v>3</v>
      </c>
      <c r="CD127" s="9">
        <f>E127-D127</f>
        <v>6</v>
      </c>
      <c r="CE127" s="9">
        <f>F127-E127</f>
        <v>2</v>
      </c>
      <c r="CF127" s="9">
        <f>G127-F127</f>
        <v>4</v>
      </c>
      <c r="CG127" s="33"/>
      <c r="CH127" s="9">
        <f>C127-B127</f>
        <v>21</v>
      </c>
      <c r="CI127" s="9">
        <f>D127-C127</f>
        <v>3</v>
      </c>
      <c r="CJ127" s="9">
        <f>E127-D127</f>
        <v>6</v>
      </c>
      <c r="CK127" s="9">
        <f>F127-E127</f>
        <v>2</v>
      </c>
      <c r="CL127" s="9">
        <f>G127-F127</f>
        <v>4</v>
      </c>
      <c r="CM127" s="32"/>
      <c r="CN127" s="3">
        <f>IF(OR(CH127="",ISBLANK(CH127),CH127=0),0,IF(MOD(CH127,2)=1,1,2))</f>
        <v>1</v>
      </c>
      <c r="CO127" s="3">
        <f>IF(OR(CI127="",ISBLANK(CI127),CI127=0),0,IF(MOD(CI127,2)=1,1,2))</f>
        <v>1</v>
      </c>
      <c r="CP127" s="3">
        <f>IF(OR(CJ127="",ISBLANK(CJ127),CJ127=0),0,IF(MOD(CJ127,2)=1,1,2))</f>
        <v>2</v>
      </c>
      <c r="CQ127" s="3">
        <f>IF(OR(CK127="",ISBLANK(CK127),CK127=0),0,IF(MOD(CK127,2)=1,1,2))</f>
        <v>2</v>
      </c>
      <c r="CR127" s="3">
        <f>IF(OR(CL127="",ISBLANK(CL127),CL127=0),0,IF(MOD(CL127,2)=1,1,2))</f>
        <v>2</v>
      </c>
      <c r="CS127" s="31"/>
      <c r="CT127" s="3" cm="1">
        <f t="array" ref="CT127">SUMPRODUCT(--(MOD(CH127:CL127,2)=1))</f>
        <v>2</v>
      </c>
      <c r="CU127" s="3">
        <f>5-CT127</f>
        <v>3</v>
      </c>
      <c r="CV127" s="30"/>
      <c r="CW127" s="3" cm="1">
        <f t="array" ref="CW127">SUMPRODUCT(--(MOD(CH127:CL127,10)&gt;=1), --(MOD(CH127:CL127,10)&lt;=5))</f>
        <v>4</v>
      </c>
      <c r="CX127" s="3">
        <f>5-CW127</f>
        <v>1</v>
      </c>
      <c r="CY127" s="30"/>
      <c r="CZ127" s="3" cm="1">
        <f t="array" ref="CZ127">IFERROR(COUNT(_xlfn._xlws.FILTER(CH127:CL127, ISNUMBER(MATCH(CH127:CL127, {2,3,5,7,11,13,17,19,23,29,31,37,41,43}, 0)))), 0)</f>
        <v>2</v>
      </c>
      <c r="DA127" s="3" cm="1">
        <f t="array" ref="DA127">IFERROR(COUNT(_xlfn._xlws.FILTER(CH127:CL127, ISNUMBER(MATCH(CH127:CL127, {1,4,8,10,14,16,20,22,25,26,28,32,34,35,38,40,44}, 0)))), 0)</f>
        <v>1</v>
      </c>
      <c r="DB127" s="3" cm="1">
        <f t="array" ref="DB127">IFERROR(COUNT(_xlfn._xlws.FILTER(CH127:CL127, ISNUMBER(MATCH(CH127:CL127, {6,9,12,15,18,21,24,27,30,33,36,39,42,45}, 0)))), 0)</f>
        <v>2</v>
      </c>
      <c r="DC127" s="29"/>
      <c r="DD127" s="28" t="e">
        <f>#REF!</f>
        <v>#REF!</v>
      </c>
      <c r="DE127" s="28" t="e">
        <f>#REF!*2</f>
        <v>#REF!</v>
      </c>
      <c r="DF127" s="28" t="e">
        <f>#REF!</f>
        <v>#REF!</v>
      </c>
      <c r="DG127" s="28" t="e">
        <f>#REF!*2</f>
        <v>#REF!</v>
      </c>
      <c r="DH127" s="28" t="e">
        <f>#REF!</f>
        <v>#REF!</v>
      </c>
      <c r="DI127" s="28" t="e">
        <f>#REF!*2</f>
        <v>#REF!</v>
      </c>
      <c r="DJ127" s="28" t="e">
        <f>#REF!</f>
        <v>#REF!</v>
      </c>
      <c r="DK127" s="28" t="e">
        <f>#REF!*2</f>
        <v>#REF!</v>
      </c>
      <c r="DL127" s="28" t="e">
        <f>#REF!</f>
        <v>#REF!</v>
      </c>
      <c r="DM127" s="28" t="e">
        <f>#REF!*2</f>
        <v>#REF!</v>
      </c>
      <c r="DN127" s="27"/>
      <c r="DO127" s="41" t="str" cm="1">
        <f t="array" ref="DO127">_xlfn.IFS(
   OR(CH127="",ISBLANK(CH127),CH127=0),0,
   ISNUMBER(MATCH(CH127,{2,3,5,7,11,13,17,19,23,29,31,37,41,43},0)),"소",
   AND(ISNUMBER(CH127),MOD(CH127,3)=0),"배",
   AND(ISNUMBER(CH127),CH127&gt;0),"자"
)</f>
        <v>배</v>
      </c>
      <c r="DP127" s="40" t="str" cm="1">
        <f t="array" ref="DP127">_xlfn.IFS(
   OR(CI127="",ISBLANK(CI127),CI127=0),0,
   ISNUMBER(MATCH(CI127,{2,3,5,7,11,13,17,19,23,29,31,37,41,43},0)),"소",
   AND(ISNUMBER(CI127),MOD(CI127,3)=0),"배",
   AND(ISNUMBER(CI127),CI127&gt;0),"자"
)</f>
        <v>소</v>
      </c>
      <c r="DQ127" s="40" t="str" cm="1">
        <f t="array" ref="DQ127">_xlfn.IFS(
   OR(CJ127="",ISBLANK(CJ127),CJ127=0),0,
   ISNUMBER(MATCH(CJ127,{2,3,5,7,11,13,17,19,23,29,31,37,41,43},0)),"소",
   AND(ISNUMBER(CJ127),MOD(CJ127,3)=0),"배",
   AND(ISNUMBER(CJ127),CJ127&gt;0),"자"
)</f>
        <v>배</v>
      </c>
      <c r="DR127" s="39" t="str" cm="1">
        <f t="array" ref="DR127">_xlfn.IFS(
   OR(CK127="",ISBLANK(CK127),CK127=0),0,
   ISNUMBER(MATCH(CK127,{2,3,5,7,11,13,17,19,23,29,31,37,41,43},0)),"소",
   AND(ISNUMBER(CK127),MOD(CK127,3)=0),"배",
   AND(ISNUMBER(CK127),CK127&gt;0),"자"
)</f>
        <v>소</v>
      </c>
      <c r="DS127" s="26" t="str" cm="1">
        <f t="array" ref="DS127">_xlfn.IFS(
   OR(CL127="",ISBLANK(CL127),CL127=0),0,
   ISNUMBER(MATCH(CL127,{2,3,5,7,11,13,17,19,23,29,31,37,41,43},0)),"소",
   AND(ISNUMBER(CL127),MOD(CL127,3)=0),"배",
   AND(ISNUMBER(CL127),CL127&gt;0),"자"
)</f>
        <v>자</v>
      </c>
      <c r="DT127" s="25"/>
    </row>
    <row r="128" spans="2:124" ht="14.25" thickBot="1" x14ac:dyDescent="0.35">
      <c r="B128" s="3">
        <v>2</v>
      </c>
      <c r="C128" s="3">
        <v>17</v>
      </c>
      <c r="D128" s="3">
        <v>20</v>
      </c>
      <c r="E128" s="3">
        <v>35</v>
      </c>
      <c r="F128" s="3">
        <v>37</v>
      </c>
      <c r="G128" s="3">
        <v>39</v>
      </c>
      <c r="H128" s="32"/>
      <c r="I128" s="3">
        <f>IF(OR(B128="",ISBLANK(B128),B128=0),0,IF(MOD(B128,2)=1,1,2))</f>
        <v>2</v>
      </c>
      <c r="J128" s="3">
        <f>IF(OR(C128="",ISBLANK(C128),C128=0),0,IF(MOD(C128,2)=1,1,2))</f>
        <v>1</v>
      </c>
      <c r="K128" s="3">
        <f>IF(OR(D128="",ISBLANK(D128),D128=0),0,IF(MOD(D128,2)=1,1,2))</f>
        <v>2</v>
      </c>
      <c r="L128" s="3">
        <f>IF(OR(E128="",ISBLANK(E128),E128=0),0,IF(MOD(E128,2)=1,1,2))</f>
        <v>1</v>
      </c>
      <c r="M128" s="3">
        <f>IF(OR(F128="",ISBLANK(F128),F128=0),0,IF(MOD(F128,2)=1,1,2))</f>
        <v>1</v>
      </c>
      <c r="N128" s="3">
        <f>IF(OR(G128="",ISBLANK(G128),G128=0),0,IF(MOD(G128,2)=1,1,2))</f>
        <v>1</v>
      </c>
      <c r="O128" s="32"/>
      <c r="P128" s="3" cm="1">
        <f t="array" ref="P128">SUMPRODUCT(--(MOD(B128:G128,2)=1))</f>
        <v>4</v>
      </c>
      <c r="Q128" s="3">
        <f>6-P128</f>
        <v>2</v>
      </c>
      <c r="R128" s="34"/>
      <c r="S128" s="3">
        <f>COUNTIFS(B128:G128,"&gt;=1",B128:G128,"&lt;=23")</f>
        <v>3</v>
      </c>
      <c r="T128" s="3">
        <f>6-S128</f>
        <v>3</v>
      </c>
      <c r="U128" s="34"/>
      <c r="V128" s="3" cm="1">
        <f t="array" ref="V128">SUMPRODUCT(--(MOD(B128:G128,10)&gt;=1), --(MOD(B128:G128,10)&lt;=5))</f>
        <v>2</v>
      </c>
      <c r="W128" s="3">
        <f>6-V128</f>
        <v>4</v>
      </c>
      <c r="X128" s="34"/>
      <c r="Y128" s="3" cm="1">
        <f t="array" ref="Y128">IFERROR(COUNT(_xlfn._xlws.FILTER(B128:G128, ISNUMBER(MATCH(B128:G128, {2,3,5,7,11,13,17,19,23,29,31,37,41,43}, 0)))), 0)</f>
        <v>3</v>
      </c>
      <c r="Z128" s="3" cm="1">
        <f t="array" ref="Z128">IFERROR(COUNT(_xlfn._xlws.FILTER(B128:G128, ISNUMBER(MATCH(B128:G128, {1,4,8,10,14,16,20,22,25,26,28,32,34,35,38,40,44}, 0)))), 0)</f>
        <v>2</v>
      </c>
      <c r="AA128" s="3" cm="1">
        <f t="array" ref="AA128">IFERROR(COUNT(_xlfn._xlws.FILTER(B128:G128, ISNUMBER(MATCH(B128:G128, {6,9,12,15,18,21,24,27,30,33,36,39,42,45}, 0)))), 0)</f>
        <v>1</v>
      </c>
      <c r="AB128" s="30"/>
      <c r="AC128" s="26" t="str" cm="1">
        <f t="array" ref="AC128">_xlfn.IFS(
   OR(B128="",ISBLANK(B128),B128=0),0,
   ISNUMBER(MATCH(B128,{2,3,5,7,11,13,17,19,23,29,31,37,41,43},0)),"소",
   AND(ISNUMBER(B128),MOD(B128,3)=0),"배",
   AND(ISNUMBER(B128),B128&gt;0),"자"
)</f>
        <v>소</v>
      </c>
      <c r="AD128" s="26" t="str" cm="1">
        <f t="array" ref="AD128">_xlfn.IFS(
   OR(C128="",ISBLANK(C128),C128=0),0,
   ISNUMBER(MATCH(C128,{2,3,5,7,11,13,17,19,23,29,31,37,41,43},0)),"소",
   AND(ISNUMBER(C128),MOD(C128,3)=0),"배",
   AND(ISNUMBER(C128),C128&gt;0),"자"
)</f>
        <v>소</v>
      </c>
      <c r="AE128" s="26" t="str" cm="1">
        <f t="array" ref="AE128">_xlfn.IFS(
   OR(D128="",ISBLANK(D128),D128=0),0,
   ISNUMBER(MATCH(D128,{2,3,5,7,11,13,17,19,23,29,31,37,41,43},0)),"소",
   AND(ISNUMBER(D128),MOD(D128,3)=0),"배",
   AND(ISNUMBER(D128),D128&gt;0),"자"
)</f>
        <v>자</v>
      </c>
      <c r="AF128" s="26" t="str" cm="1">
        <f t="array" ref="AF128">_xlfn.IFS(
   OR(E128="",ISBLANK(E128),E128=0),0,
   ISNUMBER(MATCH(E128,{2,3,5,7,11,13,17,19,23,29,31,37,41,43},0)),"소",
   AND(ISNUMBER(E128),MOD(E128,3)=0),"배",
   AND(ISNUMBER(E128),E128&gt;0),"자"
)</f>
        <v>자</v>
      </c>
      <c r="AG128" s="26" t="str" cm="1">
        <f t="array" ref="AG128">_xlfn.IFS(
   OR(F128="",ISBLANK(F128),F128=0),0,
   ISNUMBER(MATCH(F128,{2,3,5,7,11,13,17,19,23,29,31,37,41,43},0)),"소",
   AND(ISNUMBER(F128),MOD(F128,3)=0),"배",
   AND(ISNUMBER(F128),F128&gt;0),"자"
)</f>
        <v>소</v>
      </c>
      <c r="AH128" s="26" t="str" cm="1">
        <f t="array" ref="AH128">_xlfn.IFS(
   OR(G128="",ISBLANK(G128),G128=0),0,
   ISNUMBER(MATCH(G128,{2,3,5,7,11,13,17,19,23,29,31,37,41,43},0)),"소",
   AND(ISNUMBER(G128),MOD(G128,3)=0),"배",
   AND(ISNUMBER(G128),G128&gt;0),"자"
)</f>
        <v>배</v>
      </c>
      <c r="AI128" s="30"/>
      <c r="AJ128" s="3">
        <f>COUNTIFS(B128:G128,"&gt;=1",B128:G128,"&lt;=14")</f>
        <v>1</v>
      </c>
      <c r="AK128" s="3">
        <f>COUNTIFS(B128:G128,"&gt;=15",B128:G128,"&lt;=31")</f>
        <v>2</v>
      </c>
      <c r="AL128" s="3">
        <f>6-AK128-AJ128</f>
        <v>3</v>
      </c>
      <c r="AM128" s="33"/>
      <c r="AN128" s="3">
        <f>COUNTIFS($B128:$G128, "&gt;=1",$B128:$G128, "&lt;=9")</f>
        <v>1</v>
      </c>
      <c r="AO128" s="3">
        <f>COUNTIFS($B128:$G128, "&gt;=10",$B128:$G128, "&lt;=18")</f>
        <v>1</v>
      </c>
      <c r="AP128" s="3">
        <f>COUNTIFS($B128:$G128, "&gt;=19",$B128:$G128, "&lt;=27")</f>
        <v>1</v>
      </c>
      <c r="AQ128" s="3">
        <f>COUNTIFS($B128:$G128, "&gt;=28",$B128:$G128, "&lt;=36")</f>
        <v>1</v>
      </c>
      <c r="AR128" s="3">
        <f>COUNTIFS($B128:$G128, "&gt;=37",$B128:$G128, "&lt;=45")</f>
        <v>2</v>
      </c>
      <c r="AS128" s="28" t="e">
        <f>#REF!</f>
        <v>#REF!</v>
      </c>
      <c r="AT128" s="28" t="e">
        <f>#REF!*2</f>
        <v>#REF!</v>
      </c>
      <c r="AU128" s="28" t="e">
        <f>#REF!</f>
        <v>#REF!</v>
      </c>
      <c r="AV128" s="28" t="e">
        <f>#REF!*2</f>
        <v>#REF!</v>
      </c>
      <c r="AW128" s="28" t="e">
        <f>#REF!</f>
        <v>#REF!</v>
      </c>
      <c r="AX128" s="28" t="e">
        <f>#REF!*2</f>
        <v>#REF!</v>
      </c>
      <c r="AY128" s="28" t="e">
        <f>#REF!</f>
        <v>#REF!</v>
      </c>
      <c r="AZ128" s="28" t="e">
        <f>#REF!*2</f>
        <v>#REF!</v>
      </c>
      <c r="BA128" s="28" t="e">
        <f>#REF!</f>
        <v>#REF!</v>
      </c>
      <c r="BB128" s="28" t="e">
        <f>#REF!*2</f>
        <v>#REF!</v>
      </c>
      <c r="BC128" s="28" t="e">
        <f>#REF!</f>
        <v>#REF!</v>
      </c>
      <c r="BD128" s="28" t="e">
        <f>#REF!*2</f>
        <v>#REF!</v>
      </c>
      <c r="BE128" s="9" t="e">
        <f>#REF!-#REF!</f>
        <v>#REF!</v>
      </c>
      <c r="BF128" s="9" t="e">
        <f>#REF!-#REF!</f>
        <v>#REF!</v>
      </c>
      <c r="BG128" s="9" t="e">
        <f>#REF!-#REF!</f>
        <v>#REF!</v>
      </c>
      <c r="BH128" s="9" t="e">
        <f>#REF!-#REF!</f>
        <v>#REF!</v>
      </c>
      <c r="BI128" s="9" t="e">
        <f>#REF!-#REF!</f>
        <v>#REF!</v>
      </c>
      <c r="BJ128" s="33"/>
      <c r="BK128" s="3">
        <f>COUNTIFS(B128:G128, "&gt;=1", B128:G128, "&lt;=9")</f>
        <v>1</v>
      </c>
      <c r="BL128" s="3">
        <f>COUNTIFS(B128:G128, "&gt;=10", B128:G128, "&lt;=19")</f>
        <v>1</v>
      </c>
      <c r="BM128" s="3">
        <f>COUNTIFS(B128:G128, "&gt;=20", B128:G128, "&lt;=29")</f>
        <v>1</v>
      </c>
      <c r="BN128" s="3">
        <f>COUNTIFS(B128:G128, "&gt;=30", B128:G128, "&lt;=39")</f>
        <v>3</v>
      </c>
      <c r="BO128" s="3">
        <f>COUNTIFS(B128:G128, "&gt;=40", B128:G128, "&lt;=45")</f>
        <v>0</v>
      </c>
      <c r="BP128" s="28" t="e">
        <f>#REF!</f>
        <v>#REF!</v>
      </c>
      <c r="BQ128" s="28" t="e">
        <f>#REF!*2</f>
        <v>#REF!</v>
      </c>
      <c r="BR128" s="28" t="e">
        <f>#REF!</f>
        <v>#REF!</v>
      </c>
      <c r="BS128" s="28" t="e">
        <f>#REF!*2</f>
        <v>#REF!</v>
      </c>
      <c r="BT128" s="28" t="e">
        <f>#REF!</f>
        <v>#REF!</v>
      </c>
      <c r="BU128" s="28" t="e">
        <f>#REF!*2</f>
        <v>#REF!</v>
      </c>
      <c r="BV128" s="28" t="e">
        <f>#REF!</f>
        <v>#REF!</v>
      </c>
      <c r="BW128" s="28" t="e">
        <f>#REF!*2</f>
        <v>#REF!</v>
      </c>
      <c r="BX128" s="28" t="e">
        <f>#REF!</f>
        <v>#REF!</v>
      </c>
      <c r="BY128" s="28" t="e">
        <f>#REF!*2</f>
        <v>#REF!</v>
      </c>
      <c r="BZ128" s="28" t="e">
        <f>#REF!</f>
        <v>#REF!</v>
      </c>
      <c r="CA128" s="28" t="e">
        <f>#REF!*2</f>
        <v>#REF!</v>
      </c>
      <c r="CB128" s="9">
        <f>C128-B128</f>
        <v>15</v>
      </c>
      <c r="CC128" s="9">
        <f>D128-C128</f>
        <v>3</v>
      </c>
      <c r="CD128" s="9">
        <f>E128-D128</f>
        <v>15</v>
      </c>
      <c r="CE128" s="9">
        <f>F128-E128</f>
        <v>2</v>
      </c>
      <c r="CF128" s="9">
        <f>G128-F128</f>
        <v>2</v>
      </c>
      <c r="CG128" s="33"/>
      <c r="CH128" s="9">
        <f>C128-B128</f>
        <v>15</v>
      </c>
      <c r="CI128" s="12">
        <f>D128-C128</f>
        <v>3</v>
      </c>
      <c r="CJ128" s="9">
        <f>E128-D128</f>
        <v>15</v>
      </c>
      <c r="CK128" s="13">
        <f>F128-E128</f>
        <v>2</v>
      </c>
      <c r="CL128" s="11">
        <f>G128-F128</f>
        <v>2</v>
      </c>
      <c r="CM128" s="32"/>
      <c r="CN128" s="3">
        <f>IF(OR(CH128="",ISBLANK(CH128),CH128=0),0,IF(MOD(CH128,2)=1,1,2))</f>
        <v>1</v>
      </c>
      <c r="CO128" s="3">
        <f>IF(OR(CI128="",ISBLANK(CI128),CI128=0),0,IF(MOD(CI128,2)=1,1,2))</f>
        <v>1</v>
      </c>
      <c r="CP128" s="3">
        <f>IF(OR(CJ128="",ISBLANK(CJ128),CJ128=0),0,IF(MOD(CJ128,2)=1,1,2))</f>
        <v>1</v>
      </c>
      <c r="CQ128" s="3">
        <f>IF(OR(CK128="",ISBLANK(CK128),CK128=0),0,IF(MOD(CK128,2)=1,1,2))</f>
        <v>2</v>
      </c>
      <c r="CR128" s="3">
        <f>IF(OR(CL128="",ISBLANK(CL128),CL128=0),0,IF(MOD(CL128,2)=1,1,2))</f>
        <v>2</v>
      </c>
      <c r="CS128" s="31"/>
      <c r="CT128" s="3" cm="1">
        <f t="array" ref="CT128">SUMPRODUCT(--(MOD(CH128:CL128,2)=1))</f>
        <v>3</v>
      </c>
      <c r="CU128" s="3">
        <f>5-CT128</f>
        <v>2</v>
      </c>
      <c r="CV128" s="30"/>
      <c r="CW128" s="3" cm="1">
        <f t="array" ref="CW128">SUMPRODUCT(--(MOD(CH128:CL128,10)&gt;=1), --(MOD(CH128:CL128,10)&lt;=5))</f>
        <v>5</v>
      </c>
      <c r="CX128" s="3">
        <f>5-CW128</f>
        <v>0</v>
      </c>
      <c r="CY128" s="30"/>
      <c r="CZ128" s="3" cm="1">
        <f t="array" ref="CZ128">IFERROR(COUNT(_xlfn._xlws.FILTER(CH128:CL128, ISNUMBER(MATCH(CH128:CL128, {2,3,5,7,11,13,17,19,23,29,31,37,41,43}, 0)))), 0)</f>
        <v>3</v>
      </c>
      <c r="DA128" s="3" cm="1">
        <f t="array" ref="DA128">IFERROR(COUNT(_xlfn._xlws.FILTER(CH128:CL128, ISNUMBER(MATCH(CH128:CL128, {1,4,8,10,14,16,20,22,25,26,28,32,34,35,38,40,44}, 0)))), 0)</f>
        <v>0</v>
      </c>
      <c r="DB128" s="3" cm="1">
        <f t="array" ref="DB128">IFERROR(COUNT(_xlfn._xlws.FILTER(CH128:CL128, ISNUMBER(MATCH(CH128:CL128, {6,9,12,15,18,21,24,27,30,33,36,39,42,45}, 0)))), 0)</f>
        <v>2</v>
      </c>
      <c r="DC128" s="29"/>
      <c r="DD128" s="28" t="e">
        <f>#REF!</f>
        <v>#REF!</v>
      </c>
      <c r="DE128" s="28" t="e">
        <f>#REF!*2</f>
        <v>#REF!</v>
      </c>
      <c r="DF128" s="28" t="e">
        <f>#REF!</f>
        <v>#REF!</v>
      </c>
      <c r="DG128" s="28" t="e">
        <f>#REF!*2</f>
        <v>#REF!</v>
      </c>
      <c r="DH128" s="28" t="e">
        <f>#REF!</f>
        <v>#REF!</v>
      </c>
      <c r="DI128" s="28" t="e">
        <f>#REF!*2</f>
        <v>#REF!</v>
      </c>
      <c r="DJ128" s="28" t="e">
        <f>#REF!</f>
        <v>#REF!</v>
      </c>
      <c r="DK128" s="28" t="e">
        <f>#REF!*2</f>
        <v>#REF!</v>
      </c>
      <c r="DL128" s="28" t="e">
        <f>#REF!</f>
        <v>#REF!</v>
      </c>
      <c r="DM128" s="28" t="e">
        <f>#REF!*2</f>
        <v>#REF!</v>
      </c>
      <c r="DN128" s="27"/>
      <c r="DO128" s="38" t="str" cm="1">
        <f t="array" ref="DO128">_xlfn.IFS(
   OR(CH128="",ISBLANK(CH128),CH128=0),0,
   ISNUMBER(MATCH(CH128,{2,3,5,7,11,13,17,19,23,29,31,37,41,43},0)),"소",
   AND(ISNUMBER(CH128),MOD(CH128,3)=0),"배",
   AND(ISNUMBER(CH128),CH128&gt;0),"자"
)</f>
        <v>배</v>
      </c>
      <c r="DP128" s="37" t="str" cm="1">
        <f t="array" ref="DP128">_xlfn.IFS(
   OR(CI128="",ISBLANK(CI128),CI128=0),0,
   ISNUMBER(MATCH(CI128,{2,3,5,7,11,13,17,19,23,29,31,37,41,43},0)),"소",
   AND(ISNUMBER(CI128),MOD(CI128,3)=0),"배",
   AND(ISNUMBER(CI128),CI128&gt;0),"자"
)</f>
        <v>소</v>
      </c>
      <c r="DQ128" s="37" t="str" cm="1">
        <f t="array" ref="DQ128">_xlfn.IFS(
   OR(CJ128="",ISBLANK(CJ128),CJ128=0),0,
   ISNUMBER(MATCH(CJ128,{2,3,5,7,11,13,17,19,23,29,31,37,41,43},0)),"소",
   AND(ISNUMBER(CJ128),MOD(CJ128,3)=0),"배",
   AND(ISNUMBER(CJ128),CJ128&gt;0),"자"
)</f>
        <v>배</v>
      </c>
      <c r="DR128" s="36" t="str" cm="1">
        <f t="array" ref="DR128">_xlfn.IFS(
   OR(CK128="",ISBLANK(CK128),CK128=0),0,
   ISNUMBER(MATCH(CK128,{2,3,5,7,11,13,17,19,23,29,31,37,41,43},0)),"소",
   AND(ISNUMBER(CK128),MOD(CK128,3)=0),"배",
   AND(ISNUMBER(CK128),CK128&gt;0),"자"
)</f>
        <v>소</v>
      </c>
      <c r="DS128" s="26" t="str" cm="1">
        <f t="array" ref="DS128">_xlfn.IFS(
   OR(CL128="",ISBLANK(CL128),CL128=0),0,
   ISNUMBER(MATCH(CL128,{2,3,5,7,11,13,17,19,23,29,31,37,41,43},0)),"소",
   AND(ISNUMBER(CL128),MOD(CL128,3)=0),"배",
   AND(ISNUMBER(CL128),CL128&gt;0),"자"
)</f>
        <v>소</v>
      </c>
      <c r="DT128" s="25"/>
    </row>
    <row r="129" spans="2:124" x14ac:dyDescent="0.3">
      <c r="B129" s="3">
        <v>1</v>
      </c>
      <c r="C129" s="3">
        <v>7</v>
      </c>
      <c r="D129" s="3">
        <v>9</v>
      </c>
      <c r="E129" s="3">
        <v>17</v>
      </c>
      <c r="F129" s="3">
        <v>27</v>
      </c>
      <c r="G129" s="3">
        <v>38</v>
      </c>
      <c r="H129" s="32"/>
      <c r="I129" s="3">
        <f>IF(OR(B129="",ISBLANK(B129),B129=0),0,IF(MOD(B129,2)=1,1,2))</f>
        <v>1</v>
      </c>
      <c r="J129" s="3">
        <f>IF(OR(C129="",ISBLANK(C129),C129=0),0,IF(MOD(C129,2)=1,1,2))</f>
        <v>1</v>
      </c>
      <c r="K129" s="3">
        <f>IF(OR(D129="",ISBLANK(D129),D129=0),0,IF(MOD(D129,2)=1,1,2))</f>
        <v>1</v>
      </c>
      <c r="L129" s="3">
        <f>IF(OR(E129="",ISBLANK(E129),E129=0),0,IF(MOD(E129,2)=1,1,2))</f>
        <v>1</v>
      </c>
      <c r="M129" s="3">
        <f>IF(OR(F129="",ISBLANK(F129),F129=0),0,IF(MOD(F129,2)=1,1,2))</f>
        <v>1</v>
      </c>
      <c r="N129" s="3">
        <f>IF(OR(G129="",ISBLANK(G129),G129=0),0,IF(MOD(G129,2)=1,1,2))</f>
        <v>2</v>
      </c>
      <c r="O129" s="32"/>
      <c r="P129" s="3" cm="1">
        <f t="array" ref="P129">SUMPRODUCT(--(MOD(B129:G129,2)=1))</f>
        <v>5</v>
      </c>
      <c r="Q129" s="3">
        <f>6-P129</f>
        <v>1</v>
      </c>
      <c r="R129" s="34"/>
      <c r="S129" s="3">
        <f>COUNTIFS(B129:G129,"&gt;=1",B129:G129,"&lt;=23")</f>
        <v>4</v>
      </c>
      <c r="T129" s="3">
        <f>6-S129</f>
        <v>2</v>
      </c>
      <c r="U129" s="34"/>
      <c r="V129" s="3" cm="1">
        <f t="array" ref="V129">SUMPRODUCT(--(MOD(B129:G129,10)&gt;=1), --(MOD(B129:G129,10)&lt;=5))</f>
        <v>1</v>
      </c>
      <c r="W129" s="3">
        <f>6-V129</f>
        <v>5</v>
      </c>
      <c r="X129" s="34"/>
      <c r="Y129" s="3" cm="1">
        <f t="array" ref="Y129">IFERROR(COUNT(_xlfn._xlws.FILTER(B129:G129, ISNUMBER(MATCH(B129:G129, {2,3,5,7,11,13,17,19,23,29,31,37,41,43}, 0)))), 0)</f>
        <v>2</v>
      </c>
      <c r="Z129" s="3" cm="1">
        <f t="array" ref="Z129">IFERROR(COUNT(_xlfn._xlws.FILTER(B129:G129, ISNUMBER(MATCH(B129:G129, {1,4,8,10,14,16,20,22,25,26,28,32,34,35,38,40,44}, 0)))), 0)</f>
        <v>2</v>
      </c>
      <c r="AA129" s="3" cm="1">
        <f t="array" ref="AA129">IFERROR(COUNT(_xlfn._xlws.FILTER(B129:G129, ISNUMBER(MATCH(B129:G129, {6,9,12,15,18,21,24,27,30,33,36,39,42,45}, 0)))), 0)</f>
        <v>2</v>
      </c>
      <c r="AB129" s="30"/>
      <c r="AC129" s="26" t="str" cm="1">
        <f t="array" ref="AC129">_xlfn.IFS(
   OR(B129="",ISBLANK(B129),B129=0),0,
   ISNUMBER(MATCH(B129,{2,3,5,7,11,13,17,19,23,29,31,37,41,43},0)),"소",
   AND(ISNUMBER(B129),MOD(B129,3)=0),"배",
   AND(ISNUMBER(B129),B129&gt;0),"자"
)</f>
        <v>자</v>
      </c>
      <c r="AD129" s="26" t="str" cm="1">
        <f t="array" ref="AD129">_xlfn.IFS(
   OR(C129="",ISBLANK(C129),C129=0),0,
   ISNUMBER(MATCH(C129,{2,3,5,7,11,13,17,19,23,29,31,37,41,43},0)),"소",
   AND(ISNUMBER(C129),MOD(C129,3)=0),"배",
   AND(ISNUMBER(C129),C129&gt;0),"자"
)</f>
        <v>소</v>
      </c>
      <c r="AE129" s="26" t="str" cm="1">
        <f t="array" ref="AE129">_xlfn.IFS(
   OR(D129="",ISBLANK(D129),D129=0),0,
   ISNUMBER(MATCH(D129,{2,3,5,7,11,13,17,19,23,29,31,37,41,43},0)),"소",
   AND(ISNUMBER(D129),MOD(D129,3)=0),"배",
   AND(ISNUMBER(D129),D129&gt;0),"자"
)</f>
        <v>배</v>
      </c>
      <c r="AF129" s="26" t="str" cm="1">
        <f t="array" ref="AF129">_xlfn.IFS(
   OR(E129="",ISBLANK(E129),E129=0),0,
   ISNUMBER(MATCH(E129,{2,3,5,7,11,13,17,19,23,29,31,37,41,43},0)),"소",
   AND(ISNUMBER(E129),MOD(E129,3)=0),"배",
   AND(ISNUMBER(E129),E129&gt;0),"자"
)</f>
        <v>소</v>
      </c>
      <c r="AG129" s="26" t="str" cm="1">
        <f t="array" ref="AG129">_xlfn.IFS(
   OR(F129="",ISBLANK(F129),F129=0),0,
   ISNUMBER(MATCH(F129,{2,3,5,7,11,13,17,19,23,29,31,37,41,43},0)),"소",
   AND(ISNUMBER(F129),MOD(F129,3)=0),"배",
   AND(ISNUMBER(F129),F129&gt;0),"자"
)</f>
        <v>배</v>
      </c>
      <c r="AH129" s="26" t="str" cm="1">
        <f t="array" ref="AH129">_xlfn.IFS(
   OR(G129="",ISBLANK(G129),G129=0),0,
   ISNUMBER(MATCH(G129,{2,3,5,7,11,13,17,19,23,29,31,37,41,43},0)),"소",
   AND(ISNUMBER(G129),MOD(G129,3)=0),"배",
   AND(ISNUMBER(G129),G129&gt;0),"자"
)</f>
        <v>자</v>
      </c>
      <c r="AI129" s="30"/>
      <c r="AJ129" s="3">
        <f>COUNTIFS(B129:G129,"&gt;=1",B129:G129,"&lt;=14")</f>
        <v>3</v>
      </c>
      <c r="AK129" s="3">
        <f>COUNTIFS(B129:G129,"&gt;=15",B129:G129,"&lt;=31")</f>
        <v>2</v>
      </c>
      <c r="AL129" s="3">
        <f>6-AK129-AJ129</f>
        <v>1</v>
      </c>
      <c r="AM129" s="33"/>
      <c r="AN129" s="3">
        <f>COUNTIFS($B129:$G129, "&gt;=1",$B129:$G129, "&lt;=9")</f>
        <v>3</v>
      </c>
      <c r="AO129" s="3">
        <f>COUNTIFS($B129:$G129, "&gt;=10",$B129:$G129, "&lt;=18")</f>
        <v>1</v>
      </c>
      <c r="AP129" s="3">
        <f>COUNTIFS($B129:$G129, "&gt;=19",$B129:$G129, "&lt;=27")</f>
        <v>1</v>
      </c>
      <c r="AQ129" s="3">
        <f>COUNTIFS($B129:$G129, "&gt;=28",$B129:$G129, "&lt;=36")</f>
        <v>0</v>
      </c>
      <c r="AR129" s="3">
        <f>COUNTIFS($B129:$G129, "&gt;=37",$B129:$G129, "&lt;=45")</f>
        <v>1</v>
      </c>
      <c r="AS129" s="28" t="e">
        <f>#REF!</f>
        <v>#REF!</v>
      </c>
      <c r="AT129" s="28" t="e">
        <f>#REF!*2</f>
        <v>#REF!</v>
      </c>
      <c r="AU129" s="28" t="e">
        <f>#REF!</f>
        <v>#REF!</v>
      </c>
      <c r="AV129" s="28" t="e">
        <f>#REF!*2</f>
        <v>#REF!</v>
      </c>
      <c r="AW129" s="28" t="e">
        <f>#REF!</f>
        <v>#REF!</v>
      </c>
      <c r="AX129" s="28" t="e">
        <f>#REF!*2</f>
        <v>#REF!</v>
      </c>
      <c r="AY129" s="28" t="e">
        <f>#REF!</f>
        <v>#REF!</v>
      </c>
      <c r="AZ129" s="28" t="e">
        <f>#REF!*2</f>
        <v>#REF!</v>
      </c>
      <c r="BA129" s="28" t="e">
        <f>#REF!</f>
        <v>#REF!</v>
      </c>
      <c r="BB129" s="28" t="e">
        <f>#REF!*2</f>
        <v>#REF!</v>
      </c>
      <c r="BC129" s="28" t="e">
        <f>#REF!</f>
        <v>#REF!</v>
      </c>
      <c r="BD129" s="28" t="e">
        <f>#REF!*2</f>
        <v>#REF!</v>
      </c>
      <c r="BE129" s="9" t="e">
        <f>#REF!-#REF!</f>
        <v>#REF!</v>
      </c>
      <c r="BF129" s="9" t="e">
        <f>#REF!-#REF!</f>
        <v>#REF!</v>
      </c>
      <c r="BG129" s="9" t="e">
        <f>#REF!-#REF!</f>
        <v>#REF!</v>
      </c>
      <c r="BH129" s="9" t="e">
        <f>#REF!-#REF!</f>
        <v>#REF!</v>
      </c>
      <c r="BI129" s="9" t="e">
        <f>#REF!-#REF!</f>
        <v>#REF!</v>
      </c>
      <c r="BJ129" s="33"/>
      <c r="BK129" s="3">
        <f>COUNTIFS(B129:G129, "&gt;=1", B129:G129, "&lt;=9")</f>
        <v>3</v>
      </c>
      <c r="BL129" s="3">
        <f>COUNTIFS(B129:G129, "&gt;=10", B129:G129, "&lt;=19")</f>
        <v>1</v>
      </c>
      <c r="BM129" s="3">
        <f>COUNTIFS(B129:G129, "&gt;=20", B129:G129, "&lt;=29")</f>
        <v>1</v>
      </c>
      <c r="BN129" s="3">
        <f>COUNTIFS(B129:G129, "&gt;=30", B129:G129, "&lt;=39")</f>
        <v>1</v>
      </c>
      <c r="BO129" s="3">
        <f>COUNTIFS(B129:G129, "&gt;=40", B129:G129, "&lt;=45")</f>
        <v>0</v>
      </c>
      <c r="BP129" s="28" t="e">
        <f>#REF!</f>
        <v>#REF!</v>
      </c>
      <c r="BQ129" s="28" t="e">
        <f>#REF!*2</f>
        <v>#REF!</v>
      </c>
      <c r="BR129" s="28" t="e">
        <f>#REF!</f>
        <v>#REF!</v>
      </c>
      <c r="BS129" s="28" t="e">
        <f>#REF!*2</f>
        <v>#REF!</v>
      </c>
      <c r="BT129" s="28" t="e">
        <f>#REF!</f>
        <v>#REF!</v>
      </c>
      <c r="BU129" s="28" t="e">
        <f>#REF!*2</f>
        <v>#REF!</v>
      </c>
      <c r="BV129" s="28" t="e">
        <f>#REF!</f>
        <v>#REF!</v>
      </c>
      <c r="BW129" s="28" t="e">
        <f>#REF!*2</f>
        <v>#REF!</v>
      </c>
      <c r="BX129" s="28" t="e">
        <f>#REF!</f>
        <v>#REF!</v>
      </c>
      <c r="BY129" s="28" t="e">
        <f>#REF!*2</f>
        <v>#REF!</v>
      </c>
      <c r="BZ129" s="28" t="e">
        <f>#REF!</f>
        <v>#REF!</v>
      </c>
      <c r="CA129" s="28" t="e">
        <f>#REF!*2</f>
        <v>#REF!</v>
      </c>
      <c r="CB129" s="9">
        <f>C129-B129</f>
        <v>6</v>
      </c>
      <c r="CC129" s="9">
        <f>D129-C129</f>
        <v>2</v>
      </c>
      <c r="CD129" s="9">
        <f>E129-D129</f>
        <v>8</v>
      </c>
      <c r="CE129" s="9">
        <f>F129-E129</f>
        <v>10</v>
      </c>
      <c r="CF129" s="9">
        <f>G129-F129</f>
        <v>11</v>
      </c>
      <c r="CG129" s="33"/>
      <c r="CH129" s="9">
        <f>C129-B129</f>
        <v>6</v>
      </c>
      <c r="CI129" s="9">
        <f>D129-C129</f>
        <v>2</v>
      </c>
      <c r="CJ129" s="9">
        <f>E129-D129</f>
        <v>8</v>
      </c>
      <c r="CK129" s="9">
        <f>F129-E129</f>
        <v>10</v>
      </c>
      <c r="CL129" s="9">
        <f>G129-F129</f>
        <v>11</v>
      </c>
      <c r="CM129" s="32"/>
      <c r="CN129" s="3">
        <f>IF(OR(CH129="",ISBLANK(CH129),CH129=0),0,IF(MOD(CH129,2)=1,1,2))</f>
        <v>2</v>
      </c>
      <c r="CO129" s="3">
        <f>IF(OR(CI129="",ISBLANK(CI129),CI129=0),0,IF(MOD(CI129,2)=1,1,2))</f>
        <v>2</v>
      </c>
      <c r="CP129" s="3">
        <f>IF(OR(CJ129="",ISBLANK(CJ129),CJ129=0),0,IF(MOD(CJ129,2)=1,1,2))</f>
        <v>2</v>
      </c>
      <c r="CQ129" s="3">
        <f>IF(OR(CK129="",ISBLANK(CK129),CK129=0),0,IF(MOD(CK129,2)=1,1,2))</f>
        <v>2</v>
      </c>
      <c r="CR129" s="3">
        <f>IF(OR(CL129="",ISBLANK(CL129),CL129=0),0,IF(MOD(CL129,2)=1,1,2))</f>
        <v>1</v>
      </c>
      <c r="CS129" s="31"/>
      <c r="CT129" s="3" cm="1">
        <f t="array" ref="CT129">SUMPRODUCT(--(MOD(CH129:CL129,2)=1))</f>
        <v>1</v>
      </c>
      <c r="CU129" s="3">
        <f>5-CT129</f>
        <v>4</v>
      </c>
      <c r="CV129" s="30"/>
      <c r="CW129" s="3" cm="1">
        <f t="array" ref="CW129">SUMPRODUCT(--(MOD(CH129:CL129,10)&gt;=1), --(MOD(CH129:CL129,10)&lt;=5))</f>
        <v>2</v>
      </c>
      <c r="CX129" s="3">
        <f>5-CW129</f>
        <v>3</v>
      </c>
      <c r="CY129" s="30"/>
      <c r="CZ129" s="3" cm="1">
        <f t="array" ref="CZ129">IFERROR(COUNT(_xlfn._xlws.FILTER(CH129:CL129, ISNUMBER(MATCH(CH129:CL129, {2,3,5,7,11,13,17,19,23,29,31,37,41,43}, 0)))), 0)</f>
        <v>2</v>
      </c>
      <c r="DA129" s="3" cm="1">
        <f t="array" ref="DA129">IFERROR(COUNT(_xlfn._xlws.FILTER(CH129:CL129, ISNUMBER(MATCH(CH129:CL129, {1,4,8,10,14,16,20,22,25,26,28,32,34,35,38,40,44}, 0)))), 0)</f>
        <v>2</v>
      </c>
      <c r="DB129" s="3" cm="1">
        <f t="array" ref="DB129">IFERROR(COUNT(_xlfn._xlws.FILTER(CH129:CL129, ISNUMBER(MATCH(CH129:CL129, {6,9,12,15,18,21,24,27,30,33,36,39,42,45}, 0)))), 0)</f>
        <v>1</v>
      </c>
      <c r="DC129" s="29"/>
      <c r="DD129" s="28" t="e">
        <f>#REF!</f>
        <v>#REF!</v>
      </c>
      <c r="DE129" s="28" t="e">
        <f>#REF!*2</f>
        <v>#REF!</v>
      </c>
      <c r="DF129" s="28" t="e">
        <f>#REF!</f>
        <v>#REF!</v>
      </c>
      <c r="DG129" s="28" t="e">
        <f>#REF!*2</f>
        <v>#REF!</v>
      </c>
      <c r="DH129" s="28" t="e">
        <f>#REF!</f>
        <v>#REF!</v>
      </c>
      <c r="DI129" s="28" t="e">
        <f>#REF!*2</f>
        <v>#REF!</v>
      </c>
      <c r="DJ129" s="28" t="e">
        <f>#REF!</f>
        <v>#REF!</v>
      </c>
      <c r="DK129" s="28" t="e">
        <f>#REF!*2</f>
        <v>#REF!</v>
      </c>
      <c r="DL129" s="28" t="e">
        <f>#REF!</f>
        <v>#REF!</v>
      </c>
      <c r="DM129" s="28" t="e">
        <f>#REF!*2</f>
        <v>#REF!</v>
      </c>
      <c r="DN129" s="27"/>
      <c r="DO129" s="26" t="str" cm="1">
        <f t="array" ref="DO129">_xlfn.IFS(
   OR(CH129="",ISBLANK(CH129),CH129=0),0,
   ISNUMBER(MATCH(CH129,{2,3,5,7,11,13,17,19,23,29,31,37,41,43},0)),"소",
   AND(ISNUMBER(CH129),MOD(CH129,3)=0),"배",
   AND(ISNUMBER(CH129),CH129&gt;0),"자"
)</f>
        <v>배</v>
      </c>
      <c r="DP129" s="26" t="str" cm="1">
        <f t="array" ref="DP129">_xlfn.IFS(
   OR(CI129="",ISBLANK(CI129),CI129=0),0,
   ISNUMBER(MATCH(CI129,{2,3,5,7,11,13,17,19,23,29,31,37,41,43},0)),"소",
   AND(ISNUMBER(CI129),MOD(CI129,3)=0),"배",
   AND(ISNUMBER(CI129),CI129&gt;0),"자"
)</f>
        <v>소</v>
      </c>
      <c r="DQ129" s="26" t="str" cm="1">
        <f t="array" ref="DQ129">_xlfn.IFS(
   OR(CJ129="",ISBLANK(CJ129),CJ129=0),0,
   ISNUMBER(MATCH(CJ129,{2,3,5,7,11,13,17,19,23,29,31,37,41,43},0)),"소",
   AND(ISNUMBER(CJ129),MOD(CJ129,3)=0),"배",
   AND(ISNUMBER(CJ129),CJ129&gt;0),"자"
)</f>
        <v>자</v>
      </c>
      <c r="DR129" s="26" t="str" cm="1">
        <f t="array" ref="DR129">_xlfn.IFS(
   OR(CK129="",ISBLANK(CK129),CK129=0),0,
   ISNUMBER(MATCH(CK129,{2,3,5,7,11,13,17,19,23,29,31,37,41,43},0)),"소",
   AND(ISNUMBER(CK129),MOD(CK129,3)=0),"배",
   AND(ISNUMBER(CK129),CK129&gt;0),"자"
)</f>
        <v>자</v>
      </c>
      <c r="DS129" s="26" t="str" cm="1">
        <f t="array" ref="DS129">_xlfn.IFS(
   OR(CL129="",ISBLANK(CL129),CL129=0),0,
   ISNUMBER(MATCH(CL129,{2,3,5,7,11,13,17,19,23,29,31,37,41,43},0)),"소",
   AND(ISNUMBER(CL129),MOD(CL129,3)=0),"배",
   AND(ISNUMBER(CL129),CL129&gt;0),"자"
)</f>
        <v>소</v>
      </c>
      <c r="DT129" s="25"/>
    </row>
    <row r="130" spans="2:124" ht="14.25" thickBot="1" x14ac:dyDescent="0.35">
      <c r="B130" s="3">
        <v>23</v>
      </c>
      <c r="C130" s="3">
        <v>26</v>
      </c>
      <c r="D130" s="3">
        <v>27</v>
      </c>
      <c r="E130" s="3">
        <v>35</v>
      </c>
      <c r="F130" s="3">
        <v>38</v>
      </c>
      <c r="G130" s="3">
        <v>40</v>
      </c>
      <c r="H130" s="32"/>
      <c r="I130" s="3">
        <f>IF(OR(B130="",ISBLANK(B130),B130=0),0,IF(MOD(B130,2)=1,1,2))</f>
        <v>1</v>
      </c>
      <c r="J130" s="3">
        <f>IF(OR(C130="",ISBLANK(C130),C130=0),0,IF(MOD(C130,2)=1,1,2))</f>
        <v>2</v>
      </c>
      <c r="K130" s="3">
        <f>IF(OR(D130="",ISBLANK(D130),D130=0),0,IF(MOD(D130,2)=1,1,2))</f>
        <v>1</v>
      </c>
      <c r="L130" s="3">
        <f>IF(OR(E130="",ISBLANK(E130),E130=0),0,IF(MOD(E130,2)=1,1,2))</f>
        <v>1</v>
      </c>
      <c r="M130" s="3">
        <f>IF(OR(F130="",ISBLANK(F130),F130=0),0,IF(MOD(F130,2)=1,1,2))</f>
        <v>2</v>
      </c>
      <c r="N130" s="3">
        <f>IF(OR(G130="",ISBLANK(G130),G130=0),0,IF(MOD(G130,2)=1,1,2))</f>
        <v>2</v>
      </c>
      <c r="O130" s="32"/>
      <c r="P130" s="3" cm="1">
        <f t="array" ref="P130">SUMPRODUCT(--(MOD(B130:G130,2)=1))</f>
        <v>3</v>
      </c>
      <c r="Q130" s="3">
        <f>6-P130</f>
        <v>3</v>
      </c>
      <c r="R130" s="34"/>
      <c r="S130" s="3">
        <f>COUNTIFS(B130:G130,"&gt;=1",B130:G130,"&lt;=23")</f>
        <v>1</v>
      </c>
      <c r="T130" s="3">
        <f>6-S130</f>
        <v>5</v>
      </c>
      <c r="U130" s="34"/>
      <c r="V130" s="3" cm="1">
        <f t="array" ref="V130">SUMPRODUCT(--(MOD(B130:G130,10)&gt;=1), --(MOD(B130:G130,10)&lt;=5))</f>
        <v>2</v>
      </c>
      <c r="W130" s="3">
        <f>6-V130</f>
        <v>4</v>
      </c>
      <c r="X130" s="34"/>
      <c r="Y130" s="3" cm="1">
        <f t="array" ref="Y130">IFERROR(COUNT(_xlfn._xlws.FILTER(B130:G130, ISNUMBER(MATCH(B130:G130, {2,3,5,7,11,13,17,19,23,29,31,37,41,43}, 0)))), 0)</f>
        <v>1</v>
      </c>
      <c r="Z130" s="3" cm="1">
        <f t="array" ref="Z130">IFERROR(COUNT(_xlfn._xlws.FILTER(B130:G130, ISNUMBER(MATCH(B130:G130, {1,4,8,10,14,16,20,22,25,26,28,32,34,35,38,40,44}, 0)))), 0)</f>
        <v>4</v>
      </c>
      <c r="AA130" s="3" cm="1">
        <f t="array" ref="AA130">IFERROR(COUNT(_xlfn._xlws.FILTER(B130:G130, ISNUMBER(MATCH(B130:G130, {6,9,12,15,18,21,24,27,30,33,36,39,42,45}, 0)))), 0)</f>
        <v>1</v>
      </c>
      <c r="AB130" s="30"/>
      <c r="AC130" s="26" t="str" cm="1">
        <f t="array" ref="AC130">_xlfn.IFS(
   OR(B130="",ISBLANK(B130),B130=0),0,
   ISNUMBER(MATCH(B130,{2,3,5,7,11,13,17,19,23,29,31,37,41,43},0)),"소",
   AND(ISNUMBER(B130),MOD(B130,3)=0),"배",
   AND(ISNUMBER(B130),B130&gt;0),"자"
)</f>
        <v>소</v>
      </c>
      <c r="AD130" s="26" t="str" cm="1">
        <f t="array" ref="AD130">_xlfn.IFS(
   OR(C130="",ISBLANK(C130),C130=0),0,
   ISNUMBER(MATCH(C130,{2,3,5,7,11,13,17,19,23,29,31,37,41,43},0)),"소",
   AND(ISNUMBER(C130),MOD(C130,3)=0),"배",
   AND(ISNUMBER(C130),C130&gt;0),"자"
)</f>
        <v>자</v>
      </c>
      <c r="AE130" s="26" t="str" cm="1">
        <f t="array" ref="AE130">_xlfn.IFS(
   OR(D130="",ISBLANK(D130),D130=0),0,
   ISNUMBER(MATCH(D130,{2,3,5,7,11,13,17,19,23,29,31,37,41,43},0)),"소",
   AND(ISNUMBER(D130),MOD(D130,3)=0),"배",
   AND(ISNUMBER(D130),D130&gt;0),"자"
)</f>
        <v>배</v>
      </c>
      <c r="AF130" s="26" t="str" cm="1">
        <f t="array" ref="AF130">_xlfn.IFS(
   OR(E130="",ISBLANK(E130),E130=0),0,
   ISNUMBER(MATCH(E130,{2,3,5,7,11,13,17,19,23,29,31,37,41,43},0)),"소",
   AND(ISNUMBER(E130),MOD(E130,3)=0),"배",
   AND(ISNUMBER(E130),E130&gt;0),"자"
)</f>
        <v>자</v>
      </c>
      <c r="AG130" s="26" t="str" cm="1">
        <f t="array" ref="AG130">_xlfn.IFS(
   OR(F130="",ISBLANK(F130),F130=0),0,
   ISNUMBER(MATCH(F130,{2,3,5,7,11,13,17,19,23,29,31,37,41,43},0)),"소",
   AND(ISNUMBER(F130),MOD(F130,3)=0),"배",
   AND(ISNUMBER(F130),F130&gt;0),"자"
)</f>
        <v>자</v>
      </c>
      <c r="AH130" s="26" t="str" cm="1">
        <f t="array" ref="AH130">_xlfn.IFS(
   OR(G130="",ISBLANK(G130),G130=0),0,
   ISNUMBER(MATCH(G130,{2,3,5,7,11,13,17,19,23,29,31,37,41,43},0)),"소",
   AND(ISNUMBER(G130),MOD(G130,3)=0),"배",
   AND(ISNUMBER(G130),G130&gt;0),"자"
)</f>
        <v>자</v>
      </c>
      <c r="AI130" s="30"/>
      <c r="AJ130" s="3">
        <f>COUNTIFS(B130:G130,"&gt;=1",B130:G130,"&lt;=14")</f>
        <v>0</v>
      </c>
      <c r="AK130" s="3">
        <f>COUNTIFS(B130:G130,"&gt;=15",B130:G130,"&lt;=31")</f>
        <v>3</v>
      </c>
      <c r="AL130" s="3">
        <f>6-AK130-AJ130</f>
        <v>3</v>
      </c>
      <c r="AM130" s="33"/>
      <c r="AN130" s="3">
        <f>COUNTIFS($B130:$G130, "&gt;=1",$B130:$G130, "&lt;=9")</f>
        <v>0</v>
      </c>
      <c r="AO130" s="3">
        <f>COUNTIFS($B130:$G130, "&gt;=10",$B130:$G130, "&lt;=18")</f>
        <v>0</v>
      </c>
      <c r="AP130" s="3">
        <f>COUNTIFS($B130:$G130, "&gt;=19",$B130:$G130, "&lt;=27")</f>
        <v>3</v>
      </c>
      <c r="AQ130" s="3">
        <f>COUNTIFS($B130:$G130, "&gt;=28",$B130:$G130, "&lt;=36")</f>
        <v>1</v>
      </c>
      <c r="AR130" s="3">
        <f>COUNTIFS($B130:$G130, "&gt;=37",$B130:$G130, "&lt;=45")</f>
        <v>2</v>
      </c>
      <c r="AS130" s="28" t="e">
        <f>#REF!</f>
        <v>#REF!</v>
      </c>
      <c r="AT130" s="28" t="e">
        <f>#REF!*2</f>
        <v>#REF!</v>
      </c>
      <c r="AU130" s="28" t="e">
        <f>#REF!</f>
        <v>#REF!</v>
      </c>
      <c r="AV130" s="28" t="e">
        <f>#REF!*2</f>
        <v>#REF!</v>
      </c>
      <c r="AW130" s="28" t="e">
        <f>#REF!</f>
        <v>#REF!</v>
      </c>
      <c r="AX130" s="28" t="e">
        <f>#REF!*2</f>
        <v>#REF!</v>
      </c>
      <c r="AY130" s="28" t="e">
        <f>#REF!</f>
        <v>#REF!</v>
      </c>
      <c r="AZ130" s="28" t="e">
        <f>#REF!*2</f>
        <v>#REF!</v>
      </c>
      <c r="BA130" s="28" t="e">
        <f>#REF!</f>
        <v>#REF!</v>
      </c>
      <c r="BB130" s="28" t="e">
        <f>#REF!*2</f>
        <v>#REF!</v>
      </c>
      <c r="BC130" s="28" t="e">
        <f>#REF!</f>
        <v>#REF!</v>
      </c>
      <c r="BD130" s="28" t="e">
        <f>#REF!*2</f>
        <v>#REF!</v>
      </c>
      <c r="BE130" s="9" t="e">
        <f>#REF!-#REF!</f>
        <v>#REF!</v>
      </c>
      <c r="BF130" s="9" t="e">
        <f>#REF!-#REF!</f>
        <v>#REF!</v>
      </c>
      <c r="BG130" s="9" t="e">
        <f>#REF!-#REF!</f>
        <v>#REF!</v>
      </c>
      <c r="BH130" s="9" t="e">
        <f>#REF!-#REF!</f>
        <v>#REF!</v>
      </c>
      <c r="BI130" s="9" t="e">
        <f>#REF!-#REF!</f>
        <v>#REF!</v>
      </c>
      <c r="BJ130" s="33"/>
      <c r="BK130" s="3">
        <f>COUNTIFS(B130:G130, "&gt;=1", B130:G130, "&lt;=9")</f>
        <v>0</v>
      </c>
      <c r="BL130" s="3">
        <f>COUNTIFS(B130:G130, "&gt;=10", B130:G130, "&lt;=19")</f>
        <v>0</v>
      </c>
      <c r="BM130" s="3">
        <f>COUNTIFS(B130:G130, "&gt;=20", B130:G130, "&lt;=29")</f>
        <v>3</v>
      </c>
      <c r="BN130" s="3">
        <f>COUNTIFS(B130:G130, "&gt;=30", B130:G130, "&lt;=39")</f>
        <v>2</v>
      </c>
      <c r="BO130" s="3">
        <f>COUNTIFS(B130:G130, "&gt;=40", B130:G130, "&lt;=45")</f>
        <v>1</v>
      </c>
      <c r="BP130" s="28" t="e">
        <f>#REF!</f>
        <v>#REF!</v>
      </c>
      <c r="BQ130" s="28" t="e">
        <f>#REF!*2</f>
        <v>#REF!</v>
      </c>
      <c r="BR130" s="28" t="e">
        <f>#REF!</f>
        <v>#REF!</v>
      </c>
      <c r="BS130" s="28" t="e">
        <f>#REF!*2</f>
        <v>#REF!</v>
      </c>
      <c r="BT130" s="28" t="e">
        <f>#REF!</f>
        <v>#REF!</v>
      </c>
      <c r="BU130" s="28" t="e">
        <f>#REF!*2</f>
        <v>#REF!</v>
      </c>
      <c r="BV130" s="28" t="e">
        <f>#REF!</f>
        <v>#REF!</v>
      </c>
      <c r="BW130" s="28" t="e">
        <f>#REF!*2</f>
        <v>#REF!</v>
      </c>
      <c r="BX130" s="28" t="e">
        <f>#REF!</f>
        <v>#REF!</v>
      </c>
      <c r="BY130" s="28" t="e">
        <f>#REF!*2</f>
        <v>#REF!</v>
      </c>
      <c r="BZ130" s="28" t="e">
        <f>#REF!</f>
        <v>#REF!</v>
      </c>
      <c r="CA130" s="28" t="e">
        <f>#REF!*2</f>
        <v>#REF!</v>
      </c>
      <c r="CB130" s="9">
        <f>C130-B130</f>
        <v>3</v>
      </c>
      <c r="CC130" s="9">
        <f>D130-C130</f>
        <v>1</v>
      </c>
      <c r="CD130" s="9">
        <f>E130-D130</f>
        <v>8</v>
      </c>
      <c r="CE130" s="9">
        <f>F130-E130</f>
        <v>3</v>
      </c>
      <c r="CF130" s="9">
        <f>G130-F130</f>
        <v>2</v>
      </c>
      <c r="CG130" s="33"/>
      <c r="CH130" s="9">
        <f>C130-B130</f>
        <v>3</v>
      </c>
      <c r="CI130" s="9">
        <f>D130-C130</f>
        <v>1</v>
      </c>
      <c r="CJ130" s="9">
        <f>E130-D130</f>
        <v>8</v>
      </c>
      <c r="CK130" s="9">
        <f>F130-E130</f>
        <v>3</v>
      </c>
      <c r="CL130" s="9">
        <f>G130-F130</f>
        <v>2</v>
      </c>
      <c r="CM130" s="32"/>
      <c r="CN130" s="3">
        <f>IF(OR(CH130="",ISBLANK(CH130),CH130=0),0,IF(MOD(CH130,2)=1,1,2))</f>
        <v>1</v>
      </c>
      <c r="CO130" s="3">
        <f>IF(OR(CI130="",ISBLANK(CI130),CI130=0),0,IF(MOD(CI130,2)=1,1,2))</f>
        <v>1</v>
      </c>
      <c r="CP130" s="3">
        <f>IF(OR(CJ130="",ISBLANK(CJ130),CJ130=0),0,IF(MOD(CJ130,2)=1,1,2))</f>
        <v>2</v>
      </c>
      <c r="CQ130" s="3">
        <f>IF(OR(CK130="",ISBLANK(CK130),CK130=0),0,IF(MOD(CK130,2)=1,1,2))</f>
        <v>1</v>
      </c>
      <c r="CR130" s="3">
        <f>IF(OR(CL130="",ISBLANK(CL130),CL130=0),0,IF(MOD(CL130,2)=1,1,2))</f>
        <v>2</v>
      </c>
      <c r="CS130" s="31"/>
      <c r="CT130" s="3" cm="1">
        <f t="array" ref="CT130">SUMPRODUCT(--(MOD(CH130:CL130,2)=1))</f>
        <v>3</v>
      </c>
      <c r="CU130" s="3">
        <f>5-CT130</f>
        <v>2</v>
      </c>
      <c r="CV130" s="30"/>
      <c r="CW130" s="3" cm="1">
        <f t="array" ref="CW130">SUMPRODUCT(--(MOD(CH130:CL130,10)&gt;=1), --(MOD(CH130:CL130,10)&lt;=5))</f>
        <v>4</v>
      </c>
      <c r="CX130" s="3">
        <f>5-CW130</f>
        <v>1</v>
      </c>
      <c r="CY130" s="30"/>
      <c r="CZ130" s="3" cm="1">
        <f t="array" ref="CZ130">IFERROR(COUNT(_xlfn._xlws.FILTER(CH130:CL130, ISNUMBER(MATCH(CH130:CL130, {2,3,5,7,11,13,17,19,23,29,31,37,41,43}, 0)))), 0)</f>
        <v>3</v>
      </c>
      <c r="DA130" s="3" cm="1">
        <f t="array" ref="DA130">IFERROR(COUNT(_xlfn._xlws.FILTER(CH130:CL130, ISNUMBER(MATCH(CH130:CL130, {1,4,8,10,14,16,20,22,25,26,28,32,34,35,38,40,44}, 0)))), 0)</f>
        <v>2</v>
      </c>
      <c r="DB130" s="3" cm="1">
        <f t="array" ref="DB130">IFERROR(COUNT(_xlfn._xlws.FILTER(CH130:CL130, ISNUMBER(MATCH(CH130:CL130, {6,9,12,15,18,21,24,27,30,33,36,39,42,45}, 0)))), 0)</f>
        <v>0</v>
      </c>
      <c r="DC130" s="29"/>
      <c r="DD130" s="28" t="e">
        <f>#REF!</f>
        <v>#REF!</v>
      </c>
      <c r="DE130" s="28" t="e">
        <f>#REF!*2</f>
        <v>#REF!</v>
      </c>
      <c r="DF130" s="28" t="e">
        <f>#REF!</f>
        <v>#REF!</v>
      </c>
      <c r="DG130" s="28" t="e">
        <f>#REF!*2</f>
        <v>#REF!</v>
      </c>
      <c r="DH130" s="28" t="e">
        <f>#REF!</f>
        <v>#REF!</v>
      </c>
      <c r="DI130" s="28" t="e">
        <f>#REF!*2</f>
        <v>#REF!</v>
      </c>
      <c r="DJ130" s="28" t="e">
        <f>#REF!</f>
        <v>#REF!</v>
      </c>
      <c r="DK130" s="28" t="e">
        <f>#REF!*2</f>
        <v>#REF!</v>
      </c>
      <c r="DL130" s="28" t="e">
        <f>#REF!</f>
        <v>#REF!</v>
      </c>
      <c r="DM130" s="28" t="e">
        <f>#REF!*2</f>
        <v>#REF!</v>
      </c>
      <c r="DN130" s="27"/>
      <c r="DO130" s="26" t="str" cm="1">
        <f t="array" ref="DO130">_xlfn.IFS(
   OR(CH130="",ISBLANK(CH130),CH130=0),0,
   ISNUMBER(MATCH(CH130,{2,3,5,7,11,13,17,19,23,29,31,37,41,43},0)),"소",
   AND(ISNUMBER(CH130),MOD(CH130,3)=0),"배",
   AND(ISNUMBER(CH130),CH130&gt;0),"자"
)</f>
        <v>소</v>
      </c>
      <c r="DP130" s="26" t="str" cm="1">
        <f t="array" ref="DP130">_xlfn.IFS(
   OR(CI130="",ISBLANK(CI130),CI130=0),0,
   ISNUMBER(MATCH(CI130,{2,3,5,7,11,13,17,19,23,29,31,37,41,43},0)),"소",
   AND(ISNUMBER(CI130),MOD(CI130,3)=0),"배",
   AND(ISNUMBER(CI130),CI130&gt;0),"자"
)</f>
        <v>자</v>
      </c>
      <c r="DQ130" s="26" t="str" cm="1">
        <f t="array" ref="DQ130">_xlfn.IFS(
   OR(CJ130="",ISBLANK(CJ130),CJ130=0),0,
   ISNUMBER(MATCH(CJ130,{2,3,5,7,11,13,17,19,23,29,31,37,41,43},0)),"소",
   AND(ISNUMBER(CJ130),MOD(CJ130,3)=0),"배",
   AND(ISNUMBER(CJ130),CJ130&gt;0),"자"
)</f>
        <v>자</v>
      </c>
      <c r="DR130" s="26" t="str" cm="1">
        <f t="array" ref="DR130">_xlfn.IFS(
   OR(CK130="",ISBLANK(CK130),CK130=0),0,
   ISNUMBER(MATCH(CK130,{2,3,5,7,11,13,17,19,23,29,31,37,41,43},0)),"소",
   AND(ISNUMBER(CK130),MOD(CK130,3)=0),"배",
   AND(ISNUMBER(CK130),CK130&gt;0),"자"
)</f>
        <v>소</v>
      </c>
      <c r="DS130" s="26" t="str" cm="1">
        <f t="array" ref="DS130">_xlfn.IFS(
   OR(CL130="",ISBLANK(CL130),CL130=0),0,
   ISNUMBER(MATCH(CL130,{2,3,5,7,11,13,17,19,23,29,31,37,41,43},0)),"소",
   AND(ISNUMBER(CL130),MOD(CL130,3)=0),"배",
   AND(ISNUMBER(CL130),CL130&gt;0),"자"
)</f>
        <v>소</v>
      </c>
      <c r="DT130" s="25"/>
    </row>
    <row r="131" spans="2:124" ht="14.25" thickBot="1" x14ac:dyDescent="0.35">
      <c r="B131" s="3">
        <v>5</v>
      </c>
      <c r="C131" s="3">
        <v>8</v>
      </c>
      <c r="D131" s="3">
        <v>25</v>
      </c>
      <c r="E131" s="3">
        <v>31</v>
      </c>
      <c r="F131" s="3">
        <v>41</v>
      </c>
      <c r="G131" s="3">
        <v>44</v>
      </c>
      <c r="H131" s="32"/>
      <c r="I131" s="3">
        <f>IF(OR(B131="",ISBLANK(B131),B131=0),0,IF(MOD(B131,2)=1,1,2))</f>
        <v>1</v>
      </c>
      <c r="J131" s="3">
        <f>IF(OR(C131="",ISBLANK(C131),C131=0),0,IF(MOD(C131,2)=1,1,2))</f>
        <v>2</v>
      </c>
      <c r="K131" s="3">
        <f>IF(OR(D131="",ISBLANK(D131),D131=0),0,IF(MOD(D131,2)=1,1,2))</f>
        <v>1</v>
      </c>
      <c r="L131" s="3">
        <f>IF(OR(E131="",ISBLANK(E131),E131=0),0,IF(MOD(E131,2)=1,1,2))</f>
        <v>1</v>
      </c>
      <c r="M131" s="3">
        <f>IF(OR(F131="",ISBLANK(F131),F131=0),0,IF(MOD(F131,2)=1,1,2))</f>
        <v>1</v>
      </c>
      <c r="N131" s="3">
        <f>IF(OR(G131="",ISBLANK(G131),G131=0),0,IF(MOD(G131,2)=1,1,2))</f>
        <v>2</v>
      </c>
      <c r="O131" s="32"/>
      <c r="P131" s="3" cm="1">
        <f t="array" ref="P131">SUMPRODUCT(--(MOD(B131:G131,2)=1))</f>
        <v>4</v>
      </c>
      <c r="Q131" s="3">
        <f>6-P131</f>
        <v>2</v>
      </c>
      <c r="R131" s="34"/>
      <c r="S131" s="3">
        <f>COUNTIFS(B131:G131,"&gt;=1",B131:G131,"&lt;=23")</f>
        <v>2</v>
      </c>
      <c r="T131" s="3">
        <f>6-S131</f>
        <v>4</v>
      </c>
      <c r="U131" s="34"/>
      <c r="V131" s="3" cm="1">
        <f t="array" ref="V131">SUMPRODUCT(--(MOD(B131:G131,10)&gt;=1), --(MOD(B131:G131,10)&lt;=5))</f>
        <v>5</v>
      </c>
      <c r="W131" s="3">
        <f>6-V131</f>
        <v>1</v>
      </c>
      <c r="X131" s="34"/>
      <c r="Y131" s="3" cm="1">
        <f t="array" ref="Y131">IFERROR(COUNT(_xlfn._xlws.FILTER(B131:G131, ISNUMBER(MATCH(B131:G131, {2,3,5,7,11,13,17,19,23,29,31,37,41,43}, 0)))), 0)</f>
        <v>3</v>
      </c>
      <c r="Z131" s="3" cm="1">
        <f t="array" ref="Z131">IFERROR(COUNT(_xlfn._xlws.FILTER(B131:G131, ISNUMBER(MATCH(B131:G131, {1,4,8,10,14,16,20,22,25,26,28,32,34,35,38,40,44}, 0)))), 0)</f>
        <v>3</v>
      </c>
      <c r="AA131" s="3" cm="1">
        <f t="array" ref="AA131">IFERROR(COUNT(_xlfn._xlws.FILTER(B131:G131, ISNUMBER(MATCH(B131:G131, {6,9,12,15,18,21,24,27,30,33,36,39,42,45}, 0)))), 0)</f>
        <v>0</v>
      </c>
      <c r="AB131" s="30"/>
      <c r="AC131" s="26" t="str" cm="1">
        <f t="array" ref="AC131">_xlfn.IFS(
   OR(B131="",ISBLANK(B131),B131=0),0,
   ISNUMBER(MATCH(B131,{2,3,5,7,11,13,17,19,23,29,31,37,41,43},0)),"소",
   AND(ISNUMBER(B131),MOD(B131,3)=0),"배",
   AND(ISNUMBER(B131),B131&gt;0),"자"
)</f>
        <v>소</v>
      </c>
      <c r="AD131" s="26" t="str" cm="1">
        <f t="array" ref="AD131">_xlfn.IFS(
   OR(C131="",ISBLANK(C131),C131=0),0,
   ISNUMBER(MATCH(C131,{2,3,5,7,11,13,17,19,23,29,31,37,41,43},0)),"소",
   AND(ISNUMBER(C131),MOD(C131,3)=0),"배",
   AND(ISNUMBER(C131),C131&gt;0),"자"
)</f>
        <v>자</v>
      </c>
      <c r="AE131" s="26" t="str" cm="1">
        <f t="array" ref="AE131">_xlfn.IFS(
   OR(D131="",ISBLANK(D131),D131=0),0,
   ISNUMBER(MATCH(D131,{2,3,5,7,11,13,17,19,23,29,31,37,41,43},0)),"소",
   AND(ISNUMBER(D131),MOD(D131,3)=0),"배",
   AND(ISNUMBER(D131),D131&gt;0),"자"
)</f>
        <v>자</v>
      </c>
      <c r="AF131" s="26" t="str" cm="1">
        <f t="array" ref="AF131">_xlfn.IFS(
   OR(E131="",ISBLANK(E131),E131=0),0,
   ISNUMBER(MATCH(E131,{2,3,5,7,11,13,17,19,23,29,31,37,41,43},0)),"소",
   AND(ISNUMBER(E131),MOD(E131,3)=0),"배",
   AND(ISNUMBER(E131),E131&gt;0),"자"
)</f>
        <v>소</v>
      </c>
      <c r="AG131" s="26" t="str" cm="1">
        <f t="array" ref="AG131">_xlfn.IFS(
   OR(F131="",ISBLANK(F131),F131=0),0,
   ISNUMBER(MATCH(F131,{2,3,5,7,11,13,17,19,23,29,31,37,41,43},0)),"소",
   AND(ISNUMBER(F131),MOD(F131,3)=0),"배",
   AND(ISNUMBER(F131),F131&gt;0),"자"
)</f>
        <v>소</v>
      </c>
      <c r="AH131" s="26" t="str" cm="1">
        <f t="array" ref="AH131">_xlfn.IFS(
   OR(G131="",ISBLANK(G131),G131=0),0,
   ISNUMBER(MATCH(G131,{2,3,5,7,11,13,17,19,23,29,31,37,41,43},0)),"소",
   AND(ISNUMBER(G131),MOD(G131,3)=0),"배",
   AND(ISNUMBER(G131),G131&gt;0),"자"
)</f>
        <v>자</v>
      </c>
      <c r="AI131" s="30"/>
      <c r="AJ131" s="3">
        <f>COUNTIFS(B131:G131,"&gt;=1",B131:G131,"&lt;=14")</f>
        <v>2</v>
      </c>
      <c r="AK131" s="3">
        <f>COUNTIFS(B131:G131,"&gt;=15",B131:G131,"&lt;=31")</f>
        <v>2</v>
      </c>
      <c r="AL131" s="3">
        <f>6-AK131-AJ131</f>
        <v>2</v>
      </c>
      <c r="AM131" s="33"/>
      <c r="AN131" s="3">
        <f>COUNTIFS($B131:$G131, "&gt;=1",$B131:$G131, "&lt;=9")</f>
        <v>2</v>
      </c>
      <c r="AO131" s="3">
        <f>COUNTIFS($B131:$G131, "&gt;=10",$B131:$G131, "&lt;=18")</f>
        <v>0</v>
      </c>
      <c r="AP131" s="3">
        <f>COUNTIFS($B131:$G131, "&gt;=19",$B131:$G131, "&lt;=27")</f>
        <v>1</v>
      </c>
      <c r="AQ131" s="3">
        <f>COUNTIFS($B131:$G131, "&gt;=28",$B131:$G131, "&lt;=36")</f>
        <v>1</v>
      </c>
      <c r="AR131" s="3">
        <f>COUNTIFS($B131:$G131, "&gt;=37",$B131:$G131, "&lt;=45")</f>
        <v>2</v>
      </c>
      <c r="AS131" s="28" t="e">
        <f>#REF!</f>
        <v>#REF!</v>
      </c>
      <c r="AT131" s="28" t="e">
        <f>#REF!*2</f>
        <v>#REF!</v>
      </c>
      <c r="AU131" s="28" t="e">
        <f>#REF!</f>
        <v>#REF!</v>
      </c>
      <c r="AV131" s="28" t="e">
        <f>#REF!*2</f>
        <v>#REF!</v>
      </c>
      <c r="AW131" s="28" t="e">
        <f>#REF!</f>
        <v>#REF!</v>
      </c>
      <c r="AX131" s="28" t="e">
        <f>#REF!*2</f>
        <v>#REF!</v>
      </c>
      <c r="AY131" s="28" t="e">
        <f>#REF!</f>
        <v>#REF!</v>
      </c>
      <c r="AZ131" s="28" t="e">
        <f>#REF!*2</f>
        <v>#REF!</v>
      </c>
      <c r="BA131" s="28" t="e">
        <f>#REF!</f>
        <v>#REF!</v>
      </c>
      <c r="BB131" s="28" t="e">
        <f>#REF!*2</f>
        <v>#REF!</v>
      </c>
      <c r="BC131" s="28" t="e">
        <f>#REF!</f>
        <v>#REF!</v>
      </c>
      <c r="BD131" s="28" t="e">
        <f>#REF!*2</f>
        <v>#REF!</v>
      </c>
      <c r="BE131" s="9" t="e">
        <f>#REF!-#REF!</f>
        <v>#REF!</v>
      </c>
      <c r="BF131" s="9" t="e">
        <f>#REF!-#REF!</f>
        <v>#REF!</v>
      </c>
      <c r="BG131" s="9" t="e">
        <f>#REF!-#REF!</f>
        <v>#REF!</v>
      </c>
      <c r="BH131" s="9" t="e">
        <f>#REF!-#REF!</f>
        <v>#REF!</v>
      </c>
      <c r="BI131" s="9" t="e">
        <f>#REF!-#REF!</f>
        <v>#REF!</v>
      </c>
      <c r="BJ131" s="33"/>
      <c r="BK131" s="3">
        <f>COUNTIFS(B131:G131, "&gt;=1", B131:G131, "&lt;=9")</f>
        <v>2</v>
      </c>
      <c r="BL131" s="3">
        <f>COUNTIFS(B131:G131, "&gt;=10", B131:G131, "&lt;=19")</f>
        <v>0</v>
      </c>
      <c r="BM131" s="3">
        <f>COUNTIFS(B131:G131, "&gt;=20", B131:G131, "&lt;=29")</f>
        <v>1</v>
      </c>
      <c r="BN131" s="3">
        <f>COUNTIFS(B131:G131, "&gt;=30", B131:G131, "&lt;=39")</f>
        <v>1</v>
      </c>
      <c r="BO131" s="3">
        <f>COUNTIFS(B131:G131, "&gt;=40", B131:G131, "&lt;=45")</f>
        <v>2</v>
      </c>
      <c r="BP131" s="28" t="e">
        <f>#REF!</f>
        <v>#REF!</v>
      </c>
      <c r="BQ131" s="28" t="e">
        <f>#REF!*2</f>
        <v>#REF!</v>
      </c>
      <c r="BR131" s="28" t="e">
        <f>#REF!</f>
        <v>#REF!</v>
      </c>
      <c r="BS131" s="28" t="e">
        <f>#REF!*2</f>
        <v>#REF!</v>
      </c>
      <c r="BT131" s="28" t="e">
        <f>#REF!</f>
        <v>#REF!</v>
      </c>
      <c r="BU131" s="28" t="e">
        <f>#REF!*2</f>
        <v>#REF!</v>
      </c>
      <c r="BV131" s="28" t="e">
        <f>#REF!</f>
        <v>#REF!</v>
      </c>
      <c r="BW131" s="28" t="e">
        <f>#REF!*2</f>
        <v>#REF!</v>
      </c>
      <c r="BX131" s="28" t="e">
        <f>#REF!</f>
        <v>#REF!</v>
      </c>
      <c r="BY131" s="28" t="e">
        <f>#REF!*2</f>
        <v>#REF!</v>
      </c>
      <c r="BZ131" s="28" t="e">
        <f>#REF!</f>
        <v>#REF!</v>
      </c>
      <c r="CA131" s="28" t="e">
        <f>#REF!*2</f>
        <v>#REF!</v>
      </c>
      <c r="CB131" s="9">
        <f>C131-B131</f>
        <v>3</v>
      </c>
      <c r="CC131" s="9">
        <f>D131-C131</f>
        <v>17</v>
      </c>
      <c r="CD131" s="9">
        <f>E131-D131</f>
        <v>6</v>
      </c>
      <c r="CE131" s="9">
        <f>F131-E131</f>
        <v>10</v>
      </c>
      <c r="CF131" s="9">
        <f>G131-F131</f>
        <v>3</v>
      </c>
      <c r="CG131" s="33"/>
      <c r="CH131" s="12">
        <f>C131-B131</f>
        <v>3</v>
      </c>
      <c r="CI131" s="9">
        <f>D131-C131</f>
        <v>17</v>
      </c>
      <c r="CJ131" s="9">
        <f>E131-D131</f>
        <v>6</v>
      </c>
      <c r="CK131" s="9">
        <f>F131-E131</f>
        <v>10</v>
      </c>
      <c r="CL131" s="35">
        <f>G131-F131</f>
        <v>3</v>
      </c>
      <c r="CM131" s="32"/>
      <c r="CN131" s="3">
        <f>IF(OR(CH131="",ISBLANK(CH131),CH131=0),0,IF(MOD(CH131,2)=1,1,2))</f>
        <v>1</v>
      </c>
      <c r="CO131" s="3">
        <f>IF(OR(CI131="",ISBLANK(CI131),CI131=0),0,IF(MOD(CI131,2)=1,1,2))</f>
        <v>1</v>
      </c>
      <c r="CP131" s="3">
        <f>IF(OR(CJ131="",ISBLANK(CJ131),CJ131=0),0,IF(MOD(CJ131,2)=1,1,2))</f>
        <v>2</v>
      </c>
      <c r="CQ131" s="3">
        <f>IF(OR(CK131="",ISBLANK(CK131),CK131=0),0,IF(MOD(CK131,2)=1,1,2))</f>
        <v>2</v>
      </c>
      <c r="CR131" s="3">
        <f>IF(OR(CL131="",ISBLANK(CL131),CL131=0),0,IF(MOD(CL131,2)=1,1,2))</f>
        <v>1</v>
      </c>
      <c r="CS131" s="31"/>
      <c r="CT131" s="3" cm="1">
        <f t="array" ref="CT131">SUMPRODUCT(--(MOD(CH131:CL131,2)=1))</f>
        <v>3</v>
      </c>
      <c r="CU131" s="3">
        <f>5-CT131</f>
        <v>2</v>
      </c>
      <c r="CV131" s="30"/>
      <c r="CW131" s="3" cm="1">
        <f t="array" ref="CW131">SUMPRODUCT(--(MOD(CH131:CL131,10)&gt;=1), --(MOD(CH131:CL131,10)&lt;=5))</f>
        <v>2</v>
      </c>
      <c r="CX131" s="3">
        <f>5-CW131</f>
        <v>3</v>
      </c>
      <c r="CY131" s="30"/>
      <c r="CZ131" s="3" cm="1">
        <f t="array" ref="CZ131">IFERROR(COUNT(_xlfn._xlws.FILTER(CH131:CL131, ISNUMBER(MATCH(CH131:CL131, {2,3,5,7,11,13,17,19,23,29,31,37,41,43}, 0)))), 0)</f>
        <v>3</v>
      </c>
      <c r="DA131" s="3" cm="1">
        <f t="array" ref="DA131">IFERROR(COUNT(_xlfn._xlws.FILTER(CH131:CL131, ISNUMBER(MATCH(CH131:CL131, {1,4,8,10,14,16,20,22,25,26,28,32,34,35,38,40,44}, 0)))), 0)</f>
        <v>1</v>
      </c>
      <c r="DB131" s="3" cm="1">
        <f t="array" ref="DB131">IFERROR(COUNT(_xlfn._xlws.FILTER(CH131:CL131, ISNUMBER(MATCH(CH131:CL131, {6,9,12,15,18,21,24,27,30,33,36,39,42,45}, 0)))), 0)</f>
        <v>1</v>
      </c>
      <c r="DC131" s="29"/>
      <c r="DD131" s="28" t="e">
        <f>#REF!</f>
        <v>#REF!</v>
      </c>
      <c r="DE131" s="28" t="e">
        <f>#REF!*2</f>
        <v>#REF!</v>
      </c>
      <c r="DF131" s="28" t="e">
        <f>#REF!</f>
        <v>#REF!</v>
      </c>
      <c r="DG131" s="28" t="e">
        <f>#REF!*2</f>
        <v>#REF!</v>
      </c>
      <c r="DH131" s="28" t="e">
        <f>#REF!</f>
        <v>#REF!</v>
      </c>
      <c r="DI131" s="28" t="e">
        <f>#REF!*2</f>
        <v>#REF!</v>
      </c>
      <c r="DJ131" s="28" t="e">
        <f>#REF!</f>
        <v>#REF!</v>
      </c>
      <c r="DK131" s="28" t="e">
        <f>#REF!*2</f>
        <v>#REF!</v>
      </c>
      <c r="DL131" s="28" t="e">
        <f>#REF!</f>
        <v>#REF!</v>
      </c>
      <c r="DM131" s="28" t="e">
        <f>#REF!*2</f>
        <v>#REF!</v>
      </c>
      <c r="DN131" s="27"/>
      <c r="DO131" s="26" t="str" cm="1">
        <f t="array" ref="DO131">_xlfn.IFS(
   OR(CH131="",ISBLANK(CH131),CH131=0),0,
   ISNUMBER(MATCH(CH131,{2,3,5,7,11,13,17,19,23,29,31,37,41,43},0)),"소",
   AND(ISNUMBER(CH131),MOD(CH131,3)=0),"배",
   AND(ISNUMBER(CH131),CH131&gt;0),"자"
)</f>
        <v>소</v>
      </c>
      <c r="DP131" s="26" t="str" cm="1">
        <f t="array" ref="DP131">_xlfn.IFS(
   OR(CI131="",ISBLANK(CI131),CI131=0),0,
   ISNUMBER(MATCH(CI131,{2,3,5,7,11,13,17,19,23,29,31,37,41,43},0)),"소",
   AND(ISNUMBER(CI131),MOD(CI131,3)=0),"배",
   AND(ISNUMBER(CI131),CI131&gt;0),"자"
)</f>
        <v>소</v>
      </c>
      <c r="DQ131" s="26" t="str" cm="1">
        <f t="array" ref="DQ131">_xlfn.IFS(
   OR(CJ131="",ISBLANK(CJ131),CJ131=0),0,
   ISNUMBER(MATCH(CJ131,{2,3,5,7,11,13,17,19,23,29,31,37,41,43},0)),"소",
   AND(ISNUMBER(CJ131),MOD(CJ131,3)=0),"배",
   AND(ISNUMBER(CJ131),CJ131&gt;0),"자"
)</f>
        <v>배</v>
      </c>
      <c r="DR131" s="26" t="str" cm="1">
        <f t="array" ref="DR131">_xlfn.IFS(
   OR(CK131="",ISBLANK(CK131),CK131=0),0,
   ISNUMBER(MATCH(CK131,{2,3,5,7,11,13,17,19,23,29,31,37,41,43},0)),"소",
   AND(ISNUMBER(CK131),MOD(CK131,3)=0),"배",
   AND(ISNUMBER(CK131),CK131&gt;0),"자"
)</f>
        <v>자</v>
      </c>
      <c r="DS131" s="26" t="str" cm="1">
        <f t="array" ref="DS131">_xlfn.IFS(
   OR(CL131="",ISBLANK(CL131),CL131=0),0,
   ISNUMBER(MATCH(CL131,{2,3,5,7,11,13,17,19,23,29,31,37,41,43},0)),"소",
   AND(ISNUMBER(CL131),MOD(CL131,3)=0),"배",
   AND(ISNUMBER(CL131),CL131&gt;0),"자"
)</f>
        <v>소</v>
      </c>
      <c r="DT131" s="25"/>
    </row>
    <row r="132" spans="2:124" ht="14.25" thickBot="1" x14ac:dyDescent="0.35">
      <c r="B132" s="3">
        <v>5</v>
      </c>
      <c r="C132" s="3">
        <v>11</v>
      </c>
      <c r="D132" s="3">
        <v>25</v>
      </c>
      <c r="E132" s="3">
        <v>27</v>
      </c>
      <c r="F132" s="3">
        <v>36</v>
      </c>
      <c r="G132" s="3">
        <v>38</v>
      </c>
      <c r="H132" s="32"/>
      <c r="I132" s="3">
        <f>IF(OR(B132="",ISBLANK(B132),B132=0),0,IF(MOD(B132,2)=1,1,2))</f>
        <v>1</v>
      </c>
      <c r="J132" s="3">
        <f>IF(OR(C132="",ISBLANK(C132),C132=0),0,IF(MOD(C132,2)=1,1,2))</f>
        <v>1</v>
      </c>
      <c r="K132" s="3">
        <f>IF(OR(D132="",ISBLANK(D132),D132=0),0,IF(MOD(D132,2)=1,1,2))</f>
        <v>1</v>
      </c>
      <c r="L132" s="3">
        <f>IF(OR(E132="",ISBLANK(E132),E132=0),0,IF(MOD(E132,2)=1,1,2))</f>
        <v>1</v>
      </c>
      <c r="M132" s="3">
        <f>IF(OR(F132="",ISBLANK(F132),F132=0),0,IF(MOD(F132,2)=1,1,2))</f>
        <v>2</v>
      </c>
      <c r="N132" s="3">
        <f>IF(OR(G132="",ISBLANK(G132),G132=0),0,IF(MOD(G132,2)=1,1,2))</f>
        <v>2</v>
      </c>
      <c r="O132" s="32"/>
      <c r="P132" s="3" cm="1">
        <f t="array" ref="P132">SUMPRODUCT(--(MOD(B132:G132,2)=1))</f>
        <v>4</v>
      </c>
      <c r="Q132" s="3">
        <f>6-P132</f>
        <v>2</v>
      </c>
      <c r="R132" s="34"/>
      <c r="S132" s="3">
        <f>COUNTIFS(B132:G132,"&gt;=1",B132:G132,"&lt;=23")</f>
        <v>2</v>
      </c>
      <c r="T132" s="3">
        <f>6-S132</f>
        <v>4</v>
      </c>
      <c r="U132" s="34"/>
      <c r="V132" s="3" cm="1">
        <f t="array" ref="V132">SUMPRODUCT(--(MOD(B132:G132,10)&gt;=1), --(MOD(B132:G132,10)&lt;=5))</f>
        <v>3</v>
      </c>
      <c r="W132" s="3">
        <f>6-V132</f>
        <v>3</v>
      </c>
      <c r="X132" s="34"/>
      <c r="Y132" s="3" cm="1">
        <f t="array" ref="Y132">IFERROR(COUNT(_xlfn._xlws.FILTER(B132:G132, ISNUMBER(MATCH(B132:G132, {2,3,5,7,11,13,17,19,23,29,31,37,41,43}, 0)))), 0)</f>
        <v>2</v>
      </c>
      <c r="Z132" s="3" cm="1">
        <f t="array" ref="Z132">IFERROR(COUNT(_xlfn._xlws.FILTER(B132:G132, ISNUMBER(MATCH(B132:G132, {1,4,8,10,14,16,20,22,25,26,28,32,34,35,38,40,44}, 0)))), 0)</f>
        <v>2</v>
      </c>
      <c r="AA132" s="3" cm="1">
        <f t="array" ref="AA132">IFERROR(COUNT(_xlfn._xlws.FILTER(B132:G132, ISNUMBER(MATCH(B132:G132, {6,9,12,15,18,21,24,27,30,33,36,39,42,45}, 0)))), 0)</f>
        <v>2</v>
      </c>
      <c r="AB132" s="30"/>
      <c r="AC132" s="26" t="str" cm="1">
        <f t="array" ref="AC132">_xlfn.IFS(
   OR(B132="",ISBLANK(B132),B132=0),0,
   ISNUMBER(MATCH(B132,{2,3,5,7,11,13,17,19,23,29,31,37,41,43},0)),"소",
   AND(ISNUMBER(B132),MOD(B132,3)=0),"배",
   AND(ISNUMBER(B132),B132&gt;0),"자"
)</f>
        <v>소</v>
      </c>
      <c r="AD132" s="26" t="str" cm="1">
        <f t="array" ref="AD132">_xlfn.IFS(
   OR(C132="",ISBLANK(C132),C132=0),0,
   ISNUMBER(MATCH(C132,{2,3,5,7,11,13,17,19,23,29,31,37,41,43},0)),"소",
   AND(ISNUMBER(C132),MOD(C132,3)=0),"배",
   AND(ISNUMBER(C132),C132&gt;0),"자"
)</f>
        <v>소</v>
      </c>
      <c r="AE132" s="26" t="str" cm="1">
        <f t="array" ref="AE132">_xlfn.IFS(
   OR(D132="",ISBLANK(D132),D132=0),0,
   ISNUMBER(MATCH(D132,{2,3,5,7,11,13,17,19,23,29,31,37,41,43},0)),"소",
   AND(ISNUMBER(D132),MOD(D132,3)=0),"배",
   AND(ISNUMBER(D132),D132&gt;0),"자"
)</f>
        <v>자</v>
      </c>
      <c r="AF132" s="26" t="str" cm="1">
        <f t="array" ref="AF132">_xlfn.IFS(
   OR(E132="",ISBLANK(E132),E132=0),0,
   ISNUMBER(MATCH(E132,{2,3,5,7,11,13,17,19,23,29,31,37,41,43},0)),"소",
   AND(ISNUMBER(E132),MOD(E132,3)=0),"배",
   AND(ISNUMBER(E132),E132&gt;0),"자"
)</f>
        <v>배</v>
      </c>
      <c r="AG132" s="26" t="str" cm="1">
        <f t="array" ref="AG132">_xlfn.IFS(
   OR(F132="",ISBLANK(F132),F132=0),0,
   ISNUMBER(MATCH(F132,{2,3,5,7,11,13,17,19,23,29,31,37,41,43},0)),"소",
   AND(ISNUMBER(F132),MOD(F132,3)=0),"배",
   AND(ISNUMBER(F132),F132&gt;0),"자"
)</f>
        <v>배</v>
      </c>
      <c r="AH132" s="26" t="str" cm="1">
        <f t="array" ref="AH132">_xlfn.IFS(
   OR(G132="",ISBLANK(G132),G132=0),0,
   ISNUMBER(MATCH(G132,{2,3,5,7,11,13,17,19,23,29,31,37,41,43},0)),"소",
   AND(ISNUMBER(G132),MOD(G132,3)=0),"배",
   AND(ISNUMBER(G132),G132&gt;0),"자"
)</f>
        <v>자</v>
      </c>
      <c r="AI132" s="30"/>
      <c r="AJ132" s="3">
        <f>COUNTIFS(B132:G132,"&gt;=1",B132:G132,"&lt;=14")</f>
        <v>2</v>
      </c>
      <c r="AK132" s="3">
        <f>COUNTIFS(B132:G132,"&gt;=15",B132:G132,"&lt;=31")</f>
        <v>2</v>
      </c>
      <c r="AL132" s="3">
        <f>6-AK132-AJ132</f>
        <v>2</v>
      </c>
      <c r="AM132" s="33"/>
      <c r="AN132" s="3">
        <f>COUNTIFS($B132:$G132, "&gt;=1",$B132:$G132, "&lt;=9")</f>
        <v>1</v>
      </c>
      <c r="AO132" s="3">
        <f>COUNTIFS($B132:$G132, "&gt;=10",$B132:$G132, "&lt;=18")</f>
        <v>1</v>
      </c>
      <c r="AP132" s="3">
        <f>COUNTIFS($B132:$G132, "&gt;=19",$B132:$G132, "&lt;=27")</f>
        <v>2</v>
      </c>
      <c r="AQ132" s="3">
        <f>COUNTIFS($B132:$G132, "&gt;=28",$B132:$G132, "&lt;=36")</f>
        <v>1</v>
      </c>
      <c r="AR132" s="3">
        <f>COUNTIFS($B132:$G132, "&gt;=37",$B132:$G132, "&lt;=45")</f>
        <v>1</v>
      </c>
      <c r="AS132" s="28" t="e">
        <f>#REF!</f>
        <v>#REF!</v>
      </c>
      <c r="AT132" s="28" t="e">
        <f>#REF!*2</f>
        <v>#REF!</v>
      </c>
      <c r="AU132" s="28" t="e">
        <f>#REF!</f>
        <v>#REF!</v>
      </c>
      <c r="AV132" s="28" t="e">
        <f>#REF!*2</f>
        <v>#REF!</v>
      </c>
      <c r="AW132" s="28" t="e">
        <f>#REF!</f>
        <v>#REF!</v>
      </c>
      <c r="AX132" s="28" t="e">
        <f>#REF!*2</f>
        <v>#REF!</v>
      </c>
      <c r="AY132" s="28" t="e">
        <f>#REF!</f>
        <v>#REF!</v>
      </c>
      <c r="AZ132" s="28" t="e">
        <f>#REF!*2</f>
        <v>#REF!</v>
      </c>
      <c r="BA132" s="28" t="e">
        <f>#REF!</f>
        <v>#REF!</v>
      </c>
      <c r="BB132" s="28" t="e">
        <f>#REF!*2</f>
        <v>#REF!</v>
      </c>
      <c r="BC132" s="28" t="e">
        <f>#REF!</f>
        <v>#REF!</v>
      </c>
      <c r="BD132" s="28" t="e">
        <f>#REF!*2</f>
        <v>#REF!</v>
      </c>
      <c r="BE132" s="9" t="e">
        <f>#REF!-#REF!</f>
        <v>#REF!</v>
      </c>
      <c r="BF132" s="9" t="e">
        <f>#REF!-#REF!</f>
        <v>#REF!</v>
      </c>
      <c r="BG132" s="9" t="e">
        <f>#REF!-#REF!</f>
        <v>#REF!</v>
      </c>
      <c r="BH132" s="9" t="e">
        <f>#REF!-#REF!</f>
        <v>#REF!</v>
      </c>
      <c r="BI132" s="9" t="e">
        <f>#REF!-#REF!</f>
        <v>#REF!</v>
      </c>
      <c r="BJ132" s="33"/>
      <c r="BK132" s="3">
        <f>COUNTIFS(B132:G132, "&gt;=1", B132:G132, "&lt;=9")</f>
        <v>1</v>
      </c>
      <c r="BL132" s="3">
        <f>COUNTIFS(B132:G132, "&gt;=10", B132:G132, "&lt;=19")</f>
        <v>1</v>
      </c>
      <c r="BM132" s="3">
        <f>COUNTIFS(B132:G132, "&gt;=20", B132:G132, "&lt;=29")</f>
        <v>2</v>
      </c>
      <c r="BN132" s="3">
        <f>COUNTIFS(B132:G132, "&gt;=30", B132:G132, "&lt;=39")</f>
        <v>2</v>
      </c>
      <c r="BO132" s="3">
        <f>COUNTIFS(B132:G132, "&gt;=40", B132:G132, "&lt;=45")</f>
        <v>0</v>
      </c>
      <c r="BP132" s="28" t="e">
        <f>#REF!</f>
        <v>#REF!</v>
      </c>
      <c r="BQ132" s="28" t="e">
        <f>#REF!*2</f>
        <v>#REF!</v>
      </c>
      <c r="BR132" s="28" t="e">
        <f>#REF!</f>
        <v>#REF!</v>
      </c>
      <c r="BS132" s="28" t="e">
        <f>#REF!*2</f>
        <v>#REF!</v>
      </c>
      <c r="BT132" s="28" t="e">
        <f>#REF!</f>
        <v>#REF!</v>
      </c>
      <c r="BU132" s="28" t="e">
        <f>#REF!*2</f>
        <v>#REF!</v>
      </c>
      <c r="BV132" s="28" t="e">
        <f>#REF!</f>
        <v>#REF!</v>
      </c>
      <c r="BW132" s="28" t="e">
        <f>#REF!*2</f>
        <v>#REF!</v>
      </c>
      <c r="BX132" s="28" t="e">
        <f>#REF!</f>
        <v>#REF!</v>
      </c>
      <c r="BY132" s="28" t="e">
        <f>#REF!*2</f>
        <v>#REF!</v>
      </c>
      <c r="BZ132" s="28" t="e">
        <f>#REF!</f>
        <v>#REF!</v>
      </c>
      <c r="CA132" s="28" t="e">
        <f>#REF!*2</f>
        <v>#REF!</v>
      </c>
      <c r="CB132" s="9">
        <f>C132-B132</f>
        <v>6</v>
      </c>
      <c r="CC132" s="9">
        <f>D132-C132</f>
        <v>14</v>
      </c>
      <c r="CD132" s="9">
        <f>E132-D132</f>
        <v>2</v>
      </c>
      <c r="CE132" s="9">
        <f>F132-E132</f>
        <v>9</v>
      </c>
      <c r="CF132" s="9">
        <f>G132-F132</f>
        <v>2</v>
      </c>
      <c r="CG132" s="33"/>
      <c r="CH132" s="9">
        <f>C132-B132</f>
        <v>6</v>
      </c>
      <c r="CI132" s="9">
        <f>D132-C132</f>
        <v>14</v>
      </c>
      <c r="CJ132" s="12">
        <f>E132-D132</f>
        <v>2</v>
      </c>
      <c r="CK132" s="9">
        <f>F132-E132</f>
        <v>9</v>
      </c>
      <c r="CL132" s="12">
        <f>G132-F132</f>
        <v>2</v>
      </c>
      <c r="CM132" s="32"/>
      <c r="CN132" s="3">
        <f>IF(OR(CH132="",ISBLANK(CH132),CH132=0),0,IF(MOD(CH132,2)=1,1,2))</f>
        <v>2</v>
      </c>
      <c r="CO132" s="3">
        <f>IF(OR(CI132="",ISBLANK(CI132),CI132=0),0,IF(MOD(CI132,2)=1,1,2))</f>
        <v>2</v>
      </c>
      <c r="CP132" s="3">
        <f>IF(OR(CJ132="",ISBLANK(CJ132),CJ132=0),0,IF(MOD(CJ132,2)=1,1,2))</f>
        <v>2</v>
      </c>
      <c r="CQ132" s="3">
        <f>IF(OR(CK132="",ISBLANK(CK132),CK132=0),0,IF(MOD(CK132,2)=1,1,2))</f>
        <v>1</v>
      </c>
      <c r="CR132" s="3">
        <f>IF(OR(CL132="",ISBLANK(CL132),CL132=0),0,IF(MOD(CL132,2)=1,1,2))</f>
        <v>2</v>
      </c>
      <c r="CS132" s="31"/>
      <c r="CT132" s="3" cm="1">
        <f t="array" ref="CT132">SUMPRODUCT(--(MOD(CH132:CL132,2)=1))</f>
        <v>1</v>
      </c>
      <c r="CU132" s="3">
        <f>5-CT132</f>
        <v>4</v>
      </c>
      <c r="CV132" s="30"/>
      <c r="CW132" s="3" cm="1">
        <f t="array" ref="CW132">SUMPRODUCT(--(MOD(CH132:CL132,10)&gt;=1), --(MOD(CH132:CL132,10)&lt;=5))</f>
        <v>3</v>
      </c>
      <c r="CX132" s="3">
        <f>5-CW132</f>
        <v>2</v>
      </c>
      <c r="CY132" s="30"/>
      <c r="CZ132" s="3" cm="1">
        <f t="array" ref="CZ132">IFERROR(COUNT(_xlfn._xlws.FILTER(CH132:CL132, ISNUMBER(MATCH(CH132:CL132, {2,3,5,7,11,13,17,19,23,29,31,37,41,43}, 0)))), 0)</f>
        <v>2</v>
      </c>
      <c r="DA132" s="3" cm="1">
        <f t="array" ref="DA132">IFERROR(COUNT(_xlfn._xlws.FILTER(CH132:CL132, ISNUMBER(MATCH(CH132:CL132, {1,4,8,10,14,16,20,22,25,26,28,32,34,35,38,40,44}, 0)))), 0)</f>
        <v>1</v>
      </c>
      <c r="DB132" s="3" cm="1">
        <f t="array" ref="DB132">IFERROR(COUNT(_xlfn._xlws.FILTER(CH132:CL132, ISNUMBER(MATCH(CH132:CL132, {6,9,12,15,18,21,24,27,30,33,36,39,42,45}, 0)))), 0)</f>
        <v>2</v>
      </c>
      <c r="DC132" s="29"/>
      <c r="DD132" s="28" t="e">
        <f>#REF!</f>
        <v>#REF!</v>
      </c>
      <c r="DE132" s="28" t="e">
        <f>#REF!*2</f>
        <v>#REF!</v>
      </c>
      <c r="DF132" s="28" t="e">
        <f>#REF!</f>
        <v>#REF!</v>
      </c>
      <c r="DG132" s="28" t="e">
        <f>#REF!*2</f>
        <v>#REF!</v>
      </c>
      <c r="DH132" s="28" t="e">
        <f>#REF!</f>
        <v>#REF!</v>
      </c>
      <c r="DI132" s="28" t="e">
        <f>#REF!*2</f>
        <v>#REF!</v>
      </c>
      <c r="DJ132" s="28" t="e">
        <f>#REF!</f>
        <v>#REF!</v>
      </c>
      <c r="DK132" s="28" t="e">
        <f>#REF!*2</f>
        <v>#REF!</v>
      </c>
      <c r="DL132" s="28" t="e">
        <f>#REF!</f>
        <v>#REF!</v>
      </c>
      <c r="DM132" s="28" t="e">
        <f>#REF!*2</f>
        <v>#REF!</v>
      </c>
      <c r="DN132" s="27"/>
      <c r="DO132" s="26" t="str" cm="1">
        <f t="array" ref="DO132">_xlfn.IFS(
   OR(CH132="",ISBLANK(CH132),CH132=0),0,
   ISNUMBER(MATCH(CH132,{2,3,5,7,11,13,17,19,23,29,31,37,41,43},0)),"소",
   AND(ISNUMBER(CH132),MOD(CH132,3)=0),"배",
   AND(ISNUMBER(CH132),CH132&gt;0),"자"
)</f>
        <v>배</v>
      </c>
      <c r="DP132" s="26" t="str" cm="1">
        <f t="array" ref="DP132">_xlfn.IFS(
   OR(CI132="",ISBLANK(CI132),CI132=0),0,
   ISNUMBER(MATCH(CI132,{2,3,5,7,11,13,17,19,23,29,31,37,41,43},0)),"소",
   AND(ISNUMBER(CI132),MOD(CI132,3)=0),"배",
   AND(ISNUMBER(CI132),CI132&gt;0),"자"
)</f>
        <v>자</v>
      </c>
      <c r="DQ132" s="26" t="str" cm="1">
        <f t="array" ref="DQ132">_xlfn.IFS(
   OR(CJ132="",ISBLANK(CJ132),CJ132=0),0,
   ISNUMBER(MATCH(CJ132,{2,3,5,7,11,13,17,19,23,29,31,37,41,43},0)),"소",
   AND(ISNUMBER(CJ132),MOD(CJ132,3)=0),"배",
   AND(ISNUMBER(CJ132),CJ132&gt;0),"자"
)</f>
        <v>소</v>
      </c>
      <c r="DR132" s="26" t="str" cm="1">
        <f t="array" ref="DR132">_xlfn.IFS(
   OR(CK132="",ISBLANK(CK132),CK132=0),0,
   ISNUMBER(MATCH(CK132,{2,3,5,7,11,13,17,19,23,29,31,37,41,43},0)),"소",
   AND(ISNUMBER(CK132),MOD(CK132,3)=0),"배",
   AND(ISNUMBER(CK132),CK132&gt;0),"자"
)</f>
        <v>배</v>
      </c>
      <c r="DS132" s="26" t="str" cm="1">
        <f t="array" ref="DS132">_xlfn.IFS(
   OR(CL132="",ISBLANK(CL132),CL132=0),0,
   ISNUMBER(MATCH(CL132,{2,3,5,7,11,13,17,19,23,29,31,37,41,43},0)),"소",
   AND(ISNUMBER(CL132),MOD(CL132,3)=0),"배",
   AND(ISNUMBER(CL132),CL132&gt;0),"자"
)</f>
        <v>소</v>
      </c>
      <c r="DT132" s="25"/>
    </row>
    <row r="133" spans="2:124" x14ac:dyDescent="0.3">
      <c r="B133" s="3">
        <v>10</v>
      </c>
      <c r="C133" s="3">
        <v>15</v>
      </c>
      <c r="D133" s="3">
        <v>19</v>
      </c>
      <c r="E133" s="3">
        <v>27</v>
      </c>
      <c r="F133" s="3">
        <v>30</v>
      </c>
      <c r="G133" s="3">
        <v>33</v>
      </c>
      <c r="H133" s="32"/>
      <c r="I133" s="3">
        <f>IF(OR(B133="",ISBLANK(B133),B133=0),0,IF(MOD(B133,2)=1,1,2))</f>
        <v>2</v>
      </c>
      <c r="J133" s="3">
        <f>IF(OR(C133="",ISBLANK(C133),C133=0),0,IF(MOD(C133,2)=1,1,2))</f>
        <v>1</v>
      </c>
      <c r="K133" s="3">
        <f>IF(OR(D133="",ISBLANK(D133),D133=0),0,IF(MOD(D133,2)=1,1,2))</f>
        <v>1</v>
      </c>
      <c r="L133" s="3">
        <f>IF(OR(E133="",ISBLANK(E133),E133=0),0,IF(MOD(E133,2)=1,1,2))</f>
        <v>1</v>
      </c>
      <c r="M133" s="3">
        <f>IF(OR(F133="",ISBLANK(F133),F133=0),0,IF(MOD(F133,2)=1,1,2))</f>
        <v>2</v>
      </c>
      <c r="N133" s="3">
        <f>IF(OR(G133="",ISBLANK(G133),G133=0),0,IF(MOD(G133,2)=1,1,2))</f>
        <v>1</v>
      </c>
      <c r="O133" s="32"/>
      <c r="P133" s="3" cm="1">
        <f t="array" ref="P133">SUMPRODUCT(--(MOD(B133:G133,2)=1))</f>
        <v>4</v>
      </c>
      <c r="Q133" s="3">
        <f>6-P133</f>
        <v>2</v>
      </c>
      <c r="R133" s="34"/>
      <c r="S133" s="3">
        <f>COUNTIFS(B133:G133,"&gt;=1",B133:G133,"&lt;=23")</f>
        <v>3</v>
      </c>
      <c r="T133" s="3">
        <f>6-S133</f>
        <v>3</v>
      </c>
      <c r="U133" s="34"/>
      <c r="V133" s="3" cm="1">
        <f t="array" ref="V133">SUMPRODUCT(--(MOD(B133:G133,10)&gt;=1), --(MOD(B133:G133,10)&lt;=5))</f>
        <v>2</v>
      </c>
      <c r="W133" s="3">
        <f>6-V133</f>
        <v>4</v>
      </c>
      <c r="X133" s="34"/>
      <c r="Y133" s="3" cm="1">
        <f t="array" ref="Y133">IFERROR(COUNT(_xlfn._xlws.FILTER(B133:G133, ISNUMBER(MATCH(B133:G133, {2,3,5,7,11,13,17,19,23,29,31,37,41,43}, 0)))), 0)</f>
        <v>1</v>
      </c>
      <c r="Z133" s="3" cm="1">
        <f t="array" ref="Z133">IFERROR(COUNT(_xlfn._xlws.FILTER(B133:G133, ISNUMBER(MATCH(B133:G133, {1,4,8,10,14,16,20,22,25,26,28,32,34,35,38,40,44}, 0)))), 0)</f>
        <v>1</v>
      </c>
      <c r="AA133" s="3" cm="1">
        <f t="array" ref="AA133">IFERROR(COUNT(_xlfn._xlws.FILTER(B133:G133, ISNUMBER(MATCH(B133:G133, {6,9,12,15,18,21,24,27,30,33,36,39,42,45}, 0)))), 0)</f>
        <v>4</v>
      </c>
      <c r="AB133" s="30"/>
      <c r="AC133" s="26" t="str" cm="1">
        <f t="array" ref="AC133">_xlfn.IFS(
   OR(B133="",ISBLANK(B133),B133=0),0,
   ISNUMBER(MATCH(B133,{2,3,5,7,11,13,17,19,23,29,31,37,41,43},0)),"소",
   AND(ISNUMBER(B133),MOD(B133,3)=0),"배",
   AND(ISNUMBER(B133),B133&gt;0),"자"
)</f>
        <v>자</v>
      </c>
      <c r="AD133" s="26" t="str" cm="1">
        <f t="array" ref="AD133">_xlfn.IFS(
   OR(C133="",ISBLANK(C133),C133=0),0,
   ISNUMBER(MATCH(C133,{2,3,5,7,11,13,17,19,23,29,31,37,41,43},0)),"소",
   AND(ISNUMBER(C133),MOD(C133,3)=0),"배",
   AND(ISNUMBER(C133),C133&gt;0),"자"
)</f>
        <v>배</v>
      </c>
      <c r="AE133" s="26" t="str" cm="1">
        <f t="array" ref="AE133">_xlfn.IFS(
   OR(D133="",ISBLANK(D133),D133=0),0,
   ISNUMBER(MATCH(D133,{2,3,5,7,11,13,17,19,23,29,31,37,41,43},0)),"소",
   AND(ISNUMBER(D133),MOD(D133,3)=0),"배",
   AND(ISNUMBER(D133),D133&gt;0),"자"
)</f>
        <v>소</v>
      </c>
      <c r="AF133" s="26" t="str" cm="1">
        <f t="array" ref="AF133">_xlfn.IFS(
   OR(E133="",ISBLANK(E133),E133=0),0,
   ISNUMBER(MATCH(E133,{2,3,5,7,11,13,17,19,23,29,31,37,41,43},0)),"소",
   AND(ISNUMBER(E133),MOD(E133,3)=0),"배",
   AND(ISNUMBER(E133),E133&gt;0),"자"
)</f>
        <v>배</v>
      </c>
      <c r="AG133" s="26" t="str" cm="1">
        <f t="array" ref="AG133">_xlfn.IFS(
   OR(F133="",ISBLANK(F133),F133=0),0,
   ISNUMBER(MATCH(F133,{2,3,5,7,11,13,17,19,23,29,31,37,41,43},0)),"소",
   AND(ISNUMBER(F133),MOD(F133,3)=0),"배",
   AND(ISNUMBER(F133),F133&gt;0),"자"
)</f>
        <v>배</v>
      </c>
      <c r="AH133" s="26" t="str" cm="1">
        <f t="array" ref="AH133">_xlfn.IFS(
   OR(G133="",ISBLANK(G133),G133=0),0,
   ISNUMBER(MATCH(G133,{2,3,5,7,11,13,17,19,23,29,31,37,41,43},0)),"소",
   AND(ISNUMBER(G133),MOD(G133,3)=0),"배",
   AND(ISNUMBER(G133),G133&gt;0),"자"
)</f>
        <v>배</v>
      </c>
      <c r="AI133" s="30"/>
      <c r="AJ133" s="3">
        <f>COUNTIFS(B133:G133,"&gt;=1",B133:G133,"&lt;=14")</f>
        <v>1</v>
      </c>
      <c r="AK133" s="3">
        <f>COUNTIFS(B133:G133,"&gt;=15",B133:G133,"&lt;=31")</f>
        <v>4</v>
      </c>
      <c r="AL133" s="3">
        <f>6-AK133-AJ133</f>
        <v>1</v>
      </c>
      <c r="AM133" s="33"/>
      <c r="AN133" s="3">
        <f>COUNTIFS($B133:$G133, "&gt;=1",$B133:$G133, "&lt;=9")</f>
        <v>0</v>
      </c>
      <c r="AO133" s="3">
        <f>COUNTIFS($B133:$G133, "&gt;=10",$B133:$G133, "&lt;=18")</f>
        <v>2</v>
      </c>
      <c r="AP133" s="3">
        <f>COUNTIFS($B133:$G133, "&gt;=19",$B133:$G133, "&lt;=27")</f>
        <v>2</v>
      </c>
      <c r="AQ133" s="3">
        <f>COUNTIFS($B133:$G133, "&gt;=28",$B133:$G133, "&lt;=36")</f>
        <v>2</v>
      </c>
      <c r="AR133" s="3">
        <f>COUNTIFS($B133:$G133, "&gt;=37",$B133:$G133, "&lt;=45")</f>
        <v>0</v>
      </c>
      <c r="AS133" s="28" t="e">
        <f>#REF!</f>
        <v>#REF!</v>
      </c>
      <c r="AT133" s="28" t="e">
        <f>#REF!*2</f>
        <v>#REF!</v>
      </c>
      <c r="AU133" s="28" t="e">
        <f>#REF!</f>
        <v>#REF!</v>
      </c>
      <c r="AV133" s="28" t="e">
        <f>#REF!*2</f>
        <v>#REF!</v>
      </c>
      <c r="AW133" s="28" t="e">
        <f>#REF!</f>
        <v>#REF!</v>
      </c>
      <c r="AX133" s="28" t="e">
        <f>#REF!*2</f>
        <v>#REF!</v>
      </c>
      <c r="AY133" s="28" t="e">
        <f>#REF!</f>
        <v>#REF!</v>
      </c>
      <c r="AZ133" s="28" t="e">
        <f>#REF!*2</f>
        <v>#REF!</v>
      </c>
      <c r="BA133" s="28" t="e">
        <f>#REF!</f>
        <v>#REF!</v>
      </c>
      <c r="BB133" s="28" t="e">
        <f>#REF!*2</f>
        <v>#REF!</v>
      </c>
      <c r="BC133" s="28" t="e">
        <f>#REF!</f>
        <v>#REF!</v>
      </c>
      <c r="BD133" s="28" t="e">
        <f>#REF!*2</f>
        <v>#REF!</v>
      </c>
      <c r="BE133" s="9" t="e">
        <f>#REF!-#REF!</f>
        <v>#REF!</v>
      </c>
      <c r="BF133" s="9" t="e">
        <f>#REF!-#REF!</f>
        <v>#REF!</v>
      </c>
      <c r="BG133" s="9" t="e">
        <f>#REF!-#REF!</f>
        <v>#REF!</v>
      </c>
      <c r="BH133" s="9" t="e">
        <f>#REF!-#REF!</f>
        <v>#REF!</v>
      </c>
      <c r="BI133" s="9" t="e">
        <f>#REF!-#REF!</f>
        <v>#REF!</v>
      </c>
      <c r="BJ133" s="33"/>
      <c r="BK133" s="3">
        <f>COUNTIFS(B133:G133, "&gt;=1", B133:G133, "&lt;=9")</f>
        <v>0</v>
      </c>
      <c r="BL133" s="3">
        <f>COUNTIFS(B133:G133, "&gt;=10", B133:G133, "&lt;=19")</f>
        <v>3</v>
      </c>
      <c r="BM133" s="3">
        <f>COUNTIFS(B133:G133, "&gt;=20", B133:G133, "&lt;=29")</f>
        <v>1</v>
      </c>
      <c r="BN133" s="3">
        <f>COUNTIFS(B133:G133, "&gt;=30", B133:G133, "&lt;=39")</f>
        <v>2</v>
      </c>
      <c r="BO133" s="3">
        <f>COUNTIFS(B133:G133, "&gt;=40", B133:G133, "&lt;=45")</f>
        <v>0</v>
      </c>
      <c r="BP133" s="28" t="e">
        <f>#REF!</f>
        <v>#REF!</v>
      </c>
      <c r="BQ133" s="28" t="e">
        <f>#REF!*2</f>
        <v>#REF!</v>
      </c>
      <c r="BR133" s="28" t="e">
        <f>#REF!</f>
        <v>#REF!</v>
      </c>
      <c r="BS133" s="28" t="e">
        <f>#REF!*2</f>
        <v>#REF!</v>
      </c>
      <c r="BT133" s="28" t="e">
        <f>#REF!</f>
        <v>#REF!</v>
      </c>
      <c r="BU133" s="28" t="e">
        <f>#REF!*2</f>
        <v>#REF!</v>
      </c>
      <c r="BV133" s="28" t="e">
        <f>#REF!</f>
        <v>#REF!</v>
      </c>
      <c r="BW133" s="28" t="e">
        <f>#REF!*2</f>
        <v>#REF!</v>
      </c>
      <c r="BX133" s="28" t="e">
        <f>#REF!</f>
        <v>#REF!</v>
      </c>
      <c r="BY133" s="28" t="e">
        <f>#REF!*2</f>
        <v>#REF!</v>
      </c>
      <c r="BZ133" s="28" t="e">
        <f>#REF!</f>
        <v>#REF!</v>
      </c>
      <c r="CA133" s="28" t="e">
        <f>#REF!*2</f>
        <v>#REF!</v>
      </c>
      <c r="CB133" s="9">
        <f>C133-B133</f>
        <v>5</v>
      </c>
      <c r="CC133" s="9">
        <f>D133-C133</f>
        <v>4</v>
      </c>
      <c r="CD133" s="9">
        <f>E133-D133</f>
        <v>8</v>
      </c>
      <c r="CE133" s="9">
        <f>F133-E133</f>
        <v>3</v>
      </c>
      <c r="CF133" s="9">
        <f>G133-F133</f>
        <v>3</v>
      </c>
      <c r="CG133" s="33"/>
      <c r="CH133" s="9">
        <f>C133-B133</f>
        <v>5</v>
      </c>
      <c r="CI133" s="9">
        <f>D133-C133</f>
        <v>4</v>
      </c>
      <c r="CJ133" s="9">
        <f>E133-D133</f>
        <v>8</v>
      </c>
      <c r="CK133" s="9">
        <f>F133-E133</f>
        <v>3</v>
      </c>
      <c r="CL133" s="9">
        <f>G133-F133</f>
        <v>3</v>
      </c>
      <c r="CM133" s="32"/>
      <c r="CN133" s="3">
        <f>IF(OR(CH133="",ISBLANK(CH133),CH133=0),0,IF(MOD(CH133,2)=1,1,2))</f>
        <v>1</v>
      </c>
      <c r="CO133" s="3">
        <f>IF(OR(CI133="",ISBLANK(CI133),CI133=0),0,IF(MOD(CI133,2)=1,1,2))</f>
        <v>2</v>
      </c>
      <c r="CP133" s="3">
        <f>IF(OR(CJ133="",ISBLANK(CJ133),CJ133=0),0,IF(MOD(CJ133,2)=1,1,2))</f>
        <v>2</v>
      </c>
      <c r="CQ133" s="3">
        <f>IF(OR(CK133="",ISBLANK(CK133),CK133=0),0,IF(MOD(CK133,2)=1,1,2))</f>
        <v>1</v>
      </c>
      <c r="CR133" s="3">
        <f>IF(OR(CL133="",ISBLANK(CL133),CL133=0),0,IF(MOD(CL133,2)=1,1,2))</f>
        <v>1</v>
      </c>
      <c r="CS133" s="31"/>
      <c r="CT133" s="3" cm="1">
        <f t="array" ref="CT133">SUMPRODUCT(--(MOD(CH133:CL133,2)=1))</f>
        <v>3</v>
      </c>
      <c r="CU133" s="3">
        <f>5-CT133</f>
        <v>2</v>
      </c>
      <c r="CV133" s="30"/>
      <c r="CW133" s="3" cm="1">
        <f t="array" ref="CW133">SUMPRODUCT(--(MOD(CH133:CL133,10)&gt;=1), --(MOD(CH133:CL133,10)&lt;=5))</f>
        <v>4</v>
      </c>
      <c r="CX133" s="3">
        <f>5-CW133</f>
        <v>1</v>
      </c>
      <c r="CY133" s="30"/>
      <c r="CZ133" s="3" cm="1">
        <f t="array" ref="CZ133">IFERROR(COUNT(_xlfn._xlws.FILTER(CH133:CL133, ISNUMBER(MATCH(CH133:CL133, {2,3,5,7,11,13,17,19,23,29,31,37,41,43}, 0)))), 0)</f>
        <v>3</v>
      </c>
      <c r="DA133" s="3" cm="1">
        <f t="array" ref="DA133">IFERROR(COUNT(_xlfn._xlws.FILTER(CH133:CL133, ISNUMBER(MATCH(CH133:CL133, {1,4,8,10,14,16,20,22,25,26,28,32,34,35,38,40,44}, 0)))), 0)</f>
        <v>2</v>
      </c>
      <c r="DB133" s="3" cm="1">
        <f t="array" ref="DB133">IFERROR(COUNT(_xlfn._xlws.FILTER(CH133:CL133, ISNUMBER(MATCH(CH133:CL133, {6,9,12,15,18,21,24,27,30,33,36,39,42,45}, 0)))), 0)</f>
        <v>0</v>
      </c>
      <c r="DC133" s="29"/>
      <c r="DD133" s="28" t="e">
        <f>#REF!</f>
        <v>#REF!</v>
      </c>
      <c r="DE133" s="28" t="e">
        <f>#REF!*2</f>
        <v>#REF!</v>
      </c>
      <c r="DF133" s="28" t="e">
        <f>#REF!</f>
        <v>#REF!</v>
      </c>
      <c r="DG133" s="28" t="e">
        <f>#REF!*2</f>
        <v>#REF!</v>
      </c>
      <c r="DH133" s="28" t="e">
        <f>#REF!</f>
        <v>#REF!</v>
      </c>
      <c r="DI133" s="28" t="e">
        <f>#REF!*2</f>
        <v>#REF!</v>
      </c>
      <c r="DJ133" s="28" t="e">
        <f>#REF!</f>
        <v>#REF!</v>
      </c>
      <c r="DK133" s="28" t="e">
        <f>#REF!*2</f>
        <v>#REF!</v>
      </c>
      <c r="DL133" s="28" t="e">
        <f>#REF!</f>
        <v>#REF!</v>
      </c>
      <c r="DM133" s="28" t="e">
        <f>#REF!*2</f>
        <v>#REF!</v>
      </c>
      <c r="DN133" s="27"/>
      <c r="DO133" s="26" t="str" cm="1">
        <f t="array" ref="DO133">_xlfn.IFS(
   OR(CH133="",ISBLANK(CH133),CH133=0),0,
   ISNUMBER(MATCH(CH133,{2,3,5,7,11,13,17,19,23,29,31,37,41,43},0)),"소",
   AND(ISNUMBER(CH133),MOD(CH133,3)=0),"배",
   AND(ISNUMBER(CH133),CH133&gt;0),"자"
)</f>
        <v>소</v>
      </c>
      <c r="DP133" s="26" t="str" cm="1">
        <f t="array" ref="DP133">_xlfn.IFS(
   OR(CI133="",ISBLANK(CI133),CI133=0),0,
   ISNUMBER(MATCH(CI133,{2,3,5,7,11,13,17,19,23,29,31,37,41,43},0)),"소",
   AND(ISNUMBER(CI133),MOD(CI133,3)=0),"배",
   AND(ISNUMBER(CI133),CI133&gt;0),"자"
)</f>
        <v>자</v>
      </c>
      <c r="DQ133" s="26" t="str" cm="1">
        <f t="array" ref="DQ133">_xlfn.IFS(
   OR(CJ133="",ISBLANK(CJ133),CJ133=0),0,
   ISNUMBER(MATCH(CJ133,{2,3,5,7,11,13,17,19,23,29,31,37,41,43},0)),"소",
   AND(ISNUMBER(CJ133),MOD(CJ133,3)=0),"배",
   AND(ISNUMBER(CJ133),CJ133&gt;0),"자"
)</f>
        <v>자</v>
      </c>
      <c r="DR133" s="26" t="str" cm="1">
        <f t="array" ref="DR133">_xlfn.IFS(
   OR(CK133="",ISBLANK(CK133),CK133=0),0,
   ISNUMBER(MATCH(CK133,{2,3,5,7,11,13,17,19,23,29,31,37,41,43},0)),"소",
   AND(ISNUMBER(CK133),MOD(CK133,3)=0),"배",
   AND(ISNUMBER(CK133),CK133&gt;0),"자"
)</f>
        <v>소</v>
      </c>
      <c r="DS133" s="26" t="str" cm="1">
        <f t="array" ref="DS133">_xlfn.IFS(
   OR(CL133="",ISBLANK(CL133),CL133=0),0,
   ISNUMBER(MATCH(CL133,{2,3,5,7,11,13,17,19,23,29,31,37,41,43},0)),"소",
   AND(ISNUMBER(CL133),MOD(CL133,3)=0),"배",
   AND(ISNUMBER(CL133),CL133&gt;0),"자"
)</f>
        <v>소</v>
      </c>
      <c r="DT133" s="25"/>
    </row>
    <row r="134" spans="2:124" x14ac:dyDescent="0.3">
      <c r="B134" s="3">
        <v>13</v>
      </c>
      <c r="C134" s="3">
        <v>15</v>
      </c>
      <c r="D134" s="3">
        <v>19</v>
      </c>
      <c r="E134" s="3">
        <v>21</v>
      </c>
      <c r="F134" s="3">
        <v>44</v>
      </c>
      <c r="G134" s="3">
        <v>45</v>
      </c>
      <c r="H134" s="32"/>
      <c r="I134" s="3">
        <f>IF(OR(B134="",ISBLANK(B134),B134=0),0,IF(MOD(B134,2)=1,1,2))</f>
        <v>1</v>
      </c>
      <c r="J134" s="3">
        <f>IF(OR(C134="",ISBLANK(C134),C134=0),0,IF(MOD(C134,2)=1,1,2))</f>
        <v>1</v>
      </c>
      <c r="K134" s="3">
        <f>IF(OR(D134="",ISBLANK(D134),D134=0),0,IF(MOD(D134,2)=1,1,2))</f>
        <v>1</v>
      </c>
      <c r="L134" s="3">
        <f>IF(OR(E134="",ISBLANK(E134),E134=0),0,IF(MOD(E134,2)=1,1,2))</f>
        <v>1</v>
      </c>
      <c r="M134" s="3">
        <f>IF(OR(F134="",ISBLANK(F134),F134=0),0,IF(MOD(F134,2)=1,1,2))</f>
        <v>2</v>
      </c>
      <c r="N134" s="3">
        <f>IF(OR(G134="",ISBLANK(G134),G134=0),0,IF(MOD(G134,2)=1,1,2))</f>
        <v>1</v>
      </c>
      <c r="O134" s="32"/>
      <c r="P134" s="3" cm="1">
        <f t="array" ref="P134">SUMPRODUCT(--(MOD(B134:G134,2)=1))</f>
        <v>5</v>
      </c>
      <c r="Q134" s="3">
        <f>6-P134</f>
        <v>1</v>
      </c>
      <c r="R134" s="34"/>
      <c r="S134" s="3">
        <f>COUNTIFS(B134:G134,"&gt;=1",B134:G134,"&lt;=23")</f>
        <v>4</v>
      </c>
      <c r="T134" s="3">
        <f>6-S134</f>
        <v>2</v>
      </c>
      <c r="U134" s="34"/>
      <c r="V134" s="3" cm="1">
        <f t="array" ref="V134">SUMPRODUCT(--(MOD(B134:G134,10)&gt;=1), --(MOD(B134:G134,10)&lt;=5))</f>
        <v>5</v>
      </c>
      <c r="W134" s="3">
        <f>6-V134</f>
        <v>1</v>
      </c>
      <c r="X134" s="34"/>
      <c r="Y134" s="3" cm="1">
        <f t="array" ref="Y134">IFERROR(COUNT(_xlfn._xlws.FILTER(B134:G134, ISNUMBER(MATCH(B134:G134, {2,3,5,7,11,13,17,19,23,29,31,37,41,43}, 0)))), 0)</f>
        <v>2</v>
      </c>
      <c r="Z134" s="3" cm="1">
        <f t="array" ref="Z134">IFERROR(COUNT(_xlfn._xlws.FILTER(B134:G134, ISNUMBER(MATCH(B134:G134, {1,4,8,10,14,16,20,22,25,26,28,32,34,35,38,40,44}, 0)))), 0)</f>
        <v>1</v>
      </c>
      <c r="AA134" s="3" cm="1">
        <f t="array" ref="AA134">IFERROR(COUNT(_xlfn._xlws.FILTER(B134:G134, ISNUMBER(MATCH(B134:G134, {6,9,12,15,18,21,24,27,30,33,36,39,42,45}, 0)))), 0)</f>
        <v>3</v>
      </c>
      <c r="AB134" s="30"/>
      <c r="AC134" s="26" t="str" cm="1">
        <f t="array" ref="AC134">_xlfn.IFS(
   OR(B134="",ISBLANK(B134),B134=0),0,
   ISNUMBER(MATCH(B134,{2,3,5,7,11,13,17,19,23,29,31,37,41,43},0)),"소",
   AND(ISNUMBER(B134),MOD(B134,3)=0),"배",
   AND(ISNUMBER(B134),B134&gt;0),"자"
)</f>
        <v>소</v>
      </c>
      <c r="AD134" s="26" t="str" cm="1">
        <f t="array" ref="AD134">_xlfn.IFS(
   OR(C134="",ISBLANK(C134),C134=0),0,
   ISNUMBER(MATCH(C134,{2,3,5,7,11,13,17,19,23,29,31,37,41,43},0)),"소",
   AND(ISNUMBER(C134),MOD(C134,3)=0),"배",
   AND(ISNUMBER(C134),C134&gt;0),"자"
)</f>
        <v>배</v>
      </c>
      <c r="AE134" s="26" t="str" cm="1">
        <f t="array" ref="AE134">_xlfn.IFS(
   OR(D134="",ISBLANK(D134),D134=0),0,
   ISNUMBER(MATCH(D134,{2,3,5,7,11,13,17,19,23,29,31,37,41,43},0)),"소",
   AND(ISNUMBER(D134),MOD(D134,3)=0),"배",
   AND(ISNUMBER(D134),D134&gt;0),"자"
)</f>
        <v>소</v>
      </c>
      <c r="AF134" s="26" t="str" cm="1">
        <f t="array" ref="AF134">_xlfn.IFS(
   OR(E134="",ISBLANK(E134),E134=0),0,
   ISNUMBER(MATCH(E134,{2,3,5,7,11,13,17,19,23,29,31,37,41,43},0)),"소",
   AND(ISNUMBER(E134),MOD(E134,3)=0),"배",
   AND(ISNUMBER(E134),E134&gt;0),"자"
)</f>
        <v>배</v>
      </c>
      <c r="AG134" s="26" t="str" cm="1">
        <f t="array" ref="AG134">_xlfn.IFS(
   OR(F134="",ISBLANK(F134),F134=0),0,
   ISNUMBER(MATCH(F134,{2,3,5,7,11,13,17,19,23,29,31,37,41,43},0)),"소",
   AND(ISNUMBER(F134),MOD(F134,3)=0),"배",
   AND(ISNUMBER(F134),F134&gt;0),"자"
)</f>
        <v>자</v>
      </c>
      <c r="AH134" s="26" t="str" cm="1">
        <f t="array" ref="AH134">_xlfn.IFS(
   OR(G134="",ISBLANK(G134),G134=0),0,
   ISNUMBER(MATCH(G134,{2,3,5,7,11,13,17,19,23,29,31,37,41,43},0)),"소",
   AND(ISNUMBER(G134),MOD(G134,3)=0),"배",
   AND(ISNUMBER(G134),G134&gt;0),"자"
)</f>
        <v>배</v>
      </c>
      <c r="AI134" s="30"/>
      <c r="AJ134" s="3">
        <f>COUNTIFS(B134:G134,"&gt;=1",B134:G134,"&lt;=14")</f>
        <v>1</v>
      </c>
      <c r="AK134" s="3">
        <f>COUNTIFS(B134:G134,"&gt;=15",B134:G134,"&lt;=31")</f>
        <v>3</v>
      </c>
      <c r="AL134" s="3">
        <f>6-AK134-AJ134</f>
        <v>2</v>
      </c>
      <c r="AM134" s="33"/>
      <c r="AN134" s="3">
        <f>COUNTIFS($B134:$G134, "&gt;=1",$B134:$G134, "&lt;=9")</f>
        <v>0</v>
      </c>
      <c r="AO134" s="3">
        <f>COUNTIFS($B134:$G134, "&gt;=10",$B134:$G134, "&lt;=18")</f>
        <v>2</v>
      </c>
      <c r="AP134" s="3">
        <f>COUNTIFS($B134:$G134, "&gt;=19",$B134:$G134, "&lt;=27")</f>
        <v>2</v>
      </c>
      <c r="AQ134" s="3">
        <f>COUNTIFS($B134:$G134, "&gt;=28",$B134:$G134, "&lt;=36")</f>
        <v>0</v>
      </c>
      <c r="AR134" s="3">
        <f>COUNTIFS($B134:$G134, "&gt;=37",$B134:$G134, "&lt;=45")</f>
        <v>2</v>
      </c>
      <c r="AS134" s="28" t="e">
        <f>#REF!</f>
        <v>#REF!</v>
      </c>
      <c r="AT134" s="28" t="e">
        <f>#REF!*2</f>
        <v>#REF!</v>
      </c>
      <c r="AU134" s="28" t="e">
        <f>#REF!</f>
        <v>#REF!</v>
      </c>
      <c r="AV134" s="28" t="e">
        <f>#REF!*2</f>
        <v>#REF!</v>
      </c>
      <c r="AW134" s="28" t="e">
        <f>#REF!</f>
        <v>#REF!</v>
      </c>
      <c r="AX134" s="28" t="e">
        <f>#REF!*2</f>
        <v>#REF!</v>
      </c>
      <c r="AY134" s="28" t="e">
        <f>#REF!</f>
        <v>#REF!</v>
      </c>
      <c r="AZ134" s="28" t="e">
        <f>#REF!*2</f>
        <v>#REF!</v>
      </c>
      <c r="BA134" s="28" t="e">
        <f>#REF!</f>
        <v>#REF!</v>
      </c>
      <c r="BB134" s="28" t="e">
        <f>#REF!*2</f>
        <v>#REF!</v>
      </c>
      <c r="BC134" s="28" t="e">
        <f>#REF!</f>
        <v>#REF!</v>
      </c>
      <c r="BD134" s="28" t="e">
        <f>#REF!*2</f>
        <v>#REF!</v>
      </c>
      <c r="BE134" s="9" t="e">
        <f>#REF!-#REF!</f>
        <v>#REF!</v>
      </c>
      <c r="BF134" s="9" t="e">
        <f>#REF!-#REF!</f>
        <v>#REF!</v>
      </c>
      <c r="BG134" s="9" t="e">
        <f>#REF!-#REF!</f>
        <v>#REF!</v>
      </c>
      <c r="BH134" s="9" t="e">
        <f>#REF!-#REF!</f>
        <v>#REF!</v>
      </c>
      <c r="BI134" s="9" t="e">
        <f>#REF!-#REF!</f>
        <v>#REF!</v>
      </c>
      <c r="BJ134" s="33"/>
      <c r="BK134" s="3">
        <f>COUNTIFS(B134:G134, "&gt;=1", B134:G134, "&lt;=9")</f>
        <v>0</v>
      </c>
      <c r="BL134" s="3">
        <f>COUNTIFS(B134:G134, "&gt;=10", B134:G134, "&lt;=19")</f>
        <v>3</v>
      </c>
      <c r="BM134" s="3">
        <f>COUNTIFS(B134:G134, "&gt;=20", B134:G134, "&lt;=29")</f>
        <v>1</v>
      </c>
      <c r="BN134" s="3">
        <f>COUNTIFS(B134:G134, "&gt;=30", B134:G134, "&lt;=39")</f>
        <v>0</v>
      </c>
      <c r="BO134" s="3">
        <f>COUNTIFS(B134:G134, "&gt;=40", B134:G134, "&lt;=45")</f>
        <v>2</v>
      </c>
      <c r="BP134" s="28" t="e">
        <f>#REF!</f>
        <v>#REF!</v>
      </c>
      <c r="BQ134" s="28" t="e">
        <f>#REF!*2</f>
        <v>#REF!</v>
      </c>
      <c r="BR134" s="28" t="e">
        <f>#REF!</f>
        <v>#REF!</v>
      </c>
      <c r="BS134" s="28" t="e">
        <f>#REF!*2</f>
        <v>#REF!</v>
      </c>
      <c r="BT134" s="28" t="e">
        <f>#REF!</f>
        <v>#REF!</v>
      </c>
      <c r="BU134" s="28" t="e">
        <f>#REF!*2</f>
        <v>#REF!</v>
      </c>
      <c r="BV134" s="28" t="e">
        <f>#REF!</f>
        <v>#REF!</v>
      </c>
      <c r="BW134" s="28" t="e">
        <f>#REF!*2</f>
        <v>#REF!</v>
      </c>
      <c r="BX134" s="28" t="e">
        <f>#REF!</f>
        <v>#REF!</v>
      </c>
      <c r="BY134" s="28" t="e">
        <f>#REF!*2</f>
        <v>#REF!</v>
      </c>
      <c r="BZ134" s="28" t="e">
        <f>#REF!</f>
        <v>#REF!</v>
      </c>
      <c r="CA134" s="28" t="e">
        <f>#REF!*2</f>
        <v>#REF!</v>
      </c>
      <c r="CB134" s="9">
        <f>C134-B134</f>
        <v>2</v>
      </c>
      <c r="CC134" s="9">
        <f>D134-C134</f>
        <v>4</v>
      </c>
      <c r="CD134" s="9">
        <f>E134-D134</f>
        <v>2</v>
      </c>
      <c r="CE134" s="9">
        <f>F134-E134</f>
        <v>23</v>
      </c>
      <c r="CF134" s="9">
        <f>G134-F134</f>
        <v>1</v>
      </c>
      <c r="CG134" s="33"/>
      <c r="CH134" s="9">
        <f>C134-B134</f>
        <v>2</v>
      </c>
      <c r="CI134" s="9">
        <f>D134-C134</f>
        <v>4</v>
      </c>
      <c r="CJ134" s="9">
        <f>E134-D134</f>
        <v>2</v>
      </c>
      <c r="CK134" s="9">
        <f>F134-E134</f>
        <v>23</v>
      </c>
      <c r="CL134" s="9">
        <f>G134-F134</f>
        <v>1</v>
      </c>
      <c r="CM134" s="32"/>
      <c r="CN134" s="3">
        <f>IF(OR(CH134="",ISBLANK(CH134),CH134=0),0,IF(MOD(CH134,2)=1,1,2))</f>
        <v>2</v>
      </c>
      <c r="CO134" s="3">
        <f>IF(OR(CI134="",ISBLANK(CI134),CI134=0),0,IF(MOD(CI134,2)=1,1,2))</f>
        <v>2</v>
      </c>
      <c r="CP134" s="3">
        <f>IF(OR(CJ134="",ISBLANK(CJ134),CJ134=0),0,IF(MOD(CJ134,2)=1,1,2))</f>
        <v>2</v>
      </c>
      <c r="CQ134" s="3">
        <f>IF(OR(CK134="",ISBLANK(CK134),CK134=0),0,IF(MOD(CK134,2)=1,1,2))</f>
        <v>1</v>
      </c>
      <c r="CR134" s="3">
        <f>IF(OR(CL134="",ISBLANK(CL134),CL134=0),0,IF(MOD(CL134,2)=1,1,2))</f>
        <v>1</v>
      </c>
      <c r="CS134" s="31"/>
      <c r="CT134" s="3" cm="1">
        <f t="array" ref="CT134">SUMPRODUCT(--(MOD(CH134:CL134,2)=1))</f>
        <v>2</v>
      </c>
      <c r="CU134" s="3">
        <f>5-CT134</f>
        <v>3</v>
      </c>
      <c r="CV134" s="30"/>
      <c r="CW134" s="3" cm="1">
        <f t="array" ref="CW134">SUMPRODUCT(--(MOD(CH134:CL134,10)&gt;=1), --(MOD(CH134:CL134,10)&lt;=5))</f>
        <v>5</v>
      </c>
      <c r="CX134" s="3">
        <f>5-CW134</f>
        <v>0</v>
      </c>
      <c r="CY134" s="30"/>
      <c r="CZ134" s="3" cm="1">
        <f t="array" ref="CZ134">IFERROR(COUNT(_xlfn._xlws.FILTER(CH134:CL134, ISNUMBER(MATCH(CH134:CL134, {2,3,5,7,11,13,17,19,23,29,31,37,41,43}, 0)))), 0)</f>
        <v>3</v>
      </c>
      <c r="DA134" s="3" cm="1">
        <f t="array" ref="DA134">IFERROR(COUNT(_xlfn._xlws.FILTER(CH134:CL134, ISNUMBER(MATCH(CH134:CL134, {1,4,8,10,14,16,20,22,25,26,28,32,34,35,38,40,44}, 0)))), 0)</f>
        <v>2</v>
      </c>
      <c r="DB134" s="3" cm="1">
        <f t="array" ref="DB134">IFERROR(COUNT(_xlfn._xlws.FILTER(CH134:CL134, ISNUMBER(MATCH(CH134:CL134, {6,9,12,15,18,21,24,27,30,33,36,39,42,45}, 0)))), 0)</f>
        <v>0</v>
      </c>
      <c r="DC134" s="29"/>
      <c r="DD134" s="28" t="e">
        <f>#REF!</f>
        <v>#REF!</v>
      </c>
      <c r="DE134" s="28" t="e">
        <f>#REF!*2</f>
        <v>#REF!</v>
      </c>
      <c r="DF134" s="28" t="e">
        <f>#REF!</f>
        <v>#REF!</v>
      </c>
      <c r="DG134" s="28" t="e">
        <f>#REF!*2</f>
        <v>#REF!</v>
      </c>
      <c r="DH134" s="28" t="e">
        <f>#REF!</f>
        <v>#REF!</v>
      </c>
      <c r="DI134" s="28" t="e">
        <f>#REF!*2</f>
        <v>#REF!</v>
      </c>
      <c r="DJ134" s="28" t="e">
        <f>#REF!</f>
        <v>#REF!</v>
      </c>
      <c r="DK134" s="28" t="e">
        <f>#REF!*2</f>
        <v>#REF!</v>
      </c>
      <c r="DL134" s="28" t="e">
        <f>#REF!</f>
        <v>#REF!</v>
      </c>
      <c r="DM134" s="28" t="e">
        <f>#REF!*2</f>
        <v>#REF!</v>
      </c>
      <c r="DN134" s="27"/>
      <c r="DO134" s="26" t="str" cm="1">
        <f t="array" ref="DO134">_xlfn.IFS(
   OR(CH134="",ISBLANK(CH134),CH134=0),0,
   ISNUMBER(MATCH(CH134,{2,3,5,7,11,13,17,19,23,29,31,37,41,43},0)),"소",
   AND(ISNUMBER(CH134),MOD(CH134,3)=0),"배",
   AND(ISNUMBER(CH134),CH134&gt;0),"자"
)</f>
        <v>소</v>
      </c>
      <c r="DP134" s="26" t="str" cm="1">
        <f t="array" ref="DP134">_xlfn.IFS(
   OR(CI134="",ISBLANK(CI134),CI134=0),0,
   ISNUMBER(MATCH(CI134,{2,3,5,7,11,13,17,19,23,29,31,37,41,43},0)),"소",
   AND(ISNUMBER(CI134),MOD(CI134,3)=0),"배",
   AND(ISNUMBER(CI134),CI134&gt;0),"자"
)</f>
        <v>자</v>
      </c>
      <c r="DQ134" s="26" t="str" cm="1">
        <f t="array" ref="DQ134">_xlfn.IFS(
   OR(CJ134="",ISBLANK(CJ134),CJ134=0),0,
   ISNUMBER(MATCH(CJ134,{2,3,5,7,11,13,17,19,23,29,31,37,41,43},0)),"소",
   AND(ISNUMBER(CJ134),MOD(CJ134,3)=0),"배",
   AND(ISNUMBER(CJ134),CJ134&gt;0),"자"
)</f>
        <v>소</v>
      </c>
      <c r="DR134" s="26" t="str" cm="1">
        <f t="array" ref="DR134">_xlfn.IFS(
   OR(CK134="",ISBLANK(CK134),CK134=0),0,
   ISNUMBER(MATCH(CK134,{2,3,5,7,11,13,17,19,23,29,31,37,41,43},0)),"소",
   AND(ISNUMBER(CK134),MOD(CK134,3)=0),"배",
   AND(ISNUMBER(CK134),CK134&gt;0),"자"
)</f>
        <v>소</v>
      </c>
      <c r="DS134" s="26" t="str" cm="1">
        <f t="array" ref="DS134">_xlfn.IFS(
   OR(CL134="",ISBLANK(CL134),CL134=0),0,
   ISNUMBER(MATCH(CL134,{2,3,5,7,11,13,17,19,23,29,31,37,41,43},0)),"소",
   AND(ISNUMBER(CL134),MOD(CL134,3)=0),"배",
   AND(ISNUMBER(CL134),CL134&gt;0),"자"
)</f>
        <v>자</v>
      </c>
      <c r="DT134" s="25"/>
    </row>
    <row r="135" spans="2:124" x14ac:dyDescent="0.3">
      <c r="B135" s="3">
        <v>3</v>
      </c>
      <c r="C135" s="3">
        <v>10</v>
      </c>
      <c r="D135" s="3">
        <v>14</v>
      </c>
      <c r="E135" s="3">
        <v>15</v>
      </c>
      <c r="F135" s="3">
        <v>23</v>
      </c>
      <c r="G135" s="3">
        <v>24</v>
      </c>
      <c r="H135" s="32"/>
      <c r="I135" s="3">
        <f>IF(OR(B135="",ISBLANK(B135),B135=0),0,IF(MOD(B135,2)=1,1,2))</f>
        <v>1</v>
      </c>
      <c r="J135" s="3">
        <f>IF(OR(C135="",ISBLANK(C135),C135=0),0,IF(MOD(C135,2)=1,1,2))</f>
        <v>2</v>
      </c>
      <c r="K135" s="3">
        <f>IF(OR(D135="",ISBLANK(D135),D135=0),0,IF(MOD(D135,2)=1,1,2))</f>
        <v>2</v>
      </c>
      <c r="L135" s="3">
        <f>IF(OR(E135="",ISBLANK(E135),E135=0),0,IF(MOD(E135,2)=1,1,2))</f>
        <v>1</v>
      </c>
      <c r="M135" s="3">
        <f>IF(OR(F135="",ISBLANK(F135),F135=0),0,IF(MOD(F135,2)=1,1,2))</f>
        <v>1</v>
      </c>
      <c r="N135" s="3">
        <f>IF(OR(G135="",ISBLANK(G135),G135=0),0,IF(MOD(G135,2)=1,1,2))</f>
        <v>2</v>
      </c>
      <c r="O135" s="32"/>
      <c r="P135" s="3" cm="1">
        <f t="array" ref="P135">SUMPRODUCT(--(MOD(B135:G135,2)=1))</f>
        <v>3</v>
      </c>
      <c r="Q135" s="3">
        <f>6-P135</f>
        <v>3</v>
      </c>
      <c r="R135" s="34"/>
      <c r="S135" s="3">
        <f>COUNTIFS(B135:G135,"&gt;=1",B135:G135,"&lt;=23")</f>
        <v>5</v>
      </c>
      <c r="T135" s="3">
        <f>6-S135</f>
        <v>1</v>
      </c>
      <c r="U135" s="34"/>
      <c r="V135" s="3" cm="1">
        <f t="array" ref="V135">SUMPRODUCT(--(MOD(B135:G135,10)&gt;=1), --(MOD(B135:G135,10)&lt;=5))</f>
        <v>5</v>
      </c>
      <c r="W135" s="3">
        <f>6-V135</f>
        <v>1</v>
      </c>
      <c r="X135" s="34"/>
      <c r="Y135" s="3" cm="1">
        <f t="array" ref="Y135">IFERROR(COUNT(_xlfn._xlws.FILTER(B135:G135, ISNUMBER(MATCH(B135:G135, {2,3,5,7,11,13,17,19,23,29,31,37,41,43}, 0)))), 0)</f>
        <v>2</v>
      </c>
      <c r="Z135" s="3" cm="1">
        <f t="array" ref="Z135">IFERROR(COUNT(_xlfn._xlws.FILTER(B135:G135, ISNUMBER(MATCH(B135:G135, {1,4,8,10,14,16,20,22,25,26,28,32,34,35,38,40,44}, 0)))), 0)</f>
        <v>2</v>
      </c>
      <c r="AA135" s="3" cm="1">
        <f t="array" ref="AA135">IFERROR(COUNT(_xlfn._xlws.FILTER(B135:G135, ISNUMBER(MATCH(B135:G135, {6,9,12,15,18,21,24,27,30,33,36,39,42,45}, 0)))), 0)</f>
        <v>2</v>
      </c>
      <c r="AB135" s="30"/>
      <c r="AC135" s="26" t="str" cm="1">
        <f t="array" ref="AC135">_xlfn.IFS(
   OR(B135="",ISBLANK(B135),B135=0),0,
   ISNUMBER(MATCH(B135,{2,3,5,7,11,13,17,19,23,29,31,37,41,43},0)),"소",
   AND(ISNUMBER(B135),MOD(B135,3)=0),"배",
   AND(ISNUMBER(B135),B135&gt;0),"자"
)</f>
        <v>소</v>
      </c>
      <c r="AD135" s="26" t="str" cm="1">
        <f t="array" ref="AD135">_xlfn.IFS(
   OR(C135="",ISBLANK(C135),C135=0),0,
   ISNUMBER(MATCH(C135,{2,3,5,7,11,13,17,19,23,29,31,37,41,43},0)),"소",
   AND(ISNUMBER(C135),MOD(C135,3)=0),"배",
   AND(ISNUMBER(C135),C135&gt;0),"자"
)</f>
        <v>자</v>
      </c>
      <c r="AE135" s="26" t="str" cm="1">
        <f t="array" ref="AE135">_xlfn.IFS(
   OR(D135="",ISBLANK(D135),D135=0),0,
   ISNUMBER(MATCH(D135,{2,3,5,7,11,13,17,19,23,29,31,37,41,43},0)),"소",
   AND(ISNUMBER(D135),MOD(D135,3)=0),"배",
   AND(ISNUMBER(D135),D135&gt;0),"자"
)</f>
        <v>자</v>
      </c>
      <c r="AF135" s="26" t="str" cm="1">
        <f t="array" ref="AF135">_xlfn.IFS(
   OR(E135="",ISBLANK(E135),E135=0),0,
   ISNUMBER(MATCH(E135,{2,3,5,7,11,13,17,19,23,29,31,37,41,43},0)),"소",
   AND(ISNUMBER(E135),MOD(E135,3)=0),"배",
   AND(ISNUMBER(E135),E135&gt;0),"자"
)</f>
        <v>배</v>
      </c>
      <c r="AG135" s="26" t="str" cm="1">
        <f t="array" ref="AG135">_xlfn.IFS(
   OR(F135="",ISBLANK(F135),F135=0),0,
   ISNUMBER(MATCH(F135,{2,3,5,7,11,13,17,19,23,29,31,37,41,43},0)),"소",
   AND(ISNUMBER(F135),MOD(F135,3)=0),"배",
   AND(ISNUMBER(F135),F135&gt;0),"자"
)</f>
        <v>소</v>
      </c>
      <c r="AH135" s="26" t="str" cm="1">
        <f t="array" ref="AH135">_xlfn.IFS(
   OR(G135="",ISBLANK(G135),G135=0),0,
   ISNUMBER(MATCH(G135,{2,3,5,7,11,13,17,19,23,29,31,37,41,43},0)),"소",
   AND(ISNUMBER(G135),MOD(G135,3)=0),"배",
   AND(ISNUMBER(G135),G135&gt;0),"자"
)</f>
        <v>배</v>
      </c>
      <c r="AI135" s="30"/>
      <c r="AJ135" s="3">
        <f>COUNTIFS(B135:G135,"&gt;=1",B135:G135,"&lt;=14")</f>
        <v>3</v>
      </c>
      <c r="AK135" s="3">
        <f>COUNTIFS(B135:G135,"&gt;=15",B135:G135,"&lt;=31")</f>
        <v>3</v>
      </c>
      <c r="AL135" s="3">
        <f>6-AK135-AJ135</f>
        <v>0</v>
      </c>
      <c r="AM135" s="33"/>
      <c r="AN135" s="3">
        <f>COUNTIFS($B135:$G135, "&gt;=1",$B135:$G135, "&lt;=9")</f>
        <v>1</v>
      </c>
      <c r="AO135" s="3">
        <f>COUNTIFS($B135:$G135, "&gt;=10",$B135:$G135, "&lt;=18")</f>
        <v>3</v>
      </c>
      <c r="AP135" s="3">
        <f>COUNTIFS($B135:$G135, "&gt;=19",$B135:$G135, "&lt;=27")</f>
        <v>2</v>
      </c>
      <c r="AQ135" s="3">
        <f>COUNTIFS($B135:$G135, "&gt;=28",$B135:$G135, "&lt;=36")</f>
        <v>0</v>
      </c>
      <c r="AR135" s="3">
        <f>COUNTIFS($B135:$G135, "&gt;=37",$B135:$G135, "&lt;=45")</f>
        <v>0</v>
      </c>
      <c r="AS135" s="28" t="e">
        <f>#REF!</f>
        <v>#REF!</v>
      </c>
      <c r="AT135" s="28" t="e">
        <f>#REF!*2</f>
        <v>#REF!</v>
      </c>
      <c r="AU135" s="28" t="e">
        <f>#REF!</f>
        <v>#REF!</v>
      </c>
      <c r="AV135" s="28" t="e">
        <f>#REF!*2</f>
        <v>#REF!</v>
      </c>
      <c r="AW135" s="28" t="e">
        <f>#REF!</f>
        <v>#REF!</v>
      </c>
      <c r="AX135" s="28" t="e">
        <f>#REF!*2</f>
        <v>#REF!</v>
      </c>
      <c r="AY135" s="28" t="e">
        <f>#REF!</f>
        <v>#REF!</v>
      </c>
      <c r="AZ135" s="28" t="e">
        <f>#REF!*2</f>
        <v>#REF!</v>
      </c>
      <c r="BA135" s="28" t="e">
        <f>#REF!</f>
        <v>#REF!</v>
      </c>
      <c r="BB135" s="28" t="e">
        <f>#REF!*2</f>
        <v>#REF!</v>
      </c>
      <c r="BC135" s="28" t="e">
        <f>#REF!</f>
        <v>#REF!</v>
      </c>
      <c r="BD135" s="28" t="e">
        <f>#REF!*2</f>
        <v>#REF!</v>
      </c>
      <c r="BE135" s="9" t="e">
        <f>#REF!-#REF!</f>
        <v>#REF!</v>
      </c>
      <c r="BF135" s="9" t="e">
        <f>#REF!-#REF!</f>
        <v>#REF!</v>
      </c>
      <c r="BG135" s="9" t="e">
        <f>#REF!-#REF!</f>
        <v>#REF!</v>
      </c>
      <c r="BH135" s="9" t="e">
        <f>#REF!-#REF!</f>
        <v>#REF!</v>
      </c>
      <c r="BI135" s="9" t="e">
        <f>#REF!-#REF!</f>
        <v>#REF!</v>
      </c>
      <c r="BJ135" s="33"/>
      <c r="BK135" s="3">
        <f>COUNTIFS(B135:G135, "&gt;=1", B135:G135, "&lt;=9")</f>
        <v>1</v>
      </c>
      <c r="BL135" s="3">
        <f>COUNTIFS(B135:G135, "&gt;=10", B135:G135, "&lt;=19")</f>
        <v>3</v>
      </c>
      <c r="BM135" s="3">
        <f>COUNTIFS(B135:G135, "&gt;=20", B135:G135, "&lt;=29")</f>
        <v>2</v>
      </c>
      <c r="BN135" s="3">
        <f>COUNTIFS(B135:G135, "&gt;=30", B135:G135, "&lt;=39")</f>
        <v>0</v>
      </c>
      <c r="BO135" s="3">
        <f>COUNTIFS(B135:G135, "&gt;=40", B135:G135, "&lt;=45")</f>
        <v>0</v>
      </c>
      <c r="BP135" s="28" t="e">
        <f>#REF!</f>
        <v>#REF!</v>
      </c>
      <c r="BQ135" s="28" t="e">
        <f>#REF!*2</f>
        <v>#REF!</v>
      </c>
      <c r="BR135" s="28" t="e">
        <f>#REF!</f>
        <v>#REF!</v>
      </c>
      <c r="BS135" s="28" t="e">
        <f>#REF!*2</f>
        <v>#REF!</v>
      </c>
      <c r="BT135" s="28" t="e">
        <f>#REF!</f>
        <v>#REF!</v>
      </c>
      <c r="BU135" s="28" t="e">
        <f>#REF!*2</f>
        <v>#REF!</v>
      </c>
      <c r="BV135" s="28" t="e">
        <f>#REF!</f>
        <v>#REF!</v>
      </c>
      <c r="BW135" s="28" t="e">
        <f>#REF!*2</f>
        <v>#REF!</v>
      </c>
      <c r="BX135" s="28" t="e">
        <f>#REF!</f>
        <v>#REF!</v>
      </c>
      <c r="BY135" s="28" t="e">
        <f>#REF!*2</f>
        <v>#REF!</v>
      </c>
      <c r="BZ135" s="28" t="e">
        <f>#REF!</f>
        <v>#REF!</v>
      </c>
      <c r="CA135" s="28" t="e">
        <f>#REF!*2</f>
        <v>#REF!</v>
      </c>
      <c r="CB135" s="9">
        <f>C135-B135</f>
        <v>7</v>
      </c>
      <c r="CC135" s="9">
        <f>D135-C135</f>
        <v>4</v>
      </c>
      <c r="CD135" s="9">
        <f>E135-D135</f>
        <v>1</v>
      </c>
      <c r="CE135" s="9">
        <f>F135-E135</f>
        <v>8</v>
      </c>
      <c r="CF135" s="9">
        <f>G135-F135</f>
        <v>1</v>
      </c>
      <c r="CG135" s="33"/>
      <c r="CH135" s="9">
        <f>C135-B135</f>
        <v>7</v>
      </c>
      <c r="CI135" s="9">
        <f>D135-C135</f>
        <v>4</v>
      </c>
      <c r="CJ135" s="9">
        <f>E135-D135</f>
        <v>1</v>
      </c>
      <c r="CK135" s="9">
        <f>F135-E135</f>
        <v>8</v>
      </c>
      <c r="CL135" s="9">
        <f>G135-F135</f>
        <v>1</v>
      </c>
      <c r="CM135" s="32"/>
      <c r="CN135" s="3">
        <f>IF(OR(CH135="",ISBLANK(CH135),CH135=0),0,IF(MOD(CH135,2)=1,1,2))</f>
        <v>1</v>
      </c>
      <c r="CO135" s="3">
        <f>IF(OR(CI135="",ISBLANK(CI135),CI135=0),0,IF(MOD(CI135,2)=1,1,2))</f>
        <v>2</v>
      </c>
      <c r="CP135" s="3">
        <f>IF(OR(CJ135="",ISBLANK(CJ135),CJ135=0),0,IF(MOD(CJ135,2)=1,1,2))</f>
        <v>1</v>
      </c>
      <c r="CQ135" s="3">
        <f>IF(OR(CK135="",ISBLANK(CK135),CK135=0),0,IF(MOD(CK135,2)=1,1,2))</f>
        <v>2</v>
      </c>
      <c r="CR135" s="3">
        <f>IF(OR(CL135="",ISBLANK(CL135),CL135=0),0,IF(MOD(CL135,2)=1,1,2))</f>
        <v>1</v>
      </c>
      <c r="CS135" s="31"/>
      <c r="CT135" s="3" cm="1">
        <f t="array" ref="CT135">SUMPRODUCT(--(MOD(CH135:CL135,2)=1))</f>
        <v>3</v>
      </c>
      <c r="CU135" s="3">
        <f>5-CT135</f>
        <v>2</v>
      </c>
      <c r="CV135" s="30"/>
      <c r="CW135" s="3" cm="1">
        <f t="array" ref="CW135">SUMPRODUCT(--(MOD(CH135:CL135,10)&gt;=1), --(MOD(CH135:CL135,10)&lt;=5))</f>
        <v>3</v>
      </c>
      <c r="CX135" s="3">
        <f>5-CW135</f>
        <v>2</v>
      </c>
      <c r="CY135" s="30"/>
      <c r="CZ135" s="3" cm="1">
        <f t="array" ref="CZ135">IFERROR(COUNT(_xlfn._xlws.FILTER(CH135:CL135, ISNUMBER(MATCH(CH135:CL135, {2,3,5,7,11,13,17,19,23,29,31,37,41,43}, 0)))), 0)</f>
        <v>1</v>
      </c>
      <c r="DA135" s="3" cm="1">
        <f t="array" ref="DA135">IFERROR(COUNT(_xlfn._xlws.FILTER(CH135:CL135, ISNUMBER(MATCH(CH135:CL135, {1,4,8,10,14,16,20,22,25,26,28,32,34,35,38,40,44}, 0)))), 0)</f>
        <v>4</v>
      </c>
      <c r="DB135" s="3" cm="1">
        <f t="array" ref="DB135">IFERROR(COUNT(_xlfn._xlws.FILTER(CH135:CL135, ISNUMBER(MATCH(CH135:CL135, {6,9,12,15,18,21,24,27,30,33,36,39,42,45}, 0)))), 0)</f>
        <v>0</v>
      </c>
      <c r="DC135" s="29"/>
      <c r="DD135" s="28" t="e">
        <f>#REF!</f>
        <v>#REF!</v>
      </c>
      <c r="DE135" s="28" t="e">
        <f>#REF!*2</f>
        <v>#REF!</v>
      </c>
      <c r="DF135" s="28" t="e">
        <f>#REF!</f>
        <v>#REF!</v>
      </c>
      <c r="DG135" s="28" t="e">
        <f>#REF!*2</f>
        <v>#REF!</v>
      </c>
      <c r="DH135" s="28" t="e">
        <f>#REF!</f>
        <v>#REF!</v>
      </c>
      <c r="DI135" s="28" t="e">
        <f>#REF!*2</f>
        <v>#REF!</v>
      </c>
      <c r="DJ135" s="28" t="e">
        <f>#REF!</f>
        <v>#REF!</v>
      </c>
      <c r="DK135" s="28" t="e">
        <f>#REF!*2</f>
        <v>#REF!</v>
      </c>
      <c r="DL135" s="28" t="e">
        <f>#REF!</f>
        <v>#REF!</v>
      </c>
      <c r="DM135" s="28" t="e">
        <f>#REF!*2</f>
        <v>#REF!</v>
      </c>
      <c r="DN135" s="27"/>
      <c r="DO135" s="26" t="str" cm="1">
        <f t="array" ref="DO135">_xlfn.IFS(
   OR(CH135="",ISBLANK(CH135),CH135=0),0,
   ISNUMBER(MATCH(CH135,{2,3,5,7,11,13,17,19,23,29,31,37,41,43},0)),"소",
   AND(ISNUMBER(CH135),MOD(CH135,3)=0),"배",
   AND(ISNUMBER(CH135),CH135&gt;0),"자"
)</f>
        <v>소</v>
      </c>
      <c r="DP135" s="26" t="str" cm="1">
        <f t="array" ref="DP135">_xlfn.IFS(
   OR(CI135="",ISBLANK(CI135),CI135=0),0,
   ISNUMBER(MATCH(CI135,{2,3,5,7,11,13,17,19,23,29,31,37,41,43},0)),"소",
   AND(ISNUMBER(CI135),MOD(CI135,3)=0),"배",
   AND(ISNUMBER(CI135),CI135&gt;0),"자"
)</f>
        <v>자</v>
      </c>
      <c r="DQ135" s="26" t="str" cm="1">
        <f t="array" ref="DQ135">_xlfn.IFS(
   OR(CJ135="",ISBLANK(CJ135),CJ135=0),0,
   ISNUMBER(MATCH(CJ135,{2,3,5,7,11,13,17,19,23,29,31,37,41,43},0)),"소",
   AND(ISNUMBER(CJ135),MOD(CJ135,3)=0),"배",
   AND(ISNUMBER(CJ135),CJ135&gt;0),"자"
)</f>
        <v>자</v>
      </c>
      <c r="DR135" s="26" t="str" cm="1">
        <f t="array" ref="DR135">_xlfn.IFS(
   OR(CK135="",ISBLANK(CK135),CK135=0),0,
   ISNUMBER(MATCH(CK135,{2,3,5,7,11,13,17,19,23,29,31,37,41,43},0)),"소",
   AND(ISNUMBER(CK135),MOD(CK135,3)=0),"배",
   AND(ISNUMBER(CK135),CK135&gt;0),"자"
)</f>
        <v>자</v>
      </c>
      <c r="DS135" s="26" t="str" cm="1">
        <f t="array" ref="DS135">_xlfn.IFS(
   OR(CL135="",ISBLANK(CL135),CL135=0),0,
   ISNUMBER(MATCH(CL135,{2,3,5,7,11,13,17,19,23,29,31,37,41,43},0)),"소",
   AND(ISNUMBER(CL135),MOD(CL135,3)=0),"배",
   AND(ISNUMBER(CL135),CL135&gt;0),"자"
)</f>
        <v>자</v>
      </c>
      <c r="DT135" s="25"/>
    </row>
    <row r="136" spans="2:124" x14ac:dyDescent="0.3">
      <c r="B136" s="3">
        <v>8</v>
      </c>
      <c r="C136" s="3">
        <v>10</v>
      </c>
      <c r="D136" s="3">
        <v>15</v>
      </c>
      <c r="E136" s="3">
        <v>20</v>
      </c>
      <c r="F136" s="3">
        <v>29</v>
      </c>
      <c r="G136" s="3">
        <v>31</v>
      </c>
      <c r="H136" s="32"/>
      <c r="I136" s="3">
        <f>IF(OR(B136="",ISBLANK(B136),B136=0),0,IF(MOD(B136,2)=1,1,2))</f>
        <v>2</v>
      </c>
      <c r="J136" s="3">
        <f>IF(OR(C136="",ISBLANK(C136),C136=0),0,IF(MOD(C136,2)=1,1,2))</f>
        <v>2</v>
      </c>
      <c r="K136" s="3">
        <f>IF(OR(D136="",ISBLANK(D136),D136=0),0,IF(MOD(D136,2)=1,1,2))</f>
        <v>1</v>
      </c>
      <c r="L136" s="3">
        <f>IF(OR(E136="",ISBLANK(E136),E136=0),0,IF(MOD(E136,2)=1,1,2))</f>
        <v>2</v>
      </c>
      <c r="M136" s="3">
        <f>IF(OR(F136="",ISBLANK(F136),F136=0),0,IF(MOD(F136,2)=1,1,2))</f>
        <v>1</v>
      </c>
      <c r="N136" s="3">
        <f>IF(OR(G136="",ISBLANK(G136),G136=0),0,IF(MOD(G136,2)=1,1,2))</f>
        <v>1</v>
      </c>
      <c r="O136" s="32"/>
      <c r="P136" s="3" cm="1">
        <f t="array" ref="P136">SUMPRODUCT(--(MOD(B136:G136,2)=1))</f>
        <v>3</v>
      </c>
      <c r="Q136" s="3">
        <f>6-P136</f>
        <v>3</v>
      </c>
      <c r="R136" s="34"/>
      <c r="S136" s="3">
        <f>COUNTIFS(B136:G136,"&gt;=1",B136:G136,"&lt;=23")</f>
        <v>4</v>
      </c>
      <c r="T136" s="3">
        <f>6-S136</f>
        <v>2</v>
      </c>
      <c r="U136" s="34"/>
      <c r="V136" s="3" cm="1">
        <f t="array" ref="V136">SUMPRODUCT(--(MOD(B136:G136,10)&gt;=1), --(MOD(B136:G136,10)&lt;=5))</f>
        <v>2</v>
      </c>
      <c r="W136" s="3">
        <f>6-V136</f>
        <v>4</v>
      </c>
      <c r="X136" s="34"/>
      <c r="Y136" s="3" cm="1">
        <f t="array" ref="Y136">IFERROR(COUNT(_xlfn._xlws.FILTER(B136:G136, ISNUMBER(MATCH(B136:G136, {2,3,5,7,11,13,17,19,23,29,31,37,41,43}, 0)))), 0)</f>
        <v>2</v>
      </c>
      <c r="Z136" s="3" cm="1">
        <f t="array" ref="Z136">IFERROR(COUNT(_xlfn._xlws.FILTER(B136:G136, ISNUMBER(MATCH(B136:G136, {1,4,8,10,14,16,20,22,25,26,28,32,34,35,38,40,44}, 0)))), 0)</f>
        <v>3</v>
      </c>
      <c r="AA136" s="3" cm="1">
        <f t="array" ref="AA136">IFERROR(COUNT(_xlfn._xlws.FILTER(B136:G136, ISNUMBER(MATCH(B136:G136, {6,9,12,15,18,21,24,27,30,33,36,39,42,45}, 0)))), 0)</f>
        <v>1</v>
      </c>
      <c r="AB136" s="30"/>
      <c r="AC136" s="26" t="str" cm="1">
        <f t="array" ref="AC136">_xlfn.IFS(
   OR(B136="",ISBLANK(B136),B136=0),0,
   ISNUMBER(MATCH(B136,{2,3,5,7,11,13,17,19,23,29,31,37,41,43},0)),"소",
   AND(ISNUMBER(B136),MOD(B136,3)=0),"배",
   AND(ISNUMBER(B136),B136&gt;0),"자"
)</f>
        <v>자</v>
      </c>
      <c r="AD136" s="26" t="str" cm="1">
        <f t="array" ref="AD136">_xlfn.IFS(
   OR(C136="",ISBLANK(C136),C136=0),0,
   ISNUMBER(MATCH(C136,{2,3,5,7,11,13,17,19,23,29,31,37,41,43},0)),"소",
   AND(ISNUMBER(C136),MOD(C136,3)=0),"배",
   AND(ISNUMBER(C136),C136&gt;0),"자"
)</f>
        <v>자</v>
      </c>
      <c r="AE136" s="26" t="str" cm="1">
        <f t="array" ref="AE136">_xlfn.IFS(
   OR(D136="",ISBLANK(D136),D136=0),0,
   ISNUMBER(MATCH(D136,{2,3,5,7,11,13,17,19,23,29,31,37,41,43},0)),"소",
   AND(ISNUMBER(D136),MOD(D136,3)=0),"배",
   AND(ISNUMBER(D136),D136&gt;0),"자"
)</f>
        <v>배</v>
      </c>
      <c r="AF136" s="26" t="str" cm="1">
        <f t="array" ref="AF136">_xlfn.IFS(
   OR(E136="",ISBLANK(E136),E136=0),0,
   ISNUMBER(MATCH(E136,{2,3,5,7,11,13,17,19,23,29,31,37,41,43},0)),"소",
   AND(ISNUMBER(E136),MOD(E136,3)=0),"배",
   AND(ISNUMBER(E136),E136&gt;0),"자"
)</f>
        <v>자</v>
      </c>
      <c r="AG136" s="26" t="str" cm="1">
        <f t="array" ref="AG136">_xlfn.IFS(
   OR(F136="",ISBLANK(F136),F136=0),0,
   ISNUMBER(MATCH(F136,{2,3,5,7,11,13,17,19,23,29,31,37,41,43},0)),"소",
   AND(ISNUMBER(F136),MOD(F136,3)=0),"배",
   AND(ISNUMBER(F136),F136&gt;0),"자"
)</f>
        <v>소</v>
      </c>
      <c r="AH136" s="26" t="str" cm="1">
        <f t="array" ref="AH136">_xlfn.IFS(
   OR(G136="",ISBLANK(G136),G136=0),0,
   ISNUMBER(MATCH(G136,{2,3,5,7,11,13,17,19,23,29,31,37,41,43},0)),"소",
   AND(ISNUMBER(G136),MOD(G136,3)=0),"배",
   AND(ISNUMBER(G136),G136&gt;0),"자"
)</f>
        <v>소</v>
      </c>
      <c r="AI136" s="30"/>
      <c r="AJ136" s="3">
        <f>COUNTIFS(B136:G136,"&gt;=1",B136:G136,"&lt;=14")</f>
        <v>2</v>
      </c>
      <c r="AK136" s="3">
        <f>COUNTIFS(B136:G136,"&gt;=15",B136:G136,"&lt;=31")</f>
        <v>4</v>
      </c>
      <c r="AL136" s="3">
        <f>6-AK136-AJ136</f>
        <v>0</v>
      </c>
      <c r="AM136" s="33"/>
      <c r="AN136" s="3">
        <f>COUNTIFS($B136:$G136, "&gt;=1",$B136:$G136, "&lt;=9")</f>
        <v>1</v>
      </c>
      <c r="AO136" s="3">
        <f>COUNTIFS($B136:$G136, "&gt;=10",$B136:$G136, "&lt;=18")</f>
        <v>2</v>
      </c>
      <c r="AP136" s="3">
        <f>COUNTIFS($B136:$G136, "&gt;=19",$B136:$G136, "&lt;=27")</f>
        <v>1</v>
      </c>
      <c r="AQ136" s="3">
        <f>COUNTIFS($B136:$G136, "&gt;=28",$B136:$G136, "&lt;=36")</f>
        <v>2</v>
      </c>
      <c r="AR136" s="3">
        <f>COUNTIFS($B136:$G136, "&gt;=37",$B136:$G136, "&lt;=45")</f>
        <v>0</v>
      </c>
      <c r="AS136" s="28" t="e">
        <f>#REF!</f>
        <v>#REF!</v>
      </c>
      <c r="AT136" s="28" t="e">
        <f>#REF!*2</f>
        <v>#REF!</v>
      </c>
      <c r="AU136" s="28" t="e">
        <f>#REF!</f>
        <v>#REF!</v>
      </c>
      <c r="AV136" s="28" t="e">
        <f>#REF!*2</f>
        <v>#REF!</v>
      </c>
      <c r="AW136" s="28" t="e">
        <f>#REF!</f>
        <v>#REF!</v>
      </c>
      <c r="AX136" s="28" t="e">
        <f>#REF!*2</f>
        <v>#REF!</v>
      </c>
      <c r="AY136" s="28" t="e">
        <f>#REF!</f>
        <v>#REF!</v>
      </c>
      <c r="AZ136" s="28" t="e">
        <f>#REF!*2</f>
        <v>#REF!</v>
      </c>
      <c r="BA136" s="28" t="e">
        <f>#REF!</f>
        <v>#REF!</v>
      </c>
      <c r="BB136" s="28" t="e">
        <f>#REF!*2</f>
        <v>#REF!</v>
      </c>
      <c r="BC136" s="28" t="e">
        <f>#REF!</f>
        <v>#REF!</v>
      </c>
      <c r="BD136" s="28" t="e">
        <f>#REF!*2</f>
        <v>#REF!</v>
      </c>
      <c r="BE136" s="9" t="e">
        <f>#REF!-#REF!</f>
        <v>#REF!</v>
      </c>
      <c r="BF136" s="9" t="e">
        <f>#REF!-#REF!</f>
        <v>#REF!</v>
      </c>
      <c r="BG136" s="9" t="e">
        <f>#REF!-#REF!</f>
        <v>#REF!</v>
      </c>
      <c r="BH136" s="9" t="e">
        <f>#REF!-#REF!</f>
        <v>#REF!</v>
      </c>
      <c r="BI136" s="9" t="e">
        <f>#REF!-#REF!</f>
        <v>#REF!</v>
      </c>
      <c r="BJ136" s="33"/>
      <c r="BK136" s="3">
        <f>COUNTIFS(B136:G136, "&gt;=1", B136:G136, "&lt;=9")</f>
        <v>1</v>
      </c>
      <c r="BL136" s="3">
        <f>COUNTIFS(B136:G136, "&gt;=10", B136:G136, "&lt;=19")</f>
        <v>2</v>
      </c>
      <c r="BM136" s="3">
        <f>COUNTIFS(B136:G136, "&gt;=20", B136:G136, "&lt;=29")</f>
        <v>2</v>
      </c>
      <c r="BN136" s="3">
        <f>COUNTIFS(B136:G136, "&gt;=30", B136:G136, "&lt;=39")</f>
        <v>1</v>
      </c>
      <c r="BO136" s="3">
        <f>COUNTIFS(B136:G136, "&gt;=40", B136:G136, "&lt;=45")</f>
        <v>0</v>
      </c>
      <c r="BP136" s="28" t="e">
        <f>#REF!</f>
        <v>#REF!</v>
      </c>
      <c r="BQ136" s="28" t="e">
        <f>#REF!*2</f>
        <v>#REF!</v>
      </c>
      <c r="BR136" s="28" t="e">
        <f>#REF!</f>
        <v>#REF!</v>
      </c>
      <c r="BS136" s="28" t="e">
        <f>#REF!*2</f>
        <v>#REF!</v>
      </c>
      <c r="BT136" s="28" t="e">
        <f>#REF!</f>
        <v>#REF!</v>
      </c>
      <c r="BU136" s="28" t="e">
        <f>#REF!*2</f>
        <v>#REF!</v>
      </c>
      <c r="BV136" s="28" t="e">
        <f>#REF!</f>
        <v>#REF!</v>
      </c>
      <c r="BW136" s="28" t="e">
        <f>#REF!*2</f>
        <v>#REF!</v>
      </c>
      <c r="BX136" s="28" t="e">
        <f>#REF!</f>
        <v>#REF!</v>
      </c>
      <c r="BY136" s="28" t="e">
        <f>#REF!*2</f>
        <v>#REF!</v>
      </c>
      <c r="BZ136" s="28" t="e">
        <f>#REF!</f>
        <v>#REF!</v>
      </c>
      <c r="CA136" s="28" t="e">
        <f>#REF!*2</f>
        <v>#REF!</v>
      </c>
      <c r="CB136" s="9">
        <f>C136-B136</f>
        <v>2</v>
      </c>
      <c r="CC136" s="9">
        <f>D136-C136</f>
        <v>5</v>
      </c>
      <c r="CD136" s="9">
        <f>E136-D136</f>
        <v>5</v>
      </c>
      <c r="CE136" s="9">
        <f>F136-E136</f>
        <v>9</v>
      </c>
      <c r="CF136" s="9">
        <f>G136-F136</f>
        <v>2</v>
      </c>
      <c r="CG136" s="33"/>
      <c r="CH136" s="9">
        <f>C136-B136</f>
        <v>2</v>
      </c>
      <c r="CI136" s="9">
        <f>D136-C136</f>
        <v>5</v>
      </c>
      <c r="CJ136" s="9">
        <f>E136-D136</f>
        <v>5</v>
      </c>
      <c r="CK136" s="9">
        <f>F136-E136</f>
        <v>9</v>
      </c>
      <c r="CL136" s="9">
        <f>G136-F136</f>
        <v>2</v>
      </c>
      <c r="CM136" s="32"/>
      <c r="CN136" s="3">
        <f>IF(OR(CH136="",ISBLANK(CH136),CH136=0),0,IF(MOD(CH136,2)=1,1,2))</f>
        <v>2</v>
      </c>
      <c r="CO136" s="3">
        <f>IF(OR(CI136="",ISBLANK(CI136),CI136=0),0,IF(MOD(CI136,2)=1,1,2))</f>
        <v>1</v>
      </c>
      <c r="CP136" s="3">
        <f>IF(OR(CJ136="",ISBLANK(CJ136),CJ136=0),0,IF(MOD(CJ136,2)=1,1,2))</f>
        <v>1</v>
      </c>
      <c r="CQ136" s="3">
        <f>IF(OR(CK136="",ISBLANK(CK136),CK136=0),0,IF(MOD(CK136,2)=1,1,2))</f>
        <v>1</v>
      </c>
      <c r="CR136" s="3">
        <f>IF(OR(CL136="",ISBLANK(CL136),CL136=0),0,IF(MOD(CL136,2)=1,1,2))</f>
        <v>2</v>
      </c>
      <c r="CS136" s="31"/>
      <c r="CT136" s="3" cm="1">
        <f t="array" ref="CT136">SUMPRODUCT(--(MOD(CH136:CL136,2)=1))</f>
        <v>3</v>
      </c>
      <c r="CU136" s="3">
        <f>5-CT136</f>
        <v>2</v>
      </c>
      <c r="CV136" s="30"/>
      <c r="CW136" s="3" cm="1">
        <f t="array" ref="CW136">SUMPRODUCT(--(MOD(CH136:CL136,10)&gt;=1), --(MOD(CH136:CL136,10)&lt;=5))</f>
        <v>4</v>
      </c>
      <c r="CX136" s="3">
        <f>5-CW136</f>
        <v>1</v>
      </c>
      <c r="CY136" s="30"/>
      <c r="CZ136" s="3" cm="1">
        <f t="array" ref="CZ136">IFERROR(COUNT(_xlfn._xlws.FILTER(CH136:CL136, ISNUMBER(MATCH(CH136:CL136, {2,3,5,7,11,13,17,19,23,29,31,37,41,43}, 0)))), 0)</f>
        <v>4</v>
      </c>
      <c r="DA136" s="3" cm="1">
        <f t="array" ref="DA136">IFERROR(COUNT(_xlfn._xlws.FILTER(CH136:CL136, ISNUMBER(MATCH(CH136:CL136, {1,4,8,10,14,16,20,22,25,26,28,32,34,35,38,40,44}, 0)))), 0)</f>
        <v>0</v>
      </c>
      <c r="DB136" s="3" cm="1">
        <f t="array" ref="DB136">IFERROR(COUNT(_xlfn._xlws.FILTER(CH136:CL136, ISNUMBER(MATCH(CH136:CL136, {6,9,12,15,18,21,24,27,30,33,36,39,42,45}, 0)))), 0)</f>
        <v>1</v>
      </c>
      <c r="DC136" s="29"/>
      <c r="DD136" s="28" t="e">
        <f>#REF!</f>
        <v>#REF!</v>
      </c>
      <c r="DE136" s="28" t="e">
        <f>#REF!*2</f>
        <v>#REF!</v>
      </c>
      <c r="DF136" s="28" t="e">
        <f>#REF!</f>
        <v>#REF!</v>
      </c>
      <c r="DG136" s="28" t="e">
        <f>#REF!*2</f>
        <v>#REF!</v>
      </c>
      <c r="DH136" s="28" t="e">
        <f>#REF!</f>
        <v>#REF!</v>
      </c>
      <c r="DI136" s="28" t="e">
        <f>#REF!*2</f>
        <v>#REF!</v>
      </c>
      <c r="DJ136" s="28" t="e">
        <f>#REF!</f>
        <v>#REF!</v>
      </c>
      <c r="DK136" s="28" t="e">
        <f>#REF!*2</f>
        <v>#REF!</v>
      </c>
      <c r="DL136" s="28" t="e">
        <f>#REF!</f>
        <v>#REF!</v>
      </c>
      <c r="DM136" s="28" t="e">
        <f>#REF!*2</f>
        <v>#REF!</v>
      </c>
      <c r="DN136" s="27"/>
      <c r="DO136" s="26" t="str" cm="1">
        <f t="array" ref="DO136">_xlfn.IFS(
   OR(CH136="",ISBLANK(CH136),CH136=0),0,
   ISNUMBER(MATCH(CH136,{2,3,5,7,11,13,17,19,23,29,31,37,41,43},0)),"소",
   AND(ISNUMBER(CH136),MOD(CH136,3)=0),"배",
   AND(ISNUMBER(CH136),CH136&gt;0),"자"
)</f>
        <v>소</v>
      </c>
      <c r="DP136" s="26" t="str" cm="1">
        <f t="array" ref="DP136">_xlfn.IFS(
   OR(CI136="",ISBLANK(CI136),CI136=0),0,
   ISNUMBER(MATCH(CI136,{2,3,5,7,11,13,17,19,23,29,31,37,41,43},0)),"소",
   AND(ISNUMBER(CI136),MOD(CI136,3)=0),"배",
   AND(ISNUMBER(CI136),CI136&gt;0),"자"
)</f>
        <v>소</v>
      </c>
      <c r="DQ136" s="26" t="str" cm="1">
        <f t="array" ref="DQ136">_xlfn.IFS(
   OR(CJ136="",ISBLANK(CJ136),CJ136=0),0,
   ISNUMBER(MATCH(CJ136,{2,3,5,7,11,13,17,19,23,29,31,37,41,43},0)),"소",
   AND(ISNUMBER(CJ136),MOD(CJ136,3)=0),"배",
   AND(ISNUMBER(CJ136),CJ136&gt;0),"자"
)</f>
        <v>소</v>
      </c>
      <c r="DR136" s="26" t="str" cm="1">
        <f t="array" ref="DR136">_xlfn.IFS(
   OR(CK136="",ISBLANK(CK136),CK136=0),0,
   ISNUMBER(MATCH(CK136,{2,3,5,7,11,13,17,19,23,29,31,37,41,43},0)),"소",
   AND(ISNUMBER(CK136),MOD(CK136,3)=0),"배",
   AND(ISNUMBER(CK136),CK136&gt;0),"자"
)</f>
        <v>배</v>
      </c>
      <c r="DS136" s="26" t="str" cm="1">
        <f t="array" ref="DS136">_xlfn.IFS(
   OR(CL136="",ISBLANK(CL136),CL136=0),0,
   ISNUMBER(MATCH(CL136,{2,3,5,7,11,13,17,19,23,29,31,37,41,43},0)),"소",
   AND(ISNUMBER(CL136),MOD(CL136,3)=0),"배",
   AND(ISNUMBER(CL136),CL136&gt;0),"자"
)</f>
        <v>소</v>
      </c>
      <c r="DT136" s="25"/>
    </row>
    <row r="137" spans="2:124" x14ac:dyDescent="0.3">
      <c r="B137" s="3">
        <v>3</v>
      </c>
      <c r="C137" s="3">
        <v>28</v>
      </c>
      <c r="D137" s="3">
        <v>31</v>
      </c>
      <c r="E137" s="3">
        <v>32</v>
      </c>
      <c r="F137" s="3">
        <v>42</v>
      </c>
      <c r="G137" s="3">
        <v>45</v>
      </c>
      <c r="H137" s="32"/>
      <c r="I137" s="3">
        <f>IF(OR(B137="",ISBLANK(B137),B137=0),0,IF(MOD(B137,2)=1,1,2))</f>
        <v>1</v>
      </c>
      <c r="J137" s="3">
        <f>IF(OR(C137="",ISBLANK(C137),C137=0),0,IF(MOD(C137,2)=1,1,2))</f>
        <v>2</v>
      </c>
      <c r="K137" s="3">
        <f>IF(OR(D137="",ISBLANK(D137),D137=0),0,IF(MOD(D137,2)=1,1,2))</f>
        <v>1</v>
      </c>
      <c r="L137" s="3">
        <f>IF(OR(E137="",ISBLANK(E137),E137=0),0,IF(MOD(E137,2)=1,1,2))</f>
        <v>2</v>
      </c>
      <c r="M137" s="3">
        <f>IF(OR(F137="",ISBLANK(F137),F137=0),0,IF(MOD(F137,2)=1,1,2))</f>
        <v>2</v>
      </c>
      <c r="N137" s="3">
        <f>IF(OR(G137="",ISBLANK(G137),G137=0),0,IF(MOD(G137,2)=1,1,2))</f>
        <v>1</v>
      </c>
      <c r="O137" s="32"/>
      <c r="P137" s="3" cm="1">
        <f t="array" ref="P137">SUMPRODUCT(--(MOD(B137:G137,2)=1))</f>
        <v>3</v>
      </c>
      <c r="Q137" s="3">
        <f>6-P137</f>
        <v>3</v>
      </c>
      <c r="R137" s="34"/>
      <c r="S137" s="3">
        <f>COUNTIFS(B137:G137,"&gt;=1",B137:G137,"&lt;=23")</f>
        <v>1</v>
      </c>
      <c r="T137" s="3">
        <f>6-S137</f>
        <v>5</v>
      </c>
      <c r="U137" s="34"/>
      <c r="V137" s="3" cm="1">
        <f t="array" ref="V137">SUMPRODUCT(--(MOD(B137:G137,10)&gt;=1), --(MOD(B137:G137,10)&lt;=5))</f>
        <v>5</v>
      </c>
      <c r="W137" s="3">
        <f>6-V137</f>
        <v>1</v>
      </c>
      <c r="X137" s="34"/>
      <c r="Y137" s="3" cm="1">
        <f t="array" ref="Y137">IFERROR(COUNT(_xlfn._xlws.FILTER(B137:G137, ISNUMBER(MATCH(B137:G137, {2,3,5,7,11,13,17,19,23,29,31,37,41,43}, 0)))), 0)</f>
        <v>2</v>
      </c>
      <c r="Z137" s="3" cm="1">
        <f t="array" ref="Z137">IFERROR(COUNT(_xlfn._xlws.FILTER(B137:G137, ISNUMBER(MATCH(B137:G137, {1,4,8,10,14,16,20,22,25,26,28,32,34,35,38,40,44}, 0)))), 0)</f>
        <v>2</v>
      </c>
      <c r="AA137" s="3" cm="1">
        <f t="array" ref="AA137">IFERROR(COUNT(_xlfn._xlws.FILTER(B137:G137, ISNUMBER(MATCH(B137:G137, {6,9,12,15,18,21,24,27,30,33,36,39,42,45}, 0)))), 0)</f>
        <v>2</v>
      </c>
      <c r="AB137" s="30"/>
      <c r="AC137" s="26" t="str" cm="1">
        <f t="array" ref="AC137">_xlfn.IFS(
   OR(B137="",ISBLANK(B137),B137=0),0,
   ISNUMBER(MATCH(B137,{2,3,5,7,11,13,17,19,23,29,31,37,41,43},0)),"소",
   AND(ISNUMBER(B137),MOD(B137,3)=0),"배",
   AND(ISNUMBER(B137),B137&gt;0),"자"
)</f>
        <v>소</v>
      </c>
      <c r="AD137" s="26" t="str" cm="1">
        <f t="array" ref="AD137">_xlfn.IFS(
   OR(C137="",ISBLANK(C137),C137=0),0,
   ISNUMBER(MATCH(C137,{2,3,5,7,11,13,17,19,23,29,31,37,41,43},0)),"소",
   AND(ISNUMBER(C137),MOD(C137,3)=0),"배",
   AND(ISNUMBER(C137),C137&gt;0),"자"
)</f>
        <v>자</v>
      </c>
      <c r="AE137" s="26" t="str" cm="1">
        <f t="array" ref="AE137">_xlfn.IFS(
   OR(D137="",ISBLANK(D137),D137=0),0,
   ISNUMBER(MATCH(D137,{2,3,5,7,11,13,17,19,23,29,31,37,41,43},0)),"소",
   AND(ISNUMBER(D137),MOD(D137,3)=0),"배",
   AND(ISNUMBER(D137),D137&gt;0),"자"
)</f>
        <v>소</v>
      </c>
      <c r="AF137" s="26" t="str" cm="1">
        <f t="array" ref="AF137">_xlfn.IFS(
   OR(E137="",ISBLANK(E137),E137=0),0,
   ISNUMBER(MATCH(E137,{2,3,5,7,11,13,17,19,23,29,31,37,41,43},0)),"소",
   AND(ISNUMBER(E137),MOD(E137,3)=0),"배",
   AND(ISNUMBER(E137),E137&gt;0),"자"
)</f>
        <v>자</v>
      </c>
      <c r="AG137" s="26" t="str" cm="1">
        <f t="array" ref="AG137">_xlfn.IFS(
   OR(F137="",ISBLANK(F137),F137=0),0,
   ISNUMBER(MATCH(F137,{2,3,5,7,11,13,17,19,23,29,31,37,41,43},0)),"소",
   AND(ISNUMBER(F137),MOD(F137,3)=0),"배",
   AND(ISNUMBER(F137),F137&gt;0),"자"
)</f>
        <v>배</v>
      </c>
      <c r="AH137" s="26" t="str" cm="1">
        <f t="array" ref="AH137">_xlfn.IFS(
   OR(G137="",ISBLANK(G137),G137=0),0,
   ISNUMBER(MATCH(G137,{2,3,5,7,11,13,17,19,23,29,31,37,41,43},0)),"소",
   AND(ISNUMBER(G137),MOD(G137,3)=0),"배",
   AND(ISNUMBER(G137),G137&gt;0),"자"
)</f>
        <v>배</v>
      </c>
      <c r="AI137" s="30"/>
      <c r="AJ137" s="3">
        <f>COUNTIFS(B137:G137,"&gt;=1",B137:G137,"&lt;=14")</f>
        <v>1</v>
      </c>
      <c r="AK137" s="3">
        <f>COUNTIFS(B137:G137,"&gt;=15",B137:G137,"&lt;=31")</f>
        <v>2</v>
      </c>
      <c r="AL137" s="3">
        <f>6-AK137-AJ137</f>
        <v>3</v>
      </c>
      <c r="AM137" s="33"/>
      <c r="AN137" s="3">
        <f>COUNTIFS($B137:$G137, "&gt;=1",$B137:$G137, "&lt;=9")</f>
        <v>1</v>
      </c>
      <c r="AO137" s="3">
        <f>COUNTIFS($B137:$G137, "&gt;=10",$B137:$G137, "&lt;=18")</f>
        <v>0</v>
      </c>
      <c r="AP137" s="3">
        <f>COUNTIFS($B137:$G137, "&gt;=19",$B137:$G137, "&lt;=27")</f>
        <v>0</v>
      </c>
      <c r="AQ137" s="3">
        <f>COUNTIFS($B137:$G137, "&gt;=28",$B137:$G137, "&lt;=36")</f>
        <v>3</v>
      </c>
      <c r="AR137" s="3">
        <f>COUNTIFS($B137:$G137, "&gt;=37",$B137:$G137, "&lt;=45")</f>
        <v>2</v>
      </c>
      <c r="AS137" s="28" t="e">
        <f>#REF!</f>
        <v>#REF!</v>
      </c>
      <c r="AT137" s="28" t="e">
        <f>#REF!*2</f>
        <v>#REF!</v>
      </c>
      <c r="AU137" s="28" t="e">
        <f>#REF!</f>
        <v>#REF!</v>
      </c>
      <c r="AV137" s="28" t="e">
        <f>#REF!*2</f>
        <v>#REF!</v>
      </c>
      <c r="AW137" s="28" t="e">
        <f>#REF!</f>
        <v>#REF!</v>
      </c>
      <c r="AX137" s="28" t="e">
        <f>#REF!*2</f>
        <v>#REF!</v>
      </c>
      <c r="AY137" s="28" t="e">
        <f>#REF!</f>
        <v>#REF!</v>
      </c>
      <c r="AZ137" s="28" t="e">
        <f>#REF!*2</f>
        <v>#REF!</v>
      </c>
      <c r="BA137" s="28" t="e">
        <f>#REF!</f>
        <v>#REF!</v>
      </c>
      <c r="BB137" s="28" t="e">
        <f>#REF!*2</f>
        <v>#REF!</v>
      </c>
      <c r="BC137" s="28" t="e">
        <f>#REF!</f>
        <v>#REF!</v>
      </c>
      <c r="BD137" s="28" t="e">
        <f>#REF!*2</f>
        <v>#REF!</v>
      </c>
      <c r="BE137" s="9" t="e">
        <f>#REF!-#REF!</f>
        <v>#REF!</v>
      </c>
      <c r="BF137" s="9" t="e">
        <f>#REF!-#REF!</f>
        <v>#REF!</v>
      </c>
      <c r="BG137" s="9" t="e">
        <f>#REF!-#REF!</f>
        <v>#REF!</v>
      </c>
      <c r="BH137" s="9" t="e">
        <f>#REF!-#REF!</f>
        <v>#REF!</v>
      </c>
      <c r="BI137" s="9" t="e">
        <f>#REF!-#REF!</f>
        <v>#REF!</v>
      </c>
      <c r="BJ137" s="33"/>
      <c r="BK137" s="3">
        <f>COUNTIFS(B137:G137, "&gt;=1", B137:G137, "&lt;=9")</f>
        <v>1</v>
      </c>
      <c r="BL137" s="3">
        <f>COUNTIFS(B137:G137, "&gt;=10", B137:G137, "&lt;=19")</f>
        <v>0</v>
      </c>
      <c r="BM137" s="3">
        <f>COUNTIFS(B137:G137, "&gt;=20", B137:G137, "&lt;=29")</f>
        <v>1</v>
      </c>
      <c r="BN137" s="3">
        <f>COUNTIFS(B137:G137, "&gt;=30", B137:G137, "&lt;=39")</f>
        <v>2</v>
      </c>
      <c r="BO137" s="3">
        <f>COUNTIFS(B137:G137, "&gt;=40", B137:G137, "&lt;=45")</f>
        <v>2</v>
      </c>
      <c r="BP137" s="28" t="e">
        <f>#REF!</f>
        <v>#REF!</v>
      </c>
      <c r="BQ137" s="28" t="e">
        <f>#REF!*2</f>
        <v>#REF!</v>
      </c>
      <c r="BR137" s="28" t="e">
        <f>#REF!</f>
        <v>#REF!</v>
      </c>
      <c r="BS137" s="28" t="e">
        <f>#REF!*2</f>
        <v>#REF!</v>
      </c>
      <c r="BT137" s="28" t="e">
        <f>#REF!</f>
        <v>#REF!</v>
      </c>
      <c r="BU137" s="28" t="e">
        <f>#REF!*2</f>
        <v>#REF!</v>
      </c>
      <c r="BV137" s="28" t="e">
        <f>#REF!</f>
        <v>#REF!</v>
      </c>
      <c r="BW137" s="28" t="e">
        <f>#REF!*2</f>
        <v>#REF!</v>
      </c>
      <c r="BX137" s="28" t="e">
        <f>#REF!</f>
        <v>#REF!</v>
      </c>
      <c r="BY137" s="28" t="e">
        <f>#REF!*2</f>
        <v>#REF!</v>
      </c>
      <c r="BZ137" s="28" t="e">
        <f>#REF!</f>
        <v>#REF!</v>
      </c>
      <c r="CA137" s="28" t="e">
        <f>#REF!*2</f>
        <v>#REF!</v>
      </c>
      <c r="CB137" s="9">
        <f>C137-B137</f>
        <v>25</v>
      </c>
      <c r="CC137" s="9">
        <f>D137-C137</f>
        <v>3</v>
      </c>
      <c r="CD137" s="9">
        <f>E137-D137</f>
        <v>1</v>
      </c>
      <c r="CE137" s="9">
        <f>F137-E137</f>
        <v>10</v>
      </c>
      <c r="CF137" s="9">
        <f>G137-F137</f>
        <v>3</v>
      </c>
      <c r="CG137" s="33"/>
      <c r="CH137" s="9">
        <f>C137-B137</f>
        <v>25</v>
      </c>
      <c r="CI137" s="9">
        <f>D137-C137</f>
        <v>3</v>
      </c>
      <c r="CJ137" s="9">
        <f>E137-D137</f>
        <v>1</v>
      </c>
      <c r="CK137" s="9">
        <f>F137-E137</f>
        <v>10</v>
      </c>
      <c r="CL137" s="9">
        <f>G137-F137</f>
        <v>3</v>
      </c>
      <c r="CM137" s="32"/>
      <c r="CN137" s="3">
        <f>IF(OR(CH137="",ISBLANK(CH137),CH137=0),0,IF(MOD(CH137,2)=1,1,2))</f>
        <v>1</v>
      </c>
      <c r="CO137" s="3">
        <f>IF(OR(CI137="",ISBLANK(CI137),CI137=0),0,IF(MOD(CI137,2)=1,1,2))</f>
        <v>1</v>
      </c>
      <c r="CP137" s="3">
        <f>IF(OR(CJ137="",ISBLANK(CJ137),CJ137=0),0,IF(MOD(CJ137,2)=1,1,2))</f>
        <v>1</v>
      </c>
      <c r="CQ137" s="3">
        <f>IF(OR(CK137="",ISBLANK(CK137),CK137=0),0,IF(MOD(CK137,2)=1,1,2))</f>
        <v>2</v>
      </c>
      <c r="CR137" s="3">
        <f>IF(OR(CL137="",ISBLANK(CL137),CL137=0),0,IF(MOD(CL137,2)=1,1,2))</f>
        <v>1</v>
      </c>
      <c r="CS137" s="31"/>
      <c r="CT137" s="3" cm="1">
        <f t="array" ref="CT137">SUMPRODUCT(--(MOD(CH137:CL137,2)=1))</f>
        <v>4</v>
      </c>
      <c r="CU137" s="3">
        <f>5-CT137</f>
        <v>1</v>
      </c>
      <c r="CV137" s="30"/>
      <c r="CW137" s="3" cm="1">
        <f t="array" ref="CW137">SUMPRODUCT(--(MOD(CH137:CL137,10)&gt;=1), --(MOD(CH137:CL137,10)&lt;=5))</f>
        <v>4</v>
      </c>
      <c r="CX137" s="3">
        <f>5-CW137</f>
        <v>1</v>
      </c>
      <c r="CY137" s="30"/>
      <c r="CZ137" s="3" cm="1">
        <f t="array" ref="CZ137">IFERROR(COUNT(_xlfn._xlws.FILTER(CH137:CL137, ISNUMBER(MATCH(CH137:CL137, {2,3,5,7,11,13,17,19,23,29,31,37,41,43}, 0)))), 0)</f>
        <v>2</v>
      </c>
      <c r="DA137" s="3" cm="1">
        <f t="array" ref="DA137">IFERROR(COUNT(_xlfn._xlws.FILTER(CH137:CL137, ISNUMBER(MATCH(CH137:CL137, {1,4,8,10,14,16,20,22,25,26,28,32,34,35,38,40,44}, 0)))), 0)</f>
        <v>3</v>
      </c>
      <c r="DB137" s="3" cm="1">
        <f t="array" ref="DB137">IFERROR(COUNT(_xlfn._xlws.FILTER(CH137:CL137, ISNUMBER(MATCH(CH137:CL137, {6,9,12,15,18,21,24,27,30,33,36,39,42,45}, 0)))), 0)</f>
        <v>0</v>
      </c>
      <c r="DC137" s="29"/>
      <c r="DD137" s="28" t="e">
        <f>#REF!</f>
        <v>#REF!</v>
      </c>
      <c r="DE137" s="28" t="e">
        <f>#REF!*2</f>
        <v>#REF!</v>
      </c>
      <c r="DF137" s="28" t="e">
        <f>#REF!</f>
        <v>#REF!</v>
      </c>
      <c r="DG137" s="28" t="e">
        <f>#REF!*2</f>
        <v>#REF!</v>
      </c>
      <c r="DH137" s="28" t="e">
        <f>#REF!</f>
        <v>#REF!</v>
      </c>
      <c r="DI137" s="28" t="e">
        <f>#REF!*2</f>
        <v>#REF!</v>
      </c>
      <c r="DJ137" s="28" t="e">
        <f>#REF!</f>
        <v>#REF!</v>
      </c>
      <c r="DK137" s="28" t="e">
        <f>#REF!*2</f>
        <v>#REF!</v>
      </c>
      <c r="DL137" s="28" t="e">
        <f>#REF!</f>
        <v>#REF!</v>
      </c>
      <c r="DM137" s="28" t="e">
        <f>#REF!*2</f>
        <v>#REF!</v>
      </c>
      <c r="DN137" s="27"/>
      <c r="DO137" s="26" t="str" cm="1">
        <f t="array" ref="DO137">_xlfn.IFS(
   OR(CH137="",ISBLANK(CH137),CH137=0),0,
   ISNUMBER(MATCH(CH137,{2,3,5,7,11,13,17,19,23,29,31,37,41,43},0)),"소",
   AND(ISNUMBER(CH137),MOD(CH137,3)=0),"배",
   AND(ISNUMBER(CH137),CH137&gt;0),"자"
)</f>
        <v>자</v>
      </c>
      <c r="DP137" s="26" t="str" cm="1">
        <f t="array" ref="DP137">_xlfn.IFS(
   OR(CI137="",ISBLANK(CI137),CI137=0),0,
   ISNUMBER(MATCH(CI137,{2,3,5,7,11,13,17,19,23,29,31,37,41,43},0)),"소",
   AND(ISNUMBER(CI137),MOD(CI137,3)=0),"배",
   AND(ISNUMBER(CI137),CI137&gt;0),"자"
)</f>
        <v>소</v>
      </c>
      <c r="DQ137" s="26" t="str" cm="1">
        <f t="array" ref="DQ137">_xlfn.IFS(
   OR(CJ137="",ISBLANK(CJ137),CJ137=0),0,
   ISNUMBER(MATCH(CJ137,{2,3,5,7,11,13,17,19,23,29,31,37,41,43},0)),"소",
   AND(ISNUMBER(CJ137),MOD(CJ137,3)=0),"배",
   AND(ISNUMBER(CJ137),CJ137&gt;0),"자"
)</f>
        <v>자</v>
      </c>
      <c r="DR137" s="26" t="str" cm="1">
        <f t="array" ref="DR137">_xlfn.IFS(
   OR(CK137="",ISBLANK(CK137),CK137=0),0,
   ISNUMBER(MATCH(CK137,{2,3,5,7,11,13,17,19,23,29,31,37,41,43},0)),"소",
   AND(ISNUMBER(CK137),MOD(CK137,3)=0),"배",
   AND(ISNUMBER(CK137),CK137&gt;0),"자"
)</f>
        <v>자</v>
      </c>
      <c r="DS137" s="26" t="str" cm="1">
        <f t="array" ref="DS137">_xlfn.IFS(
   OR(CL137="",ISBLANK(CL137),CL137=0),0,
   ISNUMBER(MATCH(CL137,{2,3,5,7,11,13,17,19,23,29,31,37,41,43},0)),"소",
   AND(ISNUMBER(CL137),MOD(CL137,3)=0),"배",
   AND(ISNUMBER(CL137),CL137&gt;0),"자"
)</f>
        <v>소</v>
      </c>
      <c r="DT137" s="25"/>
    </row>
    <row r="138" spans="2:124" x14ac:dyDescent="0.3">
      <c r="B138" s="3">
        <v>1</v>
      </c>
      <c r="C138" s="3">
        <v>2</v>
      </c>
      <c r="D138" s="3">
        <v>15</v>
      </c>
      <c r="E138" s="3">
        <v>28</v>
      </c>
      <c r="F138" s="3">
        <v>39</v>
      </c>
      <c r="G138" s="3">
        <v>45</v>
      </c>
      <c r="H138" s="32"/>
      <c r="I138" s="3">
        <f>IF(OR(B138="",ISBLANK(B138),B138=0),0,IF(MOD(B138,2)=1,1,2))</f>
        <v>1</v>
      </c>
      <c r="J138" s="3">
        <f>IF(OR(C138="",ISBLANK(C138),C138=0),0,IF(MOD(C138,2)=1,1,2))</f>
        <v>2</v>
      </c>
      <c r="K138" s="3">
        <f>IF(OR(D138="",ISBLANK(D138),D138=0),0,IF(MOD(D138,2)=1,1,2))</f>
        <v>1</v>
      </c>
      <c r="L138" s="3">
        <f>IF(OR(E138="",ISBLANK(E138),E138=0),0,IF(MOD(E138,2)=1,1,2))</f>
        <v>2</v>
      </c>
      <c r="M138" s="3">
        <f>IF(OR(F138="",ISBLANK(F138),F138=0),0,IF(MOD(F138,2)=1,1,2))</f>
        <v>1</v>
      </c>
      <c r="N138" s="3">
        <f>IF(OR(G138="",ISBLANK(G138),G138=0),0,IF(MOD(G138,2)=1,1,2))</f>
        <v>1</v>
      </c>
      <c r="O138" s="32"/>
      <c r="P138" s="3" cm="1">
        <f t="array" ref="P138">SUMPRODUCT(--(MOD(B138:G138,2)=1))</f>
        <v>4</v>
      </c>
      <c r="Q138" s="3">
        <f>6-P138</f>
        <v>2</v>
      </c>
      <c r="R138" s="34"/>
      <c r="S138" s="3">
        <f>COUNTIFS(B138:G138,"&gt;=1",B138:G138,"&lt;=23")</f>
        <v>3</v>
      </c>
      <c r="T138" s="3">
        <f>6-S138</f>
        <v>3</v>
      </c>
      <c r="U138" s="34"/>
      <c r="V138" s="3" cm="1">
        <f t="array" ref="V138">SUMPRODUCT(--(MOD(B138:G138,10)&gt;=1), --(MOD(B138:G138,10)&lt;=5))</f>
        <v>4</v>
      </c>
      <c r="W138" s="3">
        <f>6-V138</f>
        <v>2</v>
      </c>
      <c r="X138" s="34"/>
      <c r="Y138" s="3" cm="1">
        <f t="array" ref="Y138">IFERROR(COUNT(_xlfn._xlws.FILTER(B138:G138, ISNUMBER(MATCH(B138:G138, {2,3,5,7,11,13,17,19,23,29,31,37,41,43}, 0)))), 0)</f>
        <v>1</v>
      </c>
      <c r="Z138" s="3" cm="1">
        <f t="array" ref="Z138">IFERROR(COUNT(_xlfn._xlws.FILTER(B138:G138, ISNUMBER(MATCH(B138:G138, {1,4,8,10,14,16,20,22,25,26,28,32,34,35,38,40,44}, 0)))), 0)</f>
        <v>2</v>
      </c>
      <c r="AA138" s="3" cm="1">
        <f t="array" ref="AA138">IFERROR(COUNT(_xlfn._xlws.FILTER(B138:G138, ISNUMBER(MATCH(B138:G138, {6,9,12,15,18,21,24,27,30,33,36,39,42,45}, 0)))), 0)</f>
        <v>3</v>
      </c>
      <c r="AB138" s="30"/>
      <c r="AC138" s="26" t="str" cm="1">
        <f t="array" ref="AC138">_xlfn.IFS(
   OR(B138="",ISBLANK(B138),B138=0),0,
   ISNUMBER(MATCH(B138,{2,3,5,7,11,13,17,19,23,29,31,37,41,43},0)),"소",
   AND(ISNUMBER(B138),MOD(B138,3)=0),"배",
   AND(ISNUMBER(B138),B138&gt;0),"자"
)</f>
        <v>자</v>
      </c>
      <c r="AD138" s="26" t="str" cm="1">
        <f t="array" ref="AD138">_xlfn.IFS(
   OR(C138="",ISBLANK(C138),C138=0),0,
   ISNUMBER(MATCH(C138,{2,3,5,7,11,13,17,19,23,29,31,37,41,43},0)),"소",
   AND(ISNUMBER(C138),MOD(C138,3)=0),"배",
   AND(ISNUMBER(C138),C138&gt;0),"자"
)</f>
        <v>소</v>
      </c>
      <c r="AE138" s="26" t="str" cm="1">
        <f t="array" ref="AE138">_xlfn.IFS(
   OR(D138="",ISBLANK(D138),D138=0),0,
   ISNUMBER(MATCH(D138,{2,3,5,7,11,13,17,19,23,29,31,37,41,43},0)),"소",
   AND(ISNUMBER(D138),MOD(D138,3)=0),"배",
   AND(ISNUMBER(D138),D138&gt;0),"자"
)</f>
        <v>배</v>
      </c>
      <c r="AF138" s="26" t="str" cm="1">
        <f t="array" ref="AF138">_xlfn.IFS(
   OR(E138="",ISBLANK(E138),E138=0),0,
   ISNUMBER(MATCH(E138,{2,3,5,7,11,13,17,19,23,29,31,37,41,43},0)),"소",
   AND(ISNUMBER(E138),MOD(E138,3)=0),"배",
   AND(ISNUMBER(E138),E138&gt;0),"자"
)</f>
        <v>자</v>
      </c>
      <c r="AG138" s="26" t="str" cm="1">
        <f t="array" ref="AG138">_xlfn.IFS(
   OR(F138="",ISBLANK(F138),F138=0),0,
   ISNUMBER(MATCH(F138,{2,3,5,7,11,13,17,19,23,29,31,37,41,43},0)),"소",
   AND(ISNUMBER(F138),MOD(F138,3)=0),"배",
   AND(ISNUMBER(F138),F138&gt;0),"자"
)</f>
        <v>배</v>
      </c>
      <c r="AH138" s="26" t="str" cm="1">
        <f t="array" ref="AH138">_xlfn.IFS(
   OR(G138="",ISBLANK(G138),G138=0),0,
   ISNUMBER(MATCH(G138,{2,3,5,7,11,13,17,19,23,29,31,37,41,43},0)),"소",
   AND(ISNUMBER(G138),MOD(G138,3)=0),"배",
   AND(ISNUMBER(G138),G138&gt;0),"자"
)</f>
        <v>배</v>
      </c>
      <c r="AI138" s="30"/>
      <c r="AJ138" s="3">
        <f>COUNTIFS(B138:G138,"&gt;=1",B138:G138,"&lt;=14")</f>
        <v>2</v>
      </c>
      <c r="AK138" s="3">
        <f>COUNTIFS(B138:G138,"&gt;=15",B138:G138,"&lt;=31")</f>
        <v>2</v>
      </c>
      <c r="AL138" s="3">
        <f>6-AK138-AJ138</f>
        <v>2</v>
      </c>
      <c r="AM138" s="33"/>
      <c r="AN138" s="3">
        <f>COUNTIFS($B138:$G138, "&gt;=1",$B138:$G138, "&lt;=9")</f>
        <v>2</v>
      </c>
      <c r="AO138" s="3">
        <f>COUNTIFS($B138:$G138, "&gt;=10",$B138:$G138, "&lt;=18")</f>
        <v>1</v>
      </c>
      <c r="AP138" s="3">
        <f>COUNTIFS($B138:$G138, "&gt;=19",$B138:$G138, "&lt;=27")</f>
        <v>0</v>
      </c>
      <c r="AQ138" s="3">
        <f>COUNTIFS($B138:$G138, "&gt;=28",$B138:$G138, "&lt;=36")</f>
        <v>1</v>
      </c>
      <c r="AR138" s="3">
        <f>COUNTIFS($B138:$G138, "&gt;=37",$B138:$G138, "&lt;=45")</f>
        <v>2</v>
      </c>
      <c r="AS138" s="28" t="e">
        <f>#REF!</f>
        <v>#REF!</v>
      </c>
      <c r="AT138" s="28" t="e">
        <f>#REF!*2</f>
        <v>#REF!</v>
      </c>
      <c r="AU138" s="28" t="e">
        <f>#REF!</f>
        <v>#REF!</v>
      </c>
      <c r="AV138" s="28" t="e">
        <f>#REF!*2</f>
        <v>#REF!</v>
      </c>
      <c r="AW138" s="28" t="e">
        <f>#REF!</f>
        <v>#REF!</v>
      </c>
      <c r="AX138" s="28" t="e">
        <f>#REF!*2</f>
        <v>#REF!</v>
      </c>
      <c r="AY138" s="28" t="e">
        <f>#REF!</f>
        <v>#REF!</v>
      </c>
      <c r="AZ138" s="28" t="e">
        <f>#REF!*2</f>
        <v>#REF!</v>
      </c>
      <c r="BA138" s="28" t="e">
        <f>#REF!</f>
        <v>#REF!</v>
      </c>
      <c r="BB138" s="28" t="e">
        <f>#REF!*2</f>
        <v>#REF!</v>
      </c>
      <c r="BC138" s="28" t="e">
        <f>#REF!</f>
        <v>#REF!</v>
      </c>
      <c r="BD138" s="28" t="e">
        <f>#REF!*2</f>
        <v>#REF!</v>
      </c>
      <c r="BE138" s="9" t="e">
        <f>#REF!-#REF!</f>
        <v>#REF!</v>
      </c>
      <c r="BF138" s="9" t="e">
        <f>#REF!-#REF!</f>
        <v>#REF!</v>
      </c>
      <c r="BG138" s="9" t="e">
        <f>#REF!-#REF!</f>
        <v>#REF!</v>
      </c>
      <c r="BH138" s="9" t="e">
        <f>#REF!-#REF!</f>
        <v>#REF!</v>
      </c>
      <c r="BI138" s="9" t="e">
        <f>#REF!-#REF!</f>
        <v>#REF!</v>
      </c>
      <c r="BJ138" s="33"/>
      <c r="BK138" s="3">
        <f>COUNTIFS(B138:G138, "&gt;=1", B138:G138, "&lt;=9")</f>
        <v>2</v>
      </c>
      <c r="BL138" s="3">
        <f>COUNTIFS(B138:G138, "&gt;=10", B138:G138, "&lt;=19")</f>
        <v>1</v>
      </c>
      <c r="BM138" s="3">
        <f>COUNTIFS(B138:G138, "&gt;=20", B138:G138, "&lt;=29")</f>
        <v>1</v>
      </c>
      <c r="BN138" s="3">
        <f>COUNTIFS(B138:G138, "&gt;=30", B138:G138, "&lt;=39")</f>
        <v>1</v>
      </c>
      <c r="BO138" s="3">
        <f>COUNTIFS(B138:G138, "&gt;=40", B138:G138, "&lt;=45")</f>
        <v>1</v>
      </c>
      <c r="BP138" s="28" t="e">
        <f>#REF!</f>
        <v>#REF!</v>
      </c>
      <c r="BQ138" s="28" t="e">
        <f>#REF!*2</f>
        <v>#REF!</v>
      </c>
      <c r="BR138" s="28" t="e">
        <f>#REF!</f>
        <v>#REF!</v>
      </c>
      <c r="BS138" s="28" t="e">
        <f>#REF!*2</f>
        <v>#REF!</v>
      </c>
      <c r="BT138" s="28" t="e">
        <f>#REF!</f>
        <v>#REF!</v>
      </c>
      <c r="BU138" s="28" t="e">
        <f>#REF!*2</f>
        <v>#REF!</v>
      </c>
      <c r="BV138" s="28" t="e">
        <f>#REF!</f>
        <v>#REF!</v>
      </c>
      <c r="BW138" s="28" t="e">
        <f>#REF!*2</f>
        <v>#REF!</v>
      </c>
      <c r="BX138" s="28" t="e">
        <f>#REF!</f>
        <v>#REF!</v>
      </c>
      <c r="BY138" s="28" t="e">
        <f>#REF!*2</f>
        <v>#REF!</v>
      </c>
      <c r="BZ138" s="28" t="e">
        <f>#REF!</f>
        <v>#REF!</v>
      </c>
      <c r="CA138" s="28" t="e">
        <f>#REF!*2</f>
        <v>#REF!</v>
      </c>
      <c r="CB138" s="9">
        <f>C138-B138</f>
        <v>1</v>
      </c>
      <c r="CC138" s="9">
        <f>D138-C138</f>
        <v>13</v>
      </c>
      <c r="CD138" s="9">
        <f>E138-D138</f>
        <v>13</v>
      </c>
      <c r="CE138" s="9">
        <f>F138-E138</f>
        <v>11</v>
      </c>
      <c r="CF138" s="9">
        <f>G138-F138</f>
        <v>6</v>
      </c>
      <c r="CG138" s="33"/>
      <c r="CH138" s="9">
        <f>C138-B138</f>
        <v>1</v>
      </c>
      <c r="CI138" s="9">
        <f>D138-C138</f>
        <v>13</v>
      </c>
      <c r="CJ138" s="9">
        <f>E138-D138</f>
        <v>13</v>
      </c>
      <c r="CK138" s="9">
        <f>F138-E138</f>
        <v>11</v>
      </c>
      <c r="CL138" s="9">
        <f>G138-F138</f>
        <v>6</v>
      </c>
      <c r="CM138" s="32"/>
      <c r="CN138" s="3">
        <f>IF(OR(CH138="",ISBLANK(CH138),CH138=0),0,IF(MOD(CH138,2)=1,1,2))</f>
        <v>1</v>
      </c>
      <c r="CO138" s="3">
        <f>IF(OR(CI138="",ISBLANK(CI138),CI138=0),0,IF(MOD(CI138,2)=1,1,2))</f>
        <v>1</v>
      </c>
      <c r="CP138" s="3">
        <f>IF(OR(CJ138="",ISBLANK(CJ138),CJ138=0),0,IF(MOD(CJ138,2)=1,1,2))</f>
        <v>1</v>
      </c>
      <c r="CQ138" s="3">
        <f>IF(OR(CK138="",ISBLANK(CK138),CK138=0),0,IF(MOD(CK138,2)=1,1,2))</f>
        <v>1</v>
      </c>
      <c r="CR138" s="3">
        <f>IF(OR(CL138="",ISBLANK(CL138),CL138=0),0,IF(MOD(CL138,2)=1,1,2))</f>
        <v>2</v>
      </c>
      <c r="CS138" s="31"/>
      <c r="CT138" s="3" cm="1">
        <f t="array" ref="CT138">SUMPRODUCT(--(MOD(CH138:CL138,2)=1))</f>
        <v>4</v>
      </c>
      <c r="CU138" s="3">
        <f>5-CT138</f>
        <v>1</v>
      </c>
      <c r="CV138" s="30"/>
      <c r="CW138" s="3" cm="1">
        <f t="array" ref="CW138">SUMPRODUCT(--(MOD(CH138:CL138,10)&gt;=1), --(MOD(CH138:CL138,10)&lt;=5))</f>
        <v>4</v>
      </c>
      <c r="CX138" s="3">
        <f>5-CW138</f>
        <v>1</v>
      </c>
      <c r="CY138" s="30"/>
      <c r="CZ138" s="3" cm="1">
        <f t="array" ref="CZ138">IFERROR(COUNT(_xlfn._xlws.FILTER(CH138:CL138, ISNUMBER(MATCH(CH138:CL138, {2,3,5,7,11,13,17,19,23,29,31,37,41,43}, 0)))), 0)</f>
        <v>3</v>
      </c>
      <c r="DA138" s="3" cm="1">
        <f t="array" ref="DA138">IFERROR(COUNT(_xlfn._xlws.FILTER(CH138:CL138, ISNUMBER(MATCH(CH138:CL138, {1,4,8,10,14,16,20,22,25,26,28,32,34,35,38,40,44}, 0)))), 0)</f>
        <v>1</v>
      </c>
      <c r="DB138" s="3" cm="1">
        <f t="array" ref="DB138">IFERROR(COUNT(_xlfn._xlws.FILTER(CH138:CL138, ISNUMBER(MATCH(CH138:CL138, {6,9,12,15,18,21,24,27,30,33,36,39,42,45}, 0)))), 0)</f>
        <v>1</v>
      </c>
      <c r="DC138" s="29"/>
      <c r="DD138" s="28" t="e">
        <f>#REF!</f>
        <v>#REF!</v>
      </c>
      <c r="DE138" s="28" t="e">
        <f>#REF!*2</f>
        <v>#REF!</v>
      </c>
      <c r="DF138" s="28" t="e">
        <f>#REF!</f>
        <v>#REF!</v>
      </c>
      <c r="DG138" s="28" t="e">
        <f>#REF!*2</f>
        <v>#REF!</v>
      </c>
      <c r="DH138" s="28" t="e">
        <f>#REF!</f>
        <v>#REF!</v>
      </c>
      <c r="DI138" s="28" t="e">
        <f>#REF!*2</f>
        <v>#REF!</v>
      </c>
      <c r="DJ138" s="28" t="e">
        <f>#REF!</f>
        <v>#REF!</v>
      </c>
      <c r="DK138" s="28" t="e">
        <f>#REF!*2</f>
        <v>#REF!</v>
      </c>
      <c r="DL138" s="28" t="e">
        <f>#REF!</f>
        <v>#REF!</v>
      </c>
      <c r="DM138" s="28" t="e">
        <f>#REF!*2</f>
        <v>#REF!</v>
      </c>
      <c r="DN138" s="27"/>
      <c r="DO138" s="26" t="str" cm="1">
        <f t="array" ref="DO138">_xlfn.IFS(
   OR(CH138="",ISBLANK(CH138),CH138=0),0,
   ISNUMBER(MATCH(CH138,{2,3,5,7,11,13,17,19,23,29,31,37,41,43},0)),"소",
   AND(ISNUMBER(CH138),MOD(CH138,3)=0),"배",
   AND(ISNUMBER(CH138),CH138&gt;0),"자"
)</f>
        <v>자</v>
      </c>
      <c r="DP138" s="26" t="str" cm="1">
        <f t="array" ref="DP138">_xlfn.IFS(
   OR(CI138="",ISBLANK(CI138),CI138=0),0,
   ISNUMBER(MATCH(CI138,{2,3,5,7,11,13,17,19,23,29,31,37,41,43},0)),"소",
   AND(ISNUMBER(CI138),MOD(CI138,3)=0),"배",
   AND(ISNUMBER(CI138),CI138&gt;0),"자"
)</f>
        <v>소</v>
      </c>
      <c r="DQ138" s="26" t="str" cm="1">
        <f t="array" ref="DQ138">_xlfn.IFS(
   OR(CJ138="",ISBLANK(CJ138),CJ138=0),0,
   ISNUMBER(MATCH(CJ138,{2,3,5,7,11,13,17,19,23,29,31,37,41,43},0)),"소",
   AND(ISNUMBER(CJ138),MOD(CJ138,3)=0),"배",
   AND(ISNUMBER(CJ138),CJ138&gt;0),"자"
)</f>
        <v>소</v>
      </c>
      <c r="DR138" s="26" t="str" cm="1">
        <f t="array" ref="DR138">_xlfn.IFS(
   OR(CK138="",ISBLANK(CK138),CK138=0),0,
   ISNUMBER(MATCH(CK138,{2,3,5,7,11,13,17,19,23,29,31,37,41,43},0)),"소",
   AND(ISNUMBER(CK138),MOD(CK138,3)=0),"배",
   AND(ISNUMBER(CK138),CK138&gt;0),"자"
)</f>
        <v>소</v>
      </c>
      <c r="DS138" s="26" t="str" cm="1">
        <f t="array" ref="DS138">_xlfn.IFS(
   OR(CL138="",ISBLANK(CL138),CL138=0),0,
   ISNUMBER(MATCH(CL138,{2,3,5,7,11,13,17,19,23,29,31,37,41,43},0)),"소",
   AND(ISNUMBER(CL138),MOD(CL138,3)=0),"배",
   AND(ISNUMBER(CL138),CL138&gt;0),"자"
)</f>
        <v>배</v>
      </c>
      <c r="DT138" s="25"/>
    </row>
    <row r="139" spans="2:124" x14ac:dyDescent="0.3">
      <c r="B139" s="3">
        <v>2</v>
      </c>
      <c r="C139" s="3">
        <v>22</v>
      </c>
      <c r="D139" s="3">
        <v>25</v>
      </c>
      <c r="E139" s="3">
        <v>28</v>
      </c>
      <c r="F139" s="3">
        <v>34</v>
      </c>
      <c r="G139" s="3">
        <v>43</v>
      </c>
      <c r="H139" s="32"/>
      <c r="I139" s="3">
        <f>IF(OR(B139="",ISBLANK(B139),B139=0),0,IF(MOD(B139,2)=1,1,2))</f>
        <v>2</v>
      </c>
      <c r="J139" s="3">
        <f>IF(OR(C139="",ISBLANK(C139),C139=0),0,IF(MOD(C139,2)=1,1,2))</f>
        <v>2</v>
      </c>
      <c r="K139" s="3">
        <f>IF(OR(D139="",ISBLANK(D139),D139=0),0,IF(MOD(D139,2)=1,1,2))</f>
        <v>1</v>
      </c>
      <c r="L139" s="3">
        <f>IF(OR(E139="",ISBLANK(E139),E139=0),0,IF(MOD(E139,2)=1,1,2))</f>
        <v>2</v>
      </c>
      <c r="M139" s="3">
        <f>IF(OR(F139="",ISBLANK(F139),F139=0),0,IF(MOD(F139,2)=1,1,2))</f>
        <v>2</v>
      </c>
      <c r="N139" s="3">
        <f>IF(OR(G139="",ISBLANK(G139),G139=0),0,IF(MOD(G139,2)=1,1,2))</f>
        <v>1</v>
      </c>
      <c r="O139" s="32"/>
      <c r="P139" s="3" cm="1">
        <f t="array" ref="P139">SUMPRODUCT(--(MOD(B139:G139,2)=1))</f>
        <v>2</v>
      </c>
      <c r="Q139" s="3">
        <f>6-P139</f>
        <v>4</v>
      </c>
      <c r="R139" s="34"/>
      <c r="S139" s="3">
        <f>COUNTIFS(B139:G139,"&gt;=1",B139:G139,"&lt;=23")</f>
        <v>2</v>
      </c>
      <c r="T139" s="3">
        <f>6-S139</f>
        <v>4</v>
      </c>
      <c r="U139" s="34"/>
      <c r="V139" s="3" cm="1">
        <f t="array" ref="V139">SUMPRODUCT(--(MOD(B139:G139,10)&gt;=1), --(MOD(B139:G139,10)&lt;=5))</f>
        <v>5</v>
      </c>
      <c r="W139" s="3">
        <f>6-V139</f>
        <v>1</v>
      </c>
      <c r="X139" s="34"/>
      <c r="Y139" s="3" cm="1">
        <f t="array" ref="Y139">IFERROR(COUNT(_xlfn._xlws.FILTER(B139:G139, ISNUMBER(MATCH(B139:G139, {2,3,5,7,11,13,17,19,23,29,31,37,41,43}, 0)))), 0)</f>
        <v>2</v>
      </c>
      <c r="Z139" s="3" cm="1">
        <f t="array" ref="Z139">IFERROR(COUNT(_xlfn._xlws.FILTER(B139:G139, ISNUMBER(MATCH(B139:G139, {1,4,8,10,14,16,20,22,25,26,28,32,34,35,38,40,44}, 0)))), 0)</f>
        <v>4</v>
      </c>
      <c r="AA139" s="3" cm="1">
        <f t="array" ref="AA139">IFERROR(COUNT(_xlfn._xlws.FILTER(B139:G139, ISNUMBER(MATCH(B139:G139, {6,9,12,15,18,21,24,27,30,33,36,39,42,45}, 0)))), 0)</f>
        <v>0</v>
      </c>
      <c r="AB139" s="30"/>
      <c r="AC139" s="26" t="str" cm="1">
        <f t="array" ref="AC139">_xlfn.IFS(
   OR(B139="",ISBLANK(B139),B139=0),0,
   ISNUMBER(MATCH(B139,{2,3,5,7,11,13,17,19,23,29,31,37,41,43},0)),"소",
   AND(ISNUMBER(B139),MOD(B139,3)=0),"배",
   AND(ISNUMBER(B139),B139&gt;0),"자"
)</f>
        <v>소</v>
      </c>
      <c r="AD139" s="26" t="str" cm="1">
        <f t="array" ref="AD139">_xlfn.IFS(
   OR(C139="",ISBLANK(C139),C139=0),0,
   ISNUMBER(MATCH(C139,{2,3,5,7,11,13,17,19,23,29,31,37,41,43},0)),"소",
   AND(ISNUMBER(C139),MOD(C139,3)=0),"배",
   AND(ISNUMBER(C139),C139&gt;0),"자"
)</f>
        <v>자</v>
      </c>
      <c r="AE139" s="26" t="str" cm="1">
        <f t="array" ref="AE139">_xlfn.IFS(
   OR(D139="",ISBLANK(D139),D139=0),0,
   ISNUMBER(MATCH(D139,{2,3,5,7,11,13,17,19,23,29,31,37,41,43},0)),"소",
   AND(ISNUMBER(D139),MOD(D139,3)=0),"배",
   AND(ISNUMBER(D139),D139&gt;0),"자"
)</f>
        <v>자</v>
      </c>
      <c r="AF139" s="26" t="str" cm="1">
        <f t="array" ref="AF139">_xlfn.IFS(
   OR(E139="",ISBLANK(E139),E139=0),0,
   ISNUMBER(MATCH(E139,{2,3,5,7,11,13,17,19,23,29,31,37,41,43},0)),"소",
   AND(ISNUMBER(E139),MOD(E139,3)=0),"배",
   AND(ISNUMBER(E139),E139&gt;0),"자"
)</f>
        <v>자</v>
      </c>
      <c r="AG139" s="26" t="str" cm="1">
        <f t="array" ref="AG139">_xlfn.IFS(
   OR(F139="",ISBLANK(F139),F139=0),0,
   ISNUMBER(MATCH(F139,{2,3,5,7,11,13,17,19,23,29,31,37,41,43},0)),"소",
   AND(ISNUMBER(F139),MOD(F139,3)=0),"배",
   AND(ISNUMBER(F139),F139&gt;0),"자"
)</f>
        <v>자</v>
      </c>
      <c r="AH139" s="26" t="str" cm="1">
        <f t="array" ref="AH139">_xlfn.IFS(
   OR(G139="",ISBLANK(G139),G139=0),0,
   ISNUMBER(MATCH(G139,{2,3,5,7,11,13,17,19,23,29,31,37,41,43},0)),"소",
   AND(ISNUMBER(G139),MOD(G139,3)=0),"배",
   AND(ISNUMBER(G139),G139&gt;0),"자"
)</f>
        <v>소</v>
      </c>
      <c r="AI139" s="30"/>
      <c r="AJ139" s="3">
        <f>COUNTIFS(B139:G139,"&gt;=1",B139:G139,"&lt;=14")</f>
        <v>1</v>
      </c>
      <c r="AK139" s="3">
        <f>COUNTIFS(B139:G139,"&gt;=15",B139:G139,"&lt;=31")</f>
        <v>3</v>
      </c>
      <c r="AL139" s="3">
        <f>6-AK139-AJ139</f>
        <v>2</v>
      </c>
      <c r="AM139" s="33"/>
      <c r="AN139" s="3">
        <f>COUNTIFS($B139:$G139, "&gt;=1",$B139:$G139, "&lt;=9")</f>
        <v>1</v>
      </c>
      <c r="AO139" s="3">
        <f>COUNTIFS($B139:$G139, "&gt;=10",$B139:$G139, "&lt;=18")</f>
        <v>0</v>
      </c>
      <c r="AP139" s="3">
        <f>COUNTIFS($B139:$G139, "&gt;=19",$B139:$G139, "&lt;=27")</f>
        <v>2</v>
      </c>
      <c r="AQ139" s="3">
        <f>COUNTIFS($B139:$G139, "&gt;=28",$B139:$G139, "&lt;=36")</f>
        <v>2</v>
      </c>
      <c r="AR139" s="3">
        <f>COUNTIFS($B139:$G139, "&gt;=37",$B139:$G139, "&lt;=45")</f>
        <v>1</v>
      </c>
      <c r="AS139" s="28" t="e">
        <f>#REF!</f>
        <v>#REF!</v>
      </c>
      <c r="AT139" s="28" t="e">
        <f>#REF!*2</f>
        <v>#REF!</v>
      </c>
      <c r="AU139" s="28" t="e">
        <f>#REF!</f>
        <v>#REF!</v>
      </c>
      <c r="AV139" s="28" t="e">
        <f>#REF!*2</f>
        <v>#REF!</v>
      </c>
      <c r="AW139" s="28" t="e">
        <f>#REF!</f>
        <v>#REF!</v>
      </c>
      <c r="AX139" s="28" t="e">
        <f>#REF!*2</f>
        <v>#REF!</v>
      </c>
      <c r="AY139" s="28" t="e">
        <f>#REF!</f>
        <v>#REF!</v>
      </c>
      <c r="AZ139" s="28" t="e">
        <f>#REF!*2</f>
        <v>#REF!</v>
      </c>
      <c r="BA139" s="28" t="e">
        <f>#REF!</f>
        <v>#REF!</v>
      </c>
      <c r="BB139" s="28" t="e">
        <f>#REF!*2</f>
        <v>#REF!</v>
      </c>
      <c r="BC139" s="28" t="e">
        <f>#REF!</f>
        <v>#REF!</v>
      </c>
      <c r="BD139" s="28" t="e">
        <f>#REF!*2</f>
        <v>#REF!</v>
      </c>
      <c r="BE139" s="9" t="e">
        <f>#REF!-#REF!</f>
        <v>#REF!</v>
      </c>
      <c r="BF139" s="9" t="e">
        <f>#REF!-#REF!</f>
        <v>#REF!</v>
      </c>
      <c r="BG139" s="9" t="e">
        <f>#REF!-#REF!</f>
        <v>#REF!</v>
      </c>
      <c r="BH139" s="9" t="e">
        <f>#REF!-#REF!</f>
        <v>#REF!</v>
      </c>
      <c r="BI139" s="9" t="e">
        <f>#REF!-#REF!</f>
        <v>#REF!</v>
      </c>
      <c r="BJ139" s="33"/>
      <c r="BK139" s="3">
        <f>COUNTIFS(B139:G139, "&gt;=1", B139:G139, "&lt;=9")</f>
        <v>1</v>
      </c>
      <c r="BL139" s="3">
        <f>COUNTIFS(B139:G139, "&gt;=10", B139:G139, "&lt;=19")</f>
        <v>0</v>
      </c>
      <c r="BM139" s="3">
        <f>COUNTIFS(B139:G139, "&gt;=20", B139:G139, "&lt;=29")</f>
        <v>3</v>
      </c>
      <c r="BN139" s="3">
        <f>COUNTIFS(B139:G139, "&gt;=30", B139:G139, "&lt;=39")</f>
        <v>1</v>
      </c>
      <c r="BO139" s="3">
        <f>COUNTIFS(B139:G139, "&gt;=40", B139:G139, "&lt;=45")</f>
        <v>1</v>
      </c>
      <c r="BP139" s="28" t="e">
        <f>#REF!</f>
        <v>#REF!</v>
      </c>
      <c r="BQ139" s="28" t="e">
        <f>#REF!*2</f>
        <v>#REF!</v>
      </c>
      <c r="BR139" s="28" t="e">
        <f>#REF!</f>
        <v>#REF!</v>
      </c>
      <c r="BS139" s="28" t="e">
        <f>#REF!*2</f>
        <v>#REF!</v>
      </c>
      <c r="BT139" s="28" t="e">
        <f>#REF!</f>
        <v>#REF!</v>
      </c>
      <c r="BU139" s="28" t="e">
        <f>#REF!*2</f>
        <v>#REF!</v>
      </c>
      <c r="BV139" s="28" t="e">
        <f>#REF!</f>
        <v>#REF!</v>
      </c>
      <c r="BW139" s="28" t="e">
        <f>#REF!*2</f>
        <v>#REF!</v>
      </c>
      <c r="BX139" s="28" t="e">
        <f>#REF!</f>
        <v>#REF!</v>
      </c>
      <c r="BY139" s="28" t="e">
        <f>#REF!*2</f>
        <v>#REF!</v>
      </c>
      <c r="BZ139" s="28" t="e">
        <f>#REF!</f>
        <v>#REF!</v>
      </c>
      <c r="CA139" s="28" t="e">
        <f>#REF!*2</f>
        <v>#REF!</v>
      </c>
      <c r="CB139" s="9">
        <f>C139-B139</f>
        <v>20</v>
      </c>
      <c r="CC139" s="9">
        <f>D139-C139</f>
        <v>3</v>
      </c>
      <c r="CD139" s="9">
        <f>E139-D139</f>
        <v>3</v>
      </c>
      <c r="CE139" s="9">
        <f>F139-E139</f>
        <v>6</v>
      </c>
      <c r="CF139" s="9">
        <f>G139-F139</f>
        <v>9</v>
      </c>
      <c r="CG139" s="33"/>
      <c r="CH139" s="9">
        <f>C139-B139</f>
        <v>20</v>
      </c>
      <c r="CI139" s="9">
        <f>D139-C139</f>
        <v>3</v>
      </c>
      <c r="CJ139" s="9">
        <f>E139-D139</f>
        <v>3</v>
      </c>
      <c r="CK139" s="9">
        <f>F139-E139</f>
        <v>6</v>
      </c>
      <c r="CL139" s="9">
        <f>G139-F139</f>
        <v>9</v>
      </c>
      <c r="CM139" s="32"/>
      <c r="CN139" s="3">
        <f>IF(OR(CH139="",ISBLANK(CH139),CH139=0),0,IF(MOD(CH139,2)=1,1,2))</f>
        <v>2</v>
      </c>
      <c r="CO139" s="3">
        <f>IF(OR(CI139="",ISBLANK(CI139),CI139=0),0,IF(MOD(CI139,2)=1,1,2))</f>
        <v>1</v>
      </c>
      <c r="CP139" s="3">
        <f>IF(OR(CJ139="",ISBLANK(CJ139),CJ139=0),0,IF(MOD(CJ139,2)=1,1,2))</f>
        <v>1</v>
      </c>
      <c r="CQ139" s="3">
        <f>IF(OR(CK139="",ISBLANK(CK139),CK139=0),0,IF(MOD(CK139,2)=1,1,2))</f>
        <v>2</v>
      </c>
      <c r="CR139" s="3">
        <f>IF(OR(CL139="",ISBLANK(CL139),CL139=0),0,IF(MOD(CL139,2)=1,1,2))</f>
        <v>1</v>
      </c>
      <c r="CS139" s="31"/>
      <c r="CT139" s="3" cm="1">
        <f t="array" ref="CT139">SUMPRODUCT(--(MOD(CH139:CL139,2)=1))</f>
        <v>3</v>
      </c>
      <c r="CU139" s="3">
        <f>5-CT139</f>
        <v>2</v>
      </c>
      <c r="CV139" s="30"/>
      <c r="CW139" s="3" cm="1">
        <f t="array" ref="CW139">SUMPRODUCT(--(MOD(CH139:CL139,10)&gt;=1), --(MOD(CH139:CL139,10)&lt;=5))</f>
        <v>2</v>
      </c>
      <c r="CX139" s="3">
        <f>5-CW139</f>
        <v>3</v>
      </c>
      <c r="CY139" s="30"/>
      <c r="CZ139" s="3" cm="1">
        <f t="array" ref="CZ139">IFERROR(COUNT(_xlfn._xlws.FILTER(CH139:CL139, ISNUMBER(MATCH(CH139:CL139, {2,3,5,7,11,13,17,19,23,29,31,37,41,43}, 0)))), 0)</f>
        <v>2</v>
      </c>
      <c r="DA139" s="3" cm="1">
        <f t="array" ref="DA139">IFERROR(COUNT(_xlfn._xlws.FILTER(CH139:CL139, ISNUMBER(MATCH(CH139:CL139, {1,4,8,10,14,16,20,22,25,26,28,32,34,35,38,40,44}, 0)))), 0)</f>
        <v>1</v>
      </c>
      <c r="DB139" s="3" cm="1">
        <f t="array" ref="DB139">IFERROR(COUNT(_xlfn._xlws.FILTER(CH139:CL139, ISNUMBER(MATCH(CH139:CL139, {6,9,12,15,18,21,24,27,30,33,36,39,42,45}, 0)))), 0)</f>
        <v>2</v>
      </c>
      <c r="DC139" s="29"/>
      <c r="DD139" s="28" t="e">
        <f>#REF!</f>
        <v>#REF!</v>
      </c>
      <c r="DE139" s="28" t="e">
        <f>#REF!*2</f>
        <v>#REF!</v>
      </c>
      <c r="DF139" s="28" t="e">
        <f>#REF!</f>
        <v>#REF!</v>
      </c>
      <c r="DG139" s="28" t="e">
        <f>#REF!*2</f>
        <v>#REF!</v>
      </c>
      <c r="DH139" s="28" t="e">
        <f>#REF!</f>
        <v>#REF!</v>
      </c>
      <c r="DI139" s="28" t="e">
        <f>#REF!*2</f>
        <v>#REF!</v>
      </c>
      <c r="DJ139" s="28" t="e">
        <f>#REF!</f>
        <v>#REF!</v>
      </c>
      <c r="DK139" s="28" t="e">
        <f>#REF!*2</f>
        <v>#REF!</v>
      </c>
      <c r="DL139" s="28" t="e">
        <f>#REF!</f>
        <v>#REF!</v>
      </c>
      <c r="DM139" s="28" t="e">
        <f>#REF!*2</f>
        <v>#REF!</v>
      </c>
      <c r="DN139" s="27"/>
      <c r="DO139" s="26" t="str" cm="1">
        <f t="array" ref="DO139">_xlfn.IFS(
   OR(CH139="",ISBLANK(CH139),CH139=0),0,
   ISNUMBER(MATCH(CH139,{2,3,5,7,11,13,17,19,23,29,31,37,41,43},0)),"소",
   AND(ISNUMBER(CH139),MOD(CH139,3)=0),"배",
   AND(ISNUMBER(CH139),CH139&gt;0),"자"
)</f>
        <v>자</v>
      </c>
      <c r="DP139" s="26" t="str" cm="1">
        <f t="array" ref="DP139">_xlfn.IFS(
   OR(CI139="",ISBLANK(CI139),CI139=0),0,
   ISNUMBER(MATCH(CI139,{2,3,5,7,11,13,17,19,23,29,31,37,41,43},0)),"소",
   AND(ISNUMBER(CI139),MOD(CI139,3)=0),"배",
   AND(ISNUMBER(CI139),CI139&gt;0),"자"
)</f>
        <v>소</v>
      </c>
      <c r="DQ139" s="26" t="str" cm="1">
        <f t="array" ref="DQ139">_xlfn.IFS(
   OR(CJ139="",ISBLANK(CJ139),CJ139=0),0,
   ISNUMBER(MATCH(CJ139,{2,3,5,7,11,13,17,19,23,29,31,37,41,43},0)),"소",
   AND(ISNUMBER(CJ139),MOD(CJ139,3)=0),"배",
   AND(ISNUMBER(CJ139),CJ139&gt;0),"자"
)</f>
        <v>소</v>
      </c>
      <c r="DR139" s="26" t="str" cm="1">
        <f t="array" ref="DR139">_xlfn.IFS(
   OR(CK139="",ISBLANK(CK139),CK139=0),0,
   ISNUMBER(MATCH(CK139,{2,3,5,7,11,13,17,19,23,29,31,37,41,43},0)),"소",
   AND(ISNUMBER(CK139),MOD(CK139,3)=0),"배",
   AND(ISNUMBER(CK139),CK139&gt;0),"자"
)</f>
        <v>배</v>
      </c>
      <c r="DS139" s="26" t="str" cm="1">
        <f t="array" ref="DS139">_xlfn.IFS(
   OR(CL139="",ISBLANK(CL139),CL139=0),0,
   ISNUMBER(MATCH(CL139,{2,3,5,7,11,13,17,19,23,29,31,37,41,43},0)),"소",
   AND(ISNUMBER(CL139),MOD(CL139,3)=0),"배",
   AND(ISNUMBER(CL139),CL139&gt;0),"자"
)</f>
        <v>배</v>
      </c>
      <c r="DT139" s="25"/>
    </row>
    <row r="140" spans="2:124" x14ac:dyDescent="0.3">
      <c r="B140" s="3">
        <v>6</v>
      </c>
      <c r="C140" s="3">
        <v>13</v>
      </c>
      <c r="D140" s="3">
        <v>18</v>
      </c>
      <c r="E140" s="3">
        <v>28</v>
      </c>
      <c r="F140" s="3">
        <v>30</v>
      </c>
      <c r="G140" s="3">
        <v>36</v>
      </c>
      <c r="H140" s="32"/>
      <c r="I140" s="3">
        <f>IF(OR(B140="",ISBLANK(B140),B140=0),0,IF(MOD(B140,2)=1,1,2))</f>
        <v>2</v>
      </c>
      <c r="J140" s="3">
        <f>IF(OR(C140="",ISBLANK(C140),C140=0),0,IF(MOD(C140,2)=1,1,2))</f>
        <v>1</v>
      </c>
      <c r="K140" s="3">
        <f>IF(OR(D140="",ISBLANK(D140),D140=0),0,IF(MOD(D140,2)=1,1,2))</f>
        <v>2</v>
      </c>
      <c r="L140" s="3">
        <f>IF(OR(E140="",ISBLANK(E140),E140=0),0,IF(MOD(E140,2)=1,1,2))</f>
        <v>2</v>
      </c>
      <c r="M140" s="3">
        <f>IF(OR(F140="",ISBLANK(F140),F140=0),0,IF(MOD(F140,2)=1,1,2))</f>
        <v>2</v>
      </c>
      <c r="N140" s="3">
        <f>IF(OR(G140="",ISBLANK(G140),G140=0),0,IF(MOD(G140,2)=1,1,2))</f>
        <v>2</v>
      </c>
      <c r="O140" s="32"/>
      <c r="P140" s="3" cm="1">
        <f t="array" ref="P140">SUMPRODUCT(--(MOD(B140:G140,2)=1))</f>
        <v>1</v>
      </c>
      <c r="Q140" s="3">
        <f>6-P140</f>
        <v>5</v>
      </c>
      <c r="R140" s="34"/>
      <c r="S140" s="3">
        <f>COUNTIFS(B140:G140,"&gt;=1",B140:G140,"&lt;=23")</f>
        <v>3</v>
      </c>
      <c r="T140" s="3">
        <f>6-S140</f>
        <v>3</v>
      </c>
      <c r="U140" s="34"/>
      <c r="V140" s="3" cm="1">
        <f t="array" ref="V140">SUMPRODUCT(--(MOD(B140:G140,10)&gt;=1), --(MOD(B140:G140,10)&lt;=5))</f>
        <v>1</v>
      </c>
      <c r="W140" s="3">
        <f>6-V140</f>
        <v>5</v>
      </c>
      <c r="X140" s="34"/>
      <c r="Y140" s="3" cm="1">
        <f t="array" ref="Y140">IFERROR(COUNT(_xlfn._xlws.FILTER(B140:G140, ISNUMBER(MATCH(B140:G140, {2,3,5,7,11,13,17,19,23,29,31,37,41,43}, 0)))), 0)</f>
        <v>1</v>
      </c>
      <c r="Z140" s="3" cm="1">
        <f t="array" ref="Z140">IFERROR(COUNT(_xlfn._xlws.FILTER(B140:G140, ISNUMBER(MATCH(B140:G140, {1,4,8,10,14,16,20,22,25,26,28,32,34,35,38,40,44}, 0)))), 0)</f>
        <v>1</v>
      </c>
      <c r="AA140" s="3" cm="1">
        <f t="array" ref="AA140">IFERROR(COUNT(_xlfn._xlws.FILTER(B140:G140, ISNUMBER(MATCH(B140:G140, {6,9,12,15,18,21,24,27,30,33,36,39,42,45}, 0)))), 0)</f>
        <v>4</v>
      </c>
      <c r="AB140" s="30"/>
      <c r="AC140" s="26" t="str" cm="1">
        <f t="array" ref="AC140">_xlfn.IFS(
   OR(B140="",ISBLANK(B140),B140=0),0,
   ISNUMBER(MATCH(B140,{2,3,5,7,11,13,17,19,23,29,31,37,41,43},0)),"소",
   AND(ISNUMBER(B140),MOD(B140,3)=0),"배",
   AND(ISNUMBER(B140),B140&gt;0),"자"
)</f>
        <v>배</v>
      </c>
      <c r="AD140" s="26" t="str" cm="1">
        <f t="array" ref="AD140">_xlfn.IFS(
   OR(C140="",ISBLANK(C140),C140=0),0,
   ISNUMBER(MATCH(C140,{2,3,5,7,11,13,17,19,23,29,31,37,41,43},0)),"소",
   AND(ISNUMBER(C140),MOD(C140,3)=0),"배",
   AND(ISNUMBER(C140),C140&gt;0),"자"
)</f>
        <v>소</v>
      </c>
      <c r="AE140" s="26" t="str" cm="1">
        <f t="array" ref="AE140">_xlfn.IFS(
   OR(D140="",ISBLANK(D140),D140=0),0,
   ISNUMBER(MATCH(D140,{2,3,5,7,11,13,17,19,23,29,31,37,41,43},0)),"소",
   AND(ISNUMBER(D140),MOD(D140,3)=0),"배",
   AND(ISNUMBER(D140),D140&gt;0),"자"
)</f>
        <v>배</v>
      </c>
      <c r="AF140" s="26" t="str" cm="1">
        <f t="array" ref="AF140">_xlfn.IFS(
   OR(E140="",ISBLANK(E140),E140=0),0,
   ISNUMBER(MATCH(E140,{2,3,5,7,11,13,17,19,23,29,31,37,41,43},0)),"소",
   AND(ISNUMBER(E140),MOD(E140,3)=0),"배",
   AND(ISNUMBER(E140),E140&gt;0),"자"
)</f>
        <v>자</v>
      </c>
      <c r="AG140" s="26" t="str" cm="1">
        <f t="array" ref="AG140">_xlfn.IFS(
   OR(F140="",ISBLANK(F140),F140=0),0,
   ISNUMBER(MATCH(F140,{2,3,5,7,11,13,17,19,23,29,31,37,41,43},0)),"소",
   AND(ISNUMBER(F140),MOD(F140,3)=0),"배",
   AND(ISNUMBER(F140),F140&gt;0),"자"
)</f>
        <v>배</v>
      </c>
      <c r="AH140" s="26" t="str" cm="1">
        <f t="array" ref="AH140">_xlfn.IFS(
   OR(G140="",ISBLANK(G140),G140=0),0,
   ISNUMBER(MATCH(G140,{2,3,5,7,11,13,17,19,23,29,31,37,41,43},0)),"소",
   AND(ISNUMBER(G140),MOD(G140,3)=0),"배",
   AND(ISNUMBER(G140),G140&gt;0),"자"
)</f>
        <v>배</v>
      </c>
      <c r="AI140" s="30"/>
      <c r="AJ140" s="3">
        <f>COUNTIFS(B140:G140,"&gt;=1",B140:G140,"&lt;=14")</f>
        <v>2</v>
      </c>
      <c r="AK140" s="3">
        <f>COUNTIFS(B140:G140,"&gt;=15",B140:G140,"&lt;=31")</f>
        <v>3</v>
      </c>
      <c r="AL140" s="3">
        <f>6-AK140-AJ140</f>
        <v>1</v>
      </c>
      <c r="AM140" s="33"/>
      <c r="AN140" s="3">
        <f>COUNTIFS($B140:$G140, "&gt;=1",$B140:$G140, "&lt;=9")</f>
        <v>1</v>
      </c>
      <c r="AO140" s="3">
        <f>COUNTIFS($B140:$G140, "&gt;=10",$B140:$G140, "&lt;=18")</f>
        <v>2</v>
      </c>
      <c r="AP140" s="3">
        <f>COUNTIFS($B140:$G140, "&gt;=19",$B140:$G140, "&lt;=27")</f>
        <v>0</v>
      </c>
      <c r="AQ140" s="3">
        <f>COUNTIFS($B140:$G140, "&gt;=28",$B140:$G140, "&lt;=36")</f>
        <v>3</v>
      </c>
      <c r="AR140" s="3">
        <f>COUNTIFS($B140:$G140, "&gt;=37",$B140:$G140, "&lt;=45")</f>
        <v>0</v>
      </c>
      <c r="AS140" s="28" t="e">
        <f>#REF!</f>
        <v>#REF!</v>
      </c>
      <c r="AT140" s="28" t="e">
        <f>#REF!*2</f>
        <v>#REF!</v>
      </c>
      <c r="AU140" s="28" t="e">
        <f>#REF!</f>
        <v>#REF!</v>
      </c>
      <c r="AV140" s="28" t="e">
        <f>#REF!*2</f>
        <v>#REF!</v>
      </c>
      <c r="AW140" s="28" t="e">
        <f>#REF!</f>
        <v>#REF!</v>
      </c>
      <c r="AX140" s="28" t="e">
        <f>#REF!*2</f>
        <v>#REF!</v>
      </c>
      <c r="AY140" s="28" t="e">
        <f>#REF!</f>
        <v>#REF!</v>
      </c>
      <c r="AZ140" s="28" t="e">
        <f>#REF!*2</f>
        <v>#REF!</v>
      </c>
      <c r="BA140" s="28" t="e">
        <f>#REF!</f>
        <v>#REF!</v>
      </c>
      <c r="BB140" s="28" t="e">
        <f>#REF!*2</f>
        <v>#REF!</v>
      </c>
      <c r="BC140" s="28" t="e">
        <f>#REF!</f>
        <v>#REF!</v>
      </c>
      <c r="BD140" s="28" t="e">
        <f>#REF!*2</f>
        <v>#REF!</v>
      </c>
      <c r="BE140" s="9" t="e">
        <f>#REF!-#REF!</f>
        <v>#REF!</v>
      </c>
      <c r="BF140" s="9" t="e">
        <f>#REF!-#REF!</f>
        <v>#REF!</v>
      </c>
      <c r="BG140" s="9" t="e">
        <f>#REF!-#REF!</f>
        <v>#REF!</v>
      </c>
      <c r="BH140" s="9" t="e">
        <f>#REF!-#REF!</f>
        <v>#REF!</v>
      </c>
      <c r="BI140" s="9" t="e">
        <f>#REF!-#REF!</f>
        <v>#REF!</v>
      </c>
      <c r="BJ140" s="33"/>
      <c r="BK140" s="3">
        <f>COUNTIFS(B140:G140, "&gt;=1", B140:G140, "&lt;=9")</f>
        <v>1</v>
      </c>
      <c r="BL140" s="3">
        <f>COUNTIFS(B140:G140, "&gt;=10", B140:G140, "&lt;=19")</f>
        <v>2</v>
      </c>
      <c r="BM140" s="3">
        <f>COUNTIFS(B140:G140, "&gt;=20", B140:G140, "&lt;=29")</f>
        <v>1</v>
      </c>
      <c r="BN140" s="3">
        <f>COUNTIFS(B140:G140, "&gt;=30", B140:G140, "&lt;=39")</f>
        <v>2</v>
      </c>
      <c r="BO140" s="3">
        <f>COUNTIFS(B140:G140, "&gt;=40", B140:G140, "&lt;=45")</f>
        <v>0</v>
      </c>
      <c r="BP140" s="28" t="e">
        <f>#REF!</f>
        <v>#REF!</v>
      </c>
      <c r="BQ140" s="28" t="e">
        <f>#REF!*2</f>
        <v>#REF!</v>
      </c>
      <c r="BR140" s="28" t="e">
        <f>#REF!</f>
        <v>#REF!</v>
      </c>
      <c r="BS140" s="28" t="e">
        <f>#REF!*2</f>
        <v>#REF!</v>
      </c>
      <c r="BT140" s="28" t="e">
        <f>#REF!</f>
        <v>#REF!</v>
      </c>
      <c r="BU140" s="28" t="e">
        <f>#REF!*2</f>
        <v>#REF!</v>
      </c>
      <c r="BV140" s="28" t="e">
        <f>#REF!</f>
        <v>#REF!</v>
      </c>
      <c r="BW140" s="28" t="e">
        <f>#REF!*2</f>
        <v>#REF!</v>
      </c>
      <c r="BX140" s="28" t="e">
        <f>#REF!</f>
        <v>#REF!</v>
      </c>
      <c r="BY140" s="28" t="e">
        <f>#REF!*2</f>
        <v>#REF!</v>
      </c>
      <c r="BZ140" s="28" t="e">
        <f>#REF!</f>
        <v>#REF!</v>
      </c>
      <c r="CA140" s="28" t="e">
        <f>#REF!*2</f>
        <v>#REF!</v>
      </c>
      <c r="CB140" s="9">
        <f>C140-B140</f>
        <v>7</v>
      </c>
      <c r="CC140" s="9">
        <f>D140-C140</f>
        <v>5</v>
      </c>
      <c r="CD140" s="9">
        <f>E140-D140</f>
        <v>10</v>
      </c>
      <c r="CE140" s="9">
        <f>F140-E140</f>
        <v>2</v>
      </c>
      <c r="CF140" s="9">
        <f>G140-F140</f>
        <v>6</v>
      </c>
      <c r="CG140" s="33"/>
      <c r="CH140" s="9">
        <f>C140-B140</f>
        <v>7</v>
      </c>
      <c r="CI140" s="9">
        <f>D140-C140</f>
        <v>5</v>
      </c>
      <c r="CJ140" s="9">
        <f>E140-D140</f>
        <v>10</v>
      </c>
      <c r="CK140" s="9">
        <f>F140-E140</f>
        <v>2</v>
      </c>
      <c r="CL140" s="9">
        <f>G140-F140</f>
        <v>6</v>
      </c>
      <c r="CM140" s="32"/>
      <c r="CN140" s="3">
        <f>IF(OR(CH140="",ISBLANK(CH140),CH140=0),0,IF(MOD(CH140,2)=1,1,2))</f>
        <v>1</v>
      </c>
      <c r="CO140" s="3">
        <f>IF(OR(CI140="",ISBLANK(CI140),CI140=0),0,IF(MOD(CI140,2)=1,1,2))</f>
        <v>1</v>
      </c>
      <c r="CP140" s="3">
        <f>IF(OR(CJ140="",ISBLANK(CJ140),CJ140=0),0,IF(MOD(CJ140,2)=1,1,2))</f>
        <v>2</v>
      </c>
      <c r="CQ140" s="3">
        <f>IF(OR(CK140="",ISBLANK(CK140),CK140=0),0,IF(MOD(CK140,2)=1,1,2))</f>
        <v>2</v>
      </c>
      <c r="CR140" s="3">
        <f>IF(OR(CL140="",ISBLANK(CL140),CL140=0),0,IF(MOD(CL140,2)=1,1,2))</f>
        <v>2</v>
      </c>
      <c r="CS140" s="31"/>
      <c r="CT140" s="3" cm="1">
        <f t="array" ref="CT140">SUMPRODUCT(--(MOD(CH140:CL140,2)=1))</f>
        <v>2</v>
      </c>
      <c r="CU140" s="3">
        <f>5-CT140</f>
        <v>3</v>
      </c>
      <c r="CV140" s="30"/>
      <c r="CW140" s="3" cm="1">
        <f t="array" ref="CW140">SUMPRODUCT(--(MOD(CH140:CL140,10)&gt;=1), --(MOD(CH140:CL140,10)&lt;=5))</f>
        <v>2</v>
      </c>
      <c r="CX140" s="3">
        <f>5-CW140</f>
        <v>3</v>
      </c>
      <c r="CY140" s="30"/>
      <c r="CZ140" s="3" cm="1">
        <f t="array" ref="CZ140">IFERROR(COUNT(_xlfn._xlws.FILTER(CH140:CL140, ISNUMBER(MATCH(CH140:CL140, {2,3,5,7,11,13,17,19,23,29,31,37,41,43}, 0)))), 0)</f>
        <v>3</v>
      </c>
      <c r="DA140" s="3" cm="1">
        <f t="array" ref="DA140">IFERROR(COUNT(_xlfn._xlws.FILTER(CH140:CL140, ISNUMBER(MATCH(CH140:CL140, {1,4,8,10,14,16,20,22,25,26,28,32,34,35,38,40,44}, 0)))), 0)</f>
        <v>1</v>
      </c>
      <c r="DB140" s="3" cm="1">
        <f t="array" ref="DB140">IFERROR(COUNT(_xlfn._xlws.FILTER(CH140:CL140, ISNUMBER(MATCH(CH140:CL140, {6,9,12,15,18,21,24,27,30,33,36,39,42,45}, 0)))), 0)</f>
        <v>1</v>
      </c>
      <c r="DC140" s="29"/>
      <c r="DD140" s="28" t="e">
        <f>#REF!</f>
        <v>#REF!</v>
      </c>
      <c r="DE140" s="28" t="e">
        <f>#REF!*2</f>
        <v>#REF!</v>
      </c>
      <c r="DF140" s="28" t="e">
        <f>#REF!</f>
        <v>#REF!</v>
      </c>
      <c r="DG140" s="28" t="e">
        <f>#REF!*2</f>
        <v>#REF!</v>
      </c>
      <c r="DH140" s="28" t="e">
        <f>#REF!</f>
        <v>#REF!</v>
      </c>
      <c r="DI140" s="28" t="e">
        <f>#REF!*2</f>
        <v>#REF!</v>
      </c>
      <c r="DJ140" s="28" t="e">
        <f>#REF!</f>
        <v>#REF!</v>
      </c>
      <c r="DK140" s="28" t="e">
        <f>#REF!*2</f>
        <v>#REF!</v>
      </c>
      <c r="DL140" s="28" t="e">
        <f>#REF!</f>
        <v>#REF!</v>
      </c>
      <c r="DM140" s="28" t="e">
        <f>#REF!*2</f>
        <v>#REF!</v>
      </c>
      <c r="DN140" s="27"/>
      <c r="DO140" s="26" t="str" cm="1">
        <f t="array" ref="DO140">_xlfn.IFS(
   OR(CH140="",ISBLANK(CH140),CH140=0),0,
   ISNUMBER(MATCH(CH140,{2,3,5,7,11,13,17,19,23,29,31,37,41,43},0)),"소",
   AND(ISNUMBER(CH140),MOD(CH140,3)=0),"배",
   AND(ISNUMBER(CH140),CH140&gt;0),"자"
)</f>
        <v>소</v>
      </c>
      <c r="DP140" s="26" t="str" cm="1">
        <f t="array" ref="DP140">_xlfn.IFS(
   OR(CI140="",ISBLANK(CI140),CI140=0),0,
   ISNUMBER(MATCH(CI140,{2,3,5,7,11,13,17,19,23,29,31,37,41,43},0)),"소",
   AND(ISNUMBER(CI140),MOD(CI140,3)=0),"배",
   AND(ISNUMBER(CI140),CI140&gt;0),"자"
)</f>
        <v>소</v>
      </c>
      <c r="DQ140" s="26" t="str" cm="1">
        <f t="array" ref="DQ140">_xlfn.IFS(
   OR(CJ140="",ISBLANK(CJ140),CJ140=0),0,
   ISNUMBER(MATCH(CJ140,{2,3,5,7,11,13,17,19,23,29,31,37,41,43},0)),"소",
   AND(ISNUMBER(CJ140),MOD(CJ140,3)=0),"배",
   AND(ISNUMBER(CJ140),CJ140&gt;0),"자"
)</f>
        <v>자</v>
      </c>
      <c r="DR140" s="26" t="str" cm="1">
        <f t="array" ref="DR140">_xlfn.IFS(
   OR(CK140="",ISBLANK(CK140),CK140=0),0,
   ISNUMBER(MATCH(CK140,{2,3,5,7,11,13,17,19,23,29,31,37,41,43},0)),"소",
   AND(ISNUMBER(CK140),MOD(CK140,3)=0),"배",
   AND(ISNUMBER(CK140),CK140&gt;0),"자"
)</f>
        <v>소</v>
      </c>
      <c r="DS140" s="26" t="str" cm="1">
        <f t="array" ref="DS140">_xlfn.IFS(
   OR(CL140="",ISBLANK(CL140),CL140=0),0,
   ISNUMBER(MATCH(CL140,{2,3,5,7,11,13,17,19,23,29,31,37,41,43},0)),"소",
   AND(ISNUMBER(CL140),MOD(CL140,3)=0),"배",
   AND(ISNUMBER(CL140),CL140&gt;0),"자"
)</f>
        <v>배</v>
      </c>
      <c r="DT140" s="25"/>
    </row>
    <row r="141" spans="2:124" x14ac:dyDescent="0.3">
      <c r="B141" s="3">
        <v>4</v>
      </c>
      <c r="C141" s="3">
        <v>11</v>
      </c>
      <c r="D141" s="3">
        <v>17</v>
      </c>
      <c r="E141" s="3">
        <v>22</v>
      </c>
      <c r="F141" s="3">
        <v>32</v>
      </c>
      <c r="G141" s="3">
        <v>41</v>
      </c>
      <c r="H141" s="32"/>
      <c r="I141" s="3">
        <f>IF(OR(B141="",ISBLANK(B141),B141=0),0,IF(MOD(B141,2)=1,1,2))</f>
        <v>2</v>
      </c>
      <c r="J141" s="3">
        <f>IF(OR(C141="",ISBLANK(C141),C141=0),0,IF(MOD(C141,2)=1,1,2))</f>
        <v>1</v>
      </c>
      <c r="K141" s="3">
        <f>IF(OR(D141="",ISBLANK(D141),D141=0),0,IF(MOD(D141,2)=1,1,2))</f>
        <v>1</v>
      </c>
      <c r="L141" s="3">
        <f>IF(OR(E141="",ISBLANK(E141),E141=0),0,IF(MOD(E141,2)=1,1,2))</f>
        <v>2</v>
      </c>
      <c r="M141" s="3">
        <f>IF(OR(F141="",ISBLANK(F141),F141=0),0,IF(MOD(F141,2)=1,1,2))</f>
        <v>2</v>
      </c>
      <c r="N141" s="3">
        <f>IF(OR(G141="",ISBLANK(G141),G141=0),0,IF(MOD(G141,2)=1,1,2))</f>
        <v>1</v>
      </c>
      <c r="O141" s="32"/>
      <c r="P141" s="3" cm="1">
        <f t="array" ref="P141">SUMPRODUCT(--(MOD(B141:G141,2)=1))</f>
        <v>3</v>
      </c>
      <c r="Q141" s="3">
        <f>6-P141</f>
        <v>3</v>
      </c>
      <c r="R141" s="34"/>
      <c r="S141" s="3">
        <f>COUNTIFS(B141:G141,"&gt;=1",B141:G141,"&lt;=23")</f>
        <v>4</v>
      </c>
      <c r="T141" s="3">
        <f>6-S141</f>
        <v>2</v>
      </c>
      <c r="U141" s="34"/>
      <c r="V141" s="3" cm="1">
        <f t="array" ref="V141">SUMPRODUCT(--(MOD(B141:G141,10)&gt;=1), --(MOD(B141:G141,10)&lt;=5))</f>
        <v>5</v>
      </c>
      <c r="W141" s="3">
        <f>6-V141</f>
        <v>1</v>
      </c>
      <c r="X141" s="34"/>
      <c r="Y141" s="3" cm="1">
        <f t="array" ref="Y141">IFERROR(COUNT(_xlfn._xlws.FILTER(B141:G141, ISNUMBER(MATCH(B141:G141, {2,3,5,7,11,13,17,19,23,29,31,37,41,43}, 0)))), 0)</f>
        <v>3</v>
      </c>
      <c r="Z141" s="3" cm="1">
        <f t="array" ref="Z141">IFERROR(COUNT(_xlfn._xlws.FILTER(B141:G141, ISNUMBER(MATCH(B141:G141, {1,4,8,10,14,16,20,22,25,26,28,32,34,35,38,40,44}, 0)))), 0)</f>
        <v>3</v>
      </c>
      <c r="AA141" s="3" cm="1">
        <f t="array" ref="AA141">IFERROR(COUNT(_xlfn._xlws.FILTER(B141:G141, ISNUMBER(MATCH(B141:G141, {6,9,12,15,18,21,24,27,30,33,36,39,42,45}, 0)))), 0)</f>
        <v>0</v>
      </c>
      <c r="AB141" s="30"/>
      <c r="AC141" s="26" t="str" cm="1">
        <f t="array" ref="AC141">_xlfn.IFS(
   OR(B141="",ISBLANK(B141),B141=0),0,
   ISNUMBER(MATCH(B141,{2,3,5,7,11,13,17,19,23,29,31,37,41,43},0)),"소",
   AND(ISNUMBER(B141),MOD(B141,3)=0),"배",
   AND(ISNUMBER(B141),B141&gt;0),"자"
)</f>
        <v>자</v>
      </c>
      <c r="AD141" s="26" t="str" cm="1">
        <f t="array" ref="AD141">_xlfn.IFS(
   OR(C141="",ISBLANK(C141),C141=0),0,
   ISNUMBER(MATCH(C141,{2,3,5,7,11,13,17,19,23,29,31,37,41,43},0)),"소",
   AND(ISNUMBER(C141),MOD(C141,3)=0),"배",
   AND(ISNUMBER(C141),C141&gt;0),"자"
)</f>
        <v>소</v>
      </c>
      <c r="AE141" s="26" t="str" cm="1">
        <f t="array" ref="AE141">_xlfn.IFS(
   OR(D141="",ISBLANK(D141),D141=0),0,
   ISNUMBER(MATCH(D141,{2,3,5,7,11,13,17,19,23,29,31,37,41,43},0)),"소",
   AND(ISNUMBER(D141),MOD(D141,3)=0),"배",
   AND(ISNUMBER(D141),D141&gt;0),"자"
)</f>
        <v>소</v>
      </c>
      <c r="AF141" s="26" t="str" cm="1">
        <f t="array" ref="AF141">_xlfn.IFS(
   OR(E141="",ISBLANK(E141),E141=0),0,
   ISNUMBER(MATCH(E141,{2,3,5,7,11,13,17,19,23,29,31,37,41,43},0)),"소",
   AND(ISNUMBER(E141),MOD(E141,3)=0),"배",
   AND(ISNUMBER(E141),E141&gt;0),"자"
)</f>
        <v>자</v>
      </c>
      <c r="AG141" s="26" t="str" cm="1">
        <f t="array" ref="AG141">_xlfn.IFS(
   OR(F141="",ISBLANK(F141),F141=0),0,
   ISNUMBER(MATCH(F141,{2,3,5,7,11,13,17,19,23,29,31,37,41,43},0)),"소",
   AND(ISNUMBER(F141),MOD(F141,3)=0),"배",
   AND(ISNUMBER(F141),F141&gt;0),"자"
)</f>
        <v>자</v>
      </c>
      <c r="AH141" s="26" t="str" cm="1">
        <f t="array" ref="AH141">_xlfn.IFS(
   OR(G141="",ISBLANK(G141),G141=0),0,
   ISNUMBER(MATCH(G141,{2,3,5,7,11,13,17,19,23,29,31,37,41,43},0)),"소",
   AND(ISNUMBER(G141),MOD(G141,3)=0),"배",
   AND(ISNUMBER(G141),G141&gt;0),"자"
)</f>
        <v>소</v>
      </c>
      <c r="AI141" s="30"/>
      <c r="AJ141" s="3">
        <f>COUNTIFS(B141:G141,"&gt;=1",B141:G141,"&lt;=14")</f>
        <v>2</v>
      </c>
      <c r="AK141" s="3">
        <f>COUNTIFS(B141:G141,"&gt;=15",B141:G141,"&lt;=31")</f>
        <v>2</v>
      </c>
      <c r="AL141" s="3">
        <f>6-AK141-AJ141</f>
        <v>2</v>
      </c>
      <c r="AM141" s="33"/>
      <c r="AN141" s="3">
        <f>COUNTIFS($B141:$G141, "&gt;=1",$B141:$G141, "&lt;=9")</f>
        <v>1</v>
      </c>
      <c r="AO141" s="3">
        <f>COUNTIFS($B141:$G141, "&gt;=10",$B141:$G141, "&lt;=18")</f>
        <v>2</v>
      </c>
      <c r="AP141" s="3">
        <f>COUNTIFS($B141:$G141, "&gt;=19",$B141:$G141, "&lt;=27")</f>
        <v>1</v>
      </c>
      <c r="AQ141" s="3">
        <f>COUNTIFS($B141:$G141, "&gt;=28",$B141:$G141, "&lt;=36")</f>
        <v>1</v>
      </c>
      <c r="AR141" s="3">
        <f>COUNTIFS($B141:$G141, "&gt;=37",$B141:$G141, "&lt;=45")</f>
        <v>1</v>
      </c>
      <c r="AS141" s="28" t="e">
        <f>#REF!</f>
        <v>#REF!</v>
      </c>
      <c r="AT141" s="28" t="e">
        <f>#REF!*2</f>
        <v>#REF!</v>
      </c>
      <c r="AU141" s="28" t="e">
        <f>#REF!</f>
        <v>#REF!</v>
      </c>
      <c r="AV141" s="28" t="e">
        <f>#REF!*2</f>
        <v>#REF!</v>
      </c>
      <c r="AW141" s="28" t="e">
        <f>#REF!</f>
        <v>#REF!</v>
      </c>
      <c r="AX141" s="28" t="e">
        <f>#REF!*2</f>
        <v>#REF!</v>
      </c>
      <c r="AY141" s="28" t="e">
        <f>#REF!</f>
        <v>#REF!</v>
      </c>
      <c r="AZ141" s="28" t="e">
        <f>#REF!*2</f>
        <v>#REF!</v>
      </c>
      <c r="BA141" s="28" t="e">
        <f>#REF!</f>
        <v>#REF!</v>
      </c>
      <c r="BB141" s="28" t="e">
        <f>#REF!*2</f>
        <v>#REF!</v>
      </c>
      <c r="BC141" s="28" t="e">
        <f>#REF!</f>
        <v>#REF!</v>
      </c>
      <c r="BD141" s="28" t="e">
        <f>#REF!*2</f>
        <v>#REF!</v>
      </c>
      <c r="BE141" s="9" t="e">
        <f>#REF!-#REF!</f>
        <v>#REF!</v>
      </c>
      <c r="BF141" s="9" t="e">
        <f>#REF!-#REF!</f>
        <v>#REF!</v>
      </c>
      <c r="BG141" s="9" t="e">
        <f>#REF!-#REF!</f>
        <v>#REF!</v>
      </c>
      <c r="BH141" s="9" t="e">
        <f>#REF!-#REF!</f>
        <v>#REF!</v>
      </c>
      <c r="BI141" s="9" t="e">
        <f>#REF!-#REF!</f>
        <v>#REF!</v>
      </c>
      <c r="BJ141" s="33"/>
      <c r="BK141" s="3">
        <f>COUNTIFS(B141:G141, "&gt;=1", B141:G141, "&lt;=9")</f>
        <v>1</v>
      </c>
      <c r="BL141" s="3">
        <f>COUNTIFS(B141:G141, "&gt;=10", B141:G141, "&lt;=19")</f>
        <v>2</v>
      </c>
      <c r="BM141" s="3">
        <f>COUNTIFS(B141:G141, "&gt;=20", B141:G141, "&lt;=29")</f>
        <v>1</v>
      </c>
      <c r="BN141" s="3">
        <f>COUNTIFS(B141:G141, "&gt;=30", B141:G141, "&lt;=39")</f>
        <v>1</v>
      </c>
      <c r="BO141" s="3">
        <f>COUNTIFS(B141:G141, "&gt;=40", B141:G141, "&lt;=45")</f>
        <v>1</v>
      </c>
      <c r="BP141" s="28" t="e">
        <f>#REF!</f>
        <v>#REF!</v>
      </c>
      <c r="BQ141" s="28" t="e">
        <f>#REF!*2</f>
        <v>#REF!</v>
      </c>
      <c r="BR141" s="28" t="e">
        <f>#REF!</f>
        <v>#REF!</v>
      </c>
      <c r="BS141" s="28" t="e">
        <f>#REF!*2</f>
        <v>#REF!</v>
      </c>
      <c r="BT141" s="28" t="e">
        <f>#REF!</f>
        <v>#REF!</v>
      </c>
      <c r="BU141" s="28" t="e">
        <f>#REF!*2</f>
        <v>#REF!</v>
      </c>
      <c r="BV141" s="28" t="e">
        <f>#REF!</f>
        <v>#REF!</v>
      </c>
      <c r="BW141" s="28" t="e">
        <f>#REF!*2</f>
        <v>#REF!</v>
      </c>
      <c r="BX141" s="28" t="e">
        <f>#REF!</f>
        <v>#REF!</v>
      </c>
      <c r="BY141" s="28" t="e">
        <f>#REF!*2</f>
        <v>#REF!</v>
      </c>
      <c r="BZ141" s="28" t="e">
        <f>#REF!</f>
        <v>#REF!</v>
      </c>
      <c r="CA141" s="28" t="e">
        <f>#REF!*2</f>
        <v>#REF!</v>
      </c>
      <c r="CB141" s="9">
        <f>C141-B141</f>
        <v>7</v>
      </c>
      <c r="CC141" s="9">
        <f>D141-C141</f>
        <v>6</v>
      </c>
      <c r="CD141" s="9">
        <f>E141-D141</f>
        <v>5</v>
      </c>
      <c r="CE141" s="9">
        <f>F141-E141</f>
        <v>10</v>
      </c>
      <c r="CF141" s="9">
        <f>G141-F141</f>
        <v>9</v>
      </c>
      <c r="CG141" s="33"/>
      <c r="CH141" s="9">
        <f>C141-B141</f>
        <v>7</v>
      </c>
      <c r="CI141" s="9">
        <f>D141-C141</f>
        <v>6</v>
      </c>
      <c r="CJ141" s="9">
        <f>E141-D141</f>
        <v>5</v>
      </c>
      <c r="CK141" s="9">
        <f>F141-E141</f>
        <v>10</v>
      </c>
      <c r="CL141" s="9">
        <f>G141-F141</f>
        <v>9</v>
      </c>
      <c r="CM141" s="32"/>
      <c r="CN141" s="3">
        <f>IF(OR(CH141="",ISBLANK(CH141),CH141=0),0,IF(MOD(CH141,2)=1,1,2))</f>
        <v>1</v>
      </c>
      <c r="CO141" s="3">
        <f>IF(OR(CI141="",ISBLANK(CI141),CI141=0),0,IF(MOD(CI141,2)=1,1,2))</f>
        <v>2</v>
      </c>
      <c r="CP141" s="3">
        <f>IF(OR(CJ141="",ISBLANK(CJ141),CJ141=0),0,IF(MOD(CJ141,2)=1,1,2))</f>
        <v>1</v>
      </c>
      <c r="CQ141" s="3">
        <f>IF(OR(CK141="",ISBLANK(CK141),CK141=0),0,IF(MOD(CK141,2)=1,1,2))</f>
        <v>2</v>
      </c>
      <c r="CR141" s="3">
        <f>IF(OR(CL141="",ISBLANK(CL141),CL141=0),0,IF(MOD(CL141,2)=1,1,2))</f>
        <v>1</v>
      </c>
      <c r="CS141" s="31"/>
      <c r="CT141" s="3" cm="1">
        <f t="array" ref="CT141">SUMPRODUCT(--(MOD(CH141:CL141,2)=1))</f>
        <v>3</v>
      </c>
      <c r="CU141" s="3">
        <f>5-CT141</f>
        <v>2</v>
      </c>
      <c r="CV141" s="30"/>
      <c r="CW141" s="3" cm="1">
        <f t="array" ref="CW141">SUMPRODUCT(--(MOD(CH141:CL141,10)&gt;=1), --(MOD(CH141:CL141,10)&lt;=5))</f>
        <v>1</v>
      </c>
      <c r="CX141" s="3">
        <f>5-CW141</f>
        <v>4</v>
      </c>
      <c r="CY141" s="30"/>
      <c r="CZ141" s="3" cm="1">
        <f t="array" ref="CZ141">IFERROR(COUNT(_xlfn._xlws.FILTER(CH141:CL141, ISNUMBER(MATCH(CH141:CL141, {2,3,5,7,11,13,17,19,23,29,31,37,41,43}, 0)))), 0)</f>
        <v>2</v>
      </c>
      <c r="DA141" s="3" cm="1">
        <f t="array" ref="DA141">IFERROR(COUNT(_xlfn._xlws.FILTER(CH141:CL141, ISNUMBER(MATCH(CH141:CL141, {1,4,8,10,14,16,20,22,25,26,28,32,34,35,38,40,44}, 0)))), 0)</f>
        <v>1</v>
      </c>
      <c r="DB141" s="3" cm="1">
        <f t="array" ref="DB141">IFERROR(COUNT(_xlfn._xlws.FILTER(CH141:CL141, ISNUMBER(MATCH(CH141:CL141, {6,9,12,15,18,21,24,27,30,33,36,39,42,45}, 0)))), 0)</f>
        <v>2</v>
      </c>
      <c r="DC141" s="29"/>
      <c r="DD141" s="28" t="e">
        <f>#REF!</f>
        <v>#REF!</v>
      </c>
      <c r="DE141" s="28" t="e">
        <f>#REF!*2</f>
        <v>#REF!</v>
      </c>
      <c r="DF141" s="28" t="e">
        <f>#REF!</f>
        <v>#REF!</v>
      </c>
      <c r="DG141" s="28" t="e">
        <f>#REF!*2</f>
        <v>#REF!</v>
      </c>
      <c r="DH141" s="28" t="e">
        <f>#REF!</f>
        <v>#REF!</v>
      </c>
      <c r="DI141" s="28" t="e">
        <f>#REF!*2</f>
        <v>#REF!</v>
      </c>
      <c r="DJ141" s="28" t="e">
        <f>#REF!</f>
        <v>#REF!</v>
      </c>
      <c r="DK141" s="28" t="e">
        <f>#REF!*2</f>
        <v>#REF!</v>
      </c>
      <c r="DL141" s="28" t="e">
        <f>#REF!</f>
        <v>#REF!</v>
      </c>
      <c r="DM141" s="28" t="e">
        <f>#REF!*2</f>
        <v>#REF!</v>
      </c>
      <c r="DN141" s="27"/>
      <c r="DO141" s="26" t="str" cm="1">
        <f t="array" ref="DO141">_xlfn.IFS(
   OR(CH141="",ISBLANK(CH141),CH141=0),0,
   ISNUMBER(MATCH(CH141,{2,3,5,7,11,13,17,19,23,29,31,37,41,43},0)),"소",
   AND(ISNUMBER(CH141),MOD(CH141,3)=0),"배",
   AND(ISNUMBER(CH141),CH141&gt;0),"자"
)</f>
        <v>소</v>
      </c>
      <c r="DP141" s="26" t="str" cm="1">
        <f t="array" ref="DP141">_xlfn.IFS(
   OR(CI141="",ISBLANK(CI141),CI141=0),0,
   ISNUMBER(MATCH(CI141,{2,3,5,7,11,13,17,19,23,29,31,37,41,43},0)),"소",
   AND(ISNUMBER(CI141),MOD(CI141,3)=0),"배",
   AND(ISNUMBER(CI141),CI141&gt;0),"자"
)</f>
        <v>배</v>
      </c>
      <c r="DQ141" s="26" t="str" cm="1">
        <f t="array" ref="DQ141">_xlfn.IFS(
   OR(CJ141="",ISBLANK(CJ141),CJ141=0),0,
   ISNUMBER(MATCH(CJ141,{2,3,5,7,11,13,17,19,23,29,31,37,41,43},0)),"소",
   AND(ISNUMBER(CJ141),MOD(CJ141,3)=0),"배",
   AND(ISNUMBER(CJ141),CJ141&gt;0),"자"
)</f>
        <v>소</v>
      </c>
      <c r="DR141" s="26" t="str" cm="1">
        <f t="array" ref="DR141">_xlfn.IFS(
   OR(CK141="",ISBLANK(CK141),CK141=0),0,
   ISNUMBER(MATCH(CK141,{2,3,5,7,11,13,17,19,23,29,31,37,41,43},0)),"소",
   AND(ISNUMBER(CK141),MOD(CK141,3)=0),"배",
   AND(ISNUMBER(CK141),CK141&gt;0),"자"
)</f>
        <v>자</v>
      </c>
      <c r="DS141" s="26" t="str" cm="1">
        <f t="array" ref="DS141">_xlfn.IFS(
   OR(CL141="",ISBLANK(CL141),CL141=0),0,
   ISNUMBER(MATCH(CL141,{2,3,5,7,11,13,17,19,23,29,31,37,41,43},0)),"소",
   AND(ISNUMBER(CL141),MOD(CL141,3)=0),"배",
   AND(ISNUMBER(CL141),CL141&gt;0),"자"
)</f>
        <v>배</v>
      </c>
      <c r="DT141" s="25"/>
    </row>
    <row r="142" spans="2:124" x14ac:dyDescent="0.3">
      <c r="B142" s="3">
        <v>16</v>
      </c>
      <c r="C142" s="3">
        <v>18</v>
      </c>
      <c r="D142" s="3">
        <v>20</v>
      </c>
      <c r="E142" s="3">
        <v>32</v>
      </c>
      <c r="F142" s="3">
        <v>33</v>
      </c>
      <c r="G142" s="3">
        <v>39</v>
      </c>
      <c r="H142" s="32"/>
      <c r="I142" s="3">
        <f>IF(OR(B142="",ISBLANK(B142),B142=0),0,IF(MOD(B142,2)=1,1,2))</f>
        <v>2</v>
      </c>
      <c r="J142" s="3">
        <f>IF(OR(C142="",ISBLANK(C142),C142=0),0,IF(MOD(C142,2)=1,1,2))</f>
        <v>2</v>
      </c>
      <c r="K142" s="3">
        <f>IF(OR(D142="",ISBLANK(D142),D142=0),0,IF(MOD(D142,2)=1,1,2))</f>
        <v>2</v>
      </c>
      <c r="L142" s="3">
        <f>IF(OR(E142="",ISBLANK(E142),E142=0),0,IF(MOD(E142,2)=1,1,2))</f>
        <v>2</v>
      </c>
      <c r="M142" s="3">
        <f>IF(OR(F142="",ISBLANK(F142),F142=0),0,IF(MOD(F142,2)=1,1,2))</f>
        <v>1</v>
      </c>
      <c r="N142" s="3">
        <f>IF(OR(G142="",ISBLANK(G142),G142=0),0,IF(MOD(G142,2)=1,1,2))</f>
        <v>1</v>
      </c>
      <c r="O142" s="32"/>
      <c r="P142" s="3" cm="1">
        <f t="array" ref="P142">SUMPRODUCT(--(MOD(B142:G142,2)=1))</f>
        <v>2</v>
      </c>
      <c r="Q142" s="3">
        <f>6-P142</f>
        <v>4</v>
      </c>
      <c r="R142" s="34"/>
      <c r="S142" s="3">
        <f>COUNTIFS(B142:G142,"&gt;=1",B142:G142,"&lt;=23")</f>
        <v>3</v>
      </c>
      <c r="T142" s="3">
        <f>6-S142</f>
        <v>3</v>
      </c>
      <c r="U142" s="34"/>
      <c r="V142" s="3" cm="1">
        <f t="array" ref="V142">SUMPRODUCT(--(MOD(B142:G142,10)&gt;=1), --(MOD(B142:G142,10)&lt;=5))</f>
        <v>2</v>
      </c>
      <c r="W142" s="3">
        <f>6-V142</f>
        <v>4</v>
      </c>
      <c r="X142" s="34"/>
      <c r="Y142" s="3" cm="1">
        <f t="array" ref="Y142">IFERROR(COUNT(_xlfn._xlws.FILTER(B142:G142, ISNUMBER(MATCH(B142:G142, {2,3,5,7,11,13,17,19,23,29,31,37,41,43}, 0)))), 0)</f>
        <v>0</v>
      </c>
      <c r="Z142" s="3" cm="1">
        <f t="array" ref="Z142">IFERROR(COUNT(_xlfn._xlws.FILTER(B142:G142, ISNUMBER(MATCH(B142:G142, {1,4,8,10,14,16,20,22,25,26,28,32,34,35,38,40,44}, 0)))), 0)</f>
        <v>3</v>
      </c>
      <c r="AA142" s="3" cm="1">
        <f t="array" ref="AA142">IFERROR(COUNT(_xlfn._xlws.FILTER(B142:G142, ISNUMBER(MATCH(B142:G142, {6,9,12,15,18,21,24,27,30,33,36,39,42,45}, 0)))), 0)</f>
        <v>3</v>
      </c>
      <c r="AB142" s="30"/>
      <c r="AC142" s="26" t="str" cm="1">
        <f t="array" ref="AC142">_xlfn.IFS(
   OR(B142="",ISBLANK(B142),B142=0),0,
   ISNUMBER(MATCH(B142,{2,3,5,7,11,13,17,19,23,29,31,37,41,43},0)),"소",
   AND(ISNUMBER(B142),MOD(B142,3)=0),"배",
   AND(ISNUMBER(B142),B142&gt;0),"자"
)</f>
        <v>자</v>
      </c>
      <c r="AD142" s="26" t="str" cm="1">
        <f t="array" ref="AD142">_xlfn.IFS(
   OR(C142="",ISBLANK(C142),C142=0),0,
   ISNUMBER(MATCH(C142,{2,3,5,7,11,13,17,19,23,29,31,37,41,43},0)),"소",
   AND(ISNUMBER(C142),MOD(C142,3)=0),"배",
   AND(ISNUMBER(C142),C142&gt;0),"자"
)</f>
        <v>배</v>
      </c>
      <c r="AE142" s="26" t="str" cm="1">
        <f t="array" ref="AE142">_xlfn.IFS(
   OR(D142="",ISBLANK(D142),D142=0),0,
   ISNUMBER(MATCH(D142,{2,3,5,7,11,13,17,19,23,29,31,37,41,43},0)),"소",
   AND(ISNUMBER(D142),MOD(D142,3)=0),"배",
   AND(ISNUMBER(D142),D142&gt;0),"자"
)</f>
        <v>자</v>
      </c>
      <c r="AF142" s="26" t="str" cm="1">
        <f t="array" ref="AF142">_xlfn.IFS(
   OR(E142="",ISBLANK(E142),E142=0),0,
   ISNUMBER(MATCH(E142,{2,3,5,7,11,13,17,19,23,29,31,37,41,43},0)),"소",
   AND(ISNUMBER(E142),MOD(E142,3)=0),"배",
   AND(ISNUMBER(E142),E142&gt;0),"자"
)</f>
        <v>자</v>
      </c>
      <c r="AG142" s="26" t="str" cm="1">
        <f t="array" ref="AG142">_xlfn.IFS(
   OR(F142="",ISBLANK(F142),F142=0),0,
   ISNUMBER(MATCH(F142,{2,3,5,7,11,13,17,19,23,29,31,37,41,43},0)),"소",
   AND(ISNUMBER(F142),MOD(F142,3)=0),"배",
   AND(ISNUMBER(F142),F142&gt;0),"자"
)</f>
        <v>배</v>
      </c>
      <c r="AH142" s="26" t="str" cm="1">
        <f t="array" ref="AH142">_xlfn.IFS(
   OR(G142="",ISBLANK(G142),G142=0),0,
   ISNUMBER(MATCH(G142,{2,3,5,7,11,13,17,19,23,29,31,37,41,43},0)),"소",
   AND(ISNUMBER(G142),MOD(G142,3)=0),"배",
   AND(ISNUMBER(G142),G142&gt;0),"자"
)</f>
        <v>배</v>
      </c>
      <c r="AI142" s="30"/>
      <c r="AJ142" s="3">
        <f>COUNTIFS(B142:G142,"&gt;=1",B142:G142,"&lt;=14")</f>
        <v>0</v>
      </c>
      <c r="AK142" s="3">
        <f>COUNTIFS(B142:G142,"&gt;=15",B142:G142,"&lt;=31")</f>
        <v>3</v>
      </c>
      <c r="AL142" s="3">
        <f>6-AK142-AJ142</f>
        <v>3</v>
      </c>
      <c r="AM142" s="33"/>
      <c r="AN142" s="3">
        <f>COUNTIFS($B142:$G142, "&gt;=1",$B142:$G142, "&lt;=9")</f>
        <v>0</v>
      </c>
      <c r="AO142" s="3">
        <f>COUNTIFS($B142:$G142, "&gt;=10",$B142:$G142, "&lt;=18")</f>
        <v>2</v>
      </c>
      <c r="AP142" s="3">
        <f>COUNTIFS($B142:$G142, "&gt;=19",$B142:$G142, "&lt;=27")</f>
        <v>1</v>
      </c>
      <c r="AQ142" s="3">
        <f>COUNTIFS($B142:$G142, "&gt;=28",$B142:$G142, "&lt;=36")</f>
        <v>2</v>
      </c>
      <c r="AR142" s="3">
        <f>COUNTIFS($B142:$G142, "&gt;=37",$B142:$G142, "&lt;=45")</f>
        <v>1</v>
      </c>
      <c r="AS142" s="28" t="e">
        <f>#REF!</f>
        <v>#REF!</v>
      </c>
      <c r="AT142" s="28" t="e">
        <f>#REF!*2</f>
        <v>#REF!</v>
      </c>
      <c r="AU142" s="28" t="e">
        <f>#REF!</f>
        <v>#REF!</v>
      </c>
      <c r="AV142" s="28" t="e">
        <f>#REF!*2</f>
        <v>#REF!</v>
      </c>
      <c r="AW142" s="28" t="e">
        <f>#REF!</f>
        <v>#REF!</v>
      </c>
      <c r="AX142" s="28" t="e">
        <f>#REF!*2</f>
        <v>#REF!</v>
      </c>
      <c r="AY142" s="28" t="e">
        <f>#REF!</f>
        <v>#REF!</v>
      </c>
      <c r="AZ142" s="28" t="e">
        <f>#REF!*2</f>
        <v>#REF!</v>
      </c>
      <c r="BA142" s="28" t="e">
        <f>#REF!</f>
        <v>#REF!</v>
      </c>
      <c r="BB142" s="28" t="e">
        <f>#REF!*2</f>
        <v>#REF!</v>
      </c>
      <c r="BC142" s="28" t="e">
        <f>#REF!</f>
        <v>#REF!</v>
      </c>
      <c r="BD142" s="28" t="e">
        <f>#REF!*2</f>
        <v>#REF!</v>
      </c>
      <c r="BE142" s="9" t="e">
        <f>#REF!-#REF!</f>
        <v>#REF!</v>
      </c>
      <c r="BF142" s="9" t="e">
        <f>#REF!-#REF!</f>
        <v>#REF!</v>
      </c>
      <c r="BG142" s="9" t="e">
        <f>#REF!-#REF!</f>
        <v>#REF!</v>
      </c>
      <c r="BH142" s="9" t="e">
        <f>#REF!-#REF!</f>
        <v>#REF!</v>
      </c>
      <c r="BI142" s="9" t="e">
        <f>#REF!-#REF!</f>
        <v>#REF!</v>
      </c>
      <c r="BJ142" s="33"/>
      <c r="BK142" s="3">
        <f>COUNTIFS(B142:G142, "&gt;=1", B142:G142, "&lt;=9")</f>
        <v>0</v>
      </c>
      <c r="BL142" s="3">
        <f>COUNTIFS(B142:G142, "&gt;=10", B142:G142, "&lt;=19")</f>
        <v>2</v>
      </c>
      <c r="BM142" s="3">
        <f>COUNTIFS(B142:G142, "&gt;=20", B142:G142, "&lt;=29")</f>
        <v>1</v>
      </c>
      <c r="BN142" s="3">
        <f>COUNTIFS(B142:G142, "&gt;=30", B142:G142, "&lt;=39")</f>
        <v>3</v>
      </c>
      <c r="BO142" s="3">
        <f>COUNTIFS(B142:G142, "&gt;=40", B142:G142, "&lt;=45")</f>
        <v>0</v>
      </c>
      <c r="BP142" s="28" t="e">
        <f>#REF!</f>
        <v>#REF!</v>
      </c>
      <c r="BQ142" s="28" t="e">
        <f>#REF!*2</f>
        <v>#REF!</v>
      </c>
      <c r="BR142" s="28" t="e">
        <f>#REF!</f>
        <v>#REF!</v>
      </c>
      <c r="BS142" s="28" t="e">
        <f>#REF!*2</f>
        <v>#REF!</v>
      </c>
      <c r="BT142" s="28" t="e">
        <f>#REF!</f>
        <v>#REF!</v>
      </c>
      <c r="BU142" s="28" t="e">
        <f>#REF!*2</f>
        <v>#REF!</v>
      </c>
      <c r="BV142" s="28" t="e">
        <f>#REF!</f>
        <v>#REF!</v>
      </c>
      <c r="BW142" s="28" t="e">
        <f>#REF!*2</f>
        <v>#REF!</v>
      </c>
      <c r="BX142" s="28" t="e">
        <f>#REF!</f>
        <v>#REF!</v>
      </c>
      <c r="BY142" s="28" t="e">
        <f>#REF!*2</f>
        <v>#REF!</v>
      </c>
      <c r="BZ142" s="28" t="e">
        <f>#REF!</f>
        <v>#REF!</v>
      </c>
      <c r="CA142" s="28" t="e">
        <f>#REF!*2</f>
        <v>#REF!</v>
      </c>
      <c r="CB142" s="9">
        <f>C142-B142</f>
        <v>2</v>
      </c>
      <c r="CC142" s="9">
        <f>D142-C142</f>
        <v>2</v>
      </c>
      <c r="CD142" s="9">
        <f>E142-D142</f>
        <v>12</v>
      </c>
      <c r="CE142" s="9">
        <f>F142-E142</f>
        <v>1</v>
      </c>
      <c r="CF142" s="9">
        <f>G142-F142</f>
        <v>6</v>
      </c>
      <c r="CG142" s="33"/>
      <c r="CH142" s="9">
        <f>C142-B142</f>
        <v>2</v>
      </c>
      <c r="CI142" s="9">
        <f>D142-C142</f>
        <v>2</v>
      </c>
      <c r="CJ142" s="9">
        <f>E142-D142</f>
        <v>12</v>
      </c>
      <c r="CK142" s="9">
        <f>F142-E142</f>
        <v>1</v>
      </c>
      <c r="CL142" s="9">
        <f>G142-F142</f>
        <v>6</v>
      </c>
      <c r="CM142" s="32"/>
      <c r="CN142" s="3">
        <f>IF(OR(CH142="",ISBLANK(CH142),CH142=0),0,IF(MOD(CH142,2)=1,1,2))</f>
        <v>2</v>
      </c>
      <c r="CO142" s="3">
        <f>IF(OR(CI142="",ISBLANK(CI142),CI142=0),0,IF(MOD(CI142,2)=1,1,2))</f>
        <v>2</v>
      </c>
      <c r="CP142" s="3">
        <f>IF(OR(CJ142="",ISBLANK(CJ142),CJ142=0),0,IF(MOD(CJ142,2)=1,1,2))</f>
        <v>2</v>
      </c>
      <c r="CQ142" s="3">
        <f>IF(OR(CK142="",ISBLANK(CK142),CK142=0),0,IF(MOD(CK142,2)=1,1,2))</f>
        <v>1</v>
      </c>
      <c r="CR142" s="3">
        <f>IF(OR(CL142="",ISBLANK(CL142),CL142=0),0,IF(MOD(CL142,2)=1,1,2))</f>
        <v>2</v>
      </c>
      <c r="CS142" s="31"/>
      <c r="CT142" s="3" cm="1">
        <f t="array" ref="CT142">SUMPRODUCT(--(MOD(CH142:CL142,2)=1))</f>
        <v>1</v>
      </c>
      <c r="CU142" s="3">
        <f>5-CT142</f>
        <v>4</v>
      </c>
      <c r="CV142" s="30"/>
      <c r="CW142" s="3" cm="1">
        <f t="array" ref="CW142">SUMPRODUCT(--(MOD(CH142:CL142,10)&gt;=1), --(MOD(CH142:CL142,10)&lt;=5))</f>
        <v>4</v>
      </c>
      <c r="CX142" s="3">
        <f>5-CW142</f>
        <v>1</v>
      </c>
      <c r="CY142" s="30"/>
      <c r="CZ142" s="3" cm="1">
        <f t="array" ref="CZ142">IFERROR(COUNT(_xlfn._xlws.FILTER(CH142:CL142, ISNUMBER(MATCH(CH142:CL142, {2,3,5,7,11,13,17,19,23,29,31,37,41,43}, 0)))), 0)</f>
        <v>2</v>
      </c>
      <c r="DA142" s="3" cm="1">
        <f t="array" ref="DA142">IFERROR(COUNT(_xlfn._xlws.FILTER(CH142:CL142, ISNUMBER(MATCH(CH142:CL142, {1,4,8,10,14,16,20,22,25,26,28,32,34,35,38,40,44}, 0)))), 0)</f>
        <v>1</v>
      </c>
      <c r="DB142" s="3" cm="1">
        <f t="array" ref="DB142">IFERROR(COUNT(_xlfn._xlws.FILTER(CH142:CL142, ISNUMBER(MATCH(CH142:CL142, {6,9,12,15,18,21,24,27,30,33,36,39,42,45}, 0)))), 0)</f>
        <v>2</v>
      </c>
      <c r="DC142" s="29"/>
      <c r="DD142" s="28" t="e">
        <f>#REF!</f>
        <v>#REF!</v>
      </c>
      <c r="DE142" s="28" t="e">
        <f>#REF!*2</f>
        <v>#REF!</v>
      </c>
      <c r="DF142" s="28" t="e">
        <f>#REF!</f>
        <v>#REF!</v>
      </c>
      <c r="DG142" s="28" t="e">
        <f>#REF!*2</f>
        <v>#REF!</v>
      </c>
      <c r="DH142" s="28" t="e">
        <f>#REF!</f>
        <v>#REF!</v>
      </c>
      <c r="DI142" s="28" t="e">
        <f>#REF!*2</f>
        <v>#REF!</v>
      </c>
      <c r="DJ142" s="28" t="e">
        <f>#REF!</f>
        <v>#REF!</v>
      </c>
      <c r="DK142" s="28" t="e">
        <f>#REF!*2</f>
        <v>#REF!</v>
      </c>
      <c r="DL142" s="28" t="e">
        <f>#REF!</f>
        <v>#REF!</v>
      </c>
      <c r="DM142" s="28" t="e">
        <f>#REF!*2</f>
        <v>#REF!</v>
      </c>
      <c r="DN142" s="27"/>
      <c r="DO142" s="26" t="str" cm="1">
        <f t="array" ref="DO142">_xlfn.IFS(
   OR(CH142="",ISBLANK(CH142),CH142=0),0,
   ISNUMBER(MATCH(CH142,{2,3,5,7,11,13,17,19,23,29,31,37,41,43},0)),"소",
   AND(ISNUMBER(CH142),MOD(CH142,3)=0),"배",
   AND(ISNUMBER(CH142),CH142&gt;0),"자"
)</f>
        <v>소</v>
      </c>
      <c r="DP142" s="26" t="str" cm="1">
        <f t="array" ref="DP142">_xlfn.IFS(
   OR(CI142="",ISBLANK(CI142),CI142=0),0,
   ISNUMBER(MATCH(CI142,{2,3,5,7,11,13,17,19,23,29,31,37,41,43},0)),"소",
   AND(ISNUMBER(CI142),MOD(CI142,3)=0),"배",
   AND(ISNUMBER(CI142),CI142&gt;0),"자"
)</f>
        <v>소</v>
      </c>
      <c r="DQ142" s="26" t="str" cm="1">
        <f t="array" ref="DQ142">_xlfn.IFS(
   OR(CJ142="",ISBLANK(CJ142),CJ142=0),0,
   ISNUMBER(MATCH(CJ142,{2,3,5,7,11,13,17,19,23,29,31,37,41,43},0)),"소",
   AND(ISNUMBER(CJ142),MOD(CJ142,3)=0),"배",
   AND(ISNUMBER(CJ142),CJ142&gt;0),"자"
)</f>
        <v>배</v>
      </c>
      <c r="DR142" s="26" t="str" cm="1">
        <f t="array" ref="DR142">_xlfn.IFS(
   OR(CK142="",ISBLANK(CK142),CK142=0),0,
   ISNUMBER(MATCH(CK142,{2,3,5,7,11,13,17,19,23,29,31,37,41,43},0)),"소",
   AND(ISNUMBER(CK142),MOD(CK142,3)=0),"배",
   AND(ISNUMBER(CK142),CK142&gt;0),"자"
)</f>
        <v>자</v>
      </c>
      <c r="DS142" s="26" t="str" cm="1">
        <f t="array" ref="DS142">_xlfn.IFS(
   OR(CL142="",ISBLANK(CL142),CL142=0),0,
   ISNUMBER(MATCH(CL142,{2,3,5,7,11,13,17,19,23,29,31,37,41,43},0)),"소",
   AND(ISNUMBER(CL142),MOD(CL142,3)=0),"배",
   AND(ISNUMBER(CL142),CL142&gt;0),"자"
)</f>
        <v>배</v>
      </c>
      <c r="DT142" s="25"/>
    </row>
    <row r="143" spans="2:124" x14ac:dyDescent="0.3">
      <c r="B143" s="3">
        <v>9</v>
      </c>
      <c r="C143" s="3">
        <v>18</v>
      </c>
      <c r="D143" s="3">
        <v>21</v>
      </c>
      <c r="E143" s="3">
        <v>27</v>
      </c>
      <c r="F143" s="3">
        <v>44</v>
      </c>
      <c r="G143" s="3">
        <v>45</v>
      </c>
      <c r="H143" s="32"/>
      <c r="I143" s="3">
        <f>IF(OR(B143="",ISBLANK(B143),B143=0),0,IF(MOD(B143,2)=1,1,2))</f>
        <v>1</v>
      </c>
      <c r="J143" s="3">
        <f>IF(OR(C143="",ISBLANK(C143),C143=0),0,IF(MOD(C143,2)=1,1,2))</f>
        <v>2</v>
      </c>
      <c r="K143" s="3">
        <f>IF(OR(D143="",ISBLANK(D143),D143=0),0,IF(MOD(D143,2)=1,1,2))</f>
        <v>1</v>
      </c>
      <c r="L143" s="3">
        <f>IF(OR(E143="",ISBLANK(E143),E143=0),0,IF(MOD(E143,2)=1,1,2))</f>
        <v>1</v>
      </c>
      <c r="M143" s="3">
        <f>IF(OR(F143="",ISBLANK(F143),F143=0),0,IF(MOD(F143,2)=1,1,2))</f>
        <v>2</v>
      </c>
      <c r="N143" s="3">
        <f>IF(OR(G143="",ISBLANK(G143),G143=0),0,IF(MOD(G143,2)=1,1,2))</f>
        <v>1</v>
      </c>
      <c r="O143" s="32"/>
      <c r="P143" s="3" cm="1">
        <f t="array" ref="P143">SUMPRODUCT(--(MOD(B143:G143,2)=1))</f>
        <v>4</v>
      </c>
      <c r="Q143" s="3">
        <f>6-P143</f>
        <v>2</v>
      </c>
      <c r="R143" s="34"/>
      <c r="S143" s="3">
        <f>COUNTIFS(B143:G143,"&gt;=1",B143:G143,"&lt;=23")</f>
        <v>3</v>
      </c>
      <c r="T143" s="3">
        <f>6-S143</f>
        <v>3</v>
      </c>
      <c r="U143" s="34"/>
      <c r="V143" s="3" cm="1">
        <f t="array" ref="V143">SUMPRODUCT(--(MOD(B143:G143,10)&gt;=1), --(MOD(B143:G143,10)&lt;=5))</f>
        <v>3</v>
      </c>
      <c r="W143" s="3">
        <f>6-V143</f>
        <v>3</v>
      </c>
      <c r="X143" s="34"/>
      <c r="Y143" s="3" cm="1">
        <f t="array" ref="Y143">IFERROR(COUNT(_xlfn._xlws.FILTER(B143:G143, ISNUMBER(MATCH(B143:G143, {2,3,5,7,11,13,17,19,23,29,31,37,41,43}, 0)))), 0)</f>
        <v>0</v>
      </c>
      <c r="Z143" s="3" cm="1">
        <f t="array" ref="Z143">IFERROR(COUNT(_xlfn._xlws.FILTER(B143:G143, ISNUMBER(MATCH(B143:G143, {1,4,8,10,14,16,20,22,25,26,28,32,34,35,38,40,44}, 0)))), 0)</f>
        <v>1</v>
      </c>
      <c r="AA143" s="3" cm="1">
        <f t="array" ref="AA143">IFERROR(COUNT(_xlfn._xlws.FILTER(B143:G143, ISNUMBER(MATCH(B143:G143, {6,9,12,15,18,21,24,27,30,33,36,39,42,45}, 0)))), 0)</f>
        <v>5</v>
      </c>
      <c r="AB143" s="30"/>
      <c r="AC143" s="26" t="str" cm="1">
        <f t="array" ref="AC143">_xlfn.IFS(
   OR(B143="",ISBLANK(B143),B143=0),0,
   ISNUMBER(MATCH(B143,{2,3,5,7,11,13,17,19,23,29,31,37,41,43},0)),"소",
   AND(ISNUMBER(B143),MOD(B143,3)=0),"배",
   AND(ISNUMBER(B143),B143&gt;0),"자"
)</f>
        <v>배</v>
      </c>
      <c r="AD143" s="26" t="str" cm="1">
        <f t="array" ref="AD143">_xlfn.IFS(
   OR(C143="",ISBLANK(C143),C143=0),0,
   ISNUMBER(MATCH(C143,{2,3,5,7,11,13,17,19,23,29,31,37,41,43},0)),"소",
   AND(ISNUMBER(C143),MOD(C143,3)=0),"배",
   AND(ISNUMBER(C143),C143&gt;0),"자"
)</f>
        <v>배</v>
      </c>
      <c r="AE143" s="26" t="str" cm="1">
        <f t="array" ref="AE143">_xlfn.IFS(
   OR(D143="",ISBLANK(D143),D143=0),0,
   ISNUMBER(MATCH(D143,{2,3,5,7,11,13,17,19,23,29,31,37,41,43},0)),"소",
   AND(ISNUMBER(D143),MOD(D143,3)=0),"배",
   AND(ISNUMBER(D143),D143&gt;0),"자"
)</f>
        <v>배</v>
      </c>
      <c r="AF143" s="26" t="str" cm="1">
        <f t="array" ref="AF143">_xlfn.IFS(
   OR(E143="",ISBLANK(E143),E143=0),0,
   ISNUMBER(MATCH(E143,{2,3,5,7,11,13,17,19,23,29,31,37,41,43},0)),"소",
   AND(ISNUMBER(E143),MOD(E143,3)=0),"배",
   AND(ISNUMBER(E143),E143&gt;0),"자"
)</f>
        <v>배</v>
      </c>
      <c r="AG143" s="26" t="str" cm="1">
        <f t="array" ref="AG143">_xlfn.IFS(
   OR(F143="",ISBLANK(F143),F143=0),0,
   ISNUMBER(MATCH(F143,{2,3,5,7,11,13,17,19,23,29,31,37,41,43},0)),"소",
   AND(ISNUMBER(F143),MOD(F143,3)=0),"배",
   AND(ISNUMBER(F143),F143&gt;0),"자"
)</f>
        <v>자</v>
      </c>
      <c r="AH143" s="26" t="str" cm="1">
        <f t="array" ref="AH143">_xlfn.IFS(
   OR(G143="",ISBLANK(G143),G143=0),0,
   ISNUMBER(MATCH(G143,{2,3,5,7,11,13,17,19,23,29,31,37,41,43},0)),"소",
   AND(ISNUMBER(G143),MOD(G143,3)=0),"배",
   AND(ISNUMBER(G143),G143&gt;0),"자"
)</f>
        <v>배</v>
      </c>
      <c r="AI143" s="30"/>
      <c r="AJ143" s="3">
        <f>COUNTIFS(B143:G143,"&gt;=1",B143:G143,"&lt;=14")</f>
        <v>1</v>
      </c>
      <c r="AK143" s="3">
        <f>COUNTIFS(B143:G143,"&gt;=15",B143:G143,"&lt;=31")</f>
        <v>3</v>
      </c>
      <c r="AL143" s="3">
        <f>6-AK143-AJ143</f>
        <v>2</v>
      </c>
      <c r="AM143" s="33"/>
      <c r="AN143" s="3">
        <f>COUNTIFS($B143:$G143, "&gt;=1",$B143:$G143, "&lt;=9")</f>
        <v>1</v>
      </c>
      <c r="AO143" s="3">
        <f>COUNTIFS($B143:$G143, "&gt;=10",$B143:$G143, "&lt;=18")</f>
        <v>1</v>
      </c>
      <c r="AP143" s="3">
        <f>COUNTIFS($B143:$G143, "&gt;=19",$B143:$G143, "&lt;=27")</f>
        <v>2</v>
      </c>
      <c r="AQ143" s="3">
        <f>COUNTIFS($B143:$G143, "&gt;=28",$B143:$G143, "&lt;=36")</f>
        <v>0</v>
      </c>
      <c r="AR143" s="3">
        <f>COUNTIFS($B143:$G143, "&gt;=37",$B143:$G143, "&lt;=45")</f>
        <v>2</v>
      </c>
      <c r="AS143" s="28" t="e">
        <f>#REF!</f>
        <v>#REF!</v>
      </c>
      <c r="AT143" s="28" t="e">
        <f>#REF!*2</f>
        <v>#REF!</v>
      </c>
      <c r="AU143" s="28" t="e">
        <f>#REF!</f>
        <v>#REF!</v>
      </c>
      <c r="AV143" s="28" t="e">
        <f>#REF!*2</f>
        <v>#REF!</v>
      </c>
      <c r="AW143" s="28" t="e">
        <f>#REF!</f>
        <v>#REF!</v>
      </c>
      <c r="AX143" s="28" t="e">
        <f>#REF!*2</f>
        <v>#REF!</v>
      </c>
      <c r="AY143" s="28" t="e">
        <f>#REF!</f>
        <v>#REF!</v>
      </c>
      <c r="AZ143" s="28" t="e">
        <f>#REF!*2</f>
        <v>#REF!</v>
      </c>
      <c r="BA143" s="28" t="e">
        <f>#REF!</f>
        <v>#REF!</v>
      </c>
      <c r="BB143" s="28" t="e">
        <f>#REF!*2</f>
        <v>#REF!</v>
      </c>
      <c r="BC143" s="28" t="e">
        <f>#REF!</f>
        <v>#REF!</v>
      </c>
      <c r="BD143" s="28" t="e">
        <f>#REF!*2</f>
        <v>#REF!</v>
      </c>
      <c r="BE143" s="9" t="e">
        <f>#REF!-#REF!</f>
        <v>#REF!</v>
      </c>
      <c r="BF143" s="9" t="e">
        <f>#REF!-#REF!</f>
        <v>#REF!</v>
      </c>
      <c r="BG143" s="9" t="e">
        <f>#REF!-#REF!</f>
        <v>#REF!</v>
      </c>
      <c r="BH143" s="9" t="e">
        <f>#REF!-#REF!</f>
        <v>#REF!</v>
      </c>
      <c r="BI143" s="9" t="e">
        <f>#REF!-#REF!</f>
        <v>#REF!</v>
      </c>
      <c r="BJ143" s="33"/>
      <c r="BK143" s="3">
        <f>COUNTIFS(B143:G143, "&gt;=1", B143:G143, "&lt;=9")</f>
        <v>1</v>
      </c>
      <c r="BL143" s="3">
        <f>COUNTIFS(B143:G143, "&gt;=10", B143:G143, "&lt;=19")</f>
        <v>1</v>
      </c>
      <c r="BM143" s="3">
        <f>COUNTIFS(B143:G143, "&gt;=20", B143:G143, "&lt;=29")</f>
        <v>2</v>
      </c>
      <c r="BN143" s="3">
        <f>COUNTIFS(B143:G143, "&gt;=30", B143:G143, "&lt;=39")</f>
        <v>0</v>
      </c>
      <c r="BO143" s="3">
        <f>COUNTIFS(B143:G143, "&gt;=40", B143:G143, "&lt;=45")</f>
        <v>2</v>
      </c>
      <c r="BP143" s="28" t="e">
        <f>#REF!</f>
        <v>#REF!</v>
      </c>
      <c r="BQ143" s="28" t="e">
        <f>#REF!*2</f>
        <v>#REF!</v>
      </c>
      <c r="BR143" s="28" t="e">
        <f>#REF!</f>
        <v>#REF!</v>
      </c>
      <c r="BS143" s="28" t="e">
        <f>#REF!*2</f>
        <v>#REF!</v>
      </c>
      <c r="BT143" s="28" t="e">
        <f>#REF!</f>
        <v>#REF!</v>
      </c>
      <c r="BU143" s="28" t="e">
        <f>#REF!*2</f>
        <v>#REF!</v>
      </c>
      <c r="BV143" s="28" t="e">
        <f>#REF!</f>
        <v>#REF!</v>
      </c>
      <c r="BW143" s="28" t="e">
        <f>#REF!*2</f>
        <v>#REF!</v>
      </c>
      <c r="BX143" s="28" t="e">
        <f>#REF!</f>
        <v>#REF!</v>
      </c>
      <c r="BY143" s="28" t="e">
        <f>#REF!*2</f>
        <v>#REF!</v>
      </c>
      <c r="BZ143" s="28" t="e">
        <f>#REF!</f>
        <v>#REF!</v>
      </c>
      <c r="CA143" s="28" t="e">
        <f>#REF!*2</f>
        <v>#REF!</v>
      </c>
      <c r="CB143" s="9">
        <f>C143-B143</f>
        <v>9</v>
      </c>
      <c r="CC143" s="9">
        <f>D143-C143</f>
        <v>3</v>
      </c>
      <c r="CD143" s="9">
        <f>E143-D143</f>
        <v>6</v>
      </c>
      <c r="CE143" s="9">
        <f>F143-E143</f>
        <v>17</v>
      </c>
      <c r="CF143" s="9">
        <f>G143-F143</f>
        <v>1</v>
      </c>
      <c r="CG143" s="33"/>
      <c r="CH143" s="9">
        <f>C143-B143</f>
        <v>9</v>
      </c>
      <c r="CI143" s="9">
        <f>D143-C143</f>
        <v>3</v>
      </c>
      <c r="CJ143" s="9">
        <f>E143-D143</f>
        <v>6</v>
      </c>
      <c r="CK143" s="9">
        <f>F143-E143</f>
        <v>17</v>
      </c>
      <c r="CL143" s="9">
        <f>G143-F143</f>
        <v>1</v>
      </c>
      <c r="CM143" s="32"/>
      <c r="CN143" s="3">
        <f>IF(OR(CH143="",ISBLANK(CH143),CH143=0),0,IF(MOD(CH143,2)=1,1,2))</f>
        <v>1</v>
      </c>
      <c r="CO143" s="3">
        <f>IF(OR(CI143="",ISBLANK(CI143),CI143=0),0,IF(MOD(CI143,2)=1,1,2))</f>
        <v>1</v>
      </c>
      <c r="CP143" s="3">
        <f>IF(OR(CJ143="",ISBLANK(CJ143),CJ143=0),0,IF(MOD(CJ143,2)=1,1,2))</f>
        <v>2</v>
      </c>
      <c r="CQ143" s="3">
        <f>IF(OR(CK143="",ISBLANK(CK143),CK143=0),0,IF(MOD(CK143,2)=1,1,2))</f>
        <v>1</v>
      </c>
      <c r="CR143" s="3">
        <f>IF(OR(CL143="",ISBLANK(CL143),CL143=0),0,IF(MOD(CL143,2)=1,1,2))</f>
        <v>1</v>
      </c>
      <c r="CS143" s="31"/>
      <c r="CT143" s="3" cm="1">
        <f t="array" ref="CT143">SUMPRODUCT(--(MOD(CH143:CL143,2)=1))</f>
        <v>4</v>
      </c>
      <c r="CU143" s="3">
        <f>5-CT143</f>
        <v>1</v>
      </c>
      <c r="CV143" s="30"/>
      <c r="CW143" s="3" cm="1">
        <f t="array" ref="CW143">SUMPRODUCT(--(MOD(CH143:CL143,10)&gt;=1), --(MOD(CH143:CL143,10)&lt;=5))</f>
        <v>2</v>
      </c>
      <c r="CX143" s="3">
        <f>5-CW143</f>
        <v>3</v>
      </c>
      <c r="CY143" s="30"/>
      <c r="CZ143" s="3" cm="1">
        <f t="array" ref="CZ143">IFERROR(COUNT(_xlfn._xlws.FILTER(CH143:CL143, ISNUMBER(MATCH(CH143:CL143, {2,3,5,7,11,13,17,19,23,29,31,37,41,43}, 0)))), 0)</f>
        <v>2</v>
      </c>
      <c r="DA143" s="3" cm="1">
        <f t="array" ref="DA143">IFERROR(COUNT(_xlfn._xlws.FILTER(CH143:CL143, ISNUMBER(MATCH(CH143:CL143, {1,4,8,10,14,16,20,22,25,26,28,32,34,35,38,40,44}, 0)))), 0)</f>
        <v>1</v>
      </c>
      <c r="DB143" s="3" cm="1">
        <f t="array" ref="DB143">IFERROR(COUNT(_xlfn._xlws.FILTER(CH143:CL143, ISNUMBER(MATCH(CH143:CL143, {6,9,12,15,18,21,24,27,30,33,36,39,42,45}, 0)))), 0)</f>
        <v>2</v>
      </c>
      <c r="DC143" s="29"/>
      <c r="DD143" s="28" t="e">
        <f>#REF!</f>
        <v>#REF!</v>
      </c>
      <c r="DE143" s="28" t="e">
        <f>#REF!*2</f>
        <v>#REF!</v>
      </c>
      <c r="DF143" s="28" t="e">
        <f>#REF!</f>
        <v>#REF!</v>
      </c>
      <c r="DG143" s="28" t="e">
        <f>#REF!*2</f>
        <v>#REF!</v>
      </c>
      <c r="DH143" s="28" t="e">
        <f>#REF!</f>
        <v>#REF!</v>
      </c>
      <c r="DI143" s="28" t="e">
        <f>#REF!*2</f>
        <v>#REF!</v>
      </c>
      <c r="DJ143" s="28" t="e">
        <f>#REF!</f>
        <v>#REF!</v>
      </c>
      <c r="DK143" s="28" t="e">
        <f>#REF!*2</f>
        <v>#REF!</v>
      </c>
      <c r="DL143" s="28" t="e">
        <f>#REF!</f>
        <v>#REF!</v>
      </c>
      <c r="DM143" s="28" t="e">
        <f>#REF!*2</f>
        <v>#REF!</v>
      </c>
      <c r="DN143" s="27"/>
      <c r="DO143" s="26" t="str" cm="1">
        <f t="array" ref="DO143">_xlfn.IFS(
   OR(CH143="",ISBLANK(CH143),CH143=0),0,
   ISNUMBER(MATCH(CH143,{2,3,5,7,11,13,17,19,23,29,31,37,41,43},0)),"소",
   AND(ISNUMBER(CH143),MOD(CH143,3)=0),"배",
   AND(ISNUMBER(CH143),CH143&gt;0),"자"
)</f>
        <v>배</v>
      </c>
      <c r="DP143" s="26" t="str" cm="1">
        <f t="array" ref="DP143">_xlfn.IFS(
   OR(CI143="",ISBLANK(CI143),CI143=0),0,
   ISNUMBER(MATCH(CI143,{2,3,5,7,11,13,17,19,23,29,31,37,41,43},0)),"소",
   AND(ISNUMBER(CI143),MOD(CI143,3)=0),"배",
   AND(ISNUMBER(CI143),CI143&gt;0),"자"
)</f>
        <v>소</v>
      </c>
      <c r="DQ143" s="26" t="str" cm="1">
        <f t="array" ref="DQ143">_xlfn.IFS(
   OR(CJ143="",ISBLANK(CJ143),CJ143=0),0,
   ISNUMBER(MATCH(CJ143,{2,3,5,7,11,13,17,19,23,29,31,37,41,43},0)),"소",
   AND(ISNUMBER(CJ143),MOD(CJ143,3)=0),"배",
   AND(ISNUMBER(CJ143),CJ143&gt;0),"자"
)</f>
        <v>배</v>
      </c>
      <c r="DR143" s="26" t="str" cm="1">
        <f t="array" ref="DR143">_xlfn.IFS(
   OR(CK143="",ISBLANK(CK143),CK143=0),0,
   ISNUMBER(MATCH(CK143,{2,3,5,7,11,13,17,19,23,29,31,37,41,43},0)),"소",
   AND(ISNUMBER(CK143),MOD(CK143,3)=0),"배",
   AND(ISNUMBER(CK143),CK143&gt;0),"자"
)</f>
        <v>소</v>
      </c>
      <c r="DS143" s="26" t="str" cm="1">
        <f t="array" ref="DS143">_xlfn.IFS(
   OR(CL143="",ISBLANK(CL143),CL143=0),0,
   ISNUMBER(MATCH(CL143,{2,3,5,7,11,13,17,19,23,29,31,37,41,43},0)),"소",
   AND(ISNUMBER(CL143),MOD(CL143,3)=0),"배",
   AND(ISNUMBER(CL143),CL143&gt;0),"자"
)</f>
        <v>자</v>
      </c>
      <c r="DT143" s="25"/>
    </row>
    <row r="144" spans="2:124" x14ac:dyDescent="0.3">
      <c r="B144" s="3">
        <v>8</v>
      </c>
      <c r="C144" s="3">
        <v>9</v>
      </c>
      <c r="D144" s="3">
        <v>19</v>
      </c>
      <c r="E144" s="3">
        <v>25</v>
      </c>
      <c r="F144" s="3">
        <v>41</v>
      </c>
      <c r="G144" s="3">
        <v>42</v>
      </c>
      <c r="H144" s="32"/>
      <c r="I144" s="3">
        <f>IF(OR(B144="",ISBLANK(B144),B144=0),0,IF(MOD(B144,2)=1,1,2))</f>
        <v>2</v>
      </c>
      <c r="J144" s="3">
        <f>IF(OR(C144="",ISBLANK(C144),C144=0),0,IF(MOD(C144,2)=1,1,2))</f>
        <v>1</v>
      </c>
      <c r="K144" s="3">
        <f>IF(OR(D144="",ISBLANK(D144),D144=0),0,IF(MOD(D144,2)=1,1,2))</f>
        <v>1</v>
      </c>
      <c r="L144" s="3">
        <f>IF(OR(E144="",ISBLANK(E144),E144=0),0,IF(MOD(E144,2)=1,1,2))</f>
        <v>1</v>
      </c>
      <c r="M144" s="3">
        <f>IF(OR(F144="",ISBLANK(F144),F144=0),0,IF(MOD(F144,2)=1,1,2))</f>
        <v>1</v>
      </c>
      <c r="N144" s="3">
        <f>IF(OR(G144="",ISBLANK(G144),G144=0),0,IF(MOD(G144,2)=1,1,2))</f>
        <v>2</v>
      </c>
      <c r="O144" s="32"/>
      <c r="P144" s="3" cm="1">
        <f t="array" ref="P144">SUMPRODUCT(--(MOD(B144:G144,2)=1))</f>
        <v>4</v>
      </c>
      <c r="Q144" s="3">
        <f>6-P144</f>
        <v>2</v>
      </c>
      <c r="R144" s="34"/>
      <c r="S144" s="3">
        <f>COUNTIFS(B144:G144,"&gt;=1",B144:G144,"&lt;=23")</f>
        <v>3</v>
      </c>
      <c r="T144" s="3">
        <f>6-S144</f>
        <v>3</v>
      </c>
      <c r="U144" s="34"/>
      <c r="V144" s="3" cm="1">
        <f t="array" ref="V144">SUMPRODUCT(--(MOD(B144:G144,10)&gt;=1), --(MOD(B144:G144,10)&lt;=5))</f>
        <v>3</v>
      </c>
      <c r="W144" s="3">
        <f>6-V144</f>
        <v>3</v>
      </c>
      <c r="X144" s="34"/>
      <c r="Y144" s="3" cm="1">
        <f t="array" ref="Y144">IFERROR(COUNT(_xlfn._xlws.FILTER(B144:G144, ISNUMBER(MATCH(B144:G144, {2,3,5,7,11,13,17,19,23,29,31,37,41,43}, 0)))), 0)</f>
        <v>2</v>
      </c>
      <c r="Z144" s="3" cm="1">
        <f t="array" ref="Z144">IFERROR(COUNT(_xlfn._xlws.FILTER(B144:G144, ISNUMBER(MATCH(B144:G144, {1,4,8,10,14,16,20,22,25,26,28,32,34,35,38,40,44}, 0)))), 0)</f>
        <v>2</v>
      </c>
      <c r="AA144" s="3" cm="1">
        <f t="array" ref="AA144">IFERROR(COUNT(_xlfn._xlws.FILTER(B144:G144, ISNUMBER(MATCH(B144:G144, {6,9,12,15,18,21,24,27,30,33,36,39,42,45}, 0)))), 0)</f>
        <v>2</v>
      </c>
      <c r="AB144" s="30"/>
      <c r="AC144" s="26" t="str" cm="1">
        <f t="array" ref="AC144">_xlfn.IFS(
   OR(B144="",ISBLANK(B144),B144=0),0,
   ISNUMBER(MATCH(B144,{2,3,5,7,11,13,17,19,23,29,31,37,41,43},0)),"소",
   AND(ISNUMBER(B144),MOD(B144,3)=0),"배",
   AND(ISNUMBER(B144),B144&gt;0),"자"
)</f>
        <v>자</v>
      </c>
      <c r="AD144" s="26" t="str" cm="1">
        <f t="array" ref="AD144">_xlfn.IFS(
   OR(C144="",ISBLANK(C144),C144=0),0,
   ISNUMBER(MATCH(C144,{2,3,5,7,11,13,17,19,23,29,31,37,41,43},0)),"소",
   AND(ISNUMBER(C144),MOD(C144,3)=0),"배",
   AND(ISNUMBER(C144),C144&gt;0),"자"
)</f>
        <v>배</v>
      </c>
      <c r="AE144" s="26" t="str" cm="1">
        <f t="array" ref="AE144">_xlfn.IFS(
   OR(D144="",ISBLANK(D144),D144=0),0,
   ISNUMBER(MATCH(D144,{2,3,5,7,11,13,17,19,23,29,31,37,41,43},0)),"소",
   AND(ISNUMBER(D144),MOD(D144,3)=0),"배",
   AND(ISNUMBER(D144),D144&gt;0),"자"
)</f>
        <v>소</v>
      </c>
      <c r="AF144" s="26" t="str" cm="1">
        <f t="array" ref="AF144">_xlfn.IFS(
   OR(E144="",ISBLANK(E144),E144=0),0,
   ISNUMBER(MATCH(E144,{2,3,5,7,11,13,17,19,23,29,31,37,41,43},0)),"소",
   AND(ISNUMBER(E144),MOD(E144,3)=0),"배",
   AND(ISNUMBER(E144),E144&gt;0),"자"
)</f>
        <v>자</v>
      </c>
      <c r="AG144" s="26" t="str" cm="1">
        <f t="array" ref="AG144">_xlfn.IFS(
   OR(F144="",ISBLANK(F144),F144=0),0,
   ISNUMBER(MATCH(F144,{2,3,5,7,11,13,17,19,23,29,31,37,41,43},0)),"소",
   AND(ISNUMBER(F144),MOD(F144,3)=0),"배",
   AND(ISNUMBER(F144),F144&gt;0),"자"
)</f>
        <v>소</v>
      </c>
      <c r="AH144" s="26" t="str" cm="1">
        <f t="array" ref="AH144">_xlfn.IFS(
   OR(G144="",ISBLANK(G144),G144=0),0,
   ISNUMBER(MATCH(G144,{2,3,5,7,11,13,17,19,23,29,31,37,41,43},0)),"소",
   AND(ISNUMBER(G144),MOD(G144,3)=0),"배",
   AND(ISNUMBER(G144),G144&gt;0),"자"
)</f>
        <v>배</v>
      </c>
      <c r="AI144" s="30"/>
      <c r="AJ144" s="3">
        <f>COUNTIFS(B144:G144,"&gt;=1",B144:G144,"&lt;=14")</f>
        <v>2</v>
      </c>
      <c r="AK144" s="3">
        <f>COUNTIFS(B144:G144,"&gt;=15",B144:G144,"&lt;=31")</f>
        <v>2</v>
      </c>
      <c r="AL144" s="3">
        <f>6-AK144-AJ144</f>
        <v>2</v>
      </c>
      <c r="AM144" s="33"/>
      <c r="AN144" s="3">
        <f>COUNTIFS($B144:$G144, "&gt;=1",$B144:$G144, "&lt;=9")</f>
        <v>2</v>
      </c>
      <c r="AO144" s="3">
        <f>COUNTIFS($B144:$G144, "&gt;=10",$B144:$G144, "&lt;=18")</f>
        <v>0</v>
      </c>
      <c r="AP144" s="3">
        <f>COUNTIFS($B144:$G144, "&gt;=19",$B144:$G144, "&lt;=27")</f>
        <v>2</v>
      </c>
      <c r="AQ144" s="3">
        <f>COUNTIFS($B144:$G144, "&gt;=28",$B144:$G144, "&lt;=36")</f>
        <v>0</v>
      </c>
      <c r="AR144" s="3">
        <f>COUNTIFS($B144:$G144, "&gt;=37",$B144:$G144, "&lt;=45")</f>
        <v>2</v>
      </c>
      <c r="AS144" s="28" t="e">
        <f>#REF!</f>
        <v>#REF!</v>
      </c>
      <c r="AT144" s="28" t="e">
        <f>#REF!*2</f>
        <v>#REF!</v>
      </c>
      <c r="AU144" s="28" t="e">
        <f>#REF!</f>
        <v>#REF!</v>
      </c>
      <c r="AV144" s="28" t="e">
        <f>#REF!*2</f>
        <v>#REF!</v>
      </c>
      <c r="AW144" s="28" t="e">
        <f>#REF!</f>
        <v>#REF!</v>
      </c>
      <c r="AX144" s="28" t="e">
        <f>#REF!*2</f>
        <v>#REF!</v>
      </c>
      <c r="AY144" s="28" t="e">
        <f>#REF!</f>
        <v>#REF!</v>
      </c>
      <c r="AZ144" s="28" t="e">
        <f>#REF!*2</f>
        <v>#REF!</v>
      </c>
      <c r="BA144" s="28" t="e">
        <f>#REF!</f>
        <v>#REF!</v>
      </c>
      <c r="BB144" s="28" t="e">
        <f>#REF!*2</f>
        <v>#REF!</v>
      </c>
      <c r="BC144" s="28" t="e">
        <f>#REF!</f>
        <v>#REF!</v>
      </c>
      <c r="BD144" s="28" t="e">
        <f>#REF!*2</f>
        <v>#REF!</v>
      </c>
      <c r="BE144" s="9" t="e">
        <f>#REF!-#REF!</f>
        <v>#REF!</v>
      </c>
      <c r="BF144" s="9" t="e">
        <f>#REF!-#REF!</f>
        <v>#REF!</v>
      </c>
      <c r="BG144" s="9" t="e">
        <f>#REF!-#REF!</f>
        <v>#REF!</v>
      </c>
      <c r="BH144" s="9" t="e">
        <f>#REF!-#REF!</f>
        <v>#REF!</v>
      </c>
      <c r="BI144" s="9" t="e">
        <f>#REF!-#REF!</f>
        <v>#REF!</v>
      </c>
      <c r="BJ144" s="33"/>
      <c r="BK144" s="3">
        <f>COUNTIFS(B144:G144, "&gt;=1", B144:G144, "&lt;=9")</f>
        <v>2</v>
      </c>
      <c r="BL144" s="3">
        <f>COUNTIFS(B144:G144, "&gt;=10", B144:G144, "&lt;=19")</f>
        <v>1</v>
      </c>
      <c r="BM144" s="3">
        <f>COUNTIFS(B144:G144, "&gt;=20", B144:G144, "&lt;=29")</f>
        <v>1</v>
      </c>
      <c r="BN144" s="3">
        <f>COUNTIFS(B144:G144, "&gt;=30", B144:G144, "&lt;=39")</f>
        <v>0</v>
      </c>
      <c r="BO144" s="3">
        <f>COUNTIFS(B144:G144, "&gt;=40", B144:G144, "&lt;=45")</f>
        <v>2</v>
      </c>
      <c r="BP144" s="28" t="e">
        <f>#REF!</f>
        <v>#REF!</v>
      </c>
      <c r="BQ144" s="28" t="e">
        <f>#REF!*2</f>
        <v>#REF!</v>
      </c>
      <c r="BR144" s="28" t="e">
        <f>#REF!</f>
        <v>#REF!</v>
      </c>
      <c r="BS144" s="28" t="e">
        <f>#REF!*2</f>
        <v>#REF!</v>
      </c>
      <c r="BT144" s="28" t="e">
        <f>#REF!</f>
        <v>#REF!</v>
      </c>
      <c r="BU144" s="28" t="e">
        <f>#REF!*2</f>
        <v>#REF!</v>
      </c>
      <c r="BV144" s="28" t="e">
        <f>#REF!</f>
        <v>#REF!</v>
      </c>
      <c r="BW144" s="28" t="e">
        <f>#REF!*2</f>
        <v>#REF!</v>
      </c>
      <c r="BX144" s="28" t="e">
        <f>#REF!</f>
        <v>#REF!</v>
      </c>
      <c r="BY144" s="28" t="e">
        <f>#REF!*2</f>
        <v>#REF!</v>
      </c>
      <c r="BZ144" s="28" t="e">
        <f>#REF!</f>
        <v>#REF!</v>
      </c>
      <c r="CA144" s="28" t="e">
        <f>#REF!*2</f>
        <v>#REF!</v>
      </c>
      <c r="CB144" s="9">
        <f>C144-B144</f>
        <v>1</v>
      </c>
      <c r="CC144" s="9">
        <f>D144-C144</f>
        <v>10</v>
      </c>
      <c r="CD144" s="9">
        <f>E144-D144</f>
        <v>6</v>
      </c>
      <c r="CE144" s="9">
        <f>F144-E144</f>
        <v>16</v>
      </c>
      <c r="CF144" s="9">
        <f>G144-F144</f>
        <v>1</v>
      </c>
      <c r="CG144" s="33"/>
      <c r="CH144" s="9">
        <f>C144-B144</f>
        <v>1</v>
      </c>
      <c r="CI144" s="9">
        <f>D144-C144</f>
        <v>10</v>
      </c>
      <c r="CJ144" s="9">
        <f>E144-D144</f>
        <v>6</v>
      </c>
      <c r="CK144" s="9">
        <f>F144-E144</f>
        <v>16</v>
      </c>
      <c r="CL144" s="9">
        <f>G144-F144</f>
        <v>1</v>
      </c>
      <c r="CM144" s="32"/>
      <c r="CN144" s="3">
        <f>IF(OR(CH144="",ISBLANK(CH144),CH144=0),0,IF(MOD(CH144,2)=1,1,2))</f>
        <v>1</v>
      </c>
      <c r="CO144" s="3">
        <f>IF(OR(CI144="",ISBLANK(CI144),CI144=0),0,IF(MOD(CI144,2)=1,1,2))</f>
        <v>2</v>
      </c>
      <c r="CP144" s="3">
        <f>IF(OR(CJ144="",ISBLANK(CJ144),CJ144=0),0,IF(MOD(CJ144,2)=1,1,2))</f>
        <v>2</v>
      </c>
      <c r="CQ144" s="3">
        <f>IF(OR(CK144="",ISBLANK(CK144),CK144=0),0,IF(MOD(CK144,2)=1,1,2))</f>
        <v>2</v>
      </c>
      <c r="CR144" s="3">
        <f>IF(OR(CL144="",ISBLANK(CL144),CL144=0),0,IF(MOD(CL144,2)=1,1,2))</f>
        <v>1</v>
      </c>
      <c r="CS144" s="31"/>
      <c r="CT144" s="3" cm="1">
        <f t="array" ref="CT144">SUMPRODUCT(--(MOD(CH144:CL144,2)=1))</f>
        <v>2</v>
      </c>
      <c r="CU144" s="3">
        <f>5-CT144</f>
        <v>3</v>
      </c>
      <c r="CV144" s="30"/>
      <c r="CW144" s="3" cm="1">
        <f t="array" ref="CW144">SUMPRODUCT(--(MOD(CH144:CL144,10)&gt;=1), --(MOD(CH144:CL144,10)&lt;=5))</f>
        <v>2</v>
      </c>
      <c r="CX144" s="3">
        <f>5-CW144</f>
        <v>3</v>
      </c>
      <c r="CY144" s="30"/>
      <c r="CZ144" s="3" cm="1">
        <f t="array" ref="CZ144">IFERROR(COUNT(_xlfn._xlws.FILTER(CH144:CL144, ISNUMBER(MATCH(CH144:CL144, {2,3,5,7,11,13,17,19,23,29,31,37,41,43}, 0)))), 0)</f>
        <v>0</v>
      </c>
      <c r="DA144" s="3" cm="1">
        <f t="array" ref="DA144">IFERROR(COUNT(_xlfn._xlws.FILTER(CH144:CL144, ISNUMBER(MATCH(CH144:CL144, {1,4,8,10,14,16,20,22,25,26,28,32,34,35,38,40,44}, 0)))), 0)</f>
        <v>4</v>
      </c>
      <c r="DB144" s="3" cm="1">
        <f t="array" ref="DB144">IFERROR(COUNT(_xlfn._xlws.FILTER(CH144:CL144, ISNUMBER(MATCH(CH144:CL144, {6,9,12,15,18,21,24,27,30,33,36,39,42,45}, 0)))), 0)</f>
        <v>1</v>
      </c>
      <c r="DC144" s="29"/>
      <c r="DD144" s="28" t="e">
        <f>#REF!</f>
        <v>#REF!</v>
      </c>
      <c r="DE144" s="28" t="e">
        <f>#REF!*2</f>
        <v>#REF!</v>
      </c>
      <c r="DF144" s="28" t="e">
        <f>#REF!</f>
        <v>#REF!</v>
      </c>
      <c r="DG144" s="28" t="e">
        <f>#REF!*2</f>
        <v>#REF!</v>
      </c>
      <c r="DH144" s="28" t="e">
        <f>#REF!</f>
        <v>#REF!</v>
      </c>
      <c r="DI144" s="28" t="e">
        <f>#REF!*2</f>
        <v>#REF!</v>
      </c>
      <c r="DJ144" s="28" t="e">
        <f>#REF!</f>
        <v>#REF!</v>
      </c>
      <c r="DK144" s="28" t="e">
        <f>#REF!*2</f>
        <v>#REF!</v>
      </c>
      <c r="DL144" s="28" t="e">
        <f>#REF!</f>
        <v>#REF!</v>
      </c>
      <c r="DM144" s="28" t="e">
        <f>#REF!*2</f>
        <v>#REF!</v>
      </c>
      <c r="DN144" s="27"/>
      <c r="DO144" s="26" t="str" cm="1">
        <f t="array" ref="DO144">_xlfn.IFS(
   OR(CH144="",ISBLANK(CH144),CH144=0),0,
   ISNUMBER(MATCH(CH144,{2,3,5,7,11,13,17,19,23,29,31,37,41,43},0)),"소",
   AND(ISNUMBER(CH144),MOD(CH144,3)=0),"배",
   AND(ISNUMBER(CH144),CH144&gt;0),"자"
)</f>
        <v>자</v>
      </c>
      <c r="DP144" s="26" t="str" cm="1">
        <f t="array" ref="DP144">_xlfn.IFS(
   OR(CI144="",ISBLANK(CI144),CI144=0),0,
   ISNUMBER(MATCH(CI144,{2,3,5,7,11,13,17,19,23,29,31,37,41,43},0)),"소",
   AND(ISNUMBER(CI144),MOD(CI144,3)=0),"배",
   AND(ISNUMBER(CI144),CI144&gt;0),"자"
)</f>
        <v>자</v>
      </c>
      <c r="DQ144" s="26" t="str" cm="1">
        <f t="array" ref="DQ144">_xlfn.IFS(
   OR(CJ144="",ISBLANK(CJ144),CJ144=0),0,
   ISNUMBER(MATCH(CJ144,{2,3,5,7,11,13,17,19,23,29,31,37,41,43},0)),"소",
   AND(ISNUMBER(CJ144),MOD(CJ144,3)=0),"배",
   AND(ISNUMBER(CJ144),CJ144&gt;0),"자"
)</f>
        <v>배</v>
      </c>
      <c r="DR144" s="26" t="str" cm="1">
        <f t="array" ref="DR144">_xlfn.IFS(
   OR(CK144="",ISBLANK(CK144),CK144=0),0,
   ISNUMBER(MATCH(CK144,{2,3,5,7,11,13,17,19,23,29,31,37,41,43},0)),"소",
   AND(ISNUMBER(CK144),MOD(CK144,3)=0),"배",
   AND(ISNUMBER(CK144),CK144&gt;0),"자"
)</f>
        <v>자</v>
      </c>
      <c r="DS144" s="26" t="str" cm="1">
        <f t="array" ref="DS144">_xlfn.IFS(
   OR(CL144="",ISBLANK(CL144),CL144=0),0,
   ISNUMBER(MATCH(CL144,{2,3,5,7,11,13,17,19,23,29,31,37,41,43},0)),"소",
   AND(ISNUMBER(CL144),MOD(CL144,3)=0),"배",
   AND(ISNUMBER(CL144),CL144&gt;0),"자"
)</f>
        <v>자</v>
      </c>
      <c r="DT144" s="25"/>
    </row>
    <row r="145" spans="2:124" x14ac:dyDescent="0.3">
      <c r="B145" s="3">
        <v>4</v>
      </c>
      <c r="C145" s="3">
        <v>6</v>
      </c>
      <c r="D145" s="3">
        <v>13</v>
      </c>
      <c r="E145" s="3">
        <v>17</v>
      </c>
      <c r="F145" s="3">
        <v>26</v>
      </c>
      <c r="G145" s="3">
        <v>28</v>
      </c>
      <c r="H145" s="32"/>
      <c r="I145" s="3">
        <f>IF(OR(B145="",ISBLANK(B145),B145=0),0,IF(MOD(B145,2)=1,1,2))</f>
        <v>2</v>
      </c>
      <c r="J145" s="3">
        <f>IF(OR(C145="",ISBLANK(C145),C145=0),0,IF(MOD(C145,2)=1,1,2))</f>
        <v>2</v>
      </c>
      <c r="K145" s="3">
        <f>IF(OR(D145="",ISBLANK(D145),D145=0),0,IF(MOD(D145,2)=1,1,2))</f>
        <v>1</v>
      </c>
      <c r="L145" s="3">
        <f>IF(OR(E145="",ISBLANK(E145),E145=0),0,IF(MOD(E145,2)=1,1,2))</f>
        <v>1</v>
      </c>
      <c r="M145" s="3">
        <f>IF(OR(F145="",ISBLANK(F145),F145=0),0,IF(MOD(F145,2)=1,1,2))</f>
        <v>2</v>
      </c>
      <c r="N145" s="3">
        <f>IF(OR(G145="",ISBLANK(G145),G145=0),0,IF(MOD(G145,2)=1,1,2))</f>
        <v>2</v>
      </c>
      <c r="O145" s="32"/>
      <c r="P145" s="3" cm="1">
        <f t="array" ref="P145">SUMPRODUCT(--(MOD(B145:G145,2)=1))</f>
        <v>2</v>
      </c>
      <c r="Q145" s="3">
        <f>6-P145</f>
        <v>4</v>
      </c>
      <c r="R145" s="34"/>
      <c r="S145" s="3">
        <f>COUNTIFS(B145:G145,"&gt;=1",B145:G145,"&lt;=23")</f>
        <v>4</v>
      </c>
      <c r="T145" s="3">
        <f>6-S145</f>
        <v>2</v>
      </c>
      <c r="U145" s="34"/>
      <c r="V145" s="3" cm="1">
        <f t="array" ref="V145">SUMPRODUCT(--(MOD(B145:G145,10)&gt;=1), --(MOD(B145:G145,10)&lt;=5))</f>
        <v>2</v>
      </c>
      <c r="W145" s="3">
        <f>6-V145</f>
        <v>4</v>
      </c>
      <c r="X145" s="34"/>
      <c r="Y145" s="3" cm="1">
        <f t="array" ref="Y145">IFERROR(COUNT(_xlfn._xlws.FILTER(B145:G145, ISNUMBER(MATCH(B145:G145, {2,3,5,7,11,13,17,19,23,29,31,37,41,43}, 0)))), 0)</f>
        <v>2</v>
      </c>
      <c r="Z145" s="3" cm="1">
        <f t="array" ref="Z145">IFERROR(COUNT(_xlfn._xlws.FILTER(B145:G145, ISNUMBER(MATCH(B145:G145, {1,4,8,10,14,16,20,22,25,26,28,32,34,35,38,40,44}, 0)))), 0)</f>
        <v>3</v>
      </c>
      <c r="AA145" s="3" cm="1">
        <f t="array" ref="AA145">IFERROR(COUNT(_xlfn._xlws.FILTER(B145:G145, ISNUMBER(MATCH(B145:G145, {6,9,12,15,18,21,24,27,30,33,36,39,42,45}, 0)))), 0)</f>
        <v>1</v>
      </c>
      <c r="AB145" s="30"/>
      <c r="AC145" s="26" t="str" cm="1">
        <f t="array" ref="AC145">_xlfn.IFS(
   OR(B145="",ISBLANK(B145),B145=0),0,
   ISNUMBER(MATCH(B145,{2,3,5,7,11,13,17,19,23,29,31,37,41,43},0)),"소",
   AND(ISNUMBER(B145),MOD(B145,3)=0),"배",
   AND(ISNUMBER(B145),B145&gt;0),"자"
)</f>
        <v>자</v>
      </c>
      <c r="AD145" s="26" t="str" cm="1">
        <f t="array" ref="AD145">_xlfn.IFS(
   OR(C145="",ISBLANK(C145),C145=0),0,
   ISNUMBER(MATCH(C145,{2,3,5,7,11,13,17,19,23,29,31,37,41,43},0)),"소",
   AND(ISNUMBER(C145),MOD(C145,3)=0),"배",
   AND(ISNUMBER(C145),C145&gt;0),"자"
)</f>
        <v>배</v>
      </c>
      <c r="AE145" s="26" t="str" cm="1">
        <f t="array" ref="AE145">_xlfn.IFS(
   OR(D145="",ISBLANK(D145),D145=0),0,
   ISNUMBER(MATCH(D145,{2,3,5,7,11,13,17,19,23,29,31,37,41,43},0)),"소",
   AND(ISNUMBER(D145),MOD(D145,3)=0),"배",
   AND(ISNUMBER(D145),D145&gt;0),"자"
)</f>
        <v>소</v>
      </c>
      <c r="AF145" s="26" t="str" cm="1">
        <f t="array" ref="AF145">_xlfn.IFS(
   OR(E145="",ISBLANK(E145),E145=0),0,
   ISNUMBER(MATCH(E145,{2,3,5,7,11,13,17,19,23,29,31,37,41,43},0)),"소",
   AND(ISNUMBER(E145),MOD(E145,3)=0),"배",
   AND(ISNUMBER(E145),E145&gt;0),"자"
)</f>
        <v>소</v>
      </c>
      <c r="AG145" s="26" t="str" cm="1">
        <f t="array" ref="AG145">_xlfn.IFS(
   OR(F145="",ISBLANK(F145),F145=0),0,
   ISNUMBER(MATCH(F145,{2,3,5,7,11,13,17,19,23,29,31,37,41,43},0)),"소",
   AND(ISNUMBER(F145),MOD(F145,3)=0),"배",
   AND(ISNUMBER(F145),F145&gt;0),"자"
)</f>
        <v>자</v>
      </c>
      <c r="AH145" s="26" t="str" cm="1">
        <f t="array" ref="AH145">_xlfn.IFS(
   OR(G145="",ISBLANK(G145),G145=0),0,
   ISNUMBER(MATCH(G145,{2,3,5,7,11,13,17,19,23,29,31,37,41,43},0)),"소",
   AND(ISNUMBER(G145),MOD(G145,3)=0),"배",
   AND(ISNUMBER(G145),G145&gt;0),"자"
)</f>
        <v>자</v>
      </c>
      <c r="AI145" s="30"/>
      <c r="AJ145" s="3">
        <f>COUNTIFS(B145:G145,"&gt;=1",B145:G145,"&lt;=14")</f>
        <v>3</v>
      </c>
      <c r="AK145" s="3">
        <f>COUNTIFS(B145:G145,"&gt;=15",B145:G145,"&lt;=31")</f>
        <v>3</v>
      </c>
      <c r="AL145" s="3">
        <f>6-AK145-AJ145</f>
        <v>0</v>
      </c>
      <c r="AM145" s="33"/>
      <c r="AN145" s="3">
        <f>COUNTIFS($B145:$G145, "&gt;=1",$B145:$G145, "&lt;=9")</f>
        <v>2</v>
      </c>
      <c r="AO145" s="3">
        <f>COUNTIFS($B145:$G145, "&gt;=10",$B145:$G145, "&lt;=18")</f>
        <v>2</v>
      </c>
      <c r="AP145" s="3">
        <f>COUNTIFS($B145:$G145, "&gt;=19",$B145:$G145, "&lt;=27")</f>
        <v>1</v>
      </c>
      <c r="AQ145" s="3">
        <f>COUNTIFS($B145:$G145, "&gt;=28",$B145:$G145, "&lt;=36")</f>
        <v>1</v>
      </c>
      <c r="AR145" s="3">
        <f>COUNTIFS($B145:$G145, "&gt;=37",$B145:$G145, "&lt;=45")</f>
        <v>0</v>
      </c>
      <c r="AS145" s="28" t="e">
        <f>#REF!</f>
        <v>#REF!</v>
      </c>
      <c r="AT145" s="28" t="e">
        <f>#REF!*2</f>
        <v>#REF!</v>
      </c>
      <c r="AU145" s="28" t="e">
        <f>#REF!</f>
        <v>#REF!</v>
      </c>
      <c r="AV145" s="28" t="e">
        <f>#REF!*2</f>
        <v>#REF!</v>
      </c>
      <c r="AW145" s="28" t="e">
        <f>#REF!</f>
        <v>#REF!</v>
      </c>
      <c r="AX145" s="28" t="e">
        <f>#REF!*2</f>
        <v>#REF!</v>
      </c>
      <c r="AY145" s="28" t="e">
        <f>#REF!</f>
        <v>#REF!</v>
      </c>
      <c r="AZ145" s="28" t="e">
        <f>#REF!*2</f>
        <v>#REF!</v>
      </c>
      <c r="BA145" s="28" t="e">
        <f>#REF!</f>
        <v>#REF!</v>
      </c>
      <c r="BB145" s="28" t="e">
        <f>#REF!*2</f>
        <v>#REF!</v>
      </c>
      <c r="BC145" s="28" t="e">
        <f>#REF!</f>
        <v>#REF!</v>
      </c>
      <c r="BD145" s="28" t="e">
        <f>#REF!*2</f>
        <v>#REF!</v>
      </c>
      <c r="BE145" s="9" t="e">
        <f>#REF!-#REF!</f>
        <v>#REF!</v>
      </c>
      <c r="BF145" s="9" t="e">
        <f>#REF!-#REF!</f>
        <v>#REF!</v>
      </c>
      <c r="BG145" s="9" t="e">
        <f>#REF!-#REF!</f>
        <v>#REF!</v>
      </c>
      <c r="BH145" s="9" t="e">
        <f>#REF!-#REF!</f>
        <v>#REF!</v>
      </c>
      <c r="BI145" s="9" t="e">
        <f>#REF!-#REF!</f>
        <v>#REF!</v>
      </c>
      <c r="BJ145" s="33"/>
      <c r="BK145" s="3">
        <f>COUNTIFS(B145:G145, "&gt;=1", B145:G145, "&lt;=9")</f>
        <v>2</v>
      </c>
      <c r="BL145" s="3">
        <f>COUNTIFS(B145:G145, "&gt;=10", B145:G145, "&lt;=19")</f>
        <v>2</v>
      </c>
      <c r="BM145" s="3">
        <f>COUNTIFS(B145:G145, "&gt;=20", B145:G145, "&lt;=29")</f>
        <v>2</v>
      </c>
      <c r="BN145" s="3">
        <f>COUNTIFS(B145:G145, "&gt;=30", B145:G145, "&lt;=39")</f>
        <v>0</v>
      </c>
      <c r="BO145" s="3">
        <f>COUNTIFS(B145:G145, "&gt;=40", B145:G145, "&lt;=45")</f>
        <v>0</v>
      </c>
      <c r="BP145" s="28" t="e">
        <f>#REF!</f>
        <v>#REF!</v>
      </c>
      <c r="BQ145" s="28" t="e">
        <f>#REF!*2</f>
        <v>#REF!</v>
      </c>
      <c r="BR145" s="28" t="e">
        <f>#REF!</f>
        <v>#REF!</v>
      </c>
      <c r="BS145" s="28" t="e">
        <f>#REF!*2</f>
        <v>#REF!</v>
      </c>
      <c r="BT145" s="28" t="e">
        <f>#REF!</f>
        <v>#REF!</v>
      </c>
      <c r="BU145" s="28" t="e">
        <f>#REF!*2</f>
        <v>#REF!</v>
      </c>
      <c r="BV145" s="28" t="e">
        <f>#REF!</f>
        <v>#REF!</v>
      </c>
      <c r="BW145" s="28" t="e">
        <f>#REF!*2</f>
        <v>#REF!</v>
      </c>
      <c r="BX145" s="28" t="e">
        <f>#REF!</f>
        <v>#REF!</v>
      </c>
      <c r="BY145" s="28" t="e">
        <f>#REF!*2</f>
        <v>#REF!</v>
      </c>
      <c r="BZ145" s="28" t="e">
        <f>#REF!</f>
        <v>#REF!</v>
      </c>
      <c r="CA145" s="28" t="e">
        <f>#REF!*2</f>
        <v>#REF!</v>
      </c>
      <c r="CB145" s="9">
        <f>C145-B145</f>
        <v>2</v>
      </c>
      <c r="CC145" s="9">
        <f>D145-C145</f>
        <v>7</v>
      </c>
      <c r="CD145" s="9">
        <f>E145-D145</f>
        <v>4</v>
      </c>
      <c r="CE145" s="9">
        <f>F145-E145</f>
        <v>9</v>
      </c>
      <c r="CF145" s="9">
        <f>G145-F145</f>
        <v>2</v>
      </c>
      <c r="CG145" s="33"/>
      <c r="CH145" s="9">
        <f>C145-B145</f>
        <v>2</v>
      </c>
      <c r="CI145" s="9">
        <f>D145-C145</f>
        <v>7</v>
      </c>
      <c r="CJ145" s="9">
        <f>E145-D145</f>
        <v>4</v>
      </c>
      <c r="CK145" s="9">
        <f>F145-E145</f>
        <v>9</v>
      </c>
      <c r="CL145" s="9">
        <f>G145-F145</f>
        <v>2</v>
      </c>
      <c r="CM145" s="32"/>
      <c r="CN145" s="3">
        <f>IF(OR(CH145="",ISBLANK(CH145),CH145=0),0,IF(MOD(CH145,2)=1,1,2))</f>
        <v>2</v>
      </c>
      <c r="CO145" s="3">
        <f>IF(OR(CI145="",ISBLANK(CI145),CI145=0),0,IF(MOD(CI145,2)=1,1,2))</f>
        <v>1</v>
      </c>
      <c r="CP145" s="3">
        <f>IF(OR(CJ145="",ISBLANK(CJ145),CJ145=0),0,IF(MOD(CJ145,2)=1,1,2))</f>
        <v>2</v>
      </c>
      <c r="CQ145" s="3">
        <f>IF(OR(CK145="",ISBLANK(CK145),CK145=0),0,IF(MOD(CK145,2)=1,1,2))</f>
        <v>1</v>
      </c>
      <c r="CR145" s="3">
        <f>IF(OR(CL145="",ISBLANK(CL145),CL145=0),0,IF(MOD(CL145,2)=1,1,2))</f>
        <v>2</v>
      </c>
      <c r="CS145" s="31"/>
      <c r="CT145" s="3" cm="1">
        <f t="array" ref="CT145">SUMPRODUCT(--(MOD(CH145:CL145,2)=1))</f>
        <v>2</v>
      </c>
      <c r="CU145" s="3">
        <f>5-CT145</f>
        <v>3</v>
      </c>
      <c r="CV145" s="30"/>
      <c r="CW145" s="3" cm="1">
        <f t="array" ref="CW145">SUMPRODUCT(--(MOD(CH145:CL145,10)&gt;=1), --(MOD(CH145:CL145,10)&lt;=5))</f>
        <v>3</v>
      </c>
      <c r="CX145" s="3">
        <f>5-CW145</f>
        <v>2</v>
      </c>
      <c r="CY145" s="30"/>
      <c r="CZ145" s="3" cm="1">
        <f t="array" ref="CZ145">IFERROR(COUNT(_xlfn._xlws.FILTER(CH145:CL145, ISNUMBER(MATCH(CH145:CL145, {2,3,5,7,11,13,17,19,23,29,31,37,41,43}, 0)))), 0)</f>
        <v>3</v>
      </c>
      <c r="DA145" s="3" cm="1">
        <f t="array" ref="DA145">IFERROR(COUNT(_xlfn._xlws.FILTER(CH145:CL145, ISNUMBER(MATCH(CH145:CL145, {1,4,8,10,14,16,20,22,25,26,28,32,34,35,38,40,44}, 0)))), 0)</f>
        <v>1</v>
      </c>
      <c r="DB145" s="3" cm="1">
        <f t="array" ref="DB145">IFERROR(COUNT(_xlfn._xlws.FILTER(CH145:CL145, ISNUMBER(MATCH(CH145:CL145, {6,9,12,15,18,21,24,27,30,33,36,39,42,45}, 0)))), 0)</f>
        <v>1</v>
      </c>
      <c r="DC145" s="29"/>
      <c r="DD145" s="28" t="e">
        <f>#REF!</f>
        <v>#REF!</v>
      </c>
      <c r="DE145" s="28" t="e">
        <f>#REF!*2</f>
        <v>#REF!</v>
      </c>
      <c r="DF145" s="28" t="e">
        <f>#REF!</f>
        <v>#REF!</v>
      </c>
      <c r="DG145" s="28" t="e">
        <f>#REF!*2</f>
        <v>#REF!</v>
      </c>
      <c r="DH145" s="28" t="e">
        <f>#REF!</f>
        <v>#REF!</v>
      </c>
      <c r="DI145" s="28" t="e">
        <f>#REF!*2</f>
        <v>#REF!</v>
      </c>
      <c r="DJ145" s="28" t="e">
        <f>#REF!</f>
        <v>#REF!</v>
      </c>
      <c r="DK145" s="28" t="e">
        <f>#REF!*2</f>
        <v>#REF!</v>
      </c>
      <c r="DL145" s="28" t="e">
        <f>#REF!</f>
        <v>#REF!</v>
      </c>
      <c r="DM145" s="28" t="e">
        <f>#REF!*2</f>
        <v>#REF!</v>
      </c>
      <c r="DN145" s="27"/>
      <c r="DO145" s="26" t="str" cm="1">
        <f t="array" ref="DO145">_xlfn.IFS(
   OR(CH145="",ISBLANK(CH145),CH145=0),0,
   ISNUMBER(MATCH(CH145,{2,3,5,7,11,13,17,19,23,29,31,37,41,43},0)),"소",
   AND(ISNUMBER(CH145),MOD(CH145,3)=0),"배",
   AND(ISNUMBER(CH145),CH145&gt;0),"자"
)</f>
        <v>소</v>
      </c>
      <c r="DP145" s="26" t="str" cm="1">
        <f t="array" ref="DP145">_xlfn.IFS(
   OR(CI145="",ISBLANK(CI145),CI145=0),0,
   ISNUMBER(MATCH(CI145,{2,3,5,7,11,13,17,19,23,29,31,37,41,43},0)),"소",
   AND(ISNUMBER(CI145),MOD(CI145,3)=0),"배",
   AND(ISNUMBER(CI145),CI145&gt;0),"자"
)</f>
        <v>소</v>
      </c>
      <c r="DQ145" s="26" t="str" cm="1">
        <f t="array" ref="DQ145">_xlfn.IFS(
   OR(CJ145="",ISBLANK(CJ145),CJ145=0),0,
   ISNUMBER(MATCH(CJ145,{2,3,5,7,11,13,17,19,23,29,31,37,41,43},0)),"소",
   AND(ISNUMBER(CJ145),MOD(CJ145,3)=0),"배",
   AND(ISNUMBER(CJ145),CJ145&gt;0),"자"
)</f>
        <v>자</v>
      </c>
      <c r="DR145" s="26" t="str" cm="1">
        <f t="array" ref="DR145">_xlfn.IFS(
   OR(CK145="",ISBLANK(CK145),CK145=0),0,
   ISNUMBER(MATCH(CK145,{2,3,5,7,11,13,17,19,23,29,31,37,41,43},0)),"소",
   AND(ISNUMBER(CK145),MOD(CK145,3)=0),"배",
   AND(ISNUMBER(CK145),CK145&gt;0),"자"
)</f>
        <v>배</v>
      </c>
      <c r="DS145" s="26" t="str" cm="1">
        <f t="array" ref="DS145">_xlfn.IFS(
   OR(CL145="",ISBLANK(CL145),CL145=0),0,
   ISNUMBER(MATCH(CL145,{2,3,5,7,11,13,17,19,23,29,31,37,41,43},0)),"소",
   AND(ISNUMBER(CL145),MOD(CL145,3)=0),"배",
   AND(ISNUMBER(CL145),CL145&gt;0),"자"
)</f>
        <v>소</v>
      </c>
      <c r="DT145" s="25"/>
    </row>
    <row r="146" spans="2:124" x14ac:dyDescent="0.3">
      <c r="B146" s="3">
        <v>1</v>
      </c>
      <c r="C146" s="3">
        <v>14</v>
      </c>
      <c r="D146" s="3">
        <v>16</v>
      </c>
      <c r="E146" s="3">
        <v>34</v>
      </c>
      <c r="F146" s="3">
        <v>41</v>
      </c>
      <c r="G146" s="3">
        <v>44</v>
      </c>
      <c r="H146" s="32"/>
      <c r="I146" s="3">
        <f>IF(OR(B146="",ISBLANK(B146),B146=0),0,IF(MOD(B146,2)=1,1,2))</f>
        <v>1</v>
      </c>
      <c r="J146" s="3">
        <f>IF(OR(C146="",ISBLANK(C146),C146=0),0,IF(MOD(C146,2)=1,1,2))</f>
        <v>2</v>
      </c>
      <c r="K146" s="3">
        <f>IF(OR(D146="",ISBLANK(D146),D146=0),0,IF(MOD(D146,2)=1,1,2))</f>
        <v>2</v>
      </c>
      <c r="L146" s="3">
        <f>IF(OR(E146="",ISBLANK(E146),E146=0),0,IF(MOD(E146,2)=1,1,2))</f>
        <v>2</v>
      </c>
      <c r="M146" s="3">
        <f>IF(OR(F146="",ISBLANK(F146),F146=0),0,IF(MOD(F146,2)=1,1,2))</f>
        <v>1</v>
      </c>
      <c r="N146" s="3">
        <f>IF(OR(G146="",ISBLANK(G146),G146=0),0,IF(MOD(G146,2)=1,1,2))</f>
        <v>2</v>
      </c>
      <c r="O146" s="32"/>
      <c r="P146" s="3" cm="1">
        <f t="array" ref="P146">SUMPRODUCT(--(MOD(B146:G146,2)=1))</f>
        <v>2</v>
      </c>
      <c r="Q146" s="3">
        <f>6-P146</f>
        <v>4</v>
      </c>
      <c r="R146" s="34"/>
      <c r="S146" s="3">
        <f>COUNTIFS(B146:G146,"&gt;=1",B146:G146,"&lt;=23")</f>
        <v>3</v>
      </c>
      <c r="T146" s="3">
        <f>6-S146</f>
        <v>3</v>
      </c>
      <c r="U146" s="34"/>
      <c r="V146" s="3" cm="1">
        <f t="array" ref="V146">SUMPRODUCT(--(MOD(B146:G146,10)&gt;=1), --(MOD(B146:G146,10)&lt;=5))</f>
        <v>5</v>
      </c>
      <c r="W146" s="3">
        <f>6-V146</f>
        <v>1</v>
      </c>
      <c r="X146" s="34"/>
      <c r="Y146" s="3" cm="1">
        <f t="array" ref="Y146">IFERROR(COUNT(_xlfn._xlws.FILTER(B146:G146, ISNUMBER(MATCH(B146:G146, {2,3,5,7,11,13,17,19,23,29,31,37,41,43}, 0)))), 0)</f>
        <v>1</v>
      </c>
      <c r="Z146" s="3" cm="1">
        <f t="array" ref="Z146">IFERROR(COUNT(_xlfn._xlws.FILTER(B146:G146, ISNUMBER(MATCH(B146:G146, {1,4,8,10,14,16,20,22,25,26,28,32,34,35,38,40,44}, 0)))), 0)</f>
        <v>5</v>
      </c>
      <c r="AA146" s="3" cm="1">
        <f t="array" ref="AA146">IFERROR(COUNT(_xlfn._xlws.FILTER(B146:G146, ISNUMBER(MATCH(B146:G146, {6,9,12,15,18,21,24,27,30,33,36,39,42,45}, 0)))), 0)</f>
        <v>0</v>
      </c>
      <c r="AB146" s="30"/>
      <c r="AC146" s="26" t="str" cm="1">
        <f t="array" ref="AC146">_xlfn.IFS(
   OR(B146="",ISBLANK(B146),B146=0),0,
   ISNUMBER(MATCH(B146,{2,3,5,7,11,13,17,19,23,29,31,37,41,43},0)),"소",
   AND(ISNUMBER(B146),MOD(B146,3)=0),"배",
   AND(ISNUMBER(B146),B146&gt;0),"자"
)</f>
        <v>자</v>
      </c>
      <c r="AD146" s="26" t="str" cm="1">
        <f t="array" ref="AD146">_xlfn.IFS(
   OR(C146="",ISBLANK(C146),C146=0),0,
   ISNUMBER(MATCH(C146,{2,3,5,7,11,13,17,19,23,29,31,37,41,43},0)),"소",
   AND(ISNUMBER(C146),MOD(C146,3)=0),"배",
   AND(ISNUMBER(C146),C146&gt;0),"자"
)</f>
        <v>자</v>
      </c>
      <c r="AE146" s="26" t="str" cm="1">
        <f t="array" ref="AE146">_xlfn.IFS(
   OR(D146="",ISBLANK(D146),D146=0),0,
   ISNUMBER(MATCH(D146,{2,3,5,7,11,13,17,19,23,29,31,37,41,43},0)),"소",
   AND(ISNUMBER(D146),MOD(D146,3)=0),"배",
   AND(ISNUMBER(D146),D146&gt;0),"자"
)</f>
        <v>자</v>
      </c>
      <c r="AF146" s="26" t="str" cm="1">
        <f t="array" ref="AF146">_xlfn.IFS(
   OR(E146="",ISBLANK(E146),E146=0),0,
   ISNUMBER(MATCH(E146,{2,3,5,7,11,13,17,19,23,29,31,37,41,43},0)),"소",
   AND(ISNUMBER(E146),MOD(E146,3)=0),"배",
   AND(ISNUMBER(E146),E146&gt;0),"자"
)</f>
        <v>자</v>
      </c>
      <c r="AG146" s="26" t="str" cm="1">
        <f t="array" ref="AG146">_xlfn.IFS(
   OR(F146="",ISBLANK(F146),F146=0),0,
   ISNUMBER(MATCH(F146,{2,3,5,7,11,13,17,19,23,29,31,37,41,43},0)),"소",
   AND(ISNUMBER(F146),MOD(F146,3)=0),"배",
   AND(ISNUMBER(F146),F146&gt;0),"자"
)</f>
        <v>소</v>
      </c>
      <c r="AH146" s="26" t="str" cm="1">
        <f t="array" ref="AH146">_xlfn.IFS(
   OR(G146="",ISBLANK(G146),G146=0),0,
   ISNUMBER(MATCH(G146,{2,3,5,7,11,13,17,19,23,29,31,37,41,43},0)),"소",
   AND(ISNUMBER(G146),MOD(G146,3)=0),"배",
   AND(ISNUMBER(G146),G146&gt;0),"자"
)</f>
        <v>자</v>
      </c>
      <c r="AI146" s="30"/>
      <c r="AJ146" s="3">
        <f>COUNTIFS(B146:G146,"&gt;=1",B146:G146,"&lt;=14")</f>
        <v>2</v>
      </c>
      <c r="AK146" s="3">
        <f>COUNTIFS(B146:G146,"&gt;=15",B146:G146,"&lt;=31")</f>
        <v>1</v>
      </c>
      <c r="AL146" s="3">
        <f>6-AK146-AJ146</f>
        <v>3</v>
      </c>
      <c r="AM146" s="33"/>
      <c r="AN146" s="3">
        <f>COUNTIFS($B146:$G146, "&gt;=1",$B146:$G146, "&lt;=9")</f>
        <v>1</v>
      </c>
      <c r="AO146" s="3">
        <f>COUNTIFS($B146:$G146, "&gt;=10",$B146:$G146, "&lt;=18")</f>
        <v>2</v>
      </c>
      <c r="AP146" s="3">
        <f>COUNTIFS($B146:$G146, "&gt;=19",$B146:$G146, "&lt;=27")</f>
        <v>0</v>
      </c>
      <c r="AQ146" s="3">
        <f>COUNTIFS($B146:$G146, "&gt;=28",$B146:$G146, "&lt;=36")</f>
        <v>1</v>
      </c>
      <c r="AR146" s="3">
        <f>COUNTIFS($B146:$G146, "&gt;=37",$B146:$G146, "&lt;=45")</f>
        <v>2</v>
      </c>
      <c r="AS146" s="28" t="e">
        <f>#REF!</f>
        <v>#REF!</v>
      </c>
      <c r="AT146" s="28" t="e">
        <f>#REF!*2</f>
        <v>#REF!</v>
      </c>
      <c r="AU146" s="28" t="e">
        <f>#REF!</f>
        <v>#REF!</v>
      </c>
      <c r="AV146" s="28" t="e">
        <f>#REF!*2</f>
        <v>#REF!</v>
      </c>
      <c r="AW146" s="28" t="e">
        <f>#REF!</f>
        <v>#REF!</v>
      </c>
      <c r="AX146" s="28" t="e">
        <f>#REF!*2</f>
        <v>#REF!</v>
      </c>
      <c r="AY146" s="28" t="e">
        <f>#REF!</f>
        <v>#REF!</v>
      </c>
      <c r="AZ146" s="28" t="e">
        <f>#REF!*2</f>
        <v>#REF!</v>
      </c>
      <c r="BA146" s="28" t="e">
        <f>#REF!</f>
        <v>#REF!</v>
      </c>
      <c r="BB146" s="28" t="e">
        <f>#REF!*2</f>
        <v>#REF!</v>
      </c>
      <c r="BC146" s="28" t="e">
        <f>#REF!</f>
        <v>#REF!</v>
      </c>
      <c r="BD146" s="28" t="e">
        <f>#REF!*2</f>
        <v>#REF!</v>
      </c>
      <c r="BE146" s="9" t="e">
        <f>#REF!-#REF!</f>
        <v>#REF!</v>
      </c>
      <c r="BF146" s="9" t="e">
        <f>#REF!-#REF!</f>
        <v>#REF!</v>
      </c>
      <c r="BG146" s="9" t="e">
        <f>#REF!-#REF!</f>
        <v>#REF!</v>
      </c>
      <c r="BH146" s="9" t="e">
        <f>#REF!-#REF!</f>
        <v>#REF!</v>
      </c>
      <c r="BI146" s="9" t="e">
        <f>#REF!-#REF!</f>
        <v>#REF!</v>
      </c>
      <c r="BJ146" s="33"/>
      <c r="BK146" s="3">
        <f>COUNTIFS(B146:G146, "&gt;=1", B146:G146, "&lt;=9")</f>
        <v>1</v>
      </c>
      <c r="BL146" s="3">
        <f>COUNTIFS(B146:G146, "&gt;=10", B146:G146, "&lt;=19")</f>
        <v>2</v>
      </c>
      <c r="BM146" s="3">
        <f>COUNTIFS(B146:G146, "&gt;=20", B146:G146, "&lt;=29")</f>
        <v>0</v>
      </c>
      <c r="BN146" s="3">
        <f>COUNTIFS(B146:G146, "&gt;=30", B146:G146, "&lt;=39")</f>
        <v>1</v>
      </c>
      <c r="BO146" s="3">
        <f>COUNTIFS(B146:G146, "&gt;=40", B146:G146, "&lt;=45")</f>
        <v>2</v>
      </c>
      <c r="BP146" s="28" t="e">
        <f>#REF!</f>
        <v>#REF!</v>
      </c>
      <c r="BQ146" s="28" t="e">
        <f>#REF!*2</f>
        <v>#REF!</v>
      </c>
      <c r="BR146" s="28" t="e">
        <f>#REF!</f>
        <v>#REF!</v>
      </c>
      <c r="BS146" s="28" t="e">
        <f>#REF!*2</f>
        <v>#REF!</v>
      </c>
      <c r="BT146" s="28" t="e">
        <f>#REF!</f>
        <v>#REF!</v>
      </c>
      <c r="BU146" s="28" t="e">
        <f>#REF!*2</f>
        <v>#REF!</v>
      </c>
      <c r="BV146" s="28" t="e">
        <f>#REF!</f>
        <v>#REF!</v>
      </c>
      <c r="BW146" s="28" t="e">
        <f>#REF!*2</f>
        <v>#REF!</v>
      </c>
      <c r="BX146" s="28" t="e">
        <f>#REF!</f>
        <v>#REF!</v>
      </c>
      <c r="BY146" s="28" t="e">
        <f>#REF!*2</f>
        <v>#REF!</v>
      </c>
      <c r="BZ146" s="28" t="e">
        <f>#REF!</f>
        <v>#REF!</v>
      </c>
      <c r="CA146" s="28" t="e">
        <f>#REF!*2</f>
        <v>#REF!</v>
      </c>
      <c r="CB146" s="9">
        <f>C146-B146</f>
        <v>13</v>
      </c>
      <c r="CC146" s="9">
        <f>D146-C146</f>
        <v>2</v>
      </c>
      <c r="CD146" s="9">
        <f>E146-D146</f>
        <v>18</v>
      </c>
      <c r="CE146" s="9">
        <f>F146-E146</f>
        <v>7</v>
      </c>
      <c r="CF146" s="9">
        <f>G146-F146</f>
        <v>3</v>
      </c>
      <c r="CG146" s="33"/>
      <c r="CH146" s="9">
        <f>C146-B146</f>
        <v>13</v>
      </c>
      <c r="CI146" s="9">
        <f>D146-C146</f>
        <v>2</v>
      </c>
      <c r="CJ146" s="9">
        <f>E146-D146</f>
        <v>18</v>
      </c>
      <c r="CK146" s="9">
        <f>F146-E146</f>
        <v>7</v>
      </c>
      <c r="CL146" s="9">
        <f>G146-F146</f>
        <v>3</v>
      </c>
      <c r="CM146" s="32"/>
      <c r="CN146" s="3">
        <f>IF(OR(CH146="",ISBLANK(CH146),CH146=0),0,IF(MOD(CH146,2)=1,1,2))</f>
        <v>1</v>
      </c>
      <c r="CO146" s="3">
        <f>IF(OR(CI146="",ISBLANK(CI146),CI146=0),0,IF(MOD(CI146,2)=1,1,2))</f>
        <v>2</v>
      </c>
      <c r="CP146" s="3">
        <f>IF(OR(CJ146="",ISBLANK(CJ146),CJ146=0),0,IF(MOD(CJ146,2)=1,1,2))</f>
        <v>2</v>
      </c>
      <c r="CQ146" s="3">
        <f>IF(OR(CK146="",ISBLANK(CK146),CK146=0),0,IF(MOD(CK146,2)=1,1,2))</f>
        <v>1</v>
      </c>
      <c r="CR146" s="3">
        <f>IF(OR(CL146="",ISBLANK(CL146),CL146=0),0,IF(MOD(CL146,2)=1,1,2))</f>
        <v>1</v>
      </c>
      <c r="CS146" s="31"/>
      <c r="CT146" s="3" cm="1">
        <f t="array" ref="CT146">SUMPRODUCT(--(MOD(CH146:CL146,2)=1))</f>
        <v>3</v>
      </c>
      <c r="CU146" s="3">
        <f>5-CT146</f>
        <v>2</v>
      </c>
      <c r="CV146" s="30"/>
      <c r="CW146" s="3" cm="1">
        <f t="array" ref="CW146">SUMPRODUCT(--(MOD(CH146:CL146,10)&gt;=1), --(MOD(CH146:CL146,10)&lt;=5))</f>
        <v>3</v>
      </c>
      <c r="CX146" s="3">
        <f>5-CW146</f>
        <v>2</v>
      </c>
      <c r="CY146" s="30"/>
      <c r="CZ146" s="3" cm="1">
        <f t="array" ref="CZ146">IFERROR(COUNT(_xlfn._xlws.FILTER(CH146:CL146, ISNUMBER(MATCH(CH146:CL146, {2,3,5,7,11,13,17,19,23,29,31,37,41,43}, 0)))), 0)</f>
        <v>4</v>
      </c>
      <c r="DA146" s="3" cm="1">
        <f t="array" ref="DA146">IFERROR(COUNT(_xlfn._xlws.FILTER(CH146:CL146, ISNUMBER(MATCH(CH146:CL146, {1,4,8,10,14,16,20,22,25,26,28,32,34,35,38,40,44}, 0)))), 0)</f>
        <v>0</v>
      </c>
      <c r="DB146" s="3" cm="1">
        <f t="array" ref="DB146">IFERROR(COUNT(_xlfn._xlws.FILTER(CH146:CL146, ISNUMBER(MATCH(CH146:CL146, {6,9,12,15,18,21,24,27,30,33,36,39,42,45}, 0)))), 0)</f>
        <v>1</v>
      </c>
      <c r="DC146" s="29"/>
      <c r="DD146" s="28" t="e">
        <f>#REF!</f>
        <v>#REF!</v>
      </c>
      <c r="DE146" s="28" t="e">
        <f>#REF!*2</f>
        <v>#REF!</v>
      </c>
      <c r="DF146" s="28" t="e">
        <f>#REF!</f>
        <v>#REF!</v>
      </c>
      <c r="DG146" s="28" t="e">
        <f>#REF!*2</f>
        <v>#REF!</v>
      </c>
      <c r="DH146" s="28" t="e">
        <f>#REF!</f>
        <v>#REF!</v>
      </c>
      <c r="DI146" s="28" t="e">
        <f>#REF!*2</f>
        <v>#REF!</v>
      </c>
      <c r="DJ146" s="28" t="e">
        <f>#REF!</f>
        <v>#REF!</v>
      </c>
      <c r="DK146" s="28" t="e">
        <f>#REF!*2</f>
        <v>#REF!</v>
      </c>
      <c r="DL146" s="28" t="e">
        <f>#REF!</f>
        <v>#REF!</v>
      </c>
      <c r="DM146" s="28" t="e">
        <f>#REF!*2</f>
        <v>#REF!</v>
      </c>
      <c r="DN146" s="27"/>
      <c r="DO146" s="26" t="str" cm="1">
        <f t="array" ref="DO146">_xlfn.IFS(
   OR(CH146="",ISBLANK(CH146),CH146=0),0,
   ISNUMBER(MATCH(CH146,{2,3,5,7,11,13,17,19,23,29,31,37,41,43},0)),"소",
   AND(ISNUMBER(CH146),MOD(CH146,3)=0),"배",
   AND(ISNUMBER(CH146),CH146&gt;0),"자"
)</f>
        <v>소</v>
      </c>
      <c r="DP146" s="26" t="str" cm="1">
        <f t="array" ref="DP146">_xlfn.IFS(
   OR(CI146="",ISBLANK(CI146),CI146=0),0,
   ISNUMBER(MATCH(CI146,{2,3,5,7,11,13,17,19,23,29,31,37,41,43},0)),"소",
   AND(ISNUMBER(CI146),MOD(CI146,3)=0),"배",
   AND(ISNUMBER(CI146),CI146&gt;0),"자"
)</f>
        <v>소</v>
      </c>
      <c r="DQ146" s="26" t="str" cm="1">
        <f t="array" ref="DQ146">_xlfn.IFS(
   OR(CJ146="",ISBLANK(CJ146),CJ146=0),0,
   ISNUMBER(MATCH(CJ146,{2,3,5,7,11,13,17,19,23,29,31,37,41,43},0)),"소",
   AND(ISNUMBER(CJ146),MOD(CJ146,3)=0),"배",
   AND(ISNUMBER(CJ146),CJ146&gt;0),"자"
)</f>
        <v>배</v>
      </c>
      <c r="DR146" s="26" t="str" cm="1">
        <f t="array" ref="DR146">_xlfn.IFS(
   OR(CK146="",ISBLANK(CK146),CK146=0),0,
   ISNUMBER(MATCH(CK146,{2,3,5,7,11,13,17,19,23,29,31,37,41,43},0)),"소",
   AND(ISNUMBER(CK146),MOD(CK146,3)=0),"배",
   AND(ISNUMBER(CK146),CK146&gt;0),"자"
)</f>
        <v>소</v>
      </c>
      <c r="DS146" s="26" t="str" cm="1">
        <f t="array" ref="DS146">_xlfn.IFS(
   OR(CL146="",ISBLANK(CL146),CL146=0),0,
   ISNUMBER(MATCH(CL146,{2,3,5,7,11,13,17,19,23,29,31,37,41,43},0)),"소",
   AND(ISNUMBER(CL146),MOD(CL146,3)=0),"배",
   AND(ISNUMBER(CL146),CL146&gt;0),"자"
)</f>
        <v>소</v>
      </c>
      <c r="DT146" s="25"/>
    </row>
    <row r="147" spans="2:124" x14ac:dyDescent="0.3">
      <c r="B147" s="3">
        <v>24</v>
      </c>
      <c r="C147" s="3">
        <v>29</v>
      </c>
      <c r="D147" s="3">
        <v>30</v>
      </c>
      <c r="E147" s="3">
        <v>31</v>
      </c>
      <c r="F147" s="3">
        <v>35</v>
      </c>
      <c r="G147" s="3">
        <v>44</v>
      </c>
      <c r="H147" s="32"/>
      <c r="I147" s="3">
        <f>IF(OR(B147="",ISBLANK(B147),B147=0),0,IF(MOD(B147,2)=1,1,2))</f>
        <v>2</v>
      </c>
      <c r="J147" s="3">
        <f>IF(OR(C147="",ISBLANK(C147),C147=0),0,IF(MOD(C147,2)=1,1,2))</f>
        <v>1</v>
      </c>
      <c r="K147" s="3">
        <f>IF(OR(D147="",ISBLANK(D147),D147=0),0,IF(MOD(D147,2)=1,1,2))</f>
        <v>2</v>
      </c>
      <c r="L147" s="3">
        <f>IF(OR(E147="",ISBLANK(E147),E147=0),0,IF(MOD(E147,2)=1,1,2))</f>
        <v>1</v>
      </c>
      <c r="M147" s="3">
        <f>IF(OR(F147="",ISBLANK(F147),F147=0),0,IF(MOD(F147,2)=1,1,2))</f>
        <v>1</v>
      </c>
      <c r="N147" s="3">
        <f>IF(OR(G147="",ISBLANK(G147),G147=0),0,IF(MOD(G147,2)=1,1,2))</f>
        <v>2</v>
      </c>
      <c r="O147" s="32"/>
      <c r="P147" s="3" cm="1">
        <f t="array" ref="P147">SUMPRODUCT(--(MOD(B147:G147,2)=1))</f>
        <v>3</v>
      </c>
      <c r="Q147" s="3">
        <f>6-P147</f>
        <v>3</v>
      </c>
      <c r="R147" s="34"/>
      <c r="S147" s="3">
        <f>COUNTIFS(B147:G147,"&gt;=1",B147:G147,"&lt;=23")</f>
        <v>0</v>
      </c>
      <c r="T147" s="3">
        <f>6-S147</f>
        <v>6</v>
      </c>
      <c r="U147" s="34"/>
      <c r="V147" s="3" cm="1">
        <f t="array" ref="V147">SUMPRODUCT(--(MOD(B147:G147,10)&gt;=1), --(MOD(B147:G147,10)&lt;=5))</f>
        <v>4</v>
      </c>
      <c r="W147" s="3">
        <f>6-V147</f>
        <v>2</v>
      </c>
      <c r="X147" s="34"/>
      <c r="Y147" s="3" cm="1">
        <f t="array" ref="Y147">IFERROR(COUNT(_xlfn._xlws.FILTER(B147:G147, ISNUMBER(MATCH(B147:G147, {2,3,5,7,11,13,17,19,23,29,31,37,41,43}, 0)))), 0)</f>
        <v>2</v>
      </c>
      <c r="Z147" s="3" cm="1">
        <f t="array" ref="Z147">IFERROR(COUNT(_xlfn._xlws.FILTER(B147:G147, ISNUMBER(MATCH(B147:G147, {1,4,8,10,14,16,20,22,25,26,28,32,34,35,38,40,44}, 0)))), 0)</f>
        <v>2</v>
      </c>
      <c r="AA147" s="3" cm="1">
        <f t="array" ref="AA147">IFERROR(COUNT(_xlfn._xlws.FILTER(B147:G147, ISNUMBER(MATCH(B147:G147, {6,9,12,15,18,21,24,27,30,33,36,39,42,45}, 0)))), 0)</f>
        <v>2</v>
      </c>
      <c r="AB147" s="30"/>
      <c r="AC147" s="26" t="str" cm="1">
        <f t="array" ref="AC147">_xlfn.IFS(
   OR(B147="",ISBLANK(B147),B147=0),0,
   ISNUMBER(MATCH(B147,{2,3,5,7,11,13,17,19,23,29,31,37,41,43},0)),"소",
   AND(ISNUMBER(B147),MOD(B147,3)=0),"배",
   AND(ISNUMBER(B147),B147&gt;0),"자"
)</f>
        <v>배</v>
      </c>
      <c r="AD147" s="26" t="str" cm="1">
        <f t="array" ref="AD147">_xlfn.IFS(
   OR(C147="",ISBLANK(C147),C147=0),0,
   ISNUMBER(MATCH(C147,{2,3,5,7,11,13,17,19,23,29,31,37,41,43},0)),"소",
   AND(ISNUMBER(C147),MOD(C147,3)=0),"배",
   AND(ISNUMBER(C147),C147&gt;0),"자"
)</f>
        <v>소</v>
      </c>
      <c r="AE147" s="26" t="str" cm="1">
        <f t="array" ref="AE147">_xlfn.IFS(
   OR(D147="",ISBLANK(D147),D147=0),0,
   ISNUMBER(MATCH(D147,{2,3,5,7,11,13,17,19,23,29,31,37,41,43},0)),"소",
   AND(ISNUMBER(D147),MOD(D147,3)=0),"배",
   AND(ISNUMBER(D147),D147&gt;0),"자"
)</f>
        <v>배</v>
      </c>
      <c r="AF147" s="26" t="str" cm="1">
        <f t="array" ref="AF147">_xlfn.IFS(
   OR(E147="",ISBLANK(E147),E147=0),0,
   ISNUMBER(MATCH(E147,{2,3,5,7,11,13,17,19,23,29,31,37,41,43},0)),"소",
   AND(ISNUMBER(E147),MOD(E147,3)=0),"배",
   AND(ISNUMBER(E147),E147&gt;0),"자"
)</f>
        <v>소</v>
      </c>
      <c r="AG147" s="26" t="str" cm="1">
        <f t="array" ref="AG147">_xlfn.IFS(
   OR(F147="",ISBLANK(F147),F147=0),0,
   ISNUMBER(MATCH(F147,{2,3,5,7,11,13,17,19,23,29,31,37,41,43},0)),"소",
   AND(ISNUMBER(F147),MOD(F147,3)=0),"배",
   AND(ISNUMBER(F147),F147&gt;0),"자"
)</f>
        <v>자</v>
      </c>
      <c r="AH147" s="26" t="str" cm="1">
        <f t="array" ref="AH147">_xlfn.IFS(
   OR(G147="",ISBLANK(G147),G147=0),0,
   ISNUMBER(MATCH(G147,{2,3,5,7,11,13,17,19,23,29,31,37,41,43},0)),"소",
   AND(ISNUMBER(G147),MOD(G147,3)=0),"배",
   AND(ISNUMBER(G147),G147&gt;0),"자"
)</f>
        <v>자</v>
      </c>
      <c r="AI147" s="30"/>
      <c r="AJ147" s="3">
        <f>COUNTIFS(B147:G147,"&gt;=1",B147:G147,"&lt;=14")</f>
        <v>0</v>
      </c>
      <c r="AK147" s="3">
        <f>COUNTIFS(B147:G147,"&gt;=15",B147:G147,"&lt;=31")</f>
        <v>4</v>
      </c>
      <c r="AL147" s="3">
        <f>6-AK147-AJ147</f>
        <v>2</v>
      </c>
      <c r="AM147" s="33"/>
      <c r="AN147" s="3">
        <f>COUNTIFS($B147:$G147, "&gt;=1",$B147:$G147, "&lt;=9")</f>
        <v>0</v>
      </c>
      <c r="AO147" s="3">
        <f>COUNTIFS($B147:$G147, "&gt;=10",$B147:$G147, "&lt;=18")</f>
        <v>0</v>
      </c>
      <c r="AP147" s="3">
        <f>COUNTIFS($B147:$G147, "&gt;=19",$B147:$G147, "&lt;=27")</f>
        <v>1</v>
      </c>
      <c r="AQ147" s="3">
        <f>COUNTIFS($B147:$G147, "&gt;=28",$B147:$G147, "&lt;=36")</f>
        <v>4</v>
      </c>
      <c r="AR147" s="3">
        <f>COUNTIFS($B147:$G147, "&gt;=37",$B147:$G147, "&lt;=45")</f>
        <v>1</v>
      </c>
      <c r="AS147" s="28" t="e">
        <f>#REF!</f>
        <v>#REF!</v>
      </c>
      <c r="AT147" s="28" t="e">
        <f>#REF!*2</f>
        <v>#REF!</v>
      </c>
      <c r="AU147" s="28" t="e">
        <f>#REF!</f>
        <v>#REF!</v>
      </c>
      <c r="AV147" s="28" t="e">
        <f>#REF!*2</f>
        <v>#REF!</v>
      </c>
      <c r="AW147" s="28" t="e">
        <f>#REF!</f>
        <v>#REF!</v>
      </c>
      <c r="AX147" s="28" t="e">
        <f>#REF!*2</f>
        <v>#REF!</v>
      </c>
      <c r="AY147" s="28" t="e">
        <f>#REF!</f>
        <v>#REF!</v>
      </c>
      <c r="AZ147" s="28" t="e">
        <f>#REF!*2</f>
        <v>#REF!</v>
      </c>
      <c r="BA147" s="28" t="e">
        <f>#REF!</f>
        <v>#REF!</v>
      </c>
      <c r="BB147" s="28" t="e">
        <f>#REF!*2</f>
        <v>#REF!</v>
      </c>
      <c r="BC147" s="28" t="e">
        <f>#REF!</f>
        <v>#REF!</v>
      </c>
      <c r="BD147" s="28" t="e">
        <f>#REF!*2</f>
        <v>#REF!</v>
      </c>
      <c r="BE147" s="9" t="e">
        <f>#REF!-#REF!</f>
        <v>#REF!</v>
      </c>
      <c r="BF147" s="9" t="e">
        <f>#REF!-#REF!</f>
        <v>#REF!</v>
      </c>
      <c r="BG147" s="9" t="e">
        <f>#REF!-#REF!</f>
        <v>#REF!</v>
      </c>
      <c r="BH147" s="9" t="e">
        <f>#REF!-#REF!</f>
        <v>#REF!</v>
      </c>
      <c r="BI147" s="9" t="e">
        <f>#REF!-#REF!</f>
        <v>#REF!</v>
      </c>
      <c r="BJ147" s="33"/>
      <c r="BK147" s="3">
        <f>COUNTIFS(B147:G147, "&gt;=1", B147:G147, "&lt;=9")</f>
        <v>0</v>
      </c>
      <c r="BL147" s="3">
        <f>COUNTIFS(B147:G147, "&gt;=10", B147:G147, "&lt;=19")</f>
        <v>0</v>
      </c>
      <c r="BM147" s="3">
        <f>COUNTIFS(B147:G147, "&gt;=20", B147:G147, "&lt;=29")</f>
        <v>2</v>
      </c>
      <c r="BN147" s="3">
        <f>COUNTIFS(B147:G147, "&gt;=30", B147:G147, "&lt;=39")</f>
        <v>3</v>
      </c>
      <c r="BO147" s="3">
        <f>COUNTIFS(B147:G147, "&gt;=40", B147:G147, "&lt;=45")</f>
        <v>1</v>
      </c>
      <c r="BP147" s="28" t="e">
        <f>#REF!</f>
        <v>#REF!</v>
      </c>
      <c r="BQ147" s="28" t="e">
        <f>#REF!*2</f>
        <v>#REF!</v>
      </c>
      <c r="BR147" s="28" t="e">
        <f>#REF!</f>
        <v>#REF!</v>
      </c>
      <c r="BS147" s="28" t="e">
        <f>#REF!*2</f>
        <v>#REF!</v>
      </c>
      <c r="BT147" s="28" t="e">
        <f>#REF!</f>
        <v>#REF!</v>
      </c>
      <c r="BU147" s="28" t="e">
        <f>#REF!*2</f>
        <v>#REF!</v>
      </c>
      <c r="BV147" s="28" t="e">
        <f>#REF!</f>
        <v>#REF!</v>
      </c>
      <c r="BW147" s="28" t="e">
        <f>#REF!*2</f>
        <v>#REF!</v>
      </c>
      <c r="BX147" s="28" t="e">
        <f>#REF!</f>
        <v>#REF!</v>
      </c>
      <c r="BY147" s="28" t="e">
        <f>#REF!*2</f>
        <v>#REF!</v>
      </c>
      <c r="BZ147" s="28" t="e">
        <f>#REF!</f>
        <v>#REF!</v>
      </c>
      <c r="CA147" s="28" t="e">
        <f>#REF!*2</f>
        <v>#REF!</v>
      </c>
      <c r="CB147" s="9">
        <f>C147-B147</f>
        <v>5</v>
      </c>
      <c r="CC147" s="9">
        <f>D147-C147</f>
        <v>1</v>
      </c>
      <c r="CD147" s="9">
        <f>E147-D147</f>
        <v>1</v>
      </c>
      <c r="CE147" s="9">
        <f>F147-E147</f>
        <v>4</v>
      </c>
      <c r="CF147" s="9">
        <f>G147-F147</f>
        <v>9</v>
      </c>
      <c r="CG147" s="33"/>
      <c r="CH147" s="9">
        <f>C147-B147</f>
        <v>5</v>
      </c>
      <c r="CI147" s="9">
        <f>D147-C147</f>
        <v>1</v>
      </c>
      <c r="CJ147" s="9">
        <f>E147-D147</f>
        <v>1</v>
      </c>
      <c r="CK147" s="9">
        <f>F147-E147</f>
        <v>4</v>
      </c>
      <c r="CL147" s="9">
        <f>G147-F147</f>
        <v>9</v>
      </c>
      <c r="CM147" s="32"/>
      <c r="CN147" s="3">
        <f>IF(OR(CH147="",ISBLANK(CH147),CH147=0),0,IF(MOD(CH147,2)=1,1,2))</f>
        <v>1</v>
      </c>
      <c r="CO147" s="3">
        <f>IF(OR(CI147="",ISBLANK(CI147),CI147=0),0,IF(MOD(CI147,2)=1,1,2))</f>
        <v>1</v>
      </c>
      <c r="CP147" s="3">
        <f>IF(OR(CJ147="",ISBLANK(CJ147),CJ147=0),0,IF(MOD(CJ147,2)=1,1,2))</f>
        <v>1</v>
      </c>
      <c r="CQ147" s="3">
        <f>IF(OR(CK147="",ISBLANK(CK147),CK147=0),0,IF(MOD(CK147,2)=1,1,2))</f>
        <v>2</v>
      </c>
      <c r="CR147" s="3">
        <f>IF(OR(CL147="",ISBLANK(CL147),CL147=0),0,IF(MOD(CL147,2)=1,1,2))</f>
        <v>1</v>
      </c>
      <c r="CS147" s="31"/>
      <c r="CT147" s="3" cm="1">
        <f t="array" ref="CT147">SUMPRODUCT(--(MOD(CH147:CL147,2)=1))</f>
        <v>4</v>
      </c>
      <c r="CU147" s="3">
        <f>5-CT147</f>
        <v>1</v>
      </c>
      <c r="CV147" s="30"/>
      <c r="CW147" s="3" cm="1">
        <f t="array" ref="CW147">SUMPRODUCT(--(MOD(CH147:CL147,10)&gt;=1), --(MOD(CH147:CL147,10)&lt;=5))</f>
        <v>4</v>
      </c>
      <c r="CX147" s="3">
        <f>5-CW147</f>
        <v>1</v>
      </c>
      <c r="CY147" s="30"/>
      <c r="CZ147" s="3" cm="1">
        <f t="array" ref="CZ147">IFERROR(COUNT(_xlfn._xlws.FILTER(CH147:CL147, ISNUMBER(MATCH(CH147:CL147, {2,3,5,7,11,13,17,19,23,29,31,37,41,43}, 0)))), 0)</f>
        <v>1</v>
      </c>
      <c r="DA147" s="3" cm="1">
        <f t="array" ref="DA147">IFERROR(COUNT(_xlfn._xlws.FILTER(CH147:CL147, ISNUMBER(MATCH(CH147:CL147, {1,4,8,10,14,16,20,22,25,26,28,32,34,35,38,40,44}, 0)))), 0)</f>
        <v>3</v>
      </c>
      <c r="DB147" s="3" cm="1">
        <f t="array" ref="DB147">IFERROR(COUNT(_xlfn._xlws.FILTER(CH147:CL147, ISNUMBER(MATCH(CH147:CL147, {6,9,12,15,18,21,24,27,30,33,36,39,42,45}, 0)))), 0)</f>
        <v>1</v>
      </c>
      <c r="DC147" s="29"/>
      <c r="DD147" s="28" t="e">
        <f>#REF!</f>
        <v>#REF!</v>
      </c>
      <c r="DE147" s="28" t="e">
        <f>#REF!*2</f>
        <v>#REF!</v>
      </c>
      <c r="DF147" s="28" t="e">
        <f>#REF!</f>
        <v>#REF!</v>
      </c>
      <c r="DG147" s="28" t="e">
        <f>#REF!*2</f>
        <v>#REF!</v>
      </c>
      <c r="DH147" s="28" t="e">
        <f>#REF!</f>
        <v>#REF!</v>
      </c>
      <c r="DI147" s="28" t="e">
        <f>#REF!*2</f>
        <v>#REF!</v>
      </c>
      <c r="DJ147" s="28" t="e">
        <f>#REF!</f>
        <v>#REF!</v>
      </c>
      <c r="DK147" s="28" t="e">
        <f>#REF!*2</f>
        <v>#REF!</v>
      </c>
      <c r="DL147" s="28" t="e">
        <f>#REF!</f>
        <v>#REF!</v>
      </c>
      <c r="DM147" s="28" t="e">
        <f>#REF!*2</f>
        <v>#REF!</v>
      </c>
      <c r="DN147" s="27"/>
      <c r="DO147" s="26" t="str" cm="1">
        <f t="array" ref="DO147">_xlfn.IFS(
   OR(CH147="",ISBLANK(CH147),CH147=0),0,
   ISNUMBER(MATCH(CH147,{2,3,5,7,11,13,17,19,23,29,31,37,41,43},0)),"소",
   AND(ISNUMBER(CH147),MOD(CH147,3)=0),"배",
   AND(ISNUMBER(CH147),CH147&gt;0),"자"
)</f>
        <v>소</v>
      </c>
      <c r="DP147" s="26" t="str" cm="1">
        <f t="array" ref="DP147">_xlfn.IFS(
   OR(CI147="",ISBLANK(CI147),CI147=0),0,
   ISNUMBER(MATCH(CI147,{2,3,5,7,11,13,17,19,23,29,31,37,41,43},0)),"소",
   AND(ISNUMBER(CI147),MOD(CI147,3)=0),"배",
   AND(ISNUMBER(CI147),CI147&gt;0),"자"
)</f>
        <v>자</v>
      </c>
      <c r="DQ147" s="26" t="str" cm="1">
        <f t="array" ref="DQ147">_xlfn.IFS(
   OR(CJ147="",ISBLANK(CJ147),CJ147=0),0,
   ISNUMBER(MATCH(CJ147,{2,3,5,7,11,13,17,19,23,29,31,37,41,43},0)),"소",
   AND(ISNUMBER(CJ147),MOD(CJ147,3)=0),"배",
   AND(ISNUMBER(CJ147),CJ147&gt;0),"자"
)</f>
        <v>자</v>
      </c>
      <c r="DR147" s="26" t="str" cm="1">
        <f t="array" ref="DR147">_xlfn.IFS(
   OR(CK147="",ISBLANK(CK147),CK147=0),0,
   ISNUMBER(MATCH(CK147,{2,3,5,7,11,13,17,19,23,29,31,37,41,43},0)),"소",
   AND(ISNUMBER(CK147),MOD(CK147,3)=0),"배",
   AND(ISNUMBER(CK147),CK147&gt;0),"자"
)</f>
        <v>자</v>
      </c>
      <c r="DS147" s="26" t="str" cm="1">
        <f t="array" ref="DS147">_xlfn.IFS(
   OR(CL147="",ISBLANK(CL147),CL147=0),0,
   ISNUMBER(MATCH(CL147,{2,3,5,7,11,13,17,19,23,29,31,37,41,43},0)),"소",
   AND(ISNUMBER(CL147),MOD(CL147,3)=0),"배",
   AND(ISNUMBER(CL147),CL147&gt;0),"자"
)</f>
        <v>배</v>
      </c>
      <c r="DT147" s="25"/>
    </row>
    <row r="148" spans="2:124" x14ac:dyDescent="0.3">
      <c r="B148" s="3">
        <v>12</v>
      </c>
      <c r="C148" s="3">
        <v>13</v>
      </c>
      <c r="D148" s="3">
        <v>29</v>
      </c>
      <c r="E148" s="3">
        <v>34</v>
      </c>
      <c r="F148" s="3">
        <v>37</v>
      </c>
      <c r="G148" s="3">
        <v>42</v>
      </c>
      <c r="H148" s="32"/>
      <c r="I148" s="3">
        <f>IF(OR(B148="",ISBLANK(B148),B148=0),0,IF(MOD(B148,2)=1,1,2))</f>
        <v>2</v>
      </c>
      <c r="J148" s="3">
        <f>IF(OR(C148="",ISBLANK(C148),C148=0),0,IF(MOD(C148,2)=1,1,2))</f>
        <v>1</v>
      </c>
      <c r="K148" s="3">
        <f>IF(OR(D148="",ISBLANK(D148),D148=0),0,IF(MOD(D148,2)=1,1,2))</f>
        <v>1</v>
      </c>
      <c r="L148" s="3">
        <f>IF(OR(E148="",ISBLANK(E148),E148=0),0,IF(MOD(E148,2)=1,1,2))</f>
        <v>2</v>
      </c>
      <c r="M148" s="3">
        <f>IF(OR(F148="",ISBLANK(F148),F148=0),0,IF(MOD(F148,2)=1,1,2))</f>
        <v>1</v>
      </c>
      <c r="N148" s="3">
        <f>IF(OR(G148="",ISBLANK(G148),G148=0),0,IF(MOD(G148,2)=1,1,2))</f>
        <v>2</v>
      </c>
      <c r="O148" s="32"/>
      <c r="P148" s="3" cm="1">
        <f t="array" ref="P148">SUMPRODUCT(--(MOD(B148:G148,2)=1))</f>
        <v>3</v>
      </c>
      <c r="Q148" s="3">
        <f>6-P148</f>
        <v>3</v>
      </c>
      <c r="R148" s="34"/>
      <c r="S148" s="3">
        <f>COUNTIFS(B148:G148,"&gt;=1",B148:G148,"&lt;=23")</f>
        <v>2</v>
      </c>
      <c r="T148" s="3">
        <f>6-S148</f>
        <v>4</v>
      </c>
      <c r="U148" s="34"/>
      <c r="V148" s="3" cm="1">
        <f t="array" ref="V148">SUMPRODUCT(--(MOD(B148:G148,10)&gt;=1), --(MOD(B148:G148,10)&lt;=5))</f>
        <v>4</v>
      </c>
      <c r="W148" s="3">
        <f>6-V148</f>
        <v>2</v>
      </c>
      <c r="X148" s="34"/>
      <c r="Y148" s="3" cm="1">
        <f t="array" ref="Y148">IFERROR(COUNT(_xlfn._xlws.FILTER(B148:G148, ISNUMBER(MATCH(B148:G148, {2,3,5,7,11,13,17,19,23,29,31,37,41,43}, 0)))), 0)</f>
        <v>3</v>
      </c>
      <c r="Z148" s="3" cm="1">
        <f t="array" ref="Z148">IFERROR(COUNT(_xlfn._xlws.FILTER(B148:G148, ISNUMBER(MATCH(B148:G148, {1,4,8,10,14,16,20,22,25,26,28,32,34,35,38,40,44}, 0)))), 0)</f>
        <v>1</v>
      </c>
      <c r="AA148" s="3" cm="1">
        <f t="array" ref="AA148">IFERROR(COUNT(_xlfn._xlws.FILTER(B148:G148, ISNUMBER(MATCH(B148:G148, {6,9,12,15,18,21,24,27,30,33,36,39,42,45}, 0)))), 0)</f>
        <v>2</v>
      </c>
      <c r="AB148" s="30"/>
      <c r="AC148" s="26" t="str" cm="1">
        <f t="array" ref="AC148">_xlfn.IFS(
   OR(B148="",ISBLANK(B148),B148=0),0,
   ISNUMBER(MATCH(B148,{2,3,5,7,11,13,17,19,23,29,31,37,41,43},0)),"소",
   AND(ISNUMBER(B148),MOD(B148,3)=0),"배",
   AND(ISNUMBER(B148),B148&gt;0),"자"
)</f>
        <v>배</v>
      </c>
      <c r="AD148" s="26" t="str" cm="1">
        <f t="array" ref="AD148">_xlfn.IFS(
   OR(C148="",ISBLANK(C148),C148=0),0,
   ISNUMBER(MATCH(C148,{2,3,5,7,11,13,17,19,23,29,31,37,41,43},0)),"소",
   AND(ISNUMBER(C148),MOD(C148,3)=0),"배",
   AND(ISNUMBER(C148),C148&gt;0),"자"
)</f>
        <v>소</v>
      </c>
      <c r="AE148" s="26" t="str" cm="1">
        <f t="array" ref="AE148">_xlfn.IFS(
   OR(D148="",ISBLANK(D148),D148=0),0,
   ISNUMBER(MATCH(D148,{2,3,5,7,11,13,17,19,23,29,31,37,41,43},0)),"소",
   AND(ISNUMBER(D148),MOD(D148,3)=0),"배",
   AND(ISNUMBER(D148),D148&gt;0),"자"
)</f>
        <v>소</v>
      </c>
      <c r="AF148" s="26" t="str" cm="1">
        <f t="array" ref="AF148">_xlfn.IFS(
   OR(E148="",ISBLANK(E148),E148=0),0,
   ISNUMBER(MATCH(E148,{2,3,5,7,11,13,17,19,23,29,31,37,41,43},0)),"소",
   AND(ISNUMBER(E148),MOD(E148,3)=0),"배",
   AND(ISNUMBER(E148),E148&gt;0),"자"
)</f>
        <v>자</v>
      </c>
      <c r="AG148" s="26" t="str" cm="1">
        <f t="array" ref="AG148">_xlfn.IFS(
   OR(F148="",ISBLANK(F148),F148=0),0,
   ISNUMBER(MATCH(F148,{2,3,5,7,11,13,17,19,23,29,31,37,41,43},0)),"소",
   AND(ISNUMBER(F148),MOD(F148,3)=0),"배",
   AND(ISNUMBER(F148),F148&gt;0),"자"
)</f>
        <v>소</v>
      </c>
      <c r="AH148" s="26" t="str" cm="1">
        <f t="array" ref="AH148">_xlfn.IFS(
   OR(G148="",ISBLANK(G148),G148=0),0,
   ISNUMBER(MATCH(G148,{2,3,5,7,11,13,17,19,23,29,31,37,41,43},0)),"소",
   AND(ISNUMBER(G148),MOD(G148,3)=0),"배",
   AND(ISNUMBER(G148),G148&gt;0),"자"
)</f>
        <v>배</v>
      </c>
      <c r="AI148" s="30"/>
      <c r="AJ148" s="3">
        <f>COUNTIFS(B148:G148,"&gt;=1",B148:G148,"&lt;=14")</f>
        <v>2</v>
      </c>
      <c r="AK148" s="3">
        <f>COUNTIFS(B148:G148,"&gt;=15",B148:G148,"&lt;=31")</f>
        <v>1</v>
      </c>
      <c r="AL148" s="3">
        <f>6-AK148-AJ148</f>
        <v>3</v>
      </c>
      <c r="AM148" s="33"/>
      <c r="AN148" s="3">
        <f>COUNTIFS($B148:$G148, "&gt;=1",$B148:$G148, "&lt;=9")</f>
        <v>0</v>
      </c>
      <c r="AO148" s="3">
        <f>COUNTIFS($B148:$G148, "&gt;=10",$B148:$G148, "&lt;=18")</f>
        <v>2</v>
      </c>
      <c r="AP148" s="3">
        <f>COUNTIFS($B148:$G148, "&gt;=19",$B148:$G148, "&lt;=27")</f>
        <v>0</v>
      </c>
      <c r="AQ148" s="3">
        <f>COUNTIFS($B148:$G148, "&gt;=28",$B148:$G148, "&lt;=36")</f>
        <v>2</v>
      </c>
      <c r="AR148" s="3">
        <f>COUNTIFS($B148:$G148, "&gt;=37",$B148:$G148, "&lt;=45")</f>
        <v>2</v>
      </c>
      <c r="AS148" s="28" t="e">
        <f>#REF!</f>
        <v>#REF!</v>
      </c>
      <c r="AT148" s="28" t="e">
        <f>#REF!*2</f>
        <v>#REF!</v>
      </c>
      <c r="AU148" s="28" t="e">
        <f>#REF!</f>
        <v>#REF!</v>
      </c>
      <c r="AV148" s="28" t="e">
        <f>#REF!*2</f>
        <v>#REF!</v>
      </c>
      <c r="AW148" s="28" t="e">
        <f>#REF!</f>
        <v>#REF!</v>
      </c>
      <c r="AX148" s="28" t="e">
        <f>#REF!*2</f>
        <v>#REF!</v>
      </c>
      <c r="AY148" s="28" t="e">
        <f>#REF!</f>
        <v>#REF!</v>
      </c>
      <c r="AZ148" s="28" t="e">
        <f>#REF!*2</f>
        <v>#REF!</v>
      </c>
      <c r="BA148" s="28" t="e">
        <f>#REF!</f>
        <v>#REF!</v>
      </c>
      <c r="BB148" s="28" t="e">
        <f>#REF!*2</f>
        <v>#REF!</v>
      </c>
      <c r="BC148" s="28" t="e">
        <f>#REF!</f>
        <v>#REF!</v>
      </c>
      <c r="BD148" s="28" t="e">
        <f>#REF!*2</f>
        <v>#REF!</v>
      </c>
      <c r="BE148" s="9" t="e">
        <f>#REF!-#REF!</f>
        <v>#REF!</v>
      </c>
      <c r="BF148" s="9" t="e">
        <f>#REF!-#REF!</f>
        <v>#REF!</v>
      </c>
      <c r="BG148" s="9" t="e">
        <f>#REF!-#REF!</f>
        <v>#REF!</v>
      </c>
      <c r="BH148" s="9" t="e">
        <f>#REF!-#REF!</f>
        <v>#REF!</v>
      </c>
      <c r="BI148" s="9" t="e">
        <f>#REF!-#REF!</f>
        <v>#REF!</v>
      </c>
      <c r="BJ148" s="33"/>
      <c r="BK148" s="3">
        <f>COUNTIFS(B148:G148, "&gt;=1", B148:G148, "&lt;=9")</f>
        <v>0</v>
      </c>
      <c r="BL148" s="3">
        <f>COUNTIFS(B148:G148, "&gt;=10", B148:G148, "&lt;=19")</f>
        <v>2</v>
      </c>
      <c r="BM148" s="3">
        <f>COUNTIFS(B148:G148, "&gt;=20", B148:G148, "&lt;=29")</f>
        <v>1</v>
      </c>
      <c r="BN148" s="3">
        <f>COUNTIFS(B148:G148, "&gt;=30", B148:G148, "&lt;=39")</f>
        <v>2</v>
      </c>
      <c r="BO148" s="3">
        <f>COUNTIFS(B148:G148, "&gt;=40", B148:G148, "&lt;=45")</f>
        <v>1</v>
      </c>
      <c r="BP148" s="28" t="e">
        <f>#REF!</f>
        <v>#REF!</v>
      </c>
      <c r="BQ148" s="28" t="e">
        <f>#REF!*2</f>
        <v>#REF!</v>
      </c>
      <c r="BR148" s="28" t="e">
        <f>#REF!</f>
        <v>#REF!</v>
      </c>
      <c r="BS148" s="28" t="e">
        <f>#REF!*2</f>
        <v>#REF!</v>
      </c>
      <c r="BT148" s="28" t="e">
        <f>#REF!</f>
        <v>#REF!</v>
      </c>
      <c r="BU148" s="28" t="e">
        <f>#REF!*2</f>
        <v>#REF!</v>
      </c>
      <c r="BV148" s="28" t="e">
        <f>#REF!</f>
        <v>#REF!</v>
      </c>
      <c r="BW148" s="28" t="e">
        <f>#REF!*2</f>
        <v>#REF!</v>
      </c>
      <c r="BX148" s="28" t="e">
        <f>#REF!</f>
        <v>#REF!</v>
      </c>
      <c r="BY148" s="28" t="e">
        <f>#REF!*2</f>
        <v>#REF!</v>
      </c>
      <c r="BZ148" s="28" t="e">
        <f>#REF!</f>
        <v>#REF!</v>
      </c>
      <c r="CA148" s="28" t="e">
        <f>#REF!*2</f>
        <v>#REF!</v>
      </c>
      <c r="CB148" s="9">
        <f>C148-B148</f>
        <v>1</v>
      </c>
      <c r="CC148" s="9">
        <f>D148-C148</f>
        <v>16</v>
      </c>
      <c r="CD148" s="9">
        <f>E148-D148</f>
        <v>5</v>
      </c>
      <c r="CE148" s="9">
        <f>F148-E148</f>
        <v>3</v>
      </c>
      <c r="CF148" s="9">
        <f>G148-F148</f>
        <v>5</v>
      </c>
      <c r="CG148" s="33"/>
      <c r="CH148" s="9">
        <f>C148-B148</f>
        <v>1</v>
      </c>
      <c r="CI148" s="9">
        <f>D148-C148</f>
        <v>16</v>
      </c>
      <c r="CJ148" s="9">
        <f>E148-D148</f>
        <v>5</v>
      </c>
      <c r="CK148" s="9">
        <f>F148-E148</f>
        <v>3</v>
      </c>
      <c r="CL148" s="9">
        <f>G148-F148</f>
        <v>5</v>
      </c>
      <c r="CM148" s="32"/>
      <c r="CN148" s="3">
        <f>IF(OR(CH148="",ISBLANK(CH148),CH148=0),0,IF(MOD(CH148,2)=1,1,2))</f>
        <v>1</v>
      </c>
      <c r="CO148" s="3">
        <f>IF(OR(CI148="",ISBLANK(CI148),CI148=0),0,IF(MOD(CI148,2)=1,1,2))</f>
        <v>2</v>
      </c>
      <c r="CP148" s="3">
        <f>IF(OR(CJ148="",ISBLANK(CJ148),CJ148=0),0,IF(MOD(CJ148,2)=1,1,2))</f>
        <v>1</v>
      </c>
      <c r="CQ148" s="3">
        <f>IF(OR(CK148="",ISBLANK(CK148),CK148=0),0,IF(MOD(CK148,2)=1,1,2))</f>
        <v>1</v>
      </c>
      <c r="CR148" s="3">
        <f>IF(OR(CL148="",ISBLANK(CL148),CL148=0),0,IF(MOD(CL148,2)=1,1,2))</f>
        <v>1</v>
      </c>
      <c r="CS148" s="31"/>
      <c r="CT148" s="3" cm="1">
        <f t="array" ref="CT148">SUMPRODUCT(--(MOD(CH148:CL148,2)=1))</f>
        <v>4</v>
      </c>
      <c r="CU148" s="3">
        <f>5-CT148</f>
        <v>1</v>
      </c>
      <c r="CV148" s="30"/>
      <c r="CW148" s="3" cm="1">
        <f t="array" ref="CW148">SUMPRODUCT(--(MOD(CH148:CL148,10)&gt;=1), --(MOD(CH148:CL148,10)&lt;=5))</f>
        <v>4</v>
      </c>
      <c r="CX148" s="3">
        <f>5-CW148</f>
        <v>1</v>
      </c>
      <c r="CY148" s="30"/>
      <c r="CZ148" s="3" cm="1">
        <f t="array" ref="CZ148">IFERROR(COUNT(_xlfn._xlws.FILTER(CH148:CL148, ISNUMBER(MATCH(CH148:CL148, {2,3,5,7,11,13,17,19,23,29,31,37,41,43}, 0)))), 0)</f>
        <v>3</v>
      </c>
      <c r="DA148" s="3" cm="1">
        <f t="array" ref="DA148">IFERROR(COUNT(_xlfn._xlws.FILTER(CH148:CL148, ISNUMBER(MATCH(CH148:CL148, {1,4,8,10,14,16,20,22,25,26,28,32,34,35,38,40,44}, 0)))), 0)</f>
        <v>2</v>
      </c>
      <c r="DB148" s="3" cm="1">
        <f t="array" ref="DB148">IFERROR(COUNT(_xlfn._xlws.FILTER(CH148:CL148, ISNUMBER(MATCH(CH148:CL148, {6,9,12,15,18,21,24,27,30,33,36,39,42,45}, 0)))), 0)</f>
        <v>0</v>
      </c>
      <c r="DC148" s="29"/>
      <c r="DD148" s="28" t="e">
        <f>#REF!</f>
        <v>#REF!</v>
      </c>
      <c r="DE148" s="28" t="e">
        <f>#REF!*2</f>
        <v>#REF!</v>
      </c>
      <c r="DF148" s="28" t="e">
        <f>#REF!</f>
        <v>#REF!</v>
      </c>
      <c r="DG148" s="28" t="e">
        <f>#REF!*2</f>
        <v>#REF!</v>
      </c>
      <c r="DH148" s="28" t="e">
        <f>#REF!</f>
        <v>#REF!</v>
      </c>
      <c r="DI148" s="28" t="e">
        <f>#REF!*2</f>
        <v>#REF!</v>
      </c>
      <c r="DJ148" s="28" t="e">
        <f>#REF!</f>
        <v>#REF!</v>
      </c>
      <c r="DK148" s="28" t="e">
        <f>#REF!*2</f>
        <v>#REF!</v>
      </c>
      <c r="DL148" s="28" t="e">
        <f>#REF!</f>
        <v>#REF!</v>
      </c>
      <c r="DM148" s="28" t="e">
        <f>#REF!*2</f>
        <v>#REF!</v>
      </c>
      <c r="DN148" s="27"/>
      <c r="DO148" s="26" t="str" cm="1">
        <f t="array" ref="DO148">_xlfn.IFS(
   OR(CH148="",ISBLANK(CH148),CH148=0),0,
   ISNUMBER(MATCH(CH148,{2,3,5,7,11,13,17,19,23,29,31,37,41,43},0)),"소",
   AND(ISNUMBER(CH148),MOD(CH148,3)=0),"배",
   AND(ISNUMBER(CH148),CH148&gt;0),"자"
)</f>
        <v>자</v>
      </c>
      <c r="DP148" s="26" t="str" cm="1">
        <f t="array" ref="DP148">_xlfn.IFS(
   OR(CI148="",ISBLANK(CI148),CI148=0),0,
   ISNUMBER(MATCH(CI148,{2,3,5,7,11,13,17,19,23,29,31,37,41,43},0)),"소",
   AND(ISNUMBER(CI148),MOD(CI148,3)=0),"배",
   AND(ISNUMBER(CI148),CI148&gt;0),"자"
)</f>
        <v>자</v>
      </c>
      <c r="DQ148" s="26" t="str" cm="1">
        <f t="array" ref="DQ148">_xlfn.IFS(
   OR(CJ148="",ISBLANK(CJ148),CJ148=0),0,
   ISNUMBER(MATCH(CJ148,{2,3,5,7,11,13,17,19,23,29,31,37,41,43},0)),"소",
   AND(ISNUMBER(CJ148),MOD(CJ148,3)=0),"배",
   AND(ISNUMBER(CJ148),CJ148&gt;0),"자"
)</f>
        <v>소</v>
      </c>
      <c r="DR148" s="26" t="str" cm="1">
        <f t="array" ref="DR148">_xlfn.IFS(
   OR(CK148="",ISBLANK(CK148),CK148=0),0,
   ISNUMBER(MATCH(CK148,{2,3,5,7,11,13,17,19,23,29,31,37,41,43},0)),"소",
   AND(ISNUMBER(CK148),MOD(CK148,3)=0),"배",
   AND(ISNUMBER(CK148),CK148&gt;0),"자"
)</f>
        <v>소</v>
      </c>
      <c r="DS148" s="26" t="str" cm="1">
        <f t="array" ref="DS148">_xlfn.IFS(
   OR(CL148="",ISBLANK(CL148),CL148=0),0,
   ISNUMBER(MATCH(CL148,{2,3,5,7,11,13,17,19,23,29,31,37,41,43},0)),"소",
   AND(ISNUMBER(CL148),MOD(CL148,3)=0),"배",
   AND(ISNUMBER(CL148),CL148&gt;0),"자"
)</f>
        <v>소</v>
      </c>
      <c r="DT148" s="25"/>
    </row>
    <row r="149" spans="2:124" x14ac:dyDescent="0.3">
      <c r="B149" s="3">
        <v>3</v>
      </c>
      <c r="C149" s="3">
        <v>8</v>
      </c>
      <c r="D149" s="3">
        <v>9</v>
      </c>
      <c r="E149" s="3">
        <v>22</v>
      </c>
      <c r="F149" s="3">
        <v>28</v>
      </c>
      <c r="G149" s="3">
        <v>42</v>
      </c>
      <c r="H149" s="32"/>
      <c r="I149" s="3">
        <f>IF(OR(B149="",ISBLANK(B149),B149=0),0,IF(MOD(B149,2)=1,1,2))</f>
        <v>1</v>
      </c>
      <c r="J149" s="3">
        <f>IF(OR(C149="",ISBLANK(C149),C149=0),0,IF(MOD(C149,2)=1,1,2))</f>
        <v>2</v>
      </c>
      <c r="K149" s="3">
        <f>IF(OR(D149="",ISBLANK(D149),D149=0),0,IF(MOD(D149,2)=1,1,2))</f>
        <v>1</v>
      </c>
      <c r="L149" s="3">
        <f>IF(OR(E149="",ISBLANK(E149),E149=0),0,IF(MOD(E149,2)=1,1,2))</f>
        <v>2</v>
      </c>
      <c r="M149" s="3">
        <f>IF(OR(F149="",ISBLANK(F149),F149=0),0,IF(MOD(F149,2)=1,1,2))</f>
        <v>2</v>
      </c>
      <c r="N149" s="3">
        <f>IF(OR(G149="",ISBLANK(G149),G149=0),0,IF(MOD(G149,2)=1,1,2))</f>
        <v>2</v>
      </c>
      <c r="O149" s="32"/>
      <c r="P149" s="3" cm="1">
        <f t="array" ref="P149">SUMPRODUCT(--(MOD(B149:G149,2)=1))</f>
        <v>2</v>
      </c>
      <c r="Q149" s="3">
        <f>6-P149</f>
        <v>4</v>
      </c>
      <c r="R149" s="34"/>
      <c r="S149" s="3">
        <f>COUNTIFS(B149:G149,"&gt;=1",B149:G149,"&lt;=23")</f>
        <v>4</v>
      </c>
      <c r="T149" s="3">
        <f>6-S149</f>
        <v>2</v>
      </c>
      <c r="U149" s="34"/>
      <c r="V149" s="3" cm="1">
        <f t="array" ref="V149">SUMPRODUCT(--(MOD(B149:G149,10)&gt;=1), --(MOD(B149:G149,10)&lt;=5))</f>
        <v>3</v>
      </c>
      <c r="W149" s="3">
        <f>6-V149</f>
        <v>3</v>
      </c>
      <c r="X149" s="34"/>
      <c r="Y149" s="3" cm="1">
        <f t="array" ref="Y149">IFERROR(COUNT(_xlfn._xlws.FILTER(B149:G149, ISNUMBER(MATCH(B149:G149, {2,3,5,7,11,13,17,19,23,29,31,37,41,43}, 0)))), 0)</f>
        <v>1</v>
      </c>
      <c r="Z149" s="3" cm="1">
        <f t="array" ref="Z149">IFERROR(COUNT(_xlfn._xlws.FILTER(B149:G149, ISNUMBER(MATCH(B149:G149, {1,4,8,10,14,16,20,22,25,26,28,32,34,35,38,40,44}, 0)))), 0)</f>
        <v>3</v>
      </c>
      <c r="AA149" s="3" cm="1">
        <f t="array" ref="AA149">IFERROR(COUNT(_xlfn._xlws.FILTER(B149:G149, ISNUMBER(MATCH(B149:G149, {6,9,12,15,18,21,24,27,30,33,36,39,42,45}, 0)))), 0)</f>
        <v>2</v>
      </c>
      <c r="AB149" s="30"/>
      <c r="AC149" s="26" t="str" cm="1">
        <f t="array" ref="AC149">_xlfn.IFS(
   OR(B149="",ISBLANK(B149),B149=0),0,
   ISNUMBER(MATCH(B149,{2,3,5,7,11,13,17,19,23,29,31,37,41,43},0)),"소",
   AND(ISNUMBER(B149),MOD(B149,3)=0),"배",
   AND(ISNUMBER(B149),B149&gt;0),"자"
)</f>
        <v>소</v>
      </c>
      <c r="AD149" s="26" t="str" cm="1">
        <f t="array" ref="AD149">_xlfn.IFS(
   OR(C149="",ISBLANK(C149),C149=0),0,
   ISNUMBER(MATCH(C149,{2,3,5,7,11,13,17,19,23,29,31,37,41,43},0)),"소",
   AND(ISNUMBER(C149),MOD(C149,3)=0),"배",
   AND(ISNUMBER(C149),C149&gt;0),"자"
)</f>
        <v>자</v>
      </c>
      <c r="AE149" s="26" t="str" cm="1">
        <f t="array" ref="AE149">_xlfn.IFS(
   OR(D149="",ISBLANK(D149),D149=0),0,
   ISNUMBER(MATCH(D149,{2,3,5,7,11,13,17,19,23,29,31,37,41,43},0)),"소",
   AND(ISNUMBER(D149),MOD(D149,3)=0),"배",
   AND(ISNUMBER(D149),D149&gt;0),"자"
)</f>
        <v>배</v>
      </c>
      <c r="AF149" s="26" t="str" cm="1">
        <f t="array" ref="AF149">_xlfn.IFS(
   OR(E149="",ISBLANK(E149),E149=0),0,
   ISNUMBER(MATCH(E149,{2,3,5,7,11,13,17,19,23,29,31,37,41,43},0)),"소",
   AND(ISNUMBER(E149),MOD(E149,3)=0),"배",
   AND(ISNUMBER(E149),E149&gt;0),"자"
)</f>
        <v>자</v>
      </c>
      <c r="AG149" s="26" t="str" cm="1">
        <f t="array" ref="AG149">_xlfn.IFS(
   OR(F149="",ISBLANK(F149),F149=0),0,
   ISNUMBER(MATCH(F149,{2,3,5,7,11,13,17,19,23,29,31,37,41,43},0)),"소",
   AND(ISNUMBER(F149),MOD(F149,3)=0),"배",
   AND(ISNUMBER(F149),F149&gt;0),"자"
)</f>
        <v>자</v>
      </c>
      <c r="AH149" s="26" t="str" cm="1">
        <f t="array" ref="AH149">_xlfn.IFS(
   OR(G149="",ISBLANK(G149),G149=0),0,
   ISNUMBER(MATCH(G149,{2,3,5,7,11,13,17,19,23,29,31,37,41,43},0)),"소",
   AND(ISNUMBER(G149),MOD(G149,3)=0),"배",
   AND(ISNUMBER(G149),G149&gt;0),"자"
)</f>
        <v>배</v>
      </c>
      <c r="AI149" s="30"/>
      <c r="AJ149" s="3">
        <f>COUNTIFS(B149:G149,"&gt;=1",B149:G149,"&lt;=14")</f>
        <v>3</v>
      </c>
      <c r="AK149" s="3">
        <f>COUNTIFS(B149:G149,"&gt;=15",B149:G149,"&lt;=31")</f>
        <v>2</v>
      </c>
      <c r="AL149" s="3">
        <f>6-AK149-AJ149</f>
        <v>1</v>
      </c>
      <c r="AM149" s="33"/>
      <c r="AN149" s="3">
        <f>COUNTIFS($B149:$G149, "&gt;=1",$B149:$G149, "&lt;=9")</f>
        <v>3</v>
      </c>
      <c r="AO149" s="3">
        <f>COUNTIFS($B149:$G149, "&gt;=10",$B149:$G149, "&lt;=18")</f>
        <v>0</v>
      </c>
      <c r="AP149" s="3">
        <f>COUNTIFS($B149:$G149, "&gt;=19",$B149:$G149, "&lt;=27")</f>
        <v>1</v>
      </c>
      <c r="AQ149" s="3">
        <f>COUNTIFS($B149:$G149, "&gt;=28",$B149:$G149, "&lt;=36")</f>
        <v>1</v>
      </c>
      <c r="AR149" s="3">
        <f>COUNTIFS($B149:$G149, "&gt;=37",$B149:$G149, "&lt;=45")</f>
        <v>1</v>
      </c>
      <c r="AS149" s="28" t="e">
        <f>#REF!</f>
        <v>#REF!</v>
      </c>
      <c r="AT149" s="28" t="e">
        <f>#REF!*2</f>
        <v>#REF!</v>
      </c>
      <c r="AU149" s="28" t="e">
        <f>#REF!</f>
        <v>#REF!</v>
      </c>
      <c r="AV149" s="28" t="e">
        <f>#REF!*2</f>
        <v>#REF!</v>
      </c>
      <c r="AW149" s="28" t="e">
        <f>#REF!</f>
        <v>#REF!</v>
      </c>
      <c r="AX149" s="28" t="e">
        <f>#REF!*2</f>
        <v>#REF!</v>
      </c>
      <c r="AY149" s="28" t="e">
        <f>#REF!</f>
        <v>#REF!</v>
      </c>
      <c r="AZ149" s="28" t="e">
        <f>#REF!*2</f>
        <v>#REF!</v>
      </c>
      <c r="BA149" s="28" t="e">
        <f>#REF!</f>
        <v>#REF!</v>
      </c>
      <c r="BB149" s="28" t="e">
        <f>#REF!*2</f>
        <v>#REF!</v>
      </c>
      <c r="BC149" s="28" t="e">
        <f>#REF!</f>
        <v>#REF!</v>
      </c>
      <c r="BD149" s="28" t="e">
        <f>#REF!*2</f>
        <v>#REF!</v>
      </c>
      <c r="BE149" s="9" t="e">
        <f>#REF!-#REF!</f>
        <v>#REF!</v>
      </c>
      <c r="BF149" s="9" t="e">
        <f>#REF!-#REF!</f>
        <v>#REF!</v>
      </c>
      <c r="BG149" s="9" t="e">
        <f>#REF!-#REF!</f>
        <v>#REF!</v>
      </c>
      <c r="BH149" s="9" t="e">
        <f>#REF!-#REF!</f>
        <v>#REF!</v>
      </c>
      <c r="BI149" s="9" t="e">
        <f>#REF!-#REF!</f>
        <v>#REF!</v>
      </c>
      <c r="BJ149" s="33"/>
      <c r="BK149" s="3">
        <f>COUNTIFS(B149:G149, "&gt;=1", B149:G149, "&lt;=9")</f>
        <v>3</v>
      </c>
      <c r="BL149" s="3">
        <f>COUNTIFS(B149:G149, "&gt;=10", B149:G149, "&lt;=19")</f>
        <v>0</v>
      </c>
      <c r="BM149" s="3">
        <f>COUNTIFS(B149:G149, "&gt;=20", B149:G149, "&lt;=29")</f>
        <v>2</v>
      </c>
      <c r="BN149" s="3">
        <f>COUNTIFS(B149:G149, "&gt;=30", B149:G149, "&lt;=39")</f>
        <v>0</v>
      </c>
      <c r="BO149" s="3">
        <f>COUNTIFS(B149:G149, "&gt;=40", B149:G149, "&lt;=45")</f>
        <v>1</v>
      </c>
      <c r="BP149" s="28" t="e">
        <f>#REF!</f>
        <v>#REF!</v>
      </c>
      <c r="BQ149" s="28" t="e">
        <f>#REF!*2</f>
        <v>#REF!</v>
      </c>
      <c r="BR149" s="28" t="e">
        <f>#REF!</f>
        <v>#REF!</v>
      </c>
      <c r="BS149" s="28" t="e">
        <f>#REF!*2</f>
        <v>#REF!</v>
      </c>
      <c r="BT149" s="28" t="e">
        <f>#REF!</f>
        <v>#REF!</v>
      </c>
      <c r="BU149" s="28" t="e">
        <f>#REF!*2</f>
        <v>#REF!</v>
      </c>
      <c r="BV149" s="28" t="e">
        <f>#REF!</f>
        <v>#REF!</v>
      </c>
      <c r="BW149" s="28" t="e">
        <f>#REF!*2</f>
        <v>#REF!</v>
      </c>
      <c r="BX149" s="28" t="e">
        <f>#REF!</f>
        <v>#REF!</v>
      </c>
      <c r="BY149" s="28" t="e">
        <f>#REF!*2</f>
        <v>#REF!</v>
      </c>
      <c r="BZ149" s="28" t="e">
        <f>#REF!</f>
        <v>#REF!</v>
      </c>
      <c r="CA149" s="28" t="e">
        <f>#REF!*2</f>
        <v>#REF!</v>
      </c>
      <c r="CB149" s="9">
        <f>C149-B149</f>
        <v>5</v>
      </c>
      <c r="CC149" s="9">
        <f>D149-C149</f>
        <v>1</v>
      </c>
      <c r="CD149" s="9">
        <f>E149-D149</f>
        <v>13</v>
      </c>
      <c r="CE149" s="9">
        <f>F149-E149</f>
        <v>6</v>
      </c>
      <c r="CF149" s="9">
        <f>G149-F149</f>
        <v>14</v>
      </c>
      <c r="CG149" s="33"/>
      <c r="CH149" s="9">
        <f>C149-B149</f>
        <v>5</v>
      </c>
      <c r="CI149" s="9">
        <f>D149-C149</f>
        <v>1</v>
      </c>
      <c r="CJ149" s="9">
        <f>E149-D149</f>
        <v>13</v>
      </c>
      <c r="CK149" s="9">
        <f>F149-E149</f>
        <v>6</v>
      </c>
      <c r="CL149" s="9">
        <f>G149-F149</f>
        <v>14</v>
      </c>
      <c r="CM149" s="32"/>
      <c r="CN149" s="3">
        <f>IF(OR(CH149="",ISBLANK(CH149),CH149=0),0,IF(MOD(CH149,2)=1,1,2))</f>
        <v>1</v>
      </c>
      <c r="CO149" s="3">
        <f>IF(OR(CI149="",ISBLANK(CI149),CI149=0),0,IF(MOD(CI149,2)=1,1,2))</f>
        <v>1</v>
      </c>
      <c r="CP149" s="3">
        <f>IF(OR(CJ149="",ISBLANK(CJ149),CJ149=0),0,IF(MOD(CJ149,2)=1,1,2))</f>
        <v>1</v>
      </c>
      <c r="CQ149" s="3">
        <f>IF(OR(CK149="",ISBLANK(CK149),CK149=0),0,IF(MOD(CK149,2)=1,1,2))</f>
        <v>2</v>
      </c>
      <c r="CR149" s="3">
        <f>IF(OR(CL149="",ISBLANK(CL149),CL149=0),0,IF(MOD(CL149,2)=1,1,2))</f>
        <v>2</v>
      </c>
      <c r="CS149" s="31"/>
      <c r="CT149" s="3" cm="1">
        <f t="array" ref="CT149">SUMPRODUCT(--(MOD(CH149:CL149,2)=1))</f>
        <v>3</v>
      </c>
      <c r="CU149" s="3">
        <f>5-CT149</f>
        <v>2</v>
      </c>
      <c r="CV149" s="30"/>
      <c r="CW149" s="3" cm="1">
        <f t="array" ref="CW149">SUMPRODUCT(--(MOD(CH149:CL149,10)&gt;=1), --(MOD(CH149:CL149,10)&lt;=5))</f>
        <v>4</v>
      </c>
      <c r="CX149" s="3">
        <f>5-CW149</f>
        <v>1</v>
      </c>
      <c r="CY149" s="30"/>
      <c r="CZ149" s="3" cm="1">
        <f t="array" ref="CZ149">IFERROR(COUNT(_xlfn._xlws.FILTER(CH149:CL149, ISNUMBER(MATCH(CH149:CL149, {2,3,5,7,11,13,17,19,23,29,31,37,41,43}, 0)))), 0)</f>
        <v>2</v>
      </c>
      <c r="DA149" s="3" cm="1">
        <f t="array" ref="DA149">IFERROR(COUNT(_xlfn._xlws.FILTER(CH149:CL149, ISNUMBER(MATCH(CH149:CL149, {1,4,8,10,14,16,20,22,25,26,28,32,34,35,38,40,44}, 0)))), 0)</f>
        <v>2</v>
      </c>
      <c r="DB149" s="3" cm="1">
        <f t="array" ref="DB149">IFERROR(COUNT(_xlfn._xlws.FILTER(CH149:CL149, ISNUMBER(MATCH(CH149:CL149, {6,9,12,15,18,21,24,27,30,33,36,39,42,45}, 0)))), 0)</f>
        <v>1</v>
      </c>
      <c r="DC149" s="29"/>
      <c r="DD149" s="28" t="e">
        <f>#REF!</f>
        <v>#REF!</v>
      </c>
      <c r="DE149" s="28" t="e">
        <f>#REF!*2</f>
        <v>#REF!</v>
      </c>
      <c r="DF149" s="28" t="e">
        <f>#REF!</f>
        <v>#REF!</v>
      </c>
      <c r="DG149" s="28" t="e">
        <f>#REF!*2</f>
        <v>#REF!</v>
      </c>
      <c r="DH149" s="28" t="e">
        <f>#REF!</f>
        <v>#REF!</v>
      </c>
      <c r="DI149" s="28" t="e">
        <f>#REF!*2</f>
        <v>#REF!</v>
      </c>
      <c r="DJ149" s="28" t="e">
        <f>#REF!</f>
        <v>#REF!</v>
      </c>
      <c r="DK149" s="28" t="e">
        <f>#REF!*2</f>
        <v>#REF!</v>
      </c>
      <c r="DL149" s="28" t="e">
        <f>#REF!</f>
        <v>#REF!</v>
      </c>
      <c r="DM149" s="28" t="e">
        <f>#REF!*2</f>
        <v>#REF!</v>
      </c>
      <c r="DN149" s="27"/>
      <c r="DO149" s="26" t="str" cm="1">
        <f t="array" ref="DO149">_xlfn.IFS(
   OR(CH149="",ISBLANK(CH149),CH149=0),0,
   ISNUMBER(MATCH(CH149,{2,3,5,7,11,13,17,19,23,29,31,37,41,43},0)),"소",
   AND(ISNUMBER(CH149),MOD(CH149,3)=0),"배",
   AND(ISNUMBER(CH149),CH149&gt;0),"자"
)</f>
        <v>소</v>
      </c>
      <c r="DP149" s="26" t="str" cm="1">
        <f t="array" ref="DP149">_xlfn.IFS(
   OR(CI149="",ISBLANK(CI149),CI149=0),0,
   ISNUMBER(MATCH(CI149,{2,3,5,7,11,13,17,19,23,29,31,37,41,43},0)),"소",
   AND(ISNUMBER(CI149),MOD(CI149,3)=0),"배",
   AND(ISNUMBER(CI149),CI149&gt;0),"자"
)</f>
        <v>자</v>
      </c>
      <c r="DQ149" s="26" t="str" cm="1">
        <f t="array" ref="DQ149">_xlfn.IFS(
   OR(CJ149="",ISBLANK(CJ149),CJ149=0),0,
   ISNUMBER(MATCH(CJ149,{2,3,5,7,11,13,17,19,23,29,31,37,41,43},0)),"소",
   AND(ISNUMBER(CJ149),MOD(CJ149,3)=0),"배",
   AND(ISNUMBER(CJ149),CJ149&gt;0),"자"
)</f>
        <v>소</v>
      </c>
      <c r="DR149" s="26" t="str" cm="1">
        <f t="array" ref="DR149">_xlfn.IFS(
   OR(CK149="",ISBLANK(CK149),CK149=0),0,
   ISNUMBER(MATCH(CK149,{2,3,5,7,11,13,17,19,23,29,31,37,41,43},0)),"소",
   AND(ISNUMBER(CK149),MOD(CK149,3)=0),"배",
   AND(ISNUMBER(CK149),CK149&gt;0),"자"
)</f>
        <v>배</v>
      </c>
      <c r="DS149" s="26" t="str" cm="1">
        <f t="array" ref="DS149">_xlfn.IFS(
   OR(CL149="",ISBLANK(CL149),CL149=0),0,
   ISNUMBER(MATCH(CL149,{2,3,5,7,11,13,17,19,23,29,31,37,41,43},0)),"소",
   AND(ISNUMBER(CL149),MOD(CL149,3)=0),"배",
   AND(ISNUMBER(CL149),CL149&gt;0),"자"
)</f>
        <v>자</v>
      </c>
      <c r="DT149" s="25"/>
    </row>
    <row r="150" spans="2:124" x14ac:dyDescent="0.3"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2"/>
      <c r="I150" s="3">
        <f>IF(OR(B150="",ISBLANK(B150),B150=0),0,IF(MOD(B150,2)=1,1,2))</f>
        <v>0</v>
      </c>
      <c r="J150" s="3">
        <f>IF(OR(C150="",ISBLANK(C150),C150=0),0,IF(MOD(C150,2)=1,1,2))</f>
        <v>0</v>
      </c>
      <c r="K150" s="3">
        <f>IF(OR(D150="",ISBLANK(D150),D150=0),0,IF(MOD(D150,2)=1,1,2))</f>
        <v>0</v>
      </c>
      <c r="L150" s="3">
        <f>IF(OR(E150="",ISBLANK(E150),E150=0),0,IF(MOD(E150,2)=1,1,2))</f>
        <v>0</v>
      </c>
      <c r="M150" s="3">
        <f>IF(OR(F150="",ISBLANK(F150),F150=0),0,IF(MOD(F150,2)=1,1,2))</f>
        <v>0</v>
      </c>
      <c r="N150" s="3">
        <f>IF(OR(G150="",ISBLANK(G150),G150=0),0,IF(MOD(G150,2)=1,1,2))</f>
        <v>0</v>
      </c>
      <c r="O150" s="32"/>
      <c r="P150" s="3" cm="1">
        <f t="array" ref="P150">SUMPRODUCT(--(MOD(B150:G150,2)=1))</f>
        <v>0</v>
      </c>
      <c r="Q150" s="3">
        <f>6-P150</f>
        <v>6</v>
      </c>
      <c r="R150" s="34"/>
      <c r="S150" s="3">
        <f>COUNTIFS(B150:G150,"&gt;=1",B150:G150,"&lt;=23")</f>
        <v>0</v>
      </c>
      <c r="T150" s="3">
        <f>6-S150</f>
        <v>6</v>
      </c>
      <c r="U150" s="34"/>
      <c r="V150" s="3" cm="1">
        <f t="array" ref="V150">SUMPRODUCT(--(MOD(B150:G150,10)&gt;=1), --(MOD(B150:G150,10)&lt;=5))</f>
        <v>0</v>
      </c>
      <c r="W150" s="3">
        <f>6-V150</f>
        <v>6</v>
      </c>
      <c r="X150" s="34"/>
      <c r="Y150" s="3" cm="1">
        <f t="array" ref="Y150">IFERROR(COUNT(_xlfn._xlws.FILTER(B150:G150, ISNUMBER(MATCH(B150:G150, {2,3,5,7,11,13,17,19,23,29,31,37,41,43}, 0)))), 0)</f>
        <v>0</v>
      </c>
      <c r="Z150" s="3" cm="1">
        <f t="array" ref="Z150">IFERROR(COUNT(_xlfn._xlws.FILTER(B150:G150, ISNUMBER(MATCH(B150:G150, {1,4,8,10,14,16,20,22,25,26,28,32,34,35,38,40,44}, 0)))), 0)</f>
        <v>0</v>
      </c>
      <c r="AA150" s="3" cm="1">
        <f t="array" ref="AA150">IFERROR(COUNT(_xlfn._xlws.FILTER(B150:G150, ISNUMBER(MATCH(B150:G150, {6,9,12,15,18,21,24,27,30,33,36,39,42,45}, 0)))), 0)</f>
        <v>0</v>
      </c>
      <c r="AB150" s="30"/>
      <c r="AC150" s="26" cm="1">
        <f t="array" ref="AC150">_xlfn.IFS(
   OR(B150="",ISBLANK(B150),B150=0),0,
   ISNUMBER(MATCH(B150,{2,3,5,7,11,13,17,19,23,29,31,37,41,43},0)),"소",
   AND(ISNUMBER(B150),MOD(B150,3)=0),"배",
   AND(ISNUMBER(B150),B150&gt;0),"자"
)</f>
        <v>0</v>
      </c>
      <c r="AD150" s="26" cm="1">
        <f t="array" ref="AD150">_xlfn.IFS(
   OR(C150="",ISBLANK(C150),C150=0),0,
   ISNUMBER(MATCH(C150,{2,3,5,7,11,13,17,19,23,29,31,37,41,43},0)),"소",
   AND(ISNUMBER(C150),MOD(C150,3)=0),"배",
   AND(ISNUMBER(C150),C150&gt;0),"자"
)</f>
        <v>0</v>
      </c>
      <c r="AE150" s="26" cm="1">
        <f t="array" ref="AE150">_xlfn.IFS(
   OR(D150="",ISBLANK(D150),D150=0),0,
   ISNUMBER(MATCH(D150,{2,3,5,7,11,13,17,19,23,29,31,37,41,43},0)),"소",
   AND(ISNUMBER(D150),MOD(D150,3)=0),"배",
   AND(ISNUMBER(D150),D150&gt;0),"자"
)</f>
        <v>0</v>
      </c>
      <c r="AF150" s="26" cm="1">
        <f t="array" ref="AF150">_xlfn.IFS(
   OR(E150="",ISBLANK(E150),E150=0),0,
   ISNUMBER(MATCH(E150,{2,3,5,7,11,13,17,19,23,29,31,37,41,43},0)),"소",
   AND(ISNUMBER(E150),MOD(E150,3)=0),"배",
   AND(ISNUMBER(E150),E150&gt;0),"자"
)</f>
        <v>0</v>
      </c>
      <c r="AG150" s="26" cm="1">
        <f t="array" ref="AG150">_xlfn.IFS(
   OR(F150="",ISBLANK(F150),F150=0),0,
   ISNUMBER(MATCH(F150,{2,3,5,7,11,13,17,19,23,29,31,37,41,43},0)),"소",
   AND(ISNUMBER(F150),MOD(F150,3)=0),"배",
   AND(ISNUMBER(F150),F150&gt;0),"자"
)</f>
        <v>0</v>
      </c>
      <c r="AH150" s="26" cm="1">
        <f t="array" ref="AH150">_xlfn.IFS(
   OR(G150="",ISBLANK(G150),G150=0),0,
   ISNUMBER(MATCH(G150,{2,3,5,7,11,13,17,19,23,29,31,37,41,43},0)),"소",
   AND(ISNUMBER(G150),MOD(G150,3)=0),"배",
   AND(ISNUMBER(G150),G150&gt;0),"자"
)</f>
        <v>0</v>
      </c>
      <c r="AI150" s="30"/>
      <c r="AJ150" s="3">
        <f>COUNTIFS(B150:G150,"&gt;=1",B150:G150,"&lt;=14")</f>
        <v>0</v>
      </c>
      <c r="AK150" s="3">
        <f>COUNTIFS(B150:G150,"&gt;=15",B150:G150,"&lt;=31")</f>
        <v>0</v>
      </c>
      <c r="AL150" s="3">
        <f>6-AK150-AJ150</f>
        <v>6</v>
      </c>
      <c r="AM150" s="33"/>
      <c r="AN150" s="3">
        <f>COUNTIFS($B150:$G150, "&gt;=1",$B150:$G150, "&lt;=9")</f>
        <v>0</v>
      </c>
      <c r="AO150" s="3">
        <f>COUNTIFS($B150:$G150, "&gt;=10",$B150:$G150, "&lt;=18")</f>
        <v>0</v>
      </c>
      <c r="AP150" s="3">
        <f>COUNTIFS($B150:$G150, "&gt;=19",$B150:$G150, "&lt;=27")</f>
        <v>0</v>
      </c>
      <c r="AQ150" s="3">
        <f>COUNTIFS($B150:$G150, "&gt;=28",$B150:$G150, "&lt;=36")</f>
        <v>0</v>
      </c>
      <c r="AR150" s="3">
        <f>COUNTIFS($B150:$G150, "&gt;=37",$B150:$G150, "&lt;=45")</f>
        <v>0</v>
      </c>
      <c r="AS150" s="28" t="e">
        <f>#REF!</f>
        <v>#REF!</v>
      </c>
      <c r="AT150" s="28" t="e">
        <f>#REF!*2</f>
        <v>#REF!</v>
      </c>
      <c r="AU150" s="28" t="e">
        <f>#REF!</f>
        <v>#REF!</v>
      </c>
      <c r="AV150" s="28" t="e">
        <f>#REF!*2</f>
        <v>#REF!</v>
      </c>
      <c r="AW150" s="28" t="e">
        <f>#REF!</f>
        <v>#REF!</v>
      </c>
      <c r="AX150" s="28" t="e">
        <f>#REF!*2</f>
        <v>#REF!</v>
      </c>
      <c r="AY150" s="28" t="e">
        <f>#REF!</f>
        <v>#REF!</v>
      </c>
      <c r="AZ150" s="28" t="e">
        <f>#REF!*2</f>
        <v>#REF!</v>
      </c>
      <c r="BA150" s="28" t="e">
        <f>#REF!</f>
        <v>#REF!</v>
      </c>
      <c r="BB150" s="28" t="e">
        <f>#REF!*2</f>
        <v>#REF!</v>
      </c>
      <c r="BC150" s="28" t="e">
        <f>#REF!</f>
        <v>#REF!</v>
      </c>
      <c r="BD150" s="28" t="e">
        <f>#REF!*2</f>
        <v>#REF!</v>
      </c>
      <c r="BE150" s="9" t="e">
        <f>#REF!-#REF!</f>
        <v>#REF!</v>
      </c>
      <c r="BF150" s="9" t="e">
        <f>#REF!-#REF!</f>
        <v>#REF!</v>
      </c>
      <c r="BG150" s="9" t="e">
        <f>#REF!-#REF!</f>
        <v>#REF!</v>
      </c>
      <c r="BH150" s="9" t="e">
        <f>#REF!-#REF!</f>
        <v>#REF!</v>
      </c>
      <c r="BI150" s="9" t="e">
        <f>#REF!-#REF!</f>
        <v>#REF!</v>
      </c>
      <c r="BJ150" s="33"/>
      <c r="BK150" s="3">
        <f>COUNTIFS(B150:G150, "&gt;=1", B150:G150, "&lt;=9")</f>
        <v>0</v>
      </c>
      <c r="BL150" s="3">
        <f>COUNTIFS(B150:G150, "&gt;=10", B150:G150, "&lt;=19")</f>
        <v>0</v>
      </c>
      <c r="BM150" s="3">
        <f>COUNTIFS(B150:G150, "&gt;=20", B150:G150, "&lt;=29")</f>
        <v>0</v>
      </c>
      <c r="BN150" s="3">
        <f>COUNTIFS(B150:G150, "&gt;=30", B150:G150, "&lt;=39")</f>
        <v>0</v>
      </c>
      <c r="BO150" s="3">
        <f>COUNTIFS(B150:G150, "&gt;=40", B150:G150, "&lt;=45")</f>
        <v>0</v>
      </c>
      <c r="BP150" s="28" t="e">
        <f>#REF!</f>
        <v>#REF!</v>
      </c>
      <c r="BQ150" s="28" t="e">
        <f>#REF!*2</f>
        <v>#REF!</v>
      </c>
      <c r="BR150" s="28" t="e">
        <f>#REF!</f>
        <v>#REF!</v>
      </c>
      <c r="BS150" s="28" t="e">
        <f>#REF!*2</f>
        <v>#REF!</v>
      </c>
      <c r="BT150" s="28" t="e">
        <f>#REF!</f>
        <v>#REF!</v>
      </c>
      <c r="BU150" s="28" t="e">
        <f>#REF!*2</f>
        <v>#REF!</v>
      </c>
      <c r="BV150" s="28" t="e">
        <f>#REF!</f>
        <v>#REF!</v>
      </c>
      <c r="BW150" s="28" t="e">
        <f>#REF!*2</f>
        <v>#REF!</v>
      </c>
      <c r="BX150" s="28" t="e">
        <f>#REF!</f>
        <v>#REF!</v>
      </c>
      <c r="BY150" s="28" t="e">
        <f>#REF!*2</f>
        <v>#REF!</v>
      </c>
      <c r="BZ150" s="28" t="e">
        <f>#REF!</f>
        <v>#REF!</v>
      </c>
      <c r="CA150" s="28" t="e">
        <f>#REF!*2</f>
        <v>#REF!</v>
      </c>
      <c r="CB150" s="9">
        <f>C150-B150</f>
        <v>0</v>
      </c>
      <c r="CC150" s="9">
        <f>D150-C150</f>
        <v>0</v>
      </c>
      <c r="CD150" s="9">
        <f>E150-D150</f>
        <v>0</v>
      </c>
      <c r="CE150" s="9">
        <f>F150-E150</f>
        <v>0</v>
      </c>
      <c r="CF150" s="9">
        <f>G150-F150</f>
        <v>0</v>
      </c>
      <c r="CG150" s="33"/>
      <c r="CH150" s="9">
        <f>C150-B150</f>
        <v>0</v>
      </c>
      <c r="CI150" s="9">
        <f>D150-C150</f>
        <v>0</v>
      </c>
      <c r="CJ150" s="9">
        <f>E150-D150</f>
        <v>0</v>
      </c>
      <c r="CK150" s="9">
        <f>F150-E150</f>
        <v>0</v>
      </c>
      <c r="CL150" s="9">
        <f>G150-F150</f>
        <v>0</v>
      </c>
      <c r="CM150" s="32"/>
      <c r="CN150" s="3">
        <f>IF(OR(CH150="",ISBLANK(CH150),CH150=0),0,IF(MOD(CH150,2)=1,1,2))</f>
        <v>0</v>
      </c>
      <c r="CO150" s="3">
        <f>IF(OR(CI150="",ISBLANK(CI150),CI150=0),0,IF(MOD(CI150,2)=1,1,2))</f>
        <v>0</v>
      </c>
      <c r="CP150" s="3">
        <f>IF(OR(CJ150="",ISBLANK(CJ150),CJ150=0),0,IF(MOD(CJ150,2)=1,1,2))</f>
        <v>0</v>
      </c>
      <c r="CQ150" s="3">
        <f>IF(OR(CK150="",ISBLANK(CK150),CK150=0),0,IF(MOD(CK150,2)=1,1,2))</f>
        <v>0</v>
      </c>
      <c r="CR150" s="3">
        <f>IF(OR(CL150="",ISBLANK(CL150),CL150=0),0,IF(MOD(CL150,2)=1,1,2))</f>
        <v>0</v>
      </c>
      <c r="CS150" s="31"/>
      <c r="CT150" s="3" cm="1">
        <f t="array" ref="CT150">SUMPRODUCT(--(MOD(CH150:CL150,2)=1))</f>
        <v>0</v>
      </c>
      <c r="CU150" s="3">
        <f>5-CT150</f>
        <v>5</v>
      </c>
      <c r="CV150" s="30"/>
      <c r="CW150" s="3" cm="1">
        <f t="array" ref="CW150">SUMPRODUCT(--(MOD(CH150:CL150,10)&gt;=1), --(MOD(CH150:CL150,10)&lt;=5))</f>
        <v>0</v>
      </c>
      <c r="CX150" s="3">
        <f>5-CW150</f>
        <v>5</v>
      </c>
      <c r="CY150" s="30"/>
      <c r="CZ150" s="3" cm="1">
        <f t="array" ref="CZ150">IFERROR(COUNT(_xlfn._xlws.FILTER(CH150:CL150, ISNUMBER(MATCH(CH150:CL150, {2,3,5,7,11,13,17,19,23,29,31,37,41,43}, 0)))), 0)</f>
        <v>0</v>
      </c>
      <c r="DA150" s="3" cm="1">
        <f t="array" ref="DA150">IFERROR(COUNT(_xlfn._xlws.FILTER(CH150:CL150, ISNUMBER(MATCH(CH150:CL150, {1,4,8,10,14,16,20,22,25,26,28,32,34,35,38,40,44}, 0)))), 0)</f>
        <v>0</v>
      </c>
      <c r="DB150" s="3" cm="1">
        <f t="array" ref="DB150">IFERROR(COUNT(_xlfn._xlws.FILTER(CH150:CL150, ISNUMBER(MATCH(CH150:CL150, {6,9,12,15,18,21,24,27,30,33,36,39,42,45}, 0)))), 0)</f>
        <v>0</v>
      </c>
      <c r="DC150" s="29"/>
      <c r="DD150" s="28" t="e">
        <f>#REF!</f>
        <v>#REF!</v>
      </c>
      <c r="DE150" s="28" t="e">
        <f>#REF!*2</f>
        <v>#REF!</v>
      </c>
      <c r="DF150" s="28" t="e">
        <f>#REF!</f>
        <v>#REF!</v>
      </c>
      <c r="DG150" s="28" t="e">
        <f>#REF!*2</f>
        <v>#REF!</v>
      </c>
      <c r="DH150" s="28" t="e">
        <f>#REF!</f>
        <v>#REF!</v>
      </c>
      <c r="DI150" s="28" t="e">
        <f>#REF!*2</f>
        <v>#REF!</v>
      </c>
      <c r="DJ150" s="28" t="e">
        <f>#REF!</f>
        <v>#REF!</v>
      </c>
      <c r="DK150" s="28" t="e">
        <f>#REF!*2</f>
        <v>#REF!</v>
      </c>
      <c r="DL150" s="28" t="e">
        <f>#REF!</f>
        <v>#REF!</v>
      </c>
      <c r="DM150" s="28" t="e">
        <f>#REF!*2</f>
        <v>#REF!</v>
      </c>
      <c r="DN150" s="27"/>
      <c r="DO150" s="26" cm="1">
        <f t="array" ref="DO150">_xlfn.IFS(
   OR(CH150="",ISBLANK(CH150),CH150=0),0,
   ISNUMBER(MATCH(CH150,{2,3,5,7,11,13,17,19,23,29,31,37,41,43},0)),"소",
   AND(ISNUMBER(CH150),MOD(CH150,3)=0),"배",
   AND(ISNUMBER(CH150),CH150&gt;0),"자"
)</f>
        <v>0</v>
      </c>
      <c r="DP150" s="26" cm="1">
        <f t="array" ref="DP150">_xlfn.IFS(
   OR(CI150="",ISBLANK(CI150),CI150=0),0,
   ISNUMBER(MATCH(CI150,{2,3,5,7,11,13,17,19,23,29,31,37,41,43},0)),"소",
   AND(ISNUMBER(CI150),MOD(CI150,3)=0),"배",
   AND(ISNUMBER(CI150),CI150&gt;0),"자"
)</f>
        <v>0</v>
      </c>
      <c r="DQ150" s="26" cm="1">
        <f t="array" ref="DQ150">_xlfn.IFS(
   OR(CJ150="",ISBLANK(CJ150),CJ150=0),0,
   ISNUMBER(MATCH(CJ150,{2,3,5,7,11,13,17,19,23,29,31,37,41,43},0)),"소",
   AND(ISNUMBER(CJ150),MOD(CJ150,3)=0),"배",
   AND(ISNUMBER(CJ150),CJ150&gt;0),"자"
)</f>
        <v>0</v>
      </c>
      <c r="DR150" s="26" cm="1">
        <f t="array" ref="DR150">_xlfn.IFS(
   OR(CK150="",ISBLANK(CK150),CK150=0),0,
   ISNUMBER(MATCH(CK150,{2,3,5,7,11,13,17,19,23,29,31,37,41,43},0)),"소",
   AND(ISNUMBER(CK150),MOD(CK150,3)=0),"배",
   AND(ISNUMBER(CK150),CK150&gt;0),"자"
)</f>
        <v>0</v>
      </c>
      <c r="DS150" s="26" cm="1">
        <f t="array" ref="DS150">_xlfn.IFS(
   OR(CL150="",ISBLANK(CL150),CL150=0),0,
   ISNUMBER(MATCH(CL150,{2,3,5,7,11,13,17,19,23,29,31,37,41,43},0)),"소",
   AND(ISNUMBER(CL150),MOD(CL150,3)=0),"배",
   AND(ISNUMBER(CL150),CL150&gt;0),"자"
)</f>
        <v>0</v>
      </c>
      <c r="DT150" s="25"/>
    </row>
    <row r="151" spans="2:124" x14ac:dyDescent="0.3"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2"/>
      <c r="I151" s="3">
        <f>IF(OR(B151="",ISBLANK(B151),B151=0),0,IF(MOD(B151,2)=1,1,2))</f>
        <v>0</v>
      </c>
      <c r="J151" s="3">
        <f>IF(OR(C151="",ISBLANK(C151),C151=0),0,IF(MOD(C151,2)=1,1,2))</f>
        <v>0</v>
      </c>
      <c r="K151" s="3">
        <f>IF(OR(D151="",ISBLANK(D151),D151=0),0,IF(MOD(D151,2)=1,1,2))</f>
        <v>0</v>
      </c>
      <c r="L151" s="3">
        <f>IF(OR(E151="",ISBLANK(E151),E151=0),0,IF(MOD(E151,2)=1,1,2))</f>
        <v>0</v>
      </c>
      <c r="M151" s="3">
        <f>IF(OR(F151="",ISBLANK(F151),F151=0),0,IF(MOD(F151,2)=1,1,2))</f>
        <v>0</v>
      </c>
      <c r="N151" s="3">
        <f>IF(OR(G151="",ISBLANK(G151),G151=0),0,IF(MOD(G151,2)=1,1,2))</f>
        <v>0</v>
      </c>
      <c r="O151" s="32"/>
      <c r="P151" s="3" cm="1">
        <f t="array" ref="P151">SUMPRODUCT(--(MOD(B151:G151,2)=1))</f>
        <v>0</v>
      </c>
      <c r="Q151" s="3">
        <f>6-P151</f>
        <v>6</v>
      </c>
      <c r="R151" s="34"/>
      <c r="S151" s="3">
        <f>COUNTIFS(B151:G151,"&gt;=1",B151:G151,"&lt;=23")</f>
        <v>0</v>
      </c>
      <c r="T151" s="3">
        <f>6-S151</f>
        <v>6</v>
      </c>
      <c r="U151" s="34"/>
      <c r="V151" s="3" cm="1">
        <f t="array" ref="V151">SUMPRODUCT(--(MOD(B151:G151,10)&gt;=1), --(MOD(B151:G151,10)&lt;=5))</f>
        <v>0</v>
      </c>
      <c r="W151" s="3">
        <f>6-V151</f>
        <v>6</v>
      </c>
      <c r="X151" s="34"/>
      <c r="Y151" s="3" cm="1">
        <f t="array" ref="Y151">IFERROR(COUNT(_xlfn._xlws.FILTER(B151:G151, ISNUMBER(MATCH(B151:G151, {2,3,5,7,11,13,17,19,23,29,31,37,41,43}, 0)))), 0)</f>
        <v>0</v>
      </c>
      <c r="Z151" s="3" cm="1">
        <f t="array" ref="Z151">IFERROR(COUNT(_xlfn._xlws.FILTER(B151:G151, ISNUMBER(MATCH(B151:G151, {1,4,8,10,14,16,20,22,25,26,28,32,34,35,38,40,44}, 0)))), 0)</f>
        <v>0</v>
      </c>
      <c r="AA151" s="3" cm="1">
        <f t="array" ref="AA151">IFERROR(COUNT(_xlfn._xlws.FILTER(B151:G151, ISNUMBER(MATCH(B151:G151, {6,9,12,15,18,21,24,27,30,33,36,39,42,45}, 0)))), 0)</f>
        <v>0</v>
      </c>
      <c r="AB151" s="30"/>
      <c r="AC151" s="26" cm="1">
        <f t="array" ref="AC151">_xlfn.IFS(
   OR(B151="",ISBLANK(B151),B151=0),0,
   ISNUMBER(MATCH(B151,{2,3,5,7,11,13,17,19,23,29,31,37,41,43},0)),"소",
   AND(ISNUMBER(B151),MOD(B151,3)=0),"배",
   AND(ISNUMBER(B151),B151&gt;0),"자"
)</f>
        <v>0</v>
      </c>
      <c r="AD151" s="26" cm="1">
        <f t="array" ref="AD151">_xlfn.IFS(
   OR(C151="",ISBLANK(C151),C151=0),0,
   ISNUMBER(MATCH(C151,{2,3,5,7,11,13,17,19,23,29,31,37,41,43},0)),"소",
   AND(ISNUMBER(C151),MOD(C151,3)=0),"배",
   AND(ISNUMBER(C151),C151&gt;0),"자"
)</f>
        <v>0</v>
      </c>
      <c r="AE151" s="26" cm="1">
        <f t="array" ref="AE151">_xlfn.IFS(
   OR(D151="",ISBLANK(D151),D151=0),0,
   ISNUMBER(MATCH(D151,{2,3,5,7,11,13,17,19,23,29,31,37,41,43},0)),"소",
   AND(ISNUMBER(D151),MOD(D151,3)=0),"배",
   AND(ISNUMBER(D151),D151&gt;0),"자"
)</f>
        <v>0</v>
      </c>
      <c r="AF151" s="26" cm="1">
        <f t="array" ref="AF151">_xlfn.IFS(
   OR(E151="",ISBLANK(E151),E151=0),0,
   ISNUMBER(MATCH(E151,{2,3,5,7,11,13,17,19,23,29,31,37,41,43},0)),"소",
   AND(ISNUMBER(E151),MOD(E151,3)=0),"배",
   AND(ISNUMBER(E151),E151&gt;0),"자"
)</f>
        <v>0</v>
      </c>
      <c r="AG151" s="26" cm="1">
        <f t="array" ref="AG151">_xlfn.IFS(
   OR(F151="",ISBLANK(F151),F151=0),0,
   ISNUMBER(MATCH(F151,{2,3,5,7,11,13,17,19,23,29,31,37,41,43},0)),"소",
   AND(ISNUMBER(F151),MOD(F151,3)=0),"배",
   AND(ISNUMBER(F151),F151&gt;0),"자"
)</f>
        <v>0</v>
      </c>
      <c r="AH151" s="26" cm="1">
        <f t="array" ref="AH151">_xlfn.IFS(
   OR(G151="",ISBLANK(G151),G151=0),0,
   ISNUMBER(MATCH(G151,{2,3,5,7,11,13,17,19,23,29,31,37,41,43},0)),"소",
   AND(ISNUMBER(G151),MOD(G151,3)=0),"배",
   AND(ISNUMBER(G151),G151&gt;0),"자"
)</f>
        <v>0</v>
      </c>
      <c r="AI151" s="30"/>
      <c r="AJ151" s="3">
        <f>COUNTIFS(B151:G151,"&gt;=1",B151:G151,"&lt;=14")</f>
        <v>0</v>
      </c>
      <c r="AK151" s="3">
        <f>COUNTIFS(B151:G151,"&gt;=15",B151:G151,"&lt;=31")</f>
        <v>0</v>
      </c>
      <c r="AL151" s="3">
        <f>6-AK151-AJ151</f>
        <v>6</v>
      </c>
      <c r="AM151" s="33"/>
      <c r="AN151" s="3">
        <f>COUNTIFS($B151:$G151, "&gt;=1",$B151:$G151, "&lt;=9")</f>
        <v>0</v>
      </c>
      <c r="AO151" s="3">
        <f>COUNTIFS($B151:$G151, "&gt;=10",$B151:$G151, "&lt;=18")</f>
        <v>0</v>
      </c>
      <c r="AP151" s="3">
        <f>COUNTIFS($B151:$G151, "&gt;=19",$B151:$G151, "&lt;=27")</f>
        <v>0</v>
      </c>
      <c r="AQ151" s="3">
        <f>COUNTIFS($B151:$G151, "&gt;=28",$B151:$G151, "&lt;=36")</f>
        <v>0</v>
      </c>
      <c r="AR151" s="3">
        <f>COUNTIFS($B151:$G151, "&gt;=37",$B151:$G151, "&lt;=45")</f>
        <v>0</v>
      </c>
      <c r="AS151" s="28" t="e">
        <f>#REF!</f>
        <v>#REF!</v>
      </c>
      <c r="AT151" s="28" t="e">
        <f>#REF!*2</f>
        <v>#REF!</v>
      </c>
      <c r="AU151" s="28" t="e">
        <f>#REF!</f>
        <v>#REF!</v>
      </c>
      <c r="AV151" s="28" t="e">
        <f>#REF!*2</f>
        <v>#REF!</v>
      </c>
      <c r="AW151" s="28" t="e">
        <f>#REF!</f>
        <v>#REF!</v>
      </c>
      <c r="AX151" s="28" t="e">
        <f>#REF!*2</f>
        <v>#REF!</v>
      </c>
      <c r="AY151" s="28" t="e">
        <f>#REF!</f>
        <v>#REF!</v>
      </c>
      <c r="AZ151" s="28" t="e">
        <f>#REF!*2</f>
        <v>#REF!</v>
      </c>
      <c r="BA151" s="28" t="e">
        <f>#REF!</f>
        <v>#REF!</v>
      </c>
      <c r="BB151" s="28" t="e">
        <f>#REF!*2</f>
        <v>#REF!</v>
      </c>
      <c r="BC151" s="28" t="e">
        <f>#REF!</f>
        <v>#REF!</v>
      </c>
      <c r="BD151" s="28" t="e">
        <f>#REF!*2</f>
        <v>#REF!</v>
      </c>
      <c r="BE151" s="9" t="e">
        <f>#REF!-#REF!</f>
        <v>#REF!</v>
      </c>
      <c r="BF151" s="9" t="e">
        <f>#REF!-#REF!</f>
        <v>#REF!</v>
      </c>
      <c r="BG151" s="9" t="e">
        <f>#REF!-#REF!</f>
        <v>#REF!</v>
      </c>
      <c r="BH151" s="9" t="e">
        <f>#REF!-#REF!</f>
        <v>#REF!</v>
      </c>
      <c r="BI151" s="9" t="e">
        <f>#REF!-#REF!</f>
        <v>#REF!</v>
      </c>
      <c r="BJ151" s="33"/>
      <c r="BK151" s="3">
        <f>COUNTIFS(B151:G151, "&gt;=1", B151:G151, "&lt;=9")</f>
        <v>0</v>
      </c>
      <c r="BL151" s="3">
        <f>COUNTIFS(B151:G151, "&gt;=10", B151:G151, "&lt;=19")</f>
        <v>0</v>
      </c>
      <c r="BM151" s="3">
        <f>COUNTIFS(B151:G151, "&gt;=20", B151:G151, "&lt;=29")</f>
        <v>0</v>
      </c>
      <c r="BN151" s="3">
        <f>COUNTIFS(B151:G151, "&gt;=30", B151:G151, "&lt;=39")</f>
        <v>0</v>
      </c>
      <c r="BO151" s="3">
        <f>COUNTIFS(B151:G151, "&gt;=40", B151:G151, "&lt;=45")</f>
        <v>0</v>
      </c>
      <c r="BP151" s="28" t="e">
        <f>#REF!</f>
        <v>#REF!</v>
      </c>
      <c r="BQ151" s="28" t="e">
        <f>#REF!*2</f>
        <v>#REF!</v>
      </c>
      <c r="BR151" s="28" t="e">
        <f>#REF!</f>
        <v>#REF!</v>
      </c>
      <c r="BS151" s="28" t="e">
        <f>#REF!*2</f>
        <v>#REF!</v>
      </c>
      <c r="BT151" s="28" t="e">
        <f>#REF!</f>
        <v>#REF!</v>
      </c>
      <c r="BU151" s="28" t="e">
        <f>#REF!*2</f>
        <v>#REF!</v>
      </c>
      <c r="BV151" s="28" t="e">
        <f>#REF!</f>
        <v>#REF!</v>
      </c>
      <c r="BW151" s="28" t="e">
        <f>#REF!*2</f>
        <v>#REF!</v>
      </c>
      <c r="BX151" s="28" t="e">
        <f>#REF!</f>
        <v>#REF!</v>
      </c>
      <c r="BY151" s="28" t="e">
        <f>#REF!*2</f>
        <v>#REF!</v>
      </c>
      <c r="BZ151" s="28" t="e">
        <f>#REF!</f>
        <v>#REF!</v>
      </c>
      <c r="CA151" s="28" t="e">
        <f>#REF!*2</f>
        <v>#REF!</v>
      </c>
      <c r="CB151" s="9">
        <f>C151-B151</f>
        <v>0</v>
      </c>
      <c r="CC151" s="9">
        <f>D151-C151</f>
        <v>0</v>
      </c>
      <c r="CD151" s="9">
        <f>E151-D151</f>
        <v>0</v>
      </c>
      <c r="CE151" s="9">
        <f>F151-E151</f>
        <v>0</v>
      </c>
      <c r="CF151" s="9">
        <f>G151-F151</f>
        <v>0</v>
      </c>
      <c r="CG151" s="33"/>
      <c r="CH151" s="9">
        <f>C151-B151</f>
        <v>0</v>
      </c>
      <c r="CI151" s="9">
        <f>D151-C151</f>
        <v>0</v>
      </c>
      <c r="CJ151" s="9">
        <f>E151-D151</f>
        <v>0</v>
      </c>
      <c r="CK151" s="9">
        <f>F151-E151</f>
        <v>0</v>
      </c>
      <c r="CL151" s="9">
        <f>G151-F151</f>
        <v>0</v>
      </c>
      <c r="CM151" s="32"/>
      <c r="CN151" s="3">
        <f>IF(OR(CH151="",ISBLANK(CH151),CH151=0),0,IF(MOD(CH151,2)=1,1,2))</f>
        <v>0</v>
      </c>
      <c r="CO151" s="3">
        <f>IF(OR(CI151="",ISBLANK(CI151),CI151=0),0,IF(MOD(CI151,2)=1,1,2))</f>
        <v>0</v>
      </c>
      <c r="CP151" s="3">
        <f>IF(OR(CJ151="",ISBLANK(CJ151),CJ151=0),0,IF(MOD(CJ151,2)=1,1,2))</f>
        <v>0</v>
      </c>
      <c r="CQ151" s="3">
        <f>IF(OR(CK151="",ISBLANK(CK151),CK151=0),0,IF(MOD(CK151,2)=1,1,2))</f>
        <v>0</v>
      </c>
      <c r="CR151" s="3">
        <f>IF(OR(CL151="",ISBLANK(CL151),CL151=0),0,IF(MOD(CL151,2)=1,1,2))</f>
        <v>0</v>
      </c>
      <c r="CS151" s="31"/>
      <c r="CT151" s="3" cm="1">
        <f t="array" ref="CT151">SUMPRODUCT(--(MOD(CH151:CL151,2)=1))</f>
        <v>0</v>
      </c>
      <c r="CU151" s="3">
        <f>5-CT151</f>
        <v>5</v>
      </c>
      <c r="CV151" s="30"/>
      <c r="CW151" s="3" cm="1">
        <f t="array" ref="CW151">SUMPRODUCT(--(MOD(CH151:CL151,10)&gt;=1), --(MOD(CH151:CL151,10)&lt;=5))</f>
        <v>0</v>
      </c>
      <c r="CX151" s="3">
        <f>5-CW151</f>
        <v>5</v>
      </c>
      <c r="CY151" s="30"/>
      <c r="CZ151" s="3" cm="1">
        <f t="array" ref="CZ151">IFERROR(COUNT(_xlfn._xlws.FILTER(CH151:CL151, ISNUMBER(MATCH(CH151:CL151, {2,3,5,7,11,13,17,19,23,29,31,37,41,43}, 0)))), 0)</f>
        <v>0</v>
      </c>
      <c r="DA151" s="3" cm="1">
        <f t="array" ref="DA151">IFERROR(COUNT(_xlfn._xlws.FILTER(CH151:CL151, ISNUMBER(MATCH(CH151:CL151, {1,4,8,10,14,16,20,22,25,26,28,32,34,35,38,40,44}, 0)))), 0)</f>
        <v>0</v>
      </c>
      <c r="DB151" s="3" cm="1">
        <f t="array" ref="DB151">IFERROR(COUNT(_xlfn._xlws.FILTER(CH151:CL151, ISNUMBER(MATCH(CH151:CL151, {6,9,12,15,18,21,24,27,30,33,36,39,42,45}, 0)))), 0)</f>
        <v>0</v>
      </c>
      <c r="DC151" s="29"/>
      <c r="DD151" s="28" t="e">
        <f>#REF!</f>
        <v>#REF!</v>
      </c>
      <c r="DE151" s="28" t="e">
        <f>#REF!*2</f>
        <v>#REF!</v>
      </c>
      <c r="DF151" s="28" t="e">
        <f>#REF!</f>
        <v>#REF!</v>
      </c>
      <c r="DG151" s="28" t="e">
        <f>#REF!*2</f>
        <v>#REF!</v>
      </c>
      <c r="DH151" s="28" t="e">
        <f>#REF!</f>
        <v>#REF!</v>
      </c>
      <c r="DI151" s="28" t="e">
        <f>#REF!*2</f>
        <v>#REF!</v>
      </c>
      <c r="DJ151" s="28" t="e">
        <f>#REF!</f>
        <v>#REF!</v>
      </c>
      <c r="DK151" s="28" t="e">
        <f>#REF!*2</f>
        <v>#REF!</v>
      </c>
      <c r="DL151" s="28" t="e">
        <f>#REF!</f>
        <v>#REF!</v>
      </c>
      <c r="DM151" s="28" t="e">
        <f>#REF!*2</f>
        <v>#REF!</v>
      </c>
      <c r="DN151" s="27"/>
      <c r="DO151" s="26" cm="1">
        <f t="array" ref="DO151">_xlfn.IFS(
   OR(CH151="",ISBLANK(CH151),CH151=0),0,
   ISNUMBER(MATCH(CH151,{2,3,5,7,11,13,17,19,23,29,31,37,41,43},0)),"소",
   AND(ISNUMBER(CH151),MOD(CH151,3)=0),"배",
   AND(ISNUMBER(CH151),CH151&gt;0),"자"
)</f>
        <v>0</v>
      </c>
      <c r="DP151" s="26" cm="1">
        <f t="array" ref="DP151">_xlfn.IFS(
   OR(CI151="",ISBLANK(CI151),CI151=0),0,
   ISNUMBER(MATCH(CI151,{2,3,5,7,11,13,17,19,23,29,31,37,41,43},0)),"소",
   AND(ISNUMBER(CI151),MOD(CI151,3)=0),"배",
   AND(ISNUMBER(CI151),CI151&gt;0),"자"
)</f>
        <v>0</v>
      </c>
      <c r="DQ151" s="26" cm="1">
        <f t="array" ref="DQ151">_xlfn.IFS(
   OR(CJ151="",ISBLANK(CJ151),CJ151=0),0,
   ISNUMBER(MATCH(CJ151,{2,3,5,7,11,13,17,19,23,29,31,37,41,43},0)),"소",
   AND(ISNUMBER(CJ151),MOD(CJ151,3)=0),"배",
   AND(ISNUMBER(CJ151),CJ151&gt;0),"자"
)</f>
        <v>0</v>
      </c>
      <c r="DR151" s="26" cm="1">
        <f t="array" ref="DR151">_xlfn.IFS(
   OR(CK151="",ISBLANK(CK151),CK151=0),0,
   ISNUMBER(MATCH(CK151,{2,3,5,7,11,13,17,19,23,29,31,37,41,43},0)),"소",
   AND(ISNUMBER(CK151),MOD(CK151,3)=0),"배",
   AND(ISNUMBER(CK151),CK151&gt;0),"자"
)</f>
        <v>0</v>
      </c>
      <c r="DS151" s="26" cm="1">
        <f t="array" ref="DS151">_xlfn.IFS(
   OR(CL151="",ISBLANK(CL151),CL151=0),0,
   ISNUMBER(MATCH(CL151,{2,3,5,7,11,13,17,19,23,29,31,37,41,43},0)),"소",
   AND(ISNUMBER(CL151),MOD(CL151,3)=0),"배",
   AND(ISNUMBER(CL151),CL151&gt;0),"자"
)</f>
        <v>0</v>
      </c>
      <c r="DT151" s="25"/>
    </row>
    <row r="152" spans="2:124" x14ac:dyDescent="0.3"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2"/>
      <c r="I152" s="3">
        <f>IF(OR(B152="",ISBLANK(B152),B152=0),0,IF(MOD(B152,2)=1,1,2))</f>
        <v>0</v>
      </c>
      <c r="J152" s="3">
        <f>IF(OR(C152="",ISBLANK(C152),C152=0),0,IF(MOD(C152,2)=1,1,2))</f>
        <v>0</v>
      </c>
      <c r="K152" s="3">
        <f>IF(OR(D152="",ISBLANK(D152),D152=0),0,IF(MOD(D152,2)=1,1,2))</f>
        <v>0</v>
      </c>
      <c r="L152" s="3">
        <f>IF(OR(E152="",ISBLANK(E152),E152=0),0,IF(MOD(E152,2)=1,1,2))</f>
        <v>0</v>
      </c>
      <c r="M152" s="3">
        <f>IF(OR(F152="",ISBLANK(F152),F152=0),0,IF(MOD(F152,2)=1,1,2))</f>
        <v>0</v>
      </c>
      <c r="N152" s="3">
        <f>IF(OR(G152="",ISBLANK(G152),G152=0),0,IF(MOD(G152,2)=1,1,2))</f>
        <v>0</v>
      </c>
      <c r="O152" s="32"/>
      <c r="P152" s="3" cm="1">
        <f t="array" ref="P152">SUMPRODUCT(--(MOD(B152:G152,2)=1))</f>
        <v>0</v>
      </c>
      <c r="Q152" s="3">
        <f>6-P152</f>
        <v>6</v>
      </c>
      <c r="R152" s="34"/>
      <c r="S152" s="3">
        <f>COUNTIFS(B152:G152,"&gt;=1",B152:G152,"&lt;=23")</f>
        <v>0</v>
      </c>
      <c r="T152" s="3">
        <f>6-S152</f>
        <v>6</v>
      </c>
      <c r="U152" s="34"/>
      <c r="V152" s="3" cm="1">
        <f t="array" ref="V152">SUMPRODUCT(--(MOD(B152:G152,10)&gt;=1), --(MOD(B152:G152,10)&lt;=5))</f>
        <v>0</v>
      </c>
      <c r="W152" s="3">
        <f>6-V152</f>
        <v>6</v>
      </c>
      <c r="X152" s="34"/>
      <c r="Y152" s="3" cm="1">
        <f t="array" ref="Y152">IFERROR(COUNT(_xlfn._xlws.FILTER(B152:G152, ISNUMBER(MATCH(B152:G152, {2,3,5,7,11,13,17,19,23,29,31,37,41,43}, 0)))), 0)</f>
        <v>0</v>
      </c>
      <c r="Z152" s="3" cm="1">
        <f t="array" ref="Z152">IFERROR(COUNT(_xlfn._xlws.FILTER(B152:G152, ISNUMBER(MATCH(B152:G152, {1,4,8,10,14,16,20,22,25,26,28,32,34,35,38,40,44}, 0)))), 0)</f>
        <v>0</v>
      </c>
      <c r="AA152" s="3" cm="1">
        <f t="array" ref="AA152">IFERROR(COUNT(_xlfn._xlws.FILTER(B152:G152, ISNUMBER(MATCH(B152:G152, {6,9,12,15,18,21,24,27,30,33,36,39,42,45}, 0)))), 0)</f>
        <v>0</v>
      </c>
      <c r="AB152" s="30"/>
      <c r="AC152" s="26" cm="1">
        <f t="array" ref="AC152">_xlfn.IFS(
   OR(B152="",ISBLANK(B152),B152=0),0,
   ISNUMBER(MATCH(B152,{2,3,5,7,11,13,17,19,23,29,31,37,41,43},0)),"소",
   AND(ISNUMBER(B152),MOD(B152,3)=0),"배",
   AND(ISNUMBER(B152),B152&gt;0),"자"
)</f>
        <v>0</v>
      </c>
      <c r="AD152" s="26" cm="1">
        <f t="array" ref="AD152">_xlfn.IFS(
   OR(C152="",ISBLANK(C152),C152=0),0,
   ISNUMBER(MATCH(C152,{2,3,5,7,11,13,17,19,23,29,31,37,41,43},0)),"소",
   AND(ISNUMBER(C152),MOD(C152,3)=0),"배",
   AND(ISNUMBER(C152),C152&gt;0),"자"
)</f>
        <v>0</v>
      </c>
      <c r="AE152" s="26" cm="1">
        <f t="array" ref="AE152">_xlfn.IFS(
   OR(D152="",ISBLANK(D152),D152=0),0,
   ISNUMBER(MATCH(D152,{2,3,5,7,11,13,17,19,23,29,31,37,41,43},0)),"소",
   AND(ISNUMBER(D152),MOD(D152,3)=0),"배",
   AND(ISNUMBER(D152),D152&gt;0),"자"
)</f>
        <v>0</v>
      </c>
      <c r="AF152" s="26" cm="1">
        <f t="array" ref="AF152">_xlfn.IFS(
   OR(E152="",ISBLANK(E152),E152=0),0,
   ISNUMBER(MATCH(E152,{2,3,5,7,11,13,17,19,23,29,31,37,41,43},0)),"소",
   AND(ISNUMBER(E152),MOD(E152,3)=0),"배",
   AND(ISNUMBER(E152),E152&gt;0),"자"
)</f>
        <v>0</v>
      </c>
      <c r="AG152" s="26" cm="1">
        <f t="array" ref="AG152">_xlfn.IFS(
   OR(F152="",ISBLANK(F152),F152=0),0,
   ISNUMBER(MATCH(F152,{2,3,5,7,11,13,17,19,23,29,31,37,41,43},0)),"소",
   AND(ISNUMBER(F152),MOD(F152,3)=0),"배",
   AND(ISNUMBER(F152),F152&gt;0),"자"
)</f>
        <v>0</v>
      </c>
      <c r="AH152" s="26" cm="1">
        <f t="array" ref="AH152">_xlfn.IFS(
   OR(G152="",ISBLANK(G152),G152=0),0,
   ISNUMBER(MATCH(G152,{2,3,5,7,11,13,17,19,23,29,31,37,41,43},0)),"소",
   AND(ISNUMBER(G152),MOD(G152,3)=0),"배",
   AND(ISNUMBER(G152),G152&gt;0),"자"
)</f>
        <v>0</v>
      </c>
      <c r="AI152" s="30"/>
      <c r="AJ152" s="3">
        <f>COUNTIFS(B152:G152,"&gt;=1",B152:G152,"&lt;=14")</f>
        <v>0</v>
      </c>
      <c r="AK152" s="3">
        <f>COUNTIFS(B152:G152,"&gt;=15",B152:G152,"&lt;=31")</f>
        <v>0</v>
      </c>
      <c r="AL152" s="3">
        <f>6-AK152-AJ152</f>
        <v>6</v>
      </c>
      <c r="AM152" s="33"/>
      <c r="AN152" s="3">
        <f>COUNTIFS($B152:$G152, "&gt;=1",$B152:$G152, "&lt;=9")</f>
        <v>0</v>
      </c>
      <c r="AO152" s="3">
        <f>COUNTIFS($B152:$G152, "&gt;=10",$B152:$G152, "&lt;=18")</f>
        <v>0</v>
      </c>
      <c r="AP152" s="3">
        <f>COUNTIFS($B152:$G152, "&gt;=19",$B152:$G152, "&lt;=27")</f>
        <v>0</v>
      </c>
      <c r="AQ152" s="3">
        <f>COUNTIFS($B152:$G152, "&gt;=28",$B152:$G152, "&lt;=36")</f>
        <v>0</v>
      </c>
      <c r="AR152" s="3">
        <f>COUNTIFS($B152:$G152, "&gt;=37",$B152:$G152, "&lt;=45")</f>
        <v>0</v>
      </c>
      <c r="AS152" s="28" t="e">
        <f>#REF!</f>
        <v>#REF!</v>
      </c>
      <c r="AT152" s="28" t="e">
        <f>#REF!*2</f>
        <v>#REF!</v>
      </c>
      <c r="AU152" s="28" t="e">
        <f>#REF!</f>
        <v>#REF!</v>
      </c>
      <c r="AV152" s="28" t="e">
        <f>#REF!*2</f>
        <v>#REF!</v>
      </c>
      <c r="AW152" s="28" t="e">
        <f>#REF!</f>
        <v>#REF!</v>
      </c>
      <c r="AX152" s="28" t="e">
        <f>#REF!*2</f>
        <v>#REF!</v>
      </c>
      <c r="AY152" s="28" t="e">
        <f>#REF!</f>
        <v>#REF!</v>
      </c>
      <c r="AZ152" s="28" t="e">
        <f>#REF!*2</f>
        <v>#REF!</v>
      </c>
      <c r="BA152" s="28" t="e">
        <f>#REF!</f>
        <v>#REF!</v>
      </c>
      <c r="BB152" s="28" t="e">
        <f>#REF!*2</f>
        <v>#REF!</v>
      </c>
      <c r="BC152" s="28" t="e">
        <f>#REF!</f>
        <v>#REF!</v>
      </c>
      <c r="BD152" s="28" t="e">
        <f>#REF!*2</f>
        <v>#REF!</v>
      </c>
      <c r="BE152" s="9" t="e">
        <f>#REF!-#REF!</f>
        <v>#REF!</v>
      </c>
      <c r="BF152" s="9" t="e">
        <f>#REF!-#REF!</f>
        <v>#REF!</v>
      </c>
      <c r="BG152" s="9" t="e">
        <f>#REF!-#REF!</f>
        <v>#REF!</v>
      </c>
      <c r="BH152" s="9" t="e">
        <f>#REF!-#REF!</f>
        <v>#REF!</v>
      </c>
      <c r="BI152" s="9" t="e">
        <f>#REF!-#REF!</f>
        <v>#REF!</v>
      </c>
      <c r="BJ152" s="33"/>
      <c r="BK152" s="3">
        <f>COUNTIFS(B152:G152, "&gt;=1", B152:G152, "&lt;=9")</f>
        <v>0</v>
      </c>
      <c r="BL152" s="3">
        <f>COUNTIFS(B152:G152, "&gt;=10", B152:G152, "&lt;=19")</f>
        <v>0</v>
      </c>
      <c r="BM152" s="3">
        <f>COUNTIFS(B152:G152, "&gt;=20", B152:G152, "&lt;=29")</f>
        <v>0</v>
      </c>
      <c r="BN152" s="3">
        <f>COUNTIFS(B152:G152, "&gt;=30", B152:G152, "&lt;=39")</f>
        <v>0</v>
      </c>
      <c r="BO152" s="3">
        <f>COUNTIFS(B152:G152, "&gt;=40", B152:G152, "&lt;=45")</f>
        <v>0</v>
      </c>
      <c r="BP152" s="28" t="e">
        <f>#REF!</f>
        <v>#REF!</v>
      </c>
      <c r="BQ152" s="28" t="e">
        <f>#REF!*2</f>
        <v>#REF!</v>
      </c>
      <c r="BR152" s="28" t="e">
        <f>#REF!</f>
        <v>#REF!</v>
      </c>
      <c r="BS152" s="28" t="e">
        <f>#REF!*2</f>
        <v>#REF!</v>
      </c>
      <c r="BT152" s="28" t="e">
        <f>#REF!</f>
        <v>#REF!</v>
      </c>
      <c r="BU152" s="28" t="e">
        <f>#REF!*2</f>
        <v>#REF!</v>
      </c>
      <c r="BV152" s="28" t="e">
        <f>#REF!</f>
        <v>#REF!</v>
      </c>
      <c r="BW152" s="28" t="e">
        <f>#REF!*2</f>
        <v>#REF!</v>
      </c>
      <c r="BX152" s="28" t="e">
        <f>#REF!</f>
        <v>#REF!</v>
      </c>
      <c r="BY152" s="28" t="e">
        <f>#REF!*2</f>
        <v>#REF!</v>
      </c>
      <c r="BZ152" s="28" t="e">
        <f>#REF!</f>
        <v>#REF!</v>
      </c>
      <c r="CA152" s="28" t="e">
        <f>#REF!*2</f>
        <v>#REF!</v>
      </c>
      <c r="CB152" s="9">
        <f>C152-B152</f>
        <v>0</v>
      </c>
      <c r="CC152" s="9">
        <f>D152-C152</f>
        <v>0</v>
      </c>
      <c r="CD152" s="9">
        <f>E152-D152</f>
        <v>0</v>
      </c>
      <c r="CE152" s="9">
        <f>F152-E152</f>
        <v>0</v>
      </c>
      <c r="CF152" s="9">
        <f>G152-F152</f>
        <v>0</v>
      </c>
      <c r="CG152" s="33"/>
      <c r="CH152" s="9">
        <f>C152-B152</f>
        <v>0</v>
      </c>
      <c r="CI152" s="9">
        <f>D152-C152</f>
        <v>0</v>
      </c>
      <c r="CJ152" s="9">
        <f>E152-D152</f>
        <v>0</v>
      </c>
      <c r="CK152" s="9">
        <f>F152-E152</f>
        <v>0</v>
      </c>
      <c r="CL152" s="9">
        <f>G152-F152</f>
        <v>0</v>
      </c>
      <c r="CM152" s="32"/>
      <c r="CN152" s="3">
        <f>IF(OR(CH152="",ISBLANK(CH152),CH152=0),0,IF(MOD(CH152,2)=1,1,2))</f>
        <v>0</v>
      </c>
      <c r="CO152" s="3">
        <f>IF(OR(CI152="",ISBLANK(CI152),CI152=0),0,IF(MOD(CI152,2)=1,1,2))</f>
        <v>0</v>
      </c>
      <c r="CP152" s="3">
        <f>IF(OR(CJ152="",ISBLANK(CJ152),CJ152=0),0,IF(MOD(CJ152,2)=1,1,2))</f>
        <v>0</v>
      </c>
      <c r="CQ152" s="3">
        <f>IF(OR(CK152="",ISBLANK(CK152),CK152=0),0,IF(MOD(CK152,2)=1,1,2))</f>
        <v>0</v>
      </c>
      <c r="CR152" s="3">
        <f>IF(OR(CL152="",ISBLANK(CL152),CL152=0),0,IF(MOD(CL152,2)=1,1,2))</f>
        <v>0</v>
      </c>
      <c r="CS152" s="31"/>
      <c r="CT152" s="3" cm="1">
        <f t="array" ref="CT152">SUMPRODUCT(--(MOD(CH152:CL152,2)=1))</f>
        <v>0</v>
      </c>
      <c r="CU152" s="3">
        <f>5-CT152</f>
        <v>5</v>
      </c>
      <c r="CV152" s="30"/>
      <c r="CW152" s="3" cm="1">
        <f t="array" ref="CW152">SUMPRODUCT(--(MOD(CH152:CL152,10)&gt;=1), --(MOD(CH152:CL152,10)&lt;=5))</f>
        <v>0</v>
      </c>
      <c r="CX152" s="3">
        <f>5-CW152</f>
        <v>5</v>
      </c>
      <c r="CY152" s="30"/>
      <c r="CZ152" s="3" cm="1">
        <f t="array" ref="CZ152">IFERROR(COUNT(_xlfn._xlws.FILTER(CH152:CL152, ISNUMBER(MATCH(CH152:CL152, {2,3,5,7,11,13,17,19,23,29,31,37,41,43}, 0)))), 0)</f>
        <v>0</v>
      </c>
      <c r="DA152" s="3" cm="1">
        <f t="array" ref="DA152">IFERROR(COUNT(_xlfn._xlws.FILTER(CH152:CL152, ISNUMBER(MATCH(CH152:CL152, {1,4,8,10,14,16,20,22,25,26,28,32,34,35,38,40,44}, 0)))), 0)</f>
        <v>0</v>
      </c>
      <c r="DB152" s="3" cm="1">
        <f t="array" ref="DB152">IFERROR(COUNT(_xlfn._xlws.FILTER(CH152:CL152, ISNUMBER(MATCH(CH152:CL152, {6,9,12,15,18,21,24,27,30,33,36,39,42,45}, 0)))), 0)</f>
        <v>0</v>
      </c>
      <c r="DC152" s="29"/>
      <c r="DD152" s="28" t="e">
        <f>#REF!</f>
        <v>#REF!</v>
      </c>
      <c r="DE152" s="28" t="e">
        <f>#REF!*2</f>
        <v>#REF!</v>
      </c>
      <c r="DF152" s="28" t="e">
        <f>#REF!</f>
        <v>#REF!</v>
      </c>
      <c r="DG152" s="28" t="e">
        <f>#REF!*2</f>
        <v>#REF!</v>
      </c>
      <c r="DH152" s="28" t="e">
        <f>#REF!</f>
        <v>#REF!</v>
      </c>
      <c r="DI152" s="28" t="e">
        <f>#REF!*2</f>
        <v>#REF!</v>
      </c>
      <c r="DJ152" s="28" t="e">
        <f>#REF!</f>
        <v>#REF!</v>
      </c>
      <c r="DK152" s="28" t="e">
        <f>#REF!*2</f>
        <v>#REF!</v>
      </c>
      <c r="DL152" s="28" t="e">
        <f>#REF!</f>
        <v>#REF!</v>
      </c>
      <c r="DM152" s="28" t="e">
        <f>#REF!*2</f>
        <v>#REF!</v>
      </c>
      <c r="DN152" s="27"/>
      <c r="DO152" s="26" cm="1">
        <f t="array" ref="DO152">_xlfn.IFS(
   OR(CH152="",ISBLANK(CH152),CH152=0),0,
   ISNUMBER(MATCH(CH152,{2,3,5,7,11,13,17,19,23,29,31,37,41,43},0)),"소",
   AND(ISNUMBER(CH152),MOD(CH152,3)=0),"배",
   AND(ISNUMBER(CH152),CH152&gt;0),"자"
)</f>
        <v>0</v>
      </c>
      <c r="DP152" s="26" cm="1">
        <f t="array" ref="DP152">_xlfn.IFS(
   OR(CI152="",ISBLANK(CI152),CI152=0),0,
   ISNUMBER(MATCH(CI152,{2,3,5,7,11,13,17,19,23,29,31,37,41,43},0)),"소",
   AND(ISNUMBER(CI152),MOD(CI152,3)=0),"배",
   AND(ISNUMBER(CI152),CI152&gt;0),"자"
)</f>
        <v>0</v>
      </c>
      <c r="DQ152" s="26" cm="1">
        <f t="array" ref="DQ152">_xlfn.IFS(
   OR(CJ152="",ISBLANK(CJ152),CJ152=0),0,
   ISNUMBER(MATCH(CJ152,{2,3,5,7,11,13,17,19,23,29,31,37,41,43},0)),"소",
   AND(ISNUMBER(CJ152),MOD(CJ152,3)=0),"배",
   AND(ISNUMBER(CJ152),CJ152&gt;0),"자"
)</f>
        <v>0</v>
      </c>
      <c r="DR152" s="26" cm="1">
        <f t="array" ref="DR152">_xlfn.IFS(
   OR(CK152="",ISBLANK(CK152),CK152=0),0,
   ISNUMBER(MATCH(CK152,{2,3,5,7,11,13,17,19,23,29,31,37,41,43},0)),"소",
   AND(ISNUMBER(CK152),MOD(CK152,3)=0),"배",
   AND(ISNUMBER(CK152),CK152&gt;0),"자"
)</f>
        <v>0</v>
      </c>
      <c r="DS152" s="26" cm="1">
        <f t="array" ref="DS152">_xlfn.IFS(
   OR(CL152="",ISBLANK(CL152),CL152=0),0,
   ISNUMBER(MATCH(CL152,{2,3,5,7,11,13,17,19,23,29,31,37,41,43},0)),"소",
   AND(ISNUMBER(CL152),MOD(CL152,3)=0),"배",
   AND(ISNUMBER(CL152),CL152&gt;0),"자"
)</f>
        <v>0</v>
      </c>
      <c r="DT152" s="25"/>
    </row>
    <row r="153" spans="2:124" x14ac:dyDescent="0.3"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2"/>
      <c r="I153" s="3">
        <f>IF(OR(B153="",ISBLANK(B153),B153=0),0,IF(MOD(B153,2)=1,1,2))</f>
        <v>0</v>
      </c>
      <c r="J153" s="3">
        <f>IF(OR(C153="",ISBLANK(C153),C153=0),0,IF(MOD(C153,2)=1,1,2))</f>
        <v>0</v>
      </c>
      <c r="K153" s="3">
        <f>IF(OR(D153="",ISBLANK(D153),D153=0),0,IF(MOD(D153,2)=1,1,2))</f>
        <v>0</v>
      </c>
      <c r="L153" s="3">
        <f>IF(OR(E153="",ISBLANK(E153),E153=0),0,IF(MOD(E153,2)=1,1,2))</f>
        <v>0</v>
      </c>
      <c r="M153" s="3">
        <f>IF(OR(F153="",ISBLANK(F153),F153=0),0,IF(MOD(F153,2)=1,1,2))</f>
        <v>0</v>
      </c>
      <c r="N153" s="3">
        <f>IF(OR(G153="",ISBLANK(G153),G153=0),0,IF(MOD(G153,2)=1,1,2))</f>
        <v>0</v>
      </c>
      <c r="O153" s="32"/>
      <c r="P153" s="3" cm="1">
        <f t="array" ref="P153">SUMPRODUCT(--(MOD(B153:G153,2)=1))</f>
        <v>0</v>
      </c>
      <c r="Q153" s="3">
        <f>6-P153</f>
        <v>6</v>
      </c>
      <c r="R153" s="34"/>
      <c r="S153" s="3">
        <f>COUNTIFS(B153:G153,"&gt;=1",B153:G153,"&lt;=23")</f>
        <v>0</v>
      </c>
      <c r="T153" s="3">
        <f>6-S153</f>
        <v>6</v>
      </c>
      <c r="U153" s="34"/>
      <c r="V153" s="3" cm="1">
        <f t="array" ref="V153">SUMPRODUCT(--(MOD(B153:G153,10)&gt;=1), --(MOD(B153:G153,10)&lt;=5))</f>
        <v>0</v>
      </c>
      <c r="W153" s="3">
        <f>6-V153</f>
        <v>6</v>
      </c>
      <c r="X153" s="34"/>
      <c r="Y153" s="3" cm="1">
        <f t="array" ref="Y153">IFERROR(COUNT(_xlfn._xlws.FILTER(B153:G153, ISNUMBER(MATCH(B153:G153, {2,3,5,7,11,13,17,19,23,29,31,37,41,43}, 0)))), 0)</f>
        <v>0</v>
      </c>
      <c r="Z153" s="3" cm="1">
        <f t="array" ref="Z153">IFERROR(COUNT(_xlfn._xlws.FILTER(B153:G153, ISNUMBER(MATCH(B153:G153, {1,4,8,10,14,16,20,22,25,26,28,32,34,35,38,40,44}, 0)))), 0)</f>
        <v>0</v>
      </c>
      <c r="AA153" s="3" cm="1">
        <f t="array" ref="AA153">IFERROR(COUNT(_xlfn._xlws.FILTER(B153:G153, ISNUMBER(MATCH(B153:G153, {6,9,12,15,18,21,24,27,30,33,36,39,42,45}, 0)))), 0)</f>
        <v>0</v>
      </c>
      <c r="AB153" s="30"/>
      <c r="AC153" s="26" cm="1">
        <f t="array" ref="AC153">_xlfn.IFS(
   OR(B153="",ISBLANK(B153),B153=0),0,
   ISNUMBER(MATCH(B153,{2,3,5,7,11,13,17,19,23,29,31,37,41,43},0)),"소",
   AND(ISNUMBER(B153),MOD(B153,3)=0),"배",
   AND(ISNUMBER(B153),B153&gt;0),"자"
)</f>
        <v>0</v>
      </c>
      <c r="AD153" s="26" cm="1">
        <f t="array" ref="AD153">_xlfn.IFS(
   OR(C153="",ISBLANK(C153),C153=0),0,
   ISNUMBER(MATCH(C153,{2,3,5,7,11,13,17,19,23,29,31,37,41,43},0)),"소",
   AND(ISNUMBER(C153),MOD(C153,3)=0),"배",
   AND(ISNUMBER(C153),C153&gt;0),"자"
)</f>
        <v>0</v>
      </c>
      <c r="AE153" s="26" cm="1">
        <f t="array" ref="AE153">_xlfn.IFS(
   OR(D153="",ISBLANK(D153),D153=0),0,
   ISNUMBER(MATCH(D153,{2,3,5,7,11,13,17,19,23,29,31,37,41,43},0)),"소",
   AND(ISNUMBER(D153),MOD(D153,3)=0),"배",
   AND(ISNUMBER(D153),D153&gt;0),"자"
)</f>
        <v>0</v>
      </c>
      <c r="AF153" s="26" cm="1">
        <f t="array" ref="AF153">_xlfn.IFS(
   OR(E153="",ISBLANK(E153),E153=0),0,
   ISNUMBER(MATCH(E153,{2,3,5,7,11,13,17,19,23,29,31,37,41,43},0)),"소",
   AND(ISNUMBER(E153),MOD(E153,3)=0),"배",
   AND(ISNUMBER(E153),E153&gt;0),"자"
)</f>
        <v>0</v>
      </c>
      <c r="AG153" s="26" cm="1">
        <f t="array" ref="AG153">_xlfn.IFS(
   OR(F153="",ISBLANK(F153),F153=0),0,
   ISNUMBER(MATCH(F153,{2,3,5,7,11,13,17,19,23,29,31,37,41,43},0)),"소",
   AND(ISNUMBER(F153),MOD(F153,3)=0),"배",
   AND(ISNUMBER(F153),F153&gt;0),"자"
)</f>
        <v>0</v>
      </c>
      <c r="AH153" s="26" cm="1">
        <f t="array" ref="AH153">_xlfn.IFS(
   OR(G153="",ISBLANK(G153),G153=0),0,
   ISNUMBER(MATCH(G153,{2,3,5,7,11,13,17,19,23,29,31,37,41,43},0)),"소",
   AND(ISNUMBER(G153),MOD(G153,3)=0),"배",
   AND(ISNUMBER(G153),G153&gt;0),"자"
)</f>
        <v>0</v>
      </c>
      <c r="AI153" s="30"/>
      <c r="AJ153" s="3">
        <f>COUNTIFS(B153:G153,"&gt;=1",B153:G153,"&lt;=14")</f>
        <v>0</v>
      </c>
      <c r="AK153" s="3">
        <f>COUNTIFS(B153:G153,"&gt;=15",B153:G153,"&lt;=31")</f>
        <v>0</v>
      </c>
      <c r="AL153" s="3">
        <f>6-AK153-AJ153</f>
        <v>6</v>
      </c>
      <c r="AM153" s="33"/>
      <c r="AN153" s="3">
        <f>COUNTIFS($B153:$G153, "&gt;=1",$B153:$G153, "&lt;=9")</f>
        <v>0</v>
      </c>
      <c r="AO153" s="3">
        <f>COUNTIFS($B153:$G153, "&gt;=10",$B153:$G153, "&lt;=18")</f>
        <v>0</v>
      </c>
      <c r="AP153" s="3">
        <f>COUNTIFS($B153:$G153, "&gt;=19",$B153:$G153, "&lt;=27")</f>
        <v>0</v>
      </c>
      <c r="AQ153" s="3">
        <f>COUNTIFS($B153:$G153, "&gt;=28",$B153:$G153, "&lt;=36")</f>
        <v>0</v>
      </c>
      <c r="AR153" s="3">
        <f>COUNTIFS($B153:$G153, "&gt;=37",$B153:$G153, "&lt;=45")</f>
        <v>0</v>
      </c>
      <c r="AS153" s="28" t="e">
        <f>#REF!</f>
        <v>#REF!</v>
      </c>
      <c r="AT153" s="28" t="e">
        <f>#REF!*2</f>
        <v>#REF!</v>
      </c>
      <c r="AU153" s="28" t="e">
        <f>#REF!</f>
        <v>#REF!</v>
      </c>
      <c r="AV153" s="28" t="e">
        <f>#REF!*2</f>
        <v>#REF!</v>
      </c>
      <c r="AW153" s="28" t="e">
        <f>#REF!</f>
        <v>#REF!</v>
      </c>
      <c r="AX153" s="28" t="e">
        <f>#REF!*2</f>
        <v>#REF!</v>
      </c>
      <c r="AY153" s="28" t="e">
        <f>#REF!</f>
        <v>#REF!</v>
      </c>
      <c r="AZ153" s="28" t="e">
        <f>#REF!*2</f>
        <v>#REF!</v>
      </c>
      <c r="BA153" s="28" t="e">
        <f>#REF!</f>
        <v>#REF!</v>
      </c>
      <c r="BB153" s="28" t="e">
        <f>#REF!*2</f>
        <v>#REF!</v>
      </c>
      <c r="BC153" s="28" t="e">
        <f>#REF!</f>
        <v>#REF!</v>
      </c>
      <c r="BD153" s="28" t="e">
        <f>#REF!*2</f>
        <v>#REF!</v>
      </c>
      <c r="BE153" s="9" t="e">
        <f>#REF!-#REF!</f>
        <v>#REF!</v>
      </c>
      <c r="BF153" s="9" t="e">
        <f>#REF!-#REF!</f>
        <v>#REF!</v>
      </c>
      <c r="BG153" s="9" t="e">
        <f>#REF!-#REF!</f>
        <v>#REF!</v>
      </c>
      <c r="BH153" s="9" t="e">
        <f>#REF!-#REF!</f>
        <v>#REF!</v>
      </c>
      <c r="BI153" s="9" t="e">
        <f>#REF!-#REF!</f>
        <v>#REF!</v>
      </c>
      <c r="BJ153" s="33"/>
      <c r="BK153" s="3">
        <f>COUNTIFS(B153:G153, "&gt;=1", B153:G153, "&lt;=9")</f>
        <v>0</v>
      </c>
      <c r="BL153" s="3">
        <f>COUNTIFS(B153:G153, "&gt;=10", B153:G153, "&lt;=19")</f>
        <v>0</v>
      </c>
      <c r="BM153" s="3">
        <f>COUNTIFS(B153:G153, "&gt;=20", B153:G153, "&lt;=29")</f>
        <v>0</v>
      </c>
      <c r="BN153" s="3">
        <f>COUNTIFS(B153:G153, "&gt;=30", B153:G153, "&lt;=39")</f>
        <v>0</v>
      </c>
      <c r="BO153" s="3">
        <f>COUNTIFS(B153:G153, "&gt;=40", B153:G153, "&lt;=45")</f>
        <v>0</v>
      </c>
      <c r="BP153" s="28" t="e">
        <f>#REF!</f>
        <v>#REF!</v>
      </c>
      <c r="BQ153" s="28" t="e">
        <f>#REF!*2</f>
        <v>#REF!</v>
      </c>
      <c r="BR153" s="28" t="e">
        <f>#REF!</f>
        <v>#REF!</v>
      </c>
      <c r="BS153" s="28" t="e">
        <f>#REF!*2</f>
        <v>#REF!</v>
      </c>
      <c r="BT153" s="28" t="e">
        <f>#REF!</f>
        <v>#REF!</v>
      </c>
      <c r="BU153" s="28" t="e">
        <f>#REF!*2</f>
        <v>#REF!</v>
      </c>
      <c r="BV153" s="28" t="e">
        <f>#REF!</f>
        <v>#REF!</v>
      </c>
      <c r="BW153" s="28" t="e">
        <f>#REF!*2</f>
        <v>#REF!</v>
      </c>
      <c r="BX153" s="28" t="e">
        <f>#REF!</f>
        <v>#REF!</v>
      </c>
      <c r="BY153" s="28" t="e">
        <f>#REF!*2</f>
        <v>#REF!</v>
      </c>
      <c r="BZ153" s="28" t="e">
        <f>#REF!</f>
        <v>#REF!</v>
      </c>
      <c r="CA153" s="28" t="e">
        <f>#REF!*2</f>
        <v>#REF!</v>
      </c>
      <c r="CB153" s="9">
        <f>C153-B153</f>
        <v>0</v>
      </c>
      <c r="CC153" s="9">
        <f>D153-C153</f>
        <v>0</v>
      </c>
      <c r="CD153" s="9">
        <f>E153-D153</f>
        <v>0</v>
      </c>
      <c r="CE153" s="9">
        <f>F153-E153</f>
        <v>0</v>
      </c>
      <c r="CF153" s="9">
        <f>G153-F153</f>
        <v>0</v>
      </c>
      <c r="CG153" s="33"/>
      <c r="CH153" s="9">
        <f>C153-B153</f>
        <v>0</v>
      </c>
      <c r="CI153" s="9">
        <f>D153-C153</f>
        <v>0</v>
      </c>
      <c r="CJ153" s="9">
        <f>E153-D153</f>
        <v>0</v>
      </c>
      <c r="CK153" s="9">
        <f>F153-E153</f>
        <v>0</v>
      </c>
      <c r="CL153" s="9">
        <f>G153-F153</f>
        <v>0</v>
      </c>
      <c r="CM153" s="32"/>
      <c r="CN153" s="3">
        <f>IF(OR(CH153="",ISBLANK(CH153),CH153=0),0,IF(MOD(CH153,2)=1,1,2))</f>
        <v>0</v>
      </c>
      <c r="CO153" s="3">
        <f>IF(OR(CI153="",ISBLANK(CI153),CI153=0),0,IF(MOD(CI153,2)=1,1,2))</f>
        <v>0</v>
      </c>
      <c r="CP153" s="3">
        <f>IF(OR(CJ153="",ISBLANK(CJ153),CJ153=0),0,IF(MOD(CJ153,2)=1,1,2))</f>
        <v>0</v>
      </c>
      <c r="CQ153" s="3">
        <f>IF(OR(CK153="",ISBLANK(CK153),CK153=0),0,IF(MOD(CK153,2)=1,1,2))</f>
        <v>0</v>
      </c>
      <c r="CR153" s="3">
        <f>IF(OR(CL153="",ISBLANK(CL153),CL153=0),0,IF(MOD(CL153,2)=1,1,2))</f>
        <v>0</v>
      </c>
      <c r="CS153" s="31"/>
      <c r="CT153" s="3" cm="1">
        <f t="array" ref="CT153">SUMPRODUCT(--(MOD(CH153:CL153,2)=1))</f>
        <v>0</v>
      </c>
      <c r="CU153" s="3">
        <f>5-CT153</f>
        <v>5</v>
      </c>
      <c r="CV153" s="30"/>
      <c r="CW153" s="3" cm="1">
        <f t="array" ref="CW153">SUMPRODUCT(--(MOD(CH153:CL153,10)&gt;=1), --(MOD(CH153:CL153,10)&lt;=5))</f>
        <v>0</v>
      </c>
      <c r="CX153" s="3">
        <f>5-CW153</f>
        <v>5</v>
      </c>
      <c r="CY153" s="30"/>
      <c r="CZ153" s="3" cm="1">
        <f t="array" ref="CZ153">IFERROR(COUNT(_xlfn._xlws.FILTER(CH153:CL153, ISNUMBER(MATCH(CH153:CL153, {2,3,5,7,11,13,17,19,23,29,31,37,41,43}, 0)))), 0)</f>
        <v>0</v>
      </c>
      <c r="DA153" s="3" cm="1">
        <f t="array" ref="DA153">IFERROR(COUNT(_xlfn._xlws.FILTER(CH153:CL153, ISNUMBER(MATCH(CH153:CL153, {1,4,8,10,14,16,20,22,25,26,28,32,34,35,38,40,44}, 0)))), 0)</f>
        <v>0</v>
      </c>
      <c r="DB153" s="3" cm="1">
        <f t="array" ref="DB153">IFERROR(COUNT(_xlfn._xlws.FILTER(CH153:CL153, ISNUMBER(MATCH(CH153:CL153, {6,9,12,15,18,21,24,27,30,33,36,39,42,45}, 0)))), 0)</f>
        <v>0</v>
      </c>
      <c r="DC153" s="29"/>
      <c r="DD153" s="28" t="e">
        <f>#REF!</f>
        <v>#REF!</v>
      </c>
      <c r="DE153" s="28" t="e">
        <f>#REF!*2</f>
        <v>#REF!</v>
      </c>
      <c r="DF153" s="28" t="e">
        <f>#REF!</f>
        <v>#REF!</v>
      </c>
      <c r="DG153" s="28" t="e">
        <f>#REF!*2</f>
        <v>#REF!</v>
      </c>
      <c r="DH153" s="28" t="e">
        <f>#REF!</f>
        <v>#REF!</v>
      </c>
      <c r="DI153" s="28" t="e">
        <f>#REF!*2</f>
        <v>#REF!</v>
      </c>
      <c r="DJ153" s="28" t="e">
        <f>#REF!</f>
        <v>#REF!</v>
      </c>
      <c r="DK153" s="28" t="e">
        <f>#REF!*2</f>
        <v>#REF!</v>
      </c>
      <c r="DL153" s="28" t="e">
        <f>#REF!</f>
        <v>#REF!</v>
      </c>
      <c r="DM153" s="28" t="e">
        <f>#REF!*2</f>
        <v>#REF!</v>
      </c>
      <c r="DN153" s="27"/>
      <c r="DO153" s="26"/>
      <c r="DP153" s="26"/>
      <c r="DQ153" s="26"/>
      <c r="DR153" s="26"/>
      <c r="DS153" s="26"/>
      <c r="DT153" s="25"/>
    </row>
    <row r="154" spans="2:124" x14ac:dyDescent="0.3"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2"/>
      <c r="I154" s="3">
        <f>IF(OR(B154="",ISBLANK(B154),B154=0),0,IF(MOD(B154,2)=1,1,2))</f>
        <v>0</v>
      </c>
      <c r="J154" s="3">
        <f>IF(OR(C154="",ISBLANK(C154),C154=0),0,IF(MOD(C154,2)=1,1,2))</f>
        <v>0</v>
      </c>
      <c r="K154" s="3">
        <f>IF(OR(D154="",ISBLANK(D154),D154=0),0,IF(MOD(D154,2)=1,1,2))</f>
        <v>0</v>
      </c>
      <c r="L154" s="3">
        <f>IF(OR(E154="",ISBLANK(E154),E154=0),0,IF(MOD(E154,2)=1,1,2))</f>
        <v>0</v>
      </c>
      <c r="M154" s="3">
        <f>IF(OR(F154="",ISBLANK(F154),F154=0),0,IF(MOD(F154,2)=1,1,2))</f>
        <v>0</v>
      </c>
      <c r="N154" s="3">
        <f>IF(OR(G154="",ISBLANK(G154),G154=0),0,IF(MOD(G154,2)=1,1,2))</f>
        <v>0</v>
      </c>
      <c r="O154" s="32"/>
      <c r="P154" s="3" cm="1">
        <f t="array" ref="P154">SUMPRODUCT(--(MOD(B154:G154,2)=1))</f>
        <v>0</v>
      </c>
      <c r="Q154" s="3">
        <f>6-P154</f>
        <v>6</v>
      </c>
      <c r="R154" s="34"/>
      <c r="S154" s="3">
        <f>COUNTIFS(B154:G154,"&gt;=1",B154:G154,"&lt;=23")</f>
        <v>0</v>
      </c>
      <c r="T154" s="3">
        <f>6-S154</f>
        <v>6</v>
      </c>
      <c r="U154" s="34"/>
      <c r="V154" s="3" cm="1">
        <f t="array" ref="V154">SUMPRODUCT(--(MOD(B154:G154,10)&gt;=1), --(MOD(B154:G154,10)&lt;=5))</f>
        <v>0</v>
      </c>
      <c r="W154" s="3">
        <f>6-V154</f>
        <v>6</v>
      </c>
      <c r="X154" s="34"/>
      <c r="Y154" s="3" cm="1">
        <f t="array" ref="Y154">IFERROR(COUNT(_xlfn._xlws.FILTER(B154:G154, ISNUMBER(MATCH(B154:G154, {2,3,5,7,11,13,17,19,23,29,31,37,41,43}, 0)))), 0)</f>
        <v>0</v>
      </c>
      <c r="Z154" s="3" cm="1">
        <f t="array" ref="Z154">IFERROR(COUNT(_xlfn._xlws.FILTER(B154:G154, ISNUMBER(MATCH(B154:G154, {1,4,8,10,14,16,20,22,25,26,28,32,34,35,38,40,44}, 0)))), 0)</f>
        <v>0</v>
      </c>
      <c r="AA154" s="3" cm="1">
        <f t="array" ref="AA154">IFERROR(COUNT(_xlfn._xlws.FILTER(B154:G154, ISNUMBER(MATCH(B154:G154, {6,9,12,15,18,21,24,27,30,33,36,39,42,45}, 0)))), 0)</f>
        <v>0</v>
      </c>
      <c r="AB154" s="30"/>
      <c r="AC154" s="26" cm="1">
        <f t="array" ref="AC154">_xlfn.IFS(
   OR(B154="",ISBLANK(B154),B154=0),0,
   ISNUMBER(MATCH(B154,{2,3,5,7,11,13,17,19,23,29,31,37,41,43},0)),"소",
   AND(ISNUMBER(B154),MOD(B154,3)=0),"배",
   AND(ISNUMBER(B154),B154&gt;0),"자"
)</f>
        <v>0</v>
      </c>
      <c r="AD154" s="26" cm="1">
        <f t="array" ref="AD154">_xlfn.IFS(
   OR(C154="",ISBLANK(C154),C154=0),0,
   ISNUMBER(MATCH(C154,{2,3,5,7,11,13,17,19,23,29,31,37,41,43},0)),"소",
   AND(ISNUMBER(C154),MOD(C154,3)=0),"배",
   AND(ISNUMBER(C154),C154&gt;0),"자"
)</f>
        <v>0</v>
      </c>
      <c r="AE154" s="26" cm="1">
        <f t="array" ref="AE154">_xlfn.IFS(
   OR(D154="",ISBLANK(D154),D154=0),0,
   ISNUMBER(MATCH(D154,{2,3,5,7,11,13,17,19,23,29,31,37,41,43},0)),"소",
   AND(ISNUMBER(D154),MOD(D154,3)=0),"배",
   AND(ISNUMBER(D154),D154&gt;0),"자"
)</f>
        <v>0</v>
      </c>
      <c r="AF154" s="26" cm="1">
        <f t="array" ref="AF154">_xlfn.IFS(
   OR(E154="",ISBLANK(E154),E154=0),0,
   ISNUMBER(MATCH(E154,{2,3,5,7,11,13,17,19,23,29,31,37,41,43},0)),"소",
   AND(ISNUMBER(E154),MOD(E154,3)=0),"배",
   AND(ISNUMBER(E154),E154&gt;0),"자"
)</f>
        <v>0</v>
      </c>
      <c r="AG154" s="26" cm="1">
        <f t="array" ref="AG154">_xlfn.IFS(
   OR(F154="",ISBLANK(F154),F154=0),0,
   ISNUMBER(MATCH(F154,{2,3,5,7,11,13,17,19,23,29,31,37,41,43},0)),"소",
   AND(ISNUMBER(F154),MOD(F154,3)=0),"배",
   AND(ISNUMBER(F154),F154&gt;0),"자"
)</f>
        <v>0</v>
      </c>
      <c r="AH154" s="26" cm="1">
        <f t="array" ref="AH154">_xlfn.IFS(
   OR(G154="",ISBLANK(G154),G154=0),0,
   ISNUMBER(MATCH(G154,{2,3,5,7,11,13,17,19,23,29,31,37,41,43},0)),"소",
   AND(ISNUMBER(G154),MOD(G154,3)=0),"배",
   AND(ISNUMBER(G154),G154&gt;0),"자"
)</f>
        <v>0</v>
      </c>
      <c r="AI154" s="30"/>
      <c r="AJ154" s="3">
        <f>COUNTIFS(B154:G154,"&gt;=1",B154:G154,"&lt;=14")</f>
        <v>0</v>
      </c>
      <c r="AK154" s="3">
        <f>COUNTIFS(B154:G154,"&gt;=15",B154:G154,"&lt;=31")</f>
        <v>0</v>
      </c>
      <c r="AL154" s="3">
        <f>6-AK154-AJ154</f>
        <v>6</v>
      </c>
      <c r="AM154" s="33"/>
      <c r="AN154" s="3">
        <f>COUNTIFS($B154:$G154, "&gt;=1",$B154:$G154, "&lt;=9")</f>
        <v>0</v>
      </c>
      <c r="AO154" s="3">
        <f>COUNTIFS($B154:$G154, "&gt;=10",$B154:$G154, "&lt;=18")</f>
        <v>0</v>
      </c>
      <c r="AP154" s="3">
        <f>COUNTIFS($B154:$G154, "&gt;=19",$B154:$G154, "&lt;=27")</f>
        <v>0</v>
      </c>
      <c r="AQ154" s="3">
        <f>COUNTIFS($B154:$G154, "&gt;=28",$B154:$G154, "&lt;=36")</f>
        <v>0</v>
      </c>
      <c r="AR154" s="3">
        <f>COUNTIFS($B154:$G154, "&gt;=37",$B154:$G154, "&lt;=45")</f>
        <v>0</v>
      </c>
      <c r="AS154" s="28" t="e">
        <f>#REF!</f>
        <v>#REF!</v>
      </c>
      <c r="AT154" s="28" t="e">
        <f>#REF!*2</f>
        <v>#REF!</v>
      </c>
      <c r="AU154" s="28" t="e">
        <f>#REF!</f>
        <v>#REF!</v>
      </c>
      <c r="AV154" s="28" t="e">
        <f>#REF!*2</f>
        <v>#REF!</v>
      </c>
      <c r="AW154" s="28" t="e">
        <f>#REF!</f>
        <v>#REF!</v>
      </c>
      <c r="AX154" s="28" t="e">
        <f>#REF!*2</f>
        <v>#REF!</v>
      </c>
      <c r="AY154" s="28" t="e">
        <f>#REF!</f>
        <v>#REF!</v>
      </c>
      <c r="AZ154" s="28" t="e">
        <f>#REF!*2</f>
        <v>#REF!</v>
      </c>
      <c r="BA154" s="28" t="e">
        <f>#REF!</f>
        <v>#REF!</v>
      </c>
      <c r="BB154" s="28" t="e">
        <f>#REF!*2</f>
        <v>#REF!</v>
      </c>
      <c r="BC154" s="28" t="e">
        <f>#REF!</f>
        <v>#REF!</v>
      </c>
      <c r="BD154" s="28" t="e">
        <f>#REF!*2</f>
        <v>#REF!</v>
      </c>
      <c r="BE154" s="9" t="e">
        <f>#REF!-#REF!</f>
        <v>#REF!</v>
      </c>
      <c r="BF154" s="9" t="e">
        <f>#REF!-#REF!</f>
        <v>#REF!</v>
      </c>
      <c r="BG154" s="9" t="e">
        <f>#REF!-#REF!</f>
        <v>#REF!</v>
      </c>
      <c r="BH154" s="9" t="e">
        <f>#REF!-#REF!</f>
        <v>#REF!</v>
      </c>
      <c r="BI154" s="9" t="e">
        <f>#REF!-#REF!</f>
        <v>#REF!</v>
      </c>
      <c r="BJ154" s="33"/>
      <c r="BK154" s="3">
        <f>COUNTIFS(B154:G154, "&gt;=1", B154:G154, "&lt;=9")</f>
        <v>0</v>
      </c>
      <c r="BL154" s="3">
        <f>COUNTIFS(B154:G154, "&gt;=10", B154:G154, "&lt;=19")</f>
        <v>0</v>
      </c>
      <c r="BM154" s="3">
        <f>COUNTIFS(B154:G154, "&gt;=20", B154:G154, "&lt;=29")</f>
        <v>0</v>
      </c>
      <c r="BN154" s="3">
        <f>COUNTIFS(B154:G154, "&gt;=30", B154:G154, "&lt;=39")</f>
        <v>0</v>
      </c>
      <c r="BO154" s="3">
        <f>COUNTIFS(B154:G154, "&gt;=40", B154:G154, "&lt;=45")</f>
        <v>0</v>
      </c>
      <c r="BP154" s="28" t="e">
        <f>#REF!</f>
        <v>#REF!</v>
      </c>
      <c r="BQ154" s="28" t="e">
        <f>#REF!*2</f>
        <v>#REF!</v>
      </c>
      <c r="BR154" s="28" t="e">
        <f>#REF!</f>
        <v>#REF!</v>
      </c>
      <c r="BS154" s="28" t="e">
        <f>#REF!*2</f>
        <v>#REF!</v>
      </c>
      <c r="BT154" s="28" t="e">
        <f>#REF!</f>
        <v>#REF!</v>
      </c>
      <c r="BU154" s="28" t="e">
        <f>#REF!*2</f>
        <v>#REF!</v>
      </c>
      <c r="BV154" s="28" t="e">
        <f>#REF!</f>
        <v>#REF!</v>
      </c>
      <c r="BW154" s="28" t="e">
        <f>#REF!*2</f>
        <v>#REF!</v>
      </c>
      <c r="BX154" s="28" t="e">
        <f>#REF!</f>
        <v>#REF!</v>
      </c>
      <c r="BY154" s="28" t="e">
        <f>#REF!*2</f>
        <v>#REF!</v>
      </c>
      <c r="BZ154" s="28" t="e">
        <f>#REF!</f>
        <v>#REF!</v>
      </c>
      <c r="CA154" s="28" t="e">
        <f>#REF!*2</f>
        <v>#REF!</v>
      </c>
      <c r="CB154" s="9">
        <f>C154-B154</f>
        <v>0</v>
      </c>
      <c r="CC154" s="9">
        <f>D154-C154</f>
        <v>0</v>
      </c>
      <c r="CD154" s="9">
        <f>E154-D154</f>
        <v>0</v>
      </c>
      <c r="CE154" s="9">
        <f>F154-E154</f>
        <v>0</v>
      </c>
      <c r="CF154" s="9">
        <f>G154-F154</f>
        <v>0</v>
      </c>
      <c r="CG154" s="33"/>
      <c r="CH154" s="9">
        <f>C154-B154</f>
        <v>0</v>
      </c>
      <c r="CI154" s="9">
        <f>D154-C154</f>
        <v>0</v>
      </c>
      <c r="CJ154" s="9">
        <f>E154-D154</f>
        <v>0</v>
      </c>
      <c r="CK154" s="9">
        <f>F154-E154</f>
        <v>0</v>
      </c>
      <c r="CL154" s="9">
        <f>G154-F154</f>
        <v>0</v>
      </c>
      <c r="CM154" s="32"/>
      <c r="CN154" s="3">
        <f>IF(OR(CH154="",ISBLANK(CH154),CH154=0),0,IF(MOD(CH154,2)=1,1,2))</f>
        <v>0</v>
      </c>
      <c r="CO154" s="3">
        <f>IF(OR(CI154="",ISBLANK(CI154),CI154=0),0,IF(MOD(CI154,2)=1,1,2))</f>
        <v>0</v>
      </c>
      <c r="CP154" s="3">
        <f>IF(OR(CJ154="",ISBLANK(CJ154),CJ154=0),0,IF(MOD(CJ154,2)=1,1,2))</f>
        <v>0</v>
      </c>
      <c r="CQ154" s="3">
        <f>IF(OR(CK154="",ISBLANK(CK154),CK154=0),0,IF(MOD(CK154,2)=1,1,2))</f>
        <v>0</v>
      </c>
      <c r="CR154" s="3">
        <f>IF(OR(CL154="",ISBLANK(CL154),CL154=0),0,IF(MOD(CL154,2)=1,1,2))</f>
        <v>0</v>
      </c>
      <c r="CS154" s="31"/>
      <c r="CT154" s="3" cm="1">
        <f t="array" ref="CT154">SUMPRODUCT(--(MOD(CH154:CL154,2)=1))</f>
        <v>0</v>
      </c>
      <c r="CU154" s="3">
        <f>5-CT154</f>
        <v>5</v>
      </c>
      <c r="CV154" s="30"/>
      <c r="CW154" s="3" cm="1">
        <f t="array" ref="CW154">SUMPRODUCT(--(MOD(CH154:CL154,10)&gt;=1), --(MOD(CH154:CL154,10)&lt;=5))</f>
        <v>0</v>
      </c>
      <c r="CX154" s="3">
        <f>5-CW154</f>
        <v>5</v>
      </c>
      <c r="CY154" s="30"/>
      <c r="CZ154" s="3" cm="1">
        <f t="array" ref="CZ154">IFERROR(COUNT(_xlfn._xlws.FILTER(CH154:CL154, ISNUMBER(MATCH(CH154:CL154, {2,3,5,7,11,13,17,19,23,29,31,37,41,43}, 0)))), 0)</f>
        <v>0</v>
      </c>
      <c r="DA154" s="3" cm="1">
        <f t="array" ref="DA154">IFERROR(COUNT(_xlfn._xlws.FILTER(CH154:CL154, ISNUMBER(MATCH(CH154:CL154, {1,4,8,10,14,16,20,22,25,26,28,32,34,35,38,40,44}, 0)))), 0)</f>
        <v>0</v>
      </c>
      <c r="DB154" s="3" cm="1">
        <f t="array" ref="DB154">IFERROR(COUNT(_xlfn._xlws.FILTER(CH154:CL154, ISNUMBER(MATCH(CH154:CL154, {6,9,12,15,18,21,24,27,30,33,36,39,42,45}, 0)))), 0)</f>
        <v>0</v>
      </c>
      <c r="DC154" s="29"/>
      <c r="DD154" s="28" t="e">
        <f>#REF!</f>
        <v>#REF!</v>
      </c>
      <c r="DE154" s="28" t="e">
        <f>#REF!*2</f>
        <v>#REF!</v>
      </c>
      <c r="DF154" s="28" t="e">
        <f>#REF!</f>
        <v>#REF!</v>
      </c>
      <c r="DG154" s="28" t="e">
        <f>#REF!*2</f>
        <v>#REF!</v>
      </c>
      <c r="DH154" s="28" t="e">
        <f>#REF!</f>
        <v>#REF!</v>
      </c>
      <c r="DI154" s="28" t="e">
        <f>#REF!*2</f>
        <v>#REF!</v>
      </c>
      <c r="DJ154" s="28" t="e">
        <f>#REF!</f>
        <v>#REF!</v>
      </c>
      <c r="DK154" s="28" t="e">
        <f>#REF!*2</f>
        <v>#REF!</v>
      </c>
      <c r="DL154" s="28" t="e">
        <f>#REF!</f>
        <v>#REF!</v>
      </c>
      <c r="DM154" s="28" t="e">
        <f>#REF!*2</f>
        <v>#REF!</v>
      </c>
      <c r="DN154" s="27"/>
      <c r="DO154" s="26"/>
      <c r="DP154" s="26"/>
      <c r="DQ154" s="26"/>
      <c r="DR154" s="26"/>
      <c r="DS154" s="26"/>
      <c r="DT154" s="25"/>
    </row>
    <row r="155" spans="2:124" x14ac:dyDescent="0.3"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2"/>
      <c r="I155" s="3">
        <f>IF(OR(B155="",ISBLANK(B155),B155=0),0,IF(MOD(B155,2)=1,1,2))</f>
        <v>0</v>
      </c>
      <c r="J155" s="3">
        <f>IF(OR(C155="",ISBLANK(C155),C155=0),0,IF(MOD(C155,2)=1,1,2))</f>
        <v>0</v>
      </c>
      <c r="K155" s="3">
        <f>IF(OR(D155="",ISBLANK(D155),D155=0),0,IF(MOD(D155,2)=1,1,2))</f>
        <v>0</v>
      </c>
      <c r="L155" s="3">
        <f>IF(OR(E155="",ISBLANK(E155),E155=0),0,IF(MOD(E155,2)=1,1,2))</f>
        <v>0</v>
      </c>
      <c r="M155" s="3">
        <f>IF(OR(F155="",ISBLANK(F155),F155=0),0,IF(MOD(F155,2)=1,1,2))</f>
        <v>0</v>
      </c>
      <c r="N155" s="3">
        <f>IF(OR(G155="",ISBLANK(G155),G155=0),0,IF(MOD(G155,2)=1,1,2))</f>
        <v>0</v>
      </c>
      <c r="O155" s="32"/>
      <c r="P155" s="3" cm="1">
        <f t="array" ref="P155">SUMPRODUCT(--(MOD(B155:G155,2)=1))</f>
        <v>0</v>
      </c>
      <c r="Q155" s="3">
        <f>6-P155</f>
        <v>6</v>
      </c>
      <c r="R155" s="34"/>
      <c r="S155" s="3">
        <f>COUNTIFS(B155:G155,"&gt;=1",B155:G155,"&lt;=23")</f>
        <v>0</v>
      </c>
      <c r="T155" s="3">
        <f>6-S155</f>
        <v>6</v>
      </c>
      <c r="U155" s="34"/>
      <c r="V155" s="3" cm="1">
        <f t="array" ref="V155">SUMPRODUCT(--(MOD(B155:G155,10)&gt;=1), --(MOD(B155:G155,10)&lt;=5))</f>
        <v>0</v>
      </c>
      <c r="W155" s="3">
        <f>6-V155</f>
        <v>6</v>
      </c>
      <c r="X155" s="34"/>
      <c r="Y155" s="3" cm="1">
        <f t="array" ref="Y155">IFERROR(COUNT(_xlfn._xlws.FILTER(B155:G155, ISNUMBER(MATCH(B155:G155, {2,3,5,7,11,13,17,19,23,29,31,37,41,43}, 0)))), 0)</f>
        <v>0</v>
      </c>
      <c r="Z155" s="3" cm="1">
        <f t="array" ref="Z155">IFERROR(COUNT(_xlfn._xlws.FILTER(B155:G155, ISNUMBER(MATCH(B155:G155, {1,4,8,10,14,16,20,22,25,26,28,32,34,35,38,40,44}, 0)))), 0)</f>
        <v>0</v>
      </c>
      <c r="AA155" s="3" cm="1">
        <f t="array" ref="AA155">IFERROR(COUNT(_xlfn._xlws.FILTER(B155:G155, ISNUMBER(MATCH(B155:G155, {6,9,12,15,18,21,24,27,30,33,36,39,42,45}, 0)))), 0)</f>
        <v>0</v>
      </c>
      <c r="AB155" s="30"/>
      <c r="AC155" s="26" cm="1">
        <f t="array" ref="AC155">_xlfn.IFS(
   OR(B155="",ISBLANK(B155),B155=0),0,
   ISNUMBER(MATCH(B155,{2,3,5,7,11,13,17,19,23,29,31,37,41,43},0)),"소",
   AND(ISNUMBER(B155),MOD(B155,3)=0),"배",
   AND(ISNUMBER(B155),B155&gt;0),"자"
)</f>
        <v>0</v>
      </c>
      <c r="AD155" s="26" cm="1">
        <f t="array" ref="AD155">_xlfn.IFS(
   OR(C155="",ISBLANK(C155),C155=0),0,
   ISNUMBER(MATCH(C155,{2,3,5,7,11,13,17,19,23,29,31,37,41,43},0)),"소",
   AND(ISNUMBER(C155),MOD(C155,3)=0),"배",
   AND(ISNUMBER(C155),C155&gt;0),"자"
)</f>
        <v>0</v>
      </c>
      <c r="AE155" s="26" cm="1">
        <f t="array" ref="AE155">_xlfn.IFS(
   OR(D155="",ISBLANK(D155),D155=0),0,
   ISNUMBER(MATCH(D155,{2,3,5,7,11,13,17,19,23,29,31,37,41,43},0)),"소",
   AND(ISNUMBER(D155),MOD(D155,3)=0),"배",
   AND(ISNUMBER(D155),D155&gt;0),"자"
)</f>
        <v>0</v>
      </c>
      <c r="AF155" s="26" cm="1">
        <f t="array" ref="AF155">_xlfn.IFS(
   OR(E155="",ISBLANK(E155),E155=0),0,
   ISNUMBER(MATCH(E155,{2,3,5,7,11,13,17,19,23,29,31,37,41,43},0)),"소",
   AND(ISNUMBER(E155),MOD(E155,3)=0),"배",
   AND(ISNUMBER(E155),E155&gt;0),"자"
)</f>
        <v>0</v>
      </c>
      <c r="AG155" s="26" cm="1">
        <f t="array" ref="AG155">_xlfn.IFS(
   OR(F155="",ISBLANK(F155),F155=0),0,
   ISNUMBER(MATCH(F155,{2,3,5,7,11,13,17,19,23,29,31,37,41,43},0)),"소",
   AND(ISNUMBER(F155),MOD(F155,3)=0),"배",
   AND(ISNUMBER(F155),F155&gt;0),"자"
)</f>
        <v>0</v>
      </c>
      <c r="AH155" s="26" cm="1">
        <f t="array" ref="AH155">_xlfn.IFS(
   OR(G155="",ISBLANK(G155),G155=0),0,
   ISNUMBER(MATCH(G155,{2,3,5,7,11,13,17,19,23,29,31,37,41,43},0)),"소",
   AND(ISNUMBER(G155),MOD(G155,3)=0),"배",
   AND(ISNUMBER(G155),G155&gt;0),"자"
)</f>
        <v>0</v>
      </c>
      <c r="AI155" s="30"/>
      <c r="AJ155" s="3">
        <f>COUNTIFS(B155:G155,"&gt;=1",B155:G155,"&lt;=14")</f>
        <v>0</v>
      </c>
      <c r="AK155" s="3">
        <f>COUNTIFS(B155:G155,"&gt;=15",B155:G155,"&lt;=31")</f>
        <v>0</v>
      </c>
      <c r="AL155" s="3">
        <f>6-AK155-AJ155</f>
        <v>6</v>
      </c>
      <c r="AM155" s="33"/>
      <c r="AN155" s="3">
        <f>COUNTIFS($B155:$G155, "&gt;=1",$B155:$G155, "&lt;=9")</f>
        <v>0</v>
      </c>
      <c r="AO155" s="3">
        <f>COUNTIFS($B155:$G155, "&gt;=10",$B155:$G155, "&lt;=18")</f>
        <v>0</v>
      </c>
      <c r="AP155" s="3">
        <f>COUNTIFS($B155:$G155, "&gt;=19",$B155:$G155, "&lt;=27")</f>
        <v>0</v>
      </c>
      <c r="AQ155" s="3">
        <f>COUNTIFS($B155:$G155, "&gt;=28",$B155:$G155, "&lt;=36")</f>
        <v>0</v>
      </c>
      <c r="AR155" s="3">
        <f>COUNTIFS($B155:$G155, "&gt;=37",$B155:$G155, "&lt;=45")</f>
        <v>0</v>
      </c>
      <c r="AS155" s="28" t="e">
        <f>#REF!</f>
        <v>#REF!</v>
      </c>
      <c r="AT155" s="28" t="e">
        <f>#REF!*2</f>
        <v>#REF!</v>
      </c>
      <c r="AU155" s="28" t="e">
        <f>#REF!</f>
        <v>#REF!</v>
      </c>
      <c r="AV155" s="28" t="e">
        <f>#REF!*2</f>
        <v>#REF!</v>
      </c>
      <c r="AW155" s="28" t="e">
        <f>#REF!</f>
        <v>#REF!</v>
      </c>
      <c r="AX155" s="28" t="e">
        <f>#REF!*2</f>
        <v>#REF!</v>
      </c>
      <c r="AY155" s="28" t="e">
        <f>#REF!</f>
        <v>#REF!</v>
      </c>
      <c r="AZ155" s="28" t="e">
        <f>#REF!*2</f>
        <v>#REF!</v>
      </c>
      <c r="BA155" s="28" t="e">
        <f>#REF!</f>
        <v>#REF!</v>
      </c>
      <c r="BB155" s="28" t="e">
        <f>#REF!*2</f>
        <v>#REF!</v>
      </c>
      <c r="BC155" s="28" t="e">
        <f>#REF!</f>
        <v>#REF!</v>
      </c>
      <c r="BD155" s="28" t="e">
        <f>#REF!*2</f>
        <v>#REF!</v>
      </c>
      <c r="BE155" s="9" t="e">
        <f>#REF!-#REF!</f>
        <v>#REF!</v>
      </c>
      <c r="BF155" s="9" t="e">
        <f>#REF!-#REF!</f>
        <v>#REF!</v>
      </c>
      <c r="BG155" s="9" t="e">
        <f>#REF!-#REF!</f>
        <v>#REF!</v>
      </c>
      <c r="BH155" s="9" t="e">
        <f>#REF!-#REF!</f>
        <v>#REF!</v>
      </c>
      <c r="BI155" s="9" t="e">
        <f>#REF!-#REF!</f>
        <v>#REF!</v>
      </c>
      <c r="BJ155" s="33"/>
      <c r="BK155" s="3">
        <f>COUNTIFS(B155:G155, "&gt;=1", B155:G155, "&lt;=9")</f>
        <v>0</v>
      </c>
      <c r="BL155" s="3">
        <f>COUNTIFS(B155:G155, "&gt;=10", B155:G155, "&lt;=19")</f>
        <v>0</v>
      </c>
      <c r="BM155" s="3">
        <f>COUNTIFS(B155:G155, "&gt;=20", B155:G155, "&lt;=29")</f>
        <v>0</v>
      </c>
      <c r="BN155" s="3">
        <f>COUNTIFS(B155:G155, "&gt;=30", B155:G155, "&lt;=39")</f>
        <v>0</v>
      </c>
      <c r="BO155" s="3">
        <f>COUNTIFS(B155:G155, "&gt;=40", B155:G155, "&lt;=45")</f>
        <v>0</v>
      </c>
      <c r="BP155" s="28" t="e">
        <f>#REF!</f>
        <v>#REF!</v>
      </c>
      <c r="BQ155" s="28" t="e">
        <f>#REF!*2</f>
        <v>#REF!</v>
      </c>
      <c r="BR155" s="28" t="e">
        <f>#REF!</f>
        <v>#REF!</v>
      </c>
      <c r="BS155" s="28" t="e">
        <f>#REF!*2</f>
        <v>#REF!</v>
      </c>
      <c r="BT155" s="28" t="e">
        <f>#REF!</f>
        <v>#REF!</v>
      </c>
      <c r="BU155" s="28" t="e">
        <f>#REF!*2</f>
        <v>#REF!</v>
      </c>
      <c r="BV155" s="28" t="e">
        <f>#REF!</f>
        <v>#REF!</v>
      </c>
      <c r="BW155" s="28" t="e">
        <f>#REF!*2</f>
        <v>#REF!</v>
      </c>
      <c r="BX155" s="28" t="e">
        <f>#REF!</f>
        <v>#REF!</v>
      </c>
      <c r="BY155" s="28" t="e">
        <f>#REF!*2</f>
        <v>#REF!</v>
      </c>
      <c r="BZ155" s="28" t="e">
        <f>#REF!</f>
        <v>#REF!</v>
      </c>
      <c r="CA155" s="28" t="e">
        <f>#REF!*2</f>
        <v>#REF!</v>
      </c>
      <c r="CB155" s="9">
        <f>C155-B155</f>
        <v>0</v>
      </c>
      <c r="CC155" s="9">
        <f>D155-C155</f>
        <v>0</v>
      </c>
      <c r="CD155" s="9">
        <f>E155-D155</f>
        <v>0</v>
      </c>
      <c r="CE155" s="9">
        <f>F155-E155</f>
        <v>0</v>
      </c>
      <c r="CF155" s="9">
        <f>G155-F155</f>
        <v>0</v>
      </c>
      <c r="CG155" s="33"/>
      <c r="CH155" s="9">
        <f>C155-B155</f>
        <v>0</v>
      </c>
      <c r="CI155" s="9">
        <f>D155-C155</f>
        <v>0</v>
      </c>
      <c r="CJ155" s="9">
        <f>E155-D155</f>
        <v>0</v>
      </c>
      <c r="CK155" s="9">
        <f>F155-E155</f>
        <v>0</v>
      </c>
      <c r="CL155" s="9">
        <f>G155-F155</f>
        <v>0</v>
      </c>
      <c r="CM155" s="32"/>
      <c r="CN155" s="3">
        <f>IF(OR(CH155="",ISBLANK(CH155),CH155=0),0,IF(MOD(CH155,2)=1,1,2))</f>
        <v>0</v>
      </c>
      <c r="CO155" s="3">
        <f>IF(OR(CI155="",ISBLANK(CI155),CI155=0),0,IF(MOD(CI155,2)=1,1,2))</f>
        <v>0</v>
      </c>
      <c r="CP155" s="3">
        <f>IF(OR(CJ155="",ISBLANK(CJ155),CJ155=0),0,IF(MOD(CJ155,2)=1,1,2))</f>
        <v>0</v>
      </c>
      <c r="CQ155" s="3">
        <f>IF(OR(CK155="",ISBLANK(CK155),CK155=0),0,IF(MOD(CK155,2)=1,1,2))</f>
        <v>0</v>
      </c>
      <c r="CR155" s="3">
        <f>IF(OR(CL155="",ISBLANK(CL155),CL155=0),0,IF(MOD(CL155,2)=1,1,2))</f>
        <v>0</v>
      </c>
      <c r="CS155" s="31"/>
      <c r="CT155" s="3" cm="1">
        <f t="array" ref="CT155">SUMPRODUCT(--(MOD(CH155:CL155,2)=1))</f>
        <v>0</v>
      </c>
      <c r="CU155" s="3">
        <f>5-CT155</f>
        <v>5</v>
      </c>
      <c r="CV155" s="30"/>
      <c r="CW155" s="3" cm="1">
        <f t="array" ref="CW155">SUMPRODUCT(--(MOD(CH155:CL155,10)&gt;=1), --(MOD(CH155:CL155,10)&lt;=5))</f>
        <v>0</v>
      </c>
      <c r="CX155" s="3">
        <f>5-CW155</f>
        <v>5</v>
      </c>
      <c r="CY155" s="30"/>
      <c r="CZ155" s="3" cm="1">
        <f t="array" ref="CZ155">IFERROR(COUNT(_xlfn._xlws.FILTER(CH155:CL155, ISNUMBER(MATCH(CH155:CL155, {2,3,5,7,11,13,17,19,23,29,31,37,41,43}, 0)))), 0)</f>
        <v>0</v>
      </c>
      <c r="DA155" s="3" cm="1">
        <f t="array" ref="DA155">IFERROR(COUNT(_xlfn._xlws.FILTER(CH155:CL155, ISNUMBER(MATCH(CH155:CL155, {1,4,8,10,14,16,20,22,25,26,28,32,34,35,38,40,44}, 0)))), 0)</f>
        <v>0</v>
      </c>
      <c r="DB155" s="3" cm="1">
        <f t="array" ref="DB155">IFERROR(COUNT(_xlfn._xlws.FILTER(CH155:CL155, ISNUMBER(MATCH(CH155:CL155, {6,9,12,15,18,21,24,27,30,33,36,39,42,45}, 0)))), 0)</f>
        <v>0</v>
      </c>
      <c r="DC155" s="29"/>
      <c r="DD155" s="28" t="e">
        <f>#REF!</f>
        <v>#REF!</v>
      </c>
      <c r="DE155" s="28" t="e">
        <f>#REF!*2</f>
        <v>#REF!</v>
      </c>
      <c r="DF155" s="28" t="e">
        <f>#REF!</f>
        <v>#REF!</v>
      </c>
      <c r="DG155" s="28" t="e">
        <f>#REF!*2</f>
        <v>#REF!</v>
      </c>
      <c r="DH155" s="28" t="e">
        <f>#REF!</f>
        <v>#REF!</v>
      </c>
      <c r="DI155" s="28" t="e">
        <f>#REF!*2</f>
        <v>#REF!</v>
      </c>
      <c r="DJ155" s="28" t="e">
        <f>#REF!</f>
        <v>#REF!</v>
      </c>
      <c r="DK155" s="28" t="e">
        <f>#REF!*2</f>
        <v>#REF!</v>
      </c>
      <c r="DL155" s="28" t="e">
        <f>#REF!</f>
        <v>#REF!</v>
      </c>
      <c r="DM155" s="28" t="e">
        <f>#REF!*2</f>
        <v>#REF!</v>
      </c>
      <c r="DN155" s="27"/>
      <c r="DO155" s="26"/>
      <c r="DP155" s="26"/>
      <c r="DQ155" s="26"/>
      <c r="DR155" s="26"/>
      <c r="DS155" s="26"/>
      <c r="DT155" s="25"/>
    </row>
    <row r="156" spans="2:124" x14ac:dyDescent="0.3"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2"/>
      <c r="I156" s="3">
        <f>IF(OR(B156="",ISBLANK(B156),B156=0),0,IF(MOD(B156,2)=1,1,2))</f>
        <v>0</v>
      </c>
      <c r="J156" s="3">
        <f>IF(OR(C156="",ISBLANK(C156),C156=0),0,IF(MOD(C156,2)=1,1,2))</f>
        <v>0</v>
      </c>
      <c r="K156" s="3">
        <f>IF(OR(D156="",ISBLANK(D156),D156=0),0,IF(MOD(D156,2)=1,1,2))</f>
        <v>0</v>
      </c>
      <c r="L156" s="3">
        <f>IF(OR(E156="",ISBLANK(E156),E156=0),0,IF(MOD(E156,2)=1,1,2))</f>
        <v>0</v>
      </c>
      <c r="M156" s="3">
        <f>IF(OR(F156="",ISBLANK(F156),F156=0),0,IF(MOD(F156,2)=1,1,2))</f>
        <v>0</v>
      </c>
      <c r="N156" s="3">
        <f>IF(OR(G156="",ISBLANK(G156),G156=0),0,IF(MOD(G156,2)=1,1,2))</f>
        <v>0</v>
      </c>
      <c r="O156" s="32"/>
      <c r="P156" s="3" cm="1">
        <f t="array" ref="P156">SUMPRODUCT(--(MOD(B156:G156,2)=1))</f>
        <v>0</v>
      </c>
      <c r="Q156" s="3">
        <f>6-P156</f>
        <v>6</v>
      </c>
      <c r="R156" s="34"/>
      <c r="S156" s="3">
        <f>COUNTIFS(B156:G156,"&gt;=1",B156:G156,"&lt;=23")</f>
        <v>0</v>
      </c>
      <c r="T156" s="3">
        <f>6-S156</f>
        <v>6</v>
      </c>
      <c r="U156" s="34"/>
      <c r="V156" s="3" cm="1">
        <f t="array" ref="V156">SUMPRODUCT(--(MOD(B156:G156,10)&gt;=1), --(MOD(B156:G156,10)&lt;=5))</f>
        <v>0</v>
      </c>
      <c r="W156" s="3">
        <f>6-V156</f>
        <v>6</v>
      </c>
      <c r="X156" s="34"/>
      <c r="Y156" s="3" cm="1">
        <f t="array" ref="Y156">IFERROR(COUNT(_xlfn._xlws.FILTER(B156:G156, ISNUMBER(MATCH(B156:G156, {2,3,5,7,11,13,17,19,23,29,31,37,41,43}, 0)))), 0)</f>
        <v>0</v>
      </c>
      <c r="Z156" s="3" cm="1">
        <f t="array" ref="Z156">IFERROR(COUNT(_xlfn._xlws.FILTER(B156:G156, ISNUMBER(MATCH(B156:G156, {1,4,8,10,14,16,20,22,25,26,28,32,34,35,38,40,44}, 0)))), 0)</f>
        <v>0</v>
      </c>
      <c r="AA156" s="3" cm="1">
        <f t="array" ref="AA156">IFERROR(COUNT(_xlfn._xlws.FILTER(B156:G156, ISNUMBER(MATCH(B156:G156, {6,9,12,15,18,21,24,27,30,33,36,39,42,45}, 0)))), 0)</f>
        <v>0</v>
      </c>
      <c r="AB156" s="30"/>
      <c r="AC156" s="26" cm="1">
        <f t="array" ref="AC156">_xlfn.IFS(
   OR(B156="",ISBLANK(B156),B156=0),0,
   ISNUMBER(MATCH(B156,{2,3,5,7,11,13,17,19,23,29,31,37,41,43},0)),"소",
   AND(ISNUMBER(B156),MOD(B156,3)=0),"배",
   AND(ISNUMBER(B156),B156&gt;0),"자"
)</f>
        <v>0</v>
      </c>
      <c r="AD156" s="26" cm="1">
        <f t="array" ref="AD156">_xlfn.IFS(
   OR(C156="",ISBLANK(C156),C156=0),0,
   ISNUMBER(MATCH(C156,{2,3,5,7,11,13,17,19,23,29,31,37,41,43},0)),"소",
   AND(ISNUMBER(C156),MOD(C156,3)=0),"배",
   AND(ISNUMBER(C156),C156&gt;0),"자"
)</f>
        <v>0</v>
      </c>
      <c r="AE156" s="26" cm="1">
        <f t="array" ref="AE156">_xlfn.IFS(
   OR(D156="",ISBLANK(D156),D156=0),0,
   ISNUMBER(MATCH(D156,{2,3,5,7,11,13,17,19,23,29,31,37,41,43},0)),"소",
   AND(ISNUMBER(D156),MOD(D156,3)=0),"배",
   AND(ISNUMBER(D156),D156&gt;0),"자"
)</f>
        <v>0</v>
      </c>
      <c r="AF156" s="26" cm="1">
        <f t="array" ref="AF156">_xlfn.IFS(
   OR(E156="",ISBLANK(E156),E156=0),0,
   ISNUMBER(MATCH(E156,{2,3,5,7,11,13,17,19,23,29,31,37,41,43},0)),"소",
   AND(ISNUMBER(E156),MOD(E156,3)=0),"배",
   AND(ISNUMBER(E156),E156&gt;0),"자"
)</f>
        <v>0</v>
      </c>
      <c r="AG156" s="26" cm="1">
        <f t="array" ref="AG156">_xlfn.IFS(
   OR(F156="",ISBLANK(F156),F156=0),0,
   ISNUMBER(MATCH(F156,{2,3,5,7,11,13,17,19,23,29,31,37,41,43},0)),"소",
   AND(ISNUMBER(F156),MOD(F156,3)=0),"배",
   AND(ISNUMBER(F156),F156&gt;0),"자"
)</f>
        <v>0</v>
      </c>
      <c r="AH156" s="26" cm="1">
        <f t="array" ref="AH156">_xlfn.IFS(
   OR(G156="",ISBLANK(G156),G156=0),0,
   ISNUMBER(MATCH(G156,{2,3,5,7,11,13,17,19,23,29,31,37,41,43},0)),"소",
   AND(ISNUMBER(G156),MOD(G156,3)=0),"배",
   AND(ISNUMBER(G156),G156&gt;0),"자"
)</f>
        <v>0</v>
      </c>
      <c r="AI156" s="30"/>
      <c r="AJ156" s="3">
        <f>COUNTIFS(B156:G156,"&gt;=1",B156:G156,"&lt;=14")</f>
        <v>0</v>
      </c>
      <c r="AK156" s="3">
        <f>COUNTIFS(B156:G156,"&gt;=15",B156:G156,"&lt;=31")</f>
        <v>0</v>
      </c>
      <c r="AL156" s="3">
        <f>6-AK156-AJ156</f>
        <v>6</v>
      </c>
      <c r="AM156" s="33"/>
      <c r="AN156" s="3">
        <f>COUNTIFS($B156:$G156, "&gt;=1",$B156:$G156, "&lt;=9")</f>
        <v>0</v>
      </c>
      <c r="AO156" s="3">
        <f>COUNTIFS($B156:$G156, "&gt;=10",$B156:$G156, "&lt;=18")</f>
        <v>0</v>
      </c>
      <c r="AP156" s="3">
        <f>COUNTIFS($B156:$G156, "&gt;=19",$B156:$G156, "&lt;=27")</f>
        <v>0</v>
      </c>
      <c r="AQ156" s="3">
        <f>COUNTIFS($B156:$G156, "&gt;=28",$B156:$G156, "&lt;=36")</f>
        <v>0</v>
      </c>
      <c r="AR156" s="3">
        <f>COUNTIFS($B156:$G156, "&gt;=37",$B156:$G156, "&lt;=45")</f>
        <v>0</v>
      </c>
      <c r="AS156" s="28" t="e">
        <f>#REF!</f>
        <v>#REF!</v>
      </c>
      <c r="AT156" s="28" t="e">
        <f>#REF!*2</f>
        <v>#REF!</v>
      </c>
      <c r="AU156" s="28" t="e">
        <f>#REF!</f>
        <v>#REF!</v>
      </c>
      <c r="AV156" s="28" t="e">
        <f>#REF!*2</f>
        <v>#REF!</v>
      </c>
      <c r="AW156" s="28" t="e">
        <f>#REF!</f>
        <v>#REF!</v>
      </c>
      <c r="AX156" s="28" t="e">
        <f>#REF!*2</f>
        <v>#REF!</v>
      </c>
      <c r="AY156" s="28" t="e">
        <f>#REF!</f>
        <v>#REF!</v>
      </c>
      <c r="AZ156" s="28" t="e">
        <f>#REF!*2</f>
        <v>#REF!</v>
      </c>
      <c r="BA156" s="28" t="e">
        <f>#REF!</f>
        <v>#REF!</v>
      </c>
      <c r="BB156" s="28" t="e">
        <f>#REF!*2</f>
        <v>#REF!</v>
      </c>
      <c r="BC156" s="28" t="e">
        <f>#REF!</f>
        <v>#REF!</v>
      </c>
      <c r="BD156" s="28" t="e">
        <f>#REF!*2</f>
        <v>#REF!</v>
      </c>
      <c r="BE156" s="9" t="e">
        <f>#REF!-#REF!</f>
        <v>#REF!</v>
      </c>
      <c r="BF156" s="9" t="e">
        <f>#REF!-#REF!</f>
        <v>#REF!</v>
      </c>
      <c r="BG156" s="9" t="e">
        <f>#REF!-#REF!</f>
        <v>#REF!</v>
      </c>
      <c r="BH156" s="9" t="e">
        <f>#REF!-#REF!</f>
        <v>#REF!</v>
      </c>
      <c r="BI156" s="9" t="e">
        <f>#REF!-#REF!</f>
        <v>#REF!</v>
      </c>
      <c r="BJ156" s="33"/>
      <c r="BK156" s="3">
        <f>COUNTIFS(B156:G156, "&gt;=1", B156:G156, "&lt;=9")</f>
        <v>0</v>
      </c>
      <c r="BL156" s="3">
        <f>COUNTIFS(B156:G156, "&gt;=10", B156:G156, "&lt;=19")</f>
        <v>0</v>
      </c>
      <c r="BM156" s="3">
        <f>COUNTIFS(B156:G156, "&gt;=20", B156:G156, "&lt;=29")</f>
        <v>0</v>
      </c>
      <c r="BN156" s="3">
        <f>COUNTIFS(B156:G156, "&gt;=30", B156:G156, "&lt;=39")</f>
        <v>0</v>
      </c>
      <c r="BO156" s="3">
        <f>COUNTIFS(B156:G156, "&gt;=40", B156:G156, "&lt;=45")</f>
        <v>0</v>
      </c>
      <c r="BP156" s="28" t="e">
        <f>#REF!</f>
        <v>#REF!</v>
      </c>
      <c r="BQ156" s="28" t="e">
        <f>#REF!*2</f>
        <v>#REF!</v>
      </c>
      <c r="BR156" s="28" t="e">
        <f>#REF!</f>
        <v>#REF!</v>
      </c>
      <c r="BS156" s="28" t="e">
        <f>#REF!*2</f>
        <v>#REF!</v>
      </c>
      <c r="BT156" s="28" t="e">
        <f>#REF!</f>
        <v>#REF!</v>
      </c>
      <c r="BU156" s="28" t="e">
        <f>#REF!*2</f>
        <v>#REF!</v>
      </c>
      <c r="BV156" s="28" t="e">
        <f>#REF!</f>
        <v>#REF!</v>
      </c>
      <c r="BW156" s="28" t="e">
        <f>#REF!*2</f>
        <v>#REF!</v>
      </c>
      <c r="BX156" s="28" t="e">
        <f>#REF!</f>
        <v>#REF!</v>
      </c>
      <c r="BY156" s="28" t="e">
        <f>#REF!*2</f>
        <v>#REF!</v>
      </c>
      <c r="BZ156" s="28" t="e">
        <f>#REF!</f>
        <v>#REF!</v>
      </c>
      <c r="CA156" s="28" t="e">
        <f>#REF!*2</f>
        <v>#REF!</v>
      </c>
      <c r="CB156" s="9">
        <f>C156-B156</f>
        <v>0</v>
      </c>
      <c r="CC156" s="9">
        <f>D156-C156</f>
        <v>0</v>
      </c>
      <c r="CD156" s="9">
        <f>E156-D156</f>
        <v>0</v>
      </c>
      <c r="CE156" s="9">
        <f>F156-E156</f>
        <v>0</v>
      </c>
      <c r="CF156" s="9">
        <f>G156-F156</f>
        <v>0</v>
      </c>
      <c r="CG156" s="33"/>
      <c r="CH156" s="9">
        <f>C156-B156</f>
        <v>0</v>
      </c>
      <c r="CI156" s="9">
        <f>D156-C156</f>
        <v>0</v>
      </c>
      <c r="CJ156" s="9">
        <f>E156-D156</f>
        <v>0</v>
      </c>
      <c r="CK156" s="9">
        <f>F156-E156</f>
        <v>0</v>
      </c>
      <c r="CL156" s="9">
        <f>G156-F156</f>
        <v>0</v>
      </c>
      <c r="CM156" s="32"/>
      <c r="CN156" s="3">
        <f>IF(OR(CH156="",ISBLANK(CH156),CH156=0),0,IF(MOD(CH156,2)=1,1,2))</f>
        <v>0</v>
      </c>
      <c r="CO156" s="3">
        <f>IF(OR(CI156="",ISBLANK(CI156),CI156=0),0,IF(MOD(CI156,2)=1,1,2))</f>
        <v>0</v>
      </c>
      <c r="CP156" s="3">
        <f>IF(OR(CJ156="",ISBLANK(CJ156),CJ156=0),0,IF(MOD(CJ156,2)=1,1,2))</f>
        <v>0</v>
      </c>
      <c r="CQ156" s="3">
        <f>IF(OR(CK156="",ISBLANK(CK156),CK156=0),0,IF(MOD(CK156,2)=1,1,2))</f>
        <v>0</v>
      </c>
      <c r="CR156" s="3">
        <f>IF(OR(CL156="",ISBLANK(CL156),CL156=0),0,IF(MOD(CL156,2)=1,1,2))</f>
        <v>0</v>
      </c>
      <c r="CS156" s="31"/>
      <c r="CT156" s="3" cm="1">
        <f t="array" ref="CT156">SUMPRODUCT(--(MOD(CH156:CL156,2)=1))</f>
        <v>0</v>
      </c>
      <c r="CU156" s="3">
        <f>5-CT156</f>
        <v>5</v>
      </c>
      <c r="CV156" s="30"/>
      <c r="CW156" s="3" cm="1">
        <f t="array" ref="CW156">SUMPRODUCT(--(MOD(CH156:CL156,10)&gt;=1), --(MOD(CH156:CL156,10)&lt;=5))</f>
        <v>0</v>
      </c>
      <c r="CX156" s="3">
        <f>5-CW156</f>
        <v>5</v>
      </c>
      <c r="CY156" s="30"/>
      <c r="CZ156" s="3" cm="1">
        <f t="array" ref="CZ156">IFERROR(COUNT(_xlfn._xlws.FILTER(CH156:CL156, ISNUMBER(MATCH(CH156:CL156, {2,3,5,7,11,13,17,19,23,29,31,37,41,43}, 0)))), 0)</f>
        <v>0</v>
      </c>
      <c r="DA156" s="3" cm="1">
        <f t="array" ref="DA156">IFERROR(COUNT(_xlfn._xlws.FILTER(CH156:CL156, ISNUMBER(MATCH(CH156:CL156, {1,4,8,10,14,16,20,22,25,26,28,32,34,35,38,40,44}, 0)))), 0)</f>
        <v>0</v>
      </c>
      <c r="DB156" s="3" cm="1">
        <f t="array" ref="DB156">IFERROR(COUNT(_xlfn._xlws.FILTER(CH156:CL156, ISNUMBER(MATCH(CH156:CL156, {6,9,12,15,18,21,24,27,30,33,36,39,42,45}, 0)))), 0)</f>
        <v>0</v>
      </c>
      <c r="DC156" s="29"/>
      <c r="DD156" s="28" t="e">
        <f>#REF!</f>
        <v>#REF!</v>
      </c>
      <c r="DE156" s="28" t="e">
        <f>#REF!*2</f>
        <v>#REF!</v>
      </c>
      <c r="DF156" s="28" t="e">
        <f>#REF!</f>
        <v>#REF!</v>
      </c>
      <c r="DG156" s="28" t="e">
        <f>#REF!*2</f>
        <v>#REF!</v>
      </c>
      <c r="DH156" s="28" t="e">
        <f>#REF!</f>
        <v>#REF!</v>
      </c>
      <c r="DI156" s="28" t="e">
        <f>#REF!*2</f>
        <v>#REF!</v>
      </c>
      <c r="DJ156" s="28" t="e">
        <f>#REF!</f>
        <v>#REF!</v>
      </c>
      <c r="DK156" s="28" t="e">
        <f>#REF!*2</f>
        <v>#REF!</v>
      </c>
      <c r="DL156" s="28" t="e">
        <f>#REF!</f>
        <v>#REF!</v>
      </c>
      <c r="DM156" s="28" t="e">
        <f>#REF!*2</f>
        <v>#REF!</v>
      </c>
      <c r="DN156" s="27"/>
      <c r="DO156" s="26"/>
      <c r="DP156" s="26"/>
      <c r="DQ156" s="26"/>
      <c r="DR156" s="26"/>
      <c r="DS156" s="26"/>
      <c r="DT156" s="25"/>
    </row>
    <row r="157" spans="2:124" x14ac:dyDescent="0.3"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2"/>
      <c r="I157" s="3">
        <f>IF(OR(B157="",ISBLANK(B157),B157=0),0,IF(MOD(B157,2)=1,1,2))</f>
        <v>0</v>
      </c>
      <c r="J157" s="3">
        <f>IF(OR(C157="",ISBLANK(C157),C157=0),0,IF(MOD(C157,2)=1,1,2))</f>
        <v>0</v>
      </c>
      <c r="K157" s="3">
        <f>IF(OR(D157="",ISBLANK(D157),D157=0),0,IF(MOD(D157,2)=1,1,2))</f>
        <v>0</v>
      </c>
      <c r="L157" s="3">
        <f>IF(OR(E157="",ISBLANK(E157),E157=0),0,IF(MOD(E157,2)=1,1,2))</f>
        <v>0</v>
      </c>
      <c r="M157" s="3">
        <f>IF(OR(F157="",ISBLANK(F157),F157=0),0,IF(MOD(F157,2)=1,1,2))</f>
        <v>0</v>
      </c>
      <c r="N157" s="3">
        <f>IF(OR(G157="",ISBLANK(G157),G157=0),0,IF(MOD(G157,2)=1,1,2))</f>
        <v>0</v>
      </c>
      <c r="O157" s="32"/>
      <c r="P157" s="3" cm="1">
        <f t="array" ref="P157">SUMPRODUCT(--(MOD(B157:G157,2)=1))</f>
        <v>0</v>
      </c>
      <c r="Q157" s="3">
        <f>6-P157</f>
        <v>6</v>
      </c>
      <c r="R157" s="34"/>
      <c r="S157" s="3">
        <f>COUNTIFS(B157:G157,"&gt;=1",B157:G157,"&lt;=23")</f>
        <v>0</v>
      </c>
      <c r="T157" s="3">
        <f>6-S157</f>
        <v>6</v>
      </c>
      <c r="U157" s="34"/>
      <c r="V157" s="3" cm="1">
        <f t="array" ref="V157">SUMPRODUCT(--(MOD(B157:G157,10)&gt;=1), --(MOD(B157:G157,10)&lt;=5))</f>
        <v>0</v>
      </c>
      <c r="W157" s="3">
        <f>6-V157</f>
        <v>6</v>
      </c>
      <c r="X157" s="34"/>
      <c r="Y157" s="3" cm="1">
        <f t="array" ref="Y157">IFERROR(COUNT(_xlfn._xlws.FILTER(B157:G157, ISNUMBER(MATCH(B157:G157, {2,3,5,7,11,13,17,19,23,29,31,37,41,43}, 0)))), 0)</f>
        <v>0</v>
      </c>
      <c r="Z157" s="3" cm="1">
        <f t="array" ref="Z157">IFERROR(COUNT(_xlfn._xlws.FILTER(B157:G157, ISNUMBER(MATCH(B157:G157, {1,4,8,10,14,16,20,22,25,26,28,32,34,35,38,40,44}, 0)))), 0)</f>
        <v>0</v>
      </c>
      <c r="AA157" s="3" cm="1">
        <f t="array" ref="AA157">IFERROR(COUNT(_xlfn._xlws.FILTER(B157:G157, ISNUMBER(MATCH(B157:G157, {6,9,12,15,18,21,24,27,30,33,36,39,42,45}, 0)))), 0)</f>
        <v>0</v>
      </c>
      <c r="AB157" s="30"/>
      <c r="AC157" s="26" cm="1">
        <f t="array" ref="AC157">_xlfn.IFS(
   OR(B157="",ISBLANK(B157),B157=0),0,
   ISNUMBER(MATCH(B157,{2,3,5,7,11,13,17,19,23,29,31,37,41,43},0)),"소",
   AND(ISNUMBER(B157),MOD(B157,3)=0),"배",
   AND(ISNUMBER(B157),B157&gt;0),"자"
)</f>
        <v>0</v>
      </c>
      <c r="AD157" s="26" cm="1">
        <f t="array" ref="AD157">_xlfn.IFS(
   OR(C157="",ISBLANK(C157),C157=0),0,
   ISNUMBER(MATCH(C157,{2,3,5,7,11,13,17,19,23,29,31,37,41,43},0)),"소",
   AND(ISNUMBER(C157),MOD(C157,3)=0),"배",
   AND(ISNUMBER(C157),C157&gt;0),"자"
)</f>
        <v>0</v>
      </c>
      <c r="AE157" s="26" cm="1">
        <f t="array" ref="AE157">_xlfn.IFS(
   OR(D157="",ISBLANK(D157),D157=0),0,
   ISNUMBER(MATCH(D157,{2,3,5,7,11,13,17,19,23,29,31,37,41,43},0)),"소",
   AND(ISNUMBER(D157),MOD(D157,3)=0),"배",
   AND(ISNUMBER(D157),D157&gt;0),"자"
)</f>
        <v>0</v>
      </c>
      <c r="AF157" s="26" cm="1">
        <f t="array" ref="AF157">_xlfn.IFS(
   OR(E157="",ISBLANK(E157),E157=0),0,
   ISNUMBER(MATCH(E157,{2,3,5,7,11,13,17,19,23,29,31,37,41,43},0)),"소",
   AND(ISNUMBER(E157),MOD(E157,3)=0),"배",
   AND(ISNUMBER(E157),E157&gt;0),"자"
)</f>
        <v>0</v>
      </c>
      <c r="AG157" s="26" cm="1">
        <f t="array" ref="AG157">_xlfn.IFS(
   OR(F157="",ISBLANK(F157),F157=0),0,
   ISNUMBER(MATCH(F157,{2,3,5,7,11,13,17,19,23,29,31,37,41,43},0)),"소",
   AND(ISNUMBER(F157),MOD(F157,3)=0),"배",
   AND(ISNUMBER(F157),F157&gt;0),"자"
)</f>
        <v>0</v>
      </c>
      <c r="AH157" s="26" cm="1">
        <f t="array" ref="AH157">_xlfn.IFS(
   OR(G157="",ISBLANK(G157),G157=0),0,
   ISNUMBER(MATCH(G157,{2,3,5,7,11,13,17,19,23,29,31,37,41,43},0)),"소",
   AND(ISNUMBER(G157),MOD(G157,3)=0),"배",
   AND(ISNUMBER(G157),G157&gt;0),"자"
)</f>
        <v>0</v>
      </c>
      <c r="AI157" s="30"/>
      <c r="AJ157" s="3">
        <f>COUNTIFS(B157:G157,"&gt;=1",B157:G157,"&lt;=14")</f>
        <v>0</v>
      </c>
      <c r="AK157" s="3">
        <f>COUNTIFS(B157:G157,"&gt;=15",B157:G157,"&lt;=31")</f>
        <v>0</v>
      </c>
      <c r="AL157" s="3">
        <f>6-AK157-AJ157</f>
        <v>6</v>
      </c>
      <c r="AM157" s="33"/>
      <c r="AN157" s="3">
        <f>COUNTIFS($B157:$G157, "&gt;=1",$B157:$G157, "&lt;=9")</f>
        <v>0</v>
      </c>
      <c r="AO157" s="3">
        <f>COUNTIFS($B157:$G157, "&gt;=10",$B157:$G157, "&lt;=18")</f>
        <v>0</v>
      </c>
      <c r="AP157" s="3">
        <f>COUNTIFS($B157:$G157, "&gt;=19",$B157:$G157, "&lt;=27")</f>
        <v>0</v>
      </c>
      <c r="AQ157" s="3">
        <f>COUNTIFS($B157:$G157, "&gt;=28",$B157:$G157, "&lt;=36")</f>
        <v>0</v>
      </c>
      <c r="AR157" s="3">
        <f>COUNTIFS($B157:$G157, "&gt;=37",$B157:$G157, "&lt;=45")</f>
        <v>0</v>
      </c>
      <c r="AS157" s="28" t="e">
        <f>#REF!</f>
        <v>#REF!</v>
      </c>
      <c r="AT157" s="28" t="e">
        <f>#REF!*2</f>
        <v>#REF!</v>
      </c>
      <c r="AU157" s="28" t="e">
        <f>#REF!</f>
        <v>#REF!</v>
      </c>
      <c r="AV157" s="28" t="e">
        <f>#REF!*2</f>
        <v>#REF!</v>
      </c>
      <c r="AW157" s="28" t="e">
        <f>#REF!</f>
        <v>#REF!</v>
      </c>
      <c r="AX157" s="28" t="e">
        <f>#REF!*2</f>
        <v>#REF!</v>
      </c>
      <c r="AY157" s="28" t="e">
        <f>#REF!</f>
        <v>#REF!</v>
      </c>
      <c r="AZ157" s="28" t="e">
        <f>#REF!*2</f>
        <v>#REF!</v>
      </c>
      <c r="BA157" s="28" t="e">
        <f>#REF!</f>
        <v>#REF!</v>
      </c>
      <c r="BB157" s="28" t="e">
        <f>#REF!*2</f>
        <v>#REF!</v>
      </c>
      <c r="BC157" s="28" t="e">
        <f>#REF!</f>
        <v>#REF!</v>
      </c>
      <c r="BD157" s="28" t="e">
        <f>#REF!*2</f>
        <v>#REF!</v>
      </c>
      <c r="BE157" s="9" t="e">
        <f>#REF!-#REF!</f>
        <v>#REF!</v>
      </c>
      <c r="BF157" s="9" t="e">
        <f>#REF!-#REF!</f>
        <v>#REF!</v>
      </c>
      <c r="BG157" s="9" t="e">
        <f>#REF!-#REF!</f>
        <v>#REF!</v>
      </c>
      <c r="BH157" s="9" t="e">
        <f>#REF!-#REF!</f>
        <v>#REF!</v>
      </c>
      <c r="BI157" s="9" t="e">
        <f>#REF!-#REF!</f>
        <v>#REF!</v>
      </c>
      <c r="BJ157" s="33"/>
      <c r="BK157" s="3">
        <f>COUNTIFS(B157:G157, "&gt;=1", B157:G157, "&lt;=9")</f>
        <v>0</v>
      </c>
      <c r="BL157" s="3">
        <f>COUNTIFS(B157:G157, "&gt;=10", B157:G157, "&lt;=19")</f>
        <v>0</v>
      </c>
      <c r="BM157" s="3">
        <f>COUNTIFS(B157:G157, "&gt;=20", B157:G157, "&lt;=29")</f>
        <v>0</v>
      </c>
      <c r="BN157" s="3">
        <f>COUNTIFS(B157:G157, "&gt;=30", B157:G157, "&lt;=39")</f>
        <v>0</v>
      </c>
      <c r="BO157" s="3">
        <f>COUNTIFS(B157:G157, "&gt;=40", B157:G157, "&lt;=45")</f>
        <v>0</v>
      </c>
      <c r="BP157" s="28" t="e">
        <f>#REF!</f>
        <v>#REF!</v>
      </c>
      <c r="BQ157" s="28" t="e">
        <f>#REF!*2</f>
        <v>#REF!</v>
      </c>
      <c r="BR157" s="28" t="e">
        <f>#REF!</f>
        <v>#REF!</v>
      </c>
      <c r="BS157" s="28" t="e">
        <f>#REF!*2</f>
        <v>#REF!</v>
      </c>
      <c r="BT157" s="28" t="e">
        <f>#REF!</f>
        <v>#REF!</v>
      </c>
      <c r="BU157" s="28" t="e">
        <f>#REF!*2</f>
        <v>#REF!</v>
      </c>
      <c r="BV157" s="28" t="e">
        <f>#REF!</f>
        <v>#REF!</v>
      </c>
      <c r="BW157" s="28" t="e">
        <f>#REF!*2</f>
        <v>#REF!</v>
      </c>
      <c r="BX157" s="28" t="e">
        <f>#REF!</f>
        <v>#REF!</v>
      </c>
      <c r="BY157" s="28" t="e">
        <f>#REF!*2</f>
        <v>#REF!</v>
      </c>
      <c r="BZ157" s="28" t="e">
        <f>#REF!</f>
        <v>#REF!</v>
      </c>
      <c r="CA157" s="28" t="e">
        <f>#REF!*2</f>
        <v>#REF!</v>
      </c>
      <c r="CB157" s="9">
        <f>C157-B157</f>
        <v>0</v>
      </c>
      <c r="CC157" s="9">
        <f>D157-C157</f>
        <v>0</v>
      </c>
      <c r="CD157" s="9">
        <f>E157-D157</f>
        <v>0</v>
      </c>
      <c r="CE157" s="9">
        <f>F157-E157</f>
        <v>0</v>
      </c>
      <c r="CF157" s="9">
        <f>G157-F157</f>
        <v>0</v>
      </c>
      <c r="CG157" s="33"/>
      <c r="CH157" s="9">
        <f>C157-B157</f>
        <v>0</v>
      </c>
      <c r="CI157" s="9">
        <f>D157-C157</f>
        <v>0</v>
      </c>
      <c r="CJ157" s="9">
        <f>E157-D157</f>
        <v>0</v>
      </c>
      <c r="CK157" s="9">
        <f>F157-E157</f>
        <v>0</v>
      </c>
      <c r="CL157" s="9">
        <f>G157-F157</f>
        <v>0</v>
      </c>
      <c r="CM157" s="32"/>
      <c r="CN157" s="3">
        <f>IF(OR(CH157="",ISBLANK(CH157),CH157=0),0,IF(MOD(CH157,2)=1,1,2))</f>
        <v>0</v>
      </c>
      <c r="CO157" s="3">
        <f>IF(OR(CI157="",ISBLANK(CI157),CI157=0),0,IF(MOD(CI157,2)=1,1,2))</f>
        <v>0</v>
      </c>
      <c r="CP157" s="3">
        <f>IF(OR(CJ157="",ISBLANK(CJ157),CJ157=0),0,IF(MOD(CJ157,2)=1,1,2))</f>
        <v>0</v>
      </c>
      <c r="CQ157" s="3">
        <f>IF(OR(CK157="",ISBLANK(CK157),CK157=0),0,IF(MOD(CK157,2)=1,1,2))</f>
        <v>0</v>
      </c>
      <c r="CR157" s="3">
        <f>IF(OR(CL157="",ISBLANK(CL157),CL157=0),0,IF(MOD(CL157,2)=1,1,2))</f>
        <v>0</v>
      </c>
      <c r="CS157" s="31"/>
      <c r="CT157" s="3" cm="1">
        <f t="array" ref="CT157">SUMPRODUCT(--(MOD(CH157:CL157,2)=1))</f>
        <v>0</v>
      </c>
      <c r="CU157" s="3">
        <f>5-CT157</f>
        <v>5</v>
      </c>
      <c r="CV157" s="30"/>
      <c r="CW157" s="3" cm="1">
        <f t="array" ref="CW157">SUMPRODUCT(--(MOD(CH157:CL157,10)&gt;=1), --(MOD(CH157:CL157,10)&lt;=5))</f>
        <v>0</v>
      </c>
      <c r="CX157" s="3">
        <f>5-CW157</f>
        <v>5</v>
      </c>
      <c r="CY157" s="30"/>
      <c r="CZ157" s="3" cm="1">
        <f t="array" ref="CZ157">IFERROR(COUNT(_xlfn._xlws.FILTER(CH157:CL157, ISNUMBER(MATCH(CH157:CL157, {2,3,5,7,11,13,17,19,23,29,31,37,41,43}, 0)))), 0)</f>
        <v>0</v>
      </c>
      <c r="DA157" s="3" cm="1">
        <f t="array" ref="DA157">IFERROR(COUNT(_xlfn._xlws.FILTER(CH157:CL157, ISNUMBER(MATCH(CH157:CL157, {1,4,8,10,14,16,20,22,25,26,28,32,34,35,38,40,44}, 0)))), 0)</f>
        <v>0</v>
      </c>
      <c r="DB157" s="3" cm="1">
        <f t="array" ref="DB157">IFERROR(COUNT(_xlfn._xlws.FILTER(CH157:CL157, ISNUMBER(MATCH(CH157:CL157, {6,9,12,15,18,21,24,27,30,33,36,39,42,45}, 0)))), 0)</f>
        <v>0</v>
      </c>
      <c r="DC157" s="29"/>
      <c r="DD157" s="28" t="e">
        <f>#REF!</f>
        <v>#REF!</v>
      </c>
      <c r="DE157" s="28" t="e">
        <f>#REF!*2</f>
        <v>#REF!</v>
      </c>
      <c r="DF157" s="28" t="e">
        <f>#REF!</f>
        <v>#REF!</v>
      </c>
      <c r="DG157" s="28" t="e">
        <f>#REF!*2</f>
        <v>#REF!</v>
      </c>
      <c r="DH157" s="28" t="e">
        <f>#REF!</f>
        <v>#REF!</v>
      </c>
      <c r="DI157" s="28" t="e">
        <f>#REF!*2</f>
        <v>#REF!</v>
      </c>
      <c r="DJ157" s="28" t="e">
        <f>#REF!</f>
        <v>#REF!</v>
      </c>
      <c r="DK157" s="28" t="e">
        <f>#REF!*2</f>
        <v>#REF!</v>
      </c>
      <c r="DL157" s="28" t="e">
        <f>#REF!</f>
        <v>#REF!</v>
      </c>
      <c r="DM157" s="28" t="e">
        <f>#REF!*2</f>
        <v>#REF!</v>
      </c>
      <c r="DN157" s="27"/>
      <c r="DO157" s="26"/>
      <c r="DP157" s="26"/>
      <c r="DQ157" s="26"/>
      <c r="DR157" s="26"/>
      <c r="DS157" s="26"/>
      <c r="DT157" s="25"/>
    </row>
    <row r="158" spans="2:124" x14ac:dyDescent="0.3"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2"/>
      <c r="I158" s="3">
        <f>IF(OR(B158="",ISBLANK(B158),B158=0),0,IF(MOD(B158,2)=1,1,2))</f>
        <v>0</v>
      </c>
      <c r="J158" s="3">
        <f>IF(OR(C158="",ISBLANK(C158),C158=0),0,IF(MOD(C158,2)=1,1,2))</f>
        <v>0</v>
      </c>
      <c r="K158" s="3">
        <f>IF(OR(D158="",ISBLANK(D158),D158=0),0,IF(MOD(D158,2)=1,1,2))</f>
        <v>0</v>
      </c>
      <c r="L158" s="3">
        <f>IF(OR(E158="",ISBLANK(E158),E158=0),0,IF(MOD(E158,2)=1,1,2))</f>
        <v>0</v>
      </c>
      <c r="M158" s="3">
        <f>IF(OR(F158="",ISBLANK(F158),F158=0),0,IF(MOD(F158,2)=1,1,2))</f>
        <v>0</v>
      </c>
      <c r="N158" s="3">
        <f>IF(OR(G158="",ISBLANK(G158),G158=0),0,IF(MOD(G158,2)=1,1,2))</f>
        <v>0</v>
      </c>
      <c r="O158" s="32"/>
      <c r="P158" s="3" cm="1">
        <f t="array" ref="P158">SUMPRODUCT(--(MOD(B158:G158,2)=1))</f>
        <v>0</v>
      </c>
      <c r="Q158" s="3">
        <f>6-P158</f>
        <v>6</v>
      </c>
      <c r="R158" s="34"/>
      <c r="S158" s="3">
        <f>COUNTIFS(B158:G158,"&gt;=1",B158:G158,"&lt;=23")</f>
        <v>0</v>
      </c>
      <c r="T158" s="3">
        <f>6-S158</f>
        <v>6</v>
      </c>
      <c r="U158" s="34"/>
      <c r="V158" s="3" cm="1">
        <f t="array" ref="V158">SUMPRODUCT(--(MOD(B158:G158,10)&gt;=1), --(MOD(B158:G158,10)&lt;=5))</f>
        <v>0</v>
      </c>
      <c r="W158" s="3">
        <f>6-V158</f>
        <v>6</v>
      </c>
      <c r="X158" s="34"/>
      <c r="Y158" s="3" cm="1">
        <f t="array" ref="Y158">IFERROR(COUNT(_xlfn._xlws.FILTER(B158:G158, ISNUMBER(MATCH(B158:G158, {2,3,5,7,11,13,17,19,23,29,31,37,41,43}, 0)))), 0)</f>
        <v>0</v>
      </c>
      <c r="Z158" s="3" cm="1">
        <f t="array" ref="Z158">IFERROR(COUNT(_xlfn._xlws.FILTER(B158:G158, ISNUMBER(MATCH(B158:G158, {1,4,8,10,14,16,20,22,25,26,28,32,34,35,38,40,44}, 0)))), 0)</f>
        <v>0</v>
      </c>
      <c r="AA158" s="3" cm="1">
        <f t="array" ref="AA158">IFERROR(COUNT(_xlfn._xlws.FILTER(B158:G158, ISNUMBER(MATCH(B158:G158, {6,9,12,15,18,21,24,27,30,33,36,39,42,45}, 0)))), 0)</f>
        <v>0</v>
      </c>
      <c r="AB158" s="30"/>
      <c r="AC158" s="26" cm="1">
        <f t="array" ref="AC158">_xlfn.IFS(
   OR(B158="",ISBLANK(B158),B158=0),0,
   ISNUMBER(MATCH(B158,{2,3,5,7,11,13,17,19,23,29,31,37,41,43},0)),"소",
   AND(ISNUMBER(B158),MOD(B158,3)=0),"배",
   AND(ISNUMBER(B158),B158&gt;0),"자"
)</f>
        <v>0</v>
      </c>
      <c r="AD158" s="26" cm="1">
        <f t="array" ref="AD158">_xlfn.IFS(
   OR(C158="",ISBLANK(C158),C158=0),0,
   ISNUMBER(MATCH(C158,{2,3,5,7,11,13,17,19,23,29,31,37,41,43},0)),"소",
   AND(ISNUMBER(C158),MOD(C158,3)=0),"배",
   AND(ISNUMBER(C158),C158&gt;0),"자"
)</f>
        <v>0</v>
      </c>
      <c r="AE158" s="26" cm="1">
        <f t="array" ref="AE158">_xlfn.IFS(
   OR(D158="",ISBLANK(D158),D158=0),0,
   ISNUMBER(MATCH(D158,{2,3,5,7,11,13,17,19,23,29,31,37,41,43},0)),"소",
   AND(ISNUMBER(D158),MOD(D158,3)=0),"배",
   AND(ISNUMBER(D158),D158&gt;0),"자"
)</f>
        <v>0</v>
      </c>
      <c r="AF158" s="26" cm="1">
        <f t="array" ref="AF158">_xlfn.IFS(
   OR(E158="",ISBLANK(E158),E158=0),0,
   ISNUMBER(MATCH(E158,{2,3,5,7,11,13,17,19,23,29,31,37,41,43},0)),"소",
   AND(ISNUMBER(E158),MOD(E158,3)=0),"배",
   AND(ISNUMBER(E158),E158&gt;0),"자"
)</f>
        <v>0</v>
      </c>
      <c r="AG158" s="26" cm="1">
        <f t="array" ref="AG158">_xlfn.IFS(
   OR(F158="",ISBLANK(F158),F158=0),0,
   ISNUMBER(MATCH(F158,{2,3,5,7,11,13,17,19,23,29,31,37,41,43},0)),"소",
   AND(ISNUMBER(F158),MOD(F158,3)=0),"배",
   AND(ISNUMBER(F158),F158&gt;0),"자"
)</f>
        <v>0</v>
      </c>
      <c r="AH158" s="26" cm="1">
        <f t="array" ref="AH158">_xlfn.IFS(
   OR(G158="",ISBLANK(G158),G158=0),0,
   ISNUMBER(MATCH(G158,{2,3,5,7,11,13,17,19,23,29,31,37,41,43},0)),"소",
   AND(ISNUMBER(G158),MOD(G158,3)=0),"배",
   AND(ISNUMBER(G158),G158&gt;0),"자"
)</f>
        <v>0</v>
      </c>
      <c r="AI158" s="30"/>
      <c r="AJ158" s="3">
        <f>COUNTIFS(B158:G158,"&gt;=1",B158:G158,"&lt;=14")</f>
        <v>0</v>
      </c>
      <c r="AK158" s="3">
        <f>COUNTIFS(B158:G158,"&gt;=15",B158:G158,"&lt;=31")</f>
        <v>0</v>
      </c>
      <c r="AL158" s="3">
        <f>6-AK158-AJ158</f>
        <v>6</v>
      </c>
      <c r="AM158" s="33"/>
      <c r="AN158" s="3">
        <f>COUNTIFS($B158:$G158, "&gt;=1",$B158:$G158, "&lt;=9")</f>
        <v>0</v>
      </c>
      <c r="AO158" s="3">
        <f>COUNTIFS($B158:$G158, "&gt;=10",$B158:$G158, "&lt;=18")</f>
        <v>0</v>
      </c>
      <c r="AP158" s="3">
        <f>COUNTIFS($B158:$G158, "&gt;=19",$B158:$G158, "&lt;=27")</f>
        <v>0</v>
      </c>
      <c r="AQ158" s="3">
        <f>COUNTIFS($B158:$G158, "&gt;=28",$B158:$G158, "&lt;=36")</f>
        <v>0</v>
      </c>
      <c r="AR158" s="3">
        <f>COUNTIFS($B158:$G158, "&gt;=37",$B158:$G158, "&lt;=45")</f>
        <v>0</v>
      </c>
      <c r="AS158" s="28" t="e">
        <f>#REF!</f>
        <v>#REF!</v>
      </c>
      <c r="AT158" s="28" t="e">
        <f>#REF!*2</f>
        <v>#REF!</v>
      </c>
      <c r="AU158" s="28" t="e">
        <f>#REF!</f>
        <v>#REF!</v>
      </c>
      <c r="AV158" s="28" t="e">
        <f>#REF!*2</f>
        <v>#REF!</v>
      </c>
      <c r="AW158" s="28" t="e">
        <f>#REF!</f>
        <v>#REF!</v>
      </c>
      <c r="AX158" s="28" t="e">
        <f>#REF!*2</f>
        <v>#REF!</v>
      </c>
      <c r="AY158" s="28" t="e">
        <f>#REF!</f>
        <v>#REF!</v>
      </c>
      <c r="AZ158" s="28" t="e">
        <f>#REF!*2</f>
        <v>#REF!</v>
      </c>
      <c r="BA158" s="28" t="e">
        <f>#REF!</f>
        <v>#REF!</v>
      </c>
      <c r="BB158" s="28" t="e">
        <f>#REF!*2</f>
        <v>#REF!</v>
      </c>
      <c r="BC158" s="28" t="e">
        <f>#REF!</f>
        <v>#REF!</v>
      </c>
      <c r="BD158" s="28" t="e">
        <f>#REF!*2</f>
        <v>#REF!</v>
      </c>
      <c r="BE158" s="9" t="e">
        <f>#REF!-#REF!</f>
        <v>#REF!</v>
      </c>
      <c r="BF158" s="9" t="e">
        <f>#REF!-#REF!</f>
        <v>#REF!</v>
      </c>
      <c r="BG158" s="9" t="e">
        <f>#REF!-#REF!</f>
        <v>#REF!</v>
      </c>
      <c r="BH158" s="9" t="e">
        <f>#REF!-#REF!</f>
        <v>#REF!</v>
      </c>
      <c r="BI158" s="9" t="e">
        <f>#REF!-#REF!</f>
        <v>#REF!</v>
      </c>
      <c r="BJ158" s="33"/>
      <c r="BK158" s="3">
        <f>COUNTIFS(B158:G158, "&gt;=1", B158:G158, "&lt;=9")</f>
        <v>0</v>
      </c>
      <c r="BL158" s="3">
        <f>COUNTIFS(B158:G158, "&gt;=10", B158:G158, "&lt;=19")</f>
        <v>0</v>
      </c>
      <c r="BM158" s="3">
        <f>COUNTIFS(B158:G158, "&gt;=20", B158:G158, "&lt;=29")</f>
        <v>0</v>
      </c>
      <c r="BN158" s="3">
        <f>COUNTIFS(B158:G158, "&gt;=30", B158:G158, "&lt;=39")</f>
        <v>0</v>
      </c>
      <c r="BO158" s="3">
        <f>COUNTIFS(B158:G158, "&gt;=40", B158:G158, "&lt;=45")</f>
        <v>0</v>
      </c>
      <c r="BP158" s="28" t="e">
        <f>#REF!</f>
        <v>#REF!</v>
      </c>
      <c r="BQ158" s="28" t="e">
        <f>#REF!*2</f>
        <v>#REF!</v>
      </c>
      <c r="BR158" s="28" t="e">
        <f>#REF!</f>
        <v>#REF!</v>
      </c>
      <c r="BS158" s="28" t="e">
        <f>#REF!*2</f>
        <v>#REF!</v>
      </c>
      <c r="BT158" s="28" t="e">
        <f>#REF!</f>
        <v>#REF!</v>
      </c>
      <c r="BU158" s="28" t="e">
        <f>#REF!*2</f>
        <v>#REF!</v>
      </c>
      <c r="BV158" s="28" t="e">
        <f>#REF!</f>
        <v>#REF!</v>
      </c>
      <c r="BW158" s="28" t="e">
        <f>#REF!*2</f>
        <v>#REF!</v>
      </c>
      <c r="BX158" s="28" t="e">
        <f>#REF!</f>
        <v>#REF!</v>
      </c>
      <c r="BY158" s="28" t="e">
        <f>#REF!*2</f>
        <v>#REF!</v>
      </c>
      <c r="BZ158" s="28" t="e">
        <f>#REF!</f>
        <v>#REF!</v>
      </c>
      <c r="CA158" s="28" t="e">
        <f>#REF!*2</f>
        <v>#REF!</v>
      </c>
      <c r="CB158" s="9">
        <f>C158-B158</f>
        <v>0</v>
      </c>
      <c r="CC158" s="9">
        <f>D158-C158</f>
        <v>0</v>
      </c>
      <c r="CD158" s="9">
        <f>E158-D158</f>
        <v>0</v>
      </c>
      <c r="CE158" s="9">
        <f>F158-E158</f>
        <v>0</v>
      </c>
      <c r="CF158" s="9">
        <f>G158-F158</f>
        <v>0</v>
      </c>
      <c r="CG158" s="33"/>
      <c r="CH158" s="9">
        <f>C158-B158</f>
        <v>0</v>
      </c>
      <c r="CI158" s="9">
        <f>D158-C158</f>
        <v>0</v>
      </c>
      <c r="CJ158" s="9">
        <f>E158-D158</f>
        <v>0</v>
      </c>
      <c r="CK158" s="9">
        <f>F158-E158</f>
        <v>0</v>
      </c>
      <c r="CL158" s="9">
        <f>G158-F158</f>
        <v>0</v>
      </c>
      <c r="CM158" s="32"/>
      <c r="CN158" s="3">
        <f>IF(OR(CH158="",ISBLANK(CH158),CH158=0),0,IF(MOD(CH158,2)=1,1,2))</f>
        <v>0</v>
      </c>
      <c r="CO158" s="3">
        <f>IF(OR(CI158="",ISBLANK(CI158),CI158=0),0,IF(MOD(CI158,2)=1,1,2))</f>
        <v>0</v>
      </c>
      <c r="CP158" s="3">
        <f>IF(OR(CJ158="",ISBLANK(CJ158),CJ158=0),0,IF(MOD(CJ158,2)=1,1,2))</f>
        <v>0</v>
      </c>
      <c r="CQ158" s="3">
        <f>IF(OR(CK158="",ISBLANK(CK158),CK158=0),0,IF(MOD(CK158,2)=1,1,2))</f>
        <v>0</v>
      </c>
      <c r="CR158" s="3">
        <f>IF(OR(CL158="",ISBLANK(CL158),CL158=0),0,IF(MOD(CL158,2)=1,1,2))</f>
        <v>0</v>
      </c>
      <c r="CS158" s="31"/>
      <c r="CT158" s="3" cm="1">
        <f t="array" ref="CT158">SUMPRODUCT(--(MOD(CH158:CL158,2)=1))</f>
        <v>0</v>
      </c>
      <c r="CU158" s="3">
        <f>5-CT158</f>
        <v>5</v>
      </c>
      <c r="CV158" s="30"/>
      <c r="CW158" s="3" cm="1">
        <f t="array" ref="CW158">SUMPRODUCT(--(MOD(CH158:CL158,10)&gt;=1), --(MOD(CH158:CL158,10)&lt;=5))</f>
        <v>0</v>
      </c>
      <c r="CX158" s="3">
        <f>5-CW158</f>
        <v>5</v>
      </c>
      <c r="CY158" s="30"/>
      <c r="CZ158" s="3" cm="1">
        <f t="array" ref="CZ158">IFERROR(COUNT(_xlfn._xlws.FILTER(CH158:CL158, ISNUMBER(MATCH(CH158:CL158, {2,3,5,7,11,13,17,19,23,29,31,37,41,43}, 0)))), 0)</f>
        <v>0</v>
      </c>
      <c r="DA158" s="3" cm="1">
        <f t="array" ref="DA158">IFERROR(COUNT(_xlfn._xlws.FILTER(CH158:CL158, ISNUMBER(MATCH(CH158:CL158, {1,4,8,10,14,16,20,22,25,26,28,32,34,35,38,40,44}, 0)))), 0)</f>
        <v>0</v>
      </c>
      <c r="DB158" s="3" cm="1">
        <f t="array" ref="DB158">IFERROR(COUNT(_xlfn._xlws.FILTER(CH158:CL158, ISNUMBER(MATCH(CH158:CL158, {6,9,12,15,18,21,24,27,30,33,36,39,42,45}, 0)))), 0)</f>
        <v>0</v>
      </c>
      <c r="DC158" s="29"/>
      <c r="DD158" s="28" t="e">
        <f>#REF!</f>
        <v>#REF!</v>
      </c>
      <c r="DE158" s="28" t="e">
        <f>#REF!*2</f>
        <v>#REF!</v>
      </c>
      <c r="DF158" s="28" t="e">
        <f>#REF!</f>
        <v>#REF!</v>
      </c>
      <c r="DG158" s="28" t="e">
        <f>#REF!*2</f>
        <v>#REF!</v>
      </c>
      <c r="DH158" s="28" t="e">
        <f>#REF!</f>
        <v>#REF!</v>
      </c>
      <c r="DI158" s="28" t="e">
        <f>#REF!*2</f>
        <v>#REF!</v>
      </c>
      <c r="DJ158" s="28" t="e">
        <f>#REF!</f>
        <v>#REF!</v>
      </c>
      <c r="DK158" s="28" t="e">
        <f>#REF!*2</f>
        <v>#REF!</v>
      </c>
      <c r="DL158" s="28" t="e">
        <f>#REF!</f>
        <v>#REF!</v>
      </c>
      <c r="DM158" s="28" t="e">
        <f>#REF!*2</f>
        <v>#REF!</v>
      </c>
      <c r="DN158" s="27"/>
      <c r="DO158" s="26"/>
      <c r="DP158" s="26"/>
      <c r="DQ158" s="26"/>
      <c r="DR158" s="26"/>
      <c r="DS158" s="26"/>
      <c r="DT158" s="25"/>
    </row>
    <row r="159" spans="2:124" x14ac:dyDescent="0.3"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2"/>
      <c r="I159" s="3">
        <f>IF(OR(B159="",ISBLANK(B159),B159=0),0,IF(MOD(B159,2)=1,1,2))</f>
        <v>0</v>
      </c>
      <c r="J159" s="3">
        <f>IF(OR(C159="",ISBLANK(C159),C159=0),0,IF(MOD(C159,2)=1,1,2))</f>
        <v>0</v>
      </c>
      <c r="K159" s="3">
        <f>IF(OR(D159="",ISBLANK(D159),D159=0),0,IF(MOD(D159,2)=1,1,2))</f>
        <v>0</v>
      </c>
      <c r="L159" s="3">
        <f>IF(OR(E159="",ISBLANK(E159),E159=0),0,IF(MOD(E159,2)=1,1,2))</f>
        <v>0</v>
      </c>
      <c r="M159" s="3">
        <f>IF(OR(F159="",ISBLANK(F159),F159=0),0,IF(MOD(F159,2)=1,1,2))</f>
        <v>0</v>
      </c>
      <c r="N159" s="3">
        <f>IF(OR(G159="",ISBLANK(G159),G159=0),0,IF(MOD(G159,2)=1,1,2))</f>
        <v>0</v>
      </c>
      <c r="O159" s="32"/>
      <c r="P159" s="3" cm="1">
        <f t="array" ref="P159">SUMPRODUCT(--(MOD(B159:G159,2)=1))</f>
        <v>0</v>
      </c>
      <c r="Q159" s="3">
        <f>6-P159</f>
        <v>6</v>
      </c>
      <c r="R159" s="34"/>
      <c r="S159" s="3">
        <f>COUNTIFS(B159:G159,"&gt;=1",B159:G159,"&lt;=23")</f>
        <v>0</v>
      </c>
      <c r="T159" s="3">
        <f>6-S159</f>
        <v>6</v>
      </c>
      <c r="U159" s="34"/>
      <c r="V159" s="3" cm="1">
        <f t="array" ref="V159">SUMPRODUCT(--(MOD(B159:G159,10)&gt;=1), --(MOD(B159:G159,10)&lt;=5))</f>
        <v>0</v>
      </c>
      <c r="W159" s="3">
        <f>6-V159</f>
        <v>6</v>
      </c>
      <c r="X159" s="34"/>
      <c r="Y159" s="3" cm="1">
        <f t="array" ref="Y159">IFERROR(COUNT(_xlfn._xlws.FILTER(B159:G159, ISNUMBER(MATCH(B159:G159, {2,3,5,7,11,13,17,19,23,29,31,37,41,43}, 0)))), 0)</f>
        <v>0</v>
      </c>
      <c r="Z159" s="3" cm="1">
        <f t="array" ref="Z159">IFERROR(COUNT(_xlfn._xlws.FILTER(B159:G159, ISNUMBER(MATCH(B159:G159, {1,4,8,10,14,16,20,22,25,26,28,32,34,35,38,40,44}, 0)))), 0)</f>
        <v>0</v>
      </c>
      <c r="AA159" s="3" cm="1">
        <f t="array" ref="AA159">IFERROR(COUNT(_xlfn._xlws.FILTER(B159:G159, ISNUMBER(MATCH(B159:G159, {6,9,12,15,18,21,24,27,30,33,36,39,42,45}, 0)))), 0)</f>
        <v>0</v>
      </c>
      <c r="AB159" s="30"/>
      <c r="AC159" s="26" cm="1">
        <f t="array" ref="AC159">_xlfn.IFS(
   OR(B159="",ISBLANK(B159),B159=0),0,
   ISNUMBER(MATCH(B159,{2,3,5,7,11,13,17,19,23,29,31,37,41,43},0)),"소",
   AND(ISNUMBER(B159),MOD(B159,3)=0),"배",
   AND(ISNUMBER(B159),B159&gt;0),"자"
)</f>
        <v>0</v>
      </c>
      <c r="AD159" s="26" cm="1">
        <f t="array" ref="AD159">_xlfn.IFS(
   OR(C159="",ISBLANK(C159),C159=0),0,
   ISNUMBER(MATCH(C159,{2,3,5,7,11,13,17,19,23,29,31,37,41,43},0)),"소",
   AND(ISNUMBER(C159),MOD(C159,3)=0),"배",
   AND(ISNUMBER(C159),C159&gt;0),"자"
)</f>
        <v>0</v>
      </c>
      <c r="AE159" s="26" cm="1">
        <f t="array" ref="AE159">_xlfn.IFS(
   OR(D159="",ISBLANK(D159),D159=0),0,
   ISNUMBER(MATCH(D159,{2,3,5,7,11,13,17,19,23,29,31,37,41,43},0)),"소",
   AND(ISNUMBER(D159),MOD(D159,3)=0),"배",
   AND(ISNUMBER(D159),D159&gt;0),"자"
)</f>
        <v>0</v>
      </c>
      <c r="AF159" s="26" cm="1">
        <f t="array" ref="AF159">_xlfn.IFS(
   OR(E159="",ISBLANK(E159),E159=0),0,
   ISNUMBER(MATCH(E159,{2,3,5,7,11,13,17,19,23,29,31,37,41,43},0)),"소",
   AND(ISNUMBER(E159),MOD(E159,3)=0),"배",
   AND(ISNUMBER(E159),E159&gt;0),"자"
)</f>
        <v>0</v>
      </c>
      <c r="AG159" s="26" cm="1">
        <f t="array" ref="AG159">_xlfn.IFS(
   OR(F159="",ISBLANK(F159),F159=0),0,
   ISNUMBER(MATCH(F159,{2,3,5,7,11,13,17,19,23,29,31,37,41,43},0)),"소",
   AND(ISNUMBER(F159),MOD(F159,3)=0),"배",
   AND(ISNUMBER(F159),F159&gt;0),"자"
)</f>
        <v>0</v>
      </c>
      <c r="AH159" s="26" cm="1">
        <f t="array" ref="AH159">_xlfn.IFS(
   OR(G159="",ISBLANK(G159),G159=0),0,
   ISNUMBER(MATCH(G159,{2,3,5,7,11,13,17,19,23,29,31,37,41,43},0)),"소",
   AND(ISNUMBER(G159),MOD(G159,3)=0),"배",
   AND(ISNUMBER(G159),G159&gt;0),"자"
)</f>
        <v>0</v>
      </c>
      <c r="AI159" s="30"/>
      <c r="AJ159" s="3">
        <f>COUNTIFS(B159:G159,"&gt;=1",B159:G159,"&lt;=14")</f>
        <v>0</v>
      </c>
      <c r="AK159" s="3">
        <f>COUNTIFS(B159:G159,"&gt;=15",B159:G159,"&lt;=31")</f>
        <v>0</v>
      </c>
      <c r="AL159" s="3">
        <f>6-AK159-AJ159</f>
        <v>6</v>
      </c>
      <c r="AM159" s="33"/>
      <c r="AN159" s="3">
        <f>COUNTIFS($B159:$G159, "&gt;=1",$B159:$G159, "&lt;=9")</f>
        <v>0</v>
      </c>
      <c r="AO159" s="3">
        <f>COUNTIFS($B159:$G159, "&gt;=10",$B159:$G159, "&lt;=18")</f>
        <v>0</v>
      </c>
      <c r="AP159" s="3">
        <f>COUNTIFS($B159:$G159, "&gt;=19",$B159:$G159, "&lt;=27")</f>
        <v>0</v>
      </c>
      <c r="AQ159" s="3">
        <f>COUNTIFS($B159:$G159, "&gt;=28",$B159:$G159, "&lt;=36")</f>
        <v>0</v>
      </c>
      <c r="AR159" s="3">
        <f>COUNTIFS($B159:$G159, "&gt;=37",$B159:$G159, "&lt;=45")</f>
        <v>0</v>
      </c>
      <c r="AS159" s="28" t="e">
        <f>#REF!</f>
        <v>#REF!</v>
      </c>
      <c r="AT159" s="28" t="e">
        <f>#REF!*2</f>
        <v>#REF!</v>
      </c>
      <c r="AU159" s="28" t="e">
        <f>#REF!</f>
        <v>#REF!</v>
      </c>
      <c r="AV159" s="28" t="e">
        <f>#REF!*2</f>
        <v>#REF!</v>
      </c>
      <c r="AW159" s="28" t="e">
        <f>#REF!</f>
        <v>#REF!</v>
      </c>
      <c r="AX159" s="28" t="e">
        <f>#REF!*2</f>
        <v>#REF!</v>
      </c>
      <c r="AY159" s="28" t="e">
        <f>#REF!</f>
        <v>#REF!</v>
      </c>
      <c r="AZ159" s="28" t="e">
        <f>#REF!*2</f>
        <v>#REF!</v>
      </c>
      <c r="BA159" s="28" t="e">
        <f>#REF!</f>
        <v>#REF!</v>
      </c>
      <c r="BB159" s="28" t="e">
        <f>#REF!*2</f>
        <v>#REF!</v>
      </c>
      <c r="BC159" s="28" t="e">
        <f>#REF!</f>
        <v>#REF!</v>
      </c>
      <c r="BD159" s="28" t="e">
        <f>#REF!*2</f>
        <v>#REF!</v>
      </c>
      <c r="BE159" s="9" t="e">
        <f>#REF!-#REF!</f>
        <v>#REF!</v>
      </c>
      <c r="BF159" s="9" t="e">
        <f>#REF!-#REF!</f>
        <v>#REF!</v>
      </c>
      <c r="BG159" s="9" t="e">
        <f>#REF!-#REF!</f>
        <v>#REF!</v>
      </c>
      <c r="BH159" s="9" t="e">
        <f>#REF!-#REF!</f>
        <v>#REF!</v>
      </c>
      <c r="BI159" s="9" t="e">
        <f>#REF!-#REF!</f>
        <v>#REF!</v>
      </c>
      <c r="BJ159" s="33"/>
      <c r="BK159" s="3">
        <f>COUNTIFS(B159:G159, "&gt;=1", B159:G159, "&lt;=9")</f>
        <v>0</v>
      </c>
      <c r="BL159" s="3">
        <f>COUNTIFS(B159:G159, "&gt;=10", B159:G159, "&lt;=19")</f>
        <v>0</v>
      </c>
      <c r="BM159" s="3">
        <f>COUNTIFS(B159:G159, "&gt;=20", B159:G159, "&lt;=29")</f>
        <v>0</v>
      </c>
      <c r="BN159" s="3">
        <f>COUNTIFS(B159:G159, "&gt;=30", B159:G159, "&lt;=39")</f>
        <v>0</v>
      </c>
      <c r="BO159" s="3">
        <f>COUNTIFS(B159:G159, "&gt;=40", B159:G159, "&lt;=45")</f>
        <v>0</v>
      </c>
      <c r="BP159" s="28" t="e">
        <f>#REF!</f>
        <v>#REF!</v>
      </c>
      <c r="BQ159" s="28" t="e">
        <f>#REF!*2</f>
        <v>#REF!</v>
      </c>
      <c r="BR159" s="28" t="e">
        <f>#REF!</f>
        <v>#REF!</v>
      </c>
      <c r="BS159" s="28" t="e">
        <f>#REF!*2</f>
        <v>#REF!</v>
      </c>
      <c r="BT159" s="28" t="e">
        <f>#REF!</f>
        <v>#REF!</v>
      </c>
      <c r="BU159" s="28" t="e">
        <f>#REF!*2</f>
        <v>#REF!</v>
      </c>
      <c r="BV159" s="28" t="e">
        <f>#REF!</f>
        <v>#REF!</v>
      </c>
      <c r="BW159" s="28" t="e">
        <f>#REF!*2</f>
        <v>#REF!</v>
      </c>
      <c r="BX159" s="28" t="e">
        <f>#REF!</f>
        <v>#REF!</v>
      </c>
      <c r="BY159" s="28" t="e">
        <f>#REF!*2</f>
        <v>#REF!</v>
      </c>
      <c r="BZ159" s="28" t="e">
        <f>#REF!</f>
        <v>#REF!</v>
      </c>
      <c r="CA159" s="28" t="e">
        <f>#REF!*2</f>
        <v>#REF!</v>
      </c>
      <c r="CB159" s="9">
        <f>C159-B159</f>
        <v>0</v>
      </c>
      <c r="CC159" s="9">
        <f>D159-C159</f>
        <v>0</v>
      </c>
      <c r="CD159" s="9">
        <f>E159-D159</f>
        <v>0</v>
      </c>
      <c r="CE159" s="9">
        <f>F159-E159</f>
        <v>0</v>
      </c>
      <c r="CF159" s="9">
        <f>G159-F159</f>
        <v>0</v>
      </c>
      <c r="CG159" s="33"/>
      <c r="CH159" s="9">
        <f>C159-B159</f>
        <v>0</v>
      </c>
      <c r="CI159" s="9">
        <f>D159-C159</f>
        <v>0</v>
      </c>
      <c r="CJ159" s="9">
        <f>E159-D159</f>
        <v>0</v>
      </c>
      <c r="CK159" s="9">
        <f>F159-E159</f>
        <v>0</v>
      </c>
      <c r="CL159" s="9">
        <f>G159-F159</f>
        <v>0</v>
      </c>
      <c r="CM159" s="32"/>
      <c r="CN159" s="3">
        <f>IF(OR(CH159="",ISBLANK(CH159),CH159=0),0,IF(MOD(CH159,2)=1,1,2))</f>
        <v>0</v>
      </c>
      <c r="CO159" s="3">
        <f>IF(OR(CI159="",ISBLANK(CI159),CI159=0),0,IF(MOD(CI159,2)=1,1,2))</f>
        <v>0</v>
      </c>
      <c r="CP159" s="3">
        <f>IF(OR(CJ159="",ISBLANK(CJ159),CJ159=0),0,IF(MOD(CJ159,2)=1,1,2))</f>
        <v>0</v>
      </c>
      <c r="CQ159" s="3">
        <f>IF(OR(CK159="",ISBLANK(CK159),CK159=0),0,IF(MOD(CK159,2)=1,1,2))</f>
        <v>0</v>
      </c>
      <c r="CR159" s="3">
        <f>IF(OR(CL159="",ISBLANK(CL159),CL159=0),0,IF(MOD(CL159,2)=1,1,2))</f>
        <v>0</v>
      </c>
      <c r="CS159" s="31"/>
      <c r="CT159" s="3" cm="1">
        <f t="array" ref="CT159">SUMPRODUCT(--(MOD(CH159:CL159,2)=1))</f>
        <v>0</v>
      </c>
      <c r="CU159" s="3">
        <f>5-CT159</f>
        <v>5</v>
      </c>
      <c r="CV159" s="30"/>
      <c r="CW159" s="3" cm="1">
        <f t="array" ref="CW159">SUMPRODUCT(--(MOD(CH159:CL159,10)&gt;=1), --(MOD(CH159:CL159,10)&lt;=5))</f>
        <v>0</v>
      </c>
      <c r="CX159" s="3">
        <f>5-CW159</f>
        <v>5</v>
      </c>
      <c r="CY159" s="30"/>
      <c r="CZ159" s="3" cm="1">
        <f t="array" ref="CZ159">IFERROR(COUNT(_xlfn._xlws.FILTER(CH159:CL159, ISNUMBER(MATCH(CH159:CL159, {2,3,5,7,11,13,17,19,23,29,31,37,41,43}, 0)))), 0)</f>
        <v>0</v>
      </c>
      <c r="DA159" s="3" cm="1">
        <f t="array" ref="DA159">IFERROR(COUNT(_xlfn._xlws.FILTER(CH159:CL159, ISNUMBER(MATCH(CH159:CL159, {1,4,8,10,14,16,20,22,25,26,28,32,34,35,38,40,44}, 0)))), 0)</f>
        <v>0</v>
      </c>
      <c r="DB159" s="3" cm="1">
        <f t="array" ref="DB159">IFERROR(COUNT(_xlfn._xlws.FILTER(CH159:CL159, ISNUMBER(MATCH(CH159:CL159, {6,9,12,15,18,21,24,27,30,33,36,39,42,45}, 0)))), 0)</f>
        <v>0</v>
      </c>
      <c r="DC159" s="29"/>
      <c r="DD159" s="28" t="e">
        <f>#REF!</f>
        <v>#REF!</v>
      </c>
      <c r="DE159" s="28" t="e">
        <f>#REF!*2</f>
        <v>#REF!</v>
      </c>
      <c r="DF159" s="28" t="e">
        <f>#REF!</f>
        <v>#REF!</v>
      </c>
      <c r="DG159" s="28" t="e">
        <f>#REF!*2</f>
        <v>#REF!</v>
      </c>
      <c r="DH159" s="28" t="e">
        <f>#REF!</f>
        <v>#REF!</v>
      </c>
      <c r="DI159" s="28" t="e">
        <f>#REF!*2</f>
        <v>#REF!</v>
      </c>
      <c r="DJ159" s="28" t="e">
        <f>#REF!</f>
        <v>#REF!</v>
      </c>
      <c r="DK159" s="28" t="e">
        <f>#REF!*2</f>
        <v>#REF!</v>
      </c>
      <c r="DL159" s="28" t="e">
        <f>#REF!</f>
        <v>#REF!</v>
      </c>
      <c r="DM159" s="28" t="e">
        <f>#REF!*2</f>
        <v>#REF!</v>
      </c>
      <c r="DN159" s="27"/>
      <c r="DO159" s="26"/>
      <c r="DP159" s="26"/>
      <c r="DQ159" s="26"/>
      <c r="DR159" s="26"/>
      <c r="DS159" s="26"/>
      <c r="DT159" s="25"/>
    </row>
    <row r="160" spans="2:124" x14ac:dyDescent="0.3"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2"/>
      <c r="I160" s="3">
        <f>IF(OR(B160="",ISBLANK(B160),B160=0),0,IF(MOD(B160,2)=1,1,2))</f>
        <v>0</v>
      </c>
      <c r="J160" s="3">
        <f>IF(OR(C160="",ISBLANK(C160),C160=0),0,IF(MOD(C160,2)=1,1,2))</f>
        <v>0</v>
      </c>
      <c r="K160" s="3">
        <f>IF(OR(D160="",ISBLANK(D160),D160=0),0,IF(MOD(D160,2)=1,1,2))</f>
        <v>0</v>
      </c>
      <c r="L160" s="3">
        <f>IF(OR(E160="",ISBLANK(E160),E160=0),0,IF(MOD(E160,2)=1,1,2))</f>
        <v>0</v>
      </c>
      <c r="M160" s="3">
        <f>IF(OR(F160="",ISBLANK(F160),F160=0),0,IF(MOD(F160,2)=1,1,2))</f>
        <v>0</v>
      </c>
      <c r="N160" s="3">
        <f>IF(OR(G160="",ISBLANK(G160),G160=0),0,IF(MOD(G160,2)=1,1,2))</f>
        <v>0</v>
      </c>
      <c r="O160" s="32"/>
      <c r="P160" s="3" cm="1">
        <f t="array" ref="P160">SUMPRODUCT(--(MOD(B160:G160,2)=1))</f>
        <v>0</v>
      </c>
      <c r="Q160" s="3">
        <f>6-P160</f>
        <v>6</v>
      </c>
      <c r="R160" s="34"/>
      <c r="S160" s="3">
        <f>COUNTIFS(B160:G160,"&gt;=1",B160:G160,"&lt;=23")</f>
        <v>0</v>
      </c>
      <c r="T160" s="3">
        <f>6-S160</f>
        <v>6</v>
      </c>
      <c r="U160" s="34"/>
      <c r="V160" s="3" cm="1">
        <f t="array" ref="V160">SUMPRODUCT(--(MOD(B160:G160,10)&gt;=1), --(MOD(B160:G160,10)&lt;=5))</f>
        <v>0</v>
      </c>
      <c r="W160" s="3">
        <f>6-V160</f>
        <v>6</v>
      </c>
      <c r="X160" s="34"/>
      <c r="Y160" s="3" cm="1">
        <f t="array" ref="Y160">IFERROR(COUNT(_xlfn._xlws.FILTER(B160:G160, ISNUMBER(MATCH(B160:G160, {2,3,5,7,11,13,17,19,23,29,31,37,41,43}, 0)))), 0)</f>
        <v>0</v>
      </c>
      <c r="Z160" s="3" cm="1">
        <f t="array" ref="Z160">IFERROR(COUNT(_xlfn._xlws.FILTER(B160:G160, ISNUMBER(MATCH(B160:G160, {1,4,8,10,14,16,20,22,25,26,28,32,34,35,38,40,44}, 0)))), 0)</f>
        <v>0</v>
      </c>
      <c r="AA160" s="3" cm="1">
        <f t="array" ref="AA160">IFERROR(COUNT(_xlfn._xlws.FILTER(B160:G160, ISNUMBER(MATCH(B160:G160, {6,9,12,15,18,21,24,27,30,33,36,39,42,45}, 0)))), 0)</f>
        <v>0</v>
      </c>
      <c r="AB160" s="30"/>
      <c r="AC160" s="26" cm="1">
        <f t="array" ref="AC160">_xlfn.IFS(
   OR(B160="",ISBLANK(B160),B160=0),0,
   ISNUMBER(MATCH(B160,{2,3,5,7,11,13,17,19,23,29,31,37,41,43},0)),"소",
   AND(ISNUMBER(B160),MOD(B160,3)=0),"배",
   AND(ISNUMBER(B160),B160&gt;0),"자"
)</f>
        <v>0</v>
      </c>
      <c r="AD160" s="26" cm="1">
        <f t="array" ref="AD160">_xlfn.IFS(
   OR(C160="",ISBLANK(C160),C160=0),0,
   ISNUMBER(MATCH(C160,{2,3,5,7,11,13,17,19,23,29,31,37,41,43},0)),"소",
   AND(ISNUMBER(C160),MOD(C160,3)=0),"배",
   AND(ISNUMBER(C160),C160&gt;0),"자"
)</f>
        <v>0</v>
      </c>
      <c r="AE160" s="26" cm="1">
        <f t="array" ref="AE160">_xlfn.IFS(
   OR(D160="",ISBLANK(D160),D160=0),0,
   ISNUMBER(MATCH(D160,{2,3,5,7,11,13,17,19,23,29,31,37,41,43},0)),"소",
   AND(ISNUMBER(D160),MOD(D160,3)=0),"배",
   AND(ISNUMBER(D160),D160&gt;0),"자"
)</f>
        <v>0</v>
      </c>
      <c r="AF160" s="26" cm="1">
        <f t="array" ref="AF160">_xlfn.IFS(
   OR(E160="",ISBLANK(E160),E160=0),0,
   ISNUMBER(MATCH(E160,{2,3,5,7,11,13,17,19,23,29,31,37,41,43},0)),"소",
   AND(ISNUMBER(E160),MOD(E160,3)=0),"배",
   AND(ISNUMBER(E160),E160&gt;0),"자"
)</f>
        <v>0</v>
      </c>
      <c r="AG160" s="26" cm="1">
        <f t="array" ref="AG160">_xlfn.IFS(
   OR(F160="",ISBLANK(F160),F160=0),0,
   ISNUMBER(MATCH(F160,{2,3,5,7,11,13,17,19,23,29,31,37,41,43},0)),"소",
   AND(ISNUMBER(F160),MOD(F160,3)=0),"배",
   AND(ISNUMBER(F160),F160&gt;0),"자"
)</f>
        <v>0</v>
      </c>
      <c r="AH160" s="26" cm="1">
        <f t="array" ref="AH160">_xlfn.IFS(
   OR(G160="",ISBLANK(G160),G160=0),0,
   ISNUMBER(MATCH(G160,{2,3,5,7,11,13,17,19,23,29,31,37,41,43},0)),"소",
   AND(ISNUMBER(G160),MOD(G160,3)=0),"배",
   AND(ISNUMBER(G160),G160&gt;0),"자"
)</f>
        <v>0</v>
      </c>
      <c r="AI160" s="30"/>
      <c r="AJ160" s="3">
        <f>COUNTIFS(B160:G160,"&gt;=1",B160:G160,"&lt;=14")</f>
        <v>0</v>
      </c>
      <c r="AK160" s="3">
        <f>COUNTIFS(B160:G160,"&gt;=15",B160:G160,"&lt;=31")</f>
        <v>0</v>
      </c>
      <c r="AL160" s="3">
        <f>6-AK160-AJ160</f>
        <v>6</v>
      </c>
      <c r="AM160" s="33"/>
      <c r="AN160" s="3">
        <f>COUNTIFS($B160:$G160, "&gt;=1",$B160:$G160, "&lt;=9")</f>
        <v>0</v>
      </c>
      <c r="AO160" s="3">
        <f>COUNTIFS($B160:$G160, "&gt;=10",$B160:$G160, "&lt;=18")</f>
        <v>0</v>
      </c>
      <c r="AP160" s="3">
        <f>COUNTIFS($B160:$G160, "&gt;=19",$B160:$G160, "&lt;=27")</f>
        <v>0</v>
      </c>
      <c r="AQ160" s="3">
        <f>COUNTIFS($B160:$G160, "&gt;=28",$B160:$G160, "&lt;=36")</f>
        <v>0</v>
      </c>
      <c r="AR160" s="3">
        <f>COUNTIFS($B160:$G160, "&gt;=37",$B160:$G160, "&lt;=45")</f>
        <v>0</v>
      </c>
      <c r="AS160" s="28" t="e">
        <f>#REF!</f>
        <v>#REF!</v>
      </c>
      <c r="AT160" s="28" t="e">
        <f>#REF!*2</f>
        <v>#REF!</v>
      </c>
      <c r="AU160" s="28" t="e">
        <f>#REF!</f>
        <v>#REF!</v>
      </c>
      <c r="AV160" s="28" t="e">
        <f>#REF!*2</f>
        <v>#REF!</v>
      </c>
      <c r="AW160" s="28" t="e">
        <f>#REF!</f>
        <v>#REF!</v>
      </c>
      <c r="AX160" s="28" t="e">
        <f>#REF!*2</f>
        <v>#REF!</v>
      </c>
      <c r="AY160" s="28" t="e">
        <f>#REF!</f>
        <v>#REF!</v>
      </c>
      <c r="AZ160" s="28" t="e">
        <f>#REF!*2</f>
        <v>#REF!</v>
      </c>
      <c r="BA160" s="28" t="e">
        <f>#REF!</f>
        <v>#REF!</v>
      </c>
      <c r="BB160" s="28" t="e">
        <f>#REF!*2</f>
        <v>#REF!</v>
      </c>
      <c r="BC160" s="28" t="e">
        <f>#REF!</f>
        <v>#REF!</v>
      </c>
      <c r="BD160" s="28" t="e">
        <f>#REF!*2</f>
        <v>#REF!</v>
      </c>
      <c r="BE160" s="9" t="e">
        <f>#REF!-#REF!</f>
        <v>#REF!</v>
      </c>
      <c r="BF160" s="9" t="e">
        <f>#REF!-#REF!</f>
        <v>#REF!</v>
      </c>
      <c r="BG160" s="9" t="e">
        <f>#REF!-#REF!</f>
        <v>#REF!</v>
      </c>
      <c r="BH160" s="9" t="e">
        <f>#REF!-#REF!</f>
        <v>#REF!</v>
      </c>
      <c r="BI160" s="9" t="e">
        <f>#REF!-#REF!</f>
        <v>#REF!</v>
      </c>
      <c r="BJ160" s="33"/>
      <c r="BK160" s="3">
        <f>COUNTIFS(B160:G160, "&gt;=1", B160:G160, "&lt;=9")</f>
        <v>0</v>
      </c>
      <c r="BL160" s="3">
        <f>COUNTIFS(B160:G160, "&gt;=10", B160:G160, "&lt;=19")</f>
        <v>0</v>
      </c>
      <c r="BM160" s="3">
        <f>COUNTIFS(B160:G160, "&gt;=20", B160:G160, "&lt;=29")</f>
        <v>0</v>
      </c>
      <c r="BN160" s="3">
        <f>COUNTIFS(B160:G160, "&gt;=30", B160:G160, "&lt;=39")</f>
        <v>0</v>
      </c>
      <c r="BO160" s="3">
        <f>COUNTIFS(B160:G160, "&gt;=40", B160:G160, "&lt;=45")</f>
        <v>0</v>
      </c>
      <c r="BP160" s="28" t="e">
        <f>#REF!</f>
        <v>#REF!</v>
      </c>
      <c r="BQ160" s="28" t="e">
        <f>#REF!*2</f>
        <v>#REF!</v>
      </c>
      <c r="BR160" s="28" t="e">
        <f>#REF!</f>
        <v>#REF!</v>
      </c>
      <c r="BS160" s="28" t="e">
        <f>#REF!*2</f>
        <v>#REF!</v>
      </c>
      <c r="BT160" s="28" t="e">
        <f>#REF!</f>
        <v>#REF!</v>
      </c>
      <c r="BU160" s="28" t="e">
        <f>#REF!*2</f>
        <v>#REF!</v>
      </c>
      <c r="BV160" s="28" t="e">
        <f>#REF!</f>
        <v>#REF!</v>
      </c>
      <c r="BW160" s="28" t="e">
        <f>#REF!*2</f>
        <v>#REF!</v>
      </c>
      <c r="BX160" s="28" t="e">
        <f>#REF!</f>
        <v>#REF!</v>
      </c>
      <c r="BY160" s="28" t="e">
        <f>#REF!*2</f>
        <v>#REF!</v>
      </c>
      <c r="BZ160" s="28" t="e">
        <f>#REF!</f>
        <v>#REF!</v>
      </c>
      <c r="CA160" s="28" t="e">
        <f>#REF!*2</f>
        <v>#REF!</v>
      </c>
      <c r="CB160" s="9">
        <f>C160-B160</f>
        <v>0</v>
      </c>
      <c r="CC160" s="9">
        <f>D160-C160</f>
        <v>0</v>
      </c>
      <c r="CD160" s="9">
        <f>E160-D160</f>
        <v>0</v>
      </c>
      <c r="CE160" s="9">
        <f>F160-E160</f>
        <v>0</v>
      </c>
      <c r="CF160" s="9">
        <f>G160-F160</f>
        <v>0</v>
      </c>
      <c r="CG160" s="33"/>
      <c r="CH160" s="9">
        <f>C160-B160</f>
        <v>0</v>
      </c>
      <c r="CI160" s="9">
        <f>D160-C160</f>
        <v>0</v>
      </c>
      <c r="CJ160" s="9">
        <f>E160-D160</f>
        <v>0</v>
      </c>
      <c r="CK160" s="9">
        <f>F160-E160</f>
        <v>0</v>
      </c>
      <c r="CL160" s="9">
        <f>G160-F160</f>
        <v>0</v>
      </c>
      <c r="CM160" s="32"/>
      <c r="CN160" s="3">
        <f>IF(OR(CH160="",ISBLANK(CH160),CH160=0),0,IF(MOD(CH160,2)=1,1,2))</f>
        <v>0</v>
      </c>
      <c r="CO160" s="3">
        <f>IF(OR(CI160="",ISBLANK(CI160),CI160=0),0,IF(MOD(CI160,2)=1,1,2))</f>
        <v>0</v>
      </c>
      <c r="CP160" s="3">
        <f>IF(OR(CJ160="",ISBLANK(CJ160),CJ160=0),0,IF(MOD(CJ160,2)=1,1,2))</f>
        <v>0</v>
      </c>
      <c r="CQ160" s="3">
        <f>IF(OR(CK160="",ISBLANK(CK160),CK160=0),0,IF(MOD(CK160,2)=1,1,2))</f>
        <v>0</v>
      </c>
      <c r="CR160" s="3">
        <f>IF(OR(CL160="",ISBLANK(CL160),CL160=0),0,IF(MOD(CL160,2)=1,1,2))</f>
        <v>0</v>
      </c>
      <c r="CS160" s="31"/>
      <c r="CT160" s="3" cm="1">
        <f t="array" ref="CT160">SUMPRODUCT(--(MOD(CH160:CL160,2)=1))</f>
        <v>0</v>
      </c>
      <c r="CU160" s="3">
        <f>5-CT160</f>
        <v>5</v>
      </c>
      <c r="CV160" s="30"/>
      <c r="CW160" s="3" cm="1">
        <f t="array" ref="CW160">SUMPRODUCT(--(MOD(CH160:CL160,10)&gt;=1), --(MOD(CH160:CL160,10)&lt;=5))</f>
        <v>0</v>
      </c>
      <c r="CX160" s="3">
        <f>5-CW160</f>
        <v>5</v>
      </c>
      <c r="CY160" s="30"/>
      <c r="CZ160" s="3" cm="1">
        <f t="array" ref="CZ160">IFERROR(COUNT(_xlfn._xlws.FILTER(CH160:CL160, ISNUMBER(MATCH(CH160:CL160, {2,3,5,7,11,13,17,19,23,29,31,37,41,43}, 0)))), 0)</f>
        <v>0</v>
      </c>
      <c r="DA160" s="3" cm="1">
        <f t="array" ref="DA160">IFERROR(COUNT(_xlfn._xlws.FILTER(CH160:CL160, ISNUMBER(MATCH(CH160:CL160, {1,4,8,10,14,16,20,22,25,26,28,32,34,35,38,40,44}, 0)))), 0)</f>
        <v>0</v>
      </c>
      <c r="DB160" s="3" cm="1">
        <f t="array" ref="DB160">IFERROR(COUNT(_xlfn._xlws.FILTER(CH160:CL160, ISNUMBER(MATCH(CH160:CL160, {6,9,12,15,18,21,24,27,30,33,36,39,42,45}, 0)))), 0)</f>
        <v>0</v>
      </c>
      <c r="DC160" s="29"/>
      <c r="DD160" s="28" t="e">
        <f>#REF!</f>
        <v>#REF!</v>
      </c>
      <c r="DE160" s="28" t="e">
        <f>#REF!*2</f>
        <v>#REF!</v>
      </c>
      <c r="DF160" s="28" t="e">
        <f>#REF!</f>
        <v>#REF!</v>
      </c>
      <c r="DG160" s="28" t="e">
        <f>#REF!*2</f>
        <v>#REF!</v>
      </c>
      <c r="DH160" s="28" t="e">
        <f>#REF!</f>
        <v>#REF!</v>
      </c>
      <c r="DI160" s="28" t="e">
        <f>#REF!*2</f>
        <v>#REF!</v>
      </c>
      <c r="DJ160" s="28" t="e">
        <f>#REF!</f>
        <v>#REF!</v>
      </c>
      <c r="DK160" s="28" t="e">
        <f>#REF!*2</f>
        <v>#REF!</v>
      </c>
      <c r="DL160" s="28" t="e">
        <f>#REF!</f>
        <v>#REF!</v>
      </c>
      <c r="DM160" s="28" t="e">
        <f>#REF!*2</f>
        <v>#REF!</v>
      </c>
      <c r="DN160" s="27"/>
      <c r="DO160" s="26"/>
      <c r="DP160" s="26"/>
      <c r="DQ160" s="26"/>
      <c r="DR160" s="26"/>
      <c r="DS160" s="26"/>
      <c r="DT160" s="25"/>
    </row>
    <row r="161" spans="2:124" x14ac:dyDescent="0.3"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2"/>
      <c r="I161" s="3">
        <f>IF(OR(B161="",ISBLANK(B161),B161=0),0,IF(MOD(B161,2)=1,1,2))</f>
        <v>0</v>
      </c>
      <c r="J161" s="3">
        <f>IF(OR(C161="",ISBLANK(C161),C161=0),0,IF(MOD(C161,2)=1,1,2))</f>
        <v>0</v>
      </c>
      <c r="K161" s="3">
        <f>IF(OR(D161="",ISBLANK(D161),D161=0),0,IF(MOD(D161,2)=1,1,2))</f>
        <v>0</v>
      </c>
      <c r="L161" s="3">
        <f>IF(OR(E161="",ISBLANK(E161),E161=0),0,IF(MOD(E161,2)=1,1,2))</f>
        <v>0</v>
      </c>
      <c r="M161" s="3">
        <f>IF(OR(F161="",ISBLANK(F161),F161=0),0,IF(MOD(F161,2)=1,1,2))</f>
        <v>0</v>
      </c>
      <c r="N161" s="3">
        <f>IF(OR(G161="",ISBLANK(G161),G161=0),0,IF(MOD(G161,2)=1,1,2))</f>
        <v>0</v>
      </c>
      <c r="O161" s="32"/>
      <c r="P161" s="3" cm="1">
        <f t="array" ref="P161">SUMPRODUCT(--(MOD(B161:G161,2)=1))</f>
        <v>0</v>
      </c>
      <c r="Q161" s="3">
        <f>6-P161</f>
        <v>6</v>
      </c>
      <c r="R161" s="34"/>
      <c r="S161" s="3">
        <f>COUNTIFS(B161:G161,"&gt;=1",B161:G161,"&lt;=23")</f>
        <v>0</v>
      </c>
      <c r="T161" s="3">
        <f>6-S161</f>
        <v>6</v>
      </c>
      <c r="U161" s="34"/>
      <c r="V161" s="3" cm="1">
        <f t="array" ref="V161">SUMPRODUCT(--(MOD(B161:G161,10)&gt;=1), --(MOD(B161:G161,10)&lt;=5))</f>
        <v>0</v>
      </c>
      <c r="W161" s="3">
        <f>6-V161</f>
        <v>6</v>
      </c>
      <c r="X161" s="34"/>
      <c r="Y161" s="3" cm="1">
        <f t="array" ref="Y161">IFERROR(COUNT(_xlfn._xlws.FILTER(B161:G161, ISNUMBER(MATCH(B161:G161, {2,3,5,7,11,13,17,19,23,29,31,37,41,43}, 0)))), 0)</f>
        <v>0</v>
      </c>
      <c r="Z161" s="3" cm="1">
        <f t="array" ref="Z161">IFERROR(COUNT(_xlfn._xlws.FILTER(B161:G161, ISNUMBER(MATCH(B161:G161, {1,4,8,10,14,16,20,22,25,26,28,32,34,35,38,40,44}, 0)))), 0)</f>
        <v>0</v>
      </c>
      <c r="AA161" s="3" cm="1">
        <f t="array" ref="AA161">IFERROR(COUNT(_xlfn._xlws.FILTER(B161:G161, ISNUMBER(MATCH(B161:G161, {6,9,12,15,18,21,24,27,30,33,36,39,42,45}, 0)))), 0)</f>
        <v>0</v>
      </c>
      <c r="AB161" s="30"/>
      <c r="AC161" s="26" cm="1">
        <f t="array" ref="AC161">_xlfn.IFS(
   OR(B161="",ISBLANK(B161),B161=0),0,
   ISNUMBER(MATCH(B161,{2,3,5,7,11,13,17,19,23,29,31,37,41,43},0)),"소",
   AND(ISNUMBER(B161),MOD(B161,3)=0),"배",
   AND(ISNUMBER(B161),B161&gt;0),"자"
)</f>
        <v>0</v>
      </c>
      <c r="AD161" s="26" cm="1">
        <f t="array" ref="AD161">_xlfn.IFS(
   OR(C161="",ISBLANK(C161),C161=0),0,
   ISNUMBER(MATCH(C161,{2,3,5,7,11,13,17,19,23,29,31,37,41,43},0)),"소",
   AND(ISNUMBER(C161),MOD(C161,3)=0),"배",
   AND(ISNUMBER(C161),C161&gt;0),"자"
)</f>
        <v>0</v>
      </c>
      <c r="AE161" s="26" cm="1">
        <f t="array" ref="AE161">_xlfn.IFS(
   OR(D161="",ISBLANK(D161),D161=0),0,
   ISNUMBER(MATCH(D161,{2,3,5,7,11,13,17,19,23,29,31,37,41,43},0)),"소",
   AND(ISNUMBER(D161),MOD(D161,3)=0),"배",
   AND(ISNUMBER(D161),D161&gt;0),"자"
)</f>
        <v>0</v>
      </c>
      <c r="AF161" s="26" cm="1">
        <f t="array" ref="AF161">_xlfn.IFS(
   OR(E161="",ISBLANK(E161),E161=0),0,
   ISNUMBER(MATCH(E161,{2,3,5,7,11,13,17,19,23,29,31,37,41,43},0)),"소",
   AND(ISNUMBER(E161),MOD(E161,3)=0),"배",
   AND(ISNUMBER(E161),E161&gt;0),"자"
)</f>
        <v>0</v>
      </c>
      <c r="AG161" s="26" cm="1">
        <f t="array" ref="AG161">_xlfn.IFS(
   OR(F161="",ISBLANK(F161),F161=0),0,
   ISNUMBER(MATCH(F161,{2,3,5,7,11,13,17,19,23,29,31,37,41,43},0)),"소",
   AND(ISNUMBER(F161),MOD(F161,3)=0),"배",
   AND(ISNUMBER(F161),F161&gt;0),"자"
)</f>
        <v>0</v>
      </c>
      <c r="AH161" s="26" cm="1">
        <f t="array" ref="AH161">_xlfn.IFS(
   OR(G161="",ISBLANK(G161),G161=0),0,
   ISNUMBER(MATCH(G161,{2,3,5,7,11,13,17,19,23,29,31,37,41,43},0)),"소",
   AND(ISNUMBER(G161),MOD(G161,3)=0),"배",
   AND(ISNUMBER(G161),G161&gt;0),"자"
)</f>
        <v>0</v>
      </c>
      <c r="AI161" s="30"/>
      <c r="AJ161" s="3">
        <f>COUNTIFS(B161:G161,"&gt;=1",B161:G161,"&lt;=14")</f>
        <v>0</v>
      </c>
      <c r="AK161" s="3">
        <f>COUNTIFS(B161:G161,"&gt;=15",B161:G161,"&lt;=31")</f>
        <v>0</v>
      </c>
      <c r="AL161" s="3">
        <f>6-AK161-AJ161</f>
        <v>6</v>
      </c>
      <c r="AM161" s="33"/>
      <c r="AN161" s="3">
        <f>COUNTIFS($B161:$G161, "&gt;=1",$B161:$G161, "&lt;=9")</f>
        <v>0</v>
      </c>
      <c r="AO161" s="3">
        <f>COUNTIFS($B161:$G161, "&gt;=10",$B161:$G161, "&lt;=18")</f>
        <v>0</v>
      </c>
      <c r="AP161" s="3">
        <f>COUNTIFS($B161:$G161, "&gt;=19",$B161:$G161, "&lt;=27")</f>
        <v>0</v>
      </c>
      <c r="AQ161" s="3">
        <f>COUNTIFS($B161:$G161, "&gt;=28",$B161:$G161, "&lt;=36")</f>
        <v>0</v>
      </c>
      <c r="AR161" s="3">
        <f>COUNTIFS($B161:$G161, "&gt;=37",$B161:$G161, "&lt;=45")</f>
        <v>0</v>
      </c>
      <c r="AS161" s="28" t="e">
        <f>#REF!</f>
        <v>#REF!</v>
      </c>
      <c r="AT161" s="28" t="e">
        <f>#REF!*2</f>
        <v>#REF!</v>
      </c>
      <c r="AU161" s="28" t="e">
        <f>#REF!</f>
        <v>#REF!</v>
      </c>
      <c r="AV161" s="28" t="e">
        <f>#REF!*2</f>
        <v>#REF!</v>
      </c>
      <c r="AW161" s="28" t="e">
        <f>#REF!</f>
        <v>#REF!</v>
      </c>
      <c r="AX161" s="28" t="e">
        <f>#REF!*2</f>
        <v>#REF!</v>
      </c>
      <c r="AY161" s="28" t="e">
        <f>#REF!</f>
        <v>#REF!</v>
      </c>
      <c r="AZ161" s="28" t="e">
        <f>#REF!*2</f>
        <v>#REF!</v>
      </c>
      <c r="BA161" s="28" t="e">
        <f>#REF!</f>
        <v>#REF!</v>
      </c>
      <c r="BB161" s="28" t="e">
        <f>#REF!*2</f>
        <v>#REF!</v>
      </c>
      <c r="BC161" s="28" t="e">
        <f>#REF!</f>
        <v>#REF!</v>
      </c>
      <c r="BD161" s="28" t="e">
        <f>#REF!*2</f>
        <v>#REF!</v>
      </c>
      <c r="BE161" s="9" t="e">
        <f>#REF!-#REF!</f>
        <v>#REF!</v>
      </c>
      <c r="BF161" s="9" t="e">
        <f>#REF!-#REF!</f>
        <v>#REF!</v>
      </c>
      <c r="BG161" s="9" t="e">
        <f>#REF!-#REF!</f>
        <v>#REF!</v>
      </c>
      <c r="BH161" s="9" t="e">
        <f>#REF!-#REF!</f>
        <v>#REF!</v>
      </c>
      <c r="BI161" s="9" t="e">
        <f>#REF!-#REF!</f>
        <v>#REF!</v>
      </c>
      <c r="BJ161" s="33"/>
      <c r="BK161" s="3">
        <f>COUNTIFS(B161:G161, "&gt;=1", B161:G161, "&lt;=9")</f>
        <v>0</v>
      </c>
      <c r="BL161" s="3">
        <f>COUNTIFS(B161:G161, "&gt;=10", B161:G161, "&lt;=19")</f>
        <v>0</v>
      </c>
      <c r="BM161" s="3">
        <f>COUNTIFS(B161:G161, "&gt;=20", B161:G161, "&lt;=29")</f>
        <v>0</v>
      </c>
      <c r="BN161" s="3">
        <f>COUNTIFS(B161:G161, "&gt;=30", B161:G161, "&lt;=39")</f>
        <v>0</v>
      </c>
      <c r="BO161" s="3">
        <f>COUNTIFS(B161:G161, "&gt;=40", B161:G161, "&lt;=45")</f>
        <v>0</v>
      </c>
      <c r="BP161" s="28" t="e">
        <f>#REF!</f>
        <v>#REF!</v>
      </c>
      <c r="BQ161" s="28" t="e">
        <f>#REF!*2</f>
        <v>#REF!</v>
      </c>
      <c r="BR161" s="28" t="e">
        <f>#REF!</f>
        <v>#REF!</v>
      </c>
      <c r="BS161" s="28" t="e">
        <f>#REF!*2</f>
        <v>#REF!</v>
      </c>
      <c r="BT161" s="28" t="e">
        <f>#REF!</f>
        <v>#REF!</v>
      </c>
      <c r="BU161" s="28" t="e">
        <f>#REF!*2</f>
        <v>#REF!</v>
      </c>
      <c r="BV161" s="28" t="e">
        <f>#REF!</f>
        <v>#REF!</v>
      </c>
      <c r="BW161" s="28" t="e">
        <f>#REF!*2</f>
        <v>#REF!</v>
      </c>
      <c r="BX161" s="28" t="e">
        <f>#REF!</f>
        <v>#REF!</v>
      </c>
      <c r="BY161" s="28" t="e">
        <f>#REF!*2</f>
        <v>#REF!</v>
      </c>
      <c r="BZ161" s="28" t="e">
        <f>#REF!</f>
        <v>#REF!</v>
      </c>
      <c r="CA161" s="28" t="e">
        <f>#REF!*2</f>
        <v>#REF!</v>
      </c>
      <c r="CB161" s="9">
        <f>C161-B161</f>
        <v>0</v>
      </c>
      <c r="CC161" s="9">
        <f>D161-C161</f>
        <v>0</v>
      </c>
      <c r="CD161" s="9">
        <f>E161-D161</f>
        <v>0</v>
      </c>
      <c r="CE161" s="9">
        <f>F161-E161</f>
        <v>0</v>
      </c>
      <c r="CF161" s="9">
        <f>G161-F161</f>
        <v>0</v>
      </c>
      <c r="CG161" s="33"/>
      <c r="CH161" s="9">
        <f>C161-B161</f>
        <v>0</v>
      </c>
      <c r="CI161" s="9">
        <f>D161-C161</f>
        <v>0</v>
      </c>
      <c r="CJ161" s="9">
        <f>E161-D161</f>
        <v>0</v>
      </c>
      <c r="CK161" s="9">
        <f>F161-E161</f>
        <v>0</v>
      </c>
      <c r="CL161" s="9">
        <f>G161-F161</f>
        <v>0</v>
      </c>
      <c r="CM161" s="32"/>
      <c r="CN161" s="3">
        <f>IF(OR(CH161="",ISBLANK(CH161),CH161=0),0,IF(MOD(CH161,2)=1,1,2))</f>
        <v>0</v>
      </c>
      <c r="CO161" s="3">
        <f>IF(OR(CI161="",ISBLANK(CI161),CI161=0),0,IF(MOD(CI161,2)=1,1,2))</f>
        <v>0</v>
      </c>
      <c r="CP161" s="3">
        <f>IF(OR(CJ161="",ISBLANK(CJ161),CJ161=0),0,IF(MOD(CJ161,2)=1,1,2))</f>
        <v>0</v>
      </c>
      <c r="CQ161" s="3">
        <f>IF(OR(CK161="",ISBLANK(CK161),CK161=0),0,IF(MOD(CK161,2)=1,1,2))</f>
        <v>0</v>
      </c>
      <c r="CR161" s="3">
        <f>IF(OR(CL161="",ISBLANK(CL161),CL161=0),0,IF(MOD(CL161,2)=1,1,2))</f>
        <v>0</v>
      </c>
      <c r="CS161" s="31"/>
      <c r="CT161" s="3" cm="1">
        <f t="array" ref="CT161">SUMPRODUCT(--(MOD(CH161:CL161,2)=1))</f>
        <v>0</v>
      </c>
      <c r="CU161" s="3">
        <f>5-CT161</f>
        <v>5</v>
      </c>
      <c r="CV161" s="30"/>
      <c r="CW161" s="3" cm="1">
        <f t="array" ref="CW161">SUMPRODUCT(--(MOD(CH161:CL161,10)&gt;=1), --(MOD(CH161:CL161,10)&lt;=5))</f>
        <v>0</v>
      </c>
      <c r="CX161" s="3">
        <f>5-CW161</f>
        <v>5</v>
      </c>
      <c r="CY161" s="30"/>
      <c r="CZ161" s="3" cm="1">
        <f t="array" ref="CZ161">IFERROR(COUNT(_xlfn._xlws.FILTER(CH161:CL161, ISNUMBER(MATCH(CH161:CL161, {2,3,5,7,11,13,17,19,23,29,31,37,41,43}, 0)))), 0)</f>
        <v>0</v>
      </c>
      <c r="DA161" s="3" cm="1">
        <f t="array" ref="DA161">IFERROR(COUNT(_xlfn._xlws.FILTER(CH161:CL161, ISNUMBER(MATCH(CH161:CL161, {1,4,8,10,14,16,20,22,25,26,28,32,34,35,38,40,44}, 0)))), 0)</f>
        <v>0</v>
      </c>
      <c r="DB161" s="3" cm="1">
        <f t="array" ref="DB161">IFERROR(COUNT(_xlfn._xlws.FILTER(CH161:CL161, ISNUMBER(MATCH(CH161:CL161, {6,9,12,15,18,21,24,27,30,33,36,39,42,45}, 0)))), 0)</f>
        <v>0</v>
      </c>
      <c r="DC161" s="29"/>
      <c r="DD161" s="28" t="e">
        <f>#REF!</f>
        <v>#REF!</v>
      </c>
      <c r="DE161" s="28" t="e">
        <f>#REF!*2</f>
        <v>#REF!</v>
      </c>
      <c r="DF161" s="28" t="e">
        <f>#REF!</f>
        <v>#REF!</v>
      </c>
      <c r="DG161" s="28" t="e">
        <f>#REF!*2</f>
        <v>#REF!</v>
      </c>
      <c r="DH161" s="28" t="e">
        <f>#REF!</f>
        <v>#REF!</v>
      </c>
      <c r="DI161" s="28" t="e">
        <f>#REF!*2</f>
        <v>#REF!</v>
      </c>
      <c r="DJ161" s="28" t="e">
        <f>#REF!</f>
        <v>#REF!</v>
      </c>
      <c r="DK161" s="28" t="e">
        <f>#REF!*2</f>
        <v>#REF!</v>
      </c>
      <c r="DL161" s="28" t="e">
        <f>#REF!</f>
        <v>#REF!</v>
      </c>
      <c r="DM161" s="28" t="e">
        <f>#REF!*2</f>
        <v>#REF!</v>
      </c>
      <c r="DN161" s="27"/>
      <c r="DO161" s="26"/>
      <c r="DP161" s="26"/>
      <c r="DQ161" s="26"/>
      <c r="DR161" s="26"/>
      <c r="DS161" s="26"/>
      <c r="DT161" s="25"/>
    </row>
    <row r="162" spans="2:124" x14ac:dyDescent="0.3"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2"/>
      <c r="I162" s="3">
        <f>IF(OR(B162="",ISBLANK(B162),B162=0),0,IF(MOD(B162,2)=1,1,2))</f>
        <v>0</v>
      </c>
      <c r="J162" s="3">
        <f>IF(OR(C162="",ISBLANK(C162),C162=0),0,IF(MOD(C162,2)=1,1,2))</f>
        <v>0</v>
      </c>
      <c r="K162" s="3">
        <f>IF(OR(D162="",ISBLANK(D162),D162=0),0,IF(MOD(D162,2)=1,1,2))</f>
        <v>0</v>
      </c>
      <c r="L162" s="3">
        <f>IF(OR(E162="",ISBLANK(E162),E162=0),0,IF(MOD(E162,2)=1,1,2))</f>
        <v>0</v>
      </c>
      <c r="M162" s="3">
        <f>IF(OR(F162="",ISBLANK(F162),F162=0),0,IF(MOD(F162,2)=1,1,2))</f>
        <v>0</v>
      </c>
      <c r="N162" s="3">
        <f>IF(OR(G162="",ISBLANK(G162),G162=0),0,IF(MOD(G162,2)=1,1,2))</f>
        <v>0</v>
      </c>
      <c r="O162" s="32"/>
      <c r="P162" s="3" cm="1">
        <f t="array" ref="P162">SUMPRODUCT(--(MOD(B162:G162,2)=1))</f>
        <v>0</v>
      </c>
      <c r="Q162" s="3">
        <f>6-P162</f>
        <v>6</v>
      </c>
      <c r="R162" s="34"/>
      <c r="S162" s="3">
        <f>COUNTIFS(B162:G162,"&gt;=1",B162:G162,"&lt;=23")</f>
        <v>0</v>
      </c>
      <c r="T162" s="3">
        <f>6-S162</f>
        <v>6</v>
      </c>
      <c r="U162" s="34"/>
      <c r="V162" s="3" cm="1">
        <f t="array" ref="V162">SUMPRODUCT(--(MOD(B162:G162,10)&gt;=1), --(MOD(B162:G162,10)&lt;=5))</f>
        <v>0</v>
      </c>
      <c r="W162" s="3">
        <f>6-V162</f>
        <v>6</v>
      </c>
      <c r="X162" s="34"/>
      <c r="Y162" s="3" cm="1">
        <f t="array" ref="Y162">IFERROR(COUNT(_xlfn._xlws.FILTER(B162:G162, ISNUMBER(MATCH(B162:G162, {2,3,5,7,11,13,17,19,23,29,31,37,41,43}, 0)))), 0)</f>
        <v>0</v>
      </c>
      <c r="Z162" s="3" cm="1">
        <f t="array" ref="Z162">IFERROR(COUNT(_xlfn._xlws.FILTER(B162:G162, ISNUMBER(MATCH(B162:G162, {1,4,8,10,14,16,20,22,25,26,28,32,34,35,38,40,44}, 0)))), 0)</f>
        <v>0</v>
      </c>
      <c r="AA162" s="3" cm="1">
        <f t="array" ref="AA162">IFERROR(COUNT(_xlfn._xlws.FILTER(B162:G162, ISNUMBER(MATCH(B162:G162, {6,9,12,15,18,21,24,27,30,33,36,39,42,45}, 0)))), 0)</f>
        <v>0</v>
      </c>
      <c r="AB162" s="30"/>
      <c r="AC162" s="26" cm="1">
        <f t="array" ref="AC162">_xlfn.IFS(
   OR(B162="",ISBLANK(B162),B162=0),0,
   ISNUMBER(MATCH(B162,{2,3,5,7,11,13,17,19,23,29,31,37,41,43},0)),"소",
   AND(ISNUMBER(B162),MOD(B162,3)=0),"배",
   AND(ISNUMBER(B162),B162&gt;0),"자"
)</f>
        <v>0</v>
      </c>
      <c r="AD162" s="26" cm="1">
        <f t="array" ref="AD162">_xlfn.IFS(
   OR(C162="",ISBLANK(C162),C162=0),0,
   ISNUMBER(MATCH(C162,{2,3,5,7,11,13,17,19,23,29,31,37,41,43},0)),"소",
   AND(ISNUMBER(C162),MOD(C162,3)=0),"배",
   AND(ISNUMBER(C162),C162&gt;0),"자"
)</f>
        <v>0</v>
      </c>
      <c r="AE162" s="26" cm="1">
        <f t="array" ref="AE162">_xlfn.IFS(
   OR(D162="",ISBLANK(D162),D162=0),0,
   ISNUMBER(MATCH(D162,{2,3,5,7,11,13,17,19,23,29,31,37,41,43},0)),"소",
   AND(ISNUMBER(D162),MOD(D162,3)=0),"배",
   AND(ISNUMBER(D162),D162&gt;0),"자"
)</f>
        <v>0</v>
      </c>
      <c r="AF162" s="26" cm="1">
        <f t="array" ref="AF162">_xlfn.IFS(
   OR(E162="",ISBLANK(E162),E162=0),0,
   ISNUMBER(MATCH(E162,{2,3,5,7,11,13,17,19,23,29,31,37,41,43},0)),"소",
   AND(ISNUMBER(E162),MOD(E162,3)=0),"배",
   AND(ISNUMBER(E162),E162&gt;0),"자"
)</f>
        <v>0</v>
      </c>
      <c r="AG162" s="26" cm="1">
        <f t="array" ref="AG162">_xlfn.IFS(
   OR(F162="",ISBLANK(F162),F162=0),0,
   ISNUMBER(MATCH(F162,{2,3,5,7,11,13,17,19,23,29,31,37,41,43},0)),"소",
   AND(ISNUMBER(F162),MOD(F162,3)=0),"배",
   AND(ISNUMBER(F162),F162&gt;0),"자"
)</f>
        <v>0</v>
      </c>
      <c r="AH162" s="26" cm="1">
        <f t="array" ref="AH162">_xlfn.IFS(
   OR(G162="",ISBLANK(G162),G162=0),0,
   ISNUMBER(MATCH(G162,{2,3,5,7,11,13,17,19,23,29,31,37,41,43},0)),"소",
   AND(ISNUMBER(G162),MOD(G162,3)=0),"배",
   AND(ISNUMBER(G162),G162&gt;0),"자"
)</f>
        <v>0</v>
      </c>
      <c r="AI162" s="30"/>
      <c r="AJ162" s="3">
        <f>COUNTIFS(B162:G162,"&gt;=1",B162:G162,"&lt;=14")</f>
        <v>0</v>
      </c>
      <c r="AK162" s="3">
        <f>COUNTIFS(B162:G162,"&gt;=15",B162:G162,"&lt;=31")</f>
        <v>0</v>
      </c>
      <c r="AL162" s="3">
        <f>6-AK162-AJ162</f>
        <v>6</v>
      </c>
      <c r="AM162" s="33"/>
      <c r="AN162" s="3">
        <f>COUNTIFS($B162:$G162, "&gt;=1",$B162:$G162, "&lt;=9")</f>
        <v>0</v>
      </c>
      <c r="AO162" s="3">
        <f>COUNTIFS($B162:$G162, "&gt;=10",$B162:$G162, "&lt;=18")</f>
        <v>0</v>
      </c>
      <c r="AP162" s="3">
        <f>COUNTIFS($B162:$G162, "&gt;=19",$B162:$G162, "&lt;=27")</f>
        <v>0</v>
      </c>
      <c r="AQ162" s="3">
        <f>COUNTIFS($B162:$G162, "&gt;=28",$B162:$G162, "&lt;=36")</f>
        <v>0</v>
      </c>
      <c r="AR162" s="3">
        <f>COUNTIFS($B162:$G162, "&gt;=37",$B162:$G162, "&lt;=45")</f>
        <v>0</v>
      </c>
      <c r="AS162" s="28" t="e">
        <f>#REF!</f>
        <v>#REF!</v>
      </c>
      <c r="AT162" s="28" t="e">
        <f>#REF!*2</f>
        <v>#REF!</v>
      </c>
      <c r="AU162" s="28" t="e">
        <f>#REF!</f>
        <v>#REF!</v>
      </c>
      <c r="AV162" s="28" t="e">
        <f>#REF!*2</f>
        <v>#REF!</v>
      </c>
      <c r="AW162" s="28" t="e">
        <f>#REF!</f>
        <v>#REF!</v>
      </c>
      <c r="AX162" s="28" t="e">
        <f>#REF!*2</f>
        <v>#REF!</v>
      </c>
      <c r="AY162" s="28" t="e">
        <f>#REF!</f>
        <v>#REF!</v>
      </c>
      <c r="AZ162" s="28" t="e">
        <f>#REF!*2</f>
        <v>#REF!</v>
      </c>
      <c r="BA162" s="28" t="e">
        <f>#REF!</f>
        <v>#REF!</v>
      </c>
      <c r="BB162" s="28" t="e">
        <f>#REF!*2</f>
        <v>#REF!</v>
      </c>
      <c r="BC162" s="28" t="e">
        <f>#REF!</f>
        <v>#REF!</v>
      </c>
      <c r="BD162" s="28" t="e">
        <f>#REF!*2</f>
        <v>#REF!</v>
      </c>
      <c r="BE162" s="9" t="e">
        <f>#REF!-#REF!</f>
        <v>#REF!</v>
      </c>
      <c r="BF162" s="9" t="e">
        <f>#REF!-#REF!</f>
        <v>#REF!</v>
      </c>
      <c r="BG162" s="9" t="e">
        <f>#REF!-#REF!</f>
        <v>#REF!</v>
      </c>
      <c r="BH162" s="9" t="e">
        <f>#REF!-#REF!</f>
        <v>#REF!</v>
      </c>
      <c r="BI162" s="9" t="e">
        <f>#REF!-#REF!</f>
        <v>#REF!</v>
      </c>
      <c r="BJ162" s="33"/>
      <c r="BK162" s="3">
        <f>COUNTIFS(B162:G162, "&gt;=1", B162:G162, "&lt;=9")</f>
        <v>0</v>
      </c>
      <c r="BL162" s="3">
        <f>COUNTIFS(B162:G162, "&gt;=10", B162:G162, "&lt;=19")</f>
        <v>0</v>
      </c>
      <c r="BM162" s="3">
        <f>COUNTIFS(B162:G162, "&gt;=20", B162:G162, "&lt;=29")</f>
        <v>0</v>
      </c>
      <c r="BN162" s="3">
        <f>COUNTIFS(B162:G162, "&gt;=30", B162:G162, "&lt;=39")</f>
        <v>0</v>
      </c>
      <c r="BO162" s="3">
        <f>COUNTIFS(B162:G162, "&gt;=40", B162:G162, "&lt;=45")</f>
        <v>0</v>
      </c>
      <c r="BP162" s="28" t="e">
        <f>#REF!</f>
        <v>#REF!</v>
      </c>
      <c r="BQ162" s="28" t="e">
        <f>#REF!*2</f>
        <v>#REF!</v>
      </c>
      <c r="BR162" s="28" t="e">
        <f>#REF!</f>
        <v>#REF!</v>
      </c>
      <c r="BS162" s="28" t="e">
        <f>#REF!*2</f>
        <v>#REF!</v>
      </c>
      <c r="BT162" s="28" t="e">
        <f>#REF!</f>
        <v>#REF!</v>
      </c>
      <c r="BU162" s="28" t="e">
        <f>#REF!*2</f>
        <v>#REF!</v>
      </c>
      <c r="BV162" s="28" t="e">
        <f>#REF!</f>
        <v>#REF!</v>
      </c>
      <c r="BW162" s="28" t="e">
        <f>#REF!*2</f>
        <v>#REF!</v>
      </c>
      <c r="BX162" s="28" t="e">
        <f>#REF!</f>
        <v>#REF!</v>
      </c>
      <c r="BY162" s="28" t="e">
        <f>#REF!*2</f>
        <v>#REF!</v>
      </c>
      <c r="BZ162" s="28" t="e">
        <f>#REF!</f>
        <v>#REF!</v>
      </c>
      <c r="CA162" s="28" t="e">
        <f>#REF!*2</f>
        <v>#REF!</v>
      </c>
      <c r="CB162" s="9">
        <f>C162-B162</f>
        <v>0</v>
      </c>
      <c r="CC162" s="9">
        <f>D162-C162</f>
        <v>0</v>
      </c>
      <c r="CD162" s="9">
        <f>E162-D162</f>
        <v>0</v>
      </c>
      <c r="CE162" s="9">
        <f>F162-E162</f>
        <v>0</v>
      </c>
      <c r="CF162" s="9">
        <f>G162-F162</f>
        <v>0</v>
      </c>
      <c r="CG162" s="33"/>
      <c r="CH162" s="9">
        <f>C162-B162</f>
        <v>0</v>
      </c>
      <c r="CI162" s="9">
        <f>D162-C162</f>
        <v>0</v>
      </c>
      <c r="CJ162" s="9">
        <f>E162-D162</f>
        <v>0</v>
      </c>
      <c r="CK162" s="9">
        <f>F162-E162</f>
        <v>0</v>
      </c>
      <c r="CL162" s="9">
        <f>G162-F162</f>
        <v>0</v>
      </c>
      <c r="CM162" s="32"/>
      <c r="CN162" s="3">
        <f>IF(OR(CH162="",ISBLANK(CH162),CH162=0),0,IF(MOD(CH162,2)=1,1,2))</f>
        <v>0</v>
      </c>
      <c r="CO162" s="3">
        <f>IF(OR(CI162="",ISBLANK(CI162),CI162=0),0,IF(MOD(CI162,2)=1,1,2))</f>
        <v>0</v>
      </c>
      <c r="CP162" s="3">
        <f>IF(OR(CJ162="",ISBLANK(CJ162),CJ162=0),0,IF(MOD(CJ162,2)=1,1,2))</f>
        <v>0</v>
      </c>
      <c r="CQ162" s="3">
        <f>IF(OR(CK162="",ISBLANK(CK162),CK162=0),0,IF(MOD(CK162,2)=1,1,2))</f>
        <v>0</v>
      </c>
      <c r="CR162" s="3">
        <f>IF(OR(CL162="",ISBLANK(CL162),CL162=0),0,IF(MOD(CL162,2)=1,1,2))</f>
        <v>0</v>
      </c>
      <c r="CS162" s="31"/>
      <c r="CT162" s="3" cm="1">
        <f t="array" ref="CT162">SUMPRODUCT(--(MOD(CH162:CL162,2)=1))</f>
        <v>0</v>
      </c>
      <c r="CU162" s="3">
        <f>5-CT162</f>
        <v>5</v>
      </c>
      <c r="CV162" s="30"/>
      <c r="CW162" s="3" cm="1">
        <f t="array" ref="CW162">SUMPRODUCT(--(MOD(CH162:CL162,10)&gt;=1), --(MOD(CH162:CL162,10)&lt;=5))</f>
        <v>0</v>
      </c>
      <c r="CX162" s="3">
        <f>5-CW162</f>
        <v>5</v>
      </c>
      <c r="CY162" s="30"/>
      <c r="CZ162" s="3" cm="1">
        <f t="array" ref="CZ162">IFERROR(COUNT(_xlfn._xlws.FILTER(CH162:CL162, ISNUMBER(MATCH(CH162:CL162, {2,3,5,7,11,13,17,19,23,29,31,37,41,43}, 0)))), 0)</f>
        <v>0</v>
      </c>
      <c r="DA162" s="3" cm="1">
        <f t="array" ref="DA162">IFERROR(COUNT(_xlfn._xlws.FILTER(CH162:CL162, ISNUMBER(MATCH(CH162:CL162, {1,4,8,10,14,16,20,22,25,26,28,32,34,35,38,40,44}, 0)))), 0)</f>
        <v>0</v>
      </c>
      <c r="DB162" s="3" cm="1">
        <f t="array" ref="DB162">IFERROR(COUNT(_xlfn._xlws.FILTER(CH162:CL162, ISNUMBER(MATCH(CH162:CL162, {6,9,12,15,18,21,24,27,30,33,36,39,42,45}, 0)))), 0)</f>
        <v>0</v>
      </c>
      <c r="DC162" s="29"/>
      <c r="DD162" s="28" t="e">
        <f>#REF!</f>
        <v>#REF!</v>
      </c>
      <c r="DE162" s="28" t="e">
        <f>#REF!*2</f>
        <v>#REF!</v>
      </c>
      <c r="DF162" s="28" t="e">
        <f>#REF!</f>
        <v>#REF!</v>
      </c>
      <c r="DG162" s="28" t="e">
        <f>#REF!*2</f>
        <v>#REF!</v>
      </c>
      <c r="DH162" s="28" t="e">
        <f>#REF!</f>
        <v>#REF!</v>
      </c>
      <c r="DI162" s="28" t="e">
        <f>#REF!*2</f>
        <v>#REF!</v>
      </c>
      <c r="DJ162" s="28" t="e">
        <f>#REF!</f>
        <v>#REF!</v>
      </c>
      <c r="DK162" s="28" t="e">
        <f>#REF!*2</f>
        <v>#REF!</v>
      </c>
      <c r="DL162" s="28" t="e">
        <f>#REF!</f>
        <v>#REF!</v>
      </c>
      <c r="DM162" s="28" t="e">
        <f>#REF!*2</f>
        <v>#REF!</v>
      </c>
      <c r="DN162" s="27"/>
      <c r="DO162" s="26"/>
      <c r="DP162" s="26"/>
      <c r="DQ162" s="26"/>
      <c r="DR162" s="26"/>
      <c r="DS162" s="26"/>
      <c r="DT162" s="25"/>
    </row>
    <row r="163" spans="2:124" x14ac:dyDescent="0.3"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2"/>
      <c r="I163" s="3">
        <f>IF(OR(B163="",ISBLANK(B163),B163=0),0,IF(MOD(B163,2)=1,1,2))</f>
        <v>0</v>
      </c>
      <c r="J163" s="3">
        <f>IF(OR(C163="",ISBLANK(C163),C163=0),0,IF(MOD(C163,2)=1,1,2))</f>
        <v>0</v>
      </c>
      <c r="K163" s="3">
        <f>IF(OR(D163="",ISBLANK(D163),D163=0),0,IF(MOD(D163,2)=1,1,2))</f>
        <v>0</v>
      </c>
      <c r="L163" s="3">
        <f>IF(OR(E163="",ISBLANK(E163),E163=0),0,IF(MOD(E163,2)=1,1,2))</f>
        <v>0</v>
      </c>
      <c r="M163" s="3">
        <f>IF(OR(F163="",ISBLANK(F163),F163=0),0,IF(MOD(F163,2)=1,1,2))</f>
        <v>0</v>
      </c>
      <c r="N163" s="3">
        <f>IF(OR(G163="",ISBLANK(G163),G163=0),0,IF(MOD(G163,2)=1,1,2))</f>
        <v>0</v>
      </c>
      <c r="O163" s="32"/>
      <c r="P163" s="3" cm="1">
        <f t="array" ref="P163">SUMPRODUCT(--(MOD(B163:G163,2)=1))</f>
        <v>0</v>
      </c>
      <c r="Q163" s="3">
        <f>6-P163</f>
        <v>6</v>
      </c>
      <c r="R163" s="34"/>
      <c r="S163" s="3">
        <f>COUNTIFS(B163:G163,"&gt;=1",B163:G163,"&lt;=23")</f>
        <v>0</v>
      </c>
      <c r="T163" s="3">
        <f>6-S163</f>
        <v>6</v>
      </c>
      <c r="U163" s="34"/>
      <c r="V163" s="3" cm="1">
        <f t="array" ref="V163">SUMPRODUCT(--(MOD(B163:G163,10)&gt;=1), --(MOD(B163:G163,10)&lt;=5))</f>
        <v>0</v>
      </c>
      <c r="W163" s="3">
        <f>6-V163</f>
        <v>6</v>
      </c>
      <c r="X163" s="34"/>
      <c r="Y163" s="3" cm="1">
        <f t="array" ref="Y163">IFERROR(COUNT(_xlfn._xlws.FILTER(B163:G163, ISNUMBER(MATCH(B163:G163, {2,3,5,7,11,13,17,19,23,29,31,37,41,43}, 0)))), 0)</f>
        <v>0</v>
      </c>
      <c r="Z163" s="3" cm="1">
        <f t="array" ref="Z163">IFERROR(COUNT(_xlfn._xlws.FILTER(B163:G163, ISNUMBER(MATCH(B163:G163, {1,4,8,10,14,16,20,22,25,26,28,32,34,35,38,40,44}, 0)))), 0)</f>
        <v>0</v>
      </c>
      <c r="AA163" s="3" cm="1">
        <f t="array" ref="AA163">IFERROR(COUNT(_xlfn._xlws.FILTER(B163:G163, ISNUMBER(MATCH(B163:G163, {6,9,12,15,18,21,24,27,30,33,36,39,42,45}, 0)))), 0)</f>
        <v>0</v>
      </c>
      <c r="AB163" s="30"/>
      <c r="AC163" s="26" cm="1">
        <f t="array" ref="AC163">_xlfn.IFS(
   OR(B163="",ISBLANK(B163),B163=0),0,
   ISNUMBER(MATCH(B163,{2,3,5,7,11,13,17,19,23,29,31,37,41,43},0)),"소",
   AND(ISNUMBER(B163),MOD(B163,3)=0),"배",
   AND(ISNUMBER(B163),B163&gt;0),"자"
)</f>
        <v>0</v>
      </c>
      <c r="AD163" s="26" cm="1">
        <f t="array" ref="AD163">_xlfn.IFS(
   OR(C163="",ISBLANK(C163),C163=0),0,
   ISNUMBER(MATCH(C163,{2,3,5,7,11,13,17,19,23,29,31,37,41,43},0)),"소",
   AND(ISNUMBER(C163),MOD(C163,3)=0),"배",
   AND(ISNUMBER(C163),C163&gt;0),"자"
)</f>
        <v>0</v>
      </c>
      <c r="AE163" s="26" cm="1">
        <f t="array" ref="AE163">_xlfn.IFS(
   OR(D163="",ISBLANK(D163),D163=0),0,
   ISNUMBER(MATCH(D163,{2,3,5,7,11,13,17,19,23,29,31,37,41,43},0)),"소",
   AND(ISNUMBER(D163),MOD(D163,3)=0),"배",
   AND(ISNUMBER(D163),D163&gt;0),"자"
)</f>
        <v>0</v>
      </c>
      <c r="AF163" s="26" cm="1">
        <f t="array" ref="AF163">_xlfn.IFS(
   OR(E163="",ISBLANK(E163),E163=0),0,
   ISNUMBER(MATCH(E163,{2,3,5,7,11,13,17,19,23,29,31,37,41,43},0)),"소",
   AND(ISNUMBER(E163),MOD(E163,3)=0),"배",
   AND(ISNUMBER(E163),E163&gt;0),"자"
)</f>
        <v>0</v>
      </c>
      <c r="AG163" s="26" cm="1">
        <f t="array" ref="AG163">_xlfn.IFS(
   OR(F163="",ISBLANK(F163),F163=0),0,
   ISNUMBER(MATCH(F163,{2,3,5,7,11,13,17,19,23,29,31,37,41,43},0)),"소",
   AND(ISNUMBER(F163),MOD(F163,3)=0),"배",
   AND(ISNUMBER(F163),F163&gt;0),"자"
)</f>
        <v>0</v>
      </c>
      <c r="AH163" s="26" cm="1">
        <f t="array" ref="AH163">_xlfn.IFS(
   OR(G163="",ISBLANK(G163),G163=0),0,
   ISNUMBER(MATCH(G163,{2,3,5,7,11,13,17,19,23,29,31,37,41,43},0)),"소",
   AND(ISNUMBER(G163),MOD(G163,3)=0),"배",
   AND(ISNUMBER(G163),G163&gt;0),"자"
)</f>
        <v>0</v>
      </c>
      <c r="AI163" s="30"/>
      <c r="AJ163" s="3">
        <f>COUNTIFS(B163:G163,"&gt;=1",B163:G163,"&lt;=14")</f>
        <v>0</v>
      </c>
      <c r="AK163" s="3">
        <f>COUNTIFS(B163:G163,"&gt;=15",B163:G163,"&lt;=31")</f>
        <v>0</v>
      </c>
      <c r="AL163" s="3">
        <f>6-AK163-AJ163</f>
        <v>6</v>
      </c>
      <c r="AM163" s="33"/>
      <c r="AN163" s="3">
        <f>COUNTIFS($B163:$G163, "&gt;=1",$B163:$G163, "&lt;=9")</f>
        <v>0</v>
      </c>
      <c r="AO163" s="3">
        <f>COUNTIFS($B163:$G163, "&gt;=10",$B163:$G163, "&lt;=18")</f>
        <v>0</v>
      </c>
      <c r="AP163" s="3">
        <f>COUNTIFS($B163:$G163, "&gt;=19",$B163:$G163, "&lt;=27")</f>
        <v>0</v>
      </c>
      <c r="AQ163" s="3">
        <f>COUNTIFS($B163:$G163, "&gt;=28",$B163:$G163, "&lt;=36")</f>
        <v>0</v>
      </c>
      <c r="AR163" s="3">
        <f>COUNTIFS($B163:$G163, "&gt;=37",$B163:$G163, "&lt;=45")</f>
        <v>0</v>
      </c>
      <c r="AS163" s="28" t="e">
        <f>#REF!</f>
        <v>#REF!</v>
      </c>
      <c r="AT163" s="28" t="e">
        <f>#REF!*2</f>
        <v>#REF!</v>
      </c>
      <c r="AU163" s="28" t="e">
        <f>#REF!</f>
        <v>#REF!</v>
      </c>
      <c r="AV163" s="28" t="e">
        <f>#REF!*2</f>
        <v>#REF!</v>
      </c>
      <c r="AW163" s="28" t="e">
        <f>#REF!</f>
        <v>#REF!</v>
      </c>
      <c r="AX163" s="28" t="e">
        <f>#REF!*2</f>
        <v>#REF!</v>
      </c>
      <c r="AY163" s="28" t="e">
        <f>#REF!</f>
        <v>#REF!</v>
      </c>
      <c r="AZ163" s="28" t="e">
        <f>#REF!*2</f>
        <v>#REF!</v>
      </c>
      <c r="BA163" s="28" t="e">
        <f>#REF!</f>
        <v>#REF!</v>
      </c>
      <c r="BB163" s="28" t="e">
        <f>#REF!*2</f>
        <v>#REF!</v>
      </c>
      <c r="BC163" s="28" t="e">
        <f>#REF!</f>
        <v>#REF!</v>
      </c>
      <c r="BD163" s="28" t="e">
        <f>#REF!*2</f>
        <v>#REF!</v>
      </c>
      <c r="BE163" s="9" t="e">
        <f>#REF!-#REF!</f>
        <v>#REF!</v>
      </c>
      <c r="BF163" s="9" t="e">
        <f>#REF!-#REF!</f>
        <v>#REF!</v>
      </c>
      <c r="BG163" s="9" t="e">
        <f>#REF!-#REF!</f>
        <v>#REF!</v>
      </c>
      <c r="BH163" s="9" t="e">
        <f>#REF!-#REF!</f>
        <v>#REF!</v>
      </c>
      <c r="BI163" s="9" t="e">
        <f>#REF!-#REF!</f>
        <v>#REF!</v>
      </c>
      <c r="BJ163" s="33"/>
      <c r="BK163" s="3">
        <f>COUNTIFS(B163:G163, "&gt;=1", B163:G163, "&lt;=9")</f>
        <v>0</v>
      </c>
      <c r="BL163" s="3">
        <f>COUNTIFS(B163:G163, "&gt;=10", B163:G163, "&lt;=19")</f>
        <v>0</v>
      </c>
      <c r="BM163" s="3">
        <f>COUNTIFS(B163:G163, "&gt;=20", B163:G163, "&lt;=29")</f>
        <v>0</v>
      </c>
      <c r="BN163" s="3">
        <f>COUNTIFS(B163:G163, "&gt;=30", B163:G163, "&lt;=39")</f>
        <v>0</v>
      </c>
      <c r="BO163" s="3">
        <f>COUNTIFS(B163:G163, "&gt;=40", B163:G163, "&lt;=45")</f>
        <v>0</v>
      </c>
      <c r="BP163" s="28" t="e">
        <f>#REF!</f>
        <v>#REF!</v>
      </c>
      <c r="BQ163" s="28" t="e">
        <f>#REF!*2</f>
        <v>#REF!</v>
      </c>
      <c r="BR163" s="28" t="e">
        <f>#REF!</f>
        <v>#REF!</v>
      </c>
      <c r="BS163" s="28" t="e">
        <f>#REF!*2</f>
        <v>#REF!</v>
      </c>
      <c r="BT163" s="28" t="e">
        <f>#REF!</f>
        <v>#REF!</v>
      </c>
      <c r="BU163" s="28" t="e">
        <f>#REF!*2</f>
        <v>#REF!</v>
      </c>
      <c r="BV163" s="28" t="e">
        <f>#REF!</f>
        <v>#REF!</v>
      </c>
      <c r="BW163" s="28" t="e">
        <f>#REF!*2</f>
        <v>#REF!</v>
      </c>
      <c r="BX163" s="28" t="e">
        <f>#REF!</f>
        <v>#REF!</v>
      </c>
      <c r="BY163" s="28" t="e">
        <f>#REF!*2</f>
        <v>#REF!</v>
      </c>
      <c r="BZ163" s="28" t="e">
        <f>#REF!</f>
        <v>#REF!</v>
      </c>
      <c r="CA163" s="28" t="e">
        <f>#REF!*2</f>
        <v>#REF!</v>
      </c>
      <c r="CB163" s="9">
        <f>C163-B163</f>
        <v>0</v>
      </c>
      <c r="CC163" s="9">
        <f>D163-C163</f>
        <v>0</v>
      </c>
      <c r="CD163" s="9">
        <f>E163-D163</f>
        <v>0</v>
      </c>
      <c r="CE163" s="9">
        <f>F163-E163</f>
        <v>0</v>
      </c>
      <c r="CF163" s="9">
        <f>G163-F163</f>
        <v>0</v>
      </c>
      <c r="CG163" s="33"/>
      <c r="CH163" s="9">
        <f>C163-B163</f>
        <v>0</v>
      </c>
      <c r="CI163" s="9">
        <f>D163-C163</f>
        <v>0</v>
      </c>
      <c r="CJ163" s="9">
        <f>E163-D163</f>
        <v>0</v>
      </c>
      <c r="CK163" s="9">
        <f>F163-E163</f>
        <v>0</v>
      </c>
      <c r="CL163" s="9">
        <f>G163-F163</f>
        <v>0</v>
      </c>
      <c r="CM163" s="32"/>
      <c r="CN163" s="3">
        <f>IF(OR(CH163="",ISBLANK(CH163),CH163=0),0,IF(MOD(CH163,2)=1,1,2))</f>
        <v>0</v>
      </c>
      <c r="CO163" s="3">
        <f>IF(OR(CI163="",ISBLANK(CI163),CI163=0),0,IF(MOD(CI163,2)=1,1,2))</f>
        <v>0</v>
      </c>
      <c r="CP163" s="3">
        <f>IF(OR(CJ163="",ISBLANK(CJ163),CJ163=0),0,IF(MOD(CJ163,2)=1,1,2))</f>
        <v>0</v>
      </c>
      <c r="CQ163" s="3">
        <f>IF(OR(CK163="",ISBLANK(CK163),CK163=0),0,IF(MOD(CK163,2)=1,1,2))</f>
        <v>0</v>
      </c>
      <c r="CR163" s="3">
        <f>IF(OR(CL163="",ISBLANK(CL163),CL163=0),0,IF(MOD(CL163,2)=1,1,2))</f>
        <v>0</v>
      </c>
      <c r="CS163" s="31"/>
      <c r="CT163" s="3" cm="1">
        <f t="array" ref="CT163">SUMPRODUCT(--(MOD(CH163:CL163,2)=1))</f>
        <v>0</v>
      </c>
      <c r="CU163" s="3">
        <f>5-CT163</f>
        <v>5</v>
      </c>
      <c r="CV163" s="30"/>
      <c r="CW163" s="3" cm="1">
        <f t="array" ref="CW163">SUMPRODUCT(--(MOD(CH163:CL163,10)&gt;=1), --(MOD(CH163:CL163,10)&lt;=5))</f>
        <v>0</v>
      </c>
      <c r="CX163" s="3">
        <f>5-CW163</f>
        <v>5</v>
      </c>
      <c r="CY163" s="30"/>
      <c r="CZ163" s="3" cm="1">
        <f t="array" ref="CZ163">IFERROR(COUNT(_xlfn._xlws.FILTER(CH163:CL163, ISNUMBER(MATCH(CH163:CL163, {2,3,5,7,11,13,17,19,23,29,31,37,41,43}, 0)))), 0)</f>
        <v>0</v>
      </c>
      <c r="DA163" s="3" cm="1">
        <f t="array" ref="DA163">IFERROR(COUNT(_xlfn._xlws.FILTER(CH163:CL163, ISNUMBER(MATCH(CH163:CL163, {1,4,8,10,14,16,20,22,25,26,28,32,34,35,38,40,44}, 0)))), 0)</f>
        <v>0</v>
      </c>
      <c r="DB163" s="3" cm="1">
        <f t="array" ref="DB163">IFERROR(COUNT(_xlfn._xlws.FILTER(CH163:CL163, ISNUMBER(MATCH(CH163:CL163, {6,9,12,15,18,21,24,27,30,33,36,39,42,45}, 0)))), 0)</f>
        <v>0</v>
      </c>
      <c r="DC163" s="29"/>
      <c r="DD163" s="28" t="e">
        <f>#REF!</f>
        <v>#REF!</v>
      </c>
      <c r="DE163" s="28" t="e">
        <f>#REF!*2</f>
        <v>#REF!</v>
      </c>
      <c r="DF163" s="28" t="e">
        <f>#REF!</f>
        <v>#REF!</v>
      </c>
      <c r="DG163" s="28" t="e">
        <f>#REF!*2</f>
        <v>#REF!</v>
      </c>
      <c r="DH163" s="28" t="e">
        <f>#REF!</f>
        <v>#REF!</v>
      </c>
      <c r="DI163" s="28" t="e">
        <f>#REF!*2</f>
        <v>#REF!</v>
      </c>
      <c r="DJ163" s="28" t="e">
        <f>#REF!</f>
        <v>#REF!</v>
      </c>
      <c r="DK163" s="28" t="e">
        <f>#REF!*2</f>
        <v>#REF!</v>
      </c>
      <c r="DL163" s="28" t="e">
        <f>#REF!</f>
        <v>#REF!</v>
      </c>
      <c r="DM163" s="28" t="e">
        <f>#REF!*2</f>
        <v>#REF!</v>
      </c>
      <c r="DN163" s="27"/>
      <c r="DO163" s="26"/>
      <c r="DP163" s="26"/>
      <c r="DQ163" s="26"/>
      <c r="DR163" s="26"/>
      <c r="DS163" s="26"/>
      <c r="DT163" s="25"/>
    </row>
    <row r="164" spans="2:124" x14ac:dyDescent="0.3"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2"/>
      <c r="I164" s="3">
        <f>IF(OR(B164="",ISBLANK(B164),B164=0),0,IF(MOD(B164,2)=1,1,2))</f>
        <v>0</v>
      </c>
      <c r="J164" s="3">
        <f>IF(OR(C164="",ISBLANK(C164),C164=0),0,IF(MOD(C164,2)=1,1,2))</f>
        <v>0</v>
      </c>
      <c r="K164" s="3">
        <f>IF(OR(D164="",ISBLANK(D164),D164=0),0,IF(MOD(D164,2)=1,1,2))</f>
        <v>0</v>
      </c>
      <c r="L164" s="3">
        <f>IF(OR(E164="",ISBLANK(E164),E164=0),0,IF(MOD(E164,2)=1,1,2))</f>
        <v>0</v>
      </c>
      <c r="M164" s="3">
        <f>IF(OR(F164="",ISBLANK(F164),F164=0),0,IF(MOD(F164,2)=1,1,2))</f>
        <v>0</v>
      </c>
      <c r="N164" s="3">
        <f>IF(OR(G164="",ISBLANK(G164),G164=0),0,IF(MOD(G164,2)=1,1,2))</f>
        <v>0</v>
      </c>
      <c r="O164" s="32"/>
      <c r="P164" s="3" cm="1">
        <f t="array" ref="P164">SUMPRODUCT(--(MOD(B164:G164,2)=1))</f>
        <v>0</v>
      </c>
      <c r="Q164" s="3">
        <f>6-P164</f>
        <v>6</v>
      </c>
      <c r="R164" s="34"/>
      <c r="S164" s="3">
        <f>COUNTIFS(B164:G164,"&gt;=1",B164:G164,"&lt;=23")</f>
        <v>0</v>
      </c>
      <c r="T164" s="3">
        <f>6-S164</f>
        <v>6</v>
      </c>
      <c r="U164" s="34"/>
      <c r="V164" s="3" cm="1">
        <f t="array" ref="V164">SUMPRODUCT(--(MOD(B164:G164,10)&gt;=1), --(MOD(B164:G164,10)&lt;=5))</f>
        <v>0</v>
      </c>
      <c r="W164" s="3">
        <f>6-V164</f>
        <v>6</v>
      </c>
      <c r="X164" s="34"/>
      <c r="Y164" s="3" cm="1">
        <f t="array" ref="Y164">IFERROR(COUNT(_xlfn._xlws.FILTER(B164:G164, ISNUMBER(MATCH(B164:G164, {2,3,5,7,11,13,17,19,23,29,31,37,41,43}, 0)))), 0)</f>
        <v>0</v>
      </c>
      <c r="Z164" s="3" cm="1">
        <f t="array" ref="Z164">IFERROR(COUNT(_xlfn._xlws.FILTER(B164:G164, ISNUMBER(MATCH(B164:G164, {1,4,8,10,14,16,20,22,25,26,28,32,34,35,38,40,44}, 0)))), 0)</f>
        <v>0</v>
      </c>
      <c r="AA164" s="3" cm="1">
        <f t="array" ref="AA164">IFERROR(COUNT(_xlfn._xlws.FILTER(B164:G164, ISNUMBER(MATCH(B164:G164, {6,9,12,15,18,21,24,27,30,33,36,39,42,45}, 0)))), 0)</f>
        <v>0</v>
      </c>
      <c r="AB164" s="30"/>
      <c r="AC164" s="26" cm="1">
        <f t="array" ref="AC164">_xlfn.IFS(
   OR(B164="",ISBLANK(B164),B164=0),0,
   ISNUMBER(MATCH(B164,{2,3,5,7,11,13,17,19,23,29,31,37,41,43},0)),"소",
   AND(ISNUMBER(B164),MOD(B164,3)=0),"배",
   AND(ISNUMBER(B164),B164&gt;0),"자"
)</f>
        <v>0</v>
      </c>
      <c r="AD164" s="26" cm="1">
        <f t="array" ref="AD164">_xlfn.IFS(
   OR(C164="",ISBLANK(C164),C164=0),0,
   ISNUMBER(MATCH(C164,{2,3,5,7,11,13,17,19,23,29,31,37,41,43},0)),"소",
   AND(ISNUMBER(C164),MOD(C164,3)=0),"배",
   AND(ISNUMBER(C164),C164&gt;0),"자"
)</f>
        <v>0</v>
      </c>
      <c r="AE164" s="26" cm="1">
        <f t="array" ref="AE164">_xlfn.IFS(
   OR(D164="",ISBLANK(D164),D164=0),0,
   ISNUMBER(MATCH(D164,{2,3,5,7,11,13,17,19,23,29,31,37,41,43},0)),"소",
   AND(ISNUMBER(D164),MOD(D164,3)=0),"배",
   AND(ISNUMBER(D164),D164&gt;0),"자"
)</f>
        <v>0</v>
      </c>
      <c r="AF164" s="26" cm="1">
        <f t="array" ref="AF164">_xlfn.IFS(
   OR(E164="",ISBLANK(E164),E164=0),0,
   ISNUMBER(MATCH(E164,{2,3,5,7,11,13,17,19,23,29,31,37,41,43},0)),"소",
   AND(ISNUMBER(E164),MOD(E164,3)=0),"배",
   AND(ISNUMBER(E164),E164&gt;0),"자"
)</f>
        <v>0</v>
      </c>
      <c r="AG164" s="26" cm="1">
        <f t="array" ref="AG164">_xlfn.IFS(
   OR(F164="",ISBLANK(F164),F164=0),0,
   ISNUMBER(MATCH(F164,{2,3,5,7,11,13,17,19,23,29,31,37,41,43},0)),"소",
   AND(ISNUMBER(F164),MOD(F164,3)=0),"배",
   AND(ISNUMBER(F164),F164&gt;0),"자"
)</f>
        <v>0</v>
      </c>
      <c r="AH164" s="26" cm="1">
        <f t="array" ref="AH164">_xlfn.IFS(
   OR(G164="",ISBLANK(G164),G164=0),0,
   ISNUMBER(MATCH(G164,{2,3,5,7,11,13,17,19,23,29,31,37,41,43},0)),"소",
   AND(ISNUMBER(G164),MOD(G164,3)=0),"배",
   AND(ISNUMBER(G164),G164&gt;0),"자"
)</f>
        <v>0</v>
      </c>
      <c r="AI164" s="30"/>
      <c r="AJ164" s="3">
        <f>COUNTIFS(B164:G164,"&gt;=1",B164:G164,"&lt;=14")</f>
        <v>0</v>
      </c>
      <c r="AK164" s="3">
        <f>COUNTIFS(B164:G164,"&gt;=15",B164:G164,"&lt;=31")</f>
        <v>0</v>
      </c>
      <c r="AL164" s="3">
        <f>6-AK164-AJ164</f>
        <v>6</v>
      </c>
      <c r="AM164" s="33"/>
      <c r="AN164" s="3">
        <f>COUNTIFS($B164:$G164, "&gt;=1",$B164:$G164, "&lt;=9")</f>
        <v>0</v>
      </c>
      <c r="AO164" s="3">
        <f>COUNTIFS($B164:$G164, "&gt;=10",$B164:$G164, "&lt;=18")</f>
        <v>0</v>
      </c>
      <c r="AP164" s="3">
        <f>COUNTIFS($B164:$G164, "&gt;=19",$B164:$G164, "&lt;=27")</f>
        <v>0</v>
      </c>
      <c r="AQ164" s="3">
        <f>COUNTIFS($B164:$G164, "&gt;=28",$B164:$G164, "&lt;=36")</f>
        <v>0</v>
      </c>
      <c r="AR164" s="3">
        <f>COUNTIFS($B164:$G164, "&gt;=37",$B164:$G164, "&lt;=45")</f>
        <v>0</v>
      </c>
      <c r="AS164" s="28" t="e">
        <f>#REF!</f>
        <v>#REF!</v>
      </c>
      <c r="AT164" s="28" t="e">
        <f>#REF!*2</f>
        <v>#REF!</v>
      </c>
      <c r="AU164" s="28" t="e">
        <f>#REF!</f>
        <v>#REF!</v>
      </c>
      <c r="AV164" s="28" t="e">
        <f>#REF!*2</f>
        <v>#REF!</v>
      </c>
      <c r="AW164" s="28" t="e">
        <f>#REF!</f>
        <v>#REF!</v>
      </c>
      <c r="AX164" s="28" t="e">
        <f>#REF!*2</f>
        <v>#REF!</v>
      </c>
      <c r="AY164" s="28" t="e">
        <f>#REF!</f>
        <v>#REF!</v>
      </c>
      <c r="AZ164" s="28" t="e">
        <f>#REF!*2</f>
        <v>#REF!</v>
      </c>
      <c r="BA164" s="28" t="e">
        <f>#REF!</f>
        <v>#REF!</v>
      </c>
      <c r="BB164" s="28" t="e">
        <f>#REF!*2</f>
        <v>#REF!</v>
      </c>
      <c r="BC164" s="28" t="e">
        <f>#REF!</f>
        <v>#REF!</v>
      </c>
      <c r="BD164" s="28" t="e">
        <f>#REF!*2</f>
        <v>#REF!</v>
      </c>
      <c r="BE164" s="9" t="e">
        <f>#REF!-#REF!</f>
        <v>#REF!</v>
      </c>
      <c r="BF164" s="9" t="e">
        <f>#REF!-#REF!</f>
        <v>#REF!</v>
      </c>
      <c r="BG164" s="9" t="e">
        <f>#REF!-#REF!</f>
        <v>#REF!</v>
      </c>
      <c r="BH164" s="9" t="e">
        <f>#REF!-#REF!</f>
        <v>#REF!</v>
      </c>
      <c r="BI164" s="9" t="e">
        <f>#REF!-#REF!</f>
        <v>#REF!</v>
      </c>
      <c r="BJ164" s="33"/>
      <c r="BK164" s="3">
        <f>COUNTIFS(B164:G164, "&gt;=1", B164:G164, "&lt;=9")</f>
        <v>0</v>
      </c>
      <c r="BL164" s="3">
        <f>COUNTIFS(B164:G164, "&gt;=10", B164:G164, "&lt;=19")</f>
        <v>0</v>
      </c>
      <c r="BM164" s="3">
        <f>COUNTIFS(B164:G164, "&gt;=20", B164:G164, "&lt;=29")</f>
        <v>0</v>
      </c>
      <c r="BN164" s="3">
        <f>COUNTIFS(B164:G164, "&gt;=30", B164:G164, "&lt;=39")</f>
        <v>0</v>
      </c>
      <c r="BO164" s="3">
        <f>COUNTIFS(B164:G164, "&gt;=40", B164:G164, "&lt;=45")</f>
        <v>0</v>
      </c>
      <c r="BP164" s="28" t="e">
        <f>#REF!</f>
        <v>#REF!</v>
      </c>
      <c r="BQ164" s="28" t="e">
        <f>#REF!*2</f>
        <v>#REF!</v>
      </c>
      <c r="BR164" s="28" t="e">
        <f>#REF!</f>
        <v>#REF!</v>
      </c>
      <c r="BS164" s="28" t="e">
        <f>#REF!*2</f>
        <v>#REF!</v>
      </c>
      <c r="BT164" s="28" t="e">
        <f>#REF!</f>
        <v>#REF!</v>
      </c>
      <c r="BU164" s="28" t="e">
        <f>#REF!*2</f>
        <v>#REF!</v>
      </c>
      <c r="BV164" s="28" t="e">
        <f>#REF!</f>
        <v>#REF!</v>
      </c>
      <c r="BW164" s="28" t="e">
        <f>#REF!*2</f>
        <v>#REF!</v>
      </c>
      <c r="BX164" s="28" t="e">
        <f>#REF!</f>
        <v>#REF!</v>
      </c>
      <c r="BY164" s="28" t="e">
        <f>#REF!*2</f>
        <v>#REF!</v>
      </c>
      <c r="BZ164" s="28" t="e">
        <f>#REF!</f>
        <v>#REF!</v>
      </c>
      <c r="CA164" s="28" t="e">
        <f>#REF!*2</f>
        <v>#REF!</v>
      </c>
      <c r="CB164" s="9">
        <f>C164-B164</f>
        <v>0</v>
      </c>
      <c r="CC164" s="9">
        <f>D164-C164</f>
        <v>0</v>
      </c>
      <c r="CD164" s="9">
        <f>E164-D164</f>
        <v>0</v>
      </c>
      <c r="CE164" s="9">
        <f>F164-E164</f>
        <v>0</v>
      </c>
      <c r="CF164" s="9">
        <f>G164-F164</f>
        <v>0</v>
      </c>
      <c r="CG164" s="33"/>
      <c r="CH164" s="9">
        <f>C164-B164</f>
        <v>0</v>
      </c>
      <c r="CI164" s="9">
        <f>D164-C164</f>
        <v>0</v>
      </c>
      <c r="CJ164" s="9">
        <f>E164-D164</f>
        <v>0</v>
      </c>
      <c r="CK164" s="9">
        <f>F164-E164</f>
        <v>0</v>
      </c>
      <c r="CL164" s="9">
        <f>G164-F164</f>
        <v>0</v>
      </c>
      <c r="CM164" s="32"/>
      <c r="CN164" s="3">
        <f>IF(OR(CH164="",ISBLANK(CH164),CH164=0),0,IF(MOD(CH164,2)=1,1,2))</f>
        <v>0</v>
      </c>
      <c r="CO164" s="3">
        <f>IF(OR(CI164="",ISBLANK(CI164),CI164=0),0,IF(MOD(CI164,2)=1,1,2))</f>
        <v>0</v>
      </c>
      <c r="CP164" s="3">
        <f>IF(OR(CJ164="",ISBLANK(CJ164),CJ164=0),0,IF(MOD(CJ164,2)=1,1,2))</f>
        <v>0</v>
      </c>
      <c r="CQ164" s="3">
        <f>IF(OR(CK164="",ISBLANK(CK164),CK164=0),0,IF(MOD(CK164,2)=1,1,2))</f>
        <v>0</v>
      </c>
      <c r="CR164" s="3">
        <f>IF(OR(CL164="",ISBLANK(CL164),CL164=0),0,IF(MOD(CL164,2)=1,1,2))</f>
        <v>0</v>
      </c>
      <c r="CS164" s="31"/>
      <c r="CT164" s="3" cm="1">
        <f t="array" ref="CT164">SUMPRODUCT(--(MOD(CH164:CL164,2)=1))</f>
        <v>0</v>
      </c>
      <c r="CU164" s="3">
        <f>5-CT164</f>
        <v>5</v>
      </c>
      <c r="CV164" s="30"/>
      <c r="CW164" s="3" cm="1">
        <f t="array" ref="CW164">SUMPRODUCT(--(MOD(CH164:CL164,10)&gt;=1), --(MOD(CH164:CL164,10)&lt;=5))</f>
        <v>0</v>
      </c>
      <c r="CX164" s="3">
        <f>5-CW164</f>
        <v>5</v>
      </c>
      <c r="CY164" s="30"/>
      <c r="CZ164" s="3" cm="1">
        <f t="array" ref="CZ164">IFERROR(COUNT(_xlfn._xlws.FILTER(CH164:CL164, ISNUMBER(MATCH(CH164:CL164, {2,3,5,7,11,13,17,19,23,29,31,37,41,43}, 0)))), 0)</f>
        <v>0</v>
      </c>
      <c r="DA164" s="3" cm="1">
        <f t="array" ref="DA164">IFERROR(COUNT(_xlfn._xlws.FILTER(CH164:CL164, ISNUMBER(MATCH(CH164:CL164, {1,4,8,10,14,16,20,22,25,26,28,32,34,35,38,40,44}, 0)))), 0)</f>
        <v>0</v>
      </c>
      <c r="DB164" s="3" cm="1">
        <f t="array" ref="DB164">IFERROR(COUNT(_xlfn._xlws.FILTER(CH164:CL164, ISNUMBER(MATCH(CH164:CL164, {6,9,12,15,18,21,24,27,30,33,36,39,42,45}, 0)))), 0)</f>
        <v>0</v>
      </c>
      <c r="DC164" s="29"/>
      <c r="DD164" s="28" t="e">
        <f>#REF!</f>
        <v>#REF!</v>
      </c>
      <c r="DE164" s="28" t="e">
        <f>#REF!*2</f>
        <v>#REF!</v>
      </c>
      <c r="DF164" s="28" t="e">
        <f>#REF!</f>
        <v>#REF!</v>
      </c>
      <c r="DG164" s="28" t="e">
        <f>#REF!*2</f>
        <v>#REF!</v>
      </c>
      <c r="DH164" s="28" t="e">
        <f>#REF!</f>
        <v>#REF!</v>
      </c>
      <c r="DI164" s="28" t="e">
        <f>#REF!*2</f>
        <v>#REF!</v>
      </c>
      <c r="DJ164" s="28" t="e">
        <f>#REF!</f>
        <v>#REF!</v>
      </c>
      <c r="DK164" s="28" t="e">
        <f>#REF!*2</f>
        <v>#REF!</v>
      </c>
      <c r="DL164" s="28" t="e">
        <f>#REF!</f>
        <v>#REF!</v>
      </c>
      <c r="DM164" s="28" t="e">
        <f>#REF!*2</f>
        <v>#REF!</v>
      </c>
      <c r="DN164" s="27"/>
      <c r="DO164" s="26"/>
      <c r="DP164" s="26"/>
      <c r="DQ164" s="26"/>
      <c r="DR164" s="26"/>
      <c r="DS164" s="26"/>
      <c r="DT164" s="25"/>
    </row>
    <row r="165" spans="2:124" x14ac:dyDescent="0.3"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2"/>
      <c r="I165" s="3">
        <f>IF(OR(B165="",ISBLANK(B165),B165=0),0,IF(MOD(B165,2)=1,1,2))</f>
        <v>0</v>
      </c>
      <c r="J165" s="3">
        <f>IF(OR(C165="",ISBLANK(C165),C165=0),0,IF(MOD(C165,2)=1,1,2))</f>
        <v>0</v>
      </c>
      <c r="K165" s="3">
        <f>IF(OR(D165="",ISBLANK(D165),D165=0),0,IF(MOD(D165,2)=1,1,2))</f>
        <v>0</v>
      </c>
      <c r="L165" s="3">
        <f>IF(OR(E165="",ISBLANK(E165),E165=0),0,IF(MOD(E165,2)=1,1,2))</f>
        <v>0</v>
      </c>
      <c r="M165" s="3">
        <f>IF(OR(F165="",ISBLANK(F165),F165=0),0,IF(MOD(F165,2)=1,1,2))</f>
        <v>0</v>
      </c>
      <c r="N165" s="3">
        <f>IF(OR(G165="",ISBLANK(G165),G165=0),0,IF(MOD(G165,2)=1,1,2))</f>
        <v>0</v>
      </c>
      <c r="O165" s="32"/>
      <c r="P165" s="3" cm="1">
        <f t="array" ref="P165">SUMPRODUCT(--(MOD(B165:G165,2)=1))</f>
        <v>0</v>
      </c>
      <c r="Q165" s="3">
        <f>6-P165</f>
        <v>6</v>
      </c>
      <c r="R165" s="34"/>
      <c r="S165" s="3">
        <f>COUNTIFS(B165:G165,"&gt;=1",B165:G165,"&lt;=23")</f>
        <v>0</v>
      </c>
      <c r="T165" s="3">
        <f>6-S165</f>
        <v>6</v>
      </c>
      <c r="U165" s="34"/>
      <c r="V165" s="3" cm="1">
        <f t="array" ref="V165">SUMPRODUCT(--(MOD(B165:G165,10)&gt;=1), --(MOD(B165:G165,10)&lt;=5))</f>
        <v>0</v>
      </c>
      <c r="W165" s="3">
        <f>6-V165</f>
        <v>6</v>
      </c>
      <c r="X165" s="34"/>
      <c r="Y165" s="3" cm="1">
        <f t="array" ref="Y165">IFERROR(COUNT(_xlfn._xlws.FILTER(B165:G165, ISNUMBER(MATCH(B165:G165, {2,3,5,7,11,13,17,19,23,29,31,37,41,43}, 0)))), 0)</f>
        <v>0</v>
      </c>
      <c r="Z165" s="3" cm="1">
        <f t="array" ref="Z165">IFERROR(COUNT(_xlfn._xlws.FILTER(B165:G165, ISNUMBER(MATCH(B165:G165, {1,4,8,10,14,16,20,22,25,26,28,32,34,35,38,40,44}, 0)))), 0)</f>
        <v>0</v>
      </c>
      <c r="AA165" s="3" cm="1">
        <f t="array" ref="AA165">IFERROR(COUNT(_xlfn._xlws.FILTER(B165:G165, ISNUMBER(MATCH(B165:G165, {6,9,12,15,18,21,24,27,30,33,36,39,42,45}, 0)))), 0)</f>
        <v>0</v>
      </c>
      <c r="AB165" s="30"/>
      <c r="AC165" s="26" cm="1">
        <f t="array" ref="AC165">_xlfn.IFS(
   OR(B165="",ISBLANK(B165),B165=0),0,
   ISNUMBER(MATCH(B165,{2,3,5,7,11,13,17,19,23,29,31,37,41,43},0)),"소",
   AND(ISNUMBER(B165),MOD(B165,3)=0),"배",
   AND(ISNUMBER(B165),B165&gt;0),"자"
)</f>
        <v>0</v>
      </c>
      <c r="AD165" s="26" cm="1">
        <f t="array" ref="AD165">_xlfn.IFS(
   OR(C165="",ISBLANK(C165),C165=0),0,
   ISNUMBER(MATCH(C165,{2,3,5,7,11,13,17,19,23,29,31,37,41,43},0)),"소",
   AND(ISNUMBER(C165),MOD(C165,3)=0),"배",
   AND(ISNUMBER(C165),C165&gt;0),"자"
)</f>
        <v>0</v>
      </c>
      <c r="AE165" s="26" cm="1">
        <f t="array" ref="AE165">_xlfn.IFS(
   OR(D165="",ISBLANK(D165),D165=0),0,
   ISNUMBER(MATCH(D165,{2,3,5,7,11,13,17,19,23,29,31,37,41,43},0)),"소",
   AND(ISNUMBER(D165),MOD(D165,3)=0),"배",
   AND(ISNUMBER(D165),D165&gt;0),"자"
)</f>
        <v>0</v>
      </c>
      <c r="AF165" s="26" cm="1">
        <f t="array" ref="AF165">_xlfn.IFS(
   OR(E165="",ISBLANK(E165),E165=0),0,
   ISNUMBER(MATCH(E165,{2,3,5,7,11,13,17,19,23,29,31,37,41,43},0)),"소",
   AND(ISNUMBER(E165),MOD(E165,3)=0),"배",
   AND(ISNUMBER(E165),E165&gt;0),"자"
)</f>
        <v>0</v>
      </c>
      <c r="AG165" s="26" cm="1">
        <f t="array" ref="AG165">_xlfn.IFS(
   OR(F165="",ISBLANK(F165),F165=0),0,
   ISNUMBER(MATCH(F165,{2,3,5,7,11,13,17,19,23,29,31,37,41,43},0)),"소",
   AND(ISNUMBER(F165),MOD(F165,3)=0),"배",
   AND(ISNUMBER(F165),F165&gt;0),"자"
)</f>
        <v>0</v>
      </c>
      <c r="AH165" s="26" cm="1">
        <f t="array" ref="AH165">_xlfn.IFS(
   OR(G165="",ISBLANK(G165),G165=0),0,
   ISNUMBER(MATCH(G165,{2,3,5,7,11,13,17,19,23,29,31,37,41,43},0)),"소",
   AND(ISNUMBER(G165),MOD(G165,3)=0),"배",
   AND(ISNUMBER(G165),G165&gt;0),"자"
)</f>
        <v>0</v>
      </c>
      <c r="AI165" s="30"/>
      <c r="AJ165" s="3">
        <f>COUNTIFS(B165:G165,"&gt;=1",B165:G165,"&lt;=14")</f>
        <v>0</v>
      </c>
      <c r="AK165" s="3">
        <f>COUNTIFS(B165:G165,"&gt;=15",B165:G165,"&lt;=31")</f>
        <v>0</v>
      </c>
      <c r="AL165" s="3">
        <f>6-AK165-AJ165</f>
        <v>6</v>
      </c>
      <c r="AM165" s="33"/>
      <c r="AN165" s="3">
        <f>COUNTIFS($B165:$G165, "&gt;=1",$B165:$G165, "&lt;=9")</f>
        <v>0</v>
      </c>
      <c r="AO165" s="3">
        <f>COUNTIFS($B165:$G165, "&gt;=10",$B165:$G165, "&lt;=18")</f>
        <v>0</v>
      </c>
      <c r="AP165" s="3">
        <f>COUNTIFS($B165:$G165, "&gt;=19",$B165:$G165, "&lt;=27")</f>
        <v>0</v>
      </c>
      <c r="AQ165" s="3">
        <f>COUNTIFS($B165:$G165, "&gt;=28",$B165:$G165, "&lt;=36")</f>
        <v>0</v>
      </c>
      <c r="AR165" s="3">
        <f>COUNTIFS($B165:$G165, "&gt;=37",$B165:$G165, "&lt;=45")</f>
        <v>0</v>
      </c>
      <c r="AS165" s="28" t="e">
        <f>#REF!</f>
        <v>#REF!</v>
      </c>
      <c r="AT165" s="28" t="e">
        <f>#REF!*2</f>
        <v>#REF!</v>
      </c>
      <c r="AU165" s="28" t="e">
        <f>#REF!</f>
        <v>#REF!</v>
      </c>
      <c r="AV165" s="28" t="e">
        <f>#REF!*2</f>
        <v>#REF!</v>
      </c>
      <c r="AW165" s="28" t="e">
        <f>#REF!</f>
        <v>#REF!</v>
      </c>
      <c r="AX165" s="28" t="e">
        <f>#REF!*2</f>
        <v>#REF!</v>
      </c>
      <c r="AY165" s="28" t="e">
        <f>#REF!</f>
        <v>#REF!</v>
      </c>
      <c r="AZ165" s="28" t="e">
        <f>#REF!*2</f>
        <v>#REF!</v>
      </c>
      <c r="BA165" s="28" t="e">
        <f>#REF!</f>
        <v>#REF!</v>
      </c>
      <c r="BB165" s="28" t="e">
        <f>#REF!*2</f>
        <v>#REF!</v>
      </c>
      <c r="BC165" s="28" t="e">
        <f>#REF!</f>
        <v>#REF!</v>
      </c>
      <c r="BD165" s="28" t="e">
        <f>#REF!*2</f>
        <v>#REF!</v>
      </c>
      <c r="BE165" s="9" t="e">
        <f>#REF!-#REF!</f>
        <v>#REF!</v>
      </c>
      <c r="BF165" s="9" t="e">
        <f>#REF!-#REF!</f>
        <v>#REF!</v>
      </c>
      <c r="BG165" s="9" t="e">
        <f>#REF!-#REF!</f>
        <v>#REF!</v>
      </c>
      <c r="BH165" s="9" t="e">
        <f>#REF!-#REF!</f>
        <v>#REF!</v>
      </c>
      <c r="BI165" s="9" t="e">
        <f>#REF!-#REF!</f>
        <v>#REF!</v>
      </c>
      <c r="BJ165" s="33"/>
      <c r="BK165" s="3">
        <f>COUNTIFS(B165:G165, "&gt;=1", B165:G165, "&lt;=9")</f>
        <v>0</v>
      </c>
      <c r="BL165" s="3">
        <f>COUNTIFS(B165:G165, "&gt;=10", B165:G165, "&lt;=19")</f>
        <v>0</v>
      </c>
      <c r="BM165" s="3">
        <f>COUNTIFS(B165:G165, "&gt;=20", B165:G165, "&lt;=29")</f>
        <v>0</v>
      </c>
      <c r="BN165" s="3">
        <f>COUNTIFS(B165:G165, "&gt;=30", B165:G165, "&lt;=39")</f>
        <v>0</v>
      </c>
      <c r="BO165" s="3">
        <f>COUNTIFS(B165:G165, "&gt;=40", B165:G165, "&lt;=45")</f>
        <v>0</v>
      </c>
      <c r="BP165" s="28" t="e">
        <f>#REF!</f>
        <v>#REF!</v>
      </c>
      <c r="BQ165" s="28" t="e">
        <f>#REF!*2</f>
        <v>#REF!</v>
      </c>
      <c r="BR165" s="28" t="e">
        <f>#REF!</f>
        <v>#REF!</v>
      </c>
      <c r="BS165" s="28" t="e">
        <f>#REF!*2</f>
        <v>#REF!</v>
      </c>
      <c r="BT165" s="28" t="e">
        <f>#REF!</f>
        <v>#REF!</v>
      </c>
      <c r="BU165" s="28" t="e">
        <f>#REF!*2</f>
        <v>#REF!</v>
      </c>
      <c r="BV165" s="28" t="e">
        <f>#REF!</f>
        <v>#REF!</v>
      </c>
      <c r="BW165" s="28" t="e">
        <f>#REF!*2</f>
        <v>#REF!</v>
      </c>
      <c r="BX165" s="28" t="e">
        <f>#REF!</f>
        <v>#REF!</v>
      </c>
      <c r="BY165" s="28" t="e">
        <f>#REF!*2</f>
        <v>#REF!</v>
      </c>
      <c r="BZ165" s="28" t="e">
        <f>#REF!</f>
        <v>#REF!</v>
      </c>
      <c r="CA165" s="28" t="e">
        <f>#REF!*2</f>
        <v>#REF!</v>
      </c>
      <c r="CB165" s="9">
        <f>C165-B165</f>
        <v>0</v>
      </c>
      <c r="CC165" s="9">
        <f>D165-C165</f>
        <v>0</v>
      </c>
      <c r="CD165" s="9">
        <f>E165-D165</f>
        <v>0</v>
      </c>
      <c r="CE165" s="9">
        <f>F165-E165</f>
        <v>0</v>
      </c>
      <c r="CF165" s="9">
        <f>G165-F165</f>
        <v>0</v>
      </c>
      <c r="CG165" s="33"/>
      <c r="CH165" s="9">
        <f>C165-B165</f>
        <v>0</v>
      </c>
      <c r="CI165" s="9">
        <f>D165-C165</f>
        <v>0</v>
      </c>
      <c r="CJ165" s="9">
        <f>E165-D165</f>
        <v>0</v>
      </c>
      <c r="CK165" s="9">
        <f>F165-E165</f>
        <v>0</v>
      </c>
      <c r="CL165" s="9">
        <f>G165-F165</f>
        <v>0</v>
      </c>
      <c r="CM165" s="32"/>
      <c r="CN165" s="3">
        <f>IF(OR(CH165="",ISBLANK(CH165),CH165=0),0,IF(MOD(CH165,2)=1,1,2))</f>
        <v>0</v>
      </c>
      <c r="CO165" s="3">
        <f>IF(OR(CI165="",ISBLANK(CI165),CI165=0),0,IF(MOD(CI165,2)=1,1,2))</f>
        <v>0</v>
      </c>
      <c r="CP165" s="3">
        <f>IF(OR(CJ165="",ISBLANK(CJ165),CJ165=0),0,IF(MOD(CJ165,2)=1,1,2))</f>
        <v>0</v>
      </c>
      <c r="CQ165" s="3">
        <f>IF(OR(CK165="",ISBLANK(CK165),CK165=0),0,IF(MOD(CK165,2)=1,1,2))</f>
        <v>0</v>
      </c>
      <c r="CR165" s="3">
        <f>IF(OR(CL165="",ISBLANK(CL165),CL165=0),0,IF(MOD(CL165,2)=1,1,2))</f>
        <v>0</v>
      </c>
      <c r="CS165" s="31"/>
      <c r="CT165" s="3" cm="1">
        <f t="array" ref="CT165">SUMPRODUCT(--(MOD(CH165:CL165,2)=1))</f>
        <v>0</v>
      </c>
      <c r="CU165" s="3">
        <f>5-CT165</f>
        <v>5</v>
      </c>
      <c r="CV165" s="30"/>
      <c r="CW165" s="3" cm="1">
        <f t="array" ref="CW165">SUMPRODUCT(--(MOD(CH165:CL165,10)&gt;=1), --(MOD(CH165:CL165,10)&lt;=5))</f>
        <v>0</v>
      </c>
      <c r="CX165" s="3">
        <f>5-CW165</f>
        <v>5</v>
      </c>
      <c r="CY165" s="30"/>
      <c r="CZ165" s="3" cm="1">
        <f t="array" ref="CZ165">IFERROR(COUNT(_xlfn._xlws.FILTER(CH165:CL165, ISNUMBER(MATCH(CH165:CL165, {2,3,5,7,11,13,17,19,23,29,31,37,41,43}, 0)))), 0)</f>
        <v>0</v>
      </c>
      <c r="DA165" s="3" cm="1">
        <f t="array" ref="DA165">IFERROR(COUNT(_xlfn._xlws.FILTER(CH165:CL165, ISNUMBER(MATCH(CH165:CL165, {1,4,8,10,14,16,20,22,25,26,28,32,34,35,38,40,44}, 0)))), 0)</f>
        <v>0</v>
      </c>
      <c r="DB165" s="3" cm="1">
        <f t="array" ref="DB165">IFERROR(COUNT(_xlfn._xlws.FILTER(CH165:CL165, ISNUMBER(MATCH(CH165:CL165, {6,9,12,15,18,21,24,27,30,33,36,39,42,45}, 0)))), 0)</f>
        <v>0</v>
      </c>
      <c r="DC165" s="29"/>
      <c r="DD165" s="28" t="e">
        <f>#REF!</f>
        <v>#REF!</v>
      </c>
      <c r="DE165" s="28" t="e">
        <f>#REF!*2</f>
        <v>#REF!</v>
      </c>
      <c r="DF165" s="28" t="e">
        <f>#REF!</f>
        <v>#REF!</v>
      </c>
      <c r="DG165" s="28" t="e">
        <f>#REF!*2</f>
        <v>#REF!</v>
      </c>
      <c r="DH165" s="28" t="e">
        <f>#REF!</f>
        <v>#REF!</v>
      </c>
      <c r="DI165" s="28" t="e">
        <f>#REF!*2</f>
        <v>#REF!</v>
      </c>
      <c r="DJ165" s="28" t="e">
        <f>#REF!</f>
        <v>#REF!</v>
      </c>
      <c r="DK165" s="28" t="e">
        <f>#REF!*2</f>
        <v>#REF!</v>
      </c>
      <c r="DL165" s="28" t="e">
        <f>#REF!</f>
        <v>#REF!</v>
      </c>
      <c r="DM165" s="28" t="e">
        <f>#REF!*2</f>
        <v>#REF!</v>
      </c>
      <c r="DN165" s="27"/>
      <c r="DO165" s="26"/>
      <c r="DP165" s="26"/>
      <c r="DQ165" s="26"/>
      <c r="DR165" s="26"/>
      <c r="DS165" s="26"/>
      <c r="DT165" s="25"/>
    </row>
    <row r="166" spans="2:124" x14ac:dyDescent="0.3"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2"/>
      <c r="I166" s="3">
        <f>IF(OR(B166="",ISBLANK(B166),B166=0),0,IF(MOD(B166,2)=1,1,2))</f>
        <v>0</v>
      </c>
      <c r="J166" s="3">
        <f>IF(OR(C166="",ISBLANK(C166),C166=0),0,IF(MOD(C166,2)=1,1,2))</f>
        <v>0</v>
      </c>
      <c r="K166" s="3">
        <f>IF(OR(D166="",ISBLANK(D166),D166=0),0,IF(MOD(D166,2)=1,1,2))</f>
        <v>0</v>
      </c>
      <c r="L166" s="3">
        <f>IF(OR(E166="",ISBLANK(E166),E166=0),0,IF(MOD(E166,2)=1,1,2))</f>
        <v>0</v>
      </c>
      <c r="M166" s="3">
        <f>IF(OR(F166="",ISBLANK(F166),F166=0),0,IF(MOD(F166,2)=1,1,2))</f>
        <v>0</v>
      </c>
      <c r="N166" s="3">
        <f>IF(OR(G166="",ISBLANK(G166),G166=0),0,IF(MOD(G166,2)=1,1,2))</f>
        <v>0</v>
      </c>
      <c r="O166" s="32"/>
      <c r="P166" s="3" cm="1">
        <f t="array" ref="P166">SUMPRODUCT(--(MOD(B166:G166,2)=1))</f>
        <v>0</v>
      </c>
      <c r="Q166" s="3">
        <f>6-P166</f>
        <v>6</v>
      </c>
      <c r="R166" s="34"/>
      <c r="S166" s="3">
        <f>COUNTIFS(B166:G166,"&gt;=1",B166:G166,"&lt;=23")</f>
        <v>0</v>
      </c>
      <c r="T166" s="3">
        <f>6-S166</f>
        <v>6</v>
      </c>
      <c r="U166" s="34"/>
      <c r="V166" s="3" cm="1">
        <f t="array" ref="V166">SUMPRODUCT(--(MOD(B166:G166,10)&gt;=1), --(MOD(B166:G166,10)&lt;=5))</f>
        <v>0</v>
      </c>
      <c r="W166" s="3">
        <f>6-V166</f>
        <v>6</v>
      </c>
      <c r="X166" s="34"/>
      <c r="Y166" s="3" cm="1">
        <f t="array" ref="Y166">IFERROR(COUNT(_xlfn._xlws.FILTER(B166:G166, ISNUMBER(MATCH(B166:G166, {2,3,5,7,11,13,17,19,23,29,31,37,41,43}, 0)))), 0)</f>
        <v>0</v>
      </c>
      <c r="Z166" s="3" cm="1">
        <f t="array" ref="Z166">IFERROR(COUNT(_xlfn._xlws.FILTER(B166:G166, ISNUMBER(MATCH(B166:G166, {1,4,8,10,14,16,20,22,25,26,28,32,34,35,38,40,44}, 0)))), 0)</f>
        <v>0</v>
      </c>
      <c r="AA166" s="3" cm="1">
        <f t="array" ref="AA166">IFERROR(COUNT(_xlfn._xlws.FILTER(B166:G166, ISNUMBER(MATCH(B166:G166, {6,9,12,15,18,21,24,27,30,33,36,39,42,45}, 0)))), 0)</f>
        <v>0</v>
      </c>
      <c r="AB166" s="30"/>
      <c r="AC166" s="26" cm="1">
        <f t="array" ref="AC166">_xlfn.IFS(
   OR(B166="",ISBLANK(B166),B166=0),0,
   ISNUMBER(MATCH(B166,{2,3,5,7,11,13,17,19,23,29,31,37,41,43},0)),"소",
   AND(ISNUMBER(B166),MOD(B166,3)=0),"배",
   AND(ISNUMBER(B166),B166&gt;0),"자"
)</f>
        <v>0</v>
      </c>
      <c r="AD166" s="26" cm="1">
        <f t="array" ref="AD166">_xlfn.IFS(
   OR(C166="",ISBLANK(C166),C166=0),0,
   ISNUMBER(MATCH(C166,{2,3,5,7,11,13,17,19,23,29,31,37,41,43},0)),"소",
   AND(ISNUMBER(C166),MOD(C166,3)=0),"배",
   AND(ISNUMBER(C166),C166&gt;0),"자"
)</f>
        <v>0</v>
      </c>
      <c r="AE166" s="26" cm="1">
        <f t="array" ref="AE166">_xlfn.IFS(
   OR(D166="",ISBLANK(D166),D166=0),0,
   ISNUMBER(MATCH(D166,{2,3,5,7,11,13,17,19,23,29,31,37,41,43},0)),"소",
   AND(ISNUMBER(D166),MOD(D166,3)=0),"배",
   AND(ISNUMBER(D166),D166&gt;0),"자"
)</f>
        <v>0</v>
      </c>
      <c r="AF166" s="26" cm="1">
        <f t="array" ref="AF166">_xlfn.IFS(
   OR(E166="",ISBLANK(E166),E166=0),0,
   ISNUMBER(MATCH(E166,{2,3,5,7,11,13,17,19,23,29,31,37,41,43},0)),"소",
   AND(ISNUMBER(E166),MOD(E166,3)=0),"배",
   AND(ISNUMBER(E166),E166&gt;0),"자"
)</f>
        <v>0</v>
      </c>
      <c r="AG166" s="26" cm="1">
        <f t="array" ref="AG166">_xlfn.IFS(
   OR(F166="",ISBLANK(F166),F166=0),0,
   ISNUMBER(MATCH(F166,{2,3,5,7,11,13,17,19,23,29,31,37,41,43},0)),"소",
   AND(ISNUMBER(F166),MOD(F166,3)=0),"배",
   AND(ISNUMBER(F166),F166&gt;0),"자"
)</f>
        <v>0</v>
      </c>
      <c r="AH166" s="26" cm="1">
        <f t="array" ref="AH166">_xlfn.IFS(
   OR(G166="",ISBLANK(G166),G166=0),0,
   ISNUMBER(MATCH(G166,{2,3,5,7,11,13,17,19,23,29,31,37,41,43},0)),"소",
   AND(ISNUMBER(G166),MOD(G166,3)=0),"배",
   AND(ISNUMBER(G166),G166&gt;0),"자"
)</f>
        <v>0</v>
      </c>
      <c r="AI166" s="30"/>
      <c r="AJ166" s="3">
        <f>COUNTIFS(B166:G166,"&gt;=1",B166:G166,"&lt;=14")</f>
        <v>0</v>
      </c>
      <c r="AK166" s="3">
        <f>COUNTIFS(B166:G166,"&gt;=15",B166:G166,"&lt;=31")</f>
        <v>0</v>
      </c>
      <c r="AL166" s="3">
        <f>6-AK166-AJ166</f>
        <v>6</v>
      </c>
      <c r="AM166" s="33"/>
      <c r="AN166" s="3">
        <f>COUNTIFS($B166:$G166, "&gt;=1",$B166:$G166, "&lt;=9")</f>
        <v>0</v>
      </c>
      <c r="AO166" s="3">
        <f>COUNTIFS($B166:$G166, "&gt;=10",$B166:$G166, "&lt;=18")</f>
        <v>0</v>
      </c>
      <c r="AP166" s="3">
        <f>COUNTIFS($B166:$G166, "&gt;=19",$B166:$G166, "&lt;=27")</f>
        <v>0</v>
      </c>
      <c r="AQ166" s="3">
        <f>COUNTIFS($B166:$G166, "&gt;=28",$B166:$G166, "&lt;=36")</f>
        <v>0</v>
      </c>
      <c r="AR166" s="3">
        <f>COUNTIFS($B166:$G166, "&gt;=37",$B166:$G166, "&lt;=45")</f>
        <v>0</v>
      </c>
      <c r="AS166" s="28" t="e">
        <f>#REF!</f>
        <v>#REF!</v>
      </c>
      <c r="AT166" s="28" t="e">
        <f>#REF!*2</f>
        <v>#REF!</v>
      </c>
      <c r="AU166" s="28" t="e">
        <f>#REF!</f>
        <v>#REF!</v>
      </c>
      <c r="AV166" s="28" t="e">
        <f>#REF!*2</f>
        <v>#REF!</v>
      </c>
      <c r="AW166" s="28" t="e">
        <f>#REF!</f>
        <v>#REF!</v>
      </c>
      <c r="AX166" s="28" t="e">
        <f>#REF!*2</f>
        <v>#REF!</v>
      </c>
      <c r="AY166" s="28" t="e">
        <f>#REF!</f>
        <v>#REF!</v>
      </c>
      <c r="AZ166" s="28" t="e">
        <f>#REF!*2</f>
        <v>#REF!</v>
      </c>
      <c r="BA166" s="28" t="e">
        <f>#REF!</f>
        <v>#REF!</v>
      </c>
      <c r="BB166" s="28" t="e">
        <f>#REF!*2</f>
        <v>#REF!</v>
      </c>
      <c r="BC166" s="28" t="e">
        <f>#REF!</f>
        <v>#REF!</v>
      </c>
      <c r="BD166" s="28" t="e">
        <f>#REF!*2</f>
        <v>#REF!</v>
      </c>
      <c r="BE166" s="9" t="e">
        <f>#REF!-#REF!</f>
        <v>#REF!</v>
      </c>
      <c r="BF166" s="9" t="e">
        <f>#REF!-#REF!</f>
        <v>#REF!</v>
      </c>
      <c r="BG166" s="9" t="e">
        <f>#REF!-#REF!</f>
        <v>#REF!</v>
      </c>
      <c r="BH166" s="9" t="e">
        <f>#REF!-#REF!</f>
        <v>#REF!</v>
      </c>
      <c r="BI166" s="9" t="e">
        <f>#REF!-#REF!</f>
        <v>#REF!</v>
      </c>
      <c r="BJ166" s="33"/>
      <c r="BK166" s="3">
        <f>COUNTIFS(B166:G166, "&gt;=1", B166:G166, "&lt;=9")</f>
        <v>0</v>
      </c>
      <c r="BL166" s="3">
        <f>COUNTIFS(B166:G166, "&gt;=10", B166:G166, "&lt;=19")</f>
        <v>0</v>
      </c>
      <c r="BM166" s="3">
        <f>COUNTIFS(B166:G166, "&gt;=20", B166:G166, "&lt;=29")</f>
        <v>0</v>
      </c>
      <c r="BN166" s="3">
        <f>COUNTIFS(B166:G166, "&gt;=30", B166:G166, "&lt;=39")</f>
        <v>0</v>
      </c>
      <c r="BO166" s="3">
        <f>COUNTIFS(B166:G166, "&gt;=40", B166:G166, "&lt;=45")</f>
        <v>0</v>
      </c>
      <c r="BP166" s="28" t="e">
        <f>#REF!</f>
        <v>#REF!</v>
      </c>
      <c r="BQ166" s="28" t="e">
        <f>#REF!*2</f>
        <v>#REF!</v>
      </c>
      <c r="BR166" s="28" t="e">
        <f>#REF!</f>
        <v>#REF!</v>
      </c>
      <c r="BS166" s="28" t="e">
        <f>#REF!*2</f>
        <v>#REF!</v>
      </c>
      <c r="BT166" s="28" t="e">
        <f>#REF!</f>
        <v>#REF!</v>
      </c>
      <c r="BU166" s="28" t="e">
        <f>#REF!*2</f>
        <v>#REF!</v>
      </c>
      <c r="BV166" s="28" t="e">
        <f>#REF!</f>
        <v>#REF!</v>
      </c>
      <c r="BW166" s="28" t="e">
        <f>#REF!*2</f>
        <v>#REF!</v>
      </c>
      <c r="BX166" s="28" t="e">
        <f>#REF!</f>
        <v>#REF!</v>
      </c>
      <c r="BY166" s="28" t="e">
        <f>#REF!*2</f>
        <v>#REF!</v>
      </c>
      <c r="BZ166" s="28" t="e">
        <f>#REF!</f>
        <v>#REF!</v>
      </c>
      <c r="CA166" s="28" t="e">
        <f>#REF!*2</f>
        <v>#REF!</v>
      </c>
      <c r="CB166" s="9">
        <f>C166-B166</f>
        <v>0</v>
      </c>
      <c r="CC166" s="9">
        <f>D166-C166</f>
        <v>0</v>
      </c>
      <c r="CD166" s="9">
        <f>E166-D166</f>
        <v>0</v>
      </c>
      <c r="CE166" s="9">
        <f>F166-E166</f>
        <v>0</v>
      </c>
      <c r="CF166" s="9">
        <f>G166-F166</f>
        <v>0</v>
      </c>
      <c r="CG166" s="33"/>
      <c r="CH166" s="9">
        <f>C166-B166</f>
        <v>0</v>
      </c>
      <c r="CI166" s="9">
        <f>D166-C166</f>
        <v>0</v>
      </c>
      <c r="CJ166" s="9">
        <f>E166-D166</f>
        <v>0</v>
      </c>
      <c r="CK166" s="9">
        <f>F166-E166</f>
        <v>0</v>
      </c>
      <c r="CL166" s="9">
        <f>G166-F166</f>
        <v>0</v>
      </c>
      <c r="CM166" s="32"/>
      <c r="CN166" s="3">
        <f>IF(OR(CH166="",ISBLANK(CH166),CH166=0),0,IF(MOD(CH166,2)=1,1,2))</f>
        <v>0</v>
      </c>
      <c r="CO166" s="3">
        <f>IF(OR(CI166="",ISBLANK(CI166),CI166=0),0,IF(MOD(CI166,2)=1,1,2))</f>
        <v>0</v>
      </c>
      <c r="CP166" s="3">
        <f>IF(OR(CJ166="",ISBLANK(CJ166),CJ166=0),0,IF(MOD(CJ166,2)=1,1,2))</f>
        <v>0</v>
      </c>
      <c r="CQ166" s="3">
        <f>IF(OR(CK166="",ISBLANK(CK166),CK166=0),0,IF(MOD(CK166,2)=1,1,2))</f>
        <v>0</v>
      </c>
      <c r="CR166" s="3">
        <f>IF(OR(CL166="",ISBLANK(CL166),CL166=0),0,IF(MOD(CL166,2)=1,1,2))</f>
        <v>0</v>
      </c>
      <c r="CS166" s="31"/>
      <c r="CT166" s="3" cm="1">
        <f t="array" ref="CT166">SUMPRODUCT(--(MOD(CH166:CL166,2)=1))</f>
        <v>0</v>
      </c>
      <c r="CU166" s="3">
        <f>5-CT166</f>
        <v>5</v>
      </c>
      <c r="CV166" s="30"/>
      <c r="CW166" s="3" cm="1">
        <f t="array" ref="CW166">SUMPRODUCT(--(MOD(CH166:CL166,10)&gt;=1), --(MOD(CH166:CL166,10)&lt;=5))</f>
        <v>0</v>
      </c>
      <c r="CX166" s="3">
        <f>5-CW166</f>
        <v>5</v>
      </c>
      <c r="CY166" s="30"/>
      <c r="CZ166" s="3" cm="1">
        <f t="array" ref="CZ166">IFERROR(COUNT(_xlfn._xlws.FILTER(CH166:CL166, ISNUMBER(MATCH(CH166:CL166, {2,3,5,7,11,13,17,19,23,29,31,37,41,43}, 0)))), 0)</f>
        <v>0</v>
      </c>
      <c r="DA166" s="3" cm="1">
        <f t="array" ref="DA166">IFERROR(COUNT(_xlfn._xlws.FILTER(CH166:CL166, ISNUMBER(MATCH(CH166:CL166, {1,4,8,10,14,16,20,22,25,26,28,32,34,35,38,40,44}, 0)))), 0)</f>
        <v>0</v>
      </c>
      <c r="DB166" s="3" cm="1">
        <f t="array" ref="DB166">IFERROR(COUNT(_xlfn._xlws.FILTER(CH166:CL166, ISNUMBER(MATCH(CH166:CL166, {6,9,12,15,18,21,24,27,30,33,36,39,42,45}, 0)))), 0)</f>
        <v>0</v>
      </c>
      <c r="DC166" s="29"/>
      <c r="DD166" s="28" t="e">
        <f>#REF!</f>
        <v>#REF!</v>
      </c>
      <c r="DE166" s="28" t="e">
        <f>#REF!*2</f>
        <v>#REF!</v>
      </c>
      <c r="DF166" s="28" t="e">
        <f>#REF!</f>
        <v>#REF!</v>
      </c>
      <c r="DG166" s="28" t="e">
        <f>#REF!*2</f>
        <v>#REF!</v>
      </c>
      <c r="DH166" s="28" t="e">
        <f>#REF!</f>
        <v>#REF!</v>
      </c>
      <c r="DI166" s="28" t="e">
        <f>#REF!*2</f>
        <v>#REF!</v>
      </c>
      <c r="DJ166" s="28" t="e">
        <f>#REF!</f>
        <v>#REF!</v>
      </c>
      <c r="DK166" s="28" t="e">
        <f>#REF!*2</f>
        <v>#REF!</v>
      </c>
      <c r="DL166" s="28" t="e">
        <f>#REF!</f>
        <v>#REF!</v>
      </c>
      <c r="DM166" s="28" t="e">
        <f>#REF!*2</f>
        <v>#REF!</v>
      </c>
      <c r="DN166" s="27"/>
      <c r="DO166" s="26"/>
      <c r="DP166" s="26"/>
      <c r="DQ166" s="26"/>
      <c r="DR166" s="26"/>
      <c r="DS166" s="26"/>
      <c r="DT166" s="25"/>
    </row>
    <row r="167" spans="2:124" x14ac:dyDescent="0.3"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2"/>
      <c r="I167" s="3">
        <f>IF(OR(B167="",ISBLANK(B167),B167=0),0,IF(MOD(B167,2)=1,1,2))</f>
        <v>0</v>
      </c>
      <c r="J167" s="3">
        <f>IF(OR(C167="",ISBLANK(C167),C167=0),0,IF(MOD(C167,2)=1,1,2))</f>
        <v>0</v>
      </c>
      <c r="K167" s="3">
        <f>IF(OR(D167="",ISBLANK(D167),D167=0),0,IF(MOD(D167,2)=1,1,2))</f>
        <v>0</v>
      </c>
      <c r="L167" s="3">
        <f>IF(OR(E167="",ISBLANK(E167),E167=0),0,IF(MOD(E167,2)=1,1,2))</f>
        <v>0</v>
      </c>
      <c r="M167" s="3">
        <f>IF(OR(F167="",ISBLANK(F167),F167=0),0,IF(MOD(F167,2)=1,1,2))</f>
        <v>0</v>
      </c>
      <c r="N167" s="3">
        <f>IF(OR(G167="",ISBLANK(G167),G167=0),0,IF(MOD(G167,2)=1,1,2))</f>
        <v>0</v>
      </c>
      <c r="O167" s="32"/>
      <c r="P167" s="3" cm="1">
        <f t="array" ref="P167">SUMPRODUCT(--(MOD(B167:G167,2)=1))</f>
        <v>0</v>
      </c>
      <c r="Q167" s="3">
        <f>6-P167</f>
        <v>6</v>
      </c>
      <c r="R167" s="34"/>
      <c r="S167" s="3">
        <f>COUNTIFS(B167:G167,"&gt;=1",B167:G167,"&lt;=23")</f>
        <v>0</v>
      </c>
      <c r="T167" s="3">
        <f>6-S167</f>
        <v>6</v>
      </c>
      <c r="U167" s="34"/>
      <c r="V167" s="3" cm="1">
        <f t="array" ref="V167">SUMPRODUCT(--(MOD(B167:G167,10)&gt;=1), --(MOD(B167:G167,10)&lt;=5))</f>
        <v>0</v>
      </c>
      <c r="W167" s="3">
        <f>6-V167</f>
        <v>6</v>
      </c>
      <c r="X167" s="34"/>
      <c r="Y167" s="3" cm="1">
        <f t="array" ref="Y167">IFERROR(COUNT(_xlfn._xlws.FILTER(B167:G167, ISNUMBER(MATCH(B167:G167, {2,3,5,7,11,13,17,19,23,29,31,37,41,43}, 0)))), 0)</f>
        <v>0</v>
      </c>
      <c r="Z167" s="3" cm="1">
        <f t="array" ref="Z167">IFERROR(COUNT(_xlfn._xlws.FILTER(B167:G167, ISNUMBER(MATCH(B167:G167, {1,4,8,10,14,16,20,22,25,26,28,32,34,35,38,40,44}, 0)))), 0)</f>
        <v>0</v>
      </c>
      <c r="AA167" s="3" cm="1">
        <f t="array" ref="AA167">IFERROR(COUNT(_xlfn._xlws.FILTER(B167:G167, ISNUMBER(MATCH(B167:G167, {6,9,12,15,18,21,24,27,30,33,36,39,42,45}, 0)))), 0)</f>
        <v>0</v>
      </c>
      <c r="AB167" s="30"/>
      <c r="AC167" s="26" cm="1">
        <f t="array" ref="AC167">_xlfn.IFS(
   OR(B167="",ISBLANK(B167),B167=0),0,
   ISNUMBER(MATCH(B167,{2,3,5,7,11,13,17,19,23,29,31,37,41,43},0)),"소",
   AND(ISNUMBER(B167),MOD(B167,3)=0),"배",
   AND(ISNUMBER(B167),B167&gt;0),"자"
)</f>
        <v>0</v>
      </c>
      <c r="AD167" s="26" cm="1">
        <f t="array" ref="AD167">_xlfn.IFS(
   OR(C167="",ISBLANK(C167),C167=0),0,
   ISNUMBER(MATCH(C167,{2,3,5,7,11,13,17,19,23,29,31,37,41,43},0)),"소",
   AND(ISNUMBER(C167),MOD(C167,3)=0),"배",
   AND(ISNUMBER(C167),C167&gt;0),"자"
)</f>
        <v>0</v>
      </c>
      <c r="AE167" s="26" cm="1">
        <f t="array" ref="AE167">_xlfn.IFS(
   OR(D167="",ISBLANK(D167),D167=0),0,
   ISNUMBER(MATCH(D167,{2,3,5,7,11,13,17,19,23,29,31,37,41,43},0)),"소",
   AND(ISNUMBER(D167),MOD(D167,3)=0),"배",
   AND(ISNUMBER(D167),D167&gt;0),"자"
)</f>
        <v>0</v>
      </c>
      <c r="AF167" s="26" cm="1">
        <f t="array" ref="AF167">_xlfn.IFS(
   OR(E167="",ISBLANK(E167),E167=0),0,
   ISNUMBER(MATCH(E167,{2,3,5,7,11,13,17,19,23,29,31,37,41,43},0)),"소",
   AND(ISNUMBER(E167),MOD(E167,3)=0),"배",
   AND(ISNUMBER(E167),E167&gt;0),"자"
)</f>
        <v>0</v>
      </c>
      <c r="AG167" s="26" cm="1">
        <f t="array" ref="AG167">_xlfn.IFS(
   OR(F167="",ISBLANK(F167),F167=0),0,
   ISNUMBER(MATCH(F167,{2,3,5,7,11,13,17,19,23,29,31,37,41,43},0)),"소",
   AND(ISNUMBER(F167),MOD(F167,3)=0),"배",
   AND(ISNUMBER(F167),F167&gt;0),"자"
)</f>
        <v>0</v>
      </c>
      <c r="AH167" s="26" cm="1">
        <f t="array" ref="AH167">_xlfn.IFS(
   OR(G167="",ISBLANK(G167),G167=0),0,
   ISNUMBER(MATCH(G167,{2,3,5,7,11,13,17,19,23,29,31,37,41,43},0)),"소",
   AND(ISNUMBER(G167),MOD(G167,3)=0),"배",
   AND(ISNUMBER(G167),G167&gt;0),"자"
)</f>
        <v>0</v>
      </c>
      <c r="AI167" s="30"/>
      <c r="AJ167" s="3">
        <f>COUNTIFS(B167:G167,"&gt;=1",B167:G167,"&lt;=14")</f>
        <v>0</v>
      </c>
      <c r="AK167" s="3">
        <f>COUNTIFS(B167:G167,"&gt;=15",B167:G167,"&lt;=31")</f>
        <v>0</v>
      </c>
      <c r="AL167" s="3">
        <f>6-AK167-AJ167</f>
        <v>6</v>
      </c>
      <c r="AM167" s="33"/>
      <c r="AN167" s="3">
        <f>COUNTIFS($B167:$G167, "&gt;=1",$B167:$G167, "&lt;=9")</f>
        <v>0</v>
      </c>
      <c r="AO167" s="3">
        <f>COUNTIFS($B167:$G167, "&gt;=10",$B167:$G167, "&lt;=18")</f>
        <v>0</v>
      </c>
      <c r="AP167" s="3">
        <f>COUNTIFS($B167:$G167, "&gt;=19",$B167:$G167, "&lt;=27")</f>
        <v>0</v>
      </c>
      <c r="AQ167" s="3">
        <f>COUNTIFS($B167:$G167, "&gt;=28",$B167:$G167, "&lt;=36")</f>
        <v>0</v>
      </c>
      <c r="AR167" s="3">
        <f>COUNTIFS($B167:$G167, "&gt;=37",$B167:$G167, "&lt;=45")</f>
        <v>0</v>
      </c>
      <c r="AS167" s="28" t="e">
        <f>#REF!</f>
        <v>#REF!</v>
      </c>
      <c r="AT167" s="28" t="e">
        <f>#REF!*2</f>
        <v>#REF!</v>
      </c>
      <c r="AU167" s="28" t="e">
        <f>#REF!</f>
        <v>#REF!</v>
      </c>
      <c r="AV167" s="28" t="e">
        <f>#REF!*2</f>
        <v>#REF!</v>
      </c>
      <c r="AW167" s="28" t="e">
        <f>#REF!</f>
        <v>#REF!</v>
      </c>
      <c r="AX167" s="28" t="e">
        <f>#REF!*2</f>
        <v>#REF!</v>
      </c>
      <c r="AY167" s="28" t="e">
        <f>#REF!</f>
        <v>#REF!</v>
      </c>
      <c r="AZ167" s="28" t="e">
        <f>#REF!*2</f>
        <v>#REF!</v>
      </c>
      <c r="BA167" s="28" t="e">
        <f>#REF!</f>
        <v>#REF!</v>
      </c>
      <c r="BB167" s="28" t="e">
        <f>#REF!*2</f>
        <v>#REF!</v>
      </c>
      <c r="BC167" s="28" t="e">
        <f>#REF!</f>
        <v>#REF!</v>
      </c>
      <c r="BD167" s="28" t="e">
        <f>#REF!*2</f>
        <v>#REF!</v>
      </c>
      <c r="BE167" s="9" t="e">
        <f>#REF!-#REF!</f>
        <v>#REF!</v>
      </c>
      <c r="BF167" s="9" t="e">
        <f>#REF!-#REF!</f>
        <v>#REF!</v>
      </c>
      <c r="BG167" s="9" t="e">
        <f>#REF!-#REF!</f>
        <v>#REF!</v>
      </c>
      <c r="BH167" s="9" t="e">
        <f>#REF!-#REF!</f>
        <v>#REF!</v>
      </c>
      <c r="BI167" s="9" t="e">
        <f>#REF!-#REF!</f>
        <v>#REF!</v>
      </c>
      <c r="BJ167" s="33"/>
      <c r="BK167" s="3">
        <f>COUNTIFS(B167:G167, "&gt;=1", B167:G167, "&lt;=9")</f>
        <v>0</v>
      </c>
      <c r="BL167" s="3">
        <f>COUNTIFS(B167:G167, "&gt;=10", B167:G167, "&lt;=19")</f>
        <v>0</v>
      </c>
      <c r="BM167" s="3">
        <f>COUNTIFS(B167:G167, "&gt;=20", B167:G167, "&lt;=29")</f>
        <v>0</v>
      </c>
      <c r="BN167" s="3">
        <f>COUNTIFS(B167:G167, "&gt;=30", B167:G167, "&lt;=39")</f>
        <v>0</v>
      </c>
      <c r="BO167" s="3">
        <f>COUNTIFS(B167:G167, "&gt;=40", B167:G167, "&lt;=45")</f>
        <v>0</v>
      </c>
      <c r="BP167" s="28" t="e">
        <f>#REF!</f>
        <v>#REF!</v>
      </c>
      <c r="BQ167" s="28" t="e">
        <f>#REF!*2</f>
        <v>#REF!</v>
      </c>
      <c r="BR167" s="28" t="e">
        <f>#REF!</f>
        <v>#REF!</v>
      </c>
      <c r="BS167" s="28" t="e">
        <f>#REF!*2</f>
        <v>#REF!</v>
      </c>
      <c r="BT167" s="28" t="e">
        <f>#REF!</f>
        <v>#REF!</v>
      </c>
      <c r="BU167" s="28" t="e">
        <f>#REF!*2</f>
        <v>#REF!</v>
      </c>
      <c r="BV167" s="28" t="e">
        <f>#REF!</f>
        <v>#REF!</v>
      </c>
      <c r="BW167" s="28" t="e">
        <f>#REF!*2</f>
        <v>#REF!</v>
      </c>
      <c r="BX167" s="28" t="e">
        <f>#REF!</f>
        <v>#REF!</v>
      </c>
      <c r="BY167" s="28" t="e">
        <f>#REF!*2</f>
        <v>#REF!</v>
      </c>
      <c r="BZ167" s="28" t="e">
        <f>#REF!</f>
        <v>#REF!</v>
      </c>
      <c r="CA167" s="28" t="e">
        <f>#REF!*2</f>
        <v>#REF!</v>
      </c>
      <c r="CB167" s="9">
        <f>C167-B167</f>
        <v>0</v>
      </c>
      <c r="CC167" s="9">
        <f>D167-C167</f>
        <v>0</v>
      </c>
      <c r="CD167" s="9">
        <f>E167-D167</f>
        <v>0</v>
      </c>
      <c r="CE167" s="9">
        <f>F167-E167</f>
        <v>0</v>
      </c>
      <c r="CF167" s="9">
        <f>G167-F167</f>
        <v>0</v>
      </c>
      <c r="CG167" s="33"/>
      <c r="CH167" s="9">
        <f>C167-B167</f>
        <v>0</v>
      </c>
      <c r="CI167" s="9">
        <f>D167-C167</f>
        <v>0</v>
      </c>
      <c r="CJ167" s="9">
        <f>E167-D167</f>
        <v>0</v>
      </c>
      <c r="CK167" s="9">
        <f>F167-E167</f>
        <v>0</v>
      </c>
      <c r="CL167" s="9">
        <f>G167-F167</f>
        <v>0</v>
      </c>
      <c r="CM167" s="32"/>
      <c r="CN167" s="3">
        <f>IF(OR(CH167="",ISBLANK(CH167),CH167=0),0,IF(MOD(CH167,2)=1,1,2))</f>
        <v>0</v>
      </c>
      <c r="CO167" s="3">
        <f>IF(OR(CI167="",ISBLANK(CI167),CI167=0),0,IF(MOD(CI167,2)=1,1,2))</f>
        <v>0</v>
      </c>
      <c r="CP167" s="3">
        <f>IF(OR(CJ167="",ISBLANK(CJ167),CJ167=0),0,IF(MOD(CJ167,2)=1,1,2))</f>
        <v>0</v>
      </c>
      <c r="CQ167" s="3">
        <f>IF(OR(CK167="",ISBLANK(CK167),CK167=0),0,IF(MOD(CK167,2)=1,1,2))</f>
        <v>0</v>
      </c>
      <c r="CR167" s="3">
        <f>IF(OR(CL167="",ISBLANK(CL167),CL167=0),0,IF(MOD(CL167,2)=1,1,2))</f>
        <v>0</v>
      </c>
      <c r="CS167" s="31"/>
      <c r="CT167" s="3" cm="1">
        <f t="array" ref="CT167">SUMPRODUCT(--(MOD(CH167:CL167,2)=1))</f>
        <v>0</v>
      </c>
      <c r="CU167" s="3">
        <f>5-CT167</f>
        <v>5</v>
      </c>
      <c r="CV167" s="30"/>
      <c r="CW167" s="3" cm="1">
        <f t="array" ref="CW167">SUMPRODUCT(--(MOD(CH167:CL167,10)&gt;=1), --(MOD(CH167:CL167,10)&lt;=5))</f>
        <v>0</v>
      </c>
      <c r="CX167" s="3">
        <f>5-CW167</f>
        <v>5</v>
      </c>
      <c r="CY167" s="30"/>
      <c r="CZ167" s="3" cm="1">
        <f t="array" ref="CZ167">IFERROR(COUNT(_xlfn._xlws.FILTER(CH167:CL167, ISNUMBER(MATCH(CH167:CL167, {2,3,5,7,11,13,17,19,23,29,31,37,41,43}, 0)))), 0)</f>
        <v>0</v>
      </c>
      <c r="DA167" s="3" cm="1">
        <f t="array" ref="DA167">IFERROR(COUNT(_xlfn._xlws.FILTER(CH167:CL167, ISNUMBER(MATCH(CH167:CL167, {1,4,8,10,14,16,20,22,25,26,28,32,34,35,38,40,44}, 0)))), 0)</f>
        <v>0</v>
      </c>
      <c r="DB167" s="3" cm="1">
        <f t="array" ref="DB167">IFERROR(COUNT(_xlfn._xlws.FILTER(CH167:CL167, ISNUMBER(MATCH(CH167:CL167, {6,9,12,15,18,21,24,27,30,33,36,39,42,45}, 0)))), 0)</f>
        <v>0</v>
      </c>
      <c r="DC167" s="29"/>
      <c r="DD167" s="28" t="e">
        <f>#REF!</f>
        <v>#REF!</v>
      </c>
      <c r="DE167" s="28" t="e">
        <f>#REF!*2</f>
        <v>#REF!</v>
      </c>
      <c r="DF167" s="28" t="e">
        <f>#REF!</f>
        <v>#REF!</v>
      </c>
      <c r="DG167" s="28" t="e">
        <f>#REF!*2</f>
        <v>#REF!</v>
      </c>
      <c r="DH167" s="28" t="e">
        <f>#REF!</f>
        <v>#REF!</v>
      </c>
      <c r="DI167" s="28" t="e">
        <f>#REF!*2</f>
        <v>#REF!</v>
      </c>
      <c r="DJ167" s="28" t="e">
        <f>#REF!</f>
        <v>#REF!</v>
      </c>
      <c r="DK167" s="28" t="e">
        <f>#REF!*2</f>
        <v>#REF!</v>
      </c>
      <c r="DL167" s="28" t="e">
        <f>#REF!</f>
        <v>#REF!</v>
      </c>
      <c r="DM167" s="28" t="e">
        <f>#REF!*2</f>
        <v>#REF!</v>
      </c>
      <c r="DN167" s="27"/>
      <c r="DO167" s="26"/>
      <c r="DP167" s="26"/>
      <c r="DQ167" s="26"/>
      <c r="DR167" s="26"/>
      <c r="DS167" s="26"/>
      <c r="DT167" s="25"/>
    </row>
    <row r="168" spans="2:124" x14ac:dyDescent="0.3"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2"/>
      <c r="I168" s="3">
        <f>IF(OR(B168="",ISBLANK(B168),B168=0),0,IF(MOD(B168,2)=1,1,2))</f>
        <v>0</v>
      </c>
      <c r="J168" s="3">
        <f>IF(OR(C168="",ISBLANK(C168),C168=0),0,IF(MOD(C168,2)=1,1,2))</f>
        <v>0</v>
      </c>
      <c r="K168" s="3">
        <f>IF(OR(D168="",ISBLANK(D168),D168=0),0,IF(MOD(D168,2)=1,1,2))</f>
        <v>0</v>
      </c>
      <c r="L168" s="3">
        <f>IF(OR(E168="",ISBLANK(E168),E168=0),0,IF(MOD(E168,2)=1,1,2))</f>
        <v>0</v>
      </c>
      <c r="M168" s="3">
        <f>IF(OR(F168="",ISBLANK(F168),F168=0),0,IF(MOD(F168,2)=1,1,2))</f>
        <v>0</v>
      </c>
      <c r="N168" s="3">
        <f>IF(OR(G168="",ISBLANK(G168),G168=0),0,IF(MOD(G168,2)=1,1,2))</f>
        <v>0</v>
      </c>
      <c r="O168" s="32"/>
      <c r="P168" s="3" cm="1">
        <f t="array" ref="P168">SUMPRODUCT(--(MOD(B168:G168,2)=1))</f>
        <v>0</v>
      </c>
      <c r="Q168" s="3">
        <f>6-P168</f>
        <v>6</v>
      </c>
      <c r="R168" s="34"/>
      <c r="S168" s="3">
        <f>COUNTIFS(B168:G168,"&gt;=1",B168:G168,"&lt;=23")</f>
        <v>0</v>
      </c>
      <c r="T168" s="3">
        <f>6-S168</f>
        <v>6</v>
      </c>
      <c r="U168" s="34"/>
      <c r="V168" s="3" cm="1">
        <f t="array" ref="V168">SUMPRODUCT(--(MOD(B168:G168,10)&gt;=1), --(MOD(B168:G168,10)&lt;=5))</f>
        <v>0</v>
      </c>
      <c r="W168" s="3">
        <f>6-V168</f>
        <v>6</v>
      </c>
      <c r="X168" s="34"/>
      <c r="Y168" s="3" cm="1">
        <f t="array" ref="Y168">IFERROR(COUNT(_xlfn._xlws.FILTER(B168:G168, ISNUMBER(MATCH(B168:G168, {2,3,5,7,11,13,17,19,23,29,31,37,41,43}, 0)))), 0)</f>
        <v>0</v>
      </c>
      <c r="Z168" s="3" cm="1">
        <f t="array" ref="Z168">IFERROR(COUNT(_xlfn._xlws.FILTER(B168:G168, ISNUMBER(MATCH(B168:G168, {1,4,8,10,14,16,20,22,25,26,28,32,34,35,38,40,44}, 0)))), 0)</f>
        <v>0</v>
      </c>
      <c r="AA168" s="3" cm="1">
        <f t="array" ref="AA168">IFERROR(COUNT(_xlfn._xlws.FILTER(B168:G168, ISNUMBER(MATCH(B168:G168, {6,9,12,15,18,21,24,27,30,33,36,39,42,45}, 0)))), 0)</f>
        <v>0</v>
      </c>
      <c r="AB168" s="30"/>
      <c r="AC168" s="26" cm="1">
        <f t="array" ref="AC168">_xlfn.IFS(
   OR(B168="",ISBLANK(B168),B168=0),0,
   ISNUMBER(MATCH(B168,{2,3,5,7,11,13,17,19,23,29,31,37,41,43},0)),"소",
   AND(ISNUMBER(B168),MOD(B168,3)=0),"배",
   AND(ISNUMBER(B168),B168&gt;0),"자"
)</f>
        <v>0</v>
      </c>
      <c r="AD168" s="26" cm="1">
        <f t="array" ref="AD168">_xlfn.IFS(
   OR(C168="",ISBLANK(C168),C168=0),0,
   ISNUMBER(MATCH(C168,{2,3,5,7,11,13,17,19,23,29,31,37,41,43},0)),"소",
   AND(ISNUMBER(C168),MOD(C168,3)=0),"배",
   AND(ISNUMBER(C168),C168&gt;0),"자"
)</f>
        <v>0</v>
      </c>
      <c r="AE168" s="26" cm="1">
        <f t="array" ref="AE168">_xlfn.IFS(
   OR(D168="",ISBLANK(D168),D168=0),0,
   ISNUMBER(MATCH(D168,{2,3,5,7,11,13,17,19,23,29,31,37,41,43},0)),"소",
   AND(ISNUMBER(D168),MOD(D168,3)=0),"배",
   AND(ISNUMBER(D168),D168&gt;0),"자"
)</f>
        <v>0</v>
      </c>
      <c r="AF168" s="26" cm="1">
        <f t="array" ref="AF168">_xlfn.IFS(
   OR(E168="",ISBLANK(E168),E168=0),0,
   ISNUMBER(MATCH(E168,{2,3,5,7,11,13,17,19,23,29,31,37,41,43},0)),"소",
   AND(ISNUMBER(E168),MOD(E168,3)=0),"배",
   AND(ISNUMBER(E168),E168&gt;0),"자"
)</f>
        <v>0</v>
      </c>
      <c r="AG168" s="26" cm="1">
        <f t="array" ref="AG168">_xlfn.IFS(
   OR(F168="",ISBLANK(F168),F168=0),0,
   ISNUMBER(MATCH(F168,{2,3,5,7,11,13,17,19,23,29,31,37,41,43},0)),"소",
   AND(ISNUMBER(F168),MOD(F168,3)=0),"배",
   AND(ISNUMBER(F168),F168&gt;0),"자"
)</f>
        <v>0</v>
      </c>
      <c r="AH168" s="26" cm="1">
        <f t="array" ref="AH168">_xlfn.IFS(
   OR(G168="",ISBLANK(G168),G168=0),0,
   ISNUMBER(MATCH(G168,{2,3,5,7,11,13,17,19,23,29,31,37,41,43},0)),"소",
   AND(ISNUMBER(G168),MOD(G168,3)=0),"배",
   AND(ISNUMBER(G168),G168&gt;0),"자"
)</f>
        <v>0</v>
      </c>
      <c r="AI168" s="30"/>
      <c r="AJ168" s="3">
        <f>COUNTIFS(B168:G168,"&gt;=1",B168:G168,"&lt;=14")</f>
        <v>0</v>
      </c>
      <c r="AK168" s="3">
        <f>COUNTIFS(B168:G168,"&gt;=15",B168:G168,"&lt;=31")</f>
        <v>0</v>
      </c>
      <c r="AL168" s="3">
        <f>6-AK168-AJ168</f>
        <v>6</v>
      </c>
      <c r="AM168" s="33"/>
      <c r="AN168" s="3">
        <f>COUNTIFS($B168:$G168, "&gt;=1",$B168:$G168, "&lt;=9")</f>
        <v>0</v>
      </c>
      <c r="AO168" s="3">
        <f>COUNTIFS($B168:$G168, "&gt;=10",$B168:$G168, "&lt;=18")</f>
        <v>0</v>
      </c>
      <c r="AP168" s="3">
        <f>COUNTIFS($B168:$G168, "&gt;=19",$B168:$G168, "&lt;=27")</f>
        <v>0</v>
      </c>
      <c r="AQ168" s="3">
        <f>COUNTIFS($B168:$G168, "&gt;=28",$B168:$G168, "&lt;=36")</f>
        <v>0</v>
      </c>
      <c r="AR168" s="3">
        <f>COUNTIFS($B168:$G168, "&gt;=37",$B168:$G168, "&lt;=45")</f>
        <v>0</v>
      </c>
      <c r="AS168" s="28" t="e">
        <f>#REF!</f>
        <v>#REF!</v>
      </c>
      <c r="AT168" s="28" t="e">
        <f>#REF!*2</f>
        <v>#REF!</v>
      </c>
      <c r="AU168" s="28" t="e">
        <f>#REF!</f>
        <v>#REF!</v>
      </c>
      <c r="AV168" s="28" t="e">
        <f>#REF!*2</f>
        <v>#REF!</v>
      </c>
      <c r="AW168" s="28" t="e">
        <f>#REF!</f>
        <v>#REF!</v>
      </c>
      <c r="AX168" s="28" t="e">
        <f>#REF!*2</f>
        <v>#REF!</v>
      </c>
      <c r="AY168" s="28" t="e">
        <f>#REF!</f>
        <v>#REF!</v>
      </c>
      <c r="AZ168" s="28" t="e">
        <f>#REF!*2</f>
        <v>#REF!</v>
      </c>
      <c r="BA168" s="28" t="e">
        <f>#REF!</f>
        <v>#REF!</v>
      </c>
      <c r="BB168" s="28" t="e">
        <f>#REF!*2</f>
        <v>#REF!</v>
      </c>
      <c r="BC168" s="28" t="e">
        <f>#REF!</f>
        <v>#REF!</v>
      </c>
      <c r="BD168" s="28" t="e">
        <f>#REF!*2</f>
        <v>#REF!</v>
      </c>
      <c r="BE168" s="9" t="e">
        <f>#REF!-#REF!</f>
        <v>#REF!</v>
      </c>
      <c r="BF168" s="9" t="e">
        <f>#REF!-#REF!</f>
        <v>#REF!</v>
      </c>
      <c r="BG168" s="9" t="e">
        <f>#REF!-#REF!</f>
        <v>#REF!</v>
      </c>
      <c r="BH168" s="9" t="e">
        <f>#REF!-#REF!</f>
        <v>#REF!</v>
      </c>
      <c r="BI168" s="9" t="e">
        <f>#REF!-#REF!</f>
        <v>#REF!</v>
      </c>
      <c r="BJ168" s="33"/>
      <c r="BK168" s="3">
        <f>COUNTIFS(B168:G168, "&gt;=1", B168:G168, "&lt;=9")</f>
        <v>0</v>
      </c>
      <c r="BL168" s="3">
        <f>COUNTIFS(B168:G168, "&gt;=10", B168:G168, "&lt;=19")</f>
        <v>0</v>
      </c>
      <c r="BM168" s="3">
        <f>COUNTIFS(B168:G168, "&gt;=20", B168:G168, "&lt;=29")</f>
        <v>0</v>
      </c>
      <c r="BN168" s="3">
        <f>COUNTIFS(B168:G168, "&gt;=30", B168:G168, "&lt;=39")</f>
        <v>0</v>
      </c>
      <c r="BO168" s="3">
        <f>COUNTIFS(B168:G168, "&gt;=40", B168:G168, "&lt;=45")</f>
        <v>0</v>
      </c>
      <c r="BP168" s="28" t="e">
        <f>#REF!</f>
        <v>#REF!</v>
      </c>
      <c r="BQ168" s="28" t="e">
        <f>#REF!*2</f>
        <v>#REF!</v>
      </c>
      <c r="BR168" s="28" t="e">
        <f>#REF!</f>
        <v>#REF!</v>
      </c>
      <c r="BS168" s="28" t="e">
        <f>#REF!*2</f>
        <v>#REF!</v>
      </c>
      <c r="BT168" s="28" t="e">
        <f>#REF!</f>
        <v>#REF!</v>
      </c>
      <c r="BU168" s="28" t="e">
        <f>#REF!*2</f>
        <v>#REF!</v>
      </c>
      <c r="BV168" s="28" t="e">
        <f>#REF!</f>
        <v>#REF!</v>
      </c>
      <c r="BW168" s="28" t="e">
        <f>#REF!*2</f>
        <v>#REF!</v>
      </c>
      <c r="BX168" s="28" t="e">
        <f>#REF!</f>
        <v>#REF!</v>
      </c>
      <c r="BY168" s="28" t="e">
        <f>#REF!*2</f>
        <v>#REF!</v>
      </c>
      <c r="BZ168" s="28" t="e">
        <f>#REF!</f>
        <v>#REF!</v>
      </c>
      <c r="CA168" s="28" t="e">
        <f>#REF!*2</f>
        <v>#REF!</v>
      </c>
      <c r="CB168" s="9">
        <f>C168-B168</f>
        <v>0</v>
      </c>
      <c r="CC168" s="9">
        <f>D168-C168</f>
        <v>0</v>
      </c>
      <c r="CD168" s="9">
        <f>E168-D168</f>
        <v>0</v>
      </c>
      <c r="CE168" s="9">
        <f>F168-E168</f>
        <v>0</v>
      </c>
      <c r="CF168" s="9">
        <f>G168-F168</f>
        <v>0</v>
      </c>
      <c r="CG168" s="33"/>
      <c r="CH168" s="9">
        <f>C168-B168</f>
        <v>0</v>
      </c>
      <c r="CI168" s="9">
        <f>D168-C168</f>
        <v>0</v>
      </c>
      <c r="CJ168" s="9">
        <f>E168-D168</f>
        <v>0</v>
      </c>
      <c r="CK168" s="9">
        <f>F168-E168</f>
        <v>0</v>
      </c>
      <c r="CL168" s="9">
        <f>G168-F168</f>
        <v>0</v>
      </c>
      <c r="CM168" s="32"/>
      <c r="CN168" s="3">
        <f>IF(OR(CH168="",ISBLANK(CH168),CH168=0),0,IF(MOD(CH168,2)=1,1,2))</f>
        <v>0</v>
      </c>
      <c r="CO168" s="3">
        <f>IF(OR(CI168="",ISBLANK(CI168),CI168=0),0,IF(MOD(CI168,2)=1,1,2))</f>
        <v>0</v>
      </c>
      <c r="CP168" s="3">
        <f>IF(OR(CJ168="",ISBLANK(CJ168),CJ168=0),0,IF(MOD(CJ168,2)=1,1,2))</f>
        <v>0</v>
      </c>
      <c r="CQ168" s="3">
        <f>IF(OR(CK168="",ISBLANK(CK168),CK168=0),0,IF(MOD(CK168,2)=1,1,2))</f>
        <v>0</v>
      </c>
      <c r="CR168" s="3">
        <f>IF(OR(CL168="",ISBLANK(CL168),CL168=0),0,IF(MOD(CL168,2)=1,1,2))</f>
        <v>0</v>
      </c>
      <c r="CS168" s="31"/>
      <c r="CT168" s="3" cm="1">
        <f t="array" ref="CT168">SUMPRODUCT(--(MOD(CH168:CL168,2)=1))</f>
        <v>0</v>
      </c>
      <c r="CU168" s="3">
        <f>5-CT168</f>
        <v>5</v>
      </c>
      <c r="CV168" s="30"/>
      <c r="CW168" s="3" cm="1">
        <f t="array" ref="CW168">SUMPRODUCT(--(MOD(CH168:CL168,10)&gt;=1), --(MOD(CH168:CL168,10)&lt;=5))</f>
        <v>0</v>
      </c>
      <c r="CX168" s="3">
        <f>5-CW168</f>
        <v>5</v>
      </c>
      <c r="CY168" s="30"/>
      <c r="CZ168" s="3" cm="1">
        <f t="array" ref="CZ168">IFERROR(COUNT(_xlfn._xlws.FILTER(CH168:CL168, ISNUMBER(MATCH(CH168:CL168, {2,3,5,7,11,13,17,19,23,29,31,37,41,43}, 0)))), 0)</f>
        <v>0</v>
      </c>
      <c r="DA168" s="3" cm="1">
        <f t="array" ref="DA168">IFERROR(COUNT(_xlfn._xlws.FILTER(CH168:CL168, ISNUMBER(MATCH(CH168:CL168, {1,4,8,10,14,16,20,22,25,26,28,32,34,35,38,40,44}, 0)))), 0)</f>
        <v>0</v>
      </c>
      <c r="DB168" s="3" cm="1">
        <f t="array" ref="DB168">IFERROR(COUNT(_xlfn._xlws.FILTER(CH168:CL168, ISNUMBER(MATCH(CH168:CL168, {6,9,12,15,18,21,24,27,30,33,36,39,42,45}, 0)))), 0)</f>
        <v>0</v>
      </c>
      <c r="DC168" s="29"/>
      <c r="DD168" s="28" t="e">
        <f>#REF!</f>
        <v>#REF!</v>
      </c>
      <c r="DE168" s="28" t="e">
        <f>#REF!*2</f>
        <v>#REF!</v>
      </c>
      <c r="DF168" s="28" t="e">
        <f>#REF!</f>
        <v>#REF!</v>
      </c>
      <c r="DG168" s="28" t="e">
        <f>#REF!*2</f>
        <v>#REF!</v>
      </c>
      <c r="DH168" s="28" t="e">
        <f>#REF!</f>
        <v>#REF!</v>
      </c>
      <c r="DI168" s="28" t="e">
        <f>#REF!*2</f>
        <v>#REF!</v>
      </c>
      <c r="DJ168" s="28" t="e">
        <f>#REF!</f>
        <v>#REF!</v>
      </c>
      <c r="DK168" s="28" t="e">
        <f>#REF!*2</f>
        <v>#REF!</v>
      </c>
      <c r="DL168" s="28" t="e">
        <f>#REF!</f>
        <v>#REF!</v>
      </c>
      <c r="DM168" s="28" t="e">
        <f>#REF!*2</f>
        <v>#REF!</v>
      </c>
      <c r="DN168" s="27"/>
      <c r="DO168" s="26"/>
      <c r="DP168" s="26"/>
      <c r="DQ168" s="26"/>
      <c r="DR168" s="26"/>
      <c r="DS168" s="26"/>
      <c r="DT168" s="25"/>
    </row>
    <row r="169" spans="2:124" x14ac:dyDescent="0.3"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2"/>
      <c r="I169" s="3">
        <f>IF(OR(B169="",ISBLANK(B169),B169=0),0,IF(MOD(B169,2)=1,1,2))</f>
        <v>0</v>
      </c>
      <c r="J169" s="3">
        <f>IF(OR(C169="",ISBLANK(C169),C169=0),0,IF(MOD(C169,2)=1,1,2))</f>
        <v>0</v>
      </c>
      <c r="K169" s="3">
        <f>IF(OR(D169="",ISBLANK(D169),D169=0),0,IF(MOD(D169,2)=1,1,2))</f>
        <v>0</v>
      </c>
      <c r="L169" s="3">
        <f>IF(OR(E169="",ISBLANK(E169),E169=0),0,IF(MOD(E169,2)=1,1,2))</f>
        <v>0</v>
      </c>
      <c r="M169" s="3">
        <f>IF(OR(F169="",ISBLANK(F169),F169=0),0,IF(MOD(F169,2)=1,1,2))</f>
        <v>0</v>
      </c>
      <c r="N169" s="3">
        <f>IF(OR(G169="",ISBLANK(G169),G169=0),0,IF(MOD(G169,2)=1,1,2))</f>
        <v>0</v>
      </c>
      <c r="O169" s="32"/>
      <c r="P169" s="3" cm="1">
        <f t="array" ref="P169">SUMPRODUCT(--(MOD(B169:G169,2)=1))</f>
        <v>0</v>
      </c>
      <c r="Q169" s="3">
        <f>6-P169</f>
        <v>6</v>
      </c>
      <c r="R169" s="34"/>
      <c r="S169" s="3">
        <f>COUNTIFS(B169:G169,"&gt;=1",B169:G169,"&lt;=23")</f>
        <v>0</v>
      </c>
      <c r="T169" s="3">
        <f>6-S169</f>
        <v>6</v>
      </c>
      <c r="U169" s="34"/>
      <c r="V169" s="3" cm="1">
        <f t="array" ref="V169">SUMPRODUCT(--(MOD(B169:G169,10)&gt;=1), --(MOD(B169:G169,10)&lt;=5))</f>
        <v>0</v>
      </c>
      <c r="W169" s="3">
        <f>6-V169</f>
        <v>6</v>
      </c>
      <c r="X169" s="34"/>
      <c r="Y169" s="3" cm="1">
        <f t="array" ref="Y169">IFERROR(COUNT(_xlfn._xlws.FILTER(B169:G169, ISNUMBER(MATCH(B169:G169, {2,3,5,7,11,13,17,19,23,29,31,37,41,43}, 0)))), 0)</f>
        <v>0</v>
      </c>
      <c r="Z169" s="3" cm="1">
        <f t="array" ref="Z169">IFERROR(COUNT(_xlfn._xlws.FILTER(B169:G169, ISNUMBER(MATCH(B169:G169, {1,4,8,10,14,16,20,22,25,26,28,32,34,35,38,40,44}, 0)))), 0)</f>
        <v>0</v>
      </c>
      <c r="AA169" s="3" cm="1">
        <f t="array" ref="AA169">IFERROR(COUNT(_xlfn._xlws.FILTER(B169:G169, ISNUMBER(MATCH(B169:G169, {6,9,12,15,18,21,24,27,30,33,36,39,42,45}, 0)))), 0)</f>
        <v>0</v>
      </c>
      <c r="AB169" s="30"/>
      <c r="AC169" s="26" cm="1">
        <f t="array" ref="AC169">_xlfn.IFS(
   OR(B169="",ISBLANK(B169),B169=0),0,
   ISNUMBER(MATCH(B169,{2,3,5,7,11,13,17,19,23,29,31,37,41,43},0)),"소",
   AND(ISNUMBER(B169),MOD(B169,3)=0),"배",
   AND(ISNUMBER(B169),B169&gt;0),"자"
)</f>
        <v>0</v>
      </c>
      <c r="AD169" s="26" cm="1">
        <f t="array" ref="AD169">_xlfn.IFS(
   OR(C169="",ISBLANK(C169),C169=0),0,
   ISNUMBER(MATCH(C169,{2,3,5,7,11,13,17,19,23,29,31,37,41,43},0)),"소",
   AND(ISNUMBER(C169),MOD(C169,3)=0),"배",
   AND(ISNUMBER(C169),C169&gt;0),"자"
)</f>
        <v>0</v>
      </c>
      <c r="AE169" s="26" cm="1">
        <f t="array" ref="AE169">_xlfn.IFS(
   OR(D169="",ISBLANK(D169),D169=0),0,
   ISNUMBER(MATCH(D169,{2,3,5,7,11,13,17,19,23,29,31,37,41,43},0)),"소",
   AND(ISNUMBER(D169),MOD(D169,3)=0),"배",
   AND(ISNUMBER(D169),D169&gt;0),"자"
)</f>
        <v>0</v>
      </c>
      <c r="AF169" s="26" cm="1">
        <f t="array" ref="AF169">_xlfn.IFS(
   OR(E169="",ISBLANK(E169),E169=0),0,
   ISNUMBER(MATCH(E169,{2,3,5,7,11,13,17,19,23,29,31,37,41,43},0)),"소",
   AND(ISNUMBER(E169),MOD(E169,3)=0),"배",
   AND(ISNUMBER(E169),E169&gt;0),"자"
)</f>
        <v>0</v>
      </c>
      <c r="AG169" s="26" cm="1">
        <f t="array" ref="AG169">_xlfn.IFS(
   OR(F169="",ISBLANK(F169),F169=0),0,
   ISNUMBER(MATCH(F169,{2,3,5,7,11,13,17,19,23,29,31,37,41,43},0)),"소",
   AND(ISNUMBER(F169),MOD(F169,3)=0),"배",
   AND(ISNUMBER(F169),F169&gt;0),"자"
)</f>
        <v>0</v>
      </c>
      <c r="AH169" s="26" cm="1">
        <f t="array" ref="AH169">_xlfn.IFS(
   OR(G169="",ISBLANK(G169),G169=0),0,
   ISNUMBER(MATCH(G169,{2,3,5,7,11,13,17,19,23,29,31,37,41,43},0)),"소",
   AND(ISNUMBER(G169),MOD(G169,3)=0),"배",
   AND(ISNUMBER(G169),G169&gt;0),"자"
)</f>
        <v>0</v>
      </c>
      <c r="AI169" s="30"/>
      <c r="AJ169" s="3">
        <f>COUNTIFS(B169:G169,"&gt;=1",B169:G169,"&lt;=14")</f>
        <v>0</v>
      </c>
      <c r="AK169" s="3">
        <f>COUNTIFS(B169:G169,"&gt;=15",B169:G169,"&lt;=31")</f>
        <v>0</v>
      </c>
      <c r="AL169" s="3">
        <f>6-AK169-AJ169</f>
        <v>6</v>
      </c>
      <c r="AM169" s="33"/>
      <c r="AN169" s="3">
        <f>COUNTIFS($B169:$G169, "&gt;=1",$B169:$G169, "&lt;=9")</f>
        <v>0</v>
      </c>
      <c r="AO169" s="3">
        <f>COUNTIFS($B169:$G169, "&gt;=10",$B169:$G169, "&lt;=18")</f>
        <v>0</v>
      </c>
      <c r="AP169" s="3">
        <f>COUNTIFS($B169:$G169, "&gt;=19",$B169:$G169, "&lt;=27")</f>
        <v>0</v>
      </c>
      <c r="AQ169" s="3">
        <f>COUNTIFS($B169:$G169, "&gt;=28",$B169:$G169, "&lt;=36")</f>
        <v>0</v>
      </c>
      <c r="AR169" s="3">
        <f>COUNTIFS($B169:$G169, "&gt;=37",$B169:$G169, "&lt;=45")</f>
        <v>0</v>
      </c>
      <c r="AS169" s="28" t="e">
        <f>#REF!</f>
        <v>#REF!</v>
      </c>
      <c r="AT169" s="28" t="e">
        <f>#REF!*2</f>
        <v>#REF!</v>
      </c>
      <c r="AU169" s="28" t="e">
        <f>#REF!</f>
        <v>#REF!</v>
      </c>
      <c r="AV169" s="28" t="e">
        <f>#REF!*2</f>
        <v>#REF!</v>
      </c>
      <c r="AW169" s="28" t="e">
        <f>#REF!</f>
        <v>#REF!</v>
      </c>
      <c r="AX169" s="28" t="e">
        <f>#REF!*2</f>
        <v>#REF!</v>
      </c>
      <c r="AY169" s="28" t="e">
        <f>#REF!</f>
        <v>#REF!</v>
      </c>
      <c r="AZ169" s="28" t="e">
        <f>#REF!*2</f>
        <v>#REF!</v>
      </c>
      <c r="BA169" s="28" t="e">
        <f>#REF!</f>
        <v>#REF!</v>
      </c>
      <c r="BB169" s="28" t="e">
        <f>#REF!*2</f>
        <v>#REF!</v>
      </c>
      <c r="BC169" s="28" t="e">
        <f>#REF!</f>
        <v>#REF!</v>
      </c>
      <c r="BD169" s="28" t="e">
        <f>#REF!*2</f>
        <v>#REF!</v>
      </c>
      <c r="BE169" s="9" t="e">
        <f>#REF!-#REF!</f>
        <v>#REF!</v>
      </c>
      <c r="BF169" s="9" t="e">
        <f>#REF!-#REF!</f>
        <v>#REF!</v>
      </c>
      <c r="BG169" s="9" t="e">
        <f>#REF!-#REF!</f>
        <v>#REF!</v>
      </c>
      <c r="BH169" s="9" t="e">
        <f>#REF!-#REF!</f>
        <v>#REF!</v>
      </c>
      <c r="BI169" s="9" t="e">
        <f>#REF!-#REF!</f>
        <v>#REF!</v>
      </c>
      <c r="BJ169" s="33"/>
      <c r="BK169" s="3">
        <f>COUNTIFS(B169:G169, "&gt;=1", B169:G169, "&lt;=9")</f>
        <v>0</v>
      </c>
      <c r="BL169" s="3">
        <f>COUNTIFS(B169:G169, "&gt;=10", B169:G169, "&lt;=19")</f>
        <v>0</v>
      </c>
      <c r="BM169" s="3">
        <f>COUNTIFS(B169:G169, "&gt;=20", B169:G169, "&lt;=29")</f>
        <v>0</v>
      </c>
      <c r="BN169" s="3">
        <f>COUNTIFS(B169:G169, "&gt;=30", B169:G169, "&lt;=39")</f>
        <v>0</v>
      </c>
      <c r="BO169" s="3">
        <f>COUNTIFS(B169:G169, "&gt;=40", B169:G169, "&lt;=45")</f>
        <v>0</v>
      </c>
      <c r="BP169" s="28" t="e">
        <f>#REF!</f>
        <v>#REF!</v>
      </c>
      <c r="BQ169" s="28" t="e">
        <f>#REF!*2</f>
        <v>#REF!</v>
      </c>
      <c r="BR169" s="28" t="e">
        <f>#REF!</f>
        <v>#REF!</v>
      </c>
      <c r="BS169" s="28" t="e">
        <f>#REF!*2</f>
        <v>#REF!</v>
      </c>
      <c r="BT169" s="28" t="e">
        <f>#REF!</f>
        <v>#REF!</v>
      </c>
      <c r="BU169" s="28" t="e">
        <f>#REF!*2</f>
        <v>#REF!</v>
      </c>
      <c r="BV169" s="28" t="e">
        <f>#REF!</f>
        <v>#REF!</v>
      </c>
      <c r="BW169" s="28" t="e">
        <f>#REF!*2</f>
        <v>#REF!</v>
      </c>
      <c r="BX169" s="28" t="e">
        <f>#REF!</f>
        <v>#REF!</v>
      </c>
      <c r="BY169" s="28" t="e">
        <f>#REF!*2</f>
        <v>#REF!</v>
      </c>
      <c r="BZ169" s="28" t="e">
        <f>#REF!</f>
        <v>#REF!</v>
      </c>
      <c r="CA169" s="28" t="e">
        <f>#REF!*2</f>
        <v>#REF!</v>
      </c>
      <c r="CB169" s="9">
        <f>C169-B169</f>
        <v>0</v>
      </c>
      <c r="CC169" s="9">
        <f>D169-C169</f>
        <v>0</v>
      </c>
      <c r="CD169" s="9">
        <f>E169-D169</f>
        <v>0</v>
      </c>
      <c r="CE169" s="9">
        <f>F169-E169</f>
        <v>0</v>
      </c>
      <c r="CF169" s="9">
        <f>G169-F169</f>
        <v>0</v>
      </c>
      <c r="CG169" s="33"/>
      <c r="CH169" s="9">
        <f>C169-B169</f>
        <v>0</v>
      </c>
      <c r="CI169" s="9">
        <f>D169-C169</f>
        <v>0</v>
      </c>
      <c r="CJ169" s="9">
        <f>E169-D169</f>
        <v>0</v>
      </c>
      <c r="CK169" s="9">
        <f>F169-E169</f>
        <v>0</v>
      </c>
      <c r="CL169" s="9">
        <f>G169-F169</f>
        <v>0</v>
      </c>
      <c r="CM169" s="32"/>
      <c r="CN169" s="3">
        <f>IF(OR(CH169="",ISBLANK(CH169),CH169=0),0,IF(MOD(CH169,2)=1,1,2))</f>
        <v>0</v>
      </c>
      <c r="CO169" s="3">
        <f>IF(OR(CI169="",ISBLANK(CI169),CI169=0),0,IF(MOD(CI169,2)=1,1,2))</f>
        <v>0</v>
      </c>
      <c r="CP169" s="3">
        <f>IF(OR(CJ169="",ISBLANK(CJ169),CJ169=0),0,IF(MOD(CJ169,2)=1,1,2))</f>
        <v>0</v>
      </c>
      <c r="CQ169" s="3">
        <f>IF(OR(CK169="",ISBLANK(CK169),CK169=0),0,IF(MOD(CK169,2)=1,1,2))</f>
        <v>0</v>
      </c>
      <c r="CR169" s="3">
        <f>IF(OR(CL169="",ISBLANK(CL169),CL169=0),0,IF(MOD(CL169,2)=1,1,2))</f>
        <v>0</v>
      </c>
      <c r="CS169" s="31"/>
      <c r="CT169" s="3" cm="1">
        <f t="array" ref="CT169">SUMPRODUCT(--(MOD(CH169:CL169,2)=1))</f>
        <v>0</v>
      </c>
      <c r="CU169" s="3">
        <f>5-CT169</f>
        <v>5</v>
      </c>
      <c r="CV169" s="30"/>
      <c r="CW169" s="3" cm="1">
        <f t="array" ref="CW169">SUMPRODUCT(--(MOD(CH169:CL169,10)&gt;=1), --(MOD(CH169:CL169,10)&lt;=5))</f>
        <v>0</v>
      </c>
      <c r="CX169" s="3">
        <f>5-CW169</f>
        <v>5</v>
      </c>
      <c r="CY169" s="30"/>
      <c r="CZ169" s="3" cm="1">
        <f t="array" ref="CZ169">IFERROR(COUNT(_xlfn._xlws.FILTER(CH169:CL169, ISNUMBER(MATCH(CH169:CL169, {2,3,5,7,11,13,17,19,23,29,31,37,41,43}, 0)))), 0)</f>
        <v>0</v>
      </c>
      <c r="DA169" s="3" cm="1">
        <f t="array" ref="DA169">IFERROR(COUNT(_xlfn._xlws.FILTER(CH169:CL169, ISNUMBER(MATCH(CH169:CL169, {1,4,8,10,14,16,20,22,25,26,28,32,34,35,38,40,44}, 0)))), 0)</f>
        <v>0</v>
      </c>
      <c r="DB169" s="3" cm="1">
        <f t="array" ref="DB169">IFERROR(COUNT(_xlfn._xlws.FILTER(CH169:CL169, ISNUMBER(MATCH(CH169:CL169, {6,9,12,15,18,21,24,27,30,33,36,39,42,45}, 0)))), 0)</f>
        <v>0</v>
      </c>
      <c r="DC169" s="29"/>
      <c r="DD169" s="28" t="e">
        <f>#REF!</f>
        <v>#REF!</v>
      </c>
      <c r="DE169" s="28" t="e">
        <f>#REF!*2</f>
        <v>#REF!</v>
      </c>
      <c r="DF169" s="28" t="e">
        <f>#REF!</f>
        <v>#REF!</v>
      </c>
      <c r="DG169" s="28" t="e">
        <f>#REF!*2</f>
        <v>#REF!</v>
      </c>
      <c r="DH169" s="28" t="e">
        <f>#REF!</f>
        <v>#REF!</v>
      </c>
      <c r="DI169" s="28" t="e">
        <f>#REF!*2</f>
        <v>#REF!</v>
      </c>
      <c r="DJ169" s="28" t="e">
        <f>#REF!</f>
        <v>#REF!</v>
      </c>
      <c r="DK169" s="28" t="e">
        <f>#REF!*2</f>
        <v>#REF!</v>
      </c>
      <c r="DL169" s="28" t="e">
        <f>#REF!</f>
        <v>#REF!</v>
      </c>
      <c r="DM169" s="28" t="e">
        <f>#REF!*2</f>
        <v>#REF!</v>
      </c>
      <c r="DN169" s="27"/>
      <c r="DO169" s="26"/>
      <c r="DP169" s="26"/>
      <c r="DQ169" s="26"/>
      <c r="DR169" s="26"/>
      <c r="DS169" s="26"/>
      <c r="DT169" s="25"/>
    </row>
    <row r="170" spans="2:124" x14ac:dyDescent="0.3"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2"/>
      <c r="I170" s="3">
        <f>IF(OR(B170="",ISBLANK(B170),B170=0),0,IF(MOD(B170,2)=1,1,2))</f>
        <v>0</v>
      </c>
      <c r="J170" s="3">
        <f>IF(OR(C170="",ISBLANK(C170),C170=0),0,IF(MOD(C170,2)=1,1,2))</f>
        <v>0</v>
      </c>
      <c r="K170" s="3">
        <f>IF(OR(D170="",ISBLANK(D170),D170=0),0,IF(MOD(D170,2)=1,1,2))</f>
        <v>0</v>
      </c>
      <c r="L170" s="3">
        <f>IF(OR(E170="",ISBLANK(E170),E170=0),0,IF(MOD(E170,2)=1,1,2))</f>
        <v>0</v>
      </c>
      <c r="M170" s="3">
        <f>IF(OR(F170="",ISBLANK(F170),F170=0),0,IF(MOD(F170,2)=1,1,2))</f>
        <v>0</v>
      </c>
      <c r="N170" s="3">
        <f>IF(OR(G170="",ISBLANK(G170),G170=0),0,IF(MOD(G170,2)=1,1,2))</f>
        <v>0</v>
      </c>
      <c r="O170" s="32"/>
      <c r="P170" s="3" cm="1">
        <f t="array" ref="P170">SUMPRODUCT(--(MOD(B170:G170,2)=1))</f>
        <v>0</v>
      </c>
      <c r="Q170" s="3">
        <f>6-P170</f>
        <v>6</v>
      </c>
      <c r="R170" s="34"/>
      <c r="S170" s="3">
        <f>COUNTIFS(B170:G170,"&gt;=1",B170:G170,"&lt;=23")</f>
        <v>0</v>
      </c>
      <c r="T170" s="3">
        <f>6-S170</f>
        <v>6</v>
      </c>
      <c r="U170" s="34"/>
      <c r="V170" s="3" cm="1">
        <f t="array" ref="V170">SUMPRODUCT(--(MOD(B170:G170,10)&gt;=1), --(MOD(B170:G170,10)&lt;=5))</f>
        <v>0</v>
      </c>
      <c r="W170" s="3">
        <f>6-V170</f>
        <v>6</v>
      </c>
      <c r="X170" s="34"/>
      <c r="Y170" s="3" cm="1">
        <f t="array" ref="Y170">IFERROR(COUNT(_xlfn._xlws.FILTER(B170:G170, ISNUMBER(MATCH(B170:G170, {2,3,5,7,11,13,17,19,23,29,31,37,41,43}, 0)))), 0)</f>
        <v>0</v>
      </c>
      <c r="Z170" s="3" cm="1">
        <f t="array" ref="Z170">IFERROR(COUNT(_xlfn._xlws.FILTER(B170:G170, ISNUMBER(MATCH(B170:G170, {1,4,8,10,14,16,20,22,25,26,28,32,34,35,38,40,44}, 0)))), 0)</f>
        <v>0</v>
      </c>
      <c r="AA170" s="3" cm="1">
        <f t="array" ref="AA170">IFERROR(COUNT(_xlfn._xlws.FILTER(B170:G170, ISNUMBER(MATCH(B170:G170, {6,9,12,15,18,21,24,27,30,33,36,39,42,45}, 0)))), 0)</f>
        <v>0</v>
      </c>
      <c r="AB170" s="30"/>
      <c r="AC170" s="26" cm="1">
        <f t="array" ref="AC170">_xlfn.IFS(
   OR(B170="",ISBLANK(B170),B170=0),0,
   ISNUMBER(MATCH(B170,{2,3,5,7,11,13,17,19,23,29,31,37,41,43},0)),"소",
   AND(ISNUMBER(B170),MOD(B170,3)=0),"배",
   AND(ISNUMBER(B170),B170&gt;0),"자"
)</f>
        <v>0</v>
      </c>
      <c r="AD170" s="26" cm="1">
        <f t="array" ref="AD170">_xlfn.IFS(
   OR(C170="",ISBLANK(C170),C170=0),0,
   ISNUMBER(MATCH(C170,{2,3,5,7,11,13,17,19,23,29,31,37,41,43},0)),"소",
   AND(ISNUMBER(C170),MOD(C170,3)=0),"배",
   AND(ISNUMBER(C170),C170&gt;0),"자"
)</f>
        <v>0</v>
      </c>
      <c r="AE170" s="26" cm="1">
        <f t="array" ref="AE170">_xlfn.IFS(
   OR(D170="",ISBLANK(D170),D170=0),0,
   ISNUMBER(MATCH(D170,{2,3,5,7,11,13,17,19,23,29,31,37,41,43},0)),"소",
   AND(ISNUMBER(D170),MOD(D170,3)=0),"배",
   AND(ISNUMBER(D170),D170&gt;0),"자"
)</f>
        <v>0</v>
      </c>
      <c r="AF170" s="26" cm="1">
        <f t="array" ref="AF170">_xlfn.IFS(
   OR(E170="",ISBLANK(E170),E170=0),0,
   ISNUMBER(MATCH(E170,{2,3,5,7,11,13,17,19,23,29,31,37,41,43},0)),"소",
   AND(ISNUMBER(E170),MOD(E170,3)=0),"배",
   AND(ISNUMBER(E170),E170&gt;0),"자"
)</f>
        <v>0</v>
      </c>
      <c r="AG170" s="26" cm="1">
        <f t="array" ref="AG170">_xlfn.IFS(
   OR(F170="",ISBLANK(F170),F170=0),0,
   ISNUMBER(MATCH(F170,{2,3,5,7,11,13,17,19,23,29,31,37,41,43},0)),"소",
   AND(ISNUMBER(F170),MOD(F170,3)=0),"배",
   AND(ISNUMBER(F170),F170&gt;0),"자"
)</f>
        <v>0</v>
      </c>
      <c r="AH170" s="26" cm="1">
        <f t="array" ref="AH170">_xlfn.IFS(
   OR(G170="",ISBLANK(G170),G170=0),0,
   ISNUMBER(MATCH(G170,{2,3,5,7,11,13,17,19,23,29,31,37,41,43},0)),"소",
   AND(ISNUMBER(G170),MOD(G170,3)=0),"배",
   AND(ISNUMBER(G170),G170&gt;0),"자"
)</f>
        <v>0</v>
      </c>
      <c r="AI170" s="30"/>
      <c r="AJ170" s="3">
        <f>COUNTIFS(B170:G170,"&gt;=1",B170:G170,"&lt;=14")</f>
        <v>0</v>
      </c>
      <c r="AK170" s="3">
        <f>COUNTIFS(B170:G170,"&gt;=15",B170:G170,"&lt;=31")</f>
        <v>0</v>
      </c>
      <c r="AL170" s="3">
        <f>6-AK170-AJ170</f>
        <v>6</v>
      </c>
      <c r="AM170" s="33"/>
      <c r="AN170" s="3">
        <f>COUNTIFS($B170:$G170, "&gt;=1",$B170:$G170, "&lt;=9")</f>
        <v>0</v>
      </c>
      <c r="AO170" s="3">
        <f>COUNTIFS($B170:$G170, "&gt;=10",$B170:$G170, "&lt;=18")</f>
        <v>0</v>
      </c>
      <c r="AP170" s="3">
        <f>COUNTIFS($B170:$G170, "&gt;=19",$B170:$G170, "&lt;=27")</f>
        <v>0</v>
      </c>
      <c r="AQ170" s="3">
        <f>COUNTIFS($B170:$G170, "&gt;=28",$B170:$G170, "&lt;=36")</f>
        <v>0</v>
      </c>
      <c r="AR170" s="3">
        <f>COUNTIFS($B170:$G170, "&gt;=37",$B170:$G170, "&lt;=45")</f>
        <v>0</v>
      </c>
      <c r="AS170" s="28" t="e">
        <f>#REF!</f>
        <v>#REF!</v>
      </c>
      <c r="AT170" s="28" t="e">
        <f>#REF!*2</f>
        <v>#REF!</v>
      </c>
      <c r="AU170" s="28" t="e">
        <f>#REF!</f>
        <v>#REF!</v>
      </c>
      <c r="AV170" s="28" t="e">
        <f>#REF!*2</f>
        <v>#REF!</v>
      </c>
      <c r="AW170" s="28" t="e">
        <f>#REF!</f>
        <v>#REF!</v>
      </c>
      <c r="AX170" s="28" t="e">
        <f>#REF!*2</f>
        <v>#REF!</v>
      </c>
      <c r="AY170" s="28" t="e">
        <f>#REF!</f>
        <v>#REF!</v>
      </c>
      <c r="AZ170" s="28" t="e">
        <f>#REF!*2</f>
        <v>#REF!</v>
      </c>
      <c r="BA170" s="28" t="e">
        <f>#REF!</f>
        <v>#REF!</v>
      </c>
      <c r="BB170" s="28" t="e">
        <f>#REF!*2</f>
        <v>#REF!</v>
      </c>
      <c r="BC170" s="28" t="e">
        <f>#REF!</f>
        <v>#REF!</v>
      </c>
      <c r="BD170" s="28" t="e">
        <f>#REF!*2</f>
        <v>#REF!</v>
      </c>
      <c r="BE170" s="9" t="e">
        <f>#REF!-#REF!</f>
        <v>#REF!</v>
      </c>
      <c r="BF170" s="9" t="e">
        <f>#REF!-#REF!</f>
        <v>#REF!</v>
      </c>
      <c r="BG170" s="9" t="e">
        <f>#REF!-#REF!</f>
        <v>#REF!</v>
      </c>
      <c r="BH170" s="9" t="e">
        <f>#REF!-#REF!</f>
        <v>#REF!</v>
      </c>
      <c r="BI170" s="9" t="e">
        <f>#REF!-#REF!</f>
        <v>#REF!</v>
      </c>
      <c r="BJ170" s="33"/>
      <c r="BK170" s="3">
        <f>COUNTIFS(B170:G170, "&gt;=1", B170:G170, "&lt;=9")</f>
        <v>0</v>
      </c>
      <c r="BL170" s="3">
        <f>COUNTIFS(B170:G170, "&gt;=10", B170:G170, "&lt;=19")</f>
        <v>0</v>
      </c>
      <c r="BM170" s="3">
        <f>COUNTIFS(B170:G170, "&gt;=20", B170:G170, "&lt;=29")</f>
        <v>0</v>
      </c>
      <c r="BN170" s="3">
        <f>COUNTIFS(B170:G170, "&gt;=30", B170:G170, "&lt;=39")</f>
        <v>0</v>
      </c>
      <c r="BO170" s="3">
        <f>COUNTIFS(B170:G170, "&gt;=40", B170:G170, "&lt;=45")</f>
        <v>0</v>
      </c>
      <c r="BP170" s="28" t="e">
        <f>#REF!</f>
        <v>#REF!</v>
      </c>
      <c r="BQ170" s="28" t="e">
        <f>#REF!*2</f>
        <v>#REF!</v>
      </c>
      <c r="BR170" s="28" t="e">
        <f>#REF!</f>
        <v>#REF!</v>
      </c>
      <c r="BS170" s="28" t="e">
        <f>#REF!*2</f>
        <v>#REF!</v>
      </c>
      <c r="BT170" s="28" t="e">
        <f>#REF!</f>
        <v>#REF!</v>
      </c>
      <c r="BU170" s="28" t="e">
        <f>#REF!*2</f>
        <v>#REF!</v>
      </c>
      <c r="BV170" s="28" t="e">
        <f>#REF!</f>
        <v>#REF!</v>
      </c>
      <c r="BW170" s="28" t="e">
        <f>#REF!*2</f>
        <v>#REF!</v>
      </c>
      <c r="BX170" s="28" t="e">
        <f>#REF!</f>
        <v>#REF!</v>
      </c>
      <c r="BY170" s="28" t="e">
        <f>#REF!*2</f>
        <v>#REF!</v>
      </c>
      <c r="BZ170" s="28" t="e">
        <f>#REF!</f>
        <v>#REF!</v>
      </c>
      <c r="CA170" s="28" t="e">
        <f>#REF!*2</f>
        <v>#REF!</v>
      </c>
      <c r="CB170" s="9">
        <f>C170-B170</f>
        <v>0</v>
      </c>
      <c r="CC170" s="9">
        <f>D170-C170</f>
        <v>0</v>
      </c>
      <c r="CD170" s="9">
        <f>E170-D170</f>
        <v>0</v>
      </c>
      <c r="CE170" s="9">
        <f>F170-E170</f>
        <v>0</v>
      </c>
      <c r="CF170" s="9">
        <f>G170-F170</f>
        <v>0</v>
      </c>
      <c r="CG170" s="33"/>
      <c r="CH170" s="9">
        <f>C170-B170</f>
        <v>0</v>
      </c>
      <c r="CI170" s="9">
        <f>D170-C170</f>
        <v>0</v>
      </c>
      <c r="CJ170" s="9">
        <f>E170-D170</f>
        <v>0</v>
      </c>
      <c r="CK170" s="9">
        <f>F170-E170</f>
        <v>0</v>
      </c>
      <c r="CL170" s="9">
        <f>G170-F170</f>
        <v>0</v>
      </c>
      <c r="CM170" s="32"/>
      <c r="CN170" s="3">
        <f>IF(OR(CH170="",ISBLANK(CH170),CH170=0),0,IF(MOD(CH170,2)=1,1,2))</f>
        <v>0</v>
      </c>
      <c r="CO170" s="3">
        <f>IF(OR(CI170="",ISBLANK(CI170),CI170=0),0,IF(MOD(CI170,2)=1,1,2))</f>
        <v>0</v>
      </c>
      <c r="CP170" s="3">
        <f>IF(OR(CJ170="",ISBLANK(CJ170),CJ170=0),0,IF(MOD(CJ170,2)=1,1,2))</f>
        <v>0</v>
      </c>
      <c r="CQ170" s="3">
        <f>IF(OR(CK170="",ISBLANK(CK170),CK170=0),0,IF(MOD(CK170,2)=1,1,2))</f>
        <v>0</v>
      </c>
      <c r="CR170" s="3">
        <f>IF(OR(CL170="",ISBLANK(CL170),CL170=0),0,IF(MOD(CL170,2)=1,1,2))</f>
        <v>0</v>
      </c>
      <c r="CS170" s="31"/>
      <c r="CT170" s="3" cm="1">
        <f t="array" ref="CT170">SUMPRODUCT(--(MOD(CH170:CL170,2)=1))</f>
        <v>0</v>
      </c>
      <c r="CU170" s="3">
        <f>5-CT170</f>
        <v>5</v>
      </c>
      <c r="CV170" s="30"/>
      <c r="CW170" s="3" cm="1">
        <f t="array" ref="CW170">SUMPRODUCT(--(MOD(CH170:CL170,10)&gt;=1), --(MOD(CH170:CL170,10)&lt;=5))</f>
        <v>0</v>
      </c>
      <c r="CX170" s="3">
        <f>5-CW170</f>
        <v>5</v>
      </c>
      <c r="CY170" s="30"/>
      <c r="CZ170" s="3" cm="1">
        <f t="array" ref="CZ170">IFERROR(COUNT(_xlfn._xlws.FILTER(CH170:CL170, ISNUMBER(MATCH(CH170:CL170, {2,3,5,7,11,13,17,19,23,29,31,37,41,43}, 0)))), 0)</f>
        <v>0</v>
      </c>
      <c r="DA170" s="3" cm="1">
        <f t="array" ref="DA170">IFERROR(COUNT(_xlfn._xlws.FILTER(CH170:CL170, ISNUMBER(MATCH(CH170:CL170, {1,4,8,10,14,16,20,22,25,26,28,32,34,35,38,40,44}, 0)))), 0)</f>
        <v>0</v>
      </c>
      <c r="DB170" s="3" cm="1">
        <f t="array" ref="DB170">IFERROR(COUNT(_xlfn._xlws.FILTER(CH170:CL170, ISNUMBER(MATCH(CH170:CL170, {6,9,12,15,18,21,24,27,30,33,36,39,42,45}, 0)))), 0)</f>
        <v>0</v>
      </c>
      <c r="DC170" s="29"/>
      <c r="DD170" s="28" t="e">
        <f>#REF!</f>
        <v>#REF!</v>
      </c>
      <c r="DE170" s="28" t="e">
        <f>#REF!*2</f>
        <v>#REF!</v>
      </c>
      <c r="DF170" s="28" t="e">
        <f>#REF!</f>
        <v>#REF!</v>
      </c>
      <c r="DG170" s="28" t="e">
        <f>#REF!*2</f>
        <v>#REF!</v>
      </c>
      <c r="DH170" s="28" t="e">
        <f>#REF!</f>
        <v>#REF!</v>
      </c>
      <c r="DI170" s="28" t="e">
        <f>#REF!*2</f>
        <v>#REF!</v>
      </c>
      <c r="DJ170" s="28" t="e">
        <f>#REF!</f>
        <v>#REF!</v>
      </c>
      <c r="DK170" s="28" t="e">
        <f>#REF!*2</f>
        <v>#REF!</v>
      </c>
      <c r="DL170" s="28" t="e">
        <f>#REF!</f>
        <v>#REF!</v>
      </c>
      <c r="DM170" s="28" t="e">
        <f>#REF!*2</f>
        <v>#REF!</v>
      </c>
      <c r="DN170" s="27"/>
      <c r="DO170" s="26"/>
      <c r="DP170" s="26"/>
      <c r="DQ170" s="26"/>
      <c r="DR170" s="26"/>
      <c r="DS170" s="26"/>
      <c r="DT170" s="25"/>
    </row>
    <row r="171" spans="2:124" x14ac:dyDescent="0.3"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2"/>
      <c r="I171" s="3">
        <f>IF(OR(B171="",ISBLANK(B171),B171=0),0,IF(MOD(B171,2)=1,1,2))</f>
        <v>0</v>
      </c>
      <c r="J171" s="3">
        <f>IF(OR(C171="",ISBLANK(C171),C171=0),0,IF(MOD(C171,2)=1,1,2))</f>
        <v>0</v>
      </c>
      <c r="K171" s="3">
        <f>IF(OR(D171="",ISBLANK(D171),D171=0),0,IF(MOD(D171,2)=1,1,2))</f>
        <v>0</v>
      </c>
      <c r="L171" s="3">
        <f>IF(OR(E171="",ISBLANK(E171),E171=0),0,IF(MOD(E171,2)=1,1,2))</f>
        <v>0</v>
      </c>
      <c r="M171" s="3">
        <f>IF(OR(F171="",ISBLANK(F171),F171=0),0,IF(MOD(F171,2)=1,1,2))</f>
        <v>0</v>
      </c>
      <c r="N171" s="3">
        <f>IF(OR(G171="",ISBLANK(G171),G171=0),0,IF(MOD(G171,2)=1,1,2))</f>
        <v>0</v>
      </c>
      <c r="O171" s="32"/>
      <c r="P171" s="3" cm="1">
        <f t="array" ref="P171">SUMPRODUCT(--(MOD(B171:G171,2)=1))</f>
        <v>0</v>
      </c>
      <c r="Q171" s="3">
        <f>6-P171</f>
        <v>6</v>
      </c>
      <c r="R171" s="34"/>
      <c r="S171" s="3">
        <f>COUNTIFS(B171:G171,"&gt;=1",B171:G171,"&lt;=23")</f>
        <v>0</v>
      </c>
      <c r="T171" s="3">
        <f>6-S171</f>
        <v>6</v>
      </c>
      <c r="U171" s="34"/>
      <c r="V171" s="3" cm="1">
        <f t="array" ref="V171">SUMPRODUCT(--(MOD(B171:G171,10)&gt;=1), --(MOD(B171:G171,10)&lt;=5))</f>
        <v>0</v>
      </c>
      <c r="W171" s="3">
        <f>6-V171</f>
        <v>6</v>
      </c>
      <c r="X171" s="34"/>
      <c r="Y171" s="3" cm="1">
        <f t="array" ref="Y171">IFERROR(COUNT(_xlfn._xlws.FILTER(B171:G171, ISNUMBER(MATCH(B171:G171, {2,3,5,7,11,13,17,19,23,29,31,37,41,43}, 0)))), 0)</f>
        <v>0</v>
      </c>
      <c r="Z171" s="3" cm="1">
        <f t="array" ref="Z171">IFERROR(COUNT(_xlfn._xlws.FILTER(B171:G171, ISNUMBER(MATCH(B171:G171, {1,4,8,10,14,16,20,22,25,26,28,32,34,35,38,40,44}, 0)))), 0)</f>
        <v>0</v>
      </c>
      <c r="AA171" s="3" cm="1">
        <f t="array" ref="AA171">IFERROR(COUNT(_xlfn._xlws.FILTER(B171:G171, ISNUMBER(MATCH(B171:G171, {6,9,12,15,18,21,24,27,30,33,36,39,42,45}, 0)))), 0)</f>
        <v>0</v>
      </c>
      <c r="AB171" s="30"/>
      <c r="AC171" s="26" cm="1">
        <f t="array" ref="AC171">_xlfn.IFS(
   OR(B171="",ISBLANK(B171),B171=0),0,
   ISNUMBER(MATCH(B171,{2,3,5,7,11,13,17,19,23,29,31,37,41,43},0)),"소",
   AND(ISNUMBER(B171),MOD(B171,3)=0),"배",
   AND(ISNUMBER(B171),B171&gt;0),"자"
)</f>
        <v>0</v>
      </c>
      <c r="AD171" s="26" cm="1">
        <f t="array" ref="AD171">_xlfn.IFS(
   OR(C171="",ISBLANK(C171),C171=0),0,
   ISNUMBER(MATCH(C171,{2,3,5,7,11,13,17,19,23,29,31,37,41,43},0)),"소",
   AND(ISNUMBER(C171),MOD(C171,3)=0),"배",
   AND(ISNUMBER(C171),C171&gt;0),"자"
)</f>
        <v>0</v>
      </c>
      <c r="AE171" s="26" cm="1">
        <f t="array" ref="AE171">_xlfn.IFS(
   OR(D171="",ISBLANK(D171),D171=0),0,
   ISNUMBER(MATCH(D171,{2,3,5,7,11,13,17,19,23,29,31,37,41,43},0)),"소",
   AND(ISNUMBER(D171),MOD(D171,3)=0),"배",
   AND(ISNUMBER(D171),D171&gt;0),"자"
)</f>
        <v>0</v>
      </c>
      <c r="AF171" s="26" cm="1">
        <f t="array" ref="AF171">_xlfn.IFS(
   OR(E171="",ISBLANK(E171),E171=0),0,
   ISNUMBER(MATCH(E171,{2,3,5,7,11,13,17,19,23,29,31,37,41,43},0)),"소",
   AND(ISNUMBER(E171),MOD(E171,3)=0),"배",
   AND(ISNUMBER(E171),E171&gt;0),"자"
)</f>
        <v>0</v>
      </c>
      <c r="AG171" s="26" cm="1">
        <f t="array" ref="AG171">_xlfn.IFS(
   OR(F171="",ISBLANK(F171),F171=0),0,
   ISNUMBER(MATCH(F171,{2,3,5,7,11,13,17,19,23,29,31,37,41,43},0)),"소",
   AND(ISNUMBER(F171),MOD(F171,3)=0),"배",
   AND(ISNUMBER(F171),F171&gt;0),"자"
)</f>
        <v>0</v>
      </c>
      <c r="AH171" s="26" cm="1">
        <f t="array" ref="AH171">_xlfn.IFS(
   OR(G171="",ISBLANK(G171),G171=0),0,
   ISNUMBER(MATCH(G171,{2,3,5,7,11,13,17,19,23,29,31,37,41,43},0)),"소",
   AND(ISNUMBER(G171),MOD(G171,3)=0),"배",
   AND(ISNUMBER(G171),G171&gt;0),"자"
)</f>
        <v>0</v>
      </c>
      <c r="AI171" s="30"/>
      <c r="AJ171" s="3">
        <f>COUNTIFS(B171:G171,"&gt;=1",B171:G171,"&lt;=14")</f>
        <v>0</v>
      </c>
      <c r="AK171" s="3">
        <f>COUNTIFS(B171:G171,"&gt;=15",B171:G171,"&lt;=31")</f>
        <v>0</v>
      </c>
      <c r="AL171" s="3">
        <f>6-AK171-AJ171</f>
        <v>6</v>
      </c>
      <c r="AM171" s="33"/>
      <c r="AN171" s="3">
        <f>COUNTIFS($B171:$G171, "&gt;=1",$B171:$G171, "&lt;=9")</f>
        <v>0</v>
      </c>
      <c r="AO171" s="3">
        <f>COUNTIFS($B171:$G171, "&gt;=10",$B171:$G171, "&lt;=18")</f>
        <v>0</v>
      </c>
      <c r="AP171" s="3">
        <f>COUNTIFS($B171:$G171, "&gt;=19",$B171:$G171, "&lt;=27")</f>
        <v>0</v>
      </c>
      <c r="AQ171" s="3">
        <f>COUNTIFS($B171:$G171, "&gt;=28",$B171:$G171, "&lt;=36")</f>
        <v>0</v>
      </c>
      <c r="AR171" s="3">
        <f>COUNTIFS($B171:$G171, "&gt;=37",$B171:$G171, "&lt;=45")</f>
        <v>0</v>
      </c>
      <c r="AS171" s="28" t="e">
        <f>#REF!</f>
        <v>#REF!</v>
      </c>
      <c r="AT171" s="28" t="e">
        <f>#REF!*2</f>
        <v>#REF!</v>
      </c>
      <c r="AU171" s="28" t="e">
        <f>#REF!</f>
        <v>#REF!</v>
      </c>
      <c r="AV171" s="28" t="e">
        <f>#REF!*2</f>
        <v>#REF!</v>
      </c>
      <c r="AW171" s="28" t="e">
        <f>#REF!</f>
        <v>#REF!</v>
      </c>
      <c r="AX171" s="28" t="e">
        <f>#REF!*2</f>
        <v>#REF!</v>
      </c>
      <c r="AY171" s="28" t="e">
        <f>#REF!</f>
        <v>#REF!</v>
      </c>
      <c r="AZ171" s="28" t="e">
        <f>#REF!*2</f>
        <v>#REF!</v>
      </c>
      <c r="BA171" s="28" t="e">
        <f>#REF!</f>
        <v>#REF!</v>
      </c>
      <c r="BB171" s="28" t="e">
        <f>#REF!*2</f>
        <v>#REF!</v>
      </c>
      <c r="BC171" s="28" t="e">
        <f>#REF!</f>
        <v>#REF!</v>
      </c>
      <c r="BD171" s="28" t="e">
        <f>#REF!*2</f>
        <v>#REF!</v>
      </c>
      <c r="BE171" s="9" t="e">
        <f>#REF!-#REF!</f>
        <v>#REF!</v>
      </c>
      <c r="BF171" s="9" t="e">
        <f>#REF!-#REF!</f>
        <v>#REF!</v>
      </c>
      <c r="BG171" s="9" t="e">
        <f>#REF!-#REF!</f>
        <v>#REF!</v>
      </c>
      <c r="BH171" s="9" t="e">
        <f>#REF!-#REF!</f>
        <v>#REF!</v>
      </c>
      <c r="BI171" s="9" t="e">
        <f>#REF!-#REF!</f>
        <v>#REF!</v>
      </c>
      <c r="BJ171" s="33"/>
      <c r="BK171" s="3">
        <f>COUNTIFS(B171:G171, "&gt;=1", B171:G171, "&lt;=9")</f>
        <v>0</v>
      </c>
      <c r="BL171" s="3">
        <f>COUNTIFS(B171:G171, "&gt;=10", B171:G171, "&lt;=19")</f>
        <v>0</v>
      </c>
      <c r="BM171" s="3">
        <f>COUNTIFS(B171:G171, "&gt;=20", B171:G171, "&lt;=29")</f>
        <v>0</v>
      </c>
      <c r="BN171" s="3">
        <f>COUNTIFS(B171:G171, "&gt;=30", B171:G171, "&lt;=39")</f>
        <v>0</v>
      </c>
      <c r="BO171" s="3">
        <f>COUNTIFS(B171:G171, "&gt;=40", B171:G171, "&lt;=45")</f>
        <v>0</v>
      </c>
      <c r="BP171" s="28" t="e">
        <f>#REF!</f>
        <v>#REF!</v>
      </c>
      <c r="BQ171" s="28" t="e">
        <f>#REF!*2</f>
        <v>#REF!</v>
      </c>
      <c r="BR171" s="28" t="e">
        <f>#REF!</f>
        <v>#REF!</v>
      </c>
      <c r="BS171" s="28" t="e">
        <f>#REF!*2</f>
        <v>#REF!</v>
      </c>
      <c r="BT171" s="28" t="e">
        <f>#REF!</f>
        <v>#REF!</v>
      </c>
      <c r="BU171" s="28" t="e">
        <f>#REF!*2</f>
        <v>#REF!</v>
      </c>
      <c r="BV171" s="28" t="e">
        <f>#REF!</f>
        <v>#REF!</v>
      </c>
      <c r="BW171" s="28" t="e">
        <f>#REF!*2</f>
        <v>#REF!</v>
      </c>
      <c r="BX171" s="28" t="e">
        <f>#REF!</f>
        <v>#REF!</v>
      </c>
      <c r="BY171" s="28" t="e">
        <f>#REF!*2</f>
        <v>#REF!</v>
      </c>
      <c r="BZ171" s="28" t="e">
        <f>#REF!</f>
        <v>#REF!</v>
      </c>
      <c r="CA171" s="28" t="e">
        <f>#REF!*2</f>
        <v>#REF!</v>
      </c>
      <c r="CB171" s="9">
        <f>C171-B171</f>
        <v>0</v>
      </c>
      <c r="CC171" s="9">
        <f>D171-C171</f>
        <v>0</v>
      </c>
      <c r="CD171" s="9">
        <f>E171-D171</f>
        <v>0</v>
      </c>
      <c r="CE171" s="9">
        <f>F171-E171</f>
        <v>0</v>
      </c>
      <c r="CF171" s="9">
        <f>G171-F171</f>
        <v>0</v>
      </c>
      <c r="CG171" s="33"/>
      <c r="CH171" s="9">
        <f>C171-B171</f>
        <v>0</v>
      </c>
      <c r="CI171" s="9">
        <f>D171-C171</f>
        <v>0</v>
      </c>
      <c r="CJ171" s="9">
        <f>E171-D171</f>
        <v>0</v>
      </c>
      <c r="CK171" s="9">
        <f>F171-E171</f>
        <v>0</v>
      </c>
      <c r="CL171" s="9">
        <f>G171-F171</f>
        <v>0</v>
      </c>
      <c r="CM171" s="32"/>
      <c r="CN171" s="3">
        <f>IF(OR(CH171="",ISBLANK(CH171),CH171=0),0,IF(MOD(CH171,2)=1,1,2))</f>
        <v>0</v>
      </c>
      <c r="CO171" s="3">
        <f>IF(OR(CI171="",ISBLANK(CI171),CI171=0),0,IF(MOD(CI171,2)=1,1,2))</f>
        <v>0</v>
      </c>
      <c r="CP171" s="3">
        <f>IF(OR(CJ171="",ISBLANK(CJ171),CJ171=0),0,IF(MOD(CJ171,2)=1,1,2))</f>
        <v>0</v>
      </c>
      <c r="CQ171" s="3">
        <f>IF(OR(CK171="",ISBLANK(CK171),CK171=0),0,IF(MOD(CK171,2)=1,1,2))</f>
        <v>0</v>
      </c>
      <c r="CR171" s="3">
        <f>IF(OR(CL171="",ISBLANK(CL171),CL171=0),0,IF(MOD(CL171,2)=1,1,2))</f>
        <v>0</v>
      </c>
      <c r="CS171" s="31"/>
      <c r="CT171" s="3" cm="1">
        <f t="array" ref="CT171">SUMPRODUCT(--(MOD(CH171:CL171,2)=1))</f>
        <v>0</v>
      </c>
      <c r="CU171" s="3">
        <f>5-CT171</f>
        <v>5</v>
      </c>
      <c r="CV171" s="30"/>
      <c r="CW171" s="3" cm="1">
        <f t="array" ref="CW171">SUMPRODUCT(--(MOD(CH171:CL171,10)&gt;=1), --(MOD(CH171:CL171,10)&lt;=5))</f>
        <v>0</v>
      </c>
      <c r="CX171" s="3">
        <f>5-CW171</f>
        <v>5</v>
      </c>
      <c r="CY171" s="30"/>
      <c r="CZ171" s="3" cm="1">
        <f t="array" ref="CZ171">IFERROR(COUNT(_xlfn._xlws.FILTER(CH171:CL171, ISNUMBER(MATCH(CH171:CL171, {2,3,5,7,11,13,17,19,23,29,31,37,41,43}, 0)))), 0)</f>
        <v>0</v>
      </c>
      <c r="DA171" s="3" cm="1">
        <f t="array" ref="DA171">IFERROR(COUNT(_xlfn._xlws.FILTER(CH171:CL171, ISNUMBER(MATCH(CH171:CL171, {1,4,8,10,14,16,20,22,25,26,28,32,34,35,38,40,44}, 0)))), 0)</f>
        <v>0</v>
      </c>
      <c r="DB171" s="3" cm="1">
        <f t="array" ref="DB171">IFERROR(COUNT(_xlfn._xlws.FILTER(CH171:CL171, ISNUMBER(MATCH(CH171:CL171, {6,9,12,15,18,21,24,27,30,33,36,39,42,45}, 0)))), 0)</f>
        <v>0</v>
      </c>
      <c r="DC171" s="29"/>
      <c r="DD171" s="28" t="e">
        <f>#REF!</f>
        <v>#REF!</v>
      </c>
      <c r="DE171" s="28" t="e">
        <f>#REF!*2</f>
        <v>#REF!</v>
      </c>
      <c r="DF171" s="28" t="e">
        <f>#REF!</f>
        <v>#REF!</v>
      </c>
      <c r="DG171" s="28" t="e">
        <f>#REF!*2</f>
        <v>#REF!</v>
      </c>
      <c r="DH171" s="28" t="e">
        <f>#REF!</f>
        <v>#REF!</v>
      </c>
      <c r="DI171" s="28" t="e">
        <f>#REF!*2</f>
        <v>#REF!</v>
      </c>
      <c r="DJ171" s="28" t="e">
        <f>#REF!</f>
        <v>#REF!</v>
      </c>
      <c r="DK171" s="28" t="e">
        <f>#REF!*2</f>
        <v>#REF!</v>
      </c>
      <c r="DL171" s="28" t="e">
        <f>#REF!</f>
        <v>#REF!</v>
      </c>
      <c r="DM171" s="28" t="e">
        <f>#REF!*2</f>
        <v>#REF!</v>
      </c>
      <c r="DN171" s="27"/>
      <c r="DO171" s="26"/>
      <c r="DP171" s="26"/>
      <c r="DQ171" s="26"/>
      <c r="DR171" s="26"/>
      <c r="DS171" s="26"/>
      <c r="DT171" s="25"/>
    </row>
    <row r="172" spans="2:124" x14ac:dyDescent="0.3"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2"/>
      <c r="I172" s="3">
        <f>IF(OR(B172="",ISBLANK(B172),B172=0),0,IF(MOD(B172,2)=1,1,2))</f>
        <v>0</v>
      </c>
      <c r="J172" s="3">
        <f>IF(OR(C172="",ISBLANK(C172),C172=0),0,IF(MOD(C172,2)=1,1,2))</f>
        <v>0</v>
      </c>
      <c r="K172" s="3">
        <f>IF(OR(D172="",ISBLANK(D172),D172=0),0,IF(MOD(D172,2)=1,1,2))</f>
        <v>0</v>
      </c>
      <c r="L172" s="3">
        <f>IF(OR(E172="",ISBLANK(E172),E172=0),0,IF(MOD(E172,2)=1,1,2))</f>
        <v>0</v>
      </c>
      <c r="M172" s="3">
        <f>IF(OR(F172="",ISBLANK(F172),F172=0),0,IF(MOD(F172,2)=1,1,2))</f>
        <v>0</v>
      </c>
      <c r="N172" s="3">
        <f>IF(OR(G172="",ISBLANK(G172),G172=0),0,IF(MOD(G172,2)=1,1,2))</f>
        <v>0</v>
      </c>
      <c r="O172" s="32"/>
      <c r="P172" s="3" cm="1">
        <f t="array" ref="P172">SUMPRODUCT(--(MOD(B172:G172,2)=1))</f>
        <v>0</v>
      </c>
      <c r="Q172" s="3">
        <f>6-P172</f>
        <v>6</v>
      </c>
      <c r="R172" s="34"/>
      <c r="S172" s="3">
        <f>COUNTIFS(B172:G172,"&gt;=1",B172:G172,"&lt;=23")</f>
        <v>0</v>
      </c>
      <c r="T172" s="3">
        <f>6-S172</f>
        <v>6</v>
      </c>
      <c r="U172" s="34"/>
      <c r="V172" s="3" cm="1">
        <f t="array" ref="V172">SUMPRODUCT(--(MOD(B172:G172,10)&gt;=1), --(MOD(B172:G172,10)&lt;=5))</f>
        <v>0</v>
      </c>
      <c r="W172" s="3">
        <f>6-V172</f>
        <v>6</v>
      </c>
      <c r="X172" s="34"/>
      <c r="Y172" s="3" cm="1">
        <f t="array" ref="Y172">IFERROR(COUNT(_xlfn._xlws.FILTER(B172:G172, ISNUMBER(MATCH(B172:G172, {2,3,5,7,11,13,17,19,23,29,31,37,41,43}, 0)))), 0)</f>
        <v>0</v>
      </c>
      <c r="Z172" s="3" cm="1">
        <f t="array" ref="Z172">IFERROR(COUNT(_xlfn._xlws.FILTER(B172:G172, ISNUMBER(MATCH(B172:G172, {1,4,8,10,14,16,20,22,25,26,28,32,34,35,38,40,44}, 0)))), 0)</f>
        <v>0</v>
      </c>
      <c r="AA172" s="3" cm="1">
        <f t="array" ref="AA172">IFERROR(COUNT(_xlfn._xlws.FILTER(B172:G172, ISNUMBER(MATCH(B172:G172, {6,9,12,15,18,21,24,27,30,33,36,39,42,45}, 0)))), 0)</f>
        <v>0</v>
      </c>
      <c r="AB172" s="30"/>
      <c r="AC172" s="26" cm="1">
        <f t="array" ref="AC172">_xlfn.IFS(
   OR(B172="",ISBLANK(B172),B172=0),0,
   ISNUMBER(MATCH(B172,{2,3,5,7,11,13,17,19,23,29,31,37,41,43},0)),"소",
   AND(ISNUMBER(B172),MOD(B172,3)=0),"배",
   AND(ISNUMBER(B172),B172&gt;0),"자"
)</f>
        <v>0</v>
      </c>
      <c r="AD172" s="26" cm="1">
        <f t="array" ref="AD172">_xlfn.IFS(
   OR(C172="",ISBLANK(C172),C172=0),0,
   ISNUMBER(MATCH(C172,{2,3,5,7,11,13,17,19,23,29,31,37,41,43},0)),"소",
   AND(ISNUMBER(C172),MOD(C172,3)=0),"배",
   AND(ISNUMBER(C172),C172&gt;0),"자"
)</f>
        <v>0</v>
      </c>
      <c r="AE172" s="26" cm="1">
        <f t="array" ref="AE172">_xlfn.IFS(
   OR(D172="",ISBLANK(D172),D172=0),0,
   ISNUMBER(MATCH(D172,{2,3,5,7,11,13,17,19,23,29,31,37,41,43},0)),"소",
   AND(ISNUMBER(D172),MOD(D172,3)=0),"배",
   AND(ISNUMBER(D172),D172&gt;0),"자"
)</f>
        <v>0</v>
      </c>
      <c r="AF172" s="26" cm="1">
        <f t="array" ref="AF172">_xlfn.IFS(
   OR(E172="",ISBLANK(E172),E172=0),0,
   ISNUMBER(MATCH(E172,{2,3,5,7,11,13,17,19,23,29,31,37,41,43},0)),"소",
   AND(ISNUMBER(E172),MOD(E172,3)=0),"배",
   AND(ISNUMBER(E172),E172&gt;0),"자"
)</f>
        <v>0</v>
      </c>
      <c r="AG172" s="26" cm="1">
        <f t="array" ref="AG172">_xlfn.IFS(
   OR(F172="",ISBLANK(F172),F172=0),0,
   ISNUMBER(MATCH(F172,{2,3,5,7,11,13,17,19,23,29,31,37,41,43},0)),"소",
   AND(ISNUMBER(F172),MOD(F172,3)=0),"배",
   AND(ISNUMBER(F172),F172&gt;0),"자"
)</f>
        <v>0</v>
      </c>
      <c r="AH172" s="26" cm="1">
        <f t="array" ref="AH172">_xlfn.IFS(
   OR(G172="",ISBLANK(G172),G172=0),0,
   ISNUMBER(MATCH(G172,{2,3,5,7,11,13,17,19,23,29,31,37,41,43},0)),"소",
   AND(ISNUMBER(G172),MOD(G172,3)=0),"배",
   AND(ISNUMBER(G172),G172&gt;0),"자"
)</f>
        <v>0</v>
      </c>
      <c r="AI172" s="30"/>
      <c r="AJ172" s="3">
        <f>COUNTIFS(B172:G172,"&gt;=1",B172:G172,"&lt;=14")</f>
        <v>0</v>
      </c>
      <c r="AK172" s="3">
        <f>COUNTIFS(B172:G172,"&gt;=15",B172:G172,"&lt;=31")</f>
        <v>0</v>
      </c>
      <c r="AL172" s="3">
        <f>6-AK172-AJ172</f>
        <v>6</v>
      </c>
      <c r="AM172" s="33"/>
      <c r="AN172" s="3">
        <f>COUNTIFS($B172:$G172, "&gt;=1",$B172:$G172, "&lt;=9")</f>
        <v>0</v>
      </c>
      <c r="AO172" s="3">
        <f>COUNTIFS($B172:$G172, "&gt;=10",$B172:$G172, "&lt;=18")</f>
        <v>0</v>
      </c>
      <c r="AP172" s="3">
        <f>COUNTIFS($B172:$G172, "&gt;=19",$B172:$G172, "&lt;=27")</f>
        <v>0</v>
      </c>
      <c r="AQ172" s="3">
        <f>COUNTIFS($B172:$G172, "&gt;=28",$B172:$G172, "&lt;=36")</f>
        <v>0</v>
      </c>
      <c r="AR172" s="3">
        <f>COUNTIFS($B172:$G172, "&gt;=37",$B172:$G172, "&lt;=45")</f>
        <v>0</v>
      </c>
      <c r="AS172" s="28" t="e">
        <f>#REF!</f>
        <v>#REF!</v>
      </c>
      <c r="AT172" s="28" t="e">
        <f>#REF!*2</f>
        <v>#REF!</v>
      </c>
      <c r="AU172" s="28" t="e">
        <f>#REF!</f>
        <v>#REF!</v>
      </c>
      <c r="AV172" s="28" t="e">
        <f>#REF!*2</f>
        <v>#REF!</v>
      </c>
      <c r="AW172" s="28" t="e">
        <f>#REF!</f>
        <v>#REF!</v>
      </c>
      <c r="AX172" s="28" t="e">
        <f>#REF!*2</f>
        <v>#REF!</v>
      </c>
      <c r="AY172" s="28" t="e">
        <f>#REF!</f>
        <v>#REF!</v>
      </c>
      <c r="AZ172" s="28" t="e">
        <f>#REF!*2</f>
        <v>#REF!</v>
      </c>
      <c r="BA172" s="28" t="e">
        <f>#REF!</f>
        <v>#REF!</v>
      </c>
      <c r="BB172" s="28" t="e">
        <f>#REF!*2</f>
        <v>#REF!</v>
      </c>
      <c r="BC172" s="28" t="e">
        <f>#REF!</f>
        <v>#REF!</v>
      </c>
      <c r="BD172" s="28" t="e">
        <f>#REF!*2</f>
        <v>#REF!</v>
      </c>
      <c r="BE172" s="9" t="e">
        <f>#REF!-#REF!</f>
        <v>#REF!</v>
      </c>
      <c r="BF172" s="9" t="e">
        <f>#REF!-#REF!</f>
        <v>#REF!</v>
      </c>
      <c r="BG172" s="9" t="e">
        <f>#REF!-#REF!</f>
        <v>#REF!</v>
      </c>
      <c r="BH172" s="9" t="e">
        <f>#REF!-#REF!</f>
        <v>#REF!</v>
      </c>
      <c r="BI172" s="9" t="e">
        <f>#REF!-#REF!</f>
        <v>#REF!</v>
      </c>
      <c r="BJ172" s="33"/>
      <c r="BK172" s="3">
        <f>COUNTIFS(B172:G172, "&gt;=1", B172:G172, "&lt;=9")</f>
        <v>0</v>
      </c>
      <c r="BL172" s="3">
        <f>COUNTIFS(B172:G172, "&gt;=10", B172:G172, "&lt;=19")</f>
        <v>0</v>
      </c>
      <c r="BM172" s="3">
        <f>COUNTIFS(B172:G172, "&gt;=20", B172:G172, "&lt;=29")</f>
        <v>0</v>
      </c>
      <c r="BN172" s="3">
        <f>COUNTIFS(B172:G172, "&gt;=30", B172:G172, "&lt;=39")</f>
        <v>0</v>
      </c>
      <c r="BO172" s="3">
        <f>COUNTIFS(B172:G172, "&gt;=40", B172:G172, "&lt;=45")</f>
        <v>0</v>
      </c>
      <c r="BP172" s="28" t="e">
        <f>#REF!</f>
        <v>#REF!</v>
      </c>
      <c r="BQ172" s="28" t="e">
        <f>#REF!*2</f>
        <v>#REF!</v>
      </c>
      <c r="BR172" s="28" t="e">
        <f>#REF!</f>
        <v>#REF!</v>
      </c>
      <c r="BS172" s="28" t="e">
        <f>#REF!*2</f>
        <v>#REF!</v>
      </c>
      <c r="BT172" s="28" t="e">
        <f>#REF!</f>
        <v>#REF!</v>
      </c>
      <c r="BU172" s="28" t="e">
        <f>#REF!*2</f>
        <v>#REF!</v>
      </c>
      <c r="BV172" s="28" t="e">
        <f>#REF!</f>
        <v>#REF!</v>
      </c>
      <c r="BW172" s="28" t="e">
        <f>#REF!*2</f>
        <v>#REF!</v>
      </c>
      <c r="BX172" s="28" t="e">
        <f>#REF!</f>
        <v>#REF!</v>
      </c>
      <c r="BY172" s="28" t="e">
        <f>#REF!*2</f>
        <v>#REF!</v>
      </c>
      <c r="BZ172" s="28" t="e">
        <f>#REF!</f>
        <v>#REF!</v>
      </c>
      <c r="CA172" s="28" t="e">
        <f>#REF!*2</f>
        <v>#REF!</v>
      </c>
      <c r="CB172" s="9">
        <f>C172-B172</f>
        <v>0</v>
      </c>
      <c r="CC172" s="9">
        <f>D172-C172</f>
        <v>0</v>
      </c>
      <c r="CD172" s="9">
        <f>E172-D172</f>
        <v>0</v>
      </c>
      <c r="CE172" s="9">
        <f>F172-E172</f>
        <v>0</v>
      </c>
      <c r="CF172" s="9">
        <f>G172-F172</f>
        <v>0</v>
      </c>
      <c r="CG172" s="33"/>
      <c r="CH172" s="9">
        <f>C172-B172</f>
        <v>0</v>
      </c>
      <c r="CI172" s="9">
        <f>D172-C172</f>
        <v>0</v>
      </c>
      <c r="CJ172" s="9">
        <f>E172-D172</f>
        <v>0</v>
      </c>
      <c r="CK172" s="9">
        <f>F172-E172</f>
        <v>0</v>
      </c>
      <c r="CL172" s="9">
        <f>G172-F172</f>
        <v>0</v>
      </c>
      <c r="CM172" s="32"/>
      <c r="CN172" s="3">
        <f>IF(OR(CH172="",ISBLANK(CH172),CH172=0),0,IF(MOD(CH172,2)=1,1,2))</f>
        <v>0</v>
      </c>
      <c r="CO172" s="3">
        <f>IF(OR(CI172="",ISBLANK(CI172),CI172=0),0,IF(MOD(CI172,2)=1,1,2))</f>
        <v>0</v>
      </c>
      <c r="CP172" s="3">
        <f>IF(OR(CJ172="",ISBLANK(CJ172),CJ172=0),0,IF(MOD(CJ172,2)=1,1,2))</f>
        <v>0</v>
      </c>
      <c r="CQ172" s="3">
        <f>IF(OR(CK172="",ISBLANK(CK172),CK172=0),0,IF(MOD(CK172,2)=1,1,2))</f>
        <v>0</v>
      </c>
      <c r="CR172" s="3">
        <f>IF(OR(CL172="",ISBLANK(CL172),CL172=0),0,IF(MOD(CL172,2)=1,1,2))</f>
        <v>0</v>
      </c>
      <c r="CS172" s="31"/>
      <c r="CT172" s="3" cm="1">
        <f t="array" ref="CT172">SUMPRODUCT(--(MOD(CH172:CL172,2)=1))</f>
        <v>0</v>
      </c>
      <c r="CU172" s="3">
        <f>5-CT172</f>
        <v>5</v>
      </c>
      <c r="CV172" s="30"/>
      <c r="CW172" s="3" cm="1">
        <f t="array" ref="CW172">SUMPRODUCT(--(MOD(CH172:CL172,10)&gt;=1), --(MOD(CH172:CL172,10)&lt;=5))</f>
        <v>0</v>
      </c>
      <c r="CX172" s="3">
        <f>5-CW172</f>
        <v>5</v>
      </c>
      <c r="CY172" s="30"/>
      <c r="CZ172" s="3" cm="1">
        <f t="array" ref="CZ172">IFERROR(COUNT(_xlfn._xlws.FILTER(CH172:CL172, ISNUMBER(MATCH(CH172:CL172, {2,3,5,7,11,13,17,19,23,29,31,37,41,43}, 0)))), 0)</f>
        <v>0</v>
      </c>
      <c r="DA172" s="3" cm="1">
        <f t="array" ref="DA172">IFERROR(COUNT(_xlfn._xlws.FILTER(CH172:CL172, ISNUMBER(MATCH(CH172:CL172, {1,4,8,10,14,16,20,22,25,26,28,32,34,35,38,40,44}, 0)))), 0)</f>
        <v>0</v>
      </c>
      <c r="DB172" s="3" cm="1">
        <f t="array" ref="DB172">IFERROR(COUNT(_xlfn._xlws.FILTER(CH172:CL172, ISNUMBER(MATCH(CH172:CL172, {6,9,12,15,18,21,24,27,30,33,36,39,42,45}, 0)))), 0)</f>
        <v>0</v>
      </c>
      <c r="DC172" s="29"/>
      <c r="DD172" s="28" t="e">
        <f>#REF!</f>
        <v>#REF!</v>
      </c>
      <c r="DE172" s="28" t="e">
        <f>#REF!*2</f>
        <v>#REF!</v>
      </c>
      <c r="DF172" s="28" t="e">
        <f>#REF!</f>
        <v>#REF!</v>
      </c>
      <c r="DG172" s="28" t="e">
        <f>#REF!*2</f>
        <v>#REF!</v>
      </c>
      <c r="DH172" s="28" t="e">
        <f>#REF!</f>
        <v>#REF!</v>
      </c>
      <c r="DI172" s="28" t="e">
        <f>#REF!*2</f>
        <v>#REF!</v>
      </c>
      <c r="DJ172" s="28" t="e">
        <f>#REF!</f>
        <v>#REF!</v>
      </c>
      <c r="DK172" s="28" t="e">
        <f>#REF!*2</f>
        <v>#REF!</v>
      </c>
      <c r="DL172" s="28" t="e">
        <f>#REF!</f>
        <v>#REF!</v>
      </c>
      <c r="DM172" s="28" t="e">
        <f>#REF!*2</f>
        <v>#REF!</v>
      </c>
      <c r="DN172" s="27"/>
      <c r="DO172" s="26"/>
      <c r="DP172" s="26"/>
      <c r="DQ172" s="26"/>
      <c r="DR172" s="26"/>
      <c r="DS172" s="26"/>
      <c r="DT172" s="25"/>
    </row>
    <row r="173" spans="2:124" x14ac:dyDescent="0.3"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2"/>
      <c r="I173" s="3">
        <f>IF(OR(B173="",ISBLANK(B173),B173=0),0,IF(MOD(B173,2)=1,1,2))</f>
        <v>0</v>
      </c>
      <c r="J173" s="3">
        <f>IF(OR(C173="",ISBLANK(C173),C173=0),0,IF(MOD(C173,2)=1,1,2))</f>
        <v>0</v>
      </c>
      <c r="K173" s="3">
        <f>IF(OR(D173="",ISBLANK(D173),D173=0),0,IF(MOD(D173,2)=1,1,2))</f>
        <v>0</v>
      </c>
      <c r="L173" s="3">
        <f>IF(OR(E173="",ISBLANK(E173),E173=0),0,IF(MOD(E173,2)=1,1,2))</f>
        <v>0</v>
      </c>
      <c r="M173" s="3">
        <f>IF(OR(F173="",ISBLANK(F173),F173=0),0,IF(MOD(F173,2)=1,1,2))</f>
        <v>0</v>
      </c>
      <c r="N173" s="3">
        <f>IF(OR(G173="",ISBLANK(G173),G173=0),0,IF(MOD(G173,2)=1,1,2))</f>
        <v>0</v>
      </c>
      <c r="O173" s="32"/>
      <c r="P173" s="3" cm="1">
        <f t="array" ref="P173">SUMPRODUCT(--(MOD(B173:G173,2)=1))</f>
        <v>0</v>
      </c>
      <c r="Q173" s="3">
        <f>6-P173</f>
        <v>6</v>
      </c>
      <c r="R173" s="34"/>
      <c r="S173" s="3">
        <f>COUNTIFS(B173:G173,"&gt;=1",B173:G173,"&lt;=23")</f>
        <v>0</v>
      </c>
      <c r="T173" s="3">
        <f>6-S173</f>
        <v>6</v>
      </c>
      <c r="U173" s="34"/>
      <c r="V173" s="3" cm="1">
        <f t="array" ref="V173">SUMPRODUCT(--(MOD(B173:G173,10)&gt;=1), --(MOD(B173:G173,10)&lt;=5))</f>
        <v>0</v>
      </c>
      <c r="W173" s="3">
        <f>6-V173</f>
        <v>6</v>
      </c>
      <c r="X173" s="34"/>
      <c r="Y173" s="3" cm="1">
        <f t="array" ref="Y173">IFERROR(COUNT(_xlfn._xlws.FILTER(B173:G173, ISNUMBER(MATCH(B173:G173, {2,3,5,7,11,13,17,19,23,29,31,37,41,43}, 0)))), 0)</f>
        <v>0</v>
      </c>
      <c r="Z173" s="3" cm="1">
        <f t="array" ref="Z173">IFERROR(COUNT(_xlfn._xlws.FILTER(B173:G173, ISNUMBER(MATCH(B173:G173, {1,4,8,10,14,16,20,22,25,26,28,32,34,35,38,40,44}, 0)))), 0)</f>
        <v>0</v>
      </c>
      <c r="AA173" s="3" cm="1">
        <f t="array" ref="AA173">IFERROR(COUNT(_xlfn._xlws.FILTER(B173:G173, ISNUMBER(MATCH(B173:G173, {6,9,12,15,18,21,24,27,30,33,36,39,42,45}, 0)))), 0)</f>
        <v>0</v>
      </c>
      <c r="AB173" s="30"/>
      <c r="AC173" s="26" cm="1">
        <f t="array" ref="AC173">_xlfn.IFS(
   OR(B173="",ISBLANK(B173),B173=0),0,
   ISNUMBER(MATCH(B173,{2,3,5,7,11,13,17,19,23,29,31,37,41,43},0)),"소",
   AND(ISNUMBER(B173),MOD(B173,3)=0),"배",
   AND(ISNUMBER(B173),B173&gt;0),"자"
)</f>
        <v>0</v>
      </c>
      <c r="AD173" s="26" cm="1">
        <f t="array" ref="AD173">_xlfn.IFS(
   OR(C173="",ISBLANK(C173),C173=0),0,
   ISNUMBER(MATCH(C173,{2,3,5,7,11,13,17,19,23,29,31,37,41,43},0)),"소",
   AND(ISNUMBER(C173),MOD(C173,3)=0),"배",
   AND(ISNUMBER(C173),C173&gt;0),"자"
)</f>
        <v>0</v>
      </c>
      <c r="AE173" s="26" cm="1">
        <f t="array" ref="AE173">_xlfn.IFS(
   OR(D173="",ISBLANK(D173),D173=0),0,
   ISNUMBER(MATCH(D173,{2,3,5,7,11,13,17,19,23,29,31,37,41,43},0)),"소",
   AND(ISNUMBER(D173),MOD(D173,3)=0),"배",
   AND(ISNUMBER(D173),D173&gt;0),"자"
)</f>
        <v>0</v>
      </c>
      <c r="AF173" s="26" cm="1">
        <f t="array" ref="AF173">_xlfn.IFS(
   OR(E173="",ISBLANK(E173),E173=0),0,
   ISNUMBER(MATCH(E173,{2,3,5,7,11,13,17,19,23,29,31,37,41,43},0)),"소",
   AND(ISNUMBER(E173),MOD(E173,3)=0),"배",
   AND(ISNUMBER(E173),E173&gt;0),"자"
)</f>
        <v>0</v>
      </c>
      <c r="AG173" s="26" cm="1">
        <f t="array" ref="AG173">_xlfn.IFS(
   OR(F173="",ISBLANK(F173),F173=0),0,
   ISNUMBER(MATCH(F173,{2,3,5,7,11,13,17,19,23,29,31,37,41,43},0)),"소",
   AND(ISNUMBER(F173),MOD(F173,3)=0),"배",
   AND(ISNUMBER(F173),F173&gt;0),"자"
)</f>
        <v>0</v>
      </c>
      <c r="AH173" s="26" cm="1">
        <f t="array" ref="AH173">_xlfn.IFS(
   OR(G173="",ISBLANK(G173),G173=0),0,
   ISNUMBER(MATCH(G173,{2,3,5,7,11,13,17,19,23,29,31,37,41,43},0)),"소",
   AND(ISNUMBER(G173),MOD(G173,3)=0),"배",
   AND(ISNUMBER(G173),G173&gt;0),"자"
)</f>
        <v>0</v>
      </c>
      <c r="AI173" s="30"/>
      <c r="AJ173" s="3">
        <f>COUNTIFS(B173:G173,"&gt;=1",B173:G173,"&lt;=14")</f>
        <v>0</v>
      </c>
      <c r="AK173" s="3">
        <f>COUNTIFS(B173:G173,"&gt;=15",B173:G173,"&lt;=31")</f>
        <v>0</v>
      </c>
      <c r="AL173" s="3">
        <f>6-AK173-AJ173</f>
        <v>6</v>
      </c>
      <c r="AM173" s="33"/>
      <c r="AN173" s="3">
        <f>COUNTIFS($B173:$G173, "&gt;=1",$B173:$G173, "&lt;=9")</f>
        <v>0</v>
      </c>
      <c r="AO173" s="3">
        <f>COUNTIFS($B173:$G173, "&gt;=10",$B173:$G173, "&lt;=18")</f>
        <v>0</v>
      </c>
      <c r="AP173" s="3">
        <f>COUNTIFS($B173:$G173, "&gt;=19",$B173:$G173, "&lt;=27")</f>
        <v>0</v>
      </c>
      <c r="AQ173" s="3">
        <f>COUNTIFS($B173:$G173, "&gt;=28",$B173:$G173, "&lt;=36")</f>
        <v>0</v>
      </c>
      <c r="AR173" s="3">
        <f>COUNTIFS($B173:$G173, "&gt;=37",$B173:$G173, "&lt;=45")</f>
        <v>0</v>
      </c>
      <c r="AS173" s="28" t="e">
        <f>#REF!</f>
        <v>#REF!</v>
      </c>
      <c r="AT173" s="28" t="e">
        <f>#REF!*2</f>
        <v>#REF!</v>
      </c>
      <c r="AU173" s="28" t="e">
        <f>#REF!</f>
        <v>#REF!</v>
      </c>
      <c r="AV173" s="28" t="e">
        <f>#REF!*2</f>
        <v>#REF!</v>
      </c>
      <c r="AW173" s="28" t="e">
        <f>#REF!</f>
        <v>#REF!</v>
      </c>
      <c r="AX173" s="28" t="e">
        <f>#REF!*2</f>
        <v>#REF!</v>
      </c>
      <c r="AY173" s="28" t="e">
        <f>#REF!</f>
        <v>#REF!</v>
      </c>
      <c r="AZ173" s="28" t="e">
        <f>#REF!*2</f>
        <v>#REF!</v>
      </c>
      <c r="BA173" s="28" t="e">
        <f>#REF!</f>
        <v>#REF!</v>
      </c>
      <c r="BB173" s="28" t="e">
        <f>#REF!*2</f>
        <v>#REF!</v>
      </c>
      <c r="BC173" s="28" t="e">
        <f>#REF!</f>
        <v>#REF!</v>
      </c>
      <c r="BD173" s="28" t="e">
        <f>#REF!*2</f>
        <v>#REF!</v>
      </c>
      <c r="BE173" s="9" t="e">
        <f>#REF!-#REF!</f>
        <v>#REF!</v>
      </c>
      <c r="BF173" s="9" t="e">
        <f>#REF!-#REF!</f>
        <v>#REF!</v>
      </c>
      <c r="BG173" s="9" t="e">
        <f>#REF!-#REF!</f>
        <v>#REF!</v>
      </c>
      <c r="BH173" s="9" t="e">
        <f>#REF!-#REF!</f>
        <v>#REF!</v>
      </c>
      <c r="BI173" s="9" t="e">
        <f>#REF!-#REF!</f>
        <v>#REF!</v>
      </c>
      <c r="BJ173" s="33"/>
      <c r="BK173" s="3">
        <f>COUNTIFS(B173:G173, "&gt;=1", B173:G173, "&lt;=9")</f>
        <v>0</v>
      </c>
      <c r="BL173" s="3">
        <f>COUNTIFS(B173:G173, "&gt;=10", B173:G173, "&lt;=19")</f>
        <v>0</v>
      </c>
      <c r="BM173" s="3">
        <f>COUNTIFS(B173:G173, "&gt;=20", B173:G173, "&lt;=29")</f>
        <v>0</v>
      </c>
      <c r="BN173" s="3">
        <f>COUNTIFS(B173:G173, "&gt;=30", B173:G173, "&lt;=39")</f>
        <v>0</v>
      </c>
      <c r="BO173" s="3">
        <f>COUNTIFS(B173:G173, "&gt;=40", B173:G173, "&lt;=45")</f>
        <v>0</v>
      </c>
      <c r="BP173" s="28" t="e">
        <f>#REF!</f>
        <v>#REF!</v>
      </c>
      <c r="BQ173" s="28" t="e">
        <f>#REF!*2</f>
        <v>#REF!</v>
      </c>
      <c r="BR173" s="28" t="e">
        <f>#REF!</f>
        <v>#REF!</v>
      </c>
      <c r="BS173" s="28" t="e">
        <f>#REF!*2</f>
        <v>#REF!</v>
      </c>
      <c r="BT173" s="28" t="e">
        <f>#REF!</f>
        <v>#REF!</v>
      </c>
      <c r="BU173" s="28" t="e">
        <f>#REF!*2</f>
        <v>#REF!</v>
      </c>
      <c r="BV173" s="28" t="e">
        <f>#REF!</f>
        <v>#REF!</v>
      </c>
      <c r="BW173" s="28" t="e">
        <f>#REF!*2</f>
        <v>#REF!</v>
      </c>
      <c r="BX173" s="28" t="e">
        <f>#REF!</f>
        <v>#REF!</v>
      </c>
      <c r="BY173" s="28" t="e">
        <f>#REF!*2</f>
        <v>#REF!</v>
      </c>
      <c r="BZ173" s="28" t="e">
        <f>#REF!</f>
        <v>#REF!</v>
      </c>
      <c r="CA173" s="28" t="e">
        <f>#REF!*2</f>
        <v>#REF!</v>
      </c>
      <c r="CB173" s="9">
        <f>C173-B173</f>
        <v>0</v>
      </c>
      <c r="CC173" s="9">
        <f>D173-C173</f>
        <v>0</v>
      </c>
      <c r="CD173" s="9">
        <f>E173-D173</f>
        <v>0</v>
      </c>
      <c r="CE173" s="9">
        <f>F173-E173</f>
        <v>0</v>
      </c>
      <c r="CF173" s="9">
        <f>G173-F173</f>
        <v>0</v>
      </c>
      <c r="CG173" s="33"/>
      <c r="CH173" s="9">
        <f>C173-B173</f>
        <v>0</v>
      </c>
      <c r="CI173" s="9">
        <f>D173-C173</f>
        <v>0</v>
      </c>
      <c r="CJ173" s="9">
        <f>E173-D173</f>
        <v>0</v>
      </c>
      <c r="CK173" s="9">
        <f>F173-E173</f>
        <v>0</v>
      </c>
      <c r="CL173" s="9">
        <f>G173-F173</f>
        <v>0</v>
      </c>
      <c r="CM173" s="32"/>
      <c r="CN173" s="3">
        <f>IF(OR(CH173="",ISBLANK(CH173),CH173=0),0,IF(MOD(CH173,2)=1,1,2))</f>
        <v>0</v>
      </c>
      <c r="CO173" s="3">
        <f>IF(OR(CI173="",ISBLANK(CI173),CI173=0),0,IF(MOD(CI173,2)=1,1,2))</f>
        <v>0</v>
      </c>
      <c r="CP173" s="3">
        <f>IF(OR(CJ173="",ISBLANK(CJ173),CJ173=0),0,IF(MOD(CJ173,2)=1,1,2))</f>
        <v>0</v>
      </c>
      <c r="CQ173" s="3">
        <f>IF(OR(CK173="",ISBLANK(CK173),CK173=0),0,IF(MOD(CK173,2)=1,1,2))</f>
        <v>0</v>
      </c>
      <c r="CR173" s="3">
        <f>IF(OR(CL173="",ISBLANK(CL173),CL173=0),0,IF(MOD(CL173,2)=1,1,2))</f>
        <v>0</v>
      </c>
      <c r="CS173" s="31"/>
      <c r="CT173" s="3" cm="1">
        <f t="array" ref="CT173">SUMPRODUCT(--(MOD(CH173:CL173,2)=1))</f>
        <v>0</v>
      </c>
      <c r="CU173" s="3">
        <f>5-CT173</f>
        <v>5</v>
      </c>
      <c r="CV173" s="30"/>
      <c r="CW173" s="3" cm="1">
        <f t="array" ref="CW173">SUMPRODUCT(--(MOD(CH173:CL173,10)&gt;=1), --(MOD(CH173:CL173,10)&lt;=5))</f>
        <v>0</v>
      </c>
      <c r="CX173" s="3">
        <f>5-CW173</f>
        <v>5</v>
      </c>
      <c r="CY173" s="30"/>
      <c r="CZ173" s="3" cm="1">
        <f t="array" ref="CZ173">IFERROR(COUNT(_xlfn._xlws.FILTER(CH173:CL173, ISNUMBER(MATCH(CH173:CL173, {2,3,5,7,11,13,17,19,23,29,31,37,41,43}, 0)))), 0)</f>
        <v>0</v>
      </c>
      <c r="DA173" s="3" cm="1">
        <f t="array" ref="DA173">IFERROR(COUNT(_xlfn._xlws.FILTER(CH173:CL173, ISNUMBER(MATCH(CH173:CL173, {1,4,8,10,14,16,20,22,25,26,28,32,34,35,38,40,44}, 0)))), 0)</f>
        <v>0</v>
      </c>
      <c r="DB173" s="3" cm="1">
        <f t="array" ref="DB173">IFERROR(COUNT(_xlfn._xlws.FILTER(CH173:CL173, ISNUMBER(MATCH(CH173:CL173, {6,9,12,15,18,21,24,27,30,33,36,39,42,45}, 0)))), 0)</f>
        <v>0</v>
      </c>
      <c r="DC173" s="29"/>
      <c r="DD173" s="28" t="e">
        <f>#REF!</f>
        <v>#REF!</v>
      </c>
      <c r="DE173" s="28" t="e">
        <f>#REF!*2</f>
        <v>#REF!</v>
      </c>
      <c r="DF173" s="28" t="e">
        <f>#REF!</f>
        <v>#REF!</v>
      </c>
      <c r="DG173" s="28" t="e">
        <f>#REF!*2</f>
        <v>#REF!</v>
      </c>
      <c r="DH173" s="28" t="e">
        <f>#REF!</f>
        <v>#REF!</v>
      </c>
      <c r="DI173" s="28" t="e">
        <f>#REF!*2</f>
        <v>#REF!</v>
      </c>
      <c r="DJ173" s="28" t="e">
        <f>#REF!</f>
        <v>#REF!</v>
      </c>
      <c r="DK173" s="28" t="e">
        <f>#REF!*2</f>
        <v>#REF!</v>
      </c>
      <c r="DL173" s="28" t="e">
        <f>#REF!</f>
        <v>#REF!</v>
      </c>
      <c r="DM173" s="28" t="e">
        <f>#REF!*2</f>
        <v>#REF!</v>
      </c>
      <c r="DN173" s="27"/>
      <c r="DO173" s="26"/>
      <c r="DP173" s="26"/>
      <c r="DQ173" s="26"/>
      <c r="DR173" s="26"/>
      <c r="DS173" s="26"/>
      <c r="DT173" s="25"/>
    </row>
    <row r="174" spans="2:124" x14ac:dyDescent="0.3"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2"/>
      <c r="I174" s="3">
        <f>IF(OR(B174="",ISBLANK(B174),B174=0),0,IF(MOD(B174,2)=1,1,2))</f>
        <v>0</v>
      </c>
      <c r="J174" s="3">
        <f>IF(OR(C174="",ISBLANK(C174),C174=0),0,IF(MOD(C174,2)=1,1,2))</f>
        <v>0</v>
      </c>
      <c r="K174" s="3">
        <f>IF(OR(D174="",ISBLANK(D174),D174=0),0,IF(MOD(D174,2)=1,1,2))</f>
        <v>0</v>
      </c>
      <c r="L174" s="3">
        <f>IF(OR(E174="",ISBLANK(E174),E174=0),0,IF(MOD(E174,2)=1,1,2))</f>
        <v>0</v>
      </c>
      <c r="M174" s="3">
        <f>IF(OR(F174="",ISBLANK(F174),F174=0),0,IF(MOD(F174,2)=1,1,2))</f>
        <v>0</v>
      </c>
      <c r="N174" s="3">
        <f>IF(OR(G174="",ISBLANK(G174),G174=0),0,IF(MOD(G174,2)=1,1,2))</f>
        <v>0</v>
      </c>
      <c r="O174" s="32"/>
      <c r="P174" s="3" cm="1">
        <f t="array" ref="P174">SUMPRODUCT(--(MOD(B174:G174,2)=1))</f>
        <v>0</v>
      </c>
      <c r="Q174" s="3">
        <f>6-P174</f>
        <v>6</v>
      </c>
      <c r="R174" s="34"/>
      <c r="S174" s="3">
        <f>COUNTIFS(B174:G174,"&gt;=1",B174:G174,"&lt;=23")</f>
        <v>0</v>
      </c>
      <c r="T174" s="3">
        <f>6-S174</f>
        <v>6</v>
      </c>
      <c r="U174" s="34"/>
      <c r="V174" s="3" cm="1">
        <f t="array" ref="V174">SUMPRODUCT(--(MOD(B174:G174,10)&gt;=1), --(MOD(B174:G174,10)&lt;=5))</f>
        <v>0</v>
      </c>
      <c r="W174" s="3">
        <f>6-V174</f>
        <v>6</v>
      </c>
      <c r="X174" s="34"/>
      <c r="Y174" s="3" cm="1">
        <f t="array" ref="Y174">IFERROR(COUNT(_xlfn._xlws.FILTER(B174:G174, ISNUMBER(MATCH(B174:G174, {2,3,5,7,11,13,17,19,23,29,31,37,41,43}, 0)))), 0)</f>
        <v>0</v>
      </c>
      <c r="Z174" s="3" cm="1">
        <f t="array" ref="Z174">IFERROR(COUNT(_xlfn._xlws.FILTER(B174:G174, ISNUMBER(MATCH(B174:G174, {1,4,8,10,14,16,20,22,25,26,28,32,34,35,38,40,44}, 0)))), 0)</f>
        <v>0</v>
      </c>
      <c r="AA174" s="3" cm="1">
        <f t="array" ref="AA174">IFERROR(COUNT(_xlfn._xlws.FILTER(B174:G174, ISNUMBER(MATCH(B174:G174, {6,9,12,15,18,21,24,27,30,33,36,39,42,45}, 0)))), 0)</f>
        <v>0</v>
      </c>
      <c r="AB174" s="30"/>
      <c r="AC174" s="26" cm="1">
        <f t="array" ref="AC174">_xlfn.IFS(
   OR(B174="",ISBLANK(B174),B174=0),0,
   ISNUMBER(MATCH(B174,{2,3,5,7,11,13,17,19,23,29,31,37,41,43},0)),"소",
   AND(ISNUMBER(B174),MOD(B174,3)=0),"배",
   AND(ISNUMBER(B174),B174&gt;0),"자"
)</f>
        <v>0</v>
      </c>
      <c r="AD174" s="26" cm="1">
        <f t="array" ref="AD174">_xlfn.IFS(
   OR(C174="",ISBLANK(C174),C174=0),0,
   ISNUMBER(MATCH(C174,{2,3,5,7,11,13,17,19,23,29,31,37,41,43},0)),"소",
   AND(ISNUMBER(C174),MOD(C174,3)=0),"배",
   AND(ISNUMBER(C174),C174&gt;0),"자"
)</f>
        <v>0</v>
      </c>
      <c r="AE174" s="26" cm="1">
        <f t="array" ref="AE174">_xlfn.IFS(
   OR(D174="",ISBLANK(D174),D174=0),0,
   ISNUMBER(MATCH(D174,{2,3,5,7,11,13,17,19,23,29,31,37,41,43},0)),"소",
   AND(ISNUMBER(D174),MOD(D174,3)=0),"배",
   AND(ISNUMBER(D174),D174&gt;0),"자"
)</f>
        <v>0</v>
      </c>
      <c r="AF174" s="26" cm="1">
        <f t="array" ref="AF174">_xlfn.IFS(
   OR(E174="",ISBLANK(E174),E174=0),0,
   ISNUMBER(MATCH(E174,{2,3,5,7,11,13,17,19,23,29,31,37,41,43},0)),"소",
   AND(ISNUMBER(E174),MOD(E174,3)=0),"배",
   AND(ISNUMBER(E174),E174&gt;0),"자"
)</f>
        <v>0</v>
      </c>
      <c r="AG174" s="26" cm="1">
        <f t="array" ref="AG174">_xlfn.IFS(
   OR(F174="",ISBLANK(F174),F174=0),0,
   ISNUMBER(MATCH(F174,{2,3,5,7,11,13,17,19,23,29,31,37,41,43},0)),"소",
   AND(ISNUMBER(F174),MOD(F174,3)=0),"배",
   AND(ISNUMBER(F174),F174&gt;0),"자"
)</f>
        <v>0</v>
      </c>
      <c r="AH174" s="26" cm="1">
        <f t="array" ref="AH174">_xlfn.IFS(
   OR(G174="",ISBLANK(G174),G174=0),0,
   ISNUMBER(MATCH(G174,{2,3,5,7,11,13,17,19,23,29,31,37,41,43},0)),"소",
   AND(ISNUMBER(G174),MOD(G174,3)=0),"배",
   AND(ISNUMBER(G174),G174&gt;0),"자"
)</f>
        <v>0</v>
      </c>
      <c r="AI174" s="30"/>
      <c r="AJ174" s="3">
        <f>COUNTIFS(B174:G174,"&gt;=1",B174:G174,"&lt;=14")</f>
        <v>0</v>
      </c>
      <c r="AK174" s="3">
        <f>COUNTIFS(B174:G174,"&gt;=15",B174:G174,"&lt;=31")</f>
        <v>0</v>
      </c>
      <c r="AL174" s="3">
        <f>6-AK174-AJ174</f>
        <v>6</v>
      </c>
      <c r="AM174" s="33"/>
      <c r="AN174" s="3">
        <f>COUNTIFS($B174:$G174, "&gt;=1",$B174:$G174, "&lt;=9")</f>
        <v>0</v>
      </c>
      <c r="AO174" s="3">
        <f>COUNTIFS($B174:$G174, "&gt;=10",$B174:$G174, "&lt;=18")</f>
        <v>0</v>
      </c>
      <c r="AP174" s="3">
        <f>COUNTIFS($B174:$G174, "&gt;=19",$B174:$G174, "&lt;=27")</f>
        <v>0</v>
      </c>
      <c r="AQ174" s="3">
        <f>COUNTIFS($B174:$G174, "&gt;=28",$B174:$G174, "&lt;=36")</f>
        <v>0</v>
      </c>
      <c r="AR174" s="3">
        <f>COUNTIFS($B174:$G174, "&gt;=37",$B174:$G174, "&lt;=45")</f>
        <v>0</v>
      </c>
      <c r="AS174" s="28" t="e">
        <f>#REF!</f>
        <v>#REF!</v>
      </c>
      <c r="AT174" s="28" t="e">
        <f>#REF!*2</f>
        <v>#REF!</v>
      </c>
      <c r="AU174" s="28" t="e">
        <f>#REF!</f>
        <v>#REF!</v>
      </c>
      <c r="AV174" s="28" t="e">
        <f>#REF!*2</f>
        <v>#REF!</v>
      </c>
      <c r="AW174" s="28" t="e">
        <f>#REF!</f>
        <v>#REF!</v>
      </c>
      <c r="AX174" s="28" t="e">
        <f>#REF!*2</f>
        <v>#REF!</v>
      </c>
      <c r="AY174" s="28" t="e">
        <f>#REF!</f>
        <v>#REF!</v>
      </c>
      <c r="AZ174" s="28" t="e">
        <f>#REF!*2</f>
        <v>#REF!</v>
      </c>
      <c r="BA174" s="28" t="e">
        <f>#REF!</f>
        <v>#REF!</v>
      </c>
      <c r="BB174" s="28" t="e">
        <f>#REF!*2</f>
        <v>#REF!</v>
      </c>
      <c r="BC174" s="28" t="e">
        <f>#REF!</f>
        <v>#REF!</v>
      </c>
      <c r="BD174" s="28" t="e">
        <f>#REF!*2</f>
        <v>#REF!</v>
      </c>
      <c r="BE174" s="9" t="e">
        <f>#REF!-#REF!</f>
        <v>#REF!</v>
      </c>
      <c r="BF174" s="9" t="e">
        <f>#REF!-#REF!</f>
        <v>#REF!</v>
      </c>
      <c r="BG174" s="9" t="e">
        <f>#REF!-#REF!</f>
        <v>#REF!</v>
      </c>
      <c r="BH174" s="9" t="e">
        <f>#REF!-#REF!</f>
        <v>#REF!</v>
      </c>
      <c r="BI174" s="9" t="e">
        <f>#REF!-#REF!</f>
        <v>#REF!</v>
      </c>
      <c r="BJ174" s="33"/>
      <c r="BK174" s="3">
        <f>COUNTIFS(B174:G174, "&gt;=1", B174:G174, "&lt;=9")</f>
        <v>0</v>
      </c>
      <c r="BL174" s="3">
        <f>COUNTIFS(B174:G174, "&gt;=10", B174:G174, "&lt;=19")</f>
        <v>0</v>
      </c>
      <c r="BM174" s="3">
        <f>COUNTIFS(B174:G174, "&gt;=20", B174:G174, "&lt;=29")</f>
        <v>0</v>
      </c>
      <c r="BN174" s="3">
        <f>COUNTIFS(B174:G174, "&gt;=30", B174:G174, "&lt;=39")</f>
        <v>0</v>
      </c>
      <c r="BO174" s="3">
        <f>COUNTIFS(B174:G174, "&gt;=40", B174:G174, "&lt;=45")</f>
        <v>0</v>
      </c>
      <c r="BP174" s="28" t="e">
        <f>#REF!</f>
        <v>#REF!</v>
      </c>
      <c r="BQ174" s="28" t="e">
        <f>#REF!*2</f>
        <v>#REF!</v>
      </c>
      <c r="BR174" s="28" t="e">
        <f>#REF!</f>
        <v>#REF!</v>
      </c>
      <c r="BS174" s="28" t="e">
        <f>#REF!*2</f>
        <v>#REF!</v>
      </c>
      <c r="BT174" s="28" t="e">
        <f>#REF!</f>
        <v>#REF!</v>
      </c>
      <c r="BU174" s="28" t="e">
        <f>#REF!*2</f>
        <v>#REF!</v>
      </c>
      <c r="BV174" s="28" t="e">
        <f>#REF!</f>
        <v>#REF!</v>
      </c>
      <c r="BW174" s="28" t="e">
        <f>#REF!*2</f>
        <v>#REF!</v>
      </c>
      <c r="BX174" s="28" t="e">
        <f>#REF!</f>
        <v>#REF!</v>
      </c>
      <c r="BY174" s="28" t="e">
        <f>#REF!*2</f>
        <v>#REF!</v>
      </c>
      <c r="BZ174" s="28" t="e">
        <f>#REF!</f>
        <v>#REF!</v>
      </c>
      <c r="CA174" s="28" t="e">
        <f>#REF!*2</f>
        <v>#REF!</v>
      </c>
      <c r="CB174" s="9">
        <f>C174-B174</f>
        <v>0</v>
      </c>
      <c r="CC174" s="9">
        <f>D174-C174</f>
        <v>0</v>
      </c>
      <c r="CD174" s="9">
        <f>E174-D174</f>
        <v>0</v>
      </c>
      <c r="CE174" s="9">
        <f>F174-E174</f>
        <v>0</v>
      </c>
      <c r="CF174" s="9">
        <f>G174-F174</f>
        <v>0</v>
      </c>
      <c r="CG174" s="33"/>
      <c r="CH174" s="9">
        <f>C174-B174</f>
        <v>0</v>
      </c>
      <c r="CI174" s="9">
        <f>D174-C174</f>
        <v>0</v>
      </c>
      <c r="CJ174" s="9">
        <f>E174-D174</f>
        <v>0</v>
      </c>
      <c r="CK174" s="9">
        <f>F174-E174</f>
        <v>0</v>
      </c>
      <c r="CL174" s="9">
        <f>G174-F174</f>
        <v>0</v>
      </c>
      <c r="CM174" s="32"/>
      <c r="CN174" s="3">
        <f>IF(OR(CH174="",ISBLANK(CH174),CH174=0),0,IF(MOD(CH174,2)=1,1,2))</f>
        <v>0</v>
      </c>
      <c r="CO174" s="3">
        <f>IF(OR(CI174="",ISBLANK(CI174),CI174=0),0,IF(MOD(CI174,2)=1,1,2))</f>
        <v>0</v>
      </c>
      <c r="CP174" s="3">
        <f>IF(OR(CJ174="",ISBLANK(CJ174),CJ174=0),0,IF(MOD(CJ174,2)=1,1,2))</f>
        <v>0</v>
      </c>
      <c r="CQ174" s="3">
        <f>IF(OR(CK174="",ISBLANK(CK174),CK174=0),0,IF(MOD(CK174,2)=1,1,2))</f>
        <v>0</v>
      </c>
      <c r="CR174" s="3">
        <f>IF(OR(CL174="",ISBLANK(CL174),CL174=0),0,IF(MOD(CL174,2)=1,1,2))</f>
        <v>0</v>
      </c>
      <c r="CS174" s="31"/>
      <c r="CT174" s="3" cm="1">
        <f t="array" ref="CT174">SUMPRODUCT(--(MOD(CH174:CL174,2)=1))</f>
        <v>0</v>
      </c>
      <c r="CU174" s="3">
        <f>5-CT174</f>
        <v>5</v>
      </c>
      <c r="CV174" s="30"/>
      <c r="CW174" s="3" cm="1">
        <f t="array" ref="CW174">SUMPRODUCT(--(MOD(CH174:CL174,10)&gt;=1), --(MOD(CH174:CL174,10)&lt;=5))</f>
        <v>0</v>
      </c>
      <c r="CX174" s="3">
        <f>5-CW174</f>
        <v>5</v>
      </c>
      <c r="CY174" s="30"/>
      <c r="CZ174" s="3" cm="1">
        <f t="array" ref="CZ174">IFERROR(COUNT(_xlfn._xlws.FILTER(CH174:CL174, ISNUMBER(MATCH(CH174:CL174, {2,3,5,7,11,13,17,19,23,29,31,37,41,43}, 0)))), 0)</f>
        <v>0</v>
      </c>
      <c r="DA174" s="3" cm="1">
        <f t="array" ref="DA174">IFERROR(COUNT(_xlfn._xlws.FILTER(CH174:CL174, ISNUMBER(MATCH(CH174:CL174, {1,4,8,10,14,16,20,22,25,26,28,32,34,35,38,40,44}, 0)))), 0)</f>
        <v>0</v>
      </c>
      <c r="DB174" s="3" cm="1">
        <f t="array" ref="DB174">IFERROR(COUNT(_xlfn._xlws.FILTER(CH174:CL174, ISNUMBER(MATCH(CH174:CL174, {6,9,12,15,18,21,24,27,30,33,36,39,42,45}, 0)))), 0)</f>
        <v>0</v>
      </c>
      <c r="DC174" s="29"/>
      <c r="DD174" s="28" t="e">
        <f>#REF!</f>
        <v>#REF!</v>
      </c>
      <c r="DE174" s="28" t="e">
        <f>#REF!*2</f>
        <v>#REF!</v>
      </c>
      <c r="DF174" s="28" t="e">
        <f>#REF!</f>
        <v>#REF!</v>
      </c>
      <c r="DG174" s="28" t="e">
        <f>#REF!*2</f>
        <v>#REF!</v>
      </c>
      <c r="DH174" s="28" t="e">
        <f>#REF!</f>
        <v>#REF!</v>
      </c>
      <c r="DI174" s="28" t="e">
        <f>#REF!*2</f>
        <v>#REF!</v>
      </c>
      <c r="DJ174" s="28" t="e">
        <f>#REF!</f>
        <v>#REF!</v>
      </c>
      <c r="DK174" s="28" t="e">
        <f>#REF!*2</f>
        <v>#REF!</v>
      </c>
      <c r="DL174" s="28" t="e">
        <f>#REF!</f>
        <v>#REF!</v>
      </c>
      <c r="DM174" s="28" t="e">
        <f>#REF!*2</f>
        <v>#REF!</v>
      </c>
      <c r="DN174" s="27"/>
      <c r="DO174" s="26"/>
      <c r="DP174" s="26"/>
      <c r="DQ174" s="26"/>
      <c r="DR174" s="26"/>
      <c r="DS174" s="26"/>
      <c r="DT174" s="25"/>
    </row>
    <row r="175" spans="2:124" x14ac:dyDescent="0.3"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2"/>
      <c r="I175" s="3">
        <f>IF(OR(B175="",ISBLANK(B175),B175=0),0,IF(MOD(B175,2)=1,1,2))</f>
        <v>0</v>
      </c>
      <c r="J175" s="3">
        <f>IF(OR(C175="",ISBLANK(C175),C175=0),0,IF(MOD(C175,2)=1,1,2))</f>
        <v>0</v>
      </c>
      <c r="K175" s="3">
        <f>IF(OR(D175="",ISBLANK(D175),D175=0),0,IF(MOD(D175,2)=1,1,2))</f>
        <v>0</v>
      </c>
      <c r="L175" s="3">
        <f>IF(OR(E175="",ISBLANK(E175),E175=0),0,IF(MOD(E175,2)=1,1,2))</f>
        <v>0</v>
      </c>
      <c r="M175" s="3">
        <f>IF(OR(F175="",ISBLANK(F175),F175=0),0,IF(MOD(F175,2)=1,1,2))</f>
        <v>0</v>
      </c>
      <c r="N175" s="3">
        <f>IF(OR(G175="",ISBLANK(G175),G175=0),0,IF(MOD(G175,2)=1,1,2))</f>
        <v>0</v>
      </c>
      <c r="O175" s="32"/>
      <c r="P175" s="3" cm="1">
        <f t="array" ref="P175">SUMPRODUCT(--(MOD(B175:G175,2)=1))</f>
        <v>0</v>
      </c>
      <c r="Q175" s="3">
        <f>6-P175</f>
        <v>6</v>
      </c>
      <c r="R175" s="34"/>
      <c r="S175" s="3">
        <f>COUNTIFS(B175:G175,"&gt;=1",B175:G175,"&lt;=23")</f>
        <v>0</v>
      </c>
      <c r="T175" s="3">
        <f>6-S175</f>
        <v>6</v>
      </c>
      <c r="U175" s="34"/>
      <c r="V175" s="3" cm="1">
        <f t="array" ref="V175">SUMPRODUCT(--(MOD(B175:G175,10)&gt;=1), --(MOD(B175:G175,10)&lt;=5))</f>
        <v>0</v>
      </c>
      <c r="W175" s="3">
        <f>6-V175</f>
        <v>6</v>
      </c>
      <c r="X175" s="34"/>
      <c r="Y175" s="3" cm="1">
        <f t="array" ref="Y175">IFERROR(COUNT(_xlfn._xlws.FILTER(B175:G175, ISNUMBER(MATCH(B175:G175, {2,3,5,7,11,13,17,19,23,29,31,37,41,43}, 0)))), 0)</f>
        <v>0</v>
      </c>
      <c r="Z175" s="3" cm="1">
        <f t="array" ref="Z175">IFERROR(COUNT(_xlfn._xlws.FILTER(B175:G175, ISNUMBER(MATCH(B175:G175, {1,4,8,10,14,16,20,22,25,26,28,32,34,35,38,40,44}, 0)))), 0)</f>
        <v>0</v>
      </c>
      <c r="AA175" s="3" cm="1">
        <f t="array" ref="AA175">IFERROR(COUNT(_xlfn._xlws.FILTER(B175:G175, ISNUMBER(MATCH(B175:G175, {6,9,12,15,18,21,24,27,30,33,36,39,42,45}, 0)))), 0)</f>
        <v>0</v>
      </c>
      <c r="AB175" s="30"/>
      <c r="AC175" s="26" cm="1">
        <f t="array" ref="AC175">_xlfn.IFS(
   OR(B175="",ISBLANK(B175),B175=0),0,
   ISNUMBER(MATCH(B175,{2,3,5,7,11,13,17,19,23,29,31,37,41,43},0)),"소",
   AND(ISNUMBER(B175),MOD(B175,3)=0),"배",
   AND(ISNUMBER(B175),B175&gt;0),"자"
)</f>
        <v>0</v>
      </c>
      <c r="AD175" s="26" cm="1">
        <f t="array" ref="AD175">_xlfn.IFS(
   OR(C175="",ISBLANK(C175),C175=0),0,
   ISNUMBER(MATCH(C175,{2,3,5,7,11,13,17,19,23,29,31,37,41,43},0)),"소",
   AND(ISNUMBER(C175),MOD(C175,3)=0),"배",
   AND(ISNUMBER(C175),C175&gt;0),"자"
)</f>
        <v>0</v>
      </c>
      <c r="AE175" s="26" cm="1">
        <f t="array" ref="AE175">_xlfn.IFS(
   OR(D175="",ISBLANK(D175),D175=0),0,
   ISNUMBER(MATCH(D175,{2,3,5,7,11,13,17,19,23,29,31,37,41,43},0)),"소",
   AND(ISNUMBER(D175),MOD(D175,3)=0),"배",
   AND(ISNUMBER(D175),D175&gt;0),"자"
)</f>
        <v>0</v>
      </c>
      <c r="AF175" s="26" cm="1">
        <f t="array" ref="AF175">_xlfn.IFS(
   OR(E175="",ISBLANK(E175),E175=0),0,
   ISNUMBER(MATCH(E175,{2,3,5,7,11,13,17,19,23,29,31,37,41,43},0)),"소",
   AND(ISNUMBER(E175),MOD(E175,3)=0),"배",
   AND(ISNUMBER(E175),E175&gt;0),"자"
)</f>
        <v>0</v>
      </c>
      <c r="AG175" s="26" cm="1">
        <f t="array" ref="AG175">_xlfn.IFS(
   OR(F175="",ISBLANK(F175),F175=0),0,
   ISNUMBER(MATCH(F175,{2,3,5,7,11,13,17,19,23,29,31,37,41,43},0)),"소",
   AND(ISNUMBER(F175),MOD(F175,3)=0),"배",
   AND(ISNUMBER(F175),F175&gt;0),"자"
)</f>
        <v>0</v>
      </c>
      <c r="AH175" s="26" cm="1">
        <f t="array" ref="AH175">_xlfn.IFS(
   OR(G175="",ISBLANK(G175),G175=0),0,
   ISNUMBER(MATCH(G175,{2,3,5,7,11,13,17,19,23,29,31,37,41,43},0)),"소",
   AND(ISNUMBER(G175),MOD(G175,3)=0),"배",
   AND(ISNUMBER(G175),G175&gt;0),"자"
)</f>
        <v>0</v>
      </c>
      <c r="AI175" s="30"/>
      <c r="AJ175" s="3">
        <f>COUNTIFS(B175:G175,"&gt;=1",B175:G175,"&lt;=14")</f>
        <v>0</v>
      </c>
      <c r="AK175" s="3">
        <f>COUNTIFS(B175:G175,"&gt;=15",B175:G175,"&lt;=31")</f>
        <v>0</v>
      </c>
      <c r="AL175" s="3">
        <f>6-AK175-AJ175</f>
        <v>6</v>
      </c>
      <c r="AM175" s="33"/>
      <c r="AN175" s="3">
        <f>COUNTIFS($B175:$G175, "&gt;=1",$B175:$G175, "&lt;=9")</f>
        <v>0</v>
      </c>
      <c r="AO175" s="3">
        <f>COUNTIFS($B175:$G175, "&gt;=10",$B175:$G175, "&lt;=18")</f>
        <v>0</v>
      </c>
      <c r="AP175" s="3">
        <f>COUNTIFS($B175:$G175, "&gt;=19",$B175:$G175, "&lt;=27")</f>
        <v>0</v>
      </c>
      <c r="AQ175" s="3">
        <f>COUNTIFS($B175:$G175, "&gt;=28",$B175:$G175, "&lt;=36")</f>
        <v>0</v>
      </c>
      <c r="AR175" s="3">
        <f>COUNTIFS($B175:$G175, "&gt;=37",$B175:$G175, "&lt;=45")</f>
        <v>0</v>
      </c>
      <c r="AS175" s="28" t="e">
        <f>#REF!</f>
        <v>#REF!</v>
      </c>
      <c r="AT175" s="28" t="e">
        <f>#REF!*2</f>
        <v>#REF!</v>
      </c>
      <c r="AU175" s="28" t="e">
        <f>#REF!</f>
        <v>#REF!</v>
      </c>
      <c r="AV175" s="28" t="e">
        <f>#REF!*2</f>
        <v>#REF!</v>
      </c>
      <c r="AW175" s="28" t="e">
        <f>#REF!</f>
        <v>#REF!</v>
      </c>
      <c r="AX175" s="28" t="e">
        <f>#REF!*2</f>
        <v>#REF!</v>
      </c>
      <c r="AY175" s="28" t="e">
        <f>#REF!</f>
        <v>#REF!</v>
      </c>
      <c r="AZ175" s="28" t="e">
        <f>#REF!*2</f>
        <v>#REF!</v>
      </c>
      <c r="BA175" s="28" t="e">
        <f>#REF!</f>
        <v>#REF!</v>
      </c>
      <c r="BB175" s="28" t="e">
        <f>#REF!*2</f>
        <v>#REF!</v>
      </c>
      <c r="BC175" s="28" t="e">
        <f>#REF!</f>
        <v>#REF!</v>
      </c>
      <c r="BD175" s="28" t="e">
        <f>#REF!*2</f>
        <v>#REF!</v>
      </c>
      <c r="BE175" s="9" t="e">
        <f>#REF!-#REF!</f>
        <v>#REF!</v>
      </c>
      <c r="BF175" s="9" t="e">
        <f>#REF!-#REF!</f>
        <v>#REF!</v>
      </c>
      <c r="BG175" s="9" t="e">
        <f>#REF!-#REF!</f>
        <v>#REF!</v>
      </c>
      <c r="BH175" s="9" t="e">
        <f>#REF!-#REF!</f>
        <v>#REF!</v>
      </c>
      <c r="BI175" s="9" t="e">
        <f>#REF!-#REF!</f>
        <v>#REF!</v>
      </c>
      <c r="BJ175" s="33"/>
      <c r="BK175" s="3">
        <f>COUNTIFS(B175:G175, "&gt;=1", B175:G175, "&lt;=9")</f>
        <v>0</v>
      </c>
      <c r="BL175" s="3">
        <f>COUNTIFS(B175:G175, "&gt;=10", B175:G175, "&lt;=19")</f>
        <v>0</v>
      </c>
      <c r="BM175" s="3">
        <f>COUNTIFS(B175:G175, "&gt;=20", B175:G175, "&lt;=29")</f>
        <v>0</v>
      </c>
      <c r="BN175" s="3">
        <f>COUNTIFS(B175:G175, "&gt;=30", B175:G175, "&lt;=39")</f>
        <v>0</v>
      </c>
      <c r="BO175" s="3">
        <f>COUNTIFS(B175:G175, "&gt;=40", B175:G175, "&lt;=45")</f>
        <v>0</v>
      </c>
      <c r="BP175" s="28" t="e">
        <f>#REF!</f>
        <v>#REF!</v>
      </c>
      <c r="BQ175" s="28" t="e">
        <f>#REF!*2</f>
        <v>#REF!</v>
      </c>
      <c r="BR175" s="28" t="e">
        <f>#REF!</f>
        <v>#REF!</v>
      </c>
      <c r="BS175" s="28" t="e">
        <f>#REF!*2</f>
        <v>#REF!</v>
      </c>
      <c r="BT175" s="28" t="e">
        <f>#REF!</f>
        <v>#REF!</v>
      </c>
      <c r="BU175" s="28" t="e">
        <f>#REF!*2</f>
        <v>#REF!</v>
      </c>
      <c r="BV175" s="28" t="e">
        <f>#REF!</f>
        <v>#REF!</v>
      </c>
      <c r="BW175" s="28" t="e">
        <f>#REF!*2</f>
        <v>#REF!</v>
      </c>
      <c r="BX175" s="28" t="e">
        <f>#REF!</f>
        <v>#REF!</v>
      </c>
      <c r="BY175" s="28" t="e">
        <f>#REF!*2</f>
        <v>#REF!</v>
      </c>
      <c r="BZ175" s="28" t="e">
        <f>#REF!</f>
        <v>#REF!</v>
      </c>
      <c r="CA175" s="28" t="e">
        <f>#REF!*2</f>
        <v>#REF!</v>
      </c>
      <c r="CB175" s="9">
        <f>C175-B175</f>
        <v>0</v>
      </c>
      <c r="CC175" s="9">
        <f>D175-C175</f>
        <v>0</v>
      </c>
      <c r="CD175" s="9">
        <f>E175-D175</f>
        <v>0</v>
      </c>
      <c r="CE175" s="9">
        <f>F175-E175</f>
        <v>0</v>
      </c>
      <c r="CF175" s="9">
        <f>G175-F175</f>
        <v>0</v>
      </c>
      <c r="CG175" s="33"/>
      <c r="CH175" s="9">
        <f>C175-B175</f>
        <v>0</v>
      </c>
      <c r="CI175" s="9">
        <f>D175-C175</f>
        <v>0</v>
      </c>
      <c r="CJ175" s="9">
        <f>E175-D175</f>
        <v>0</v>
      </c>
      <c r="CK175" s="9">
        <f>F175-E175</f>
        <v>0</v>
      </c>
      <c r="CL175" s="9">
        <f>G175-F175</f>
        <v>0</v>
      </c>
      <c r="CM175" s="32"/>
      <c r="CN175" s="3">
        <f>IF(OR(CH175="",ISBLANK(CH175),CH175=0),0,IF(MOD(CH175,2)=1,1,2))</f>
        <v>0</v>
      </c>
      <c r="CO175" s="3">
        <f>IF(OR(CI175="",ISBLANK(CI175),CI175=0),0,IF(MOD(CI175,2)=1,1,2))</f>
        <v>0</v>
      </c>
      <c r="CP175" s="3">
        <f>IF(OR(CJ175="",ISBLANK(CJ175),CJ175=0),0,IF(MOD(CJ175,2)=1,1,2))</f>
        <v>0</v>
      </c>
      <c r="CQ175" s="3">
        <f>IF(OR(CK175="",ISBLANK(CK175),CK175=0),0,IF(MOD(CK175,2)=1,1,2))</f>
        <v>0</v>
      </c>
      <c r="CR175" s="3">
        <f>IF(OR(CL175="",ISBLANK(CL175),CL175=0),0,IF(MOD(CL175,2)=1,1,2))</f>
        <v>0</v>
      </c>
      <c r="CS175" s="31"/>
      <c r="CT175" s="3" cm="1">
        <f t="array" ref="CT175">SUMPRODUCT(--(MOD(CH175:CL175,2)=1))</f>
        <v>0</v>
      </c>
      <c r="CU175" s="3">
        <f>5-CT175</f>
        <v>5</v>
      </c>
      <c r="CV175" s="30"/>
      <c r="CW175" s="3" cm="1">
        <f t="array" ref="CW175">SUMPRODUCT(--(MOD(CH175:CL175,10)&gt;=1), --(MOD(CH175:CL175,10)&lt;=5))</f>
        <v>0</v>
      </c>
      <c r="CX175" s="3">
        <f>5-CW175</f>
        <v>5</v>
      </c>
      <c r="CY175" s="30"/>
      <c r="CZ175" s="3" cm="1">
        <f t="array" ref="CZ175">IFERROR(COUNT(_xlfn._xlws.FILTER(CH175:CL175, ISNUMBER(MATCH(CH175:CL175, {2,3,5,7,11,13,17,19,23,29,31,37,41,43}, 0)))), 0)</f>
        <v>0</v>
      </c>
      <c r="DA175" s="3" cm="1">
        <f t="array" ref="DA175">IFERROR(COUNT(_xlfn._xlws.FILTER(CH175:CL175, ISNUMBER(MATCH(CH175:CL175, {1,4,8,10,14,16,20,22,25,26,28,32,34,35,38,40,44}, 0)))), 0)</f>
        <v>0</v>
      </c>
      <c r="DB175" s="3" cm="1">
        <f t="array" ref="DB175">IFERROR(COUNT(_xlfn._xlws.FILTER(CH175:CL175, ISNUMBER(MATCH(CH175:CL175, {6,9,12,15,18,21,24,27,30,33,36,39,42,45}, 0)))), 0)</f>
        <v>0</v>
      </c>
      <c r="DC175" s="29"/>
      <c r="DD175" s="28" t="e">
        <f>#REF!</f>
        <v>#REF!</v>
      </c>
      <c r="DE175" s="28" t="e">
        <f>#REF!*2</f>
        <v>#REF!</v>
      </c>
      <c r="DF175" s="28" t="e">
        <f>#REF!</f>
        <v>#REF!</v>
      </c>
      <c r="DG175" s="28" t="e">
        <f>#REF!*2</f>
        <v>#REF!</v>
      </c>
      <c r="DH175" s="28" t="e">
        <f>#REF!</f>
        <v>#REF!</v>
      </c>
      <c r="DI175" s="28" t="e">
        <f>#REF!*2</f>
        <v>#REF!</v>
      </c>
      <c r="DJ175" s="28" t="e">
        <f>#REF!</f>
        <v>#REF!</v>
      </c>
      <c r="DK175" s="28" t="e">
        <f>#REF!*2</f>
        <v>#REF!</v>
      </c>
      <c r="DL175" s="28" t="e">
        <f>#REF!</f>
        <v>#REF!</v>
      </c>
      <c r="DM175" s="28" t="e">
        <f>#REF!*2</f>
        <v>#REF!</v>
      </c>
      <c r="DN175" s="27"/>
      <c r="DO175" s="26"/>
      <c r="DP175" s="26"/>
      <c r="DQ175" s="26"/>
      <c r="DR175" s="26"/>
      <c r="DS175" s="26"/>
      <c r="DT175" s="25"/>
    </row>
    <row r="176" spans="2:124" x14ac:dyDescent="0.3"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2"/>
      <c r="I176" s="3">
        <f>IF(OR(B176="",ISBLANK(B176),B176=0),0,IF(MOD(B176,2)=1,1,2))</f>
        <v>0</v>
      </c>
      <c r="J176" s="3">
        <f>IF(OR(C176="",ISBLANK(C176),C176=0),0,IF(MOD(C176,2)=1,1,2))</f>
        <v>0</v>
      </c>
      <c r="K176" s="3">
        <f>IF(OR(D176="",ISBLANK(D176),D176=0),0,IF(MOD(D176,2)=1,1,2))</f>
        <v>0</v>
      </c>
      <c r="L176" s="3">
        <f>IF(OR(E176="",ISBLANK(E176),E176=0),0,IF(MOD(E176,2)=1,1,2))</f>
        <v>0</v>
      </c>
      <c r="M176" s="3">
        <f>IF(OR(F176="",ISBLANK(F176),F176=0),0,IF(MOD(F176,2)=1,1,2))</f>
        <v>0</v>
      </c>
      <c r="N176" s="3">
        <f>IF(OR(G176="",ISBLANK(G176),G176=0),0,IF(MOD(G176,2)=1,1,2))</f>
        <v>0</v>
      </c>
      <c r="O176" s="32"/>
      <c r="P176" s="3" cm="1">
        <f t="array" ref="P176">SUMPRODUCT(--(MOD(B176:G176,2)=1))</f>
        <v>0</v>
      </c>
      <c r="Q176" s="3">
        <f>6-P176</f>
        <v>6</v>
      </c>
      <c r="R176" s="34"/>
      <c r="S176" s="3">
        <f>COUNTIFS(B176:G176,"&gt;=1",B176:G176,"&lt;=23")</f>
        <v>0</v>
      </c>
      <c r="T176" s="3">
        <f>6-S176</f>
        <v>6</v>
      </c>
      <c r="U176" s="34"/>
      <c r="V176" s="3" cm="1">
        <f t="array" ref="V176">SUMPRODUCT(--(MOD(B176:G176,10)&gt;=1), --(MOD(B176:G176,10)&lt;=5))</f>
        <v>0</v>
      </c>
      <c r="W176" s="3">
        <f>6-V176</f>
        <v>6</v>
      </c>
      <c r="X176" s="34"/>
      <c r="Y176" s="3" cm="1">
        <f t="array" ref="Y176">IFERROR(COUNT(_xlfn._xlws.FILTER(B176:G176, ISNUMBER(MATCH(B176:G176, {2,3,5,7,11,13,17,19,23,29,31,37,41,43}, 0)))), 0)</f>
        <v>0</v>
      </c>
      <c r="Z176" s="3" cm="1">
        <f t="array" ref="Z176">IFERROR(COUNT(_xlfn._xlws.FILTER(B176:G176, ISNUMBER(MATCH(B176:G176, {1,4,8,10,14,16,20,22,25,26,28,32,34,35,38,40,44}, 0)))), 0)</f>
        <v>0</v>
      </c>
      <c r="AA176" s="3" cm="1">
        <f t="array" ref="AA176">IFERROR(COUNT(_xlfn._xlws.FILTER(B176:G176, ISNUMBER(MATCH(B176:G176, {6,9,12,15,18,21,24,27,30,33,36,39,42,45}, 0)))), 0)</f>
        <v>0</v>
      </c>
      <c r="AB176" s="30"/>
      <c r="AC176" s="26" cm="1">
        <f t="array" ref="AC176">_xlfn.IFS(
   OR(B176="",ISBLANK(B176),B176=0),0,
   ISNUMBER(MATCH(B176,{2,3,5,7,11,13,17,19,23,29,31,37,41,43},0)),"소",
   AND(ISNUMBER(B176),MOD(B176,3)=0),"배",
   AND(ISNUMBER(B176),B176&gt;0),"자"
)</f>
        <v>0</v>
      </c>
      <c r="AD176" s="26" cm="1">
        <f t="array" ref="AD176">_xlfn.IFS(
   OR(C176="",ISBLANK(C176),C176=0),0,
   ISNUMBER(MATCH(C176,{2,3,5,7,11,13,17,19,23,29,31,37,41,43},0)),"소",
   AND(ISNUMBER(C176),MOD(C176,3)=0),"배",
   AND(ISNUMBER(C176),C176&gt;0),"자"
)</f>
        <v>0</v>
      </c>
      <c r="AE176" s="26" cm="1">
        <f t="array" ref="AE176">_xlfn.IFS(
   OR(D176="",ISBLANK(D176),D176=0),0,
   ISNUMBER(MATCH(D176,{2,3,5,7,11,13,17,19,23,29,31,37,41,43},0)),"소",
   AND(ISNUMBER(D176),MOD(D176,3)=0),"배",
   AND(ISNUMBER(D176),D176&gt;0),"자"
)</f>
        <v>0</v>
      </c>
      <c r="AF176" s="26" cm="1">
        <f t="array" ref="AF176">_xlfn.IFS(
   OR(E176="",ISBLANK(E176),E176=0),0,
   ISNUMBER(MATCH(E176,{2,3,5,7,11,13,17,19,23,29,31,37,41,43},0)),"소",
   AND(ISNUMBER(E176),MOD(E176,3)=0),"배",
   AND(ISNUMBER(E176),E176&gt;0),"자"
)</f>
        <v>0</v>
      </c>
      <c r="AG176" s="26" cm="1">
        <f t="array" ref="AG176">_xlfn.IFS(
   OR(F176="",ISBLANK(F176),F176=0),0,
   ISNUMBER(MATCH(F176,{2,3,5,7,11,13,17,19,23,29,31,37,41,43},0)),"소",
   AND(ISNUMBER(F176),MOD(F176,3)=0),"배",
   AND(ISNUMBER(F176),F176&gt;0),"자"
)</f>
        <v>0</v>
      </c>
      <c r="AH176" s="26" cm="1">
        <f t="array" ref="AH176">_xlfn.IFS(
   OR(G176="",ISBLANK(G176),G176=0),0,
   ISNUMBER(MATCH(G176,{2,3,5,7,11,13,17,19,23,29,31,37,41,43},0)),"소",
   AND(ISNUMBER(G176),MOD(G176,3)=0),"배",
   AND(ISNUMBER(G176),G176&gt;0),"자"
)</f>
        <v>0</v>
      </c>
      <c r="AI176" s="30"/>
      <c r="AJ176" s="3">
        <f>COUNTIFS(B176:G176,"&gt;=1",B176:G176,"&lt;=14")</f>
        <v>0</v>
      </c>
      <c r="AK176" s="3">
        <f>COUNTIFS(B176:G176,"&gt;=15",B176:G176,"&lt;=31")</f>
        <v>0</v>
      </c>
      <c r="AL176" s="3">
        <f>6-AK176-AJ176</f>
        <v>6</v>
      </c>
      <c r="AM176" s="33"/>
      <c r="AN176" s="3">
        <f>COUNTIFS($B176:$G176, "&gt;=1",$B176:$G176, "&lt;=9")</f>
        <v>0</v>
      </c>
      <c r="AO176" s="3">
        <f>COUNTIFS($B176:$G176, "&gt;=10",$B176:$G176, "&lt;=18")</f>
        <v>0</v>
      </c>
      <c r="AP176" s="3">
        <f>COUNTIFS($B176:$G176, "&gt;=19",$B176:$G176, "&lt;=27")</f>
        <v>0</v>
      </c>
      <c r="AQ176" s="3">
        <f>COUNTIFS($B176:$G176, "&gt;=28",$B176:$G176, "&lt;=36")</f>
        <v>0</v>
      </c>
      <c r="AR176" s="3">
        <f>COUNTIFS($B176:$G176, "&gt;=37",$B176:$G176, "&lt;=45")</f>
        <v>0</v>
      </c>
      <c r="AS176" s="28" t="e">
        <f>#REF!</f>
        <v>#REF!</v>
      </c>
      <c r="AT176" s="28" t="e">
        <f>#REF!*2</f>
        <v>#REF!</v>
      </c>
      <c r="AU176" s="28" t="e">
        <f>#REF!</f>
        <v>#REF!</v>
      </c>
      <c r="AV176" s="28" t="e">
        <f>#REF!*2</f>
        <v>#REF!</v>
      </c>
      <c r="AW176" s="28" t="e">
        <f>#REF!</f>
        <v>#REF!</v>
      </c>
      <c r="AX176" s="28" t="e">
        <f>#REF!*2</f>
        <v>#REF!</v>
      </c>
      <c r="AY176" s="28" t="e">
        <f>#REF!</f>
        <v>#REF!</v>
      </c>
      <c r="AZ176" s="28" t="e">
        <f>#REF!*2</f>
        <v>#REF!</v>
      </c>
      <c r="BA176" s="28" t="e">
        <f>#REF!</f>
        <v>#REF!</v>
      </c>
      <c r="BB176" s="28" t="e">
        <f>#REF!*2</f>
        <v>#REF!</v>
      </c>
      <c r="BC176" s="28" t="e">
        <f>#REF!</f>
        <v>#REF!</v>
      </c>
      <c r="BD176" s="28" t="e">
        <f>#REF!*2</f>
        <v>#REF!</v>
      </c>
      <c r="BE176" s="9" t="e">
        <f>#REF!-#REF!</f>
        <v>#REF!</v>
      </c>
      <c r="BF176" s="9" t="e">
        <f>#REF!-#REF!</f>
        <v>#REF!</v>
      </c>
      <c r="BG176" s="9" t="e">
        <f>#REF!-#REF!</f>
        <v>#REF!</v>
      </c>
      <c r="BH176" s="9" t="e">
        <f>#REF!-#REF!</f>
        <v>#REF!</v>
      </c>
      <c r="BI176" s="9" t="e">
        <f>#REF!-#REF!</f>
        <v>#REF!</v>
      </c>
      <c r="BJ176" s="33"/>
      <c r="BK176" s="3">
        <f>COUNTIFS(B176:G176, "&gt;=1", B176:G176, "&lt;=9")</f>
        <v>0</v>
      </c>
      <c r="BL176" s="3">
        <f>COUNTIFS(B176:G176, "&gt;=10", B176:G176, "&lt;=19")</f>
        <v>0</v>
      </c>
      <c r="BM176" s="3">
        <f>COUNTIFS(B176:G176, "&gt;=20", B176:G176, "&lt;=29")</f>
        <v>0</v>
      </c>
      <c r="BN176" s="3">
        <f>COUNTIFS(B176:G176, "&gt;=30", B176:G176, "&lt;=39")</f>
        <v>0</v>
      </c>
      <c r="BO176" s="3">
        <f>COUNTIFS(B176:G176, "&gt;=40", B176:G176, "&lt;=45")</f>
        <v>0</v>
      </c>
      <c r="BP176" s="28" t="e">
        <f>#REF!</f>
        <v>#REF!</v>
      </c>
      <c r="BQ176" s="28" t="e">
        <f>#REF!*2</f>
        <v>#REF!</v>
      </c>
      <c r="BR176" s="28" t="e">
        <f>#REF!</f>
        <v>#REF!</v>
      </c>
      <c r="BS176" s="28" t="e">
        <f>#REF!*2</f>
        <v>#REF!</v>
      </c>
      <c r="BT176" s="28" t="e">
        <f>#REF!</f>
        <v>#REF!</v>
      </c>
      <c r="BU176" s="28" t="e">
        <f>#REF!*2</f>
        <v>#REF!</v>
      </c>
      <c r="BV176" s="28" t="e">
        <f>#REF!</f>
        <v>#REF!</v>
      </c>
      <c r="BW176" s="28" t="e">
        <f>#REF!*2</f>
        <v>#REF!</v>
      </c>
      <c r="BX176" s="28" t="e">
        <f>#REF!</f>
        <v>#REF!</v>
      </c>
      <c r="BY176" s="28" t="e">
        <f>#REF!*2</f>
        <v>#REF!</v>
      </c>
      <c r="BZ176" s="28" t="e">
        <f>#REF!</f>
        <v>#REF!</v>
      </c>
      <c r="CA176" s="28" t="e">
        <f>#REF!*2</f>
        <v>#REF!</v>
      </c>
      <c r="CB176" s="9">
        <f>C176-B176</f>
        <v>0</v>
      </c>
      <c r="CC176" s="9">
        <f>D176-C176</f>
        <v>0</v>
      </c>
      <c r="CD176" s="9">
        <f>E176-D176</f>
        <v>0</v>
      </c>
      <c r="CE176" s="9">
        <f>F176-E176</f>
        <v>0</v>
      </c>
      <c r="CF176" s="9">
        <f>G176-F176</f>
        <v>0</v>
      </c>
      <c r="CG176" s="33"/>
      <c r="CH176" s="9">
        <f>C176-B176</f>
        <v>0</v>
      </c>
      <c r="CI176" s="9">
        <f>D176-C176</f>
        <v>0</v>
      </c>
      <c r="CJ176" s="9">
        <f>E176-D176</f>
        <v>0</v>
      </c>
      <c r="CK176" s="9">
        <f>F176-E176</f>
        <v>0</v>
      </c>
      <c r="CL176" s="9">
        <f>G176-F176</f>
        <v>0</v>
      </c>
      <c r="CM176" s="32"/>
      <c r="CN176" s="3">
        <f>IF(OR(CH176="",ISBLANK(CH176),CH176=0),0,IF(MOD(CH176,2)=1,1,2))</f>
        <v>0</v>
      </c>
      <c r="CO176" s="3">
        <f>IF(OR(CI176="",ISBLANK(CI176),CI176=0),0,IF(MOD(CI176,2)=1,1,2))</f>
        <v>0</v>
      </c>
      <c r="CP176" s="3">
        <f>IF(OR(CJ176="",ISBLANK(CJ176),CJ176=0),0,IF(MOD(CJ176,2)=1,1,2))</f>
        <v>0</v>
      </c>
      <c r="CQ176" s="3">
        <f>IF(OR(CK176="",ISBLANK(CK176),CK176=0),0,IF(MOD(CK176,2)=1,1,2))</f>
        <v>0</v>
      </c>
      <c r="CR176" s="3">
        <f>IF(OR(CL176="",ISBLANK(CL176),CL176=0),0,IF(MOD(CL176,2)=1,1,2))</f>
        <v>0</v>
      </c>
      <c r="CS176" s="31"/>
      <c r="CT176" s="3" cm="1">
        <f t="array" ref="CT176">SUMPRODUCT(--(MOD(CH176:CL176,2)=1))</f>
        <v>0</v>
      </c>
      <c r="CU176" s="3">
        <f>5-CT176</f>
        <v>5</v>
      </c>
      <c r="CV176" s="30"/>
      <c r="CW176" s="3" cm="1">
        <f t="array" ref="CW176">SUMPRODUCT(--(MOD(CH176:CL176,10)&gt;=1), --(MOD(CH176:CL176,10)&lt;=5))</f>
        <v>0</v>
      </c>
      <c r="CX176" s="3">
        <f>5-CW176</f>
        <v>5</v>
      </c>
      <c r="CY176" s="30"/>
      <c r="CZ176" s="3" cm="1">
        <f t="array" ref="CZ176">IFERROR(COUNT(_xlfn._xlws.FILTER(CH176:CL176, ISNUMBER(MATCH(CH176:CL176, {2,3,5,7,11,13,17,19,23,29,31,37,41,43}, 0)))), 0)</f>
        <v>0</v>
      </c>
      <c r="DA176" s="3" cm="1">
        <f t="array" ref="DA176">IFERROR(COUNT(_xlfn._xlws.FILTER(CH176:CL176, ISNUMBER(MATCH(CH176:CL176, {1,4,8,10,14,16,20,22,25,26,28,32,34,35,38,40,44}, 0)))), 0)</f>
        <v>0</v>
      </c>
      <c r="DB176" s="3" cm="1">
        <f t="array" ref="DB176">IFERROR(COUNT(_xlfn._xlws.FILTER(CH176:CL176, ISNUMBER(MATCH(CH176:CL176, {6,9,12,15,18,21,24,27,30,33,36,39,42,45}, 0)))), 0)</f>
        <v>0</v>
      </c>
      <c r="DC176" s="29"/>
      <c r="DD176" s="28" t="e">
        <f>#REF!</f>
        <v>#REF!</v>
      </c>
      <c r="DE176" s="28" t="e">
        <f>#REF!*2</f>
        <v>#REF!</v>
      </c>
      <c r="DF176" s="28" t="e">
        <f>#REF!</f>
        <v>#REF!</v>
      </c>
      <c r="DG176" s="28" t="e">
        <f>#REF!*2</f>
        <v>#REF!</v>
      </c>
      <c r="DH176" s="28" t="e">
        <f>#REF!</f>
        <v>#REF!</v>
      </c>
      <c r="DI176" s="28" t="e">
        <f>#REF!*2</f>
        <v>#REF!</v>
      </c>
      <c r="DJ176" s="28" t="e">
        <f>#REF!</f>
        <v>#REF!</v>
      </c>
      <c r="DK176" s="28" t="e">
        <f>#REF!*2</f>
        <v>#REF!</v>
      </c>
      <c r="DL176" s="28" t="e">
        <f>#REF!</f>
        <v>#REF!</v>
      </c>
      <c r="DM176" s="28" t="e">
        <f>#REF!*2</f>
        <v>#REF!</v>
      </c>
      <c r="DN176" s="27"/>
      <c r="DO176" s="26"/>
      <c r="DP176" s="26"/>
      <c r="DQ176" s="26"/>
      <c r="DR176" s="26"/>
      <c r="DS176" s="26"/>
      <c r="DT176" s="25"/>
    </row>
    <row r="177" spans="2:124" x14ac:dyDescent="0.3"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2"/>
      <c r="I177" s="3">
        <f>IF(OR(B177="",ISBLANK(B177),B177=0),0,IF(MOD(B177,2)=1,1,2))</f>
        <v>0</v>
      </c>
      <c r="J177" s="3">
        <f>IF(OR(C177="",ISBLANK(C177),C177=0),0,IF(MOD(C177,2)=1,1,2))</f>
        <v>0</v>
      </c>
      <c r="K177" s="3">
        <f>IF(OR(D177="",ISBLANK(D177),D177=0),0,IF(MOD(D177,2)=1,1,2))</f>
        <v>0</v>
      </c>
      <c r="L177" s="3">
        <f>IF(OR(E177="",ISBLANK(E177),E177=0),0,IF(MOD(E177,2)=1,1,2))</f>
        <v>0</v>
      </c>
      <c r="M177" s="3">
        <f>IF(OR(F177="",ISBLANK(F177),F177=0),0,IF(MOD(F177,2)=1,1,2))</f>
        <v>0</v>
      </c>
      <c r="N177" s="3">
        <f>IF(OR(G177="",ISBLANK(G177),G177=0),0,IF(MOD(G177,2)=1,1,2))</f>
        <v>0</v>
      </c>
      <c r="O177" s="32"/>
      <c r="P177" s="3" cm="1">
        <f t="array" ref="P177">SUMPRODUCT(--(MOD(B177:G177,2)=1))</f>
        <v>0</v>
      </c>
      <c r="Q177" s="3">
        <f>6-P177</f>
        <v>6</v>
      </c>
      <c r="R177" s="34"/>
      <c r="S177" s="3">
        <f>COUNTIFS(B177:G177,"&gt;=1",B177:G177,"&lt;=23")</f>
        <v>0</v>
      </c>
      <c r="T177" s="3">
        <f>6-S177</f>
        <v>6</v>
      </c>
      <c r="U177" s="34"/>
      <c r="V177" s="3" cm="1">
        <f t="array" ref="V177">SUMPRODUCT(--(MOD(B177:G177,10)&gt;=1), --(MOD(B177:G177,10)&lt;=5))</f>
        <v>0</v>
      </c>
      <c r="W177" s="3">
        <f>6-V177</f>
        <v>6</v>
      </c>
      <c r="X177" s="34"/>
      <c r="Y177" s="3" cm="1">
        <f t="array" ref="Y177">IFERROR(COUNT(_xlfn._xlws.FILTER(B177:G177, ISNUMBER(MATCH(B177:G177, {2,3,5,7,11,13,17,19,23,29,31,37,41,43}, 0)))), 0)</f>
        <v>0</v>
      </c>
      <c r="Z177" s="3" cm="1">
        <f t="array" ref="Z177">IFERROR(COUNT(_xlfn._xlws.FILTER(B177:G177, ISNUMBER(MATCH(B177:G177, {1,4,8,10,14,16,20,22,25,26,28,32,34,35,38,40,44}, 0)))), 0)</f>
        <v>0</v>
      </c>
      <c r="AA177" s="3" cm="1">
        <f t="array" ref="AA177">IFERROR(COUNT(_xlfn._xlws.FILTER(B177:G177, ISNUMBER(MATCH(B177:G177, {6,9,12,15,18,21,24,27,30,33,36,39,42,45}, 0)))), 0)</f>
        <v>0</v>
      </c>
      <c r="AB177" s="30"/>
      <c r="AC177" s="26" cm="1">
        <f t="array" ref="AC177">_xlfn.IFS(
   OR(B177="",ISBLANK(B177),B177=0),0,
   ISNUMBER(MATCH(B177,{2,3,5,7,11,13,17,19,23,29,31,37,41,43},0)),"소",
   AND(ISNUMBER(B177),MOD(B177,3)=0),"배",
   AND(ISNUMBER(B177),B177&gt;0),"자"
)</f>
        <v>0</v>
      </c>
      <c r="AD177" s="26" cm="1">
        <f t="array" ref="AD177">_xlfn.IFS(
   OR(C177="",ISBLANK(C177),C177=0),0,
   ISNUMBER(MATCH(C177,{2,3,5,7,11,13,17,19,23,29,31,37,41,43},0)),"소",
   AND(ISNUMBER(C177),MOD(C177,3)=0),"배",
   AND(ISNUMBER(C177),C177&gt;0),"자"
)</f>
        <v>0</v>
      </c>
      <c r="AE177" s="26" cm="1">
        <f t="array" ref="AE177">_xlfn.IFS(
   OR(D177="",ISBLANK(D177),D177=0),0,
   ISNUMBER(MATCH(D177,{2,3,5,7,11,13,17,19,23,29,31,37,41,43},0)),"소",
   AND(ISNUMBER(D177),MOD(D177,3)=0),"배",
   AND(ISNUMBER(D177),D177&gt;0),"자"
)</f>
        <v>0</v>
      </c>
      <c r="AF177" s="26" cm="1">
        <f t="array" ref="AF177">_xlfn.IFS(
   OR(E177="",ISBLANK(E177),E177=0),0,
   ISNUMBER(MATCH(E177,{2,3,5,7,11,13,17,19,23,29,31,37,41,43},0)),"소",
   AND(ISNUMBER(E177),MOD(E177,3)=0),"배",
   AND(ISNUMBER(E177),E177&gt;0),"자"
)</f>
        <v>0</v>
      </c>
      <c r="AG177" s="26" cm="1">
        <f t="array" ref="AG177">_xlfn.IFS(
   OR(F177="",ISBLANK(F177),F177=0),0,
   ISNUMBER(MATCH(F177,{2,3,5,7,11,13,17,19,23,29,31,37,41,43},0)),"소",
   AND(ISNUMBER(F177),MOD(F177,3)=0),"배",
   AND(ISNUMBER(F177),F177&gt;0),"자"
)</f>
        <v>0</v>
      </c>
      <c r="AH177" s="26" cm="1">
        <f t="array" ref="AH177">_xlfn.IFS(
   OR(G177="",ISBLANK(G177),G177=0),0,
   ISNUMBER(MATCH(G177,{2,3,5,7,11,13,17,19,23,29,31,37,41,43},0)),"소",
   AND(ISNUMBER(G177),MOD(G177,3)=0),"배",
   AND(ISNUMBER(G177),G177&gt;0),"자"
)</f>
        <v>0</v>
      </c>
      <c r="AI177" s="30"/>
      <c r="AJ177" s="3">
        <f>COUNTIFS(B177:G177,"&gt;=1",B177:G177,"&lt;=14")</f>
        <v>0</v>
      </c>
      <c r="AK177" s="3">
        <f>COUNTIFS(B177:G177,"&gt;=15",B177:G177,"&lt;=31")</f>
        <v>0</v>
      </c>
      <c r="AL177" s="3">
        <f>6-AK177-AJ177</f>
        <v>6</v>
      </c>
      <c r="AM177" s="33"/>
      <c r="AN177" s="3">
        <f>COUNTIFS($B177:$G177, "&gt;=1",$B177:$G177, "&lt;=9")</f>
        <v>0</v>
      </c>
      <c r="AO177" s="3">
        <f>COUNTIFS($B177:$G177, "&gt;=10",$B177:$G177, "&lt;=18")</f>
        <v>0</v>
      </c>
      <c r="AP177" s="3">
        <f>COUNTIFS($B177:$G177, "&gt;=19",$B177:$G177, "&lt;=27")</f>
        <v>0</v>
      </c>
      <c r="AQ177" s="3">
        <f>COUNTIFS($B177:$G177, "&gt;=28",$B177:$G177, "&lt;=36")</f>
        <v>0</v>
      </c>
      <c r="AR177" s="3">
        <f>COUNTIFS($B177:$G177, "&gt;=37",$B177:$G177, "&lt;=45")</f>
        <v>0</v>
      </c>
      <c r="AS177" s="28" t="e">
        <f>#REF!</f>
        <v>#REF!</v>
      </c>
      <c r="AT177" s="28" t="e">
        <f>#REF!*2</f>
        <v>#REF!</v>
      </c>
      <c r="AU177" s="28" t="e">
        <f>#REF!</f>
        <v>#REF!</v>
      </c>
      <c r="AV177" s="28" t="e">
        <f>#REF!*2</f>
        <v>#REF!</v>
      </c>
      <c r="AW177" s="28" t="e">
        <f>#REF!</f>
        <v>#REF!</v>
      </c>
      <c r="AX177" s="28" t="e">
        <f>#REF!*2</f>
        <v>#REF!</v>
      </c>
      <c r="AY177" s="28" t="e">
        <f>#REF!</f>
        <v>#REF!</v>
      </c>
      <c r="AZ177" s="28" t="e">
        <f>#REF!*2</f>
        <v>#REF!</v>
      </c>
      <c r="BA177" s="28" t="e">
        <f>#REF!</f>
        <v>#REF!</v>
      </c>
      <c r="BB177" s="28" t="e">
        <f>#REF!*2</f>
        <v>#REF!</v>
      </c>
      <c r="BC177" s="28" t="e">
        <f>#REF!</f>
        <v>#REF!</v>
      </c>
      <c r="BD177" s="28" t="e">
        <f>#REF!*2</f>
        <v>#REF!</v>
      </c>
      <c r="BE177" s="9" t="e">
        <f>#REF!-#REF!</f>
        <v>#REF!</v>
      </c>
      <c r="BF177" s="9" t="e">
        <f>#REF!-#REF!</f>
        <v>#REF!</v>
      </c>
      <c r="BG177" s="9" t="e">
        <f>#REF!-#REF!</f>
        <v>#REF!</v>
      </c>
      <c r="BH177" s="9" t="e">
        <f>#REF!-#REF!</f>
        <v>#REF!</v>
      </c>
      <c r="BI177" s="9" t="e">
        <f>#REF!-#REF!</f>
        <v>#REF!</v>
      </c>
      <c r="BJ177" s="33"/>
      <c r="BK177" s="3">
        <f>COUNTIFS(B177:G177, "&gt;=1", B177:G177, "&lt;=9")</f>
        <v>0</v>
      </c>
      <c r="BL177" s="3">
        <f>COUNTIFS(B177:G177, "&gt;=10", B177:G177, "&lt;=19")</f>
        <v>0</v>
      </c>
      <c r="BM177" s="3">
        <f>COUNTIFS(B177:G177, "&gt;=20", B177:G177, "&lt;=29")</f>
        <v>0</v>
      </c>
      <c r="BN177" s="3">
        <f>COUNTIFS(B177:G177, "&gt;=30", B177:G177, "&lt;=39")</f>
        <v>0</v>
      </c>
      <c r="BO177" s="3">
        <f>COUNTIFS(B177:G177, "&gt;=40", B177:G177, "&lt;=45")</f>
        <v>0</v>
      </c>
      <c r="BP177" s="28" t="e">
        <f>#REF!</f>
        <v>#REF!</v>
      </c>
      <c r="BQ177" s="28" t="e">
        <f>#REF!*2</f>
        <v>#REF!</v>
      </c>
      <c r="BR177" s="28" t="e">
        <f>#REF!</f>
        <v>#REF!</v>
      </c>
      <c r="BS177" s="28" t="e">
        <f>#REF!*2</f>
        <v>#REF!</v>
      </c>
      <c r="BT177" s="28" t="e">
        <f>#REF!</f>
        <v>#REF!</v>
      </c>
      <c r="BU177" s="28" t="e">
        <f>#REF!*2</f>
        <v>#REF!</v>
      </c>
      <c r="BV177" s="28" t="e">
        <f>#REF!</f>
        <v>#REF!</v>
      </c>
      <c r="BW177" s="28" t="e">
        <f>#REF!*2</f>
        <v>#REF!</v>
      </c>
      <c r="BX177" s="28" t="e">
        <f>#REF!</f>
        <v>#REF!</v>
      </c>
      <c r="BY177" s="28" t="e">
        <f>#REF!*2</f>
        <v>#REF!</v>
      </c>
      <c r="BZ177" s="28" t="e">
        <f>#REF!</f>
        <v>#REF!</v>
      </c>
      <c r="CA177" s="28" t="e">
        <f>#REF!*2</f>
        <v>#REF!</v>
      </c>
      <c r="CB177" s="9">
        <f>C177-B177</f>
        <v>0</v>
      </c>
      <c r="CC177" s="9">
        <f>D177-C177</f>
        <v>0</v>
      </c>
      <c r="CD177" s="9">
        <f>E177-D177</f>
        <v>0</v>
      </c>
      <c r="CE177" s="9">
        <f>F177-E177</f>
        <v>0</v>
      </c>
      <c r="CF177" s="9">
        <f>G177-F177</f>
        <v>0</v>
      </c>
      <c r="CG177" s="33"/>
      <c r="CH177" s="9">
        <f>C177-B177</f>
        <v>0</v>
      </c>
      <c r="CI177" s="9">
        <f>D177-C177</f>
        <v>0</v>
      </c>
      <c r="CJ177" s="9">
        <f>E177-D177</f>
        <v>0</v>
      </c>
      <c r="CK177" s="9">
        <f>F177-E177</f>
        <v>0</v>
      </c>
      <c r="CL177" s="9">
        <f>G177-F177</f>
        <v>0</v>
      </c>
      <c r="CM177" s="32"/>
      <c r="CN177" s="3">
        <f>IF(OR(CH177="",ISBLANK(CH177),CH177=0),0,IF(MOD(CH177,2)=1,1,2))</f>
        <v>0</v>
      </c>
      <c r="CO177" s="3">
        <f>IF(OR(CI177="",ISBLANK(CI177),CI177=0),0,IF(MOD(CI177,2)=1,1,2))</f>
        <v>0</v>
      </c>
      <c r="CP177" s="3">
        <f>IF(OR(CJ177="",ISBLANK(CJ177),CJ177=0),0,IF(MOD(CJ177,2)=1,1,2))</f>
        <v>0</v>
      </c>
      <c r="CQ177" s="3">
        <f>IF(OR(CK177="",ISBLANK(CK177),CK177=0),0,IF(MOD(CK177,2)=1,1,2))</f>
        <v>0</v>
      </c>
      <c r="CR177" s="3">
        <f>IF(OR(CL177="",ISBLANK(CL177),CL177=0),0,IF(MOD(CL177,2)=1,1,2))</f>
        <v>0</v>
      </c>
      <c r="CS177" s="31"/>
      <c r="CT177" s="3" cm="1">
        <f t="array" ref="CT177">SUMPRODUCT(--(MOD(CH177:CL177,2)=1))</f>
        <v>0</v>
      </c>
      <c r="CU177" s="3">
        <f>5-CT177</f>
        <v>5</v>
      </c>
      <c r="CV177" s="30"/>
      <c r="CW177" s="3" cm="1">
        <f t="array" ref="CW177">SUMPRODUCT(--(MOD(CH177:CL177,10)&gt;=1), --(MOD(CH177:CL177,10)&lt;=5))</f>
        <v>0</v>
      </c>
      <c r="CX177" s="3">
        <f>5-CW177</f>
        <v>5</v>
      </c>
      <c r="CY177" s="30"/>
      <c r="CZ177" s="3" cm="1">
        <f t="array" ref="CZ177">IFERROR(COUNT(_xlfn._xlws.FILTER(CH177:CL177, ISNUMBER(MATCH(CH177:CL177, {2,3,5,7,11,13,17,19,23,29,31,37,41,43}, 0)))), 0)</f>
        <v>0</v>
      </c>
      <c r="DA177" s="3" cm="1">
        <f t="array" ref="DA177">IFERROR(COUNT(_xlfn._xlws.FILTER(CH177:CL177, ISNUMBER(MATCH(CH177:CL177, {1,4,8,10,14,16,20,22,25,26,28,32,34,35,38,40,44}, 0)))), 0)</f>
        <v>0</v>
      </c>
      <c r="DB177" s="3" cm="1">
        <f t="array" ref="DB177">IFERROR(COUNT(_xlfn._xlws.FILTER(CH177:CL177, ISNUMBER(MATCH(CH177:CL177, {6,9,12,15,18,21,24,27,30,33,36,39,42,45}, 0)))), 0)</f>
        <v>0</v>
      </c>
      <c r="DC177" s="29"/>
      <c r="DD177" s="28" t="e">
        <f>#REF!</f>
        <v>#REF!</v>
      </c>
      <c r="DE177" s="28" t="e">
        <f>#REF!*2</f>
        <v>#REF!</v>
      </c>
      <c r="DF177" s="28" t="e">
        <f>#REF!</f>
        <v>#REF!</v>
      </c>
      <c r="DG177" s="28" t="e">
        <f>#REF!*2</f>
        <v>#REF!</v>
      </c>
      <c r="DH177" s="28" t="e">
        <f>#REF!</f>
        <v>#REF!</v>
      </c>
      <c r="DI177" s="28" t="e">
        <f>#REF!*2</f>
        <v>#REF!</v>
      </c>
      <c r="DJ177" s="28" t="e">
        <f>#REF!</f>
        <v>#REF!</v>
      </c>
      <c r="DK177" s="28" t="e">
        <f>#REF!*2</f>
        <v>#REF!</v>
      </c>
      <c r="DL177" s="28" t="e">
        <f>#REF!</f>
        <v>#REF!</v>
      </c>
      <c r="DM177" s="28" t="e">
        <f>#REF!*2</f>
        <v>#REF!</v>
      </c>
      <c r="DN177" s="27"/>
      <c r="DO177" s="26"/>
      <c r="DP177" s="26"/>
      <c r="DQ177" s="26"/>
      <c r="DR177" s="26"/>
      <c r="DS177" s="26"/>
      <c r="DT177" s="25"/>
    </row>
    <row r="178" spans="2:124" x14ac:dyDescent="0.3"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2"/>
      <c r="I178" s="3">
        <f>IF(OR(B178="",ISBLANK(B178),B178=0),0,IF(MOD(B178,2)=1,1,2))</f>
        <v>0</v>
      </c>
      <c r="J178" s="3">
        <f>IF(OR(C178="",ISBLANK(C178),C178=0),0,IF(MOD(C178,2)=1,1,2))</f>
        <v>0</v>
      </c>
      <c r="K178" s="3">
        <f>IF(OR(D178="",ISBLANK(D178),D178=0),0,IF(MOD(D178,2)=1,1,2))</f>
        <v>0</v>
      </c>
      <c r="L178" s="3">
        <f>IF(OR(E178="",ISBLANK(E178),E178=0),0,IF(MOD(E178,2)=1,1,2))</f>
        <v>0</v>
      </c>
      <c r="M178" s="3">
        <f>IF(OR(F178="",ISBLANK(F178),F178=0),0,IF(MOD(F178,2)=1,1,2))</f>
        <v>0</v>
      </c>
      <c r="N178" s="3">
        <f>IF(OR(G178="",ISBLANK(G178),G178=0),0,IF(MOD(G178,2)=1,1,2))</f>
        <v>0</v>
      </c>
      <c r="O178" s="32"/>
      <c r="P178" s="3" cm="1">
        <f t="array" ref="P178">SUMPRODUCT(--(MOD(B178:G178,2)=1))</f>
        <v>0</v>
      </c>
      <c r="Q178" s="3">
        <f>6-P178</f>
        <v>6</v>
      </c>
      <c r="R178" s="34"/>
      <c r="S178" s="3">
        <f>COUNTIFS(B178:G178,"&gt;=1",B178:G178,"&lt;=23")</f>
        <v>0</v>
      </c>
      <c r="T178" s="3">
        <f>6-S178</f>
        <v>6</v>
      </c>
      <c r="U178" s="34"/>
      <c r="V178" s="3" cm="1">
        <f t="array" ref="V178">SUMPRODUCT(--(MOD(B178:G178,10)&gt;=1), --(MOD(B178:G178,10)&lt;=5))</f>
        <v>0</v>
      </c>
      <c r="W178" s="3">
        <f>6-V178</f>
        <v>6</v>
      </c>
      <c r="X178" s="34"/>
      <c r="Y178" s="3" cm="1">
        <f t="array" ref="Y178">IFERROR(COUNT(_xlfn._xlws.FILTER(B178:G178, ISNUMBER(MATCH(B178:G178, {2,3,5,7,11,13,17,19,23,29,31,37,41,43}, 0)))), 0)</f>
        <v>0</v>
      </c>
      <c r="Z178" s="3" cm="1">
        <f t="array" ref="Z178">IFERROR(COUNT(_xlfn._xlws.FILTER(B178:G178, ISNUMBER(MATCH(B178:G178, {1,4,8,10,14,16,20,22,25,26,28,32,34,35,38,40,44}, 0)))), 0)</f>
        <v>0</v>
      </c>
      <c r="AA178" s="3" cm="1">
        <f t="array" ref="AA178">IFERROR(COUNT(_xlfn._xlws.FILTER(B178:G178, ISNUMBER(MATCH(B178:G178, {6,9,12,15,18,21,24,27,30,33,36,39,42,45}, 0)))), 0)</f>
        <v>0</v>
      </c>
      <c r="AB178" s="30"/>
      <c r="AC178" s="26" cm="1">
        <f t="array" ref="AC178">_xlfn.IFS(
   OR(B178="",ISBLANK(B178),B178=0),0,
   ISNUMBER(MATCH(B178,{2,3,5,7,11,13,17,19,23,29,31,37,41,43},0)),"소",
   AND(ISNUMBER(B178),MOD(B178,3)=0),"배",
   AND(ISNUMBER(B178),B178&gt;0),"자"
)</f>
        <v>0</v>
      </c>
      <c r="AD178" s="26" cm="1">
        <f t="array" ref="AD178">_xlfn.IFS(
   OR(C178="",ISBLANK(C178),C178=0),0,
   ISNUMBER(MATCH(C178,{2,3,5,7,11,13,17,19,23,29,31,37,41,43},0)),"소",
   AND(ISNUMBER(C178),MOD(C178,3)=0),"배",
   AND(ISNUMBER(C178),C178&gt;0),"자"
)</f>
        <v>0</v>
      </c>
      <c r="AE178" s="26" cm="1">
        <f t="array" ref="AE178">_xlfn.IFS(
   OR(D178="",ISBLANK(D178),D178=0),0,
   ISNUMBER(MATCH(D178,{2,3,5,7,11,13,17,19,23,29,31,37,41,43},0)),"소",
   AND(ISNUMBER(D178),MOD(D178,3)=0),"배",
   AND(ISNUMBER(D178),D178&gt;0),"자"
)</f>
        <v>0</v>
      </c>
      <c r="AF178" s="26" cm="1">
        <f t="array" ref="AF178">_xlfn.IFS(
   OR(E178="",ISBLANK(E178),E178=0),0,
   ISNUMBER(MATCH(E178,{2,3,5,7,11,13,17,19,23,29,31,37,41,43},0)),"소",
   AND(ISNUMBER(E178),MOD(E178,3)=0),"배",
   AND(ISNUMBER(E178),E178&gt;0),"자"
)</f>
        <v>0</v>
      </c>
      <c r="AG178" s="26" cm="1">
        <f t="array" ref="AG178">_xlfn.IFS(
   OR(F178="",ISBLANK(F178),F178=0),0,
   ISNUMBER(MATCH(F178,{2,3,5,7,11,13,17,19,23,29,31,37,41,43},0)),"소",
   AND(ISNUMBER(F178),MOD(F178,3)=0),"배",
   AND(ISNUMBER(F178),F178&gt;0),"자"
)</f>
        <v>0</v>
      </c>
      <c r="AH178" s="26" cm="1">
        <f t="array" ref="AH178">_xlfn.IFS(
   OR(G178="",ISBLANK(G178),G178=0),0,
   ISNUMBER(MATCH(G178,{2,3,5,7,11,13,17,19,23,29,31,37,41,43},0)),"소",
   AND(ISNUMBER(G178),MOD(G178,3)=0),"배",
   AND(ISNUMBER(G178),G178&gt;0),"자"
)</f>
        <v>0</v>
      </c>
      <c r="AI178" s="30"/>
      <c r="AJ178" s="3">
        <f>COUNTIFS(B178:G178,"&gt;=1",B178:G178,"&lt;=14")</f>
        <v>0</v>
      </c>
      <c r="AK178" s="3">
        <f>COUNTIFS(B178:G178,"&gt;=15",B178:G178,"&lt;=31")</f>
        <v>0</v>
      </c>
      <c r="AL178" s="3">
        <f>6-AK178-AJ178</f>
        <v>6</v>
      </c>
      <c r="AM178" s="33"/>
      <c r="AN178" s="3">
        <f>COUNTIFS($B178:$G178, "&gt;=1",$B178:$G178, "&lt;=9")</f>
        <v>0</v>
      </c>
      <c r="AO178" s="3">
        <f>COUNTIFS($B178:$G178, "&gt;=10",$B178:$G178, "&lt;=18")</f>
        <v>0</v>
      </c>
      <c r="AP178" s="3">
        <f>COUNTIFS($B178:$G178, "&gt;=19",$B178:$G178, "&lt;=27")</f>
        <v>0</v>
      </c>
      <c r="AQ178" s="3">
        <f>COUNTIFS($B178:$G178, "&gt;=28",$B178:$G178, "&lt;=36")</f>
        <v>0</v>
      </c>
      <c r="AR178" s="3">
        <f>COUNTIFS($B178:$G178, "&gt;=37",$B178:$G178, "&lt;=45")</f>
        <v>0</v>
      </c>
      <c r="AS178" s="28" t="e">
        <f>#REF!</f>
        <v>#REF!</v>
      </c>
      <c r="AT178" s="28" t="e">
        <f>#REF!*2</f>
        <v>#REF!</v>
      </c>
      <c r="AU178" s="28" t="e">
        <f>#REF!</f>
        <v>#REF!</v>
      </c>
      <c r="AV178" s="28" t="e">
        <f>#REF!*2</f>
        <v>#REF!</v>
      </c>
      <c r="AW178" s="28" t="e">
        <f>#REF!</f>
        <v>#REF!</v>
      </c>
      <c r="AX178" s="28" t="e">
        <f>#REF!*2</f>
        <v>#REF!</v>
      </c>
      <c r="AY178" s="28" t="e">
        <f>#REF!</f>
        <v>#REF!</v>
      </c>
      <c r="AZ178" s="28" t="e">
        <f>#REF!*2</f>
        <v>#REF!</v>
      </c>
      <c r="BA178" s="28" t="e">
        <f>#REF!</f>
        <v>#REF!</v>
      </c>
      <c r="BB178" s="28" t="e">
        <f>#REF!*2</f>
        <v>#REF!</v>
      </c>
      <c r="BC178" s="28" t="e">
        <f>#REF!</f>
        <v>#REF!</v>
      </c>
      <c r="BD178" s="28" t="e">
        <f>#REF!*2</f>
        <v>#REF!</v>
      </c>
      <c r="BE178" s="9" t="e">
        <f>#REF!-#REF!</f>
        <v>#REF!</v>
      </c>
      <c r="BF178" s="9" t="e">
        <f>#REF!-#REF!</f>
        <v>#REF!</v>
      </c>
      <c r="BG178" s="9" t="e">
        <f>#REF!-#REF!</f>
        <v>#REF!</v>
      </c>
      <c r="BH178" s="9" t="e">
        <f>#REF!-#REF!</f>
        <v>#REF!</v>
      </c>
      <c r="BI178" s="9" t="e">
        <f>#REF!-#REF!</f>
        <v>#REF!</v>
      </c>
      <c r="BJ178" s="33"/>
      <c r="BK178" s="3">
        <f>COUNTIFS(B178:G178, "&gt;=1", B178:G178, "&lt;=9")</f>
        <v>0</v>
      </c>
      <c r="BL178" s="3">
        <f>COUNTIFS(B178:G178, "&gt;=10", B178:G178, "&lt;=19")</f>
        <v>0</v>
      </c>
      <c r="BM178" s="3">
        <f>COUNTIFS(B178:G178, "&gt;=20", B178:G178, "&lt;=29")</f>
        <v>0</v>
      </c>
      <c r="BN178" s="3">
        <f>COUNTIFS(B178:G178, "&gt;=30", B178:G178, "&lt;=39")</f>
        <v>0</v>
      </c>
      <c r="BO178" s="3">
        <f>COUNTIFS(B178:G178, "&gt;=40", B178:G178, "&lt;=45")</f>
        <v>0</v>
      </c>
      <c r="BP178" s="28" t="e">
        <f>#REF!</f>
        <v>#REF!</v>
      </c>
      <c r="BQ178" s="28" t="e">
        <f>#REF!*2</f>
        <v>#REF!</v>
      </c>
      <c r="BR178" s="28" t="e">
        <f>#REF!</f>
        <v>#REF!</v>
      </c>
      <c r="BS178" s="28" t="e">
        <f>#REF!*2</f>
        <v>#REF!</v>
      </c>
      <c r="BT178" s="28" t="e">
        <f>#REF!</f>
        <v>#REF!</v>
      </c>
      <c r="BU178" s="28" t="e">
        <f>#REF!*2</f>
        <v>#REF!</v>
      </c>
      <c r="BV178" s="28" t="e">
        <f>#REF!</f>
        <v>#REF!</v>
      </c>
      <c r="BW178" s="28" t="e">
        <f>#REF!*2</f>
        <v>#REF!</v>
      </c>
      <c r="BX178" s="28" t="e">
        <f>#REF!</f>
        <v>#REF!</v>
      </c>
      <c r="BY178" s="28" t="e">
        <f>#REF!*2</f>
        <v>#REF!</v>
      </c>
      <c r="BZ178" s="28" t="e">
        <f>#REF!</f>
        <v>#REF!</v>
      </c>
      <c r="CA178" s="28" t="e">
        <f>#REF!*2</f>
        <v>#REF!</v>
      </c>
      <c r="CB178" s="9">
        <f>C178-B178</f>
        <v>0</v>
      </c>
      <c r="CC178" s="9">
        <f>D178-C178</f>
        <v>0</v>
      </c>
      <c r="CD178" s="9">
        <f>E178-D178</f>
        <v>0</v>
      </c>
      <c r="CE178" s="9">
        <f>F178-E178</f>
        <v>0</v>
      </c>
      <c r="CF178" s="9">
        <f>G178-F178</f>
        <v>0</v>
      </c>
      <c r="CG178" s="33"/>
      <c r="CH178" s="9">
        <f>C178-B178</f>
        <v>0</v>
      </c>
      <c r="CI178" s="9">
        <f>D178-C178</f>
        <v>0</v>
      </c>
      <c r="CJ178" s="9">
        <f>E178-D178</f>
        <v>0</v>
      </c>
      <c r="CK178" s="9">
        <f>F178-E178</f>
        <v>0</v>
      </c>
      <c r="CL178" s="9">
        <f>G178-F178</f>
        <v>0</v>
      </c>
      <c r="CM178" s="32"/>
      <c r="CN178" s="3">
        <f>IF(OR(CH178="",ISBLANK(CH178),CH178=0),0,IF(MOD(CH178,2)=1,1,2))</f>
        <v>0</v>
      </c>
      <c r="CO178" s="3">
        <f>IF(OR(CI178="",ISBLANK(CI178),CI178=0),0,IF(MOD(CI178,2)=1,1,2))</f>
        <v>0</v>
      </c>
      <c r="CP178" s="3">
        <f>IF(OR(CJ178="",ISBLANK(CJ178),CJ178=0),0,IF(MOD(CJ178,2)=1,1,2))</f>
        <v>0</v>
      </c>
      <c r="CQ178" s="3">
        <f>IF(OR(CK178="",ISBLANK(CK178),CK178=0),0,IF(MOD(CK178,2)=1,1,2))</f>
        <v>0</v>
      </c>
      <c r="CR178" s="3">
        <f>IF(OR(CL178="",ISBLANK(CL178),CL178=0),0,IF(MOD(CL178,2)=1,1,2))</f>
        <v>0</v>
      </c>
      <c r="CS178" s="31"/>
      <c r="CT178" s="3" cm="1">
        <f t="array" ref="CT178">SUMPRODUCT(--(MOD(CH178:CL178,2)=1))</f>
        <v>0</v>
      </c>
      <c r="CU178" s="3">
        <f>5-CT178</f>
        <v>5</v>
      </c>
      <c r="CV178" s="30"/>
      <c r="CW178" s="3" cm="1">
        <f t="array" ref="CW178">SUMPRODUCT(--(MOD(CH178:CL178,10)&gt;=1), --(MOD(CH178:CL178,10)&lt;=5))</f>
        <v>0</v>
      </c>
      <c r="CX178" s="3">
        <f>5-CW178</f>
        <v>5</v>
      </c>
      <c r="CY178" s="30"/>
      <c r="CZ178" s="3" cm="1">
        <f t="array" ref="CZ178">IFERROR(COUNT(_xlfn._xlws.FILTER(CH178:CL178, ISNUMBER(MATCH(CH178:CL178, {2,3,5,7,11,13,17,19,23,29,31,37,41,43}, 0)))), 0)</f>
        <v>0</v>
      </c>
      <c r="DA178" s="3" cm="1">
        <f t="array" ref="DA178">IFERROR(COUNT(_xlfn._xlws.FILTER(CH178:CL178, ISNUMBER(MATCH(CH178:CL178, {1,4,8,10,14,16,20,22,25,26,28,32,34,35,38,40,44}, 0)))), 0)</f>
        <v>0</v>
      </c>
      <c r="DB178" s="3" cm="1">
        <f t="array" ref="DB178">IFERROR(COUNT(_xlfn._xlws.FILTER(CH178:CL178, ISNUMBER(MATCH(CH178:CL178, {6,9,12,15,18,21,24,27,30,33,36,39,42,45}, 0)))), 0)</f>
        <v>0</v>
      </c>
      <c r="DC178" s="29"/>
      <c r="DD178" s="28" t="e">
        <f>#REF!</f>
        <v>#REF!</v>
      </c>
      <c r="DE178" s="28" t="e">
        <f>#REF!*2</f>
        <v>#REF!</v>
      </c>
      <c r="DF178" s="28" t="e">
        <f>#REF!</f>
        <v>#REF!</v>
      </c>
      <c r="DG178" s="28" t="e">
        <f>#REF!*2</f>
        <v>#REF!</v>
      </c>
      <c r="DH178" s="28" t="e">
        <f>#REF!</f>
        <v>#REF!</v>
      </c>
      <c r="DI178" s="28" t="e">
        <f>#REF!*2</f>
        <v>#REF!</v>
      </c>
      <c r="DJ178" s="28" t="e">
        <f>#REF!</f>
        <v>#REF!</v>
      </c>
      <c r="DK178" s="28" t="e">
        <f>#REF!*2</f>
        <v>#REF!</v>
      </c>
      <c r="DL178" s="28" t="e">
        <f>#REF!</f>
        <v>#REF!</v>
      </c>
      <c r="DM178" s="28" t="e">
        <f>#REF!*2</f>
        <v>#REF!</v>
      </c>
      <c r="DN178" s="27"/>
      <c r="DO178" s="26"/>
      <c r="DP178" s="26"/>
      <c r="DQ178" s="26"/>
      <c r="DR178" s="26"/>
      <c r="DS178" s="26"/>
      <c r="DT178" s="25"/>
    </row>
    <row r="179" spans="2:124" x14ac:dyDescent="0.3"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2"/>
      <c r="I179" s="3">
        <f>IF(OR(B179="",ISBLANK(B179),B179=0),0,IF(MOD(B179,2)=1,1,2))</f>
        <v>0</v>
      </c>
      <c r="J179" s="3">
        <f>IF(OR(C179="",ISBLANK(C179),C179=0),0,IF(MOD(C179,2)=1,1,2))</f>
        <v>0</v>
      </c>
      <c r="K179" s="3">
        <f>IF(OR(D179="",ISBLANK(D179),D179=0),0,IF(MOD(D179,2)=1,1,2))</f>
        <v>0</v>
      </c>
      <c r="L179" s="3">
        <f>IF(OR(E179="",ISBLANK(E179),E179=0),0,IF(MOD(E179,2)=1,1,2))</f>
        <v>0</v>
      </c>
      <c r="M179" s="3">
        <f>IF(OR(F179="",ISBLANK(F179),F179=0),0,IF(MOD(F179,2)=1,1,2))</f>
        <v>0</v>
      </c>
      <c r="N179" s="3">
        <f>IF(OR(G179="",ISBLANK(G179),G179=0),0,IF(MOD(G179,2)=1,1,2))</f>
        <v>0</v>
      </c>
      <c r="O179" s="32"/>
      <c r="P179" s="3" cm="1">
        <f t="array" ref="P179">SUMPRODUCT(--(MOD(B179:G179,2)=1))</f>
        <v>0</v>
      </c>
      <c r="Q179" s="3">
        <f>6-P179</f>
        <v>6</v>
      </c>
      <c r="R179" s="34"/>
      <c r="S179" s="3">
        <f>COUNTIFS(B179:G179,"&gt;=1",B179:G179,"&lt;=23")</f>
        <v>0</v>
      </c>
      <c r="T179" s="3">
        <f>6-S179</f>
        <v>6</v>
      </c>
      <c r="U179" s="34"/>
      <c r="V179" s="3" cm="1">
        <f t="array" ref="V179">SUMPRODUCT(--(MOD(B179:G179,10)&gt;=1), --(MOD(B179:G179,10)&lt;=5))</f>
        <v>0</v>
      </c>
      <c r="W179" s="3">
        <f>6-V179</f>
        <v>6</v>
      </c>
      <c r="X179" s="34"/>
      <c r="Y179" s="3" cm="1">
        <f t="array" ref="Y179">IFERROR(COUNT(_xlfn._xlws.FILTER(B179:G179, ISNUMBER(MATCH(B179:G179, {2,3,5,7,11,13,17,19,23,29,31,37,41,43}, 0)))), 0)</f>
        <v>0</v>
      </c>
      <c r="Z179" s="3" cm="1">
        <f t="array" ref="Z179">IFERROR(COUNT(_xlfn._xlws.FILTER(B179:G179, ISNUMBER(MATCH(B179:G179, {1,4,8,10,14,16,20,22,25,26,28,32,34,35,38,40,44}, 0)))), 0)</f>
        <v>0</v>
      </c>
      <c r="AA179" s="3" cm="1">
        <f t="array" ref="AA179">IFERROR(COUNT(_xlfn._xlws.FILTER(B179:G179, ISNUMBER(MATCH(B179:G179, {6,9,12,15,18,21,24,27,30,33,36,39,42,45}, 0)))), 0)</f>
        <v>0</v>
      </c>
      <c r="AB179" s="30"/>
      <c r="AC179" s="26" cm="1">
        <f t="array" ref="AC179">_xlfn.IFS(
   OR(B179="",ISBLANK(B179),B179=0),0,
   ISNUMBER(MATCH(B179,{2,3,5,7,11,13,17,19,23,29,31,37,41,43},0)),"소",
   AND(ISNUMBER(B179),MOD(B179,3)=0),"배",
   AND(ISNUMBER(B179),B179&gt;0),"자"
)</f>
        <v>0</v>
      </c>
      <c r="AD179" s="26" cm="1">
        <f t="array" ref="AD179">_xlfn.IFS(
   OR(C179="",ISBLANK(C179),C179=0),0,
   ISNUMBER(MATCH(C179,{2,3,5,7,11,13,17,19,23,29,31,37,41,43},0)),"소",
   AND(ISNUMBER(C179),MOD(C179,3)=0),"배",
   AND(ISNUMBER(C179),C179&gt;0),"자"
)</f>
        <v>0</v>
      </c>
      <c r="AE179" s="26" cm="1">
        <f t="array" ref="AE179">_xlfn.IFS(
   OR(D179="",ISBLANK(D179),D179=0),0,
   ISNUMBER(MATCH(D179,{2,3,5,7,11,13,17,19,23,29,31,37,41,43},0)),"소",
   AND(ISNUMBER(D179),MOD(D179,3)=0),"배",
   AND(ISNUMBER(D179),D179&gt;0),"자"
)</f>
        <v>0</v>
      </c>
      <c r="AF179" s="26" cm="1">
        <f t="array" ref="AF179">_xlfn.IFS(
   OR(E179="",ISBLANK(E179),E179=0),0,
   ISNUMBER(MATCH(E179,{2,3,5,7,11,13,17,19,23,29,31,37,41,43},0)),"소",
   AND(ISNUMBER(E179),MOD(E179,3)=0),"배",
   AND(ISNUMBER(E179),E179&gt;0),"자"
)</f>
        <v>0</v>
      </c>
      <c r="AG179" s="26" cm="1">
        <f t="array" ref="AG179">_xlfn.IFS(
   OR(F179="",ISBLANK(F179),F179=0),0,
   ISNUMBER(MATCH(F179,{2,3,5,7,11,13,17,19,23,29,31,37,41,43},0)),"소",
   AND(ISNUMBER(F179),MOD(F179,3)=0),"배",
   AND(ISNUMBER(F179),F179&gt;0),"자"
)</f>
        <v>0</v>
      </c>
      <c r="AH179" s="26" cm="1">
        <f t="array" ref="AH179">_xlfn.IFS(
   OR(G179="",ISBLANK(G179),G179=0),0,
   ISNUMBER(MATCH(G179,{2,3,5,7,11,13,17,19,23,29,31,37,41,43},0)),"소",
   AND(ISNUMBER(G179),MOD(G179,3)=0),"배",
   AND(ISNUMBER(G179),G179&gt;0),"자"
)</f>
        <v>0</v>
      </c>
      <c r="AI179" s="30"/>
      <c r="AJ179" s="3">
        <f>COUNTIFS(B179:G179,"&gt;=1",B179:G179,"&lt;=14")</f>
        <v>0</v>
      </c>
      <c r="AK179" s="3">
        <f>COUNTIFS(B179:G179,"&gt;=15",B179:G179,"&lt;=31")</f>
        <v>0</v>
      </c>
      <c r="AL179" s="3">
        <f>6-AK179-AJ179</f>
        <v>6</v>
      </c>
      <c r="AM179" s="33"/>
      <c r="AN179" s="3">
        <f>COUNTIFS($B179:$G179, "&gt;=1",$B179:$G179, "&lt;=9")</f>
        <v>0</v>
      </c>
      <c r="AO179" s="3">
        <f>COUNTIFS($B179:$G179, "&gt;=10",$B179:$G179, "&lt;=18")</f>
        <v>0</v>
      </c>
      <c r="AP179" s="3">
        <f>COUNTIFS($B179:$G179, "&gt;=19",$B179:$G179, "&lt;=27")</f>
        <v>0</v>
      </c>
      <c r="AQ179" s="3">
        <f>COUNTIFS($B179:$G179, "&gt;=28",$B179:$G179, "&lt;=36")</f>
        <v>0</v>
      </c>
      <c r="AR179" s="3">
        <f>COUNTIFS($B179:$G179, "&gt;=37",$B179:$G179, "&lt;=45")</f>
        <v>0</v>
      </c>
      <c r="AS179" s="28" t="e">
        <f>#REF!</f>
        <v>#REF!</v>
      </c>
      <c r="AT179" s="28" t="e">
        <f>#REF!*2</f>
        <v>#REF!</v>
      </c>
      <c r="AU179" s="28" t="e">
        <f>#REF!</f>
        <v>#REF!</v>
      </c>
      <c r="AV179" s="28" t="e">
        <f>#REF!*2</f>
        <v>#REF!</v>
      </c>
      <c r="AW179" s="28" t="e">
        <f>#REF!</f>
        <v>#REF!</v>
      </c>
      <c r="AX179" s="28" t="e">
        <f>#REF!*2</f>
        <v>#REF!</v>
      </c>
      <c r="AY179" s="28" t="e">
        <f>#REF!</f>
        <v>#REF!</v>
      </c>
      <c r="AZ179" s="28" t="e">
        <f>#REF!*2</f>
        <v>#REF!</v>
      </c>
      <c r="BA179" s="28" t="e">
        <f>#REF!</f>
        <v>#REF!</v>
      </c>
      <c r="BB179" s="28" t="e">
        <f>#REF!*2</f>
        <v>#REF!</v>
      </c>
      <c r="BC179" s="28" t="e">
        <f>#REF!</f>
        <v>#REF!</v>
      </c>
      <c r="BD179" s="28" t="e">
        <f>#REF!*2</f>
        <v>#REF!</v>
      </c>
      <c r="BE179" s="9" t="e">
        <f>#REF!-#REF!</f>
        <v>#REF!</v>
      </c>
      <c r="BF179" s="9" t="e">
        <f>#REF!-#REF!</f>
        <v>#REF!</v>
      </c>
      <c r="BG179" s="9" t="e">
        <f>#REF!-#REF!</f>
        <v>#REF!</v>
      </c>
      <c r="BH179" s="9" t="e">
        <f>#REF!-#REF!</f>
        <v>#REF!</v>
      </c>
      <c r="BI179" s="9" t="e">
        <f>#REF!-#REF!</f>
        <v>#REF!</v>
      </c>
      <c r="BJ179" s="33"/>
      <c r="BK179" s="3">
        <f>COUNTIFS(B179:G179, "&gt;=1", B179:G179, "&lt;=9")</f>
        <v>0</v>
      </c>
      <c r="BL179" s="3">
        <f>COUNTIFS(B179:G179, "&gt;=10", B179:G179, "&lt;=19")</f>
        <v>0</v>
      </c>
      <c r="BM179" s="3">
        <f>COUNTIFS(B179:G179, "&gt;=20", B179:G179, "&lt;=29")</f>
        <v>0</v>
      </c>
      <c r="BN179" s="3">
        <f>COUNTIFS(B179:G179, "&gt;=30", B179:G179, "&lt;=39")</f>
        <v>0</v>
      </c>
      <c r="BO179" s="3">
        <f>COUNTIFS(B179:G179, "&gt;=40", B179:G179, "&lt;=45")</f>
        <v>0</v>
      </c>
      <c r="BP179" s="28" t="e">
        <f>#REF!</f>
        <v>#REF!</v>
      </c>
      <c r="BQ179" s="28" t="e">
        <f>#REF!*2</f>
        <v>#REF!</v>
      </c>
      <c r="BR179" s="28" t="e">
        <f>#REF!</f>
        <v>#REF!</v>
      </c>
      <c r="BS179" s="28" t="e">
        <f>#REF!*2</f>
        <v>#REF!</v>
      </c>
      <c r="BT179" s="28" t="e">
        <f>#REF!</f>
        <v>#REF!</v>
      </c>
      <c r="BU179" s="28" t="e">
        <f>#REF!*2</f>
        <v>#REF!</v>
      </c>
      <c r="BV179" s="28" t="e">
        <f>#REF!</f>
        <v>#REF!</v>
      </c>
      <c r="BW179" s="28" t="e">
        <f>#REF!*2</f>
        <v>#REF!</v>
      </c>
      <c r="BX179" s="28" t="e">
        <f>#REF!</f>
        <v>#REF!</v>
      </c>
      <c r="BY179" s="28" t="e">
        <f>#REF!*2</f>
        <v>#REF!</v>
      </c>
      <c r="BZ179" s="28" t="e">
        <f>#REF!</f>
        <v>#REF!</v>
      </c>
      <c r="CA179" s="28" t="e">
        <f>#REF!*2</f>
        <v>#REF!</v>
      </c>
      <c r="CB179" s="9">
        <f>C179-B179</f>
        <v>0</v>
      </c>
      <c r="CC179" s="9">
        <f>D179-C179</f>
        <v>0</v>
      </c>
      <c r="CD179" s="9">
        <f>E179-D179</f>
        <v>0</v>
      </c>
      <c r="CE179" s="9">
        <f>F179-E179</f>
        <v>0</v>
      </c>
      <c r="CF179" s="9">
        <f>G179-F179</f>
        <v>0</v>
      </c>
      <c r="CG179" s="33"/>
      <c r="CH179" s="9">
        <f>C179-B179</f>
        <v>0</v>
      </c>
      <c r="CI179" s="9">
        <f>D179-C179</f>
        <v>0</v>
      </c>
      <c r="CJ179" s="9">
        <f>E179-D179</f>
        <v>0</v>
      </c>
      <c r="CK179" s="9">
        <f>F179-E179</f>
        <v>0</v>
      </c>
      <c r="CL179" s="9">
        <f>G179-F179</f>
        <v>0</v>
      </c>
      <c r="CM179" s="32"/>
      <c r="CN179" s="3">
        <f>IF(OR(CH179="",ISBLANK(CH179),CH179=0),0,IF(MOD(CH179,2)=1,1,2))</f>
        <v>0</v>
      </c>
      <c r="CO179" s="3">
        <f>IF(OR(CI179="",ISBLANK(CI179),CI179=0),0,IF(MOD(CI179,2)=1,1,2))</f>
        <v>0</v>
      </c>
      <c r="CP179" s="3">
        <f>IF(OR(CJ179="",ISBLANK(CJ179),CJ179=0),0,IF(MOD(CJ179,2)=1,1,2))</f>
        <v>0</v>
      </c>
      <c r="CQ179" s="3">
        <f>IF(OR(CK179="",ISBLANK(CK179),CK179=0),0,IF(MOD(CK179,2)=1,1,2))</f>
        <v>0</v>
      </c>
      <c r="CR179" s="3">
        <f>IF(OR(CL179="",ISBLANK(CL179),CL179=0),0,IF(MOD(CL179,2)=1,1,2))</f>
        <v>0</v>
      </c>
      <c r="CS179" s="31"/>
      <c r="CT179" s="3" cm="1">
        <f t="array" ref="CT179">SUMPRODUCT(--(MOD(CH179:CL179,2)=1))</f>
        <v>0</v>
      </c>
      <c r="CU179" s="3">
        <f>5-CT179</f>
        <v>5</v>
      </c>
      <c r="CV179" s="30"/>
      <c r="CW179" s="3" cm="1">
        <f t="array" ref="CW179">SUMPRODUCT(--(MOD(CH179:CL179,10)&gt;=1), --(MOD(CH179:CL179,10)&lt;=5))</f>
        <v>0</v>
      </c>
      <c r="CX179" s="3">
        <f>5-CW179</f>
        <v>5</v>
      </c>
      <c r="CY179" s="30"/>
      <c r="CZ179" s="3" cm="1">
        <f t="array" ref="CZ179">IFERROR(COUNT(_xlfn._xlws.FILTER(CH179:CL179, ISNUMBER(MATCH(CH179:CL179, {2,3,5,7,11,13,17,19,23,29,31,37,41,43}, 0)))), 0)</f>
        <v>0</v>
      </c>
      <c r="DA179" s="3" cm="1">
        <f t="array" ref="DA179">IFERROR(COUNT(_xlfn._xlws.FILTER(CH179:CL179, ISNUMBER(MATCH(CH179:CL179, {1,4,8,10,14,16,20,22,25,26,28,32,34,35,38,40,44}, 0)))), 0)</f>
        <v>0</v>
      </c>
      <c r="DB179" s="3" cm="1">
        <f t="array" ref="DB179">IFERROR(COUNT(_xlfn._xlws.FILTER(CH179:CL179, ISNUMBER(MATCH(CH179:CL179, {6,9,12,15,18,21,24,27,30,33,36,39,42,45}, 0)))), 0)</f>
        <v>0</v>
      </c>
      <c r="DC179" s="29"/>
      <c r="DD179" s="28" t="e">
        <f>#REF!</f>
        <v>#REF!</v>
      </c>
      <c r="DE179" s="28" t="e">
        <f>#REF!*2</f>
        <v>#REF!</v>
      </c>
      <c r="DF179" s="28" t="e">
        <f>#REF!</f>
        <v>#REF!</v>
      </c>
      <c r="DG179" s="28" t="e">
        <f>#REF!*2</f>
        <v>#REF!</v>
      </c>
      <c r="DH179" s="28" t="e">
        <f>#REF!</f>
        <v>#REF!</v>
      </c>
      <c r="DI179" s="28" t="e">
        <f>#REF!*2</f>
        <v>#REF!</v>
      </c>
      <c r="DJ179" s="28" t="e">
        <f>#REF!</f>
        <v>#REF!</v>
      </c>
      <c r="DK179" s="28" t="e">
        <f>#REF!*2</f>
        <v>#REF!</v>
      </c>
      <c r="DL179" s="28" t="e">
        <f>#REF!</f>
        <v>#REF!</v>
      </c>
      <c r="DM179" s="28" t="e">
        <f>#REF!*2</f>
        <v>#REF!</v>
      </c>
      <c r="DN179" s="27"/>
      <c r="DO179" s="26"/>
      <c r="DP179" s="26"/>
      <c r="DQ179" s="26"/>
      <c r="DR179" s="26"/>
      <c r="DS179" s="26"/>
      <c r="DT179" s="25"/>
    </row>
    <row r="180" spans="2:124" x14ac:dyDescent="0.3"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2"/>
      <c r="I180" s="3">
        <f>IF(OR(B180="",ISBLANK(B180),B180=0),0,IF(MOD(B180,2)=1,1,2))</f>
        <v>0</v>
      </c>
      <c r="J180" s="3">
        <f>IF(OR(C180="",ISBLANK(C180),C180=0),0,IF(MOD(C180,2)=1,1,2))</f>
        <v>0</v>
      </c>
      <c r="K180" s="3">
        <f>IF(OR(D180="",ISBLANK(D180),D180=0),0,IF(MOD(D180,2)=1,1,2))</f>
        <v>0</v>
      </c>
      <c r="L180" s="3">
        <f>IF(OR(E180="",ISBLANK(E180),E180=0),0,IF(MOD(E180,2)=1,1,2))</f>
        <v>0</v>
      </c>
      <c r="M180" s="3">
        <f>IF(OR(F180="",ISBLANK(F180),F180=0),0,IF(MOD(F180,2)=1,1,2))</f>
        <v>0</v>
      </c>
      <c r="N180" s="3">
        <f>IF(OR(G180="",ISBLANK(G180),G180=0),0,IF(MOD(G180,2)=1,1,2))</f>
        <v>0</v>
      </c>
      <c r="O180" s="32"/>
      <c r="P180" s="3" cm="1">
        <f t="array" ref="P180">SUMPRODUCT(--(MOD(B180:G180,2)=1))</f>
        <v>0</v>
      </c>
      <c r="Q180" s="3">
        <f>6-P180</f>
        <v>6</v>
      </c>
      <c r="R180" s="34"/>
      <c r="S180" s="3">
        <f>COUNTIFS(B180:G180,"&gt;=1",B180:G180,"&lt;=23")</f>
        <v>0</v>
      </c>
      <c r="T180" s="3">
        <f>6-S180</f>
        <v>6</v>
      </c>
      <c r="U180" s="34"/>
      <c r="V180" s="3" cm="1">
        <f t="array" ref="V180">SUMPRODUCT(--(MOD(B180:G180,10)&gt;=1), --(MOD(B180:G180,10)&lt;=5))</f>
        <v>0</v>
      </c>
      <c r="W180" s="3">
        <f>6-V180</f>
        <v>6</v>
      </c>
      <c r="X180" s="34"/>
      <c r="Y180" s="3" cm="1">
        <f t="array" ref="Y180">IFERROR(COUNT(_xlfn._xlws.FILTER(B180:G180, ISNUMBER(MATCH(B180:G180, {2,3,5,7,11,13,17,19,23,29,31,37,41,43}, 0)))), 0)</f>
        <v>0</v>
      </c>
      <c r="Z180" s="3" cm="1">
        <f t="array" ref="Z180">IFERROR(COUNT(_xlfn._xlws.FILTER(B180:G180, ISNUMBER(MATCH(B180:G180, {1,4,8,10,14,16,20,22,25,26,28,32,34,35,38,40,44}, 0)))), 0)</f>
        <v>0</v>
      </c>
      <c r="AA180" s="3" cm="1">
        <f t="array" ref="AA180">IFERROR(COUNT(_xlfn._xlws.FILTER(B180:G180, ISNUMBER(MATCH(B180:G180, {6,9,12,15,18,21,24,27,30,33,36,39,42,45}, 0)))), 0)</f>
        <v>0</v>
      </c>
      <c r="AB180" s="30"/>
      <c r="AC180" s="26" cm="1">
        <f t="array" ref="AC180">_xlfn.IFS(
   OR(B180="",ISBLANK(B180),B180=0),0,
   ISNUMBER(MATCH(B180,{2,3,5,7,11,13,17,19,23,29,31,37,41,43},0)),"소",
   AND(ISNUMBER(B180),MOD(B180,3)=0),"배",
   AND(ISNUMBER(B180),B180&gt;0),"자"
)</f>
        <v>0</v>
      </c>
      <c r="AD180" s="26" cm="1">
        <f t="array" ref="AD180">_xlfn.IFS(
   OR(C180="",ISBLANK(C180),C180=0),0,
   ISNUMBER(MATCH(C180,{2,3,5,7,11,13,17,19,23,29,31,37,41,43},0)),"소",
   AND(ISNUMBER(C180),MOD(C180,3)=0),"배",
   AND(ISNUMBER(C180),C180&gt;0),"자"
)</f>
        <v>0</v>
      </c>
      <c r="AE180" s="26" cm="1">
        <f t="array" ref="AE180">_xlfn.IFS(
   OR(D180="",ISBLANK(D180),D180=0),0,
   ISNUMBER(MATCH(D180,{2,3,5,7,11,13,17,19,23,29,31,37,41,43},0)),"소",
   AND(ISNUMBER(D180),MOD(D180,3)=0),"배",
   AND(ISNUMBER(D180),D180&gt;0),"자"
)</f>
        <v>0</v>
      </c>
      <c r="AF180" s="26" cm="1">
        <f t="array" ref="AF180">_xlfn.IFS(
   OR(E180="",ISBLANK(E180),E180=0),0,
   ISNUMBER(MATCH(E180,{2,3,5,7,11,13,17,19,23,29,31,37,41,43},0)),"소",
   AND(ISNUMBER(E180),MOD(E180,3)=0),"배",
   AND(ISNUMBER(E180),E180&gt;0),"자"
)</f>
        <v>0</v>
      </c>
      <c r="AG180" s="26" cm="1">
        <f t="array" ref="AG180">_xlfn.IFS(
   OR(F180="",ISBLANK(F180),F180=0),0,
   ISNUMBER(MATCH(F180,{2,3,5,7,11,13,17,19,23,29,31,37,41,43},0)),"소",
   AND(ISNUMBER(F180),MOD(F180,3)=0),"배",
   AND(ISNUMBER(F180),F180&gt;0),"자"
)</f>
        <v>0</v>
      </c>
      <c r="AH180" s="26" cm="1">
        <f t="array" ref="AH180">_xlfn.IFS(
   OR(G180="",ISBLANK(G180),G180=0),0,
   ISNUMBER(MATCH(G180,{2,3,5,7,11,13,17,19,23,29,31,37,41,43},0)),"소",
   AND(ISNUMBER(G180),MOD(G180,3)=0),"배",
   AND(ISNUMBER(G180),G180&gt;0),"자"
)</f>
        <v>0</v>
      </c>
      <c r="AI180" s="30"/>
      <c r="AJ180" s="3">
        <f>COUNTIFS(B180:G180,"&gt;=1",B180:G180,"&lt;=14")</f>
        <v>0</v>
      </c>
      <c r="AK180" s="3">
        <f>COUNTIFS(B180:G180,"&gt;=15",B180:G180,"&lt;=31")</f>
        <v>0</v>
      </c>
      <c r="AL180" s="3">
        <f>6-AK180-AJ180</f>
        <v>6</v>
      </c>
      <c r="AM180" s="33"/>
      <c r="AN180" s="3">
        <f>COUNTIFS($B180:$G180, "&gt;=1",$B180:$G180, "&lt;=9")</f>
        <v>0</v>
      </c>
      <c r="AO180" s="3">
        <f>COUNTIFS($B180:$G180, "&gt;=10",$B180:$G180, "&lt;=18")</f>
        <v>0</v>
      </c>
      <c r="AP180" s="3">
        <f>COUNTIFS($B180:$G180, "&gt;=19",$B180:$G180, "&lt;=27")</f>
        <v>0</v>
      </c>
      <c r="AQ180" s="3">
        <f>COUNTIFS($B180:$G180, "&gt;=28",$B180:$G180, "&lt;=36")</f>
        <v>0</v>
      </c>
      <c r="AR180" s="3">
        <f>COUNTIFS($B180:$G180, "&gt;=37",$B180:$G180, "&lt;=45")</f>
        <v>0</v>
      </c>
      <c r="AS180" s="28" t="e">
        <f>#REF!</f>
        <v>#REF!</v>
      </c>
      <c r="AT180" s="28" t="e">
        <f>#REF!*2</f>
        <v>#REF!</v>
      </c>
      <c r="AU180" s="28" t="e">
        <f>#REF!</f>
        <v>#REF!</v>
      </c>
      <c r="AV180" s="28" t="e">
        <f>#REF!*2</f>
        <v>#REF!</v>
      </c>
      <c r="AW180" s="28" t="e">
        <f>#REF!</f>
        <v>#REF!</v>
      </c>
      <c r="AX180" s="28" t="e">
        <f>#REF!*2</f>
        <v>#REF!</v>
      </c>
      <c r="AY180" s="28" t="e">
        <f>#REF!</f>
        <v>#REF!</v>
      </c>
      <c r="AZ180" s="28" t="e">
        <f>#REF!*2</f>
        <v>#REF!</v>
      </c>
      <c r="BA180" s="28" t="e">
        <f>#REF!</f>
        <v>#REF!</v>
      </c>
      <c r="BB180" s="28" t="e">
        <f>#REF!*2</f>
        <v>#REF!</v>
      </c>
      <c r="BC180" s="28" t="e">
        <f>#REF!</f>
        <v>#REF!</v>
      </c>
      <c r="BD180" s="28" t="e">
        <f>#REF!*2</f>
        <v>#REF!</v>
      </c>
      <c r="BE180" s="9" t="e">
        <f>#REF!-#REF!</f>
        <v>#REF!</v>
      </c>
      <c r="BF180" s="9" t="e">
        <f>#REF!-#REF!</f>
        <v>#REF!</v>
      </c>
      <c r="BG180" s="9" t="e">
        <f>#REF!-#REF!</f>
        <v>#REF!</v>
      </c>
      <c r="BH180" s="9" t="e">
        <f>#REF!-#REF!</f>
        <v>#REF!</v>
      </c>
      <c r="BI180" s="9" t="e">
        <f>#REF!-#REF!</f>
        <v>#REF!</v>
      </c>
      <c r="BJ180" s="33"/>
      <c r="BK180" s="3">
        <f>COUNTIFS(B180:G180, "&gt;=1", B180:G180, "&lt;=9")</f>
        <v>0</v>
      </c>
      <c r="BL180" s="3">
        <f>COUNTIFS(B180:G180, "&gt;=10", B180:G180, "&lt;=19")</f>
        <v>0</v>
      </c>
      <c r="BM180" s="3">
        <f>COUNTIFS(B180:G180, "&gt;=20", B180:G180, "&lt;=29")</f>
        <v>0</v>
      </c>
      <c r="BN180" s="3">
        <f>COUNTIFS(B180:G180, "&gt;=30", B180:G180, "&lt;=39")</f>
        <v>0</v>
      </c>
      <c r="BO180" s="3">
        <f>COUNTIFS(B180:G180, "&gt;=40", B180:G180, "&lt;=45")</f>
        <v>0</v>
      </c>
      <c r="BP180" s="28" t="e">
        <f>#REF!</f>
        <v>#REF!</v>
      </c>
      <c r="BQ180" s="28" t="e">
        <f>#REF!*2</f>
        <v>#REF!</v>
      </c>
      <c r="BR180" s="28" t="e">
        <f>#REF!</f>
        <v>#REF!</v>
      </c>
      <c r="BS180" s="28" t="e">
        <f>#REF!*2</f>
        <v>#REF!</v>
      </c>
      <c r="BT180" s="28" t="e">
        <f>#REF!</f>
        <v>#REF!</v>
      </c>
      <c r="BU180" s="28" t="e">
        <f>#REF!*2</f>
        <v>#REF!</v>
      </c>
      <c r="BV180" s="28" t="e">
        <f>#REF!</f>
        <v>#REF!</v>
      </c>
      <c r="BW180" s="28" t="e">
        <f>#REF!*2</f>
        <v>#REF!</v>
      </c>
      <c r="BX180" s="28" t="e">
        <f>#REF!</f>
        <v>#REF!</v>
      </c>
      <c r="BY180" s="28" t="e">
        <f>#REF!*2</f>
        <v>#REF!</v>
      </c>
      <c r="BZ180" s="28" t="e">
        <f>#REF!</f>
        <v>#REF!</v>
      </c>
      <c r="CA180" s="28" t="e">
        <f>#REF!*2</f>
        <v>#REF!</v>
      </c>
      <c r="CB180" s="9">
        <f>C180-B180</f>
        <v>0</v>
      </c>
      <c r="CC180" s="9">
        <f>D180-C180</f>
        <v>0</v>
      </c>
      <c r="CD180" s="9">
        <f>E180-D180</f>
        <v>0</v>
      </c>
      <c r="CE180" s="9">
        <f>F180-E180</f>
        <v>0</v>
      </c>
      <c r="CF180" s="9">
        <f>G180-F180</f>
        <v>0</v>
      </c>
      <c r="CG180" s="33"/>
      <c r="CH180" s="9">
        <f>C180-B180</f>
        <v>0</v>
      </c>
      <c r="CI180" s="9">
        <f>D180-C180</f>
        <v>0</v>
      </c>
      <c r="CJ180" s="9">
        <f>E180-D180</f>
        <v>0</v>
      </c>
      <c r="CK180" s="9">
        <f>F180-E180</f>
        <v>0</v>
      </c>
      <c r="CL180" s="9">
        <f>G180-F180</f>
        <v>0</v>
      </c>
      <c r="CM180" s="32"/>
      <c r="CN180" s="3">
        <f>IF(OR(CH180="",ISBLANK(CH180),CH180=0),0,IF(MOD(CH180,2)=1,1,2))</f>
        <v>0</v>
      </c>
      <c r="CO180" s="3">
        <f>IF(OR(CI180="",ISBLANK(CI180),CI180=0),0,IF(MOD(CI180,2)=1,1,2))</f>
        <v>0</v>
      </c>
      <c r="CP180" s="3">
        <f>IF(OR(CJ180="",ISBLANK(CJ180),CJ180=0),0,IF(MOD(CJ180,2)=1,1,2))</f>
        <v>0</v>
      </c>
      <c r="CQ180" s="3">
        <f>IF(OR(CK180="",ISBLANK(CK180),CK180=0),0,IF(MOD(CK180,2)=1,1,2))</f>
        <v>0</v>
      </c>
      <c r="CR180" s="3">
        <f>IF(OR(CL180="",ISBLANK(CL180),CL180=0),0,IF(MOD(CL180,2)=1,1,2))</f>
        <v>0</v>
      </c>
      <c r="CS180" s="31"/>
      <c r="CT180" s="3" cm="1">
        <f t="array" ref="CT180">SUMPRODUCT(--(MOD(CH180:CL180,2)=1))</f>
        <v>0</v>
      </c>
      <c r="CU180" s="3">
        <f>5-CT180</f>
        <v>5</v>
      </c>
      <c r="CV180" s="30"/>
      <c r="CW180" s="3" cm="1">
        <f t="array" ref="CW180">SUMPRODUCT(--(MOD(CH180:CL180,10)&gt;=1), --(MOD(CH180:CL180,10)&lt;=5))</f>
        <v>0</v>
      </c>
      <c r="CX180" s="3">
        <f>5-CW180</f>
        <v>5</v>
      </c>
      <c r="CY180" s="30"/>
      <c r="CZ180" s="3" cm="1">
        <f t="array" ref="CZ180">IFERROR(COUNT(_xlfn._xlws.FILTER(CH180:CL180, ISNUMBER(MATCH(CH180:CL180, {2,3,5,7,11,13,17,19,23,29,31,37,41,43}, 0)))), 0)</f>
        <v>0</v>
      </c>
      <c r="DA180" s="3" cm="1">
        <f t="array" ref="DA180">IFERROR(COUNT(_xlfn._xlws.FILTER(CH180:CL180, ISNUMBER(MATCH(CH180:CL180, {1,4,8,10,14,16,20,22,25,26,28,32,34,35,38,40,44}, 0)))), 0)</f>
        <v>0</v>
      </c>
      <c r="DB180" s="3" cm="1">
        <f t="array" ref="DB180">IFERROR(COUNT(_xlfn._xlws.FILTER(CH180:CL180, ISNUMBER(MATCH(CH180:CL180, {6,9,12,15,18,21,24,27,30,33,36,39,42,45}, 0)))), 0)</f>
        <v>0</v>
      </c>
      <c r="DC180" s="29"/>
      <c r="DD180" s="28" t="e">
        <f>#REF!</f>
        <v>#REF!</v>
      </c>
      <c r="DE180" s="28" t="e">
        <f>#REF!*2</f>
        <v>#REF!</v>
      </c>
      <c r="DF180" s="28" t="e">
        <f>#REF!</f>
        <v>#REF!</v>
      </c>
      <c r="DG180" s="28" t="e">
        <f>#REF!*2</f>
        <v>#REF!</v>
      </c>
      <c r="DH180" s="28" t="e">
        <f>#REF!</f>
        <v>#REF!</v>
      </c>
      <c r="DI180" s="28" t="e">
        <f>#REF!*2</f>
        <v>#REF!</v>
      </c>
      <c r="DJ180" s="28" t="e">
        <f>#REF!</f>
        <v>#REF!</v>
      </c>
      <c r="DK180" s="28" t="e">
        <f>#REF!*2</f>
        <v>#REF!</v>
      </c>
      <c r="DL180" s="28" t="e">
        <f>#REF!</f>
        <v>#REF!</v>
      </c>
      <c r="DM180" s="28" t="e">
        <f>#REF!*2</f>
        <v>#REF!</v>
      </c>
      <c r="DN180" s="27"/>
      <c r="DO180" s="26"/>
      <c r="DP180" s="26"/>
      <c r="DQ180" s="26"/>
      <c r="DR180" s="26"/>
      <c r="DS180" s="26"/>
      <c r="DT180" s="25"/>
    </row>
    <row r="181" spans="2:124" x14ac:dyDescent="0.3"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2"/>
      <c r="I181" s="3">
        <f>IF(OR(B181="",ISBLANK(B181),B181=0),0,IF(MOD(B181,2)=1,1,2))</f>
        <v>0</v>
      </c>
      <c r="J181" s="3">
        <f>IF(OR(C181="",ISBLANK(C181),C181=0),0,IF(MOD(C181,2)=1,1,2))</f>
        <v>0</v>
      </c>
      <c r="K181" s="3">
        <f>IF(OR(D181="",ISBLANK(D181),D181=0),0,IF(MOD(D181,2)=1,1,2))</f>
        <v>0</v>
      </c>
      <c r="L181" s="3">
        <f>IF(OR(E181="",ISBLANK(E181),E181=0),0,IF(MOD(E181,2)=1,1,2))</f>
        <v>0</v>
      </c>
      <c r="M181" s="3">
        <f>IF(OR(F181="",ISBLANK(F181),F181=0),0,IF(MOD(F181,2)=1,1,2))</f>
        <v>0</v>
      </c>
      <c r="N181" s="3">
        <f>IF(OR(G181="",ISBLANK(G181),G181=0),0,IF(MOD(G181,2)=1,1,2))</f>
        <v>0</v>
      </c>
      <c r="O181" s="32"/>
      <c r="P181" s="3" cm="1">
        <f t="array" ref="P181">SUMPRODUCT(--(MOD(B181:G181,2)=1))</f>
        <v>0</v>
      </c>
      <c r="Q181" s="3">
        <f>6-P181</f>
        <v>6</v>
      </c>
      <c r="R181" s="34"/>
      <c r="S181" s="3">
        <f>COUNTIFS(B181:G181,"&gt;=1",B181:G181,"&lt;=23")</f>
        <v>0</v>
      </c>
      <c r="T181" s="3">
        <f>6-S181</f>
        <v>6</v>
      </c>
      <c r="U181" s="34"/>
      <c r="V181" s="3" cm="1">
        <f t="array" ref="V181">SUMPRODUCT(--(MOD(B181:G181,10)&gt;=1), --(MOD(B181:G181,10)&lt;=5))</f>
        <v>0</v>
      </c>
      <c r="W181" s="3">
        <f>6-V181</f>
        <v>6</v>
      </c>
      <c r="X181" s="34"/>
      <c r="Y181" s="3" cm="1">
        <f t="array" ref="Y181">IFERROR(COUNT(_xlfn._xlws.FILTER(B181:G181, ISNUMBER(MATCH(B181:G181, {2,3,5,7,11,13,17,19,23,29,31,37,41,43}, 0)))), 0)</f>
        <v>0</v>
      </c>
      <c r="Z181" s="3" cm="1">
        <f t="array" ref="Z181">IFERROR(COUNT(_xlfn._xlws.FILTER(B181:G181, ISNUMBER(MATCH(B181:G181, {1,4,8,10,14,16,20,22,25,26,28,32,34,35,38,40,44}, 0)))), 0)</f>
        <v>0</v>
      </c>
      <c r="AA181" s="3" cm="1">
        <f t="array" ref="AA181">IFERROR(COUNT(_xlfn._xlws.FILTER(B181:G181, ISNUMBER(MATCH(B181:G181, {6,9,12,15,18,21,24,27,30,33,36,39,42,45}, 0)))), 0)</f>
        <v>0</v>
      </c>
      <c r="AB181" s="30"/>
      <c r="AC181" s="26" cm="1">
        <f t="array" ref="AC181">_xlfn.IFS(
   OR(B181="",ISBLANK(B181),B181=0),0,
   ISNUMBER(MATCH(B181,{2,3,5,7,11,13,17,19,23,29,31,37,41,43},0)),"소",
   AND(ISNUMBER(B181),MOD(B181,3)=0),"배",
   AND(ISNUMBER(B181),B181&gt;0),"자"
)</f>
        <v>0</v>
      </c>
      <c r="AD181" s="26" cm="1">
        <f t="array" ref="AD181">_xlfn.IFS(
   OR(C181="",ISBLANK(C181),C181=0),0,
   ISNUMBER(MATCH(C181,{2,3,5,7,11,13,17,19,23,29,31,37,41,43},0)),"소",
   AND(ISNUMBER(C181),MOD(C181,3)=0),"배",
   AND(ISNUMBER(C181),C181&gt;0),"자"
)</f>
        <v>0</v>
      </c>
      <c r="AE181" s="26" cm="1">
        <f t="array" ref="AE181">_xlfn.IFS(
   OR(D181="",ISBLANK(D181),D181=0),0,
   ISNUMBER(MATCH(D181,{2,3,5,7,11,13,17,19,23,29,31,37,41,43},0)),"소",
   AND(ISNUMBER(D181),MOD(D181,3)=0),"배",
   AND(ISNUMBER(D181),D181&gt;0),"자"
)</f>
        <v>0</v>
      </c>
      <c r="AF181" s="26" cm="1">
        <f t="array" ref="AF181">_xlfn.IFS(
   OR(E181="",ISBLANK(E181),E181=0),0,
   ISNUMBER(MATCH(E181,{2,3,5,7,11,13,17,19,23,29,31,37,41,43},0)),"소",
   AND(ISNUMBER(E181),MOD(E181,3)=0),"배",
   AND(ISNUMBER(E181),E181&gt;0),"자"
)</f>
        <v>0</v>
      </c>
      <c r="AG181" s="26" cm="1">
        <f t="array" ref="AG181">_xlfn.IFS(
   OR(F181="",ISBLANK(F181),F181=0),0,
   ISNUMBER(MATCH(F181,{2,3,5,7,11,13,17,19,23,29,31,37,41,43},0)),"소",
   AND(ISNUMBER(F181),MOD(F181,3)=0),"배",
   AND(ISNUMBER(F181),F181&gt;0),"자"
)</f>
        <v>0</v>
      </c>
      <c r="AH181" s="26" cm="1">
        <f t="array" ref="AH181">_xlfn.IFS(
   OR(G181="",ISBLANK(G181),G181=0),0,
   ISNUMBER(MATCH(G181,{2,3,5,7,11,13,17,19,23,29,31,37,41,43},0)),"소",
   AND(ISNUMBER(G181),MOD(G181,3)=0),"배",
   AND(ISNUMBER(G181),G181&gt;0),"자"
)</f>
        <v>0</v>
      </c>
      <c r="AI181" s="30"/>
      <c r="AJ181" s="3">
        <f>COUNTIFS(B181:G181,"&gt;=1",B181:G181,"&lt;=14")</f>
        <v>0</v>
      </c>
      <c r="AK181" s="3">
        <f>COUNTIFS(B181:G181,"&gt;=15",B181:G181,"&lt;=31")</f>
        <v>0</v>
      </c>
      <c r="AL181" s="3">
        <f>6-AK181-AJ181</f>
        <v>6</v>
      </c>
      <c r="AM181" s="33"/>
      <c r="AN181" s="3">
        <f>COUNTIFS($B181:$G181, "&gt;=1",$B181:$G181, "&lt;=9")</f>
        <v>0</v>
      </c>
      <c r="AO181" s="3">
        <f>COUNTIFS($B181:$G181, "&gt;=10",$B181:$G181, "&lt;=18")</f>
        <v>0</v>
      </c>
      <c r="AP181" s="3">
        <f>COUNTIFS($B181:$G181, "&gt;=19",$B181:$G181, "&lt;=27")</f>
        <v>0</v>
      </c>
      <c r="AQ181" s="3">
        <f>COUNTIFS($B181:$G181, "&gt;=28",$B181:$G181, "&lt;=36")</f>
        <v>0</v>
      </c>
      <c r="AR181" s="3">
        <f>COUNTIFS($B181:$G181, "&gt;=37",$B181:$G181, "&lt;=45")</f>
        <v>0</v>
      </c>
      <c r="AS181" s="28" t="e">
        <f>#REF!</f>
        <v>#REF!</v>
      </c>
      <c r="AT181" s="28" t="e">
        <f>#REF!*2</f>
        <v>#REF!</v>
      </c>
      <c r="AU181" s="28" t="e">
        <f>#REF!</f>
        <v>#REF!</v>
      </c>
      <c r="AV181" s="28" t="e">
        <f>#REF!*2</f>
        <v>#REF!</v>
      </c>
      <c r="AW181" s="28" t="e">
        <f>#REF!</f>
        <v>#REF!</v>
      </c>
      <c r="AX181" s="28" t="e">
        <f>#REF!*2</f>
        <v>#REF!</v>
      </c>
      <c r="AY181" s="28" t="e">
        <f>#REF!</f>
        <v>#REF!</v>
      </c>
      <c r="AZ181" s="28" t="e">
        <f>#REF!*2</f>
        <v>#REF!</v>
      </c>
      <c r="BA181" s="28" t="e">
        <f>#REF!</f>
        <v>#REF!</v>
      </c>
      <c r="BB181" s="28" t="e">
        <f>#REF!*2</f>
        <v>#REF!</v>
      </c>
      <c r="BC181" s="28" t="e">
        <f>#REF!</f>
        <v>#REF!</v>
      </c>
      <c r="BD181" s="28" t="e">
        <f>#REF!*2</f>
        <v>#REF!</v>
      </c>
      <c r="BE181" s="9" t="e">
        <f>#REF!-#REF!</f>
        <v>#REF!</v>
      </c>
      <c r="BF181" s="9" t="e">
        <f>#REF!-#REF!</f>
        <v>#REF!</v>
      </c>
      <c r="BG181" s="9" t="e">
        <f>#REF!-#REF!</f>
        <v>#REF!</v>
      </c>
      <c r="BH181" s="9" t="e">
        <f>#REF!-#REF!</f>
        <v>#REF!</v>
      </c>
      <c r="BI181" s="9" t="e">
        <f>#REF!-#REF!</f>
        <v>#REF!</v>
      </c>
      <c r="BJ181" s="33"/>
      <c r="BK181" s="3">
        <f>COUNTIFS(B181:G181, "&gt;=1", B181:G181, "&lt;=9")</f>
        <v>0</v>
      </c>
      <c r="BL181" s="3">
        <f>COUNTIFS(B181:G181, "&gt;=10", B181:G181, "&lt;=19")</f>
        <v>0</v>
      </c>
      <c r="BM181" s="3">
        <f>COUNTIFS(B181:G181, "&gt;=20", B181:G181, "&lt;=29")</f>
        <v>0</v>
      </c>
      <c r="BN181" s="3">
        <f>COUNTIFS(B181:G181, "&gt;=30", B181:G181, "&lt;=39")</f>
        <v>0</v>
      </c>
      <c r="BO181" s="3">
        <f>COUNTIFS(B181:G181, "&gt;=40", B181:G181, "&lt;=45")</f>
        <v>0</v>
      </c>
      <c r="BP181" s="28" t="e">
        <f>#REF!</f>
        <v>#REF!</v>
      </c>
      <c r="BQ181" s="28" t="e">
        <f>#REF!*2</f>
        <v>#REF!</v>
      </c>
      <c r="BR181" s="28" t="e">
        <f>#REF!</f>
        <v>#REF!</v>
      </c>
      <c r="BS181" s="28" t="e">
        <f>#REF!*2</f>
        <v>#REF!</v>
      </c>
      <c r="BT181" s="28" t="e">
        <f>#REF!</f>
        <v>#REF!</v>
      </c>
      <c r="BU181" s="28" t="e">
        <f>#REF!*2</f>
        <v>#REF!</v>
      </c>
      <c r="BV181" s="28" t="e">
        <f>#REF!</f>
        <v>#REF!</v>
      </c>
      <c r="BW181" s="28" t="e">
        <f>#REF!*2</f>
        <v>#REF!</v>
      </c>
      <c r="BX181" s="28" t="e">
        <f>#REF!</f>
        <v>#REF!</v>
      </c>
      <c r="BY181" s="28" t="e">
        <f>#REF!*2</f>
        <v>#REF!</v>
      </c>
      <c r="BZ181" s="28" t="e">
        <f>#REF!</f>
        <v>#REF!</v>
      </c>
      <c r="CA181" s="28" t="e">
        <f>#REF!*2</f>
        <v>#REF!</v>
      </c>
      <c r="CB181" s="9">
        <f>C181-B181</f>
        <v>0</v>
      </c>
      <c r="CC181" s="9">
        <f>D181-C181</f>
        <v>0</v>
      </c>
      <c r="CD181" s="9">
        <f>E181-D181</f>
        <v>0</v>
      </c>
      <c r="CE181" s="9">
        <f>F181-E181</f>
        <v>0</v>
      </c>
      <c r="CF181" s="9">
        <f>G181-F181</f>
        <v>0</v>
      </c>
      <c r="CG181" s="33"/>
      <c r="CH181" s="9">
        <f>C181-B181</f>
        <v>0</v>
      </c>
      <c r="CI181" s="9">
        <f>D181-C181</f>
        <v>0</v>
      </c>
      <c r="CJ181" s="9">
        <f>E181-D181</f>
        <v>0</v>
      </c>
      <c r="CK181" s="9">
        <f>F181-E181</f>
        <v>0</v>
      </c>
      <c r="CL181" s="9">
        <f>G181-F181</f>
        <v>0</v>
      </c>
      <c r="CM181" s="32"/>
      <c r="CN181" s="3">
        <f>IF(OR(CH181="",ISBLANK(CH181),CH181=0),0,IF(MOD(CH181,2)=1,1,2))</f>
        <v>0</v>
      </c>
      <c r="CO181" s="3">
        <f>IF(OR(CI181="",ISBLANK(CI181),CI181=0),0,IF(MOD(CI181,2)=1,1,2))</f>
        <v>0</v>
      </c>
      <c r="CP181" s="3">
        <f>IF(OR(CJ181="",ISBLANK(CJ181),CJ181=0),0,IF(MOD(CJ181,2)=1,1,2))</f>
        <v>0</v>
      </c>
      <c r="CQ181" s="3">
        <f>IF(OR(CK181="",ISBLANK(CK181),CK181=0),0,IF(MOD(CK181,2)=1,1,2))</f>
        <v>0</v>
      </c>
      <c r="CR181" s="3">
        <f>IF(OR(CL181="",ISBLANK(CL181),CL181=0),0,IF(MOD(CL181,2)=1,1,2))</f>
        <v>0</v>
      </c>
      <c r="CS181" s="31"/>
      <c r="CT181" s="3" cm="1">
        <f t="array" ref="CT181">SUMPRODUCT(--(MOD(CH181:CL181,2)=1))</f>
        <v>0</v>
      </c>
      <c r="CU181" s="3">
        <f>5-CT181</f>
        <v>5</v>
      </c>
      <c r="CV181" s="30"/>
      <c r="CW181" s="3" cm="1">
        <f t="array" ref="CW181">SUMPRODUCT(--(MOD(CH181:CL181,10)&gt;=1), --(MOD(CH181:CL181,10)&lt;=5))</f>
        <v>0</v>
      </c>
      <c r="CX181" s="3">
        <f>5-CW181</f>
        <v>5</v>
      </c>
      <c r="CY181" s="30"/>
      <c r="CZ181" s="3" cm="1">
        <f t="array" ref="CZ181">IFERROR(COUNT(_xlfn._xlws.FILTER(CH181:CL181, ISNUMBER(MATCH(CH181:CL181, {2,3,5,7,11,13,17,19,23,29,31,37,41,43}, 0)))), 0)</f>
        <v>0</v>
      </c>
      <c r="DA181" s="3" cm="1">
        <f t="array" ref="DA181">IFERROR(COUNT(_xlfn._xlws.FILTER(CH181:CL181, ISNUMBER(MATCH(CH181:CL181, {1,4,8,10,14,16,20,22,25,26,28,32,34,35,38,40,44}, 0)))), 0)</f>
        <v>0</v>
      </c>
      <c r="DB181" s="3" cm="1">
        <f t="array" ref="DB181">IFERROR(COUNT(_xlfn._xlws.FILTER(CH181:CL181, ISNUMBER(MATCH(CH181:CL181, {6,9,12,15,18,21,24,27,30,33,36,39,42,45}, 0)))), 0)</f>
        <v>0</v>
      </c>
      <c r="DC181" s="29"/>
      <c r="DD181" s="28" t="e">
        <f>#REF!</f>
        <v>#REF!</v>
      </c>
      <c r="DE181" s="28" t="e">
        <f>#REF!*2</f>
        <v>#REF!</v>
      </c>
      <c r="DF181" s="28" t="e">
        <f>#REF!</f>
        <v>#REF!</v>
      </c>
      <c r="DG181" s="28" t="e">
        <f>#REF!*2</f>
        <v>#REF!</v>
      </c>
      <c r="DH181" s="28" t="e">
        <f>#REF!</f>
        <v>#REF!</v>
      </c>
      <c r="DI181" s="28" t="e">
        <f>#REF!*2</f>
        <v>#REF!</v>
      </c>
      <c r="DJ181" s="28" t="e">
        <f>#REF!</f>
        <v>#REF!</v>
      </c>
      <c r="DK181" s="28" t="e">
        <f>#REF!*2</f>
        <v>#REF!</v>
      </c>
      <c r="DL181" s="28" t="e">
        <f>#REF!</f>
        <v>#REF!</v>
      </c>
      <c r="DM181" s="28" t="e">
        <f>#REF!*2</f>
        <v>#REF!</v>
      </c>
      <c r="DN181" s="27"/>
      <c r="DO181" s="26"/>
      <c r="DP181" s="26"/>
      <c r="DQ181" s="26"/>
      <c r="DR181" s="26"/>
      <c r="DS181" s="26"/>
      <c r="DT181" s="25"/>
    </row>
    <row r="182" spans="2:124" x14ac:dyDescent="0.3"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2"/>
      <c r="I182" s="3">
        <f>IF(OR(B182="",ISBLANK(B182),B182=0),0,IF(MOD(B182,2)=1,1,2))</f>
        <v>0</v>
      </c>
      <c r="J182" s="3">
        <f>IF(OR(C182="",ISBLANK(C182),C182=0),0,IF(MOD(C182,2)=1,1,2))</f>
        <v>0</v>
      </c>
      <c r="K182" s="3">
        <f>IF(OR(D182="",ISBLANK(D182),D182=0),0,IF(MOD(D182,2)=1,1,2))</f>
        <v>0</v>
      </c>
      <c r="L182" s="3">
        <f>IF(OR(E182="",ISBLANK(E182),E182=0),0,IF(MOD(E182,2)=1,1,2))</f>
        <v>0</v>
      </c>
      <c r="M182" s="3">
        <f>IF(OR(F182="",ISBLANK(F182),F182=0),0,IF(MOD(F182,2)=1,1,2))</f>
        <v>0</v>
      </c>
      <c r="N182" s="3">
        <f>IF(OR(G182="",ISBLANK(G182),G182=0),0,IF(MOD(G182,2)=1,1,2))</f>
        <v>0</v>
      </c>
      <c r="O182" s="32"/>
      <c r="P182" s="3" cm="1">
        <f t="array" ref="P182">SUMPRODUCT(--(MOD(B182:G182,2)=1))</f>
        <v>0</v>
      </c>
      <c r="Q182" s="3">
        <f>6-P182</f>
        <v>6</v>
      </c>
      <c r="R182" s="34"/>
      <c r="S182" s="3">
        <f>COUNTIFS(B182:G182,"&gt;=1",B182:G182,"&lt;=23")</f>
        <v>0</v>
      </c>
      <c r="T182" s="3">
        <f>6-S182</f>
        <v>6</v>
      </c>
      <c r="U182" s="34"/>
      <c r="V182" s="3" cm="1">
        <f t="array" ref="V182">SUMPRODUCT(--(MOD(B182:G182,10)&gt;=1), --(MOD(B182:G182,10)&lt;=5))</f>
        <v>0</v>
      </c>
      <c r="W182" s="3">
        <f>6-V182</f>
        <v>6</v>
      </c>
      <c r="X182" s="34"/>
      <c r="Y182" s="3" cm="1">
        <f t="array" ref="Y182">IFERROR(COUNT(_xlfn._xlws.FILTER(B182:G182, ISNUMBER(MATCH(B182:G182, {2,3,5,7,11,13,17,19,23,29,31,37,41,43}, 0)))), 0)</f>
        <v>0</v>
      </c>
      <c r="Z182" s="3" cm="1">
        <f t="array" ref="Z182">IFERROR(COUNT(_xlfn._xlws.FILTER(B182:G182, ISNUMBER(MATCH(B182:G182, {1,4,8,10,14,16,20,22,25,26,28,32,34,35,38,40,44}, 0)))), 0)</f>
        <v>0</v>
      </c>
      <c r="AA182" s="3" cm="1">
        <f t="array" ref="AA182">IFERROR(COUNT(_xlfn._xlws.FILTER(B182:G182, ISNUMBER(MATCH(B182:G182, {6,9,12,15,18,21,24,27,30,33,36,39,42,45}, 0)))), 0)</f>
        <v>0</v>
      </c>
      <c r="AB182" s="30"/>
      <c r="AC182" s="26" cm="1">
        <f t="array" ref="AC182">_xlfn.IFS(
   OR(B182="",ISBLANK(B182),B182=0),0,
   ISNUMBER(MATCH(B182,{2,3,5,7,11,13,17,19,23,29,31,37,41,43},0)),"소",
   AND(ISNUMBER(B182),MOD(B182,3)=0),"배",
   AND(ISNUMBER(B182),B182&gt;0),"자"
)</f>
        <v>0</v>
      </c>
      <c r="AD182" s="26" cm="1">
        <f t="array" ref="AD182">_xlfn.IFS(
   OR(C182="",ISBLANK(C182),C182=0),0,
   ISNUMBER(MATCH(C182,{2,3,5,7,11,13,17,19,23,29,31,37,41,43},0)),"소",
   AND(ISNUMBER(C182),MOD(C182,3)=0),"배",
   AND(ISNUMBER(C182),C182&gt;0),"자"
)</f>
        <v>0</v>
      </c>
      <c r="AE182" s="26" cm="1">
        <f t="array" ref="AE182">_xlfn.IFS(
   OR(D182="",ISBLANK(D182),D182=0),0,
   ISNUMBER(MATCH(D182,{2,3,5,7,11,13,17,19,23,29,31,37,41,43},0)),"소",
   AND(ISNUMBER(D182),MOD(D182,3)=0),"배",
   AND(ISNUMBER(D182),D182&gt;0),"자"
)</f>
        <v>0</v>
      </c>
      <c r="AF182" s="26" cm="1">
        <f t="array" ref="AF182">_xlfn.IFS(
   OR(E182="",ISBLANK(E182),E182=0),0,
   ISNUMBER(MATCH(E182,{2,3,5,7,11,13,17,19,23,29,31,37,41,43},0)),"소",
   AND(ISNUMBER(E182),MOD(E182,3)=0),"배",
   AND(ISNUMBER(E182),E182&gt;0),"자"
)</f>
        <v>0</v>
      </c>
      <c r="AG182" s="26" cm="1">
        <f t="array" ref="AG182">_xlfn.IFS(
   OR(F182="",ISBLANK(F182),F182=0),0,
   ISNUMBER(MATCH(F182,{2,3,5,7,11,13,17,19,23,29,31,37,41,43},0)),"소",
   AND(ISNUMBER(F182),MOD(F182,3)=0),"배",
   AND(ISNUMBER(F182),F182&gt;0),"자"
)</f>
        <v>0</v>
      </c>
      <c r="AH182" s="26" cm="1">
        <f t="array" ref="AH182">_xlfn.IFS(
   OR(G182="",ISBLANK(G182),G182=0),0,
   ISNUMBER(MATCH(G182,{2,3,5,7,11,13,17,19,23,29,31,37,41,43},0)),"소",
   AND(ISNUMBER(G182),MOD(G182,3)=0),"배",
   AND(ISNUMBER(G182),G182&gt;0),"자"
)</f>
        <v>0</v>
      </c>
      <c r="AI182" s="30"/>
      <c r="AJ182" s="3">
        <f>COUNTIFS(B182:G182,"&gt;=1",B182:G182,"&lt;=14")</f>
        <v>0</v>
      </c>
      <c r="AK182" s="3">
        <f>COUNTIFS(B182:G182,"&gt;=15",B182:G182,"&lt;=31")</f>
        <v>0</v>
      </c>
      <c r="AL182" s="3">
        <f>6-AK182-AJ182</f>
        <v>6</v>
      </c>
      <c r="AM182" s="33"/>
      <c r="AN182" s="3">
        <f>COUNTIFS($B182:$G182, "&gt;=1",$B182:$G182, "&lt;=9")</f>
        <v>0</v>
      </c>
      <c r="AO182" s="3">
        <f>COUNTIFS($B182:$G182, "&gt;=10",$B182:$G182, "&lt;=18")</f>
        <v>0</v>
      </c>
      <c r="AP182" s="3">
        <f>COUNTIFS($B182:$G182, "&gt;=19",$B182:$G182, "&lt;=27")</f>
        <v>0</v>
      </c>
      <c r="AQ182" s="3">
        <f>COUNTIFS($B182:$G182, "&gt;=28",$B182:$G182, "&lt;=36")</f>
        <v>0</v>
      </c>
      <c r="AR182" s="3">
        <f>COUNTIFS($B182:$G182, "&gt;=37",$B182:$G182, "&lt;=45")</f>
        <v>0</v>
      </c>
      <c r="AS182" s="28" t="e">
        <f>#REF!</f>
        <v>#REF!</v>
      </c>
      <c r="AT182" s="28" t="e">
        <f>#REF!*2</f>
        <v>#REF!</v>
      </c>
      <c r="AU182" s="28" t="e">
        <f>#REF!</f>
        <v>#REF!</v>
      </c>
      <c r="AV182" s="28" t="e">
        <f>#REF!*2</f>
        <v>#REF!</v>
      </c>
      <c r="AW182" s="28" t="e">
        <f>#REF!</f>
        <v>#REF!</v>
      </c>
      <c r="AX182" s="28" t="e">
        <f>#REF!*2</f>
        <v>#REF!</v>
      </c>
      <c r="AY182" s="28" t="e">
        <f>#REF!</f>
        <v>#REF!</v>
      </c>
      <c r="AZ182" s="28" t="e">
        <f>#REF!*2</f>
        <v>#REF!</v>
      </c>
      <c r="BA182" s="28" t="e">
        <f>#REF!</f>
        <v>#REF!</v>
      </c>
      <c r="BB182" s="28" t="e">
        <f>#REF!*2</f>
        <v>#REF!</v>
      </c>
      <c r="BC182" s="28" t="e">
        <f>#REF!</f>
        <v>#REF!</v>
      </c>
      <c r="BD182" s="28" t="e">
        <f>#REF!*2</f>
        <v>#REF!</v>
      </c>
      <c r="BE182" s="9" t="e">
        <f>#REF!-#REF!</f>
        <v>#REF!</v>
      </c>
      <c r="BF182" s="9" t="e">
        <f>#REF!-#REF!</f>
        <v>#REF!</v>
      </c>
      <c r="BG182" s="9" t="e">
        <f>#REF!-#REF!</f>
        <v>#REF!</v>
      </c>
      <c r="BH182" s="9" t="e">
        <f>#REF!-#REF!</f>
        <v>#REF!</v>
      </c>
      <c r="BI182" s="9" t="e">
        <f>#REF!-#REF!</f>
        <v>#REF!</v>
      </c>
      <c r="BJ182" s="33"/>
      <c r="BK182" s="3">
        <f>COUNTIFS(B182:G182, "&gt;=1", B182:G182, "&lt;=9")</f>
        <v>0</v>
      </c>
      <c r="BL182" s="3">
        <f>COUNTIFS(B182:G182, "&gt;=10", B182:G182, "&lt;=19")</f>
        <v>0</v>
      </c>
      <c r="BM182" s="3">
        <f>COUNTIFS(B182:G182, "&gt;=20", B182:G182, "&lt;=29")</f>
        <v>0</v>
      </c>
      <c r="BN182" s="3">
        <f>COUNTIFS(B182:G182, "&gt;=30", B182:G182, "&lt;=39")</f>
        <v>0</v>
      </c>
      <c r="BO182" s="3">
        <f>COUNTIFS(B182:G182, "&gt;=40", B182:G182, "&lt;=45")</f>
        <v>0</v>
      </c>
      <c r="BP182" s="28" t="e">
        <f>#REF!</f>
        <v>#REF!</v>
      </c>
      <c r="BQ182" s="28" t="e">
        <f>#REF!*2</f>
        <v>#REF!</v>
      </c>
      <c r="BR182" s="28" t="e">
        <f>#REF!</f>
        <v>#REF!</v>
      </c>
      <c r="BS182" s="28" t="e">
        <f>#REF!*2</f>
        <v>#REF!</v>
      </c>
      <c r="BT182" s="28" t="e">
        <f>#REF!</f>
        <v>#REF!</v>
      </c>
      <c r="BU182" s="28" t="e">
        <f>#REF!*2</f>
        <v>#REF!</v>
      </c>
      <c r="BV182" s="28" t="e">
        <f>#REF!</f>
        <v>#REF!</v>
      </c>
      <c r="BW182" s="28" t="e">
        <f>#REF!*2</f>
        <v>#REF!</v>
      </c>
      <c r="BX182" s="28" t="e">
        <f>#REF!</f>
        <v>#REF!</v>
      </c>
      <c r="BY182" s="28" t="e">
        <f>#REF!*2</f>
        <v>#REF!</v>
      </c>
      <c r="BZ182" s="28" t="e">
        <f>#REF!</f>
        <v>#REF!</v>
      </c>
      <c r="CA182" s="28" t="e">
        <f>#REF!*2</f>
        <v>#REF!</v>
      </c>
      <c r="CB182" s="9">
        <f>C182-B182</f>
        <v>0</v>
      </c>
      <c r="CC182" s="9">
        <f>D182-C182</f>
        <v>0</v>
      </c>
      <c r="CD182" s="9">
        <f>E182-D182</f>
        <v>0</v>
      </c>
      <c r="CE182" s="9">
        <f>F182-E182</f>
        <v>0</v>
      </c>
      <c r="CF182" s="9">
        <f>G182-F182</f>
        <v>0</v>
      </c>
      <c r="CG182" s="33"/>
      <c r="CH182" s="9">
        <f>C182-B182</f>
        <v>0</v>
      </c>
      <c r="CI182" s="9">
        <f>D182-C182</f>
        <v>0</v>
      </c>
      <c r="CJ182" s="9">
        <f>E182-D182</f>
        <v>0</v>
      </c>
      <c r="CK182" s="9">
        <f>F182-E182</f>
        <v>0</v>
      </c>
      <c r="CL182" s="9">
        <f>G182-F182</f>
        <v>0</v>
      </c>
      <c r="CM182" s="32"/>
      <c r="CN182" s="3">
        <f>IF(OR(CH182="",ISBLANK(CH182),CH182=0),0,IF(MOD(CH182,2)=1,1,2))</f>
        <v>0</v>
      </c>
      <c r="CO182" s="3">
        <f>IF(OR(CI182="",ISBLANK(CI182),CI182=0),0,IF(MOD(CI182,2)=1,1,2))</f>
        <v>0</v>
      </c>
      <c r="CP182" s="3">
        <f>IF(OR(CJ182="",ISBLANK(CJ182),CJ182=0),0,IF(MOD(CJ182,2)=1,1,2))</f>
        <v>0</v>
      </c>
      <c r="CQ182" s="3">
        <f>IF(OR(CK182="",ISBLANK(CK182),CK182=0),0,IF(MOD(CK182,2)=1,1,2))</f>
        <v>0</v>
      </c>
      <c r="CR182" s="3">
        <f>IF(OR(CL182="",ISBLANK(CL182),CL182=0),0,IF(MOD(CL182,2)=1,1,2))</f>
        <v>0</v>
      </c>
      <c r="CS182" s="31"/>
      <c r="CT182" s="3" cm="1">
        <f t="array" ref="CT182">SUMPRODUCT(--(MOD(CH182:CL182,2)=1))</f>
        <v>0</v>
      </c>
      <c r="CU182" s="3">
        <f>5-CT182</f>
        <v>5</v>
      </c>
      <c r="CV182" s="30"/>
      <c r="CW182" s="3" cm="1">
        <f t="array" ref="CW182">SUMPRODUCT(--(MOD(CH182:CL182,10)&gt;=1), --(MOD(CH182:CL182,10)&lt;=5))</f>
        <v>0</v>
      </c>
      <c r="CX182" s="3">
        <f>5-CW182</f>
        <v>5</v>
      </c>
      <c r="CY182" s="30"/>
      <c r="CZ182" s="3" cm="1">
        <f t="array" ref="CZ182">IFERROR(COUNT(_xlfn._xlws.FILTER(CH182:CL182, ISNUMBER(MATCH(CH182:CL182, {2,3,5,7,11,13,17,19,23,29,31,37,41,43}, 0)))), 0)</f>
        <v>0</v>
      </c>
      <c r="DA182" s="3" cm="1">
        <f t="array" ref="DA182">IFERROR(COUNT(_xlfn._xlws.FILTER(CH182:CL182, ISNUMBER(MATCH(CH182:CL182, {1,4,8,10,14,16,20,22,25,26,28,32,34,35,38,40,44}, 0)))), 0)</f>
        <v>0</v>
      </c>
      <c r="DB182" s="3" cm="1">
        <f t="array" ref="DB182">IFERROR(COUNT(_xlfn._xlws.FILTER(CH182:CL182, ISNUMBER(MATCH(CH182:CL182, {6,9,12,15,18,21,24,27,30,33,36,39,42,45}, 0)))), 0)</f>
        <v>0</v>
      </c>
      <c r="DC182" s="29"/>
      <c r="DD182" s="28" t="e">
        <f>#REF!</f>
        <v>#REF!</v>
      </c>
      <c r="DE182" s="28" t="e">
        <f>#REF!*2</f>
        <v>#REF!</v>
      </c>
      <c r="DF182" s="28" t="e">
        <f>#REF!</f>
        <v>#REF!</v>
      </c>
      <c r="DG182" s="28" t="e">
        <f>#REF!*2</f>
        <v>#REF!</v>
      </c>
      <c r="DH182" s="28" t="e">
        <f>#REF!</f>
        <v>#REF!</v>
      </c>
      <c r="DI182" s="28" t="e">
        <f>#REF!*2</f>
        <v>#REF!</v>
      </c>
      <c r="DJ182" s="28" t="e">
        <f>#REF!</f>
        <v>#REF!</v>
      </c>
      <c r="DK182" s="28" t="e">
        <f>#REF!*2</f>
        <v>#REF!</v>
      </c>
      <c r="DL182" s="28" t="e">
        <f>#REF!</f>
        <v>#REF!</v>
      </c>
      <c r="DM182" s="28" t="e">
        <f>#REF!*2</f>
        <v>#REF!</v>
      </c>
      <c r="DN182" s="27"/>
      <c r="DO182" s="26"/>
      <c r="DP182" s="26"/>
      <c r="DQ182" s="26"/>
      <c r="DR182" s="26"/>
      <c r="DS182" s="26"/>
      <c r="DT182" s="25"/>
    </row>
    <row r="183" spans="2:124" x14ac:dyDescent="0.3"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2"/>
      <c r="I183" s="3">
        <f>IF(OR(B183="",ISBLANK(B183),B183=0),0,IF(MOD(B183,2)=1,1,2))</f>
        <v>0</v>
      </c>
      <c r="J183" s="3">
        <f>IF(OR(C183="",ISBLANK(C183),C183=0),0,IF(MOD(C183,2)=1,1,2))</f>
        <v>0</v>
      </c>
      <c r="K183" s="3">
        <f>IF(OR(D183="",ISBLANK(D183),D183=0),0,IF(MOD(D183,2)=1,1,2))</f>
        <v>0</v>
      </c>
      <c r="L183" s="3">
        <f>IF(OR(E183="",ISBLANK(E183),E183=0),0,IF(MOD(E183,2)=1,1,2))</f>
        <v>0</v>
      </c>
      <c r="M183" s="3">
        <f>IF(OR(F183="",ISBLANK(F183),F183=0),0,IF(MOD(F183,2)=1,1,2))</f>
        <v>0</v>
      </c>
      <c r="N183" s="3">
        <f>IF(OR(G183="",ISBLANK(G183),G183=0),0,IF(MOD(G183,2)=1,1,2))</f>
        <v>0</v>
      </c>
      <c r="O183" s="32"/>
      <c r="P183" s="3" cm="1">
        <f t="array" ref="P183">SUMPRODUCT(--(MOD(B183:G183,2)=1))</f>
        <v>0</v>
      </c>
      <c r="Q183" s="3">
        <f>6-P183</f>
        <v>6</v>
      </c>
      <c r="R183" s="34"/>
      <c r="S183" s="3">
        <f>COUNTIFS(B183:G183,"&gt;=1",B183:G183,"&lt;=23")</f>
        <v>0</v>
      </c>
      <c r="T183" s="3">
        <f>6-S183</f>
        <v>6</v>
      </c>
      <c r="U183" s="34"/>
      <c r="V183" s="3" cm="1">
        <f t="array" ref="V183">SUMPRODUCT(--(MOD(B183:G183,10)&gt;=1), --(MOD(B183:G183,10)&lt;=5))</f>
        <v>0</v>
      </c>
      <c r="W183" s="3">
        <f>6-V183</f>
        <v>6</v>
      </c>
      <c r="X183" s="34"/>
      <c r="Y183" s="3" cm="1">
        <f t="array" ref="Y183">IFERROR(COUNT(_xlfn._xlws.FILTER(B183:G183, ISNUMBER(MATCH(B183:G183, {2,3,5,7,11,13,17,19,23,29,31,37,41,43}, 0)))), 0)</f>
        <v>0</v>
      </c>
      <c r="Z183" s="3" cm="1">
        <f t="array" ref="Z183">IFERROR(COUNT(_xlfn._xlws.FILTER(B183:G183, ISNUMBER(MATCH(B183:G183, {1,4,8,10,14,16,20,22,25,26,28,32,34,35,38,40,44}, 0)))), 0)</f>
        <v>0</v>
      </c>
      <c r="AA183" s="3" cm="1">
        <f t="array" ref="AA183">IFERROR(COUNT(_xlfn._xlws.FILTER(B183:G183, ISNUMBER(MATCH(B183:G183, {6,9,12,15,18,21,24,27,30,33,36,39,42,45}, 0)))), 0)</f>
        <v>0</v>
      </c>
      <c r="AB183" s="30"/>
      <c r="AC183" s="26" cm="1">
        <f t="array" ref="AC183">_xlfn.IFS(
   OR(B183="",ISBLANK(B183),B183=0),0,
   ISNUMBER(MATCH(B183,{2,3,5,7,11,13,17,19,23,29,31,37,41,43},0)),"소",
   AND(ISNUMBER(B183),MOD(B183,3)=0),"배",
   AND(ISNUMBER(B183),B183&gt;0),"자"
)</f>
        <v>0</v>
      </c>
      <c r="AD183" s="26" cm="1">
        <f t="array" ref="AD183">_xlfn.IFS(
   OR(C183="",ISBLANK(C183),C183=0),0,
   ISNUMBER(MATCH(C183,{2,3,5,7,11,13,17,19,23,29,31,37,41,43},0)),"소",
   AND(ISNUMBER(C183),MOD(C183,3)=0),"배",
   AND(ISNUMBER(C183),C183&gt;0),"자"
)</f>
        <v>0</v>
      </c>
      <c r="AE183" s="26" cm="1">
        <f t="array" ref="AE183">_xlfn.IFS(
   OR(D183="",ISBLANK(D183),D183=0),0,
   ISNUMBER(MATCH(D183,{2,3,5,7,11,13,17,19,23,29,31,37,41,43},0)),"소",
   AND(ISNUMBER(D183),MOD(D183,3)=0),"배",
   AND(ISNUMBER(D183),D183&gt;0),"자"
)</f>
        <v>0</v>
      </c>
      <c r="AF183" s="26" cm="1">
        <f t="array" ref="AF183">_xlfn.IFS(
   OR(E183="",ISBLANK(E183),E183=0),0,
   ISNUMBER(MATCH(E183,{2,3,5,7,11,13,17,19,23,29,31,37,41,43},0)),"소",
   AND(ISNUMBER(E183),MOD(E183,3)=0),"배",
   AND(ISNUMBER(E183),E183&gt;0),"자"
)</f>
        <v>0</v>
      </c>
      <c r="AG183" s="26" cm="1">
        <f t="array" ref="AG183">_xlfn.IFS(
   OR(F183="",ISBLANK(F183),F183=0),0,
   ISNUMBER(MATCH(F183,{2,3,5,7,11,13,17,19,23,29,31,37,41,43},0)),"소",
   AND(ISNUMBER(F183),MOD(F183,3)=0),"배",
   AND(ISNUMBER(F183),F183&gt;0),"자"
)</f>
        <v>0</v>
      </c>
      <c r="AH183" s="26" cm="1">
        <f t="array" ref="AH183">_xlfn.IFS(
   OR(G183="",ISBLANK(G183),G183=0),0,
   ISNUMBER(MATCH(G183,{2,3,5,7,11,13,17,19,23,29,31,37,41,43},0)),"소",
   AND(ISNUMBER(G183),MOD(G183,3)=0),"배",
   AND(ISNUMBER(G183),G183&gt;0),"자"
)</f>
        <v>0</v>
      </c>
      <c r="AI183" s="30"/>
      <c r="AJ183" s="3">
        <f>COUNTIFS(B183:G183,"&gt;=1",B183:G183,"&lt;=14")</f>
        <v>0</v>
      </c>
      <c r="AK183" s="3">
        <f>COUNTIFS(B183:G183,"&gt;=15",B183:G183,"&lt;=31")</f>
        <v>0</v>
      </c>
      <c r="AL183" s="3">
        <f>6-AK183-AJ183</f>
        <v>6</v>
      </c>
      <c r="AM183" s="33"/>
      <c r="AN183" s="3">
        <f>COUNTIFS($B183:$G183, "&gt;=1",$B183:$G183, "&lt;=9")</f>
        <v>0</v>
      </c>
      <c r="AO183" s="3">
        <f>COUNTIFS($B183:$G183, "&gt;=10",$B183:$G183, "&lt;=18")</f>
        <v>0</v>
      </c>
      <c r="AP183" s="3">
        <f>COUNTIFS($B183:$G183, "&gt;=19",$B183:$G183, "&lt;=27")</f>
        <v>0</v>
      </c>
      <c r="AQ183" s="3">
        <f>COUNTIFS($B183:$G183, "&gt;=28",$B183:$G183, "&lt;=36")</f>
        <v>0</v>
      </c>
      <c r="AR183" s="3">
        <f>COUNTIFS($B183:$G183, "&gt;=37",$B183:$G183, "&lt;=45")</f>
        <v>0</v>
      </c>
      <c r="AS183" s="28" t="e">
        <f>#REF!</f>
        <v>#REF!</v>
      </c>
      <c r="AT183" s="28" t="e">
        <f>#REF!*2</f>
        <v>#REF!</v>
      </c>
      <c r="AU183" s="28" t="e">
        <f>#REF!</f>
        <v>#REF!</v>
      </c>
      <c r="AV183" s="28" t="e">
        <f>#REF!*2</f>
        <v>#REF!</v>
      </c>
      <c r="AW183" s="28" t="e">
        <f>#REF!</f>
        <v>#REF!</v>
      </c>
      <c r="AX183" s="28" t="e">
        <f>#REF!*2</f>
        <v>#REF!</v>
      </c>
      <c r="AY183" s="28" t="e">
        <f>#REF!</f>
        <v>#REF!</v>
      </c>
      <c r="AZ183" s="28" t="e">
        <f>#REF!*2</f>
        <v>#REF!</v>
      </c>
      <c r="BA183" s="28" t="e">
        <f>#REF!</f>
        <v>#REF!</v>
      </c>
      <c r="BB183" s="28" t="e">
        <f>#REF!*2</f>
        <v>#REF!</v>
      </c>
      <c r="BC183" s="28" t="e">
        <f>#REF!</f>
        <v>#REF!</v>
      </c>
      <c r="BD183" s="28" t="e">
        <f>#REF!*2</f>
        <v>#REF!</v>
      </c>
      <c r="BE183" s="9" t="e">
        <f>#REF!-#REF!</f>
        <v>#REF!</v>
      </c>
      <c r="BF183" s="9" t="e">
        <f>#REF!-#REF!</f>
        <v>#REF!</v>
      </c>
      <c r="BG183" s="9" t="e">
        <f>#REF!-#REF!</f>
        <v>#REF!</v>
      </c>
      <c r="BH183" s="9" t="e">
        <f>#REF!-#REF!</f>
        <v>#REF!</v>
      </c>
      <c r="BI183" s="9" t="e">
        <f>#REF!-#REF!</f>
        <v>#REF!</v>
      </c>
      <c r="BJ183" s="33"/>
      <c r="BK183" s="3">
        <f>COUNTIFS(B183:G183, "&gt;=1", B183:G183, "&lt;=9")</f>
        <v>0</v>
      </c>
      <c r="BL183" s="3">
        <f>COUNTIFS(B183:G183, "&gt;=10", B183:G183, "&lt;=19")</f>
        <v>0</v>
      </c>
      <c r="BM183" s="3">
        <f>COUNTIFS(B183:G183, "&gt;=20", B183:G183, "&lt;=29")</f>
        <v>0</v>
      </c>
      <c r="BN183" s="3">
        <f>COUNTIFS(B183:G183, "&gt;=30", B183:G183, "&lt;=39")</f>
        <v>0</v>
      </c>
      <c r="BO183" s="3">
        <f>COUNTIFS(B183:G183, "&gt;=40", B183:G183, "&lt;=45")</f>
        <v>0</v>
      </c>
      <c r="BP183" s="28" t="e">
        <f>#REF!</f>
        <v>#REF!</v>
      </c>
      <c r="BQ183" s="28" t="e">
        <f>#REF!*2</f>
        <v>#REF!</v>
      </c>
      <c r="BR183" s="28" t="e">
        <f>#REF!</f>
        <v>#REF!</v>
      </c>
      <c r="BS183" s="28" t="e">
        <f>#REF!*2</f>
        <v>#REF!</v>
      </c>
      <c r="BT183" s="28" t="e">
        <f>#REF!</f>
        <v>#REF!</v>
      </c>
      <c r="BU183" s="28" t="e">
        <f>#REF!*2</f>
        <v>#REF!</v>
      </c>
      <c r="BV183" s="28" t="e">
        <f>#REF!</f>
        <v>#REF!</v>
      </c>
      <c r="BW183" s="28" t="e">
        <f>#REF!*2</f>
        <v>#REF!</v>
      </c>
      <c r="BX183" s="28" t="e">
        <f>#REF!</f>
        <v>#REF!</v>
      </c>
      <c r="BY183" s="28" t="e">
        <f>#REF!*2</f>
        <v>#REF!</v>
      </c>
      <c r="BZ183" s="28" t="e">
        <f>#REF!</f>
        <v>#REF!</v>
      </c>
      <c r="CA183" s="28" t="e">
        <f>#REF!*2</f>
        <v>#REF!</v>
      </c>
      <c r="CB183" s="9">
        <f>C183-B183</f>
        <v>0</v>
      </c>
      <c r="CC183" s="9">
        <f>D183-C183</f>
        <v>0</v>
      </c>
      <c r="CD183" s="9">
        <f>E183-D183</f>
        <v>0</v>
      </c>
      <c r="CE183" s="9">
        <f>F183-E183</f>
        <v>0</v>
      </c>
      <c r="CF183" s="9">
        <f>G183-F183</f>
        <v>0</v>
      </c>
      <c r="CG183" s="33"/>
      <c r="CH183" s="9">
        <f>C183-B183</f>
        <v>0</v>
      </c>
      <c r="CI183" s="9">
        <f>D183-C183</f>
        <v>0</v>
      </c>
      <c r="CJ183" s="9">
        <f>E183-D183</f>
        <v>0</v>
      </c>
      <c r="CK183" s="9">
        <f>F183-E183</f>
        <v>0</v>
      </c>
      <c r="CL183" s="9">
        <f>G183-F183</f>
        <v>0</v>
      </c>
      <c r="CM183" s="32"/>
      <c r="CN183" s="3">
        <f>IF(OR(CH183="",ISBLANK(CH183),CH183=0),0,IF(MOD(CH183,2)=1,1,2))</f>
        <v>0</v>
      </c>
      <c r="CO183" s="3">
        <f>IF(OR(CI183="",ISBLANK(CI183),CI183=0),0,IF(MOD(CI183,2)=1,1,2))</f>
        <v>0</v>
      </c>
      <c r="CP183" s="3">
        <f>IF(OR(CJ183="",ISBLANK(CJ183),CJ183=0),0,IF(MOD(CJ183,2)=1,1,2))</f>
        <v>0</v>
      </c>
      <c r="CQ183" s="3">
        <f>IF(OR(CK183="",ISBLANK(CK183),CK183=0),0,IF(MOD(CK183,2)=1,1,2))</f>
        <v>0</v>
      </c>
      <c r="CR183" s="3">
        <f>IF(OR(CL183="",ISBLANK(CL183),CL183=0),0,IF(MOD(CL183,2)=1,1,2))</f>
        <v>0</v>
      </c>
      <c r="CS183" s="31"/>
      <c r="CT183" s="3" cm="1">
        <f t="array" ref="CT183">SUMPRODUCT(--(MOD(CH183:CL183,2)=1))</f>
        <v>0</v>
      </c>
      <c r="CU183" s="3">
        <f>5-CT183</f>
        <v>5</v>
      </c>
      <c r="CV183" s="30"/>
      <c r="CW183" s="3" cm="1">
        <f t="array" ref="CW183">SUMPRODUCT(--(MOD(CH183:CL183,10)&gt;=1), --(MOD(CH183:CL183,10)&lt;=5))</f>
        <v>0</v>
      </c>
      <c r="CX183" s="3">
        <f>5-CW183</f>
        <v>5</v>
      </c>
      <c r="CY183" s="30"/>
      <c r="CZ183" s="3" cm="1">
        <f t="array" ref="CZ183">IFERROR(COUNT(_xlfn._xlws.FILTER(CH183:CL183, ISNUMBER(MATCH(CH183:CL183, {2,3,5,7,11,13,17,19,23,29,31,37,41,43}, 0)))), 0)</f>
        <v>0</v>
      </c>
      <c r="DA183" s="3" cm="1">
        <f t="array" ref="DA183">IFERROR(COUNT(_xlfn._xlws.FILTER(CH183:CL183, ISNUMBER(MATCH(CH183:CL183, {1,4,8,10,14,16,20,22,25,26,28,32,34,35,38,40,44}, 0)))), 0)</f>
        <v>0</v>
      </c>
      <c r="DB183" s="3" cm="1">
        <f t="array" ref="DB183">IFERROR(COUNT(_xlfn._xlws.FILTER(CH183:CL183, ISNUMBER(MATCH(CH183:CL183, {6,9,12,15,18,21,24,27,30,33,36,39,42,45}, 0)))), 0)</f>
        <v>0</v>
      </c>
      <c r="DC183" s="29"/>
      <c r="DD183" s="28" t="e">
        <f>#REF!</f>
        <v>#REF!</v>
      </c>
      <c r="DE183" s="28" t="e">
        <f>#REF!*2</f>
        <v>#REF!</v>
      </c>
      <c r="DF183" s="28" t="e">
        <f>#REF!</f>
        <v>#REF!</v>
      </c>
      <c r="DG183" s="28" t="e">
        <f>#REF!*2</f>
        <v>#REF!</v>
      </c>
      <c r="DH183" s="28" t="e">
        <f>#REF!</f>
        <v>#REF!</v>
      </c>
      <c r="DI183" s="28" t="e">
        <f>#REF!*2</f>
        <v>#REF!</v>
      </c>
      <c r="DJ183" s="28" t="e">
        <f>#REF!</f>
        <v>#REF!</v>
      </c>
      <c r="DK183" s="28" t="e">
        <f>#REF!*2</f>
        <v>#REF!</v>
      </c>
      <c r="DL183" s="28" t="e">
        <f>#REF!</f>
        <v>#REF!</v>
      </c>
      <c r="DM183" s="28" t="e">
        <f>#REF!*2</f>
        <v>#REF!</v>
      </c>
      <c r="DN183" s="27"/>
      <c r="DO183" s="26"/>
      <c r="DP183" s="26"/>
      <c r="DQ183" s="26"/>
      <c r="DR183" s="26"/>
      <c r="DS183" s="26"/>
      <c r="DT183" s="25"/>
    </row>
    <row r="184" spans="2:124" x14ac:dyDescent="0.3"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2"/>
      <c r="I184" s="3">
        <f>IF(OR(B184="",ISBLANK(B184),B184=0),0,IF(MOD(B184,2)=1,1,2))</f>
        <v>0</v>
      </c>
      <c r="J184" s="3">
        <f>IF(OR(C184="",ISBLANK(C184),C184=0),0,IF(MOD(C184,2)=1,1,2))</f>
        <v>0</v>
      </c>
      <c r="K184" s="3">
        <f>IF(OR(D184="",ISBLANK(D184),D184=0),0,IF(MOD(D184,2)=1,1,2))</f>
        <v>0</v>
      </c>
      <c r="L184" s="3">
        <f>IF(OR(E184="",ISBLANK(E184),E184=0),0,IF(MOD(E184,2)=1,1,2))</f>
        <v>0</v>
      </c>
      <c r="M184" s="3">
        <f>IF(OR(F184="",ISBLANK(F184),F184=0),0,IF(MOD(F184,2)=1,1,2))</f>
        <v>0</v>
      </c>
      <c r="N184" s="3">
        <f>IF(OR(G184="",ISBLANK(G184),G184=0),0,IF(MOD(G184,2)=1,1,2))</f>
        <v>0</v>
      </c>
      <c r="O184" s="32"/>
      <c r="P184" s="3" cm="1">
        <f t="array" ref="P184">SUMPRODUCT(--(MOD(B184:G184,2)=1))</f>
        <v>0</v>
      </c>
      <c r="Q184" s="3">
        <f>6-P184</f>
        <v>6</v>
      </c>
      <c r="R184" s="34"/>
      <c r="S184" s="3">
        <f>COUNTIFS(B184:G184,"&gt;=1",B184:G184,"&lt;=23")</f>
        <v>0</v>
      </c>
      <c r="T184" s="3">
        <f>6-S184</f>
        <v>6</v>
      </c>
      <c r="U184" s="34"/>
      <c r="V184" s="3" cm="1">
        <f t="array" ref="V184">SUMPRODUCT(--(MOD(B184:G184,10)&gt;=1), --(MOD(B184:G184,10)&lt;=5))</f>
        <v>0</v>
      </c>
      <c r="W184" s="3">
        <f>6-V184</f>
        <v>6</v>
      </c>
      <c r="X184" s="34"/>
      <c r="Y184" s="3" cm="1">
        <f t="array" ref="Y184">IFERROR(COUNT(_xlfn._xlws.FILTER(B184:G184, ISNUMBER(MATCH(B184:G184, {2,3,5,7,11,13,17,19,23,29,31,37,41,43}, 0)))), 0)</f>
        <v>0</v>
      </c>
      <c r="Z184" s="3" cm="1">
        <f t="array" ref="Z184">IFERROR(COUNT(_xlfn._xlws.FILTER(B184:G184, ISNUMBER(MATCH(B184:G184, {1,4,8,10,14,16,20,22,25,26,28,32,34,35,38,40,44}, 0)))), 0)</f>
        <v>0</v>
      </c>
      <c r="AA184" s="3" cm="1">
        <f t="array" ref="AA184">IFERROR(COUNT(_xlfn._xlws.FILTER(B184:G184, ISNUMBER(MATCH(B184:G184, {6,9,12,15,18,21,24,27,30,33,36,39,42,45}, 0)))), 0)</f>
        <v>0</v>
      </c>
      <c r="AB184" s="30"/>
      <c r="AC184" s="26" cm="1">
        <f t="array" ref="AC184">_xlfn.IFS(
   OR(B184="",ISBLANK(B184),B184=0),0,
   ISNUMBER(MATCH(B184,{2,3,5,7,11,13,17,19,23,29,31,37,41,43},0)),"소",
   AND(ISNUMBER(B184),MOD(B184,3)=0),"배",
   AND(ISNUMBER(B184),B184&gt;0),"자"
)</f>
        <v>0</v>
      </c>
      <c r="AD184" s="26" cm="1">
        <f t="array" ref="AD184">_xlfn.IFS(
   OR(C184="",ISBLANK(C184),C184=0),0,
   ISNUMBER(MATCH(C184,{2,3,5,7,11,13,17,19,23,29,31,37,41,43},0)),"소",
   AND(ISNUMBER(C184),MOD(C184,3)=0),"배",
   AND(ISNUMBER(C184),C184&gt;0),"자"
)</f>
        <v>0</v>
      </c>
      <c r="AE184" s="26" cm="1">
        <f t="array" ref="AE184">_xlfn.IFS(
   OR(D184="",ISBLANK(D184),D184=0),0,
   ISNUMBER(MATCH(D184,{2,3,5,7,11,13,17,19,23,29,31,37,41,43},0)),"소",
   AND(ISNUMBER(D184),MOD(D184,3)=0),"배",
   AND(ISNUMBER(D184),D184&gt;0),"자"
)</f>
        <v>0</v>
      </c>
      <c r="AF184" s="26" cm="1">
        <f t="array" ref="AF184">_xlfn.IFS(
   OR(E184="",ISBLANK(E184),E184=0),0,
   ISNUMBER(MATCH(E184,{2,3,5,7,11,13,17,19,23,29,31,37,41,43},0)),"소",
   AND(ISNUMBER(E184),MOD(E184,3)=0),"배",
   AND(ISNUMBER(E184),E184&gt;0),"자"
)</f>
        <v>0</v>
      </c>
      <c r="AG184" s="26" cm="1">
        <f t="array" ref="AG184">_xlfn.IFS(
   OR(F184="",ISBLANK(F184),F184=0),0,
   ISNUMBER(MATCH(F184,{2,3,5,7,11,13,17,19,23,29,31,37,41,43},0)),"소",
   AND(ISNUMBER(F184),MOD(F184,3)=0),"배",
   AND(ISNUMBER(F184),F184&gt;0),"자"
)</f>
        <v>0</v>
      </c>
      <c r="AH184" s="26" cm="1">
        <f t="array" ref="AH184">_xlfn.IFS(
   OR(G184="",ISBLANK(G184),G184=0),0,
   ISNUMBER(MATCH(G184,{2,3,5,7,11,13,17,19,23,29,31,37,41,43},0)),"소",
   AND(ISNUMBER(G184),MOD(G184,3)=0),"배",
   AND(ISNUMBER(G184),G184&gt;0),"자"
)</f>
        <v>0</v>
      </c>
      <c r="AI184" s="30"/>
      <c r="AJ184" s="3">
        <f>COUNTIFS(B184:G184,"&gt;=1",B184:G184,"&lt;=14")</f>
        <v>0</v>
      </c>
      <c r="AK184" s="3">
        <f>COUNTIFS(B184:G184,"&gt;=15",B184:G184,"&lt;=31")</f>
        <v>0</v>
      </c>
      <c r="AL184" s="3">
        <f>6-AK184-AJ184</f>
        <v>6</v>
      </c>
      <c r="AM184" s="33"/>
      <c r="AN184" s="3">
        <f>COUNTIFS($B184:$G184, "&gt;=1",$B184:$G184, "&lt;=9")</f>
        <v>0</v>
      </c>
      <c r="AO184" s="3">
        <f>COUNTIFS($B184:$G184, "&gt;=10",$B184:$G184, "&lt;=18")</f>
        <v>0</v>
      </c>
      <c r="AP184" s="3">
        <f>COUNTIFS($B184:$G184, "&gt;=19",$B184:$G184, "&lt;=27")</f>
        <v>0</v>
      </c>
      <c r="AQ184" s="3">
        <f>COUNTIFS($B184:$G184, "&gt;=28",$B184:$G184, "&lt;=36")</f>
        <v>0</v>
      </c>
      <c r="AR184" s="3">
        <f>COUNTIFS($B184:$G184, "&gt;=37",$B184:$G184, "&lt;=45")</f>
        <v>0</v>
      </c>
      <c r="AS184" s="28" t="e">
        <f>#REF!</f>
        <v>#REF!</v>
      </c>
      <c r="AT184" s="28" t="e">
        <f>#REF!*2</f>
        <v>#REF!</v>
      </c>
      <c r="AU184" s="28" t="e">
        <f>#REF!</f>
        <v>#REF!</v>
      </c>
      <c r="AV184" s="28" t="e">
        <f>#REF!*2</f>
        <v>#REF!</v>
      </c>
      <c r="AW184" s="28" t="e">
        <f>#REF!</f>
        <v>#REF!</v>
      </c>
      <c r="AX184" s="28" t="e">
        <f>#REF!*2</f>
        <v>#REF!</v>
      </c>
      <c r="AY184" s="28" t="e">
        <f>#REF!</f>
        <v>#REF!</v>
      </c>
      <c r="AZ184" s="28" t="e">
        <f>#REF!*2</f>
        <v>#REF!</v>
      </c>
      <c r="BA184" s="28" t="e">
        <f>#REF!</f>
        <v>#REF!</v>
      </c>
      <c r="BB184" s="28" t="e">
        <f>#REF!*2</f>
        <v>#REF!</v>
      </c>
      <c r="BC184" s="28" t="e">
        <f>#REF!</f>
        <v>#REF!</v>
      </c>
      <c r="BD184" s="28" t="e">
        <f>#REF!*2</f>
        <v>#REF!</v>
      </c>
      <c r="BE184" s="9" t="e">
        <f>#REF!-#REF!</f>
        <v>#REF!</v>
      </c>
      <c r="BF184" s="9" t="e">
        <f>#REF!-#REF!</f>
        <v>#REF!</v>
      </c>
      <c r="BG184" s="9" t="e">
        <f>#REF!-#REF!</f>
        <v>#REF!</v>
      </c>
      <c r="BH184" s="9" t="e">
        <f>#REF!-#REF!</f>
        <v>#REF!</v>
      </c>
      <c r="BI184" s="9" t="e">
        <f>#REF!-#REF!</f>
        <v>#REF!</v>
      </c>
      <c r="BJ184" s="33"/>
      <c r="BK184" s="3">
        <f>COUNTIFS(B184:G184, "&gt;=1", B184:G184, "&lt;=9")</f>
        <v>0</v>
      </c>
      <c r="BL184" s="3">
        <f>COUNTIFS(B184:G184, "&gt;=10", B184:G184, "&lt;=19")</f>
        <v>0</v>
      </c>
      <c r="BM184" s="3">
        <f>COUNTIFS(B184:G184, "&gt;=20", B184:G184, "&lt;=29")</f>
        <v>0</v>
      </c>
      <c r="BN184" s="3">
        <f>COUNTIFS(B184:G184, "&gt;=30", B184:G184, "&lt;=39")</f>
        <v>0</v>
      </c>
      <c r="BO184" s="3">
        <f>COUNTIFS(B184:G184, "&gt;=40", B184:G184, "&lt;=45")</f>
        <v>0</v>
      </c>
      <c r="BP184" s="28" t="e">
        <f>#REF!</f>
        <v>#REF!</v>
      </c>
      <c r="BQ184" s="28" t="e">
        <f>#REF!*2</f>
        <v>#REF!</v>
      </c>
      <c r="BR184" s="28" t="e">
        <f>#REF!</f>
        <v>#REF!</v>
      </c>
      <c r="BS184" s="28" t="e">
        <f>#REF!*2</f>
        <v>#REF!</v>
      </c>
      <c r="BT184" s="28" t="e">
        <f>#REF!</f>
        <v>#REF!</v>
      </c>
      <c r="BU184" s="28" t="e">
        <f>#REF!*2</f>
        <v>#REF!</v>
      </c>
      <c r="BV184" s="28" t="e">
        <f>#REF!</f>
        <v>#REF!</v>
      </c>
      <c r="BW184" s="28" t="e">
        <f>#REF!*2</f>
        <v>#REF!</v>
      </c>
      <c r="BX184" s="28" t="e">
        <f>#REF!</f>
        <v>#REF!</v>
      </c>
      <c r="BY184" s="28" t="e">
        <f>#REF!*2</f>
        <v>#REF!</v>
      </c>
      <c r="BZ184" s="28" t="e">
        <f>#REF!</f>
        <v>#REF!</v>
      </c>
      <c r="CA184" s="28" t="e">
        <f>#REF!*2</f>
        <v>#REF!</v>
      </c>
      <c r="CB184" s="9">
        <f>C184-B184</f>
        <v>0</v>
      </c>
      <c r="CC184" s="9">
        <f>D184-C184</f>
        <v>0</v>
      </c>
      <c r="CD184" s="9">
        <f>E184-D184</f>
        <v>0</v>
      </c>
      <c r="CE184" s="9">
        <f>F184-E184</f>
        <v>0</v>
      </c>
      <c r="CF184" s="9">
        <f>G184-F184</f>
        <v>0</v>
      </c>
      <c r="CG184" s="33"/>
      <c r="CH184" s="9">
        <f>C184-B184</f>
        <v>0</v>
      </c>
      <c r="CI184" s="9">
        <f>D184-C184</f>
        <v>0</v>
      </c>
      <c r="CJ184" s="9">
        <f>E184-D184</f>
        <v>0</v>
      </c>
      <c r="CK184" s="9">
        <f>F184-E184</f>
        <v>0</v>
      </c>
      <c r="CL184" s="9">
        <f>G184-F184</f>
        <v>0</v>
      </c>
      <c r="CM184" s="32"/>
      <c r="CN184" s="3">
        <f>IF(OR(CH184="",ISBLANK(CH184),CH184=0),0,IF(MOD(CH184,2)=1,1,2))</f>
        <v>0</v>
      </c>
      <c r="CO184" s="3">
        <f>IF(OR(CI184="",ISBLANK(CI184),CI184=0),0,IF(MOD(CI184,2)=1,1,2))</f>
        <v>0</v>
      </c>
      <c r="CP184" s="3">
        <f>IF(OR(CJ184="",ISBLANK(CJ184),CJ184=0),0,IF(MOD(CJ184,2)=1,1,2))</f>
        <v>0</v>
      </c>
      <c r="CQ184" s="3">
        <f>IF(OR(CK184="",ISBLANK(CK184),CK184=0),0,IF(MOD(CK184,2)=1,1,2))</f>
        <v>0</v>
      </c>
      <c r="CR184" s="3">
        <f>IF(OR(CL184="",ISBLANK(CL184),CL184=0),0,IF(MOD(CL184,2)=1,1,2))</f>
        <v>0</v>
      </c>
      <c r="CS184" s="31"/>
      <c r="CT184" s="3" cm="1">
        <f t="array" ref="CT184">SUMPRODUCT(--(MOD(CH184:CL184,2)=1))</f>
        <v>0</v>
      </c>
      <c r="CU184" s="3">
        <f>5-CT184</f>
        <v>5</v>
      </c>
      <c r="CV184" s="30"/>
      <c r="CW184" s="3" cm="1">
        <f t="array" ref="CW184">SUMPRODUCT(--(MOD(CH184:CL184,10)&gt;=1), --(MOD(CH184:CL184,10)&lt;=5))</f>
        <v>0</v>
      </c>
      <c r="CX184" s="3">
        <f>5-CW184</f>
        <v>5</v>
      </c>
      <c r="CY184" s="30"/>
      <c r="CZ184" s="3" cm="1">
        <f t="array" ref="CZ184">IFERROR(COUNT(_xlfn._xlws.FILTER(CH184:CL184, ISNUMBER(MATCH(CH184:CL184, {2,3,5,7,11,13,17,19,23,29,31,37,41,43}, 0)))), 0)</f>
        <v>0</v>
      </c>
      <c r="DA184" s="3" cm="1">
        <f t="array" ref="DA184">IFERROR(COUNT(_xlfn._xlws.FILTER(CH184:CL184, ISNUMBER(MATCH(CH184:CL184, {1,4,8,10,14,16,20,22,25,26,28,32,34,35,38,40,44}, 0)))), 0)</f>
        <v>0</v>
      </c>
      <c r="DB184" s="3" cm="1">
        <f t="array" ref="DB184">IFERROR(COUNT(_xlfn._xlws.FILTER(CH184:CL184, ISNUMBER(MATCH(CH184:CL184, {6,9,12,15,18,21,24,27,30,33,36,39,42,45}, 0)))), 0)</f>
        <v>0</v>
      </c>
      <c r="DC184" s="29"/>
      <c r="DD184" s="28" t="e">
        <f>#REF!</f>
        <v>#REF!</v>
      </c>
      <c r="DE184" s="28" t="e">
        <f>#REF!*2</f>
        <v>#REF!</v>
      </c>
      <c r="DF184" s="28" t="e">
        <f>#REF!</f>
        <v>#REF!</v>
      </c>
      <c r="DG184" s="28" t="e">
        <f>#REF!*2</f>
        <v>#REF!</v>
      </c>
      <c r="DH184" s="28" t="e">
        <f>#REF!</f>
        <v>#REF!</v>
      </c>
      <c r="DI184" s="28" t="e">
        <f>#REF!*2</f>
        <v>#REF!</v>
      </c>
      <c r="DJ184" s="28" t="e">
        <f>#REF!</f>
        <v>#REF!</v>
      </c>
      <c r="DK184" s="28" t="e">
        <f>#REF!*2</f>
        <v>#REF!</v>
      </c>
      <c r="DL184" s="28" t="e">
        <f>#REF!</f>
        <v>#REF!</v>
      </c>
      <c r="DM184" s="28" t="e">
        <f>#REF!*2</f>
        <v>#REF!</v>
      </c>
      <c r="DN184" s="27"/>
      <c r="DO184" s="26"/>
      <c r="DP184" s="26"/>
      <c r="DQ184" s="26"/>
      <c r="DR184" s="26"/>
      <c r="DS184" s="26"/>
      <c r="DT184" s="25"/>
    </row>
    <row r="185" spans="2:124" x14ac:dyDescent="0.3"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2"/>
      <c r="I185" s="3">
        <f>IF(OR(B185="",ISBLANK(B185),B185=0),0,IF(MOD(B185,2)=1,1,2))</f>
        <v>0</v>
      </c>
      <c r="J185" s="3">
        <f>IF(OR(C185="",ISBLANK(C185),C185=0),0,IF(MOD(C185,2)=1,1,2))</f>
        <v>0</v>
      </c>
      <c r="K185" s="3">
        <f>IF(OR(D185="",ISBLANK(D185),D185=0),0,IF(MOD(D185,2)=1,1,2))</f>
        <v>0</v>
      </c>
      <c r="L185" s="3">
        <f>IF(OR(E185="",ISBLANK(E185),E185=0),0,IF(MOD(E185,2)=1,1,2))</f>
        <v>0</v>
      </c>
      <c r="M185" s="3">
        <f>IF(OR(F185="",ISBLANK(F185),F185=0),0,IF(MOD(F185,2)=1,1,2))</f>
        <v>0</v>
      </c>
      <c r="N185" s="3">
        <f>IF(OR(G185="",ISBLANK(G185),G185=0),0,IF(MOD(G185,2)=1,1,2))</f>
        <v>0</v>
      </c>
      <c r="O185" s="32"/>
      <c r="P185" s="3" cm="1">
        <f t="array" ref="P185">SUMPRODUCT(--(MOD(B185:G185,2)=1))</f>
        <v>0</v>
      </c>
      <c r="Q185" s="3">
        <f>6-P185</f>
        <v>6</v>
      </c>
      <c r="R185" s="34"/>
      <c r="S185" s="3">
        <f>COUNTIFS(B185:G185,"&gt;=1",B185:G185,"&lt;=23")</f>
        <v>0</v>
      </c>
      <c r="T185" s="3">
        <f>6-S185</f>
        <v>6</v>
      </c>
      <c r="U185" s="34"/>
      <c r="V185" s="3" cm="1">
        <f t="array" ref="V185">SUMPRODUCT(--(MOD(B185:G185,10)&gt;=1), --(MOD(B185:G185,10)&lt;=5))</f>
        <v>0</v>
      </c>
      <c r="W185" s="3">
        <f>6-V185</f>
        <v>6</v>
      </c>
      <c r="X185" s="34"/>
      <c r="Y185" s="3" cm="1">
        <f t="array" ref="Y185">IFERROR(COUNT(_xlfn._xlws.FILTER(B185:G185, ISNUMBER(MATCH(B185:G185, {2,3,5,7,11,13,17,19,23,29,31,37,41,43}, 0)))), 0)</f>
        <v>0</v>
      </c>
      <c r="Z185" s="3" cm="1">
        <f t="array" ref="Z185">IFERROR(COUNT(_xlfn._xlws.FILTER(B185:G185, ISNUMBER(MATCH(B185:G185, {1,4,8,10,14,16,20,22,25,26,28,32,34,35,38,40,44}, 0)))), 0)</f>
        <v>0</v>
      </c>
      <c r="AA185" s="3" cm="1">
        <f t="array" ref="AA185">IFERROR(COUNT(_xlfn._xlws.FILTER(B185:G185, ISNUMBER(MATCH(B185:G185, {6,9,12,15,18,21,24,27,30,33,36,39,42,45}, 0)))), 0)</f>
        <v>0</v>
      </c>
      <c r="AB185" s="30"/>
      <c r="AC185" s="26" cm="1">
        <f t="array" ref="AC185">_xlfn.IFS(
   OR(B185="",ISBLANK(B185),B185=0),0,
   ISNUMBER(MATCH(B185,{2,3,5,7,11,13,17,19,23,29,31,37,41,43},0)),"소",
   AND(ISNUMBER(B185),MOD(B185,3)=0),"배",
   AND(ISNUMBER(B185),B185&gt;0),"자"
)</f>
        <v>0</v>
      </c>
      <c r="AD185" s="26" cm="1">
        <f t="array" ref="AD185">_xlfn.IFS(
   OR(C185="",ISBLANK(C185),C185=0),0,
   ISNUMBER(MATCH(C185,{2,3,5,7,11,13,17,19,23,29,31,37,41,43},0)),"소",
   AND(ISNUMBER(C185),MOD(C185,3)=0),"배",
   AND(ISNUMBER(C185),C185&gt;0),"자"
)</f>
        <v>0</v>
      </c>
      <c r="AE185" s="26" cm="1">
        <f t="array" ref="AE185">_xlfn.IFS(
   OR(D185="",ISBLANK(D185),D185=0),0,
   ISNUMBER(MATCH(D185,{2,3,5,7,11,13,17,19,23,29,31,37,41,43},0)),"소",
   AND(ISNUMBER(D185),MOD(D185,3)=0),"배",
   AND(ISNUMBER(D185),D185&gt;0),"자"
)</f>
        <v>0</v>
      </c>
      <c r="AF185" s="26" cm="1">
        <f t="array" ref="AF185">_xlfn.IFS(
   OR(E185="",ISBLANK(E185),E185=0),0,
   ISNUMBER(MATCH(E185,{2,3,5,7,11,13,17,19,23,29,31,37,41,43},0)),"소",
   AND(ISNUMBER(E185),MOD(E185,3)=0),"배",
   AND(ISNUMBER(E185),E185&gt;0),"자"
)</f>
        <v>0</v>
      </c>
      <c r="AG185" s="26" cm="1">
        <f t="array" ref="AG185">_xlfn.IFS(
   OR(F185="",ISBLANK(F185),F185=0),0,
   ISNUMBER(MATCH(F185,{2,3,5,7,11,13,17,19,23,29,31,37,41,43},0)),"소",
   AND(ISNUMBER(F185),MOD(F185,3)=0),"배",
   AND(ISNUMBER(F185),F185&gt;0),"자"
)</f>
        <v>0</v>
      </c>
      <c r="AH185" s="26" cm="1">
        <f t="array" ref="AH185">_xlfn.IFS(
   OR(G185="",ISBLANK(G185),G185=0),0,
   ISNUMBER(MATCH(G185,{2,3,5,7,11,13,17,19,23,29,31,37,41,43},0)),"소",
   AND(ISNUMBER(G185),MOD(G185,3)=0),"배",
   AND(ISNUMBER(G185),G185&gt;0),"자"
)</f>
        <v>0</v>
      </c>
      <c r="AI185" s="30"/>
      <c r="AJ185" s="3">
        <f>COUNTIFS(B185:G185,"&gt;=1",B185:G185,"&lt;=14")</f>
        <v>0</v>
      </c>
      <c r="AK185" s="3">
        <f>COUNTIFS(B185:G185,"&gt;=15",B185:G185,"&lt;=31")</f>
        <v>0</v>
      </c>
      <c r="AL185" s="3">
        <f>6-AK185-AJ185</f>
        <v>6</v>
      </c>
      <c r="AM185" s="33"/>
      <c r="AN185" s="3">
        <f>COUNTIFS($B185:$G185, "&gt;=1",$B185:$G185, "&lt;=9")</f>
        <v>0</v>
      </c>
      <c r="AO185" s="3">
        <f>COUNTIFS($B185:$G185, "&gt;=10",$B185:$G185, "&lt;=18")</f>
        <v>0</v>
      </c>
      <c r="AP185" s="3">
        <f>COUNTIFS($B185:$G185, "&gt;=19",$B185:$G185, "&lt;=27")</f>
        <v>0</v>
      </c>
      <c r="AQ185" s="3">
        <f>COUNTIFS($B185:$G185, "&gt;=28",$B185:$G185, "&lt;=36")</f>
        <v>0</v>
      </c>
      <c r="AR185" s="3">
        <f>COUNTIFS($B185:$G185, "&gt;=37",$B185:$G185, "&lt;=45")</f>
        <v>0</v>
      </c>
      <c r="AS185" s="28" t="e">
        <f>#REF!</f>
        <v>#REF!</v>
      </c>
      <c r="AT185" s="28" t="e">
        <f>#REF!*2</f>
        <v>#REF!</v>
      </c>
      <c r="AU185" s="28" t="e">
        <f>#REF!</f>
        <v>#REF!</v>
      </c>
      <c r="AV185" s="28" t="e">
        <f>#REF!*2</f>
        <v>#REF!</v>
      </c>
      <c r="AW185" s="28" t="e">
        <f>#REF!</f>
        <v>#REF!</v>
      </c>
      <c r="AX185" s="28" t="e">
        <f>#REF!*2</f>
        <v>#REF!</v>
      </c>
      <c r="AY185" s="28" t="e">
        <f>#REF!</f>
        <v>#REF!</v>
      </c>
      <c r="AZ185" s="28" t="e">
        <f>#REF!*2</f>
        <v>#REF!</v>
      </c>
      <c r="BA185" s="28" t="e">
        <f>#REF!</f>
        <v>#REF!</v>
      </c>
      <c r="BB185" s="28" t="e">
        <f>#REF!*2</f>
        <v>#REF!</v>
      </c>
      <c r="BC185" s="28" t="e">
        <f>#REF!</f>
        <v>#REF!</v>
      </c>
      <c r="BD185" s="28" t="e">
        <f>#REF!*2</f>
        <v>#REF!</v>
      </c>
      <c r="BE185" s="9" t="e">
        <f>#REF!-#REF!</f>
        <v>#REF!</v>
      </c>
      <c r="BF185" s="9" t="e">
        <f>#REF!-#REF!</f>
        <v>#REF!</v>
      </c>
      <c r="BG185" s="9" t="e">
        <f>#REF!-#REF!</f>
        <v>#REF!</v>
      </c>
      <c r="BH185" s="9" t="e">
        <f>#REF!-#REF!</f>
        <v>#REF!</v>
      </c>
      <c r="BI185" s="9" t="e">
        <f>#REF!-#REF!</f>
        <v>#REF!</v>
      </c>
      <c r="BJ185" s="33"/>
      <c r="BK185" s="3">
        <f>COUNTIFS(B185:G185, "&gt;=1", B185:G185, "&lt;=9")</f>
        <v>0</v>
      </c>
      <c r="BL185" s="3">
        <f>COUNTIFS(B185:G185, "&gt;=10", B185:G185, "&lt;=19")</f>
        <v>0</v>
      </c>
      <c r="BM185" s="3">
        <f>COUNTIFS(B185:G185, "&gt;=20", B185:G185, "&lt;=29")</f>
        <v>0</v>
      </c>
      <c r="BN185" s="3">
        <f>COUNTIFS(B185:G185, "&gt;=30", B185:G185, "&lt;=39")</f>
        <v>0</v>
      </c>
      <c r="BO185" s="3">
        <f>COUNTIFS(B185:G185, "&gt;=40", B185:G185, "&lt;=45")</f>
        <v>0</v>
      </c>
      <c r="BP185" s="28" t="e">
        <f>#REF!</f>
        <v>#REF!</v>
      </c>
      <c r="BQ185" s="28" t="e">
        <f>#REF!*2</f>
        <v>#REF!</v>
      </c>
      <c r="BR185" s="28" t="e">
        <f>#REF!</f>
        <v>#REF!</v>
      </c>
      <c r="BS185" s="28" t="e">
        <f>#REF!*2</f>
        <v>#REF!</v>
      </c>
      <c r="BT185" s="28" t="e">
        <f>#REF!</f>
        <v>#REF!</v>
      </c>
      <c r="BU185" s="28" t="e">
        <f>#REF!*2</f>
        <v>#REF!</v>
      </c>
      <c r="BV185" s="28" t="e">
        <f>#REF!</f>
        <v>#REF!</v>
      </c>
      <c r="BW185" s="28" t="e">
        <f>#REF!*2</f>
        <v>#REF!</v>
      </c>
      <c r="BX185" s="28" t="e">
        <f>#REF!</f>
        <v>#REF!</v>
      </c>
      <c r="BY185" s="28" t="e">
        <f>#REF!*2</f>
        <v>#REF!</v>
      </c>
      <c r="BZ185" s="28" t="e">
        <f>#REF!</f>
        <v>#REF!</v>
      </c>
      <c r="CA185" s="28" t="e">
        <f>#REF!*2</f>
        <v>#REF!</v>
      </c>
      <c r="CB185" s="9">
        <f>C185-B185</f>
        <v>0</v>
      </c>
      <c r="CC185" s="9">
        <f>D185-C185</f>
        <v>0</v>
      </c>
      <c r="CD185" s="9">
        <f>E185-D185</f>
        <v>0</v>
      </c>
      <c r="CE185" s="9">
        <f>F185-E185</f>
        <v>0</v>
      </c>
      <c r="CF185" s="9">
        <f>G185-F185</f>
        <v>0</v>
      </c>
      <c r="CG185" s="33"/>
      <c r="CH185" s="9">
        <f>C185-B185</f>
        <v>0</v>
      </c>
      <c r="CI185" s="9">
        <f>D185-C185</f>
        <v>0</v>
      </c>
      <c r="CJ185" s="9">
        <f>E185-D185</f>
        <v>0</v>
      </c>
      <c r="CK185" s="9">
        <f>F185-E185</f>
        <v>0</v>
      </c>
      <c r="CL185" s="9">
        <f>G185-F185</f>
        <v>0</v>
      </c>
      <c r="CM185" s="32"/>
      <c r="CN185" s="3">
        <f>IF(OR(CH185="",ISBLANK(CH185),CH185=0),0,IF(MOD(CH185,2)=1,1,2))</f>
        <v>0</v>
      </c>
      <c r="CO185" s="3">
        <f>IF(OR(CI185="",ISBLANK(CI185),CI185=0),0,IF(MOD(CI185,2)=1,1,2))</f>
        <v>0</v>
      </c>
      <c r="CP185" s="3">
        <f>IF(OR(CJ185="",ISBLANK(CJ185),CJ185=0),0,IF(MOD(CJ185,2)=1,1,2))</f>
        <v>0</v>
      </c>
      <c r="CQ185" s="3">
        <f>IF(OR(CK185="",ISBLANK(CK185),CK185=0),0,IF(MOD(CK185,2)=1,1,2))</f>
        <v>0</v>
      </c>
      <c r="CR185" s="3">
        <f>IF(OR(CL185="",ISBLANK(CL185),CL185=0),0,IF(MOD(CL185,2)=1,1,2))</f>
        <v>0</v>
      </c>
      <c r="CS185" s="31"/>
      <c r="CT185" s="3" cm="1">
        <f t="array" ref="CT185">SUMPRODUCT(--(MOD(CH185:CL185,2)=1))</f>
        <v>0</v>
      </c>
      <c r="CU185" s="3">
        <f>5-CT185</f>
        <v>5</v>
      </c>
      <c r="CV185" s="30"/>
      <c r="CW185" s="3" cm="1">
        <f t="array" ref="CW185">SUMPRODUCT(--(MOD(CH185:CL185,10)&gt;=1), --(MOD(CH185:CL185,10)&lt;=5))</f>
        <v>0</v>
      </c>
      <c r="CX185" s="3">
        <f>5-CW185</f>
        <v>5</v>
      </c>
      <c r="CY185" s="30"/>
      <c r="CZ185" s="3" cm="1">
        <f t="array" ref="CZ185">IFERROR(COUNT(_xlfn._xlws.FILTER(CH185:CL185, ISNUMBER(MATCH(CH185:CL185, {2,3,5,7,11,13,17,19,23,29,31,37,41,43}, 0)))), 0)</f>
        <v>0</v>
      </c>
      <c r="DA185" s="3" cm="1">
        <f t="array" ref="DA185">IFERROR(COUNT(_xlfn._xlws.FILTER(CH185:CL185, ISNUMBER(MATCH(CH185:CL185, {1,4,8,10,14,16,20,22,25,26,28,32,34,35,38,40,44}, 0)))), 0)</f>
        <v>0</v>
      </c>
      <c r="DB185" s="3" cm="1">
        <f t="array" ref="DB185">IFERROR(COUNT(_xlfn._xlws.FILTER(CH185:CL185, ISNUMBER(MATCH(CH185:CL185, {6,9,12,15,18,21,24,27,30,33,36,39,42,45}, 0)))), 0)</f>
        <v>0</v>
      </c>
      <c r="DC185" s="29"/>
      <c r="DD185" s="28" t="e">
        <f>#REF!</f>
        <v>#REF!</v>
      </c>
      <c r="DE185" s="28" t="e">
        <f>#REF!*2</f>
        <v>#REF!</v>
      </c>
      <c r="DF185" s="28" t="e">
        <f>#REF!</f>
        <v>#REF!</v>
      </c>
      <c r="DG185" s="28" t="e">
        <f>#REF!*2</f>
        <v>#REF!</v>
      </c>
      <c r="DH185" s="28" t="e">
        <f>#REF!</f>
        <v>#REF!</v>
      </c>
      <c r="DI185" s="28" t="e">
        <f>#REF!*2</f>
        <v>#REF!</v>
      </c>
      <c r="DJ185" s="28" t="e">
        <f>#REF!</f>
        <v>#REF!</v>
      </c>
      <c r="DK185" s="28" t="e">
        <f>#REF!*2</f>
        <v>#REF!</v>
      </c>
      <c r="DL185" s="28" t="e">
        <f>#REF!</f>
        <v>#REF!</v>
      </c>
      <c r="DM185" s="28" t="e">
        <f>#REF!*2</f>
        <v>#REF!</v>
      </c>
      <c r="DN185" s="27"/>
      <c r="DO185" s="26"/>
      <c r="DP185" s="26"/>
      <c r="DQ185" s="26"/>
      <c r="DR185" s="26"/>
      <c r="DS185" s="26"/>
      <c r="DT185" s="25"/>
    </row>
    <row r="186" spans="2:124" x14ac:dyDescent="0.3"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2"/>
      <c r="I186" s="3">
        <f>IF(OR(B186="",ISBLANK(B186),B186=0),0,IF(MOD(B186,2)=1,1,2))</f>
        <v>0</v>
      </c>
      <c r="J186" s="3">
        <f>IF(OR(C186="",ISBLANK(C186),C186=0),0,IF(MOD(C186,2)=1,1,2))</f>
        <v>0</v>
      </c>
      <c r="K186" s="3">
        <f>IF(OR(D186="",ISBLANK(D186),D186=0),0,IF(MOD(D186,2)=1,1,2))</f>
        <v>0</v>
      </c>
      <c r="L186" s="3">
        <f>IF(OR(E186="",ISBLANK(E186),E186=0),0,IF(MOD(E186,2)=1,1,2))</f>
        <v>0</v>
      </c>
      <c r="M186" s="3">
        <f>IF(OR(F186="",ISBLANK(F186),F186=0),0,IF(MOD(F186,2)=1,1,2))</f>
        <v>0</v>
      </c>
      <c r="N186" s="3">
        <f>IF(OR(G186="",ISBLANK(G186),G186=0),0,IF(MOD(G186,2)=1,1,2))</f>
        <v>0</v>
      </c>
      <c r="O186" s="32"/>
      <c r="P186" s="3" cm="1">
        <f t="array" ref="P186">SUMPRODUCT(--(MOD(B186:G186,2)=1))</f>
        <v>0</v>
      </c>
      <c r="Q186" s="3">
        <f>6-P186</f>
        <v>6</v>
      </c>
      <c r="R186" s="34"/>
      <c r="S186" s="3">
        <f>COUNTIFS(B186:G186,"&gt;=1",B186:G186,"&lt;=23")</f>
        <v>0</v>
      </c>
      <c r="T186" s="3">
        <f>6-S186</f>
        <v>6</v>
      </c>
      <c r="U186" s="34"/>
      <c r="V186" s="3" cm="1">
        <f t="array" ref="V186">SUMPRODUCT(--(MOD(B186:G186,10)&gt;=1), --(MOD(B186:G186,10)&lt;=5))</f>
        <v>0</v>
      </c>
      <c r="W186" s="3">
        <f>6-V186</f>
        <v>6</v>
      </c>
      <c r="X186" s="34"/>
      <c r="Y186" s="3" cm="1">
        <f t="array" ref="Y186">IFERROR(COUNT(_xlfn._xlws.FILTER(B186:G186, ISNUMBER(MATCH(B186:G186, {2,3,5,7,11,13,17,19,23,29,31,37,41,43}, 0)))), 0)</f>
        <v>0</v>
      </c>
      <c r="Z186" s="3" cm="1">
        <f t="array" ref="Z186">IFERROR(COUNT(_xlfn._xlws.FILTER(B186:G186, ISNUMBER(MATCH(B186:G186, {1,4,8,10,14,16,20,22,25,26,28,32,34,35,38,40,44}, 0)))), 0)</f>
        <v>0</v>
      </c>
      <c r="AA186" s="3" cm="1">
        <f t="array" ref="AA186">IFERROR(COUNT(_xlfn._xlws.FILTER(B186:G186, ISNUMBER(MATCH(B186:G186, {6,9,12,15,18,21,24,27,30,33,36,39,42,45}, 0)))), 0)</f>
        <v>0</v>
      </c>
      <c r="AB186" s="30"/>
      <c r="AC186" s="26" cm="1">
        <f t="array" ref="AC186">_xlfn.IFS(
   OR(B186="",ISBLANK(B186),B186=0),0,
   ISNUMBER(MATCH(B186,{2,3,5,7,11,13,17,19,23,29,31,37,41,43},0)),"소",
   AND(ISNUMBER(B186),MOD(B186,3)=0),"배",
   AND(ISNUMBER(B186),B186&gt;0),"자"
)</f>
        <v>0</v>
      </c>
      <c r="AD186" s="26" cm="1">
        <f t="array" ref="AD186">_xlfn.IFS(
   OR(C186="",ISBLANK(C186),C186=0),0,
   ISNUMBER(MATCH(C186,{2,3,5,7,11,13,17,19,23,29,31,37,41,43},0)),"소",
   AND(ISNUMBER(C186),MOD(C186,3)=0),"배",
   AND(ISNUMBER(C186),C186&gt;0),"자"
)</f>
        <v>0</v>
      </c>
      <c r="AE186" s="26" cm="1">
        <f t="array" ref="AE186">_xlfn.IFS(
   OR(D186="",ISBLANK(D186),D186=0),0,
   ISNUMBER(MATCH(D186,{2,3,5,7,11,13,17,19,23,29,31,37,41,43},0)),"소",
   AND(ISNUMBER(D186),MOD(D186,3)=0),"배",
   AND(ISNUMBER(D186),D186&gt;0),"자"
)</f>
        <v>0</v>
      </c>
      <c r="AF186" s="26" cm="1">
        <f t="array" ref="AF186">_xlfn.IFS(
   OR(E186="",ISBLANK(E186),E186=0),0,
   ISNUMBER(MATCH(E186,{2,3,5,7,11,13,17,19,23,29,31,37,41,43},0)),"소",
   AND(ISNUMBER(E186),MOD(E186,3)=0),"배",
   AND(ISNUMBER(E186),E186&gt;0),"자"
)</f>
        <v>0</v>
      </c>
      <c r="AG186" s="26" cm="1">
        <f t="array" ref="AG186">_xlfn.IFS(
   OR(F186="",ISBLANK(F186),F186=0),0,
   ISNUMBER(MATCH(F186,{2,3,5,7,11,13,17,19,23,29,31,37,41,43},0)),"소",
   AND(ISNUMBER(F186),MOD(F186,3)=0),"배",
   AND(ISNUMBER(F186),F186&gt;0),"자"
)</f>
        <v>0</v>
      </c>
      <c r="AH186" s="26" cm="1">
        <f t="array" ref="AH186">_xlfn.IFS(
   OR(G186="",ISBLANK(G186),G186=0),0,
   ISNUMBER(MATCH(G186,{2,3,5,7,11,13,17,19,23,29,31,37,41,43},0)),"소",
   AND(ISNUMBER(G186),MOD(G186,3)=0),"배",
   AND(ISNUMBER(G186),G186&gt;0),"자"
)</f>
        <v>0</v>
      </c>
      <c r="AI186" s="30"/>
      <c r="AJ186" s="3">
        <f>COUNTIFS(B186:G186,"&gt;=1",B186:G186,"&lt;=14")</f>
        <v>0</v>
      </c>
      <c r="AK186" s="3">
        <f>COUNTIFS(B186:G186,"&gt;=15",B186:G186,"&lt;=31")</f>
        <v>0</v>
      </c>
      <c r="AL186" s="3">
        <f>6-AK186-AJ186</f>
        <v>6</v>
      </c>
      <c r="AM186" s="33"/>
      <c r="AN186" s="3">
        <f>COUNTIFS($B186:$G186, "&gt;=1",$B186:$G186, "&lt;=9")</f>
        <v>0</v>
      </c>
      <c r="AO186" s="3">
        <f>COUNTIFS($B186:$G186, "&gt;=10",$B186:$G186, "&lt;=18")</f>
        <v>0</v>
      </c>
      <c r="AP186" s="3">
        <f>COUNTIFS($B186:$G186, "&gt;=19",$B186:$G186, "&lt;=27")</f>
        <v>0</v>
      </c>
      <c r="AQ186" s="3">
        <f>COUNTIFS($B186:$G186, "&gt;=28",$B186:$G186, "&lt;=36")</f>
        <v>0</v>
      </c>
      <c r="AR186" s="3">
        <f>COUNTIFS($B186:$G186, "&gt;=37",$B186:$G186, "&lt;=45")</f>
        <v>0</v>
      </c>
      <c r="AS186" s="28" t="e">
        <f>#REF!</f>
        <v>#REF!</v>
      </c>
      <c r="AT186" s="28" t="e">
        <f>#REF!*2</f>
        <v>#REF!</v>
      </c>
      <c r="AU186" s="28" t="e">
        <f>#REF!</f>
        <v>#REF!</v>
      </c>
      <c r="AV186" s="28" t="e">
        <f>#REF!*2</f>
        <v>#REF!</v>
      </c>
      <c r="AW186" s="28" t="e">
        <f>#REF!</f>
        <v>#REF!</v>
      </c>
      <c r="AX186" s="28" t="e">
        <f>#REF!*2</f>
        <v>#REF!</v>
      </c>
      <c r="AY186" s="28" t="e">
        <f>#REF!</f>
        <v>#REF!</v>
      </c>
      <c r="AZ186" s="28" t="e">
        <f>#REF!*2</f>
        <v>#REF!</v>
      </c>
      <c r="BA186" s="28" t="e">
        <f>#REF!</f>
        <v>#REF!</v>
      </c>
      <c r="BB186" s="28" t="e">
        <f>#REF!*2</f>
        <v>#REF!</v>
      </c>
      <c r="BC186" s="28" t="e">
        <f>#REF!</f>
        <v>#REF!</v>
      </c>
      <c r="BD186" s="28" t="e">
        <f>#REF!*2</f>
        <v>#REF!</v>
      </c>
      <c r="BE186" s="9" t="e">
        <f>#REF!-#REF!</f>
        <v>#REF!</v>
      </c>
      <c r="BF186" s="9" t="e">
        <f>#REF!-#REF!</f>
        <v>#REF!</v>
      </c>
      <c r="BG186" s="9" t="e">
        <f>#REF!-#REF!</f>
        <v>#REF!</v>
      </c>
      <c r="BH186" s="9" t="e">
        <f>#REF!-#REF!</f>
        <v>#REF!</v>
      </c>
      <c r="BI186" s="9" t="e">
        <f>#REF!-#REF!</f>
        <v>#REF!</v>
      </c>
      <c r="BJ186" s="33"/>
      <c r="BK186" s="3">
        <f>COUNTIFS(B186:G186, "&gt;=1", B186:G186, "&lt;=9")</f>
        <v>0</v>
      </c>
      <c r="BL186" s="3">
        <f>COUNTIFS(B186:G186, "&gt;=10", B186:G186, "&lt;=19")</f>
        <v>0</v>
      </c>
      <c r="BM186" s="3">
        <f>COUNTIFS(B186:G186, "&gt;=20", B186:G186, "&lt;=29")</f>
        <v>0</v>
      </c>
      <c r="BN186" s="3">
        <f>COUNTIFS(B186:G186, "&gt;=30", B186:G186, "&lt;=39")</f>
        <v>0</v>
      </c>
      <c r="BO186" s="3">
        <f>COUNTIFS(B186:G186, "&gt;=40", B186:G186, "&lt;=45")</f>
        <v>0</v>
      </c>
      <c r="BP186" s="28" t="e">
        <f>#REF!</f>
        <v>#REF!</v>
      </c>
      <c r="BQ186" s="28" t="e">
        <f>#REF!*2</f>
        <v>#REF!</v>
      </c>
      <c r="BR186" s="28" t="e">
        <f>#REF!</f>
        <v>#REF!</v>
      </c>
      <c r="BS186" s="28" t="e">
        <f>#REF!*2</f>
        <v>#REF!</v>
      </c>
      <c r="BT186" s="28" t="e">
        <f>#REF!</f>
        <v>#REF!</v>
      </c>
      <c r="BU186" s="28" t="e">
        <f>#REF!*2</f>
        <v>#REF!</v>
      </c>
      <c r="BV186" s="28" t="e">
        <f>#REF!</f>
        <v>#REF!</v>
      </c>
      <c r="BW186" s="28" t="e">
        <f>#REF!*2</f>
        <v>#REF!</v>
      </c>
      <c r="BX186" s="28" t="e">
        <f>#REF!</f>
        <v>#REF!</v>
      </c>
      <c r="BY186" s="28" t="e">
        <f>#REF!*2</f>
        <v>#REF!</v>
      </c>
      <c r="BZ186" s="28" t="e">
        <f>#REF!</f>
        <v>#REF!</v>
      </c>
      <c r="CA186" s="28" t="e">
        <f>#REF!*2</f>
        <v>#REF!</v>
      </c>
      <c r="CB186" s="9">
        <f>C186-B186</f>
        <v>0</v>
      </c>
      <c r="CC186" s="9">
        <f>D186-C186</f>
        <v>0</v>
      </c>
      <c r="CD186" s="9">
        <f>E186-D186</f>
        <v>0</v>
      </c>
      <c r="CE186" s="9">
        <f>F186-E186</f>
        <v>0</v>
      </c>
      <c r="CF186" s="9">
        <f>G186-F186</f>
        <v>0</v>
      </c>
      <c r="CG186" s="33"/>
      <c r="CH186" s="9">
        <f>C186-B186</f>
        <v>0</v>
      </c>
      <c r="CI186" s="9">
        <f>D186-C186</f>
        <v>0</v>
      </c>
      <c r="CJ186" s="9">
        <f>E186-D186</f>
        <v>0</v>
      </c>
      <c r="CK186" s="9">
        <f>F186-E186</f>
        <v>0</v>
      </c>
      <c r="CL186" s="9">
        <f>G186-F186</f>
        <v>0</v>
      </c>
      <c r="CM186" s="32"/>
      <c r="CN186" s="3">
        <f>IF(OR(CH186="",ISBLANK(CH186),CH186=0),0,IF(MOD(CH186,2)=1,1,2))</f>
        <v>0</v>
      </c>
      <c r="CO186" s="3">
        <f>IF(OR(CI186="",ISBLANK(CI186),CI186=0),0,IF(MOD(CI186,2)=1,1,2))</f>
        <v>0</v>
      </c>
      <c r="CP186" s="3">
        <f>IF(OR(CJ186="",ISBLANK(CJ186),CJ186=0),0,IF(MOD(CJ186,2)=1,1,2))</f>
        <v>0</v>
      </c>
      <c r="CQ186" s="3">
        <f>IF(OR(CK186="",ISBLANK(CK186),CK186=0),0,IF(MOD(CK186,2)=1,1,2))</f>
        <v>0</v>
      </c>
      <c r="CR186" s="3">
        <f>IF(OR(CL186="",ISBLANK(CL186),CL186=0),0,IF(MOD(CL186,2)=1,1,2))</f>
        <v>0</v>
      </c>
      <c r="CS186" s="31"/>
      <c r="CT186" s="3" cm="1">
        <f t="array" ref="CT186">SUMPRODUCT(--(MOD(CH186:CL186,2)=1))</f>
        <v>0</v>
      </c>
      <c r="CU186" s="3">
        <f>5-CT186</f>
        <v>5</v>
      </c>
      <c r="CV186" s="30"/>
      <c r="CW186" s="3" cm="1">
        <f t="array" ref="CW186">SUMPRODUCT(--(MOD(CH186:CL186,10)&gt;=1), --(MOD(CH186:CL186,10)&lt;=5))</f>
        <v>0</v>
      </c>
      <c r="CX186" s="3">
        <f>5-CW186</f>
        <v>5</v>
      </c>
      <c r="CY186" s="30"/>
      <c r="CZ186" s="3" cm="1">
        <f t="array" ref="CZ186">IFERROR(COUNT(_xlfn._xlws.FILTER(CH186:CL186, ISNUMBER(MATCH(CH186:CL186, {2,3,5,7,11,13,17,19,23,29,31,37,41,43}, 0)))), 0)</f>
        <v>0</v>
      </c>
      <c r="DA186" s="3" cm="1">
        <f t="array" ref="DA186">IFERROR(COUNT(_xlfn._xlws.FILTER(CH186:CL186, ISNUMBER(MATCH(CH186:CL186, {1,4,8,10,14,16,20,22,25,26,28,32,34,35,38,40,44}, 0)))), 0)</f>
        <v>0</v>
      </c>
      <c r="DB186" s="3" cm="1">
        <f t="array" ref="DB186">IFERROR(COUNT(_xlfn._xlws.FILTER(CH186:CL186, ISNUMBER(MATCH(CH186:CL186, {6,9,12,15,18,21,24,27,30,33,36,39,42,45}, 0)))), 0)</f>
        <v>0</v>
      </c>
      <c r="DC186" s="29"/>
      <c r="DD186" s="28" t="e">
        <f>#REF!</f>
        <v>#REF!</v>
      </c>
      <c r="DE186" s="28" t="e">
        <f>#REF!*2</f>
        <v>#REF!</v>
      </c>
      <c r="DF186" s="28" t="e">
        <f>#REF!</f>
        <v>#REF!</v>
      </c>
      <c r="DG186" s="28" t="e">
        <f>#REF!*2</f>
        <v>#REF!</v>
      </c>
      <c r="DH186" s="28" t="e">
        <f>#REF!</f>
        <v>#REF!</v>
      </c>
      <c r="DI186" s="28" t="e">
        <f>#REF!*2</f>
        <v>#REF!</v>
      </c>
      <c r="DJ186" s="28" t="e">
        <f>#REF!</f>
        <v>#REF!</v>
      </c>
      <c r="DK186" s="28" t="e">
        <f>#REF!*2</f>
        <v>#REF!</v>
      </c>
      <c r="DL186" s="28" t="e">
        <f>#REF!</f>
        <v>#REF!</v>
      </c>
      <c r="DM186" s="28" t="e">
        <f>#REF!*2</f>
        <v>#REF!</v>
      </c>
      <c r="DN186" s="27"/>
      <c r="DO186" s="26"/>
      <c r="DP186" s="26"/>
      <c r="DQ186" s="26"/>
      <c r="DR186" s="26"/>
      <c r="DS186" s="26"/>
      <c r="DT186" s="25"/>
    </row>
    <row r="187" spans="2:124" x14ac:dyDescent="0.3"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2"/>
      <c r="I187" s="3">
        <f>IF(OR(B187="",ISBLANK(B187),B187=0),0,IF(MOD(B187,2)=1,1,2))</f>
        <v>0</v>
      </c>
      <c r="J187" s="3">
        <f>IF(OR(C187="",ISBLANK(C187),C187=0),0,IF(MOD(C187,2)=1,1,2))</f>
        <v>0</v>
      </c>
      <c r="K187" s="3">
        <f>IF(OR(D187="",ISBLANK(D187),D187=0),0,IF(MOD(D187,2)=1,1,2))</f>
        <v>0</v>
      </c>
      <c r="L187" s="3">
        <f>IF(OR(E187="",ISBLANK(E187),E187=0),0,IF(MOD(E187,2)=1,1,2))</f>
        <v>0</v>
      </c>
      <c r="M187" s="3">
        <f>IF(OR(F187="",ISBLANK(F187),F187=0),0,IF(MOD(F187,2)=1,1,2))</f>
        <v>0</v>
      </c>
      <c r="N187" s="3">
        <f>IF(OR(G187="",ISBLANK(G187),G187=0),0,IF(MOD(G187,2)=1,1,2))</f>
        <v>0</v>
      </c>
      <c r="O187" s="32"/>
      <c r="P187" s="3" cm="1">
        <f t="array" ref="P187">SUMPRODUCT(--(MOD(B187:G187,2)=1))</f>
        <v>0</v>
      </c>
      <c r="Q187" s="3">
        <f>6-P187</f>
        <v>6</v>
      </c>
      <c r="R187" s="34"/>
      <c r="S187" s="3">
        <f>COUNTIFS(B187:G187,"&gt;=1",B187:G187,"&lt;=23")</f>
        <v>0</v>
      </c>
      <c r="T187" s="3">
        <f>6-S187</f>
        <v>6</v>
      </c>
      <c r="U187" s="34"/>
      <c r="V187" s="3" cm="1">
        <f t="array" ref="V187">SUMPRODUCT(--(MOD(B187:G187,10)&gt;=1), --(MOD(B187:G187,10)&lt;=5))</f>
        <v>0</v>
      </c>
      <c r="W187" s="3">
        <f>6-V187</f>
        <v>6</v>
      </c>
      <c r="X187" s="34"/>
      <c r="Y187" s="3" cm="1">
        <f t="array" ref="Y187">IFERROR(COUNT(_xlfn._xlws.FILTER(B187:G187, ISNUMBER(MATCH(B187:G187, {2,3,5,7,11,13,17,19,23,29,31,37,41,43}, 0)))), 0)</f>
        <v>0</v>
      </c>
      <c r="Z187" s="3" cm="1">
        <f t="array" ref="Z187">IFERROR(COUNT(_xlfn._xlws.FILTER(B187:G187, ISNUMBER(MATCH(B187:G187, {1,4,8,10,14,16,20,22,25,26,28,32,34,35,38,40,44}, 0)))), 0)</f>
        <v>0</v>
      </c>
      <c r="AA187" s="3" cm="1">
        <f t="array" ref="AA187">IFERROR(COUNT(_xlfn._xlws.FILTER(B187:G187, ISNUMBER(MATCH(B187:G187, {6,9,12,15,18,21,24,27,30,33,36,39,42,45}, 0)))), 0)</f>
        <v>0</v>
      </c>
      <c r="AB187" s="30"/>
      <c r="AC187" s="26" cm="1">
        <f t="array" ref="AC187">_xlfn.IFS(
   OR(B187="",ISBLANK(B187),B187=0),0,
   ISNUMBER(MATCH(B187,{2,3,5,7,11,13,17,19,23,29,31,37,41,43},0)),"소",
   AND(ISNUMBER(B187),MOD(B187,3)=0),"배",
   AND(ISNUMBER(B187),B187&gt;0),"자"
)</f>
        <v>0</v>
      </c>
      <c r="AD187" s="26" cm="1">
        <f t="array" ref="AD187">_xlfn.IFS(
   OR(C187="",ISBLANK(C187),C187=0),0,
   ISNUMBER(MATCH(C187,{2,3,5,7,11,13,17,19,23,29,31,37,41,43},0)),"소",
   AND(ISNUMBER(C187),MOD(C187,3)=0),"배",
   AND(ISNUMBER(C187),C187&gt;0),"자"
)</f>
        <v>0</v>
      </c>
      <c r="AE187" s="26" cm="1">
        <f t="array" ref="AE187">_xlfn.IFS(
   OR(D187="",ISBLANK(D187),D187=0),0,
   ISNUMBER(MATCH(D187,{2,3,5,7,11,13,17,19,23,29,31,37,41,43},0)),"소",
   AND(ISNUMBER(D187),MOD(D187,3)=0),"배",
   AND(ISNUMBER(D187),D187&gt;0),"자"
)</f>
        <v>0</v>
      </c>
      <c r="AF187" s="26" cm="1">
        <f t="array" ref="AF187">_xlfn.IFS(
   OR(E187="",ISBLANK(E187),E187=0),0,
   ISNUMBER(MATCH(E187,{2,3,5,7,11,13,17,19,23,29,31,37,41,43},0)),"소",
   AND(ISNUMBER(E187),MOD(E187,3)=0),"배",
   AND(ISNUMBER(E187),E187&gt;0),"자"
)</f>
        <v>0</v>
      </c>
      <c r="AG187" s="26" cm="1">
        <f t="array" ref="AG187">_xlfn.IFS(
   OR(F187="",ISBLANK(F187),F187=0),0,
   ISNUMBER(MATCH(F187,{2,3,5,7,11,13,17,19,23,29,31,37,41,43},0)),"소",
   AND(ISNUMBER(F187),MOD(F187,3)=0),"배",
   AND(ISNUMBER(F187),F187&gt;0),"자"
)</f>
        <v>0</v>
      </c>
      <c r="AH187" s="26" cm="1">
        <f t="array" ref="AH187">_xlfn.IFS(
   OR(G187="",ISBLANK(G187),G187=0),0,
   ISNUMBER(MATCH(G187,{2,3,5,7,11,13,17,19,23,29,31,37,41,43},0)),"소",
   AND(ISNUMBER(G187),MOD(G187,3)=0),"배",
   AND(ISNUMBER(G187),G187&gt;0),"자"
)</f>
        <v>0</v>
      </c>
      <c r="AI187" s="30"/>
      <c r="AJ187" s="3">
        <f>COUNTIFS(B187:G187,"&gt;=1",B187:G187,"&lt;=14")</f>
        <v>0</v>
      </c>
      <c r="AK187" s="3">
        <f>COUNTIFS(B187:G187,"&gt;=15",B187:G187,"&lt;=31")</f>
        <v>0</v>
      </c>
      <c r="AL187" s="3">
        <f>6-AK187-AJ187</f>
        <v>6</v>
      </c>
      <c r="AM187" s="33"/>
      <c r="AN187" s="3">
        <f>COUNTIFS($B187:$G187, "&gt;=1",$B187:$G187, "&lt;=9")</f>
        <v>0</v>
      </c>
      <c r="AO187" s="3">
        <f>COUNTIFS($B187:$G187, "&gt;=10",$B187:$G187, "&lt;=18")</f>
        <v>0</v>
      </c>
      <c r="AP187" s="3">
        <f>COUNTIFS($B187:$G187, "&gt;=19",$B187:$G187, "&lt;=27")</f>
        <v>0</v>
      </c>
      <c r="AQ187" s="3">
        <f>COUNTIFS($B187:$G187, "&gt;=28",$B187:$G187, "&lt;=36")</f>
        <v>0</v>
      </c>
      <c r="AR187" s="3">
        <f>COUNTIFS($B187:$G187, "&gt;=37",$B187:$G187, "&lt;=45")</f>
        <v>0</v>
      </c>
      <c r="AS187" s="28" t="e">
        <f>#REF!</f>
        <v>#REF!</v>
      </c>
      <c r="AT187" s="28" t="e">
        <f>#REF!*2</f>
        <v>#REF!</v>
      </c>
      <c r="AU187" s="28" t="e">
        <f>#REF!</f>
        <v>#REF!</v>
      </c>
      <c r="AV187" s="28" t="e">
        <f>#REF!*2</f>
        <v>#REF!</v>
      </c>
      <c r="AW187" s="28" t="e">
        <f>#REF!</f>
        <v>#REF!</v>
      </c>
      <c r="AX187" s="28" t="e">
        <f>#REF!*2</f>
        <v>#REF!</v>
      </c>
      <c r="AY187" s="28" t="e">
        <f>#REF!</f>
        <v>#REF!</v>
      </c>
      <c r="AZ187" s="28" t="e">
        <f>#REF!*2</f>
        <v>#REF!</v>
      </c>
      <c r="BA187" s="28" t="e">
        <f>#REF!</f>
        <v>#REF!</v>
      </c>
      <c r="BB187" s="28" t="e">
        <f>#REF!*2</f>
        <v>#REF!</v>
      </c>
      <c r="BC187" s="28" t="e">
        <f>#REF!</f>
        <v>#REF!</v>
      </c>
      <c r="BD187" s="28" t="e">
        <f>#REF!*2</f>
        <v>#REF!</v>
      </c>
      <c r="BE187" s="9" t="e">
        <f>#REF!-#REF!</f>
        <v>#REF!</v>
      </c>
      <c r="BF187" s="9" t="e">
        <f>#REF!-#REF!</f>
        <v>#REF!</v>
      </c>
      <c r="BG187" s="9" t="e">
        <f>#REF!-#REF!</f>
        <v>#REF!</v>
      </c>
      <c r="BH187" s="9" t="e">
        <f>#REF!-#REF!</f>
        <v>#REF!</v>
      </c>
      <c r="BI187" s="9" t="e">
        <f>#REF!-#REF!</f>
        <v>#REF!</v>
      </c>
      <c r="BJ187" s="33"/>
      <c r="BK187" s="3">
        <f>COUNTIFS(B187:G187, "&gt;=1", B187:G187, "&lt;=9")</f>
        <v>0</v>
      </c>
      <c r="BL187" s="3">
        <f>COUNTIFS(B187:G187, "&gt;=10", B187:G187, "&lt;=19")</f>
        <v>0</v>
      </c>
      <c r="BM187" s="3">
        <f>COUNTIFS(B187:G187, "&gt;=20", B187:G187, "&lt;=29")</f>
        <v>0</v>
      </c>
      <c r="BN187" s="3">
        <f>COUNTIFS(B187:G187, "&gt;=30", B187:G187, "&lt;=39")</f>
        <v>0</v>
      </c>
      <c r="BO187" s="3">
        <f>COUNTIFS(B187:G187, "&gt;=40", B187:G187, "&lt;=45")</f>
        <v>0</v>
      </c>
      <c r="BP187" s="28" t="e">
        <f>#REF!</f>
        <v>#REF!</v>
      </c>
      <c r="BQ187" s="28" t="e">
        <f>#REF!*2</f>
        <v>#REF!</v>
      </c>
      <c r="BR187" s="28" t="e">
        <f>#REF!</f>
        <v>#REF!</v>
      </c>
      <c r="BS187" s="28" t="e">
        <f>#REF!*2</f>
        <v>#REF!</v>
      </c>
      <c r="BT187" s="28" t="e">
        <f>#REF!</f>
        <v>#REF!</v>
      </c>
      <c r="BU187" s="28" t="e">
        <f>#REF!*2</f>
        <v>#REF!</v>
      </c>
      <c r="BV187" s="28" t="e">
        <f>#REF!</f>
        <v>#REF!</v>
      </c>
      <c r="BW187" s="28" t="e">
        <f>#REF!*2</f>
        <v>#REF!</v>
      </c>
      <c r="BX187" s="28" t="e">
        <f>#REF!</f>
        <v>#REF!</v>
      </c>
      <c r="BY187" s="28" t="e">
        <f>#REF!*2</f>
        <v>#REF!</v>
      </c>
      <c r="BZ187" s="28" t="e">
        <f>#REF!</f>
        <v>#REF!</v>
      </c>
      <c r="CA187" s="28" t="e">
        <f>#REF!*2</f>
        <v>#REF!</v>
      </c>
      <c r="CB187" s="9">
        <f>C187-B187</f>
        <v>0</v>
      </c>
      <c r="CC187" s="9">
        <f>D187-C187</f>
        <v>0</v>
      </c>
      <c r="CD187" s="9">
        <f>E187-D187</f>
        <v>0</v>
      </c>
      <c r="CE187" s="9">
        <f>F187-E187</f>
        <v>0</v>
      </c>
      <c r="CF187" s="9">
        <f>G187-F187</f>
        <v>0</v>
      </c>
      <c r="CG187" s="33"/>
      <c r="CH187" s="9">
        <f>C187-B187</f>
        <v>0</v>
      </c>
      <c r="CI187" s="9">
        <f>D187-C187</f>
        <v>0</v>
      </c>
      <c r="CJ187" s="9">
        <f>E187-D187</f>
        <v>0</v>
      </c>
      <c r="CK187" s="9">
        <f>F187-E187</f>
        <v>0</v>
      </c>
      <c r="CL187" s="9">
        <f>G187-F187</f>
        <v>0</v>
      </c>
      <c r="CM187" s="32"/>
      <c r="CN187" s="3">
        <f>IF(OR(CH187="",ISBLANK(CH187),CH187=0),0,IF(MOD(CH187,2)=1,1,2))</f>
        <v>0</v>
      </c>
      <c r="CO187" s="3">
        <f>IF(OR(CI187="",ISBLANK(CI187),CI187=0),0,IF(MOD(CI187,2)=1,1,2))</f>
        <v>0</v>
      </c>
      <c r="CP187" s="3">
        <f>IF(OR(CJ187="",ISBLANK(CJ187),CJ187=0),0,IF(MOD(CJ187,2)=1,1,2))</f>
        <v>0</v>
      </c>
      <c r="CQ187" s="3">
        <f>IF(OR(CK187="",ISBLANK(CK187),CK187=0),0,IF(MOD(CK187,2)=1,1,2))</f>
        <v>0</v>
      </c>
      <c r="CR187" s="3">
        <f>IF(OR(CL187="",ISBLANK(CL187),CL187=0),0,IF(MOD(CL187,2)=1,1,2))</f>
        <v>0</v>
      </c>
      <c r="CS187" s="31"/>
      <c r="CT187" s="3" cm="1">
        <f t="array" ref="CT187">SUMPRODUCT(--(MOD(CH187:CL187,2)=1))</f>
        <v>0</v>
      </c>
      <c r="CU187" s="3">
        <f>5-CT187</f>
        <v>5</v>
      </c>
      <c r="CV187" s="30"/>
      <c r="CW187" s="3" cm="1">
        <f t="array" ref="CW187">SUMPRODUCT(--(MOD(CH187:CL187,10)&gt;=1), --(MOD(CH187:CL187,10)&lt;=5))</f>
        <v>0</v>
      </c>
      <c r="CX187" s="3">
        <f>5-CW187</f>
        <v>5</v>
      </c>
      <c r="CY187" s="30"/>
      <c r="CZ187" s="3" cm="1">
        <f t="array" ref="CZ187">IFERROR(COUNT(_xlfn._xlws.FILTER(CH187:CL187, ISNUMBER(MATCH(CH187:CL187, {2,3,5,7,11,13,17,19,23,29,31,37,41,43}, 0)))), 0)</f>
        <v>0</v>
      </c>
      <c r="DA187" s="3" cm="1">
        <f t="array" ref="DA187">IFERROR(COUNT(_xlfn._xlws.FILTER(CH187:CL187, ISNUMBER(MATCH(CH187:CL187, {1,4,8,10,14,16,20,22,25,26,28,32,34,35,38,40,44}, 0)))), 0)</f>
        <v>0</v>
      </c>
      <c r="DB187" s="3" cm="1">
        <f t="array" ref="DB187">IFERROR(COUNT(_xlfn._xlws.FILTER(CH187:CL187, ISNUMBER(MATCH(CH187:CL187, {6,9,12,15,18,21,24,27,30,33,36,39,42,45}, 0)))), 0)</f>
        <v>0</v>
      </c>
      <c r="DC187" s="29"/>
      <c r="DD187" s="28" t="e">
        <f>#REF!</f>
        <v>#REF!</v>
      </c>
      <c r="DE187" s="28" t="e">
        <f>#REF!*2</f>
        <v>#REF!</v>
      </c>
      <c r="DF187" s="28" t="e">
        <f>#REF!</f>
        <v>#REF!</v>
      </c>
      <c r="DG187" s="28" t="e">
        <f>#REF!*2</f>
        <v>#REF!</v>
      </c>
      <c r="DH187" s="28" t="e">
        <f>#REF!</f>
        <v>#REF!</v>
      </c>
      <c r="DI187" s="28" t="e">
        <f>#REF!*2</f>
        <v>#REF!</v>
      </c>
      <c r="DJ187" s="28" t="e">
        <f>#REF!</f>
        <v>#REF!</v>
      </c>
      <c r="DK187" s="28" t="e">
        <f>#REF!*2</f>
        <v>#REF!</v>
      </c>
      <c r="DL187" s="28" t="e">
        <f>#REF!</f>
        <v>#REF!</v>
      </c>
      <c r="DM187" s="28" t="e">
        <f>#REF!*2</f>
        <v>#REF!</v>
      </c>
      <c r="DN187" s="27"/>
      <c r="DO187" s="26"/>
      <c r="DP187" s="26"/>
      <c r="DQ187" s="26"/>
      <c r="DR187" s="26"/>
      <c r="DS187" s="26"/>
      <c r="DT187" s="25"/>
    </row>
    <row r="188" spans="2:124" x14ac:dyDescent="0.3"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2"/>
      <c r="I188" s="3">
        <f>IF(OR(B188="",ISBLANK(B188),B188=0),0,IF(MOD(B188,2)=1,1,2))</f>
        <v>0</v>
      </c>
      <c r="J188" s="3">
        <f>IF(OR(C188="",ISBLANK(C188),C188=0),0,IF(MOD(C188,2)=1,1,2))</f>
        <v>0</v>
      </c>
      <c r="K188" s="3">
        <f>IF(OR(D188="",ISBLANK(D188),D188=0),0,IF(MOD(D188,2)=1,1,2))</f>
        <v>0</v>
      </c>
      <c r="L188" s="3">
        <f>IF(OR(E188="",ISBLANK(E188),E188=0),0,IF(MOD(E188,2)=1,1,2))</f>
        <v>0</v>
      </c>
      <c r="M188" s="3">
        <f>IF(OR(F188="",ISBLANK(F188),F188=0),0,IF(MOD(F188,2)=1,1,2))</f>
        <v>0</v>
      </c>
      <c r="N188" s="3">
        <f>IF(OR(G188="",ISBLANK(G188),G188=0),0,IF(MOD(G188,2)=1,1,2))</f>
        <v>0</v>
      </c>
      <c r="O188" s="32"/>
      <c r="P188" s="3" cm="1">
        <f t="array" ref="P188">SUMPRODUCT(--(MOD(B188:G188,2)=1))</f>
        <v>0</v>
      </c>
      <c r="Q188" s="3">
        <f>6-P188</f>
        <v>6</v>
      </c>
      <c r="R188" s="34"/>
      <c r="S188" s="3">
        <f>COUNTIFS(B188:G188,"&gt;=1",B188:G188,"&lt;=23")</f>
        <v>0</v>
      </c>
      <c r="T188" s="3">
        <f>6-S188</f>
        <v>6</v>
      </c>
      <c r="U188" s="34"/>
      <c r="V188" s="3" cm="1">
        <f t="array" ref="V188">SUMPRODUCT(--(MOD(B188:G188,10)&gt;=1), --(MOD(B188:G188,10)&lt;=5))</f>
        <v>0</v>
      </c>
      <c r="W188" s="3">
        <f>6-V188</f>
        <v>6</v>
      </c>
      <c r="X188" s="34"/>
      <c r="Y188" s="3" cm="1">
        <f t="array" ref="Y188">IFERROR(COUNT(_xlfn._xlws.FILTER(B188:G188, ISNUMBER(MATCH(B188:G188, {2,3,5,7,11,13,17,19,23,29,31,37,41,43}, 0)))), 0)</f>
        <v>0</v>
      </c>
      <c r="Z188" s="3" cm="1">
        <f t="array" ref="Z188">IFERROR(COUNT(_xlfn._xlws.FILTER(B188:G188, ISNUMBER(MATCH(B188:G188, {1,4,8,10,14,16,20,22,25,26,28,32,34,35,38,40,44}, 0)))), 0)</f>
        <v>0</v>
      </c>
      <c r="AA188" s="3" cm="1">
        <f t="array" ref="AA188">IFERROR(COUNT(_xlfn._xlws.FILTER(B188:G188, ISNUMBER(MATCH(B188:G188, {6,9,12,15,18,21,24,27,30,33,36,39,42,45}, 0)))), 0)</f>
        <v>0</v>
      </c>
      <c r="AB188" s="30"/>
      <c r="AC188" s="26" cm="1">
        <f t="array" ref="AC188">_xlfn.IFS(
   OR(B188="",ISBLANK(B188),B188=0),0,
   ISNUMBER(MATCH(B188,{2,3,5,7,11,13,17,19,23,29,31,37,41,43},0)),"소",
   AND(ISNUMBER(B188),MOD(B188,3)=0),"배",
   AND(ISNUMBER(B188),B188&gt;0),"자"
)</f>
        <v>0</v>
      </c>
      <c r="AD188" s="26" cm="1">
        <f t="array" ref="AD188">_xlfn.IFS(
   OR(C188="",ISBLANK(C188),C188=0),0,
   ISNUMBER(MATCH(C188,{2,3,5,7,11,13,17,19,23,29,31,37,41,43},0)),"소",
   AND(ISNUMBER(C188),MOD(C188,3)=0),"배",
   AND(ISNUMBER(C188),C188&gt;0),"자"
)</f>
        <v>0</v>
      </c>
      <c r="AE188" s="26" cm="1">
        <f t="array" ref="AE188">_xlfn.IFS(
   OR(D188="",ISBLANK(D188),D188=0),0,
   ISNUMBER(MATCH(D188,{2,3,5,7,11,13,17,19,23,29,31,37,41,43},0)),"소",
   AND(ISNUMBER(D188),MOD(D188,3)=0),"배",
   AND(ISNUMBER(D188),D188&gt;0),"자"
)</f>
        <v>0</v>
      </c>
      <c r="AF188" s="26" cm="1">
        <f t="array" ref="AF188">_xlfn.IFS(
   OR(E188="",ISBLANK(E188),E188=0),0,
   ISNUMBER(MATCH(E188,{2,3,5,7,11,13,17,19,23,29,31,37,41,43},0)),"소",
   AND(ISNUMBER(E188),MOD(E188,3)=0),"배",
   AND(ISNUMBER(E188),E188&gt;0),"자"
)</f>
        <v>0</v>
      </c>
      <c r="AG188" s="26" cm="1">
        <f t="array" ref="AG188">_xlfn.IFS(
   OR(F188="",ISBLANK(F188),F188=0),0,
   ISNUMBER(MATCH(F188,{2,3,5,7,11,13,17,19,23,29,31,37,41,43},0)),"소",
   AND(ISNUMBER(F188),MOD(F188,3)=0),"배",
   AND(ISNUMBER(F188),F188&gt;0),"자"
)</f>
        <v>0</v>
      </c>
      <c r="AH188" s="26" cm="1">
        <f t="array" ref="AH188">_xlfn.IFS(
   OR(G188="",ISBLANK(G188),G188=0),0,
   ISNUMBER(MATCH(G188,{2,3,5,7,11,13,17,19,23,29,31,37,41,43},0)),"소",
   AND(ISNUMBER(G188),MOD(G188,3)=0),"배",
   AND(ISNUMBER(G188),G188&gt;0),"자"
)</f>
        <v>0</v>
      </c>
      <c r="AI188" s="30"/>
      <c r="AJ188" s="3">
        <f>COUNTIFS(B188:G188,"&gt;=1",B188:G188,"&lt;=14")</f>
        <v>0</v>
      </c>
      <c r="AK188" s="3">
        <f>COUNTIFS(B188:G188,"&gt;=15",B188:G188,"&lt;=31")</f>
        <v>0</v>
      </c>
      <c r="AL188" s="3">
        <f>6-AK188-AJ188</f>
        <v>6</v>
      </c>
      <c r="AM188" s="33"/>
      <c r="AN188" s="3">
        <f>COUNTIFS($B188:$G188, "&gt;=1",$B188:$G188, "&lt;=9")</f>
        <v>0</v>
      </c>
      <c r="AO188" s="3">
        <f>COUNTIFS($B188:$G188, "&gt;=10",$B188:$G188, "&lt;=18")</f>
        <v>0</v>
      </c>
      <c r="AP188" s="3">
        <f>COUNTIFS($B188:$G188, "&gt;=19",$B188:$G188, "&lt;=27")</f>
        <v>0</v>
      </c>
      <c r="AQ188" s="3">
        <f>COUNTIFS($B188:$G188, "&gt;=28",$B188:$G188, "&lt;=36")</f>
        <v>0</v>
      </c>
      <c r="AR188" s="3">
        <f>COUNTIFS($B188:$G188, "&gt;=37",$B188:$G188, "&lt;=45")</f>
        <v>0</v>
      </c>
      <c r="AS188" s="28" t="e">
        <f>#REF!</f>
        <v>#REF!</v>
      </c>
      <c r="AT188" s="28" t="e">
        <f>#REF!*2</f>
        <v>#REF!</v>
      </c>
      <c r="AU188" s="28" t="e">
        <f>#REF!</f>
        <v>#REF!</v>
      </c>
      <c r="AV188" s="28" t="e">
        <f>#REF!*2</f>
        <v>#REF!</v>
      </c>
      <c r="AW188" s="28" t="e">
        <f>#REF!</f>
        <v>#REF!</v>
      </c>
      <c r="AX188" s="28" t="e">
        <f>#REF!*2</f>
        <v>#REF!</v>
      </c>
      <c r="AY188" s="28" t="e">
        <f>#REF!</f>
        <v>#REF!</v>
      </c>
      <c r="AZ188" s="28" t="e">
        <f>#REF!*2</f>
        <v>#REF!</v>
      </c>
      <c r="BA188" s="28" t="e">
        <f>#REF!</f>
        <v>#REF!</v>
      </c>
      <c r="BB188" s="28" t="e">
        <f>#REF!*2</f>
        <v>#REF!</v>
      </c>
      <c r="BC188" s="28" t="e">
        <f>#REF!</f>
        <v>#REF!</v>
      </c>
      <c r="BD188" s="28" t="e">
        <f>#REF!*2</f>
        <v>#REF!</v>
      </c>
      <c r="BE188" s="9" t="e">
        <f>#REF!-#REF!</f>
        <v>#REF!</v>
      </c>
      <c r="BF188" s="9" t="e">
        <f>#REF!-#REF!</f>
        <v>#REF!</v>
      </c>
      <c r="BG188" s="9" t="e">
        <f>#REF!-#REF!</f>
        <v>#REF!</v>
      </c>
      <c r="BH188" s="9" t="e">
        <f>#REF!-#REF!</f>
        <v>#REF!</v>
      </c>
      <c r="BI188" s="9" t="e">
        <f>#REF!-#REF!</f>
        <v>#REF!</v>
      </c>
      <c r="BJ188" s="33"/>
      <c r="BK188" s="3">
        <f>COUNTIFS(B188:G188, "&gt;=1", B188:G188, "&lt;=9")</f>
        <v>0</v>
      </c>
      <c r="BL188" s="3">
        <f>COUNTIFS(B188:G188, "&gt;=10", B188:G188, "&lt;=19")</f>
        <v>0</v>
      </c>
      <c r="BM188" s="3">
        <f>COUNTIFS(B188:G188, "&gt;=20", B188:G188, "&lt;=29")</f>
        <v>0</v>
      </c>
      <c r="BN188" s="3">
        <f>COUNTIFS(B188:G188, "&gt;=30", B188:G188, "&lt;=39")</f>
        <v>0</v>
      </c>
      <c r="BO188" s="3">
        <f>COUNTIFS(B188:G188, "&gt;=40", B188:G188, "&lt;=45")</f>
        <v>0</v>
      </c>
      <c r="BP188" s="28" t="e">
        <f>#REF!</f>
        <v>#REF!</v>
      </c>
      <c r="BQ188" s="28" t="e">
        <f>#REF!*2</f>
        <v>#REF!</v>
      </c>
      <c r="BR188" s="28" t="e">
        <f>#REF!</f>
        <v>#REF!</v>
      </c>
      <c r="BS188" s="28" t="e">
        <f>#REF!*2</f>
        <v>#REF!</v>
      </c>
      <c r="BT188" s="28" t="e">
        <f>#REF!</f>
        <v>#REF!</v>
      </c>
      <c r="BU188" s="28" t="e">
        <f>#REF!*2</f>
        <v>#REF!</v>
      </c>
      <c r="BV188" s="28" t="e">
        <f>#REF!</f>
        <v>#REF!</v>
      </c>
      <c r="BW188" s="28" t="e">
        <f>#REF!*2</f>
        <v>#REF!</v>
      </c>
      <c r="BX188" s="28" t="e">
        <f>#REF!</f>
        <v>#REF!</v>
      </c>
      <c r="BY188" s="28" t="e">
        <f>#REF!*2</f>
        <v>#REF!</v>
      </c>
      <c r="BZ188" s="28" t="e">
        <f>#REF!</f>
        <v>#REF!</v>
      </c>
      <c r="CA188" s="28" t="e">
        <f>#REF!*2</f>
        <v>#REF!</v>
      </c>
      <c r="CB188" s="9">
        <f>C188-B188</f>
        <v>0</v>
      </c>
      <c r="CC188" s="9">
        <f>D188-C188</f>
        <v>0</v>
      </c>
      <c r="CD188" s="9">
        <f>E188-D188</f>
        <v>0</v>
      </c>
      <c r="CE188" s="9">
        <f>F188-E188</f>
        <v>0</v>
      </c>
      <c r="CF188" s="9">
        <f>G188-F188</f>
        <v>0</v>
      </c>
      <c r="CG188" s="33"/>
      <c r="CH188" s="9">
        <f>C188-B188</f>
        <v>0</v>
      </c>
      <c r="CI188" s="9">
        <f>D188-C188</f>
        <v>0</v>
      </c>
      <c r="CJ188" s="9">
        <f>E188-D188</f>
        <v>0</v>
      </c>
      <c r="CK188" s="9">
        <f>F188-E188</f>
        <v>0</v>
      </c>
      <c r="CL188" s="9">
        <f>G188-F188</f>
        <v>0</v>
      </c>
      <c r="CM188" s="32"/>
      <c r="CN188" s="3">
        <f>IF(OR(CH188="",ISBLANK(CH188),CH188=0),0,IF(MOD(CH188,2)=1,1,2))</f>
        <v>0</v>
      </c>
      <c r="CO188" s="3">
        <f>IF(OR(CI188="",ISBLANK(CI188),CI188=0),0,IF(MOD(CI188,2)=1,1,2))</f>
        <v>0</v>
      </c>
      <c r="CP188" s="3">
        <f>IF(OR(CJ188="",ISBLANK(CJ188),CJ188=0),0,IF(MOD(CJ188,2)=1,1,2))</f>
        <v>0</v>
      </c>
      <c r="CQ188" s="3">
        <f>IF(OR(CK188="",ISBLANK(CK188),CK188=0),0,IF(MOD(CK188,2)=1,1,2))</f>
        <v>0</v>
      </c>
      <c r="CR188" s="3">
        <f>IF(OR(CL188="",ISBLANK(CL188),CL188=0),0,IF(MOD(CL188,2)=1,1,2))</f>
        <v>0</v>
      </c>
      <c r="CS188" s="31"/>
      <c r="CT188" s="3" cm="1">
        <f t="array" ref="CT188">SUMPRODUCT(--(MOD(CH188:CL188,2)=1))</f>
        <v>0</v>
      </c>
      <c r="CU188" s="3">
        <f>5-CT188</f>
        <v>5</v>
      </c>
      <c r="CV188" s="30"/>
      <c r="CW188" s="3" cm="1">
        <f t="array" ref="CW188">SUMPRODUCT(--(MOD(CH188:CL188,10)&gt;=1), --(MOD(CH188:CL188,10)&lt;=5))</f>
        <v>0</v>
      </c>
      <c r="CX188" s="3">
        <f>5-CW188</f>
        <v>5</v>
      </c>
      <c r="CY188" s="30"/>
      <c r="CZ188" s="3" cm="1">
        <f t="array" ref="CZ188">IFERROR(COUNT(_xlfn._xlws.FILTER(CH188:CL188, ISNUMBER(MATCH(CH188:CL188, {2,3,5,7,11,13,17,19,23,29,31,37,41,43}, 0)))), 0)</f>
        <v>0</v>
      </c>
      <c r="DA188" s="3" cm="1">
        <f t="array" ref="DA188">IFERROR(COUNT(_xlfn._xlws.FILTER(CH188:CL188, ISNUMBER(MATCH(CH188:CL188, {1,4,8,10,14,16,20,22,25,26,28,32,34,35,38,40,44}, 0)))), 0)</f>
        <v>0</v>
      </c>
      <c r="DB188" s="3" cm="1">
        <f t="array" ref="DB188">IFERROR(COUNT(_xlfn._xlws.FILTER(CH188:CL188, ISNUMBER(MATCH(CH188:CL188, {6,9,12,15,18,21,24,27,30,33,36,39,42,45}, 0)))), 0)</f>
        <v>0</v>
      </c>
      <c r="DC188" s="29"/>
      <c r="DD188" s="28" t="e">
        <f>#REF!</f>
        <v>#REF!</v>
      </c>
      <c r="DE188" s="28" t="e">
        <f>#REF!*2</f>
        <v>#REF!</v>
      </c>
      <c r="DF188" s="28" t="e">
        <f>#REF!</f>
        <v>#REF!</v>
      </c>
      <c r="DG188" s="28" t="e">
        <f>#REF!*2</f>
        <v>#REF!</v>
      </c>
      <c r="DH188" s="28" t="e">
        <f>#REF!</f>
        <v>#REF!</v>
      </c>
      <c r="DI188" s="28" t="e">
        <f>#REF!*2</f>
        <v>#REF!</v>
      </c>
      <c r="DJ188" s="28" t="e">
        <f>#REF!</f>
        <v>#REF!</v>
      </c>
      <c r="DK188" s="28" t="e">
        <f>#REF!*2</f>
        <v>#REF!</v>
      </c>
      <c r="DL188" s="28" t="e">
        <f>#REF!</f>
        <v>#REF!</v>
      </c>
      <c r="DM188" s="28" t="e">
        <f>#REF!*2</f>
        <v>#REF!</v>
      </c>
      <c r="DN188" s="27"/>
      <c r="DO188" s="26"/>
      <c r="DP188" s="26"/>
      <c r="DQ188" s="26"/>
      <c r="DR188" s="26"/>
      <c r="DS188" s="26"/>
      <c r="DT188" s="25"/>
    </row>
    <row r="189" spans="2:124" x14ac:dyDescent="0.3"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2"/>
      <c r="I189" s="3">
        <f>IF(OR(B189="",ISBLANK(B189),B189=0),0,IF(MOD(B189,2)=1,1,2))</f>
        <v>0</v>
      </c>
      <c r="J189" s="3">
        <f>IF(OR(C189="",ISBLANK(C189),C189=0),0,IF(MOD(C189,2)=1,1,2))</f>
        <v>0</v>
      </c>
      <c r="K189" s="3">
        <f>IF(OR(D189="",ISBLANK(D189),D189=0),0,IF(MOD(D189,2)=1,1,2))</f>
        <v>0</v>
      </c>
      <c r="L189" s="3">
        <f>IF(OR(E189="",ISBLANK(E189),E189=0),0,IF(MOD(E189,2)=1,1,2))</f>
        <v>0</v>
      </c>
      <c r="M189" s="3">
        <f>IF(OR(F189="",ISBLANK(F189),F189=0),0,IF(MOD(F189,2)=1,1,2))</f>
        <v>0</v>
      </c>
      <c r="N189" s="3">
        <f>IF(OR(G189="",ISBLANK(G189),G189=0),0,IF(MOD(G189,2)=1,1,2))</f>
        <v>0</v>
      </c>
      <c r="O189" s="32"/>
      <c r="P189" s="3" cm="1">
        <f t="array" ref="P189">SUMPRODUCT(--(MOD(B189:G189,2)=1))</f>
        <v>0</v>
      </c>
      <c r="Q189" s="3">
        <f>6-P189</f>
        <v>6</v>
      </c>
      <c r="R189" s="34"/>
      <c r="S189" s="3">
        <f>COUNTIFS(B189:G189,"&gt;=1",B189:G189,"&lt;=23")</f>
        <v>0</v>
      </c>
      <c r="T189" s="3">
        <f>6-S189</f>
        <v>6</v>
      </c>
      <c r="U189" s="34"/>
      <c r="V189" s="3" cm="1">
        <f t="array" ref="V189">SUMPRODUCT(--(MOD(B189:G189,10)&gt;=1), --(MOD(B189:G189,10)&lt;=5))</f>
        <v>0</v>
      </c>
      <c r="W189" s="3">
        <f>6-V189</f>
        <v>6</v>
      </c>
      <c r="X189" s="34"/>
      <c r="Y189" s="3" cm="1">
        <f t="array" ref="Y189">IFERROR(COUNT(_xlfn._xlws.FILTER(B189:G189, ISNUMBER(MATCH(B189:G189, {2,3,5,7,11,13,17,19,23,29,31,37,41,43}, 0)))), 0)</f>
        <v>0</v>
      </c>
      <c r="Z189" s="3" cm="1">
        <f t="array" ref="Z189">IFERROR(COUNT(_xlfn._xlws.FILTER(B189:G189, ISNUMBER(MATCH(B189:G189, {1,4,8,10,14,16,20,22,25,26,28,32,34,35,38,40,44}, 0)))), 0)</f>
        <v>0</v>
      </c>
      <c r="AA189" s="3" cm="1">
        <f t="array" ref="AA189">IFERROR(COUNT(_xlfn._xlws.FILTER(B189:G189, ISNUMBER(MATCH(B189:G189, {6,9,12,15,18,21,24,27,30,33,36,39,42,45}, 0)))), 0)</f>
        <v>0</v>
      </c>
      <c r="AB189" s="30"/>
      <c r="AC189" s="26" cm="1">
        <f t="array" ref="AC189">_xlfn.IFS(
   OR(B189="",ISBLANK(B189),B189=0),0,
   ISNUMBER(MATCH(B189,{2,3,5,7,11,13,17,19,23,29,31,37,41,43},0)),"소",
   AND(ISNUMBER(B189),MOD(B189,3)=0),"배",
   AND(ISNUMBER(B189),B189&gt;0),"자"
)</f>
        <v>0</v>
      </c>
      <c r="AD189" s="26" cm="1">
        <f t="array" ref="AD189">_xlfn.IFS(
   OR(C189="",ISBLANK(C189),C189=0),0,
   ISNUMBER(MATCH(C189,{2,3,5,7,11,13,17,19,23,29,31,37,41,43},0)),"소",
   AND(ISNUMBER(C189),MOD(C189,3)=0),"배",
   AND(ISNUMBER(C189),C189&gt;0),"자"
)</f>
        <v>0</v>
      </c>
      <c r="AE189" s="26" cm="1">
        <f t="array" ref="AE189">_xlfn.IFS(
   OR(D189="",ISBLANK(D189),D189=0),0,
   ISNUMBER(MATCH(D189,{2,3,5,7,11,13,17,19,23,29,31,37,41,43},0)),"소",
   AND(ISNUMBER(D189),MOD(D189,3)=0),"배",
   AND(ISNUMBER(D189),D189&gt;0),"자"
)</f>
        <v>0</v>
      </c>
      <c r="AF189" s="26" cm="1">
        <f t="array" ref="AF189">_xlfn.IFS(
   OR(E189="",ISBLANK(E189),E189=0),0,
   ISNUMBER(MATCH(E189,{2,3,5,7,11,13,17,19,23,29,31,37,41,43},0)),"소",
   AND(ISNUMBER(E189),MOD(E189,3)=0),"배",
   AND(ISNUMBER(E189),E189&gt;0),"자"
)</f>
        <v>0</v>
      </c>
      <c r="AG189" s="26" cm="1">
        <f t="array" ref="AG189">_xlfn.IFS(
   OR(F189="",ISBLANK(F189),F189=0),0,
   ISNUMBER(MATCH(F189,{2,3,5,7,11,13,17,19,23,29,31,37,41,43},0)),"소",
   AND(ISNUMBER(F189),MOD(F189,3)=0),"배",
   AND(ISNUMBER(F189),F189&gt;0),"자"
)</f>
        <v>0</v>
      </c>
      <c r="AH189" s="26" cm="1">
        <f t="array" ref="AH189">_xlfn.IFS(
   OR(G189="",ISBLANK(G189),G189=0),0,
   ISNUMBER(MATCH(G189,{2,3,5,7,11,13,17,19,23,29,31,37,41,43},0)),"소",
   AND(ISNUMBER(G189),MOD(G189,3)=0),"배",
   AND(ISNUMBER(G189),G189&gt;0),"자"
)</f>
        <v>0</v>
      </c>
      <c r="AI189" s="30"/>
      <c r="AJ189" s="3">
        <f>COUNTIFS(B189:G189,"&gt;=1",B189:G189,"&lt;=14")</f>
        <v>0</v>
      </c>
      <c r="AK189" s="3">
        <f>COUNTIFS(B189:G189,"&gt;=15",B189:G189,"&lt;=31")</f>
        <v>0</v>
      </c>
      <c r="AL189" s="3">
        <f>6-AK189-AJ189</f>
        <v>6</v>
      </c>
      <c r="AM189" s="33"/>
      <c r="AN189" s="3">
        <f>COUNTIFS($B189:$G189, "&gt;=1",$B189:$G189, "&lt;=9")</f>
        <v>0</v>
      </c>
      <c r="AO189" s="3">
        <f>COUNTIFS($B189:$G189, "&gt;=10",$B189:$G189, "&lt;=18")</f>
        <v>0</v>
      </c>
      <c r="AP189" s="3">
        <f>COUNTIFS($B189:$G189, "&gt;=19",$B189:$G189, "&lt;=27")</f>
        <v>0</v>
      </c>
      <c r="AQ189" s="3">
        <f>COUNTIFS($B189:$G189, "&gt;=28",$B189:$G189, "&lt;=36")</f>
        <v>0</v>
      </c>
      <c r="AR189" s="3">
        <f>COUNTIFS($B189:$G189, "&gt;=37",$B189:$G189, "&lt;=45")</f>
        <v>0</v>
      </c>
      <c r="AS189" s="28" t="e">
        <f>#REF!</f>
        <v>#REF!</v>
      </c>
      <c r="AT189" s="28" t="e">
        <f>#REF!*2</f>
        <v>#REF!</v>
      </c>
      <c r="AU189" s="28" t="e">
        <f>#REF!</f>
        <v>#REF!</v>
      </c>
      <c r="AV189" s="28" t="e">
        <f>#REF!*2</f>
        <v>#REF!</v>
      </c>
      <c r="AW189" s="28" t="e">
        <f>#REF!</f>
        <v>#REF!</v>
      </c>
      <c r="AX189" s="28" t="e">
        <f>#REF!*2</f>
        <v>#REF!</v>
      </c>
      <c r="AY189" s="28" t="e">
        <f>#REF!</f>
        <v>#REF!</v>
      </c>
      <c r="AZ189" s="28" t="e">
        <f>#REF!*2</f>
        <v>#REF!</v>
      </c>
      <c r="BA189" s="28" t="e">
        <f>#REF!</f>
        <v>#REF!</v>
      </c>
      <c r="BB189" s="28" t="e">
        <f>#REF!*2</f>
        <v>#REF!</v>
      </c>
      <c r="BC189" s="28" t="e">
        <f>#REF!</f>
        <v>#REF!</v>
      </c>
      <c r="BD189" s="28" t="e">
        <f>#REF!*2</f>
        <v>#REF!</v>
      </c>
      <c r="BE189" s="9" t="e">
        <f>#REF!-#REF!</f>
        <v>#REF!</v>
      </c>
      <c r="BF189" s="9" t="e">
        <f>#REF!-#REF!</f>
        <v>#REF!</v>
      </c>
      <c r="BG189" s="9" t="e">
        <f>#REF!-#REF!</f>
        <v>#REF!</v>
      </c>
      <c r="BH189" s="9" t="e">
        <f>#REF!-#REF!</f>
        <v>#REF!</v>
      </c>
      <c r="BI189" s="9" t="e">
        <f>#REF!-#REF!</f>
        <v>#REF!</v>
      </c>
      <c r="BJ189" s="33"/>
      <c r="BK189" s="3">
        <f>COUNTIFS(B189:G189, "&gt;=1", B189:G189, "&lt;=9")</f>
        <v>0</v>
      </c>
      <c r="BL189" s="3">
        <f>COUNTIFS(B189:G189, "&gt;=10", B189:G189, "&lt;=19")</f>
        <v>0</v>
      </c>
      <c r="BM189" s="3">
        <f>COUNTIFS(B189:G189, "&gt;=20", B189:G189, "&lt;=29")</f>
        <v>0</v>
      </c>
      <c r="BN189" s="3">
        <f>COUNTIFS(B189:G189, "&gt;=30", B189:G189, "&lt;=39")</f>
        <v>0</v>
      </c>
      <c r="BO189" s="3">
        <f>COUNTIFS(B189:G189, "&gt;=40", B189:G189, "&lt;=45")</f>
        <v>0</v>
      </c>
      <c r="BP189" s="28" t="e">
        <f>#REF!</f>
        <v>#REF!</v>
      </c>
      <c r="BQ189" s="28" t="e">
        <f>#REF!*2</f>
        <v>#REF!</v>
      </c>
      <c r="BR189" s="28" t="e">
        <f>#REF!</f>
        <v>#REF!</v>
      </c>
      <c r="BS189" s="28" t="e">
        <f>#REF!*2</f>
        <v>#REF!</v>
      </c>
      <c r="BT189" s="28" t="e">
        <f>#REF!</f>
        <v>#REF!</v>
      </c>
      <c r="BU189" s="28" t="e">
        <f>#REF!*2</f>
        <v>#REF!</v>
      </c>
      <c r="BV189" s="28" t="e">
        <f>#REF!</f>
        <v>#REF!</v>
      </c>
      <c r="BW189" s="28" t="e">
        <f>#REF!*2</f>
        <v>#REF!</v>
      </c>
      <c r="BX189" s="28" t="e">
        <f>#REF!</f>
        <v>#REF!</v>
      </c>
      <c r="BY189" s="28" t="e">
        <f>#REF!*2</f>
        <v>#REF!</v>
      </c>
      <c r="BZ189" s="28" t="e">
        <f>#REF!</f>
        <v>#REF!</v>
      </c>
      <c r="CA189" s="28" t="e">
        <f>#REF!*2</f>
        <v>#REF!</v>
      </c>
      <c r="CB189" s="9">
        <f>C189-B189</f>
        <v>0</v>
      </c>
      <c r="CC189" s="9">
        <f>D189-C189</f>
        <v>0</v>
      </c>
      <c r="CD189" s="9">
        <f>E189-D189</f>
        <v>0</v>
      </c>
      <c r="CE189" s="9">
        <f>F189-E189</f>
        <v>0</v>
      </c>
      <c r="CF189" s="9">
        <f>G189-F189</f>
        <v>0</v>
      </c>
      <c r="CG189" s="33"/>
      <c r="CH189" s="9">
        <f>C189-B189</f>
        <v>0</v>
      </c>
      <c r="CI189" s="9">
        <f>D189-C189</f>
        <v>0</v>
      </c>
      <c r="CJ189" s="9">
        <f>E189-D189</f>
        <v>0</v>
      </c>
      <c r="CK189" s="9">
        <f>F189-E189</f>
        <v>0</v>
      </c>
      <c r="CL189" s="9">
        <f>G189-F189</f>
        <v>0</v>
      </c>
      <c r="CM189" s="32"/>
      <c r="CN189" s="3">
        <f>IF(OR(CH189="",ISBLANK(CH189),CH189=0),0,IF(MOD(CH189,2)=1,1,2))</f>
        <v>0</v>
      </c>
      <c r="CO189" s="3">
        <f>IF(OR(CI189="",ISBLANK(CI189),CI189=0),0,IF(MOD(CI189,2)=1,1,2))</f>
        <v>0</v>
      </c>
      <c r="CP189" s="3">
        <f>IF(OR(CJ189="",ISBLANK(CJ189),CJ189=0),0,IF(MOD(CJ189,2)=1,1,2))</f>
        <v>0</v>
      </c>
      <c r="CQ189" s="3">
        <f>IF(OR(CK189="",ISBLANK(CK189),CK189=0),0,IF(MOD(CK189,2)=1,1,2))</f>
        <v>0</v>
      </c>
      <c r="CR189" s="3">
        <f>IF(OR(CL189="",ISBLANK(CL189),CL189=0),0,IF(MOD(CL189,2)=1,1,2))</f>
        <v>0</v>
      </c>
      <c r="CS189" s="31"/>
      <c r="CT189" s="3" cm="1">
        <f t="array" ref="CT189">SUMPRODUCT(--(MOD(CH189:CL189,2)=1))</f>
        <v>0</v>
      </c>
      <c r="CU189" s="3">
        <f>5-CT189</f>
        <v>5</v>
      </c>
      <c r="CV189" s="30"/>
      <c r="CW189" s="3" cm="1">
        <f t="array" ref="CW189">SUMPRODUCT(--(MOD(CH189:CL189,10)&gt;=1), --(MOD(CH189:CL189,10)&lt;=5))</f>
        <v>0</v>
      </c>
      <c r="CX189" s="3">
        <f>5-CW189</f>
        <v>5</v>
      </c>
      <c r="CY189" s="30"/>
      <c r="CZ189" s="3" cm="1">
        <f t="array" ref="CZ189">IFERROR(COUNT(_xlfn._xlws.FILTER(CH189:CL189, ISNUMBER(MATCH(CH189:CL189, {2,3,5,7,11,13,17,19,23,29,31,37,41,43}, 0)))), 0)</f>
        <v>0</v>
      </c>
      <c r="DA189" s="3" cm="1">
        <f t="array" ref="DA189">IFERROR(COUNT(_xlfn._xlws.FILTER(CH189:CL189, ISNUMBER(MATCH(CH189:CL189, {1,4,8,10,14,16,20,22,25,26,28,32,34,35,38,40,44}, 0)))), 0)</f>
        <v>0</v>
      </c>
      <c r="DB189" s="3" cm="1">
        <f t="array" ref="DB189">IFERROR(COUNT(_xlfn._xlws.FILTER(CH189:CL189, ISNUMBER(MATCH(CH189:CL189, {6,9,12,15,18,21,24,27,30,33,36,39,42,45}, 0)))), 0)</f>
        <v>0</v>
      </c>
      <c r="DC189" s="29"/>
      <c r="DD189" s="28" t="e">
        <f>#REF!</f>
        <v>#REF!</v>
      </c>
      <c r="DE189" s="28" t="e">
        <f>#REF!*2</f>
        <v>#REF!</v>
      </c>
      <c r="DF189" s="28" t="e">
        <f>#REF!</f>
        <v>#REF!</v>
      </c>
      <c r="DG189" s="28" t="e">
        <f>#REF!*2</f>
        <v>#REF!</v>
      </c>
      <c r="DH189" s="28" t="e">
        <f>#REF!</f>
        <v>#REF!</v>
      </c>
      <c r="DI189" s="28" t="e">
        <f>#REF!*2</f>
        <v>#REF!</v>
      </c>
      <c r="DJ189" s="28" t="e">
        <f>#REF!</f>
        <v>#REF!</v>
      </c>
      <c r="DK189" s="28" t="e">
        <f>#REF!*2</f>
        <v>#REF!</v>
      </c>
      <c r="DL189" s="28" t="e">
        <f>#REF!</f>
        <v>#REF!</v>
      </c>
      <c r="DM189" s="28" t="e">
        <f>#REF!*2</f>
        <v>#REF!</v>
      </c>
      <c r="DN189" s="27"/>
      <c r="DO189" s="26"/>
      <c r="DP189" s="26"/>
      <c r="DQ189" s="26"/>
      <c r="DR189" s="26"/>
      <c r="DS189" s="26"/>
      <c r="DT189" s="25"/>
    </row>
    <row r="190" spans="2:124" x14ac:dyDescent="0.3"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2"/>
      <c r="I190" s="3">
        <f>IF(OR(B190="",ISBLANK(B190),B190=0),0,IF(MOD(B190,2)=1,1,2))</f>
        <v>0</v>
      </c>
      <c r="J190" s="3">
        <f>IF(OR(C190="",ISBLANK(C190),C190=0),0,IF(MOD(C190,2)=1,1,2))</f>
        <v>0</v>
      </c>
      <c r="K190" s="3">
        <f>IF(OR(D190="",ISBLANK(D190),D190=0),0,IF(MOD(D190,2)=1,1,2))</f>
        <v>0</v>
      </c>
      <c r="L190" s="3">
        <f>IF(OR(E190="",ISBLANK(E190),E190=0),0,IF(MOD(E190,2)=1,1,2))</f>
        <v>0</v>
      </c>
      <c r="M190" s="3">
        <f>IF(OR(F190="",ISBLANK(F190),F190=0),0,IF(MOD(F190,2)=1,1,2))</f>
        <v>0</v>
      </c>
      <c r="N190" s="3">
        <f>IF(OR(G190="",ISBLANK(G190),G190=0),0,IF(MOD(G190,2)=1,1,2))</f>
        <v>0</v>
      </c>
      <c r="O190" s="32"/>
      <c r="P190" s="3" cm="1">
        <f t="array" ref="P190">SUMPRODUCT(--(MOD(B190:G190,2)=1))</f>
        <v>0</v>
      </c>
      <c r="Q190" s="3">
        <f>6-P190</f>
        <v>6</v>
      </c>
      <c r="R190" s="34"/>
      <c r="S190" s="3">
        <f>COUNTIFS(B190:G190,"&gt;=1",B190:G190,"&lt;=23")</f>
        <v>0</v>
      </c>
      <c r="T190" s="3">
        <f>6-S190</f>
        <v>6</v>
      </c>
      <c r="U190" s="34"/>
      <c r="V190" s="3" cm="1">
        <f t="array" ref="V190">SUMPRODUCT(--(MOD(B190:G190,10)&gt;=1), --(MOD(B190:G190,10)&lt;=5))</f>
        <v>0</v>
      </c>
      <c r="W190" s="3">
        <f>6-V190</f>
        <v>6</v>
      </c>
      <c r="X190" s="34"/>
      <c r="Y190" s="3" cm="1">
        <f t="array" ref="Y190">IFERROR(COUNT(_xlfn._xlws.FILTER(B190:G190, ISNUMBER(MATCH(B190:G190, {2,3,5,7,11,13,17,19,23,29,31,37,41,43}, 0)))), 0)</f>
        <v>0</v>
      </c>
      <c r="Z190" s="3" cm="1">
        <f t="array" ref="Z190">IFERROR(COUNT(_xlfn._xlws.FILTER(B190:G190, ISNUMBER(MATCH(B190:G190, {1,4,8,10,14,16,20,22,25,26,28,32,34,35,38,40,44}, 0)))), 0)</f>
        <v>0</v>
      </c>
      <c r="AA190" s="3" cm="1">
        <f t="array" ref="AA190">IFERROR(COUNT(_xlfn._xlws.FILTER(B190:G190, ISNUMBER(MATCH(B190:G190, {6,9,12,15,18,21,24,27,30,33,36,39,42,45}, 0)))), 0)</f>
        <v>0</v>
      </c>
      <c r="AB190" s="30"/>
      <c r="AC190" s="26" cm="1">
        <f t="array" ref="AC190">_xlfn.IFS(
   OR(B190="",ISBLANK(B190),B190=0),0,
   ISNUMBER(MATCH(B190,{2,3,5,7,11,13,17,19,23,29,31,37,41,43},0)),"소",
   AND(ISNUMBER(B190),MOD(B190,3)=0),"배",
   AND(ISNUMBER(B190),B190&gt;0),"자"
)</f>
        <v>0</v>
      </c>
      <c r="AD190" s="26" cm="1">
        <f t="array" ref="AD190">_xlfn.IFS(
   OR(C190="",ISBLANK(C190),C190=0),0,
   ISNUMBER(MATCH(C190,{2,3,5,7,11,13,17,19,23,29,31,37,41,43},0)),"소",
   AND(ISNUMBER(C190),MOD(C190,3)=0),"배",
   AND(ISNUMBER(C190),C190&gt;0),"자"
)</f>
        <v>0</v>
      </c>
      <c r="AE190" s="26" cm="1">
        <f t="array" ref="AE190">_xlfn.IFS(
   OR(D190="",ISBLANK(D190),D190=0),0,
   ISNUMBER(MATCH(D190,{2,3,5,7,11,13,17,19,23,29,31,37,41,43},0)),"소",
   AND(ISNUMBER(D190),MOD(D190,3)=0),"배",
   AND(ISNUMBER(D190),D190&gt;0),"자"
)</f>
        <v>0</v>
      </c>
      <c r="AF190" s="26" cm="1">
        <f t="array" ref="AF190">_xlfn.IFS(
   OR(E190="",ISBLANK(E190),E190=0),0,
   ISNUMBER(MATCH(E190,{2,3,5,7,11,13,17,19,23,29,31,37,41,43},0)),"소",
   AND(ISNUMBER(E190),MOD(E190,3)=0),"배",
   AND(ISNUMBER(E190),E190&gt;0),"자"
)</f>
        <v>0</v>
      </c>
      <c r="AG190" s="26" cm="1">
        <f t="array" ref="AG190">_xlfn.IFS(
   OR(F190="",ISBLANK(F190),F190=0),0,
   ISNUMBER(MATCH(F190,{2,3,5,7,11,13,17,19,23,29,31,37,41,43},0)),"소",
   AND(ISNUMBER(F190),MOD(F190,3)=0),"배",
   AND(ISNUMBER(F190),F190&gt;0),"자"
)</f>
        <v>0</v>
      </c>
      <c r="AH190" s="26" cm="1">
        <f t="array" ref="AH190">_xlfn.IFS(
   OR(G190="",ISBLANK(G190),G190=0),0,
   ISNUMBER(MATCH(G190,{2,3,5,7,11,13,17,19,23,29,31,37,41,43},0)),"소",
   AND(ISNUMBER(G190),MOD(G190,3)=0),"배",
   AND(ISNUMBER(G190),G190&gt;0),"자"
)</f>
        <v>0</v>
      </c>
      <c r="AI190" s="30"/>
      <c r="AJ190" s="3">
        <f>COUNTIFS(B190:G190,"&gt;=1",B190:G190,"&lt;=14")</f>
        <v>0</v>
      </c>
      <c r="AK190" s="3">
        <f>COUNTIFS(B190:G190,"&gt;=15",B190:G190,"&lt;=31")</f>
        <v>0</v>
      </c>
      <c r="AL190" s="3">
        <f>6-AK190-AJ190</f>
        <v>6</v>
      </c>
      <c r="AM190" s="33"/>
      <c r="AN190" s="3">
        <f>COUNTIFS($B190:$G190, "&gt;=1",$B190:$G190, "&lt;=9")</f>
        <v>0</v>
      </c>
      <c r="AO190" s="3">
        <f>COUNTIFS($B190:$G190, "&gt;=10",$B190:$G190, "&lt;=18")</f>
        <v>0</v>
      </c>
      <c r="AP190" s="3">
        <f>COUNTIFS($B190:$G190, "&gt;=19",$B190:$G190, "&lt;=27")</f>
        <v>0</v>
      </c>
      <c r="AQ190" s="3">
        <f>COUNTIFS($B190:$G190, "&gt;=28",$B190:$G190, "&lt;=36")</f>
        <v>0</v>
      </c>
      <c r="AR190" s="3">
        <f>COUNTIFS($B190:$G190, "&gt;=37",$B190:$G190, "&lt;=45")</f>
        <v>0</v>
      </c>
      <c r="AS190" s="28" t="e">
        <f>#REF!</f>
        <v>#REF!</v>
      </c>
      <c r="AT190" s="28" t="e">
        <f>#REF!*2</f>
        <v>#REF!</v>
      </c>
      <c r="AU190" s="28" t="e">
        <f>#REF!</f>
        <v>#REF!</v>
      </c>
      <c r="AV190" s="28" t="e">
        <f>#REF!*2</f>
        <v>#REF!</v>
      </c>
      <c r="AW190" s="28" t="e">
        <f>#REF!</f>
        <v>#REF!</v>
      </c>
      <c r="AX190" s="28" t="e">
        <f>#REF!*2</f>
        <v>#REF!</v>
      </c>
      <c r="AY190" s="28" t="e">
        <f>#REF!</f>
        <v>#REF!</v>
      </c>
      <c r="AZ190" s="28" t="e">
        <f>#REF!*2</f>
        <v>#REF!</v>
      </c>
      <c r="BA190" s="28" t="e">
        <f>#REF!</f>
        <v>#REF!</v>
      </c>
      <c r="BB190" s="28" t="e">
        <f>#REF!*2</f>
        <v>#REF!</v>
      </c>
      <c r="BC190" s="28" t="e">
        <f>#REF!</f>
        <v>#REF!</v>
      </c>
      <c r="BD190" s="28" t="e">
        <f>#REF!*2</f>
        <v>#REF!</v>
      </c>
      <c r="BE190" s="9" t="e">
        <f>#REF!-#REF!</f>
        <v>#REF!</v>
      </c>
      <c r="BF190" s="9" t="e">
        <f>#REF!-#REF!</f>
        <v>#REF!</v>
      </c>
      <c r="BG190" s="9" t="e">
        <f>#REF!-#REF!</f>
        <v>#REF!</v>
      </c>
      <c r="BH190" s="9" t="e">
        <f>#REF!-#REF!</f>
        <v>#REF!</v>
      </c>
      <c r="BI190" s="9" t="e">
        <f>#REF!-#REF!</f>
        <v>#REF!</v>
      </c>
      <c r="BJ190" s="33"/>
      <c r="BK190" s="3">
        <f>COUNTIFS(B190:G190, "&gt;=1", B190:G190, "&lt;=9")</f>
        <v>0</v>
      </c>
      <c r="BL190" s="3">
        <f>COUNTIFS(B190:G190, "&gt;=10", B190:G190, "&lt;=19")</f>
        <v>0</v>
      </c>
      <c r="BM190" s="3">
        <f>COUNTIFS(B190:G190, "&gt;=20", B190:G190, "&lt;=29")</f>
        <v>0</v>
      </c>
      <c r="BN190" s="3">
        <f>COUNTIFS(B190:G190, "&gt;=30", B190:G190, "&lt;=39")</f>
        <v>0</v>
      </c>
      <c r="BO190" s="3">
        <f>COUNTIFS(B190:G190, "&gt;=40", B190:G190, "&lt;=45")</f>
        <v>0</v>
      </c>
      <c r="BP190" s="28" t="e">
        <f>#REF!</f>
        <v>#REF!</v>
      </c>
      <c r="BQ190" s="28" t="e">
        <f>#REF!*2</f>
        <v>#REF!</v>
      </c>
      <c r="BR190" s="28" t="e">
        <f>#REF!</f>
        <v>#REF!</v>
      </c>
      <c r="BS190" s="28" t="e">
        <f>#REF!*2</f>
        <v>#REF!</v>
      </c>
      <c r="BT190" s="28" t="e">
        <f>#REF!</f>
        <v>#REF!</v>
      </c>
      <c r="BU190" s="28" t="e">
        <f>#REF!*2</f>
        <v>#REF!</v>
      </c>
      <c r="BV190" s="28" t="e">
        <f>#REF!</f>
        <v>#REF!</v>
      </c>
      <c r="BW190" s="28" t="e">
        <f>#REF!*2</f>
        <v>#REF!</v>
      </c>
      <c r="BX190" s="28" t="e">
        <f>#REF!</f>
        <v>#REF!</v>
      </c>
      <c r="BY190" s="28" t="e">
        <f>#REF!*2</f>
        <v>#REF!</v>
      </c>
      <c r="BZ190" s="28" t="e">
        <f>#REF!</f>
        <v>#REF!</v>
      </c>
      <c r="CA190" s="28" t="e">
        <f>#REF!*2</f>
        <v>#REF!</v>
      </c>
      <c r="CB190" s="9">
        <f>C190-B190</f>
        <v>0</v>
      </c>
      <c r="CC190" s="9">
        <f>D190-C190</f>
        <v>0</v>
      </c>
      <c r="CD190" s="9">
        <f>E190-D190</f>
        <v>0</v>
      </c>
      <c r="CE190" s="9">
        <f>F190-E190</f>
        <v>0</v>
      </c>
      <c r="CF190" s="9">
        <f>G190-F190</f>
        <v>0</v>
      </c>
      <c r="CG190" s="33"/>
      <c r="CH190" s="9">
        <f>C190-B190</f>
        <v>0</v>
      </c>
      <c r="CI190" s="9">
        <f>D190-C190</f>
        <v>0</v>
      </c>
      <c r="CJ190" s="9">
        <f>E190-D190</f>
        <v>0</v>
      </c>
      <c r="CK190" s="9">
        <f>F190-E190</f>
        <v>0</v>
      </c>
      <c r="CL190" s="9">
        <f>G190-F190</f>
        <v>0</v>
      </c>
      <c r="CM190" s="32"/>
      <c r="CN190" s="3">
        <f>IF(OR(CH190="",ISBLANK(CH190),CH190=0),0,IF(MOD(CH190,2)=1,1,2))</f>
        <v>0</v>
      </c>
      <c r="CO190" s="3">
        <f>IF(OR(CI190="",ISBLANK(CI190),CI190=0),0,IF(MOD(CI190,2)=1,1,2))</f>
        <v>0</v>
      </c>
      <c r="CP190" s="3">
        <f>IF(OR(CJ190="",ISBLANK(CJ190),CJ190=0),0,IF(MOD(CJ190,2)=1,1,2))</f>
        <v>0</v>
      </c>
      <c r="CQ190" s="3">
        <f>IF(OR(CK190="",ISBLANK(CK190),CK190=0),0,IF(MOD(CK190,2)=1,1,2))</f>
        <v>0</v>
      </c>
      <c r="CR190" s="3">
        <f>IF(OR(CL190="",ISBLANK(CL190),CL190=0),0,IF(MOD(CL190,2)=1,1,2))</f>
        <v>0</v>
      </c>
      <c r="CS190" s="31"/>
      <c r="CT190" s="3" cm="1">
        <f t="array" ref="CT190">SUMPRODUCT(--(MOD(CH190:CL190,2)=1))</f>
        <v>0</v>
      </c>
      <c r="CU190" s="3">
        <f>5-CT190</f>
        <v>5</v>
      </c>
      <c r="CV190" s="30"/>
      <c r="CW190" s="3" cm="1">
        <f t="array" ref="CW190">SUMPRODUCT(--(MOD(CH190:CL190,10)&gt;=1), --(MOD(CH190:CL190,10)&lt;=5))</f>
        <v>0</v>
      </c>
      <c r="CX190" s="3">
        <f>5-CW190</f>
        <v>5</v>
      </c>
      <c r="CY190" s="30"/>
      <c r="CZ190" s="3" cm="1">
        <f t="array" ref="CZ190">IFERROR(COUNT(_xlfn._xlws.FILTER(CH190:CL190, ISNUMBER(MATCH(CH190:CL190, {2,3,5,7,11,13,17,19,23,29,31,37,41,43}, 0)))), 0)</f>
        <v>0</v>
      </c>
      <c r="DA190" s="3" cm="1">
        <f t="array" ref="DA190">IFERROR(COUNT(_xlfn._xlws.FILTER(CH190:CL190, ISNUMBER(MATCH(CH190:CL190, {1,4,8,10,14,16,20,22,25,26,28,32,34,35,38,40,44}, 0)))), 0)</f>
        <v>0</v>
      </c>
      <c r="DB190" s="3" cm="1">
        <f t="array" ref="DB190">IFERROR(COUNT(_xlfn._xlws.FILTER(CH190:CL190, ISNUMBER(MATCH(CH190:CL190, {6,9,12,15,18,21,24,27,30,33,36,39,42,45}, 0)))), 0)</f>
        <v>0</v>
      </c>
      <c r="DC190" s="29"/>
      <c r="DD190" s="28" t="e">
        <f>#REF!</f>
        <v>#REF!</v>
      </c>
      <c r="DE190" s="28" t="e">
        <f>#REF!*2</f>
        <v>#REF!</v>
      </c>
      <c r="DF190" s="28" t="e">
        <f>#REF!</f>
        <v>#REF!</v>
      </c>
      <c r="DG190" s="28" t="e">
        <f>#REF!*2</f>
        <v>#REF!</v>
      </c>
      <c r="DH190" s="28" t="e">
        <f>#REF!</f>
        <v>#REF!</v>
      </c>
      <c r="DI190" s="28" t="e">
        <f>#REF!*2</f>
        <v>#REF!</v>
      </c>
      <c r="DJ190" s="28" t="e">
        <f>#REF!</f>
        <v>#REF!</v>
      </c>
      <c r="DK190" s="28" t="e">
        <f>#REF!*2</f>
        <v>#REF!</v>
      </c>
      <c r="DL190" s="28" t="e">
        <f>#REF!</f>
        <v>#REF!</v>
      </c>
      <c r="DM190" s="28" t="e">
        <f>#REF!*2</f>
        <v>#REF!</v>
      </c>
      <c r="DN190" s="27"/>
      <c r="DO190" s="26"/>
      <c r="DP190" s="26"/>
      <c r="DQ190" s="26"/>
      <c r="DR190" s="26"/>
      <c r="DS190" s="26"/>
      <c r="DT190" s="25"/>
    </row>
    <row r="191" spans="2:124" x14ac:dyDescent="0.3"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2"/>
      <c r="I191" s="3">
        <f>IF(OR(B191="",ISBLANK(B191),B191=0),0,IF(MOD(B191,2)=1,1,2))</f>
        <v>0</v>
      </c>
      <c r="J191" s="3">
        <f>IF(OR(C191="",ISBLANK(C191),C191=0),0,IF(MOD(C191,2)=1,1,2))</f>
        <v>0</v>
      </c>
      <c r="K191" s="3">
        <f>IF(OR(D191="",ISBLANK(D191),D191=0),0,IF(MOD(D191,2)=1,1,2))</f>
        <v>0</v>
      </c>
      <c r="L191" s="3">
        <f>IF(OR(E191="",ISBLANK(E191),E191=0),0,IF(MOD(E191,2)=1,1,2))</f>
        <v>0</v>
      </c>
      <c r="M191" s="3">
        <f>IF(OR(F191="",ISBLANK(F191),F191=0),0,IF(MOD(F191,2)=1,1,2))</f>
        <v>0</v>
      </c>
      <c r="N191" s="3">
        <f>IF(OR(G191="",ISBLANK(G191),G191=0),0,IF(MOD(G191,2)=1,1,2))</f>
        <v>0</v>
      </c>
      <c r="O191" s="32"/>
      <c r="P191" s="3" cm="1">
        <f t="array" ref="P191">SUMPRODUCT(--(MOD(B191:G191,2)=1))</f>
        <v>0</v>
      </c>
      <c r="Q191" s="3">
        <f>6-P191</f>
        <v>6</v>
      </c>
      <c r="R191" s="34"/>
      <c r="S191" s="3">
        <f>COUNTIFS(B191:G191,"&gt;=1",B191:G191,"&lt;=23")</f>
        <v>0</v>
      </c>
      <c r="T191" s="3">
        <f>6-S191</f>
        <v>6</v>
      </c>
      <c r="U191" s="34"/>
      <c r="V191" s="3" cm="1">
        <f t="array" ref="V191">SUMPRODUCT(--(MOD(B191:G191,10)&gt;=1), --(MOD(B191:G191,10)&lt;=5))</f>
        <v>0</v>
      </c>
      <c r="W191" s="3">
        <f>6-V191</f>
        <v>6</v>
      </c>
      <c r="X191" s="34"/>
      <c r="Y191" s="3" cm="1">
        <f t="array" ref="Y191">IFERROR(COUNT(_xlfn._xlws.FILTER(B191:G191, ISNUMBER(MATCH(B191:G191, {2,3,5,7,11,13,17,19,23,29,31,37,41,43}, 0)))), 0)</f>
        <v>0</v>
      </c>
      <c r="Z191" s="3" cm="1">
        <f t="array" ref="Z191">IFERROR(COUNT(_xlfn._xlws.FILTER(B191:G191, ISNUMBER(MATCH(B191:G191, {1,4,8,10,14,16,20,22,25,26,28,32,34,35,38,40,44}, 0)))), 0)</f>
        <v>0</v>
      </c>
      <c r="AA191" s="3" cm="1">
        <f t="array" ref="AA191">IFERROR(COUNT(_xlfn._xlws.FILTER(B191:G191, ISNUMBER(MATCH(B191:G191, {6,9,12,15,18,21,24,27,30,33,36,39,42,45}, 0)))), 0)</f>
        <v>0</v>
      </c>
      <c r="AB191" s="30"/>
      <c r="AC191" s="26" cm="1">
        <f t="array" ref="AC191">_xlfn.IFS(
   OR(B191="",ISBLANK(B191),B191=0),0,
   ISNUMBER(MATCH(B191,{2,3,5,7,11,13,17,19,23,29,31,37,41,43},0)),"소",
   AND(ISNUMBER(B191),MOD(B191,3)=0),"배",
   AND(ISNUMBER(B191),B191&gt;0),"자"
)</f>
        <v>0</v>
      </c>
      <c r="AD191" s="26" cm="1">
        <f t="array" ref="AD191">_xlfn.IFS(
   OR(C191="",ISBLANK(C191),C191=0),0,
   ISNUMBER(MATCH(C191,{2,3,5,7,11,13,17,19,23,29,31,37,41,43},0)),"소",
   AND(ISNUMBER(C191),MOD(C191,3)=0),"배",
   AND(ISNUMBER(C191),C191&gt;0),"자"
)</f>
        <v>0</v>
      </c>
      <c r="AE191" s="26" cm="1">
        <f t="array" ref="AE191">_xlfn.IFS(
   OR(D191="",ISBLANK(D191),D191=0),0,
   ISNUMBER(MATCH(D191,{2,3,5,7,11,13,17,19,23,29,31,37,41,43},0)),"소",
   AND(ISNUMBER(D191),MOD(D191,3)=0),"배",
   AND(ISNUMBER(D191),D191&gt;0),"자"
)</f>
        <v>0</v>
      </c>
      <c r="AF191" s="26" cm="1">
        <f t="array" ref="AF191">_xlfn.IFS(
   OR(E191="",ISBLANK(E191),E191=0),0,
   ISNUMBER(MATCH(E191,{2,3,5,7,11,13,17,19,23,29,31,37,41,43},0)),"소",
   AND(ISNUMBER(E191),MOD(E191,3)=0),"배",
   AND(ISNUMBER(E191),E191&gt;0),"자"
)</f>
        <v>0</v>
      </c>
      <c r="AG191" s="26" cm="1">
        <f t="array" ref="AG191">_xlfn.IFS(
   OR(F191="",ISBLANK(F191),F191=0),0,
   ISNUMBER(MATCH(F191,{2,3,5,7,11,13,17,19,23,29,31,37,41,43},0)),"소",
   AND(ISNUMBER(F191),MOD(F191,3)=0),"배",
   AND(ISNUMBER(F191),F191&gt;0),"자"
)</f>
        <v>0</v>
      </c>
      <c r="AH191" s="26" cm="1">
        <f t="array" ref="AH191">_xlfn.IFS(
   OR(G191="",ISBLANK(G191),G191=0),0,
   ISNUMBER(MATCH(G191,{2,3,5,7,11,13,17,19,23,29,31,37,41,43},0)),"소",
   AND(ISNUMBER(G191),MOD(G191,3)=0),"배",
   AND(ISNUMBER(G191),G191&gt;0),"자"
)</f>
        <v>0</v>
      </c>
      <c r="AI191" s="30"/>
      <c r="AJ191" s="3">
        <f>COUNTIFS(B191:G191,"&gt;=1",B191:G191,"&lt;=14")</f>
        <v>0</v>
      </c>
      <c r="AK191" s="3">
        <f>COUNTIFS(B191:G191,"&gt;=15",B191:G191,"&lt;=31")</f>
        <v>0</v>
      </c>
      <c r="AL191" s="3">
        <f>6-AK191-AJ191</f>
        <v>6</v>
      </c>
      <c r="AM191" s="33"/>
      <c r="AN191" s="3">
        <f>COUNTIFS($B191:$G191, "&gt;=1",$B191:$G191, "&lt;=9")</f>
        <v>0</v>
      </c>
      <c r="AO191" s="3">
        <f>COUNTIFS($B191:$G191, "&gt;=10",$B191:$G191, "&lt;=18")</f>
        <v>0</v>
      </c>
      <c r="AP191" s="3">
        <f>COUNTIFS($B191:$G191, "&gt;=19",$B191:$G191, "&lt;=27")</f>
        <v>0</v>
      </c>
      <c r="AQ191" s="3">
        <f>COUNTIFS($B191:$G191, "&gt;=28",$B191:$G191, "&lt;=36")</f>
        <v>0</v>
      </c>
      <c r="AR191" s="3">
        <f>COUNTIFS($B191:$G191, "&gt;=37",$B191:$G191, "&lt;=45")</f>
        <v>0</v>
      </c>
      <c r="AS191" s="28" t="e">
        <f>#REF!</f>
        <v>#REF!</v>
      </c>
      <c r="AT191" s="28" t="e">
        <f>#REF!*2</f>
        <v>#REF!</v>
      </c>
      <c r="AU191" s="28" t="e">
        <f>#REF!</f>
        <v>#REF!</v>
      </c>
      <c r="AV191" s="28" t="e">
        <f>#REF!*2</f>
        <v>#REF!</v>
      </c>
      <c r="AW191" s="28" t="e">
        <f>#REF!</f>
        <v>#REF!</v>
      </c>
      <c r="AX191" s="28" t="e">
        <f>#REF!*2</f>
        <v>#REF!</v>
      </c>
      <c r="AY191" s="28" t="e">
        <f>#REF!</f>
        <v>#REF!</v>
      </c>
      <c r="AZ191" s="28" t="e">
        <f>#REF!*2</f>
        <v>#REF!</v>
      </c>
      <c r="BA191" s="28" t="e">
        <f>#REF!</f>
        <v>#REF!</v>
      </c>
      <c r="BB191" s="28" t="e">
        <f>#REF!*2</f>
        <v>#REF!</v>
      </c>
      <c r="BC191" s="28" t="e">
        <f>#REF!</f>
        <v>#REF!</v>
      </c>
      <c r="BD191" s="28" t="e">
        <f>#REF!*2</f>
        <v>#REF!</v>
      </c>
      <c r="BE191" s="9" t="e">
        <f>#REF!-#REF!</f>
        <v>#REF!</v>
      </c>
      <c r="BF191" s="9" t="e">
        <f>#REF!-#REF!</f>
        <v>#REF!</v>
      </c>
      <c r="BG191" s="9" t="e">
        <f>#REF!-#REF!</f>
        <v>#REF!</v>
      </c>
      <c r="BH191" s="9" t="e">
        <f>#REF!-#REF!</f>
        <v>#REF!</v>
      </c>
      <c r="BI191" s="9" t="e">
        <f>#REF!-#REF!</f>
        <v>#REF!</v>
      </c>
      <c r="BJ191" s="33"/>
      <c r="BK191" s="3">
        <f>COUNTIFS(B191:G191, "&gt;=1", B191:G191, "&lt;=9")</f>
        <v>0</v>
      </c>
      <c r="BL191" s="3">
        <f>COUNTIFS(B191:G191, "&gt;=10", B191:G191, "&lt;=19")</f>
        <v>0</v>
      </c>
      <c r="BM191" s="3">
        <f>COUNTIFS(B191:G191, "&gt;=20", B191:G191, "&lt;=29")</f>
        <v>0</v>
      </c>
      <c r="BN191" s="3">
        <f>COUNTIFS(B191:G191, "&gt;=30", B191:G191, "&lt;=39")</f>
        <v>0</v>
      </c>
      <c r="BO191" s="3">
        <f>COUNTIFS(B191:G191, "&gt;=40", B191:G191, "&lt;=45")</f>
        <v>0</v>
      </c>
      <c r="BP191" s="28" t="e">
        <f>#REF!</f>
        <v>#REF!</v>
      </c>
      <c r="BQ191" s="28" t="e">
        <f>#REF!*2</f>
        <v>#REF!</v>
      </c>
      <c r="BR191" s="28" t="e">
        <f>#REF!</f>
        <v>#REF!</v>
      </c>
      <c r="BS191" s="28" t="e">
        <f>#REF!*2</f>
        <v>#REF!</v>
      </c>
      <c r="BT191" s="28" t="e">
        <f>#REF!</f>
        <v>#REF!</v>
      </c>
      <c r="BU191" s="28" t="e">
        <f>#REF!*2</f>
        <v>#REF!</v>
      </c>
      <c r="BV191" s="28" t="e">
        <f>#REF!</f>
        <v>#REF!</v>
      </c>
      <c r="BW191" s="28" t="e">
        <f>#REF!*2</f>
        <v>#REF!</v>
      </c>
      <c r="BX191" s="28" t="e">
        <f>#REF!</f>
        <v>#REF!</v>
      </c>
      <c r="BY191" s="28" t="e">
        <f>#REF!*2</f>
        <v>#REF!</v>
      </c>
      <c r="BZ191" s="28" t="e">
        <f>#REF!</f>
        <v>#REF!</v>
      </c>
      <c r="CA191" s="28" t="e">
        <f>#REF!*2</f>
        <v>#REF!</v>
      </c>
      <c r="CB191" s="9">
        <f>C191-B191</f>
        <v>0</v>
      </c>
      <c r="CC191" s="9">
        <f>D191-C191</f>
        <v>0</v>
      </c>
      <c r="CD191" s="9">
        <f>E191-D191</f>
        <v>0</v>
      </c>
      <c r="CE191" s="9">
        <f>F191-E191</f>
        <v>0</v>
      </c>
      <c r="CF191" s="9">
        <f>G191-F191</f>
        <v>0</v>
      </c>
      <c r="CG191" s="33"/>
      <c r="CH191" s="9">
        <f>C191-B191</f>
        <v>0</v>
      </c>
      <c r="CI191" s="9">
        <f>D191-C191</f>
        <v>0</v>
      </c>
      <c r="CJ191" s="9">
        <f>E191-D191</f>
        <v>0</v>
      </c>
      <c r="CK191" s="9">
        <f>F191-E191</f>
        <v>0</v>
      </c>
      <c r="CL191" s="9">
        <f>G191-F191</f>
        <v>0</v>
      </c>
      <c r="CM191" s="32"/>
      <c r="CN191" s="3">
        <f>IF(OR(CH191="",ISBLANK(CH191),CH191=0),0,IF(MOD(CH191,2)=1,1,2))</f>
        <v>0</v>
      </c>
      <c r="CO191" s="3">
        <f>IF(OR(CI191="",ISBLANK(CI191),CI191=0),0,IF(MOD(CI191,2)=1,1,2))</f>
        <v>0</v>
      </c>
      <c r="CP191" s="3">
        <f>IF(OR(CJ191="",ISBLANK(CJ191),CJ191=0),0,IF(MOD(CJ191,2)=1,1,2))</f>
        <v>0</v>
      </c>
      <c r="CQ191" s="3">
        <f>IF(OR(CK191="",ISBLANK(CK191),CK191=0),0,IF(MOD(CK191,2)=1,1,2))</f>
        <v>0</v>
      </c>
      <c r="CR191" s="3">
        <f>IF(OR(CL191="",ISBLANK(CL191),CL191=0),0,IF(MOD(CL191,2)=1,1,2))</f>
        <v>0</v>
      </c>
      <c r="CS191" s="31"/>
      <c r="CT191" s="3" cm="1">
        <f t="array" ref="CT191">SUMPRODUCT(--(MOD(CH191:CL191,2)=1))</f>
        <v>0</v>
      </c>
      <c r="CU191" s="3">
        <f>5-CT191</f>
        <v>5</v>
      </c>
      <c r="CV191" s="30"/>
      <c r="CW191" s="3" cm="1">
        <f t="array" ref="CW191">SUMPRODUCT(--(MOD(CH191:CL191,10)&gt;=1), --(MOD(CH191:CL191,10)&lt;=5))</f>
        <v>0</v>
      </c>
      <c r="CX191" s="3">
        <f>5-CW191</f>
        <v>5</v>
      </c>
      <c r="CY191" s="30"/>
      <c r="CZ191" s="3" cm="1">
        <f t="array" ref="CZ191">IFERROR(COUNT(_xlfn._xlws.FILTER(CH191:CL191, ISNUMBER(MATCH(CH191:CL191, {2,3,5,7,11,13,17,19,23,29,31,37,41,43}, 0)))), 0)</f>
        <v>0</v>
      </c>
      <c r="DA191" s="3" cm="1">
        <f t="array" ref="DA191">IFERROR(COUNT(_xlfn._xlws.FILTER(CH191:CL191, ISNUMBER(MATCH(CH191:CL191, {1,4,8,10,14,16,20,22,25,26,28,32,34,35,38,40,44}, 0)))), 0)</f>
        <v>0</v>
      </c>
      <c r="DB191" s="3" cm="1">
        <f t="array" ref="DB191">IFERROR(COUNT(_xlfn._xlws.FILTER(CH191:CL191, ISNUMBER(MATCH(CH191:CL191, {6,9,12,15,18,21,24,27,30,33,36,39,42,45}, 0)))), 0)</f>
        <v>0</v>
      </c>
      <c r="DC191" s="29"/>
      <c r="DD191" s="28" t="e">
        <f>#REF!</f>
        <v>#REF!</v>
      </c>
      <c r="DE191" s="28" t="e">
        <f>#REF!*2</f>
        <v>#REF!</v>
      </c>
      <c r="DF191" s="28" t="e">
        <f>#REF!</f>
        <v>#REF!</v>
      </c>
      <c r="DG191" s="28" t="e">
        <f>#REF!*2</f>
        <v>#REF!</v>
      </c>
      <c r="DH191" s="28" t="e">
        <f>#REF!</f>
        <v>#REF!</v>
      </c>
      <c r="DI191" s="28" t="e">
        <f>#REF!*2</f>
        <v>#REF!</v>
      </c>
      <c r="DJ191" s="28" t="e">
        <f>#REF!</f>
        <v>#REF!</v>
      </c>
      <c r="DK191" s="28" t="e">
        <f>#REF!*2</f>
        <v>#REF!</v>
      </c>
      <c r="DL191" s="28" t="e">
        <f>#REF!</f>
        <v>#REF!</v>
      </c>
      <c r="DM191" s="28" t="e">
        <f>#REF!*2</f>
        <v>#REF!</v>
      </c>
      <c r="DN191" s="27"/>
      <c r="DO191" s="26"/>
      <c r="DP191" s="26"/>
      <c r="DQ191" s="26"/>
      <c r="DR191" s="26"/>
      <c r="DS191" s="26"/>
      <c r="DT191" s="25"/>
    </row>
    <row r="192" spans="2:124" x14ac:dyDescent="0.3"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2"/>
      <c r="I192" s="3">
        <f>IF(OR(B192="",ISBLANK(B192),B192=0),0,IF(MOD(B192,2)=1,1,2))</f>
        <v>0</v>
      </c>
      <c r="J192" s="3">
        <f>IF(OR(C192="",ISBLANK(C192),C192=0),0,IF(MOD(C192,2)=1,1,2))</f>
        <v>0</v>
      </c>
      <c r="K192" s="3">
        <f>IF(OR(D192="",ISBLANK(D192),D192=0),0,IF(MOD(D192,2)=1,1,2))</f>
        <v>0</v>
      </c>
      <c r="L192" s="3">
        <f>IF(OR(E192="",ISBLANK(E192),E192=0),0,IF(MOD(E192,2)=1,1,2))</f>
        <v>0</v>
      </c>
      <c r="M192" s="3">
        <f>IF(OR(F192="",ISBLANK(F192),F192=0),0,IF(MOD(F192,2)=1,1,2))</f>
        <v>0</v>
      </c>
      <c r="N192" s="3">
        <f>IF(OR(G192="",ISBLANK(G192),G192=0),0,IF(MOD(G192,2)=1,1,2))</f>
        <v>0</v>
      </c>
      <c r="O192" s="32"/>
      <c r="P192" s="3" cm="1">
        <f t="array" ref="P192">SUMPRODUCT(--(MOD(B192:G192,2)=1))</f>
        <v>0</v>
      </c>
      <c r="Q192" s="3">
        <f>6-P192</f>
        <v>6</v>
      </c>
      <c r="R192" s="34"/>
      <c r="S192" s="3">
        <f>COUNTIFS(B192:G192,"&gt;=1",B192:G192,"&lt;=23")</f>
        <v>0</v>
      </c>
      <c r="T192" s="3">
        <f>6-S192</f>
        <v>6</v>
      </c>
      <c r="U192" s="34"/>
      <c r="V192" s="3" cm="1">
        <f t="array" ref="V192">SUMPRODUCT(--(MOD(B192:G192,10)&gt;=1), --(MOD(B192:G192,10)&lt;=5))</f>
        <v>0</v>
      </c>
      <c r="W192" s="3">
        <f>6-V192</f>
        <v>6</v>
      </c>
      <c r="X192" s="34"/>
      <c r="Y192" s="3" cm="1">
        <f t="array" ref="Y192">IFERROR(COUNT(_xlfn._xlws.FILTER(B192:G192, ISNUMBER(MATCH(B192:G192, {2,3,5,7,11,13,17,19,23,29,31,37,41,43}, 0)))), 0)</f>
        <v>0</v>
      </c>
      <c r="Z192" s="3" cm="1">
        <f t="array" ref="Z192">IFERROR(COUNT(_xlfn._xlws.FILTER(B192:G192, ISNUMBER(MATCH(B192:G192, {1,4,8,10,14,16,20,22,25,26,28,32,34,35,38,40,44}, 0)))), 0)</f>
        <v>0</v>
      </c>
      <c r="AA192" s="3" cm="1">
        <f t="array" ref="AA192">IFERROR(COUNT(_xlfn._xlws.FILTER(B192:G192, ISNUMBER(MATCH(B192:G192, {6,9,12,15,18,21,24,27,30,33,36,39,42,45}, 0)))), 0)</f>
        <v>0</v>
      </c>
      <c r="AB192" s="30"/>
      <c r="AC192" s="26" cm="1">
        <f t="array" ref="AC192">_xlfn.IFS(
   OR(B192="",ISBLANK(B192),B192=0),0,
   ISNUMBER(MATCH(B192,{2,3,5,7,11,13,17,19,23,29,31,37,41,43},0)),"소",
   AND(ISNUMBER(B192),MOD(B192,3)=0),"배",
   AND(ISNUMBER(B192),B192&gt;0),"자"
)</f>
        <v>0</v>
      </c>
      <c r="AD192" s="26" cm="1">
        <f t="array" ref="AD192">_xlfn.IFS(
   OR(C192="",ISBLANK(C192),C192=0),0,
   ISNUMBER(MATCH(C192,{2,3,5,7,11,13,17,19,23,29,31,37,41,43},0)),"소",
   AND(ISNUMBER(C192),MOD(C192,3)=0),"배",
   AND(ISNUMBER(C192),C192&gt;0),"자"
)</f>
        <v>0</v>
      </c>
      <c r="AE192" s="26" cm="1">
        <f t="array" ref="AE192">_xlfn.IFS(
   OR(D192="",ISBLANK(D192),D192=0),0,
   ISNUMBER(MATCH(D192,{2,3,5,7,11,13,17,19,23,29,31,37,41,43},0)),"소",
   AND(ISNUMBER(D192),MOD(D192,3)=0),"배",
   AND(ISNUMBER(D192),D192&gt;0),"자"
)</f>
        <v>0</v>
      </c>
      <c r="AF192" s="26" cm="1">
        <f t="array" ref="AF192">_xlfn.IFS(
   OR(E192="",ISBLANK(E192),E192=0),0,
   ISNUMBER(MATCH(E192,{2,3,5,7,11,13,17,19,23,29,31,37,41,43},0)),"소",
   AND(ISNUMBER(E192),MOD(E192,3)=0),"배",
   AND(ISNUMBER(E192),E192&gt;0),"자"
)</f>
        <v>0</v>
      </c>
      <c r="AG192" s="26" cm="1">
        <f t="array" ref="AG192">_xlfn.IFS(
   OR(F192="",ISBLANK(F192),F192=0),0,
   ISNUMBER(MATCH(F192,{2,3,5,7,11,13,17,19,23,29,31,37,41,43},0)),"소",
   AND(ISNUMBER(F192),MOD(F192,3)=0),"배",
   AND(ISNUMBER(F192),F192&gt;0),"자"
)</f>
        <v>0</v>
      </c>
      <c r="AH192" s="26" cm="1">
        <f t="array" ref="AH192">_xlfn.IFS(
   OR(G192="",ISBLANK(G192),G192=0),0,
   ISNUMBER(MATCH(G192,{2,3,5,7,11,13,17,19,23,29,31,37,41,43},0)),"소",
   AND(ISNUMBER(G192),MOD(G192,3)=0),"배",
   AND(ISNUMBER(G192),G192&gt;0),"자"
)</f>
        <v>0</v>
      </c>
      <c r="AI192" s="30"/>
      <c r="AJ192" s="3">
        <f>COUNTIFS(B192:G192,"&gt;=1",B192:G192,"&lt;=14")</f>
        <v>0</v>
      </c>
      <c r="AK192" s="3">
        <f>COUNTIFS(B192:G192,"&gt;=15",B192:G192,"&lt;=31")</f>
        <v>0</v>
      </c>
      <c r="AL192" s="3">
        <f>6-AK192-AJ192</f>
        <v>6</v>
      </c>
      <c r="AM192" s="33"/>
      <c r="AN192" s="3">
        <f>COUNTIFS($B192:$G192, "&gt;=1",$B192:$G192, "&lt;=9")</f>
        <v>0</v>
      </c>
      <c r="AO192" s="3">
        <f>COUNTIFS($B192:$G192, "&gt;=10",$B192:$G192, "&lt;=18")</f>
        <v>0</v>
      </c>
      <c r="AP192" s="3">
        <f>COUNTIFS($B192:$G192, "&gt;=19",$B192:$G192, "&lt;=27")</f>
        <v>0</v>
      </c>
      <c r="AQ192" s="3">
        <f>COUNTIFS($B192:$G192, "&gt;=28",$B192:$G192, "&lt;=36")</f>
        <v>0</v>
      </c>
      <c r="AR192" s="3">
        <f>COUNTIFS($B192:$G192, "&gt;=37",$B192:$G192, "&lt;=45")</f>
        <v>0</v>
      </c>
      <c r="AS192" s="28" t="e">
        <f>#REF!</f>
        <v>#REF!</v>
      </c>
      <c r="AT192" s="28" t="e">
        <f>#REF!*2</f>
        <v>#REF!</v>
      </c>
      <c r="AU192" s="28" t="e">
        <f>#REF!</f>
        <v>#REF!</v>
      </c>
      <c r="AV192" s="28" t="e">
        <f>#REF!*2</f>
        <v>#REF!</v>
      </c>
      <c r="AW192" s="28" t="e">
        <f>#REF!</f>
        <v>#REF!</v>
      </c>
      <c r="AX192" s="28" t="e">
        <f>#REF!*2</f>
        <v>#REF!</v>
      </c>
      <c r="AY192" s="28" t="e">
        <f>#REF!</f>
        <v>#REF!</v>
      </c>
      <c r="AZ192" s="28" t="e">
        <f>#REF!*2</f>
        <v>#REF!</v>
      </c>
      <c r="BA192" s="28" t="e">
        <f>#REF!</f>
        <v>#REF!</v>
      </c>
      <c r="BB192" s="28" t="e">
        <f>#REF!*2</f>
        <v>#REF!</v>
      </c>
      <c r="BC192" s="28" t="e">
        <f>#REF!</f>
        <v>#REF!</v>
      </c>
      <c r="BD192" s="28" t="e">
        <f>#REF!*2</f>
        <v>#REF!</v>
      </c>
      <c r="BE192" s="9" t="e">
        <f>#REF!-#REF!</f>
        <v>#REF!</v>
      </c>
      <c r="BF192" s="9" t="e">
        <f>#REF!-#REF!</f>
        <v>#REF!</v>
      </c>
      <c r="BG192" s="9" t="e">
        <f>#REF!-#REF!</f>
        <v>#REF!</v>
      </c>
      <c r="BH192" s="9" t="e">
        <f>#REF!-#REF!</f>
        <v>#REF!</v>
      </c>
      <c r="BI192" s="9" t="e">
        <f>#REF!-#REF!</f>
        <v>#REF!</v>
      </c>
      <c r="BJ192" s="33"/>
      <c r="BK192" s="3">
        <f>COUNTIFS(B192:G192, "&gt;=1", B192:G192, "&lt;=9")</f>
        <v>0</v>
      </c>
      <c r="BL192" s="3">
        <f>COUNTIFS(B192:G192, "&gt;=10", B192:G192, "&lt;=19")</f>
        <v>0</v>
      </c>
      <c r="BM192" s="3">
        <f>COUNTIFS(B192:G192, "&gt;=20", B192:G192, "&lt;=29")</f>
        <v>0</v>
      </c>
      <c r="BN192" s="3">
        <f>COUNTIFS(B192:G192, "&gt;=30", B192:G192, "&lt;=39")</f>
        <v>0</v>
      </c>
      <c r="BO192" s="3">
        <f>COUNTIFS(B192:G192, "&gt;=40", B192:G192, "&lt;=45")</f>
        <v>0</v>
      </c>
      <c r="BP192" s="28" t="e">
        <f>#REF!</f>
        <v>#REF!</v>
      </c>
      <c r="BQ192" s="28" t="e">
        <f>#REF!*2</f>
        <v>#REF!</v>
      </c>
      <c r="BR192" s="28" t="e">
        <f>#REF!</f>
        <v>#REF!</v>
      </c>
      <c r="BS192" s="28" t="e">
        <f>#REF!*2</f>
        <v>#REF!</v>
      </c>
      <c r="BT192" s="28" t="e">
        <f>#REF!</f>
        <v>#REF!</v>
      </c>
      <c r="BU192" s="28" t="e">
        <f>#REF!*2</f>
        <v>#REF!</v>
      </c>
      <c r="BV192" s="28" t="e">
        <f>#REF!</f>
        <v>#REF!</v>
      </c>
      <c r="BW192" s="28" t="e">
        <f>#REF!*2</f>
        <v>#REF!</v>
      </c>
      <c r="BX192" s="28" t="e">
        <f>#REF!</f>
        <v>#REF!</v>
      </c>
      <c r="BY192" s="28" t="e">
        <f>#REF!*2</f>
        <v>#REF!</v>
      </c>
      <c r="BZ192" s="28" t="e">
        <f>#REF!</f>
        <v>#REF!</v>
      </c>
      <c r="CA192" s="28" t="e">
        <f>#REF!*2</f>
        <v>#REF!</v>
      </c>
      <c r="CB192" s="9">
        <f>C192-B192</f>
        <v>0</v>
      </c>
      <c r="CC192" s="9">
        <f>D192-C192</f>
        <v>0</v>
      </c>
      <c r="CD192" s="9">
        <f>E192-D192</f>
        <v>0</v>
      </c>
      <c r="CE192" s="9">
        <f>F192-E192</f>
        <v>0</v>
      </c>
      <c r="CF192" s="9">
        <f>G192-F192</f>
        <v>0</v>
      </c>
      <c r="CG192" s="33"/>
      <c r="CH192" s="9">
        <f>C192-B192</f>
        <v>0</v>
      </c>
      <c r="CI192" s="9">
        <f>D192-C192</f>
        <v>0</v>
      </c>
      <c r="CJ192" s="9">
        <f>E192-D192</f>
        <v>0</v>
      </c>
      <c r="CK192" s="9">
        <f>F192-E192</f>
        <v>0</v>
      </c>
      <c r="CL192" s="9">
        <f>G192-F192</f>
        <v>0</v>
      </c>
      <c r="CM192" s="32"/>
      <c r="CN192" s="3">
        <f>IF(OR(CH192="",ISBLANK(CH192),CH192=0),0,IF(MOD(CH192,2)=1,1,2))</f>
        <v>0</v>
      </c>
      <c r="CO192" s="3">
        <f>IF(OR(CI192="",ISBLANK(CI192),CI192=0),0,IF(MOD(CI192,2)=1,1,2))</f>
        <v>0</v>
      </c>
      <c r="CP192" s="3">
        <f>IF(OR(CJ192="",ISBLANK(CJ192),CJ192=0),0,IF(MOD(CJ192,2)=1,1,2))</f>
        <v>0</v>
      </c>
      <c r="CQ192" s="3">
        <f>IF(OR(CK192="",ISBLANK(CK192),CK192=0),0,IF(MOD(CK192,2)=1,1,2))</f>
        <v>0</v>
      </c>
      <c r="CR192" s="3">
        <f>IF(OR(CL192="",ISBLANK(CL192),CL192=0),0,IF(MOD(CL192,2)=1,1,2))</f>
        <v>0</v>
      </c>
      <c r="CS192" s="31"/>
      <c r="CT192" s="3" cm="1">
        <f t="array" ref="CT192">SUMPRODUCT(--(MOD(CH192:CL192,2)=1))</f>
        <v>0</v>
      </c>
      <c r="CU192" s="3">
        <f>5-CT192</f>
        <v>5</v>
      </c>
      <c r="CV192" s="30"/>
      <c r="CW192" s="3" cm="1">
        <f t="array" ref="CW192">SUMPRODUCT(--(MOD(CH192:CL192,10)&gt;=1), --(MOD(CH192:CL192,10)&lt;=5))</f>
        <v>0</v>
      </c>
      <c r="CX192" s="3">
        <f>5-CW192</f>
        <v>5</v>
      </c>
      <c r="CY192" s="30"/>
      <c r="CZ192" s="3" cm="1">
        <f t="array" ref="CZ192">IFERROR(COUNT(_xlfn._xlws.FILTER(CH192:CL192, ISNUMBER(MATCH(CH192:CL192, {2,3,5,7,11,13,17,19,23,29,31,37,41,43}, 0)))), 0)</f>
        <v>0</v>
      </c>
      <c r="DA192" s="3" cm="1">
        <f t="array" ref="DA192">IFERROR(COUNT(_xlfn._xlws.FILTER(CH192:CL192, ISNUMBER(MATCH(CH192:CL192, {1,4,8,10,14,16,20,22,25,26,28,32,34,35,38,40,44}, 0)))), 0)</f>
        <v>0</v>
      </c>
      <c r="DB192" s="3" cm="1">
        <f t="array" ref="DB192">IFERROR(COUNT(_xlfn._xlws.FILTER(CH192:CL192, ISNUMBER(MATCH(CH192:CL192, {6,9,12,15,18,21,24,27,30,33,36,39,42,45}, 0)))), 0)</f>
        <v>0</v>
      </c>
      <c r="DC192" s="29"/>
      <c r="DD192" s="28" t="e">
        <f>#REF!</f>
        <v>#REF!</v>
      </c>
      <c r="DE192" s="28" t="e">
        <f>#REF!*2</f>
        <v>#REF!</v>
      </c>
      <c r="DF192" s="28" t="e">
        <f>#REF!</f>
        <v>#REF!</v>
      </c>
      <c r="DG192" s="28" t="e">
        <f>#REF!*2</f>
        <v>#REF!</v>
      </c>
      <c r="DH192" s="28" t="e">
        <f>#REF!</f>
        <v>#REF!</v>
      </c>
      <c r="DI192" s="28" t="e">
        <f>#REF!*2</f>
        <v>#REF!</v>
      </c>
      <c r="DJ192" s="28" t="e">
        <f>#REF!</f>
        <v>#REF!</v>
      </c>
      <c r="DK192" s="28" t="e">
        <f>#REF!*2</f>
        <v>#REF!</v>
      </c>
      <c r="DL192" s="28" t="e">
        <f>#REF!</f>
        <v>#REF!</v>
      </c>
      <c r="DM192" s="28" t="e">
        <f>#REF!*2</f>
        <v>#REF!</v>
      </c>
      <c r="DN192" s="27"/>
      <c r="DO192" s="26"/>
      <c r="DP192" s="26"/>
      <c r="DQ192" s="26"/>
      <c r="DR192" s="26"/>
      <c r="DS192" s="26"/>
      <c r="DT192" s="25"/>
    </row>
    <row r="193" spans="2:124" x14ac:dyDescent="0.3"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2"/>
      <c r="I193" s="3">
        <f>IF(OR(B193="",ISBLANK(B193),B193=0),0,IF(MOD(B193,2)=1,1,2))</f>
        <v>0</v>
      </c>
      <c r="J193" s="3">
        <f>IF(OR(C193="",ISBLANK(C193),C193=0),0,IF(MOD(C193,2)=1,1,2))</f>
        <v>0</v>
      </c>
      <c r="K193" s="3">
        <f>IF(OR(D193="",ISBLANK(D193),D193=0),0,IF(MOD(D193,2)=1,1,2))</f>
        <v>0</v>
      </c>
      <c r="L193" s="3">
        <f>IF(OR(E193="",ISBLANK(E193),E193=0),0,IF(MOD(E193,2)=1,1,2))</f>
        <v>0</v>
      </c>
      <c r="M193" s="3">
        <f>IF(OR(F193="",ISBLANK(F193),F193=0),0,IF(MOD(F193,2)=1,1,2))</f>
        <v>0</v>
      </c>
      <c r="N193" s="3">
        <f>IF(OR(G193="",ISBLANK(G193),G193=0),0,IF(MOD(G193,2)=1,1,2))</f>
        <v>0</v>
      </c>
      <c r="O193" s="32"/>
      <c r="P193" s="3" cm="1">
        <f t="array" ref="P193">SUMPRODUCT(--(MOD(B193:G193,2)=1))</f>
        <v>0</v>
      </c>
      <c r="Q193" s="3">
        <f>6-P193</f>
        <v>6</v>
      </c>
      <c r="R193" s="34"/>
      <c r="S193" s="3">
        <f>COUNTIFS(B193:G193,"&gt;=1",B193:G193,"&lt;=23")</f>
        <v>0</v>
      </c>
      <c r="T193" s="3">
        <f>6-S193</f>
        <v>6</v>
      </c>
      <c r="U193" s="34"/>
      <c r="V193" s="3" cm="1">
        <f t="array" ref="V193">SUMPRODUCT(--(MOD(B193:G193,10)&gt;=1), --(MOD(B193:G193,10)&lt;=5))</f>
        <v>0</v>
      </c>
      <c r="W193" s="3">
        <f>6-V193</f>
        <v>6</v>
      </c>
      <c r="X193" s="34"/>
      <c r="Y193" s="3" cm="1">
        <f t="array" ref="Y193">IFERROR(COUNT(_xlfn._xlws.FILTER(B193:G193, ISNUMBER(MATCH(B193:G193, {2,3,5,7,11,13,17,19,23,29,31,37,41,43}, 0)))), 0)</f>
        <v>0</v>
      </c>
      <c r="Z193" s="3" cm="1">
        <f t="array" ref="Z193">IFERROR(COUNT(_xlfn._xlws.FILTER(B193:G193, ISNUMBER(MATCH(B193:G193, {1,4,8,10,14,16,20,22,25,26,28,32,34,35,38,40,44}, 0)))), 0)</f>
        <v>0</v>
      </c>
      <c r="AA193" s="3" cm="1">
        <f t="array" ref="AA193">IFERROR(COUNT(_xlfn._xlws.FILTER(B193:G193, ISNUMBER(MATCH(B193:G193, {6,9,12,15,18,21,24,27,30,33,36,39,42,45}, 0)))), 0)</f>
        <v>0</v>
      </c>
      <c r="AB193" s="30"/>
      <c r="AC193" s="26" cm="1">
        <f t="array" ref="AC193">_xlfn.IFS(
   OR(B193="",ISBLANK(B193),B193=0),0,
   ISNUMBER(MATCH(B193,{2,3,5,7,11,13,17,19,23,29,31,37,41,43},0)),"소",
   AND(ISNUMBER(B193),MOD(B193,3)=0),"배",
   AND(ISNUMBER(B193),B193&gt;0),"자"
)</f>
        <v>0</v>
      </c>
      <c r="AD193" s="26" cm="1">
        <f t="array" ref="AD193">_xlfn.IFS(
   OR(C193="",ISBLANK(C193),C193=0),0,
   ISNUMBER(MATCH(C193,{2,3,5,7,11,13,17,19,23,29,31,37,41,43},0)),"소",
   AND(ISNUMBER(C193),MOD(C193,3)=0),"배",
   AND(ISNUMBER(C193),C193&gt;0),"자"
)</f>
        <v>0</v>
      </c>
      <c r="AE193" s="26" cm="1">
        <f t="array" ref="AE193">_xlfn.IFS(
   OR(D193="",ISBLANK(D193),D193=0),0,
   ISNUMBER(MATCH(D193,{2,3,5,7,11,13,17,19,23,29,31,37,41,43},0)),"소",
   AND(ISNUMBER(D193),MOD(D193,3)=0),"배",
   AND(ISNUMBER(D193),D193&gt;0),"자"
)</f>
        <v>0</v>
      </c>
      <c r="AF193" s="26" cm="1">
        <f t="array" ref="AF193">_xlfn.IFS(
   OR(E193="",ISBLANK(E193),E193=0),0,
   ISNUMBER(MATCH(E193,{2,3,5,7,11,13,17,19,23,29,31,37,41,43},0)),"소",
   AND(ISNUMBER(E193),MOD(E193,3)=0),"배",
   AND(ISNUMBER(E193),E193&gt;0),"자"
)</f>
        <v>0</v>
      </c>
      <c r="AG193" s="26" cm="1">
        <f t="array" ref="AG193">_xlfn.IFS(
   OR(F193="",ISBLANK(F193),F193=0),0,
   ISNUMBER(MATCH(F193,{2,3,5,7,11,13,17,19,23,29,31,37,41,43},0)),"소",
   AND(ISNUMBER(F193),MOD(F193,3)=0),"배",
   AND(ISNUMBER(F193),F193&gt;0),"자"
)</f>
        <v>0</v>
      </c>
      <c r="AH193" s="26" cm="1">
        <f t="array" ref="AH193">_xlfn.IFS(
   OR(G193="",ISBLANK(G193),G193=0),0,
   ISNUMBER(MATCH(G193,{2,3,5,7,11,13,17,19,23,29,31,37,41,43},0)),"소",
   AND(ISNUMBER(G193),MOD(G193,3)=0),"배",
   AND(ISNUMBER(G193),G193&gt;0),"자"
)</f>
        <v>0</v>
      </c>
      <c r="AI193" s="30"/>
      <c r="AJ193" s="3">
        <f>COUNTIFS(B193:G193,"&gt;=1",B193:G193,"&lt;=14")</f>
        <v>0</v>
      </c>
      <c r="AK193" s="3">
        <f>COUNTIFS(B193:G193,"&gt;=15",B193:G193,"&lt;=31")</f>
        <v>0</v>
      </c>
      <c r="AL193" s="3">
        <f>6-AK193-AJ193</f>
        <v>6</v>
      </c>
      <c r="AM193" s="33"/>
      <c r="AN193" s="3">
        <f>COUNTIFS($B193:$G193, "&gt;=1",$B193:$G193, "&lt;=9")</f>
        <v>0</v>
      </c>
      <c r="AO193" s="3">
        <f>COUNTIFS($B193:$G193, "&gt;=10",$B193:$G193, "&lt;=18")</f>
        <v>0</v>
      </c>
      <c r="AP193" s="3">
        <f>COUNTIFS($B193:$G193, "&gt;=19",$B193:$G193, "&lt;=27")</f>
        <v>0</v>
      </c>
      <c r="AQ193" s="3">
        <f>COUNTIFS($B193:$G193, "&gt;=28",$B193:$G193, "&lt;=36")</f>
        <v>0</v>
      </c>
      <c r="AR193" s="3">
        <f>COUNTIFS($B193:$G193, "&gt;=37",$B193:$G193, "&lt;=45")</f>
        <v>0</v>
      </c>
      <c r="AS193" s="28" t="e">
        <f>#REF!</f>
        <v>#REF!</v>
      </c>
      <c r="AT193" s="28" t="e">
        <f>#REF!*2</f>
        <v>#REF!</v>
      </c>
      <c r="AU193" s="28" t="e">
        <f>#REF!</f>
        <v>#REF!</v>
      </c>
      <c r="AV193" s="28" t="e">
        <f>#REF!*2</f>
        <v>#REF!</v>
      </c>
      <c r="AW193" s="28" t="e">
        <f>#REF!</f>
        <v>#REF!</v>
      </c>
      <c r="AX193" s="28" t="e">
        <f>#REF!*2</f>
        <v>#REF!</v>
      </c>
      <c r="AY193" s="28" t="e">
        <f>#REF!</f>
        <v>#REF!</v>
      </c>
      <c r="AZ193" s="28" t="e">
        <f>#REF!*2</f>
        <v>#REF!</v>
      </c>
      <c r="BA193" s="28" t="e">
        <f>#REF!</f>
        <v>#REF!</v>
      </c>
      <c r="BB193" s="28" t="e">
        <f>#REF!*2</f>
        <v>#REF!</v>
      </c>
      <c r="BC193" s="28" t="e">
        <f>#REF!</f>
        <v>#REF!</v>
      </c>
      <c r="BD193" s="28" t="e">
        <f>#REF!*2</f>
        <v>#REF!</v>
      </c>
      <c r="BE193" s="9" t="e">
        <f>#REF!-#REF!</f>
        <v>#REF!</v>
      </c>
      <c r="BF193" s="9" t="e">
        <f>#REF!-#REF!</f>
        <v>#REF!</v>
      </c>
      <c r="BG193" s="9" t="e">
        <f>#REF!-#REF!</f>
        <v>#REF!</v>
      </c>
      <c r="BH193" s="9" t="e">
        <f>#REF!-#REF!</f>
        <v>#REF!</v>
      </c>
      <c r="BI193" s="9" t="e">
        <f>#REF!-#REF!</f>
        <v>#REF!</v>
      </c>
      <c r="BJ193" s="33"/>
      <c r="BK193" s="3">
        <f>COUNTIFS(B193:G193, "&gt;=1", B193:G193, "&lt;=9")</f>
        <v>0</v>
      </c>
      <c r="BL193" s="3">
        <f>COUNTIFS(B193:G193, "&gt;=10", B193:G193, "&lt;=19")</f>
        <v>0</v>
      </c>
      <c r="BM193" s="3">
        <f>COUNTIFS(B193:G193, "&gt;=20", B193:G193, "&lt;=29")</f>
        <v>0</v>
      </c>
      <c r="BN193" s="3">
        <f>COUNTIFS(B193:G193, "&gt;=30", B193:G193, "&lt;=39")</f>
        <v>0</v>
      </c>
      <c r="BO193" s="3">
        <f>COUNTIFS(B193:G193, "&gt;=40", B193:G193, "&lt;=45")</f>
        <v>0</v>
      </c>
      <c r="BP193" s="28" t="e">
        <f>#REF!</f>
        <v>#REF!</v>
      </c>
      <c r="BQ193" s="28" t="e">
        <f>#REF!*2</f>
        <v>#REF!</v>
      </c>
      <c r="BR193" s="28" t="e">
        <f>#REF!</f>
        <v>#REF!</v>
      </c>
      <c r="BS193" s="28" t="e">
        <f>#REF!*2</f>
        <v>#REF!</v>
      </c>
      <c r="BT193" s="28" t="e">
        <f>#REF!</f>
        <v>#REF!</v>
      </c>
      <c r="BU193" s="28" t="e">
        <f>#REF!*2</f>
        <v>#REF!</v>
      </c>
      <c r="BV193" s="28" t="e">
        <f>#REF!</f>
        <v>#REF!</v>
      </c>
      <c r="BW193" s="28" t="e">
        <f>#REF!*2</f>
        <v>#REF!</v>
      </c>
      <c r="BX193" s="28" t="e">
        <f>#REF!</f>
        <v>#REF!</v>
      </c>
      <c r="BY193" s="28" t="e">
        <f>#REF!*2</f>
        <v>#REF!</v>
      </c>
      <c r="BZ193" s="28" t="e">
        <f>#REF!</f>
        <v>#REF!</v>
      </c>
      <c r="CA193" s="28" t="e">
        <f>#REF!*2</f>
        <v>#REF!</v>
      </c>
      <c r="CB193" s="9">
        <f>C193-B193</f>
        <v>0</v>
      </c>
      <c r="CC193" s="9">
        <f>D193-C193</f>
        <v>0</v>
      </c>
      <c r="CD193" s="9">
        <f>E193-D193</f>
        <v>0</v>
      </c>
      <c r="CE193" s="9">
        <f>F193-E193</f>
        <v>0</v>
      </c>
      <c r="CF193" s="9">
        <f>G193-F193</f>
        <v>0</v>
      </c>
      <c r="CG193" s="33"/>
      <c r="CH193" s="9">
        <f>C193-B193</f>
        <v>0</v>
      </c>
      <c r="CI193" s="9">
        <f>D193-C193</f>
        <v>0</v>
      </c>
      <c r="CJ193" s="9">
        <f>E193-D193</f>
        <v>0</v>
      </c>
      <c r="CK193" s="9">
        <f>F193-E193</f>
        <v>0</v>
      </c>
      <c r="CL193" s="9">
        <f>G193-F193</f>
        <v>0</v>
      </c>
      <c r="CM193" s="32"/>
      <c r="CN193" s="3">
        <f>IF(OR(CH193="",ISBLANK(CH193),CH193=0),0,IF(MOD(CH193,2)=1,1,2))</f>
        <v>0</v>
      </c>
      <c r="CO193" s="3">
        <f>IF(OR(CI193="",ISBLANK(CI193),CI193=0),0,IF(MOD(CI193,2)=1,1,2))</f>
        <v>0</v>
      </c>
      <c r="CP193" s="3">
        <f>IF(OR(CJ193="",ISBLANK(CJ193),CJ193=0),0,IF(MOD(CJ193,2)=1,1,2))</f>
        <v>0</v>
      </c>
      <c r="CQ193" s="3">
        <f>IF(OR(CK193="",ISBLANK(CK193),CK193=0),0,IF(MOD(CK193,2)=1,1,2))</f>
        <v>0</v>
      </c>
      <c r="CR193" s="3">
        <f>IF(OR(CL193="",ISBLANK(CL193),CL193=0),0,IF(MOD(CL193,2)=1,1,2))</f>
        <v>0</v>
      </c>
      <c r="CS193" s="31"/>
      <c r="CT193" s="3" cm="1">
        <f t="array" ref="CT193">SUMPRODUCT(--(MOD(CH193:CL193,2)=1))</f>
        <v>0</v>
      </c>
      <c r="CU193" s="3">
        <f>5-CT193</f>
        <v>5</v>
      </c>
      <c r="CV193" s="30"/>
      <c r="CW193" s="3" cm="1">
        <f t="array" ref="CW193">SUMPRODUCT(--(MOD(CH193:CL193,10)&gt;=1), --(MOD(CH193:CL193,10)&lt;=5))</f>
        <v>0</v>
      </c>
      <c r="CX193" s="3">
        <f>5-CW193</f>
        <v>5</v>
      </c>
      <c r="CY193" s="30"/>
      <c r="CZ193" s="3" cm="1">
        <f t="array" ref="CZ193">IFERROR(COUNT(_xlfn._xlws.FILTER(CH193:CL193, ISNUMBER(MATCH(CH193:CL193, {2,3,5,7,11,13,17,19,23,29,31,37,41,43}, 0)))), 0)</f>
        <v>0</v>
      </c>
      <c r="DA193" s="3" cm="1">
        <f t="array" ref="DA193">IFERROR(COUNT(_xlfn._xlws.FILTER(CH193:CL193, ISNUMBER(MATCH(CH193:CL193, {1,4,8,10,14,16,20,22,25,26,28,32,34,35,38,40,44}, 0)))), 0)</f>
        <v>0</v>
      </c>
      <c r="DB193" s="3" cm="1">
        <f t="array" ref="DB193">IFERROR(COUNT(_xlfn._xlws.FILTER(CH193:CL193, ISNUMBER(MATCH(CH193:CL193, {6,9,12,15,18,21,24,27,30,33,36,39,42,45}, 0)))), 0)</f>
        <v>0</v>
      </c>
      <c r="DC193" s="29"/>
      <c r="DD193" s="28" t="e">
        <f>#REF!</f>
        <v>#REF!</v>
      </c>
      <c r="DE193" s="28" t="e">
        <f>#REF!*2</f>
        <v>#REF!</v>
      </c>
      <c r="DF193" s="28" t="e">
        <f>#REF!</f>
        <v>#REF!</v>
      </c>
      <c r="DG193" s="28" t="e">
        <f>#REF!*2</f>
        <v>#REF!</v>
      </c>
      <c r="DH193" s="28" t="e">
        <f>#REF!</f>
        <v>#REF!</v>
      </c>
      <c r="DI193" s="28" t="e">
        <f>#REF!*2</f>
        <v>#REF!</v>
      </c>
      <c r="DJ193" s="28" t="e">
        <f>#REF!</f>
        <v>#REF!</v>
      </c>
      <c r="DK193" s="28" t="e">
        <f>#REF!*2</f>
        <v>#REF!</v>
      </c>
      <c r="DL193" s="28" t="e">
        <f>#REF!</f>
        <v>#REF!</v>
      </c>
      <c r="DM193" s="28" t="e">
        <f>#REF!*2</f>
        <v>#REF!</v>
      </c>
      <c r="DN193" s="27"/>
      <c r="DO193" s="26"/>
      <c r="DP193" s="26"/>
      <c r="DQ193" s="26"/>
      <c r="DR193" s="26"/>
      <c r="DS193" s="26"/>
      <c r="DT193" s="25"/>
    </row>
    <row r="194" spans="2:124" x14ac:dyDescent="0.3"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2"/>
      <c r="I194" s="3">
        <f>IF(OR(B194="",ISBLANK(B194),B194=0),0,IF(MOD(B194,2)=1,1,2))</f>
        <v>0</v>
      </c>
      <c r="J194" s="3">
        <f>IF(OR(C194="",ISBLANK(C194),C194=0),0,IF(MOD(C194,2)=1,1,2))</f>
        <v>0</v>
      </c>
      <c r="K194" s="3">
        <f>IF(OR(D194="",ISBLANK(D194),D194=0),0,IF(MOD(D194,2)=1,1,2))</f>
        <v>0</v>
      </c>
      <c r="L194" s="3">
        <f>IF(OR(E194="",ISBLANK(E194),E194=0),0,IF(MOD(E194,2)=1,1,2))</f>
        <v>0</v>
      </c>
      <c r="M194" s="3">
        <f>IF(OR(F194="",ISBLANK(F194),F194=0),0,IF(MOD(F194,2)=1,1,2))</f>
        <v>0</v>
      </c>
      <c r="N194" s="3">
        <f>IF(OR(G194="",ISBLANK(G194),G194=0),0,IF(MOD(G194,2)=1,1,2))</f>
        <v>0</v>
      </c>
      <c r="O194" s="32"/>
      <c r="P194" s="3" cm="1">
        <f t="array" ref="P194">SUMPRODUCT(--(MOD(B194:G194,2)=1))</f>
        <v>0</v>
      </c>
      <c r="Q194" s="3">
        <f>6-P194</f>
        <v>6</v>
      </c>
      <c r="R194" s="34"/>
      <c r="S194" s="3">
        <f>COUNTIFS(B194:G194,"&gt;=1",B194:G194,"&lt;=23")</f>
        <v>0</v>
      </c>
      <c r="T194" s="3">
        <f>6-S194</f>
        <v>6</v>
      </c>
      <c r="U194" s="34"/>
      <c r="V194" s="3" cm="1">
        <f t="array" ref="V194">SUMPRODUCT(--(MOD(B194:G194,10)&gt;=1), --(MOD(B194:G194,10)&lt;=5))</f>
        <v>0</v>
      </c>
      <c r="W194" s="3">
        <f>6-V194</f>
        <v>6</v>
      </c>
      <c r="X194" s="34"/>
      <c r="Y194" s="3" cm="1">
        <f t="array" ref="Y194">IFERROR(COUNT(_xlfn._xlws.FILTER(B194:G194, ISNUMBER(MATCH(B194:G194, {2,3,5,7,11,13,17,19,23,29,31,37,41,43}, 0)))), 0)</f>
        <v>0</v>
      </c>
      <c r="Z194" s="3" cm="1">
        <f t="array" ref="Z194">IFERROR(COUNT(_xlfn._xlws.FILTER(B194:G194, ISNUMBER(MATCH(B194:G194, {1,4,8,10,14,16,20,22,25,26,28,32,34,35,38,40,44}, 0)))), 0)</f>
        <v>0</v>
      </c>
      <c r="AA194" s="3" cm="1">
        <f t="array" ref="AA194">IFERROR(COUNT(_xlfn._xlws.FILTER(B194:G194, ISNUMBER(MATCH(B194:G194, {6,9,12,15,18,21,24,27,30,33,36,39,42,45}, 0)))), 0)</f>
        <v>0</v>
      </c>
      <c r="AB194" s="30"/>
      <c r="AC194" s="26" cm="1">
        <f t="array" ref="AC194">_xlfn.IFS(
   OR(B194="",ISBLANK(B194),B194=0),0,
   ISNUMBER(MATCH(B194,{2,3,5,7,11,13,17,19,23,29,31,37,41,43},0)),"소",
   AND(ISNUMBER(B194),MOD(B194,3)=0),"배",
   AND(ISNUMBER(B194),B194&gt;0),"자"
)</f>
        <v>0</v>
      </c>
      <c r="AD194" s="26" cm="1">
        <f t="array" ref="AD194">_xlfn.IFS(
   OR(C194="",ISBLANK(C194),C194=0),0,
   ISNUMBER(MATCH(C194,{2,3,5,7,11,13,17,19,23,29,31,37,41,43},0)),"소",
   AND(ISNUMBER(C194),MOD(C194,3)=0),"배",
   AND(ISNUMBER(C194),C194&gt;0),"자"
)</f>
        <v>0</v>
      </c>
      <c r="AE194" s="26" cm="1">
        <f t="array" ref="AE194">_xlfn.IFS(
   OR(D194="",ISBLANK(D194),D194=0),0,
   ISNUMBER(MATCH(D194,{2,3,5,7,11,13,17,19,23,29,31,37,41,43},0)),"소",
   AND(ISNUMBER(D194),MOD(D194,3)=0),"배",
   AND(ISNUMBER(D194),D194&gt;0),"자"
)</f>
        <v>0</v>
      </c>
      <c r="AF194" s="26" cm="1">
        <f t="array" ref="AF194">_xlfn.IFS(
   OR(E194="",ISBLANK(E194),E194=0),0,
   ISNUMBER(MATCH(E194,{2,3,5,7,11,13,17,19,23,29,31,37,41,43},0)),"소",
   AND(ISNUMBER(E194),MOD(E194,3)=0),"배",
   AND(ISNUMBER(E194),E194&gt;0),"자"
)</f>
        <v>0</v>
      </c>
      <c r="AG194" s="26" cm="1">
        <f t="array" ref="AG194">_xlfn.IFS(
   OR(F194="",ISBLANK(F194),F194=0),0,
   ISNUMBER(MATCH(F194,{2,3,5,7,11,13,17,19,23,29,31,37,41,43},0)),"소",
   AND(ISNUMBER(F194),MOD(F194,3)=0),"배",
   AND(ISNUMBER(F194),F194&gt;0),"자"
)</f>
        <v>0</v>
      </c>
      <c r="AH194" s="26" cm="1">
        <f t="array" ref="AH194">_xlfn.IFS(
   OR(G194="",ISBLANK(G194),G194=0),0,
   ISNUMBER(MATCH(G194,{2,3,5,7,11,13,17,19,23,29,31,37,41,43},0)),"소",
   AND(ISNUMBER(G194),MOD(G194,3)=0),"배",
   AND(ISNUMBER(G194),G194&gt;0),"자"
)</f>
        <v>0</v>
      </c>
      <c r="AI194" s="30"/>
      <c r="AJ194" s="3">
        <f>COUNTIFS(B194:G194,"&gt;=1",B194:G194,"&lt;=14")</f>
        <v>0</v>
      </c>
      <c r="AK194" s="3">
        <f>COUNTIFS(B194:G194,"&gt;=15",B194:G194,"&lt;=31")</f>
        <v>0</v>
      </c>
      <c r="AL194" s="3">
        <f>6-AK194-AJ194</f>
        <v>6</v>
      </c>
      <c r="AM194" s="33"/>
      <c r="AN194" s="3">
        <f>COUNTIFS($B194:$G194, "&gt;=1",$B194:$G194, "&lt;=9")</f>
        <v>0</v>
      </c>
      <c r="AO194" s="3">
        <f>COUNTIFS($B194:$G194, "&gt;=10",$B194:$G194, "&lt;=18")</f>
        <v>0</v>
      </c>
      <c r="AP194" s="3">
        <f>COUNTIFS($B194:$G194, "&gt;=19",$B194:$G194, "&lt;=27")</f>
        <v>0</v>
      </c>
      <c r="AQ194" s="3">
        <f>COUNTIFS($B194:$G194, "&gt;=28",$B194:$G194, "&lt;=36")</f>
        <v>0</v>
      </c>
      <c r="AR194" s="3">
        <f>COUNTIFS($B194:$G194, "&gt;=37",$B194:$G194, "&lt;=45")</f>
        <v>0</v>
      </c>
      <c r="AS194" s="28" t="e">
        <f>#REF!</f>
        <v>#REF!</v>
      </c>
      <c r="AT194" s="28" t="e">
        <f>#REF!*2</f>
        <v>#REF!</v>
      </c>
      <c r="AU194" s="28" t="e">
        <f>#REF!</f>
        <v>#REF!</v>
      </c>
      <c r="AV194" s="28" t="e">
        <f>#REF!*2</f>
        <v>#REF!</v>
      </c>
      <c r="AW194" s="28" t="e">
        <f>#REF!</f>
        <v>#REF!</v>
      </c>
      <c r="AX194" s="28" t="e">
        <f>#REF!*2</f>
        <v>#REF!</v>
      </c>
      <c r="AY194" s="28" t="e">
        <f>#REF!</f>
        <v>#REF!</v>
      </c>
      <c r="AZ194" s="28" t="e">
        <f>#REF!*2</f>
        <v>#REF!</v>
      </c>
      <c r="BA194" s="28" t="e">
        <f>#REF!</f>
        <v>#REF!</v>
      </c>
      <c r="BB194" s="28" t="e">
        <f>#REF!*2</f>
        <v>#REF!</v>
      </c>
      <c r="BC194" s="28" t="e">
        <f>#REF!</f>
        <v>#REF!</v>
      </c>
      <c r="BD194" s="28" t="e">
        <f>#REF!*2</f>
        <v>#REF!</v>
      </c>
      <c r="BE194" s="9" t="e">
        <f>#REF!-#REF!</f>
        <v>#REF!</v>
      </c>
      <c r="BF194" s="9" t="e">
        <f>#REF!-#REF!</f>
        <v>#REF!</v>
      </c>
      <c r="BG194" s="9" t="e">
        <f>#REF!-#REF!</f>
        <v>#REF!</v>
      </c>
      <c r="BH194" s="9" t="e">
        <f>#REF!-#REF!</f>
        <v>#REF!</v>
      </c>
      <c r="BI194" s="9" t="e">
        <f>#REF!-#REF!</f>
        <v>#REF!</v>
      </c>
      <c r="BJ194" s="33"/>
      <c r="BK194" s="3">
        <f>COUNTIFS(B194:G194, "&gt;=1", B194:G194, "&lt;=9")</f>
        <v>0</v>
      </c>
      <c r="BL194" s="3">
        <f>COUNTIFS(B194:G194, "&gt;=10", B194:G194, "&lt;=19")</f>
        <v>0</v>
      </c>
      <c r="BM194" s="3">
        <f>COUNTIFS(B194:G194, "&gt;=20", B194:G194, "&lt;=29")</f>
        <v>0</v>
      </c>
      <c r="BN194" s="3">
        <f>COUNTIFS(B194:G194, "&gt;=30", B194:G194, "&lt;=39")</f>
        <v>0</v>
      </c>
      <c r="BO194" s="3">
        <f>COUNTIFS(B194:G194, "&gt;=40", B194:G194, "&lt;=45")</f>
        <v>0</v>
      </c>
      <c r="BP194" s="28" t="e">
        <f>#REF!</f>
        <v>#REF!</v>
      </c>
      <c r="BQ194" s="28" t="e">
        <f>#REF!*2</f>
        <v>#REF!</v>
      </c>
      <c r="BR194" s="28" t="e">
        <f>#REF!</f>
        <v>#REF!</v>
      </c>
      <c r="BS194" s="28" t="e">
        <f>#REF!*2</f>
        <v>#REF!</v>
      </c>
      <c r="BT194" s="28" t="e">
        <f>#REF!</f>
        <v>#REF!</v>
      </c>
      <c r="BU194" s="28" t="e">
        <f>#REF!*2</f>
        <v>#REF!</v>
      </c>
      <c r="BV194" s="28" t="e">
        <f>#REF!</f>
        <v>#REF!</v>
      </c>
      <c r="BW194" s="28" t="e">
        <f>#REF!*2</f>
        <v>#REF!</v>
      </c>
      <c r="BX194" s="28" t="e">
        <f>#REF!</f>
        <v>#REF!</v>
      </c>
      <c r="BY194" s="28" t="e">
        <f>#REF!*2</f>
        <v>#REF!</v>
      </c>
      <c r="BZ194" s="28" t="e">
        <f>#REF!</f>
        <v>#REF!</v>
      </c>
      <c r="CA194" s="28" t="e">
        <f>#REF!*2</f>
        <v>#REF!</v>
      </c>
      <c r="CB194" s="9">
        <f>C194-B194</f>
        <v>0</v>
      </c>
      <c r="CC194" s="9">
        <f>D194-C194</f>
        <v>0</v>
      </c>
      <c r="CD194" s="9">
        <f>E194-D194</f>
        <v>0</v>
      </c>
      <c r="CE194" s="9">
        <f>F194-E194</f>
        <v>0</v>
      </c>
      <c r="CF194" s="9">
        <f>G194-F194</f>
        <v>0</v>
      </c>
      <c r="CG194" s="33"/>
      <c r="CH194" s="9">
        <f>C194-B194</f>
        <v>0</v>
      </c>
      <c r="CI194" s="9">
        <f>D194-C194</f>
        <v>0</v>
      </c>
      <c r="CJ194" s="9">
        <f>E194-D194</f>
        <v>0</v>
      </c>
      <c r="CK194" s="9">
        <f>F194-E194</f>
        <v>0</v>
      </c>
      <c r="CL194" s="9">
        <f>G194-F194</f>
        <v>0</v>
      </c>
      <c r="CM194" s="32"/>
      <c r="CN194" s="3">
        <f>IF(OR(CH194="",ISBLANK(CH194),CH194=0),0,IF(MOD(CH194,2)=1,1,2))</f>
        <v>0</v>
      </c>
      <c r="CO194" s="3">
        <f>IF(OR(CI194="",ISBLANK(CI194),CI194=0),0,IF(MOD(CI194,2)=1,1,2))</f>
        <v>0</v>
      </c>
      <c r="CP194" s="3">
        <f>IF(OR(CJ194="",ISBLANK(CJ194),CJ194=0),0,IF(MOD(CJ194,2)=1,1,2))</f>
        <v>0</v>
      </c>
      <c r="CQ194" s="3">
        <f>IF(OR(CK194="",ISBLANK(CK194),CK194=0),0,IF(MOD(CK194,2)=1,1,2))</f>
        <v>0</v>
      </c>
      <c r="CR194" s="3">
        <f>IF(OR(CL194="",ISBLANK(CL194),CL194=0),0,IF(MOD(CL194,2)=1,1,2))</f>
        <v>0</v>
      </c>
      <c r="CS194" s="31"/>
      <c r="CT194" s="3" cm="1">
        <f t="array" ref="CT194">SUMPRODUCT(--(MOD(CH194:CL194,2)=1))</f>
        <v>0</v>
      </c>
      <c r="CU194" s="3">
        <f>5-CT194</f>
        <v>5</v>
      </c>
      <c r="CV194" s="30"/>
      <c r="CW194" s="3" cm="1">
        <f t="array" ref="CW194">SUMPRODUCT(--(MOD(CH194:CL194,10)&gt;=1), --(MOD(CH194:CL194,10)&lt;=5))</f>
        <v>0</v>
      </c>
      <c r="CX194" s="3">
        <f>5-CW194</f>
        <v>5</v>
      </c>
      <c r="CY194" s="30"/>
      <c r="CZ194" s="3" cm="1">
        <f t="array" ref="CZ194">IFERROR(COUNT(_xlfn._xlws.FILTER(CH194:CL194, ISNUMBER(MATCH(CH194:CL194, {2,3,5,7,11,13,17,19,23,29,31,37,41,43}, 0)))), 0)</f>
        <v>0</v>
      </c>
      <c r="DA194" s="3" cm="1">
        <f t="array" ref="DA194">IFERROR(COUNT(_xlfn._xlws.FILTER(CH194:CL194, ISNUMBER(MATCH(CH194:CL194, {1,4,8,10,14,16,20,22,25,26,28,32,34,35,38,40,44}, 0)))), 0)</f>
        <v>0</v>
      </c>
      <c r="DB194" s="3" cm="1">
        <f t="array" ref="DB194">IFERROR(COUNT(_xlfn._xlws.FILTER(CH194:CL194, ISNUMBER(MATCH(CH194:CL194, {6,9,12,15,18,21,24,27,30,33,36,39,42,45}, 0)))), 0)</f>
        <v>0</v>
      </c>
      <c r="DC194" s="29"/>
      <c r="DD194" s="28" t="e">
        <f>#REF!</f>
        <v>#REF!</v>
      </c>
      <c r="DE194" s="28" t="e">
        <f>#REF!*2</f>
        <v>#REF!</v>
      </c>
      <c r="DF194" s="28" t="e">
        <f>#REF!</f>
        <v>#REF!</v>
      </c>
      <c r="DG194" s="28" t="e">
        <f>#REF!*2</f>
        <v>#REF!</v>
      </c>
      <c r="DH194" s="28" t="e">
        <f>#REF!</f>
        <v>#REF!</v>
      </c>
      <c r="DI194" s="28" t="e">
        <f>#REF!*2</f>
        <v>#REF!</v>
      </c>
      <c r="DJ194" s="28" t="e">
        <f>#REF!</f>
        <v>#REF!</v>
      </c>
      <c r="DK194" s="28" t="e">
        <f>#REF!*2</f>
        <v>#REF!</v>
      </c>
      <c r="DL194" s="28" t="e">
        <f>#REF!</f>
        <v>#REF!</v>
      </c>
      <c r="DM194" s="28" t="e">
        <f>#REF!*2</f>
        <v>#REF!</v>
      </c>
      <c r="DN194" s="27"/>
      <c r="DO194" s="26"/>
      <c r="DP194" s="26"/>
      <c r="DQ194" s="26"/>
      <c r="DR194" s="26"/>
      <c r="DS194" s="26"/>
      <c r="DT194" s="25"/>
    </row>
    <row r="195" spans="2:124" x14ac:dyDescent="0.3">
      <c r="B195" s="3">
        <v>0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2"/>
      <c r="I195" s="3">
        <f>IF(OR(B195="",ISBLANK(B195),B195=0),0,IF(MOD(B195,2)=1,1,2))</f>
        <v>0</v>
      </c>
      <c r="J195" s="3">
        <f>IF(OR(C195="",ISBLANK(C195),C195=0),0,IF(MOD(C195,2)=1,1,2))</f>
        <v>0</v>
      </c>
      <c r="K195" s="3">
        <f>IF(OR(D195="",ISBLANK(D195),D195=0),0,IF(MOD(D195,2)=1,1,2))</f>
        <v>0</v>
      </c>
      <c r="L195" s="3">
        <f>IF(OR(E195="",ISBLANK(E195),E195=0),0,IF(MOD(E195,2)=1,1,2))</f>
        <v>0</v>
      </c>
      <c r="M195" s="3">
        <f>IF(OR(F195="",ISBLANK(F195),F195=0),0,IF(MOD(F195,2)=1,1,2))</f>
        <v>0</v>
      </c>
      <c r="N195" s="3">
        <f>IF(OR(G195="",ISBLANK(G195),G195=0),0,IF(MOD(G195,2)=1,1,2))</f>
        <v>0</v>
      </c>
      <c r="O195" s="32"/>
      <c r="P195" s="3" cm="1">
        <f t="array" ref="P195">SUMPRODUCT(--(MOD(B195:G195,2)=1))</f>
        <v>0</v>
      </c>
      <c r="Q195" s="3">
        <f>6-P195</f>
        <v>6</v>
      </c>
      <c r="R195" s="34"/>
      <c r="S195" s="3">
        <f>COUNTIFS(B195:G195,"&gt;=1",B195:G195,"&lt;=23")</f>
        <v>0</v>
      </c>
      <c r="T195" s="3">
        <f>6-S195</f>
        <v>6</v>
      </c>
      <c r="U195" s="34"/>
      <c r="V195" s="3" cm="1">
        <f t="array" ref="V195">SUMPRODUCT(--(MOD(B195:G195,10)&gt;=1), --(MOD(B195:G195,10)&lt;=5))</f>
        <v>0</v>
      </c>
      <c r="W195" s="3">
        <f>6-V195</f>
        <v>6</v>
      </c>
      <c r="X195" s="34"/>
      <c r="Y195" s="3" cm="1">
        <f t="array" ref="Y195">IFERROR(COUNT(_xlfn._xlws.FILTER(B195:G195, ISNUMBER(MATCH(B195:G195, {2,3,5,7,11,13,17,19,23,29,31,37,41,43}, 0)))), 0)</f>
        <v>0</v>
      </c>
      <c r="Z195" s="3" cm="1">
        <f t="array" ref="Z195">IFERROR(COUNT(_xlfn._xlws.FILTER(B195:G195, ISNUMBER(MATCH(B195:G195, {1,4,8,10,14,16,20,22,25,26,28,32,34,35,38,40,44}, 0)))), 0)</f>
        <v>0</v>
      </c>
      <c r="AA195" s="3" cm="1">
        <f t="array" ref="AA195">IFERROR(COUNT(_xlfn._xlws.FILTER(B195:G195, ISNUMBER(MATCH(B195:G195, {6,9,12,15,18,21,24,27,30,33,36,39,42,45}, 0)))), 0)</f>
        <v>0</v>
      </c>
      <c r="AB195" s="30"/>
      <c r="AC195" s="26" cm="1">
        <f t="array" ref="AC195">_xlfn.IFS(
   OR(B195="",ISBLANK(B195),B195=0),0,
   ISNUMBER(MATCH(B195,{2,3,5,7,11,13,17,19,23,29,31,37,41,43},0)),"소",
   AND(ISNUMBER(B195),MOD(B195,3)=0),"배",
   AND(ISNUMBER(B195),B195&gt;0),"자"
)</f>
        <v>0</v>
      </c>
      <c r="AD195" s="26" cm="1">
        <f t="array" ref="AD195">_xlfn.IFS(
   OR(C195="",ISBLANK(C195),C195=0),0,
   ISNUMBER(MATCH(C195,{2,3,5,7,11,13,17,19,23,29,31,37,41,43},0)),"소",
   AND(ISNUMBER(C195),MOD(C195,3)=0),"배",
   AND(ISNUMBER(C195),C195&gt;0),"자"
)</f>
        <v>0</v>
      </c>
      <c r="AE195" s="26" cm="1">
        <f t="array" ref="AE195">_xlfn.IFS(
   OR(D195="",ISBLANK(D195),D195=0),0,
   ISNUMBER(MATCH(D195,{2,3,5,7,11,13,17,19,23,29,31,37,41,43},0)),"소",
   AND(ISNUMBER(D195),MOD(D195,3)=0),"배",
   AND(ISNUMBER(D195),D195&gt;0),"자"
)</f>
        <v>0</v>
      </c>
      <c r="AF195" s="26" cm="1">
        <f t="array" ref="AF195">_xlfn.IFS(
   OR(E195="",ISBLANK(E195),E195=0),0,
   ISNUMBER(MATCH(E195,{2,3,5,7,11,13,17,19,23,29,31,37,41,43},0)),"소",
   AND(ISNUMBER(E195),MOD(E195,3)=0),"배",
   AND(ISNUMBER(E195),E195&gt;0),"자"
)</f>
        <v>0</v>
      </c>
      <c r="AG195" s="26" cm="1">
        <f t="array" ref="AG195">_xlfn.IFS(
   OR(F195="",ISBLANK(F195),F195=0),0,
   ISNUMBER(MATCH(F195,{2,3,5,7,11,13,17,19,23,29,31,37,41,43},0)),"소",
   AND(ISNUMBER(F195),MOD(F195,3)=0),"배",
   AND(ISNUMBER(F195),F195&gt;0),"자"
)</f>
        <v>0</v>
      </c>
      <c r="AH195" s="26" cm="1">
        <f t="array" ref="AH195">_xlfn.IFS(
   OR(G195="",ISBLANK(G195),G195=0),0,
   ISNUMBER(MATCH(G195,{2,3,5,7,11,13,17,19,23,29,31,37,41,43},0)),"소",
   AND(ISNUMBER(G195),MOD(G195,3)=0),"배",
   AND(ISNUMBER(G195),G195&gt;0),"자"
)</f>
        <v>0</v>
      </c>
      <c r="AI195" s="30"/>
      <c r="AJ195" s="3">
        <f>COUNTIFS(B195:G195,"&gt;=1",B195:G195,"&lt;=14")</f>
        <v>0</v>
      </c>
      <c r="AK195" s="3">
        <f>COUNTIFS(B195:G195,"&gt;=15",B195:G195,"&lt;=31")</f>
        <v>0</v>
      </c>
      <c r="AL195" s="3">
        <f>6-AK195-AJ195</f>
        <v>6</v>
      </c>
      <c r="AM195" s="33"/>
      <c r="AN195" s="3">
        <f>COUNTIFS($B195:$G195, "&gt;=1",$B195:$G195, "&lt;=9")</f>
        <v>0</v>
      </c>
      <c r="AO195" s="3">
        <f>COUNTIFS($B195:$G195, "&gt;=10",$B195:$G195, "&lt;=18")</f>
        <v>0</v>
      </c>
      <c r="AP195" s="3">
        <f>COUNTIFS($B195:$G195, "&gt;=19",$B195:$G195, "&lt;=27")</f>
        <v>0</v>
      </c>
      <c r="AQ195" s="3">
        <f>COUNTIFS($B195:$G195, "&gt;=28",$B195:$G195, "&lt;=36")</f>
        <v>0</v>
      </c>
      <c r="AR195" s="3">
        <f>COUNTIFS($B195:$G195, "&gt;=37",$B195:$G195, "&lt;=45")</f>
        <v>0</v>
      </c>
      <c r="AS195" s="28" t="e">
        <f>#REF!</f>
        <v>#REF!</v>
      </c>
      <c r="AT195" s="28" t="e">
        <f>#REF!*2</f>
        <v>#REF!</v>
      </c>
      <c r="AU195" s="28" t="e">
        <f>#REF!</f>
        <v>#REF!</v>
      </c>
      <c r="AV195" s="28" t="e">
        <f>#REF!*2</f>
        <v>#REF!</v>
      </c>
      <c r="AW195" s="28" t="e">
        <f>#REF!</f>
        <v>#REF!</v>
      </c>
      <c r="AX195" s="28" t="e">
        <f>#REF!*2</f>
        <v>#REF!</v>
      </c>
      <c r="AY195" s="28" t="e">
        <f>#REF!</f>
        <v>#REF!</v>
      </c>
      <c r="AZ195" s="28" t="e">
        <f>#REF!*2</f>
        <v>#REF!</v>
      </c>
      <c r="BA195" s="28" t="e">
        <f>#REF!</f>
        <v>#REF!</v>
      </c>
      <c r="BB195" s="28" t="e">
        <f>#REF!*2</f>
        <v>#REF!</v>
      </c>
      <c r="BC195" s="28" t="e">
        <f>#REF!</f>
        <v>#REF!</v>
      </c>
      <c r="BD195" s="28" t="e">
        <f>#REF!*2</f>
        <v>#REF!</v>
      </c>
      <c r="BE195" s="9" t="e">
        <f>#REF!-#REF!</f>
        <v>#REF!</v>
      </c>
      <c r="BF195" s="9" t="e">
        <f>#REF!-#REF!</f>
        <v>#REF!</v>
      </c>
      <c r="BG195" s="9" t="e">
        <f>#REF!-#REF!</f>
        <v>#REF!</v>
      </c>
      <c r="BH195" s="9" t="e">
        <f>#REF!-#REF!</f>
        <v>#REF!</v>
      </c>
      <c r="BI195" s="9" t="e">
        <f>#REF!-#REF!</f>
        <v>#REF!</v>
      </c>
      <c r="BJ195" s="33"/>
      <c r="BK195" s="3">
        <f>COUNTIFS(B195:G195, "&gt;=1", B195:G195, "&lt;=9")</f>
        <v>0</v>
      </c>
      <c r="BL195" s="3">
        <f>COUNTIFS(B195:G195, "&gt;=10", B195:G195, "&lt;=19")</f>
        <v>0</v>
      </c>
      <c r="BM195" s="3">
        <f>COUNTIFS(B195:G195, "&gt;=20", B195:G195, "&lt;=29")</f>
        <v>0</v>
      </c>
      <c r="BN195" s="3">
        <f>COUNTIFS(B195:G195, "&gt;=30", B195:G195, "&lt;=39")</f>
        <v>0</v>
      </c>
      <c r="BO195" s="3">
        <f>COUNTIFS(B195:G195, "&gt;=40", B195:G195, "&lt;=45")</f>
        <v>0</v>
      </c>
      <c r="BP195" s="28" t="e">
        <f>#REF!</f>
        <v>#REF!</v>
      </c>
      <c r="BQ195" s="28" t="e">
        <f>#REF!*2</f>
        <v>#REF!</v>
      </c>
      <c r="BR195" s="28" t="e">
        <f>#REF!</f>
        <v>#REF!</v>
      </c>
      <c r="BS195" s="28" t="e">
        <f>#REF!*2</f>
        <v>#REF!</v>
      </c>
      <c r="BT195" s="28" t="e">
        <f>#REF!</f>
        <v>#REF!</v>
      </c>
      <c r="BU195" s="28" t="e">
        <f>#REF!*2</f>
        <v>#REF!</v>
      </c>
      <c r="BV195" s="28" t="e">
        <f>#REF!</f>
        <v>#REF!</v>
      </c>
      <c r="BW195" s="28" t="e">
        <f>#REF!*2</f>
        <v>#REF!</v>
      </c>
      <c r="BX195" s="28" t="e">
        <f>#REF!</f>
        <v>#REF!</v>
      </c>
      <c r="BY195" s="28" t="e">
        <f>#REF!*2</f>
        <v>#REF!</v>
      </c>
      <c r="BZ195" s="28" t="e">
        <f>#REF!</f>
        <v>#REF!</v>
      </c>
      <c r="CA195" s="28" t="e">
        <f>#REF!*2</f>
        <v>#REF!</v>
      </c>
      <c r="CB195" s="9">
        <f>C195-B195</f>
        <v>0</v>
      </c>
      <c r="CC195" s="9">
        <f>D195-C195</f>
        <v>0</v>
      </c>
      <c r="CD195" s="9">
        <f>E195-D195</f>
        <v>0</v>
      </c>
      <c r="CE195" s="9">
        <f>F195-E195</f>
        <v>0</v>
      </c>
      <c r="CF195" s="9">
        <f>G195-F195</f>
        <v>0</v>
      </c>
      <c r="CG195" s="33"/>
      <c r="CH195" s="9">
        <f>C195-B195</f>
        <v>0</v>
      </c>
      <c r="CI195" s="9">
        <f>D195-C195</f>
        <v>0</v>
      </c>
      <c r="CJ195" s="9">
        <f>E195-D195</f>
        <v>0</v>
      </c>
      <c r="CK195" s="9">
        <f>F195-E195</f>
        <v>0</v>
      </c>
      <c r="CL195" s="9">
        <f>G195-F195</f>
        <v>0</v>
      </c>
      <c r="CM195" s="32"/>
      <c r="CN195" s="3">
        <f>IF(OR(CH195="",ISBLANK(CH195),CH195=0),0,IF(MOD(CH195,2)=1,1,2))</f>
        <v>0</v>
      </c>
      <c r="CO195" s="3">
        <f>IF(OR(CI195="",ISBLANK(CI195),CI195=0),0,IF(MOD(CI195,2)=1,1,2))</f>
        <v>0</v>
      </c>
      <c r="CP195" s="3">
        <f>IF(OR(CJ195="",ISBLANK(CJ195),CJ195=0),0,IF(MOD(CJ195,2)=1,1,2))</f>
        <v>0</v>
      </c>
      <c r="CQ195" s="3">
        <f>IF(OR(CK195="",ISBLANK(CK195),CK195=0),0,IF(MOD(CK195,2)=1,1,2))</f>
        <v>0</v>
      </c>
      <c r="CR195" s="3">
        <f>IF(OR(CL195="",ISBLANK(CL195),CL195=0),0,IF(MOD(CL195,2)=1,1,2))</f>
        <v>0</v>
      </c>
      <c r="CS195" s="31"/>
      <c r="CT195" s="3" cm="1">
        <f t="array" ref="CT195">SUMPRODUCT(--(MOD(CH195:CL195,2)=1))</f>
        <v>0</v>
      </c>
      <c r="CU195" s="3">
        <f>5-CT195</f>
        <v>5</v>
      </c>
      <c r="CV195" s="30"/>
      <c r="CW195" s="3" cm="1">
        <f t="array" ref="CW195">SUMPRODUCT(--(MOD(CH195:CL195,10)&gt;=1), --(MOD(CH195:CL195,10)&lt;=5))</f>
        <v>0</v>
      </c>
      <c r="CX195" s="3">
        <f>5-CW195</f>
        <v>5</v>
      </c>
      <c r="CY195" s="30"/>
      <c r="CZ195" s="3" cm="1">
        <f t="array" ref="CZ195">IFERROR(COUNT(_xlfn._xlws.FILTER(CH195:CL195, ISNUMBER(MATCH(CH195:CL195, {2,3,5,7,11,13,17,19,23,29,31,37,41,43}, 0)))), 0)</f>
        <v>0</v>
      </c>
      <c r="DA195" s="3" cm="1">
        <f t="array" ref="DA195">IFERROR(COUNT(_xlfn._xlws.FILTER(CH195:CL195, ISNUMBER(MATCH(CH195:CL195, {1,4,8,10,14,16,20,22,25,26,28,32,34,35,38,40,44}, 0)))), 0)</f>
        <v>0</v>
      </c>
      <c r="DB195" s="3" cm="1">
        <f t="array" ref="DB195">IFERROR(COUNT(_xlfn._xlws.FILTER(CH195:CL195, ISNUMBER(MATCH(CH195:CL195, {6,9,12,15,18,21,24,27,30,33,36,39,42,45}, 0)))), 0)</f>
        <v>0</v>
      </c>
      <c r="DC195" s="29"/>
      <c r="DD195" s="28" t="e">
        <f>#REF!</f>
        <v>#REF!</v>
      </c>
      <c r="DE195" s="28" t="e">
        <f>#REF!*2</f>
        <v>#REF!</v>
      </c>
      <c r="DF195" s="28" t="e">
        <f>#REF!</f>
        <v>#REF!</v>
      </c>
      <c r="DG195" s="28" t="e">
        <f>#REF!*2</f>
        <v>#REF!</v>
      </c>
      <c r="DH195" s="28" t="e">
        <f>#REF!</f>
        <v>#REF!</v>
      </c>
      <c r="DI195" s="28" t="e">
        <f>#REF!*2</f>
        <v>#REF!</v>
      </c>
      <c r="DJ195" s="28" t="e">
        <f>#REF!</f>
        <v>#REF!</v>
      </c>
      <c r="DK195" s="28" t="e">
        <f>#REF!*2</f>
        <v>#REF!</v>
      </c>
      <c r="DL195" s="28" t="e">
        <f>#REF!</f>
        <v>#REF!</v>
      </c>
      <c r="DM195" s="28" t="e">
        <f>#REF!*2</f>
        <v>#REF!</v>
      </c>
      <c r="DN195" s="27"/>
      <c r="DO195" s="26"/>
      <c r="DP195" s="26"/>
      <c r="DQ195" s="26"/>
      <c r="DR195" s="26"/>
      <c r="DS195" s="26"/>
      <c r="DT195" s="25"/>
    </row>
    <row r="196" spans="2:124" x14ac:dyDescent="0.3">
      <c r="B196" s="3">
        <v>0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2"/>
      <c r="I196" s="3">
        <f>IF(OR(B196="",ISBLANK(B196),B196=0),0,IF(MOD(B196,2)=1,1,2))</f>
        <v>0</v>
      </c>
      <c r="J196" s="3">
        <f>IF(OR(C196="",ISBLANK(C196),C196=0),0,IF(MOD(C196,2)=1,1,2))</f>
        <v>0</v>
      </c>
      <c r="K196" s="3">
        <f>IF(OR(D196="",ISBLANK(D196),D196=0),0,IF(MOD(D196,2)=1,1,2))</f>
        <v>0</v>
      </c>
      <c r="L196" s="3">
        <f>IF(OR(E196="",ISBLANK(E196),E196=0),0,IF(MOD(E196,2)=1,1,2))</f>
        <v>0</v>
      </c>
      <c r="M196" s="3">
        <f>IF(OR(F196="",ISBLANK(F196),F196=0),0,IF(MOD(F196,2)=1,1,2))</f>
        <v>0</v>
      </c>
      <c r="N196" s="3">
        <f>IF(OR(G196="",ISBLANK(G196),G196=0),0,IF(MOD(G196,2)=1,1,2))</f>
        <v>0</v>
      </c>
      <c r="O196" s="32"/>
      <c r="P196" s="3" cm="1">
        <f t="array" ref="P196">SUMPRODUCT(--(MOD(B196:G196,2)=1))</f>
        <v>0</v>
      </c>
      <c r="Q196" s="3">
        <f>6-P196</f>
        <v>6</v>
      </c>
      <c r="R196" s="34"/>
      <c r="S196" s="3">
        <f>COUNTIFS(B196:G196,"&gt;=1",B196:G196,"&lt;=23")</f>
        <v>0</v>
      </c>
      <c r="T196" s="3">
        <f>6-S196</f>
        <v>6</v>
      </c>
      <c r="U196" s="34"/>
      <c r="V196" s="3" cm="1">
        <f t="array" ref="V196">SUMPRODUCT(--(MOD(B196:G196,10)&gt;=1), --(MOD(B196:G196,10)&lt;=5))</f>
        <v>0</v>
      </c>
      <c r="W196" s="3">
        <f>6-V196</f>
        <v>6</v>
      </c>
      <c r="X196" s="34"/>
      <c r="Y196" s="3" cm="1">
        <f t="array" ref="Y196">IFERROR(COUNT(_xlfn._xlws.FILTER(B196:G196, ISNUMBER(MATCH(B196:G196, {2,3,5,7,11,13,17,19,23,29,31,37,41,43}, 0)))), 0)</f>
        <v>0</v>
      </c>
      <c r="Z196" s="3" cm="1">
        <f t="array" ref="Z196">IFERROR(COUNT(_xlfn._xlws.FILTER(B196:G196, ISNUMBER(MATCH(B196:G196, {1,4,8,10,14,16,20,22,25,26,28,32,34,35,38,40,44}, 0)))), 0)</f>
        <v>0</v>
      </c>
      <c r="AA196" s="3" cm="1">
        <f t="array" ref="AA196">IFERROR(COUNT(_xlfn._xlws.FILTER(B196:G196, ISNUMBER(MATCH(B196:G196, {6,9,12,15,18,21,24,27,30,33,36,39,42,45}, 0)))), 0)</f>
        <v>0</v>
      </c>
      <c r="AB196" s="30"/>
      <c r="AC196" s="26" cm="1">
        <f t="array" ref="AC196">_xlfn.IFS(
   OR(B196="",ISBLANK(B196),B196=0),0,
   ISNUMBER(MATCH(B196,{2,3,5,7,11,13,17,19,23,29,31,37,41,43},0)),"소",
   AND(ISNUMBER(B196),MOD(B196,3)=0),"배",
   AND(ISNUMBER(B196),B196&gt;0),"자"
)</f>
        <v>0</v>
      </c>
      <c r="AD196" s="26" cm="1">
        <f t="array" ref="AD196">_xlfn.IFS(
   OR(C196="",ISBLANK(C196),C196=0),0,
   ISNUMBER(MATCH(C196,{2,3,5,7,11,13,17,19,23,29,31,37,41,43},0)),"소",
   AND(ISNUMBER(C196),MOD(C196,3)=0),"배",
   AND(ISNUMBER(C196),C196&gt;0),"자"
)</f>
        <v>0</v>
      </c>
      <c r="AE196" s="26" cm="1">
        <f t="array" ref="AE196">_xlfn.IFS(
   OR(D196="",ISBLANK(D196),D196=0),0,
   ISNUMBER(MATCH(D196,{2,3,5,7,11,13,17,19,23,29,31,37,41,43},0)),"소",
   AND(ISNUMBER(D196),MOD(D196,3)=0),"배",
   AND(ISNUMBER(D196),D196&gt;0),"자"
)</f>
        <v>0</v>
      </c>
      <c r="AF196" s="26" cm="1">
        <f t="array" ref="AF196">_xlfn.IFS(
   OR(E196="",ISBLANK(E196),E196=0),0,
   ISNUMBER(MATCH(E196,{2,3,5,7,11,13,17,19,23,29,31,37,41,43},0)),"소",
   AND(ISNUMBER(E196),MOD(E196,3)=0),"배",
   AND(ISNUMBER(E196),E196&gt;0),"자"
)</f>
        <v>0</v>
      </c>
      <c r="AG196" s="26" cm="1">
        <f t="array" ref="AG196">_xlfn.IFS(
   OR(F196="",ISBLANK(F196),F196=0),0,
   ISNUMBER(MATCH(F196,{2,3,5,7,11,13,17,19,23,29,31,37,41,43},0)),"소",
   AND(ISNUMBER(F196),MOD(F196,3)=0),"배",
   AND(ISNUMBER(F196),F196&gt;0),"자"
)</f>
        <v>0</v>
      </c>
      <c r="AH196" s="26" cm="1">
        <f t="array" ref="AH196">_xlfn.IFS(
   OR(G196="",ISBLANK(G196),G196=0),0,
   ISNUMBER(MATCH(G196,{2,3,5,7,11,13,17,19,23,29,31,37,41,43},0)),"소",
   AND(ISNUMBER(G196),MOD(G196,3)=0),"배",
   AND(ISNUMBER(G196),G196&gt;0),"자"
)</f>
        <v>0</v>
      </c>
      <c r="AI196" s="30"/>
      <c r="AJ196" s="3">
        <f>COUNTIFS(B196:G196,"&gt;=1",B196:G196,"&lt;=14")</f>
        <v>0</v>
      </c>
      <c r="AK196" s="3">
        <f>COUNTIFS(B196:G196,"&gt;=15",B196:G196,"&lt;=31")</f>
        <v>0</v>
      </c>
      <c r="AL196" s="3">
        <f>6-AK196-AJ196</f>
        <v>6</v>
      </c>
      <c r="AM196" s="33"/>
      <c r="AN196" s="3">
        <f>COUNTIFS($B196:$G196, "&gt;=1",$B196:$G196, "&lt;=9")</f>
        <v>0</v>
      </c>
      <c r="AO196" s="3">
        <f>COUNTIFS($B196:$G196, "&gt;=10",$B196:$G196, "&lt;=18")</f>
        <v>0</v>
      </c>
      <c r="AP196" s="3">
        <f>COUNTIFS($B196:$G196, "&gt;=19",$B196:$G196, "&lt;=27")</f>
        <v>0</v>
      </c>
      <c r="AQ196" s="3">
        <f>COUNTIFS($B196:$G196, "&gt;=28",$B196:$G196, "&lt;=36")</f>
        <v>0</v>
      </c>
      <c r="AR196" s="3">
        <f>COUNTIFS($B196:$G196, "&gt;=37",$B196:$G196, "&lt;=45")</f>
        <v>0</v>
      </c>
      <c r="AS196" s="28" t="e">
        <f>#REF!</f>
        <v>#REF!</v>
      </c>
      <c r="AT196" s="28" t="e">
        <f>#REF!*2</f>
        <v>#REF!</v>
      </c>
      <c r="AU196" s="28" t="e">
        <f>#REF!</f>
        <v>#REF!</v>
      </c>
      <c r="AV196" s="28" t="e">
        <f>#REF!*2</f>
        <v>#REF!</v>
      </c>
      <c r="AW196" s="28" t="e">
        <f>#REF!</f>
        <v>#REF!</v>
      </c>
      <c r="AX196" s="28" t="e">
        <f>#REF!*2</f>
        <v>#REF!</v>
      </c>
      <c r="AY196" s="28" t="e">
        <f>#REF!</f>
        <v>#REF!</v>
      </c>
      <c r="AZ196" s="28" t="e">
        <f>#REF!*2</f>
        <v>#REF!</v>
      </c>
      <c r="BA196" s="28" t="e">
        <f>#REF!</f>
        <v>#REF!</v>
      </c>
      <c r="BB196" s="28" t="e">
        <f>#REF!*2</f>
        <v>#REF!</v>
      </c>
      <c r="BC196" s="28" t="e">
        <f>#REF!</f>
        <v>#REF!</v>
      </c>
      <c r="BD196" s="28" t="e">
        <f>#REF!*2</f>
        <v>#REF!</v>
      </c>
      <c r="BE196" s="9" t="e">
        <f>#REF!-#REF!</f>
        <v>#REF!</v>
      </c>
      <c r="BF196" s="9" t="e">
        <f>#REF!-#REF!</f>
        <v>#REF!</v>
      </c>
      <c r="BG196" s="9" t="e">
        <f>#REF!-#REF!</f>
        <v>#REF!</v>
      </c>
      <c r="BH196" s="9" t="e">
        <f>#REF!-#REF!</f>
        <v>#REF!</v>
      </c>
      <c r="BI196" s="9" t="e">
        <f>#REF!-#REF!</f>
        <v>#REF!</v>
      </c>
      <c r="BJ196" s="33"/>
      <c r="BK196" s="3">
        <f>COUNTIFS(B196:G196, "&gt;=1", B196:G196, "&lt;=9")</f>
        <v>0</v>
      </c>
      <c r="BL196" s="3">
        <f>COUNTIFS(B196:G196, "&gt;=10", B196:G196, "&lt;=19")</f>
        <v>0</v>
      </c>
      <c r="BM196" s="3">
        <f>COUNTIFS(B196:G196, "&gt;=20", B196:G196, "&lt;=29")</f>
        <v>0</v>
      </c>
      <c r="BN196" s="3">
        <f>COUNTIFS(B196:G196, "&gt;=30", B196:G196, "&lt;=39")</f>
        <v>0</v>
      </c>
      <c r="BO196" s="3">
        <f>COUNTIFS(B196:G196, "&gt;=40", B196:G196, "&lt;=45")</f>
        <v>0</v>
      </c>
      <c r="BP196" s="28" t="e">
        <f>#REF!</f>
        <v>#REF!</v>
      </c>
      <c r="BQ196" s="28" t="e">
        <f>#REF!*2</f>
        <v>#REF!</v>
      </c>
      <c r="BR196" s="28" t="e">
        <f>#REF!</f>
        <v>#REF!</v>
      </c>
      <c r="BS196" s="28" t="e">
        <f>#REF!*2</f>
        <v>#REF!</v>
      </c>
      <c r="BT196" s="28" t="e">
        <f>#REF!</f>
        <v>#REF!</v>
      </c>
      <c r="BU196" s="28" t="e">
        <f>#REF!*2</f>
        <v>#REF!</v>
      </c>
      <c r="BV196" s="28" t="e">
        <f>#REF!</f>
        <v>#REF!</v>
      </c>
      <c r="BW196" s="28" t="e">
        <f>#REF!*2</f>
        <v>#REF!</v>
      </c>
      <c r="BX196" s="28" t="e">
        <f>#REF!</f>
        <v>#REF!</v>
      </c>
      <c r="BY196" s="28" t="e">
        <f>#REF!*2</f>
        <v>#REF!</v>
      </c>
      <c r="BZ196" s="28" t="e">
        <f>#REF!</f>
        <v>#REF!</v>
      </c>
      <c r="CA196" s="28" t="e">
        <f>#REF!*2</f>
        <v>#REF!</v>
      </c>
      <c r="CB196" s="9">
        <f>C196-B196</f>
        <v>0</v>
      </c>
      <c r="CC196" s="9">
        <f>D196-C196</f>
        <v>0</v>
      </c>
      <c r="CD196" s="9">
        <f>E196-D196</f>
        <v>0</v>
      </c>
      <c r="CE196" s="9">
        <f>F196-E196</f>
        <v>0</v>
      </c>
      <c r="CF196" s="9">
        <f>G196-F196</f>
        <v>0</v>
      </c>
      <c r="CG196" s="33"/>
      <c r="CH196" s="9">
        <f>C196-B196</f>
        <v>0</v>
      </c>
      <c r="CI196" s="9">
        <f>D196-C196</f>
        <v>0</v>
      </c>
      <c r="CJ196" s="9">
        <f>E196-D196</f>
        <v>0</v>
      </c>
      <c r="CK196" s="9">
        <f>F196-E196</f>
        <v>0</v>
      </c>
      <c r="CL196" s="9">
        <f>G196-F196</f>
        <v>0</v>
      </c>
      <c r="CM196" s="32"/>
      <c r="CN196" s="3">
        <f>IF(OR(CH196="",ISBLANK(CH196),CH196=0),0,IF(MOD(CH196,2)=1,1,2))</f>
        <v>0</v>
      </c>
      <c r="CO196" s="3">
        <f>IF(OR(CI196="",ISBLANK(CI196),CI196=0),0,IF(MOD(CI196,2)=1,1,2))</f>
        <v>0</v>
      </c>
      <c r="CP196" s="3">
        <f>IF(OR(CJ196="",ISBLANK(CJ196),CJ196=0),0,IF(MOD(CJ196,2)=1,1,2))</f>
        <v>0</v>
      </c>
      <c r="CQ196" s="3">
        <f>IF(OR(CK196="",ISBLANK(CK196),CK196=0),0,IF(MOD(CK196,2)=1,1,2))</f>
        <v>0</v>
      </c>
      <c r="CR196" s="3">
        <f>IF(OR(CL196="",ISBLANK(CL196),CL196=0),0,IF(MOD(CL196,2)=1,1,2))</f>
        <v>0</v>
      </c>
      <c r="CS196" s="31"/>
      <c r="CT196" s="3" cm="1">
        <f t="array" ref="CT196">SUMPRODUCT(--(MOD(CH196:CL196,2)=1))</f>
        <v>0</v>
      </c>
      <c r="CU196" s="3">
        <f>5-CT196</f>
        <v>5</v>
      </c>
      <c r="CV196" s="30"/>
      <c r="CW196" s="3" cm="1">
        <f t="array" ref="CW196">SUMPRODUCT(--(MOD(CH196:CL196,10)&gt;=1), --(MOD(CH196:CL196,10)&lt;=5))</f>
        <v>0</v>
      </c>
      <c r="CX196" s="3">
        <f>5-CW196</f>
        <v>5</v>
      </c>
      <c r="CY196" s="30"/>
      <c r="CZ196" s="3" cm="1">
        <f t="array" ref="CZ196">IFERROR(COUNT(_xlfn._xlws.FILTER(CH196:CL196, ISNUMBER(MATCH(CH196:CL196, {2,3,5,7,11,13,17,19,23,29,31,37,41,43}, 0)))), 0)</f>
        <v>0</v>
      </c>
      <c r="DA196" s="3" cm="1">
        <f t="array" ref="DA196">IFERROR(COUNT(_xlfn._xlws.FILTER(CH196:CL196, ISNUMBER(MATCH(CH196:CL196, {1,4,8,10,14,16,20,22,25,26,28,32,34,35,38,40,44}, 0)))), 0)</f>
        <v>0</v>
      </c>
      <c r="DB196" s="3" cm="1">
        <f t="array" ref="DB196">IFERROR(COUNT(_xlfn._xlws.FILTER(CH196:CL196, ISNUMBER(MATCH(CH196:CL196, {6,9,12,15,18,21,24,27,30,33,36,39,42,45}, 0)))), 0)</f>
        <v>0</v>
      </c>
      <c r="DC196" s="29"/>
      <c r="DD196" s="28" t="e">
        <f>#REF!</f>
        <v>#REF!</v>
      </c>
      <c r="DE196" s="28" t="e">
        <f>#REF!*2</f>
        <v>#REF!</v>
      </c>
      <c r="DF196" s="28" t="e">
        <f>#REF!</f>
        <v>#REF!</v>
      </c>
      <c r="DG196" s="28" t="e">
        <f>#REF!*2</f>
        <v>#REF!</v>
      </c>
      <c r="DH196" s="28" t="e">
        <f>#REF!</f>
        <v>#REF!</v>
      </c>
      <c r="DI196" s="28" t="e">
        <f>#REF!*2</f>
        <v>#REF!</v>
      </c>
      <c r="DJ196" s="28" t="e">
        <f>#REF!</f>
        <v>#REF!</v>
      </c>
      <c r="DK196" s="28" t="e">
        <f>#REF!*2</f>
        <v>#REF!</v>
      </c>
      <c r="DL196" s="28" t="e">
        <f>#REF!</f>
        <v>#REF!</v>
      </c>
      <c r="DM196" s="28" t="e">
        <f>#REF!*2</f>
        <v>#REF!</v>
      </c>
      <c r="DN196" s="27"/>
      <c r="DO196" s="26"/>
      <c r="DP196" s="26"/>
      <c r="DQ196" s="26"/>
      <c r="DR196" s="26"/>
      <c r="DS196" s="26"/>
      <c r="DT196" s="25"/>
    </row>
    <row r="197" spans="2:124" x14ac:dyDescent="0.3">
      <c r="B197" s="3">
        <v>0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2"/>
      <c r="I197" s="3">
        <f>IF(OR(B197="",ISBLANK(B197),B197=0),0,IF(MOD(B197,2)=1,1,2))</f>
        <v>0</v>
      </c>
      <c r="J197" s="3">
        <f>IF(OR(C197="",ISBLANK(C197),C197=0),0,IF(MOD(C197,2)=1,1,2))</f>
        <v>0</v>
      </c>
      <c r="K197" s="3">
        <f>IF(OR(D197="",ISBLANK(D197),D197=0),0,IF(MOD(D197,2)=1,1,2))</f>
        <v>0</v>
      </c>
      <c r="L197" s="3">
        <f>IF(OR(E197="",ISBLANK(E197),E197=0),0,IF(MOD(E197,2)=1,1,2))</f>
        <v>0</v>
      </c>
      <c r="M197" s="3">
        <f>IF(OR(F197="",ISBLANK(F197),F197=0),0,IF(MOD(F197,2)=1,1,2))</f>
        <v>0</v>
      </c>
      <c r="N197" s="3">
        <f>IF(OR(G197="",ISBLANK(G197),G197=0),0,IF(MOD(G197,2)=1,1,2))</f>
        <v>0</v>
      </c>
      <c r="O197" s="32"/>
      <c r="P197" s="3" cm="1">
        <f t="array" ref="P197">SUMPRODUCT(--(MOD(B197:G197,2)=1))</f>
        <v>0</v>
      </c>
      <c r="Q197" s="3">
        <f>6-P197</f>
        <v>6</v>
      </c>
      <c r="R197" s="34"/>
      <c r="S197" s="3">
        <f>COUNTIFS(B197:G197,"&gt;=1",B197:G197,"&lt;=23")</f>
        <v>0</v>
      </c>
      <c r="T197" s="3">
        <f>6-S197</f>
        <v>6</v>
      </c>
      <c r="U197" s="34"/>
      <c r="V197" s="3" cm="1">
        <f t="array" ref="V197">SUMPRODUCT(--(MOD(B197:G197,10)&gt;=1), --(MOD(B197:G197,10)&lt;=5))</f>
        <v>0</v>
      </c>
      <c r="W197" s="3">
        <f>6-V197</f>
        <v>6</v>
      </c>
      <c r="X197" s="34"/>
      <c r="Y197" s="3" cm="1">
        <f t="array" ref="Y197">IFERROR(COUNT(_xlfn._xlws.FILTER(B197:G197, ISNUMBER(MATCH(B197:G197, {2,3,5,7,11,13,17,19,23,29,31,37,41,43}, 0)))), 0)</f>
        <v>0</v>
      </c>
      <c r="Z197" s="3" cm="1">
        <f t="array" ref="Z197">IFERROR(COUNT(_xlfn._xlws.FILTER(B197:G197, ISNUMBER(MATCH(B197:G197, {1,4,8,10,14,16,20,22,25,26,28,32,34,35,38,40,44}, 0)))), 0)</f>
        <v>0</v>
      </c>
      <c r="AA197" s="3" cm="1">
        <f t="array" ref="AA197">IFERROR(COUNT(_xlfn._xlws.FILTER(B197:G197, ISNUMBER(MATCH(B197:G197, {6,9,12,15,18,21,24,27,30,33,36,39,42,45}, 0)))), 0)</f>
        <v>0</v>
      </c>
      <c r="AB197" s="30"/>
      <c r="AC197" s="26" cm="1">
        <f t="array" ref="AC197">_xlfn.IFS(
   OR(B197="",ISBLANK(B197),B197=0),0,
   ISNUMBER(MATCH(B197,{2,3,5,7,11,13,17,19,23,29,31,37,41,43},0)),"소",
   AND(ISNUMBER(B197),MOD(B197,3)=0),"배",
   AND(ISNUMBER(B197),B197&gt;0),"자"
)</f>
        <v>0</v>
      </c>
      <c r="AD197" s="26" cm="1">
        <f t="array" ref="AD197">_xlfn.IFS(
   OR(C197="",ISBLANK(C197),C197=0),0,
   ISNUMBER(MATCH(C197,{2,3,5,7,11,13,17,19,23,29,31,37,41,43},0)),"소",
   AND(ISNUMBER(C197),MOD(C197,3)=0),"배",
   AND(ISNUMBER(C197),C197&gt;0),"자"
)</f>
        <v>0</v>
      </c>
      <c r="AE197" s="26" cm="1">
        <f t="array" ref="AE197">_xlfn.IFS(
   OR(D197="",ISBLANK(D197),D197=0),0,
   ISNUMBER(MATCH(D197,{2,3,5,7,11,13,17,19,23,29,31,37,41,43},0)),"소",
   AND(ISNUMBER(D197),MOD(D197,3)=0),"배",
   AND(ISNUMBER(D197),D197&gt;0),"자"
)</f>
        <v>0</v>
      </c>
      <c r="AF197" s="26" cm="1">
        <f t="array" ref="AF197">_xlfn.IFS(
   OR(E197="",ISBLANK(E197),E197=0),0,
   ISNUMBER(MATCH(E197,{2,3,5,7,11,13,17,19,23,29,31,37,41,43},0)),"소",
   AND(ISNUMBER(E197),MOD(E197,3)=0),"배",
   AND(ISNUMBER(E197),E197&gt;0),"자"
)</f>
        <v>0</v>
      </c>
      <c r="AG197" s="26" cm="1">
        <f t="array" ref="AG197">_xlfn.IFS(
   OR(F197="",ISBLANK(F197),F197=0),0,
   ISNUMBER(MATCH(F197,{2,3,5,7,11,13,17,19,23,29,31,37,41,43},0)),"소",
   AND(ISNUMBER(F197),MOD(F197,3)=0),"배",
   AND(ISNUMBER(F197),F197&gt;0),"자"
)</f>
        <v>0</v>
      </c>
      <c r="AH197" s="26" cm="1">
        <f t="array" ref="AH197">_xlfn.IFS(
   OR(G197="",ISBLANK(G197),G197=0),0,
   ISNUMBER(MATCH(G197,{2,3,5,7,11,13,17,19,23,29,31,37,41,43},0)),"소",
   AND(ISNUMBER(G197),MOD(G197,3)=0),"배",
   AND(ISNUMBER(G197),G197&gt;0),"자"
)</f>
        <v>0</v>
      </c>
      <c r="AI197" s="30"/>
      <c r="AJ197" s="3">
        <f>COUNTIFS(B197:G197,"&gt;=1",B197:G197,"&lt;=14")</f>
        <v>0</v>
      </c>
      <c r="AK197" s="3">
        <f>COUNTIFS(B197:G197,"&gt;=15",B197:G197,"&lt;=31")</f>
        <v>0</v>
      </c>
      <c r="AL197" s="3">
        <f>6-AK197-AJ197</f>
        <v>6</v>
      </c>
      <c r="AM197" s="33"/>
      <c r="AN197" s="3">
        <f>COUNTIFS($B197:$G197, "&gt;=1",$B197:$G197, "&lt;=9")</f>
        <v>0</v>
      </c>
      <c r="AO197" s="3">
        <f>COUNTIFS($B197:$G197, "&gt;=10",$B197:$G197, "&lt;=18")</f>
        <v>0</v>
      </c>
      <c r="AP197" s="3">
        <f>COUNTIFS($B197:$G197, "&gt;=19",$B197:$G197, "&lt;=27")</f>
        <v>0</v>
      </c>
      <c r="AQ197" s="3">
        <f>COUNTIFS($B197:$G197, "&gt;=28",$B197:$G197, "&lt;=36")</f>
        <v>0</v>
      </c>
      <c r="AR197" s="3">
        <f>COUNTIFS($B197:$G197, "&gt;=37",$B197:$G197, "&lt;=45")</f>
        <v>0</v>
      </c>
      <c r="AS197" s="28" t="e">
        <f>#REF!</f>
        <v>#REF!</v>
      </c>
      <c r="AT197" s="28" t="e">
        <f>#REF!*2</f>
        <v>#REF!</v>
      </c>
      <c r="AU197" s="28" t="e">
        <f>#REF!</f>
        <v>#REF!</v>
      </c>
      <c r="AV197" s="28" t="e">
        <f>#REF!*2</f>
        <v>#REF!</v>
      </c>
      <c r="AW197" s="28" t="e">
        <f>#REF!</f>
        <v>#REF!</v>
      </c>
      <c r="AX197" s="28" t="e">
        <f>#REF!*2</f>
        <v>#REF!</v>
      </c>
      <c r="AY197" s="28" t="e">
        <f>#REF!</f>
        <v>#REF!</v>
      </c>
      <c r="AZ197" s="28" t="e">
        <f>#REF!*2</f>
        <v>#REF!</v>
      </c>
      <c r="BA197" s="28" t="e">
        <f>#REF!</f>
        <v>#REF!</v>
      </c>
      <c r="BB197" s="28" t="e">
        <f>#REF!*2</f>
        <v>#REF!</v>
      </c>
      <c r="BC197" s="28" t="e">
        <f>#REF!</f>
        <v>#REF!</v>
      </c>
      <c r="BD197" s="28" t="e">
        <f>#REF!*2</f>
        <v>#REF!</v>
      </c>
      <c r="BE197" s="9" t="e">
        <f>#REF!-#REF!</f>
        <v>#REF!</v>
      </c>
      <c r="BF197" s="9" t="e">
        <f>#REF!-#REF!</f>
        <v>#REF!</v>
      </c>
      <c r="BG197" s="9" t="e">
        <f>#REF!-#REF!</f>
        <v>#REF!</v>
      </c>
      <c r="BH197" s="9" t="e">
        <f>#REF!-#REF!</f>
        <v>#REF!</v>
      </c>
      <c r="BI197" s="9" t="e">
        <f>#REF!-#REF!</f>
        <v>#REF!</v>
      </c>
      <c r="BJ197" s="33"/>
      <c r="BK197" s="3">
        <f>COUNTIFS(B197:G197, "&gt;=1", B197:G197, "&lt;=9")</f>
        <v>0</v>
      </c>
      <c r="BL197" s="3">
        <f>COUNTIFS(B197:G197, "&gt;=10", B197:G197, "&lt;=19")</f>
        <v>0</v>
      </c>
      <c r="BM197" s="3">
        <f>COUNTIFS(B197:G197, "&gt;=20", B197:G197, "&lt;=29")</f>
        <v>0</v>
      </c>
      <c r="BN197" s="3">
        <f>COUNTIFS(B197:G197, "&gt;=30", B197:G197, "&lt;=39")</f>
        <v>0</v>
      </c>
      <c r="BO197" s="3">
        <f>COUNTIFS(B197:G197, "&gt;=40", B197:G197, "&lt;=45")</f>
        <v>0</v>
      </c>
      <c r="BP197" s="28" t="e">
        <f>#REF!</f>
        <v>#REF!</v>
      </c>
      <c r="BQ197" s="28" t="e">
        <f>#REF!*2</f>
        <v>#REF!</v>
      </c>
      <c r="BR197" s="28" t="e">
        <f>#REF!</f>
        <v>#REF!</v>
      </c>
      <c r="BS197" s="28" t="e">
        <f>#REF!*2</f>
        <v>#REF!</v>
      </c>
      <c r="BT197" s="28" t="e">
        <f>#REF!</f>
        <v>#REF!</v>
      </c>
      <c r="BU197" s="28" t="e">
        <f>#REF!*2</f>
        <v>#REF!</v>
      </c>
      <c r="BV197" s="28" t="e">
        <f>#REF!</f>
        <v>#REF!</v>
      </c>
      <c r="BW197" s="28" t="e">
        <f>#REF!*2</f>
        <v>#REF!</v>
      </c>
      <c r="BX197" s="28" t="e">
        <f>#REF!</f>
        <v>#REF!</v>
      </c>
      <c r="BY197" s="28" t="e">
        <f>#REF!*2</f>
        <v>#REF!</v>
      </c>
      <c r="BZ197" s="28" t="e">
        <f>#REF!</f>
        <v>#REF!</v>
      </c>
      <c r="CA197" s="28" t="e">
        <f>#REF!*2</f>
        <v>#REF!</v>
      </c>
      <c r="CB197" s="9">
        <f>C197-B197</f>
        <v>0</v>
      </c>
      <c r="CC197" s="9">
        <f>D197-C197</f>
        <v>0</v>
      </c>
      <c r="CD197" s="9">
        <f>E197-D197</f>
        <v>0</v>
      </c>
      <c r="CE197" s="9">
        <f>F197-E197</f>
        <v>0</v>
      </c>
      <c r="CF197" s="9">
        <f>G197-F197</f>
        <v>0</v>
      </c>
      <c r="CG197" s="33"/>
      <c r="CH197" s="9">
        <f>C197-B197</f>
        <v>0</v>
      </c>
      <c r="CI197" s="9">
        <f>D197-C197</f>
        <v>0</v>
      </c>
      <c r="CJ197" s="9">
        <f>E197-D197</f>
        <v>0</v>
      </c>
      <c r="CK197" s="9">
        <f>F197-E197</f>
        <v>0</v>
      </c>
      <c r="CL197" s="9">
        <f>G197-F197</f>
        <v>0</v>
      </c>
      <c r="CM197" s="32"/>
      <c r="CN197" s="3">
        <f>IF(OR(CH197="",ISBLANK(CH197),CH197=0),0,IF(MOD(CH197,2)=1,1,2))</f>
        <v>0</v>
      </c>
      <c r="CO197" s="3">
        <f>IF(OR(CI197="",ISBLANK(CI197),CI197=0),0,IF(MOD(CI197,2)=1,1,2))</f>
        <v>0</v>
      </c>
      <c r="CP197" s="3">
        <f>IF(OR(CJ197="",ISBLANK(CJ197),CJ197=0),0,IF(MOD(CJ197,2)=1,1,2))</f>
        <v>0</v>
      </c>
      <c r="CQ197" s="3">
        <f>IF(OR(CK197="",ISBLANK(CK197),CK197=0),0,IF(MOD(CK197,2)=1,1,2))</f>
        <v>0</v>
      </c>
      <c r="CR197" s="3">
        <f>IF(OR(CL197="",ISBLANK(CL197),CL197=0),0,IF(MOD(CL197,2)=1,1,2))</f>
        <v>0</v>
      </c>
      <c r="CS197" s="31"/>
      <c r="CT197" s="3" cm="1">
        <f t="array" ref="CT197">SUMPRODUCT(--(MOD(CH197:CL197,2)=1))</f>
        <v>0</v>
      </c>
      <c r="CU197" s="3">
        <f>5-CT197</f>
        <v>5</v>
      </c>
      <c r="CV197" s="30"/>
      <c r="CW197" s="3" cm="1">
        <f t="array" ref="CW197">SUMPRODUCT(--(MOD(CH197:CL197,10)&gt;=1), --(MOD(CH197:CL197,10)&lt;=5))</f>
        <v>0</v>
      </c>
      <c r="CX197" s="3">
        <f>5-CW197</f>
        <v>5</v>
      </c>
      <c r="CY197" s="30"/>
      <c r="CZ197" s="3" cm="1">
        <f t="array" ref="CZ197">IFERROR(COUNT(_xlfn._xlws.FILTER(CH197:CL197, ISNUMBER(MATCH(CH197:CL197, {2,3,5,7,11,13,17,19,23,29,31,37,41,43}, 0)))), 0)</f>
        <v>0</v>
      </c>
      <c r="DA197" s="3" cm="1">
        <f t="array" ref="DA197">IFERROR(COUNT(_xlfn._xlws.FILTER(CH197:CL197, ISNUMBER(MATCH(CH197:CL197, {1,4,8,10,14,16,20,22,25,26,28,32,34,35,38,40,44}, 0)))), 0)</f>
        <v>0</v>
      </c>
      <c r="DB197" s="3" cm="1">
        <f t="array" ref="DB197">IFERROR(COUNT(_xlfn._xlws.FILTER(CH197:CL197, ISNUMBER(MATCH(CH197:CL197, {6,9,12,15,18,21,24,27,30,33,36,39,42,45}, 0)))), 0)</f>
        <v>0</v>
      </c>
      <c r="DC197" s="29"/>
      <c r="DD197" s="28" t="e">
        <f>#REF!</f>
        <v>#REF!</v>
      </c>
      <c r="DE197" s="28" t="e">
        <f>#REF!*2</f>
        <v>#REF!</v>
      </c>
      <c r="DF197" s="28" t="e">
        <f>#REF!</f>
        <v>#REF!</v>
      </c>
      <c r="DG197" s="28" t="e">
        <f>#REF!*2</f>
        <v>#REF!</v>
      </c>
      <c r="DH197" s="28" t="e">
        <f>#REF!</f>
        <v>#REF!</v>
      </c>
      <c r="DI197" s="28" t="e">
        <f>#REF!*2</f>
        <v>#REF!</v>
      </c>
      <c r="DJ197" s="28" t="e">
        <f>#REF!</f>
        <v>#REF!</v>
      </c>
      <c r="DK197" s="28" t="e">
        <f>#REF!*2</f>
        <v>#REF!</v>
      </c>
      <c r="DL197" s="28" t="e">
        <f>#REF!</f>
        <v>#REF!</v>
      </c>
      <c r="DM197" s="28" t="e">
        <f>#REF!*2</f>
        <v>#REF!</v>
      </c>
      <c r="DN197" s="27"/>
      <c r="DO197" s="26"/>
      <c r="DP197" s="26"/>
      <c r="DQ197" s="26"/>
      <c r="DR197" s="26"/>
      <c r="DS197" s="26"/>
      <c r="DT197" s="25"/>
    </row>
    <row r="198" spans="2:124" x14ac:dyDescent="0.3"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2"/>
      <c r="I198" s="3">
        <f>IF(OR(B198="",ISBLANK(B198),B198=0),0,IF(MOD(B198,2)=1,1,2))</f>
        <v>0</v>
      </c>
      <c r="J198" s="3">
        <f>IF(OR(C198="",ISBLANK(C198),C198=0),0,IF(MOD(C198,2)=1,1,2))</f>
        <v>0</v>
      </c>
      <c r="K198" s="3">
        <f>IF(OR(D198="",ISBLANK(D198),D198=0),0,IF(MOD(D198,2)=1,1,2))</f>
        <v>0</v>
      </c>
      <c r="L198" s="3">
        <f>IF(OR(E198="",ISBLANK(E198),E198=0),0,IF(MOD(E198,2)=1,1,2))</f>
        <v>0</v>
      </c>
      <c r="M198" s="3">
        <f>IF(OR(F198="",ISBLANK(F198),F198=0),0,IF(MOD(F198,2)=1,1,2))</f>
        <v>0</v>
      </c>
      <c r="N198" s="3">
        <f>IF(OR(G198="",ISBLANK(G198),G198=0),0,IF(MOD(G198,2)=1,1,2))</f>
        <v>0</v>
      </c>
      <c r="O198" s="32"/>
      <c r="P198" s="3" cm="1">
        <f t="array" ref="P198">SUMPRODUCT(--(MOD(B198:G198,2)=1))</f>
        <v>0</v>
      </c>
      <c r="Q198" s="3">
        <f>6-P198</f>
        <v>6</v>
      </c>
      <c r="R198" s="34"/>
      <c r="S198" s="3">
        <f>COUNTIFS(B198:G198,"&gt;=1",B198:G198,"&lt;=23")</f>
        <v>0</v>
      </c>
      <c r="T198" s="3">
        <f>6-S198</f>
        <v>6</v>
      </c>
      <c r="U198" s="34"/>
      <c r="V198" s="3" cm="1">
        <f t="array" ref="V198">SUMPRODUCT(--(MOD(B198:G198,10)&gt;=1), --(MOD(B198:G198,10)&lt;=5))</f>
        <v>0</v>
      </c>
      <c r="W198" s="3">
        <f>6-V198</f>
        <v>6</v>
      </c>
      <c r="X198" s="34"/>
      <c r="Y198" s="3" cm="1">
        <f t="array" ref="Y198">IFERROR(COUNT(_xlfn._xlws.FILTER(B198:G198, ISNUMBER(MATCH(B198:G198, {2,3,5,7,11,13,17,19,23,29,31,37,41,43}, 0)))), 0)</f>
        <v>0</v>
      </c>
      <c r="Z198" s="3" cm="1">
        <f t="array" ref="Z198">IFERROR(COUNT(_xlfn._xlws.FILTER(B198:G198, ISNUMBER(MATCH(B198:G198, {1,4,8,10,14,16,20,22,25,26,28,32,34,35,38,40,44}, 0)))), 0)</f>
        <v>0</v>
      </c>
      <c r="AA198" s="3" cm="1">
        <f t="array" ref="AA198">IFERROR(COUNT(_xlfn._xlws.FILTER(B198:G198, ISNUMBER(MATCH(B198:G198, {6,9,12,15,18,21,24,27,30,33,36,39,42,45}, 0)))), 0)</f>
        <v>0</v>
      </c>
      <c r="AB198" s="30"/>
      <c r="AC198" s="26" cm="1">
        <f t="array" ref="AC198">_xlfn.IFS(
   OR(B198="",ISBLANK(B198),B198=0),0,
   ISNUMBER(MATCH(B198,{2,3,5,7,11,13,17,19,23,29,31,37,41,43},0)),"소",
   AND(ISNUMBER(B198),MOD(B198,3)=0),"배",
   AND(ISNUMBER(B198),B198&gt;0),"자"
)</f>
        <v>0</v>
      </c>
      <c r="AD198" s="26" cm="1">
        <f t="array" ref="AD198">_xlfn.IFS(
   OR(C198="",ISBLANK(C198),C198=0),0,
   ISNUMBER(MATCH(C198,{2,3,5,7,11,13,17,19,23,29,31,37,41,43},0)),"소",
   AND(ISNUMBER(C198),MOD(C198,3)=0),"배",
   AND(ISNUMBER(C198),C198&gt;0),"자"
)</f>
        <v>0</v>
      </c>
      <c r="AE198" s="26" cm="1">
        <f t="array" ref="AE198">_xlfn.IFS(
   OR(D198="",ISBLANK(D198),D198=0),0,
   ISNUMBER(MATCH(D198,{2,3,5,7,11,13,17,19,23,29,31,37,41,43},0)),"소",
   AND(ISNUMBER(D198),MOD(D198,3)=0),"배",
   AND(ISNUMBER(D198),D198&gt;0),"자"
)</f>
        <v>0</v>
      </c>
      <c r="AF198" s="26" cm="1">
        <f t="array" ref="AF198">_xlfn.IFS(
   OR(E198="",ISBLANK(E198),E198=0),0,
   ISNUMBER(MATCH(E198,{2,3,5,7,11,13,17,19,23,29,31,37,41,43},0)),"소",
   AND(ISNUMBER(E198),MOD(E198,3)=0),"배",
   AND(ISNUMBER(E198),E198&gt;0),"자"
)</f>
        <v>0</v>
      </c>
      <c r="AG198" s="26" cm="1">
        <f t="array" ref="AG198">_xlfn.IFS(
   OR(F198="",ISBLANK(F198),F198=0),0,
   ISNUMBER(MATCH(F198,{2,3,5,7,11,13,17,19,23,29,31,37,41,43},0)),"소",
   AND(ISNUMBER(F198),MOD(F198,3)=0),"배",
   AND(ISNUMBER(F198),F198&gt;0),"자"
)</f>
        <v>0</v>
      </c>
      <c r="AH198" s="26" cm="1">
        <f t="array" ref="AH198">_xlfn.IFS(
   OR(G198="",ISBLANK(G198),G198=0),0,
   ISNUMBER(MATCH(G198,{2,3,5,7,11,13,17,19,23,29,31,37,41,43},0)),"소",
   AND(ISNUMBER(G198),MOD(G198,3)=0),"배",
   AND(ISNUMBER(G198),G198&gt;0),"자"
)</f>
        <v>0</v>
      </c>
      <c r="AI198" s="30"/>
      <c r="AJ198" s="3">
        <f>COUNTIFS(B198:G198,"&gt;=1",B198:G198,"&lt;=14")</f>
        <v>0</v>
      </c>
      <c r="AK198" s="3">
        <f>COUNTIFS(B198:G198,"&gt;=15",B198:G198,"&lt;=31")</f>
        <v>0</v>
      </c>
      <c r="AL198" s="3">
        <f>6-AK198-AJ198</f>
        <v>6</v>
      </c>
      <c r="AM198" s="33"/>
      <c r="AN198" s="3">
        <f>COUNTIFS($B198:$G198, "&gt;=1",$B198:$G198, "&lt;=9")</f>
        <v>0</v>
      </c>
      <c r="AO198" s="3">
        <f>COUNTIFS($B198:$G198, "&gt;=10",$B198:$G198, "&lt;=18")</f>
        <v>0</v>
      </c>
      <c r="AP198" s="3">
        <f>COUNTIFS($B198:$G198, "&gt;=19",$B198:$G198, "&lt;=27")</f>
        <v>0</v>
      </c>
      <c r="AQ198" s="3">
        <f>COUNTIFS($B198:$G198, "&gt;=28",$B198:$G198, "&lt;=36")</f>
        <v>0</v>
      </c>
      <c r="AR198" s="3">
        <f>COUNTIFS($B198:$G198, "&gt;=37",$B198:$G198, "&lt;=45")</f>
        <v>0</v>
      </c>
      <c r="AS198" s="28" t="e">
        <f>#REF!</f>
        <v>#REF!</v>
      </c>
      <c r="AT198" s="28" t="e">
        <f>#REF!*2</f>
        <v>#REF!</v>
      </c>
      <c r="AU198" s="28" t="e">
        <f>#REF!</f>
        <v>#REF!</v>
      </c>
      <c r="AV198" s="28" t="e">
        <f>#REF!*2</f>
        <v>#REF!</v>
      </c>
      <c r="AW198" s="28" t="e">
        <f>#REF!</f>
        <v>#REF!</v>
      </c>
      <c r="AX198" s="28" t="e">
        <f>#REF!*2</f>
        <v>#REF!</v>
      </c>
      <c r="AY198" s="28" t="e">
        <f>#REF!</f>
        <v>#REF!</v>
      </c>
      <c r="AZ198" s="28" t="e">
        <f>#REF!*2</f>
        <v>#REF!</v>
      </c>
      <c r="BA198" s="28" t="e">
        <f>#REF!</f>
        <v>#REF!</v>
      </c>
      <c r="BB198" s="28" t="e">
        <f>#REF!*2</f>
        <v>#REF!</v>
      </c>
      <c r="BC198" s="28" t="e">
        <f>#REF!</f>
        <v>#REF!</v>
      </c>
      <c r="BD198" s="28" t="e">
        <f>#REF!*2</f>
        <v>#REF!</v>
      </c>
      <c r="BE198" s="9" t="e">
        <f>#REF!-#REF!</f>
        <v>#REF!</v>
      </c>
      <c r="BF198" s="9" t="e">
        <f>#REF!-#REF!</f>
        <v>#REF!</v>
      </c>
      <c r="BG198" s="9" t="e">
        <f>#REF!-#REF!</f>
        <v>#REF!</v>
      </c>
      <c r="BH198" s="9" t="e">
        <f>#REF!-#REF!</f>
        <v>#REF!</v>
      </c>
      <c r="BI198" s="9" t="e">
        <f>#REF!-#REF!</f>
        <v>#REF!</v>
      </c>
      <c r="BJ198" s="33"/>
      <c r="BK198" s="3">
        <f>COUNTIFS(B198:G198, "&gt;=1", B198:G198, "&lt;=9")</f>
        <v>0</v>
      </c>
      <c r="BL198" s="3">
        <f>COUNTIFS(B198:G198, "&gt;=10", B198:G198, "&lt;=19")</f>
        <v>0</v>
      </c>
      <c r="BM198" s="3">
        <f>COUNTIFS(B198:G198, "&gt;=20", B198:G198, "&lt;=29")</f>
        <v>0</v>
      </c>
      <c r="BN198" s="3">
        <f>COUNTIFS(B198:G198, "&gt;=30", B198:G198, "&lt;=39")</f>
        <v>0</v>
      </c>
      <c r="BO198" s="3">
        <f>COUNTIFS(B198:G198, "&gt;=40", B198:G198, "&lt;=45")</f>
        <v>0</v>
      </c>
      <c r="BP198" s="28" t="e">
        <f>#REF!</f>
        <v>#REF!</v>
      </c>
      <c r="BQ198" s="28" t="e">
        <f>#REF!*2</f>
        <v>#REF!</v>
      </c>
      <c r="BR198" s="28" t="e">
        <f>#REF!</f>
        <v>#REF!</v>
      </c>
      <c r="BS198" s="28" t="e">
        <f>#REF!*2</f>
        <v>#REF!</v>
      </c>
      <c r="BT198" s="28" t="e">
        <f>#REF!</f>
        <v>#REF!</v>
      </c>
      <c r="BU198" s="28" t="e">
        <f>#REF!*2</f>
        <v>#REF!</v>
      </c>
      <c r="BV198" s="28" t="e">
        <f>#REF!</f>
        <v>#REF!</v>
      </c>
      <c r="BW198" s="28" t="e">
        <f>#REF!*2</f>
        <v>#REF!</v>
      </c>
      <c r="BX198" s="28" t="e">
        <f>#REF!</f>
        <v>#REF!</v>
      </c>
      <c r="BY198" s="28" t="e">
        <f>#REF!*2</f>
        <v>#REF!</v>
      </c>
      <c r="BZ198" s="28" t="e">
        <f>#REF!</f>
        <v>#REF!</v>
      </c>
      <c r="CA198" s="28" t="e">
        <f>#REF!*2</f>
        <v>#REF!</v>
      </c>
      <c r="CB198" s="9">
        <f>C198-B198</f>
        <v>0</v>
      </c>
      <c r="CC198" s="9">
        <f>D198-C198</f>
        <v>0</v>
      </c>
      <c r="CD198" s="9">
        <f>E198-D198</f>
        <v>0</v>
      </c>
      <c r="CE198" s="9">
        <f>F198-E198</f>
        <v>0</v>
      </c>
      <c r="CF198" s="9">
        <f>G198-F198</f>
        <v>0</v>
      </c>
      <c r="CG198" s="33"/>
      <c r="CH198" s="9">
        <f>C198-B198</f>
        <v>0</v>
      </c>
      <c r="CI198" s="9">
        <f>D198-C198</f>
        <v>0</v>
      </c>
      <c r="CJ198" s="9">
        <f>E198-D198</f>
        <v>0</v>
      </c>
      <c r="CK198" s="9">
        <f>F198-E198</f>
        <v>0</v>
      </c>
      <c r="CL198" s="9">
        <f>G198-F198</f>
        <v>0</v>
      </c>
      <c r="CM198" s="32"/>
      <c r="CN198" s="3">
        <f>IF(OR(CH198="",ISBLANK(CH198),CH198=0),0,IF(MOD(CH198,2)=1,1,2))</f>
        <v>0</v>
      </c>
      <c r="CO198" s="3">
        <f>IF(OR(CI198="",ISBLANK(CI198),CI198=0),0,IF(MOD(CI198,2)=1,1,2))</f>
        <v>0</v>
      </c>
      <c r="CP198" s="3">
        <f>IF(OR(CJ198="",ISBLANK(CJ198),CJ198=0),0,IF(MOD(CJ198,2)=1,1,2))</f>
        <v>0</v>
      </c>
      <c r="CQ198" s="3">
        <f>IF(OR(CK198="",ISBLANK(CK198),CK198=0),0,IF(MOD(CK198,2)=1,1,2))</f>
        <v>0</v>
      </c>
      <c r="CR198" s="3">
        <f>IF(OR(CL198="",ISBLANK(CL198),CL198=0),0,IF(MOD(CL198,2)=1,1,2))</f>
        <v>0</v>
      </c>
      <c r="CS198" s="31"/>
      <c r="CT198" s="3" cm="1">
        <f t="array" ref="CT198">SUMPRODUCT(--(MOD(CH198:CL198,2)=1))</f>
        <v>0</v>
      </c>
      <c r="CU198" s="3">
        <f>5-CT198</f>
        <v>5</v>
      </c>
      <c r="CV198" s="30"/>
      <c r="CW198" s="3" cm="1">
        <f t="array" ref="CW198">SUMPRODUCT(--(MOD(CH198:CL198,10)&gt;=1), --(MOD(CH198:CL198,10)&lt;=5))</f>
        <v>0</v>
      </c>
      <c r="CX198" s="3">
        <f>5-CW198</f>
        <v>5</v>
      </c>
      <c r="CY198" s="30"/>
      <c r="CZ198" s="3" cm="1">
        <f t="array" ref="CZ198">IFERROR(COUNT(_xlfn._xlws.FILTER(CH198:CL198, ISNUMBER(MATCH(CH198:CL198, {2,3,5,7,11,13,17,19,23,29,31,37,41,43}, 0)))), 0)</f>
        <v>0</v>
      </c>
      <c r="DA198" s="3" cm="1">
        <f t="array" ref="DA198">IFERROR(COUNT(_xlfn._xlws.FILTER(CH198:CL198, ISNUMBER(MATCH(CH198:CL198, {1,4,8,10,14,16,20,22,25,26,28,32,34,35,38,40,44}, 0)))), 0)</f>
        <v>0</v>
      </c>
      <c r="DB198" s="3" cm="1">
        <f t="array" ref="DB198">IFERROR(COUNT(_xlfn._xlws.FILTER(CH198:CL198, ISNUMBER(MATCH(CH198:CL198, {6,9,12,15,18,21,24,27,30,33,36,39,42,45}, 0)))), 0)</f>
        <v>0</v>
      </c>
      <c r="DC198" s="29"/>
      <c r="DD198" s="28" t="e">
        <f>#REF!</f>
        <v>#REF!</v>
      </c>
      <c r="DE198" s="28" t="e">
        <f>#REF!*2</f>
        <v>#REF!</v>
      </c>
      <c r="DF198" s="28" t="e">
        <f>#REF!</f>
        <v>#REF!</v>
      </c>
      <c r="DG198" s="28" t="e">
        <f>#REF!*2</f>
        <v>#REF!</v>
      </c>
      <c r="DH198" s="28" t="e">
        <f>#REF!</f>
        <v>#REF!</v>
      </c>
      <c r="DI198" s="28" t="e">
        <f>#REF!*2</f>
        <v>#REF!</v>
      </c>
      <c r="DJ198" s="28" t="e">
        <f>#REF!</f>
        <v>#REF!</v>
      </c>
      <c r="DK198" s="28" t="e">
        <f>#REF!*2</f>
        <v>#REF!</v>
      </c>
      <c r="DL198" s="28" t="e">
        <f>#REF!</f>
        <v>#REF!</v>
      </c>
      <c r="DM198" s="28" t="e">
        <f>#REF!*2</f>
        <v>#REF!</v>
      </c>
      <c r="DN198" s="27"/>
      <c r="DO198" s="26"/>
      <c r="DP198" s="26"/>
      <c r="DQ198" s="26"/>
      <c r="DR198" s="26"/>
      <c r="DS198" s="26"/>
      <c r="DT198" s="25"/>
    </row>
    <row r="199" spans="2:124" x14ac:dyDescent="0.3">
      <c r="B199" s="3">
        <v>0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2"/>
      <c r="I199" s="3">
        <f>IF(OR(B199="",ISBLANK(B199),B199=0),0,IF(MOD(B199,2)=1,1,2))</f>
        <v>0</v>
      </c>
      <c r="J199" s="3">
        <f>IF(OR(C199="",ISBLANK(C199),C199=0),0,IF(MOD(C199,2)=1,1,2))</f>
        <v>0</v>
      </c>
      <c r="K199" s="3">
        <f>IF(OR(D199="",ISBLANK(D199),D199=0),0,IF(MOD(D199,2)=1,1,2))</f>
        <v>0</v>
      </c>
      <c r="L199" s="3">
        <f>IF(OR(E199="",ISBLANK(E199),E199=0),0,IF(MOD(E199,2)=1,1,2))</f>
        <v>0</v>
      </c>
      <c r="M199" s="3">
        <f>IF(OR(F199="",ISBLANK(F199),F199=0),0,IF(MOD(F199,2)=1,1,2))</f>
        <v>0</v>
      </c>
      <c r="N199" s="3">
        <f>IF(OR(G199="",ISBLANK(G199),G199=0),0,IF(MOD(G199,2)=1,1,2))</f>
        <v>0</v>
      </c>
      <c r="O199" s="32"/>
      <c r="P199" s="3" cm="1">
        <f t="array" ref="P199">SUMPRODUCT(--(MOD(B199:G199,2)=1))</f>
        <v>0</v>
      </c>
      <c r="Q199" s="3">
        <f>6-P199</f>
        <v>6</v>
      </c>
      <c r="R199" s="34"/>
      <c r="S199" s="3">
        <f>COUNTIFS(B199:G199,"&gt;=1",B199:G199,"&lt;=23")</f>
        <v>0</v>
      </c>
      <c r="T199" s="3">
        <f>6-S199</f>
        <v>6</v>
      </c>
      <c r="U199" s="34"/>
      <c r="V199" s="3" cm="1">
        <f t="array" ref="V199">SUMPRODUCT(--(MOD(B199:G199,10)&gt;=1), --(MOD(B199:G199,10)&lt;=5))</f>
        <v>0</v>
      </c>
      <c r="W199" s="3">
        <f>6-V199</f>
        <v>6</v>
      </c>
      <c r="X199" s="34"/>
      <c r="Y199" s="3" cm="1">
        <f t="array" ref="Y199">IFERROR(COUNT(_xlfn._xlws.FILTER(B199:G199, ISNUMBER(MATCH(B199:G199, {2,3,5,7,11,13,17,19,23,29,31,37,41,43}, 0)))), 0)</f>
        <v>0</v>
      </c>
      <c r="Z199" s="3" cm="1">
        <f t="array" ref="Z199">IFERROR(COUNT(_xlfn._xlws.FILTER(B199:G199, ISNUMBER(MATCH(B199:G199, {1,4,8,10,14,16,20,22,25,26,28,32,34,35,38,40,44}, 0)))), 0)</f>
        <v>0</v>
      </c>
      <c r="AA199" s="3" cm="1">
        <f t="array" ref="AA199">IFERROR(COUNT(_xlfn._xlws.FILTER(B199:G199, ISNUMBER(MATCH(B199:G199, {6,9,12,15,18,21,24,27,30,33,36,39,42,45}, 0)))), 0)</f>
        <v>0</v>
      </c>
      <c r="AB199" s="30"/>
      <c r="AC199" s="26" cm="1">
        <f t="array" ref="AC199">_xlfn.IFS(
   OR(B199="",ISBLANK(B199),B199=0),0,
   ISNUMBER(MATCH(B199,{2,3,5,7,11,13,17,19,23,29,31,37,41,43},0)),"소",
   AND(ISNUMBER(B199),MOD(B199,3)=0),"배",
   AND(ISNUMBER(B199),B199&gt;0),"자"
)</f>
        <v>0</v>
      </c>
      <c r="AD199" s="26" cm="1">
        <f t="array" ref="AD199">_xlfn.IFS(
   OR(C199="",ISBLANK(C199),C199=0),0,
   ISNUMBER(MATCH(C199,{2,3,5,7,11,13,17,19,23,29,31,37,41,43},0)),"소",
   AND(ISNUMBER(C199),MOD(C199,3)=0),"배",
   AND(ISNUMBER(C199),C199&gt;0),"자"
)</f>
        <v>0</v>
      </c>
      <c r="AE199" s="26" cm="1">
        <f t="array" ref="AE199">_xlfn.IFS(
   OR(D199="",ISBLANK(D199),D199=0),0,
   ISNUMBER(MATCH(D199,{2,3,5,7,11,13,17,19,23,29,31,37,41,43},0)),"소",
   AND(ISNUMBER(D199),MOD(D199,3)=0),"배",
   AND(ISNUMBER(D199),D199&gt;0),"자"
)</f>
        <v>0</v>
      </c>
      <c r="AF199" s="26" cm="1">
        <f t="array" ref="AF199">_xlfn.IFS(
   OR(E199="",ISBLANK(E199),E199=0),0,
   ISNUMBER(MATCH(E199,{2,3,5,7,11,13,17,19,23,29,31,37,41,43},0)),"소",
   AND(ISNUMBER(E199),MOD(E199,3)=0),"배",
   AND(ISNUMBER(E199),E199&gt;0),"자"
)</f>
        <v>0</v>
      </c>
      <c r="AG199" s="26" cm="1">
        <f t="array" ref="AG199">_xlfn.IFS(
   OR(F199="",ISBLANK(F199),F199=0),0,
   ISNUMBER(MATCH(F199,{2,3,5,7,11,13,17,19,23,29,31,37,41,43},0)),"소",
   AND(ISNUMBER(F199),MOD(F199,3)=0),"배",
   AND(ISNUMBER(F199),F199&gt;0),"자"
)</f>
        <v>0</v>
      </c>
      <c r="AH199" s="26" cm="1">
        <f t="array" ref="AH199">_xlfn.IFS(
   OR(G199="",ISBLANK(G199),G199=0),0,
   ISNUMBER(MATCH(G199,{2,3,5,7,11,13,17,19,23,29,31,37,41,43},0)),"소",
   AND(ISNUMBER(G199),MOD(G199,3)=0),"배",
   AND(ISNUMBER(G199),G199&gt;0),"자"
)</f>
        <v>0</v>
      </c>
      <c r="AI199" s="30"/>
      <c r="AJ199" s="3">
        <f>COUNTIFS(B199:G199,"&gt;=1",B199:G199,"&lt;=14")</f>
        <v>0</v>
      </c>
      <c r="AK199" s="3">
        <f>COUNTIFS(B199:G199,"&gt;=15",B199:G199,"&lt;=31")</f>
        <v>0</v>
      </c>
      <c r="AL199" s="3">
        <f>6-AK199-AJ199</f>
        <v>6</v>
      </c>
      <c r="AM199" s="33"/>
      <c r="AN199" s="3">
        <f>COUNTIFS($B199:$G199, "&gt;=1",$B199:$G199, "&lt;=9")</f>
        <v>0</v>
      </c>
      <c r="AO199" s="3">
        <f>COUNTIFS($B199:$G199, "&gt;=10",$B199:$G199, "&lt;=18")</f>
        <v>0</v>
      </c>
      <c r="AP199" s="3">
        <f>COUNTIFS($B199:$G199, "&gt;=19",$B199:$G199, "&lt;=27")</f>
        <v>0</v>
      </c>
      <c r="AQ199" s="3">
        <f>COUNTIFS($B199:$G199, "&gt;=28",$B199:$G199, "&lt;=36")</f>
        <v>0</v>
      </c>
      <c r="AR199" s="3">
        <f>COUNTIFS($B199:$G199, "&gt;=37",$B199:$G199, "&lt;=45")</f>
        <v>0</v>
      </c>
      <c r="AS199" s="28" t="e">
        <f>#REF!</f>
        <v>#REF!</v>
      </c>
      <c r="AT199" s="28" t="e">
        <f>#REF!*2</f>
        <v>#REF!</v>
      </c>
      <c r="AU199" s="28" t="e">
        <f>#REF!</f>
        <v>#REF!</v>
      </c>
      <c r="AV199" s="28" t="e">
        <f>#REF!*2</f>
        <v>#REF!</v>
      </c>
      <c r="AW199" s="28" t="e">
        <f>#REF!</f>
        <v>#REF!</v>
      </c>
      <c r="AX199" s="28" t="e">
        <f>#REF!*2</f>
        <v>#REF!</v>
      </c>
      <c r="AY199" s="28" t="e">
        <f>#REF!</f>
        <v>#REF!</v>
      </c>
      <c r="AZ199" s="28" t="e">
        <f>#REF!*2</f>
        <v>#REF!</v>
      </c>
      <c r="BA199" s="28" t="e">
        <f>#REF!</f>
        <v>#REF!</v>
      </c>
      <c r="BB199" s="28" t="e">
        <f>#REF!*2</f>
        <v>#REF!</v>
      </c>
      <c r="BC199" s="28" t="e">
        <f>#REF!</f>
        <v>#REF!</v>
      </c>
      <c r="BD199" s="28" t="e">
        <f>#REF!*2</f>
        <v>#REF!</v>
      </c>
      <c r="BE199" s="9" t="e">
        <f>#REF!-#REF!</f>
        <v>#REF!</v>
      </c>
      <c r="BF199" s="9" t="e">
        <f>#REF!-#REF!</f>
        <v>#REF!</v>
      </c>
      <c r="BG199" s="9" t="e">
        <f>#REF!-#REF!</f>
        <v>#REF!</v>
      </c>
      <c r="BH199" s="9" t="e">
        <f>#REF!-#REF!</f>
        <v>#REF!</v>
      </c>
      <c r="BI199" s="9" t="e">
        <f>#REF!-#REF!</f>
        <v>#REF!</v>
      </c>
      <c r="BJ199" s="33"/>
      <c r="BK199" s="3">
        <f>COUNTIFS(B199:G199, "&gt;=1", B199:G199, "&lt;=9")</f>
        <v>0</v>
      </c>
      <c r="BL199" s="3">
        <f>COUNTIFS(B199:G199, "&gt;=10", B199:G199, "&lt;=19")</f>
        <v>0</v>
      </c>
      <c r="BM199" s="3">
        <f>COUNTIFS(B199:G199, "&gt;=20", B199:G199, "&lt;=29")</f>
        <v>0</v>
      </c>
      <c r="BN199" s="3">
        <f>COUNTIFS(B199:G199, "&gt;=30", B199:G199, "&lt;=39")</f>
        <v>0</v>
      </c>
      <c r="BO199" s="3">
        <f>COUNTIFS(B199:G199, "&gt;=40", B199:G199, "&lt;=45")</f>
        <v>0</v>
      </c>
      <c r="BP199" s="28" t="e">
        <f>#REF!</f>
        <v>#REF!</v>
      </c>
      <c r="BQ199" s="28" t="e">
        <f>#REF!*2</f>
        <v>#REF!</v>
      </c>
      <c r="BR199" s="28" t="e">
        <f>#REF!</f>
        <v>#REF!</v>
      </c>
      <c r="BS199" s="28" t="e">
        <f>#REF!*2</f>
        <v>#REF!</v>
      </c>
      <c r="BT199" s="28" t="e">
        <f>#REF!</f>
        <v>#REF!</v>
      </c>
      <c r="BU199" s="28" t="e">
        <f>#REF!*2</f>
        <v>#REF!</v>
      </c>
      <c r="BV199" s="28" t="e">
        <f>#REF!</f>
        <v>#REF!</v>
      </c>
      <c r="BW199" s="28" t="e">
        <f>#REF!*2</f>
        <v>#REF!</v>
      </c>
      <c r="BX199" s="28" t="e">
        <f>#REF!</f>
        <v>#REF!</v>
      </c>
      <c r="BY199" s="28" t="e">
        <f>#REF!*2</f>
        <v>#REF!</v>
      </c>
      <c r="BZ199" s="28" t="e">
        <f>#REF!</f>
        <v>#REF!</v>
      </c>
      <c r="CA199" s="28" t="e">
        <f>#REF!*2</f>
        <v>#REF!</v>
      </c>
      <c r="CB199" s="9">
        <f>C199-B199</f>
        <v>0</v>
      </c>
      <c r="CC199" s="9">
        <f>D199-C199</f>
        <v>0</v>
      </c>
      <c r="CD199" s="9">
        <f>E199-D199</f>
        <v>0</v>
      </c>
      <c r="CE199" s="9">
        <f>F199-E199</f>
        <v>0</v>
      </c>
      <c r="CF199" s="9">
        <f>G199-F199</f>
        <v>0</v>
      </c>
      <c r="CG199" s="33"/>
      <c r="CH199" s="9">
        <f>C199-B199</f>
        <v>0</v>
      </c>
      <c r="CI199" s="9">
        <f>D199-C199</f>
        <v>0</v>
      </c>
      <c r="CJ199" s="9">
        <f>E199-D199</f>
        <v>0</v>
      </c>
      <c r="CK199" s="9">
        <f>F199-E199</f>
        <v>0</v>
      </c>
      <c r="CL199" s="9">
        <f>G199-F199</f>
        <v>0</v>
      </c>
      <c r="CM199" s="32"/>
      <c r="CN199" s="3">
        <f>IF(OR(CH199="",ISBLANK(CH199),CH199=0),0,IF(MOD(CH199,2)=1,1,2))</f>
        <v>0</v>
      </c>
      <c r="CO199" s="3">
        <f>IF(OR(CI199="",ISBLANK(CI199),CI199=0),0,IF(MOD(CI199,2)=1,1,2))</f>
        <v>0</v>
      </c>
      <c r="CP199" s="3">
        <f>IF(OR(CJ199="",ISBLANK(CJ199),CJ199=0),0,IF(MOD(CJ199,2)=1,1,2))</f>
        <v>0</v>
      </c>
      <c r="CQ199" s="3">
        <f>IF(OR(CK199="",ISBLANK(CK199),CK199=0),0,IF(MOD(CK199,2)=1,1,2))</f>
        <v>0</v>
      </c>
      <c r="CR199" s="3">
        <f>IF(OR(CL199="",ISBLANK(CL199),CL199=0),0,IF(MOD(CL199,2)=1,1,2))</f>
        <v>0</v>
      </c>
      <c r="CS199" s="31"/>
      <c r="CT199" s="3" cm="1">
        <f t="array" ref="CT199">SUMPRODUCT(--(MOD(CH199:CL199,2)=1))</f>
        <v>0</v>
      </c>
      <c r="CU199" s="3">
        <f>5-CT199</f>
        <v>5</v>
      </c>
      <c r="CV199" s="30"/>
      <c r="CW199" s="3" cm="1">
        <f t="array" ref="CW199">SUMPRODUCT(--(MOD(CH199:CL199,10)&gt;=1), --(MOD(CH199:CL199,10)&lt;=5))</f>
        <v>0</v>
      </c>
      <c r="CX199" s="3">
        <f>5-CW199</f>
        <v>5</v>
      </c>
      <c r="CY199" s="30"/>
      <c r="CZ199" s="3" cm="1">
        <f t="array" ref="CZ199">IFERROR(COUNT(_xlfn._xlws.FILTER(CH199:CL199, ISNUMBER(MATCH(CH199:CL199, {2,3,5,7,11,13,17,19,23,29,31,37,41,43}, 0)))), 0)</f>
        <v>0</v>
      </c>
      <c r="DA199" s="3" cm="1">
        <f t="array" ref="DA199">IFERROR(COUNT(_xlfn._xlws.FILTER(CH199:CL199, ISNUMBER(MATCH(CH199:CL199, {1,4,8,10,14,16,20,22,25,26,28,32,34,35,38,40,44}, 0)))), 0)</f>
        <v>0</v>
      </c>
      <c r="DB199" s="3" cm="1">
        <f t="array" ref="DB199">IFERROR(COUNT(_xlfn._xlws.FILTER(CH199:CL199, ISNUMBER(MATCH(CH199:CL199, {6,9,12,15,18,21,24,27,30,33,36,39,42,45}, 0)))), 0)</f>
        <v>0</v>
      </c>
      <c r="DC199" s="29"/>
      <c r="DD199" s="28" t="e">
        <f>#REF!</f>
        <v>#REF!</v>
      </c>
      <c r="DE199" s="28" t="e">
        <f>#REF!*2</f>
        <v>#REF!</v>
      </c>
      <c r="DF199" s="28" t="e">
        <f>#REF!</f>
        <v>#REF!</v>
      </c>
      <c r="DG199" s="28" t="e">
        <f>#REF!*2</f>
        <v>#REF!</v>
      </c>
      <c r="DH199" s="28" t="e">
        <f>#REF!</f>
        <v>#REF!</v>
      </c>
      <c r="DI199" s="28" t="e">
        <f>#REF!*2</f>
        <v>#REF!</v>
      </c>
      <c r="DJ199" s="28" t="e">
        <f>#REF!</f>
        <v>#REF!</v>
      </c>
      <c r="DK199" s="28" t="e">
        <f>#REF!*2</f>
        <v>#REF!</v>
      </c>
      <c r="DL199" s="28" t="e">
        <f>#REF!</f>
        <v>#REF!</v>
      </c>
      <c r="DM199" s="28" t="e">
        <f>#REF!*2</f>
        <v>#REF!</v>
      </c>
      <c r="DN199" s="27"/>
      <c r="DO199" s="26"/>
      <c r="DP199" s="26"/>
      <c r="DQ199" s="26"/>
      <c r="DR199" s="26"/>
      <c r="DS199" s="26"/>
      <c r="DT199" s="25"/>
    </row>
    <row r="200" spans="2:124" x14ac:dyDescent="0.3"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2"/>
      <c r="I200" s="3">
        <f>IF(OR(B200="",ISBLANK(B200),B200=0),0,IF(MOD(B200,2)=1,1,2))</f>
        <v>0</v>
      </c>
      <c r="J200" s="3">
        <f>IF(OR(C200="",ISBLANK(C200),C200=0),0,IF(MOD(C200,2)=1,1,2))</f>
        <v>0</v>
      </c>
      <c r="K200" s="3">
        <f>IF(OR(D200="",ISBLANK(D200),D200=0),0,IF(MOD(D200,2)=1,1,2))</f>
        <v>0</v>
      </c>
      <c r="L200" s="3">
        <f>IF(OR(E200="",ISBLANK(E200),E200=0),0,IF(MOD(E200,2)=1,1,2))</f>
        <v>0</v>
      </c>
      <c r="M200" s="3">
        <f>IF(OR(F200="",ISBLANK(F200),F200=0),0,IF(MOD(F200,2)=1,1,2))</f>
        <v>0</v>
      </c>
      <c r="N200" s="3">
        <f>IF(OR(G200="",ISBLANK(G200),G200=0),0,IF(MOD(G200,2)=1,1,2))</f>
        <v>0</v>
      </c>
      <c r="O200" s="32"/>
      <c r="P200" s="3" cm="1">
        <f t="array" ref="P200">SUMPRODUCT(--(MOD(B200:G200,2)=1))</f>
        <v>0</v>
      </c>
      <c r="Q200" s="3">
        <f>6-P200</f>
        <v>6</v>
      </c>
      <c r="R200" s="34"/>
      <c r="S200" s="3">
        <f>COUNTIFS(B200:G200,"&gt;=1",B200:G200,"&lt;=23")</f>
        <v>0</v>
      </c>
      <c r="T200" s="3">
        <f>6-S200</f>
        <v>6</v>
      </c>
      <c r="U200" s="34"/>
      <c r="V200" s="3" cm="1">
        <f t="array" ref="V200">SUMPRODUCT(--(MOD(B200:G200,10)&gt;=1), --(MOD(B200:G200,10)&lt;=5))</f>
        <v>0</v>
      </c>
      <c r="W200" s="3">
        <f>6-V200</f>
        <v>6</v>
      </c>
      <c r="X200" s="34"/>
      <c r="Y200" s="3" cm="1">
        <f t="array" ref="Y200">IFERROR(COUNT(_xlfn._xlws.FILTER(B200:G200, ISNUMBER(MATCH(B200:G200, {2,3,5,7,11,13,17,19,23,29,31,37,41,43}, 0)))), 0)</f>
        <v>0</v>
      </c>
      <c r="Z200" s="3" cm="1">
        <f t="array" ref="Z200">IFERROR(COUNT(_xlfn._xlws.FILTER(B200:G200, ISNUMBER(MATCH(B200:G200, {1,4,8,10,14,16,20,22,25,26,28,32,34,35,38,40,44}, 0)))), 0)</f>
        <v>0</v>
      </c>
      <c r="AA200" s="3" cm="1">
        <f t="array" ref="AA200">IFERROR(COUNT(_xlfn._xlws.FILTER(B200:G200, ISNUMBER(MATCH(B200:G200, {6,9,12,15,18,21,24,27,30,33,36,39,42,45}, 0)))), 0)</f>
        <v>0</v>
      </c>
      <c r="AB200" s="30"/>
      <c r="AC200" s="26" cm="1">
        <f t="array" ref="AC200">_xlfn.IFS(
   OR(B200="",ISBLANK(B200),B200=0),0,
   ISNUMBER(MATCH(B200,{2,3,5,7,11,13,17,19,23,29,31,37,41,43},0)),"소",
   AND(ISNUMBER(B200),MOD(B200,3)=0),"배",
   AND(ISNUMBER(B200),B200&gt;0),"자"
)</f>
        <v>0</v>
      </c>
      <c r="AD200" s="26" cm="1">
        <f t="array" ref="AD200">_xlfn.IFS(
   OR(C200="",ISBLANK(C200),C200=0),0,
   ISNUMBER(MATCH(C200,{2,3,5,7,11,13,17,19,23,29,31,37,41,43},0)),"소",
   AND(ISNUMBER(C200),MOD(C200,3)=0),"배",
   AND(ISNUMBER(C200),C200&gt;0),"자"
)</f>
        <v>0</v>
      </c>
      <c r="AE200" s="26" cm="1">
        <f t="array" ref="AE200">_xlfn.IFS(
   OR(D200="",ISBLANK(D200),D200=0),0,
   ISNUMBER(MATCH(D200,{2,3,5,7,11,13,17,19,23,29,31,37,41,43},0)),"소",
   AND(ISNUMBER(D200),MOD(D200,3)=0),"배",
   AND(ISNUMBER(D200),D200&gt;0),"자"
)</f>
        <v>0</v>
      </c>
      <c r="AF200" s="26" cm="1">
        <f t="array" ref="AF200">_xlfn.IFS(
   OR(E200="",ISBLANK(E200),E200=0),0,
   ISNUMBER(MATCH(E200,{2,3,5,7,11,13,17,19,23,29,31,37,41,43},0)),"소",
   AND(ISNUMBER(E200),MOD(E200,3)=0),"배",
   AND(ISNUMBER(E200),E200&gt;0),"자"
)</f>
        <v>0</v>
      </c>
      <c r="AG200" s="26" cm="1">
        <f t="array" ref="AG200">_xlfn.IFS(
   OR(F200="",ISBLANK(F200),F200=0),0,
   ISNUMBER(MATCH(F200,{2,3,5,7,11,13,17,19,23,29,31,37,41,43},0)),"소",
   AND(ISNUMBER(F200),MOD(F200,3)=0),"배",
   AND(ISNUMBER(F200),F200&gt;0),"자"
)</f>
        <v>0</v>
      </c>
      <c r="AH200" s="26" cm="1">
        <f t="array" ref="AH200">_xlfn.IFS(
   OR(G200="",ISBLANK(G200),G200=0),0,
   ISNUMBER(MATCH(G200,{2,3,5,7,11,13,17,19,23,29,31,37,41,43},0)),"소",
   AND(ISNUMBER(G200),MOD(G200,3)=0),"배",
   AND(ISNUMBER(G200),G200&gt;0),"자"
)</f>
        <v>0</v>
      </c>
      <c r="AI200" s="30"/>
      <c r="AJ200" s="3">
        <f>COUNTIFS(B200:G200,"&gt;=1",B200:G200,"&lt;=14")</f>
        <v>0</v>
      </c>
      <c r="AK200" s="3">
        <f>COUNTIFS(B200:G200,"&gt;=15",B200:G200,"&lt;=31")</f>
        <v>0</v>
      </c>
      <c r="AL200" s="3">
        <f>6-AK200-AJ200</f>
        <v>6</v>
      </c>
      <c r="AM200" s="33"/>
      <c r="AN200" s="3">
        <f>COUNTIFS($B200:$G200, "&gt;=1",$B200:$G200, "&lt;=9")</f>
        <v>0</v>
      </c>
      <c r="AO200" s="3">
        <f>COUNTIFS($B200:$G200, "&gt;=10",$B200:$G200, "&lt;=18")</f>
        <v>0</v>
      </c>
      <c r="AP200" s="3">
        <f>COUNTIFS($B200:$G200, "&gt;=19",$B200:$G200, "&lt;=27")</f>
        <v>0</v>
      </c>
      <c r="AQ200" s="3">
        <f>COUNTIFS($B200:$G200, "&gt;=28",$B200:$G200, "&lt;=36")</f>
        <v>0</v>
      </c>
      <c r="AR200" s="3">
        <f>COUNTIFS($B200:$G200, "&gt;=37",$B200:$G200, "&lt;=45")</f>
        <v>0</v>
      </c>
      <c r="AS200" s="28" t="e">
        <f>#REF!</f>
        <v>#REF!</v>
      </c>
      <c r="AT200" s="28" t="e">
        <f>#REF!*2</f>
        <v>#REF!</v>
      </c>
      <c r="AU200" s="28" t="e">
        <f>#REF!</f>
        <v>#REF!</v>
      </c>
      <c r="AV200" s="28" t="e">
        <f>#REF!*2</f>
        <v>#REF!</v>
      </c>
      <c r="AW200" s="28" t="e">
        <f>#REF!</f>
        <v>#REF!</v>
      </c>
      <c r="AX200" s="28" t="e">
        <f>#REF!*2</f>
        <v>#REF!</v>
      </c>
      <c r="AY200" s="28" t="e">
        <f>#REF!</f>
        <v>#REF!</v>
      </c>
      <c r="AZ200" s="28" t="e">
        <f>#REF!*2</f>
        <v>#REF!</v>
      </c>
      <c r="BA200" s="28" t="e">
        <f>#REF!</f>
        <v>#REF!</v>
      </c>
      <c r="BB200" s="28" t="e">
        <f>#REF!*2</f>
        <v>#REF!</v>
      </c>
      <c r="BC200" s="28" t="e">
        <f>#REF!</f>
        <v>#REF!</v>
      </c>
      <c r="BD200" s="28" t="e">
        <f>#REF!*2</f>
        <v>#REF!</v>
      </c>
      <c r="BE200" s="9" t="e">
        <f>#REF!-#REF!</f>
        <v>#REF!</v>
      </c>
      <c r="BF200" s="9" t="e">
        <f>#REF!-#REF!</f>
        <v>#REF!</v>
      </c>
      <c r="BG200" s="9" t="e">
        <f>#REF!-#REF!</f>
        <v>#REF!</v>
      </c>
      <c r="BH200" s="9" t="e">
        <f>#REF!-#REF!</f>
        <v>#REF!</v>
      </c>
      <c r="BI200" s="9" t="e">
        <f>#REF!-#REF!</f>
        <v>#REF!</v>
      </c>
      <c r="BJ200" s="33"/>
      <c r="BK200" s="3">
        <f>COUNTIFS(B200:G200, "&gt;=1", B200:G200, "&lt;=9")</f>
        <v>0</v>
      </c>
      <c r="BL200" s="3">
        <f>COUNTIFS(B200:G200, "&gt;=10", B200:G200, "&lt;=19")</f>
        <v>0</v>
      </c>
      <c r="BM200" s="3">
        <f>COUNTIFS(B200:G200, "&gt;=20", B200:G200, "&lt;=29")</f>
        <v>0</v>
      </c>
      <c r="BN200" s="3">
        <f>COUNTIFS(B200:G200, "&gt;=30", B200:G200, "&lt;=39")</f>
        <v>0</v>
      </c>
      <c r="BO200" s="3">
        <f>COUNTIFS(B200:G200, "&gt;=40", B200:G200, "&lt;=45")</f>
        <v>0</v>
      </c>
      <c r="BP200" s="28" t="e">
        <f>#REF!</f>
        <v>#REF!</v>
      </c>
      <c r="BQ200" s="28" t="e">
        <f>#REF!*2</f>
        <v>#REF!</v>
      </c>
      <c r="BR200" s="28" t="e">
        <f>#REF!</f>
        <v>#REF!</v>
      </c>
      <c r="BS200" s="28" t="e">
        <f>#REF!*2</f>
        <v>#REF!</v>
      </c>
      <c r="BT200" s="28" t="e">
        <f>#REF!</f>
        <v>#REF!</v>
      </c>
      <c r="BU200" s="28" t="e">
        <f>#REF!*2</f>
        <v>#REF!</v>
      </c>
      <c r="BV200" s="28" t="e">
        <f>#REF!</f>
        <v>#REF!</v>
      </c>
      <c r="BW200" s="28" t="e">
        <f>#REF!*2</f>
        <v>#REF!</v>
      </c>
      <c r="BX200" s="28" t="e">
        <f>#REF!</f>
        <v>#REF!</v>
      </c>
      <c r="BY200" s="28" t="e">
        <f>#REF!*2</f>
        <v>#REF!</v>
      </c>
      <c r="BZ200" s="28" t="e">
        <f>#REF!</f>
        <v>#REF!</v>
      </c>
      <c r="CA200" s="28" t="e">
        <f>#REF!*2</f>
        <v>#REF!</v>
      </c>
      <c r="CB200" s="9">
        <f>C200-B200</f>
        <v>0</v>
      </c>
      <c r="CC200" s="9">
        <f>D200-C200</f>
        <v>0</v>
      </c>
      <c r="CD200" s="9">
        <f>E200-D200</f>
        <v>0</v>
      </c>
      <c r="CE200" s="9">
        <f>F200-E200</f>
        <v>0</v>
      </c>
      <c r="CF200" s="9">
        <f>G200-F200</f>
        <v>0</v>
      </c>
      <c r="CG200" s="33"/>
      <c r="CH200" s="9">
        <f>C200-B200</f>
        <v>0</v>
      </c>
      <c r="CI200" s="9">
        <f>D200-C200</f>
        <v>0</v>
      </c>
      <c r="CJ200" s="9">
        <f>E200-D200</f>
        <v>0</v>
      </c>
      <c r="CK200" s="9">
        <f>F200-E200</f>
        <v>0</v>
      </c>
      <c r="CL200" s="9">
        <f>G200-F200</f>
        <v>0</v>
      </c>
      <c r="CM200" s="32"/>
      <c r="CN200" s="3">
        <f>IF(OR(CH200="",ISBLANK(CH200),CH200=0),0,IF(MOD(CH200,2)=1,1,2))</f>
        <v>0</v>
      </c>
      <c r="CO200" s="3">
        <f>IF(OR(CI200="",ISBLANK(CI200),CI200=0),0,IF(MOD(CI200,2)=1,1,2))</f>
        <v>0</v>
      </c>
      <c r="CP200" s="3">
        <f>IF(OR(CJ200="",ISBLANK(CJ200),CJ200=0),0,IF(MOD(CJ200,2)=1,1,2))</f>
        <v>0</v>
      </c>
      <c r="CQ200" s="3">
        <f>IF(OR(CK200="",ISBLANK(CK200),CK200=0),0,IF(MOD(CK200,2)=1,1,2))</f>
        <v>0</v>
      </c>
      <c r="CR200" s="3">
        <f>IF(OR(CL200="",ISBLANK(CL200),CL200=0),0,IF(MOD(CL200,2)=1,1,2))</f>
        <v>0</v>
      </c>
      <c r="CS200" s="31"/>
      <c r="CT200" s="3" cm="1">
        <f t="array" ref="CT200">SUMPRODUCT(--(MOD(CH200:CL200,2)=1))</f>
        <v>0</v>
      </c>
      <c r="CU200" s="3">
        <f>5-CT200</f>
        <v>5</v>
      </c>
      <c r="CV200" s="30"/>
      <c r="CW200" s="3" cm="1">
        <f t="array" ref="CW200">SUMPRODUCT(--(MOD(CH200:CL200,10)&gt;=1), --(MOD(CH200:CL200,10)&lt;=5))</f>
        <v>0</v>
      </c>
      <c r="CX200" s="3">
        <f>5-CW200</f>
        <v>5</v>
      </c>
      <c r="CY200" s="30"/>
      <c r="CZ200" s="3" cm="1">
        <f t="array" ref="CZ200">IFERROR(COUNT(_xlfn._xlws.FILTER(CH200:CL200, ISNUMBER(MATCH(CH200:CL200, {2,3,5,7,11,13,17,19,23,29,31,37,41,43}, 0)))), 0)</f>
        <v>0</v>
      </c>
      <c r="DA200" s="3" cm="1">
        <f t="array" ref="DA200">IFERROR(COUNT(_xlfn._xlws.FILTER(CH200:CL200, ISNUMBER(MATCH(CH200:CL200, {1,4,8,10,14,16,20,22,25,26,28,32,34,35,38,40,44}, 0)))), 0)</f>
        <v>0</v>
      </c>
      <c r="DB200" s="3" cm="1">
        <f t="array" ref="DB200">IFERROR(COUNT(_xlfn._xlws.FILTER(CH200:CL200, ISNUMBER(MATCH(CH200:CL200, {6,9,12,15,18,21,24,27,30,33,36,39,42,45}, 0)))), 0)</f>
        <v>0</v>
      </c>
      <c r="DC200" s="29"/>
      <c r="DD200" s="28" t="e">
        <f>#REF!</f>
        <v>#REF!</v>
      </c>
      <c r="DE200" s="28" t="e">
        <f>#REF!*2</f>
        <v>#REF!</v>
      </c>
      <c r="DF200" s="28" t="e">
        <f>#REF!</f>
        <v>#REF!</v>
      </c>
      <c r="DG200" s="28" t="e">
        <f>#REF!*2</f>
        <v>#REF!</v>
      </c>
      <c r="DH200" s="28" t="e">
        <f>#REF!</f>
        <v>#REF!</v>
      </c>
      <c r="DI200" s="28" t="e">
        <f>#REF!*2</f>
        <v>#REF!</v>
      </c>
      <c r="DJ200" s="28" t="e">
        <f>#REF!</f>
        <v>#REF!</v>
      </c>
      <c r="DK200" s="28" t="e">
        <f>#REF!*2</f>
        <v>#REF!</v>
      </c>
      <c r="DL200" s="28" t="e">
        <f>#REF!</f>
        <v>#REF!</v>
      </c>
      <c r="DM200" s="28" t="e">
        <f>#REF!*2</f>
        <v>#REF!</v>
      </c>
      <c r="DN200" s="27"/>
      <c r="DO200" s="26"/>
      <c r="DP200" s="26"/>
      <c r="DQ200" s="26"/>
      <c r="DR200" s="26"/>
      <c r="DS200" s="26"/>
      <c r="DT200" s="25"/>
    </row>
    <row r="201" spans="2:124" x14ac:dyDescent="0.3"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2"/>
      <c r="I201" s="3">
        <f>IF(OR(B201="",ISBLANK(B201),B201=0),0,IF(MOD(B201,2)=1,1,2))</f>
        <v>0</v>
      </c>
      <c r="J201" s="3">
        <f>IF(OR(C201="",ISBLANK(C201),C201=0),0,IF(MOD(C201,2)=1,1,2))</f>
        <v>0</v>
      </c>
      <c r="K201" s="3">
        <f>IF(OR(D201="",ISBLANK(D201),D201=0),0,IF(MOD(D201,2)=1,1,2))</f>
        <v>0</v>
      </c>
      <c r="L201" s="3">
        <f>IF(OR(E201="",ISBLANK(E201),E201=0),0,IF(MOD(E201,2)=1,1,2))</f>
        <v>0</v>
      </c>
      <c r="M201" s="3">
        <f>IF(OR(F201="",ISBLANK(F201),F201=0),0,IF(MOD(F201,2)=1,1,2))</f>
        <v>0</v>
      </c>
      <c r="N201" s="3">
        <f>IF(OR(G201="",ISBLANK(G201),G201=0),0,IF(MOD(G201,2)=1,1,2))</f>
        <v>0</v>
      </c>
      <c r="O201" s="32"/>
      <c r="P201" s="3" cm="1">
        <f t="array" ref="P201">SUMPRODUCT(--(MOD(B201:G201,2)=1))</f>
        <v>0</v>
      </c>
      <c r="Q201" s="3">
        <f>6-P201</f>
        <v>6</v>
      </c>
      <c r="R201" s="34"/>
      <c r="S201" s="3">
        <f>COUNTIFS(B201:G201,"&gt;=1",B201:G201,"&lt;=23")</f>
        <v>0</v>
      </c>
      <c r="T201" s="3">
        <f>6-S201</f>
        <v>6</v>
      </c>
      <c r="U201" s="34"/>
      <c r="V201" s="3" cm="1">
        <f t="array" ref="V201">SUMPRODUCT(--(MOD(B201:G201,10)&gt;=1), --(MOD(B201:G201,10)&lt;=5))</f>
        <v>0</v>
      </c>
      <c r="W201" s="3">
        <f>6-V201</f>
        <v>6</v>
      </c>
      <c r="X201" s="34"/>
      <c r="Y201" s="3" cm="1">
        <f t="array" ref="Y201">IFERROR(COUNT(_xlfn._xlws.FILTER(B201:G201, ISNUMBER(MATCH(B201:G201, {2,3,5,7,11,13,17,19,23,29,31,37,41,43}, 0)))), 0)</f>
        <v>0</v>
      </c>
      <c r="Z201" s="3" cm="1">
        <f t="array" ref="Z201">IFERROR(COUNT(_xlfn._xlws.FILTER(B201:G201, ISNUMBER(MATCH(B201:G201, {1,4,8,10,14,16,20,22,25,26,28,32,34,35,38,40,44}, 0)))), 0)</f>
        <v>0</v>
      </c>
      <c r="AA201" s="3" cm="1">
        <f t="array" ref="AA201">IFERROR(COUNT(_xlfn._xlws.FILTER(B201:G201, ISNUMBER(MATCH(B201:G201, {6,9,12,15,18,21,24,27,30,33,36,39,42,45}, 0)))), 0)</f>
        <v>0</v>
      </c>
      <c r="AB201" s="30"/>
      <c r="AC201" s="26" cm="1">
        <f t="array" ref="AC201">_xlfn.IFS(
   OR(B201="",ISBLANK(B201),B201=0),0,
   ISNUMBER(MATCH(B201,{2,3,5,7,11,13,17,19,23,29,31,37,41,43},0)),"소",
   AND(ISNUMBER(B201),MOD(B201,3)=0),"배",
   AND(ISNUMBER(B201),B201&gt;0),"자"
)</f>
        <v>0</v>
      </c>
      <c r="AD201" s="26" cm="1">
        <f t="array" ref="AD201">_xlfn.IFS(
   OR(C201="",ISBLANK(C201),C201=0),0,
   ISNUMBER(MATCH(C201,{2,3,5,7,11,13,17,19,23,29,31,37,41,43},0)),"소",
   AND(ISNUMBER(C201),MOD(C201,3)=0),"배",
   AND(ISNUMBER(C201),C201&gt;0),"자"
)</f>
        <v>0</v>
      </c>
      <c r="AE201" s="26" cm="1">
        <f t="array" ref="AE201">_xlfn.IFS(
   OR(D201="",ISBLANK(D201),D201=0),0,
   ISNUMBER(MATCH(D201,{2,3,5,7,11,13,17,19,23,29,31,37,41,43},0)),"소",
   AND(ISNUMBER(D201),MOD(D201,3)=0),"배",
   AND(ISNUMBER(D201),D201&gt;0),"자"
)</f>
        <v>0</v>
      </c>
      <c r="AF201" s="26" cm="1">
        <f t="array" ref="AF201">_xlfn.IFS(
   OR(E201="",ISBLANK(E201),E201=0),0,
   ISNUMBER(MATCH(E201,{2,3,5,7,11,13,17,19,23,29,31,37,41,43},0)),"소",
   AND(ISNUMBER(E201),MOD(E201,3)=0),"배",
   AND(ISNUMBER(E201),E201&gt;0),"자"
)</f>
        <v>0</v>
      </c>
      <c r="AG201" s="26" cm="1">
        <f t="array" ref="AG201">_xlfn.IFS(
   OR(F201="",ISBLANK(F201),F201=0),0,
   ISNUMBER(MATCH(F201,{2,3,5,7,11,13,17,19,23,29,31,37,41,43},0)),"소",
   AND(ISNUMBER(F201),MOD(F201,3)=0),"배",
   AND(ISNUMBER(F201),F201&gt;0),"자"
)</f>
        <v>0</v>
      </c>
      <c r="AH201" s="26" cm="1">
        <f t="array" ref="AH201">_xlfn.IFS(
   OR(G201="",ISBLANK(G201),G201=0),0,
   ISNUMBER(MATCH(G201,{2,3,5,7,11,13,17,19,23,29,31,37,41,43},0)),"소",
   AND(ISNUMBER(G201),MOD(G201,3)=0),"배",
   AND(ISNUMBER(G201),G201&gt;0),"자"
)</f>
        <v>0</v>
      </c>
      <c r="AI201" s="30"/>
      <c r="AJ201" s="3">
        <f>COUNTIFS(B201:G201,"&gt;=1",B201:G201,"&lt;=14")</f>
        <v>0</v>
      </c>
      <c r="AK201" s="3">
        <f>COUNTIFS(B201:G201,"&gt;=15",B201:G201,"&lt;=31")</f>
        <v>0</v>
      </c>
      <c r="AL201" s="3">
        <f>6-AK201-AJ201</f>
        <v>6</v>
      </c>
      <c r="AM201" s="33"/>
      <c r="AN201" s="3">
        <f>COUNTIFS($B201:$G201, "&gt;=1",$B201:$G201, "&lt;=9")</f>
        <v>0</v>
      </c>
      <c r="AO201" s="3">
        <f>COUNTIFS($B201:$G201, "&gt;=10",$B201:$G201, "&lt;=18")</f>
        <v>0</v>
      </c>
      <c r="AP201" s="3">
        <f>COUNTIFS($B201:$G201, "&gt;=19",$B201:$G201, "&lt;=27")</f>
        <v>0</v>
      </c>
      <c r="AQ201" s="3">
        <f>COUNTIFS($B201:$G201, "&gt;=28",$B201:$G201, "&lt;=36")</f>
        <v>0</v>
      </c>
      <c r="AR201" s="3">
        <f>COUNTIFS($B201:$G201, "&gt;=37",$B201:$G201, "&lt;=45")</f>
        <v>0</v>
      </c>
      <c r="AS201" s="28" t="e">
        <f>#REF!</f>
        <v>#REF!</v>
      </c>
      <c r="AT201" s="28" t="e">
        <f>#REF!*2</f>
        <v>#REF!</v>
      </c>
      <c r="AU201" s="28" t="e">
        <f>#REF!</f>
        <v>#REF!</v>
      </c>
      <c r="AV201" s="28" t="e">
        <f>#REF!*2</f>
        <v>#REF!</v>
      </c>
      <c r="AW201" s="28" t="e">
        <f>#REF!</f>
        <v>#REF!</v>
      </c>
      <c r="AX201" s="28" t="e">
        <f>#REF!*2</f>
        <v>#REF!</v>
      </c>
      <c r="AY201" s="28" t="e">
        <f>#REF!</f>
        <v>#REF!</v>
      </c>
      <c r="AZ201" s="28" t="e">
        <f>#REF!*2</f>
        <v>#REF!</v>
      </c>
      <c r="BA201" s="28" t="e">
        <f>#REF!</f>
        <v>#REF!</v>
      </c>
      <c r="BB201" s="28" t="e">
        <f>#REF!*2</f>
        <v>#REF!</v>
      </c>
      <c r="BC201" s="28" t="e">
        <f>#REF!</f>
        <v>#REF!</v>
      </c>
      <c r="BD201" s="28" t="e">
        <f>#REF!*2</f>
        <v>#REF!</v>
      </c>
      <c r="BE201" s="9" t="e">
        <f>#REF!-#REF!</f>
        <v>#REF!</v>
      </c>
      <c r="BF201" s="9" t="e">
        <f>#REF!-#REF!</f>
        <v>#REF!</v>
      </c>
      <c r="BG201" s="9" t="e">
        <f>#REF!-#REF!</f>
        <v>#REF!</v>
      </c>
      <c r="BH201" s="9" t="e">
        <f>#REF!-#REF!</f>
        <v>#REF!</v>
      </c>
      <c r="BI201" s="9" t="e">
        <f>#REF!-#REF!</f>
        <v>#REF!</v>
      </c>
      <c r="BJ201" s="33"/>
      <c r="BK201" s="3">
        <f>COUNTIFS(B201:G201, "&gt;=1", B201:G201, "&lt;=9")</f>
        <v>0</v>
      </c>
      <c r="BL201" s="3">
        <f>COUNTIFS(B201:G201, "&gt;=10", B201:G201, "&lt;=19")</f>
        <v>0</v>
      </c>
      <c r="BM201" s="3">
        <f>COUNTIFS(B201:G201, "&gt;=20", B201:G201, "&lt;=29")</f>
        <v>0</v>
      </c>
      <c r="BN201" s="3">
        <f>COUNTIFS(B201:G201, "&gt;=30", B201:G201, "&lt;=39")</f>
        <v>0</v>
      </c>
      <c r="BO201" s="3">
        <f>COUNTIFS(B201:G201, "&gt;=40", B201:G201, "&lt;=45")</f>
        <v>0</v>
      </c>
      <c r="BP201" s="28" t="e">
        <f>#REF!</f>
        <v>#REF!</v>
      </c>
      <c r="BQ201" s="28" t="e">
        <f>#REF!*2</f>
        <v>#REF!</v>
      </c>
      <c r="BR201" s="28" t="e">
        <f>#REF!</f>
        <v>#REF!</v>
      </c>
      <c r="BS201" s="28" t="e">
        <f>#REF!*2</f>
        <v>#REF!</v>
      </c>
      <c r="BT201" s="28" t="e">
        <f>#REF!</f>
        <v>#REF!</v>
      </c>
      <c r="BU201" s="28" t="e">
        <f>#REF!*2</f>
        <v>#REF!</v>
      </c>
      <c r="BV201" s="28" t="e">
        <f>#REF!</f>
        <v>#REF!</v>
      </c>
      <c r="BW201" s="28" t="e">
        <f>#REF!*2</f>
        <v>#REF!</v>
      </c>
      <c r="BX201" s="28" t="e">
        <f>#REF!</f>
        <v>#REF!</v>
      </c>
      <c r="BY201" s="28" t="e">
        <f>#REF!*2</f>
        <v>#REF!</v>
      </c>
      <c r="BZ201" s="28" t="e">
        <f>#REF!</f>
        <v>#REF!</v>
      </c>
      <c r="CA201" s="28" t="e">
        <f>#REF!*2</f>
        <v>#REF!</v>
      </c>
      <c r="CB201" s="9">
        <f>C201-B201</f>
        <v>0</v>
      </c>
      <c r="CC201" s="9">
        <f>D201-C201</f>
        <v>0</v>
      </c>
      <c r="CD201" s="9">
        <f>E201-D201</f>
        <v>0</v>
      </c>
      <c r="CE201" s="9">
        <f>F201-E201</f>
        <v>0</v>
      </c>
      <c r="CF201" s="9">
        <f>G201-F201</f>
        <v>0</v>
      </c>
      <c r="CG201" s="33"/>
      <c r="CH201" s="9">
        <f>C201-B201</f>
        <v>0</v>
      </c>
      <c r="CI201" s="9">
        <f>D201-C201</f>
        <v>0</v>
      </c>
      <c r="CJ201" s="9">
        <f>E201-D201</f>
        <v>0</v>
      </c>
      <c r="CK201" s="9">
        <f>F201-E201</f>
        <v>0</v>
      </c>
      <c r="CL201" s="9">
        <f>G201-F201</f>
        <v>0</v>
      </c>
      <c r="CM201" s="32"/>
      <c r="CN201" s="3">
        <f>IF(OR(CH201="",ISBLANK(CH201),CH201=0),0,IF(MOD(CH201,2)=1,1,2))</f>
        <v>0</v>
      </c>
      <c r="CO201" s="3">
        <f>IF(OR(CI201="",ISBLANK(CI201),CI201=0),0,IF(MOD(CI201,2)=1,1,2))</f>
        <v>0</v>
      </c>
      <c r="CP201" s="3">
        <f>IF(OR(CJ201="",ISBLANK(CJ201),CJ201=0),0,IF(MOD(CJ201,2)=1,1,2))</f>
        <v>0</v>
      </c>
      <c r="CQ201" s="3">
        <f>IF(OR(CK201="",ISBLANK(CK201),CK201=0),0,IF(MOD(CK201,2)=1,1,2))</f>
        <v>0</v>
      </c>
      <c r="CR201" s="3">
        <f>IF(OR(CL201="",ISBLANK(CL201),CL201=0),0,IF(MOD(CL201,2)=1,1,2))</f>
        <v>0</v>
      </c>
      <c r="CS201" s="31"/>
      <c r="CT201" s="3" cm="1">
        <f t="array" ref="CT201">SUMPRODUCT(--(MOD(CH201:CL201,2)=1))</f>
        <v>0</v>
      </c>
      <c r="CU201" s="3">
        <f>5-CT201</f>
        <v>5</v>
      </c>
      <c r="CV201" s="30"/>
      <c r="CW201" s="3" cm="1">
        <f t="array" ref="CW201">SUMPRODUCT(--(MOD(CH201:CL201,10)&gt;=1), --(MOD(CH201:CL201,10)&lt;=5))</f>
        <v>0</v>
      </c>
      <c r="CX201" s="3">
        <f>5-CW201</f>
        <v>5</v>
      </c>
      <c r="CY201" s="30"/>
      <c r="CZ201" s="3" cm="1">
        <f t="array" ref="CZ201">IFERROR(COUNT(_xlfn._xlws.FILTER(CH201:CL201, ISNUMBER(MATCH(CH201:CL201, {2,3,5,7,11,13,17,19,23,29,31,37,41,43}, 0)))), 0)</f>
        <v>0</v>
      </c>
      <c r="DA201" s="3" cm="1">
        <f t="array" ref="DA201">IFERROR(COUNT(_xlfn._xlws.FILTER(CH201:CL201, ISNUMBER(MATCH(CH201:CL201, {1,4,8,10,14,16,20,22,25,26,28,32,34,35,38,40,44}, 0)))), 0)</f>
        <v>0</v>
      </c>
      <c r="DB201" s="3" cm="1">
        <f t="array" ref="DB201">IFERROR(COUNT(_xlfn._xlws.FILTER(CH201:CL201, ISNUMBER(MATCH(CH201:CL201, {6,9,12,15,18,21,24,27,30,33,36,39,42,45}, 0)))), 0)</f>
        <v>0</v>
      </c>
      <c r="DC201" s="29"/>
      <c r="DD201" s="28" t="e">
        <f>#REF!</f>
        <v>#REF!</v>
      </c>
      <c r="DE201" s="28" t="e">
        <f>#REF!*2</f>
        <v>#REF!</v>
      </c>
      <c r="DF201" s="28" t="e">
        <f>#REF!</f>
        <v>#REF!</v>
      </c>
      <c r="DG201" s="28" t="e">
        <f>#REF!*2</f>
        <v>#REF!</v>
      </c>
      <c r="DH201" s="28" t="e">
        <f>#REF!</f>
        <v>#REF!</v>
      </c>
      <c r="DI201" s="28" t="e">
        <f>#REF!*2</f>
        <v>#REF!</v>
      </c>
      <c r="DJ201" s="28" t="e">
        <f>#REF!</f>
        <v>#REF!</v>
      </c>
      <c r="DK201" s="28" t="e">
        <f>#REF!*2</f>
        <v>#REF!</v>
      </c>
      <c r="DL201" s="28" t="e">
        <f>#REF!</f>
        <v>#REF!</v>
      </c>
      <c r="DM201" s="28" t="e">
        <f>#REF!*2</f>
        <v>#REF!</v>
      </c>
      <c r="DN201" s="27"/>
      <c r="DO201" s="26"/>
      <c r="DP201" s="26"/>
      <c r="DQ201" s="26"/>
      <c r="DR201" s="26"/>
      <c r="DS201" s="26"/>
      <c r="DT201" s="25"/>
    </row>
    <row r="202" spans="2:124" x14ac:dyDescent="0.3"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2"/>
      <c r="I202" s="3">
        <f>IF(OR(B202="",ISBLANK(B202),B202=0),0,IF(MOD(B202,2)=1,1,2))</f>
        <v>0</v>
      </c>
      <c r="J202" s="3">
        <f>IF(OR(C202="",ISBLANK(C202),C202=0),0,IF(MOD(C202,2)=1,1,2))</f>
        <v>0</v>
      </c>
      <c r="K202" s="3">
        <f>IF(OR(D202="",ISBLANK(D202),D202=0),0,IF(MOD(D202,2)=1,1,2))</f>
        <v>0</v>
      </c>
      <c r="L202" s="3">
        <f>IF(OR(E202="",ISBLANK(E202),E202=0),0,IF(MOD(E202,2)=1,1,2))</f>
        <v>0</v>
      </c>
      <c r="M202" s="3">
        <f>IF(OR(F202="",ISBLANK(F202),F202=0),0,IF(MOD(F202,2)=1,1,2))</f>
        <v>0</v>
      </c>
      <c r="N202" s="3">
        <f>IF(OR(G202="",ISBLANK(G202),G202=0),0,IF(MOD(G202,2)=1,1,2))</f>
        <v>0</v>
      </c>
      <c r="O202" s="32"/>
      <c r="P202" s="3" cm="1">
        <f t="array" ref="P202">SUMPRODUCT(--(MOD(B202:G202,2)=1))</f>
        <v>0</v>
      </c>
      <c r="Q202" s="3">
        <f>6-P202</f>
        <v>6</v>
      </c>
      <c r="R202" s="34"/>
      <c r="S202" s="3">
        <f>COUNTIFS(B202:G202,"&gt;=1",B202:G202,"&lt;=23")</f>
        <v>0</v>
      </c>
      <c r="T202" s="3">
        <f>6-S202</f>
        <v>6</v>
      </c>
      <c r="U202" s="34"/>
      <c r="V202" s="3" cm="1">
        <f t="array" ref="V202">SUMPRODUCT(--(MOD(B202:G202,10)&gt;=1), --(MOD(B202:G202,10)&lt;=5))</f>
        <v>0</v>
      </c>
      <c r="W202" s="3">
        <f>6-V202</f>
        <v>6</v>
      </c>
      <c r="X202" s="34"/>
      <c r="Y202" s="3" cm="1">
        <f t="array" ref="Y202">IFERROR(COUNT(_xlfn._xlws.FILTER(B202:G202, ISNUMBER(MATCH(B202:G202, {2,3,5,7,11,13,17,19,23,29,31,37,41,43}, 0)))), 0)</f>
        <v>0</v>
      </c>
      <c r="Z202" s="3" cm="1">
        <f t="array" ref="Z202">IFERROR(COUNT(_xlfn._xlws.FILTER(B202:G202, ISNUMBER(MATCH(B202:G202, {1,4,8,10,14,16,20,22,25,26,28,32,34,35,38,40,44}, 0)))), 0)</f>
        <v>0</v>
      </c>
      <c r="AA202" s="3" cm="1">
        <f t="array" ref="AA202">IFERROR(COUNT(_xlfn._xlws.FILTER(B202:G202, ISNUMBER(MATCH(B202:G202, {6,9,12,15,18,21,24,27,30,33,36,39,42,45}, 0)))), 0)</f>
        <v>0</v>
      </c>
      <c r="AB202" s="30"/>
      <c r="AC202" s="26" cm="1">
        <f t="array" ref="AC202">_xlfn.IFS(
   OR(B202="",ISBLANK(B202),B202=0),0,
   ISNUMBER(MATCH(B202,{2,3,5,7,11,13,17,19,23,29,31,37,41,43},0)),"소",
   AND(ISNUMBER(B202),MOD(B202,3)=0),"배",
   AND(ISNUMBER(B202),B202&gt;0),"자"
)</f>
        <v>0</v>
      </c>
      <c r="AD202" s="26" cm="1">
        <f t="array" ref="AD202">_xlfn.IFS(
   OR(C202="",ISBLANK(C202),C202=0),0,
   ISNUMBER(MATCH(C202,{2,3,5,7,11,13,17,19,23,29,31,37,41,43},0)),"소",
   AND(ISNUMBER(C202),MOD(C202,3)=0),"배",
   AND(ISNUMBER(C202),C202&gt;0),"자"
)</f>
        <v>0</v>
      </c>
      <c r="AE202" s="26" cm="1">
        <f t="array" ref="AE202">_xlfn.IFS(
   OR(D202="",ISBLANK(D202),D202=0),0,
   ISNUMBER(MATCH(D202,{2,3,5,7,11,13,17,19,23,29,31,37,41,43},0)),"소",
   AND(ISNUMBER(D202),MOD(D202,3)=0),"배",
   AND(ISNUMBER(D202),D202&gt;0),"자"
)</f>
        <v>0</v>
      </c>
      <c r="AF202" s="26" cm="1">
        <f t="array" ref="AF202">_xlfn.IFS(
   OR(E202="",ISBLANK(E202),E202=0),0,
   ISNUMBER(MATCH(E202,{2,3,5,7,11,13,17,19,23,29,31,37,41,43},0)),"소",
   AND(ISNUMBER(E202),MOD(E202,3)=0),"배",
   AND(ISNUMBER(E202),E202&gt;0),"자"
)</f>
        <v>0</v>
      </c>
      <c r="AG202" s="26" cm="1">
        <f t="array" ref="AG202">_xlfn.IFS(
   OR(F202="",ISBLANK(F202),F202=0),0,
   ISNUMBER(MATCH(F202,{2,3,5,7,11,13,17,19,23,29,31,37,41,43},0)),"소",
   AND(ISNUMBER(F202),MOD(F202,3)=0),"배",
   AND(ISNUMBER(F202),F202&gt;0),"자"
)</f>
        <v>0</v>
      </c>
      <c r="AH202" s="26" cm="1">
        <f t="array" ref="AH202">_xlfn.IFS(
   OR(G202="",ISBLANK(G202),G202=0),0,
   ISNUMBER(MATCH(G202,{2,3,5,7,11,13,17,19,23,29,31,37,41,43},0)),"소",
   AND(ISNUMBER(G202),MOD(G202,3)=0),"배",
   AND(ISNUMBER(G202),G202&gt;0),"자"
)</f>
        <v>0</v>
      </c>
      <c r="AI202" s="30"/>
      <c r="AJ202" s="3">
        <f>COUNTIFS(B202:G202,"&gt;=1",B202:G202,"&lt;=14")</f>
        <v>0</v>
      </c>
      <c r="AK202" s="3">
        <f>COUNTIFS(B202:G202,"&gt;=15",B202:G202,"&lt;=31")</f>
        <v>0</v>
      </c>
      <c r="AL202" s="3">
        <f>6-AK202-AJ202</f>
        <v>6</v>
      </c>
      <c r="AM202" s="33"/>
      <c r="AN202" s="3">
        <f>COUNTIFS($B202:$G202, "&gt;=1",$B202:$G202, "&lt;=9")</f>
        <v>0</v>
      </c>
      <c r="AO202" s="3">
        <f>COUNTIFS($B202:$G202, "&gt;=10",$B202:$G202, "&lt;=18")</f>
        <v>0</v>
      </c>
      <c r="AP202" s="3">
        <f>COUNTIFS($B202:$G202, "&gt;=19",$B202:$G202, "&lt;=27")</f>
        <v>0</v>
      </c>
      <c r="AQ202" s="3">
        <f>COUNTIFS($B202:$G202, "&gt;=28",$B202:$G202, "&lt;=36")</f>
        <v>0</v>
      </c>
      <c r="AR202" s="3">
        <f>COUNTIFS($B202:$G202, "&gt;=37",$B202:$G202, "&lt;=45")</f>
        <v>0</v>
      </c>
      <c r="AS202" s="28" t="e">
        <f>#REF!</f>
        <v>#REF!</v>
      </c>
      <c r="AT202" s="28" t="e">
        <f>#REF!*2</f>
        <v>#REF!</v>
      </c>
      <c r="AU202" s="28" t="e">
        <f>#REF!</f>
        <v>#REF!</v>
      </c>
      <c r="AV202" s="28" t="e">
        <f>#REF!*2</f>
        <v>#REF!</v>
      </c>
      <c r="AW202" s="28" t="e">
        <f>#REF!</f>
        <v>#REF!</v>
      </c>
      <c r="AX202" s="28" t="e">
        <f>#REF!*2</f>
        <v>#REF!</v>
      </c>
      <c r="AY202" s="28" t="e">
        <f>#REF!</f>
        <v>#REF!</v>
      </c>
      <c r="AZ202" s="28" t="e">
        <f>#REF!*2</f>
        <v>#REF!</v>
      </c>
      <c r="BA202" s="28" t="e">
        <f>#REF!</f>
        <v>#REF!</v>
      </c>
      <c r="BB202" s="28" t="e">
        <f>#REF!*2</f>
        <v>#REF!</v>
      </c>
      <c r="BC202" s="28" t="e">
        <f>#REF!</f>
        <v>#REF!</v>
      </c>
      <c r="BD202" s="28" t="e">
        <f>#REF!*2</f>
        <v>#REF!</v>
      </c>
      <c r="BE202" s="9" t="e">
        <f>#REF!-#REF!</f>
        <v>#REF!</v>
      </c>
      <c r="BF202" s="9" t="e">
        <f>#REF!-#REF!</f>
        <v>#REF!</v>
      </c>
      <c r="BG202" s="9" t="e">
        <f>#REF!-#REF!</f>
        <v>#REF!</v>
      </c>
      <c r="BH202" s="9" t="e">
        <f>#REF!-#REF!</f>
        <v>#REF!</v>
      </c>
      <c r="BI202" s="9" t="e">
        <f>#REF!-#REF!</f>
        <v>#REF!</v>
      </c>
      <c r="BJ202" s="33"/>
      <c r="BK202" s="3">
        <f>COUNTIFS(B202:G202, "&gt;=1", B202:G202, "&lt;=9")</f>
        <v>0</v>
      </c>
      <c r="BL202" s="3">
        <f>COUNTIFS(B202:G202, "&gt;=10", B202:G202, "&lt;=19")</f>
        <v>0</v>
      </c>
      <c r="BM202" s="3">
        <f>COUNTIFS(B202:G202, "&gt;=20", B202:G202, "&lt;=29")</f>
        <v>0</v>
      </c>
      <c r="BN202" s="3">
        <f>COUNTIFS(B202:G202, "&gt;=30", B202:G202, "&lt;=39")</f>
        <v>0</v>
      </c>
      <c r="BO202" s="3">
        <f>COUNTIFS(B202:G202, "&gt;=40", B202:G202, "&lt;=45")</f>
        <v>0</v>
      </c>
      <c r="BP202" s="28" t="e">
        <f>#REF!</f>
        <v>#REF!</v>
      </c>
      <c r="BQ202" s="28" t="e">
        <f>#REF!*2</f>
        <v>#REF!</v>
      </c>
      <c r="BR202" s="28" t="e">
        <f>#REF!</f>
        <v>#REF!</v>
      </c>
      <c r="BS202" s="28" t="e">
        <f>#REF!*2</f>
        <v>#REF!</v>
      </c>
      <c r="BT202" s="28" t="e">
        <f>#REF!</f>
        <v>#REF!</v>
      </c>
      <c r="BU202" s="28" t="e">
        <f>#REF!*2</f>
        <v>#REF!</v>
      </c>
      <c r="BV202" s="28" t="e">
        <f>#REF!</f>
        <v>#REF!</v>
      </c>
      <c r="BW202" s="28" t="e">
        <f>#REF!*2</f>
        <v>#REF!</v>
      </c>
      <c r="BX202" s="28" t="e">
        <f>#REF!</f>
        <v>#REF!</v>
      </c>
      <c r="BY202" s="28" t="e">
        <f>#REF!*2</f>
        <v>#REF!</v>
      </c>
      <c r="BZ202" s="28" t="e">
        <f>#REF!</f>
        <v>#REF!</v>
      </c>
      <c r="CA202" s="28" t="e">
        <f>#REF!*2</f>
        <v>#REF!</v>
      </c>
      <c r="CB202" s="9">
        <f>C202-B202</f>
        <v>0</v>
      </c>
      <c r="CC202" s="9">
        <f>D202-C202</f>
        <v>0</v>
      </c>
      <c r="CD202" s="9">
        <f>E202-D202</f>
        <v>0</v>
      </c>
      <c r="CE202" s="9">
        <f>F202-E202</f>
        <v>0</v>
      </c>
      <c r="CF202" s="9">
        <f>G202-F202</f>
        <v>0</v>
      </c>
      <c r="CG202" s="33"/>
      <c r="CH202" s="9">
        <f>C202-B202</f>
        <v>0</v>
      </c>
      <c r="CI202" s="9">
        <f>D202-C202</f>
        <v>0</v>
      </c>
      <c r="CJ202" s="9">
        <f>E202-D202</f>
        <v>0</v>
      </c>
      <c r="CK202" s="9">
        <f>F202-E202</f>
        <v>0</v>
      </c>
      <c r="CL202" s="9">
        <f>G202-F202</f>
        <v>0</v>
      </c>
      <c r="CM202" s="32"/>
      <c r="CN202" s="3">
        <f>IF(OR(CH202="",ISBLANK(CH202),CH202=0),0,IF(MOD(CH202,2)=1,1,2))</f>
        <v>0</v>
      </c>
      <c r="CO202" s="3">
        <f>IF(OR(CI202="",ISBLANK(CI202),CI202=0),0,IF(MOD(CI202,2)=1,1,2))</f>
        <v>0</v>
      </c>
      <c r="CP202" s="3">
        <f>IF(OR(CJ202="",ISBLANK(CJ202),CJ202=0),0,IF(MOD(CJ202,2)=1,1,2))</f>
        <v>0</v>
      </c>
      <c r="CQ202" s="3">
        <f>IF(OR(CK202="",ISBLANK(CK202),CK202=0),0,IF(MOD(CK202,2)=1,1,2))</f>
        <v>0</v>
      </c>
      <c r="CR202" s="3">
        <f>IF(OR(CL202="",ISBLANK(CL202),CL202=0),0,IF(MOD(CL202,2)=1,1,2))</f>
        <v>0</v>
      </c>
      <c r="CS202" s="31"/>
      <c r="CT202" s="3" cm="1">
        <f t="array" ref="CT202">SUMPRODUCT(--(MOD(CH202:CL202,2)=1))</f>
        <v>0</v>
      </c>
      <c r="CU202" s="3">
        <f>5-CT202</f>
        <v>5</v>
      </c>
      <c r="CV202" s="30"/>
      <c r="CW202" s="3" cm="1">
        <f t="array" ref="CW202">SUMPRODUCT(--(MOD(CH202:CL202,10)&gt;=1), --(MOD(CH202:CL202,10)&lt;=5))</f>
        <v>0</v>
      </c>
      <c r="CX202" s="3">
        <f>5-CW202</f>
        <v>5</v>
      </c>
      <c r="CY202" s="30"/>
      <c r="CZ202" s="3" cm="1">
        <f t="array" ref="CZ202">IFERROR(COUNT(_xlfn._xlws.FILTER(CH202:CL202, ISNUMBER(MATCH(CH202:CL202, {2,3,5,7,11,13,17,19,23,29,31,37,41,43}, 0)))), 0)</f>
        <v>0</v>
      </c>
      <c r="DA202" s="3" cm="1">
        <f t="array" ref="DA202">IFERROR(COUNT(_xlfn._xlws.FILTER(CH202:CL202, ISNUMBER(MATCH(CH202:CL202, {1,4,8,10,14,16,20,22,25,26,28,32,34,35,38,40,44}, 0)))), 0)</f>
        <v>0</v>
      </c>
      <c r="DB202" s="3" cm="1">
        <f t="array" ref="DB202">IFERROR(COUNT(_xlfn._xlws.FILTER(CH202:CL202, ISNUMBER(MATCH(CH202:CL202, {6,9,12,15,18,21,24,27,30,33,36,39,42,45}, 0)))), 0)</f>
        <v>0</v>
      </c>
      <c r="DC202" s="29"/>
      <c r="DD202" s="28" t="e">
        <f>#REF!</f>
        <v>#REF!</v>
      </c>
      <c r="DE202" s="28" t="e">
        <f>#REF!*2</f>
        <v>#REF!</v>
      </c>
      <c r="DF202" s="28" t="e">
        <f>#REF!</f>
        <v>#REF!</v>
      </c>
      <c r="DG202" s="28" t="e">
        <f>#REF!*2</f>
        <v>#REF!</v>
      </c>
      <c r="DH202" s="28" t="e">
        <f>#REF!</f>
        <v>#REF!</v>
      </c>
      <c r="DI202" s="28" t="e">
        <f>#REF!*2</f>
        <v>#REF!</v>
      </c>
      <c r="DJ202" s="28" t="e">
        <f>#REF!</f>
        <v>#REF!</v>
      </c>
      <c r="DK202" s="28" t="e">
        <f>#REF!*2</f>
        <v>#REF!</v>
      </c>
      <c r="DL202" s="28" t="e">
        <f>#REF!</f>
        <v>#REF!</v>
      </c>
      <c r="DM202" s="28" t="e">
        <f>#REF!*2</f>
        <v>#REF!</v>
      </c>
      <c r="DN202" s="27"/>
      <c r="DO202" s="26"/>
      <c r="DP202" s="26"/>
      <c r="DQ202" s="26"/>
      <c r="DR202" s="26"/>
      <c r="DS202" s="26"/>
      <c r="DT202" s="25"/>
    </row>
    <row r="203" spans="2:124" x14ac:dyDescent="0.3">
      <c r="B203" s="3">
        <v>0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2"/>
      <c r="I203" s="3">
        <f>IF(OR(B203="",ISBLANK(B203),B203=0),0,IF(MOD(B203,2)=1,1,2))</f>
        <v>0</v>
      </c>
      <c r="J203" s="3">
        <f>IF(OR(C203="",ISBLANK(C203),C203=0),0,IF(MOD(C203,2)=1,1,2))</f>
        <v>0</v>
      </c>
      <c r="K203" s="3">
        <f>IF(OR(D203="",ISBLANK(D203),D203=0),0,IF(MOD(D203,2)=1,1,2))</f>
        <v>0</v>
      </c>
      <c r="L203" s="3">
        <f>IF(OR(E203="",ISBLANK(E203),E203=0),0,IF(MOD(E203,2)=1,1,2))</f>
        <v>0</v>
      </c>
      <c r="M203" s="3">
        <f>IF(OR(F203="",ISBLANK(F203),F203=0),0,IF(MOD(F203,2)=1,1,2))</f>
        <v>0</v>
      </c>
      <c r="N203" s="3">
        <f>IF(OR(G203="",ISBLANK(G203),G203=0),0,IF(MOD(G203,2)=1,1,2))</f>
        <v>0</v>
      </c>
      <c r="O203" s="32"/>
      <c r="P203" s="3" cm="1">
        <f t="array" ref="P203">SUMPRODUCT(--(MOD(B203:G203,2)=1))</f>
        <v>0</v>
      </c>
      <c r="Q203" s="3">
        <f>6-P203</f>
        <v>6</v>
      </c>
      <c r="R203" s="34"/>
      <c r="S203" s="3">
        <f>COUNTIFS(B203:G203,"&gt;=1",B203:G203,"&lt;=23")</f>
        <v>0</v>
      </c>
      <c r="T203" s="3">
        <f>6-S203</f>
        <v>6</v>
      </c>
      <c r="U203" s="34"/>
      <c r="V203" s="3" cm="1">
        <f t="array" ref="V203">SUMPRODUCT(--(MOD(B203:G203,10)&gt;=1), --(MOD(B203:G203,10)&lt;=5))</f>
        <v>0</v>
      </c>
      <c r="W203" s="3">
        <f>6-V203</f>
        <v>6</v>
      </c>
      <c r="X203" s="34"/>
      <c r="Y203" s="3" cm="1">
        <f t="array" ref="Y203">IFERROR(COUNT(_xlfn._xlws.FILTER(B203:G203, ISNUMBER(MATCH(B203:G203, {2,3,5,7,11,13,17,19,23,29,31,37,41,43}, 0)))), 0)</f>
        <v>0</v>
      </c>
      <c r="Z203" s="3" cm="1">
        <f t="array" ref="Z203">IFERROR(COUNT(_xlfn._xlws.FILTER(B203:G203, ISNUMBER(MATCH(B203:G203, {1,4,8,10,14,16,20,22,25,26,28,32,34,35,38,40,44}, 0)))), 0)</f>
        <v>0</v>
      </c>
      <c r="AA203" s="3" cm="1">
        <f t="array" ref="AA203">IFERROR(COUNT(_xlfn._xlws.FILTER(B203:G203, ISNUMBER(MATCH(B203:G203, {6,9,12,15,18,21,24,27,30,33,36,39,42,45}, 0)))), 0)</f>
        <v>0</v>
      </c>
      <c r="AB203" s="30"/>
      <c r="AC203" s="26" cm="1">
        <f t="array" ref="AC203">_xlfn.IFS(
   OR(B203="",ISBLANK(B203),B203=0),0,
   ISNUMBER(MATCH(B203,{2,3,5,7,11,13,17,19,23,29,31,37,41,43},0)),"소",
   AND(ISNUMBER(B203),MOD(B203,3)=0),"배",
   AND(ISNUMBER(B203),B203&gt;0),"자"
)</f>
        <v>0</v>
      </c>
      <c r="AD203" s="26" cm="1">
        <f t="array" ref="AD203">_xlfn.IFS(
   OR(C203="",ISBLANK(C203),C203=0),0,
   ISNUMBER(MATCH(C203,{2,3,5,7,11,13,17,19,23,29,31,37,41,43},0)),"소",
   AND(ISNUMBER(C203),MOD(C203,3)=0),"배",
   AND(ISNUMBER(C203),C203&gt;0),"자"
)</f>
        <v>0</v>
      </c>
      <c r="AE203" s="26" cm="1">
        <f t="array" ref="AE203">_xlfn.IFS(
   OR(D203="",ISBLANK(D203),D203=0),0,
   ISNUMBER(MATCH(D203,{2,3,5,7,11,13,17,19,23,29,31,37,41,43},0)),"소",
   AND(ISNUMBER(D203),MOD(D203,3)=0),"배",
   AND(ISNUMBER(D203),D203&gt;0),"자"
)</f>
        <v>0</v>
      </c>
      <c r="AF203" s="26" cm="1">
        <f t="array" ref="AF203">_xlfn.IFS(
   OR(E203="",ISBLANK(E203),E203=0),0,
   ISNUMBER(MATCH(E203,{2,3,5,7,11,13,17,19,23,29,31,37,41,43},0)),"소",
   AND(ISNUMBER(E203),MOD(E203,3)=0),"배",
   AND(ISNUMBER(E203),E203&gt;0),"자"
)</f>
        <v>0</v>
      </c>
      <c r="AG203" s="26" cm="1">
        <f t="array" ref="AG203">_xlfn.IFS(
   OR(F203="",ISBLANK(F203),F203=0),0,
   ISNUMBER(MATCH(F203,{2,3,5,7,11,13,17,19,23,29,31,37,41,43},0)),"소",
   AND(ISNUMBER(F203),MOD(F203,3)=0),"배",
   AND(ISNUMBER(F203),F203&gt;0),"자"
)</f>
        <v>0</v>
      </c>
      <c r="AH203" s="26" cm="1">
        <f t="array" ref="AH203">_xlfn.IFS(
   OR(G203="",ISBLANK(G203),G203=0),0,
   ISNUMBER(MATCH(G203,{2,3,5,7,11,13,17,19,23,29,31,37,41,43},0)),"소",
   AND(ISNUMBER(G203),MOD(G203,3)=0),"배",
   AND(ISNUMBER(G203),G203&gt;0),"자"
)</f>
        <v>0</v>
      </c>
      <c r="AI203" s="30"/>
      <c r="AJ203" s="3">
        <f>COUNTIFS(B203:G203,"&gt;=1",B203:G203,"&lt;=14")</f>
        <v>0</v>
      </c>
      <c r="AK203" s="3">
        <f>COUNTIFS(B203:G203,"&gt;=15",B203:G203,"&lt;=31")</f>
        <v>0</v>
      </c>
      <c r="AL203" s="3">
        <f>6-AK203-AJ203</f>
        <v>6</v>
      </c>
      <c r="AM203" s="33"/>
      <c r="AN203" s="3">
        <f>COUNTIFS($B203:$G203, "&gt;=1",$B203:$G203, "&lt;=9")</f>
        <v>0</v>
      </c>
      <c r="AO203" s="3">
        <f>COUNTIFS($B203:$G203, "&gt;=10",$B203:$G203, "&lt;=18")</f>
        <v>0</v>
      </c>
      <c r="AP203" s="3">
        <f>COUNTIFS($B203:$G203, "&gt;=19",$B203:$G203, "&lt;=27")</f>
        <v>0</v>
      </c>
      <c r="AQ203" s="3">
        <f>COUNTIFS($B203:$G203, "&gt;=28",$B203:$G203, "&lt;=36")</f>
        <v>0</v>
      </c>
      <c r="AR203" s="3">
        <f>COUNTIFS($B203:$G203, "&gt;=37",$B203:$G203, "&lt;=45")</f>
        <v>0</v>
      </c>
      <c r="AS203" s="28" t="e">
        <f>#REF!</f>
        <v>#REF!</v>
      </c>
      <c r="AT203" s="28" t="e">
        <f>#REF!*2</f>
        <v>#REF!</v>
      </c>
      <c r="AU203" s="28" t="e">
        <f>#REF!</f>
        <v>#REF!</v>
      </c>
      <c r="AV203" s="28" t="e">
        <f>#REF!*2</f>
        <v>#REF!</v>
      </c>
      <c r="AW203" s="28" t="e">
        <f>#REF!</f>
        <v>#REF!</v>
      </c>
      <c r="AX203" s="28" t="e">
        <f>#REF!*2</f>
        <v>#REF!</v>
      </c>
      <c r="AY203" s="28" t="e">
        <f>#REF!</f>
        <v>#REF!</v>
      </c>
      <c r="AZ203" s="28" t="e">
        <f>#REF!*2</f>
        <v>#REF!</v>
      </c>
      <c r="BA203" s="28" t="e">
        <f>#REF!</f>
        <v>#REF!</v>
      </c>
      <c r="BB203" s="28" t="e">
        <f>#REF!*2</f>
        <v>#REF!</v>
      </c>
      <c r="BC203" s="28" t="e">
        <f>#REF!</f>
        <v>#REF!</v>
      </c>
      <c r="BD203" s="28" t="e">
        <f>#REF!*2</f>
        <v>#REF!</v>
      </c>
      <c r="BE203" s="9" t="e">
        <f>#REF!-#REF!</f>
        <v>#REF!</v>
      </c>
      <c r="BF203" s="9" t="e">
        <f>#REF!-#REF!</f>
        <v>#REF!</v>
      </c>
      <c r="BG203" s="9" t="e">
        <f>#REF!-#REF!</f>
        <v>#REF!</v>
      </c>
      <c r="BH203" s="9" t="e">
        <f>#REF!-#REF!</f>
        <v>#REF!</v>
      </c>
      <c r="BI203" s="9" t="e">
        <f>#REF!-#REF!</f>
        <v>#REF!</v>
      </c>
      <c r="BJ203" s="33"/>
      <c r="BK203" s="3">
        <f>COUNTIFS(B203:G203, "&gt;=1", B203:G203, "&lt;=9")</f>
        <v>0</v>
      </c>
      <c r="BL203" s="3">
        <f>COUNTIFS(B203:G203, "&gt;=10", B203:G203, "&lt;=19")</f>
        <v>0</v>
      </c>
      <c r="BM203" s="3">
        <f>COUNTIFS(B203:G203, "&gt;=20", B203:G203, "&lt;=29")</f>
        <v>0</v>
      </c>
      <c r="BN203" s="3">
        <f>COUNTIFS(B203:G203, "&gt;=30", B203:G203, "&lt;=39")</f>
        <v>0</v>
      </c>
      <c r="BO203" s="3">
        <f>COUNTIFS(B203:G203, "&gt;=40", B203:G203, "&lt;=45")</f>
        <v>0</v>
      </c>
      <c r="BP203" s="28" t="e">
        <f>#REF!</f>
        <v>#REF!</v>
      </c>
      <c r="BQ203" s="28" t="e">
        <f>#REF!*2</f>
        <v>#REF!</v>
      </c>
      <c r="BR203" s="28" t="e">
        <f>#REF!</f>
        <v>#REF!</v>
      </c>
      <c r="BS203" s="28" t="e">
        <f>#REF!*2</f>
        <v>#REF!</v>
      </c>
      <c r="BT203" s="28" t="e">
        <f>#REF!</f>
        <v>#REF!</v>
      </c>
      <c r="BU203" s="28" t="e">
        <f>#REF!*2</f>
        <v>#REF!</v>
      </c>
      <c r="BV203" s="28" t="e">
        <f>#REF!</f>
        <v>#REF!</v>
      </c>
      <c r="BW203" s="28" t="e">
        <f>#REF!*2</f>
        <v>#REF!</v>
      </c>
      <c r="BX203" s="28" t="e">
        <f>#REF!</f>
        <v>#REF!</v>
      </c>
      <c r="BY203" s="28" t="e">
        <f>#REF!*2</f>
        <v>#REF!</v>
      </c>
      <c r="BZ203" s="28" t="e">
        <f>#REF!</f>
        <v>#REF!</v>
      </c>
      <c r="CA203" s="28" t="e">
        <f>#REF!*2</f>
        <v>#REF!</v>
      </c>
      <c r="CB203" s="9">
        <f>C203-B203</f>
        <v>0</v>
      </c>
      <c r="CC203" s="9">
        <f>D203-C203</f>
        <v>0</v>
      </c>
      <c r="CD203" s="9">
        <f>E203-D203</f>
        <v>0</v>
      </c>
      <c r="CE203" s="9">
        <f>F203-E203</f>
        <v>0</v>
      </c>
      <c r="CF203" s="9">
        <f>G203-F203</f>
        <v>0</v>
      </c>
      <c r="CG203" s="33"/>
      <c r="CH203" s="9">
        <f>C203-B203</f>
        <v>0</v>
      </c>
      <c r="CI203" s="9">
        <f>D203-C203</f>
        <v>0</v>
      </c>
      <c r="CJ203" s="9">
        <f>E203-D203</f>
        <v>0</v>
      </c>
      <c r="CK203" s="9">
        <f>F203-E203</f>
        <v>0</v>
      </c>
      <c r="CL203" s="9">
        <f>G203-F203</f>
        <v>0</v>
      </c>
      <c r="CM203" s="32"/>
      <c r="CN203" s="3">
        <f>IF(OR(CH203="",ISBLANK(CH203),CH203=0),0,IF(MOD(CH203,2)=1,1,2))</f>
        <v>0</v>
      </c>
      <c r="CO203" s="3">
        <f>IF(OR(CI203="",ISBLANK(CI203),CI203=0),0,IF(MOD(CI203,2)=1,1,2))</f>
        <v>0</v>
      </c>
      <c r="CP203" s="3">
        <f>IF(OR(CJ203="",ISBLANK(CJ203),CJ203=0),0,IF(MOD(CJ203,2)=1,1,2))</f>
        <v>0</v>
      </c>
      <c r="CQ203" s="3">
        <f>IF(OR(CK203="",ISBLANK(CK203),CK203=0),0,IF(MOD(CK203,2)=1,1,2))</f>
        <v>0</v>
      </c>
      <c r="CR203" s="3">
        <f>IF(OR(CL203="",ISBLANK(CL203),CL203=0),0,IF(MOD(CL203,2)=1,1,2))</f>
        <v>0</v>
      </c>
      <c r="CS203" s="31"/>
      <c r="CT203" s="3" cm="1">
        <f t="array" ref="CT203">SUMPRODUCT(--(MOD(CH203:CL203,2)=1))</f>
        <v>0</v>
      </c>
      <c r="CU203" s="3">
        <f>5-CT203</f>
        <v>5</v>
      </c>
      <c r="CV203" s="30"/>
      <c r="CW203" s="3" cm="1">
        <f t="array" ref="CW203">SUMPRODUCT(--(MOD(CH203:CL203,10)&gt;=1), --(MOD(CH203:CL203,10)&lt;=5))</f>
        <v>0</v>
      </c>
      <c r="CX203" s="3">
        <f>5-CW203</f>
        <v>5</v>
      </c>
      <c r="CY203" s="30"/>
      <c r="CZ203" s="3" cm="1">
        <f t="array" ref="CZ203">IFERROR(COUNT(_xlfn._xlws.FILTER(CH203:CL203, ISNUMBER(MATCH(CH203:CL203, {2,3,5,7,11,13,17,19,23,29,31,37,41,43}, 0)))), 0)</f>
        <v>0</v>
      </c>
      <c r="DA203" s="3" cm="1">
        <f t="array" ref="DA203">IFERROR(COUNT(_xlfn._xlws.FILTER(CH203:CL203, ISNUMBER(MATCH(CH203:CL203, {1,4,8,10,14,16,20,22,25,26,28,32,34,35,38,40,44}, 0)))), 0)</f>
        <v>0</v>
      </c>
      <c r="DB203" s="3" cm="1">
        <f t="array" ref="DB203">IFERROR(COUNT(_xlfn._xlws.FILTER(CH203:CL203, ISNUMBER(MATCH(CH203:CL203, {6,9,12,15,18,21,24,27,30,33,36,39,42,45}, 0)))), 0)</f>
        <v>0</v>
      </c>
      <c r="DC203" s="29"/>
      <c r="DD203" s="28" t="e">
        <f>#REF!</f>
        <v>#REF!</v>
      </c>
      <c r="DE203" s="28" t="e">
        <f>#REF!*2</f>
        <v>#REF!</v>
      </c>
      <c r="DF203" s="28" t="e">
        <f>#REF!</f>
        <v>#REF!</v>
      </c>
      <c r="DG203" s="28" t="e">
        <f>#REF!*2</f>
        <v>#REF!</v>
      </c>
      <c r="DH203" s="28" t="e">
        <f>#REF!</f>
        <v>#REF!</v>
      </c>
      <c r="DI203" s="28" t="e">
        <f>#REF!*2</f>
        <v>#REF!</v>
      </c>
      <c r="DJ203" s="28" t="e">
        <f>#REF!</f>
        <v>#REF!</v>
      </c>
      <c r="DK203" s="28" t="e">
        <f>#REF!*2</f>
        <v>#REF!</v>
      </c>
      <c r="DL203" s="28" t="e">
        <f>#REF!</f>
        <v>#REF!</v>
      </c>
      <c r="DM203" s="28" t="e">
        <f>#REF!*2</f>
        <v>#REF!</v>
      </c>
      <c r="DN203" s="27"/>
      <c r="DO203" s="26"/>
      <c r="DP203" s="26"/>
      <c r="DQ203" s="26"/>
      <c r="DR203" s="26"/>
      <c r="DS203" s="26"/>
      <c r="DT203" s="25"/>
    </row>
    <row r="204" spans="2:124" x14ac:dyDescent="0.3">
      <c r="B204" s="3">
        <v>0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2"/>
      <c r="I204" s="3">
        <f>IF(OR(B204="",ISBLANK(B204),B204=0),0,IF(MOD(B204,2)=1,1,2))</f>
        <v>0</v>
      </c>
      <c r="J204" s="3">
        <f>IF(OR(C204="",ISBLANK(C204),C204=0),0,IF(MOD(C204,2)=1,1,2))</f>
        <v>0</v>
      </c>
      <c r="K204" s="3">
        <f>IF(OR(D204="",ISBLANK(D204),D204=0),0,IF(MOD(D204,2)=1,1,2))</f>
        <v>0</v>
      </c>
      <c r="L204" s="3">
        <f>IF(OR(E204="",ISBLANK(E204),E204=0),0,IF(MOD(E204,2)=1,1,2))</f>
        <v>0</v>
      </c>
      <c r="M204" s="3">
        <f>IF(OR(F204="",ISBLANK(F204),F204=0),0,IF(MOD(F204,2)=1,1,2))</f>
        <v>0</v>
      </c>
      <c r="N204" s="3">
        <f>IF(OR(G204="",ISBLANK(G204),G204=0),0,IF(MOD(G204,2)=1,1,2))</f>
        <v>0</v>
      </c>
      <c r="O204" s="32"/>
      <c r="P204" s="3" cm="1">
        <f t="array" ref="P204">SUMPRODUCT(--(MOD(B204:G204,2)=1))</f>
        <v>0</v>
      </c>
      <c r="Q204" s="3">
        <f>6-P204</f>
        <v>6</v>
      </c>
      <c r="R204" s="34"/>
      <c r="S204" s="3">
        <f>COUNTIFS(B204:G204,"&gt;=1",B204:G204,"&lt;=23")</f>
        <v>0</v>
      </c>
      <c r="T204" s="3">
        <f>6-S204</f>
        <v>6</v>
      </c>
      <c r="U204" s="34"/>
      <c r="V204" s="3" cm="1">
        <f t="array" ref="V204">SUMPRODUCT(--(MOD(B204:G204,10)&gt;=1), --(MOD(B204:G204,10)&lt;=5))</f>
        <v>0</v>
      </c>
      <c r="W204" s="3">
        <f>6-V204</f>
        <v>6</v>
      </c>
      <c r="X204" s="34"/>
      <c r="Y204" s="3" cm="1">
        <f t="array" ref="Y204">IFERROR(COUNT(_xlfn._xlws.FILTER(B204:G204, ISNUMBER(MATCH(B204:G204, {2,3,5,7,11,13,17,19,23,29,31,37,41,43}, 0)))), 0)</f>
        <v>0</v>
      </c>
      <c r="Z204" s="3" cm="1">
        <f t="array" ref="Z204">IFERROR(COUNT(_xlfn._xlws.FILTER(B204:G204, ISNUMBER(MATCH(B204:G204, {1,4,8,10,14,16,20,22,25,26,28,32,34,35,38,40,44}, 0)))), 0)</f>
        <v>0</v>
      </c>
      <c r="AA204" s="3" cm="1">
        <f t="array" ref="AA204">IFERROR(COUNT(_xlfn._xlws.FILTER(B204:G204, ISNUMBER(MATCH(B204:G204, {6,9,12,15,18,21,24,27,30,33,36,39,42,45}, 0)))), 0)</f>
        <v>0</v>
      </c>
      <c r="AB204" s="30"/>
      <c r="AC204" s="26" cm="1">
        <f t="array" ref="AC204">_xlfn.IFS(
   OR(B204="",ISBLANK(B204),B204=0),0,
   ISNUMBER(MATCH(B204,{2,3,5,7,11,13,17,19,23,29,31,37,41,43},0)),"소",
   AND(ISNUMBER(B204),MOD(B204,3)=0),"배",
   AND(ISNUMBER(B204),B204&gt;0),"자"
)</f>
        <v>0</v>
      </c>
      <c r="AD204" s="26" cm="1">
        <f t="array" ref="AD204">_xlfn.IFS(
   OR(C204="",ISBLANK(C204),C204=0),0,
   ISNUMBER(MATCH(C204,{2,3,5,7,11,13,17,19,23,29,31,37,41,43},0)),"소",
   AND(ISNUMBER(C204),MOD(C204,3)=0),"배",
   AND(ISNUMBER(C204),C204&gt;0),"자"
)</f>
        <v>0</v>
      </c>
      <c r="AE204" s="26" cm="1">
        <f t="array" ref="AE204">_xlfn.IFS(
   OR(D204="",ISBLANK(D204),D204=0),0,
   ISNUMBER(MATCH(D204,{2,3,5,7,11,13,17,19,23,29,31,37,41,43},0)),"소",
   AND(ISNUMBER(D204),MOD(D204,3)=0),"배",
   AND(ISNUMBER(D204),D204&gt;0),"자"
)</f>
        <v>0</v>
      </c>
      <c r="AF204" s="26" cm="1">
        <f t="array" ref="AF204">_xlfn.IFS(
   OR(E204="",ISBLANK(E204),E204=0),0,
   ISNUMBER(MATCH(E204,{2,3,5,7,11,13,17,19,23,29,31,37,41,43},0)),"소",
   AND(ISNUMBER(E204),MOD(E204,3)=0),"배",
   AND(ISNUMBER(E204),E204&gt;0),"자"
)</f>
        <v>0</v>
      </c>
      <c r="AG204" s="26" cm="1">
        <f t="array" ref="AG204">_xlfn.IFS(
   OR(F204="",ISBLANK(F204),F204=0),0,
   ISNUMBER(MATCH(F204,{2,3,5,7,11,13,17,19,23,29,31,37,41,43},0)),"소",
   AND(ISNUMBER(F204),MOD(F204,3)=0),"배",
   AND(ISNUMBER(F204),F204&gt;0),"자"
)</f>
        <v>0</v>
      </c>
      <c r="AH204" s="26" cm="1">
        <f t="array" ref="AH204">_xlfn.IFS(
   OR(G204="",ISBLANK(G204),G204=0),0,
   ISNUMBER(MATCH(G204,{2,3,5,7,11,13,17,19,23,29,31,37,41,43},0)),"소",
   AND(ISNUMBER(G204),MOD(G204,3)=0),"배",
   AND(ISNUMBER(G204),G204&gt;0),"자"
)</f>
        <v>0</v>
      </c>
      <c r="AI204" s="30"/>
      <c r="AJ204" s="3">
        <f>COUNTIFS(B204:G204,"&gt;=1",B204:G204,"&lt;=14")</f>
        <v>0</v>
      </c>
      <c r="AK204" s="3">
        <f>COUNTIFS(B204:G204,"&gt;=15",B204:G204,"&lt;=31")</f>
        <v>0</v>
      </c>
      <c r="AL204" s="3">
        <f>6-AK204-AJ204</f>
        <v>6</v>
      </c>
      <c r="AM204" s="33"/>
      <c r="AN204" s="3">
        <f>COUNTIFS($B204:$G204, "&gt;=1",$B204:$G204, "&lt;=9")</f>
        <v>0</v>
      </c>
      <c r="AO204" s="3">
        <f>COUNTIFS($B204:$G204, "&gt;=10",$B204:$G204, "&lt;=18")</f>
        <v>0</v>
      </c>
      <c r="AP204" s="3">
        <f>COUNTIFS($B204:$G204, "&gt;=19",$B204:$G204, "&lt;=27")</f>
        <v>0</v>
      </c>
      <c r="AQ204" s="3">
        <f>COUNTIFS($B204:$G204, "&gt;=28",$B204:$G204, "&lt;=36")</f>
        <v>0</v>
      </c>
      <c r="AR204" s="3">
        <f>COUNTIFS($B204:$G204, "&gt;=37",$B204:$G204, "&lt;=45")</f>
        <v>0</v>
      </c>
      <c r="AS204" s="28" t="e">
        <f>#REF!</f>
        <v>#REF!</v>
      </c>
      <c r="AT204" s="28" t="e">
        <f>#REF!*2</f>
        <v>#REF!</v>
      </c>
      <c r="AU204" s="28" t="e">
        <f>#REF!</f>
        <v>#REF!</v>
      </c>
      <c r="AV204" s="28" t="e">
        <f>#REF!*2</f>
        <v>#REF!</v>
      </c>
      <c r="AW204" s="28" t="e">
        <f>#REF!</f>
        <v>#REF!</v>
      </c>
      <c r="AX204" s="28" t="e">
        <f>#REF!*2</f>
        <v>#REF!</v>
      </c>
      <c r="AY204" s="28" t="e">
        <f>#REF!</f>
        <v>#REF!</v>
      </c>
      <c r="AZ204" s="28" t="e">
        <f>#REF!*2</f>
        <v>#REF!</v>
      </c>
      <c r="BA204" s="28" t="e">
        <f>#REF!</f>
        <v>#REF!</v>
      </c>
      <c r="BB204" s="28" t="e">
        <f>#REF!*2</f>
        <v>#REF!</v>
      </c>
      <c r="BC204" s="28" t="e">
        <f>#REF!</f>
        <v>#REF!</v>
      </c>
      <c r="BD204" s="28" t="e">
        <f>#REF!*2</f>
        <v>#REF!</v>
      </c>
      <c r="BE204" s="9" t="e">
        <f>#REF!-#REF!</f>
        <v>#REF!</v>
      </c>
      <c r="BF204" s="9" t="e">
        <f>#REF!-#REF!</f>
        <v>#REF!</v>
      </c>
      <c r="BG204" s="9" t="e">
        <f>#REF!-#REF!</f>
        <v>#REF!</v>
      </c>
      <c r="BH204" s="9" t="e">
        <f>#REF!-#REF!</f>
        <v>#REF!</v>
      </c>
      <c r="BI204" s="9" t="e">
        <f>#REF!-#REF!</f>
        <v>#REF!</v>
      </c>
      <c r="BJ204" s="33"/>
      <c r="BK204" s="3">
        <f>COUNTIFS(B204:G204, "&gt;=1", B204:G204, "&lt;=9")</f>
        <v>0</v>
      </c>
      <c r="BL204" s="3">
        <f>COUNTIFS(B204:G204, "&gt;=10", B204:G204, "&lt;=19")</f>
        <v>0</v>
      </c>
      <c r="BM204" s="3">
        <f>COUNTIFS(B204:G204, "&gt;=20", B204:G204, "&lt;=29")</f>
        <v>0</v>
      </c>
      <c r="BN204" s="3">
        <f>COUNTIFS(B204:G204, "&gt;=30", B204:G204, "&lt;=39")</f>
        <v>0</v>
      </c>
      <c r="BO204" s="3">
        <f>COUNTIFS(B204:G204, "&gt;=40", B204:G204, "&lt;=45")</f>
        <v>0</v>
      </c>
      <c r="BP204" s="28" t="e">
        <f>#REF!</f>
        <v>#REF!</v>
      </c>
      <c r="BQ204" s="28" t="e">
        <f>#REF!*2</f>
        <v>#REF!</v>
      </c>
      <c r="BR204" s="28" t="e">
        <f>#REF!</f>
        <v>#REF!</v>
      </c>
      <c r="BS204" s="28" t="e">
        <f>#REF!*2</f>
        <v>#REF!</v>
      </c>
      <c r="BT204" s="28" t="e">
        <f>#REF!</f>
        <v>#REF!</v>
      </c>
      <c r="BU204" s="28" t="e">
        <f>#REF!*2</f>
        <v>#REF!</v>
      </c>
      <c r="BV204" s="28" t="e">
        <f>#REF!</f>
        <v>#REF!</v>
      </c>
      <c r="BW204" s="28" t="e">
        <f>#REF!*2</f>
        <v>#REF!</v>
      </c>
      <c r="BX204" s="28" t="e">
        <f>#REF!</f>
        <v>#REF!</v>
      </c>
      <c r="BY204" s="28" t="e">
        <f>#REF!*2</f>
        <v>#REF!</v>
      </c>
      <c r="BZ204" s="28" t="e">
        <f>#REF!</f>
        <v>#REF!</v>
      </c>
      <c r="CA204" s="28" t="e">
        <f>#REF!*2</f>
        <v>#REF!</v>
      </c>
      <c r="CB204" s="9">
        <f>C204-B204</f>
        <v>0</v>
      </c>
      <c r="CC204" s="9">
        <f>D204-C204</f>
        <v>0</v>
      </c>
      <c r="CD204" s="9">
        <f>E204-D204</f>
        <v>0</v>
      </c>
      <c r="CE204" s="9">
        <f>F204-E204</f>
        <v>0</v>
      </c>
      <c r="CF204" s="9">
        <f>G204-F204</f>
        <v>0</v>
      </c>
      <c r="CG204" s="33"/>
      <c r="CH204" s="9">
        <f>C204-B204</f>
        <v>0</v>
      </c>
      <c r="CI204" s="9">
        <f>D204-C204</f>
        <v>0</v>
      </c>
      <c r="CJ204" s="9">
        <f>E204-D204</f>
        <v>0</v>
      </c>
      <c r="CK204" s="9">
        <f>F204-E204</f>
        <v>0</v>
      </c>
      <c r="CL204" s="9">
        <f>G204-F204</f>
        <v>0</v>
      </c>
      <c r="CM204" s="32"/>
      <c r="CN204" s="3">
        <f>IF(OR(CH204="",ISBLANK(CH204),CH204=0),0,IF(MOD(CH204,2)=1,1,2))</f>
        <v>0</v>
      </c>
      <c r="CO204" s="3">
        <f>IF(OR(CI204="",ISBLANK(CI204),CI204=0),0,IF(MOD(CI204,2)=1,1,2))</f>
        <v>0</v>
      </c>
      <c r="CP204" s="3">
        <f>IF(OR(CJ204="",ISBLANK(CJ204),CJ204=0),0,IF(MOD(CJ204,2)=1,1,2))</f>
        <v>0</v>
      </c>
      <c r="CQ204" s="3">
        <f>IF(OR(CK204="",ISBLANK(CK204),CK204=0),0,IF(MOD(CK204,2)=1,1,2))</f>
        <v>0</v>
      </c>
      <c r="CR204" s="3">
        <f>IF(OR(CL204="",ISBLANK(CL204),CL204=0),0,IF(MOD(CL204,2)=1,1,2))</f>
        <v>0</v>
      </c>
      <c r="CS204" s="31"/>
      <c r="CT204" s="3" cm="1">
        <f t="array" ref="CT204">SUMPRODUCT(--(MOD(CH204:CL204,2)=1))</f>
        <v>0</v>
      </c>
      <c r="CU204" s="3">
        <f>5-CT204</f>
        <v>5</v>
      </c>
      <c r="CV204" s="30"/>
      <c r="CW204" s="3" cm="1">
        <f t="array" ref="CW204">SUMPRODUCT(--(MOD(CH204:CL204,10)&gt;=1), --(MOD(CH204:CL204,10)&lt;=5))</f>
        <v>0</v>
      </c>
      <c r="CX204" s="3">
        <f>5-CW204</f>
        <v>5</v>
      </c>
      <c r="CY204" s="30"/>
      <c r="CZ204" s="3" cm="1">
        <f t="array" ref="CZ204">IFERROR(COUNT(_xlfn._xlws.FILTER(CH204:CL204, ISNUMBER(MATCH(CH204:CL204, {2,3,5,7,11,13,17,19,23,29,31,37,41,43}, 0)))), 0)</f>
        <v>0</v>
      </c>
      <c r="DA204" s="3" cm="1">
        <f t="array" ref="DA204">IFERROR(COUNT(_xlfn._xlws.FILTER(CH204:CL204, ISNUMBER(MATCH(CH204:CL204, {1,4,8,10,14,16,20,22,25,26,28,32,34,35,38,40,44}, 0)))), 0)</f>
        <v>0</v>
      </c>
      <c r="DB204" s="3" cm="1">
        <f t="array" ref="DB204">IFERROR(COUNT(_xlfn._xlws.FILTER(CH204:CL204, ISNUMBER(MATCH(CH204:CL204, {6,9,12,15,18,21,24,27,30,33,36,39,42,45}, 0)))), 0)</f>
        <v>0</v>
      </c>
      <c r="DC204" s="29"/>
      <c r="DD204" s="28" t="e">
        <f>#REF!</f>
        <v>#REF!</v>
      </c>
      <c r="DE204" s="28" t="e">
        <f>#REF!*2</f>
        <v>#REF!</v>
      </c>
      <c r="DF204" s="28" t="e">
        <f>#REF!</f>
        <v>#REF!</v>
      </c>
      <c r="DG204" s="28" t="e">
        <f>#REF!*2</f>
        <v>#REF!</v>
      </c>
      <c r="DH204" s="28" t="e">
        <f>#REF!</f>
        <v>#REF!</v>
      </c>
      <c r="DI204" s="28" t="e">
        <f>#REF!*2</f>
        <v>#REF!</v>
      </c>
      <c r="DJ204" s="28" t="e">
        <f>#REF!</f>
        <v>#REF!</v>
      </c>
      <c r="DK204" s="28" t="e">
        <f>#REF!*2</f>
        <v>#REF!</v>
      </c>
      <c r="DL204" s="28" t="e">
        <f>#REF!</f>
        <v>#REF!</v>
      </c>
      <c r="DM204" s="28" t="e">
        <f>#REF!*2</f>
        <v>#REF!</v>
      </c>
      <c r="DN204" s="27"/>
      <c r="DO204" s="26"/>
      <c r="DP204" s="26"/>
      <c r="DQ204" s="26"/>
      <c r="DR204" s="26"/>
      <c r="DS204" s="26"/>
      <c r="DT204" s="25"/>
    </row>
    <row r="205" spans="2:124" x14ac:dyDescent="0.3">
      <c r="B205" s="3">
        <v>0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2"/>
      <c r="I205" s="3">
        <f>IF(OR(B205="",ISBLANK(B205),B205=0),0,IF(MOD(B205,2)=1,1,2))</f>
        <v>0</v>
      </c>
      <c r="J205" s="3">
        <f>IF(OR(C205="",ISBLANK(C205),C205=0),0,IF(MOD(C205,2)=1,1,2))</f>
        <v>0</v>
      </c>
      <c r="K205" s="3">
        <f>IF(OR(D205="",ISBLANK(D205),D205=0),0,IF(MOD(D205,2)=1,1,2))</f>
        <v>0</v>
      </c>
      <c r="L205" s="3">
        <f>IF(OR(E205="",ISBLANK(E205),E205=0),0,IF(MOD(E205,2)=1,1,2))</f>
        <v>0</v>
      </c>
      <c r="M205" s="3">
        <f>IF(OR(F205="",ISBLANK(F205),F205=0),0,IF(MOD(F205,2)=1,1,2))</f>
        <v>0</v>
      </c>
      <c r="N205" s="3">
        <f>IF(OR(G205="",ISBLANK(G205),G205=0),0,IF(MOD(G205,2)=1,1,2))</f>
        <v>0</v>
      </c>
      <c r="O205" s="32"/>
      <c r="P205" s="3" cm="1">
        <f t="array" ref="P205">SUMPRODUCT(--(MOD(B205:G205,2)=1))</f>
        <v>0</v>
      </c>
      <c r="Q205" s="3">
        <f>6-P205</f>
        <v>6</v>
      </c>
      <c r="R205" s="34"/>
      <c r="S205" s="3">
        <f>COUNTIFS(B205:G205,"&gt;=1",B205:G205,"&lt;=23")</f>
        <v>0</v>
      </c>
      <c r="T205" s="3">
        <f>6-S205</f>
        <v>6</v>
      </c>
      <c r="U205" s="34"/>
      <c r="V205" s="3" cm="1">
        <f t="array" ref="V205">SUMPRODUCT(--(MOD(B205:G205,10)&gt;=1), --(MOD(B205:G205,10)&lt;=5))</f>
        <v>0</v>
      </c>
      <c r="W205" s="3">
        <f>6-V205</f>
        <v>6</v>
      </c>
      <c r="X205" s="34"/>
      <c r="Y205" s="3" cm="1">
        <f t="array" ref="Y205">IFERROR(COUNT(_xlfn._xlws.FILTER(B205:G205, ISNUMBER(MATCH(B205:G205, {2,3,5,7,11,13,17,19,23,29,31,37,41,43}, 0)))), 0)</f>
        <v>0</v>
      </c>
      <c r="Z205" s="3" cm="1">
        <f t="array" ref="Z205">IFERROR(COUNT(_xlfn._xlws.FILTER(B205:G205, ISNUMBER(MATCH(B205:G205, {1,4,8,10,14,16,20,22,25,26,28,32,34,35,38,40,44}, 0)))), 0)</f>
        <v>0</v>
      </c>
      <c r="AA205" s="3" cm="1">
        <f t="array" ref="AA205">IFERROR(COUNT(_xlfn._xlws.FILTER(B205:G205, ISNUMBER(MATCH(B205:G205, {6,9,12,15,18,21,24,27,30,33,36,39,42,45}, 0)))), 0)</f>
        <v>0</v>
      </c>
      <c r="AB205" s="30"/>
      <c r="AC205" s="26" cm="1">
        <f t="array" ref="AC205">_xlfn.IFS(
   OR(B205="",ISBLANK(B205),B205=0),0,
   ISNUMBER(MATCH(B205,{2,3,5,7,11,13,17,19,23,29,31,37,41,43},0)),"소",
   AND(ISNUMBER(B205),MOD(B205,3)=0),"배",
   AND(ISNUMBER(B205),B205&gt;0),"자"
)</f>
        <v>0</v>
      </c>
      <c r="AD205" s="26" cm="1">
        <f t="array" ref="AD205">_xlfn.IFS(
   OR(C205="",ISBLANK(C205),C205=0),0,
   ISNUMBER(MATCH(C205,{2,3,5,7,11,13,17,19,23,29,31,37,41,43},0)),"소",
   AND(ISNUMBER(C205),MOD(C205,3)=0),"배",
   AND(ISNUMBER(C205),C205&gt;0),"자"
)</f>
        <v>0</v>
      </c>
      <c r="AE205" s="26" cm="1">
        <f t="array" ref="AE205">_xlfn.IFS(
   OR(D205="",ISBLANK(D205),D205=0),0,
   ISNUMBER(MATCH(D205,{2,3,5,7,11,13,17,19,23,29,31,37,41,43},0)),"소",
   AND(ISNUMBER(D205),MOD(D205,3)=0),"배",
   AND(ISNUMBER(D205),D205&gt;0),"자"
)</f>
        <v>0</v>
      </c>
      <c r="AF205" s="26" cm="1">
        <f t="array" ref="AF205">_xlfn.IFS(
   OR(E205="",ISBLANK(E205),E205=0),0,
   ISNUMBER(MATCH(E205,{2,3,5,7,11,13,17,19,23,29,31,37,41,43},0)),"소",
   AND(ISNUMBER(E205),MOD(E205,3)=0),"배",
   AND(ISNUMBER(E205),E205&gt;0),"자"
)</f>
        <v>0</v>
      </c>
      <c r="AG205" s="26" cm="1">
        <f t="array" ref="AG205">_xlfn.IFS(
   OR(F205="",ISBLANK(F205),F205=0),0,
   ISNUMBER(MATCH(F205,{2,3,5,7,11,13,17,19,23,29,31,37,41,43},0)),"소",
   AND(ISNUMBER(F205),MOD(F205,3)=0),"배",
   AND(ISNUMBER(F205),F205&gt;0),"자"
)</f>
        <v>0</v>
      </c>
      <c r="AH205" s="26" cm="1">
        <f t="array" ref="AH205">_xlfn.IFS(
   OR(G205="",ISBLANK(G205),G205=0),0,
   ISNUMBER(MATCH(G205,{2,3,5,7,11,13,17,19,23,29,31,37,41,43},0)),"소",
   AND(ISNUMBER(G205),MOD(G205,3)=0),"배",
   AND(ISNUMBER(G205),G205&gt;0),"자"
)</f>
        <v>0</v>
      </c>
      <c r="AI205" s="30"/>
      <c r="AJ205" s="3">
        <f>COUNTIFS(B205:G205,"&gt;=1",B205:G205,"&lt;=14")</f>
        <v>0</v>
      </c>
      <c r="AK205" s="3">
        <f>COUNTIFS(B205:G205,"&gt;=15",B205:G205,"&lt;=31")</f>
        <v>0</v>
      </c>
      <c r="AL205" s="3">
        <f>6-AK205-AJ205</f>
        <v>6</v>
      </c>
      <c r="AM205" s="33"/>
      <c r="AN205" s="3">
        <f>COUNTIFS($B205:$G205, "&gt;=1",$B205:$G205, "&lt;=9")</f>
        <v>0</v>
      </c>
      <c r="AO205" s="3">
        <f>COUNTIFS($B205:$G205, "&gt;=10",$B205:$G205, "&lt;=18")</f>
        <v>0</v>
      </c>
      <c r="AP205" s="3">
        <f>COUNTIFS($B205:$G205, "&gt;=19",$B205:$G205, "&lt;=27")</f>
        <v>0</v>
      </c>
      <c r="AQ205" s="3">
        <f>COUNTIFS($B205:$G205, "&gt;=28",$B205:$G205, "&lt;=36")</f>
        <v>0</v>
      </c>
      <c r="AR205" s="3">
        <f>COUNTIFS($B205:$G205, "&gt;=37",$B205:$G205, "&lt;=45")</f>
        <v>0</v>
      </c>
      <c r="AS205" s="28" t="e">
        <f>#REF!</f>
        <v>#REF!</v>
      </c>
      <c r="AT205" s="28" t="e">
        <f>#REF!*2</f>
        <v>#REF!</v>
      </c>
      <c r="AU205" s="28" t="e">
        <f>#REF!</f>
        <v>#REF!</v>
      </c>
      <c r="AV205" s="28" t="e">
        <f>#REF!*2</f>
        <v>#REF!</v>
      </c>
      <c r="AW205" s="28" t="e">
        <f>#REF!</f>
        <v>#REF!</v>
      </c>
      <c r="AX205" s="28" t="e">
        <f>#REF!*2</f>
        <v>#REF!</v>
      </c>
      <c r="AY205" s="28" t="e">
        <f>#REF!</f>
        <v>#REF!</v>
      </c>
      <c r="AZ205" s="28" t="e">
        <f>#REF!*2</f>
        <v>#REF!</v>
      </c>
      <c r="BA205" s="28" t="e">
        <f>#REF!</f>
        <v>#REF!</v>
      </c>
      <c r="BB205" s="28" t="e">
        <f>#REF!*2</f>
        <v>#REF!</v>
      </c>
      <c r="BC205" s="28" t="e">
        <f>#REF!</f>
        <v>#REF!</v>
      </c>
      <c r="BD205" s="28" t="e">
        <f>#REF!*2</f>
        <v>#REF!</v>
      </c>
      <c r="BE205" s="9" t="e">
        <f>#REF!-#REF!</f>
        <v>#REF!</v>
      </c>
      <c r="BF205" s="9" t="e">
        <f>#REF!-#REF!</f>
        <v>#REF!</v>
      </c>
      <c r="BG205" s="9" t="e">
        <f>#REF!-#REF!</f>
        <v>#REF!</v>
      </c>
      <c r="BH205" s="9" t="e">
        <f>#REF!-#REF!</f>
        <v>#REF!</v>
      </c>
      <c r="BI205" s="9" t="e">
        <f>#REF!-#REF!</f>
        <v>#REF!</v>
      </c>
      <c r="BJ205" s="33"/>
      <c r="BK205" s="3">
        <f>COUNTIFS(B205:G205, "&gt;=1", B205:G205, "&lt;=9")</f>
        <v>0</v>
      </c>
      <c r="BL205" s="3">
        <f>COUNTIFS(B205:G205, "&gt;=10", B205:G205, "&lt;=19")</f>
        <v>0</v>
      </c>
      <c r="BM205" s="3">
        <f>COUNTIFS(B205:G205, "&gt;=20", B205:G205, "&lt;=29")</f>
        <v>0</v>
      </c>
      <c r="BN205" s="3">
        <f>COUNTIFS(B205:G205, "&gt;=30", B205:G205, "&lt;=39")</f>
        <v>0</v>
      </c>
      <c r="BO205" s="3">
        <f>COUNTIFS(B205:G205, "&gt;=40", B205:G205, "&lt;=45")</f>
        <v>0</v>
      </c>
      <c r="BP205" s="28" t="e">
        <f>#REF!</f>
        <v>#REF!</v>
      </c>
      <c r="BQ205" s="28" t="e">
        <f>#REF!*2</f>
        <v>#REF!</v>
      </c>
      <c r="BR205" s="28" t="e">
        <f>#REF!</f>
        <v>#REF!</v>
      </c>
      <c r="BS205" s="28" t="e">
        <f>#REF!*2</f>
        <v>#REF!</v>
      </c>
      <c r="BT205" s="28" t="e">
        <f>#REF!</f>
        <v>#REF!</v>
      </c>
      <c r="BU205" s="28" t="e">
        <f>#REF!*2</f>
        <v>#REF!</v>
      </c>
      <c r="BV205" s="28" t="e">
        <f>#REF!</f>
        <v>#REF!</v>
      </c>
      <c r="BW205" s="28" t="e">
        <f>#REF!*2</f>
        <v>#REF!</v>
      </c>
      <c r="BX205" s="28" t="e">
        <f>#REF!</f>
        <v>#REF!</v>
      </c>
      <c r="BY205" s="28" t="e">
        <f>#REF!*2</f>
        <v>#REF!</v>
      </c>
      <c r="BZ205" s="28" t="e">
        <f>#REF!</f>
        <v>#REF!</v>
      </c>
      <c r="CA205" s="28" t="e">
        <f>#REF!*2</f>
        <v>#REF!</v>
      </c>
      <c r="CB205" s="9">
        <f>C205-B205</f>
        <v>0</v>
      </c>
      <c r="CC205" s="9">
        <f>D205-C205</f>
        <v>0</v>
      </c>
      <c r="CD205" s="9">
        <f>E205-D205</f>
        <v>0</v>
      </c>
      <c r="CE205" s="9">
        <f>F205-E205</f>
        <v>0</v>
      </c>
      <c r="CF205" s="9">
        <f>G205-F205</f>
        <v>0</v>
      </c>
      <c r="CG205" s="33"/>
      <c r="CH205" s="9">
        <f>C205-B205</f>
        <v>0</v>
      </c>
      <c r="CI205" s="9">
        <f>D205-C205</f>
        <v>0</v>
      </c>
      <c r="CJ205" s="9">
        <f>E205-D205</f>
        <v>0</v>
      </c>
      <c r="CK205" s="9">
        <f>F205-E205</f>
        <v>0</v>
      </c>
      <c r="CL205" s="9">
        <f>G205-F205</f>
        <v>0</v>
      </c>
      <c r="CM205" s="32"/>
      <c r="CN205" s="3">
        <f>IF(OR(CH205="",ISBLANK(CH205),CH205=0),0,IF(MOD(CH205,2)=1,1,2))</f>
        <v>0</v>
      </c>
      <c r="CO205" s="3">
        <f>IF(OR(CI205="",ISBLANK(CI205),CI205=0),0,IF(MOD(CI205,2)=1,1,2))</f>
        <v>0</v>
      </c>
      <c r="CP205" s="3">
        <f>IF(OR(CJ205="",ISBLANK(CJ205),CJ205=0),0,IF(MOD(CJ205,2)=1,1,2))</f>
        <v>0</v>
      </c>
      <c r="CQ205" s="3">
        <f>IF(OR(CK205="",ISBLANK(CK205),CK205=0),0,IF(MOD(CK205,2)=1,1,2))</f>
        <v>0</v>
      </c>
      <c r="CR205" s="3">
        <f>IF(OR(CL205="",ISBLANK(CL205),CL205=0),0,IF(MOD(CL205,2)=1,1,2))</f>
        <v>0</v>
      </c>
      <c r="CS205" s="31"/>
      <c r="CT205" s="3" cm="1">
        <f t="array" ref="CT205">SUMPRODUCT(--(MOD(CH205:CL205,2)=1))</f>
        <v>0</v>
      </c>
      <c r="CU205" s="3">
        <f>5-CT205</f>
        <v>5</v>
      </c>
      <c r="CV205" s="30"/>
      <c r="CW205" s="3" cm="1">
        <f t="array" ref="CW205">SUMPRODUCT(--(MOD(CH205:CL205,10)&gt;=1), --(MOD(CH205:CL205,10)&lt;=5))</f>
        <v>0</v>
      </c>
      <c r="CX205" s="3">
        <f>5-CW205</f>
        <v>5</v>
      </c>
      <c r="CY205" s="30"/>
      <c r="CZ205" s="3" cm="1">
        <f t="array" ref="CZ205">IFERROR(COUNT(_xlfn._xlws.FILTER(CH205:CL205, ISNUMBER(MATCH(CH205:CL205, {2,3,5,7,11,13,17,19,23,29,31,37,41,43}, 0)))), 0)</f>
        <v>0</v>
      </c>
      <c r="DA205" s="3" cm="1">
        <f t="array" ref="DA205">IFERROR(COUNT(_xlfn._xlws.FILTER(CH205:CL205, ISNUMBER(MATCH(CH205:CL205, {1,4,8,10,14,16,20,22,25,26,28,32,34,35,38,40,44}, 0)))), 0)</f>
        <v>0</v>
      </c>
      <c r="DB205" s="3" cm="1">
        <f t="array" ref="DB205">IFERROR(COUNT(_xlfn._xlws.FILTER(CH205:CL205, ISNUMBER(MATCH(CH205:CL205, {6,9,12,15,18,21,24,27,30,33,36,39,42,45}, 0)))), 0)</f>
        <v>0</v>
      </c>
      <c r="DC205" s="29"/>
      <c r="DD205" s="28" t="e">
        <f>#REF!</f>
        <v>#REF!</v>
      </c>
      <c r="DE205" s="28" t="e">
        <f>#REF!*2</f>
        <v>#REF!</v>
      </c>
      <c r="DF205" s="28" t="e">
        <f>#REF!</f>
        <v>#REF!</v>
      </c>
      <c r="DG205" s="28" t="e">
        <f>#REF!*2</f>
        <v>#REF!</v>
      </c>
      <c r="DH205" s="28" t="e">
        <f>#REF!</f>
        <v>#REF!</v>
      </c>
      <c r="DI205" s="28" t="e">
        <f>#REF!*2</f>
        <v>#REF!</v>
      </c>
      <c r="DJ205" s="28" t="e">
        <f>#REF!</f>
        <v>#REF!</v>
      </c>
      <c r="DK205" s="28" t="e">
        <f>#REF!*2</f>
        <v>#REF!</v>
      </c>
      <c r="DL205" s="28" t="e">
        <f>#REF!</f>
        <v>#REF!</v>
      </c>
      <c r="DM205" s="28" t="e">
        <f>#REF!*2</f>
        <v>#REF!</v>
      </c>
      <c r="DN205" s="27"/>
      <c r="DO205" s="26"/>
      <c r="DP205" s="26"/>
      <c r="DQ205" s="26"/>
      <c r="DR205" s="26"/>
      <c r="DS205" s="26"/>
      <c r="DT205" s="25"/>
    </row>
    <row r="206" spans="2:124" x14ac:dyDescent="0.3">
      <c r="B206" s="3">
        <v>0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2"/>
      <c r="I206" s="3">
        <f>IF(OR(B206="",ISBLANK(B206),B206=0),0,IF(MOD(B206,2)=1,1,2))</f>
        <v>0</v>
      </c>
      <c r="J206" s="3">
        <f>IF(OR(C206="",ISBLANK(C206),C206=0),0,IF(MOD(C206,2)=1,1,2))</f>
        <v>0</v>
      </c>
      <c r="K206" s="3">
        <f>IF(OR(D206="",ISBLANK(D206),D206=0),0,IF(MOD(D206,2)=1,1,2))</f>
        <v>0</v>
      </c>
      <c r="L206" s="3">
        <f>IF(OR(E206="",ISBLANK(E206),E206=0),0,IF(MOD(E206,2)=1,1,2))</f>
        <v>0</v>
      </c>
      <c r="M206" s="3">
        <f>IF(OR(F206="",ISBLANK(F206),F206=0),0,IF(MOD(F206,2)=1,1,2))</f>
        <v>0</v>
      </c>
      <c r="N206" s="3">
        <f>IF(OR(G206="",ISBLANK(G206),G206=0),0,IF(MOD(G206,2)=1,1,2))</f>
        <v>0</v>
      </c>
      <c r="O206" s="32"/>
      <c r="P206" s="3" cm="1">
        <f t="array" ref="P206">SUMPRODUCT(--(MOD(B206:G206,2)=1))</f>
        <v>0</v>
      </c>
      <c r="Q206" s="3">
        <f>6-P206</f>
        <v>6</v>
      </c>
      <c r="R206" s="34"/>
      <c r="S206" s="3">
        <f>COUNTIFS(B206:G206,"&gt;=1",B206:G206,"&lt;=23")</f>
        <v>0</v>
      </c>
      <c r="T206" s="3">
        <f>6-S206</f>
        <v>6</v>
      </c>
      <c r="U206" s="34"/>
      <c r="V206" s="3" cm="1">
        <f t="array" ref="V206">SUMPRODUCT(--(MOD(B206:G206,10)&gt;=1), --(MOD(B206:G206,10)&lt;=5))</f>
        <v>0</v>
      </c>
      <c r="W206" s="3">
        <f>6-V206</f>
        <v>6</v>
      </c>
      <c r="X206" s="34"/>
      <c r="Y206" s="3" cm="1">
        <f t="array" ref="Y206">IFERROR(COUNT(_xlfn._xlws.FILTER(B206:G206, ISNUMBER(MATCH(B206:G206, {2,3,5,7,11,13,17,19,23,29,31,37,41,43}, 0)))), 0)</f>
        <v>0</v>
      </c>
      <c r="Z206" s="3" cm="1">
        <f t="array" ref="Z206">IFERROR(COUNT(_xlfn._xlws.FILTER(B206:G206, ISNUMBER(MATCH(B206:G206, {1,4,8,10,14,16,20,22,25,26,28,32,34,35,38,40,44}, 0)))), 0)</f>
        <v>0</v>
      </c>
      <c r="AA206" s="3" cm="1">
        <f t="array" ref="AA206">IFERROR(COUNT(_xlfn._xlws.FILTER(B206:G206, ISNUMBER(MATCH(B206:G206, {6,9,12,15,18,21,24,27,30,33,36,39,42,45}, 0)))), 0)</f>
        <v>0</v>
      </c>
      <c r="AB206" s="30"/>
      <c r="AC206" s="26" cm="1">
        <f t="array" ref="AC206">_xlfn.IFS(
   OR(B206="",ISBLANK(B206),B206=0),0,
   ISNUMBER(MATCH(B206,{2,3,5,7,11,13,17,19,23,29,31,37,41,43},0)),"소",
   AND(ISNUMBER(B206),MOD(B206,3)=0),"배",
   AND(ISNUMBER(B206),B206&gt;0),"자"
)</f>
        <v>0</v>
      </c>
      <c r="AD206" s="26" cm="1">
        <f t="array" ref="AD206">_xlfn.IFS(
   OR(C206="",ISBLANK(C206),C206=0),0,
   ISNUMBER(MATCH(C206,{2,3,5,7,11,13,17,19,23,29,31,37,41,43},0)),"소",
   AND(ISNUMBER(C206),MOD(C206,3)=0),"배",
   AND(ISNUMBER(C206),C206&gt;0),"자"
)</f>
        <v>0</v>
      </c>
      <c r="AE206" s="26" cm="1">
        <f t="array" ref="AE206">_xlfn.IFS(
   OR(D206="",ISBLANK(D206),D206=0),0,
   ISNUMBER(MATCH(D206,{2,3,5,7,11,13,17,19,23,29,31,37,41,43},0)),"소",
   AND(ISNUMBER(D206),MOD(D206,3)=0),"배",
   AND(ISNUMBER(D206),D206&gt;0),"자"
)</f>
        <v>0</v>
      </c>
      <c r="AF206" s="26" cm="1">
        <f t="array" ref="AF206">_xlfn.IFS(
   OR(E206="",ISBLANK(E206),E206=0),0,
   ISNUMBER(MATCH(E206,{2,3,5,7,11,13,17,19,23,29,31,37,41,43},0)),"소",
   AND(ISNUMBER(E206),MOD(E206,3)=0),"배",
   AND(ISNUMBER(E206),E206&gt;0),"자"
)</f>
        <v>0</v>
      </c>
      <c r="AG206" s="26" cm="1">
        <f t="array" ref="AG206">_xlfn.IFS(
   OR(F206="",ISBLANK(F206),F206=0),0,
   ISNUMBER(MATCH(F206,{2,3,5,7,11,13,17,19,23,29,31,37,41,43},0)),"소",
   AND(ISNUMBER(F206),MOD(F206,3)=0),"배",
   AND(ISNUMBER(F206),F206&gt;0),"자"
)</f>
        <v>0</v>
      </c>
      <c r="AH206" s="26" cm="1">
        <f t="array" ref="AH206">_xlfn.IFS(
   OR(G206="",ISBLANK(G206),G206=0),0,
   ISNUMBER(MATCH(G206,{2,3,5,7,11,13,17,19,23,29,31,37,41,43},0)),"소",
   AND(ISNUMBER(G206),MOD(G206,3)=0),"배",
   AND(ISNUMBER(G206),G206&gt;0),"자"
)</f>
        <v>0</v>
      </c>
      <c r="AI206" s="30"/>
      <c r="AJ206" s="3">
        <f>COUNTIFS(B206:G206,"&gt;=1",B206:G206,"&lt;=14")</f>
        <v>0</v>
      </c>
      <c r="AK206" s="3">
        <f>COUNTIFS(B206:G206,"&gt;=15",B206:G206,"&lt;=31")</f>
        <v>0</v>
      </c>
      <c r="AL206" s="3">
        <f>6-AK206-AJ206</f>
        <v>6</v>
      </c>
      <c r="AM206" s="33"/>
      <c r="AN206" s="3">
        <f>COUNTIFS($B206:$G206, "&gt;=1",$B206:$G206, "&lt;=9")</f>
        <v>0</v>
      </c>
      <c r="AO206" s="3">
        <f>COUNTIFS($B206:$G206, "&gt;=10",$B206:$G206, "&lt;=18")</f>
        <v>0</v>
      </c>
      <c r="AP206" s="3">
        <f>COUNTIFS($B206:$G206, "&gt;=19",$B206:$G206, "&lt;=27")</f>
        <v>0</v>
      </c>
      <c r="AQ206" s="3">
        <f>COUNTIFS($B206:$G206, "&gt;=28",$B206:$G206, "&lt;=36")</f>
        <v>0</v>
      </c>
      <c r="AR206" s="3">
        <f>COUNTIFS($B206:$G206, "&gt;=37",$B206:$G206, "&lt;=45")</f>
        <v>0</v>
      </c>
      <c r="AS206" s="28" t="e">
        <f>#REF!</f>
        <v>#REF!</v>
      </c>
      <c r="AT206" s="28" t="e">
        <f>#REF!*2</f>
        <v>#REF!</v>
      </c>
      <c r="AU206" s="28" t="e">
        <f>#REF!</f>
        <v>#REF!</v>
      </c>
      <c r="AV206" s="28" t="e">
        <f>#REF!*2</f>
        <v>#REF!</v>
      </c>
      <c r="AW206" s="28" t="e">
        <f>#REF!</f>
        <v>#REF!</v>
      </c>
      <c r="AX206" s="28" t="e">
        <f>#REF!*2</f>
        <v>#REF!</v>
      </c>
      <c r="AY206" s="28" t="e">
        <f>#REF!</f>
        <v>#REF!</v>
      </c>
      <c r="AZ206" s="28" t="e">
        <f>#REF!*2</f>
        <v>#REF!</v>
      </c>
      <c r="BA206" s="28" t="e">
        <f>#REF!</f>
        <v>#REF!</v>
      </c>
      <c r="BB206" s="28" t="e">
        <f>#REF!*2</f>
        <v>#REF!</v>
      </c>
      <c r="BC206" s="28" t="e">
        <f>#REF!</f>
        <v>#REF!</v>
      </c>
      <c r="BD206" s="28" t="e">
        <f>#REF!*2</f>
        <v>#REF!</v>
      </c>
      <c r="BE206" s="9" t="e">
        <f>#REF!-#REF!</f>
        <v>#REF!</v>
      </c>
      <c r="BF206" s="9" t="e">
        <f>#REF!-#REF!</f>
        <v>#REF!</v>
      </c>
      <c r="BG206" s="9" t="e">
        <f>#REF!-#REF!</f>
        <v>#REF!</v>
      </c>
      <c r="BH206" s="9" t="e">
        <f>#REF!-#REF!</f>
        <v>#REF!</v>
      </c>
      <c r="BI206" s="9" t="e">
        <f>#REF!-#REF!</f>
        <v>#REF!</v>
      </c>
      <c r="BJ206" s="33"/>
      <c r="BK206" s="3">
        <f>COUNTIFS(B206:G206, "&gt;=1", B206:G206, "&lt;=9")</f>
        <v>0</v>
      </c>
      <c r="BL206" s="3">
        <f>COUNTIFS(B206:G206, "&gt;=10", B206:G206, "&lt;=19")</f>
        <v>0</v>
      </c>
      <c r="BM206" s="3">
        <f>COUNTIFS(B206:G206, "&gt;=20", B206:G206, "&lt;=29")</f>
        <v>0</v>
      </c>
      <c r="BN206" s="3">
        <f>COUNTIFS(B206:G206, "&gt;=30", B206:G206, "&lt;=39")</f>
        <v>0</v>
      </c>
      <c r="BO206" s="3">
        <f>COUNTIFS(B206:G206, "&gt;=40", B206:G206, "&lt;=45")</f>
        <v>0</v>
      </c>
      <c r="BP206" s="28" t="e">
        <f>#REF!</f>
        <v>#REF!</v>
      </c>
      <c r="BQ206" s="28" t="e">
        <f>#REF!*2</f>
        <v>#REF!</v>
      </c>
      <c r="BR206" s="28" t="e">
        <f>#REF!</f>
        <v>#REF!</v>
      </c>
      <c r="BS206" s="28" t="e">
        <f>#REF!*2</f>
        <v>#REF!</v>
      </c>
      <c r="BT206" s="28" t="e">
        <f>#REF!</f>
        <v>#REF!</v>
      </c>
      <c r="BU206" s="28" t="e">
        <f>#REF!*2</f>
        <v>#REF!</v>
      </c>
      <c r="BV206" s="28" t="e">
        <f>#REF!</f>
        <v>#REF!</v>
      </c>
      <c r="BW206" s="28" t="e">
        <f>#REF!*2</f>
        <v>#REF!</v>
      </c>
      <c r="BX206" s="28" t="e">
        <f>#REF!</f>
        <v>#REF!</v>
      </c>
      <c r="BY206" s="28" t="e">
        <f>#REF!*2</f>
        <v>#REF!</v>
      </c>
      <c r="BZ206" s="28" t="e">
        <f>#REF!</f>
        <v>#REF!</v>
      </c>
      <c r="CA206" s="28" t="e">
        <f>#REF!*2</f>
        <v>#REF!</v>
      </c>
      <c r="CB206" s="9">
        <f>C206-B206</f>
        <v>0</v>
      </c>
      <c r="CC206" s="9">
        <f>D206-C206</f>
        <v>0</v>
      </c>
      <c r="CD206" s="9">
        <f>E206-D206</f>
        <v>0</v>
      </c>
      <c r="CE206" s="9">
        <f>F206-E206</f>
        <v>0</v>
      </c>
      <c r="CF206" s="9">
        <f>G206-F206</f>
        <v>0</v>
      </c>
      <c r="CG206" s="33"/>
      <c r="CH206" s="9">
        <f>C206-B206</f>
        <v>0</v>
      </c>
      <c r="CI206" s="9">
        <f>D206-C206</f>
        <v>0</v>
      </c>
      <c r="CJ206" s="9">
        <f>E206-D206</f>
        <v>0</v>
      </c>
      <c r="CK206" s="9">
        <f>F206-E206</f>
        <v>0</v>
      </c>
      <c r="CL206" s="9">
        <f>G206-F206</f>
        <v>0</v>
      </c>
      <c r="CM206" s="32"/>
      <c r="CN206" s="3">
        <f>IF(OR(CH206="",ISBLANK(CH206),CH206=0),0,IF(MOD(CH206,2)=1,1,2))</f>
        <v>0</v>
      </c>
      <c r="CO206" s="3">
        <f>IF(OR(CI206="",ISBLANK(CI206),CI206=0),0,IF(MOD(CI206,2)=1,1,2))</f>
        <v>0</v>
      </c>
      <c r="CP206" s="3">
        <f>IF(OR(CJ206="",ISBLANK(CJ206),CJ206=0),0,IF(MOD(CJ206,2)=1,1,2))</f>
        <v>0</v>
      </c>
      <c r="CQ206" s="3">
        <f>IF(OR(CK206="",ISBLANK(CK206),CK206=0),0,IF(MOD(CK206,2)=1,1,2))</f>
        <v>0</v>
      </c>
      <c r="CR206" s="3">
        <f>IF(OR(CL206="",ISBLANK(CL206),CL206=0),0,IF(MOD(CL206,2)=1,1,2))</f>
        <v>0</v>
      </c>
      <c r="CS206" s="31"/>
      <c r="CT206" s="3" cm="1">
        <f t="array" ref="CT206">SUMPRODUCT(--(MOD(CH206:CL206,2)=1))</f>
        <v>0</v>
      </c>
      <c r="CU206" s="3">
        <f>5-CT206</f>
        <v>5</v>
      </c>
      <c r="CV206" s="30"/>
      <c r="CW206" s="3" cm="1">
        <f t="array" ref="CW206">SUMPRODUCT(--(MOD(CH206:CL206,10)&gt;=1), --(MOD(CH206:CL206,10)&lt;=5))</f>
        <v>0</v>
      </c>
      <c r="CX206" s="3">
        <f>5-CW206</f>
        <v>5</v>
      </c>
      <c r="CY206" s="30"/>
      <c r="CZ206" s="3" cm="1">
        <f t="array" ref="CZ206">IFERROR(COUNT(_xlfn._xlws.FILTER(CH206:CL206, ISNUMBER(MATCH(CH206:CL206, {2,3,5,7,11,13,17,19,23,29,31,37,41,43}, 0)))), 0)</f>
        <v>0</v>
      </c>
      <c r="DA206" s="3" cm="1">
        <f t="array" ref="DA206">IFERROR(COUNT(_xlfn._xlws.FILTER(CH206:CL206, ISNUMBER(MATCH(CH206:CL206, {1,4,8,10,14,16,20,22,25,26,28,32,34,35,38,40,44}, 0)))), 0)</f>
        <v>0</v>
      </c>
      <c r="DB206" s="3" cm="1">
        <f t="array" ref="DB206">IFERROR(COUNT(_xlfn._xlws.FILTER(CH206:CL206, ISNUMBER(MATCH(CH206:CL206, {6,9,12,15,18,21,24,27,30,33,36,39,42,45}, 0)))), 0)</f>
        <v>0</v>
      </c>
      <c r="DC206" s="29"/>
      <c r="DD206" s="28" t="e">
        <f>#REF!</f>
        <v>#REF!</v>
      </c>
      <c r="DE206" s="28" t="e">
        <f>#REF!*2</f>
        <v>#REF!</v>
      </c>
      <c r="DF206" s="28" t="e">
        <f>#REF!</f>
        <v>#REF!</v>
      </c>
      <c r="DG206" s="28" t="e">
        <f>#REF!*2</f>
        <v>#REF!</v>
      </c>
      <c r="DH206" s="28" t="e">
        <f>#REF!</f>
        <v>#REF!</v>
      </c>
      <c r="DI206" s="28" t="e">
        <f>#REF!*2</f>
        <v>#REF!</v>
      </c>
      <c r="DJ206" s="28" t="e">
        <f>#REF!</f>
        <v>#REF!</v>
      </c>
      <c r="DK206" s="28" t="e">
        <f>#REF!*2</f>
        <v>#REF!</v>
      </c>
      <c r="DL206" s="28" t="e">
        <f>#REF!</f>
        <v>#REF!</v>
      </c>
      <c r="DM206" s="28" t="e">
        <f>#REF!*2</f>
        <v>#REF!</v>
      </c>
      <c r="DN206" s="27"/>
      <c r="DO206" s="26"/>
      <c r="DP206" s="26"/>
      <c r="DQ206" s="26"/>
      <c r="DR206" s="26"/>
      <c r="DS206" s="26"/>
      <c r="DT206" s="25"/>
    </row>
    <row r="207" spans="2:124" x14ac:dyDescent="0.3">
      <c r="B207" s="3">
        <v>0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2"/>
      <c r="I207" s="3">
        <f>IF(OR(B207="",ISBLANK(B207),B207=0),0,IF(MOD(B207,2)=1,1,2))</f>
        <v>0</v>
      </c>
      <c r="J207" s="3">
        <f>IF(OR(C207="",ISBLANK(C207),C207=0),0,IF(MOD(C207,2)=1,1,2))</f>
        <v>0</v>
      </c>
      <c r="K207" s="3">
        <f>IF(OR(D207="",ISBLANK(D207),D207=0),0,IF(MOD(D207,2)=1,1,2))</f>
        <v>0</v>
      </c>
      <c r="L207" s="3">
        <f>IF(OR(E207="",ISBLANK(E207),E207=0),0,IF(MOD(E207,2)=1,1,2))</f>
        <v>0</v>
      </c>
      <c r="M207" s="3">
        <f>IF(OR(F207="",ISBLANK(F207),F207=0),0,IF(MOD(F207,2)=1,1,2))</f>
        <v>0</v>
      </c>
      <c r="N207" s="3">
        <f>IF(OR(G207="",ISBLANK(G207),G207=0),0,IF(MOD(G207,2)=1,1,2))</f>
        <v>0</v>
      </c>
      <c r="O207" s="32"/>
      <c r="P207" s="3" cm="1">
        <f t="array" ref="P207">SUMPRODUCT(--(MOD(B207:G207,2)=1))</f>
        <v>0</v>
      </c>
      <c r="Q207" s="3">
        <f>6-P207</f>
        <v>6</v>
      </c>
      <c r="R207" s="34"/>
      <c r="S207" s="3">
        <f>COUNTIFS(B207:G207,"&gt;=1",B207:G207,"&lt;=23")</f>
        <v>0</v>
      </c>
      <c r="T207" s="3">
        <f>6-S207</f>
        <v>6</v>
      </c>
      <c r="U207" s="34"/>
      <c r="V207" s="3" cm="1">
        <f t="array" ref="V207">SUMPRODUCT(--(MOD(B207:G207,10)&gt;=1), --(MOD(B207:G207,10)&lt;=5))</f>
        <v>0</v>
      </c>
      <c r="W207" s="3">
        <f>6-V207</f>
        <v>6</v>
      </c>
      <c r="X207" s="34"/>
      <c r="Y207" s="3" cm="1">
        <f t="array" ref="Y207">IFERROR(COUNT(_xlfn._xlws.FILTER(B207:G207, ISNUMBER(MATCH(B207:G207, {2,3,5,7,11,13,17,19,23,29,31,37,41,43}, 0)))), 0)</f>
        <v>0</v>
      </c>
      <c r="Z207" s="3" cm="1">
        <f t="array" ref="Z207">IFERROR(COUNT(_xlfn._xlws.FILTER(B207:G207, ISNUMBER(MATCH(B207:G207, {1,4,8,10,14,16,20,22,25,26,28,32,34,35,38,40,44}, 0)))), 0)</f>
        <v>0</v>
      </c>
      <c r="AA207" s="3" cm="1">
        <f t="array" ref="AA207">IFERROR(COUNT(_xlfn._xlws.FILTER(B207:G207, ISNUMBER(MATCH(B207:G207, {6,9,12,15,18,21,24,27,30,33,36,39,42,45}, 0)))), 0)</f>
        <v>0</v>
      </c>
      <c r="AB207" s="30"/>
      <c r="AC207" s="26" cm="1">
        <f t="array" ref="AC207">_xlfn.IFS(
   OR(B207="",ISBLANK(B207),B207=0),0,
   ISNUMBER(MATCH(B207,{2,3,5,7,11,13,17,19,23,29,31,37,41,43},0)),"소",
   AND(ISNUMBER(B207),MOD(B207,3)=0),"배",
   AND(ISNUMBER(B207),B207&gt;0),"자"
)</f>
        <v>0</v>
      </c>
      <c r="AD207" s="26" cm="1">
        <f t="array" ref="AD207">_xlfn.IFS(
   OR(C207="",ISBLANK(C207),C207=0),0,
   ISNUMBER(MATCH(C207,{2,3,5,7,11,13,17,19,23,29,31,37,41,43},0)),"소",
   AND(ISNUMBER(C207),MOD(C207,3)=0),"배",
   AND(ISNUMBER(C207),C207&gt;0),"자"
)</f>
        <v>0</v>
      </c>
      <c r="AE207" s="26" cm="1">
        <f t="array" ref="AE207">_xlfn.IFS(
   OR(D207="",ISBLANK(D207),D207=0),0,
   ISNUMBER(MATCH(D207,{2,3,5,7,11,13,17,19,23,29,31,37,41,43},0)),"소",
   AND(ISNUMBER(D207),MOD(D207,3)=0),"배",
   AND(ISNUMBER(D207),D207&gt;0),"자"
)</f>
        <v>0</v>
      </c>
      <c r="AF207" s="26" cm="1">
        <f t="array" ref="AF207">_xlfn.IFS(
   OR(E207="",ISBLANK(E207),E207=0),0,
   ISNUMBER(MATCH(E207,{2,3,5,7,11,13,17,19,23,29,31,37,41,43},0)),"소",
   AND(ISNUMBER(E207),MOD(E207,3)=0),"배",
   AND(ISNUMBER(E207),E207&gt;0),"자"
)</f>
        <v>0</v>
      </c>
      <c r="AG207" s="26" cm="1">
        <f t="array" ref="AG207">_xlfn.IFS(
   OR(F207="",ISBLANK(F207),F207=0),0,
   ISNUMBER(MATCH(F207,{2,3,5,7,11,13,17,19,23,29,31,37,41,43},0)),"소",
   AND(ISNUMBER(F207),MOD(F207,3)=0),"배",
   AND(ISNUMBER(F207),F207&gt;0),"자"
)</f>
        <v>0</v>
      </c>
      <c r="AH207" s="26" cm="1">
        <f t="array" ref="AH207">_xlfn.IFS(
   OR(G207="",ISBLANK(G207),G207=0),0,
   ISNUMBER(MATCH(G207,{2,3,5,7,11,13,17,19,23,29,31,37,41,43},0)),"소",
   AND(ISNUMBER(G207),MOD(G207,3)=0),"배",
   AND(ISNUMBER(G207),G207&gt;0),"자"
)</f>
        <v>0</v>
      </c>
      <c r="AI207" s="30"/>
      <c r="AJ207" s="3">
        <f>COUNTIFS(B207:G207,"&gt;=1",B207:G207,"&lt;=14")</f>
        <v>0</v>
      </c>
      <c r="AK207" s="3">
        <f>COUNTIFS(B207:G207,"&gt;=15",B207:G207,"&lt;=31")</f>
        <v>0</v>
      </c>
      <c r="AL207" s="3">
        <f>6-AK207-AJ207</f>
        <v>6</v>
      </c>
      <c r="AM207" s="33"/>
      <c r="AN207" s="3">
        <f>COUNTIFS($B207:$G207, "&gt;=1",$B207:$G207, "&lt;=9")</f>
        <v>0</v>
      </c>
      <c r="AO207" s="3">
        <f>COUNTIFS($B207:$G207, "&gt;=10",$B207:$G207, "&lt;=18")</f>
        <v>0</v>
      </c>
      <c r="AP207" s="3">
        <f>COUNTIFS($B207:$G207, "&gt;=19",$B207:$G207, "&lt;=27")</f>
        <v>0</v>
      </c>
      <c r="AQ207" s="3">
        <f>COUNTIFS($B207:$G207, "&gt;=28",$B207:$G207, "&lt;=36")</f>
        <v>0</v>
      </c>
      <c r="AR207" s="3">
        <f>COUNTIFS($B207:$G207, "&gt;=37",$B207:$G207, "&lt;=45")</f>
        <v>0</v>
      </c>
      <c r="AS207" s="28" t="e">
        <f>#REF!</f>
        <v>#REF!</v>
      </c>
      <c r="AT207" s="28" t="e">
        <f>#REF!*2</f>
        <v>#REF!</v>
      </c>
      <c r="AU207" s="28" t="e">
        <f>#REF!</f>
        <v>#REF!</v>
      </c>
      <c r="AV207" s="28" t="e">
        <f>#REF!*2</f>
        <v>#REF!</v>
      </c>
      <c r="AW207" s="28" t="e">
        <f>#REF!</f>
        <v>#REF!</v>
      </c>
      <c r="AX207" s="28" t="e">
        <f>#REF!*2</f>
        <v>#REF!</v>
      </c>
      <c r="AY207" s="28" t="e">
        <f>#REF!</f>
        <v>#REF!</v>
      </c>
      <c r="AZ207" s="28" t="e">
        <f>#REF!*2</f>
        <v>#REF!</v>
      </c>
      <c r="BA207" s="28" t="e">
        <f>#REF!</f>
        <v>#REF!</v>
      </c>
      <c r="BB207" s="28" t="e">
        <f>#REF!*2</f>
        <v>#REF!</v>
      </c>
      <c r="BC207" s="28" t="e">
        <f>#REF!</f>
        <v>#REF!</v>
      </c>
      <c r="BD207" s="28" t="e">
        <f>#REF!*2</f>
        <v>#REF!</v>
      </c>
      <c r="BE207" s="9" t="e">
        <f>#REF!-#REF!</f>
        <v>#REF!</v>
      </c>
      <c r="BF207" s="9" t="e">
        <f>#REF!-#REF!</f>
        <v>#REF!</v>
      </c>
      <c r="BG207" s="9" t="e">
        <f>#REF!-#REF!</f>
        <v>#REF!</v>
      </c>
      <c r="BH207" s="9" t="e">
        <f>#REF!-#REF!</f>
        <v>#REF!</v>
      </c>
      <c r="BI207" s="9" t="e">
        <f>#REF!-#REF!</f>
        <v>#REF!</v>
      </c>
      <c r="BJ207" s="33"/>
      <c r="BK207" s="3">
        <f>COUNTIFS(B207:G207, "&gt;=1", B207:G207, "&lt;=9")</f>
        <v>0</v>
      </c>
      <c r="BL207" s="3">
        <f>COUNTIFS(B207:G207, "&gt;=10", B207:G207, "&lt;=19")</f>
        <v>0</v>
      </c>
      <c r="BM207" s="3">
        <f>COUNTIFS(B207:G207, "&gt;=20", B207:G207, "&lt;=29")</f>
        <v>0</v>
      </c>
      <c r="BN207" s="3">
        <f>COUNTIFS(B207:G207, "&gt;=30", B207:G207, "&lt;=39")</f>
        <v>0</v>
      </c>
      <c r="BO207" s="3">
        <f>COUNTIFS(B207:G207, "&gt;=40", B207:G207, "&lt;=45")</f>
        <v>0</v>
      </c>
      <c r="BP207" s="28" t="e">
        <f>#REF!</f>
        <v>#REF!</v>
      </c>
      <c r="BQ207" s="28" t="e">
        <f>#REF!*2</f>
        <v>#REF!</v>
      </c>
      <c r="BR207" s="28" t="e">
        <f>#REF!</f>
        <v>#REF!</v>
      </c>
      <c r="BS207" s="28" t="e">
        <f>#REF!*2</f>
        <v>#REF!</v>
      </c>
      <c r="BT207" s="28" t="e">
        <f>#REF!</f>
        <v>#REF!</v>
      </c>
      <c r="BU207" s="28" t="e">
        <f>#REF!*2</f>
        <v>#REF!</v>
      </c>
      <c r="BV207" s="28" t="e">
        <f>#REF!</f>
        <v>#REF!</v>
      </c>
      <c r="BW207" s="28" t="e">
        <f>#REF!*2</f>
        <v>#REF!</v>
      </c>
      <c r="BX207" s="28" t="e">
        <f>#REF!</f>
        <v>#REF!</v>
      </c>
      <c r="BY207" s="28" t="e">
        <f>#REF!*2</f>
        <v>#REF!</v>
      </c>
      <c r="BZ207" s="28" t="e">
        <f>#REF!</f>
        <v>#REF!</v>
      </c>
      <c r="CA207" s="28" t="e">
        <f>#REF!*2</f>
        <v>#REF!</v>
      </c>
      <c r="CB207" s="9">
        <f>C207-B207</f>
        <v>0</v>
      </c>
      <c r="CC207" s="9">
        <f>D207-C207</f>
        <v>0</v>
      </c>
      <c r="CD207" s="9">
        <f>E207-D207</f>
        <v>0</v>
      </c>
      <c r="CE207" s="9">
        <f>F207-E207</f>
        <v>0</v>
      </c>
      <c r="CF207" s="9">
        <f>G207-F207</f>
        <v>0</v>
      </c>
      <c r="CG207" s="33"/>
      <c r="CH207" s="9">
        <f>C207-B207</f>
        <v>0</v>
      </c>
      <c r="CI207" s="9">
        <f>D207-C207</f>
        <v>0</v>
      </c>
      <c r="CJ207" s="9">
        <f>E207-D207</f>
        <v>0</v>
      </c>
      <c r="CK207" s="9">
        <f>F207-E207</f>
        <v>0</v>
      </c>
      <c r="CL207" s="9">
        <f>G207-F207</f>
        <v>0</v>
      </c>
      <c r="CM207" s="32"/>
      <c r="CN207" s="3">
        <f>IF(OR(CH207="",ISBLANK(CH207),CH207=0),0,IF(MOD(CH207,2)=1,1,2))</f>
        <v>0</v>
      </c>
      <c r="CO207" s="3">
        <f>IF(OR(CI207="",ISBLANK(CI207),CI207=0),0,IF(MOD(CI207,2)=1,1,2))</f>
        <v>0</v>
      </c>
      <c r="CP207" s="3">
        <f>IF(OR(CJ207="",ISBLANK(CJ207),CJ207=0),0,IF(MOD(CJ207,2)=1,1,2))</f>
        <v>0</v>
      </c>
      <c r="CQ207" s="3">
        <f>IF(OR(CK207="",ISBLANK(CK207),CK207=0),0,IF(MOD(CK207,2)=1,1,2))</f>
        <v>0</v>
      </c>
      <c r="CR207" s="3">
        <f>IF(OR(CL207="",ISBLANK(CL207),CL207=0),0,IF(MOD(CL207,2)=1,1,2))</f>
        <v>0</v>
      </c>
      <c r="CS207" s="31"/>
      <c r="CT207" s="3" cm="1">
        <f t="array" ref="CT207">SUMPRODUCT(--(MOD(CH207:CL207,2)=1))</f>
        <v>0</v>
      </c>
      <c r="CU207" s="3">
        <f>5-CT207</f>
        <v>5</v>
      </c>
      <c r="CV207" s="30"/>
      <c r="CW207" s="3" cm="1">
        <f t="array" ref="CW207">SUMPRODUCT(--(MOD(CH207:CL207,10)&gt;=1), --(MOD(CH207:CL207,10)&lt;=5))</f>
        <v>0</v>
      </c>
      <c r="CX207" s="3">
        <f>5-CW207</f>
        <v>5</v>
      </c>
      <c r="CY207" s="30"/>
      <c r="CZ207" s="3" cm="1">
        <f t="array" ref="CZ207">IFERROR(COUNT(_xlfn._xlws.FILTER(CH207:CL207, ISNUMBER(MATCH(CH207:CL207, {2,3,5,7,11,13,17,19,23,29,31,37,41,43}, 0)))), 0)</f>
        <v>0</v>
      </c>
      <c r="DA207" s="3" cm="1">
        <f t="array" ref="DA207">IFERROR(COUNT(_xlfn._xlws.FILTER(CH207:CL207, ISNUMBER(MATCH(CH207:CL207, {1,4,8,10,14,16,20,22,25,26,28,32,34,35,38,40,44}, 0)))), 0)</f>
        <v>0</v>
      </c>
      <c r="DB207" s="3" cm="1">
        <f t="array" ref="DB207">IFERROR(COUNT(_xlfn._xlws.FILTER(CH207:CL207, ISNUMBER(MATCH(CH207:CL207, {6,9,12,15,18,21,24,27,30,33,36,39,42,45}, 0)))), 0)</f>
        <v>0</v>
      </c>
      <c r="DC207" s="29"/>
      <c r="DD207" s="28" t="e">
        <f>#REF!</f>
        <v>#REF!</v>
      </c>
      <c r="DE207" s="28" t="e">
        <f>#REF!*2</f>
        <v>#REF!</v>
      </c>
      <c r="DF207" s="28" t="e">
        <f>#REF!</f>
        <v>#REF!</v>
      </c>
      <c r="DG207" s="28" t="e">
        <f>#REF!*2</f>
        <v>#REF!</v>
      </c>
      <c r="DH207" s="28" t="e">
        <f>#REF!</f>
        <v>#REF!</v>
      </c>
      <c r="DI207" s="28" t="e">
        <f>#REF!*2</f>
        <v>#REF!</v>
      </c>
      <c r="DJ207" s="28" t="e">
        <f>#REF!</f>
        <v>#REF!</v>
      </c>
      <c r="DK207" s="28" t="e">
        <f>#REF!*2</f>
        <v>#REF!</v>
      </c>
      <c r="DL207" s="28" t="e">
        <f>#REF!</f>
        <v>#REF!</v>
      </c>
      <c r="DM207" s="28" t="e">
        <f>#REF!*2</f>
        <v>#REF!</v>
      </c>
      <c r="DN207" s="27"/>
      <c r="DO207" s="26"/>
      <c r="DP207" s="26"/>
      <c r="DQ207" s="26"/>
      <c r="DR207" s="26"/>
      <c r="DS207" s="26"/>
      <c r="DT207" s="25"/>
    </row>
    <row r="208" spans="2:124" x14ac:dyDescent="0.3">
      <c r="B208" s="3">
        <v>0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2"/>
      <c r="I208" s="3">
        <f>IF(OR(B208="",ISBLANK(B208),B208=0),0,IF(MOD(B208,2)=1,1,2))</f>
        <v>0</v>
      </c>
      <c r="J208" s="3">
        <f>IF(OR(C208="",ISBLANK(C208),C208=0),0,IF(MOD(C208,2)=1,1,2))</f>
        <v>0</v>
      </c>
      <c r="K208" s="3">
        <f>IF(OR(D208="",ISBLANK(D208),D208=0),0,IF(MOD(D208,2)=1,1,2))</f>
        <v>0</v>
      </c>
      <c r="L208" s="3">
        <f>IF(OR(E208="",ISBLANK(E208),E208=0),0,IF(MOD(E208,2)=1,1,2))</f>
        <v>0</v>
      </c>
      <c r="M208" s="3">
        <f>IF(OR(F208="",ISBLANK(F208),F208=0),0,IF(MOD(F208,2)=1,1,2))</f>
        <v>0</v>
      </c>
      <c r="N208" s="3">
        <f>IF(OR(G208="",ISBLANK(G208),G208=0),0,IF(MOD(G208,2)=1,1,2))</f>
        <v>0</v>
      </c>
      <c r="O208" s="32"/>
      <c r="P208" s="3" cm="1">
        <f t="array" ref="P208">SUMPRODUCT(--(MOD(B208:G208,2)=1))</f>
        <v>0</v>
      </c>
      <c r="Q208" s="3">
        <f>6-P208</f>
        <v>6</v>
      </c>
      <c r="R208" s="34"/>
      <c r="S208" s="3">
        <f>COUNTIFS(B208:G208,"&gt;=1",B208:G208,"&lt;=23")</f>
        <v>0</v>
      </c>
      <c r="T208" s="3">
        <f>6-S208</f>
        <v>6</v>
      </c>
      <c r="U208" s="34"/>
      <c r="V208" s="3" cm="1">
        <f t="array" ref="V208">SUMPRODUCT(--(MOD(B208:G208,10)&gt;=1), --(MOD(B208:G208,10)&lt;=5))</f>
        <v>0</v>
      </c>
      <c r="W208" s="3">
        <f>6-V208</f>
        <v>6</v>
      </c>
      <c r="X208" s="34"/>
      <c r="Y208" s="3" cm="1">
        <f t="array" ref="Y208">IFERROR(COUNT(_xlfn._xlws.FILTER(B208:G208, ISNUMBER(MATCH(B208:G208, {2,3,5,7,11,13,17,19,23,29,31,37,41,43}, 0)))), 0)</f>
        <v>0</v>
      </c>
      <c r="Z208" s="3" cm="1">
        <f t="array" ref="Z208">IFERROR(COUNT(_xlfn._xlws.FILTER(B208:G208, ISNUMBER(MATCH(B208:G208, {1,4,8,10,14,16,20,22,25,26,28,32,34,35,38,40,44}, 0)))), 0)</f>
        <v>0</v>
      </c>
      <c r="AA208" s="3" cm="1">
        <f t="array" ref="AA208">IFERROR(COUNT(_xlfn._xlws.FILTER(B208:G208, ISNUMBER(MATCH(B208:G208, {6,9,12,15,18,21,24,27,30,33,36,39,42,45}, 0)))), 0)</f>
        <v>0</v>
      </c>
      <c r="AB208" s="30"/>
      <c r="AC208" s="26" cm="1">
        <f t="array" ref="AC208">_xlfn.IFS(
   OR(B208="",ISBLANK(B208),B208=0),0,
   ISNUMBER(MATCH(B208,{2,3,5,7,11,13,17,19,23,29,31,37,41,43},0)),"소",
   AND(ISNUMBER(B208),MOD(B208,3)=0),"배",
   AND(ISNUMBER(B208),B208&gt;0),"자"
)</f>
        <v>0</v>
      </c>
      <c r="AD208" s="26" cm="1">
        <f t="array" ref="AD208">_xlfn.IFS(
   OR(C208="",ISBLANK(C208),C208=0),0,
   ISNUMBER(MATCH(C208,{2,3,5,7,11,13,17,19,23,29,31,37,41,43},0)),"소",
   AND(ISNUMBER(C208),MOD(C208,3)=0),"배",
   AND(ISNUMBER(C208),C208&gt;0),"자"
)</f>
        <v>0</v>
      </c>
      <c r="AE208" s="26" cm="1">
        <f t="array" ref="AE208">_xlfn.IFS(
   OR(D208="",ISBLANK(D208),D208=0),0,
   ISNUMBER(MATCH(D208,{2,3,5,7,11,13,17,19,23,29,31,37,41,43},0)),"소",
   AND(ISNUMBER(D208),MOD(D208,3)=0),"배",
   AND(ISNUMBER(D208),D208&gt;0),"자"
)</f>
        <v>0</v>
      </c>
      <c r="AF208" s="26" cm="1">
        <f t="array" ref="AF208">_xlfn.IFS(
   OR(E208="",ISBLANK(E208),E208=0),0,
   ISNUMBER(MATCH(E208,{2,3,5,7,11,13,17,19,23,29,31,37,41,43},0)),"소",
   AND(ISNUMBER(E208),MOD(E208,3)=0),"배",
   AND(ISNUMBER(E208),E208&gt;0),"자"
)</f>
        <v>0</v>
      </c>
      <c r="AG208" s="26" cm="1">
        <f t="array" ref="AG208">_xlfn.IFS(
   OR(F208="",ISBLANK(F208),F208=0),0,
   ISNUMBER(MATCH(F208,{2,3,5,7,11,13,17,19,23,29,31,37,41,43},0)),"소",
   AND(ISNUMBER(F208),MOD(F208,3)=0),"배",
   AND(ISNUMBER(F208),F208&gt;0),"자"
)</f>
        <v>0</v>
      </c>
      <c r="AH208" s="26" cm="1">
        <f t="array" ref="AH208">_xlfn.IFS(
   OR(G208="",ISBLANK(G208),G208=0),0,
   ISNUMBER(MATCH(G208,{2,3,5,7,11,13,17,19,23,29,31,37,41,43},0)),"소",
   AND(ISNUMBER(G208),MOD(G208,3)=0),"배",
   AND(ISNUMBER(G208),G208&gt;0),"자"
)</f>
        <v>0</v>
      </c>
      <c r="AI208" s="30"/>
      <c r="AJ208" s="3">
        <f>COUNTIFS(B208:G208,"&gt;=1",B208:G208,"&lt;=14")</f>
        <v>0</v>
      </c>
      <c r="AK208" s="3">
        <f>COUNTIFS(B208:G208,"&gt;=15",B208:G208,"&lt;=31")</f>
        <v>0</v>
      </c>
      <c r="AL208" s="3">
        <f>6-AK208-AJ208</f>
        <v>6</v>
      </c>
      <c r="AM208" s="33"/>
      <c r="AN208" s="3">
        <f>COUNTIFS($B208:$G208, "&gt;=1",$B208:$G208, "&lt;=9")</f>
        <v>0</v>
      </c>
      <c r="AO208" s="3">
        <f>COUNTIFS($B208:$G208, "&gt;=10",$B208:$G208, "&lt;=18")</f>
        <v>0</v>
      </c>
      <c r="AP208" s="3">
        <f>COUNTIFS($B208:$G208, "&gt;=19",$B208:$G208, "&lt;=27")</f>
        <v>0</v>
      </c>
      <c r="AQ208" s="3">
        <f>COUNTIFS($B208:$G208, "&gt;=28",$B208:$G208, "&lt;=36")</f>
        <v>0</v>
      </c>
      <c r="AR208" s="3">
        <f>COUNTIFS($B208:$G208, "&gt;=37",$B208:$G208, "&lt;=45")</f>
        <v>0</v>
      </c>
      <c r="AS208" s="28" t="e">
        <f>#REF!</f>
        <v>#REF!</v>
      </c>
      <c r="AT208" s="28" t="e">
        <f>#REF!*2</f>
        <v>#REF!</v>
      </c>
      <c r="AU208" s="28" t="e">
        <f>#REF!</f>
        <v>#REF!</v>
      </c>
      <c r="AV208" s="28" t="e">
        <f>#REF!*2</f>
        <v>#REF!</v>
      </c>
      <c r="AW208" s="28" t="e">
        <f>#REF!</f>
        <v>#REF!</v>
      </c>
      <c r="AX208" s="28" t="e">
        <f>#REF!*2</f>
        <v>#REF!</v>
      </c>
      <c r="AY208" s="28" t="e">
        <f>#REF!</f>
        <v>#REF!</v>
      </c>
      <c r="AZ208" s="28" t="e">
        <f>#REF!*2</f>
        <v>#REF!</v>
      </c>
      <c r="BA208" s="28" t="e">
        <f>#REF!</f>
        <v>#REF!</v>
      </c>
      <c r="BB208" s="28" t="e">
        <f>#REF!*2</f>
        <v>#REF!</v>
      </c>
      <c r="BC208" s="28" t="e">
        <f>#REF!</f>
        <v>#REF!</v>
      </c>
      <c r="BD208" s="28" t="e">
        <f>#REF!*2</f>
        <v>#REF!</v>
      </c>
      <c r="BE208" s="9" t="e">
        <f>#REF!-#REF!</f>
        <v>#REF!</v>
      </c>
      <c r="BF208" s="9" t="e">
        <f>#REF!-#REF!</f>
        <v>#REF!</v>
      </c>
      <c r="BG208" s="9" t="e">
        <f>#REF!-#REF!</f>
        <v>#REF!</v>
      </c>
      <c r="BH208" s="9" t="e">
        <f>#REF!-#REF!</f>
        <v>#REF!</v>
      </c>
      <c r="BI208" s="9" t="e">
        <f>#REF!-#REF!</f>
        <v>#REF!</v>
      </c>
      <c r="BJ208" s="33"/>
      <c r="BK208" s="3">
        <f>COUNTIFS(B208:G208, "&gt;=1", B208:G208, "&lt;=9")</f>
        <v>0</v>
      </c>
      <c r="BL208" s="3">
        <f>COUNTIFS(B208:G208, "&gt;=10", B208:G208, "&lt;=19")</f>
        <v>0</v>
      </c>
      <c r="BM208" s="3">
        <f>COUNTIFS(B208:G208, "&gt;=20", B208:G208, "&lt;=29")</f>
        <v>0</v>
      </c>
      <c r="BN208" s="3">
        <f>COUNTIFS(B208:G208, "&gt;=30", B208:G208, "&lt;=39")</f>
        <v>0</v>
      </c>
      <c r="BO208" s="3">
        <f>COUNTIFS(B208:G208, "&gt;=40", B208:G208, "&lt;=45")</f>
        <v>0</v>
      </c>
      <c r="BP208" s="28" t="e">
        <f>#REF!</f>
        <v>#REF!</v>
      </c>
      <c r="BQ208" s="28" t="e">
        <f>#REF!*2</f>
        <v>#REF!</v>
      </c>
      <c r="BR208" s="28" t="e">
        <f>#REF!</f>
        <v>#REF!</v>
      </c>
      <c r="BS208" s="28" t="e">
        <f>#REF!*2</f>
        <v>#REF!</v>
      </c>
      <c r="BT208" s="28" t="e">
        <f>#REF!</f>
        <v>#REF!</v>
      </c>
      <c r="BU208" s="28" t="e">
        <f>#REF!*2</f>
        <v>#REF!</v>
      </c>
      <c r="BV208" s="28" t="e">
        <f>#REF!</f>
        <v>#REF!</v>
      </c>
      <c r="BW208" s="28" t="e">
        <f>#REF!*2</f>
        <v>#REF!</v>
      </c>
      <c r="BX208" s="28" t="e">
        <f>#REF!</f>
        <v>#REF!</v>
      </c>
      <c r="BY208" s="28" t="e">
        <f>#REF!*2</f>
        <v>#REF!</v>
      </c>
      <c r="BZ208" s="28" t="e">
        <f>#REF!</f>
        <v>#REF!</v>
      </c>
      <c r="CA208" s="28" t="e">
        <f>#REF!*2</f>
        <v>#REF!</v>
      </c>
      <c r="CB208" s="9">
        <f>C208-B208</f>
        <v>0</v>
      </c>
      <c r="CC208" s="9">
        <f>D208-C208</f>
        <v>0</v>
      </c>
      <c r="CD208" s="9">
        <f>E208-D208</f>
        <v>0</v>
      </c>
      <c r="CE208" s="9">
        <f>F208-E208</f>
        <v>0</v>
      </c>
      <c r="CF208" s="9">
        <f>G208-F208</f>
        <v>0</v>
      </c>
      <c r="CG208" s="33"/>
      <c r="CH208" s="9">
        <f>C208-B208</f>
        <v>0</v>
      </c>
      <c r="CI208" s="9">
        <f>D208-C208</f>
        <v>0</v>
      </c>
      <c r="CJ208" s="9">
        <f>E208-D208</f>
        <v>0</v>
      </c>
      <c r="CK208" s="9">
        <f>F208-E208</f>
        <v>0</v>
      </c>
      <c r="CL208" s="9">
        <f>G208-F208</f>
        <v>0</v>
      </c>
      <c r="CM208" s="32"/>
      <c r="CN208" s="3">
        <f>IF(OR(CH208="",ISBLANK(CH208),CH208=0),0,IF(MOD(CH208,2)=1,1,2))</f>
        <v>0</v>
      </c>
      <c r="CO208" s="3">
        <f>IF(OR(CI208="",ISBLANK(CI208),CI208=0),0,IF(MOD(CI208,2)=1,1,2))</f>
        <v>0</v>
      </c>
      <c r="CP208" s="3">
        <f>IF(OR(CJ208="",ISBLANK(CJ208),CJ208=0),0,IF(MOD(CJ208,2)=1,1,2))</f>
        <v>0</v>
      </c>
      <c r="CQ208" s="3">
        <f>IF(OR(CK208="",ISBLANK(CK208),CK208=0),0,IF(MOD(CK208,2)=1,1,2))</f>
        <v>0</v>
      </c>
      <c r="CR208" s="3">
        <f>IF(OR(CL208="",ISBLANK(CL208),CL208=0),0,IF(MOD(CL208,2)=1,1,2))</f>
        <v>0</v>
      </c>
      <c r="CS208" s="31"/>
      <c r="CT208" s="3" cm="1">
        <f t="array" ref="CT208">SUMPRODUCT(--(MOD(CH208:CL208,2)=1))</f>
        <v>0</v>
      </c>
      <c r="CU208" s="3">
        <f>5-CT208</f>
        <v>5</v>
      </c>
      <c r="CV208" s="30"/>
      <c r="CW208" s="3" cm="1">
        <f t="array" ref="CW208">SUMPRODUCT(--(MOD(CH208:CL208,10)&gt;=1), --(MOD(CH208:CL208,10)&lt;=5))</f>
        <v>0</v>
      </c>
      <c r="CX208" s="3">
        <f>5-CW208</f>
        <v>5</v>
      </c>
      <c r="CY208" s="30"/>
      <c r="CZ208" s="3" cm="1">
        <f t="array" ref="CZ208">IFERROR(COUNT(_xlfn._xlws.FILTER(CH208:CL208, ISNUMBER(MATCH(CH208:CL208, {2,3,5,7,11,13,17,19,23,29,31,37,41,43}, 0)))), 0)</f>
        <v>0</v>
      </c>
      <c r="DA208" s="3" cm="1">
        <f t="array" ref="DA208">IFERROR(COUNT(_xlfn._xlws.FILTER(CH208:CL208, ISNUMBER(MATCH(CH208:CL208, {1,4,8,10,14,16,20,22,25,26,28,32,34,35,38,40,44}, 0)))), 0)</f>
        <v>0</v>
      </c>
      <c r="DB208" s="3" cm="1">
        <f t="array" ref="DB208">IFERROR(COUNT(_xlfn._xlws.FILTER(CH208:CL208, ISNUMBER(MATCH(CH208:CL208, {6,9,12,15,18,21,24,27,30,33,36,39,42,45}, 0)))), 0)</f>
        <v>0</v>
      </c>
      <c r="DC208" s="29"/>
      <c r="DD208" s="28" t="e">
        <f>#REF!</f>
        <v>#REF!</v>
      </c>
      <c r="DE208" s="28" t="e">
        <f>#REF!*2</f>
        <v>#REF!</v>
      </c>
      <c r="DF208" s="28" t="e">
        <f>#REF!</f>
        <v>#REF!</v>
      </c>
      <c r="DG208" s="28" t="e">
        <f>#REF!*2</f>
        <v>#REF!</v>
      </c>
      <c r="DH208" s="28" t="e">
        <f>#REF!</f>
        <v>#REF!</v>
      </c>
      <c r="DI208" s="28" t="e">
        <f>#REF!*2</f>
        <v>#REF!</v>
      </c>
      <c r="DJ208" s="28" t="e">
        <f>#REF!</f>
        <v>#REF!</v>
      </c>
      <c r="DK208" s="28" t="e">
        <f>#REF!*2</f>
        <v>#REF!</v>
      </c>
      <c r="DL208" s="28" t="e">
        <f>#REF!</f>
        <v>#REF!</v>
      </c>
      <c r="DM208" s="28" t="e">
        <f>#REF!*2</f>
        <v>#REF!</v>
      </c>
      <c r="DN208" s="27"/>
      <c r="DO208" s="26"/>
      <c r="DP208" s="26"/>
      <c r="DQ208" s="26"/>
      <c r="DR208" s="26"/>
      <c r="DS208" s="26"/>
      <c r="DT208" s="25"/>
    </row>
    <row r="209" spans="2:124" x14ac:dyDescent="0.3">
      <c r="B209" s="3">
        <v>0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2"/>
      <c r="I209" s="3">
        <f>IF(OR(B209="",ISBLANK(B209),B209=0),0,IF(MOD(B209,2)=1,1,2))</f>
        <v>0</v>
      </c>
      <c r="J209" s="3">
        <f>IF(OR(C209="",ISBLANK(C209),C209=0),0,IF(MOD(C209,2)=1,1,2))</f>
        <v>0</v>
      </c>
      <c r="K209" s="3">
        <f>IF(OR(D209="",ISBLANK(D209),D209=0),0,IF(MOD(D209,2)=1,1,2))</f>
        <v>0</v>
      </c>
      <c r="L209" s="3">
        <f>IF(OR(E209="",ISBLANK(E209),E209=0),0,IF(MOD(E209,2)=1,1,2))</f>
        <v>0</v>
      </c>
      <c r="M209" s="3">
        <f>IF(OR(F209="",ISBLANK(F209),F209=0),0,IF(MOD(F209,2)=1,1,2))</f>
        <v>0</v>
      </c>
      <c r="N209" s="3">
        <f>IF(OR(G209="",ISBLANK(G209),G209=0),0,IF(MOD(G209,2)=1,1,2))</f>
        <v>0</v>
      </c>
      <c r="O209" s="32"/>
      <c r="P209" s="3" cm="1">
        <f t="array" ref="P209">SUMPRODUCT(--(MOD(B209:G209,2)=1))</f>
        <v>0</v>
      </c>
      <c r="Q209" s="3">
        <f>6-P209</f>
        <v>6</v>
      </c>
      <c r="R209" s="34"/>
      <c r="S209" s="3">
        <f>COUNTIFS(B209:G209,"&gt;=1",B209:G209,"&lt;=23")</f>
        <v>0</v>
      </c>
      <c r="T209" s="3">
        <f>6-S209</f>
        <v>6</v>
      </c>
      <c r="U209" s="34"/>
      <c r="V209" s="3" cm="1">
        <f t="array" ref="V209">SUMPRODUCT(--(MOD(B209:G209,10)&gt;=1), --(MOD(B209:G209,10)&lt;=5))</f>
        <v>0</v>
      </c>
      <c r="W209" s="3">
        <f>6-V209</f>
        <v>6</v>
      </c>
      <c r="X209" s="34"/>
      <c r="Y209" s="3" cm="1">
        <f t="array" ref="Y209">IFERROR(COUNT(_xlfn._xlws.FILTER(B209:G209, ISNUMBER(MATCH(B209:G209, {2,3,5,7,11,13,17,19,23,29,31,37,41,43}, 0)))), 0)</f>
        <v>0</v>
      </c>
      <c r="Z209" s="3" cm="1">
        <f t="array" ref="Z209">IFERROR(COUNT(_xlfn._xlws.FILTER(B209:G209, ISNUMBER(MATCH(B209:G209, {1,4,8,10,14,16,20,22,25,26,28,32,34,35,38,40,44}, 0)))), 0)</f>
        <v>0</v>
      </c>
      <c r="AA209" s="3" cm="1">
        <f t="array" ref="AA209">IFERROR(COUNT(_xlfn._xlws.FILTER(B209:G209, ISNUMBER(MATCH(B209:G209, {6,9,12,15,18,21,24,27,30,33,36,39,42,45}, 0)))), 0)</f>
        <v>0</v>
      </c>
      <c r="AB209" s="30"/>
      <c r="AC209" s="26" cm="1">
        <f t="array" ref="AC209">_xlfn.IFS(
   OR(B209="",ISBLANK(B209),B209=0),0,
   ISNUMBER(MATCH(B209,{2,3,5,7,11,13,17,19,23,29,31,37,41,43},0)),"소",
   AND(ISNUMBER(B209),MOD(B209,3)=0),"배",
   AND(ISNUMBER(B209),B209&gt;0),"자"
)</f>
        <v>0</v>
      </c>
      <c r="AD209" s="26" cm="1">
        <f t="array" ref="AD209">_xlfn.IFS(
   OR(C209="",ISBLANK(C209),C209=0),0,
   ISNUMBER(MATCH(C209,{2,3,5,7,11,13,17,19,23,29,31,37,41,43},0)),"소",
   AND(ISNUMBER(C209),MOD(C209,3)=0),"배",
   AND(ISNUMBER(C209),C209&gt;0),"자"
)</f>
        <v>0</v>
      </c>
      <c r="AE209" s="26" cm="1">
        <f t="array" ref="AE209">_xlfn.IFS(
   OR(D209="",ISBLANK(D209),D209=0),0,
   ISNUMBER(MATCH(D209,{2,3,5,7,11,13,17,19,23,29,31,37,41,43},0)),"소",
   AND(ISNUMBER(D209),MOD(D209,3)=0),"배",
   AND(ISNUMBER(D209),D209&gt;0),"자"
)</f>
        <v>0</v>
      </c>
      <c r="AF209" s="26" cm="1">
        <f t="array" ref="AF209">_xlfn.IFS(
   OR(E209="",ISBLANK(E209),E209=0),0,
   ISNUMBER(MATCH(E209,{2,3,5,7,11,13,17,19,23,29,31,37,41,43},0)),"소",
   AND(ISNUMBER(E209),MOD(E209,3)=0),"배",
   AND(ISNUMBER(E209),E209&gt;0),"자"
)</f>
        <v>0</v>
      </c>
      <c r="AG209" s="26" cm="1">
        <f t="array" ref="AG209">_xlfn.IFS(
   OR(F209="",ISBLANK(F209),F209=0),0,
   ISNUMBER(MATCH(F209,{2,3,5,7,11,13,17,19,23,29,31,37,41,43},0)),"소",
   AND(ISNUMBER(F209),MOD(F209,3)=0),"배",
   AND(ISNUMBER(F209),F209&gt;0),"자"
)</f>
        <v>0</v>
      </c>
      <c r="AH209" s="26" cm="1">
        <f t="array" ref="AH209">_xlfn.IFS(
   OR(G209="",ISBLANK(G209),G209=0),0,
   ISNUMBER(MATCH(G209,{2,3,5,7,11,13,17,19,23,29,31,37,41,43},0)),"소",
   AND(ISNUMBER(G209),MOD(G209,3)=0),"배",
   AND(ISNUMBER(G209),G209&gt;0),"자"
)</f>
        <v>0</v>
      </c>
      <c r="AI209" s="30"/>
      <c r="AJ209" s="3">
        <f>COUNTIFS(B209:G209,"&gt;=1",B209:G209,"&lt;=14")</f>
        <v>0</v>
      </c>
      <c r="AK209" s="3">
        <f>COUNTIFS(B209:G209,"&gt;=15",B209:G209,"&lt;=31")</f>
        <v>0</v>
      </c>
      <c r="AL209" s="3">
        <f>6-AK209-AJ209</f>
        <v>6</v>
      </c>
      <c r="AM209" s="33"/>
      <c r="AN209" s="3">
        <f>COUNTIFS($B209:$G209, "&gt;=1",$B209:$G209, "&lt;=9")</f>
        <v>0</v>
      </c>
      <c r="AO209" s="3">
        <f>COUNTIFS($B209:$G209, "&gt;=10",$B209:$G209, "&lt;=18")</f>
        <v>0</v>
      </c>
      <c r="AP209" s="3">
        <f>COUNTIFS($B209:$G209, "&gt;=19",$B209:$G209, "&lt;=27")</f>
        <v>0</v>
      </c>
      <c r="AQ209" s="3">
        <f>COUNTIFS($B209:$G209, "&gt;=28",$B209:$G209, "&lt;=36")</f>
        <v>0</v>
      </c>
      <c r="AR209" s="3">
        <f>COUNTIFS($B209:$G209, "&gt;=37",$B209:$G209, "&lt;=45")</f>
        <v>0</v>
      </c>
      <c r="AS209" s="28" t="e">
        <f>#REF!</f>
        <v>#REF!</v>
      </c>
      <c r="AT209" s="28" t="e">
        <f>#REF!*2</f>
        <v>#REF!</v>
      </c>
      <c r="AU209" s="28" t="e">
        <f>#REF!</f>
        <v>#REF!</v>
      </c>
      <c r="AV209" s="28" t="e">
        <f>#REF!*2</f>
        <v>#REF!</v>
      </c>
      <c r="AW209" s="28" t="e">
        <f>#REF!</f>
        <v>#REF!</v>
      </c>
      <c r="AX209" s="28" t="e">
        <f>#REF!*2</f>
        <v>#REF!</v>
      </c>
      <c r="AY209" s="28" t="e">
        <f>#REF!</f>
        <v>#REF!</v>
      </c>
      <c r="AZ209" s="28" t="e">
        <f>#REF!*2</f>
        <v>#REF!</v>
      </c>
      <c r="BA209" s="28" t="e">
        <f>#REF!</f>
        <v>#REF!</v>
      </c>
      <c r="BB209" s="28" t="e">
        <f>#REF!*2</f>
        <v>#REF!</v>
      </c>
      <c r="BC209" s="28" t="e">
        <f>#REF!</f>
        <v>#REF!</v>
      </c>
      <c r="BD209" s="28" t="e">
        <f>#REF!*2</f>
        <v>#REF!</v>
      </c>
      <c r="BE209" s="9" t="e">
        <f>#REF!-#REF!</f>
        <v>#REF!</v>
      </c>
      <c r="BF209" s="9" t="e">
        <f>#REF!-#REF!</f>
        <v>#REF!</v>
      </c>
      <c r="BG209" s="9" t="e">
        <f>#REF!-#REF!</f>
        <v>#REF!</v>
      </c>
      <c r="BH209" s="9" t="e">
        <f>#REF!-#REF!</f>
        <v>#REF!</v>
      </c>
      <c r="BI209" s="9" t="e">
        <f>#REF!-#REF!</f>
        <v>#REF!</v>
      </c>
      <c r="BJ209" s="33"/>
      <c r="BK209" s="3">
        <f>COUNTIFS(B209:G209, "&gt;=1", B209:G209, "&lt;=9")</f>
        <v>0</v>
      </c>
      <c r="BL209" s="3">
        <f>COUNTIFS(B209:G209, "&gt;=10", B209:G209, "&lt;=19")</f>
        <v>0</v>
      </c>
      <c r="BM209" s="3">
        <f>COUNTIFS(B209:G209, "&gt;=20", B209:G209, "&lt;=29")</f>
        <v>0</v>
      </c>
      <c r="BN209" s="3">
        <f>COUNTIFS(B209:G209, "&gt;=30", B209:G209, "&lt;=39")</f>
        <v>0</v>
      </c>
      <c r="BO209" s="3">
        <f>COUNTIFS(B209:G209, "&gt;=40", B209:G209, "&lt;=45")</f>
        <v>0</v>
      </c>
      <c r="BP209" s="28" t="e">
        <f>#REF!</f>
        <v>#REF!</v>
      </c>
      <c r="BQ209" s="28" t="e">
        <f>#REF!*2</f>
        <v>#REF!</v>
      </c>
      <c r="BR209" s="28" t="e">
        <f>#REF!</f>
        <v>#REF!</v>
      </c>
      <c r="BS209" s="28" t="e">
        <f>#REF!*2</f>
        <v>#REF!</v>
      </c>
      <c r="BT209" s="28" t="e">
        <f>#REF!</f>
        <v>#REF!</v>
      </c>
      <c r="BU209" s="28" t="e">
        <f>#REF!*2</f>
        <v>#REF!</v>
      </c>
      <c r="BV209" s="28" t="e">
        <f>#REF!</f>
        <v>#REF!</v>
      </c>
      <c r="BW209" s="28" t="e">
        <f>#REF!*2</f>
        <v>#REF!</v>
      </c>
      <c r="BX209" s="28" t="e">
        <f>#REF!</f>
        <v>#REF!</v>
      </c>
      <c r="BY209" s="28" t="e">
        <f>#REF!*2</f>
        <v>#REF!</v>
      </c>
      <c r="BZ209" s="28" t="e">
        <f>#REF!</f>
        <v>#REF!</v>
      </c>
      <c r="CA209" s="28" t="e">
        <f>#REF!*2</f>
        <v>#REF!</v>
      </c>
      <c r="CB209" s="9">
        <f>C209-B209</f>
        <v>0</v>
      </c>
      <c r="CC209" s="9">
        <f>D209-C209</f>
        <v>0</v>
      </c>
      <c r="CD209" s="9">
        <f>E209-D209</f>
        <v>0</v>
      </c>
      <c r="CE209" s="9">
        <f>F209-E209</f>
        <v>0</v>
      </c>
      <c r="CF209" s="9">
        <f>G209-F209</f>
        <v>0</v>
      </c>
      <c r="CG209" s="33"/>
      <c r="CH209" s="9">
        <f>C209-B209</f>
        <v>0</v>
      </c>
      <c r="CI209" s="9">
        <f>D209-C209</f>
        <v>0</v>
      </c>
      <c r="CJ209" s="9">
        <f>E209-D209</f>
        <v>0</v>
      </c>
      <c r="CK209" s="9">
        <f>F209-E209</f>
        <v>0</v>
      </c>
      <c r="CL209" s="9">
        <f>G209-F209</f>
        <v>0</v>
      </c>
      <c r="CM209" s="32"/>
      <c r="CN209" s="3">
        <f>IF(OR(CH209="",ISBLANK(CH209),CH209=0),0,IF(MOD(CH209,2)=1,1,2))</f>
        <v>0</v>
      </c>
      <c r="CO209" s="3">
        <f>IF(OR(CI209="",ISBLANK(CI209),CI209=0),0,IF(MOD(CI209,2)=1,1,2))</f>
        <v>0</v>
      </c>
      <c r="CP209" s="3">
        <f>IF(OR(CJ209="",ISBLANK(CJ209),CJ209=0),0,IF(MOD(CJ209,2)=1,1,2))</f>
        <v>0</v>
      </c>
      <c r="CQ209" s="3">
        <f>IF(OR(CK209="",ISBLANK(CK209),CK209=0),0,IF(MOD(CK209,2)=1,1,2))</f>
        <v>0</v>
      </c>
      <c r="CR209" s="3">
        <f>IF(OR(CL209="",ISBLANK(CL209),CL209=0),0,IF(MOD(CL209,2)=1,1,2))</f>
        <v>0</v>
      </c>
      <c r="CS209" s="31"/>
      <c r="CT209" s="3" cm="1">
        <f t="array" ref="CT209">SUMPRODUCT(--(MOD(CH209:CL209,2)=1))</f>
        <v>0</v>
      </c>
      <c r="CU209" s="3">
        <f>5-CT209</f>
        <v>5</v>
      </c>
      <c r="CV209" s="30"/>
      <c r="CW209" s="3" cm="1">
        <f t="array" ref="CW209">SUMPRODUCT(--(MOD(CH209:CL209,10)&gt;=1), --(MOD(CH209:CL209,10)&lt;=5))</f>
        <v>0</v>
      </c>
      <c r="CX209" s="3">
        <f>5-CW209</f>
        <v>5</v>
      </c>
      <c r="CY209" s="30"/>
      <c r="CZ209" s="3" cm="1">
        <f t="array" ref="CZ209">IFERROR(COUNT(_xlfn._xlws.FILTER(CH209:CL209, ISNUMBER(MATCH(CH209:CL209, {2,3,5,7,11,13,17,19,23,29,31,37,41,43}, 0)))), 0)</f>
        <v>0</v>
      </c>
      <c r="DA209" s="3" cm="1">
        <f t="array" ref="DA209">IFERROR(COUNT(_xlfn._xlws.FILTER(CH209:CL209, ISNUMBER(MATCH(CH209:CL209, {1,4,8,10,14,16,20,22,25,26,28,32,34,35,38,40,44}, 0)))), 0)</f>
        <v>0</v>
      </c>
      <c r="DB209" s="3" cm="1">
        <f t="array" ref="DB209">IFERROR(COUNT(_xlfn._xlws.FILTER(CH209:CL209, ISNUMBER(MATCH(CH209:CL209, {6,9,12,15,18,21,24,27,30,33,36,39,42,45}, 0)))), 0)</f>
        <v>0</v>
      </c>
      <c r="DC209" s="29"/>
      <c r="DD209" s="28" t="e">
        <f>#REF!</f>
        <v>#REF!</v>
      </c>
      <c r="DE209" s="28" t="e">
        <f>#REF!*2</f>
        <v>#REF!</v>
      </c>
      <c r="DF209" s="28" t="e">
        <f>#REF!</f>
        <v>#REF!</v>
      </c>
      <c r="DG209" s="28" t="e">
        <f>#REF!*2</f>
        <v>#REF!</v>
      </c>
      <c r="DH209" s="28" t="e">
        <f>#REF!</f>
        <v>#REF!</v>
      </c>
      <c r="DI209" s="28" t="e">
        <f>#REF!*2</f>
        <v>#REF!</v>
      </c>
      <c r="DJ209" s="28" t="e">
        <f>#REF!</f>
        <v>#REF!</v>
      </c>
      <c r="DK209" s="28" t="e">
        <f>#REF!*2</f>
        <v>#REF!</v>
      </c>
      <c r="DL209" s="28" t="e">
        <f>#REF!</f>
        <v>#REF!</v>
      </c>
      <c r="DM209" s="28" t="e">
        <f>#REF!*2</f>
        <v>#REF!</v>
      </c>
      <c r="DN209" s="27"/>
      <c r="DO209" s="26"/>
      <c r="DP209" s="26"/>
      <c r="DQ209" s="26"/>
      <c r="DR209" s="26"/>
      <c r="DS209" s="26"/>
      <c r="DT209" s="25"/>
    </row>
    <row r="210" spans="2:124" x14ac:dyDescent="0.3">
      <c r="B210" s="3">
        <v>0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2"/>
      <c r="I210" s="3">
        <f>IF(OR(B210="",ISBLANK(B210),B210=0),0,IF(MOD(B210,2)=1,1,2))</f>
        <v>0</v>
      </c>
      <c r="J210" s="3">
        <f>IF(OR(C210="",ISBLANK(C210),C210=0),0,IF(MOD(C210,2)=1,1,2))</f>
        <v>0</v>
      </c>
      <c r="K210" s="3">
        <f>IF(OR(D210="",ISBLANK(D210),D210=0),0,IF(MOD(D210,2)=1,1,2))</f>
        <v>0</v>
      </c>
      <c r="L210" s="3">
        <f>IF(OR(E210="",ISBLANK(E210),E210=0),0,IF(MOD(E210,2)=1,1,2))</f>
        <v>0</v>
      </c>
      <c r="M210" s="3">
        <f>IF(OR(F210="",ISBLANK(F210),F210=0),0,IF(MOD(F210,2)=1,1,2))</f>
        <v>0</v>
      </c>
      <c r="N210" s="3">
        <f>IF(OR(G210="",ISBLANK(G210),G210=0),0,IF(MOD(G210,2)=1,1,2))</f>
        <v>0</v>
      </c>
      <c r="O210" s="32"/>
      <c r="P210" s="3" cm="1">
        <f t="array" ref="P210">SUMPRODUCT(--(MOD(B210:G210,2)=1))</f>
        <v>0</v>
      </c>
      <c r="Q210" s="3">
        <f>6-P210</f>
        <v>6</v>
      </c>
      <c r="R210" s="34"/>
      <c r="S210" s="3">
        <f>COUNTIFS(B210:G210,"&gt;=1",B210:G210,"&lt;=23")</f>
        <v>0</v>
      </c>
      <c r="T210" s="3">
        <f>6-S210</f>
        <v>6</v>
      </c>
      <c r="U210" s="34"/>
      <c r="V210" s="3" cm="1">
        <f t="array" ref="V210">SUMPRODUCT(--(MOD(B210:G210,10)&gt;=1), --(MOD(B210:G210,10)&lt;=5))</f>
        <v>0</v>
      </c>
      <c r="W210" s="3">
        <f>6-V210</f>
        <v>6</v>
      </c>
      <c r="X210" s="34"/>
      <c r="Y210" s="3" cm="1">
        <f t="array" ref="Y210">IFERROR(COUNT(_xlfn._xlws.FILTER(B210:G210, ISNUMBER(MATCH(B210:G210, {2,3,5,7,11,13,17,19,23,29,31,37,41,43}, 0)))), 0)</f>
        <v>0</v>
      </c>
      <c r="Z210" s="3" cm="1">
        <f t="array" ref="Z210">IFERROR(COUNT(_xlfn._xlws.FILTER(B210:G210, ISNUMBER(MATCH(B210:G210, {1,4,8,10,14,16,20,22,25,26,28,32,34,35,38,40,44}, 0)))), 0)</f>
        <v>0</v>
      </c>
      <c r="AA210" s="3" cm="1">
        <f t="array" ref="AA210">IFERROR(COUNT(_xlfn._xlws.FILTER(B210:G210, ISNUMBER(MATCH(B210:G210, {6,9,12,15,18,21,24,27,30,33,36,39,42,45}, 0)))), 0)</f>
        <v>0</v>
      </c>
      <c r="AB210" s="30"/>
      <c r="AC210" s="26" cm="1">
        <f t="array" ref="AC210">_xlfn.IFS(
   OR(B210="",ISBLANK(B210),B210=0),0,
   ISNUMBER(MATCH(B210,{2,3,5,7,11,13,17,19,23,29,31,37,41,43},0)),"소",
   AND(ISNUMBER(B210),MOD(B210,3)=0),"배",
   AND(ISNUMBER(B210),B210&gt;0),"자"
)</f>
        <v>0</v>
      </c>
      <c r="AD210" s="26" cm="1">
        <f t="array" ref="AD210">_xlfn.IFS(
   OR(C210="",ISBLANK(C210),C210=0),0,
   ISNUMBER(MATCH(C210,{2,3,5,7,11,13,17,19,23,29,31,37,41,43},0)),"소",
   AND(ISNUMBER(C210),MOD(C210,3)=0),"배",
   AND(ISNUMBER(C210),C210&gt;0),"자"
)</f>
        <v>0</v>
      </c>
      <c r="AE210" s="26" cm="1">
        <f t="array" ref="AE210">_xlfn.IFS(
   OR(D210="",ISBLANK(D210),D210=0),0,
   ISNUMBER(MATCH(D210,{2,3,5,7,11,13,17,19,23,29,31,37,41,43},0)),"소",
   AND(ISNUMBER(D210),MOD(D210,3)=0),"배",
   AND(ISNUMBER(D210),D210&gt;0),"자"
)</f>
        <v>0</v>
      </c>
      <c r="AF210" s="26" cm="1">
        <f t="array" ref="AF210">_xlfn.IFS(
   OR(E210="",ISBLANK(E210),E210=0),0,
   ISNUMBER(MATCH(E210,{2,3,5,7,11,13,17,19,23,29,31,37,41,43},0)),"소",
   AND(ISNUMBER(E210),MOD(E210,3)=0),"배",
   AND(ISNUMBER(E210),E210&gt;0),"자"
)</f>
        <v>0</v>
      </c>
      <c r="AG210" s="26" cm="1">
        <f t="array" ref="AG210">_xlfn.IFS(
   OR(F210="",ISBLANK(F210),F210=0),0,
   ISNUMBER(MATCH(F210,{2,3,5,7,11,13,17,19,23,29,31,37,41,43},0)),"소",
   AND(ISNUMBER(F210),MOD(F210,3)=0),"배",
   AND(ISNUMBER(F210),F210&gt;0),"자"
)</f>
        <v>0</v>
      </c>
      <c r="AH210" s="26" cm="1">
        <f t="array" ref="AH210">_xlfn.IFS(
   OR(G210="",ISBLANK(G210),G210=0),0,
   ISNUMBER(MATCH(G210,{2,3,5,7,11,13,17,19,23,29,31,37,41,43},0)),"소",
   AND(ISNUMBER(G210),MOD(G210,3)=0),"배",
   AND(ISNUMBER(G210),G210&gt;0),"자"
)</f>
        <v>0</v>
      </c>
      <c r="AI210" s="30"/>
      <c r="AJ210" s="3">
        <f>COUNTIFS(B210:G210,"&gt;=1",B210:G210,"&lt;=14")</f>
        <v>0</v>
      </c>
      <c r="AK210" s="3">
        <f>COUNTIFS(B210:G210,"&gt;=15",B210:G210,"&lt;=31")</f>
        <v>0</v>
      </c>
      <c r="AL210" s="3">
        <f>6-AK210-AJ210</f>
        <v>6</v>
      </c>
      <c r="AM210" s="33"/>
      <c r="AN210" s="3">
        <f>COUNTIFS($B210:$G210, "&gt;=1",$B210:$G210, "&lt;=9")</f>
        <v>0</v>
      </c>
      <c r="AO210" s="3">
        <f>COUNTIFS($B210:$G210, "&gt;=10",$B210:$G210, "&lt;=18")</f>
        <v>0</v>
      </c>
      <c r="AP210" s="3">
        <f>COUNTIFS($B210:$G210, "&gt;=19",$B210:$G210, "&lt;=27")</f>
        <v>0</v>
      </c>
      <c r="AQ210" s="3">
        <f>COUNTIFS($B210:$G210, "&gt;=28",$B210:$G210, "&lt;=36")</f>
        <v>0</v>
      </c>
      <c r="AR210" s="3">
        <f>COUNTIFS($B210:$G210, "&gt;=37",$B210:$G210, "&lt;=45")</f>
        <v>0</v>
      </c>
      <c r="AS210" s="28" t="e">
        <f>#REF!</f>
        <v>#REF!</v>
      </c>
      <c r="AT210" s="28" t="e">
        <f>#REF!*2</f>
        <v>#REF!</v>
      </c>
      <c r="AU210" s="28" t="e">
        <f>#REF!</f>
        <v>#REF!</v>
      </c>
      <c r="AV210" s="28" t="e">
        <f>#REF!*2</f>
        <v>#REF!</v>
      </c>
      <c r="AW210" s="28" t="e">
        <f>#REF!</f>
        <v>#REF!</v>
      </c>
      <c r="AX210" s="28" t="e">
        <f>#REF!*2</f>
        <v>#REF!</v>
      </c>
      <c r="AY210" s="28" t="e">
        <f>#REF!</f>
        <v>#REF!</v>
      </c>
      <c r="AZ210" s="28" t="e">
        <f>#REF!*2</f>
        <v>#REF!</v>
      </c>
      <c r="BA210" s="28" t="e">
        <f>#REF!</f>
        <v>#REF!</v>
      </c>
      <c r="BB210" s="28" t="e">
        <f>#REF!*2</f>
        <v>#REF!</v>
      </c>
      <c r="BC210" s="28" t="e">
        <f>#REF!</f>
        <v>#REF!</v>
      </c>
      <c r="BD210" s="28" t="e">
        <f>#REF!*2</f>
        <v>#REF!</v>
      </c>
      <c r="BE210" s="9" t="e">
        <f>#REF!-#REF!</f>
        <v>#REF!</v>
      </c>
      <c r="BF210" s="9" t="e">
        <f>#REF!-#REF!</f>
        <v>#REF!</v>
      </c>
      <c r="BG210" s="9" t="e">
        <f>#REF!-#REF!</f>
        <v>#REF!</v>
      </c>
      <c r="BH210" s="9" t="e">
        <f>#REF!-#REF!</f>
        <v>#REF!</v>
      </c>
      <c r="BI210" s="9" t="e">
        <f>#REF!-#REF!</f>
        <v>#REF!</v>
      </c>
      <c r="BJ210" s="33"/>
      <c r="BK210" s="3">
        <f>COUNTIFS(B210:G210, "&gt;=1", B210:G210, "&lt;=9")</f>
        <v>0</v>
      </c>
      <c r="BL210" s="3">
        <f>COUNTIFS(B210:G210, "&gt;=10", B210:G210, "&lt;=19")</f>
        <v>0</v>
      </c>
      <c r="BM210" s="3">
        <f>COUNTIFS(B210:G210, "&gt;=20", B210:G210, "&lt;=29")</f>
        <v>0</v>
      </c>
      <c r="BN210" s="3">
        <f>COUNTIFS(B210:G210, "&gt;=30", B210:G210, "&lt;=39")</f>
        <v>0</v>
      </c>
      <c r="BO210" s="3">
        <f>COUNTIFS(B210:G210, "&gt;=40", B210:G210, "&lt;=45")</f>
        <v>0</v>
      </c>
      <c r="BP210" s="28" t="e">
        <f>#REF!</f>
        <v>#REF!</v>
      </c>
      <c r="BQ210" s="28" t="e">
        <f>#REF!*2</f>
        <v>#REF!</v>
      </c>
      <c r="BR210" s="28" t="e">
        <f>#REF!</f>
        <v>#REF!</v>
      </c>
      <c r="BS210" s="28" t="e">
        <f>#REF!*2</f>
        <v>#REF!</v>
      </c>
      <c r="BT210" s="28" t="e">
        <f>#REF!</f>
        <v>#REF!</v>
      </c>
      <c r="BU210" s="28" t="e">
        <f>#REF!*2</f>
        <v>#REF!</v>
      </c>
      <c r="BV210" s="28" t="e">
        <f>#REF!</f>
        <v>#REF!</v>
      </c>
      <c r="BW210" s="28" t="e">
        <f>#REF!*2</f>
        <v>#REF!</v>
      </c>
      <c r="BX210" s="28" t="e">
        <f>#REF!</f>
        <v>#REF!</v>
      </c>
      <c r="BY210" s="28" t="e">
        <f>#REF!*2</f>
        <v>#REF!</v>
      </c>
      <c r="BZ210" s="28" t="e">
        <f>#REF!</f>
        <v>#REF!</v>
      </c>
      <c r="CA210" s="28" t="e">
        <f>#REF!*2</f>
        <v>#REF!</v>
      </c>
      <c r="CB210" s="9">
        <f>C210-B210</f>
        <v>0</v>
      </c>
      <c r="CC210" s="9">
        <f>D210-C210</f>
        <v>0</v>
      </c>
      <c r="CD210" s="9">
        <f>E210-D210</f>
        <v>0</v>
      </c>
      <c r="CE210" s="9">
        <f>F210-E210</f>
        <v>0</v>
      </c>
      <c r="CF210" s="9">
        <f>G210-F210</f>
        <v>0</v>
      </c>
      <c r="CG210" s="33"/>
      <c r="CH210" s="9">
        <f>C210-B210</f>
        <v>0</v>
      </c>
      <c r="CI210" s="9">
        <f>D210-C210</f>
        <v>0</v>
      </c>
      <c r="CJ210" s="9">
        <f>E210-D210</f>
        <v>0</v>
      </c>
      <c r="CK210" s="9">
        <f>F210-E210</f>
        <v>0</v>
      </c>
      <c r="CL210" s="9">
        <f>G210-F210</f>
        <v>0</v>
      </c>
      <c r="CM210" s="32"/>
      <c r="CN210" s="3">
        <f>IF(OR(CH210="",ISBLANK(CH210),CH210=0),0,IF(MOD(CH210,2)=1,1,2))</f>
        <v>0</v>
      </c>
      <c r="CO210" s="3">
        <f>IF(OR(CI210="",ISBLANK(CI210),CI210=0),0,IF(MOD(CI210,2)=1,1,2))</f>
        <v>0</v>
      </c>
      <c r="CP210" s="3">
        <f>IF(OR(CJ210="",ISBLANK(CJ210),CJ210=0),0,IF(MOD(CJ210,2)=1,1,2))</f>
        <v>0</v>
      </c>
      <c r="CQ210" s="3">
        <f>IF(OR(CK210="",ISBLANK(CK210),CK210=0),0,IF(MOD(CK210,2)=1,1,2))</f>
        <v>0</v>
      </c>
      <c r="CR210" s="3">
        <f>IF(OR(CL210="",ISBLANK(CL210),CL210=0),0,IF(MOD(CL210,2)=1,1,2))</f>
        <v>0</v>
      </c>
      <c r="CS210" s="31"/>
      <c r="CT210" s="3" cm="1">
        <f t="array" ref="CT210">SUMPRODUCT(--(MOD(CH210:CL210,2)=1))</f>
        <v>0</v>
      </c>
      <c r="CU210" s="3">
        <f>5-CT210</f>
        <v>5</v>
      </c>
      <c r="CV210" s="30"/>
      <c r="CW210" s="3" cm="1">
        <f t="array" ref="CW210">SUMPRODUCT(--(MOD(CH210:CL210,10)&gt;=1), --(MOD(CH210:CL210,10)&lt;=5))</f>
        <v>0</v>
      </c>
      <c r="CX210" s="3">
        <f>5-CW210</f>
        <v>5</v>
      </c>
      <c r="CY210" s="30"/>
      <c r="CZ210" s="3" cm="1">
        <f t="array" ref="CZ210">IFERROR(COUNT(_xlfn._xlws.FILTER(CH210:CL210, ISNUMBER(MATCH(CH210:CL210, {2,3,5,7,11,13,17,19,23,29,31,37,41,43}, 0)))), 0)</f>
        <v>0</v>
      </c>
      <c r="DA210" s="3" cm="1">
        <f t="array" ref="DA210">IFERROR(COUNT(_xlfn._xlws.FILTER(CH210:CL210, ISNUMBER(MATCH(CH210:CL210, {1,4,8,10,14,16,20,22,25,26,28,32,34,35,38,40,44}, 0)))), 0)</f>
        <v>0</v>
      </c>
      <c r="DB210" s="3" cm="1">
        <f t="array" ref="DB210">IFERROR(COUNT(_xlfn._xlws.FILTER(CH210:CL210, ISNUMBER(MATCH(CH210:CL210, {6,9,12,15,18,21,24,27,30,33,36,39,42,45}, 0)))), 0)</f>
        <v>0</v>
      </c>
      <c r="DC210" s="29"/>
      <c r="DD210" s="28" t="e">
        <f>#REF!</f>
        <v>#REF!</v>
      </c>
      <c r="DE210" s="28" t="e">
        <f>#REF!*2</f>
        <v>#REF!</v>
      </c>
      <c r="DF210" s="28" t="e">
        <f>#REF!</f>
        <v>#REF!</v>
      </c>
      <c r="DG210" s="28" t="e">
        <f>#REF!*2</f>
        <v>#REF!</v>
      </c>
      <c r="DH210" s="28" t="e">
        <f>#REF!</f>
        <v>#REF!</v>
      </c>
      <c r="DI210" s="28" t="e">
        <f>#REF!*2</f>
        <v>#REF!</v>
      </c>
      <c r="DJ210" s="28" t="e">
        <f>#REF!</f>
        <v>#REF!</v>
      </c>
      <c r="DK210" s="28" t="e">
        <f>#REF!*2</f>
        <v>#REF!</v>
      </c>
      <c r="DL210" s="28" t="e">
        <f>#REF!</f>
        <v>#REF!</v>
      </c>
      <c r="DM210" s="28" t="e">
        <f>#REF!*2</f>
        <v>#REF!</v>
      </c>
      <c r="DN210" s="27"/>
      <c r="DO210" s="26"/>
      <c r="DP210" s="26"/>
      <c r="DQ210" s="26"/>
      <c r="DR210" s="26"/>
      <c r="DS210" s="26"/>
      <c r="DT210" s="25"/>
    </row>
    <row r="211" spans="2:124" x14ac:dyDescent="0.3"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2"/>
      <c r="I211" s="3">
        <f>IF(OR(B211="",ISBLANK(B211),B211=0),0,IF(MOD(B211,2)=1,1,2))</f>
        <v>0</v>
      </c>
      <c r="J211" s="3">
        <f>IF(OR(C211="",ISBLANK(C211),C211=0),0,IF(MOD(C211,2)=1,1,2))</f>
        <v>0</v>
      </c>
      <c r="K211" s="3">
        <f>IF(OR(D211="",ISBLANK(D211),D211=0),0,IF(MOD(D211,2)=1,1,2))</f>
        <v>0</v>
      </c>
      <c r="L211" s="3">
        <f>IF(OR(E211="",ISBLANK(E211),E211=0),0,IF(MOD(E211,2)=1,1,2))</f>
        <v>0</v>
      </c>
      <c r="M211" s="3">
        <f>IF(OR(F211="",ISBLANK(F211),F211=0),0,IF(MOD(F211,2)=1,1,2))</f>
        <v>0</v>
      </c>
      <c r="N211" s="3">
        <f>IF(OR(G211="",ISBLANK(G211),G211=0),0,IF(MOD(G211,2)=1,1,2))</f>
        <v>0</v>
      </c>
      <c r="O211" s="32"/>
      <c r="P211" s="3" cm="1">
        <f t="array" ref="P211">SUMPRODUCT(--(MOD(B211:G211,2)=1))</f>
        <v>0</v>
      </c>
      <c r="Q211" s="3">
        <f>6-P211</f>
        <v>6</v>
      </c>
      <c r="R211" s="34"/>
      <c r="S211" s="3">
        <f>COUNTIFS(B211:G211,"&gt;=1",B211:G211,"&lt;=23")</f>
        <v>0</v>
      </c>
      <c r="T211" s="3">
        <f>6-S211</f>
        <v>6</v>
      </c>
      <c r="U211" s="34"/>
      <c r="V211" s="3" cm="1">
        <f t="array" ref="V211">SUMPRODUCT(--(MOD(B211:G211,10)&gt;=1), --(MOD(B211:G211,10)&lt;=5))</f>
        <v>0</v>
      </c>
      <c r="W211" s="3">
        <f>6-V211</f>
        <v>6</v>
      </c>
      <c r="X211" s="34"/>
      <c r="Y211" s="3" cm="1">
        <f t="array" ref="Y211">IFERROR(COUNT(_xlfn._xlws.FILTER(B211:G211, ISNUMBER(MATCH(B211:G211, {2,3,5,7,11,13,17,19,23,29,31,37,41,43}, 0)))), 0)</f>
        <v>0</v>
      </c>
      <c r="Z211" s="3" cm="1">
        <f t="array" ref="Z211">IFERROR(COUNT(_xlfn._xlws.FILTER(B211:G211, ISNUMBER(MATCH(B211:G211, {1,4,8,10,14,16,20,22,25,26,28,32,34,35,38,40,44}, 0)))), 0)</f>
        <v>0</v>
      </c>
      <c r="AA211" s="3" cm="1">
        <f t="array" ref="AA211">IFERROR(COUNT(_xlfn._xlws.FILTER(B211:G211, ISNUMBER(MATCH(B211:G211, {6,9,12,15,18,21,24,27,30,33,36,39,42,45}, 0)))), 0)</f>
        <v>0</v>
      </c>
      <c r="AB211" s="30"/>
      <c r="AC211" s="26" cm="1">
        <f t="array" ref="AC211">_xlfn.IFS(
   OR(B211="",ISBLANK(B211),B211=0),0,
   ISNUMBER(MATCH(B211,{2,3,5,7,11,13,17,19,23,29,31,37,41,43},0)),"소",
   AND(ISNUMBER(B211),MOD(B211,3)=0),"배",
   AND(ISNUMBER(B211),B211&gt;0),"자"
)</f>
        <v>0</v>
      </c>
      <c r="AD211" s="26" cm="1">
        <f t="array" ref="AD211">_xlfn.IFS(
   OR(C211="",ISBLANK(C211),C211=0),0,
   ISNUMBER(MATCH(C211,{2,3,5,7,11,13,17,19,23,29,31,37,41,43},0)),"소",
   AND(ISNUMBER(C211),MOD(C211,3)=0),"배",
   AND(ISNUMBER(C211),C211&gt;0),"자"
)</f>
        <v>0</v>
      </c>
      <c r="AE211" s="26" cm="1">
        <f t="array" ref="AE211">_xlfn.IFS(
   OR(D211="",ISBLANK(D211),D211=0),0,
   ISNUMBER(MATCH(D211,{2,3,5,7,11,13,17,19,23,29,31,37,41,43},0)),"소",
   AND(ISNUMBER(D211),MOD(D211,3)=0),"배",
   AND(ISNUMBER(D211),D211&gt;0),"자"
)</f>
        <v>0</v>
      </c>
      <c r="AF211" s="26" cm="1">
        <f t="array" ref="AF211">_xlfn.IFS(
   OR(E211="",ISBLANK(E211),E211=0),0,
   ISNUMBER(MATCH(E211,{2,3,5,7,11,13,17,19,23,29,31,37,41,43},0)),"소",
   AND(ISNUMBER(E211),MOD(E211,3)=0),"배",
   AND(ISNUMBER(E211),E211&gt;0),"자"
)</f>
        <v>0</v>
      </c>
      <c r="AG211" s="26" cm="1">
        <f t="array" ref="AG211">_xlfn.IFS(
   OR(F211="",ISBLANK(F211),F211=0),0,
   ISNUMBER(MATCH(F211,{2,3,5,7,11,13,17,19,23,29,31,37,41,43},0)),"소",
   AND(ISNUMBER(F211),MOD(F211,3)=0),"배",
   AND(ISNUMBER(F211),F211&gt;0),"자"
)</f>
        <v>0</v>
      </c>
      <c r="AH211" s="26" cm="1">
        <f t="array" ref="AH211">_xlfn.IFS(
   OR(G211="",ISBLANK(G211),G211=0),0,
   ISNUMBER(MATCH(G211,{2,3,5,7,11,13,17,19,23,29,31,37,41,43},0)),"소",
   AND(ISNUMBER(G211),MOD(G211,3)=0),"배",
   AND(ISNUMBER(G211),G211&gt;0),"자"
)</f>
        <v>0</v>
      </c>
      <c r="AI211" s="30"/>
      <c r="AJ211" s="3">
        <f>COUNTIFS(B211:G211,"&gt;=1",B211:G211,"&lt;=14")</f>
        <v>0</v>
      </c>
      <c r="AK211" s="3">
        <f>COUNTIFS(B211:G211,"&gt;=15",B211:G211,"&lt;=31")</f>
        <v>0</v>
      </c>
      <c r="AL211" s="3">
        <f>6-AK211-AJ211</f>
        <v>6</v>
      </c>
      <c r="AM211" s="33"/>
      <c r="AN211" s="3">
        <f>COUNTIFS($B211:$G211, "&gt;=1",$B211:$G211, "&lt;=9")</f>
        <v>0</v>
      </c>
      <c r="AO211" s="3">
        <f>COUNTIFS($B211:$G211, "&gt;=10",$B211:$G211, "&lt;=18")</f>
        <v>0</v>
      </c>
      <c r="AP211" s="3">
        <f>COUNTIFS($B211:$G211, "&gt;=19",$B211:$G211, "&lt;=27")</f>
        <v>0</v>
      </c>
      <c r="AQ211" s="3">
        <f>COUNTIFS($B211:$G211, "&gt;=28",$B211:$G211, "&lt;=36")</f>
        <v>0</v>
      </c>
      <c r="AR211" s="3">
        <f>COUNTIFS($B211:$G211, "&gt;=37",$B211:$G211, "&lt;=45")</f>
        <v>0</v>
      </c>
      <c r="AS211" s="28" t="e">
        <f>#REF!</f>
        <v>#REF!</v>
      </c>
      <c r="AT211" s="28" t="e">
        <f>#REF!*2</f>
        <v>#REF!</v>
      </c>
      <c r="AU211" s="28" t="e">
        <f>#REF!</f>
        <v>#REF!</v>
      </c>
      <c r="AV211" s="28" t="e">
        <f>#REF!*2</f>
        <v>#REF!</v>
      </c>
      <c r="AW211" s="28" t="e">
        <f>#REF!</f>
        <v>#REF!</v>
      </c>
      <c r="AX211" s="28" t="e">
        <f>#REF!*2</f>
        <v>#REF!</v>
      </c>
      <c r="AY211" s="28" t="e">
        <f>#REF!</f>
        <v>#REF!</v>
      </c>
      <c r="AZ211" s="28" t="e">
        <f>#REF!*2</f>
        <v>#REF!</v>
      </c>
      <c r="BA211" s="28" t="e">
        <f>#REF!</f>
        <v>#REF!</v>
      </c>
      <c r="BB211" s="28" t="e">
        <f>#REF!*2</f>
        <v>#REF!</v>
      </c>
      <c r="BC211" s="28" t="e">
        <f>#REF!</f>
        <v>#REF!</v>
      </c>
      <c r="BD211" s="28" t="e">
        <f>#REF!*2</f>
        <v>#REF!</v>
      </c>
      <c r="BE211" s="9" t="e">
        <f>#REF!-#REF!</f>
        <v>#REF!</v>
      </c>
      <c r="BF211" s="9" t="e">
        <f>#REF!-#REF!</f>
        <v>#REF!</v>
      </c>
      <c r="BG211" s="9" t="e">
        <f>#REF!-#REF!</f>
        <v>#REF!</v>
      </c>
      <c r="BH211" s="9" t="e">
        <f>#REF!-#REF!</f>
        <v>#REF!</v>
      </c>
      <c r="BI211" s="9" t="e">
        <f>#REF!-#REF!</f>
        <v>#REF!</v>
      </c>
      <c r="BJ211" s="33"/>
      <c r="BK211" s="3">
        <f>COUNTIFS(B211:G211, "&gt;=1", B211:G211, "&lt;=9")</f>
        <v>0</v>
      </c>
      <c r="BL211" s="3">
        <f>COUNTIFS(B211:G211, "&gt;=10", B211:G211, "&lt;=19")</f>
        <v>0</v>
      </c>
      <c r="BM211" s="3">
        <f>COUNTIFS(B211:G211, "&gt;=20", B211:G211, "&lt;=29")</f>
        <v>0</v>
      </c>
      <c r="BN211" s="3">
        <f>COUNTIFS(B211:G211, "&gt;=30", B211:G211, "&lt;=39")</f>
        <v>0</v>
      </c>
      <c r="BO211" s="3">
        <f>COUNTIFS(B211:G211, "&gt;=40", B211:G211, "&lt;=45")</f>
        <v>0</v>
      </c>
      <c r="BP211" s="28" t="e">
        <f>#REF!</f>
        <v>#REF!</v>
      </c>
      <c r="BQ211" s="28" t="e">
        <f>#REF!*2</f>
        <v>#REF!</v>
      </c>
      <c r="BR211" s="28" t="e">
        <f>#REF!</f>
        <v>#REF!</v>
      </c>
      <c r="BS211" s="28" t="e">
        <f>#REF!*2</f>
        <v>#REF!</v>
      </c>
      <c r="BT211" s="28" t="e">
        <f>#REF!</f>
        <v>#REF!</v>
      </c>
      <c r="BU211" s="28" t="e">
        <f>#REF!*2</f>
        <v>#REF!</v>
      </c>
      <c r="BV211" s="28" t="e">
        <f>#REF!</f>
        <v>#REF!</v>
      </c>
      <c r="BW211" s="28" t="e">
        <f>#REF!*2</f>
        <v>#REF!</v>
      </c>
      <c r="BX211" s="28" t="e">
        <f>#REF!</f>
        <v>#REF!</v>
      </c>
      <c r="BY211" s="28" t="e">
        <f>#REF!*2</f>
        <v>#REF!</v>
      </c>
      <c r="BZ211" s="28" t="e">
        <f>#REF!</f>
        <v>#REF!</v>
      </c>
      <c r="CA211" s="28" t="e">
        <f>#REF!*2</f>
        <v>#REF!</v>
      </c>
      <c r="CB211" s="9">
        <f>C211-B211</f>
        <v>0</v>
      </c>
      <c r="CC211" s="9">
        <f>D211-C211</f>
        <v>0</v>
      </c>
      <c r="CD211" s="9">
        <f>E211-D211</f>
        <v>0</v>
      </c>
      <c r="CE211" s="9">
        <f>F211-E211</f>
        <v>0</v>
      </c>
      <c r="CF211" s="9">
        <f>G211-F211</f>
        <v>0</v>
      </c>
      <c r="CG211" s="33"/>
      <c r="CH211" s="9">
        <f>C211-B211</f>
        <v>0</v>
      </c>
      <c r="CI211" s="9">
        <f>D211-C211</f>
        <v>0</v>
      </c>
      <c r="CJ211" s="9">
        <f>E211-D211</f>
        <v>0</v>
      </c>
      <c r="CK211" s="9">
        <f>F211-E211</f>
        <v>0</v>
      </c>
      <c r="CL211" s="9">
        <f>G211-F211</f>
        <v>0</v>
      </c>
      <c r="CM211" s="32"/>
      <c r="CN211" s="3">
        <f>IF(OR(CH211="",ISBLANK(CH211),CH211=0),0,IF(MOD(CH211,2)=1,1,2))</f>
        <v>0</v>
      </c>
      <c r="CO211" s="3">
        <f>IF(OR(CI211="",ISBLANK(CI211),CI211=0),0,IF(MOD(CI211,2)=1,1,2))</f>
        <v>0</v>
      </c>
      <c r="CP211" s="3">
        <f>IF(OR(CJ211="",ISBLANK(CJ211),CJ211=0),0,IF(MOD(CJ211,2)=1,1,2))</f>
        <v>0</v>
      </c>
      <c r="CQ211" s="3">
        <f>IF(OR(CK211="",ISBLANK(CK211),CK211=0),0,IF(MOD(CK211,2)=1,1,2))</f>
        <v>0</v>
      </c>
      <c r="CR211" s="3">
        <f>IF(OR(CL211="",ISBLANK(CL211),CL211=0),0,IF(MOD(CL211,2)=1,1,2))</f>
        <v>0</v>
      </c>
      <c r="CS211" s="31"/>
      <c r="CT211" s="3" cm="1">
        <f t="array" ref="CT211">SUMPRODUCT(--(MOD(CH211:CL211,2)=1))</f>
        <v>0</v>
      </c>
      <c r="CU211" s="3">
        <f>5-CT211</f>
        <v>5</v>
      </c>
      <c r="CV211" s="30"/>
      <c r="CW211" s="3" cm="1">
        <f t="array" ref="CW211">SUMPRODUCT(--(MOD(CH211:CL211,10)&gt;=1), --(MOD(CH211:CL211,10)&lt;=5))</f>
        <v>0</v>
      </c>
      <c r="CX211" s="3">
        <f>5-CW211</f>
        <v>5</v>
      </c>
      <c r="CY211" s="30"/>
      <c r="CZ211" s="3" cm="1">
        <f t="array" ref="CZ211">IFERROR(COUNT(_xlfn._xlws.FILTER(CH211:CL211, ISNUMBER(MATCH(CH211:CL211, {2,3,5,7,11,13,17,19,23,29,31,37,41,43}, 0)))), 0)</f>
        <v>0</v>
      </c>
      <c r="DA211" s="3" cm="1">
        <f t="array" ref="DA211">IFERROR(COUNT(_xlfn._xlws.FILTER(CH211:CL211, ISNUMBER(MATCH(CH211:CL211, {1,4,8,10,14,16,20,22,25,26,28,32,34,35,38,40,44}, 0)))), 0)</f>
        <v>0</v>
      </c>
      <c r="DB211" s="3" cm="1">
        <f t="array" ref="DB211">IFERROR(COUNT(_xlfn._xlws.FILTER(CH211:CL211, ISNUMBER(MATCH(CH211:CL211, {6,9,12,15,18,21,24,27,30,33,36,39,42,45}, 0)))), 0)</f>
        <v>0</v>
      </c>
      <c r="DC211" s="29"/>
      <c r="DD211" s="28" t="e">
        <f>#REF!</f>
        <v>#REF!</v>
      </c>
      <c r="DE211" s="28" t="e">
        <f>#REF!*2</f>
        <v>#REF!</v>
      </c>
      <c r="DF211" s="28" t="e">
        <f>#REF!</f>
        <v>#REF!</v>
      </c>
      <c r="DG211" s="28" t="e">
        <f>#REF!*2</f>
        <v>#REF!</v>
      </c>
      <c r="DH211" s="28" t="e">
        <f>#REF!</f>
        <v>#REF!</v>
      </c>
      <c r="DI211" s="28" t="e">
        <f>#REF!*2</f>
        <v>#REF!</v>
      </c>
      <c r="DJ211" s="28" t="e">
        <f>#REF!</f>
        <v>#REF!</v>
      </c>
      <c r="DK211" s="28" t="e">
        <f>#REF!*2</f>
        <v>#REF!</v>
      </c>
      <c r="DL211" s="28" t="e">
        <f>#REF!</f>
        <v>#REF!</v>
      </c>
      <c r="DM211" s="28" t="e">
        <f>#REF!*2</f>
        <v>#REF!</v>
      </c>
      <c r="DN211" s="27"/>
      <c r="DO211" s="26"/>
      <c r="DP211" s="26"/>
      <c r="DQ211" s="26"/>
      <c r="DR211" s="26"/>
      <c r="DS211" s="26"/>
      <c r="DT211" s="25"/>
    </row>
    <row r="212" spans="2:124" x14ac:dyDescent="0.3"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2"/>
      <c r="I212" s="3">
        <f>IF(OR(B212="",ISBLANK(B212),B212=0),0,IF(MOD(B212,2)=1,1,2))</f>
        <v>0</v>
      </c>
      <c r="J212" s="3">
        <f>IF(OR(C212="",ISBLANK(C212),C212=0),0,IF(MOD(C212,2)=1,1,2))</f>
        <v>0</v>
      </c>
      <c r="K212" s="3">
        <f>IF(OR(D212="",ISBLANK(D212),D212=0),0,IF(MOD(D212,2)=1,1,2))</f>
        <v>0</v>
      </c>
      <c r="L212" s="3">
        <f>IF(OR(E212="",ISBLANK(E212),E212=0),0,IF(MOD(E212,2)=1,1,2))</f>
        <v>0</v>
      </c>
      <c r="M212" s="3">
        <f>IF(OR(F212="",ISBLANK(F212),F212=0),0,IF(MOD(F212,2)=1,1,2))</f>
        <v>0</v>
      </c>
      <c r="N212" s="3">
        <f>IF(OR(G212="",ISBLANK(G212),G212=0),0,IF(MOD(G212,2)=1,1,2))</f>
        <v>0</v>
      </c>
      <c r="O212" s="32"/>
      <c r="P212" s="3" cm="1">
        <f t="array" ref="P212">SUMPRODUCT(--(MOD(B212:G212,2)=1))</f>
        <v>0</v>
      </c>
      <c r="Q212" s="3">
        <f>6-P212</f>
        <v>6</v>
      </c>
      <c r="R212" s="34"/>
      <c r="S212" s="3">
        <f>COUNTIFS(B212:G212,"&gt;=1",B212:G212,"&lt;=23")</f>
        <v>0</v>
      </c>
      <c r="T212" s="3">
        <f>6-S212</f>
        <v>6</v>
      </c>
      <c r="U212" s="34"/>
      <c r="V212" s="3" cm="1">
        <f t="array" ref="V212">SUMPRODUCT(--(MOD(B212:G212,10)&gt;=1), --(MOD(B212:G212,10)&lt;=5))</f>
        <v>0</v>
      </c>
      <c r="W212" s="3">
        <f>6-V212</f>
        <v>6</v>
      </c>
      <c r="X212" s="34"/>
      <c r="Y212" s="3" cm="1">
        <f t="array" ref="Y212">IFERROR(COUNT(_xlfn._xlws.FILTER(B212:G212, ISNUMBER(MATCH(B212:G212, {2,3,5,7,11,13,17,19,23,29,31,37,41,43}, 0)))), 0)</f>
        <v>0</v>
      </c>
      <c r="Z212" s="3" cm="1">
        <f t="array" ref="Z212">IFERROR(COUNT(_xlfn._xlws.FILTER(B212:G212, ISNUMBER(MATCH(B212:G212, {1,4,8,10,14,16,20,22,25,26,28,32,34,35,38,40,44}, 0)))), 0)</f>
        <v>0</v>
      </c>
      <c r="AA212" s="3" cm="1">
        <f t="array" ref="AA212">IFERROR(COUNT(_xlfn._xlws.FILTER(B212:G212, ISNUMBER(MATCH(B212:G212, {6,9,12,15,18,21,24,27,30,33,36,39,42,45}, 0)))), 0)</f>
        <v>0</v>
      </c>
      <c r="AB212" s="30"/>
      <c r="AC212" s="26" cm="1">
        <f t="array" ref="AC212">_xlfn.IFS(
   OR(B212="",ISBLANK(B212),B212=0),0,
   ISNUMBER(MATCH(B212,{2,3,5,7,11,13,17,19,23,29,31,37,41,43},0)),"소",
   AND(ISNUMBER(B212),MOD(B212,3)=0),"배",
   AND(ISNUMBER(B212),B212&gt;0),"자"
)</f>
        <v>0</v>
      </c>
      <c r="AD212" s="26" cm="1">
        <f t="array" ref="AD212">_xlfn.IFS(
   OR(C212="",ISBLANK(C212),C212=0),0,
   ISNUMBER(MATCH(C212,{2,3,5,7,11,13,17,19,23,29,31,37,41,43},0)),"소",
   AND(ISNUMBER(C212),MOD(C212,3)=0),"배",
   AND(ISNUMBER(C212),C212&gt;0),"자"
)</f>
        <v>0</v>
      </c>
      <c r="AE212" s="26" cm="1">
        <f t="array" ref="AE212">_xlfn.IFS(
   OR(D212="",ISBLANK(D212),D212=0),0,
   ISNUMBER(MATCH(D212,{2,3,5,7,11,13,17,19,23,29,31,37,41,43},0)),"소",
   AND(ISNUMBER(D212),MOD(D212,3)=0),"배",
   AND(ISNUMBER(D212),D212&gt;0),"자"
)</f>
        <v>0</v>
      </c>
      <c r="AF212" s="26" cm="1">
        <f t="array" ref="AF212">_xlfn.IFS(
   OR(E212="",ISBLANK(E212),E212=0),0,
   ISNUMBER(MATCH(E212,{2,3,5,7,11,13,17,19,23,29,31,37,41,43},0)),"소",
   AND(ISNUMBER(E212),MOD(E212,3)=0),"배",
   AND(ISNUMBER(E212),E212&gt;0),"자"
)</f>
        <v>0</v>
      </c>
      <c r="AG212" s="26" cm="1">
        <f t="array" ref="AG212">_xlfn.IFS(
   OR(F212="",ISBLANK(F212),F212=0),0,
   ISNUMBER(MATCH(F212,{2,3,5,7,11,13,17,19,23,29,31,37,41,43},0)),"소",
   AND(ISNUMBER(F212),MOD(F212,3)=0),"배",
   AND(ISNUMBER(F212),F212&gt;0),"자"
)</f>
        <v>0</v>
      </c>
      <c r="AH212" s="26" cm="1">
        <f t="array" ref="AH212">_xlfn.IFS(
   OR(G212="",ISBLANK(G212),G212=0),0,
   ISNUMBER(MATCH(G212,{2,3,5,7,11,13,17,19,23,29,31,37,41,43},0)),"소",
   AND(ISNUMBER(G212),MOD(G212,3)=0),"배",
   AND(ISNUMBER(G212),G212&gt;0),"자"
)</f>
        <v>0</v>
      </c>
      <c r="AI212" s="30"/>
      <c r="AJ212" s="3">
        <f>COUNTIFS(B212:G212,"&gt;=1",B212:G212,"&lt;=14")</f>
        <v>0</v>
      </c>
      <c r="AK212" s="3">
        <f>COUNTIFS(B212:G212,"&gt;=15",B212:G212,"&lt;=31")</f>
        <v>0</v>
      </c>
      <c r="AL212" s="3">
        <f>6-AK212-AJ212</f>
        <v>6</v>
      </c>
      <c r="AM212" s="33"/>
      <c r="AN212" s="3">
        <f>COUNTIFS($B212:$G212, "&gt;=1",$B212:$G212, "&lt;=9")</f>
        <v>0</v>
      </c>
      <c r="AO212" s="3">
        <f>COUNTIFS($B212:$G212, "&gt;=10",$B212:$G212, "&lt;=18")</f>
        <v>0</v>
      </c>
      <c r="AP212" s="3">
        <f>COUNTIFS($B212:$G212, "&gt;=19",$B212:$G212, "&lt;=27")</f>
        <v>0</v>
      </c>
      <c r="AQ212" s="3">
        <f>COUNTIFS($B212:$G212, "&gt;=28",$B212:$G212, "&lt;=36")</f>
        <v>0</v>
      </c>
      <c r="AR212" s="3">
        <f>COUNTIFS($B212:$G212, "&gt;=37",$B212:$G212, "&lt;=45")</f>
        <v>0</v>
      </c>
      <c r="AS212" s="28" t="e">
        <f>#REF!</f>
        <v>#REF!</v>
      </c>
      <c r="AT212" s="28" t="e">
        <f>#REF!*2</f>
        <v>#REF!</v>
      </c>
      <c r="AU212" s="28" t="e">
        <f>#REF!</f>
        <v>#REF!</v>
      </c>
      <c r="AV212" s="28" t="e">
        <f>#REF!*2</f>
        <v>#REF!</v>
      </c>
      <c r="AW212" s="28" t="e">
        <f>#REF!</f>
        <v>#REF!</v>
      </c>
      <c r="AX212" s="28" t="e">
        <f>#REF!*2</f>
        <v>#REF!</v>
      </c>
      <c r="AY212" s="28" t="e">
        <f>#REF!</f>
        <v>#REF!</v>
      </c>
      <c r="AZ212" s="28" t="e">
        <f>#REF!*2</f>
        <v>#REF!</v>
      </c>
      <c r="BA212" s="28" t="e">
        <f>#REF!</f>
        <v>#REF!</v>
      </c>
      <c r="BB212" s="28" t="e">
        <f>#REF!*2</f>
        <v>#REF!</v>
      </c>
      <c r="BC212" s="28" t="e">
        <f>#REF!</f>
        <v>#REF!</v>
      </c>
      <c r="BD212" s="28" t="e">
        <f>#REF!*2</f>
        <v>#REF!</v>
      </c>
      <c r="BE212" s="9" t="e">
        <f>#REF!-#REF!</f>
        <v>#REF!</v>
      </c>
      <c r="BF212" s="9" t="e">
        <f>#REF!-#REF!</f>
        <v>#REF!</v>
      </c>
      <c r="BG212" s="9" t="e">
        <f>#REF!-#REF!</f>
        <v>#REF!</v>
      </c>
      <c r="BH212" s="9" t="e">
        <f>#REF!-#REF!</f>
        <v>#REF!</v>
      </c>
      <c r="BI212" s="9" t="e">
        <f>#REF!-#REF!</f>
        <v>#REF!</v>
      </c>
      <c r="BJ212" s="33"/>
      <c r="BK212" s="3">
        <f>COUNTIFS(B212:G212, "&gt;=1", B212:G212, "&lt;=9")</f>
        <v>0</v>
      </c>
      <c r="BL212" s="3">
        <f>COUNTIFS(B212:G212, "&gt;=10", B212:G212, "&lt;=19")</f>
        <v>0</v>
      </c>
      <c r="BM212" s="3">
        <f>COUNTIFS(B212:G212, "&gt;=20", B212:G212, "&lt;=29")</f>
        <v>0</v>
      </c>
      <c r="BN212" s="3">
        <f>COUNTIFS(B212:G212, "&gt;=30", B212:G212, "&lt;=39")</f>
        <v>0</v>
      </c>
      <c r="BO212" s="3">
        <f>COUNTIFS(B212:G212, "&gt;=40", B212:G212, "&lt;=45")</f>
        <v>0</v>
      </c>
      <c r="BP212" s="28" t="e">
        <f>#REF!</f>
        <v>#REF!</v>
      </c>
      <c r="BQ212" s="28" t="e">
        <f>#REF!*2</f>
        <v>#REF!</v>
      </c>
      <c r="BR212" s="28" t="e">
        <f>#REF!</f>
        <v>#REF!</v>
      </c>
      <c r="BS212" s="28" t="e">
        <f>#REF!*2</f>
        <v>#REF!</v>
      </c>
      <c r="BT212" s="28" t="e">
        <f>#REF!</f>
        <v>#REF!</v>
      </c>
      <c r="BU212" s="28" t="e">
        <f>#REF!*2</f>
        <v>#REF!</v>
      </c>
      <c r="BV212" s="28" t="e">
        <f>#REF!</f>
        <v>#REF!</v>
      </c>
      <c r="BW212" s="28" t="e">
        <f>#REF!*2</f>
        <v>#REF!</v>
      </c>
      <c r="BX212" s="28" t="e">
        <f>#REF!</f>
        <v>#REF!</v>
      </c>
      <c r="BY212" s="28" t="e">
        <f>#REF!*2</f>
        <v>#REF!</v>
      </c>
      <c r="BZ212" s="28" t="e">
        <f>#REF!</f>
        <v>#REF!</v>
      </c>
      <c r="CA212" s="28" t="e">
        <f>#REF!*2</f>
        <v>#REF!</v>
      </c>
      <c r="CB212" s="9">
        <f>C212-B212</f>
        <v>0</v>
      </c>
      <c r="CC212" s="9">
        <f>D212-C212</f>
        <v>0</v>
      </c>
      <c r="CD212" s="9">
        <f>E212-D212</f>
        <v>0</v>
      </c>
      <c r="CE212" s="9">
        <f>F212-E212</f>
        <v>0</v>
      </c>
      <c r="CF212" s="9">
        <f>G212-F212</f>
        <v>0</v>
      </c>
      <c r="CG212" s="33"/>
      <c r="CH212" s="9">
        <f>C212-B212</f>
        <v>0</v>
      </c>
      <c r="CI212" s="9">
        <f>D212-C212</f>
        <v>0</v>
      </c>
      <c r="CJ212" s="9">
        <f>E212-D212</f>
        <v>0</v>
      </c>
      <c r="CK212" s="9">
        <f>F212-E212</f>
        <v>0</v>
      </c>
      <c r="CL212" s="9">
        <f>G212-F212</f>
        <v>0</v>
      </c>
      <c r="CM212" s="32"/>
      <c r="CN212" s="3">
        <f>IF(OR(CH212="",ISBLANK(CH212),CH212=0),0,IF(MOD(CH212,2)=1,1,2))</f>
        <v>0</v>
      </c>
      <c r="CO212" s="3">
        <f>IF(OR(CI212="",ISBLANK(CI212),CI212=0),0,IF(MOD(CI212,2)=1,1,2))</f>
        <v>0</v>
      </c>
      <c r="CP212" s="3">
        <f>IF(OR(CJ212="",ISBLANK(CJ212),CJ212=0),0,IF(MOD(CJ212,2)=1,1,2))</f>
        <v>0</v>
      </c>
      <c r="CQ212" s="3">
        <f>IF(OR(CK212="",ISBLANK(CK212),CK212=0),0,IF(MOD(CK212,2)=1,1,2))</f>
        <v>0</v>
      </c>
      <c r="CR212" s="3">
        <f>IF(OR(CL212="",ISBLANK(CL212),CL212=0),0,IF(MOD(CL212,2)=1,1,2))</f>
        <v>0</v>
      </c>
      <c r="CS212" s="31"/>
      <c r="CT212" s="3" cm="1">
        <f t="array" ref="CT212">SUMPRODUCT(--(MOD(CH212:CL212,2)=1))</f>
        <v>0</v>
      </c>
      <c r="CU212" s="3">
        <f>5-CT212</f>
        <v>5</v>
      </c>
      <c r="CV212" s="30"/>
      <c r="CW212" s="3" cm="1">
        <f t="array" ref="CW212">SUMPRODUCT(--(MOD(CH212:CL212,10)&gt;=1), --(MOD(CH212:CL212,10)&lt;=5))</f>
        <v>0</v>
      </c>
      <c r="CX212" s="3">
        <f>5-CW212</f>
        <v>5</v>
      </c>
      <c r="CY212" s="30"/>
      <c r="CZ212" s="3" cm="1">
        <f t="array" ref="CZ212">IFERROR(COUNT(_xlfn._xlws.FILTER(CH212:CL212, ISNUMBER(MATCH(CH212:CL212, {2,3,5,7,11,13,17,19,23,29,31,37,41,43}, 0)))), 0)</f>
        <v>0</v>
      </c>
      <c r="DA212" s="3" cm="1">
        <f t="array" ref="DA212">IFERROR(COUNT(_xlfn._xlws.FILTER(CH212:CL212, ISNUMBER(MATCH(CH212:CL212, {1,4,8,10,14,16,20,22,25,26,28,32,34,35,38,40,44}, 0)))), 0)</f>
        <v>0</v>
      </c>
      <c r="DB212" s="3" cm="1">
        <f t="array" ref="DB212">IFERROR(COUNT(_xlfn._xlws.FILTER(CH212:CL212, ISNUMBER(MATCH(CH212:CL212, {6,9,12,15,18,21,24,27,30,33,36,39,42,45}, 0)))), 0)</f>
        <v>0</v>
      </c>
      <c r="DC212" s="29"/>
      <c r="DD212" s="28" t="e">
        <f>#REF!</f>
        <v>#REF!</v>
      </c>
      <c r="DE212" s="28" t="e">
        <f>#REF!*2</f>
        <v>#REF!</v>
      </c>
      <c r="DF212" s="28" t="e">
        <f>#REF!</f>
        <v>#REF!</v>
      </c>
      <c r="DG212" s="28" t="e">
        <f>#REF!*2</f>
        <v>#REF!</v>
      </c>
      <c r="DH212" s="28" t="e">
        <f>#REF!</f>
        <v>#REF!</v>
      </c>
      <c r="DI212" s="28" t="e">
        <f>#REF!*2</f>
        <v>#REF!</v>
      </c>
      <c r="DJ212" s="28" t="e">
        <f>#REF!</f>
        <v>#REF!</v>
      </c>
      <c r="DK212" s="28" t="e">
        <f>#REF!*2</f>
        <v>#REF!</v>
      </c>
      <c r="DL212" s="28" t="e">
        <f>#REF!</f>
        <v>#REF!</v>
      </c>
      <c r="DM212" s="28" t="e">
        <f>#REF!*2</f>
        <v>#REF!</v>
      </c>
      <c r="DN212" s="27"/>
      <c r="DO212" s="26"/>
      <c r="DP212" s="26"/>
      <c r="DQ212" s="26"/>
      <c r="DR212" s="26"/>
      <c r="DS212" s="26"/>
      <c r="DT212" s="25"/>
    </row>
    <row r="213" spans="2:124" x14ac:dyDescent="0.3">
      <c r="B213" s="3">
        <v>0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2"/>
      <c r="I213" s="3">
        <f>IF(OR(B213="",ISBLANK(B213),B213=0),0,IF(MOD(B213,2)=1,1,2))</f>
        <v>0</v>
      </c>
      <c r="J213" s="3">
        <f>IF(OR(C213="",ISBLANK(C213),C213=0),0,IF(MOD(C213,2)=1,1,2))</f>
        <v>0</v>
      </c>
      <c r="K213" s="3">
        <f>IF(OR(D213="",ISBLANK(D213),D213=0),0,IF(MOD(D213,2)=1,1,2))</f>
        <v>0</v>
      </c>
      <c r="L213" s="3">
        <f>IF(OR(E213="",ISBLANK(E213),E213=0),0,IF(MOD(E213,2)=1,1,2))</f>
        <v>0</v>
      </c>
      <c r="M213" s="3">
        <f>IF(OR(F213="",ISBLANK(F213),F213=0),0,IF(MOD(F213,2)=1,1,2))</f>
        <v>0</v>
      </c>
      <c r="N213" s="3">
        <f>IF(OR(G213="",ISBLANK(G213),G213=0),0,IF(MOD(G213,2)=1,1,2))</f>
        <v>0</v>
      </c>
      <c r="O213" s="32"/>
      <c r="P213" s="3" cm="1">
        <f t="array" ref="P213">SUMPRODUCT(--(MOD(B213:G213,2)=1))</f>
        <v>0</v>
      </c>
      <c r="Q213" s="3">
        <f>6-P213</f>
        <v>6</v>
      </c>
      <c r="R213" s="34"/>
      <c r="S213" s="3">
        <f>COUNTIFS(B213:G213,"&gt;=1",B213:G213,"&lt;=23")</f>
        <v>0</v>
      </c>
      <c r="T213" s="3">
        <f>6-S213</f>
        <v>6</v>
      </c>
      <c r="U213" s="34"/>
      <c r="V213" s="3" cm="1">
        <f t="array" ref="V213">SUMPRODUCT(--(MOD(B213:G213,10)&gt;=1), --(MOD(B213:G213,10)&lt;=5))</f>
        <v>0</v>
      </c>
      <c r="W213" s="3">
        <f>6-V213</f>
        <v>6</v>
      </c>
      <c r="X213" s="34"/>
      <c r="Y213" s="3" cm="1">
        <f t="array" ref="Y213">IFERROR(COUNT(_xlfn._xlws.FILTER(B213:G213, ISNUMBER(MATCH(B213:G213, {2,3,5,7,11,13,17,19,23,29,31,37,41,43}, 0)))), 0)</f>
        <v>0</v>
      </c>
      <c r="Z213" s="3" cm="1">
        <f t="array" ref="Z213">IFERROR(COUNT(_xlfn._xlws.FILTER(B213:G213, ISNUMBER(MATCH(B213:G213, {1,4,8,10,14,16,20,22,25,26,28,32,34,35,38,40,44}, 0)))), 0)</f>
        <v>0</v>
      </c>
      <c r="AA213" s="3" cm="1">
        <f t="array" ref="AA213">IFERROR(COUNT(_xlfn._xlws.FILTER(B213:G213, ISNUMBER(MATCH(B213:G213, {6,9,12,15,18,21,24,27,30,33,36,39,42,45}, 0)))), 0)</f>
        <v>0</v>
      </c>
      <c r="AB213" s="30"/>
      <c r="AC213" s="26" cm="1">
        <f t="array" ref="AC213">_xlfn.IFS(
   OR(B213="",ISBLANK(B213),B213=0),0,
   ISNUMBER(MATCH(B213,{2,3,5,7,11,13,17,19,23,29,31,37,41,43},0)),"소",
   AND(ISNUMBER(B213),MOD(B213,3)=0),"배",
   AND(ISNUMBER(B213),B213&gt;0),"자"
)</f>
        <v>0</v>
      </c>
      <c r="AD213" s="26" cm="1">
        <f t="array" ref="AD213">_xlfn.IFS(
   OR(C213="",ISBLANK(C213),C213=0),0,
   ISNUMBER(MATCH(C213,{2,3,5,7,11,13,17,19,23,29,31,37,41,43},0)),"소",
   AND(ISNUMBER(C213),MOD(C213,3)=0),"배",
   AND(ISNUMBER(C213),C213&gt;0),"자"
)</f>
        <v>0</v>
      </c>
      <c r="AE213" s="26" cm="1">
        <f t="array" ref="AE213">_xlfn.IFS(
   OR(D213="",ISBLANK(D213),D213=0),0,
   ISNUMBER(MATCH(D213,{2,3,5,7,11,13,17,19,23,29,31,37,41,43},0)),"소",
   AND(ISNUMBER(D213),MOD(D213,3)=0),"배",
   AND(ISNUMBER(D213),D213&gt;0),"자"
)</f>
        <v>0</v>
      </c>
      <c r="AF213" s="26" cm="1">
        <f t="array" ref="AF213">_xlfn.IFS(
   OR(E213="",ISBLANK(E213),E213=0),0,
   ISNUMBER(MATCH(E213,{2,3,5,7,11,13,17,19,23,29,31,37,41,43},0)),"소",
   AND(ISNUMBER(E213),MOD(E213,3)=0),"배",
   AND(ISNUMBER(E213),E213&gt;0),"자"
)</f>
        <v>0</v>
      </c>
      <c r="AG213" s="26" cm="1">
        <f t="array" ref="AG213">_xlfn.IFS(
   OR(F213="",ISBLANK(F213),F213=0),0,
   ISNUMBER(MATCH(F213,{2,3,5,7,11,13,17,19,23,29,31,37,41,43},0)),"소",
   AND(ISNUMBER(F213),MOD(F213,3)=0),"배",
   AND(ISNUMBER(F213),F213&gt;0),"자"
)</f>
        <v>0</v>
      </c>
      <c r="AH213" s="26" cm="1">
        <f t="array" ref="AH213">_xlfn.IFS(
   OR(G213="",ISBLANK(G213),G213=0),0,
   ISNUMBER(MATCH(G213,{2,3,5,7,11,13,17,19,23,29,31,37,41,43},0)),"소",
   AND(ISNUMBER(G213),MOD(G213,3)=0),"배",
   AND(ISNUMBER(G213),G213&gt;0),"자"
)</f>
        <v>0</v>
      </c>
      <c r="AI213" s="30"/>
      <c r="AJ213" s="3">
        <f>COUNTIFS(B213:G213,"&gt;=1",B213:G213,"&lt;=14")</f>
        <v>0</v>
      </c>
      <c r="AK213" s="3">
        <f>COUNTIFS(B213:G213,"&gt;=15",B213:G213,"&lt;=31")</f>
        <v>0</v>
      </c>
      <c r="AL213" s="3">
        <f>6-AK213-AJ213</f>
        <v>6</v>
      </c>
      <c r="AM213" s="33"/>
      <c r="AN213" s="3">
        <f>COUNTIFS($B213:$G213, "&gt;=1",$B213:$G213, "&lt;=9")</f>
        <v>0</v>
      </c>
      <c r="AO213" s="3">
        <f>COUNTIFS($B213:$G213, "&gt;=10",$B213:$G213, "&lt;=18")</f>
        <v>0</v>
      </c>
      <c r="AP213" s="3">
        <f>COUNTIFS($B213:$G213, "&gt;=19",$B213:$G213, "&lt;=27")</f>
        <v>0</v>
      </c>
      <c r="AQ213" s="3">
        <f>COUNTIFS($B213:$G213, "&gt;=28",$B213:$G213, "&lt;=36")</f>
        <v>0</v>
      </c>
      <c r="AR213" s="3">
        <f>COUNTIFS($B213:$G213, "&gt;=37",$B213:$G213, "&lt;=45")</f>
        <v>0</v>
      </c>
      <c r="AS213" s="28" t="e">
        <f>#REF!</f>
        <v>#REF!</v>
      </c>
      <c r="AT213" s="28" t="e">
        <f>#REF!*2</f>
        <v>#REF!</v>
      </c>
      <c r="AU213" s="28" t="e">
        <f>#REF!</f>
        <v>#REF!</v>
      </c>
      <c r="AV213" s="28" t="e">
        <f>#REF!*2</f>
        <v>#REF!</v>
      </c>
      <c r="AW213" s="28" t="e">
        <f>#REF!</f>
        <v>#REF!</v>
      </c>
      <c r="AX213" s="28" t="e">
        <f>#REF!*2</f>
        <v>#REF!</v>
      </c>
      <c r="AY213" s="28" t="e">
        <f>#REF!</f>
        <v>#REF!</v>
      </c>
      <c r="AZ213" s="28" t="e">
        <f>#REF!*2</f>
        <v>#REF!</v>
      </c>
      <c r="BA213" s="28" t="e">
        <f>#REF!</f>
        <v>#REF!</v>
      </c>
      <c r="BB213" s="28" t="e">
        <f>#REF!*2</f>
        <v>#REF!</v>
      </c>
      <c r="BC213" s="28" t="e">
        <f>#REF!</f>
        <v>#REF!</v>
      </c>
      <c r="BD213" s="28" t="e">
        <f>#REF!*2</f>
        <v>#REF!</v>
      </c>
      <c r="BE213" s="9" t="e">
        <f>#REF!-#REF!</f>
        <v>#REF!</v>
      </c>
      <c r="BF213" s="9" t="e">
        <f>#REF!-#REF!</f>
        <v>#REF!</v>
      </c>
      <c r="BG213" s="9" t="e">
        <f>#REF!-#REF!</f>
        <v>#REF!</v>
      </c>
      <c r="BH213" s="9" t="e">
        <f>#REF!-#REF!</f>
        <v>#REF!</v>
      </c>
      <c r="BI213" s="9" t="e">
        <f>#REF!-#REF!</f>
        <v>#REF!</v>
      </c>
      <c r="BJ213" s="33"/>
      <c r="BK213" s="3">
        <f>COUNTIFS(B213:G213, "&gt;=1", B213:G213, "&lt;=9")</f>
        <v>0</v>
      </c>
      <c r="BL213" s="3">
        <f>COUNTIFS(B213:G213, "&gt;=10", B213:G213, "&lt;=19")</f>
        <v>0</v>
      </c>
      <c r="BM213" s="3">
        <f>COUNTIFS(B213:G213, "&gt;=20", B213:G213, "&lt;=29")</f>
        <v>0</v>
      </c>
      <c r="BN213" s="3">
        <f>COUNTIFS(B213:G213, "&gt;=30", B213:G213, "&lt;=39")</f>
        <v>0</v>
      </c>
      <c r="BO213" s="3">
        <f>COUNTIFS(B213:G213, "&gt;=40", B213:G213, "&lt;=45")</f>
        <v>0</v>
      </c>
      <c r="BP213" s="28" t="e">
        <f>#REF!</f>
        <v>#REF!</v>
      </c>
      <c r="BQ213" s="28" t="e">
        <f>#REF!*2</f>
        <v>#REF!</v>
      </c>
      <c r="BR213" s="28" t="e">
        <f>#REF!</f>
        <v>#REF!</v>
      </c>
      <c r="BS213" s="28" t="e">
        <f>#REF!*2</f>
        <v>#REF!</v>
      </c>
      <c r="BT213" s="28" t="e">
        <f>#REF!</f>
        <v>#REF!</v>
      </c>
      <c r="BU213" s="28" t="e">
        <f>#REF!*2</f>
        <v>#REF!</v>
      </c>
      <c r="BV213" s="28" t="e">
        <f>#REF!</f>
        <v>#REF!</v>
      </c>
      <c r="BW213" s="28" t="e">
        <f>#REF!*2</f>
        <v>#REF!</v>
      </c>
      <c r="BX213" s="28" t="e">
        <f>#REF!</f>
        <v>#REF!</v>
      </c>
      <c r="BY213" s="28" t="e">
        <f>#REF!*2</f>
        <v>#REF!</v>
      </c>
      <c r="BZ213" s="28" t="e">
        <f>#REF!</f>
        <v>#REF!</v>
      </c>
      <c r="CA213" s="28" t="e">
        <f>#REF!*2</f>
        <v>#REF!</v>
      </c>
      <c r="CB213" s="9">
        <f>C213-B213</f>
        <v>0</v>
      </c>
      <c r="CC213" s="9">
        <f>D213-C213</f>
        <v>0</v>
      </c>
      <c r="CD213" s="9">
        <f>E213-D213</f>
        <v>0</v>
      </c>
      <c r="CE213" s="9">
        <f>F213-E213</f>
        <v>0</v>
      </c>
      <c r="CF213" s="9">
        <f>G213-F213</f>
        <v>0</v>
      </c>
      <c r="CG213" s="33"/>
      <c r="CH213" s="9">
        <f>C213-B213</f>
        <v>0</v>
      </c>
      <c r="CI213" s="9">
        <f>D213-C213</f>
        <v>0</v>
      </c>
      <c r="CJ213" s="9">
        <f>E213-D213</f>
        <v>0</v>
      </c>
      <c r="CK213" s="9">
        <f>F213-E213</f>
        <v>0</v>
      </c>
      <c r="CL213" s="9">
        <f>G213-F213</f>
        <v>0</v>
      </c>
      <c r="CM213" s="32"/>
      <c r="CN213" s="3">
        <f>IF(OR(CH213="",ISBLANK(CH213),CH213=0),0,IF(MOD(CH213,2)=1,1,2))</f>
        <v>0</v>
      </c>
      <c r="CO213" s="3">
        <f>IF(OR(CI213="",ISBLANK(CI213),CI213=0),0,IF(MOD(CI213,2)=1,1,2))</f>
        <v>0</v>
      </c>
      <c r="CP213" s="3">
        <f>IF(OR(CJ213="",ISBLANK(CJ213),CJ213=0),0,IF(MOD(CJ213,2)=1,1,2))</f>
        <v>0</v>
      </c>
      <c r="CQ213" s="3">
        <f>IF(OR(CK213="",ISBLANK(CK213),CK213=0),0,IF(MOD(CK213,2)=1,1,2))</f>
        <v>0</v>
      </c>
      <c r="CR213" s="3">
        <f>IF(OR(CL213="",ISBLANK(CL213),CL213=0),0,IF(MOD(CL213,2)=1,1,2))</f>
        <v>0</v>
      </c>
      <c r="CS213" s="31"/>
      <c r="CT213" s="3" cm="1">
        <f t="array" ref="CT213">SUMPRODUCT(--(MOD(CH213:CL213,2)=1))</f>
        <v>0</v>
      </c>
      <c r="CU213" s="3">
        <f>5-CT213</f>
        <v>5</v>
      </c>
      <c r="CV213" s="30"/>
      <c r="CW213" s="3" cm="1">
        <f t="array" ref="CW213">SUMPRODUCT(--(MOD(CH213:CL213,10)&gt;=1), --(MOD(CH213:CL213,10)&lt;=5))</f>
        <v>0</v>
      </c>
      <c r="CX213" s="3">
        <f>5-CW213</f>
        <v>5</v>
      </c>
      <c r="CY213" s="30"/>
      <c r="CZ213" s="3" cm="1">
        <f t="array" ref="CZ213">IFERROR(COUNT(_xlfn._xlws.FILTER(CH213:CL213, ISNUMBER(MATCH(CH213:CL213, {2,3,5,7,11,13,17,19,23,29,31,37,41,43}, 0)))), 0)</f>
        <v>0</v>
      </c>
      <c r="DA213" s="3" cm="1">
        <f t="array" ref="DA213">IFERROR(COUNT(_xlfn._xlws.FILTER(CH213:CL213, ISNUMBER(MATCH(CH213:CL213, {1,4,8,10,14,16,20,22,25,26,28,32,34,35,38,40,44}, 0)))), 0)</f>
        <v>0</v>
      </c>
      <c r="DB213" s="3" cm="1">
        <f t="array" ref="DB213">IFERROR(COUNT(_xlfn._xlws.FILTER(CH213:CL213, ISNUMBER(MATCH(CH213:CL213, {6,9,12,15,18,21,24,27,30,33,36,39,42,45}, 0)))), 0)</f>
        <v>0</v>
      </c>
      <c r="DC213" s="29"/>
      <c r="DD213" s="28" t="e">
        <f>#REF!</f>
        <v>#REF!</v>
      </c>
      <c r="DE213" s="28" t="e">
        <f>#REF!*2</f>
        <v>#REF!</v>
      </c>
      <c r="DF213" s="28" t="e">
        <f>#REF!</f>
        <v>#REF!</v>
      </c>
      <c r="DG213" s="28" t="e">
        <f>#REF!*2</f>
        <v>#REF!</v>
      </c>
      <c r="DH213" s="28" t="e">
        <f>#REF!</f>
        <v>#REF!</v>
      </c>
      <c r="DI213" s="28" t="e">
        <f>#REF!*2</f>
        <v>#REF!</v>
      </c>
      <c r="DJ213" s="28" t="e">
        <f>#REF!</f>
        <v>#REF!</v>
      </c>
      <c r="DK213" s="28" t="e">
        <f>#REF!*2</f>
        <v>#REF!</v>
      </c>
      <c r="DL213" s="28" t="e">
        <f>#REF!</f>
        <v>#REF!</v>
      </c>
      <c r="DM213" s="28" t="e">
        <f>#REF!*2</f>
        <v>#REF!</v>
      </c>
      <c r="DN213" s="27"/>
      <c r="DO213" s="26"/>
      <c r="DP213" s="26"/>
      <c r="DQ213" s="26"/>
      <c r="DR213" s="26"/>
      <c r="DS213" s="26"/>
      <c r="DT213" s="25"/>
    </row>
    <row r="214" spans="2:124" x14ac:dyDescent="0.3"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2"/>
      <c r="I214" s="3">
        <f>IF(OR(B214="",ISBLANK(B214),B214=0),0,IF(MOD(B214,2)=1,1,2))</f>
        <v>0</v>
      </c>
      <c r="J214" s="3">
        <f>IF(OR(C214="",ISBLANK(C214),C214=0),0,IF(MOD(C214,2)=1,1,2))</f>
        <v>0</v>
      </c>
      <c r="K214" s="3">
        <f>IF(OR(D214="",ISBLANK(D214),D214=0),0,IF(MOD(D214,2)=1,1,2))</f>
        <v>0</v>
      </c>
      <c r="L214" s="3">
        <f>IF(OR(E214="",ISBLANK(E214),E214=0),0,IF(MOD(E214,2)=1,1,2))</f>
        <v>0</v>
      </c>
      <c r="M214" s="3">
        <f>IF(OR(F214="",ISBLANK(F214),F214=0),0,IF(MOD(F214,2)=1,1,2))</f>
        <v>0</v>
      </c>
      <c r="N214" s="3">
        <f>IF(OR(G214="",ISBLANK(G214),G214=0),0,IF(MOD(G214,2)=1,1,2))</f>
        <v>0</v>
      </c>
      <c r="O214" s="32"/>
      <c r="P214" s="3" cm="1">
        <f t="array" ref="P214">SUMPRODUCT(--(MOD(B214:G214,2)=1))</f>
        <v>0</v>
      </c>
      <c r="Q214" s="3">
        <f>6-P214</f>
        <v>6</v>
      </c>
      <c r="R214" s="34"/>
      <c r="S214" s="3">
        <f>COUNTIFS(B214:G214,"&gt;=1",B214:G214,"&lt;=23")</f>
        <v>0</v>
      </c>
      <c r="T214" s="3">
        <f>6-S214</f>
        <v>6</v>
      </c>
      <c r="U214" s="34"/>
      <c r="V214" s="3" cm="1">
        <f t="array" ref="V214">SUMPRODUCT(--(MOD(B214:G214,10)&gt;=1), --(MOD(B214:G214,10)&lt;=5))</f>
        <v>0</v>
      </c>
      <c r="W214" s="3">
        <f>6-V214</f>
        <v>6</v>
      </c>
      <c r="X214" s="34"/>
      <c r="Y214" s="3" cm="1">
        <f t="array" ref="Y214">IFERROR(COUNT(_xlfn._xlws.FILTER(B214:G214, ISNUMBER(MATCH(B214:G214, {2,3,5,7,11,13,17,19,23,29,31,37,41,43}, 0)))), 0)</f>
        <v>0</v>
      </c>
      <c r="Z214" s="3" cm="1">
        <f t="array" ref="Z214">IFERROR(COUNT(_xlfn._xlws.FILTER(B214:G214, ISNUMBER(MATCH(B214:G214, {1,4,8,10,14,16,20,22,25,26,28,32,34,35,38,40,44}, 0)))), 0)</f>
        <v>0</v>
      </c>
      <c r="AA214" s="3" cm="1">
        <f t="array" ref="AA214">IFERROR(COUNT(_xlfn._xlws.FILTER(B214:G214, ISNUMBER(MATCH(B214:G214, {6,9,12,15,18,21,24,27,30,33,36,39,42,45}, 0)))), 0)</f>
        <v>0</v>
      </c>
      <c r="AB214" s="30"/>
      <c r="AC214" s="26" cm="1">
        <f t="array" ref="AC214">_xlfn.IFS(
   OR(B214="",ISBLANK(B214),B214=0),0,
   ISNUMBER(MATCH(B214,{2,3,5,7,11,13,17,19,23,29,31,37,41,43},0)),"소",
   AND(ISNUMBER(B214),MOD(B214,3)=0),"배",
   AND(ISNUMBER(B214),B214&gt;0),"자"
)</f>
        <v>0</v>
      </c>
      <c r="AD214" s="26" cm="1">
        <f t="array" ref="AD214">_xlfn.IFS(
   OR(C214="",ISBLANK(C214),C214=0),0,
   ISNUMBER(MATCH(C214,{2,3,5,7,11,13,17,19,23,29,31,37,41,43},0)),"소",
   AND(ISNUMBER(C214),MOD(C214,3)=0),"배",
   AND(ISNUMBER(C214),C214&gt;0),"자"
)</f>
        <v>0</v>
      </c>
      <c r="AE214" s="26" cm="1">
        <f t="array" ref="AE214">_xlfn.IFS(
   OR(D214="",ISBLANK(D214),D214=0),0,
   ISNUMBER(MATCH(D214,{2,3,5,7,11,13,17,19,23,29,31,37,41,43},0)),"소",
   AND(ISNUMBER(D214),MOD(D214,3)=0),"배",
   AND(ISNUMBER(D214),D214&gt;0),"자"
)</f>
        <v>0</v>
      </c>
      <c r="AF214" s="26" cm="1">
        <f t="array" ref="AF214">_xlfn.IFS(
   OR(E214="",ISBLANK(E214),E214=0),0,
   ISNUMBER(MATCH(E214,{2,3,5,7,11,13,17,19,23,29,31,37,41,43},0)),"소",
   AND(ISNUMBER(E214),MOD(E214,3)=0),"배",
   AND(ISNUMBER(E214),E214&gt;0),"자"
)</f>
        <v>0</v>
      </c>
      <c r="AG214" s="26" cm="1">
        <f t="array" ref="AG214">_xlfn.IFS(
   OR(F214="",ISBLANK(F214),F214=0),0,
   ISNUMBER(MATCH(F214,{2,3,5,7,11,13,17,19,23,29,31,37,41,43},0)),"소",
   AND(ISNUMBER(F214),MOD(F214,3)=0),"배",
   AND(ISNUMBER(F214),F214&gt;0),"자"
)</f>
        <v>0</v>
      </c>
      <c r="AH214" s="26" cm="1">
        <f t="array" ref="AH214">_xlfn.IFS(
   OR(G214="",ISBLANK(G214),G214=0),0,
   ISNUMBER(MATCH(G214,{2,3,5,7,11,13,17,19,23,29,31,37,41,43},0)),"소",
   AND(ISNUMBER(G214),MOD(G214,3)=0),"배",
   AND(ISNUMBER(G214),G214&gt;0),"자"
)</f>
        <v>0</v>
      </c>
      <c r="AI214" s="30"/>
      <c r="AJ214" s="3">
        <f>COUNTIFS(B214:G214,"&gt;=1",B214:G214,"&lt;=14")</f>
        <v>0</v>
      </c>
      <c r="AK214" s="3">
        <f>COUNTIFS(B214:G214,"&gt;=15",B214:G214,"&lt;=31")</f>
        <v>0</v>
      </c>
      <c r="AL214" s="3">
        <f>6-AK214-AJ214</f>
        <v>6</v>
      </c>
      <c r="AM214" s="33"/>
      <c r="AN214" s="3">
        <f>COUNTIFS($B214:$G214, "&gt;=1",$B214:$G214, "&lt;=9")</f>
        <v>0</v>
      </c>
      <c r="AO214" s="3">
        <f>COUNTIFS($B214:$G214, "&gt;=10",$B214:$G214, "&lt;=18")</f>
        <v>0</v>
      </c>
      <c r="AP214" s="3">
        <f>COUNTIFS($B214:$G214, "&gt;=19",$B214:$G214, "&lt;=27")</f>
        <v>0</v>
      </c>
      <c r="AQ214" s="3">
        <f>COUNTIFS($B214:$G214, "&gt;=28",$B214:$G214, "&lt;=36")</f>
        <v>0</v>
      </c>
      <c r="AR214" s="3">
        <f>COUNTIFS($B214:$G214, "&gt;=37",$B214:$G214, "&lt;=45")</f>
        <v>0</v>
      </c>
      <c r="AS214" s="28" t="e">
        <f>#REF!</f>
        <v>#REF!</v>
      </c>
      <c r="AT214" s="28" t="e">
        <f>#REF!*2</f>
        <v>#REF!</v>
      </c>
      <c r="AU214" s="28" t="e">
        <f>#REF!</f>
        <v>#REF!</v>
      </c>
      <c r="AV214" s="28" t="e">
        <f>#REF!*2</f>
        <v>#REF!</v>
      </c>
      <c r="AW214" s="28" t="e">
        <f>#REF!</f>
        <v>#REF!</v>
      </c>
      <c r="AX214" s="28" t="e">
        <f>#REF!*2</f>
        <v>#REF!</v>
      </c>
      <c r="AY214" s="28" t="e">
        <f>#REF!</f>
        <v>#REF!</v>
      </c>
      <c r="AZ214" s="28" t="e">
        <f>#REF!*2</f>
        <v>#REF!</v>
      </c>
      <c r="BA214" s="28" t="e">
        <f>#REF!</f>
        <v>#REF!</v>
      </c>
      <c r="BB214" s="28" t="e">
        <f>#REF!*2</f>
        <v>#REF!</v>
      </c>
      <c r="BC214" s="28" t="e">
        <f>#REF!</f>
        <v>#REF!</v>
      </c>
      <c r="BD214" s="28" t="e">
        <f>#REF!*2</f>
        <v>#REF!</v>
      </c>
      <c r="BE214" s="9" t="e">
        <f>#REF!-#REF!</f>
        <v>#REF!</v>
      </c>
      <c r="BF214" s="9" t="e">
        <f>#REF!-#REF!</f>
        <v>#REF!</v>
      </c>
      <c r="BG214" s="9" t="e">
        <f>#REF!-#REF!</f>
        <v>#REF!</v>
      </c>
      <c r="BH214" s="9" t="e">
        <f>#REF!-#REF!</f>
        <v>#REF!</v>
      </c>
      <c r="BI214" s="9" t="e">
        <f>#REF!-#REF!</f>
        <v>#REF!</v>
      </c>
      <c r="BJ214" s="33"/>
      <c r="BK214" s="3">
        <f>COUNTIFS(B214:G214, "&gt;=1", B214:G214, "&lt;=9")</f>
        <v>0</v>
      </c>
      <c r="BL214" s="3">
        <f>COUNTIFS(B214:G214, "&gt;=10", B214:G214, "&lt;=19")</f>
        <v>0</v>
      </c>
      <c r="BM214" s="3">
        <f>COUNTIFS(B214:G214, "&gt;=20", B214:G214, "&lt;=29")</f>
        <v>0</v>
      </c>
      <c r="BN214" s="3">
        <f>COUNTIFS(B214:G214, "&gt;=30", B214:G214, "&lt;=39")</f>
        <v>0</v>
      </c>
      <c r="BO214" s="3">
        <f>COUNTIFS(B214:G214, "&gt;=40", B214:G214, "&lt;=45")</f>
        <v>0</v>
      </c>
      <c r="BP214" s="28" t="e">
        <f>#REF!</f>
        <v>#REF!</v>
      </c>
      <c r="BQ214" s="28" t="e">
        <f>#REF!*2</f>
        <v>#REF!</v>
      </c>
      <c r="BR214" s="28" t="e">
        <f>#REF!</f>
        <v>#REF!</v>
      </c>
      <c r="BS214" s="28" t="e">
        <f>#REF!*2</f>
        <v>#REF!</v>
      </c>
      <c r="BT214" s="28" t="e">
        <f>#REF!</f>
        <v>#REF!</v>
      </c>
      <c r="BU214" s="28" t="e">
        <f>#REF!*2</f>
        <v>#REF!</v>
      </c>
      <c r="BV214" s="28" t="e">
        <f>#REF!</f>
        <v>#REF!</v>
      </c>
      <c r="BW214" s="28" t="e">
        <f>#REF!*2</f>
        <v>#REF!</v>
      </c>
      <c r="BX214" s="28" t="e">
        <f>#REF!</f>
        <v>#REF!</v>
      </c>
      <c r="BY214" s="28" t="e">
        <f>#REF!*2</f>
        <v>#REF!</v>
      </c>
      <c r="BZ214" s="28" t="e">
        <f>#REF!</f>
        <v>#REF!</v>
      </c>
      <c r="CA214" s="28" t="e">
        <f>#REF!*2</f>
        <v>#REF!</v>
      </c>
      <c r="CB214" s="9">
        <f>C214-B214</f>
        <v>0</v>
      </c>
      <c r="CC214" s="9">
        <f>D214-C214</f>
        <v>0</v>
      </c>
      <c r="CD214" s="9">
        <f>E214-D214</f>
        <v>0</v>
      </c>
      <c r="CE214" s="9">
        <f>F214-E214</f>
        <v>0</v>
      </c>
      <c r="CF214" s="9">
        <f>G214-F214</f>
        <v>0</v>
      </c>
      <c r="CG214" s="33"/>
      <c r="CH214" s="9">
        <f>C214-B214</f>
        <v>0</v>
      </c>
      <c r="CI214" s="9">
        <f>D214-C214</f>
        <v>0</v>
      </c>
      <c r="CJ214" s="9">
        <f>E214-D214</f>
        <v>0</v>
      </c>
      <c r="CK214" s="9">
        <f>F214-E214</f>
        <v>0</v>
      </c>
      <c r="CL214" s="9">
        <f>G214-F214</f>
        <v>0</v>
      </c>
      <c r="CM214" s="32"/>
      <c r="CN214" s="3">
        <f>IF(OR(CH214="",ISBLANK(CH214),CH214=0),0,IF(MOD(CH214,2)=1,1,2))</f>
        <v>0</v>
      </c>
      <c r="CO214" s="3">
        <f>IF(OR(CI214="",ISBLANK(CI214),CI214=0),0,IF(MOD(CI214,2)=1,1,2))</f>
        <v>0</v>
      </c>
      <c r="CP214" s="3">
        <f>IF(OR(CJ214="",ISBLANK(CJ214),CJ214=0),0,IF(MOD(CJ214,2)=1,1,2))</f>
        <v>0</v>
      </c>
      <c r="CQ214" s="3">
        <f>IF(OR(CK214="",ISBLANK(CK214),CK214=0),0,IF(MOD(CK214,2)=1,1,2))</f>
        <v>0</v>
      </c>
      <c r="CR214" s="3">
        <f>IF(OR(CL214="",ISBLANK(CL214),CL214=0),0,IF(MOD(CL214,2)=1,1,2))</f>
        <v>0</v>
      </c>
      <c r="CS214" s="31"/>
      <c r="CT214" s="3" cm="1">
        <f t="array" ref="CT214">SUMPRODUCT(--(MOD(CH214:CL214,2)=1))</f>
        <v>0</v>
      </c>
      <c r="CU214" s="3">
        <f>5-CT214</f>
        <v>5</v>
      </c>
      <c r="CV214" s="30"/>
      <c r="CW214" s="3" cm="1">
        <f t="array" ref="CW214">SUMPRODUCT(--(MOD(CH214:CL214,10)&gt;=1), --(MOD(CH214:CL214,10)&lt;=5))</f>
        <v>0</v>
      </c>
      <c r="CX214" s="3">
        <f>5-CW214</f>
        <v>5</v>
      </c>
      <c r="CY214" s="30"/>
      <c r="CZ214" s="3" cm="1">
        <f t="array" ref="CZ214">IFERROR(COUNT(_xlfn._xlws.FILTER(CH214:CL214, ISNUMBER(MATCH(CH214:CL214, {2,3,5,7,11,13,17,19,23,29,31,37,41,43}, 0)))), 0)</f>
        <v>0</v>
      </c>
      <c r="DA214" s="3" cm="1">
        <f t="array" ref="DA214">IFERROR(COUNT(_xlfn._xlws.FILTER(CH214:CL214, ISNUMBER(MATCH(CH214:CL214, {1,4,8,10,14,16,20,22,25,26,28,32,34,35,38,40,44}, 0)))), 0)</f>
        <v>0</v>
      </c>
      <c r="DB214" s="3" cm="1">
        <f t="array" ref="DB214">IFERROR(COUNT(_xlfn._xlws.FILTER(CH214:CL214, ISNUMBER(MATCH(CH214:CL214, {6,9,12,15,18,21,24,27,30,33,36,39,42,45}, 0)))), 0)</f>
        <v>0</v>
      </c>
      <c r="DC214" s="29"/>
      <c r="DD214" s="28" t="e">
        <f>#REF!</f>
        <v>#REF!</v>
      </c>
      <c r="DE214" s="28" t="e">
        <f>#REF!*2</f>
        <v>#REF!</v>
      </c>
      <c r="DF214" s="28" t="e">
        <f>#REF!</f>
        <v>#REF!</v>
      </c>
      <c r="DG214" s="28" t="e">
        <f>#REF!*2</f>
        <v>#REF!</v>
      </c>
      <c r="DH214" s="28" t="e">
        <f>#REF!</f>
        <v>#REF!</v>
      </c>
      <c r="DI214" s="28" t="e">
        <f>#REF!*2</f>
        <v>#REF!</v>
      </c>
      <c r="DJ214" s="28" t="e">
        <f>#REF!</f>
        <v>#REF!</v>
      </c>
      <c r="DK214" s="28" t="e">
        <f>#REF!*2</f>
        <v>#REF!</v>
      </c>
      <c r="DL214" s="28" t="e">
        <f>#REF!</f>
        <v>#REF!</v>
      </c>
      <c r="DM214" s="28" t="e">
        <f>#REF!*2</f>
        <v>#REF!</v>
      </c>
      <c r="DN214" s="27"/>
      <c r="DO214" s="26"/>
      <c r="DP214" s="26"/>
      <c r="DQ214" s="26"/>
      <c r="DR214" s="26"/>
      <c r="DS214" s="26"/>
      <c r="DT214" s="25"/>
    </row>
    <row r="215" spans="2:124" x14ac:dyDescent="0.3"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2"/>
      <c r="I215" s="3">
        <f>IF(OR(B215="",ISBLANK(B215),B215=0),0,IF(MOD(B215,2)=1,1,2))</f>
        <v>0</v>
      </c>
      <c r="J215" s="3">
        <f>IF(OR(C215="",ISBLANK(C215),C215=0),0,IF(MOD(C215,2)=1,1,2))</f>
        <v>0</v>
      </c>
      <c r="K215" s="3">
        <f>IF(OR(D215="",ISBLANK(D215),D215=0),0,IF(MOD(D215,2)=1,1,2))</f>
        <v>0</v>
      </c>
      <c r="L215" s="3">
        <f>IF(OR(E215="",ISBLANK(E215),E215=0),0,IF(MOD(E215,2)=1,1,2))</f>
        <v>0</v>
      </c>
      <c r="M215" s="3">
        <f>IF(OR(F215="",ISBLANK(F215),F215=0),0,IF(MOD(F215,2)=1,1,2))</f>
        <v>0</v>
      </c>
      <c r="N215" s="3">
        <f>IF(OR(G215="",ISBLANK(G215),G215=0),0,IF(MOD(G215,2)=1,1,2))</f>
        <v>0</v>
      </c>
      <c r="O215" s="32"/>
      <c r="P215" s="3" cm="1">
        <f t="array" ref="P215">SUMPRODUCT(--(MOD(B215:G215,2)=1))</f>
        <v>0</v>
      </c>
      <c r="Q215" s="3">
        <f>6-P215</f>
        <v>6</v>
      </c>
      <c r="R215" s="34"/>
      <c r="S215" s="3">
        <f>COUNTIFS(B215:G215,"&gt;=1",B215:G215,"&lt;=23")</f>
        <v>0</v>
      </c>
      <c r="T215" s="3">
        <f>6-S215</f>
        <v>6</v>
      </c>
      <c r="U215" s="34"/>
      <c r="V215" s="3" cm="1">
        <f t="array" ref="V215">SUMPRODUCT(--(MOD(B215:G215,10)&gt;=1), --(MOD(B215:G215,10)&lt;=5))</f>
        <v>0</v>
      </c>
      <c r="W215" s="3">
        <f>6-V215</f>
        <v>6</v>
      </c>
      <c r="X215" s="34"/>
      <c r="Y215" s="3" cm="1">
        <f t="array" ref="Y215">IFERROR(COUNT(_xlfn._xlws.FILTER(B215:G215, ISNUMBER(MATCH(B215:G215, {2,3,5,7,11,13,17,19,23,29,31,37,41,43}, 0)))), 0)</f>
        <v>0</v>
      </c>
      <c r="Z215" s="3" cm="1">
        <f t="array" ref="Z215">IFERROR(COUNT(_xlfn._xlws.FILTER(B215:G215, ISNUMBER(MATCH(B215:G215, {1,4,8,10,14,16,20,22,25,26,28,32,34,35,38,40,44}, 0)))), 0)</f>
        <v>0</v>
      </c>
      <c r="AA215" s="3" cm="1">
        <f t="array" ref="AA215">IFERROR(COUNT(_xlfn._xlws.FILTER(B215:G215, ISNUMBER(MATCH(B215:G215, {6,9,12,15,18,21,24,27,30,33,36,39,42,45}, 0)))), 0)</f>
        <v>0</v>
      </c>
      <c r="AB215" s="30"/>
      <c r="AC215" s="26" cm="1">
        <f t="array" ref="AC215">_xlfn.IFS(
   OR(B215="",ISBLANK(B215),B215=0),0,
   ISNUMBER(MATCH(B215,{2,3,5,7,11,13,17,19,23,29,31,37,41,43},0)),"소",
   AND(ISNUMBER(B215),MOD(B215,3)=0),"배",
   AND(ISNUMBER(B215),B215&gt;0),"자"
)</f>
        <v>0</v>
      </c>
      <c r="AD215" s="26" cm="1">
        <f t="array" ref="AD215">_xlfn.IFS(
   OR(C215="",ISBLANK(C215),C215=0),0,
   ISNUMBER(MATCH(C215,{2,3,5,7,11,13,17,19,23,29,31,37,41,43},0)),"소",
   AND(ISNUMBER(C215),MOD(C215,3)=0),"배",
   AND(ISNUMBER(C215),C215&gt;0),"자"
)</f>
        <v>0</v>
      </c>
      <c r="AE215" s="26" cm="1">
        <f t="array" ref="AE215">_xlfn.IFS(
   OR(D215="",ISBLANK(D215),D215=0),0,
   ISNUMBER(MATCH(D215,{2,3,5,7,11,13,17,19,23,29,31,37,41,43},0)),"소",
   AND(ISNUMBER(D215),MOD(D215,3)=0),"배",
   AND(ISNUMBER(D215),D215&gt;0),"자"
)</f>
        <v>0</v>
      </c>
      <c r="AF215" s="26" cm="1">
        <f t="array" ref="AF215">_xlfn.IFS(
   OR(E215="",ISBLANK(E215),E215=0),0,
   ISNUMBER(MATCH(E215,{2,3,5,7,11,13,17,19,23,29,31,37,41,43},0)),"소",
   AND(ISNUMBER(E215),MOD(E215,3)=0),"배",
   AND(ISNUMBER(E215),E215&gt;0),"자"
)</f>
        <v>0</v>
      </c>
      <c r="AG215" s="26" cm="1">
        <f t="array" ref="AG215">_xlfn.IFS(
   OR(F215="",ISBLANK(F215),F215=0),0,
   ISNUMBER(MATCH(F215,{2,3,5,7,11,13,17,19,23,29,31,37,41,43},0)),"소",
   AND(ISNUMBER(F215),MOD(F215,3)=0),"배",
   AND(ISNUMBER(F215),F215&gt;0),"자"
)</f>
        <v>0</v>
      </c>
      <c r="AH215" s="26" cm="1">
        <f t="array" ref="AH215">_xlfn.IFS(
   OR(G215="",ISBLANK(G215),G215=0),0,
   ISNUMBER(MATCH(G215,{2,3,5,7,11,13,17,19,23,29,31,37,41,43},0)),"소",
   AND(ISNUMBER(G215),MOD(G215,3)=0),"배",
   AND(ISNUMBER(G215),G215&gt;0),"자"
)</f>
        <v>0</v>
      </c>
      <c r="AI215" s="30"/>
      <c r="AJ215" s="3">
        <f>COUNTIFS(B215:G215,"&gt;=1",B215:G215,"&lt;=14")</f>
        <v>0</v>
      </c>
      <c r="AK215" s="3">
        <f>COUNTIFS(B215:G215,"&gt;=15",B215:G215,"&lt;=31")</f>
        <v>0</v>
      </c>
      <c r="AL215" s="3">
        <f>6-AK215-AJ215</f>
        <v>6</v>
      </c>
      <c r="AM215" s="33"/>
      <c r="AN215" s="3">
        <f>COUNTIFS($B215:$G215, "&gt;=1",$B215:$G215, "&lt;=9")</f>
        <v>0</v>
      </c>
      <c r="AO215" s="3">
        <f>COUNTIFS($B215:$G215, "&gt;=10",$B215:$G215, "&lt;=18")</f>
        <v>0</v>
      </c>
      <c r="AP215" s="3">
        <f>COUNTIFS($B215:$G215, "&gt;=19",$B215:$G215, "&lt;=27")</f>
        <v>0</v>
      </c>
      <c r="AQ215" s="3">
        <f>COUNTIFS($B215:$G215, "&gt;=28",$B215:$G215, "&lt;=36")</f>
        <v>0</v>
      </c>
      <c r="AR215" s="3">
        <f>COUNTIFS($B215:$G215, "&gt;=37",$B215:$G215, "&lt;=45")</f>
        <v>0</v>
      </c>
      <c r="AS215" s="28" t="e">
        <f>#REF!</f>
        <v>#REF!</v>
      </c>
      <c r="AT215" s="28" t="e">
        <f>#REF!*2</f>
        <v>#REF!</v>
      </c>
      <c r="AU215" s="28" t="e">
        <f>#REF!</f>
        <v>#REF!</v>
      </c>
      <c r="AV215" s="28" t="e">
        <f>#REF!*2</f>
        <v>#REF!</v>
      </c>
      <c r="AW215" s="28" t="e">
        <f>#REF!</f>
        <v>#REF!</v>
      </c>
      <c r="AX215" s="28" t="e">
        <f>#REF!*2</f>
        <v>#REF!</v>
      </c>
      <c r="AY215" s="28" t="e">
        <f>#REF!</f>
        <v>#REF!</v>
      </c>
      <c r="AZ215" s="28" t="e">
        <f>#REF!*2</f>
        <v>#REF!</v>
      </c>
      <c r="BA215" s="28" t="e">
        <f>#REF!</f>
        <v>#REF!</v>
      </c>
      <c r="BB215" s="28" t="e">
        <f>#REF!*2</f>
        <v>#REF!</v>
      </c>
      <c r="BC215" s="28" t="e">
        <f>#REF!</f>
        <v>#REF!</v>
      </c>
      <c r="BD215" s="28" t="e">
        <f>#REF!*2</f>
        <v>#REF!</v>
      </c>
      <c r="BE215" s="9" t="e">
        <f>#REF!-#REF!</f>
        <v>#REF!</v>
      </c>
      <c r="BF215" s="9" t="e">
        <f>#REF!-#REF!</f>
        <v>#REF!</v>
      </c>
      <c r="BG215" s="9" t="e">
        <f>#REF!-#REF!</f>
        <v>#REF!</v>
      </c>
      <c r="BH215" s="9" t="e">
        <f>#REF!-#REF!</f>
        <v>#REF!</v>
      </c>
      <c r="BI215" s="9" t="e">
        <f>#REF!-#REF!</f>
        <v>#REF!</v>
      </c>
      <c r="BJ215" s="33"/>
      <c r="BK215" s="3">
        <f>COUNTIFS(B215:G215, "&gt;=1", B215:G215, "&lt;=9")</f>
        <v>0</v>
      </c>
      <c r="BL215" s="3">
        <f>COUNTIFS(B215:G215, "&gt;=10", B215:G215, "&lt;=19")</f>
        <v>0</v>
      </c>
      <c r="BM215" s="3">
        <f>COUNTIFS(B215:G215, "&gt;=20", B215:G215, "&lt;=29")</f>
        <v>0</v>
      </c>
      <c r="BN215" s="3">
        <f>COUNTIFS(B215:G215, "&gt;=30", B215:G215, "&lt;=39")</f>
        <v>0</v>
      </c>
      <c r="BO215" s="3">
        <f>COUNTIFS(B215:G215, "&gt;=40", B215:G215, "&lt;=45")</f>
        <v>0</v>
      </c>
      <c r="BP215" s="28" t="e">
        <f>#REF!</f>
        <v>#REF!</v>
      </c>
      <c r="BQ215" s="28" t="e">
        <f>#REF!*2</f>
        <v>#REF!</v>
      </c>
      <c r="BR215" s="28" t="e">
        <f>#REF!</f>
        <v>#REF!</v>
      </c>
      <c r="BS215" s="28" t="e">
        <f>#REF!*2</f>
        <v>#REF!</v>
      </c>
      <c r="BT215" s="28" t="e">
        <f>#REF!</f>
        <v>#REF!</v>
      </c>
      <c r="BU215" s="28" t="e">
        <f>#REF!*2</f>
        <v>#REF!</v>
      </c>
      <c r="BV215" s="28" t="e">
        <f>#REF!</f>
        <v>#REF!</v>
      </c>
      <c r="BW215" s="28" t="e">
        <f>#REF!*2</f>
        <v>#REF!</v>
      </c>
      <c r="BX215" s="28" t="e">
        <f>#REF!</f>
        <v>#REF!</v>
      </c>
      <c r="BY215" s="28" t="e">
        <f>#REF!*2</f>
        <v>#REF!</v>
      </c>
      <c r="BZ215" s="28" t="e">
        <f>#REF!</f>
        <v>#REF!</v>
      </c>
      <c r="CA215" s="28" t="e">
        <f>#REF!*2</f>
        <v>#REF!</v>
      </c>
      <c r="CB215" s="9">
        <f>C215-B215</f>
        <v>0</v>
      </c>
      <c r="CC215" s="9">
        <f>D215-C215</f>
        <v>0</v>
      </c>
      <c r="CD215" s="9">
        <f>E215-D215</f>
        <v>0</v>
      </c>
      <c r="CE215" s="9">
        <f>F215-E215</f>
        <v>0</v>
      </c>
      <c r="CF215" s="9">
        <f>G215-F215</f>
        <v>0</v>
      </c>
      <c r="CG215" s="33"/>
      <c r="CH215" s="3">
        <f>C215-B215</f>
        <v>0</v>
      </c>
      <c r="CI215" s="3">
        <f>D215-C215</f>
        <v>0</v>
      </c>
      <c r="CJ215" s="3">
        <f>E215-D215</f>
        <v>0</v>
      </c>
      <c r="CK215" s="3">
        <f>F215-E215</f>
        <v>0</v>
      </c>
      <c r="CL215" s="3">
        <f>G215-F215</f>
        <v>0</v>
      </c>
      <c r="CM215" s="32"/>
      <c r="CN215" s="3">
        <f>IF(OR(CH215="",ISBLANK(CH215),CH215=0),0,IF(MOD(CH215,2)=1,1,2))</f>
        <v>0</v>
      </c>
      <c r="CO215" s="3">
        <f>IF(OR(CI215="",ISBLANK(CI215),CI215=0),0,IF(MOD(CI215,2)=1,1,2))</f>
        <v>0</v>
      </c>
      <c r="CP215" s="3">
        <f>IF(OR(CJ215="",ISBLANK(CJ215),CJ215=0),0,IF(MOD(CJ215,2)=1,1,2))</f>
        <v>0</v>
      </c>
      <c r="CQ215" s="3">
        <f>IF(OR(CK215="",ISBLANK(CK215),CK215=0),0,IF(MOD(CK215,2)=1,1,2))</f>
        <v>0</v>
      </c>
      <c r="CR215" s="3">
        <f>IF(OR(CL215="",ISBLANK(CL215),CL215=0),0,IF(MOD(CL215,2)=1,1,2))</f>
        <v>0</v>
      </c>
      <c r="CS215" s="31"/>
      <c r="CT215" s="3" cm="1">
        <f t="array" ref="CT215">SUMPRODUCT(--(MOD(CH215:CL215,2)=1))</f>
        <v>0</v>
      </c>
      <c r="CU215" s="3">
        <f>5-CT215</f>
        <v>5</v>
      </c>
      <c r="CV215" s="30"/>
      <c r="CW215" s="3" cm="1">
        <f t="array" ref="CW215">SUMPRODUCT(--(MOD(CH215:CL215,10)&gt;=1), --(MOD(CH215:CL215,10)&lt;=5))</f>
        <v>0</v>
      </c>
      <c r="CX215" s="3">
        <f>5-CW215</f>
        <v>5</v>
      </c>
      <c r="CY215" s="30"/>
      <c r="CZ215" s="3" cm="1">
        <f t="array" ref="CZ215">IFERROR(COUNT(_xlfn._xlws.FILTER(CH215:CL215, ISNUMBER(MATCH(CH215:CL215, {2,3,5,7,11,13,17,19,23,29,31,37,41,43}, 0)))), 0)</f>
        <v>0</v>
      </c>
      <c r="DA215" s="3" cm="1">
        <f t="array" ref="DA215">IFERROR(COUNT(_xlfn._xlws.FILTER(CH215:CL215, ISNUMBER(MATCH(CH215:CL215, {1,4,8,10,14,16,20,22,25,26,28,32,34,35,38,40,44}, 0)))), 0)</f>
        <v>0</v>
      </c>
      <c r="DB215" s="3" cm="1">
        <f t="array" ref="DB215">IFERROR(COUNT(_xlfn._xlws.FILTER(CH215:CL215, ISNUMBER(MATCH(CH215:CL215, {6,9,12,15,18,21,24,27,30,33,36,39,42,45}, 0)))), 0)</f>
        <v>0</v>
      </c>
      <c r="DC215" s="29"/>
      <c r="DD215" s="28" t="e">
        <f>#REF!</f>
        <v>#REF!</v>
      </c>
      <c r="DE215" s="28" t="e">
        <f>#REF!*2</f>
        <v>#REF!</v>
      </c>
      <c r="DF215" s="28" t="e">
        <f>#REF!</f>
        <v>#REF!</v>
      </c>
      <c r="DG215" s="28" t="e">
        <f>#REF!*2</f>
        <v>#REF!</v>
      </c>
      <c r="DH215" s="28" t="e">
        <f>#REF!</f>
        <v>#REF!</v>
      </c>
      <c r="DI215" s="28" t="e">
        <f>#REF!*2</f>
        <v>#REF!</v>
      </c>
      <c r="DJ215" s="28" t="e">
        <f>#REF!</f>
        <v>#REF!</v>
      </c>
      <c r="DK215" s="28" t="e">
        <f>#REF!*2</f>
        <v>#REF!</v>
      </c>
      <c r="DL215" s="28" t="e">
        <f>#REF!</f>
        <v>#REF!</v>
      </c>
      <c r="DM215" s="28" t="e">
        <f>#REF!*2</f>
        <v>#REF!</v>
      </c>
      <c r="DN215" s="27"/>
      <c r="DO215" s="26"/>
      <c r="DP215" s="26"/>
      <c r="DQ215" s="26"/>
      <c r="DR215" s="26"/>
      <c r="DS215" s="26"/>
      <c r="DT215" s="25"/>
    </row>
    <row r="216" spans="2:124" x14ac:dyDescent="0.3">
      <c r="B216" s="3">
        <v>0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2"/>
      <c r="I216" s="3">
        <f>IF(OR(B216="",ISBLANK(B216),B216=0),0,IF(MOD(B216,2)=1,1,2))</f>
        <v>0</v>
      </c>
      <c r="J216" s="3">
        <f>IF(OR(C216="",ISBLANK(C216),C216=0),0,IF(MOD(C216,2)=1,1,2))</f>
        <v>0</v>
      </c>
      <c r="K216" s="3">
        <f>IF(OR(D216="",ISBLANK(D216),D216=0),0,IF(MOD(D216,2)=1,1,2))</f>
        <v>0</v>
      </c>
      <c r="L216" s="3">
        <f>IF(OR(E216="",ISBLANK(E216),E216=0),0,IF(MOD(E216,2)=1,1,2))</f>
        <v>0</v>
      </c>
      <c r="M216" s="3">
        <f>IF(OR(F216="",ISBLANK(F216),F216=0),0,IF(MOD(F216,2)=1,1,2))</f>
        <v>0</v>
      </c>
      <c r="N216" s="3">
        <f>IF(OR(G216="",ISBLANK(G216),G216=0),0,IF(MOD(G216,2)=1,1,2))</f>
        <v>0</v>
      </c>
      <c r="O216" s="32"/>
      <c r="P216" s="3" cm="1">
        <f t="array" ref="P216">SUMPRODUCT(--(MOD(B216:G216,2)=1))</f>
        <v>0</v>
      </c>
      <c r="Q216" s="3">
        <f>6-P216</f>
        <v>6</v>
      </c>
      <c r="R216" s="34"/>
      <c r="S216" s="3">
        <f>COUNTIFS(B216:G216,"&gt;=1",B216:G216,"&lt;=23")</f>
        <v>0</v>
      </c>
      <c r="T216" s="3">
        <f>6-S216</f>
        <v>6</v>
      </c>
      <c r="U216" s="34"/>
      <c r="V216" s="3" cm="1">
        <f t="array" ref="V216">SUMPRODUCT(--(MOD(B216:G216,10)&gt;=1), --(MOD(B216:G216,10)&lt;=5))</f>
        <v>0</v>
      </c>
      <c r="W216" s="3">
        <f>6-V216</f>
        <v>6</v>
      </c>
      <c r="X216" s="34"/>
      <c r="Y216" s="3" cm="1">
        <f t="array" ref="Y216">IFERROR(COUNT(_xlfn._xlws.FILTER(B216:G216, ISNUMBER(MATCH(B216:G216, {2,3,5,7,11,13,17,19,23,29,31,37,41,43}, 0)))), 0)</f>
        <v>0</v>
      </c>
      <c r="Z216" s="3" cm="1">
        <f t="array" ref="Z216">IFERROR(COUNT(_xlfn._xlws.FILTER(B216:G216, ISNUMBER(MATCH(B216:G216, {1,4,8,10,14,16,20,22,25,26,28,32,34,35,38,40,44}, 0)))), 0)</f>
        <v>0</v>
      </c>
      <c r="AA216" s="3" cm="1">
        <f t="array" ref="AA216">IFERROR(COUNT(_xlfn._xlws.FILTER(B216:G216, ISNUMBER(MATCH(B216:G216, {6,9,12,15,18,21,24,27,30,33,36,39,42,45}, 0)))), 0)</f>
        <v>0</v>
      </c>
      <c r="AB216" s="30"/>
      <c r="AC216" s="26" cm="1">
        <f t="array" ref="AC216">_xlfn.IFS(
   OR(B216="",ISBLANK(B216),B216=0),0,
   ISNUMBER(MATCH(B216,{2,3,5,7,11,13,17,19,23,29,31,37,41,43},0)),"소",
   AND(ISNUMBER(B216),MOD(B216,3)=0),"배",
   AND(ISNUMBER(B216),B216&gt;0),"자"
)</f>
        <v>0</v>
      </c>
      <c r="AD216" s="26" cm="1">
        <f t="array" ref="AD216">_xlfn.IFS(
   OR(C216="",ISBLANK(C216),C216=0),0,
   ISNUMBER(MATCH(C216,{2,3,5,7,11,13,17,19,23,29,31,37,41,43},0)),"소",
   AND(ISNUMBER(C216),MOD(C216,3)=0),"배",
   AND(ISNUMBER(C216),C216&gt;0),"자"
)</f>
        <v>0</v>
      </c>
      <c r="AE216" s="26" cm="1">
        <f t="array" ref="AE216">_xlfn.IFS(
   OR(D216="",ISBLANK(D216),D216=0),0,
   ISNUMBER(MATCH(D216,{2,3,5,7,11,13,17,19,23,29,31,37,41,43},0)),"소",
   AND(ISNUMBER(D216),MOD(D216,3)=0),"배",
   AND(ISNUMBER(D216),D216&gt;0),"자"
)</f>
        <v>0</v>
      </c>
      <c r="AF216" s="26" cm="1">
        <f t="array" ref="AF216">_xlfn.IFS(
   OR(E216="",ISBLANK(E216),E216=0),0,
   ISNUMBER(MATCH(E216,{2,3,5,7,11,13,17,19,23,29,31,37,41,43},0)),"소",
   AND(ISNUMBER(E216),MOD(E216,3)=0),"배",
   AND(ISNUMBER(E216),E216&gt;0),"자"
)</f>
        <v>0</v>
      </c>
      <c r="AG216" s="26" cm="1">
        <f t="array" ref="AG216">_xlfn.IFS(
   OR(F216="",ISBLANK(F216),F216=0),0,
   ISNUMBER(MATCH(F216,{2,3,5,7,11,13,17,19,23,29,31,37,41,43},0)),"소",
   AND(ISNUMBER(F216),MOD(F216,3)=0),"배",
   AND(ISNUMBER(F216),F216&gt;0),"자"
)</f>
        <v>0</v>
      </c>
      <c r="AH216" s="26" cm="1">
        <f t="array" ref="AH216">_xlfn.IFS(
   OR(G216="",ISBLANK(G216),G216=0),0,
   ISNUMBER(MATCH(G216,{2,3,5,7,11,13,17,19,23,29,31,37,41,43},0)),"소",
   AND(ISNUMBER(G216),MOD(G216,3)=0),"배",
   AND(ISNUMBER(G216),G216&gt;0),"자"
)</f>
        <v>0</v>
      </c>
      <c r="AI216" s="30"/>
      <c r="AJ216" s="3">
        <f>COUNTIFS(B216:G216,"&gt;=1",B216:G216,"&lt;=14")</f>
        <v>0</v>
      </c>
      <c r="AK216" s="3">
        <f>COUNTIFS(B216:G216,"&gt;=15",B216:G216,"&lt;=31")</f>
        <v>0</v>
      </c>
      <c r="AL216" s="3">
        <f>6-AK216-AJ216</f>
        <v>6</v>
      </c>
      <c r="AM216" s="33"/>
      <c r="AN216" s="3">
        <f>COUNTIFS($B216:$G216, "&gt;=1",$B216:$G216, "&lt;=9")</f>
        <v>0</v>
      </c>
      <c r="AO216" s="3">
        <f>COUNTIFS($B216:$G216, "&gt;=10",$B216:$G216, "&lt;=18")</f>
        <v>0</v>
      </c>
      <c r="AP216" s="3">
        <f>COUNTIFS($B216:$G216, "&gt;=19",$B216:$G216, "&lt;=27")</f>
        <v>0</v>
      </c>
      <c r="AQ216" s="3">
        <f>COUNTIFS($B216:$G216, "&gt;=28",$B216:$G216, "&lt;=36")</f>
        <v>0</v>
      </c>
      <c r="AR216" s="3">
        <f>COUNTIFS($B216:$G216, "&gt;=37",$B216:$G216, "&lt;=45")</f>
        <v>0</v>
      </c>
      <c r="AS216" s="28" t="e">
        <f>#REF!</f>
        <v>#REF!</v>
      </c>
      <c r="AT216" s="28" t="e">
        <f>#REF!*2</f>
        <v>#REF!</v>
      </c>
      <c r="AU216" s="28" t="e">
        <f>#REF!</f>
        <v>#REF!</v>
      </c>
      <c r="AV216" s="28" t="e">
        <f>#REF!*2</f>
        <v>#REF!</v>
      </c>
      <c r="AW216" s="28" t="e">
        <f>#REF!</f>
        <v>#REF!</v>
      </c>
      <c r="AX216" s="28" t="e">
        <f>#REF!*2</f>
        <v>#REF!</v>
      </c>
      <c r="AY216" s="28" t="e">
        <f>#REF!</f>
        <v>#REF!</v>
      </c>
      <c r="AZ216" s="28" t="e">
        <f>#REF!*2</f>
        <v>#REF!</v>
      </c>
      <c r="BA216" s="28" t="e">
        <f>#REF!</f>
        <v>#REF!</v>
      </c>
      <c r="BB216" s="28" t="e">
        <f>#REF!*2</f>
        <v>#REF!</v>
      </c>
      <c r="BC216" s="28" t="e">
        <f>#REF!</f>
        <v>#REF!</v>
      </c>
      <c r="BD216" s="28" t="e">
        <f>#REF!*2</f>
        <v>#REF!</v>
      </c>
      <c r="BE216" s="9" t="e">
        <f>#REF!-#REF!</f>
        <v>#REF!</v>
      </c>
      <c r="BF216" s="9" t="e">
        <f>#REF!-#REF!</f>
        <v>#REF!</v>
      </c>
      <c r="BG216" s="9" t="e">
        <f>#REF!-#REF!</f>
        <v>#REF!</v>
      </c>
      <c r="BH216" s="9" t="e">
        <f>#REF!-#REF!</f>
        <v>#REF!</v>
      </c>
      <c r="BI216" s="9" t="e">
        <f>#REF!-#REF!</f>
        <v>#REF!</v>
      </c>
      <c r="BJ216" s="33"/>
      <c r="BK216" s="3">
        <f>COUNTIFS(B216:G216, "&gt;=1", B216:G216, "&lt;=9")</f>
        <v>0</v>
      </c>
      <c r="BL216" s="3">
        <f>COUNTIFS(B216:G216, "&gt;=10", B216:G216, "&lt;=19")</f>
        <v>0</v>
      </c>
      <c r="BM216" s="3">
        <f>COUNTIFS(B216:G216, "&gt;=20", B216:G216, "&lt;=29")</f>
        <v>0</v>
      </c>
      <c r="BN216" s="3">
        <f>COUNTIFS(B216:G216, "&gt;=30", B216:G216, "&lt;=39")</f>
        <v>0</v>
      </c>
      <c r="BO216" s="3">
        <f>COUNTIFS(B216:G216, "&gt;=40", B216:G216, "&lt;=45")</f>
        <v>0</v>
      </c>
      <c r="BP216" s="28" t="e">
        <f>#REF!</f>
        <v>#REF!</v>
      </c>
      <c r="BQ216" s="28" t="e">
        <f>#REF!*2</f>
        <v>#REF!</v>
      </c>
      <c r="BR216" s="28" t="e">
        <f>#REF!</f>
        <v>#REF!</v>
      </c>
      <c r="BS216" s="28" t="e">
        <f>#REF!*2</f>
        <v>#REF!</v>
      </c>
      <c r="BT216" s="28" t="e">
        <f>#REF!</f>
        <v>#REF!</v>
      </c>
      <c r="BU216" s="28" t="e">
        <f>#REF!*2</f>
        <v>#REF!</v>
      </c>
      <c r="BV216" s="28" t="e">
        <f>#REF!</f>
        <v>#REF!</v>
      </c>
      <c r="BW216" s="28" t="e">
        <f>#REF!*2</f>
        <v>#REF!</v>
      </c>
      <c r="BX216" s="28" t="e">
        <f>#REF!</f>
        <v>#REF!</v>
      </c>
      <c r="BY216" s="28" t="e">
        <f>#REF!*2</f>
        <v>#REF!</v>
      </c>
      <c r="BZ216" s="28" t="e">
        <f>#REF!</f>
        <v>#REF!</v>
      </c>
      <c r="CA216" s="28" t="e">
        <f>#REF!*2</f>
        <v>#REF!</v>
      </c>
      <c r="CB216" s="9">
        <f>C216-B216</f>
        <v>0</v>
      </c>
      <c r="CC216" s="9">
        <f>D216-C216</f>
        <v>0</v>
      </c>
      <c r="CD216" s="9">
        <f>E216-D216</f>
        <v>0</v>
      </c>
      <c r="CE216" s="9">
        <f>F216-E216</f>
        <v>0</v>
      </c>
      <c r="CF216" s="9">
        <f>G216-F216</f>
        <v>0</v>
      </c>
      <c r="CG216" s="33"/>
      <c r="CH216" s="3">
        <f>C216-B216</f>
        <v>0</v>
      </c>
      <c r="CI216" s="3">
        <f>D216-C216</f>
        <v>0</v>
      </c>
      <c r="CJ216" s="3">
        <f>E216-D216</f>
        <v>0</v>
      </c>
      <c r="CK216" s="3">
        <f>F216-E216</f>
        <v>0</v>
      </c>
      <c r="CL216" s="3">
        <f>G216-F216</f>
        <v>0</v>
      </c>
      <c r="CM216" s="32"/>
      <c r="CN216" s="3">
        <f>IF(OR(CH216="",ISBLANK(CH216),CH216=0),0,IF(MOD(CH216,2)=1,1,2))</f>
        <v>0</v>
      </c>
      <c r="CO216" s="3">
        <f>IF(OR(CI216="",ISBLANK(CI216),CI216=0),0,IF(MOD(CI216,2)=1,1,2))</f>
        <v>0</v>
      </c>
      <c r="CP216" s="3">
        <f>IF(OR(CJ216="",ISBLANK(CJ216),CJ216=0),0,IF(MOD(CJ216,2)=1,1,2))</f>
        <v>0</v>
      </c>
      <c r="CQ216" s="3">
        <f>IF(OR(CK216="",ISBLANK(CK216),CK216=0),0,IF(MOD(CK216,2)=1,1,2))</f>
        <v>0</v>
      </c>
      <c r="CR216" s="3">
        <f>IF(OR(CL216="",ISBLANK(CL216),CL216=0),0,IF(MOD(CL216,2)=1,1,2))</f>
        <v>0</v>
      </c>
      <c r="CS216" s="31"/>
      <c r="CT216" s="3" cm="1">
        <f t="array" ref="CT216">SUMPRODUCT(--(MOD(CH216:CL216,2)=1))</f>
        <v>0</v>
      </c>
      <c r="CU216" s="3">
        <f>5-CT216</f>
        <v>5</v>
      </c>
      <c r="CV216" s="30"/>
      <c r="CW216" s="3" cm="1">
        <f t="array" ref="CW216">SUMPRODUCT(--(MOD(CH216:CL216,10)&gt;=1), --(MOD(CH216:CL216,10)&lt;=5))</f>
        <v>0</v>
      </c>
      <c r="CX216" s="3">
        <f>5-CW216</f>
        <v>5</v>
      </c>
      <c r="CY216" s="30"/>
      <c r="CZ216" s="3" cm="1">
        <f t="array" ref="CZ216">IFERROR(COUNT(_xlfn._xlws.FILTER(CH216:CL216, ISNUMBER(MATCH(CH216:CL216, {2,3,5,7,11,13,17,19,23,29,31,37,41,43}, 0)))), 0)</f>
        <v>0</v>
      </c>
      <c r="DA216" s="3" cm="1">
        <f t="array" ref="DA216">IFERROR(COUNT(_xlfn._xlws.FILTER(CH216:CL216, ISNUMBER(MATCH(CH216:CL216, {1,4,8,10,14,16,20,22,25,26,28,32,34,35,38,40,44}, 0)))), 0)</f>
        <v>0</v>
      </c>
      <c r="DB216" s="3" cm="1">
        <f t="array" ref="DB216">IFERROR(COUNT(_xlfn._xlws.FILTER(CH216:CL216, ISNUMBER(MATCH(CH216:CL216, {6,9,12,15,18,21,24,27,30,33,36,39,42,45}, 0)))), 0)</f>
        <v>0</v>
      </c>
      <c r="DC216" s="29"/>
      <c r="DD216" s="28" t="e">
        <f>#REF!</f>
        <v>#REF!</v>
      </c>
      <c r="DE216" s="28" t="e">
        <f>#REF!*2</f>
        <v>#REF!</v>
      </c>
      <c r="DF216" s="28" t="e">
        <f>#REF!</f>
        <v>#REF!</v>
      </c>
      <c r="DG216" s="28" t="e">
        <f>#REF!*2</f>
        <v>#REF!</v>
      </c>
      <c r="DH216" s="28" t="e">
        <f>#REF!</f>
        <v>#REF!</v>
      </c>
      <c r="DI216" s="28" t="e">
        <f>#REF!*2</f>
        <v>#REF!</v>
      </c>
      <c r="DJ216" s="28" t="e">
        <f>#REF!</f>
        <v>#REF!</v>
      </c>
      <c r="DK216" s="28" t="e">
        <f>#REF!*2</f>
        <v>#REF!</v>
      </c>
      <c r="DL216" s="28" t="e">
        <f>#REF!</f>
        <v>#REF!</v>
      </c>
      <c r="DM216" s="28" t="e">
        <f>#REF!*2</f>
        <v>#REF!</v>
      </c>
      <c r="DN216" s="27"/>
      <c r="DO216" s="26"/>
      <c r="DP216" s="26"/>
      <c r="DQ216" s="26"/>
      <c r="DR216" s="26"/>
      <c r="DS216" s="26"/>
      <c r="DT216" s="25"/>
    </row>
    <row r="217" spans="2:124" x14ac:dyDescent="0.3"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2"/>
      <c r="I217" s="3">
        <f>IF(OR(B217="",ISBLANK(B217),B217=0),0,IF(MOD(B217,2)=1,1,2))</f>
        <v>0</v>
      </c>
      <c r="J217" s="3">
        <f>IF(OR(C217="",ISBLANK(C217),C217=0),0,IF(MOD(C217,2)=1,1,2))</f>
        <v>0</v>
      </c>
      <c r="K217" s="3">
        <f>IF(OR(D217="",ISBLANK(D217),D217=0),0,IF(MOD(D217,2)=1,1,2))</f>
        <v>0</v>
      </c>
      <c r="L217" s="3">
        <f>IF(OR(E217="",ISBLANK(E217),E217=0),0,IF(MOD(E217,2)=1,1,2))</f>
        <v>0</v>
      </c>
      <c r="M217" s="3">
        <f>IF(OR(F217="",ISBLANK(F217),F217=0),0,IF(MOD(F217,2)=1,1,2))</f>
        <v>0</v>
      </c>
      <c r="N217" s="3">
        <f>IF(OR(G217="",ISBLANK(G217),G217=0),0,IF(MOD(G217,2)=1,1,2))</f>
        <v>0</v>
      </c>
      <c r="O217" s="32"/>
      <c r="P217" s="3" cm="1">
        <f t="array" ref="P217">SUMPRODUCT(--(MOD(B217:G217,2)=1))</f>
        <v>0</v>
      </c>
      <c r="Q217" s="3">
        <f>6-P217</f>
        <v>6</v>
      </c>
      <c r="R217" s="34"/>
      <c r="S217" s="3">
        <f>COUNTIFS(B217:G217,"&gt;=1",B217:G217,"&lt;=23")</f>
        <v>0</v>
      </c>
      <c r="T217" s="3">
        <f>6-S217</f>
        <v>6</v>
      </c>
      <c r="U217" s="34"/>
      <c r="V217" s="3" cm="1">
        <f t="array" ref="V217">SUMPRODUCT(--(MOD(B217:G217,10)&gt;=1), --(MOD(B217:G217,10)&lt;=5))</f>
        <v>0</v>
      </c>
      <c r="W217" s="3">
        <f>6-V217</f>
        <v>6</v>
      </c>
      <c r="X217" s="34"/>
      <c r="Y217" s="3" cm="1">
        <f t="array" ref="Y217">IFERROR(COUNT(_xlfn._xlws.FILTER(B217:G217, ISNUMBER(MATCH(B217:G217, {2,3,5,7,11,13,17,19,23,29,31,37,41,43}, 0)))), 0)</f>
        <v>0</v>
      </c>
      <c r="Z217" s="3" cm="1">
        <f t="array" ref="Z217">IFERROR(COUNT(_xlfn._xlws.FILTER(B217:G217, ISNUMBER(MATCH(B217:G217, {1,4,8,10,14,16,20,22,25,26,28,32,34,35,38,40,44}, 0)))), 0)</f>
        <v>0</v>
      </c>
      <c r="AA217" s="3" cm="1">
        <f t="array" ref="AA217">IFERROR(COUNT(_xlfn._xlws.FILTER(B217:G217, ISNUMBER(MATCH(B217:G217, {6,9,12,15,18,21,24,27,30,33,36,39,42,45}, 0)))), 0)</f>
        <v>0</v>
      </c>
      <c r="AB217" s="30"/>
      <c r="AC217" s="26" cm="1">
        <f t="array" ref="AC217">_xlfn.IFS(
   OR(B217="",ISBLANK(B217),B217=0),0,
   ISNUMBER(MATCH(B217,{2,3,5,7,11,13,17,19,23,29,31,37,41,43},0)),"소",
   AND(ISNUMBER(B217),MOD(B217,3)=0),"배",
   AND(ISNUMBER(B217),B217&gt;0),"자"
)</f>
        <v>0</v>
      </c>
      <c r="AD217" s="26" cm="1">
        <f t="array" ref="AD217">_xlfn.IFS(
   OR(C217="",ISBLANK(C217),C217=0),0,
   ISNUMBER(MATCH(C217,{2,3,5,7,11,13,17,19,23,29,31,37,41,43},0)),"소",
   AND(ISNUMBER(C217),MOD(C217,3)=0),"배",
   AND(ISNUMBER(C217),C217&gt;0),"자"
)</f>
        <v>0</v>
      </c>
      <c r="AE217" s="26" cm="1">
        <f t="array" ref="AE217">_xlfn.IFS(
   OR(D217="",ISBLANK(D217),D217=0),0,
   ISNUMBER(MATCH(D217,{2,3,5,7,11,13,17,19,23,29,31,37,41,43},0)),"소",
   AND(ISNUMBER(D217),MOD(D217,3)=0),"배",
   AND(ISNUMBER(D217),D217&gt;0),"자"
)</f>
        <v>0</v>
      </c>
      <c r="AF217" s="26" cm="1">
        <f t="array" ref="AF217">_xlfn.IFS(
   OR(E217="",ISBLANK(E217),E217=0),0,
   ISNUMBER(MATCH(E217,{2,3,5,7,11,13,17,19,23,29,31,37,41,43},0)),"소",
   AND(ISNUMBER(E217),MOD(E217,3)=0),"배",
   AND(ISNUMBER(E217),E217&gt;0),"자"
)</f>
        <v>0</v>
      </c>
      <c r="AG217" s="26" cm="1">
        <f t="array" ref="AG217">_xlfn.IFS(
   OR(F217="",ISBLANK(F217),F217=0),0,
   ISNUMBER(MATCH(F217,{2,3,5,7,11,13,17,19,23,29,31,37,41,43},0)),"소",
   AND(ISNUMBER(F217),MOD(F217,3)=0),"배",
   AND(ISNUMBER(F217),F217&gt;0),"자"
)</f>
        <v>0</v>
      </c>
      <c r="AH217" s="26" cm="1">
        <f t="array" ref="AH217">_xlfn.IFS(
   OR(G217="",ISBLANK(G217),G217=0),0,
   ISNUMBER(MATCH(G217,{2,3,5,7,11,13,17,19,23,29,31,37,41,43},0)),"소",
   AND(ISNUMBER(G217),MOD(G217,3)=0),"배",
   AND(ISNUMBER(G217),G217&gt;0),"자"
)</f>
        <v>0</v>
      </c>
      <c r="AI217" s="30"/>
      <c r="AJ217" s="3">
        <f>COUNTIFS(B217:G217,"&gt;=1",B217:G217,"&lt;=14")</f>
        <v>0</v>
      </c>
      <c r="AK217" s="3">
        <f>COUNTIFS(B217:G217,"&gt;=15",B217:G217,"&lt;=31")</f>
        <v>0</v>
      </c>
      <c r="AL217" s="3">
        <f>6-AK217-AJ217</f>
        <v>6</v>
      </c>
      <c r="AM217" s="33"/>
      <c r="AN217" s="3">
        <f>COUNTIFS($B217:$G217, "&gt;=1",$B217:$G217, "&lt;=9")</f>
        <v>0</v>
      </c>
      <c r="AO217" s="3">
        <f>COUNTIFS($B217:$G217, "&gt;=10",$B217:$G217, "&lt;=18")</f>
        <v>0</v>
      </c>
      <c r="AP217" s="3">
        <f>COUNTIFS($B217:$G217, "&gt;=19",$B217:$G217, "&lt;=27")</f>
        <v>0</v>
      </c>
      <c r="AQ217" s="3">
        <f>COUNTIFS($B217:$G217, "&gt;=28",$B217:$G217, "&lt;=36")</f>
        <v>0</v>
      </c>
      <c r="AR217" s="3">
        <f>COUNTIFS($B217:$G217, "&gt;=37",$B217:$G217, "&lt;=45")</f>
        <v>0</v>
      </c>
      <c r="AS217" s="28" t="e">
        <f>#REF!</f>
        <v>#REF!</v>
      </c>
      <c r="AT217" s="28" t="e">
        <f>#REF!*2</f>
        <v>#REF!</v>
      </c>
      <c r="AU217" s="28" t="e">
        <f>#REF!</f>
        <v>#REF!</v>
      </c>
      <c r="AV217" s="28" t="e">
        <f>#REF!*2</f>
        <v>#REF!</v>
      </c>
      <c r="AW217" s="28" t="e">
        <f>#REF!</f>
        <v>#REF!</v>
      </c>
      <c r="AX217" s="28" t="e">
        <f>#REF!*2</f>
        <v>#REF!</v>
      </c>
      <c r="AY217" s="28" t="e">
        <f>#REF!</f>
        <v>#REF!</v>
      </c>
      <c r="AZ217" s="28" t="e">
        <f>#REF!*2</f>
        <v>#REF!</v>
      </c>
      <c r="BA217" s="28" t="e">
        <f>#REF!</f>
        <v>#REF!</v>
      </c>
      <c r="BB217" s="28" t="e">
        <f>#REF!*2</f>
        <v>#REF!</v>
      </c>
      <c r="BC217" s="28" t="e">
        <f>#REF!</f>
        <v>#REF!</v>
      </c>
      <c r="BD217" s="28" t="e">
        <f>#REF!*2</f>
        <v>#REF!</v>
      </c>
      <c r="BE217" s="9" t="e">
        <f>#REF!-#REF!</f>
        <v>#REF!</v>
      </c>
      <c r="BF217" s="9" t="e">
        <f>#REF!-#REF!</f>
        <v>#REF!</v>
      </c>
      <c r="BG217" s="9" t="e">
        <f>#REF!-#REF!</f>
        <v>#REF!</v>
      </c>
      <c r="BH217" s="9" t="e">
        <f>#REF!-#REF!</f>
        <v>#REF!</v>
      </c>
      <c r="BI217" s="9" t="e">
        <f>#REF!-#REF!</f>
        <v>#REF!</v>
      </c>
      <c r="BJ217" s="33"/>
      <c r="BK217" s="3">
        <f>COUNTIFS(B217:G217, "&gt;=1", B217:G217, "&lt;=9")</f>
        <v>0</v>
      </c>
      <c r="BL217" s="3">
        <f>COUNTIFS(B217:G217, "&gt;=10", B217:G217, "&lt;=19")</f>
        <v>0</v>
      </c>
      <c r="BM217" s="3">
        <f>COUNTIFS(B217:G217, "&gt;=20", B217:G217, "&lt;=29")</f>
        <v>0</v>
      </c>
      <c r="BN217" s="3">
        <f>COUNTIFS(B217:G217, "&gt;=30", B217:G217, "&lt;=39")</f>
        <v>0</v>
      </c>
      <c r="BO217" s="3">
        <f>COUNTIFS(B217:G217, "&gt;=40", B217:G217, "&lt;=45")</f>
        <v>0</v>
      </c>
      <c r="BP217" s="28" t="e">
        <f>#REF!</f>
        <v>#REF!</v>
      </c>
      <c r="BQ217" s="28" t="e">
        <f>#REF!*2</f>
        <v>#REF!</v>
      </c>
      <c r="BR217" s="28" t="e">
        <f>#REF!</f>
        <v>#REF!</v>
      </c>
      <c r="BS217" s="28" t="e">
        <f>#REF!*2</f>
        <v>#REF!</v>
      </c>
      <c r="BT217" s="28" t="e">
        <f>#REF!</f>
        <v>#REF!</v>
      </c>
      <c r="BU217" s="28" t="e">
        <f>#REF!*2</f>
        <v>#REF!</v>
      </c>
      <c r="BV217" s="28" t="e">
        <f>#REF!</f>
        <v>#REF!</v>
      </c>
      <c r="BW217" s="28" t="e">
        <f>#REF!*2</f>
        <v>#REF!</v>
      </c>
      <c r="BX217" s="28" t="e">
        <f>#REF!</f>
        <v>#REF!</v>
      </c>
      <c r="BY217" s="28" t="e">
        <f>#REF!*2</f>
        <v>#REF!</v>
      </c>
      <c r="BZ217" s="28" t="e">
        <f>#REF!</f>
        <v>#REF!</v>
      </c>
      <c r="CA217" s="28" t="e">
        <f>#REF!*2</f>
        <v>#REF!</v>
      </c>
      <c r="CB217" s="9">
        <f>C217-B217</f>
        <v>0</v>
      </c>
      <c r="CC217" s="9">
        <f>D217-C217</f>
        <v>0</v>
      </c>
      <c r="CD217" s="9">
        <f>E217-D217</f>
        <v>0</v>
      </c>
      <c r="CE217" s="9">
        <f>F217-E217</f>
        <v>0</v>
      </c>
      <c r="CF217" s="9">
        <f>G217-F217</f>
        <v>0</v>
      </c>
      <c r="CG217" s="33"/>
      <c r="CH217" s="3">
        <f>C217-B217</f>
        <v>0</v>
      </c>
      <c r="CI217" s="3">
        <f>D217-C217</f>
        <v>0</v>
      </c>
      <c r="CJ217" s="3">
        <f>E217-D217</f>
        <v>0</v>
      </c>
      <c r="CK217" s="3">
        <f>F217-E217</f>
        <v>0</v>
      </c>
      <c r="CL217" s="3">
        <f>G217-F217</f>
        <v>0</v>
      </c>
      <c r="CM217" s="32"/>
      <c r="CN217" s="3">
        <f>IF(OR(CH217="",ISBLANK(CH217),CH217=0),0,IF(MOD(CH217,2)=1,1,2))</f>
        <v>0</v>
      </c>
      <c r="CO217" s="3">
        <f>IF(OR(CI217="",ISBLANK(CI217),CI217=0),0,IF(MOD(CI217,2)=1,1,2))</f>
        <v>0</v>
      </c>
      <c r="CP217" s="3">
        <f>IF(OR(CJ217="",ISBLANK(CJ217),CJ217=0),0,IF(MOD(CJ217,2)=1,1,2))</f>
        <v>0</v>
      </c>
      <c r="CQ217" s="3">
        <f>IF(OR(CK217="",ISBLANK(CK217),CK217=0),0,IF(MOD(CK217,2)=1,1,2))</f>
        <v>0</v>
      </c>
      <c r="CR217" s="3">
        <f>IF(OR(CL217="",ISBLANK(CL217),CL217=0),0,IF(MOD(CL217,2)=1,1,2))</f>
        <v>0</v>
      </c>
      <c r="CS217" s="31"/>
      <c r="CT217" s="3" cm="1">
        <f t="array" ref="CT217">SUMPRODUCT(--(MOD(CH217:CL217,2)=1))</f>
        <v>0</v>
      </c>
      <c r="CU217" s="3">
        <f>5-CT217</f>
        <v>5</v>
      </c>
      <c r="CV217" s="30"/>
      <c r="CW217" s="3" cm="1">
        <f t="array" ref="CW217">SUMPRODUCT(--(MOD(CH217:CL217,10)&gt;=1), --(MOD(CH217:CL217,10)&lt;=5))</f>
        <v>0</v>
      </c>
      <c r="CX217" s="3">
        <f>5-CW217</f>
        <v>5</v>
      </c>
      <c r="CY217" s="30"/>
      <c r="CZ217" s="3" cm="1">
        <f t="array" ref="CZ217">IFERROR(COUNT(_xlfn._xlws.FILTER(CH217:CL217, ISNUMBER(MATCH(CH217:CL217, {2,3,5,7,11,13,17,19,23,29,31,37,41,43}, 0)))), 0)</f>
        <v>0</v>
      </c>
      <c r="DA217" s="3" cm="1">
        <f t="array" ref="DA217">IFERROR(COUNT(_xlfn._xlws.FILTER(CH217:CL217, ISNUMBER(MATCH(CH217:CL217, {1,4,8,10,14,16,20,22,25,26,28,32,34,35,38,40,44}, 0)))), 0)</f>
        <v>0</v>
      </c>
      <c r="DB217" s="3" cm="1">
        <f t="array" ref="DB217">IFERROR(COUNT(_xlfn._xlws.FILTER(CH217:CL217, ISNUMBER(MATCH(CH217:CL217, {6,9,12,15,18,21,24,27,30,33,36,39,42,45}, 0)))), 0)</f>
        <v>0</v>
      </c>
      <c r="DC217" s="29"/>
      <c r="DD217" s="28" t="e">
        <f>#REF!</f>
        <v>#REF!</v>
      </c>
      <c r="DE217" s="28" t="e">
        <f>#REF!*2</f>
        <v>#REF!</v>
      </c>
      <c r="DF217" s="28" t="e">
        <f>#REF!</f>
        <v>#REF!</v>
      </c>
      <c r="DG217" s="28" t="e">
        <f>#REF!*2</f>
        <v>#REF!</v>
      </c>
      <c r="DH217" s="28" t="e">
        <f>#REF!</f>
        <v>#REF!</v>
      </c>
      <c r="DI217" s="28" t="e">
        <f>#REF!*2</f>
        <v>#REF!</v>
      </c>
      <c r="DJ217" s="28" t="e">
        <f>#REF!</f>
        <v>#REF!</v>
      </c>
      <c r="DK217" s="28" t="e">
        <f>#REF!*2</f>
        <v>#REF!</v>
      </c>
      <c r="DL217" s="28" t="e">
        <f>#REF!</f>
        <v>#REF!</v>
      </c>
      <c r="DM217" s="28" t="e">
        <f>#REF!*2</f>
        <v>#REF!</v>
      </c>
      <c r="DN217" s="27"/>
      <c r="DO217" s="26"/>
      <c r="DP217" s="26"/>
      <c r="DQ217" s="26"/>
      <c r="DR217" s="26"/>
      <c r="DS217" s="26"/>
      <c r="DT217" s="25"/>
    </row>
    <row r="218" spans="2:124" x14ac:dyDescent="0.3">
      <c r="B218" s="3">
        <v>0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2"/>
      <c r="I218" s="3">
        <f>IF(OR(B218="",ISBLANK(B218),B218=0),0,IF(MOD(B218,2)=1,1,2))</f>
        <v>0</v>
      </c>
      <c r="J218" s="3">
        <f>IF(OR(C218="",ISBLANK(C218),C218=0),0,IF(MOD(C218,2)=1,1,2))</f>
        <v>0</v>
      </c>
      <c r="K218" s="3">
        <f>IF(OR(D218="",ISBLANK(D218),D218=0),0,IF(MOD(D218,2)=1,1,2))</f>
        <v>0</v>
      </c>
      <c r="L218" s="3">
        <f>IF(OR(E218="",ISBLANK(E218),E218=0),0,IF(MOD(E218,2)=1,1,2))</f>
        <v>0</v>
      </c>
      <c r="M218" s="3">
        <f>IF(OR(F218="",ISBLANK(F218),F218=0),0,IF(MOD(F218,2)=1,1,2))</f>
        <v>0</v>
      </c>
      <c r="N218" s="3">
        <f>IF(OR(G218="",ISBLANK(G218),G218=0),0,IF(MOD(G218,2)=1,1,2))</f>
        <v>0</v>
      </c>
      <c r="O218" s="32"/>
      <c r="P218" s="3" cm="1">
        <f t="array" ref="P218">SUMPRODUCT(--(MOD(B218:G218,2)=1))</f>
        <v>0</v>
      </c>
      <c r="Q218" s="3">
        <f>6-P218</f>
        <v>6</v>
      </c>
      <c r="R218" s="34"/>
      <c r="S218" s="3">
        <f>COUNTIFS(B218:G218,"&gt;=1",B218:G218,"&lt;=23")</f>
        <v>0</v>
      </c>
      <c r="T218" s="3">
        <f>6-S218</f>
        <v>6</v>
      </c>
      <c r="U218" s="34"/>
      <c r="V218" s="3" cm="1">
        <f t="array" ref="V218">SUMPRODUCT(--(MOD(B218:G218,10)&gt;=1), --(MOD(B218:G218,10)&lt;=5))</f>
        <v>0</v>
      </c>
      <c r="W218" s="3">
        <f>6-V218</f>
        <v>6</v>
      </c>
      <c r="X218" s="34"/>
      <c r="Y218" s="3" cm="1">
        <f t="array" ref="Y218">IFERROR(COUNT(_xlfn._xlws.FILTER(B218:G218, ISNUMBER(MATCH(B218:G218, {2,3,5,7,11,13,17,19,23,29,31,37,41,43}, 0)))), 0)</f>
        <v>0</v>
      </c>
      <c r="Z218" s="3" cm="1">
        <f t="array" ref="Z218">IFERROR(COUNT(_xlfn._xlws.FILTER(B218:G218, ISNUMBER(MATCH(B218:G218, {1,4,8,10,14,16,20,22,25,26,28,32,34,35,38,40,44}, 0)))), 0)</f>
        <v>0</v>
      </c>
      <c r="AA218" s="3" cm="1">
        <f t="array" ref="AA218">IFERROR(COUNT(_xlfn._xlws.FILTER(B218:G218, ISNUMBER(MATCH(B218:G218, {6,9,12,15,18,21,24,27,30,33,36,39,42,45}, 0)))), 0)</f>
        <v>0</v>
      </c>
      <c r="AB218" s="30"/>
      <c r="AC218" s="26" cm="1">
        <f t="array" ref="AC218">_xlfn.IFS(
   OR(B218="",ISBLANK(B218),B218=0),0,
   ISNUMBER(MATCH(B218,{2,3,5,7,11,13,17,19,23,29,31,37,41,43},0)),"소",
   AND(ISNUMBER(B218),MOD(B218,3)=0),"배",
   AND(ISNUMBER(B218),B218&gt;0),"자"
)</f>
        <v>0</v>
      </c>
      <c r="AD218" s="26" cm="1">
        <f t="array" ref="AD218">_xlfn.IFS(
   OR(C218="",ISBLANK(C218),C218=0),0,
   ISNUMBER(MATCH(C218,{2,3,5,7,11,13,17,19,23,29,31,37,41,43},0)),"소",
   AND(ISNUMBER(C218),MOD(C218,3)=0),"배",
   AND(ISNUMBER(C218),C218&gt;0),"자"
)</f>
        <v>0</v>
      </c>
      <c r="AE218" s="26" cm="1">
        <f t="array" ref="AE218">_xlfn.IFS(
   OR(D218="",ISBLANK(D218),D218=0),0,
   ISNUMBER(MATCH(D218,{2,3,5,7,11,13,17,19,23,29,31,37,41,43},0)),"소",
   AND(ISNUMBER(D218),MOD(D218,3)=0),"배",
   AND(ISNUMBER(D218),D218&gt;0),"자"
)</f>
        <v>0</v>
      </c>
      <c r="AF218" s="26" cm="1">
        <f t="array" ref="AF218">_xlfn.IFS(
   OR(E218="",ISBLANK(E218),E218=0),0,
   ISNUMBER(MATCH(E218,{2,3,5,7,11,13,17,19,23,29,31,37,41,43},0)),"소",
   AND(ISNUMBER(E218),MOD(E218,3)=0),"배",
   AND(ISNUMBER(E218),E218&gt;0),"자"
)</f>
        <v>0</v>
      </c>
      <c r="AG218" s="26" cm="1">
        <f t="array" ref="AG218">_xlfn.IFS(
   OR(F218="",ISBLANK(F218),F218=0),0,
   ISNUMBER(MATCH(F218,{2,3,5,7,11,13,17,19,23,29,31,37,41,43},0)),"소",
   AND(ISNUMBER(F218),MOD(F218,3)=0),"배",
   AND(ISNUMBER(F218),F218&gt;0),"자"
)</f>
        <v>0</v>
      </c>
      <c r="AH218" s="26" cm="1">
        <f t="array" ref="AH218">_xlfn.IFS(
   OR(G218="",ISBLANK(G218),G218=0),0,
   ISNUMBER(MATCH(G218,{2,3,5,7,11,13,17,19,23,29,31,37,41,43},0)),"소",
   AND(ISNUMBER(G218),MOD(G218,3)=0),"배",
   AND(ISNUMBER(G218),G218&gt;0),"자"
)</f>
        <v>0</v>
      </c>
      <c r="AI218" s="30"/>
      <c r="AJ218" s="3">
        <f>COUNTIFS(B218:G218,"&gt;=1",B218:G218,"&lt;=14")</f>
        <v>0</v>
      </c>
      <c r="AK218" s="3">
        <f>COUNTIFS(B218:G218,"&gt;=15",B218:G218,"&lt;=31")</f>
        <v>0</v>
      </c>
      <c r="AL218" s="3">
        <f>6-AK218-AJ218</f>
        <v>6</v>
      </c>
      <c r="AM218" s="33"/>
      <c r="AN218" s="3">
        <f>COUNTIFS($B218:$G218, "&gt;=1",$B218:$G218, "&lt;=9")</f>
        <v>0</v>
      </c>
      <c r="AO218" s="3">
        <f>COUNTIFS($B218:$G218, "&gt;=10",$B218:$G218, "&lt;=18")</f>
        <v>0</v>
      </c>
      <c r="AP218" s="3">
        <f>COUNTIFS($B218:$G218, "&gt;=19",$B218:$G218, "&lt;=27")</f>
        <v>0</v>
      </c>
      <c r="AQ218" s="3">
        <f>COUNTIFS($B218:$G218, "&gt;=28",$B218:$G218, "&lt;=36")</f>
        <v>0</v>
      </c>
      <c r="AR218" s="3">
        <f>COUNTIFS($B218:$G218, "&gt;=37",$B218:$G218, "&lt;=45")</f>
        <v>0</v>
      </c>
      <c r="AS218" s="28" t="e">
        <f>#REF!</f>
        <v>#REF!</v>
      </c>
      <c r="AT218" s="28" t="e">
        <f>#REF!*2</f>
        <v>#REF!</v>
      </c>
      <c r="AU218" s="28" t="e">
        <f>#REF!</f>
        <v>#REF!</v>
      </c>
      <c r="AV218" s="28" t="e">
        <f>#REF!*2</f>
        <v>#REF!</v>
      </c>
      <c r="AW218" s="28" t="e">
        <f>#REF!</f>
        <v>#REF!</v>
      </c>
      <c r="AX218" s="28" t="e">
        <f>#REF!*2</f>
        <v>#REF!</v>
      </c>
      <c r="AY218" s="28" t="e">
        <f>#REF!</f>
        <v>#REF!</v>
      </c>
      <c r="AZ218" s="28" t="e">
        <f>#REF!*2</f>
        <v>#REF!</v>
      </c>
      <c r="BA218" s="28" t="e">
        <f>#REF!</f>
        <v>#REF!</v>
      </c>
      <c r="BB218" s="28" t="e">
        <f>#REF!*2</f>
        <v>#REF!</v>
      </c>
      <c r="BC218" s="28" t="e">
        <f>#REF!</f>
        <v>#REF!</v>
      </c>
      <c r="BD218" s="28" t="e">
        <f>#REF!*2</f>
        <v>#REF!</v>
      </c>
      <c r="BE218" s="9" t="e">
        <f>#REF!-#REF!</f>
        <v>#REF!</v>
      </c>
      <c r="BF218" s="9" t="e">
        <f>#REF!-#REF!</f>
        <v>#REF!</v>
      </c>
      <c r="BG218" s="9" t="e">
        <f>#REF!-#REF!</f>
        <v>#REF!</v>
      </c>
      <c r="BH218" s="9" t="e">
        <f>#REF!-#REF!</f>
        <v>#REF!</v>
      </c>
      <c r="BI218" s="9" t="e">
        <f>#REF!-#REF!</f>
        <v>#REF!</v>
      </c>
      <c r="BJ218" s="33"/>
      <c r="BK218" s="3">
        <f>COUNTIFS(B218:G218, "&gt;=1", B218:G218, "&lt;=9")</f>
        <v>0</v>
      </c>
      <c r="BL218" s="3">
        <f>COUNTIFS(B218:G218, "&gt;=10", B218:G218, "&lt;=19")</f>
        <v>0</v>
      </c>
      <c r="BM218" s="3">
        <f>COUNTIFS(B218:G218, "&gt;=20", B218:G218, "&lt;=29")</f>
        <v>0</v>
      </c>
      <c r="BN218" s="3">
        <f>COUNTIFS(B218:G218, "&gt;=30", B218:G218, "&lt;=39")</f>
        <v>0</v>
      </c>
      <c r="BO218" s="3">
        <f>COUNTIFS(B218:G218, "&gt;=40", B218:G218, "&lt;=45")</f>
        <v>0</v>
      </c>
      <c r="BP218" s="28" t="e">
        <f>#REF!</f>
        <v>#REF!</v>
      </c>
      <c r="BQ218" s="28" t="e">
        <f>#REF!*2</f>
        <v>#REF!</v>
      </c>
      <c r="BR218" s="28" t="e">
        <f>#REF!</f>
        <v>#REF!</v>
      </c>
      <c r="BS218" s="28" t="e">
        <f>#REF!*2</f>
        <v>#REF!</v>
      </c>
      <c r="BT218" s="28" t="e">
        <f>#REF!</f>
        <v>#REF!</v>
      </c>
      <c r="BU218" s="28" t="e">
        <f>#REF!*2</f>
        <v>#REF!</v>
      </c>
      <c r="BV218" s="28" t="e">
        <f>#REF!</f>
        <v>#REF!</v>
      </c>
      <c r="BW218" s="28" t="e">
        <f>#REF!*2</f>
        <v>#REF!</v>
      </c>
      <c r="BX218" s="28" t="e">
        <f>#REF!</f>
        <v>#REF!</v>
      </c>
      <c r="BY218" s="28" t="e">
        <f>#REF!*2</f>
        <v>#REF!</v>
      </c>
      <c r="BZ218" s="28" t="e">
        <f>#REF!</f>
        <v>#REF!</v>
      </c>
      <c r="CA218" s="28" t="e">
        <f>#REF!*2</f>
        <v>#REF!</v>
      </c>
      <c r="CB218" s="9">
        <f>C218-B218</f>
        <v>0</v>
      </c>
      <c r="CC218" s="9">
        <f>D218-C218</f>
        <v>0</v>
      </c>
      <c r="CD218" s="9">
        <f>E218-D218</f>
        <v>0</v>
      </c>
      <c r="CE218" s="9">
        <f>F218-E218</f>
        <v>0</v>
      </c>
      <c r="CF218" s="9">
        <f>G218-F218</f>
        <v>0</v>
      </c>
      <c r="CG218" s="33"/>
      <c r="CH218" s="3">
        <f>C218-B218</f>
        <v>0</v>
      </c>
      <c r="CI218" s="3">
        <f>D218-C218</f>
        <v>0</v>
      </c>
      <c r="CJ218" s="3">
        <f>E218-D218</f>
        <v>0</v>
      </c>
      <c r="CK218" s="3">
        <f>F218-E218</f>
        <v>0</v>
      </c>
      <c r="CL218" s="3">
        <f>G218-F218</f>
        <v>0</v>
      </c>
      <c r="CM218" s="32"/>
      <c r="CN218" s="3">
        <f>IF(OR(CH218="",ISBLANK(CH218),CH218=0),0,IF(MOD(CH218,2)=1,1,2))</f>
        <v>0</v>
      </c>
      <c r="CO218" s="3">
        <f>IF(OR(CI218="",ISBLANK(CI218),CI218=0),0,IF(MOD(CI218,2)=1,1,2))</f>
        <v>0</v>
      </c>
      <c r="CP218" s="3">
        <f>IF(OR(CJ218="",ISBLANK(CJ218),CJ218=0),0,IF(MOD(CJ218,2)=1,1,2))</f>
        <v>0</v>
      </c>
      <c r="CQ218" s="3">
        <f>IF(OR(CK218="",ISBLANK(CK218),CK218=0),0,IF(MOD(CK218,2)=1,1,2))</f>
        <v>0</v>
      </c>
      <c r="CR218" s="3">
        <f>IF(OR(CL218="",ISBLANK(CL218),CL218=0),0,IF(MOD(CL218,2)=1,1,2))</f>
        <v>0</v>
      </c>
      <c r="CS218" s="31"/>
      <c r="CT218" s="3" cm="1">
        <f t="array" ref="CT218">SUMPRODUCT(--(MOD(CH218:CL218,2)=1))</f>
        <v>0</v>
      </c>
      <c r="CU218" s="3">
        <f>5-CT218</f>
        <v>5</v>
      </c>
      <c r="CV218" s="30"/>
      <c r="CW218" s="3" cm="1">
        <f t="array" ref="CW218">SUMPRODUCT(--(MOD(CH218:CL218,10)&gt;=1), --(MOD(CH218:CL218,10)&lt;=5))</f>
        <v>0</v>
      </c>
      <c r="CX218" s="3">
        <f>5-CW218</f>
        <v>5</v>
      </c>
      <c r="CY218" s="30"/>
      <c r="CZ218" s="3" cm="1">
        <f t="array" ref="CZ218">IFERROR(COUNT(_xlfn._xlws.FILTER(CH218:CL218, ISNUMBER(MATCH(CH218:CL218, {2,3,5,7,11,13,17,19,23,29,31,37,41,43}, 0)))), 0)</f>
        <v>0</v>
      </c>
      <c r="DA218" s="3" cm="1">
        <f t="array" ref="DA218">IFERROR(COUNT(_xlfn._xlws.FILTER(CH218:CL218, ISNUMBER(MATCH(CH218:CL218, {1,4,8,10,14,16,20,22,25,26,28,32,34,35,38,40,44}, 0)))), 0)</f>
        <v>0</v>
      </c>
      <c r="DB218" s="3" cm="1">
        <f t="array" ref="DB218">IFERROR(COUNT(_xlfn._xlws.FILTER(CH218:CL218, ISNUMBER(MATCH(CH218:CL218, {6,9,12,15,18,21,24,27,30,33,36,39,42,45}, 0)))), 0)</f>
        <v>0</v>
      </c>
      <c r="DC218" s="29"/>
      <c r="DD218" s="28" t="e">
        <f>#REF!</f>
        <v>#REF!</v>
      </c>
      <c r="DE218" s="28" t="e">
        <f>#REF!*2</f>
        <v>#REF!</v>
      </c>
      <c r="DF218" s="28" t="e">
        <f>#REF!</f>
        <v>#REF!</v>
      </c>
      <c r="DG218" s="28" t="e">
        <f>#REF!*2</f>
        <v>#REF!</v>
      </c>
      <c r="DH218" s="28" t="e">
        <f>#REF!</f>
        <v>#REF!</v>
      </c>
      <c r="DI218" s="28" t="e">
        <f>#REF!*2</f>
        <v>#REF!</v>
      </c>
      <c r="DJ218" s="28" t="e">
        <f>#REF!</f>
        <v>#REF!</v>
      </c>
      <c r="DK218" s="28" t="e">
        <f>#REF!*2</f>
        <v>#REF!</v>
      </c>
      <c r="DL218" s="28" t="e">
        <f>#REF!</f>
        <v>#REF!</v>
      </c>
      <c r="DM218" s="28" t="e">
        <f>#REF!*2</f>
        <v>#REF!</v>
      </c>
      <c r="DN218" s="27"/>
      <c r="DO218" s="26"/>
      <c r="DP218" s="26"/>
      <c r="DQ218" s="26"/>
      <c r="DR218" s="26"/>
      <c r="DS218" s="26"/>
      <c r="DT218" s="25"/>
    </row>
    <row r="219" spans="2:124" x14ac:dyDescent="0.3">
      <c r="B219" s="3">
        <v>0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2"/>
      <c r="I219" s="3">
        <f>IF(OR(B219="",ISBLANK(B219),B219=0),0,IF(MOD(B219,2)=1,1,2))</f>
        <v>0</v>
      </c>
      <c r="J219" s="3">
        <f>IF(OR(C219="",ISBLANK(C219),C219=0),0,IF(MOD(C219,2)=1,1,2))</f>
        <v>0</v>
      </c>
      <c r="K219" s="3">
        <f>IF(OR(D219="",ISBLANK(D219),D219=0),0,IF(MOD(D219,2)=1,1,2))</f>
        <v>0</v>
      </c>
      <c r="L219" s="3">
        <f>IF(OR(E219="",ISBLANK(E219),E219=0),0,IF(MOD(E219,2)=1,1,2))</f>
        <v>0</v>
      </c>
      <c r="M219" s="3">
        <f>IF(OR(F219="",ISBLANK(F219),F219=0),0,IF(MOD(F219,2)=1,1,2))</f>
        <v>0</v>
      </c>
      <c r="N219" s="3">
        <f>IF(OR(G219="",ISBLANK(G219),G219=0),0,IF(MOD(G219,2)=1,1,2))</f>
        <v>0</v>
      </c>
      <c r="O219" s="32"/>
      <c r="P219" s="3" cm="1">
        <f t="array" ref="P219">SUMPRODUCT(--(MOD(B219:G219,2)=1))</f>
        <v>0</v>
      </c>
      <c r="Q219" s="3">
        <f>6-P219</f>
        <v>6</v>
      </c>
      <c r="R219" s="34"/>
      <c r="S219" s="3">
        <f>COUNTIFS(B219:G219,"&gt;=1",B219:G219,"&lt;=23")</f>
        <v>0</v>
      </c>
      <c r="T219" s="3">
        <f>6-S219</f>
        <v>6</v>
      </c>
      <c r="U219" s="34"/>
      <c r="V219" s="3" cm="1">
        <f t="array" ref="V219">SUMPRODUCT(--(MOD(B219:G219,10)&gt;=1), --(MOD(B219:G219,10)&lt;=5))</f>
        <v>0</v>
      </c>
      <c r="W219" s="3">
        <f>6-V219</f>
        <v>6</v>
      </c>
      <c r="X219" s="34"/>
      <c r="Y219" s="3" cm="1">
        <f t="array" ref="Y219">IFERROR(COUNT(_xlfn._xlws.FILTER(B219:G219, ISNUMBER(MATCH(B219:G219, {2,3,5,7,11,13,17,19,23,29,31,37,41,43}, 0)))), 0)</f>
        <v>0</v>
      </c>
      <c r="Z219" s="3" cm="1">
        <f t="array" ref="Z219">IFERROR(COUNT(_xlfn._xlws.FILTER(B219:G219, ISNUMBER(MATCH(B219:G219, {1,4,8,10,14,16,20,22,25,26,28,32,34,35,38,40,44}, 0)))), 0)</f>
        <v>0</v>
      </c>
      <c r="AA219" s="3" cm="1">
        <f t="array" ref="AA219">IFERROR(COUNT(_xlfn._xlws.FILTER(B219:G219, ISNUMBER(MATCH(B219:G219, {6,9,12,15,18,21,24,27,30,33,36,39,42,45}, 0)))), 0)</f>
        <v>0</v>
      </c>
      <c r="AB219" s="30"/>
      <c r="AC219" s="26" cm="1">
        <f t="array" ref="AC219">_xlfn.IFS(
   OR(B219="",ISBLANK(B219),B219=0),0,
   ISNUMBER(MATCH(B219,{2,3,5,7,11,13,17,19,23,29,31,37,41,43},0)),"소",
   AND(ISNUMBER(B219),MOD(B219,3)=0),"배",
   AND(ISNUMBER(B219),B219&gt;0),"자"
)</f>
        <v>0</v>
      </c>
      <c r="AD219" s="26" cm="1">
        <f t="array" ref="AD219">_xlfn.IFS(
   OR(C219="",ISBLANK(C219),C219=0),0,
   ISNUMBER(MATCH(C219,{2,3,5,7,11,13,17,19,23,29,31,37,41,43},0)),"소",
   AND(ISNUMBER(C219),MOD(C219,3)=0),"배",
   AND(ISNUMBER(C219),C219&gt;0),"자"
)</f>
        <v>0</v>
      </c>
      <c r="AE219" s="26" cm="1">
        <f t="array" ref="AE219">_xlfn.IFS(
   OR(D219="",ISBLANK(D219),D219=0),0,
   ISNUMBER(MATCH(D219,{2,3,5,7,11,13,17,19,23,29,31,37,41,43},0)),"소",
   AND(ISNUMBER(D219),MOD(D219,3)=0),"배",
   AND(ISNUMBER(D219),D219&gt;0),"자"
)</f>
        <v>0</v>
      </c>
      <c r="AF219" s="26" cm="1">
        <f t="array" ref="AF219">_xlfn.IFS(
   OR(E219="",ISBLANK(E219),E219=0),0,
   ISNUMBER(MATCH(E219,{2,3,5,7,11,13,17,19,23,29,31,37,41,43},0)),"소",
   AND(ISNUMBER(E219),MOD(E219,3)=0),"배",
   AND(ISNUMBER(E219),E219&gt;0),"자"
)</f>
        <v>0</v>
      </c>
      <c r="AG219" s="26" cm="1">
        <f t="array" ref="AG219">_xlfn.IFS(
   OR(F219="",ISBLANK(F219),F219=0),0,
   ISNUMBER(MATCH(F219,{2,3,5,7,11,13,17,19,23,29,31,37,41,43},0)),"소",
   AND(ISNUMBER(F219),MOD(F219,3)=0),"배",
   AND(ISNUMBER(F219),F219&gt;0),"자"
)</f>
        <v>0</v>
      </c>
      <c r="AH219" s="26" cm="1">
        <f t="array" ref="AH219">_xlfn.IFS(
   OR(G219="",ISBLANK(G219),G219=0),0,
   ISNUMBER(MATCH(G219,{2,3,5,7,11,13,17,19,23,29,31,37,41,43},0)),"소",
   AND(ISNUMBER(G219),MOD(G219,3)=0),"배",
   AND(ISNUMBER(G219),G219&gt;0),"자"
)</f>
        <v>0</v>
      </c>
      <c r="AI219" s="30"/>
      <c r="AJ219" s="3">
        <f>COUNTIFS(B219:G219,"&gt;=1",B219:G219,"&lt;=14")</f>
        <v>0</v>
      </c>
      <c r="AK219" s="3">
        <f>COUNTIFS(B219:G219,"&gt;=15",B219:G219,"&lt;=31")</f>
        <v>0</v>
      </c>
      <c r="AL219" s="3">
        <f>6-AK219-AJ219</f>
        <v>6</v>
      </c>
      <c r="AM219" s="33"/>
      <c r="AN219" s="3">
        <f>COUNTIFS($B219:$G219, "&gt;=1",$B219:$G219, "&lt;=9")</f>
        <v>0</v>
      </c>
      <c r="AO219" s="3">
        <f>COUNTIFS($B219:$G219, "&gt;=10",$B219:$G219, "&lt;=18")</f>
        <v>0</v>
      </c>
      <c r="AP219" s="3">
        <f>COUNTIFS($B219:$G219, "&gt;=19",$B219:$G219, "&lt;=27")</f>
        <v>0</v>
      </c>
      <c r="AQ219" s="3">
        <f>COUNTIFS($B219:$G219, "&gt;=28",$B219:$G219, "&lt;=36")</f>
        <v>0</v>
      </c>
      <c r="AR219" s="3">
        <f>COUNTIFS($B219:$G219, "&gt;=37",$B219:$G219, "&lt;=45")</f>
        <v>0</v>
      </c>
      <c r="AS219" s="28" t="e">
        <f>#REF!</f>
        <v>#REF!</v>
      </c>
      <c r="AT219" s="28" t="e">
        <f>#REF!*2</f>
        <v>#REF!</v>
      </c>
      <c r="AU219" s="28" t="e">
        <f>#REF!</f>
        <v>#REF!</v>
      </c>
      <c r="AV219" s="28" t="e">
        <f>#REF!*2</f>
        <v>#REF!</v>
      </c>
      <c r="AW219" s="28" t="e">
        <f>#REF!</f>
        <v>#REF!</v>
      </c>
      <c r="AX219" s="28" t="e">
        <f>#REF!*2</f>
        <v>#REF!</v>
      </c>
      <c r="AY219" s="28" t="e">
        <f>#REF!</f>
        <v>#REF!</v>
      </c>
      <c r="AZ219" s="28" t="e">
        <f>#REF!*2</f>
        <v>#REF!</v>
      </c>
      <c r="BA219" s="28" t="e">
        <f>#REF!</f>
        <v>#REF!</v>
      </c>
      <c r="BB219" s="28" t="e">
        <f>#REF!*2</f>
        <v>#REF!</v>
      </c>
      <c r="BC219" s="28" t="e">
        <f>#REF!</f>
        <v>#REF!</v>
      </c>
      <c r="BD219" s="28" t="e">
        <f>#REF!*2</f>
        <v>#REF!</v>
      </c>
      <c r="BE219" s="9" t="e">
        <f>#REF!-#REF!</f>
        <v>#REF!</v>
      </c>
      <c r="BF219" s="9" t="e">
        <f>#REF!-#REF!</f>
        <v>#REF!</v>
      </c>
      <c r="BG219" s="9" t="e">
        <f>#REF!-#REF!</f>
        <v>#REF!</v>
      </c>
      <c r="BH219" s="9" t="e">
        <f>#REF!-#REF!</f>
        <v>#REF!</v>
      </c>
      <c r="BI219" s="9" t="e">
        <f>#REF!-#REF!</f>
        <v>#REF!</v>
      </c>
      <c r="BJ219" s="33"/>
      <c r="BK219" s="3">
        <f>COUNTIFS(B219:G219, "&gt;=1", B219:G219, "&lt;=9")</f>
        <v>0</v>
      </c>
      <c r="BL219" s="3">
        <f>COUNTIFS(B219:G219, "&gt;=10", B219:G219, "&lt;=19")</f>
        <v>0</v>
      </c>
      <c r="BM219" s="3">
        <f>COUNTIFS(B219:G219, "&gt;=20", B219:G219, "&lt;=29")</f>
        <v>0</v>
      </c>
      <c r="BN219" s="3">
        <f>COUNTIFS(B219:G219, "&gt;=30", B219:G219, "&lt;=39")</f>
        <v>0</v>
      </c>
      <c r="BO219" s="3">
        <f>COUNTIFS(B219:G219, "&gt;=40", B219:G219, "&lt;=45")</f>
        <v>0</v>
      </c>
      <c r="BP219" s="28" t="e">
        <f>#REF!</f>
        <v>#REF!</v>
      </c>
      <c r="BQ219" s="28" t="e">
        <f>#REF!*2</f>
        <v>#REF!</v>
      </c>
      <c r="BR219" s="28" t="e">
        <f>#REF!</f>
        <v>#REF!</v>
      </c>
      <c r="BS219" s="28" t="e">
        <f>#REF!*2</f>
        <v>#REF!</v>
      </c>
      <c r="BT219" s="28" t="e">
        <f>#REF!</f>
        <v>#REF!</v>
      </c>
      <c r="BU219" s="28" t="e">
        <f>#REF!*2</f>
        <v>#REF!</v>
      </c>
      <c r="BV219" s="28" t="e">
        <f>#REF!</f>
        <v>#REF!</v>
      </c>
      <c r="BW219" s="28" t="e">
        <f>#REF!*2</f>
        <v>#REF!</v>
      </c>
      <c r="BX219" s="28" t="e">
        <f>#REF!</f>
        <v>#REF!</v>
      </c>
      <c r="BY219" s="28" t="e">
        <f>#REF!*2</f>
        <v>#REF!</v>
      </c>
      <c r="BZ219" s="28" t="e">
        <f>#REF!</f>
        <v>#REF!</v>
      </c>
      <c r="CA219" s="28" t="e">
        <f>#REF!*2</f>
        <v>#REF!</v>
      </c>
      <c r="CB219" s="9">
        <f>C219-B219</f>
        <v>0</v>
      </c>
      <c r="CC219" s="9">
        <f>D219-C219</f>
        <v>0</v>
      </c>
      <c r="CD219" s="9">
        <f>E219-D219</f>
        <v>0</v>
      </c>
      <c r="CE219" s="9">
        <f>F219-E219</f>
        <v>0</v>
      </c>
      <c r="CF219" s="9">
        <f>G219-F219</f>
        <v>0</v>
      </c>
      <c r="CG219" s="33"/>
      <c r="CH219" s="3">
        <f>C219-B219</f>
        <v>0</v>
      </c>
      <c r="CI219" s="3">
        <f>D219-C219</f>
        <v>0</v>
      </c>
      <c r="CJ219" s="3">
        <f>E219-D219</f>
        <v>0</v>
      </c>
      <c r="CK219" s="3">
        <f>F219-E219</f>
        <v>0</v>
      </c>
      <c r="CL219" s="3">
        <f>G219-F219</f>
        <v>0</v>
      </c>
      <c r="CM219" s="32"/>
      <c r="CN219" s="3">
        <f>IF(OR(CH219="",ISBLANK(CH219),CH219=0),0,IF(MOD(CH219,2)=1,1,2))</f>
        <v>0</v>
      </c>
      <c r="CO219" s="3">
        <f>IF(OR(CI219="",ISBLANK(CI219),CI219=0),0,IF(MOD(CI219,2)=1,1,2))</f>
        <v>0</v>
      </c>
      <c r="CP219" s="3">
        <f>IF(OR(CJ219="",ISBLANK(CJ219),CJ219=0),0,IF(MOD(CJ219,2)=1,1,2))</f>
        <v>0</v>
      </c>
      <c r="CQ219" s="3">
        <f>IF(OR(CK219="",ISBLANK(CK219),CK219=0),0,IF(MOD(CK219,2)=1,1,2))</f>
        <v>0</v>
      </c>
      <c r="CR219" s="3">
        <f>IF(OR(CL219="",ISBLANK(CL219),CL219=0),0,IF(MOD(CL219,2)=1,1,2))</f>
        <v>0</v>
      </c>
      <c r="CS219" s="31"/>
      <c r="CT219" s="3" cm="1">
        <f t="array" ref="CT219">SUMPRODUCT(--(MOD(CH219:CL219,2)=1))</f>
        <v>0</v>
      </c>
      <c r="CU219" s="3">
        <f>5-CT219</f>
        <v>5</v>
      </c>
      <c r="CV219" s="30"/>
      <c r="CW219" s="3" cm="1">
        <f t="array" ref="CW219">SUMPRODUCT(--(MOD(CH219:CL219,10)&gt;=1), --(MOD(CH219:CL219,10)&lt;=5))</f>
        <v>0</v>
      </c>
      <c r="CX219" s="3">
        <f>5-CW219</f>
        <v>5</v>
      </c>
      <c r="CY219" s="30"/>
      <c r="CZ219" s="3" cm="1">
        <f t="array" ref="CZ219">IFERROR(COUNT(_xlfn._xlws.FILTER(CH219:CL219, ISNUMBER(MATCH(CH219:CL219, {2,3,5,7,11,13,17,19,23,29,31,37,41,43}, 0)))), 0)</f>
        <v>0</v>
      </c>
      <c r="DA219" s="3" cm="1">
        <f t="array" ref="DA219">IFERROR(COUNT(_xlfn._xlws.FILTER(CH219:CL219, ISNUMBER(MATCH(CH219:CL219, {1,4,8,10,14,16,20,22,25,26,28,32,34,35,38,40,44}, 0)))), 0)</f>
        <v>0</v>
      </c>
      <c r="DB219" s="3" cm="1">
        <f t="array" ref="DB219">IFERROR(COUNT(_xlfn._xlws.FILTER(CH219:CL219, ISNUMBER(MATCH(CH219:CL219, {6,9,12,15,18,21,24,27,30,33,36,39,42,45}, 0)))), 0)</f>
        <v>0</v>
      </c>
      <c r="DC219" s="29"/>
      <c r="DD219" s="28" t="e">
        <f>#REF!</f>
        <v>#REF!</v>
      </c>
      <c r="DE219" s="28" t="e">
        <f>#REF!*2</f>
        <v>#REF!</v>
      </c>
      <c r="DF219" s="28" t="e">
        <f>#REF!</f>
        <v>#REF!</v>
      </c>
      <c r="DG219" s="28" t="e">
        <f>#REF!*2</f>
        <v>#REF!</v>
      </c>
      <c r="DH219" s="28" t="e">
        <f>#REF!</f>
        <v>#REF!</v>
      </c>
      <c r="DI219" s="28" t="e">
        <f>#REF!*2</f>
        <v>#REF!</v>
      </c>
      <c r="DJ219" s="28" t="e">
        <f>#REF!</f>
        <v>#REF!</v>
      </c>
      <c r="DK219" s="28" t="e">
        <f>#REF!*2</f>
        <v>#REF!</v>
      </c>
      <c r="DL219" s="28" t="e">
        <f>#REF!</f>
        <v>#REF!</v>
      </c>
      <c r="DM219" s="28" t="e">
        <f>#REF!*2</f>
        <v>#REF!</v>
      </c>
      <c r="DN219" s="27"/>
      <c r="DO219" s="26"/>
      <c r="DP219" s="26"/>
      <c r="DQ219" s="26"/>
      <c r="DR219" s="26"/>
      <c r="DS219" s="26"/>
      <c r="DT219" s="25"/>
    </row>
    <row r="220" spans="2:124" x14ac:dyDescent="0.3">
      <c r="B220" s="3">
        <v>0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2"/>
      <c r="I220" s="3">
        <f>IF(OR(B220="",ISBLANK(B220),B220=0),0,IF(MOD(B220,2)=1,1,2))</f>
        <v>0</v>
      </c>
      <c r="J220" s="3">
        <f>IF(OR(C220="",ISBLANK(C220),C220=0),0,IF(MOD(C220,2)=1,1,2))</f>
        <v>0</v>
      </c>
      <c r="K220" s="3">
        <f>IF(OR(D220="",ISBLANK(D220),D220=0),0,IF(MOD(D220,2)=1,1,2))</f>
        <v>0</v>
      </c>
      <c r="L220" s="3">
        <f>IF(OR(E220="",ISBLANK(E220),E220=0),0,IF(MOD(E220,2)=1,1,2))</f>
        <v>0</v>
      </c>
      <c r="M220" s="3">
        <f>IF(OR(F220="",ISBLANK(F220),F220=0),0,IF(MOD(F220,2)=1,1,2))</f>
        <v>0</v>
      </c>
      <c r="N220" s="3">
        <f>IF(OR(G220="",ISBLANK(G220),G220=0),0,IF(MOD(G220,2)=1,1,2))</f>
        <v>0</v>
      </c>
      <c r="O220" s="32"/>
      <c r="P220" s="3" cm="1">
        <f t="array" ref="P220">SUMPRODUCT(--(MOD(B220:G220,2)=1))</f>
        <v>0</v>
      </c>
      <c r="Q220" s="3">
        <f>6-P220</f>
        <v>6</v>
      </c>
      <c r="R220" s="34"/>
      <c r="S220" s="3">
        <f>COUNTIFS(B220:G220,"&gt;=1",B220:G220,"&lt;=23")</f>
        <v>0</v>
      </c>
      <c r="T220" s="3">
        <f>6-S220</f>
        <v>6</v>
      </c>
      <c r="U220" s="34"/>
      <c r="V220" s="3" cm="1">
        <f t="array" ref="V220">SUMPRODUCT(--(MOD(B220:G220,10)&gt;=1), --(MOD(B220:G220,10)&lt;=5))</f>
        <v>0</v>
      </c>
      <c r="W220" s="3">
        <f>6-V220</f>
        <v>6</v>
      </c>
      <c r="X220" s="34"/>
      <c r="Y220" s="3" cm="1">
        <f t="array" ref="Y220">IFERROR(COUNT(_xlfn._xlws.FILTER(B220:G220, ISNUMBER(MATCH(B220:G220, {2,3,5,7,11,13,17,19,23,29,31,37,41,43}, 0)))), 0)</f>
        <v>0</v>
      </c>
      <c r="Z220" s="3" cm="1">
        <f t="array" ref="Z220">IFERROR(COUNT(_xlfn._xlws.FILTER(B220:G220, ISNUMBER(MATCH(B220:G220, {1,4,8,10,14,16,20,22,25,26,28,32,34,35,38,40,44}, 0)))), 0)</f>
        <v>0</v>
      </c>
      <c r="AA220" s="3" cm="1">
        <f t="array" ref="AA220">IFERROR(COUNT(_xlfn._xlws.FILTER(B220:G220, ISNUMBER(MATCH(B220:G220, {6,9,12,15,18,21,24,27,30,33,36,39,42,45}, 0)))), 0)</f>
        <v>0</v>
      </c>
      <c r="AB220" s="30"/>
      <c r="AC220" s="26" cm="1">
        <f t="array" ref="AC220">_xlfn.IFS(
   OR(B220="",ISBLANK(B220),B220=0),0,
   ISNUMBER(MATCH(B220,{2,3,5,7,11,13,17,19,23,29,31,37,41,43},0)),"소",
   AND(ISNUMBER(B220),MOD(B220,3)=0),"배",
   AND(ISNUMBER(B220),B220&gt;0),"자"
)</f>
        <v>0</v>
      </c>
      <c r="AD220" s="26" cm="1">
        <f t="array" ref="AD220">_xlfn.IFS(
   OR(C220="",ISBLANK(C220),C220=0),0,
   ISNUMBER(MATCH(C220,{2,3,5,7,11,13,17,19,23,29,31,37,41,43},0)),"소",
   AND(ISNUMBER(C220),MOD(C220,3)=0),"배",
   AND(ISNUMBER(C220),C220&gt;0),"자"
)</f>
        <v>0</v>
      </c>
      <c r="AE220" s="26" cm="1">
        <f t="array" ref="AE220">_xlfn.IFS(
   OR(D220="",ISBLANK(D220),D220=0),0,
   ISNUMBER(MATCH(D220,{2,3,5,7,11,13,17,19,23,29,31,37,41,43},0)),"소",
   AND(ISNUMBER(D220),MOD(D220,3)=0),"배",
   AND(ISNUMBER(D220),D220&gt;0),"자"
)</f>
        <v>0</v>
      </c>
      <c r="AF220" s="26" cm="1">
        <f t="array" ref="AF220">_xlfn.IFS(
   OR(E220="",ISBLANK(E220),E220=0),0,
   ISNUMBER(MATCH(E220,{2,3,5,7,11,13,17,19,23,29,31,37,41,43},0)),"소",
   AND(ISNUMBER(E220),MOD(E220,3)=0),"배",
   AND(ISNUMBER(E220),E220&gt;0),"자"
)</f>
        <v>0</v>
      </c>
      <c r="AG220" s="26" cm="1">
        <f t="array" ref="AG220">_xlfn.IFS(
   OR(F220="",ISBLANK(F220),F220=0),0,
   ISNUMBER(MATCH(F220,{2,3,5,7,11,13,17,19,23,29,31,37,41,43},0)),"소",
   AND(ISNUMBER(F220),MOD(F220,3)=0),"배",
   AND(ISNUMBER(F220),F220&gt;0),"자"
)</f>
        <v>0</v>
      </c>
      <c r="AH220" s="26" cm="1">
        <f t="array" ref="AH220">_xlfn.IFS(
   OR(G220="",ISBLANK(G220),G220=0),0,
   ISNUMBER(MATCH(G220,{2,3,5,7,11,13,17,19,23,29,31,37,41,43},0)),"소",
   AND(ISNUMBER(G220),MOD(G220,3)=0),"배",
   AND(ISNUMBER(G220),G220&gt;0),"자"
)</f>
        <v>0</v>
      </c>
      <c r="AI220" s="30"/>
      <c r="AJ220" s="3">
        <f>COUNTIFS(B220:G220,"&gt;=1",B220:G220,"&lt;=14")</f>
        <v>0</v>
      </c>
      <c r="AK220" s="3">
        <f>COUNTIFS(B220:G220,"&gt;=15",B220:G220,"&lt;=31")</f>
        <v>0</v>
      </c>
      <c r="AL220" s="3">
        <f>6-AK220-AJ220</f>
        <v>6</v>
      </c>
      <c r="AM220" s="33"/>
      <c r="AN220" s="3">
        <f>COUNTIFS($B220:$G220, "&gt;=1",$B220:$G220, "&lt;=9")</f>
        <v>0</v>
      </c>
      <c r="AO220" s="3">
        <f>COUNTIFS($B220:$G220, "&gt;=10",$B220:$G220, "&lt;=18")</f>
        <v>0</v>
      </c>
      <c r="AP220" s="3">
        <f>COUNTIFS($B220:$G220, "&gt;=19",$B220:$G220, "&lt;=27")</f>
        <v>0</v>
      </c>
      <c r="AQ220" s="3">
        <f>COUNTIFS($B220:$G220, "&gt;=28",$B220:$G220, "&lt;=36")</f>
        <v>0</v>
      </c>
      <c r="AR220" s="3">
        <f>COUNTIFS($B220:$G220, "&gt;=37",$B220:$G220, "&lt;=45")</f>
        <v>0</v>
      </c>
      <c r="AS220" s="28" t="e">
        <f>#REF!</f>
        <v>#REF!</v>
      </c>
      <c r="AT220" s="28" t="e">
        <f>#REF!*2</f>
        <v>#REF!</v>
      </c>
      <c r="AU220" s="28" t="e">
        <f>#REF!</f>
        <v>#REF!</v>
      </c>
      <c r="AV220" s="28" t="e">
        <f>#REF!*2</f>
        <v>#REF!</v>
      </c>
      <c r="AW220" s="28" t="e">
        <f>#REF!</f>
        <v>#REF!</v>
      </c>
      <c r="AX220" s="28" t="e">
        <f>#REF!*2</f>
        <v>#REF!</v>
      </c>
      <c r="AY220" s="28" t="e">
        <f>#REF!</f>
        <v>#REF!</v>
      </c>
      <c r="AZ220" s="28" t="e">
        <f>#REF!*2</f>
        <v>#REF!</v>
      </c>
      <c r="BA220" s="28" t="e">
        <f>#REF!</f>
        <v>#REF!</v>
      </c>
      <c r="BB220" s="28" t="e">
        <f>#REF!*2</f>
        <v>#REF!</v>
      </c>
      <c r="BC220" s="28" t="e">
        <f>#REF!</f>
        <v>#REF!</v>
      </c>
      <c r="BD220" s="28" t="e">
        <f>#REF!*2</f>
        <v>#REF!</v>
      </c>
      <c r="BE220" s="9" t="e">
        <f>#REF!-#REF!</f>
        <v>#REF!</v>
      </c>
      <c r="BF220" s="9" t="e">
        <f>#REF!-#REF!</f>
        <v>#REF!</v>
      </c>
      <c r="BG220" s="9" t="e">
        <f>#REF!-#REF!</f>
        <v>#REF!</v>
      </c>
      <c r="BH220" s="9" t="e">
        <f>#REF!-#REF!</f>
        <v>#REF!</v>
      </c>
      <c r="BI220" s="9" t="e">
        <f>#REF!-#REF!</f>
        <v>#REF!</v>
      </c>
      <c r="BJ220" s="33"/>
      <c r="BK220" s="3">
        <f>COUNTIFS(B220:G220, "&gt;=1", B220:G220, "&lt;=9")</f>
        <v>0</v>
      </c>
      <c r="BL220" s="3">
        <f>COUNTIFS(B220:G220, "&gt;=10", B220:G220, "&lt;=19")</f>
        <v>0</v>
      </c>
      <c r="BM220" s="3">
        <f>COUNTIFS(B220:G220, "&gt;=20", B220:G220, "&lt;=29")</f>
        <v>0</v>
      </c>
      <c r="BN220" s="3">
        <f>COUNTIFS(B220:G220, "&gt;=30", B220:G220, "&lt;=39")</f>
        <v>0</v>
      </c>
      <c r="BO220" s="3">
        <f>COUNTIFS(B220:G220, "&gt;=40", B220:G220, "&lt;=45")</f>
        <v>0</v>
      </c>
      <c r="BP220" s="28" t="e">
        <f>#REF!</f>
        <v>#REF!</v>
      </c>
      <c r="BQ220" s="28" t="e">
        <f>#REF!*2</f>
        <v>#REF!</v>
      </c>
      <c r="BR220" s="28" t="e">
        <f>#REF!</f>
        <v>#REF!</v>
      </c>
      <c r="BS220" s="28" t="e">
        <f>#REF!*2</f>
        <v>#REF!</v>
      </c>
      <c r="BT220" s="28" t="e">
        <f>#REF!</f>
        <v>#REF!</v>
      </c>
      <c r="BU220" s="28" t="e">
        <f>#REF!*2</f>
        <v>#REF!</v>
      </c>
      <c r="BV220" s="28" t="e">
        <f>#REF!</f>
        <v>#REF!</v>
      </c>
      <c r="BW220" s="28" t="e">
        <f>#REF!*2</f>
        <v>#REF!</v>
      </c>
      <c r="BX220" s="28" t="e">
        <f>#REF!</f>
        <v>#REF!</v>
      </c>
      <c r="BY220" s="28" t="e">
        <f>#REF!*2</f>
        <v>#REF!</v>
      </c>
      <c r="BZ220" s="28" t="e">
        <f>#REF!</f>
        <v>#REF!</v>
      </c>
      <c r="CA220" s="28" t="e">
        <f>#REF!*2</f>
        <v>#REF!</v>
      </c>
      <c r="CB220" s="9">
        <f>C220-B220</f>
        <v>0</v>
      </c>
      <c r="CC220" s="9">
        <f>D220-C220</f>
        <v>0</v>
      </c>
      <c r="CD220" s="9">
        <f>E220-D220</f>
        <v>0</v>
      </c>
      <c r="CE220" s="9">
        <f>F220-E220</f>
        <v>0</v>
      </c>
      <c r="CF220" s="9">
        <f>G220-F220</f>
        <v>0</v>
      </c>
      <c r="CG220" s="33"/>
      <c r="CH220" s="3">
        <f>C220-B220</f>
        <v>0</v>
      </c>
      <c r="CI220" s="3">
        <f>D220-C220</f>
        <v>0</v>
      </c>
      <c r="CJ220" s="3">
        <f>E220-D220</f>
        <v>0</v>
      </c>
      <c r="CK220" s="3">
        <f>F220-E220</f>
        <v>0</v>
      </c>
      <c r="CL220" s="3">
        <f>G220-F220</f>
        <v>0</v>
      </c>
      <c r="CM220" s="32"/>
      <c r="CN220" s="3">
        <f>IF(OR(CH220="",ISBLANK(CH220),CH220=0),0,IF(MOD(CH220,2)=1,1,2))</f>
        <v>0</v>
      </c>
      <c r="CO220" s="3">
        <f>IF(OR(CI220="",ISBLANK(CI220),CI220=0),0,IF(MOD(CI220,2)=1,1,2))</f>
        <v>0</v>
      </c>
      <c r="CP220" s="3">
        <f>IF(OR(CJ220="",ISBLANK(CJ220),CJ220=0),0,IF(MOD(CJ220,2)=1,1,2))</f>
        <v>0</v>
      </c>
      <c r="CQ220" s="3">
        <f>IF(OR(CK220="",ISBLANK(CK220),CK220=0),0,IF(MOD(CK220,2)=1,1,2))</f>
        <v>0</v>
      </c>
      <c r="CR220" s="3">
        <f>IF(OR(CL220="",ISBLANK(CL220),CL220=0),0,IF(MOD(CL220,2)=1,1,2))</f>
        <v>0</v>
      </c>
      <c r="CS220" s="31"/>
      <c r="CT220" s="3" cm="1">
        <f t="array" ref="CT220">SUMPRODUCT(--(MOD(CH220:CL220,2)=1))</f>
        <v>0</v>
      </c>
      <c r="CU220" s="3">
        <f>5-CT220</f>
        <v>5</v>
      </c>
      <c r="CV220" s="30"/>
      <c r="CW220" s="3" cm="1">
        <f t="array" ref="CW220">SUMPRODUCT(--(MOD(CH220:CL220,10)&gt;=1), --(MOD(CH220:CL220,10)&lt;=5))</f>
        <v>0</v>
      </c>
      <c r="CX220" s="3">
        <f>5-CW220</f>
        <v>5</v>
      </c>
      <c r="CY220" s="30"/>
      <c r="CZ220" s="3" cm="1">
        <f t="array" ref="CZ220">IFERROR(COUNT(_xlfn._xlws.FILTER(CH220:CL220, ISNUMBER(MATCH(CH220:CL220, {2,3,5,7,11,13,17,19,23,29,31,37,41,43}, 0)))), 0)</f>
        <v>0</v>
      </c>
      <c r="DA220" s="3" cm="1">
        <f t="array" ref="DA220">IFERROR(COUNT(_xlfn._xlws.FILTER(CH220:CL220, ISNUMBER(MATCH(CH220:CL220, {1,4,8,10,14,16,20,22,25,26,28,32,34,35,38,40,44}, 0)))), 0)</f>
        <v>0</v>
      </c>
      <c r="DB220" s="3" cm="1">
        <f t="array" ref="DB220">IFERROR(COUNT(_xlfn._xlws.FILTER(CH220:CL220, ISNUMBER(MATCH(CH220:CL220, {6,9,12,15,18,21,24,27,30,33,36,39,42,45}, 0)))), 0)</f>
        <v>0</v>
      </c>
      <c r="DC220" s="29"/>
      <c r="DD220" s="28" t="e">
        <f>#REF!</f>
        <v>#REF!</v>
      </c>
      <c r="DE220" s="28" t="e">
        <f>#REF!*2</f>
        <v>#REF!</v>
      </c>
      <c r="DF220" s="28" t="e">
        <f>#REF!</f>
        <v>#REF!</v>
      </c>
      <c r="DG220" s="28" t="e">
        <f>#REF!*2</f>
        <v>#REF!</v>
      </c>
      <c r="DH220" s="28" t="e">
        <f>#REF!</f>
        <v>#REF!</v>
      </c>
      <c r="DI220" s="28" t="e">
        <f>#REF!*2</f>
        <v>#REF!</v>
      </c>
      <c r="DJ220" s="28" t="e">
        <f>#REF!</f>
        <v>#REF!</v>
      </c>
      <c r="DK220" s="28" t="e">
        <f>#REF!*2</f>
        <v>#REF!</v>
      </c>
      <c r="DL220" s="28" t="e">
        <f>#REF!</f>
        <v>#REF!</v>
      </c>
      <c r="DM220" s="28" t="e">
        <f>#REF!*2</f>
        <v>#REF!</v>
      </c>
      <c r="DN220" s="27"/>
      <c r="DO220" s="26"/>
      <c r="DP220" s="26"/>
      <c r="DQ220" s="26"/>
      <c r="DR220" s="26"/>
      <c r="DS220" s="26"/>
      <c r="DT220" s="25"/>
    </row>
    <row r="221" spans="2:124" x14ac:dyDescent="0.3">
      <c r="B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2"/>
      <c r="I221" s="3">
        <f>IF(OR(B221="",ISBLANK(B221),B221=0),0,IF(MOD(B221,2)=1,1,2))</f>
        <v>0</v>
      </c>
      <c r="J221" s="3">
        <f>IF(OR(C221="",ISBLANK(C221),C221=0),0,IF(MOD(C221,2)=1,1,2))</f>
        <v>0</v>
      </c>
      <c r="K221" s="3">
        <f>IF(OR(D221="",ISBLANK(D221),D221=0),0,IF(MOD(D221,2)=1,1,2))</f>
        <v>0</v>
      </c>
      <c r="L221" s="3">
        <f>IF(OR(E221="",ISBLANK(E221),E221=0),0,IF(MOD(E221,2)=1,1,2))</f>
        <v>0</v>
      </c>
      <c r="M221" s="3">
        <f>IF(OR(F221="",ISBLANK(F221),F221=0),0,IF(MOD(F221,2)=1,1,2))</f>
        <v>0</v>
      </c>
      <c r="N221" s="3">
        <f>IF(OR(G221="",ISBLANK(G221),G221=0),0,IF(MOD(G221,2)=1,1,2))</f>
        <v>0</v>
      </c>
      <c r="O221" s="32"/>
      <c r="P221" s="3" cm="1">
        <f t="array" ref="P221">SUMPRODUCT(--(MOD(B221:G221,2)=1))</f>
        <v>0</v>
      </c>
      <c r="Q221" s="3">
        <f>6-P221</f>
        <v>6</v>
      </c>
      <c r="R221" s="34"/>
      <c r="S221" s="3">
        <f>COUNTIFS(B221:G221,"&gt;=1",B221:G221,"&lt;=23")</f>
        <v>0</v>
      </c>
      <c r="T221" s="3">
        <f>6-S221</f>
        <v>6</v>
      </c>
      <c r="U221" s="34"/>
      <c r="V221" s="3" cm="1">
        <f t="array" ref="V221">SUMPRODUCT(--(MOD(B221:G221,10)&gt;=1), --(MOD(B221:G221,10)&lt;=5))</f>
        <v>0</v>
      </c>
      <c r="W221" s="3">
        <f>6-V221</f>
        <v>6</v>
      </c>
      <c r="X221" s="34"/>
      <c r="Y221" s="3" cm="1">
        <f t="array" ref="Y221">IFERROR(COUNT(_xlfn._xlws.FILTER(B221:G221, ISNUMBER(MATCH(B221:G221, {2,3,5,7,11,13,17,19,23,29,31,37,41,43}, 0)))), 0)</f>
        <v>0</v>
      </c>
      <c r="Z221" s="3" cm="1">
        <f t="array" ref="Z221">IFERROR(COUNT(_xlfn._xlws.FILTER(B221:G221, ISNUMBER(MATCH(B221:G221, {1,4,8,10,14,16,20,22,25,26,28,32,34,35,38,40,44}, 0)))), 0)</f>
        <v>0</v>
      </c>
      <c r="AA221" s="3" cm="1">
        <f t="array" ref="AA221">IFERROR(COUNT(_xlfn._xlws.FILTER(B221:G221, ISNUMBER(MATCH(B221:G221, {6,9,12,15,18,21,24,27,30,33,36,39,42,45}, 0)))), 0)</f>
        <v>0</v>
      </c>
      <c r="AB221" s="30"/>
      <c r="AC221" s="26" cm="1">
        <f t="array" ref="AC221">_xlfn.IFS(
   OR(B221="",ISBLANK(B221),B221=0),0,
   ISNUMBER(MATCH(B221,{2,3,5,7,11,13,17,19,23,29,31,37,41,43},0)),"소",
   AND(ISNUMBER(B221),MOD(B221,3)=0),"배",
   AND(ISNUMBER(B221),B221&gt;0),"자"
)</f>
        <v>0</v>
      </c>
      <c r="AD221" s="26" cm="1">
        <f t="array" ref="AD221">_xlfn.IFS(
   OR(C221="",ISBLANK(C221),C221=0),0,
   ISNUMBER(MATCH(C221,{2,3,5,7,11,13,17,19,23,29,31,37,41,43},0)),"소",
   AND(ISNUMBER(C221),MOD(C221,3)=0),"배",
   AND(ISNUMBER(C221),C221&gt;0),"자"
)</f>
        <v>0</v>
      </c>
      <c r="AE221" s="26" cm="1">
        <f t="array" ref="AE221">_xlfn.IFS(
   OR(D221="",ISBLANK(D221),D221=0),0,
   ISNUMBER(MATCH(D221,{2,3,5,7,11,13,17,19,23,29,31,37,41,43},0)),"소",
   AND(ISNUMBER(D221),MOD(D221,3)=0),"배",
   AND(ISNUMBER(D221),D221&gt;0),"자"
)</f>
        <v>0</v>
      </c>
      <c r="AF221" s="26" cm="1">
        <f t="array" ref="AF221">_xlfn.IFS(
   OR(E221="",ISBLANK(E221),E221=0),0,
   ISNUMBER(MATCH(E221,{2,3,5,7,11,13,17,19,23,29,31,37,41,43},0)),"소",
   AND(ISNUMBER(E221),MOD(E221,3)=0),"배",
   AND(ISNUMBER(E221),E221&gt;0),"자"
)</f>
        <v>0</v>
      </c>
      <c r="AG221" s="26" cm="1">
        <f t="array" ref="AG221">_xlfn.IFS(
   OR(F221="",ISBLANK(F221),F221=0),0,
   ISNUMBER(MATCH(F221,{2,3,5,7,11,13,17,19,23,29,31,37,41,43},0)),"소",
   AND(ISNUMBER(F221),MOD(F221,3)=0),"배",
   AND(ISNUMBER(F221),F221&gt;0),"자"
)</f>
        <v>0</v>
      </c>
      <c r="AH221" s="26" cm="1">
        <f t="array" ref="AH221">_xlfn.IFS(
   OR(G221="",ISBLANK(G221),G221=0),0,
   ISNUMBER(MATCH(G221,{2,3,5,7,11,13,17,19,23,29,31,37,41,43},0)),"소",
   AND(ISNUMBER(G221),MOD(G221,3)=0),"배",
   AND(ISNUMBER(G221),G221&gt;0),"자"
)</f>
        <v>0</v>
      </c>
      <c r="AI221" s="30"/>
      <c r="AJ221" s="3">
        <f>COUNTIFS(B221:G221,"&gt;=1",B221:G221,"&lt;=14")</f>
        <v>0</v>
      </c>
      <c r="AK221" s="3">
        <f>COUNTIFS(B221:G221,"&gt;=15",B221:G221,"&lt;=31")</f>
        <v>0</v>
      </c>
      <c r="AL221" s="3">
        <f>6-AK221-AJ221</f>
        <v>6</v>
      </c>
      <c r="AM221" s="33"/>
      <c r="AN221" s="3">
        <f>COUNTIFS($B221:$G221, "&gt;=1",$B221:$G221, "&lt;=9")</f>
        <v>0</v>
      </c>
      <c r="AO221" s="3">
        <f>COUNTIFS($B221:$G221, "&gt;=10",$B221:$G221, "&lt;=18")</f>
        <v>0</v>
      </c>
      <c r="AP221" s="3">
        <f>COUNTIFS($B221:$G221, "&gt;=19",$B221:$G221, "&lt;=27")</f>
        <v>0</v>
      </c>
      <c r="AQ221" s="3">
        <f>COUNTIFS($B221:$G221, "&gt;=28",$B221:$G221, "&lt;=36")</f>
        <v>0</v>
      </c>
      <c r="AR221" s="3">
        <f>COUNTIFS($B221:$G221, "&gt;=37",$B221:$G221, "&lt;=45")</f>
        <v>0</v>
      </c>
      <c r="AS221" s="28" t="e">
        <f>#REF!</f>
        <v>#REF!</v>
      </c>
      <c r="AT221" s="28" t="e">
        <f>#REF!*2</f>
        <v>#REF!</v>
      </c>
      <c r="AU221" s="28" t="e">
        <f>#REF!</f>
        <v>#REF!</v>
      </c>
      <c r="AV221" s="28" t="e">
        <f>#REF!*2</f>
        <v>#REF!</v>
      </c>
      <c r="AW221" s="28" t="e">
        <f>#REF!</f>
        <v>#REF!</v>
      </c>
      <c r="AX221" s="28" t="e">
        <f>#REF!*2</f>
        <v>#REF!</v>
      </c>
      <c r="AY221" s="28" t="e">
        <f>#REF!</f>
        <v>#REF!</v>
      </c>
      <c r="AZ221" s="28" t="e">
        <f>#REF!*2</f>
        <v>#REF!</v>
      </c>
      <c r="BA221" s="28" t="e">
        <f>#REF!</f>
        <v>#REF!</v>
      </c>
      <c r="BB221" s="28" t="e">
        <f>#REF!*2</f>
        <v>#REF!</v>
      </c>
      <c r="BC221" s="28" t="e">
        <f>#REF!</f>
        <v>#REF!</v>
      </c>
      <c r="BD221" s="28" t="e">
        <f>#REF!*2</f>
        <v>#REF!</v>
      </c>
      <c r="BE221" s="9" t="e">
        <f>#REF!-#REF!</f>
        <v>#REF!</v>
      </c>
      <c r="BF221" s="9" t="e">
        <f>#REF!-#REF!</f>
        <v>#REF!</v>
      </c>
      <c r="BG221" s="9" t="e">
        <f>#REF!-#REF!</f>
        <v>#REF!</v>
      </c>
      <c r="BH221" s="9" t="e">
        <f>#REF!-#REF!</f>
        <v>#REF!</v>
      </c>
      <c r="BI221" s="9" t="e">
        <f>#REF!-#REF!</f>
        <v>#REF!</v>
      </c>
      <c r="BJ221" s="33"/>
      <c r="BK221" s="3">
        <f>COUNTIFS(B221:G221, "&gt;=1", B221:G221, "&lt;=9")</f>
        <v>0</v>
      </c>
      <c r="BL221" s="3">
        <f>COUNTIFS(B221:G221, "&gt;=10", B221:G221, "&lt;=19")</f>
        <v>0</v>
      </c>
      <c r="BM221" s="3">
        <f>COUNTIFS(B221:G221, "&gt;=20", B221:G221, "&lt;=29")</f>
        <v>0</v>
      </c>
      <c r="BN221" s="3">
        <f>COUNTIFS(B221:G221, "&gt;=30", B221:G221, "&lt;=39")</f>
        <v>0</v>
      </c>
      <c r="BO221" s="3">
        <f>COUNTIFS(B221:G221, "&gt;=40", B221:G221, "&lt;=45")</f>
        <v>0</v>
      </c>
      <c r="BP221" s="28" t="e">
        <f>#REF!</f>
        <v>#REF!</v>
      </c>
      <c r="BQ221" s="28" t="e">
        <f>#REF!*2</f>
        <v>#REF!</v>
      </c>
      <c r="BR221" s="28" t="e">
        <f>#REF!</f>
        <v>#REF!</v>
      </c>
      <c r="BS221" s="28" t="e">
        <f>#REF!*2</f>
        <v>#REF!</v>
      </c>
      <c r="BT221" s="28" t="e">
        <f>#REF!</f>
        <v>#REF!</v>
      </c>
      <c r="BU221" s="28" t="e">
        <f>#REF!*2</f>
        <v>#REF!</v>
      </c>
      <c r="BV221" s="28" t="e">
        <f>#REF!</f>
        <v>#REF!</v>
      </c>
      <c r="BW221" s="28" t="e">
        <f>#REF!*2</f>
        <v>#REF!</v>
      </c>
      <c r="BX221" s="28" t="e">
        <f>#REF!</f>
        <v>#REF!</v>
      </c>
      <c r="BY221" s="28" t="e">
        <f>#REF!*2</f>
        <v>#REF!</v>
      </c>
      <c r="BZ221" s="28" t="e">
        <f>#REF!</f>
        <v>#REF!</v>
      </c>
      <c r="CA221" s="28" t="e">
        <f>#REF!*2</f>
        <v>#REF!</v>
      </c>
      <c r="CB221" s="9">
        <f>C221-B221</f>
        <v>0</v>
      </c>
      <c r="CC221" s="9">
        <f>D221-C221</f>
        <v>0</v>
      </c>
      <c r="CD221" s="9">
        <f>E221-D221</f>
        <v>0</v>
      </c>
      <c r="CE221" s="9">
        <f>F221-E221</f>
        <v>0</v>
      </c>
      <c r="CF221" s="9">
        <f>G221-F221</f>
        <v>0</v>
      </c>
      <c r="CG221" s="33"/>
      <c r="CH221" s="3">
        <f>C221-B221</f>
        <v>0</v>
      </c>
      <c r="CI221" s="3">
        <f>D221-C221</f>
        <v>0</v>
      </c>
      <c r="CJ221" s="3">
        <f>E221-D221</f>
        <v>0</v>
      </c>
      <c r="CK221" s="3">
        <f>F221-E221</f>
        <v>0</v>
      </c>
      <c r="CL221" s="3">
        <f>G221-F221</f>
        <v>0</v>
      </c>
      <c r="CM221" s="32"/>
      <c r="CN221" s="3">
        <f>IF(OR(CH221="",ISBLANK(CH221),CH221=0),0,IF(MOD(CH221,2)=1,1,2))</f>
        <v>0</v>
      </c>
      <c r="CO221" s="3">
        <f>IF(OR(CI221="",ISBLANK(CI221),CI221=0),0,IF(MOD(CI221,2)=1,1,2))</f>
        <v>0</v>
      </c>
      <c r="CP221" s="3">
        <f>IF(OR(CJ221="",ISBLANK(CJ221),CJ221=0),0,IF(MOD(CJ221,2)=1,1,2))</f>
        <v>0</v>
      </c>
      <c r="CQ221" s="3">
        <f>IF(OR(CK221="",ISBLANK(CK221),CK221=0),0,IF(MOD(CK221,2)=1,1,2))</f>
        <v>0</v>
      </c>
      <c r="CR221" s="3">
        <f>IF(OR(CL221="",ISBLANK(CL221),CL221=0),0,IF(MOD(CL221,2)=1,1,2))</f>
        <v>0</v>
      </c>
      <c r="CS221" s="31"/>
      <c r="CT221" s="3" cm="1">
        <f t="array" ref="CT221">SUMPRODUCT(--(MOD(CH221:CL221,2)=1))</f>
        <v>0</v>
      </c>
      <c r="CU221" s="3">
        <f>5-CT221</f>
        <v>5</v>
      </c>
      <c r="CV221" s="30"/>
      <c r="CW221" s="3" cm="1">
        <f t="array" ref="CW221">SUMPRODUCT(--(MOD(CH221:CL221,10)&gt;=1), --(MOD(CH221:CL221,10)&lt;=5))</f>
        <v>0</v>
      </c>
      <c r="CX221" s="3">
        <f>5-CW221</f>
        <v>5</v>
      </c>
      <c r="CY221" s="30"/>
      <c r="CZ221" s="3" cm="1">
        <f t="array" ref="CZ221">IFERROR(COUNT(_xlfn._xlws.FILTER(CH221:CL221, ISNUMBER(MATCH(CH221:CL221, {2,3,5,7,11,13,17,19,23,29,31,37,41,43}, 0)))), 0)</f>
        <v>0</v>
      </c>
      <c r="DA221" s="3" cm="1">
        <f t="array" ref="DA221">IFERROR(COUNT(_xlfn._xlws.FILTER(CH221:CL221, ISNUMBER(MATCH(CH221:CL221, {1,4,8,10,14,16,20,22,25,26,28,32,34,35,38,40,44}, 0)))), 0)</f>
        <v>0</v>
      </c>
      <c r="DB221" s="3" cm="1">
        <f t="array" ref="DB221">IFERROR(COUNT(_xlfn._xlws.FILTER(CH221:CL221, ISNUMBER(MATCH(CH221:CL221, {6,9,12,15,18,21,24,27,30,33,36,39,42,45}, 0)))), 0)</f>
        <v>0</v>
      </c>
      <c r="DC221" s="29"/>
      <c r="DD221" s="28" t="e">
        <f>#REF!</f>
        <v>#REF!</v>
      </c>
      <c r="DE221" s="28" t="e">
        <f>#REF!*2</f>
        <v>#REF!</v>
      </c>
      <c r="DF221" s="28" t="e">
        <f>#REF!</f>
        <v>#REF!</v>
      </c>
      <c r="DG221" s="28" t="e">
        <f>#REF!*2</f>
        <v>#REF!</v>
      </c>
      <c r="DH221" s="28" t="e">
        <f>#REF!</f>
        <v>#REF!</v>
      </c>
      <c r="DI221" s="28" t="e">
        <f>#REF!*2</f>
        <v>#REF!</v>
      </c>
      <c r="DJ221" s="28" t="e">
        <f>#REF!</f>
        <v>#REF!</v>
      </c>
      <c r="DK221" s="28" t="e">
        <f>#REF!*2</f>
        <v>#REF!</v>
      </c>
      <c r="DL221" s="28" t="e">
        <f>#REF!</f>
        <v>#REF!</v>
      </c>
      <c r="DM221" s="28" t="e">
        <f>#REF!*2</f>
        <v>#REF!</v>
      </c>
      <c r="DN221" s="27"/>
      <c r="DO221" s="26"/>
      <c r="DP221" s="26"/>
      <c r="DQ221" s="26"/>
      <c r="DR221" s="26"/>
      <c r="DS221" s="26"/>
      <c r="DT221" s="25"/>
    </row>
    <row r="222" spans="2:124" x14ac:dyDescent="0.3"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2"/>
      <c r="I222" s="3">
        <f>IF(OR(B222="",ISBLANK(B222),B222=0),0,IF(MOD(B222,2)=1,1,2))</f>
        <v>0</v>
      </c>
      <c r="J222" s="3">
        <f>IF(OR(C222="",ISBLANK(C222),C222=0),0,IF(MOD(C222,2)=1,1,2))</f>
        <v>0</v>
      </c>
      <c r="K222" s="3">
        <f>IF(OR(D222="",ISBLANK(D222),D222=0),0,IF(MOD(D222,2)=1,1,2))</f>
        <v>0</v>
      </c>
      <c r="L222" s="3">
        <f>IF(OR(E222="",ISBLANK(E222),E222=0),0,IF(MOD(E222,2)=1,1,2))</f>
        <v>0</v>
      </c>
      <c r="M222" s="3">
        <f>IF(OR(F222="",ISBLANK(F222),F222=0),0,IF(MOD(F222,2)=1,1,2))</f>
        <v>0</v>
      </c>
      <c r="N222" s="3">
        <f>IF(OR(G222="",ISBLANK(G222),G222=0),0,IF(MOD(G222,2)=1,1,2))</f>
        <v>0</v>
      </c>
      <c r="O222" s="32"/>
      <c r="P222" s="3" cm="1">
        <f t="array" ref="P222">SUMPRODUCT(--(MOD(B222:G222,2)=1))</f>
        <v>0</v>
      </c>
      <c r="Q222" s="3">
        <f>6-P222</f>
        <v>6</v>
      </c>
      <c r="R222" s="34"/>
      <c r="S222" s="3">
        <f>COUNTIFS(B222:G222,"&gt;=1",B222:G222,"&lt;=23")</f>
        <v>0</v>
      </c>
      <c r="T222" s="3">
        <f>6-S222</f>
        <v>6</v>
      </c>
      <c r="U222" s="34"/>
      <c r="V222" s="3" cm="1">
        <f t="array" ref="V222">SUMPRODUCT(--(MOD(B222:G222,10)&gt;=1), --(MOD(B222:G222,10)&lt;=5))</f>
        <v>0</v>
      </c>
      <c r="W222" s="3">
        <f>6-V222</f>
        <v>6</v>
      </c>
      <c r="X222" s="34"/>
      <c r="Y222" s="3" cm="1">
        <f t="array" ref="Y222">IFERROR(COUNT(_xlfn._xlws.FILTER(B222:G222, ISNUMBER(MATCH(B222:G222, {2,3,5,7,11,13,17,19,23,29,31,37,41,43}, 0)))), 0)</f>
        <v>0</v>
      </c>
      <c r="Z222" s="3" cm="1">
        <f t="array" ref="Z222">IFERROR(COUNT(_xlfn._xlws.FILTER(B222:G222, ISNUMBER(MATCH(B222:G222, {1,4,8,10,14,16,20,22,25,26,28,32,34,35,38,40,44}, 0)))), 0)</f>
        <v>0</v>
      </c>
      <c r="AA222" s="3" cm="1">
        <f t="array" ref="AA222">IFERROR(COUNT(_xlfn._xlws.FILTER(B222:G222, ISNUMBER(MATCH(B222:G222, {6,9,12,15,18,21,24,27,30,33,36,39,42,45}, 0)))), 0)</f>
        <v>0</v>
      </c>
      <c r="AB222" s="30"/>
      <c r="AC222" s="26" cm="1">
        <f t="array" ref="AC222">_xlfn.IFS(
   OR(B222="",ISBLANK(B222),B222=0),0,
   ISNUMBER(MATCH(B222,{2,3,5,7,11,13,17,19,23,29,31,37,41,43},0)),"소",
   AND(ISNUMBER(B222),MOD(B222,3)=0),"배",
   AND(ISNUMBER(B222),B222&gt;0),"자"
)</f>
        <v>0</v>
      </c>
      <c r="AD222" s="26" cm="1">
        <f t="array" ref="AD222">_xlfn.IFS(
   OR(C222="",ISBLANK(C222),C222=0),0,
   ISNUMBER(MATCH(C222,{2,3,5,7,11,13,17,19,23,29,31,37,41,43},0)),"소",
   AND(ISNUMBER(C222),MOD(C222,3)=0),"배",
   AND(ISNUMBER(C222),C222&gt;0),"자"
)</f>
        <v>0</v>
      </c>
      <c r="AE222" s="26" cm="1">
        <f t="array" ref="AE222">_xlfn.IFS(
   OR(D222="",ISBLANK(D222),D222=0),0,
   ISNUMBER(MATCH(D222,{2,3,5,7,11,13,17,19,23,29,31,37,41,43},0)),"소",
   AND(ISNUMBER(D222),MOD(D222,3)=0),"배",
   AND(ISNUMBER(D222),D222&gt;0),"자"
)</f>
        <v>0</v>
      </c>
      <c r="AF222" s="26" cm="1">
        <f t="array" ref="AF222">_xlfn.IFS(
   OR(E222="",ISBLANK(E222),E222=0),0,
   ISNUMBER(MATCH(E222,{2,3,5,7,11,13,17,19,23,29,31,37,41,43},0)),"소",
   AND(ISNUMBER(E222),MOD(E222,3)=0),"배",
   AND(ISNUMBER(E222),E222&gt;0),"자"
)</f>
        <v>0</v>
      </c>
      <c r="AG222" s="26" cm="1">
        <f t="array" ref="AG222">_xlfn.IFS(
   OR(F222="",ISBLANK(F222),F222=0),0,
   ISNUMBER(MATCH(F222,{2,3,5,7,11,13,17,19,23,29,31,37,41,43},0)),"소",
   AND(ISNUMBER(F222),MOD(F222,3)=0),"배",
   AND(ISNUMBER(F222),F222&gt;0),"자"
)</f>
        <v>0</v>
      </c>
      <c r="AH222" s="26" cm="1">
        <f t="array" ref="AH222">_xlfn.IFS(
   OR(G222="",ISBLANK(G222),G222=0),0,
   ISNUMBER(MATCH(G222,{2,3,5,7,11,13,17,19,23,29,31,37,41,43},0)),"소",
   AND(ISNUMBER(G222),MOD(G222,3)=0),"배",
   AND(ISNUMBER(G222),G222&gt;0),"자"
)</f>
        <v>0</v>
      </c>
      <c r="AI222" s="30"/>
      <c r="AJ222" s="3">
        <f>COUNTIFS(B222:G222,"&gt;=1",B222:G222,"&lt;=14")</f>
        <v>0</v>
      </c>
      <c r="AK222" s="3">
        <f>COUNTIFS(B222:G222,"&gt;=15",B222:G222,"&lt;=31")</f>
        <v>0</v>
      </c>
      <c r="AL222" s="3">
        <f>6-AK222-AJ222</f>
        <v>6</v>
      </c>
      <c r="AM222" s="33"/>
      <c r="AN222" s="3">
        <f>COUNTIFS($B222:$G222, "&gt;=1",$B222:$G222, "&lt;=9")</f>
        <v>0</v>
      </c>
      <c r="AO222" s="3">
        <f>COUNTIFS($B222:$G222, "&gt;=10",$B222:$G222, "&lt;=18")</f>
        <v>0</v>
      </c>
      <c r="AP222" s="3">
        <f>COUNTIFS($B222:$G222, "&gt;=19",$B222:$G222, "&lt;=27")</f>
        <v>0</v>
      </c>
      <c r="AQ222" s="3">
        <f>COUNTIFS($B222:$G222, "&gt;=28",$B222:$G222, "&lt;=36")</f>
        <v>0</v>
      </c>
      <c r="AR222" s="3">
        <f>COUNTIFS($B222:$G222, "&gt;=37",$B222:$G222, "&lt;=45")</f>
        <v>0</v>
      </c>
      <c r="AS222" s="28" t="e">
        <f>#REF!</f>
        <v>#REF!</v>
      </c>
      <c r="AT222" s="28" t="e">
        <f>#REF!*2</f>
        <v>#REF!</v>
      </c>
      <c r="AU222" s="28" t="e">
        <f>#REF!</f>
        <v>#REF!</v>
      </c>
      <c r="AV222" s="28" t="e">
        <f>#REF!*2</f>
        <v>#REF!</v>
      </c>
      <c r="AW222" s="28" t="e">
        <f>#REF!</f>
        <v>#REF!</v>
      </c>
      <c r="AX222" s="28" t="e">
        <f>#REF!*2</f>
        <v>#REF!</v>
      </c>
      <c r="AY222" s="28" t="e">
        <f>#REF!</f>
        <v>#REF!</v>
      </c>
      <c r="AZ222" s="28" t="e">
        <f>#REF!*2</f>
        <v>#REF!</v>
      </c>
      <c r="BA222" s="28" t="e">
        <f>#REF!</f>
        <v>#REF!</v>
      </c>
      <c r="BB222" s="28" t="e">
        <f>#REF!*2</f>
        <v>#REF!</v>
      </c>
      <c r="BC222" s="28" t="e">
        <f>#REF!</f>
        <v>#REF!</v>
      </c>
      <c r="BD222" s="28" t="e">
        <f>#REF!*2</f>
        <v>#REF!</v>
      </c>
      <c r="BE222" s="9" t="e">
        <f>#REF!-#REF!</f>
        <v>#REF!</v>
      </c>
      <c r="BF222" s="9" t="e">
        <f>#REF!-#REF!</f>
        <v>#REF!</v>
      </c>
      <c r="BG222" s="9" t="e">
        <f>#REF!-#REF!</f>
        <v>#REF!</v>
      </c>
      <c r="BH222" s="9" t="e">
        <f>#REF!-#REF!</f>
        <v>#REF!</v>
      </c>
      <c r="BI222" s="9" t="e">
        <f>#REF!-#REF!</f>
        <v>#REF!</v>
      </c>
      <c r="BJ222" s="33"/>
      <c r="BK222" s="3">
        <f>COUNTIFS(B222:G222, "&gt;=1", B222:G222, "&lt;=9")</f>
        <v>0</v>
      </c>
      <c r="BL222" s="3">
        <f>COUNTIFS(B222:G222, "&gt;=10", B222:G222, "&lt;=19")</f>
        <v>0</v>
      </c>
      <c r="BM222" s="3">
        <f>COUNTIFS(B222:G222, "&gt;=20", B222:G222, "&lt;=29")</f>
        <v>0</v>
      </c>
      <c r="BN222" s="3">
        <f>COUNTIFS(B222:G222, "&gt;=30", B222:G222, "&lt;=39")</f>
        <v>0</v>
      </c>
      <c r="BO222" s="3">
        <f>COUNTIFS(B222:G222, "&gt;=40", B222:G222, "&lt;=45")</f>
        <v>0</v>
      </c>
      <c r="BP222" s="28" t="e">
        <f>#REF!</f>
        <v>#REF!</v>
      </c>
      <c r="BQ222" s="28" t="e">
        <f>#REF!*2</f>
        <v>#REF!</v>
      </c>
      <c r="BR222" s="28" t="e">
        <f>#REF!</f>
        <v>#REF!</v>
      </c>
      <c r="BS222" s="28" t="e">
        <f>#REF!*2</f>
        <v>#REF!</v>
      </c>
      <c r="BT222" s="28" t="e">
        <f>#REF!</f>
        <v>#REF!</v>
      </c>
      <c r="BU222" s="28" t="e">
        <f>#REF!*2</f>
        <v>#REF!</v>
      </c>
      <c r="BV222" s="28" t="e">
        <f>#REF!</f>
        <v>#REF!</v>
      </c>
      <c r="BW222" s="28" t="e">
        <f>#REF!*2</f>
        <v>#REF!</v>
      </c>
      <c r="BX222" s="28" t="e">
        <f>#REF!</f>
        <v>#REF!</v>
      </c>
      <c r="BY222" s="28" t="e">
        <f>#REF!*2</f>
        <v>#REF!</v>
      </c>
      <c r="BZ222" s="28" t="e">
        <f>#REF!</f>
        <v>#REF!</v>
      </c>
      <c r="CA222" s="28" t="e">
        <f>#REF!*2</f>
        <v>#REF!</v>
      </c>
      <c r="CB222" s="9">
        <f>C222-B222</f>
        <v>0</v>
      </c>
      <c r="CC222" s="9">
        <f>D222-C222</f>
        <v>0</v>
      </c>
      <c r="CD222" s="9">
        <f>E222-D222</f>
        <v>0</v>
      </c>
      <c r="CE222" s="9">
        <f>F222-E222</f>
        <v>0</v>
      </c>
      <c r="CF222" s="9">
        <f>G222-F222</f>
        <v>0</v>
      </c>
      <c r="CG222" s="33"/>
      <c r="CH222" s="3">
        <f>C222-B222</f>
        <v>0</v>
      </c>
      <c r="CI222" s="3">
        <f>D222-C222</f>
        <v>0</v>
      </c>
      <c r="CJ222" s="3">
        <f>E222-D222</f>
        <v>0</v>
      </c>
      <c r="CK222" s="3">
        <f>F222-E222</f>
        <v>0</v>
      </c>
      <c r="CL222" s="3">
        <f>G222-F222</f>
        <v>0</v>
      </c>
      <c r="CM222" s="32"/>
      <c r="CN222" s="3">
        <f>IF(OR(CH222="",ISBLANK(CH222),CH222=0),0,IF(MOD(CH222,2)=1,1,2))</f>
        <v>0</v>
      </c>
      <c r="CO222" s="3">
        <f>IF(OR(CI222="",ISBLANK(CI222),CI222=0),0,IF(MOD(CI222,2)=1,1,2))</f>
        <v>0</v>
      </c>
      <c r="CP222" s="3">
        <f>IF(OR(CJ222="",ISBLANK(CJ222),CJ222=0),0,IF(MOD(CJ222,2)=1,1,2))</f>
        <v>0</v>
      </c>
      <c r="CQ222" s="3">
        <f>IF(OR(CK222="",ISBLANK(CK222),CK222=0),0,IF(MOD(CK222,2)=1,1,2))</f>
        <v>0</v>
      </c>
      <c r="CR222" s="3">
        <f>IF(OR(CL222="",ISBLANK(CL222),CL222=0),0,IF(MOD(CL222,2)=1,1,2))</f>
        <v>0</v>
      </c>
      <c r="CS222" s="31"/>
      <c r="CT222" s="3" cm="1">
        <f t="array" ref="CT222">SUMPRODUCT(--(MOD(CH222:CL222,2)=1))</f>
        <v>0</v>
      </c>
      <c r="CU222" s="3">
        <f>5-CT222</f>
        <v>5</v>
      </c>
      <c r="CV222" s="30"/>
      <c r="CW222" s="3" cm="1">
        <f t="array" ref="CW222">SUMPRODUCT(--(MOD(CH222:CL222,10)&gt;=1), --(MOD(CH222:CL222,10)&lt;=5))</f>
        <v>0</v>
      </c>
      <c r="CX222" s="3">
        <f>5-CW222</f>
        <v>5</v>
      </c>
      <c r="CY222" s="30"/>
      <c r="CZ222" s="3" cm="1">
        <f t="array" ref="CZ222">IFERROR(COUNT(_xlfn._xlws.FILTER(CH222:CL222, ISNUMBER(MATCH(CH222:CL222, {2,3,5,7,11,13,17,19,23,29,31,37,41,43}, 0)))), 0)</f>
        <v>0</v>
      </c>
      <c r="DA222" s="3" cm="1">
        <f t="array" ref="DA222">IFERROR(COUNT(_xlfn._xlws.FILTER(CH222:CL222, ISNUMBER(MATCH(CH222:CL222, {1,4,8,10,14,16,20,22,25,26,28,32,34,35,38,40,44}, 0)))), 0)</f>
        <v>0</v>
      </c>
      <c r="DB222" s="3" cm="1">
        <f t="array" ref="DB222">IFERROR(COUNT(_xlfn._xlws.FILTER(CH222:CL222, ISNUMBER(MATCH(CH222:CL222, {6,9,12,15,18,21,24,27,30,33,36,39,42,45}, 0)))), 0)</f>
        <v>0</v>
      </c>
      <c r="DC222" s="29"/>
      <c r="DD222" s="28" t="e">
        <f>#REF!</f>
        <v>#REF!</v>
      </c>
      <c r="DE222" s="28" t="e">
        <f>#REF!*2</f>
        <v>#REF!</v>
      </c>
      <c r="DF222" s="28" t="e">
        <f>#REF!</f>
        <v>#REF!</v>
      </c>
      <c r="DG222" s="28" t="e">
        <f>#REF!*2</f>
        <v>#REF!</v>
      </c>
      <c r="DH222" s="28" t="e">
        <f>#REF!</f>
        <v>#REF!</v>
      </c>
      <c r="DI222" s="28" t="e">
        <f>#REF!*2</f>
        <v>#REF!</v>
      </c>
      <c r="DJ222" s="28" t="e">
        <f>#REF!</f>
        <v>#REF!</v>
      </c>
      <c r="DK222" s="28" t="e">
        <f>#REF!*2</f>
        <v>#REF!</v>
      </c>
      <c r="DL222" s="28" t="e">
        <f>#REF!</f>
        <v>#REF!</v>
      </c>
      <c r="DM222" s="28" t="e">
        <f>#REF!*2</f>
        <v>#REF!</v>
      </c>
      <c r="DN222" s="27"/>
      <c r="DO222" s="26"/>
      <c r="DP222" s="26"/>
      <c r="DQ222" s="26"/>
      <c r="DR222" s="26"/>
      <c r="DS222" s="26"/>
      <c r="DT222" s="25"/>
    </row>
    <row r="223" spans="2:124" x14ac:dyDescent="0.3"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2"/>
      <c r="I223" s="3">
        <f>IF(OR(B223="",ISBLANK(B223),B223=0),0,IF(MOD(B223,2)=1,1,2))</f>
        <v>0</v>
      </c>
      <c r="J223" s="3">
        <f>IF(OR(C223="",ISBLANK(C223),C223=0),0,IF(MOD(C223,2)=1,1,2))</f>
        <v>0</v>
      </c>
      <c r="K223" s="3">
        <f>IF(OR(D223="",ISBLANK(D223),D223=0),0,IF(MOD(D223,2)=1,1,2))</f>
        <v>0</v>
      </c>
      <c r="L223" s="3">
        <f>IF(OR(E223="",ISBLANK(E223),E223=0),0,IF(MOD(E223,2)=1,1,2))</f>
        <v>0</v>
      </c>
      <c r="M223" s="3">
        <f>IF(OR(F223="",ISBLANK(F223),F223=0),0,IF(MOD(F223,2)=1,1,2))</f>
        <v>0</v>
      </c>
      <c r="N223" s="3">
        <f>IF(OR(G223="",ISBLANK(G223),G223=0),0,IF(MOD(G223,2)=1,1,2))</f>
        <v>0</v>
      </c>
      <c r="O223" s="32"/>
      <c r="P223" s="3" cm="1">
        <f t="array" ref="P223">SUMPRODUCT(--(MOD(B223:G223,2)=1))</f>
        <v>0</v>
      </c>
      <c r="Q223" s="3">
        <f>6-P223</f>
        <v>6</v>
      </c>
      <c r="R223" s="34"/>
      <c r="S223" s="3">
        <f>COUNTIFS(B223:G223,"&gt;=1",B223:G223,"&lt;=23")</f>
        <v>0</v>
      </c>
      <c r="T223" s="3">
        <f>6-S223</f>
        <v>6</v>
      </c>
      <c r="U223" s="34"/>
      <c r="V223" s="3" cm="1">
        <f t="array" ref="V223">SUMPRODUCT(--(MOD(B223:G223,10)&gt;=1), --(MOD(B223:G223,10)&lt;=5))</f>
        <v>0</v>
      </c>
      <c r="W223" s="3">
        <f>6-V223</f>
        <v>6</v>
      </c>
      <c r="X223" s="34"/>
      <c r="Y223" s="3" cm="1">
        <f t="array" ref="Y223">IFERROR(COUNT(_xlfn._xlws.FILTER(B223:G223, ISNUMBER(MATCH(B223:G223, {2,3,5,7,11,13,17,19,23,29,31,37,41,43}, 0)))), 0)</f>
        <v>0</v>
      </c>
      <c r="Z223" s="3" cm="1">
        <f t="array" ref="Z223">IFERROR(COUNT(_xlfn._xlws.FILTER(B223:G223, ISNUMBER(MATCH(B223:G223, {1,4,8,10,14,16,20,22,25,26,28,32,34,35,38,40,44}, 0)))), 0)</f>
        <v>0</v>
      </c>
      <c r="AA223" s="3" cm="1">
        <f t="array" ref="AA223">IFERROR(COUNT(_xlfn._xlws.FILTER(B223:G223, ISNUMBER(MATCH(B223:G223, {6,9,12,15,18,21,24,27,30,33,36,39,42,45}, 0)))), 0)</f>
        <v>0</v>
      </c>
      <c r="AB223" s="30"/>
      <c r="AC223" s="26" cm="1">
        <f t="array" ref="AC223">_xlfn.IFS(
   OR(B223="",ISBLANK(B223),B223=0),0,
   ISNUMBER(MATCH(B223,{2,3,5,7,11,13,17,19,23,29,31,37,41,43},0)),"소",
   AND(ISNUMBER(B223),MOD(B223,3)=0),"배",
   AND(ISNUMBER(B223),B223&gt;0),"자"
)</f>
        <v>0</v>
      </c>
      <c r="AD223" s="26" cm="1">
        <f t="array" ref="AD223">_xlfn.IFS(
   OR(C223="",ISBLANK(C223),C223=0),0,
   ISNUMBER(MATCH(C223,{2,3,5,7,11,13,17,19,23,29,31,37,41,43},0)),"소",
   AND(ISNUMBER(C223),MOD(C223,3)=0),"배",
   AND(ISNUMBER(C223),C223&gt;0),"자"
)</f>
        <v>0</v>
      </c>
      <c r="AE223" s="26" cm="1">
        <f t="array" ref="AE223">_xlfn.IFS(
   OR(D223="",ISBLANK(D223),D223=0),0,
   ISNUMBER(MATCH(D223,{2,3,5,7,11,13,17,19,23,29,31,37,41,43},0)),"소",
   AND(ISNUMBER(D223),MOD(D223,3)=0),"배",
   AND(ISNUMBER(D223),D223&gt;0),"자"
)</f>
        <v>0</v>
      </c>
      <c r="AF223" s="26" cm="1">
        <f t="array" ref="AF223">_xlfn.IFS(
   OR(E223="",ISBLANK(E223),E223=0),0,
   ISNUMBER(MATCH(E223,{2,3,5,7,11,13,17,19,23,29,31,37,41,43},0)),"소",
   AND(ISNUMBER(E223),MOD(E223,3)=0),"배",
   AND(ISNUMBER(E223),E223&gt;0),"자"
)</f>
        <v>0</v>
      </c>
      <c r="AG223" s="26" cm="1">
        <f t="array" ref="AG223">_xlfn.IFS(
   OR(F223="",ISBLANK(F223),F223=0),0,
   ISNUMBER(MATCH(F223,{2,3,5,7,11,13,17,19,23,29,31,37,41,43},0)),"소",
   AND(ISNUMBER(F223),MOD(F223,3)=0),"배",
   AND(ISNUMBER(F223),F223&gt;0),"자"
)</f>
        <v>0</v>
      </c>
      <c r="AH223" s="26" cm="1">
        <f t="array" ref="AH223">_xlfn.IFS(
   OR(G223="",ISBLANK(G223),G223=0),0,
   ISNUMBER(MATCH(G223,{2,3,5,7,11,13,17,19,23,29,31,37,41,43},0)),"소",
   AND(ISNUMBER(G223),MOD(G223,3)=0),"배",
   AND(ISNUMBER(G223),G223&gt;0),"자"
)</f>
        <v>0</v>
      </c>
      <c r="AI223" s="30"/>
      <c r="AJ223" s="3">
        <f>COUNTIFS(B223:G223,"&gt;=1",B223:G223,"&lt;=14")</f>
        <v>0</v>
      </c>
      <c r="AK223" s="3">
        <f>COUNTIFS(B223:G223,"&gt;=15",B223:G223,"&lt;=31")</f>
        <v>0</v>
      </c>
      <c r="AL223" s="3">
        <f>6-AK223-AJ223</f>
        <v>6</v>
      </c>
      <c r="AM223" s="33"/>
      <c r="AN223" s="3">
        <f>COUNTIFS($B223:$G223, "&gt;=1",$B223:$G223, "&lt;=9")</f>
        <v>0</v>
      </c>
      <c r="AO223" s="3">
        <f>COUNTIFS($B223:$G223, "&gt;=10",$B223:$G223, "&lt;=18")</f>
        <v>0</v>
      </c>
      <c r="AP223" s="3">
        <f>COUNTIFS($B223:$G223, "&gt;=19",$B223:$G223, "&lt;=27")</f>
        <v>0</v>
      </c>
      <c r="AQ223" s="3">
        <f>COUNTIFS($B223:$G223, "&gt;=28",$B223:$G223, "&lt;=36")</f>
        <v>0</v>
      </c>
      <c r="AR223" s="3">
        <f>COUNTIFS($B223:$G223, "&gt;=37",$B223:$G223, "&lt;=45")</f>
        <v>0</v>
      </c>
      <c r="AS223" s="28" t="e">
        <f>#REF!</f>
        <v>#REF!</v>
      </c>
      <c r="AT223" s="28" t="e">
        <f>#REF!*2</f>
        <v>#REF!</v>
      </c>
      <c r="AU223" s="28" t="e">
        <f>#REF!</f>
        <v>#REF!</v>
      </c>
      <c r="AV223" s="28" t="e">
        <f>#REF!*2</f>
        <v>#REF!</v>
      </c>
      <c r="AW223" s="28" t="e">
        <f>#REF!</f>
        <v>#REF!</v>
      </c>
      <c r="AX223" s="28" t="e">
        <f>#REF!*2</f>
        <v>#REF!</v>
      </c>
      <c r="AY223" s="28" t="e">
        <f>#REF!</f>
        <v>#REF!</v>
      </c>
      <c r="AZ223" s="28" t="e">
        <f>#REF!*2</f>
        <v>#REF!</v>
      </c>
      <c r="BA223" s="28" t="e">
        <f>#REF!</f>
        <v>#REF!</v>
      </c>
      <c r="BB223" s="28" t="e">
        <f>#REF!*2</f>
        <v>#REF!</v>
      </c>
      <c r="BC223" s="28" t="e">
        <f>#REF!</f>
        <v>#REF!</v>
      </c>
      <c r="BD223" s="28" t="e">
        <f>#REF!*2</f>
        <v>#REF!</v>
      </c>
      <c r="BE223" s="9" t="e">
        <f>#REF!-#REF!</f>
        <v>#REF!</v>
      </c>
      <c r="BF223" s="9" t="e">
        <f>#REF!-#REF!</f>
        <v>#REF!</v>
      </c>
      <c r="BG223" s="9" t="e">
        <f>#REF!-#REF!</f>
        <v>#REF!</v>
      </c>
      <c r="BH223" s="9" t="e">
        <f>#REF!-#REF!</f>
        <v>#REF!</v>
      </c>
      <c r="BI223" s="9" t="e">
        <f>#REF!-#REF!</f>
        <v>#REF!</v>
      </c>
      <c r="BJ223" s="33"/>
      <c r="BK223" s="3">
        <f>COUNTIFS(B223:G223, "&gt;=1", B223:G223, "&lt;=9")</f>
        <v>0</v>
      </c>
      <c r="BL223" s="3">
        <f>COUNTIFS(B223:G223, "&gt;=10", B223:G223, "&lt;=19")</f>
        <v>0</v>
      </c>
      <c r="BM223" s="3">
        <f>COUNTIFS(B223:G223, "&gt;=20", B223:G223, "&lt;=29")</f>
        <v>0</v>
      </c>
      <c r="BN223" s="3">
        <f>COUNTIFS(B223:G223, "&gt;=30", B223:G223, "&lt;=39")</f>
        <v>0</v>
      </c>
      <c r="BO223" s="3">
        <f>COUNTIFS(B223:G223, "&gt;=40", B223:G223, "&lt;=45")</f>
        <v>0</v>
      </c>
      <c r="BP223" s="28" t="e">
        <f>#REF!</f>
        <v>#REF!</v>
      </c>
      <c r="BQ223" s="28" t="e">
        <f>#REF!*2</f>
        <v>#REF!</v>
      </c>
      <c r="BR223" s="28" t="e">
        <f>#REF!</f>
        <v>#REF!</v>
      </c>
      <c r="BS223" s="28" t="e">
        <f>#REF!*2</f>
        <v>#REF!</v>
      </c>
      <c r="BT223" s="28" t="e">
        <f>#REF!</f>
        <v>#REF!</v>
      </c>
      <c r="BU223" s="28" t="e">
        <f>#REF!*2</f>
        <v>#REF!</v>
      </c>
      <c r="BV223" s="28" t="e">
        <f>#REF!</f>
        <v>#REF!</v>
      </c>
      <c r="BW223" s="28" t="e">
        <f>#REF!*2</f>
        <v>#REF!</v>
      </c>
      <c r="BX223" s="28" t="e">
        <f>#REF!</f>
        <v>#REF!</v>
      </c>
      <c r="BY223" s="28" t="e">
        <f>#REF!*2</f>
        <v>#REF!</v>
      </c>
      <c r="BZ223" s="28" t="e">
        <f>#REF!</f>
        <v>#REF!</v>
      </c>
      <c r="CA223" s="28" t="e">
        <f>#REF!*2</f>
        <v>#REF!</v>
      </c>
      <c r="CB223" s="9">
        <f>C223-B223</f>
        <v>0</v>
      </c>
      <c r="CC223" s="9">
        <f>D223-C223</f>
        <v>0</v>
      </c>
      <c r="CD223" s="9">
        <f>E223-D223</f>
        <v>0</v>
      </c>
      <c r="CE223" s="9">
        <f>F223-E223</f>
        <v>0</v>
      </c>
      <c r="CF223" s="9">
        <f>G223-F223</f>
        <v>0</v>
      </c>
      <c r="CG223" s="33"/>
      <c r="CH223" s="3">
        <f>C223-B223</f>
        <v>0</v>
      </c>
      <c r="CI223" s="3">
        <f>D223-C223</f>
        <v>0</v>
      </c>
      <c r="CJ223" s="3">
        <f>E223-D223</f>
        <v>0</v>
      </c>
      <c r="CK223" s="3">
        <f>F223-E223</f>
        <v>0</v>
      </c>
      <c r="CL223" s="3">
        <f>G223-F223</f>
        <v>0</v>
      </c>
      <c r="CM223" s="32"/>
      <c r="CN223" s="3">
        <f>IF(OR(CH223="",ISBLANK(CH223),CH223=0),0,IF(MOD(CH223,2)=1,1,2))</f>
        <v>0</v>
      </c>
      <c r="CO223" s="3">
        <f>IF(OR(CI223="",ISBLANK(CI223),CI223=0),0,IF(MOD(CI223,2)=1,1,2))</f>
        <v>0</v>
      </c>
      <c r="CP223" s="3">
        <f>IF(OR(CJ223="",ISBLANK(CJ223),CJ223=0),0,IF(MOD(CJ223,2)=1,1,2))</f>
        <v>0</v>
      </c>
      <c r="CQ223" s="3">
        <f>IF(OR(CK223="",ISBLANK(CK223),CK223=0),0,IF(MOD(CK223,2)=1,1,2))</f>
        <v>0</v>
      </c>
      <c r="CR223" s="3">
        <f>IF(OR(CL223="",ISBLANK(CL223),CL223=0),0,IF(MOD(CL223,2)=1,1,2))</f>
        <v>0</v>
      </c>
      <c r="CS223" s="31"/>
      <c r="CT223" s="3" cm="1">
        <f t="array" ref="CT223">SUMPRODUCT(--(MOD(CH223:CL223,2)=1))</f>
        <v>0</v>
      </c>
      <c r="CU223" s="3">
        <f>5-CT223</f>
        <v>5</v>
      </c>
      <c r="CV223" s="30"/>
      <c r="CW223" s="3" cm="1">
        <f t="array" ref="CW223">SUMPRODUCT(--(MOD(CH223:CL223,10)&gt;=1), --(MOD(CH223:CL223,10)&lt;=5))</f>
        <v>0</v>
      </c>
      <c r="CX223" s="3">
        <f>5-CW223</f>
        <v>5</v>
      </c>
      <c r="CY223" s="30"/>
      <c r="CZ223" s="3" cm="1">
        <f t="array" ref="CZ223">IFERROR(COUNT(_xlfn._xlws.FILTER(CH223:CL223, ISNUMBER(MATCH(CH223:CL223, {2,3,5,7,11,13,17,19,23,29,31,37,41,43}, 0)))), 0)</f>
        <v>0</v>
      </c>
      <c r="DA223" s="3" cm="1">
        <f t="array" ref="DA223">IFERROR(COUNT(_xlfn._xlws.FILTER(CH223:CL223, ISNUMBER(MATCH(CH223:CL223, {1,4,8,10,14,16,20,22,25,26,28,32,34,35,38,40,44}, 0)))), 0)</f>
        <v>0</v>
      </c>
      <c r="DB223" s="3" cm="1">
        <f t="array" ref="DB223">IFERROR(COUNT(_xlfn._xlws.FILTER(CH223:CL223, ISNUMBER(MATCH(CH223:CL223, {6,9,12,15,18,21,24,27,30,33,36,39,42,45}, 0)))), 0)</f>
        <v>0</v>
      </c>
      <c r="DC223" s="29"/>
      <c r="DD223" s="28" t="e">
        <f>#REF!</f>
        <v>#REF!</v>
      </c>
      <c r="DE223" s="28" t="e">
        <f>#REF!*2</f>
        <v>#REF!</v>
      </c>
      <c r="DF223" s="28" t="e">
        <f>#REF!</f>
        <v>#REF!</v>
      </c>
      <c r="DG223" s="28" t="e">
        <f>#REF!*2</f>
        <v>#REF!</v>
      </c>
      <c r="DH223" s="28" t="e">
        <f>#REF!</f>
        <v>#REF!</v>
      </c>
      <c r="DI223" s="28" t="e">
        <f>#REF!*2</f>
        <v>#REF!</v>
      </c>
      <c r="DJ223" s="28" t="e">
        <f>#REF!</f>
        <v>#REF!</v>
      </c>
      <c r="DK223" s="28" t="e">
        <f>#REF!*2</f>
        <v>#REF!</v>
      </c>
      <c r="DL223" s="28" t="e">
        <f>#REF!</f>
        <v>#REF!</v>
      </c>
      <c r="DM223" s="28" t="e">
        <f>#REF!*2</f>
        <v>#REF!</v>
      </c>
      <c r="DN223" s="27"/>
      <c r="DO223" s="26"/>
      <c r="DP223" s="26"/>
      <c r="DQ223" s="26"/>
      <c r="DR223" s="26"/>
      <c r="DS223" s="26"/>
      <c r="DT223" s="25"/>
    </row>
    <row r="224" spans="2:124" x14ac:dyDescent="0.3">
      <c r="B224" s="3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2"/>
      <c r="I224" s="3">
        <f>IF(OR(B224="",ISBLANK(B224),B224=0),0,IF(MOD(B224,2)=1,1,2))</f>
        <v>0</v>
      </c>
      <c r="J224" s="3">
        <f>IF(OR(C224="",ISBLANK(C224),C224=0),0,IF(MOD(C224,2)=1,1,2))</f>
        <v>0</v>
      </c>
      <c r="K224" s="3">
        <f>IF(OR(D224="",ISBLANK(D224),D224=0),0,IF(MOD(D224,2)=1,1,2))</f>
        <v>0</v>
      </c>
      <c r="L224" s="3">
        <f>IF(OR(E224="",ISBLANK(E224),E224=0),0,IF(MOD(E224,2)=1,1,2))</f>
        <v>0</v>
      </c>
      <c r="M224" s="3">
        <f>IF(OR(F224="",ISBLANK(F224),F224=0),0,IF(MOD(F224,2)=1,1,2))</f>
        <v>0</v>
      </c>
      <c r="N224" s="3">
        <f>IF(OR(G224="",ISBLANK(G224),G224=0),0,IF(MOD(G224,2)=1,1,2))</f>
        <v>0</v>
      </c>
      <c r="O224" s="32"/>
      <c r="P224" s="3" cm="1">
        <f t="array" ref="P224">SUMPRODUCT(--(MOD(B224:G224,2)=1))</f>
        <v>0</v>
      </c>
      <c r="Q224" s="3">
        <f>6-P224</f>
        <v>6</v>
      </c>
      <c r="R224" s="34"/>
      <c r="S224" s="3">
        <f>COUNTIFS(B224:G224,"&gt;=1",B224:G224,"&lt;=23")</f>
        <v>0</v>
      </c>
      <c r="T224" s="3">
        <f>6-S224</f>
        <v>6</v>
      </c>
      <c r="U224" s="34"/>
      <c r="V224" s="3" cm="1">
        <f t="array" ref="V224">SUMPRODUCT(--(MOD(B224:G224,10)&gt;=1), --(MOD(B224:G224,10)&lt;=5))</f>
        <v>0</v>
      </c>
      <c r="W224" s="3">
        <f>6-V224</f>
        <v>6</v>
      </c>
      <c r="X224" s="34"/>
      <c r="Y224" s="3" cm="1">
        <f t="array" ref="Y224">IFERROR(COUNT(_xlfn._xlws.FILTER(B224:G224, ISNUMBER(MATCH(B224:G224, {2,3,5,7,11,13,17,19,23,29,31,37,41,43}, 0)))), 0)</f>
        <v>0</v>
      </c>
      <c r="Z224" s="3" cm="1">
        <f t="array" ref="Z224">IFERROR(COUNT(_xlfn._xlws.FILTER(B224:G224, ISNUMBER(MATCH(B224:G224, {1,4,8,10,14,16,20,22,25,26,28,32,34,35,38,40,44}, 0)))), 0)</f>
        <v>0</v>
      </c>
      <c r="AA224" s="3" cm="1">
        <f t="array" ref="AA224">IFERROR(COUNT(_xlfn._xlws.FILTER(B224:G224, ISNUMBER(MATCH(B224:G224, {6,9,12,15,18,21,24,27,30,33,36,39,42,45}, 0)))), 0)</f>
        <v>0</v>
      </c>
      <c r="AB224" s="30"/>
      <c r="AC224" s="26" cm="1">
        <f t="array" ref="AC224">_xlfn.IFS(
   OR(B224="",ISBLANK(B224),B224=0),0,
   ISNUMBER(MATCH(B224,{2,3,5,7,11,13,17,19,23,29,31,37,41,43},0)),"소",
   AND(ISNUMBER(B224),MOD(B224,3)=0),"배",
   AND(ISNUMBER(B224),B224&gt;0),"자"
)</f>
        <v>0</v>
      </c>
      <c r="AD224" s="26" cm="1">
        <f t="array" ref="AD224">_xlfn.IFS(
   OR(C224="",ISBLANK(C224),C224=0),0,
   ISNUMBER(MATCH(C224,{2,3,5,7,11,13,17,19,23,29,31,37,41,43},0)),"소",
   AND(ISNUMBER(C224),MOD(C224,3)=0),"배",
   AND(ISNUMBER(C224),C224&gt;0),"자"
)</f>
        <v>0</v>
      </c>
      <c r="AE224" s="26" cm="1">
        <f t="array" ref="AE224">_xlfn.IFS(
   OR(D224="",ISBLANK(D224),D224=0),0,
   ISNUMBER(MATCH(D224,{2,3,5,7,11,13,17,19,23,29,31,37,41,43},0)),"소",
   AND(ISNUMBER(D224),MOD(D224,3)=0),"배",
   AND(ISNUMBER(D224),D224&gt;0),"자"
)</f>
        <v>0</v>
      </c>
      <c r="AF224" s="26" cm="1">
        <f t="array" ref="AF224">_xlfn.IFS(
   OR(E224="",ISBLANK(E224),E224=0),0,
   ISNUMBER(MATCH(E224,{2,3,5,7,11,13,17,19,23,29,31,37,41,43},0)),"소",
   AND(ISNUMBER(E224),MOD(E224,3)=0),"배",
   AND(ISNUMBER(E224),E224&gt;0),"자"
)</f>
        <v>0</v>
      </c>
      <c r="AG224" s="26" cm="1">
        <f t="array" ref="AG224">_xlfn.IFS(
   OR(F224="",ISBLANK(F224),F224=0),0,
   ISNUMBER(MATCH(F224,{2,3,5,7,11,13,17,19,23,29,31,37,41,43},0)),"소",
   AND(ISNUMBER(F224),MOD(F224,3)=0),"배",
   AND(ISNUMBER(F224),F224&gt;0),"자"
)</f>
        <v>0</v>
      </c>
      <c r="AH224" s="26" cm="1">
        <f t="array" ref="AH224">_xlfn.IFS(
   OR(G224="",ISBLANK(G224),G224=0),0,
   ISNUMBER(MATCH(G224,{2,3,5,7,11,13,17,19,23,29,31,37,41,43},0)),"소",
   AND(ISNUMBER(G224),MOD(G224,3)=0),"배",
   AND(ISNUMBER(G224),G224&gt;0),"자"
)</f>
        <v>0</v>
      </c>
      <c r="AI224" s="30"/>
      <c r="AJ224" s="3">
        <f>COUNTIFS(B224:G224,"&gt;=1",B224:G224,"&lt;=14")</f>
        <v>0</v>
      </c>
      <c r="AK224" s="3">
        <f>COUNTIFS(B224:G224,"&gt;=15",B224:G224,"&lt;=31")</f>
        <v>0</v>
      </c>
      <c r="AL224" s="3">
        <f>6-AK224-AJ224</f>
        <v>6</v>
      </c>
      <c r="AM224" s="33"/>
      <c r="AN224" s="3">
        <f>COUNTIFS($B224:$G224, "&gt;=1",$B224:$G224, "&lt;=9")</f>
        <v>0</v>
      </c>
      <c r="AO224" s="3">
        <f>COUNTIFS($B224:$G224, "&gt;=10",$B224:$G224, "&lt;=18")</f>
        <v>0</v>
      </c>
      <c r="AP224" s="3">
        <f>COUNTIFS($B224:$G224, "&gt;=19",$B224:$G224, "&lt;=27")</f>
        <v>0</v>
      </c>
      <c r="AQ224" s="3">
        <f>COUNTIFS($B224:$G224, "&gt;=28",$B224:$G224, "&lt;=36")</f>
        <v>0</v>
      </c>
      <c r="AR224" s="3">
        <f>COUNTIFS($B224:$G224, "&gt;=37",$B224:$G224, "&lt;=45")</f>
        <v>0</v>
      </c>
      <c r="AS224" s="28" t="e">
        <f>#REF!</f>
        <v>#REF!</v>
      </c>
      <c r="AT224" s="28" t="e">
        <f>#REF!*2</f>
        <v>#REF!</v>
      </c>
      <c r="AU224" s="28" t="e">
        <f>#REF!</f>
        <v>#REF!</v>
      </c>
      <c r="AV224" s="28" t="e">
        <f>#REF!*2</f>
        <v>#REF!</v>
      </c>
      <c r="AW224" s="28" t="e">
        <f>#REF!</f>
        <v>#REF!</v>
      </c>
      <c r="AX224" s="28" t="e">
        <f>#REF!*2</f>
        <v>#REF!</v>
      </c>
      <c r="AY224" s="28" t="e">
        <f>#REF!</f>
        <v>#REF!</v>
      </c>
      <c r="AZ224" s="28" t="e">
        <f>#REF!*2</f>
        <v>#REF!</v>
      </c>
      <c r="BA224" s="28" t="e">
        <f>#REF!</f>
        <v>#REF!</v>
      </c>
      <c r="BB224" s="28" t="e">
        <f>#REF!*2</f>
        <v>#REF!</v>
      </c>
      <c r="BC224" s="28" t="e">
        <f>#REF!</f>
        <v>#REF!</v>
      </c>
      <c r="BD224" s="28" t="e">
        <f>#REF!*2</f>
        <v>#REF!</v>
      </c>
      <c r="BE224" s="9" t="e">
        <f>#REF!-#REF!</f>
        <v>#REF!</v>
      </c>
      <c r="BF224" s="9" t="e">
        <f>#REF!-#REF!</f>
        <v>#REF!</v>
      </c>
      <c r="BG224" s="9" t="e">
        <f>#REF!-#REF!</f>
        <v>#REF!</v>
      </c>
      <c r="BH224" s="9" t="e">
        <f>#REF!-#REF!</f>
        <v>#REF!</v>
      </c>
      <c r="BI224" s="9" t="e">
        <f>#REF!-#REF!</f>
        <v>#REF!</v>
      </c>
      <c r="BJ224" s="33"/>
      <c r="BK224" s="3">
        <f>COUNTIFS(B224:G224, "&gt;=1", B224:G224, "&lt;=9")</f>
        <v>0</v>
      </c>
      <c r="BL224" s="3">
        <f>COUNTIFS(B224:G224, "&gt;=10", B224:G224, "&lt;=19")</f>
        <v>0</v>
      </c>
      <c r="BM224" s="3">
        <f>COUNTIFS(B224:G224, "&gt;=20", B224:G224, "&lt;=29")</f>
        <v>0</v>
      </c>
      <c r="BN224" s="3">
        <f>COUNTIFS(B224:G224, "&gt;=30", B224:G224, "&lt;=39")</f>
        <v>0</v>
      </c>
      <c r="BO224" s="3">
        <f>COUNTIFS(B224:G224, "&gt;=40", B224:G224, "&lt;=45")</f>
        <v>0</v>
      </c>
      <c r="BP224" s="28" t="e">
        <f>#REF!</f>
        <v>#REF!</v>
      </c>
      <c r="BQ224" s="28" t="e">
        <f>#REF!*2</f>
        <v>#REF!</v>
      </c>
      <c r="BR224" s="28" t="e">
        <f>#REF!</f>
        <v>#REF!</v>
      </c>
      <c r="BS224" s="28" t="e">
        <f>#REF!*2</f>
        <v>#REF!</v>
      </c>
      <c r="BT224" s="28" t="e">
        <f>#REF!</f>
        <v>#REF!</v>
      </c>
      <c r="BU224" s="28" t="e">
        <f>#REF!*2</f>
        <v>#REF!</v>
      </c>
      <c r="BV224" s="28" t="e">
        <f>#REF!</f>
        <v>#REF!</v>
      </c>
      <c r="BW224" s="28" t="e">
        <f>#REF!*2</f>
        <v>#REF!</v>
      </c>
      <c r="BX224" s="28" t="e">
        <f>#REF!</f>
        <v>#REF!</v>
      </c>
      <c r="BY224" s="28" t="e">
        <f>#REF!*2</f>
        <v>#REF!</v>
      </c>
      <c r="BZ224" s="28" t="e">
        <f>#REF!</f>
        <v>#REF!</v>
      </c>
      <c r="CA224" s="28" t="e">
        <f>#REF!*2</f>
        <v>#REF!</v>
      </c>
      <c r="CB224" s="9">
        <f>C224-B224</f>
        <v>0</v>
      </c>
      <c r="CC224" s="9">
        <f>D224-C224</f>
        <v>0</v>
      </c>
      <c r="CD224" s="9">
        <f>E224-D224</f>
        <v>0</v>
      </c>
      <c r="CE224" s="9">
        <f>F224-E224</f>
        <v>0</v>
      </c>
      <c r="CF224" s="9">
        <f>G224-F224</f>
        <v>0</v>
      </c>
      <c r="CG224" s="33"/>
      <c r="CH224" s="3">
        <f>C224-B224</f>
        <v>0</v>
      </c>
      <c r="CI224" s="3">
        <f>D224-C224</f>
        <v>0</v>
      </c>
      <c r="CJ224" s="3">
        <f>E224-D224</f>
        <v>0</v>
      </c>
      <c r="CK224" s="3">
        <f>F224-E224</f>
        <v>0</v>
      </c>
      <c r="CL224" s="3">
        <f>G224-F224</f>
        <v>0</v>
      </c>
      <c r="CM224" s="32"/>
      <c r="CN224" s="3">
        <f>IF(OR(CH224="",ISBLANK(CH224),CH224=0),0,IF(MOD(CH224,2)=1,1,2))</f>
        <v>0</v>
      </c>
      <c r="CO224" s="3">
        <f>IF(OR(CI224="",ISBLANK(CI224),CI224=0),0,IF(MOD(CI224,2)=1,1,2))</f>
        <v>0</v>
      </c>
      <c r="CP224" s="3">
        <f>IF(OR(CJ224="",ISBLANK(CJ224),CJ224=0),0,IF(MOD(CJ224,2)=1,1,2))</f>
        <v>0</v>
      </c>
      <c r="CQ224" s="3">
        <f>IF(OR(CK224="",ISBLANK(CK224),CK224=0),0,IF(MOD(CK224,2)=1,1,2))</f>
        <v>0</v>
      </c>
      <c r="CR224" s="3">
        <f>IF(OR(CL224="",ISBLANK(CL224),CL224=0),0,IF(MOD(CL224,2)=1,1,2))</f>
        <v>0</v>
      </c>
      <c r="CS224" s="31"/>
      <c r="CT224" s="3" cm="1">
        <f t="array" ref="CT224">SUMPRODUCT(--(MOD(CH224:CL224,2)=1))</f>
        <v>0</v>
      </c>
      <c r="CU224" s="3">
        <f>5-CT224</f>
        <v>5</v>
      </c>
      <c r="CV224" s="30"/>
      <c r="CW224" s="3" cm="1">
        <f t="array" ref="CW224">SUMPRODUCT(--(MOD(CH224:CL224,10)&gt;=1), --(MOD(CH224:CL224,10)&lt;=5))</f>
        <v>0</v>
      </c>
      <c r="CX224" s="3">
        <f>5-CW224</f>
        <v>5</v>
      </c>
      <c r="CY224" s="30"/>
      <c r="CZ224" s="3" cm="1">
        <f t="array" ref="CZ224">IFERROR(COUNT(_xlfn._xlws.FILTER(CH224:CL224, ISNUMBER(MATCH(CH224:CL224, {2,3,5,7,11,13,17,19,23,29,31,37,41,43}, 0)))), 0)</f>
        <v>0</v>
      </c>
      <c r="DA224" s="3" cm="1">
        <f t="array" ref="DA224">IFERROR(COUNT(_xlfn._xlws.FILTER(CH224:CL224, ISNUMBER(MATCH(CH224:CL224, {1,4,8,10,14,16,20,22,25,26,28,32,34,35,38,40,44}, 0)))), 0)</f>
        <v>0</v>
      </c>
      <c r="DB224" s="3" cm="1">
        <f t="array" ref="DB224">IFERROR(COUNT(_xlfn._xlws.FILTER(CH224:CL224, ISNUMBER(MATCH(CH224:CL224, {6,9,12,15,18,21,24,27,30,33,36,39,42,45}, 0)))), 0)</f>
        <v>0</v>
      </c>
      <c r="DC224" s="29"/>
      <c r="DD224" s="28" t="e">
        <f>#REF!</f>
        <v>#REF!</v>
      </c>
      <c r="DE224" s="28" t="e">
        <f>#REF!*2</f>
        <v>#REF!</v>
      </c>
      <c r="DF224" s="28" t="e">
        <f>#REF!</f>
        <v>#REF!</v>
      </c>
      <c r="DG224" s="28" t="e">
        <f>#REF!*2</f>
        <v>#REF!</v>
      </c>
      <c r="DH224" s="28" t="e">
        <f>#REF!</f>
        <v>#REF!</v>
      </c>
      <c r="DI224" s="28" t="e">
        <f>#REF!*2</f>
        <v>#REF!</v>
      </c>
      <c r="DJ224" s="28" t="e">
        <f>#REF!</f>
        <v>#REF!</v>
      </c>
      <c r="DK224" s="28" t="e">
        <f>#REF!*2</f>
        <v>#REF!</v>
      </c>
      <c r="DL224" s="28" t="e">
        <f>#REF!</f>
        <v>#REF!</v>
      </c>
      <c r="DM224" s="28" t="e">
        <f>#REF!*2</f>
        <v>#REF!</v>
      </c>
      <c r="DN224" s="27"/>
      <c r="DO224" s="26"/>
      <c r="DP224" s="26"/>
      <c r="DQ224" s="26"/>
      <c r="DR224" s="26"/>
      <c r="DS224" s="26"/>
      <c r="DT224" s="25"/>
    </row>
    <row r="225" spans="2:124" x14ac:dyDescent="0.3"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2"/>
      <c r="I225" s="3">
        <f>IF(OR(B225="",ISBLANK(B225),B225=0),0,IF(MOD(B225,2)=1,1,2))</f>
        <v>0</v>
      </c>
      <c r="J225" s="3">
        <f>IF(OR(C225="",ISBLANK(C225),C225=0),0,IF(MOD(C225,2)=1,1,2))</f>
        <v>0</v>
      </c>
      <c r="K225" s="3">
        <f>IF(OR(D225="",ISBLANK(D225),D225=0),0,IF(MOD(D225,2)=1,1,2))</f>
        <v>0</v>
      </c>
      <c r="L225" s="3">
        <f>IF(OR(E225="",ISBLANK(E225),E225=0),0,IF(MOD(E225,2)=1,1,2))</f>
        <v>0</v>
      </c>
      <c r="M225" s="3">
        <f>IF(OR(F225="",ISBLANK(F225),F225=0),0,IF(MOD(F225,2)=1,1,2))</f>
        <v>0</v>
      </c>
      <c r="N225" s="3">
        <f>IF(OR(G225="",ISBLANK(G225),G225=0),0,IF(MOD(G225,2)=1,1,2))</f>
        <v>0</v>
      </c>
      <c r="O225" s="32"/>
      <c r="P225" s="3" cm="1">
        <f t="array" ref="P225">SUMPRODUCT(--(MOD(B225:G225,2)=1))</f>
        <v>0</v>
      </c>
      <c r="Q225" s="3">
        <f>6-P225</f>
        <v>6</v>
      </c>
      <c r="R225" s="34"/>
      <c r="S225" s="3">
        <f>COUNTIFS(B225:G225,"&gt;=1",B225:G225,"&lt;=23")</f>
        <v>0</v>
      </c>
      <c r="T225" s="3">
        <f>6-S225</f>
        <v>6</v>
      </c>
      <c r="U225" s="34"/>
      <c r="V225" s="3" cm="1">
        <f t="array" ref="V225">SUMPRODUCT(--(MOD(B225:G225,10)&gt;=1), --(MOD(B225:G225,10)&lt;=5))</f>
        <v>0</v>
      </c>
      <c r="W225" s="3">
        <f>6-V225</f>
        <v>6</v>
      </c>
      <c r="X225" s="34"/>
      <c r="Y225" s="3" cm="1">
        <f t="array" ref="Y225">IFERROR(COUNT(_xlfn._xlws.FILTER(B225:G225, ISNUMBER(MATCH(B225:G225, {2,3,5,7,11,13,17,19,23,29,31,37,41,43}, 0)))), 0)</f>
        <v>0</v>
      </c>
      <c r="Z225" s="3" cm="1">
        <f t="array" ref="Z225">IFERROR(COUNT(_xlfn._xlws.FILTER(B225:G225, ISNUMBER(MATCH(B225:G225, {1,4,8,10,14,16,20,22,25,26,28,32,34,35,38,40,44}, 0)))), 0)</f>
        <v>0</v>
      </c>
      <c r="AA225" s="3" cm="1">
        <f t="array" ref="AA225">IFERROR(COUNT(_xlfn._xlws.FILTER(B225:G225, ISNUMBER(MATCH(B225:G225, {6,9,12,15,18,21,24,27,30,33,36,39,42,45}, 0)))), 0)</f>
        <v>0</v>
      </c>
      <c r="AB225" s="30"/>
      <c r="AC225" s="26" cm="1">
        <f t="array" ref="AC225">_xlfn.IFS(
   OR(B225="",ISBLANK(B225),B225=0),0,
   ISNUMBER(MATCH(B225,{2,3,5,7,11,13,17,19,23,29,31,37,41,43},0)),"소",
   AND(ISNUMBER(B225),MOD(B225,3)=0),"배",
   AND(ISNUMBER(B225),B225&gt;0),"자"
)</f>
        <v>0</v>
      </c>
      <c r="AD225" s="26" cm="1">
        <f t="array" ref="AD225">_xlfn.IFS(
   OR(C225="",ISBLANK(C225),C225=0),0,
   ISNUMBER(MATCH(C225,{2,3,5,7,11,13,17,19,23,29,31,37,41,43},0)),"소",
   AND(ISNUMBER(C225),MOD(C225,3)=0),"배",
   AND(ISNUMBER(C225),C225&gt;0),"자"
)</f>
        <v>0</v>
      </c>
      <c r="AE225" s="26" cm="1">
        <f t="array" ref="AE225">_xlfn.IFS(
   OR(D225="",ISBLANK(D225),D225=0),0,
   ISNUMBER(MATCH(D225,{2,3,5,7,11,13,17,19,23,29,31,37,41,43},0)),"소",
   AND(ISNUMBER(D225),MOD(D225,3)=0),"배",
   AND(ISNUMBER(D225),D225&gt;0),"자"
)</f>
        <v>0</v>
      </c>
      <c r="AF225" s="26" cm="1">
        <f t="array" ref="AF225">_xlfn.IFS(
   OR(E225="",ISBLANK(E225),E225=0),0,
   ISNUMBER(MATCH(E225,{2,3,5,7,11,13,17,19,23,29,31,37,41,43},0)),"소",
   AND(ISNUMBER(E225),MOD(E225,3)=0),"배",
   AND(ISNUMBER(E225),E225&gt;0),"자"
)</f>
        <v>0</v>
      </c>
      <c r="AG225" s="26" cm="1">
        <f t="array" ref="AG225">_xlfn.IFS(
   OR(F225="",ISBLANK(F225),F225=0),0,
   ISNUMBER(MATCH(F225,{2,3,5,7,11,13,17,19,23,29,31,37,41,43},0)),"소",
   AND(ISNUMBER(F225),MOD(F225,3)=0),"배",
   AND(ISNUMBER(F225),F225&gt;0),"자"
)</f>
        <v>0</v>
      </c>
      <c r="AH225" s="26" cm="1">
        <f t="array" ref="AH225">_xlfn.IFS(
   OR(G225="",ISBLANK(G225),G225=0),0,
   ISNUMBER(MATCH(G225,{2,3,5,7,11,13,17,19,23,29,31,37,41,43},0)),"소",
   AND(ISNUMBER(G225),MOD(G225,3)=0),"배",
   AND(ISNUMBER(G225),G225&gt;0),"자"
)</f>
        <v>0</v>
      </c>
      <c r="AI225" s="30"/>
      <c r="AJ225" s="3">
        <f>COUNTIFS(B225:G225,"&gt;=1",B225:G225,"&lt;=14")</f>
        <v>0</v>
      </c>
      <c r="AK225" s="3">
        <f>COUNTIFS(B225:G225,"&gt;=15",B225:G225,"&lt;=31")</f>
        <v>0</v>
      </c>
      <c r="AL225" s="3">
        <f>6-AK225-AJ225</f>
        <v>6</v>
      </c>
      <c r="AM225" s="33"/>
      <c r="AN225" s="3">
        <f>COUNTIFS($B225:$G225, "&gt;=1",$B225:$G225, "&lt;=9")</f>
        <v>0</v>
      </c>
      <c r="AO225" s="3">
        <f>COUNTIFS($B225:$G225, "&gt;=10",$B225:$G225, "&lt;=18")</f>
        <v>0</v>
      </c>
      <c r="AP225" s="3">
        <f>COUNTIFS($B225:$G225, "&gt;=19",$B225:$G225, "&lt;=27")</f>
        <v>0</v>
      </c>
      <c r="AQ225" s="3">
        <f>COUNTIFS($B225:$G225, "&gt;=28",$B225:$G225, "&lt;=36")</f>
        <v>0</v>
      </c>
      <c r="AR225" s="3">
        <f>COUNTIFS($B225:$G225, "&gt;=37",$B225:$G225, "&lt;=45")</f>
        <v>0</v>
      </c>
      <c r="AS225" s="28" t="e">
        <f>#REF!</f>
        <v>#REF!</v>
      </c>
      <c r="AT225" s="28" t="e">
        <f>#REF!*2</f>
        <v>#REF!</v>
      </c>
      <c r="AU225" s="28" t="e">
        <f>#REF!</f>
        <v>#REF!</v>
      </c>
      <c r="AV225" s="28" t="e">
        <f>#REF!*2</f>
        <v>#REF!</v>
      </c>
      <c r="AW225" s="28" t="e">
        <f>#REF!</f>
        <v>#REF!</v>
      </c>
      <c r="AX225" s="28" t="e">
        <f>#REF!*2</f>
        <v>#REF!</v>
      </c>
      <c r="AY225" s="28" t="e">
        <f>#REF!</f>
        <v>#REF!</v>
      </c>
      <c r="AZ225" s="28" t="e">
        <f>#REF!*2</f>
        <v>#REF!</v>
      </c>
      <c r="BA225" s="28" t="e">
        <f>#REF!</f>
        <v>#REF!</v>
      </c>
      <c r="BB225" s="28" t="e">
        <f>#REF!*2</f>
        <v>#REF!</v>
      </c>
      <c r="BC225" s="28" t="e">
        <f>#REF!</f>
        <v>#REF!</v>
      </c>
      <c r="BD225" s="28" t="e">
        <f>#REF!*2</f>
        <v>#REF!</v>
      </c>
      <c r="BE225" s="9" t="e">
        <f>#REF!-#REF!</f>
        <v>#REF!</v>
      </c>
      <c r="BF225" s="9" t="e">
        <f>#REF!-#REF!</f>
        <v>#REF!</v>
      </c>
      <c r="BG225" s="9" t="e">
        <f>#REF!-#REF!</f>
        <v>#REF!</v>
      </c>
      <c r="BH225" s="9" t="e">
        <f>#REF!-#REF!</f>
        <v>#REF!</v>
      </c>
      <c r="BI225" s="9" t="e">
        <f>#REF!-#REF!</f>
        <v>#REF!</v>
      </c>
      <c r="BJ225" s="33"/>
      <c r="BK225" s="3">
        <f>COUNTIFS(B225:G225, "&gt;=1", B225:G225, "&lt;=9")</f>
        <v>0</v>
      </c>
      <c r="BL225" s="3">
        <f>COUNTIFS(B225:G225, "&gt;=10", B225:G225, "&lt;=19")</f>
        <v>0</v>
      </c>
      <c r="BM225" s="3">
        <f>COUNTIFS(B225:G225, "&gt;=20", B225:G225, "&lt;=29")</f>
        <v>0</v>
      </c>
      <c r="BN225" s="3">
        <f>COUNTIFS(B225:G225, "&gt;=30", B225:G225, "&lt;=39")</f>
        <v>0</v>
      </c>
      <c r="BO225" s="3">
        <f>COUNTIFS(B225:G225, "&gt;=40", B225:G225, "&lt;=45")</f>
        <v>0</v>
      </c>
      <c r="BP225" s="28" t="e">
        <f>#REF!</f>
        <v>#REF!</v>
      </c>
      <c r="BQ225" s="28" t="e">
        <f>#REF!*2</f>
        <v>#REF!</v>
      </c>
      <c r="BR225" s="28" t="e">
        <f>#REF!</f>
        <v>#REF!</v>
      </c>
      <c r="BS225" s="28" t="e">
        <f>#REF!*2</f>
        <v>#REF!</v>
      </c>
      <c r="BT225" s="28" t="e">
        <f>#REF!</f>
        <v>#REF!</v>
      </c>
      <c r="BU225" s="28" t="e">
        <f>#REF!*2</f>
        <v>#REF!</v>
      </c>
      <c r="BV225" s="28" t="e">
        <f>#REF!</f>
        <v>#REF!</v>
      </c>
      <c r="BW225" s="28" t="e">
        <f>#REF!*2</f>
        <v>#REF!</v>
      </c>
      <c r="BX225" s="28" t="e">
        <f>#REF!</f>
        <v>#REF!</v>
      </c>
      <c r="BY225" s="28" t="e">
        <f>#REF!*2</f>
        <v>#REF!</v>
      </c>
      <c r="BZ225" s="28" t="e">
        <f>#REF!</f>
        <v>#REF!</v>
      </c>
      <c r="CA225" s="28" t="e">
        <f>#REF!*2</f>
        <v>#REF!</v>
      </c>
      <c r="CB225" s="9">
        <f>C225-B225</f>
        <v>0</v>
      </c>
      <c r="CC225" s="9">
        <f>D225-C225</f>
        <v>0</v>
      </c>
      <c r="CD225" s="9">
        <f>E225-D225</f>
        <v>0</v>
      </c>
      <c r="CE225" s="9">
        <f>F225-E225</f>
        <v>0</v>
      </c>
      <c r="CF225" s="9">
        <f>G225-F225</f>
        <v>0</v>
      </c>
      <c r="CG225" s="33"/>
      <c r="CH225" s="3">
        <f>C225-B225</f>
        <v>0</v>
      </c>
      <c r="CI225" s="3">
        <f>D225-C225</f>
        <v>0</v>
      </c>
      <c r="CJ225" s="3">
        <f>E225-D225</f>
        <v>0</v>
      </c>
      <c r="CK225" s="3">
        <f>F225-E225</f>
        <v>0</v>
      </c>
      <c r="CL225" s="3">
        <f>G225-F225</f>
        <v>0</v>
      </c>
      <c r="CM225" s="32"/>
      <c r="CN225" s="3">
        <f>IF(OR(CH225="",ISBLANK(CH225),CH225=0),0,IF(MOD(CH225,2)=1,1,2))</f>
        <v>0</v>
      </c>
      <c r="CO225" s="3">
        <f>IF(OR(CI225="",ISBLANK(CI225),CI225=0),0,IF(MOD(CI225,2)=1,1,2))</f>
        <v>0</v>
      </c>
      <c r="CP225" s="3">
        <f>IF(OR(CJ225="",ISBLANK(CJ225),CJ225=0),0,IF(MOD(CJ225,2)=1,1,2))</f>
        <v>0</v>
      </c>
      <c r="CQ225" s="3">
        <f>IF(OR(CK225="",ISBLANK(CK225),CK225=0),0,IF(MOD(CK225,2)=1,1,2))</f>
        <v>0</v>
      </c>
      <c r="CR225" s="3">
        <f>IF(OR(CL225="",ISBLANK(CL225),CL225=0),0,IF(MOD(CL225,2)=1,1,2))</f>
        <v>0</v>
      </c>
      <c r="CS225" s="31"/>
      <c r="CT225" s="3" cm="1">
        <f t="array" ref="CT225">SUMPRODUCT(--(MOD(CH225:CL225,2)=1))</f>
        <v>0</v>
      </c>
      <c r="CU225" s="3">
        <f>5-CT225</f>
        <v>5</v>
      </c>
      <c r="CV225" s="30"/>
      <c r="CW225" s="3" cm="1">
        <f t="array" ref="CW225">SUMPRODUCT(--(MOD(CH225:CL225,10)&gt;=1), --(MOD(CH225:CL225,10)&lt;=5))</f>
        <v>0</v>
      </c>
      <c r="CX225" s="3">
        <f>5-CW225</f>
        <v>5</v>
      </c>
      <c r="CY225" s="30"/>
      <c r="CZ225" s="3" cm="1">
        <f t="array" ref="CZ225">IFERROR(COUNT(_xlfn._xlws.FILTER(CH225:CL225, ISNUMBER(MATCH(CH225:CL225, {2,3,5,7,11,13,17,19,23,29,31,37,41,43}, 0)))), 0)</f>
        <v>0</v>
      </c>
      <c r="DA225" s="3" cm="1">
        <f t="array" ref="DA225">IFERROR(COUNT(_xlfn._xlws.FILTER(CH225:CL225, ISNUMBER(MATCH(CH225:CL225, {1,4,8,10,14,16,20,22,25,26,28,32,34,35,38,40,44}, 0)))), 0)</f>
        <v>0</v>
      </c>
      <c r="DB225" s="3" cm="1">
        <f t="array" ref="DB225">IFERROR(COUNT(_xlfn._xlws.FILTER(CH225:CL225, ISNUMBER(MATCH(CH225:CL225, {6,9,12,15,18,21,24,27,30,33,36,39,42,45}, 0)))), 0)</f>
        <v>0</v>
      </c>
      <c r="DC225" s="29"/>
      <c r="DD225" s="28" t="e">
        <f>#REF!</f>
        <v>#REF!</v>
      </c>
      <c r="DE225" s="28" t="e">
        <f>#REF!*2</f>
        <v>#REF!</v>
      </c>
      <c r="DF225" s="28" t="e">
        <f>#REF!</f>
        <v>#REF!</v>
      </c>
      <c r="DG225" s="28" t="e">
        <f>#REF!*2</f>
        <v>#REF!</v>
      </c>
      <c r="DH225" s="28" t="e">
        <f>#REF!</f>
        <v>#REF!</v>
      </c>
      <c r="DI225" s="28" t="e">
        <f>#REF!*2</f>
        <v>#REF!</v>
      </c>
      <c r="DJ225" s="28" t="e">
        <f>#REF!</f>
        <v>#REF!</v>
      </c>
      <c r="DK225" s="28" t="e">
        <f>#REF!*2</f>
        <v>#REF!</v>
      </c>
      <c r="DL225" s="28" t="e">
        <f>#REF!</f>
        <v>#REF!</v>
      </c>
      <c r="DM225" s="28" t="e">
        <f>#REF!*2</f>
        <v>#REF!</v>
      </c>
      <c r="DN225" s="27"/>
      <c r="DO225" s="26"/>
      <c r="DP225" s="26"/>
      <c r="DQ225" s="26"/>
      <c r="DR225" s="26"/>
      <c r="DS225" s="26"/>
      <c r="DT225" s="25"/>
    </row>
    <row r="226" spans="2:124" x14ac:dyDescent="0.3"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2"/>
      <c r="I226" s="3">
        <f>IF(OR(B226="",ISBLANK(B226),B226=0),0,IF(MOD(B226,2)=1,1,2))</f>
        <v>0</v>
      </c>
      <c r="J226" s="3">
        <f>IF(OR(C226="",ISBLANK(C226),C226=0),0,IF(MOD(C226,2)=1,1,2))</f>
        <v>0</v>
      </c>
      <c r="K226" s="3">
        <f>IF(OR(D226="",ISBLANK(D226),D226=0),0,IF(MOD(D226,2)=1,1,2))</f>
        <v>0</v>
      </c>
      <c r="L226" s="3">
        <f>IF(OR(E226="",ISBLANK(E226),E226=0),0,IF(MOD(E226,2)=1,1,2))</f>
        <v>0</v>
      </c>
      <c r="M226" s="3">
        <f>IF(OR(F226="",ISBLANK(F226),F226=0),0,IF(MOD(F226,2)=1,1,2))</f>
        <v>0</v>
      </c>
      <c r="N226" s="3">
        <f>IF(OR(G226="",ISBLANK(G226),G226=0),0,IF(MOD(G226,2)=1,1,2))</f>
        <v>0</v>
      </c>
      <c r="O226" s="32"/>
      <c r="P226" s="3" cm="1">
        <f t="array" ref="P226">SUMPRODUCT(--(MOD(B226:G226,2)=1))</f>
        <v>0</v>
      </c>
      <c r="Q226" s="3">
        <f>6-P226</f>
        <v>6</v>
      </c>
      <c r="R226" s="34"/>
      <c r="S226" s="3">
        <f>COUNTIFS(B226:G226,"&gt;=1",B226:G226,"&lt;=23")</f>
        <v>0</v>
      </c>
      <c r="T226" s="3">
        <f>6-S226</f>
        <v>6</v>
      </c>
      <c r="U226" s="34"/>
      <c r="V226" s="3" cm="1">
        <f t="array" ref="V226">SUMPRODUCT(--(MOD(B226:G226,10)&gt;=1), --(MOD(B226:G226,10)&lt;=5))</f>
        <v>0</v>
      </c>
      <c r="W226" s="3">
        <f>6-V226</f>
        <v>6</v>
      </c>
      <c r="X226" s="34"/>
      <c r="Y226" s="3" cm="1">
        <f t="array" ref="Y226">IFERROR(COUNT(_xlfn._xlws.FILTER(B226:G226, ISNUMBER(MATCH(B226:G226, {2,3,5,7,11,13,17,19,23,29,31,37,41,43}, 0)))), 0)</f>
        <v>0</v>
      </c>
      <c r="Z226" s="3" cm="1">
        <f t="array" ref="Z226">IFERROR(COUNT(_xlfn._xlws.FILTER(B226:G226, ISNUMBER(MATCH(B226:G226, {1,4,8,10,14,16,20,22,25,26,28,32,34,35,38,40,44}, 0)))), 0)</f>
        <v>0</v>
      </c>
      <c r="AA226" s="3" cm="1">
        <f t="array" ref="AA226">IFERROR(COUNT(_xlfn._xlws.FILTER(B226:G226, ISNUMBER(MATCH(B226:G226, {6,9,12,15,18,21,24,27,30,33,36,39,42,45}, 0)))), 0)</f>
        <v>0</v>
      </c>
      <c r="AB226" s="30"/>
      <c r="AC226" s="26" cm="1">
        <f t="array" ref="AC226">_xlfn.IFS(
   OR(B226="",ISBLANK(B226),B226=0),0,
   ISNUMBER(MATCH(B226,{2,3,5,7,11,13,17,19,23,29,31,37,41,43},0)),"소",
   AND(ISNUMBER(B226),MOD(B226,3)=0),"배",
   AND(ISNUMBER(B226),B226&gt;0),"자"
)</f>
        <v>0</v>
      </c>
      <c r="AD226" s="26" cm="1">
        <f t="array" ref="AD226">_xlfn.IFS(
   OR(C226="",ISBLANK(C226),C226=0),0,
   ISNUMBER(MATCH(C226,{2,3,5,7,11,13,17,19,23,29,31,37,41,43},0)),"소",
   AND(ISNUMBER(C226),MOD(C226,3)=0),"배",
   AND(ISNUMBER(C226),C226&gt;0),"자"
)</f>
        <v>0</v>
      </c>
      <c r="AE226" s="26" cm="1">
        <f t="array" ref="AE226">_xlfn.IFS(
   OR(D226="",ISBLANK(D226),D226=0),0,
   ISNUMBER(MATCH(D226,{2,3,5,7,11,13,17,19,23,29,31,37,41,43},0)),"소",
   AND(ISNUMBER(D226),MOD(D226,3)=0),"배",
   AND(ISNUMBER(D226),D226&gt;0),"자"
)</f>
        <v>0</v>
      </c>
      <c r="AF226" s="26" cm="1">
        <f t="array" ref="AF226">_xlfn.IFS(
   OR(E226="",ISBLANK(E226),E226=0),0,
   ISNUMBER(MATCH(E226,{2,3,5,7,11,13,17,19,23,29,31,37,41,43},0)),"소",
   AND(ISNUMBER(E226),MOD(E226,3)=0),"배",
   AND(ISNUMBER(E226),E226&gt;0),"자"
)</f>
        <v>0</v>
      </c>
      <c r="AG226" s="26" cm="1">
        <f t="array" ref="AG226">_xlfn.IFS(
   OR(F226="",ISBLANK(F226),F226=0),0,
   ISNUMBER(MATCH(F226,{2,3,5,7,11,13,17,19,23,29,31,37,41,43},0)),"소",
   AND(ISNUMBER(F226),MOD(F226,3)=0),"배",
   AND(ISNUMBER(F226),F226&gt;0),"자"
)</f>
        <v>0</v>
      </c>
      <c r="AH226" s="26" cm="1">
        <f t="array" ref="AH226">_xlfn.IFS(
   OR(G226="",ISBLANK(G226),G226=0),0,
   ISNUMBER(MATCH(G226,{2,3,5,7,11,13,17,19,23,29,31,37,41,43},0)),"소",
   AND(ISNUMBER(G226),MOD(G226,3)=0),"배",
   AND(ISNUMBER(G226),G226&gt;0),"자"
)</f>
        <v>0</v>
      </c>
      <c r="AI226" s="30"/>
      <c r="AJ226" s="3">
        <f>COUNTIFS(B226:G226,"&gt;=1",B226:G226,"&lt;=14")</f>
        <v>0</v>
      </c>
      <c r="AK226" s="3">
        <f>COUNTIFS(B226:G226,"&gt;=15",B226:G226,"&lt;=31")</f>
        <v>0</v>
      </c>
      <c r="AL226" s="3">
        <f>6-AK226-AJ226</f>
        <v>6</v>
      </c>
      <c r="AM226" s="33"/>
      <c r="AN226" s="3">
        <f>COUNTIFS($B226:$G226, "&gt;=1",$B226:$G226, "&lt;=9")</f>
        <v>0</v>
      </c>
      <c r="AO226" s="3">
        <f>COUNTIFS($B226:$G226, "&gt;=10",$B226:$G226, "&lt;=18")</f>
        <v>0</v>
      </c>
      <c r="AP226" s="3">
        <f>COUNTIFS($B226:$G226, "&gt;=19",$B226:$G226, "&lt;=27")</f>
        <v>0</v>
      </c>
      <c r="AQ226" s="3">
        <f>COUNTIFS($B226:$G226, "&gt;=28",$B226:$G226, "&lt;=36")</f>
        <v>0</v>
      </c>
      <c r="AR226" s="3">
        <f>COUNTIFS($B226:$G226, "&gt;=37",$B226:$G226, "&lt;=45")</f>
        <v>0</v>
      </c>
      <c r="AS226" s="28" t="e">
        <f>#REF!</f>
        <v>#REF!</v>
      </c>
      <c r="AT226" s="28" t="e">
        <f>#REF!*2</f>
        <v>#REF!</v>
      </c>
      <c r="AU226" s="28" t="e">
        <f>#REF!</f>
        <v>#REF!</v>
      </c>
      <c r="AV226" s="28" t="e">
        <f>#REF!*2</f>
        <v>#REF!</v>
      </c>
      <c r="AW226" s="28" t="e">
        <f>#REF!</f>
        <v>#REF!</v>
      </c>
      <c r="AX226" s="28" t="e">
        <f>#REF!*2</f>
        <v>#REF!</v>
      </c>
      <c r="AY226" s="28" t="e">
        <f>#REF!</f>
        <v>#REF!</v>
      </c>
      <c r="AZ226" s="28" t="e">
        <f>#REF!*2</f>
        <v>#REF!</v>
      </c>
      <c r="BA226" s="28" t="e">
        <f>#REF!</f>
        <v>#REF!</v>
      </c>
      <c r="BB226" s="28" t="e">
        <f>#REF!*2</f>
        <v>#REF!</v>
      </c>
      <c r="BC226" s="28" t="e">
        <f>#REF!</f>
        <v>#REF!</v>
      </c>
      <c r="BD226" s="28" t="e">
        <f>#REF!*2</f>
        <v>#REF!</v>
      </c>
      <c r="BE226" s="9" t="e">
        <f>#REF!-#REF!</f>
        <v>#REF!</v>
      </c>
      <c r="BF226" s="9" t="e">
        <f>#REF!-#REF!</f>
        <v>#REF!</v>
      </c>
      <c r="BG226" s="9" t="e">
        <f>#REF!-#REF!</f>
        <v>#REF!</v>
      </c>
      <c r="BH226" s="9" t="e">
        <f>#REF!-#REF!</f>
        <v>#REF!</v>
      </c>
      <c r="BI226" s="9" t="e">
        <f>#REF!-#REF!</f>
        <v>#REF!</v>
      </c>
      <c r="BJ226" s="33"/>
      <c r="BK226" s="3">
        <f>COUNTIFS(B226:G226, "&gt;=1", B226:G226, "&lt;=9")</f>
        <v>0</v>
      </c>
      <c r="BL226" s="3">
        <f>COUNTIFS(B226:G226, "&gt;=10", B226:G226, "&lt;=19")</f>
        <v>0</v>
      </c>
      <c r="BM226" s="3">
        <f>COUNTIFS(B226:G226, "&gt;=20", B226:G226, "&lt;=29")</f>
        <v>0</v>
      </c>
      <c r="BN226" s="3">
        <f>COUNTIFS(B226:G226, "&gt;=30", B226:G226, "&lt;=39")</f>
        <v>0</v>
      </c>
      <c r="BO226" s="3">
        <f>COUNTIFS(B226:G226, "&gt;=40", B226:G226, "&lt;=45")</f>
        <v>0</v>
      </c>
      <c r="BP226" s="28" t="e">
        <f>#REF!</f>
        <v>#REF!</v>
      </c>
      <c r="BQ226" s="28" t="e">
        <f>#REF!*2</f>
        <v>#REF!</v>
      </c>
      <c r="BR226" s="28" t="e">
        <f>#REF!</f>
        <v>#REF!</v>
      </c>
      <c r="BS226" s="28" t="e">
        <f>#REF!*2</f>
        <v>#REF!</v>
      </c>
      <c r="BT226" s="28" t="e">
        <f>#REF!</f>
        <v>#REF!</v>
      </c>
      <c r="BU226" s="28" t="e">
        <f>#REF!*2</f>
        <v>#REF!</v>
      </c>
      <c r="BV226" s="28" t="e">
        <f>#REF!</f>
        <v>#REF!</v>
      </c>
      <c r="BW226" s="28" t="e">
        <f>#REF!*2</f>
        <v>#REF!</v>
      </c>
      <c r="BX226" s="28" t="e">
        <f>#REF!</f>
        <v>#REF!</v>
      </c>
      <c r="BY226" s="28" t="e">
        <f>#REF!*2</f>
        <v>#REF!</v>
      </c>
      <c r="BZ226" s="28" t="e">
        <f>#REF!</f>
        <v>#REF!</v>
      </c>
      <c r="CA226" s="28" t="e">
        <f>#REF!*2</f>
        <v>#REF!</v>
      </c>
      <c r="CB226" s="9">
        <f>C226-B226</f>
        <v>0</v>
      </c>
      <c r="CC226" s="9">
        <f>D226-C226</f>
        <v>0</v>
      </c>
      <c r="CD226" s="9">
        <f>E226-D226</f>
        <v>0</v>
      </c>
      <c r="CE226" s="9">
        <f>F226-E226</f>
        <v>0</v>
      </c>
      <c r="CF226" s="9">
        <f>G226-F226</f>
        <v>0</v>
      </c>
      <c r="CG226" s="33"/>
      <c r="CH226" s="3">
        <f>C226-B226</f>
        <v>0</v>
      </c>
      <c r="CI226" s="3">
        <f>D226-C226</f>
        <v>0</v>
      </c>
      <c r="CJ226" s="3">
        <f>E226-D226</f>
        <v>0</v>
      </c>
      <c r="CK226" s="3">
        <f>F226-E226</f>
        <v>0</v>
      </c>
      <c r="CL226" s="3">
        <f>G226-F226</f>
        <v>0</v>
      </c>
      <c r="CM226" s="32"/>
      <c r="CN226" s="3">
        <f>IF(OR(CH226="",ISBLANK(CH226),CH226=0),0,IF(MOD(CH226,2)=1,1,2))</f>
        <v>0</v>
      </c>
      <c r="CO226" s="3">
        <f>IF(OR(CI226="",ISBLANK(CI226),CI226=0),0,IF(MOD(CI226,2)=1,1,2))</f>
        <v>0</v>
      </c>
      <c r="CP226" s="3">
        <f>IF(OR(CJ226="",ISBLANK(CJ226),CJ226=0),0,IF(MOD(CJ226,2)=1,1,2))</f>
        <v>0</v>
      </c>
      <c r="CQ226" s="3">
        <f>IF(OR(CK226="",ISBLANK(CK226),CK226=0),0,IF(MOD(CK226,2)=1,1,2))</f>
        <v>0</v>
      </c>
      <c r="CR226" s="3">
        <f>IF(OR(CL226="",ISBLANK(CL226),CL226=0),0,IF(MOD(CL226,2)=1,1,2))</f>
        <v>0</v>
      </c>
      <c r="CS226" s="31"/>
      <c r="CT226" s="3" cm="1">
        <f t="array" ref="CT226">SUMPRODUCT(--(MOD(CH226:CL226,2)=1))</f>
        <v>0</v>
      </c>
      <c r="CU226" s="3">
        <f>5-CT226</f>
        <v>5</v>
      </c>
      <c r="CV226" s="30"/>
      <c r="CW226" s="3" cm="1">
        <f t="array" ref="CW226">SUMPRODUCT(--(MOD(CH226:CL226,10)&gt;=1), --(MOD(CH226:CL226,10)&lt;=5))</f>
        <v>0</v>
      </c>
      <c r="CX226" s="3">
        <f>5-CW226</f>
        <v>5</v>
      </c>
      <c r="CY226" s="30"/>
      <c r="CZ226" s="3" cm="1">
        <f t="array" ref="CZ226">IFERROR(COUNT(_xlfn._xlws.FILTER(CH226:CL226, ISNUMBER(MATCH(CH226:CL226, {2,3,5,7,11,13,17,19,23,29,31,37,41,43}, 0)))), 0)</f>
        <v>0</v>
      </c>
      <c r="DA226" s="3" cm="1">
        <f t="array" ref="DA226">IFERROR(COUNT(_xlfn._xlws.FILTER(CH226:CL226, ISNUMBER(MATCH(CH226:CL226, {1,4,8,10,14,16,20,22,25,26,28,32,34,35,38,40,44}, 0)))), 0)</f>
        <v>0</v>
      </c>
      <c r="DB226" s="3" cm="1">
        <f t="array" ref="DB226">IFERROR(COUNT(_xlfn._xlws.FILTER(CH226:CL226, ISNUMBER(MATCH(CH226:CL226, {6,9,12,15,18,21,24,27,30,33,36,39,42,45}, 0)))), 0)</f>
        <v>0</v>
      </c>
      <c r="DC226" s="29"/>
      <c r="DD226" s="28" t="e">
        <f>#REF!</f>
        <v>#REF!</v>
      </c>
      <c r="DE226" s="28" t="e">
        <f>#REF!*2</f>
        <v>#REF!</v>
      </c>
      <c r="DF226" s="28" t="e">
        <f>#REF!</f>
        <v>#REF!</v>
      </c>
      <c r="DG226" s="28" t="e">
        <f>#REF!*2</f>
        <v>#REF!</v>
      </c>
      <c r="DH226" s="28" t="e">
        <f>#REF!</f>
        <v>#REF!</v>
      </c>
      <c r="DI226" s="28" t="e">
        <f>#REF!*2</f>
        <v>#REF!</v>
      </c>
      <c r="DJ226" s="28" t="e">
        <f>#REF!</f>
        <v>#REF!</v>
      </c>
      <c r="DK226" s="28" t="e">
        <f>#REF!*2</f>
        <v>#REF!</v>
      </c>
      <c r="DL226" s="28" t="e">
        <f>#REF!</f>
        <v>#REF!</v>
      </c>
      <c r="DM226" s="28" t="e">
        <f>#REF!*2</f>
        <v>#REF!</v>
      </c>
      <c r="DN226" s="27"/>
      <c r="DO226" s="26"/>
      <c r="DP226" s="26"/>
      <c r="DQ226" s="26"/>
      <c r="DR226" s="26"/>
      <c r="DS226" s="26"/>
      <c r="DT226" s="25"/>
    </row>
    <row r="227" spans="2:124" x14ac:dyDescent="0.3"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2"/>
      <c r="I227" s="3">
        <f>IF(OR(B227="",ISBLANK(B227),B227=0),0,IF(MOD(B227,2)=1,1,2))</f>
        <v>0</v>
      </c>
      <c r="J227" s="3">
        <f>IF(OR(C227="",ISBLANK(C227),C227=0),0,IF(MOD(C227,2)=1,1,2))</f>
        <v>0</v>
      </c>
      <c r="K227" s="3">
        <f>IF(OR(D227="",ISBLANK(D227),D227=0),0,IF(MOD(D227,2)=1,1,2))</f>
        <v>0</v>
      </c>
      <c r="L227" s="3">
        <f>IF(OR(E227="",ISBLANK(E227),E227=0),0,IF(MOD(E227,2)=1,1,2))</f>
        <v>0</v>
      </c>
      <c r="M227" s="3">
        <f>IF(OR(F227="",ISBLANK(F227),F227=0),0,IF(MOD(F227,2)=1,1,2))</f>
        <v>0</v>
      </c>
      <c r="N227" s="3">
        <f>IF(OR(G227="",ISBLANK(G227),G227=0),0,IF(MOD(G227,2)=1,1,2))</f>
        <v>0</v>
      </c>
      <c r="O227" s="32"/>
      <c r="P227" s="3" cm="1">
        <f t="array" ref="P227">SUMPRODUCT(--(MOD(B227:G227,2)=1))</f>
        <v>0</v>
      </c>
      <c r="Q227" s="3">
        <f>6-P227</f>
        <v>6</v>
      </c>
      <c r="R227" s="34"/>
      <c r="S227" s="3">
        <f>COUNTIFS(B227:G227,"&gt;=1",B227:G227,"&lt;=23")</f>
        <v>0</v>
      </c>
      <c r="T227" s="3">
        <f>6-S227</f>
        <v>6</v>
      </c>
      <c r="U227" s="34"/>
      <c r="V227" s="3" cm="1">
        <f t="array" ref="V227">SUMPRODUCT(--(MOD(B227:G227,10)&gt;=1), --(MOD(B227:G227,10)&lt;=5))</f>
        <v>0</v>
      </c>
      <c r="W227" s="3">
        <f>6-V227</f>
        <v>6</v>
      </c>
      <c r="X227" s="34"/>
      <c r="Y227" s="3" cm="1">
        <f t="array" ref="Y227">IFERROR(COUNT(_xlfn._xlws.FILTER(B227:G227, ISNUMBER(MATCH(B227:G227, {2,3,5,7,11,13,17,19,23,29,31,37,41,43}, 0)))), 0)</f>
        <v>0</v>
      </c>
      <c r="Z227" s="3" cm="1">
        <f t="array" ref="Z227">IFERROR(COUNT(_xlfn._xlws.FILTER(B227:G227, ISNUMBER(MATCH(B227:G227, {1,4,8,10,14,16,20,22,25,26,28,32,34,35,38,40,44}, 0)))), 0)</f>
        <v>0</v>
      </c>
      <c r="AA227" s="3" cm="1">
        <f t="array" ref="AA227">IFERROR(COUNT(_xlfn._xlws.FILTER(B227:G227, ISNUMBER(MATCH(B227:G227, {6,9,12,15,18,21,24,27,30,33,36,39,42,45}, 0)))), 0)</f>
        <v>0</v>
      </c>
      <c r="AB227" s="30"/>
      <c r="AC227" s="26" cm="1">
        <f t="array" ref="AC227">_xlfn.IFS(
   OR(B227="",ISBLANK(B227),B227=0),0,
   ISNUMBER(MATCH(B227,{2,3,5,7,11,13,17,19,23,29,31,37,41,43},0)),"소",
   AND(ISNUMBER(B227),MOD(B227,3)=0),"배",
   AND(ISNUMBER(B227),B227&gt;0),"자"
)</f>
        <v>0</v>
      </c>
      <c r="AD227" s="26" cm="1">
        <f t="array" ref="AD227">_xlfn.IFS(
   OR(C227="",ISBLANK(C227),C227=0),0,
   ISNUMBER(MATCH(C227,{2,3,5,7,11,13,17,19,23,29,31,37,41,43},0)),"소",
   AND(ISNUMBER(C227),MOD(C227,3)=0),"배",
   AND(ISNUMBER(C227),C227&gt;0),"자"
)</f>
        <v>0</v>
      </c>
      <c r="AE227" s="26" cm="1">
        <f t="array" ref="AE227">_xlfn.IFS(
   OR(D227="",ISBLANK(D227),D227=0),0,
   ISNUMBER(MATCH(D227,{2,3,5,7,11,13,17,19,23,29,31,37,41,43},0)),"소",
   AND(ISNUMBER(D227),MOD(D227,3)=0),"배",
   AND(ISNUMBER(D227),D227&gt;0),"자"
)</f>
        <v>0</v>
      </c>
      <c r="AF227" s="26" cm="1">
        <f t="array" ref="AF227">_xlfn.IFS(
   OR(E227="",ISBLANK(E227),E227=0),0,
   ISNUMBER(MATCH(E227,{2,3,5,7,11,13,17,19,23,29,31,37,41,43},0)),"소",
   AND(ISNUMBER(E227),MOD(E227,3)=0),"배",
   AND(ISNUMBER(E227),E227&gt;0),"자"
)</f>
        <v>0</v>
      </c>
      <c r="AG227" s="26" cm="1">
        <f t="array" ref="AG227">_xlfn.IFS(
   OR(F227="",ISBLANK(F227),F227=0),0,
   ISNUMBER(MATCH(F227,{2,3,5,7,11,13,17,19,23,29,31,37,41,43},0)),"소",
   AND(ISNUMBER(F227),MOD(F227,3)=0),"배",
   AND(ISNUMBER(F227),F227&gt;0),"자"
)</f>
        <v>0</v>
      </c>
      <c r="AH227" s="26" cm="1">
        <f t="array" ref="AH227">_xlfn.IFS(
   OR(G227="",ISBLANK(G227),G227=0),0,
   ISNUMBER(MATCH(G227,{2,3,5,7,11,13,17,19,23,29,31,37,41,43},0)),"소",
   AND(ISNUMBER(G227),MOD(G227,3)=0),"배",
   AND(ISNUMBER(G227),G227&gt;0),"자"
)</f>
        <v>0</v>
      </c>
      <c r="AI227" s="30"/>
      <c r="AJ227" s="3">
        <f>COUNTIFS(B227:G227,"&gt;=1",B227:G227,"&lt;=14")</f>
        <v>0</v>
      </c>
      <c r="AK227" s="3">
        <f>COUNTIFS(B227:G227,"&gt;=15",B227:G227,"&lt;=31")</f>
        <v>0</v>
      </c>
      <c r="AL227" s="3">
        <f>6-AK227-AJ227</f>
        <v>6</v>
      </c>
      <c r="AM227" s="33"/>
      <c r="AN227" s="3">
        <f>COUNTIFS($B227:$G227, "&gt;=1",$B227:$G227, "&lt;=9")</f>
        <v>0</v>
      </c>
      <c r="AO227" s="3">
        <f>COUNTIFS($B227:$G227, "&gt;=10",$B227:$G227, "&lt;=18")</f>
        <v>0</v>
      </c>
      <c r="AP227" s="3">
        <f>COUNTIFS($B227:$G227, "&gt;=19",$B227:$G227, "&lt;=27")</f>
        <v>0</v>
      </c>
      <c r="AQ227" s="3">
        <f>COUNTIFS($B227:$G227, "&gt;=28",$B227:$G227, "&lt;=36")</f>
        <v>0</v>
      </c>
      <c r="AR227" s="3">
        <f>COUNTIFS($B227:$G227, "&gt;=37",$B227:$G227, "&lt;=45")</f>
        <v>0</v>
      </c>
      <c r="AS227" s="28" t="e">
        <f>#REF!</f>
        <v>#REF!</v>
      </c>
      <c r="AT227" s="28" t="e">
        <f>#REF!*2</f>
        <v>#REF!</v>
      </c>
      <c r="AU227" s="28" t="e">
        <f>#REF!</f>
        <v>#REF!</v>
      </c>
      <c r="AV227" s="28" t="e">
        <f>#REF!*2</f>
        <v>#REF!</v>
      </c>
      <c r="AW227" s="28" t="e">
        <f>#REF!</f>
        <v>#REF!</v>
      </c>
      <c r="AX227" s="28" t="e">
        <f>#REF!*2</f>
        <v>#REF!</v>
      </c>
      <c r="AY227" s="28" t="e">
        <f>#REF!</f>
        <v>#REF!</v>
      </c>
      <c r="AZ227" s="28" t="e">
        <f>#REF!*2</f>
        <v>#REF!</v>
      </c>
      <c r="BA227" s="28" t="e">
        <f>#REF!</f>
        <v>#REF!</v>
      </c>
      <c r="BB227" s="28" t="e">
        <f>#REF!*2</f>
        <v>#REF!</v>
      </c>
      <c r="BC227" s="28" t="e">
        <f>#REF!</f>
        <v>#REF!</v>
      </c>
      <c r="BD227" s="28" t="e">
        <f>#REF!*2</f>
        <v>#REF!</v>
      </c>
      <c r="BE227" s="9" t="e">
        <f>#REF!-#REF!</f>
        <v>#REF!</v>
      </c>
      <c r="BF227" s="9" t="e">
        <f>#REF!-#REF!</f>
        <v>#REF!</v>
      </c>
      <c r="BG227" s="9" t="e">
        <f>#REF!-#REF!</f>
        <v>#REF!</v>
      </c>
      <c r="BH227" s="9" t="e">
        <f>#REF!-#REF!</f>
        <v>#REF!</v>
      </c>
      <c r="BI227" s="9" t="e">
        <f>#REF!-#REF!</f>
        <v>#REF!</v>
      </c>
      <c r="BJ227" s="33"/>
      <c r="BK227" s="3">
        <f>COUNTIFS(B227:G227, "&gt;=1", B227:G227, "&lt;=9")</f>
        <v>0</v>
      </c>
      <c r="BL227" s="3">
        <f>COUNTIFS(B227:G227, "&gt;=10", B227:G227, "&lt;=19")</f>
        <v>0</v>
      </c>
      <c r="BM227" s="3">
        <f>COUNTIFS(B227:G227, "&gt;=20", B227:G227, "&lt;=29")</f>
        <v>0</v>
      </c>
      <c r="BN227" s="3">
        <f>COUNTIFS(B227:G227, "&gt;=30", B227:G227, "&lt;=39")</f>
        <v>0</v>
      </c>
      <c r="BO227" s="3">
        <f>COUNTIFS(B227:G227, "&gt;=40", B227:G227, "&lt;=45")</f>
        <v>0</v>
      </c>
      <c r="BP227" s="28" t="e">
        <f>#REF!</f>
        <v>#REF!</v>
      </c>
      <c r="BQ227" s="28" t="e">
        <f>#REF!*2</f>
        <v>#REF!</v>
      </c>
      <c r="BR227" s="28" t="e">
        <f>#REF!</f>
        <v>#REF!</v>
      </c>
      <c r="BS227" s="28" t="e">
        <f>#REF!*2</f>
        <v>#REF!</v>
      </c>
      <c r="BT227" s="28" t="e">
        <f>#REF!</f>
        <v>#REF!</v>
      </c>
      <c r="BU227" s="28" t="e">
        <f>#REF!*2</f>
        <v>#REF!</v>
      </c>
      <c r="BV227" s="28" t="e">
        <f>#REF!</f>
        <v>#REF!</v>
      </c>
      <c r="BW227" s="28" t="e">
        <f>#REF!*2</f>
        <v>#REF!</v>
      </c>
      <c r="BX227" s="28" t="e">
        <f>#REF!</f>
        <v>#REF!</v>
      </c>
      <c r="BY227" s="28" t="e">
        <f>#REF!*2</f>
        <v>#REF!</v>
      </c>
      <c r="BZ227" s="28" t="e">
        <f>#REF!</f>
        <v>#REF!</v>
      </c>
      <c r="CA227" s="28" t="e">
        <f>#REF!*2</f>
        <v>#REF!</v>
      </c>
      <c r="CB227" s="9">
        <f>C227-B227</f>
        <v>0</v>
      </c>
      <c r="CC227" s="9">
        <f>D227-C227</f>
        <v>0</v>
      </c>
      <c r="CD227" s="9">
        <f>E227-D227</f>
        <v>0</v>
      </c>
      <c r="CE227" s="9">
        <f>F227-E227</f>
        <v>0</v>
      </c>
      <c r="CF227" s="9">
        <f>G227-F227</f>
        <v>0</v>
      </c>
      <c r="CG227" s="33"/>
      <c r="CH227" s="3">
        <f>C227-B227</f>
        <v>0</v>
      </c>
      <c r="CI227" s="3">
        <f>D227-C227</f>
        <v>0</v>
      </c>
      <c r="CJ227" s="3">
        <f>E227-D227</f>
        <v>0</v>
      </c>
      <c r="CK227" s="3">
        <f>F227-E227</f>
        <v>0</v>
      </c>
      <c r="CL227" s="3">
        <f>G227-F227</f>
        <v>0</v>
      </c>
      <c r="CM227" s="32"/>
      <c r="CN227" s="3">
        <f>IF(OR(CH227="",ISBLANK(CH227),CH227=0),0,IF(MOD(CH227,2)=1,1,2))</f>
        <v>0</v>
      </c>
      <c r="CO227" s="3">
        <f>IF(OR(CI227="",ISBLANK(CI227),CI227=0),0,IF(MOD(CI227,2)=1,1,2))</f>
        <v>0</v>
      </c>
      <c r="CP227" s="3">
        <f>IF(OR(CJ227="",ISBLANK(CJ227),CJ227=0),0,IF(MOD(CJ227,2)=1,1,2))</f>
        <v>0</v>
      </c>
      <c r="CQ227" s="3">
        <f>IF(OR(CK227="",ISBLANK(CK227),CK227=0),0,IF(MOD(CK227,2)=1,1,2))</f>
        <v>0</v>
      </c>
      <c r="CR227" s="3">
        <f>IF(OR(CL227="",ISBLANK(CL227),CL227=0),0,IF(MOD(CL227,2)=1,1,2))</f>
        <v>0</v>
      </c>
      <c r="CS227" s="31"/>
      <c r="CT227" s="3" cm="1">
        <f t="array" ref="CT227">SUMPRODUCT(--(MOD(CH227:CL227,2)=1))</f>
        <v>0</v>
      </c>
      <c r="CU227" s="3">
        <f>5-CT227</f>
        <v>5</v>
      </c>
      <c r="CV227" s="30"/>
      <c r="CW227" s="3" cm="1">
        <f t="array" ref="CW227">SUMPRODUCT(--(MOD(CH227:CL227,10)&gt;=1), --(MOD(CH227:CL227,10)&lt;=5))</f>
        <v>0</v>
      </c>
      <c r="CX227" s="3">
        <f>5-CW227</f>
        <v>5</v>
      </c>
      <c r="CY227" s="30"/>
      <c r="CZ227" s="3" cm="1">
        <f t="array" ref="CZ227">IFERROR(COUNT(_xlfn._xlws.FILTER(CH227:CL227, ISNUMBER(MATCH(CH227:CL227, {2,3,5,7,11,13,17,19,23,29,31,37,41,43}, 0)))), 0)</f>
        <v>0</v>
      </c>
      <c r="DA227" s="3" cm="1">
        <f t="array" ref="DA227">IFERROR(COUNT(_xlfn._xlws.FILTER(CH227:CL227, ISNUMBER(MATCH(CH227:CL227, {1,4,8,10,14,16,20,22,25,26,28,32,34,35,38,40,44}, 0)))), 0)</f>
        <v>0</v>
      </c>
      <c r="DB227" s="3" cm="1">
        <f t="array" ref="DB227">IFERROR(COUNT(_xlfn._xlws.FILTER(CH227:CL227, ISNUMBER(MATCH(CH227:CL227, {6,9,12,15,18,21,24,27,30,33,36,39,42,45}, 0)))), 0)</f>
        <v>0</v>
      </c>
      <c r="DC227" s="29"/>
      <c r="DD227" s="28" t="e">
        <f>#REF!</f>
        <v>#REF!</v>
      </c>
      <c r="DE227" s="28" t="e">
        <f>#REF!*2</f>
        <v>#REF!</v>
      </c>
      <c r="DF227" s="28" t="e">
        <f>#REF!</f>
        <v>#REF!</v>
      </c>
      <c r="DG227" s="28" t="e">
        <f>#REF!*2</f>
        <v>#REF!</v>
      </c>
      <c r="DH227" s="28" t="e">
        <f>#REF!</f>
        <v>#REF!</v>
      </c>
      <c r="DI227" s="28" t="e">
        <f>#REF!*2</f>
        <v>#REF!</v>
      </c>
      <c r="DJ227" s="28" t="e">
        <f>#REF!</f>
        <v>#REF!</v>
      </c>
      <c r="DK227" s="28" t="e">
        <f>#REF!*2</f>
        <v>#REF!</v>
      </c>
      <c r="DL227" s="28" t="e">
        <f>#REF!</f>
        <v>#REF!</v>
      </c>
      <c r="DM227" s="28" t="e">
        <f>#REF!*2</f>
        <v>#REF!</v>
      </c>
      <c r="DN227" s="27"/>
      <c r="DO227" s="26"/>
      <c r="DP227" s="26"/>
      <c r="DQ227" s="26"/>
      <c r="DR227" s="26"/>
      <c r="DS227" s="26"/>
      <c r="DT227" s="25"/>
    </row>
    <row r="228" spans="2:124" x14ac:dyDescent="0.3"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2"/>
      <c r="I228" s="3">
        <f>IF(OR(B228="",ISBLANK(B228),B228=0),0,IF(MOD(B228,2)=1,1,2))</f>
        <v>0</v>
      </c>
      <c r="J228" s="3">
        <f>IF(OR(C228="",ISBLANK(C228),C228=0),0,IF(MOD(C228,2)=1,1,2))</f>
        <v>0</v>
      </c>
      <c r="K228" s="3">
        <f>IF(OR(D228="",ISBLANK(D228),D228=0),0,IF(MOD(D228,2)=1,1,2))</f>
        <v>0</v>
      </c>
      <c r="L228" s="3">
        <f>IF(OR(E228="",ISBLANK(E228),E228=0),0,IF(MOD(E228,2)=1,1,2))</f>
        <v>0</v>
      </c>
      <c r="M228" s="3">
        <f>IF(OR(F228="",ISBLANK(F228),F228=0),0,IF(MOD(F228,2)=1,1,2))</f>
        <v>0</v>
      </c>
      <c r="N228" s="3">
        <f>IF(OR(G228="",ISBLANK(G228),G228=0),0,IF(MOD(G228,2)=1,1,2))</f>
        <v>0</v>
      </c>
      <c r="O228" s="32"/>
      <c r="P228" s="3" cm="1">
        <f t="array" ref="P228">SUMPRODUCT(--(MOD(B228:G228,2)=1))</f>
        <v>0</v>
      </c>
      <c r="Q228" s="3">
        <f>6-P228</f>
        <v>6</v>
      </c>
      <c r="R228" s="34"/>
      <c r="S228" s="3">
        <f>COUNTIFS(B228:G228,"&gt;=1",B228:G228,"&lt;=23")</f>
        <v>0</v>
      </c>
      <c r="T228" s="3">
        <f>6-S228</f>
        <v>6</v>
      </c>
      <c r="U228" s="34"/>
      <c r="V228" s="3" cm="1">
        <f t="array" ref="V228">SUMPRODUCT(--(MOD(B228:G228,10)&gt;=1), --(MOD(B228:G228,10)&lt;=5))</f>
        <v>0</v>
      </c>
      <c r="W228" s="3">
        <f>6-V228</f>
        <v>6</v>
      </c>
      <c r="X228" s="34"/>
      <c r="Y228" s="3" cm="1">
        <f t="array" ref="Y228">IFERROR(COUNT(_xlfn._xlws.FILTER(B228:G228, ISNUMBER(MATCH(B228:G228, {2,3,5,7,11,13,17,19,23,29,31,37,41,43}, 0)))), 0)</f>
        <v>0</v>
      </c>
      <c r="Z228" s="3" cm="1">
        <f t="array" ref="Z228">IFERROR(COUNT(_xlfn._xlws.FILTER(B228:G228, ISNUMBER(MATCH(B228:G228, {1,4,8,10,14,16,20,22,25,26,28,32,34,35,38,40,44}, 0)))), 0)</f>
        <v>0</v>
      </c>
      <c r="AA228" s="3" cm="1">
        <f t="array" ref="AA228">IFERROR(COUNT(_xlfn._xlws.FILTER(B228:G228, ISNUMBER(MATCH(B228:G228, {6,9,12,15,18,21,24,27,30,33,36,39,42,45}, 0)))), 0)</f>
        <v>0</v>
      </c>
      <c r="AB228" s="30"/>
      <c r="AC228" s="26" cm="1">
        <f t="array" ref="AC228">_xlfn.IFS(
   OR(B228="",ISBLANK(B228),B228=0),0,
   ISNUMBER(MATCH(B228,{2,3,5,7,11,13,17,19,23,29,31,37,41,43},0)),"소",
   AND(ISNUMBER(B228),MOD(B228,3)=0),"배",
   AND(ISNUMBER(B228),B228&gt;0),"자"
)</f>
        <v>0</v>
      </c>
      <c r="AD228" s="26" cm="1">
        <f t="array" ref="AD228">_xlfn.IFS(
   OR(C228="",ISBLANK(C228),C228=0),0,
   ISNUMBER(MATCH(C228,{2,3,5,7,11,13,17,19,23,29,31,37,41,43},0)),"소",
   AND(ISNUMBER(C228),MOD(C228,3)=0),"배",
   AND(ISNUMBER(C228),C228&gt;0),"자"
)</f>
        <v>0</v>
      </c>
      <c r="AE228" s="26" cm="1">
        <f t="array" ref="AE228">_xlfn.IFS(
   OR(D228="",ISBLANK(D228),D228=0),0,
   ISNUMBER(MATCH(D228,{2,3,5,7,11,13,17,19,23,29,31,37,41,43},0)),"소",
   AND(ISNUMBER(D228),MOD(D228,3)=0),"배",
   AND(ISNUMBER(D228),D228&gt;0),"자"
)</f>
        <v>0</v>
      </c>
      <c r="AF228" s="26" cm="1">
        <f t="array" ref="AF228">_xlfn.IFS(
   OR(E228="",ISBLANK(E228),E228=0),0,
   ISNUMBER(MATCH(E228,{2,3,5,7,11,13,17,19,23,29,31,37,41,43},0)),"소",
   AND(ISNUMBER(E228),MOD(E228,3)=0),"배",
   AND(ISNUMBER(E228),E228&gt;0),"자"
)</f>
        <v>0</v>
      </c>
      <c r="AG228" s="26" cm="1">
        <f t="array" ref="AG228">_xlfn.IFS(
   OR(F228="",ISBLANK(F228),F228=0),0,
   ISNUMBER(MATCH(F228,{2,3,5,7,11,13,17,19,23,29,31,37,41,43},0)),"소",
   AND(ISNUMBER(F228),MOD(F228,3)=0),"배",
   AND(ISNUMBER(F228),F228&gt;0),"자"
)</f>
        <v>0</v>
      </c>
      <c r="AH228" s="26" cm="1">
        <f t="array" ref="AH228">_xlfn.IFS(
   OR(G228="",ISBLANK(G228),G228=0),0,
   ISNUMBER(MATCH(G228,{2,3,5,7,11,13,17,19,23,29,31,37,41,43},0)),"소",
   AND(ISNUMBER(G228),MOD(G228,3)=0),"배",
   AND(ISNUMBER(G228),G228&gt;0),"자"
)</f>
        <v>0</v>
      </c>
      <c r="AI228" s="30"/>
      <c r="AJ228" s="3">
        <f>COUNTIFS(B228:G228,"&gt;=1",B228:G228,"&lt;=14")</f>
        <v>0</v>
      </c>
      <c r="AK228" s="3">
        <f>COUNTIFS(B228:G228,"&gt;=15",B228:G228,"&lt;=31")</f>
        <v>0</v>
      </c>
      <c r="AL228" s="3">
        <f>6-AK228-AJ228</f>
        <v>6</v>
      </c>
      <c r="AM228" s="33"/>
      <c r="AN228" s="3">
        <f>COUNTIFS($B228:$G228, "&gt;=1",$B228:$G228, "&lt;=9")</f>
        <v>0</v>
      </c>
      <c r="AO228" s="3">
        <f>COUNTIFS($B228:$G228, "&gt;=10",$B228:$G228, "&lt;=18")</f>
        <v>0</v>
      </c>
      <c r="AP228" s="3">
        <f>COUNTIFS($B228:$G228, "&gt;=19",$B228:$G228, "&lt;=27")</f>
        <v>0</v>
      </c>
      <c r="AQ228" s="3">
        <f>COUNTIFS($B228:$G228, "&gt;=28",$B228:$G228, "&lt;=36")</f>
        <v>0</v>
      </c>
      <c r="AR228" s="3">
        <f>COUNTIFS($B228:$G228, "&gt;=37",$B228:$G228, "&lt;=45")</f>
        <v>0</v>
      </c>
      <c r="AS228" s="28" t="e">
        <f>#REF!</f>
        <v>#REF!</v>
      </c>
      <c r="AT228" s="28" t="e">
        <f>#REF!*2</f>
        <v>#REF!</v>
      </c>
      <c r="AU228" s="28" t="e">
        <f>#REF!</f>
        <v>#REF!</v>
      </c>
      <c r="AV228" s="28" t="e">
        <f>#REF!*2</f>
        <v>#REF!</v>
      </c>
      <c r="AW228" s="28" t="e">
        <f>#REF!</f>
        <v>#REF!</v>
      </c>
      <c r="AX228" s="28" t="e">
        <f>#REF!*2</f>
        <v>#REF!</v>
      </c>
      <c r="AY228" s="28" t="e">
        <f>#REF!</f>
        <v>#REF!</v>
      </c>
      <c r="AZ228" s="28" t="e">
        <f>#REF!*2</f>
        <v>#REF!</v>
      </c>
      <c r="BA228" s="28" t="e">
        <f>#REF!</f>
        <v>#REF!</v>
      </c>
      <c r="BB228" s="28" t="e">
        <f>#REF!*2</f>
        <v>#REF!</v>
      </c>
      <c r="BC228" s="28" t="e">
        <f>#REF!</f>
        <v>#REF!</v>
      </c>
      <c r="BD228" s="28" t="e">
        <f>#REF!*2</f>
        <v>#REF!</v>
      </c>
      <c r="BE228" s="9" t="e">
        <f>#REF!-#REF!</f>
        <v>#REF!</v>
      </c>
      <c r="BF228" s="9" t="e">
        <f>#REF!-#REF!</f>
        <v>#REF!</v>
      </c>
      <c r="BG228" s="9" t="e">
        <f>#REF!-#REF!</f>
        <v>#REF!</v>
      </c>
      <c r="BH228" s="9" t="e">
        <f>#REF!-#REF!</f>
        <v>#REF!</v>
      </c>
      <c r="BI228" s="9" t="e">
        <f>#REF!-#REF!</f>
        <v>#REF!</v>
      </c>
      <c r="BJ228" s="33"/>
      <c r="BK228" s="3">
        <f>COUNTIFS(B228:G228, "&gt;=1", B228:G228, "&lt;=9")</f>
        <v>0</v>
      </c>
      <c r="BL228" s="3">
        <f>COUNTIFS(B228:G228, "&gt;=10", B228:G228, "&lt;=19")</f>
        <v>0</v>
      </c>
      <c r="BM228" s="3">
        <f>COUNTIFS(B228:G228, "&gt;=20", B228:G228, "&lt;=29")</f>
        <v>0</v>
      </c>
      <c r="BN228" s="3">
        <f>COUNTIFS(B228:G228, "&gt;=30", B228:G228, "&lt;=39")</f>
        <v>0</v>
      </c>
      <c r="BO228" s="3">
        <f>COUNTIFS(B228:G228, "&gt;=40", B228:G228, "&lt;=45")</f>
        <v>0</v>
      </c>
      <c r="BP228" s="28" t="e">
        <f>#REF!</f>
        <v>#REF!</v>
      </c>
      <c r="BQ228" s="28" t="e">
        <f>#REF!*2</f>
        <v>#REF!</v>
      </c>
      <c r="BR228" s="28" t="e">
        <f>#REF!</f>
        <v>#REF!</v>
      </c>
      <c r="BS228" s="28" t="e">
        <f>#REF!*2</f>
        <v>#REF!</v>
      </c>
      <c r="BT228" s="28" t="e">
        <f>#REF!</f>
        <v>#REF!</v>
      </c>
      <c r="BU228" s="28" t="e">
        <f>#REF!*2</f>
        <v>#REF!</v>
      </c>
      <c r="BV228" s="28" t="e">
        <f>#REF!</f>
        <v>#REF!</v>
      </c>
      <c r="BW228" s="28" t="e">
        <f>#REF!*2</f>
        <v>#REF!</v>
      </c>
      <c r="BX228" s="28" t="e">
        <f>#REF!</f>
        <v>#REF!</v>
      </c>
      <c r="BY228" s="28" t="e">
        <f>#REF!*2</f>
        <v>#REF!</v>
      </c>
      <c r="BZ228" s="28" t="e">
        <f>#REF!</f>
        <v>#REF!</v>
      </c>
      <c r="CA228" s="28" t="e">
        <f>#REF!*2</f>
        <v>#REF!</v>
      </c>
      <c r="CB228" s="9">
        <f>C228-B228</f>
        <v>0</v>
      </c>
      <c r="CC228" s="9">
        <f>D228-C228</f>
        <v>0</v>
      </c>
      <c r="CD228" s="9">
        <f>E228-D228</f>
        <v>0</v>
      </c>
      <c r="CE228" s="9">
        <f>F228-E228</f>
        <v>0</v>
      </c>
      <c r="CF228" s="9">
        <f>G228-F228</f>
        <v>0</v>
      </c>
      <c r="CG228" s="33"/>
      <c r="CH228" s="3">
        <f>C228-B228</f>
        <v>0</v>
      </c>
      <c r="CI228" s="3">
        <f>D228-C228</f>
        <v>0</v>
      </c>
      <c r="CJ228" s="3">
        <f>E228-D228</f>
        <v>0</v>
      </c>
      <c r="CK228" s="3">
        <f>F228-E228</f>
        <v>0</v>
      </c>
      <c r="CL228" s="3">
        <f>G228-F228</f>
        <v>0</v>
      </c>
      <c r="CM228" s="32"/>
      <c r="CN228" s="3">
        <f>IF(OR(CH228="",ISBLANK(CH228),CH228=0),0,IF(MOD(CH228,2)=1,1,2))</f>
        <v>0</v>
      </c>
      <c r="CO228" s="3">
        <f>IF(OR(CI228="",ISBLANK(CI228),CI228=0),0,IF(MOD(CI228,2)=1,1,2))</f>
        <v>0</v>
      </c>
      <c r="CP228" s="3">
        <f>IF(OR(CJ228="",ISBLANK(CJ228),CJ228=0),0,IF(MOD(CJ228,2)=1,1,2))</f>
        <v>0</v>
      </c>
      <c r="CQ228" s="3">
        <f>IF(OR(CK228="",ISBLANK(CK228),CK228=0),0,IF(MOD(CK228,2)=1,1,2))</f>
        <v>0</v>
      </c>
      <c r="CR228" s="3">
        <f>IF(OR(CL228="",ISBLANK(CL228),CL228=0),0,IF(MOD(CL228,2)=1,1,2))</f>
        <v>0</v>
      </c>
      <c r="CS228" s="31"/>
      <c r="CT228" s="3" cm="1">
        <f t="array" ref="CT228">SUMPRODUCT(--(MOD(CH228:CL228,2)=1))</f>
        <v>0</v>
      </c>
      <c r="CU228" s="3">
        <f>5-CT228</f>
        <v>5</v>
      </c>
      <c r="CV228" s="30"/>
      <c r="CW228" s="3" cm="1">
        <f t="array" ref="CW228">SUMPRODUCT(--(MOD(CH228:CL228,10)&gt;=1), --(MOD(CH228:CL228,10)&lt;=5))</f>
        <v>0</v>
      </c>
      <c r="CX228" s="3">
        <f>5-CW228</f>
        <v>5</v>
      </c>
      <c r="CY228" s="30"/>
      <c r="CZ228" s="3" cm="1">
        <f t="array" ref="CZ228">IFERROR(COUNT(_xlfn._xlws.FILTER(CH228:CL228, ISNUMBER(MATCH(CH228:CL228, {2,3,5,7,11,13,17,19,23,29,31,37,41,43}, 0)))), 0)</f>
        <v>0</v>
      </c>
      <c r="DA228" s="3" cm="1">
        <f t="array" ref="DA228">IFERROR(COUNT(_xlfn._xlws.FILTER(CH228:CL228, ISNUMBER(MATCH(CH228:CL228, {1,4,8,10,14,16,20,22,25,26,28,32,34,35,38,40,44}, 0)))), 0)</f>
        <v>0</v>
      </c>
      <c r="DB228" s="3" cm="1">
        <f t="array" ref="DB228">IFERROR(COUNT(_xlfn._xlws.FILTER(CH228:CL228, ISNUMBER(MATCH(CH228:CL228, {6,9,12,15,18,21,24,27,30,33,36,39,42,45}, 0)))), 0)</f>
        <v>0</v>
      </c>
      <c r="DC228" s="29"/>
      <c r="DD228" s="28" t="e">
        <f>#REF!</f>
        <v>#REF!</v>
      </c>
      <c r="DE228" s="28" t="e">
        <f>#REF!*2</f>
        <v>#REF!</v>
      </c>
      <c r="DF228" s="28" t="e">
        <f>#REF!</f>
        <v>#REF!</v>
      </c>
      <c r="DG228" s="28" t="e">
        <f>#REF!*2</f>
        <v>#REF!</v>
      </c>
      <c r="DH228" s="28" t="e">
        <f>#REF!</f>
        <v>#REF!</v>
      </c>
      <c r="DI228" s="28" t="e">
        <f>#REF!*2</f>
        <v>#REF!</v>
      </c>
      <c r="DJ228" s="28" t="e">
        <f>#REF!</f>
        <v>#REF!</v>
      </c>
      <c r="DK228" s="28" t="e">
        <f>#REF!*2</f>
        <v>#REF!</v>
      </c>
      <c r="DL228" s="28" t="e">
        <f>#REF!</f>
        <v>#REF!</v>
      </c>
      <c r="DM228" s="28" t="e">
        <f>#REF!*2</f>
        <v>#REF!</v>
      </c>
      <c r="DN228" s="27"/>
      <c r="DO228" s="26"/>
      <c r="DP228" s="26"/>
      <c r="DQ228" s="26"/>
      <c r="DR228" s="26"/>
      <c r="DS228" s="26"/>
      <c r="DT228" s="25"/>
    </row>
    <row r="229" spans="2:124" x14ac:dyDescent="0.3"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2"/>
      <c r="I229" s="3">
        <f>IF(OR(B229="",ISBLANK(B229),B229=0),0,IF(MOD(B229,2)=1,1,2))</f>
        <v>0</v>
      </c>
      <c r="J229" s="3">
        <f>IF(OR(C229="",ISBLANK(C229),C229=0),0,IF(MOD(C229,2)=1,1,2))</f>
        <v>0</v>
      </c>
      <c r="K229" s="3">
        <f>IF(OR(D229="",ISBLANK(D229),D229=0),0,IF(MOD(D229,2)=1,1,2))</f>
        <v>0</v>
      </c>
      <c r="L229" s="3">
        <f>IF(OR(E229="",ISBLANK(E229),E229=0),0,IF(MOD(E229,2)=1,1,2))</f>
        <v>0</v>
      </c>
      <c r="M229" s="3">
        <f>IF(OR(F229="",ISBLANK(F229),F229=0),0,IF(MOD(F229,2)=1,1,2))</f>
        <v>0</v>
      </c>
      <c r="N229" s="3">
        <f>IF(OR(G229="",ISBLANK(G229),G229=0),0,IF(MOD(G229,2)=1,1,2))</f>
        <v>0</v>
      </c>
      <c r="O229" s="32"/>
      <c r="P229" s="3" cm="1">
        <f t="array" ref="P229">SUMPRODUCT(--(MOD(B229:G229,2)=1))</f>
        <v>0</v>
      </c>
      <c r="Q229" s="3">
        <f>6-P229</f>
        <v>6</v>
      </c>
      <c r="R229" s="34"/>
      <c r="S229" s="3">
        <f>COUNTIFS(B229:G229,"&gt;=1",B229:G229,"&lt;=23")</f>
        <v>0</v>
      </c>
      <c r="T229" s="3">
        <f>6-S229</f>
        <v>6</v>
      </c>
      <c r="U229" s="34"/>
      <c r="V229" s="3" cm="1">
        <f t="array" ref="V229">SUMPRODUCT(--(MOD(B229:G229,10)&gt;=1), --(MOD(B229:G229,10)&lt;=5))</f>
        <v>0</v>
      </c>
      <c r="W229" s="3">
        <f>6-V229</f>
        <v>6</v>
      </c>
      <c r="X229" s="34"/>
      <c r="Y229" s="3" cm="1">
        <f t="array" ref="Y229">IFERROR(COUNT(_xlfn._xlws.FILTER(B229:G229, ISNUMBER(MATCH(B229:G229, {2,3,5,7,11,13,17,19,23,29,31,37,41,43}, 0)))), 0)</f>
        <v>0</v>
      </c>
      <c r="Z229" s="3" cm="1">
        <f t="array" ref="Z229">IFERROR(COUNT(_xlfn._xlws.FILTER(B229:G229, ISNUMBER(MATCH(B229:G229, {1,4,8,10,14,16,20,22,25,26,28,32,34,35,38,40,44}, 0)))), 0)</f>
        <v>0</v>
      </c>
      <c r="AA229" s="3" cm="1">
        <f t="array" ref="AA229">IFERROR(COUNT(_xlfn._xlws.FILTER(B229:G229, ISNUMBER(MATCH(B229:G229, {6,9,12,15,18,21,24,27,30,33,36,39,42,45}, 0)))), 0)</f>
        <v>0</v>
      </c>
      <c r="AB229" s="30"/>
      <c r="AC229" s="26" cm="1">
        <f t="array" ref="AC229">_xlfn.IFS(
   OR(B229="",ISBLANK(B229),B229=0),0,
   ISNUMBER(MATCH(B229,{2,3,5,7,11,13,17,19,23,29,31,37,41,43},0)),"소",
   AND(ISNUMBER(B229),MOD(B229,3)=0),"배",
   AND(ISNUMBER(B229),B229&gt;0),"자"
)</f>
        <v>0</v>
      </c>
      <c r="AD229" s="26" cm="1">
        <f t="array" ref="AD229">_xlfn.IFS(
   OR(C229="",ISBLANK(C229),C229=0),0,
   ISNUMBER(MATCH(C229,{2,3,5,7,11,13,17,19,23,29,31,37,41,43},0)),"소",
   AND(ISNUMBER(C229),MOD(C229,3)=0),"배",
   AND(ISNUMBER(C229),C229&gt;0),"자"
)</f>
        <v>0</v>
      </c>
      <c r="AE229" s="26" cm="1">
        <f t="array" ref="AE229">_xlfn.IFS(
   OR(D229="",ISBLANK(D229),D229=0),0,
   ISNUMBER(MATCH(D229,{2,3,5,7,11,13,17,19,23,29,31,37,41,43},0)),"소",
   AND(ISNUMBER(D229),MOD(D229,3)=0),"배",
   AND(ISNUMBER(D229),D229&gt;0),"자"
)</f>
        <v>0</v>
      </c>
      <c r="AF229" s="26" cm="1">
        <f t="array" ref="AF229">_xlfn.IFS(
   OR(E229="",ISBLANK(E229),E229=0),0,
   ISNUMBER(MATCH(E229,{2,3,5,7,11,13,17,19,23,29,31,37,41,43},0)),"소",
   AND(ISNUMBER(E229),MOD(E229,3)=0),"배",
   AND(ISNUMBER(E229),E229&gt;0),"자"
)</f>
        <v>0</v>
      </c>
      <c r="AG229" s="26" cm="1">
        <f t="array" ref="AG229">_xlfn.IFS(
   OR(F229="",ISBLANK(F229),F229=0),0,
   ISNUMBER(MATCH(F229,{2,3,5,7,11,13,17,19,23,29,31,37,41,43},0)),"소",
   AND(ISNUMBER(F229),MOD(F229,3)=0),"배",
   AND(ISNUMBER(F229),F229&gt;0),"자"
)</f>
        <v>0</v>
      </c>
      <c r="AH229" s="26" cm="1">
        <f t="array" ref="AH229">_xlfn.IFS(
   OR(G229="",ISBLANK(G229),G229=0),0,
   ISNUMBER(MATCH(G229,{2,3,5,7,11,13,17,19,23,29,31,37,41,43},0)),"소",
   AND(ISNUMBER(G229),MOD(G229,3)=0),"배",
   AND(ISNUMBER(G229),G229&gt;0),"자"
)</f>
        <v>0</v>
      </c>
      <c r="AI229" s="30"/>
      <c r="AJ229" s="3">
        <f>COUNTIFS(B229:G229,"&gt;=1",B229:G229,"&lt;=14")</f>
        <v>0</v>
      </c>
      <c r="AK229" s="3">
        <f>COUNTIFS(B229:G229,"&gt;=15",B229:G229,"&lt;=31")</f>
        <v>0</v>
      </c>
      <c r="AL229" s="3">
        <f>6-AK229-AJ229</f>
        <v>6</v>
      </c>
      <c r="AM229" s="33"/>
      <c r="AN229" s="3">
        <f>COUNTIFS($B229:$G229, "&gt;=1",$B229:$G229, "&lt;=9")</f>
        <v>0</v>
      </c>
      <c r="AO229" s="3">
        <f>COUNTIFS($B229:$G229, "&gt;=10",$B229:$G229, "&lt;=18")</f>
        <v>0</v>
      </c>
      <c r="AP229" s="3">
        <f>COUNTIFS($B229:$G229, "&gt;=19",$B229:$G229, "&lt;=27")</f>
        <v>0</v>
      </c>
      <c r="AQ229" s="3">
        <f>COUNTIFS($B229:$G229, "&gt;=28",$B229:$G229, "&lt;=36")</f>
        <v>0</v>
      </c>
      <c r="AR229" s="3">
        <f>COUNTIFS($B229:$G229, "&gt;=37",$B229:$G229, "&lt;=45")</f>
        <v>0</v>
      </c>
      <c r="AS229" s="28" t="e">
        <f>#REF!</f>
        <v>#REF!</v>
      </c>
      <c r="AT229" s="28" t="e">
        <f>#REF!*2</f>
        <v>#REF!</v>
      </c>
      <c r="AU229" s="28" t="e">
        <f>#REF!</f>
        <v>#REF!</v>
      </c>
      <c r="AV229" s="28" t="e">
        <f>#REF!*2</f>
        <v>#REF!</v>
      </c>
      <c r="AW229" s="28" t="e">
        <f>#REF!</f>
        <v>#REF!</v>
      </c>
      <c r="AX229" s="28" t="e">
        <f>#REF!*2</f>
        <v>#REF!</v>
      </c>
      <c r="AY229" s="28" t="e">
        <f>#REF!</f>
        <v>#REF!</v>
      </c>
      <c r="AZ229" s="28" t="e">
        <f>#REF!*2</f>
        <v>#REF!</v>
      </c>
      <c r="BA229" s="28" t="e">
        <f>#REF!</f>
        <v>#REF!</v>
      </c>
      <c r="BB229" s="28" t="e">
        <f>#REF!*2</f>
        <v>#REF!</v>
      </c>
      <c r="BC229" s="28" t="e">
        <f>#REF!</f>
        <v>#REF!</v>
      </c>
      <c r="BD229" s="28" t="e">
        <f>#REF!*2</f>
        <v>#REF!</v>
      </c>
      <c r="BE229" s="9" t="e">
        <f>#REF!-#REF!</f>
        <v>#REF!</v>
      </c>
      <c r="BF229" s="9" t="e">
        <f>#REF!-#REF!</f>
        <v>#REF!</v>
      </c>
      <c r="BG229" s="9" t="e">
        <f>#REF!-#REF!</f>
        <v>#REF!</v>
      </c>
      <c r="BH229" s="9" t="e">
        <f>#REF!-#REF!</f>
        <v>#REF!</v>
      </c>
      <c r="BI229" s="9" t="e">
        <f>#REF!-#REF!</f>
        <v>#REF!</v>
      </c>
      <c r="BJ229" s="33"/>
      <c r="BK229" s="3">
        <f>COUNTIFS(B229:G229, "&gt;=1", B229:G229, "&lt;=9")</f>
        <v>0</v>
      </c>
      <c r="BL229" s="3">
        <f>COUNTIFS(B229:G229, "&gt;=10", B229:G229, "&lt;=19")</f>
        <v>0</v>
      </c>
      <c r="BM229" s="3">
        <f>COUNTIFS(B229:G229, "&gt;=20", B229:G229, "&lt;=29")</f>
        <v>0</v>
      </c>
      <c r="BN229" s="3">
        <f>COUNTIFS(B229:G229, "&gt;=30", B229:G229, "&lt;=39")</f>
        <v>0</v>
      </c>
      <c r="BO229" s="3">
        <f>COUNTIFS(B229:G229, "&gt;=40", B229:G229, "&lt;=45")</f>
        <v>0</v>
      </c>
      <c r="BP229" s="28" t="e">
        <f>#REF!</f>
        <v>#REF!</v>
      </c>
      <c r="BQ229" s="28" t="e">
        <f>#REF!*2</f>
        <v>#REF!</v>
      </c>
      <c r="BR229" s="28" t="e">
        <f>#REF!</f>
        <v>#REF!</v>
      </c>
      <c r="BS229" s="28" t="e">
        <f>#REF!*2</f>
        <v>#REF!</v>
      </c>
      <c r="BT229" s="28" t="e">
        <f>#REF!</f>
        <v>#REF!</v>
      </c>
      <c r="BU229" s="28" t="e">
        <f>#REF!*2</f>
        <v>#REF!</v>
      </c>
      <c r="BV229" s="28" t="e">
        <f>#REF!</f>
        <v>#REF!</v>
      </c>
      <c r="BW229" s="28" t="e">
        <f>#REF!*2</f>
        <v>#REF!</v>
      </c>
      <c r="BX229" s="28" t="e">
        <f>#REF!</f>
        <v>#REF!</v>
      </c>
      <c r="BY229" s="28" t="e">
        <f>#REF!*2</f>
        <v>#REF!</v>
      </c>
      <c r="BZ229" s="28" t="e">
        <f>#REF!</f>
        <v>#REF!</v>
      </c>
      <c r="CA229" s="28" t="e">
        <f>#REF!*2</f>
        <v>#REF!</v>
      </c>
      <c r="CB229" s="9">
        <f>C229-B229</f>
        <v>0</v>
      </c>
      <c r="CC229" s="9">
        <f>D229-C229</f>
        <v>0</v>
      </c>
      <c r="CD229" s="9">
        <f>E229-D229</f>
        <v>0</v>
      </c>
      <c r="CE229" s="9">
        <f>F229-E229</f>
        <v>0</v>
      </c>
      <c r="CF229" s="9">
        <f>G229-F229</f>
        <v>0</v>
      </c>
      <c r="CG229" s="33"/>
      <c r="CH229" s="3">
        <f>C229-B229</f>
        <v>0</v>
      </c>
      <c r="CI229" s="3">
        <f>D229-C229</f>
        <v>0</v>
      </c>
      <c r="CJ229" s="3">
        <f>E229-D229</f>
        <v>0</v>
      </c>
      <c r="CK229" s="3">
        <f>F229-E229</f>
        <v>0</v>
      </c>
      <c r="CL229" s="3">
        <f>G229-F229</f>
        <v>0</v>
      </c>
      <c r="CM229" s="32"/>
      <c r="CN229" s="3">
        <f>IF(OR(CH229="",ISBLANK(CH229),CH229=0),0,IF(MOD(CH229,2)=1,1,2))</f>
        <v>0</v>
      </c>
      <c r="CO229" s="3">
        <f>IF(OR(CI229="",ISBLANK(CI229),CI229=0),0,IF(MOD(CI229,2)=1,1,2))</f>
        <v>0</v>
      </c>
      <c r="CP229" s="3">
        <f>IF(OR(CJ229="",ISBLANK(CJ229),CJ229=0),0,IF(MOD(CJ229,2)=1,1,2))</f>
        <v>0</v>
      </c>
      <c r="CQ229" s="3">
        <f>IF(OR(CK229="",ISBLANK(CK229),CK229=0),0,IF(MOD(CK229,2)=1,1,2))</f>
        <v>0</v>
      </c>
      <c r="CR229" s="3">
        <f>IF(OR(CL229="",ISBLANK(CL229),CL229=0),0,IF(MOD(CL229,2)=1,1,2))</f>
        <v>0</v>
      </c>
      <c r="CS229" s="31"/>
      <c r="CT229" s="3" cm="1">
        <f t="array" ref="CT229">SUMPRODUCT(--(MOD(CH229:CL229,2)=1))</f>
        <v>0</v>
      </c>
      <c r="CU229" s="3">
        <f>5-CT229</f>
        <v>5</v>
      </c>
      <c r="CV229" s="30"/>
      <c r="CW229" s="3" cm="1">
        <f t="array" ref="CW229">SUMPRODUCT(--(MOD(CH229:CL229,10)&gt;=1), --(MOD(CH229:CL229,10)&lt;=5))</f>
        <v>0</v>
      </c>
      <c r="CX229" s="3">
        <f>5-CW229</f>
        <v>5</v>
      </c>
      <c r="CY229" s="30"/>
      <c r="CZ229" s="3" cm="1">
        <f t="array" ref="CZ229">IFERROR(COUNT(_xlfn._xlws.FILTER(CH229:CL229, ISNUMBER(MATCH(CH229:CL229, {2,3,5,7,11,13,17,19,23,29,31,37,41,43}, 0)))), 0)</f>
        <v>0</v>
      </c>
      <c r="DA229" s="3" cm="1">
        <f t="array" ref="DA229">IFERROR(COUNT(_xlfn._xlws.FILTER(CH229:CL229, ISNUMBER(MATCH(CH229:CL229, {1,4,8,10,14,16,20,22,25,26,28,32,34,35,38,40,44}, 0)))), 0)</f>
        <v>0</v>
      </c>
      <c r="DB229" s="3" cm="1">
        <f t="array" ref="DB229">IFERROR(COUNT(_xlfn._xlws.FILTER(CH229:CL229, ISNUMBER(MATCH(CH229:CL229, {6,9,12,15,18,21,24,27,30,33,36,39,42,45}, 0)))), 0)</f>
        <v>0</v>
      </c>
      <c r="DC229" s="29"/>
      <c r="DD229" s="28" t="e">
        <f>#REF!</f>
        <v>#REF!</v>
      </c>
      <c r="DE229" s="28" t="e">
        <f>#REF!*2</f>
        <v>#REF!</v>
      </c>
      <c r="DF229" s="28" t="e">
        <f>#REF!</f>
        <v>#REF!</v>
      </c>
      <c r="DG229" s="28" t="e">
        <f>#REF!*2</f>
        <v>#REF!</v>
      </c>
      <c r="DH229" s="28" t="e">
        <f>#REF!</f>
        <v>#REF!</v>
      </c>
      <c r="DI229" s="28" t="e">
        <f>#REF!*2</f>
        <v>#REF!</v>
      </c>
      <c r="DJ229" s="28" t="e">
        <f>#REF!</f>
        <v>#REF!</v>
      </c>
      <c r="DK229" s="28" t="e">
        <f>#REF!*2</f>
        <v>#REF!</v>
      </c>
      <c r="DL229" s="28" t="e">
        <f>#REF!</f>
        <v>#REF!</v>
      </c>
      <c r="DM229" s="28" t="e">
        <f>#REF!*2</f>
        <v>#REF!</v>
      </c>
      <c r="DN229" s="27"/>
      <c r="DO229" s="26"/>
      <c r="DP229" s="26"/>
      <c r="DQ229" s="26"/>
      <c r="DR229" s="26"/>
      <c r="DS229" s="26"/>
      <c r="DT229" s="25"/>
    </row>
    <row r="230" spans="2:124" x14ac:dyDescent="0.3">
      <c r="B230" s="3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2"/>
      <c r="I230" s="3">
        <f>IF(OR(B230="",ISBLANK(B230),B230=0),0,IF(MOD(B230,2)=1,1,2))</f>
        <v>0</v>
      </c>
      <c r="J230" s="3">
        <f>IF(OR(C230="",ISBLANK(C230),C230=0),0,IF(MOD(C230,2)=1,1,2))</f>
        <v>0</v>
      </c>
      <c r="K230" s="3">
        <f>IF(OR(D230="",ISBLANK(D230),D230=0),0,IF(MOD(D230,2)=1,1,2))</f>
        <v>0</v>
      </c>
      <c r="L230" s="3">
        <f>IF(OR(E230="",ISBLANK(E230),E230=0),0,IF(MOD(E230,2)=1,1,2))</f>
        <v>0</v>
      </c>
      <c r="M230" s="3">
        <f>IF(OR(F230="",ISBLANK(F230),F230=0),0,IF(MOD(F230,2)=1,1,2))</f>
        <v>0</v>
      </c>
      <c r="N230" s="3">
        <f>IF(OR(G230="",ISBLANK(G230),G230=0),0,IF(MOD(G230,2)=1,1,2))</f>
        <v>0</v>
      </c>
      <c r="O230" s="32"/>
      <c r="P230" s="3" cm="1">
        <f t="array" ref="P230">SUMPRODUCT(--(MOD(B230:G230,2)=1))</f>
        <v>0</v>
      </c>
      <c r="Q230" s="3">
        <f>6-P230</f>
        <v>6</v>
      </c>
      <c r="R230" s="34"/>
      <c r="S230" s="3">
        <f>COUNTIFS(B230:G230,"&gt;=1",B230:G230,"&lt;=23")</f>
        <v>0</v>
      </c>
      <c r="T230" s="3">
        <f>6-S230</f>
        <v>6</v>
      </c>
      <c r="U230" s="34"/>
      <c r="V230" s="3" cm="1">
        <f t="array" ref="V230">SUMPRODUCT(--(MOD(B230:G230,10)&gt;=1), --(MOD(B230:G230,10)&lt;=5))</f>
        <v>0</v>
      </c>
      <c r="W230" s="3">
        <f>6-V230</f>
        <v>6</v>
      </c>
      <c r="X230" s="34"/>
      <c r="Y230" s="3" cm="1">
        <f t="array" ref="Y230">IFERROR(COUNT(_xlfn._xlws.FILTER(B230:G230, ISNUMBER(MATCH(B230:G230, {2,3,5,7,11,13,17,19,23,29,31,37,41,43}, 0)))), 0)</f>
        <v>0</v>
      </c>
      <c r="Z230" s="3" cm="1">
        <f t="array" ref="Z230">IFERROR(COUNT(_xlfn._xlws.FILTER(B230:G230, ISNUMBER(MATCH(B230:G230, {1,4,8,10,14,16,20,22,25,26,28,32,34,35,38,40,44}, 0)))), 0)</f>
        <v>0</v>
      </c>
      <c r="AA230" s="3" cm="1">
        <f t="array" ref="AA230">IFERROR(COUNT(_xlfn._xlws.FILTER(B230:G230, ISNUMBER(MATCH(B230:G230, {6,9,12,15,18,21,24,27,30,33,36,39,42,45}, 0)))), 0)</f>
        <v>0</v>
      </c>
      <c r="AB230" s="30"/>
      <c r="AC230" s="26" cm="1">
        <f t="array" ref="AC230">_xlfn.IFS(
   OR(B230="",ISBLANK(B230),B230=0),0,
   ISNUMBER(MATCH(B230,{2,3,5,7,11,13,17,19,23,29,31,37,41,43},0)),"소",
   AND(ISNUMBER(B230),MOD(B230,3)=0),"배",
   AND(ISNUMBER(B230),B230&gt;0),"자"
)</f>
        <v>0</v>
      </c>
      <c r="AD230" s="26" cm="1">
        <f t="array" ref="AD230">_xlfn.IFS(
   OR(C230="",ISBLANK(C230),C230=0),0,
   ISNUMBER(MATCH(C230,{2,3,5,7,11,13,17,19,23,29,31,37,41,43},0)),"소",
   AND(ISNUMBER(C230),MOD(C230,3)=0),"배",
   AND(ISNUMBER(C230),C230&gt;0),"자"
)</f>
        <v>0</v>
      </c>
      <c r="AE230" s="26" cm="1">
        <f t="array" ref="AE230">_xlfn.IFS(
   OR(D230="",ISBLANK(D230),D230=0),0,
   ISNUMBER(MATCH(D230,{2,3,5,7,11,13,17,19,23,29,31,37,41,43},0)),"소",
   AND(ISNUMBER(D230),MOD(D230,3)=0),"배",
   AND(ISNUMBER(D230),D230&gt;0),"자"
)</f>
        <v>0</v>
      </c>
      <c r="AF230" s="26" cm="1">
        <f t="array" ref="AF230">_xlfn.IFS(
   OR(E230="",ISBLANK(E230),E230=0),0,
   ISNUMBER(MATCH(E230,{2,3,5,7,11,13,17,19,23,29,31,37,41,43},0)),"소",
   AND(ISNUMBER(E230),MOD(E230,3)=0),"배",
   AND(ISNUMBER(E230),E230&gt;0),"자"
)</f>
        <v>0</v>
      </c>
      <c r="AG230" s="26" cm="1">
        <f t="array" ref="AG230">_xlfn.IFS(
   OR(F230="",ISBLANK(F230),F230=0),0,
   ISNUMBER(MATCH(F230,{2,3,5,7,11,13,17,19,23,29,31,37,41,43},0)),"소",
   AND(ISNUMBER(F230),MOD(F230,3)=0),"배",
   AND(ISNUMBER(F230),F230&gt;0),"자"
)</f>
        <v>0</v>
      </c>
      <c r="AH230" s="26" cm="1">
        <f t="array" ref="AH230">_xlfn.IFS(
   OR(G230="",ISBLANK(G230),G230=0),0,
   ISNUMBER(MATCH(G230,{2,3,5,7,11,13,17,19,23,29,31,37,41,43},0)),"소",
   AND(ISNUMBER(G230),MOD(G230,3)=0),"배",
   AND(ISNUMBER(G230),G230&gt;0),"자"
)</f>
        <v>0</v>
      </c>
      <c r="AI230" s="30"/>
      <c r="AJ230" s="3">
        <f>COUNTIFS(B230:G230,"&gt;=1",B230:G230,"&lt;=14")</f>
        <v>0</v>
      </c>
      <c r="AK230" s="3">
        <f>COUNTIFS(B230:G230,"&gt;=15",B230:G230,"&lt;=31")</f>
        <v>0</v>
      </c>
      <c r="AL230" s="3">
        <f>6-AK230-AJ230</f>
        <v>6</v>
      </c>
      <c r="AM230" s="33"/>
      <c r="AN230" s="3">
        <f>COUNTIFS($B230:$G230, "&gt;=1",$B230:$G230, "&lt;=9")</f>
        <v>0</v>
      </c>
      <c r="AO230" s="3">
        <f>COUNTIFS($B230:$G230, "&gt;=10",$B230:$G230, "&lt;=18")</f>
        <v>0</v>
      </c>
      <c r="AP230" s="3">
        <f>COUNTIFS($B230:$G230, "&gt;=19",$B230:$G230, "&lt;=27")</f>
        <v>0</v>
      </c>
      <c r="AQ230" s="3">
        <f>COUNTIFS($B230:$G230, "&gt;=28",$B230:$G230, "&lt;=36")</f>
        <v>0</v>
      </c>
      <c r="AR230" s="3">
        <f>COUNTIFS($B230:$G230, "&gt;=37",$B230:$G230, "&lt;=45")</f>
        <v>0</v>
      </c>
      <c r="AS230" s="28" t="e">
        <f>#REF!</f>
        <v>#REF!</v>
      </c>
      <c r="AT230" s="28" t="e">
        <f>#REF!*2</f>
        <v>#REF!</v>
      </c>
      <c r="AU230" s="28" t="e">
        <f>#REF!</f>
        <v>#REF!</v>
      </c>
      <c r="AV230" s="28" t="e">
        <f>#REF!*2</f>
        <v>#REF!</v>
      </c>
      <c r="AW230" s="28" t="e">
        <f>#REF!</f>
        <v>#REF!</v>
      </c>
      <c r="AX230" s="28" t="e">
        <f>#REF!*2</f>
        <v>#REF!</v>
      </c>
      <c r="AY230" s="28" t="e">
        <f>#REF!</f>
        <v>#REF!</v>
      </c>
      <c r="AZ230" s="28" t="e">
        <f>#REF!*2</f>
        <v>#REF!</v>
      </c>
      <c r="BA230" s="28" t="e">
        <f>#REF!</f>
        <v>#REF!</v>
      </c>
      <c r="BB230" s="28" t="e">
        <f>#REF!*2</f>
        <v>#REF!</v>
      </c>
      <c r="BC230" s="28" t="e">
        <f>#REF!</f>
        <v>#REF!</v>
      </c>
      <c r="BD230" s="28" t="e">
        <f>#REF!*2</f>
        <v>#REF!</v>
      </c>
      <c r="BE230" s="9" t="e">
        <f>#REF!-#REF!</f>
        <v>#REF!</v>
      </c>
      <c r="BF230" s="9" t="e">
        <f>#REF!-#REF!</f>
        <v>#REF!</v>
      </c>
      <c r="BG230" s="9" t="e">
        <f>#REF!-#REF!</f>
        <v>#REF!</v>
      </c>
      <c r="BH230" s="9" t="e">
        <f>#REF!-#REF!</f>
        <v>#REF!</v>
      </c>
      <c r="BI230" s="9" t="e">
        <f>#REF!-#REF!</f>
        <v>#REF!</v>
      </c>
      <c r="BJ230" s="33"/>
      <c r="BK230" s="3">
        <f>COUNTIFS(B230:G230, "&gt;=1", B230:G230, "&lt;=9")</f>
        <v>0</v>
      </c>
      <c r="BL230" s="3">
        <f>COUNTIFS(B230:G230, "&gt;=10", B230:G230, "&lt;=19")</f>
        <v>0</v>
      </c>
      <c r="BM230" s="3">
        <f>COUNTIFS(B230:G230, "&gt;=20", B230:G230, "&lt;=29")</f>
        <v>0</v>
      </c>
      <c r="BN230" s="3">
        <f>COUNTIFS(B230:G230, "&gt;=30", B230:G230, "&lt;=39")</f>
        <v>0</v>
      </c>
      <c r="BO230" s="3">
        <f>COUNTIFS(B230:G230, "&gt;=40", B230:G230, "&lt;=45")</f>
        <v>0</v>
      </c>
      <c r="BP230" s="28" t="e">
        <f>#REF!</f>
        <v>#REF!</v>
      </c>
      <c r="BQ230" s="28" t="e">
        <f>#REF!*2</f>
        <v>#REF!</v>
      </c>
      <c r="BR230" s="28" t="e">
        <f>#REF!</f>
        <v>#REF!</v>
      </c>
      <c r="BS230" s="28" t="e">
        <f>#REF!*2</f>
        <v>#REF!</v>
      </c>
      <c r="BT230" s="28" t="e">
        <f>#REF!</f>
        <v>#REF!</v>
      </c>
      <c r="BU230" s="28" t="e">
        <f>#REF!*2</f>
        <v>#REF!</v>
      </c>
      <c r="BV230" s="28" t="e">
        <f>#REF!</f>
        <v>#REF!</v>
      </c>
      <c r="BW230" s="28" t="e">
        <f>#REF!*2</f>
        <v>#REF!</v>
      </c>
      <c r="BX230" s="28" t="e">
        <f>#REF!</f>
        <v>#REF!</v>
      </c>
      <c r="BY230" s="28" t="e">
        <f>#REF!*2</f>
        <v>#REF!</v>
      </c>
      <c r="BZ230" s="28" t="e">
        <f>#REF!</f>
        <v>#REF!</v>
      </c>
      <c r="CA230" s="28" t="e">
        <f>#REF!*2</f>
        <v>#REF!</v>
      </c>
      <c r="CB230" s="9">
        <f>C230-B230</f>
        <v>0</v>
      </c>
      <c r="CC230" s="9">
        <f>D230-C230</f>
        <v>0</v>
      </c>
      <c r="CD230" s="9">
        <f>E230-D230</f>
        <v>0</v>
      </c>
      <c r="CE230" s="9">
        <f>F230-E230</f>
        <v>0</v>
      </c>
      <c r="CF230" s="9">
        <f>G230-F230</f>
        <v>0</v>
      </c>
      <c r="CG230" s="33"/>
      <c r="CH230" s="3">
        <f>C230-B230</f>
        <v>0</v>
      </c>
      <c r="CI230" s="3">
        <f>D230-C230</f>
        <v>0</v>
      </c>
      <c r="CJ230" s="3">
        <f>E230-D230</f>
        <v>0</v>
      </c>
      <c r="CK230" s="3">
        <f>F230-E230</f>
        <v>0</v>
      </c>
      <c r="CL230" s="3">
        <f>G230-F230</f>
        <v>0</v>
      </c>
      <c r="CM230" s="32"/>
      <c r="CN230" s="3">
        <f>IF(OR(CH230="",ISBLANK(CH230),CH230=0),0,IF(MOD(CH230,2)=1,1,2))</f>
        <v>0</v>
      </c>
      <c r="CO230" s="3">
        <f>IF(OR(CI230="",ISBLANK(CI230),CI230=0),0,IF(MOD(CI230,2)=1,1,2))</f>
        <v>0</v>
      </c>
      <c r="CP230" s="3">
        <f>IF(OR(CJ230="",ISBLANK(CJ230),CJ230=0),0,IF(MOD(CJ230,2)=1,1,2))</f>
        <v>0</v>
      </c>
      <c r="CQ230" s="3">
        <f>IF(OR(CK230="",ISBLANK(CK230),CK230=0),0,IF(MOD(CK230,2)=1,1,2))</f>
        <v>0</v>
      </c>
      <c r="CR230" s="3">
        <f>IF(OR(CL230="",ISBLANK(CL230),CL230=0),0,IF(MOD(CL230,2)=1,1,2))</f>
        <v>0</v>
      </c>
      <c r="CS230" s="31"/>
      <c r="CT230" s="3" cm="1">
        <f t="array" ref="CT230">SUMPRODUCT(--(MOD(CH230:CL230,2)=1))</f>
        <v>0</v>
      </c>
      <c r="CU230" s="3">
        <f>5-CT230</f>
        <v>5</v>
      </c>
      <c r="CV230" s="30"/>
      <c r="CW230" s="3" cm="1">
        <f t="array" ref="CW230">SUMPRODUCT(--(MOD(CH230:CL230,10)&gt;=1), --(MOD(CH230:CL230,10)&lt;=5))</f>
        <v>0</v>
      </c>
      <c r="CX230" s="3">
        <f>5-CW230</f>
        <v>5</v>
      </c>
      <c r="CY230" s="30"/>
      <c r="CZ230" s="3" cm="1">
        <f t="array" ref="CZ230">IFERROR(COUNT(_xlfn._xlws.FILTER(CH230:CL230, ISNUMBER(MATCH(CH230:CL230, {2,3,5,7,11,13,17,19,23,29,31,37,41,43}, 0)))), 0)</f>
        <v>0</v>
      </c>
      <c r="DA230" s="3" cm="1">
        <f t="array" ref="DA230">IFERROR(COUNT(_xlfn._xlws.FILTER(CH230:CL230, ISNUMBER(MATCH(CH230:CL230, {1,4,8,10,14,16,20,22,25,26,28,32,34,35,38,40,44}, 0)))), 0)</f>
        <v>0</v>
      </c>
      <c r="DB230" s="3" cm="1">
        <f t="array" ref="DB230">IFERROR(COUNT(_xlfn._xlws.FILTER(CH230:CL230, ISNUMBER(MATCH(CH230:CL230, {6,9,12,15,18,21,24,27,30,33,36,39,42,45}, 0)))), 0)</f>
        <v>0</v>
      </c>
      <c r="DC230" s="29"/>
      <c r="DD230" s="28" t="e">
        <f>#REF!</f>
        <v>#REF!</v>
      </c>
      <c r="DE230" s="28" t="e">
        <f>#REF!*2</f>
        <v>#REF!</v>
      </c>
      <c r="DF230" s="28" t="e">
        <f>#REF!</f>
        <v>#REF!</v>
      </c>
      <c r="DG230" s="28" t="e">
        <f>#REF!*2</f>
        <v>#REF!</v>
      </c>
      <c r="DH230" s="28" t="e">
        <f>#REF!</f>
        <v>#REF!</v>
      </c>
      <c r="DI230" s="28" t="e">
        <f>#REF!*2</f>
        <v>#REF!</v>
      </c>
      <c r="DJ230" s="28" t="e">
        <f>#REF!</f>
        <v>#REF!</v>
      </c>
      <c r="DK230" s="28" t="e">
        <f>#REF!*2</f>
        <v>#REF!</v>
      </c>
      <c r="DL230" s="28" t="e">
        <f>#REF!</f>
        <v>#REF!</v>
      </c>
      <c r="DM230" s="28" t="e">
        <f>#REF!*2</f>
        <v>#REF!</v>
      </c>
      <c r="DN230" s="27"/>
      <c r="DO230" s="26"/>
      <c r="DP230" s="26"/>
      <c r="DQ230" s="26"/>
      <c r="DR230" s="26"/>
      <c r="DS230" s="26"/>
      <c r="DT230" s="25"/>
    </row>
    <row r="231" spans="2:124" x14ac:dyDescent="0.3"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2"/>
      <c r="I231" s="3">
        <f>IF(OR(B231="",ISBLANK(B231),B231=0),0,IF(MOD(B231,2)=1,1,2))</f>
        <v>0</v>
      </c>
      <c r="J231" s="3">
        <f>IF(OR(C231="",ISBLANK(C231),C231=0),0,IF(MOD(C231,2)=1,1,2))</f>
        <v>0</v>
      </c>
      <c r="K231" s="3">
        <f>IF(OR(D231="",ISBLANK(D231),D231=0),0,IF(MOD(D231,2)=1,1,2))</f>
        <v>0</v>
      </c>
      <c r="L231" s="3">
        <f>IF(OR(E231="",ISBLANK(E231),E231=0),0,IF(MOD(E231,2)=1,1,2))</f>
        <v>0</v>
      </c>
      <c r="M231" s="3">
        <f>IF(OR(F231="",ISBLANK(F231),F231=0),0,IF(MOD(F231,2)=1,1,2))</f>
        <v>0</v>
      </c>
      <c r="N231" s="3">
        <f>IF(OR(G231="",ISBLANK(G231),G231=0),0,IF(MOD(G231,2)=1,1,2))</f>
        <v>0</v>
      </c>
      <c r="O231" s="32"/>
      <c r="P231" s="3" cm="1">
        <f t="array" ref="P231">SUMPRODUCT(--(MOD(B231:G231,2)=1))</f>
        <v>0</v>
      </c>
      <c r="Q231" s="3">
        <f>6-P231</f>
        <v>6</v>
      </c>
      <c r="R231" s="34"/>
      <c r="S231" s="3">
        <f>COUNTIFS(B231:G231,"&gt;=1",B231:G231,"&lt;=23")</f>
        <v>0</v>
      </c>
      <c r="T231" s="3">
        <f>6-S231</f>
        <v>6</v>
      </c>
      <c r="U231" s="34"/>
      <c r="V231" s="3" cm="1">
        <f t="array" ref="V231">SUMPRODUCT(--(MOD(B231:G231,10)&gt;=1), --(MOD(B231:G231,10)&lt;=5))</f>
        <v>0</v>
      </c>
      <c r="W231" s="3">
        <f>6-V231</f>
        <v>6</v>
      </c>
      <c r="X231" s="34"/>
      <c r="Y231" s="3" cm="1">
        <f t="array" ref="Y231">IFERROR(COUNT(_xlfn._xlws.FILTER(B231:G231, ISNUMBER(MATCH(B231:G231, {2,3,5,7,11,13,17,19,23,29,31,37,41,43}, 0)))), 0)</f>
        <v>0</v>
      </c>
      <c r="Z231" s="3" cm="1">
        <f t="array" ref="Z231">IFERROR(COUNT(_xlfn._xlws.FILTER(B231:G231, ISNUMBER(MATCH(B231:G231, {1,4,8,10,14,16,20,22,25,26,28,32,34,35,38,40,44}, 0)))), 0)</f>
        <v>0</v>
      </c>
      <c r="AA231" s="3" cm="1">
        <f t="array" ref="AA231">IFERROR(COUNT(_xlfn._xlws.FILTER(B231:G231, ISNUMBER(MATCH(B231:G231, {6,9,12,15,18,21,24,27,30,33,36,39,42,45}, 0)))), 0)</f>
        <v>0</v>
      </c>
      <c r="AB231" s="30"/>
      <c r="AC231" s="26" cm="1">
        <f t="array" ref="AC231">_xlfn.IFS(
   OR(B231="",ISBLANK(B231),B231=0),0,
   ISNUMBER(MATCH(B231,{2,3,5,7,11,13,17,19,23,29,31,37,41,43},0)),"소",
   AND(ISNUMBER(B231),MOD(B231,3)=0),"배",
   AND(ISNUMBER(B231),B231&gt;0),"자"
)</f>
        <v>0</v>
      </c>
      <c r="AD231" s="26" cm="1">
        <f t="array" ref="AD231">_xlfn.IFS(
   OR(C231="",ISBLANK(C231),C231=0),0,
   ISNUMBER(MATCH(C231,{2,3,5,7,11,13,17,19,23,29,31,37,41,43},0)),"소",
   AND(ISNUMBER(C231),MOD(C231,3)=0),"배",
   AND(ISNUMBER(C231),C231&gt;0),"자"
)</f>
        <v>0</v>
      </c>
      <c r="AE231" s="26" cm="1">
        <f t="array" ref="AE231">_xlfn.IFS(
   OR(D231="",ISBLANK(D231),D231=0),0,
   ISNUMBER(MATCH(D231,{2,3,5,7,11,13,17,19,23,29,31,37,41,43},0)),"소",
   AND(ISNUMBER(D231),MOD(D231,3)=0),"배",
   AND(ISNUMBER(D231),D231&gt;0),"자"
)</f>
        <v>0</v>
      </c>
      <c r="AF231" s="26" cm="1">
        <f t="array" ref="AF231">_xlfn.IFS(
   OR(E231="",ISBLANK(E231),E231=0),0,
   ISNUMBER(MATCH(E231,{2,3,5,7,11,13,17,19,23,29,31,37,41,43},0)),"소",
   AND(ISNUMBER(E231),MOD(E231,3)=0),"배",
   AND(ISNUMBER(E231),E231&gt;0),"자"
)</f>
        <v>0</v>
      </c>
      <c r="AG231" s="26" cm="1">
        <f t="array" ref="AG231">_xlfn.IFS(
   OR(F231="",ISBLANK(F231),F231=0),0,
   ISNUMBER(MATCH(F231,{2,3,5,7,11,13,17,19,23,29,31,37,41,43},0)),"소",
   AND(ISNUMBER(F231),MOD(F231,3)=0),"배",
   AND(ISNUMBER(F231),F231&gt;0),"자"
)</f>
        <v>0</v>
      </c>
      <c r="AH231" s="26" cm="1">
        <f t="array" ref="AH231">_xlfn.IFS(
   OR(G231="",ISBLANK(G231),G231=0),0,
   ISNUMBER(MATCH(G231,{2,3,5,7,11,13,17,19,23,29,31,37,41,43},0)),"소",
   AND(ISNUMBER(G231),MOD(G231,3)=0),"배",
   AND(ISNUMBER(G231),G231&gt;0),"자"
)</f>
        <v>0</v>
      </c>
      <c r="AI231" s="30"/>
      <c r="AJ231" s="3">
        <f>COUNTIFS(B231:G231,"&gt;=1",B231:G231,"&lt;=14")</f>
        <v>0</v>
      </c>
      <c r="AK231" s="3">
        <f>COUNTIFS(B231:G231,"&gt;=15",B231:G231,"&lt;=31")</f>
        <v>0</v>
      </c>
      <c r="AL231" s="3">
        <f>6-AK231-AJ231</f>
        <v>6</v>
      </c>
      <c r="AM231" s="33"/>
      <c r="AN231" s="3">
        <f>COUNTIFS($B231:$G231, "&gt;=1",$B231:$G231, "&lt;=9")</f>
        <v>0</v>
      </c>
      <c r="AO231" s="3">
        <f>COUNTIFS($B231:$G231, "&gt;=10",$B231:$G231, "&lt;=18")</f>
        <v>0</v>
      </c>
      <c r="AP231" s="3">
        <f>COUNTIFS($B231:$G231, "&gt;=19",$B231:$G231, "&lt;=27")</f>
        <v>0</v>
      </c>
      <c r="AQ231" s="3">
        <f>COUNTIFS($B231:$G231, "&gt;=28",$B231:$G231, "&lt;=36")</f>
        <v>0</v>
      </c>
      <c r="AR231" s="3">
        <f>COUNTIFS($B231:$G231, "&gt;=37",$B231:$G231, "&lt;=45")</f>
        <v>0</v>
      </c>
      <c r="AS231" s="28" t="e">
        <f>#REF!</f>
        <v>#REF!</v>
      </c>
      <c r="AT231" s="28" t="e">
        <f>#REF!*2</f>
        <v>#REF!</v>
      </c>
      <c r="AU231" s="28" t="e">
        <f>#REF!</f>
        <v>#REF!</v>
      </c>
      <c r="AV231" s="28" t="e">
        <f>#REF!*2</f>
        <v>#REF!</v>
      </c>
      <c r="AW231" s="28" t="e">
        <f>#REF!</f>
        <v>#REF!</v>
      </c>
      <c r="AX231" s="28" t="e">
        <f>#REF!*2</f>
        <v>#REF!</v>
      </c>
      <c r="AY231" s="28" t="e">
        <f>#REF!</f>
        <v>#REF!</v>
      </c>
      <c r="AZ231" s="28" t="e">
        <f>#REF!*2</f>
        <v>#REF!</v>
      </c>
      <c r="BA231" s="28" t="e">
        <f>#REF!</f>
        <v>#REF!</v>
      </c>
      <c r="BB231" s="28" t="e">
        <f>#REF!*2</f>
        <v>#REF!</v>
      </c>
      <c r="BC231" s="28" t="e">
        <f>#REF!</f>
        <v>#REF!</v>
      </c>
      <c r="BD231" s="28" t="e">
        <f>#REF!*2</f>
        <v>#REF!</v>
      </c>
      <c r="BE231" s="9" t="e">
        <f>#REF!-#REF!</f>
        <v>#REF!</v>
      </c>
      <c r="BF231" s="9" t="e">
        <f>#REF!-#REF!</f>
        <v>#REF!</v>
      </c>
      <c r="BG231" s="9" t="e">
        <f>#REF!-#REF!</f>
        <v>#REF!</v>
      </c>
      <c r="BH231" s="9" t="e">
        <f>#REF!-#REF!</f>
        <v>#REF!</v>
      </c>
      <c r="BI231" s="9" t="e">
        <f>#REF!-#REF!</f>
        <v>#REF!</v>
      </c>
      <c r="BJ231" s="33"/>
      <c r="BK231" s="3">
        <f>COUNTIFS(B231:G231, "&gt;=1", B231:G231, "&lt;=9")</f>
        <v>0</v>
      </c>
      <c r="BL231" s="3">
        <f>COUNTIFS(B231:G231, "&gt;=10", B231:G231, "&lt;=19")</f>
        <v>0</v>
      </c>
      <c r="BM231" s="3">
        <f>COUNTIFS(B231:G231, "&gt;=20", B231:G231, "&lt;=29")</f>
        <v>0</v>
      </c>
      <c r="BN231" s="3">
        <f>COUNTIFS(B231:G231, "&gt;=30", B231:G231, "&lt;=39")</f>
        <v>0</v>
      </c>
      <c r="BO231" s="3">
        <f>COUNTIFS(B231:G231, "&gt;=40", B231:G231, "&lt;=45")</f>
        <v>0</v>
      </c>
      <c r="BP231" s="28" t="e">
        <f>#REF!</f>
        <v>#REF!</v>
      </c>
      <c r="BQ231" s="28" t="e">
        <f>#REF!*2</f>
        <v>#REF!</v>
      </c>
      <c r="BR231" s="28" t="e">
        <f>#REF!</f>
        <v>#REF!</v>
      </c>
      <c r="BS231" s="28" t="e">
        <f>#REF!*2</f>
        <v>#REF!</v>
      </c>
      <c r="BT231" s="28" t="e">
        <f>#REF!</f>
        <v>#REF!</v>
      </c>
      <c r="BU231" s="28" t="e">
        <f>#REF!*2</f>
        <v>#REF!</v>
      </c>
      <c r="BV231" s="28" t="e">
        <f>#REF!</f>
        <v>#REF!</v>
      </c>
      <c r="BW231" s="28" t="e">
        <f>#REF!*2</f>
        <v>#REF!</v>
      </c>
      <c r="BX231" s="28" t="e">
        <f>#REF!</f>
        <v>#REF!</v>
      </c>
      <c r="BY231" s="28" t="e">
        <f>#REF!*2</f>
        <v>#REF!</v>
      </c>
      <c r="BZ231" s="28" t="e">
        <f>#REF!</f>
        <v>#REF!</v>
      </c>
      <c r="CA231" s="28" t="e">
        <f>#REF!*2</f>
        <v>#REF!</v>
      </c>
      <c r="CB231" s="9">
        <f>C231-B231</f>
        <v>0</v>
      </c>
      <c r="CC231" s="9">
        <f>D231-C231</f>
        <v>0</v>
      </c>
      <c r="CD231" s="9">
        <f>E231-D231</f>
        <v>0</v>
      </c>
      <c r="CE231" s="9">
        <f>F231-E231</f>
        <v>0</v>
      </c>
      <c r="CF231" s="9">
        <f>G231-F231</f>
        <v>0</v>
      </c>
      <c r="CG231" s="33"/>
      <c r="CH231" s="3">
        <f>C231-B231</f>
        <v>0</v>
      </c>
      <c r="CI231" s="3">
        <f>D231-C231</f>
        <v>0</v>
      </c>
      <c r="CJ231" s="3">
        <f>E231-D231</f>
        <v>0</v>
      </c>
      <c r="CK231" s="3">
        <f>F231-E231</f>
        <v>0</v>
      </c>
      <c r="CL231" s="3">
        <f>G231-F231</f>
        <v>0</v>
      </c>
      <c r="CM231" s="32"/>
      <c r="CN231" s="3">
        <f>IF(OR(CH231="",ISBLANK(CH231),CH231=0),0,IF(MOD(CH231,2)=1,1,2))</f>
        <v>0</v>
      </c>
      <c r="CO231" s="3">
        <f>IF(OR(CI231="",ISBLANK(CI231),CI231=0),0,IF(MOD(CI231,2)=1,1,2))</f>
        <v>0</v>
      </c>
      <c r="CP231" s="3">
        <f>IF(OR(CJ231="",ISBLANK(CJ231),CJ231=0),0,IF(MOD(CJ231,2)=1,1,2))</f>
        <v>0</v>
      </c>
      <c r="CQ231" s="3">
        <f>IF(OR(CK231="",ISBLANK(CK231),CK231=0),0,IF(MOD(CK231,2)=1,1,2))</f>
        <v>0</v>
      </c>
      <c r="CR231" s="3">
        <f>IF(OR(CL231="",ISBLANK(CL231),CL231=0),0,IF(MOD(CL231,2)=1,1,2))</f>
        <v>0</v>
      </c>
      <c r="CS231" s="31"/>
      <c r="CT231" s="3" cm="1">
        <f t="array" ref="CT231">SUMPRODUCT(--(MOD(CH231:CL231,2)=1))</f>
        <v>0</v>
      </c>
      <c r="CU231" s="3">
        <f>5-CT231</f>
        <v>5</v>
      </c>
      <c r="CV231" s="30"/>
      <c r="CW231" s="3" cm="1">
        <f t="array" ref="CW231">SUMPRODUCT(--(MOD(CH231:CL231,10)&gt;=1), --(MOD(CH231:CL231,10)&lt;=5))</f>
        <v>0</v>
      </c>
      <c r="CX231" s="3">
        <f>5-CW231</f>
        <v>5</v>
      </c>
      <c r="CY231" s="30"/>
      <c r="CZ231" s="3" cm="1">
        <f t="array" ref="CZ231">IFERROR(COUNT(_xlfn._xlws.FILTER(CH231:CL231, ISNUMBER(MATCH(CH231:CL231, {2,3,5,7,11,13,17,19,23,29,31,37,41,43}, 0)))), 0)</f>
        <v>0</v>
      </c>
      <c r="DA231" s="3" cm="1">
        <f t="array" ref="DA231">IFERROR(COUNT(_xlfn._xlws.FILTER(CH231:CL231, ISNUMBER(MATCH(CH231:CL231, {1,4,8,10,14,16,20,22,25,26,28,32,34,35,38,40,44}, 0)))), 0)</f>
        <v>0</v>
      </c>
      <c r="DB231" s="3" cm="1">
        <f t="array" ref="DB231">IFERROR(COUNT(_xlfn._xlws.FILTER(CH231:CL231, ISNUMBER(MATCH(CH231:CL231, {6,9,12,15,18,21,24,27,30,33,36,39,42,45}, 0)))), 0)</f>
        <v>0</v>
      </c>
      <c r="DC231" s="29"/>
      <c r="DD231" s="28" t="e">
        <f>#REF!</f>
        <v>#REF!</v>
      </c>
      <c r="DE231" s="28" t="e">
        <f>#REF!*2</f>
        <v>#REF!</v>
      </c>
      <c r="DF231" s="28" t="e">
        <f>#REF!</f>
        <v>#REF!</v>
      </c>
      <c r="DG231" s="28" t="e">
        <f>#REF!*2</f>
        <v>#REF!</v>
      </c>
      <c r="DH231" s="28" t="e">
        <f>#REF!</f>
        <v>#REF!</v>
      </c>
      <c r="DI231" s="28" t="e">
        <f>#REF!*2</f>
        <v>#REF!</v>
      </c>
      <c r="DJ231" s="28" t="e">
        <f>#REF!</f>
        <v>#REF!</v>
      </c>
      <c r="DK231" s="28" t="e">
        <f>#REF!*2</f>
        <v>#REF!</v>
      </c>
      <c r="DL231" s="28" t="e">
        <f>#REF!</f>
        <v>#REF!</v>
      </c>
      <c r="DM231" s="28" t="e">
        <f>#REF!*2</f>
        <v>#REF!</v>
      </c>
      <c r="DN231" s="27"/>
      <c r="DO231" s="26"/>
      <c r="DP231" s="26"/>
      <c r="DQ231" s="26"/>
      <c r="DR231" s="26"/>
      <c r="DS231" s="26"/>
      <c r="DT231" s="25"/>
    </row>
    <row r="232" spans="2:124" x14ac:dyDescent="0.3">
      <c r="B232" s="3">
        <v>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2"/>
      <c r="I232" s="3">
        <f>IF(OR(B232="",ISBLANK(B232),B232=0),0,IF(MOD(B232,2)=1,1,2))</f>
        <v>0</v>
      </c>
      <c r="J232" s="3">
        <f>IF(OR(C232="",ISBLANK(C232),C232=0),0,IF(MOD(C232,2)=1,1,2))</f>
        <v>0</v>
      </c>
      <c r="K232" s="3">
        <f>IF(OR(D232="",ISBLANK(D232),D232=0),0,IF(MOD(D232,2)=1,1,2))</f>
        <v>0</v>
      </c>
      <c r="L232" s="3">
        <f>IF(OR(E232="",ISBLANK(E232),E232=0),0,IF(MOD(E232,2)=1,1,2))</f>
        <v>0</v>
      </c>
      <c r="M232" s="3">
        <f>IF(OR(F232="",ISBLANK(F232),F232=0),0,IF(MOD(F232,2)=1,1,2))</f>
        <v>0</v>
      </c>
      <c r="N232" s="3">
        <f>IF(OR(G232="",ISBLANK(G232),G232=0),0,IF(MOD(G232,2)=1,1,2))</f>
        <v>0</v>
      </c>
      <c r="O232" s="32"/>
      <c r="P232" s="3" cm="1">
        <f t="array" ref="P232">SUMPRODUCT(--(MOD(B232:G232,2)=1))</f>
        <v>0</v>
      </c>
      <c r="Q232" s="3">
        <f>6-P232</f>
        <v>6</v>
      </c>
      <c r="R232" s="34"/>
      <c r="S232" s="3">
        <f>COUNTIFS(B232:G232,"&gt;=1",B232:G232,"&lt;=23")</f>
        <v>0</v>
      </c>
      <c r="T232" s="3">
        <f>6-S232</f>
        <v>6</v>
      </c>
      <c r="U232" s="34"/>
      <c r="V232" s="3" cm="1">
        <f t="array" ref="V232">SUMPRODUCT(--(MOD(B232:G232,10)&gt;=1), --(MOD(B232:G232,10)&lt;=5))</f>
        <v>0</v>
      </c>
      <c r="W232" s="3">
        <f>6-V232</f>
        <v>6</v>
      </c>
      <c r="X232" s="34"/>
      <c r="Y232" s="3" cm="1">
        <f t="array" ref="Y232">IFERROR(COUNT(_xlfn._xlws.FILTER(B232:G232, ISNUMBER(MATCH(B232:G232, {2,3,5,7,11,13,17,19,23,29,31,37,41,43}, 0)))), 0)</f>
        <v>0</v>
      </c>
      <c r="Z232" s="3" cm="1">
        <f t="array" ref="Z232">IFERROR(COUNT(_xlfn._xlws.FILTER(B232:G232, ISNUMBER(MATCH(B232:G232, {1,4,8,10,14,16,20,22,25,26,28,32,34,35,38,40,44}, 0)))), 0)</f>
        <v>0</v>
      </c>
      <c r="AA232" s="3" cm="1">
        <f t="array" ref="AA232">IFERROR(COUNT(_xlfn._xlws.FILTER(B232:G232, ISNUMBER(MATCH(B232:G232, {6,9,12,15,18,21,24,27,30,33,36,39,42,45}, 0)))), 0)</f>
        <v>0</v>
      </c>
      <c r="AB232" s="30"/>
      <c r="AC232" s="26" cm="1">
        <f t="array" ref="AC232">_xlfn.IFS(
   OR(B232="",ISBLANK(B232),B232=0),0,
   ISNUMBER(MATCH(B232,{2,3,5,7,11,13,17,19,23,29,31,37,41,43},0)),"소",
   AND(ISNUMBER(B232),MOD(B232,3)=0),"배",
   AND(ISNUMBER(B232),B232&gt;0),"자"
)</f>
        <v>0</v>
      </c>
      <c r="AD232" s="26" cm="1">
        <f t="array" ref="AD232">_xlfn.IFS(
   OR(C232="",ISBLANK(C232),C232=0),0,
   ISNUMBER(MATCH(C232,{2,3,5,7,11,13,17,19,23,29,31,37,41,43},0)),"소",
   AND(ISNUMBER(C232),MOD(C232,3)=0),"배",
   AND(ISNUMBER(C232),C232&gt;0),"자"
)</f>
        <v>0</v>
      </c>
      <c r="AE232" s="26" cm="1">
        <f t="array" ref="AE232">_xlfn.IFS(
   OR(D232="",ISBLANK(D232),D232=0),0,
   ISNUMBER(MATCH(D232,{2,3,5,7,11,13,17,19,23,29,31,37,41,43},0)),"소",
   AND(ISNUMBER(D232),MOD(D232,3)=0),"배",
   AND(ISNUMBER(D232),D232&gt;0),"자"
)</f>
        <v>0</v>
      </c>
      <c r="AF232" s="26" cm="1">
        <f t="array" ref="AF232">_xlfn.IFS(
   OR(E232="",ISBLANK(E232),E232=0),0,
   ISNUMBER(MATCH(E232,{2,3,5,7,11,13,17,19,23,29,31,37,41,43},0)),"소",
   AND(ISNUMBER(E232),MOD(E232,3)=0),"배",
   AND(ISNUMBER(E232),E232&gt;0),"자"
)</f>
        <v>0</v>
      </c>
      <c r="AG232" s="26" cm="1">
        <f t="array" ref="AG232">_xlfn.IFS(
   OR(F232="",ISBLANK(F232),F232=0),0,
   ISNUMBER(MATCH(F232,{2,3,5,7,11,13,17,19,23,29,31,37,41,43},0)),"소",
   AND(ISNUMBER(F232),MOD(F232,3)=0),"배",
   AND(ISNUMBER(F232),F232&gt;0),"자"
)</f>
        <v>0</v>
      </c>
      <c r="AH232" s="26" cm="1">
        <f t="array" ref="AH232">_xlfn.IFS(
   OR(G232="",ISBLANK(G232),G232=0),0,
   ISNUMBER(MATCH(G232,{2,3,5,7,11,13,17,19,23,29,31,37,41,43},0)),"소",
   AND(ISNUMBER(G232),MOD(G232,3)=0),"배",
   AND(ISNUMBER(G232),G232&gt;0),"자"
)</f>
        <v>0</v>
      </c>
      <c r="AI232" s="30"/>
      <c r="AJ232" s="3">
        <f>COUNTIFS(B232:G232,"&gt;=1",B232:G232,"&lt;=14")</f>
        <v>0</v>
      </c>
      <c r="AK232" s="3">
        <f>COUNTIFS(B232:G232,"&gt;=15",B232:G232,"&lt;=31")</f>
        <v>0</v>
      </c>
      <c r="AL232" s="3">
        <f>6-AK232-AJ232</f>
        <v>6</v>
      </c>
      <c r="AM232" s="33"/>
      <c r="AN232" s="3">
        <f>COUNTIFS($B232:$G232, "&gt;=1",$B232:$G232, "&lt;=9")</f>
        <v>0</v>
      </c>
      <c r="AO232" s="3">
        <f>COUNTIFS($B232:$G232, "&gt;=10",$B232:$G232, "&lt;=18")</f>
        <v>0</v>
      </c>
      <c r="AP232" s="3">
        <f>COUNTIFS($B232:$G232, "&gt;=19",$B232:$G232, "&lt;=27")</f>
        <v>0</v>
      </c>
      <c r="AQ232" s="3">
        <f>COUNTIFS($B232:$G232, "&gt;=28",$B232:$G232, "&lt;=36")</f>
        <v>0</v>
      </c>
      <c r="AR232" s="3">
        <f>COUNTIFS($B232:$G232, "&gt;=37",$B232:$G232, "&lt;=45")</f>
        <v>0</v>
      </c>
      <c r="AS232" s="28" t="e">
        <f>#REF!</f>
        <v>#REF!</v>
      </c>
      <c r="AT232" s="28" t="e">
        <f>#REF!*2</f>
        <v>#REF!</v>
      </c>
      <c r="AU232" s="28" t="e">
        <f>#REF!</f>
        <v>#REF!</v>
      </c>
      <c r="AV232" s="28" t="e">
        <f>#REF!*2</f>
        <v>#REF!</v>
      </c>
      <c r="AW232" s="28" t="e">
        <f>#REF!</f>
        <v>#REF!</v>
      </c>
      <c r="AX232" s="28" t="e">
        <f>#REF!*2</f>
        <v>#REF!</v>
      </c>
      <c r="AY232" s="28" t="e">
        <f>#REF!</f>
        <v>#REF!</v>
      </c>
      <c r="AZ232" s="28" t="e">
        <f>#REF!*2</f>
        <v>#REF!</v>
      </c>
      <c r="BA232" s="28" t="e">
        <f>#REF!</f>
        <v>#REF!</v>
      </c>
      <c r="BB232" s="28" t="e">
        <f>#REF!*2</f>
        <v>#REF!</v>
      </c>
      <c r="BC232" s="28" t="e">
        <f>#REF!</f>
        <v>#REF!</v>
      </c>
      <c r="BD232" s="28" t="e">
        <f>#REF!*2</f>
        <v>#REF!</v>
      </c>
      <c r="BE232" s="9" t="e">
        <f>#REF!-#REF!</f>
        <v>#REF!</v>
      </c>
      <c r="BF232" s="9" t="e">
        <f>#REF!-#REF!</f>
        <v>#REF!</v>
      </c>
      <c r="BG232" s="9" t="e">
        <f>#REF!-#REF!</f>
        <v>#REF!</v>
      </c>
      <c r="BH232" s="9" t="e">
        <f>#REF!-#REF!</f>
        <v>#REF!</v>
      </c>
      <c r="BI232" s="9" t="e">
        <f>#REF!-#REF!</f>
        <v>#REF!</v>
      </c>
      <c r="BJ232" s="33"/>
      <c r="BK232" s="3">
        <f>COUNTIFS(B232:G232, "&gt;=1", B232:G232, "&lt;=9")</f>
        <v>0</v>
      </c>
      <c r="BL232" s="3">
        <f>COUNTIFS(B232:G232, "&gt;=10", B232:G232, "&lt;=19")</f>
        <v>0</v>
      </c>
      <c r="BM232" s="3">
        <f>COUNTIFS(B232:G232, "&gt;=20", B232:G232, "&lt;=29")</f>
        <v>0</v>
      </c>
      <c r="BN232" s="3">
        <f>COUNTIFS(B232:G232, "&gt;=30", B232:G232, "&lt;=39")</f>
        <v>0</v>
      </c>
      <c r="BO232" s="3">
        <f>COUNTIFS(B232:G232, "&gt;=40", B232:G232, "&lt;=45")</f>
        <v>0</v>
      </c>
      <c r="BP232" s="28" t="e">
        <f>#REF!</f>
        <v>#REF!</v>
      </c>
      <c r="BQ232" s="28" t="e">
        <f>#REF!*2</f>
        <v>#REF!</v>
      </c>
      <c r="BR232" s="28" t="e">
        <f>#REF!</f>
        <v>#REF!</v>
      </c>
      <c r="BS232" s="28" t="e">
        <f>#REF!*2</f>
        <v>#REF!</v>
      </c>
      <c r="BT232" s="28" t="e">
        <f>#REF!</f>
        <v>#REF!</v>
      </c>
      <c r="BU232" s="28" t="e">
        <f>#REF!*2</f>
        <v>#REF!</v>
      </c>
      <c r="BV232" s="28" t="e">
        <f>#REF!</f>
        <v>#REF!</v>
      </c>
      <c r="BW232" s="28" t="e">
        <f>#REF!*2</f>
        <v>#REF!</v>
      </c>
      <c r="BX232" s="28" t="e">
        <f>#REF!</f>
        <v>#REF!</v>
      </c>
      <c r="BY232" s="28" t="e">
        <f>#REF!*2</f>
        <v>#REF!</v>
      </c>
      <c r="BZ232" s="28" t="e">
        <f>#REF!</f>
        <v>#REF!</v>
      </c>
      <c r="CA232" s="28" t="e">
        <f>#REF!*2</f>
        <v>#REF!</v>
      </c>
      <c r="CB232" s="9">
        <f>C232-B232</f>
        <v>0</v>
      </c>
      <c r="CC232" s="9">
        <f>D232-C232</f>
        <v>0</v>
      </c>
      <c r="CD232" s="9">
        <f>E232-D232</f>
        <v>0</v>
      </c>
      <c r="CE232" s="9">
        <f>F232-E232</f>
        <v>0</v>
      </c>
      <c r="CF232" s="9">
        <f>G232-F232</f>
        <v>0</v>
      </c>
      <c r="CG232" s="33"/>
      <c r="CH232" s="3">
        <f>C232-B232</f>
        <v>0</v>
      </c>
      <c r="CI232" s="3">
        <f>D232-C232</f>
        <v>0</v>
      </c>
      <c r="CJ232" s="3">
        <f>E232-D232</f>
        <v>0</v>
      </c>
      <c r="CK232" s="3">
        <f>F232-E232</f>
        <v>0</v>
      </c>
      <c r="CL232" s="3">
        <f>G232-F232</f>
        <v>0</v>
      </c>
      <c r="CM232" s="32"/>
      <c r="CN232" s="3">
        <f>IF(OR(CH232="",ISBLANK(CH232),CH232=0),0,IF(MOD(CH232,2)=1,1,2))</f>
        <v>0</v>
      </c>
      <c r="CO232" s="3">
        <f>IF(OR(CI232="",ISBLANK(CI232),CI232=0),0,IF(MOD(CI232,2)=1,1,2))</f>
        <v>0</v>
      </c>
      <c r="CP232" s="3">
        <f>IF(OR(CJ232="",ISBLANK(CJ232),CJ232=0),0,IF(MOD(CJ232,2)=1,1,2))</f>
        <v>0</v>
      </c>
      <c r="CQ232" s="3">
        <f>IF(OR(CK232="",ISBLANK(CK232),CK232=0),0,IF(MOD(CK232,2)=1,1,2))</f>
        <v>0</v>
      </c>
      <c r="CR232" s="3">
        <f>IF(OR(CL232="",ISBLANK(CL232),CL232=0),0,IF(MOD(CL232,2)=1,1,2))</f>
        <v>0</v>
      </c>
      <c r="CS232" s="31"/>
      <c r="CT232" s="3" cm="1">
        <f t="array" ref="CT232">SUMPRODUCT(--(MOD(CH232:CL232,2)=1))</f>
        <v>0</v>
      </c>
      <c r="CU232" s="3">
        <f>5-CT232</f>
        <v>5</v>
      </c>
      <c r="CV232" s="30"/>
      <c r="CW232" s="3" cm="1">
        <f t="array" ref="CW232">SUMPRODUCT(--(MOD(CH232:CL232,10)&gt;=1), --(MOD(CH232:CL232,10)&lt;=5))</f>
        <v>0</v>
      </c>
      <c r="CX232" s="3">
        <f>5-CW232</f>
        <v>5</v>
      </c>
      <c r="CY232" s="30"/>
      <c r="CZ232" s="3" cm="1">
        <f t="array" ref="CZ232">IFERROR(COUNT(_xlfn._xlws.FILTER(CH232:CL232, ISNUMBER(MATCH(CH232:CL232, {2,3,5,7,11,13,17,19,23,29,31,37,41,43}, 0)))), 0)</f>
        <v>0</v>
      </c>
      <c r="DA232" s="3" cm="1">
        <f t="array" ref="DA232">IFERROR(COUNT(_xlfn._xlws.FILTER(CH232:CL232, ISNUMBER(MATCH(CH232:CL232, {1,4,8,10,14,16,20,22,25,26,28,32,34,35,38,40,44}, 0)))), 0)</f>
        <v>0</v>
      </c>
      <c r="DB232" s="3" cm="1">
        <f t="array" ref="DB232">IFERROR(COUNT(_xlfn._xlws.FILTER(CH232:CL232, ISNUMBER(MATCH(CH232:CL232, {6,9,12,15,18,21,24,27,30,33,36,39,42,45}, 0)))), 0)</f>
        <v>0</v>
      </c>
      <c r="DC232" s="29"/>
      <c r="DD232" s="28" t="e">
        <f>#REF!</f>
        <v>#REF!</v>
      </c>
      <c r="DE232" s="28" t="e">
        <f>#REF!*2</f>
        <v>#REF!</v>
      </c>
      <c r="DF232" s="28" t="e">
        <f>#REF!</f>
        <v>#REF!</v>
      </c>
      <c r="DG232" s="28" t="e">
        <f>#REF!*2</f>
        <v>#REF!</v>
      </c>
      <c r="DH232" s="28" t="e">
        <f>#REF!</f>
        <v>#REF!</v>
      </c>
      <c r="DI232" s="28" t="e">
        <f>#REF!*2</f>
        <v>#REF!</v>
      </c>
      <c r="DJ232" s="28" t="e">
        <f>#REF!</f>
        <v>#REF!</v>
      </c>
      <c r="DK232" s="28" t="e">
        <f>#REF!*2</f>
        <v>#REF!</v>
      </c>
      <c r="DL232" s="28" t="e">
        <f>#REF!</f>
        <v>#REF!</v>
      </c>
      <c r="DM232" s="28" t="e">
        <f>#REF!*2</f>
        <v>#REF!</v>
      </c>
      <c r="DN232" s="27"/>
      <c r="DO232" s="26"/>
      <c r="DP232" s="26"/>
      <c r="DQ232" s="26"/>
      <c r="DR232" s="26"/>
      <c r="DS232" s="26"/>
      <c r="DT232" s="25"/>
    </row>
    <row r="233" spans="2:124" x14ac:dyDescent="0.3">
      <c r="B233" s="3">
        <v>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2"/>
      <c r="I233" s="3">
        <f>IF(OR(B233="",ISBLANK(B233),B233=0),0,IF(MOD(B233,2)=1,1,2))</f>
        <v>0</v>
      </c>
      <c r="J233" s="3">
        <f>IF(OR(C233="",ISBLANK(C233),C233=0),0,IF(MOD(C233,2)=1,1,2))</f>
        <v>0</v>
      </c>
      <c r="K233" s="3">
        <f>IF(OR(D233="",ISBLANK(D233),D233=0),0,IF(MOD(D233,2)=1,1,2))</f>
        <v>0</v>
      </c>
      <c r="L233" s="3">
        <f>IF(OR(E233="",ISBLANK(E233),E233=0),0,IF(MOD(E233,2)=1,1,2))</f>
        <v>0</v>
      </c>
      <c r="M233" s="3">
        <f>IF(OR(F233="",ISBLANK(F233),F233=0),0,IF(MOD(F233,2)=1,1,2))</f>
        <v>0</v>
      </c>
      <c r="N233" s="3">
        <f>IF(OR(G233="",ISBLANK(G233),G233=0),0,IF(MOD(G233,2)=1,1,2))</f>
        <v>0</v>
      </c>
      <c r="O233" s="32"/>
      <c r="P233" s="3" cm="1">
        <f t="array" ref="P233">SUMPRODUCT(--(MOD(B233:G233,2)=1))</f>
        <v>0</v>
      </c>
      <c r="Q233" s="3">
        <f>6-P233</f>
        <v>6</v>
      </c>
      <c r="R233" s="34"/>
      <c r="S233" s="3">
        <f>COUNTIFS(B233:G233,"&gt;=1",B233:G233,"&lt;=23")</f>
        <v>0</v>
      </c>
      <c r="T233" s="3">
        <f>6-S233</f>
        <v>6</v>
      </c>
      <c r="U233" s="34"/>
      <c r="V233" s="3" cm="1">
        <f t="array" ref="V233">SUMPRODUCT(--(MOD(B233:G233,10)&gt;=1), --(MOD(B233:G233,10)&lt;=5))</f>
        <v>0</v>
      </c>
      <c r="W233" s="3">
        <f>6-V233</f>
        <v>6</v>
      </c>
      <c r="X233" s="34"/>
      <c r="Y233" s="3" cm="1">
        <f t="array" ref="Y233">IFERROR(COUNT(_xlfn._xlws.FILTER(B233:G233, ISNUMBER(MATCH(B233:G233, {2,3,5,7,11,13,17,19,23,29,31,37,41,43}, 0)))), 0)</f>
        <v>0</v>
      </c>
      <c r="Z233" s="3" cm="1">
        <f t="array" ref="Z233">IFERROR(COUNT(_xlfn._xlws.FILTER(B233:G233, ISNUMBER(MATCH(B233:G233, {1,4,8,10,14,16,20,22,25,26,28,32,34,35,38,40,44}, 0)))), 0)</f>
        <v>0</v>
      </c>
      <c r="AA233" s="3" cm="1">
        <f t="array" ref="AA233">IFERROR(COUNT(_xlfn._xlws.FILTER(B233:G233, ISNUMBER(MATCH(B233:G233, {6,9,12,15,18,21,24,27,30,33,36,39,42,45}, 0)))), 0)</f>
        <v>0</v>
      </c>
      <c r="AB233" s="30"/>
      <c r="AC233" s="26" cm="1">
        <f t="array" ref="AC233">_xlfn.IFS(
   OR(B233="",ISBLANK(B233),B233=0),0,
   ISNUMBER(MATCH(B233,{2,3,5,7,11,13,17,19,23,29,31,37,41,43},0)),"소",
   AND(ISNUMBER(B233),MOD(B233,3)=0),"배",
   AND(ISNUMBER(B233),B233&gt;0),"자"
)</f>
        <v>0</v>
      </c>
      <c r="AD233" s="26" cm="1">
        <f t="array" ref="AD233">_xlfn.IFS(
   OR(C233="",ISBLANK(C233),C233=0),0,
   ISNUMBER(MATCH(C233,{2,3,5,7,11,13,17,19,23,29,31,37,41,43},0)),"소",
   AND(ISNUMBER(C233),MOD(C233,3)=0),"배",
   AND(ISNUMBER(C233),C233&gt;0),"자"
)</f>
        <v>0</v>
      </c>
      <c r="AE233" s="26" cm="1">
        <f t="array" ref="AE233">_xlfn.IFS(
   OR(D233="",ISBLANK(D233),D233=0),0,
   ISNUMBER(MATCH(D233,{2,3,5,7,11,13,17,19,23,29,31,37,41,43},0)),"소",
   AND(ISNUMBER(D233),MOD(D233,3)=0),"배",
   AND(ISNUMBER(D233),D233&gt;0),"자"
)</f>
        <v>0</v>
      </c>
      <c r="AF233" s="26" cm="1">
        <f t="array" ref="AF233">_xlfn.IFS(
   OR(E233="",ISBLANK(E233),E233=0),0,
   ISNUMBER(MATCH(E233,{2,3,5,7,11,13,17,19,23,29,31,37,41,43},0)),"소",
   AND(ISNUMBER(E233),MOD(E233,3)=0),"배",
   AND(ISNUMBER(E233),E233&gt;0),"자"
)</f>
        <v>0</v>
      </c>
      <c r="AG233" s="26" cm="1">
        <f t="array" ref="AG233">_xlfn.IFS(
   OR(F233="",ISBLANK(F233),F233=0),0,
   ISNUMBER(MATCH(F233,{2,3,5,7,11,13,17,19,23,29,31,37,41,43},0)),"소",
   AND(ISNUMBER(F233),MOD(F233,3)=0),"배",
   AND(ISNUMBER(F233),F233&gt;0),"자"
)</f>
        <v>0</v>
      </c>
      <c r="AH233" s="26" cm="1">
        <f t="array" ref="AH233">_xlfn.IFS(
   OR(G233="",ISBLANK(G233),G233=0),0,
   ISNUMBER(MATCH(G233,{2,3,5,7,11,13,17,19,23,29,31,37,41,43},0)),"소",
   AND(ISNUMBER(G233),MOD(G233,3)=0),"배",
   AND(ISNUMBER(G233),G233&gt;0),"자"
)</f>
        <v>0</v>
      </c>
      <c r="AI233" s="30"/>
      <c r="AJ233" s="3">
        <f>COUNTIFS(B233:G233,"&gt;=1",B233:G233,"&lt;=14")</f>
        <v>0</v>
      </c>
      <c r="AK233" s="3">
        <f>COUNTIFS(B233:G233,"&gt;=15",B233:G233,"&lt;=31")</f>
        <v>0</v>
      </c>
      <c r="AL233" s="3">
        <f>6-AK233-AJ233</f>
        <v>6</v>
      </c>
      <c r="AM233" s="33"/>
      <c r="AN233" s="3">
        <f>COUNTIFS($B233:$G233, "&gt;=1",$B233:$G233, "&lt;=9")</f>
        <v>0</v>
      </c>
      <c r="AO233" s="3">
        <f>COUNTIFS($B233:$G233, "&gt;=10",$B233:$G233, "&lt;=18")</f>
        <v>0</v>
      </c>
      <c r="AP233" s="3">
        <f>COUNTIFS($B233:$G233, "&gt;=19",$B233:$G233, "&lt;=27")</f>
        <v>0</v>
      </c>
      <c r="AQ233" s="3">
        <f>COUNTIFS($B233:$G233, "&gt;=28",$B233:$G233, "&lt;=36")</f>
        <v>0</v>
      </c>
      <c r="AR233" s="3">
        <f>COUNTIFS($B233:$G233, "&gt;=37",$B233:$G233, "&lt;=45")</f>
        <v>0</v>
      </c>
      <c r="AS233" s="28" t="e">
        <f>#REF!</f>
        <v>#REF!</v>
      </c>
      <c r="AT233" s="28" t="e">
        <f>#REF!*2</f>
        <v>#REF!</v>
      </c>
      <c r="AU233" s="28" t="e">
        <f>#REF!</f>
        <v>#REF!</v>
      </c>
      <c r="AV233" s="28" t="e">
        <f>#REF!*2</f>
        <v>#REF!</v>
      </c>
      <c r="AW233" s="28" t="e">
        <f>#REF!</f>
        <v>#REF!</v>
      </c>
      <c r="AX233" s="28" t="e">
        <f>#REF!*2</f>
        <v>#REF!</v>
      </c>
      <c r="AY233" s="28" t="e">
        <f>#REF!</f>
        <v>#REF!</v>
      </c>
      <c r="AZ233" s="28" t="e">
        <f>#REF!*2</f>
        <v>#REF!</v>
      </c>
      <c r="BA233" s="28" t="e">
        <f>#REF!</f>
        <v>#REF!</v>
      </c>
      <c r="BB233" s="28" t="e">
        <f>#REF!*2</f>
        <v>#REF!</v>
      </c>
      <c r="BC233" s="28" t="e">
        <f>#REF!</f>
        <v>#REF!</v>
      </c>
      <c r="BD233" s="28" t="e">
        <f>#REF!*2</f>
        <v>#REF!</v>
      </c>
      <c r="BE233" s="9" t="e">
        <f>#REF!-#REF!</f>
        <v>#REF!</v>
      </c>
      <c r="BF233" s="9" t="e">
        <f>#REF!-#REF!</f>
        <v>#REF!</v>
      </c>
      <c r="BG233" s="9" t="e">
        <f>#REF!-#REF!</f>
        <v>#REF!</v>
      </c>
      <c r="BH233" s="9" t="e">
        <f>#REF!-#REF!</f>
        <v>#REF!</v>
      </c>
      <c r="BI233" s="9" t="e">
        <f>#REF!-#REF!</f>
        <v>#REF!</v>
      </c>
      <c r="BJ233" s="33"/>
      <c r="BK233" s="3">
        <f>COUNTIFS(B233:G233, "&gt;=1", B233:G233, "&lt;=9")</f>
        <v>0</v>
      </c>
      <c r="BL233" s="3">
        <f>COUNTIFS(B233:G233, "&gt;=10", B233:G233, "&lt;=19")</f>
        <v>0</v>
      </c>
      <c r="BM233" s="3">
        <f>COUNTIFS(B233:G233, "&gt;=20", B233:G233, "&lt;=29")</f>
        <v>0</v>
      </c>
      <c r="BN233" s="3">
        <f>COUNTIFS(B233:G233, "&gt;=30", B233:G233, "&lt;=39")</f>
        <v>0</v>
      </c>
      <c r="BO233" s="3">
        <f>COUNTIFS(B233:G233, "&gt;=40", B233:G233, "&lt;=45")</f>
        <v>0</v>
      </c>
      <c r="BP233" s="28" t="e">
        <f>#REF!</f>
        <v>#REF!</v>
      </c>
      <c r="BQ233" s="28" t="e">
        <f>#REF!*2</f>
        <v>#REF!</v>
      </c>
      <c r="BR233" s="28" t="e">
        <f>#REF!</f>
        <v>#REF!</v>
      </c>
      <c r="BS233" s="28" t="e">
        <f>#REF!*2</f>
        <v>#REF!</v>
      </c>
      <c r="BT233" s="28" t="e">
        <f>#REF!</f>
        <v>#REF!</v>
      </c>
      <c r="BU233" s="28" t="e">
        <f>#REF!*2</f>
        <v>#REF!</v>
      </c>
      <c r="BV233" s="28" t="e">
        <f>#REF!</f>
        <v>#REF!</v>
      </c>
      <c r="BW233" s="28" t="e">
        <f>#REF!*2</f>
        <v>#REF!</v>
      </c>
      <c r="BX233" s="28" t="e">
        <f>#REF!</f>
        <v>#REF!</v>
      </c>
      <c r="BY233" s="28" t="e">
        <f>#REF!*2</f>
        <v>#REF!</v>
      </c>
      <c r="BZ233" s="28" t="e">
        <f>#REF!</f>
        <v>#REF!</v>
      </c>
      <c r="CA233" s="28" t="e">
        <f>#REF!*2</f>
        <v>#REF!</v>
      </c>
      <c r="CB233" s="9">
        <f>C233-B233</f>
        <v>0</v>
      </c>
      <c r="CC233" s="9">
        <f>D233-C233</f>
        <v>0</v>
      </c>
      <c r="CD233" s="9">
        <f>E233-D233</f>
        <v>0</v>
      </c>
      <c r="CE233" s="9">
        <f>F233-E233</f>
        <v>0</v>
      </c>
      <c r="CF233" s="9">
        <f>G233-F233</f>
        <v>0</v>
      </c>
      <c r="CG233" s="33"/>
      <c r="CH233" s="3">
        <f>C233-B233</f>
        <v>0</v>
      </c>
      <c r="CI233" s="3">
        <f>D233-C233</f>
        <v>0</v>
      </c>
      <c r="CJ233" s="3">
        <f>E233-D233</f>
        <v>0</v>
      </c>
      <c r="CK233" s="3">
        <f>F233-E233</f>
        <v>0</v>
      </c>
      <c r="CL233" s="3">
        <f>G233-F233</f>
        <v>0</v>
      </c>
      <c r="CM233" s="32"/>
      <c r="CN233" s="3">
        <f>IF(OR(CH233="",ISBLANK(CH233),CH233=0),0,IF(MOD(CH233,2)=1,1,2))</f>
        <v>0</v>
      </c>
      <c r="CO233" s="3">
        <f>IF(OR(CI233="",ISBLANK(CI233),CI233=0),0,IF(MOD(CI233,2)=1,1,2))</f>
        <v>0</v>
      </c>
      <c r="CP233" s="3">
        <f>IF(OR(CJ233="",ISBLANK(CJ233),CJ233=0),0,IF(MOD(CJ233,2)=1,1,2))</f>
        <v>0</v>
      </c>
      <c r="CQ233" s="3">
        <f>IF(OR(CK233="",ISBLANK(CK233),CK233=0),0,IF(MOD(CK233,2)=1,1,2))</f>
        <v>0</v>
      </c>
      <c r="CR233" s="3">
        <f>IF(OR(CL233="",ISBLANK(CL233),CL233=0),0,IF(MOD(CL233,2)=1,1,2))</f>
        <v>0</v>
      </c>
      <c r="CS233" s="31"/>
      <c r="CT233" s="3" cm="1">
        <f t="array" ref="CT233">SUMPRODUCT(--(MOD(CH233:CL233,2)=1))</f>
        <v>0</v>
      </c>
      <c r="CU233" s="3">
        <f>5-CT233</f>
        <v>5</v>
      </c>
      <c r="CV233" s="30"/>
      <c r="CW233" s="3" cm="1">
        <f t="array" ref="CW233">SUMPRODUCT(--(MOD(CH233:CL233,10)&gt;=1), --(MOD(CH233:CL233,10)&lt;=5))</f>
        <v>0</v>
      </c>
      <c r="CX233" s="3">
        <f>5-CW233</f>
        <v>5</v>
      </c>
      <c r="CY233" s="30"/>
      <c r="CZ233" s="3" cm="1">
        <f t="array" ref="CZ233">IFERROR(COUNT(_xlfn._xlws.FILTER(CH233:CL233, ISNUMBER(MATCH(CH233:CL233, {2,3,5,7,11,13,17,19,23,29,31,37,41,43}, 0)))), 0)</f>
        <v>0</v>
      </c>
      <c r="DA233" s="3" cm="1">
        <f t="array" ref="DA233">IFERROR(COUNT(_xlfn._xlws.FILTER(CH233:CL233, ISNUMBER(MATCH(CH233:CL233, {1,4,8,10,14,16,20,22,25,26,28,32,34,35,38,40,44}, 0)))), 0)</f>
        <v>0</v>
      </c>
      <c r="DB233" s="3" cm="1">
        <f t="array" ref="DB233">IFERROR(COUNT(_xlfn._xlws.FILTER(CH233:CL233, ISNUMBER(MATCH(CH233:CL233, {6,9,12,15,18,21,24,27,30,33,36,39,42,45}, 0)))), 0)</f>
        <v>0</v>
      </c>
      <c r="DC233" s="29"/>
      <c r="DD233" s="28" t="e">
        <f>#REF!</f>
        <v>#REF!</v>
      </c>
      <c r="DE233" s="28" t="e">
        <f>#REF!*2</f>
        <v>#REF!</v>
      </c>
      <c r="DF233" s="28" t="e">
        <f>#REF!</f>
        <v>#REF!</v>
      </c>
      <c r="DG233" s="28" t="e">
        <f>#REF!*2</f>
        <v>#REF!</v>
      </c>
      <c r="DH233" s="28" t="e">
        <f>#REF!</f>
        <v>#REF!</v>
      </c>
      <c r="DI233" s="28" t="e">
        <f>#REF!*2</f>
        <v>#REF!</v>
      </c>
      <c r="DJ233" s="28" t="e">
        <f>#REF!</f>
        <v>#REF!</v>
      </c>
      <c r="DK233" s="28" t="e">
        <f>#REF!*2</f>
        <v>#REF!</v>
      </c>
      <c r="DL233" s="28" t="e">
        <f>#REF!</f>
        <v>#REF!</v>
      </c>
      <c r="DM233" s="28" t="e">
        <f>#REF!*2</f>
        <v>#REF!</v>
      </c>
      <c r="DN233" s="27"/>
      <c r="DO233" s="26"/>
      <c r="DP233" s="26"/>
      <c r="DQ233" s="26"/>
      <c r="DR233" s="26"/>
      <c r="DS233" s="26"/>
      <c r="DT233" s="25"/>
    </row>
    <row r="234" spans="2:124" x14ac:dyDescent="0.3"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2"/>
      <c r="I234" s="3">
        <f>IF(OR(B234="",ISBLANK(B234),B234=0),0,IF(MOD(B234,2)=1,1,2))</f>
        <v>0</v>
      </c>
      <c r="J234" s="3">
        <f>IF(OR(C234="",ISBLANK(C234),C234=0),0,IF(MOD(C234,2)=1,1,2))</f>
        <v>0</v>
      </c>
      <c r="K234" s="3">
        <f>IF(OR(D234="",ISBLANK(D234),D234=0),0,IF(MOD(D234,2)=1,1,2))</f>
        <v>0</v>
      </c>
      <c r="L234" s="3">
        <f>IF(OR(E234="",ISBLANK(E234),E234=0),0,IF(MOD(E234,2)=1,1,2))</f>
        <v>0</v>
      </c>
      <c r="M234" s="3">
        <f>IF(OR(F234="",ISBLANK(F234),F234=0),0,IF(MOD(F234,2)=1,1,2))</f>
        <v>0</v>
      </c>
      <c r="N234" s="3">
        <f>IF(OR(G234="",ISBLANK(G234),G234=0),0,IF(MOD(G234,2)=1,1,2))</f>
        <v>0</v>
      </c>
      <c r="O234" s="32"/>
      <c r="P234" s="3" cm="1">
        <f t="array" ref="P234">SUMPRODUCT(--(MOD(B234:G234,2)=1))</f>
        <v>0</v>
      </c>
      <c r="Q234" s="3">
        <f>6-P234</f>
        <v>6</v>
      </c>
      <c r="R234" s="34"/>
      <c r="S234" s="3">
        <f>COUNTIFS(B234:G234,"&gt;=1",B234:G234,"&lt;=23")</f>
        <v>0</v>
      </c>
      <c r="T234" s="3">
        <f>6-S234</f>
        <v>6</v>
      </c>
      <c r="U234" s="34"/>
      <c r="V234" s="3" cm="1">
        <f t="array" ref="V234">SUMPRODUCT(--(MOD(B234:G234,10)&gt;=1), --(MOD(B234:G234,10)&lt;=5))</f>
        <v>0</v>
      </c>
      <c r="W234" s="3">
        <f>6-V234</f>
        <v>6</v>
      </c>
      <c r="X234" s="34"/>
      <c r="Y234" s="3" cm="1">
        <f t="array" ref="Y234">IFERROR(COUNT(_xlfn._xlws.FILTER(B234:G234, ISNUMBER(MATCH(B234:G234, {2,3,5,7,11,13,17,19,23,29,31,37,41,43}, 0)))), 0)</f>
        <v>0</v>
      </c>
      <c r="Z234" s="3" cm="1">
        <f t="array" ref="Z234">IFERROR(COUNT(_xlfn._xlws.FILTER(B234:G234, ISNUMBER(MATCH(B234:G234, {1,4,8,10,14,16,20,22,25,26,28,32,34,35,38,40,44}, 0)))), 0)</f>
        <v>0</v>
      </c>
      <c r="AA234" s="3" cm="1">
        <f t="array" ref="AA234">IFERROR(COUNT(_xlfn._xlws.FILTER(B234:G234, ISNUMBER(MATCH(B234:G234, {6,9,12,15,18,21,24,27,30,33,36,39,42,45}, 0)))), 0)</f>
        <v>0</v>
      </c>
      <c r="AB234" s="30"/>
      <c r="AC234" s="26" cm="1">
        <f t="array" ref="AC234">_xlfn.IFS(
   OR(B234="",ISBLANK(B234),B234=0),0,
   ISNUMBER(MATCH(B234,{2,3,5,7,11,13,17,19,23,29,31,37,41,43},0)),"소",
   AND(ISNUMBER(B234),MOD(B234,3)=0),"배",
   AND(ISNUMBER(B234),B234&gt;0),"자"
)</f>
        <v>0</v>
      </c>
      <c r="AD234" s="26" cm="1">
        <f t="array" ref="AD234">_xlfn.IFS(
   OR(C234="",ISBLANK(C234),C234=0),0,
   ISNUMBER(MATCH(C234,{2,3,5,7,11,13,17,19,23,29,31,37,41,43},0)),"소",
   AND(ISNUMBER(C234),MOD(C234,3)=0),"배",
   AND(ISNUMBER(C234),C234&gt;0),"자"
)</f>
        <v>0</v>
      </c>
      <c r="AE234" s="26" cm="1">
        <f t="array" ref="AE234">_xlfn.IFS(
   OR(D234="",ISBLANK(D234),D234=0),0,
   ISNUMBER(MATCH(D234,{2,3,5,7,11,13,17,19,23,29,31,37,41,43},0)),"소",
   AND(ISNUMBER(D234),MOD(D234,3)=0),"배",
   AND(ISNUMBER(D234),D234&gt;0),"자"
)</f>
        <v>0</v>
      </c>
      <c r="AF234" s="26" cm="1">
        <f t="array" ref="AF234">_xlfn.IFS(
   OR(E234="",ISBLANK(E234),E234=0),0,
   ISNUMBER(MATCH(E234,{2,3,5,7,11,13,17,19,23,29,31,37,41,43},0)),"소",
   AND(ISNUMBER(E234),MOD(E234,3)=0),"배",
   AND(ISNUMBER(E234),E234&gt;0),"자"
)</f>
        <v>0</v>
      </c>
      <c r="AG234" s="26" cm="1">
        <f t="array" ref="AG234">_xlfn.IFS(
   OR(F234="",ISBLANK(F234),F234=0),0,
   ISNUMBER(MATCH(F234,{2,3,5,7,11,13,17,19,23,29,31,37,41,43},0)),"소",
   AND(ISNUMBER(F234),MOD(F234,3)=0),"배",
   AND(ISNUMBER(F234),F234&gt;0),"자"
)</f>
        <v>0</v>
      </c>
      <c r="AH234" s="26" cm="1">
        <f t="array" ref="AH234">_xlfn.IFS(
   OR(G234="",ISBLANK(G234),G234=0),0,
   ISNUMBER(MATCH(G234,{2,3,5,7,11,13,17,19,23,29,31,37,41,43},0)),"소",
   AND(ISNUMBER(G234),MOD(G234,3)=0),"배",
   AND(ISNUMBER(G234),G234&gt;0),"자"
)</f>
        <v>0</v>
      </c>
      <c r="AI234" s="30"/>
      <c r="AJ234" s="3">
        <f>COUNTIFS(B234:G234,"&gt;=1",B234:G234,"&lt;=14")</f>
        <v>0</v>
      </c>
      <c r="AK234" s="3">
        <f>COUNTIFS(B234:G234,"&gt;=15",B234:G234,"&lt;=31")</f>
        <v>0</v>
      </c>
      <c r="AL234" s="3">
        <f>6-AK234-AJ234</f>
        <v>6</v>
      </c>
      <c r="AM234" s="33"/>
      <c r="AN234" s="3">
        <f>COUNTIFS($B234:$G234, "&gt;=1",$B234:$G234, "&lt;=9")</f>
        <v>0</v>
      </c>
      <c r="AO234" s="3">
        <f>COUNTIFS($B234:$G234, "&gt;=10",$B234:$G234, "&lt;=18")</f>
        <v>0</v>
      </c>
      <c r="AP234" s="3">
        <f>COUNTIFS($B234:$G234, "&gt;=19",$B234:$G234, "&lt;=27")</f>
        <v>0</v>
      </c>
      <c r="AQ234" s="3">
        <f>COUNTIFS($B234:$G234, "&gt;=28",$B234:$G234, "&lt;=36")</f>
        <v>0</v>
      </c>
      <c r="AR234" s="3">
        <f>COUNTIFS($B234:$G234, "&gt;=37",$B234:$G234, "&lt;=45")</f>
        <v>0</v>
      </c>
      <c r="AS234" s="28" t="e">
        <f>#REF!</f>
        <v>#REF!</v>
      </c>
      <c r="AT234" s="28" t="e">
        <f>#REF!*2</f>
        <v>#REF!</v>
      </c>
      <c r="AU234" s="28" t="e">
        <f>#REF!</f>
        <v>#REF!</v>
      </c>
      <c r="AV234" s="28" t="e">
        <f>#REF!*2</f>
        <v>#REF!</v>
      </c>
      <c r="AW234" s="28" t="e">
        <f>#REF!</f>
        <v>#REF!</v>
      </c>
      <c r="AX234" s="28" t="e">
        <f>#REF!*2</f>
        <v>#REF!</v>
      </c>
      <c r="AY234" s="28" t="e">
        <f>#REF!</f>
        <v>#REF!</v>
      </c>
      <c r="AZ234" s="28" t="e">
        <f>#REF!*2</f>
        <v>#REF!</v>
      </c>
      <c r="BA234" s="28" t="e">
        <f>#REF!</f>
        <v>#REF!</v>
      </c>
      <c r="BB234" s="28" t="e">
        <f>#REF!*2</f>
        <v>#REF!</v>
      </c>
      <c r="BC234" s="28" t="e">
        <f>#REF!</f>
        <v>#REF!</v>
      </c>
      <c r="BD234" s="28" t="e">
        <f>#REF!*2</f>
        <v>#REF!</v>
      </c>
      <c r="BE234" s="9" t="e">
        <f>#REF!-#REF!</f>
        <v>#REF!</v>
      </c>
      <c r="BF234" s="9" t="e">
        <f>#REF!-#REF!</f>
        <v>#REF!</v>
      </c>
      <c r="BG234" s="9" t="e">
        <f>#REF!-#REF!</f>
        <v>#REF!</v>
      </c>
      <c r="BH234" s="9" t="e">
        <f>#REF!-#REF!</f>
        <v>#REF!</v>
      </c>
      <c r="BI234" s="9" t="e">
        <f>#REF!-#REF!</f>
        <v>#REF!</v>
      </c>
      <c r="BJ234" s="33"/>
      <c r="BK234" s="3">
        <f>COUNTIFS(B234:G234, "&gt;=1", B234:G234, "&lt;=9")</f>
        <v>0</v>
      </c>
      <c r="BL234" s="3">
        <f>COUNTIFS(B234:G234, "&gt;=10", B234:G234, "&lt;=19")</f>
        <v>0</v>
      </c>
      <c r="BM234" s="3">
        <f>COUNTIFS(B234:G234, "&gt;=20", B234:G234, "&lt;=29")</f>
        <v>0</v>
      </c>
      <c r="BN234" s="3">
        <f>COUNTIFS(B234:G234, "&gt;=30", B234:G234, "&lt;=39")</f>
        <v>0</v>
      </c>
      <c r="BO234" s="3">
        <f>COUNTIFS(B234:G234, "&gt;=40", B234:G234, "&lt;=45")</f>
        <v>0</v>
      </c>
      <c r="BP234" s="28" t="e">
        <f>#REF!</f>
        <v>#REF!</v>
      </c>
      <c r="BQ234" s="28" t="e">
        <f>#REF!*2</f>
        <v>#REF!</v>
      </c>
      <c r="BR234" s="28" t="e">
        <f>#REF!</f>
        <v>#REF!</v>
      </c>
      <c r="BS234" s="28" t="e">
        <f>#REF!*2</f>
        <v>#REF!</v>
      </c>
      <c r="BT234" s="28" t="e">
        <f>#REF!</f>
        <v>#REF!</v>
      </c>
      <c r="BU234" s="28" t="e">
        <f>#REF!*2</f>
        <v>#REF!</v>
      </c>
      <c r="BV234" s="28" t="e">
        <f>#REF!</f>
        <v>#REF!</v>
      </c>
      <c r="BW234" s="28" t="e">
        <f>#REF!*2</f>
        <v>#REF!</v>
      </c>
      <c r="BX234" s="28" t="e">
        <f>#REF!</f>
        <v>#REF!</v>
      </c>
      <c r="BY234" s="28" t="e">
        <f>#REF!*2</f>
        <v>#REF!</v>
      </c>
      <c r="BZ234" s="28" t="e">
        <f>#REF!</f>
        <v>#REF!</v>
      </c>
      <c r="CA234" s="28" t="e">
        <f>#REF!*2</f>
        <v>#REF!</v>
      </c>
      <c r="CB234" s="9">
        <f>C234-B234</f>
        <v>0</v>
      </c>
      <c r="CC234" s="9">
        <f>D234-C234</f>
        <v>0</v>
      </c>
      <c r="CD234" s="9">
        <f>E234-D234</f>
        <v>0</v>
      </c>
      <c r="CE234" s="9">
        <f>F234-E234</f>
        <v>0</v>
      </c>
      <c r="CF234" s="9">
        <f>G234-F234</f>
        <v>0</v>
      </c>
      <c r="CG234" s="33"/>
      <c r="CH234" s="3">
        <f>C234-B234</f>
        <v>0</v>
      </c>
      <c r="CI234" s="3">
        <f>D234-C234</f>
        <v>0</v>
      </c>
      <c r="CJ234" s="3">
        <f>E234-D234</f>
        <v>0</v>
      </c>
      <c r="CK234" s="3">
        <f>F234-E234</f>
        <v>0</v>
      </c>
      <c r="CL234" s="3">
        <f>G234-F234</f>
        <v>0</v>
      </c>
      <c r="CM234" s="32"/>
      <c r="CN234" s="3">
        <f>IF(OR(CH234="",ISBLANK(CH234),CH234=0),0,IF(MOD(CH234,2)=1,1,2))</f>
        <v>0</v>
      </c>
      <c r="CO234" s="3">
        <f>IF(OR(CI234="",ISBLANK(CI234),CI234=0),0,IF(MOD(CI234,2)=1,1,2))</f>
        <v>0</v>
      </c>
      <c r="CP234" s="3">
        <f>IF(OR(CJ234="",ISBLANK(CJ234),CJ234=0),0,IF(MOD(CJ234,2)=1,1,2))</f>
        <v>0</v>
      </c>
      <c r="CQ234" s="3">
        <f>IF(OR(CK234="",ISBLANK(CK234),CK234=0),0,IF(MOD(CK234,2)=1,1,2))</f>
        <v>0</v>
      </c>
      <c r="CR234" s="3">
        <f>IF(OR(CL234="",ISBLANK(CL234),CL234=0),0,IF(MOD(CL234,2)=1,1,2))</f>
        <v>0</v>
      </c>
      <c r="CS234" s="31"/>
      <c r="CT234" s="3" cm="1">
        <f t="array" ref="CT234">SUMPRODUCT(--(MOD(CH234:CL234,2)=1))</f>
        <v>0</v>
      </c>
      <c r="CU234" s="3">
        <f>5-CT234</f>
        <v>5</v>
      </c>
      <c r="CV234" s="30"/>
      <c r="CW234" s="3" cm="1">
        <f t="array" ref="CW234">SUMPRODUCT(--(MOD(CH234:CL234,10)&gt;=1), --(MOD(CH234:CL234,10)&lt;=5))</f>
        <v>0</v>
      </c>
      <c r="CX234" s="3">
        <f>5-CW234</f>
        <v>5</v>
      </c>
      <c r="CY234" s="30"/>
      <c r="CZ234" s="3" cm="1">
        <f t="array" ref="CZ234">IFERROR(COUNT(_xlfn._xlws.FILTER(CH234:CL234, ISNUMBER(MATCH(CH234:CL234, {2,3,5,7,11,13,17,19,23,29,31,37,41,43}, 0)))), 0)</f>
        <v>0</v>
      </c>
      <c r="DA234" s="3" cm="1">
        <f t="array" ref="DA234">IFERROR(COUNT(_xlfn._xlws.FILTER(CH234:CL234, ISNUMBER(MATCH(CH234:CL234, {1,4,8,10,14,16,20,22,25,26,28,32,34,35,38,40,44}, 0)))), 0)</f>
        <v>0</v>
      </c>
      <c r="DB234" s="3" cm="1">
        <f t="array" ref="DB234">IFERROR(COUNT(_xlfn._xlws.FILTER(CH234:CL234, ISNUMBER(MATCH(CH234:CL234, {6,9,12,15,18,21,24,27,30,33,36,39,42,45}, 0)))), 0)</f>
        <v>0</v>
      </c>
      <c r="DC234" s="29"/>
      <c r="DD234" s="28" t="e">
        <f>#REF!</f>
        <v>#REF!</v>
      </c>
      <c r="DE234" s="28" t="e">
        <f>#REF!*2</f>
        <v>#REF!</v>
      </c>
      <c r="DF234" s="28" t="e">
        <f>#REF!</f>
        <v>#REF!</v>
      </c>
      <c r="DG234" s="28" t="e">
        <f>#REF!*2</f>
        <v>#REF!</v>
      </c>
      <c r="DH234" s="28" t="e">
        <f>#REF!</f>
        <v>#REF!</v>
      </c>
      <c r="DI234" s="28" t="e">
        <f>#REF!*2</f>
        <v>#REF!</v>
      </c>
      <c r="DJ234" s="28" t="e">
        <f>#REF!</f>
        <v>#REF!</v>
      </c>
      <c r="DK234" s="28" t="e">
        <f>#REF!*2</f>
        <v>#REF!</v>
      </c>
      <c r="DL234" s="28" t="e">
        <f>#REF!</f>
        <v>#REF!</v>
      </c>
      <c r="DM234" s="28" t="e">
        <f>#REF!*2</f>
        <v>#REF!</v>
      </c>
      <c r="DN234" s="27"/>
      <c r="DO234" s="26"/>
      <c r="DP234" s="26"/>
      <c r="DQ234" s="26"/>
      <c r="DR234" s="26"/>
      <c r="DS234" s="26"/>
      <c r="DT234" s="25"/>
    </row>
    <row r="235" spans="2:124" x14ac:dyDescent="0.3"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2"/>
      <c r="I235" s="3">
        <f>IF(OR(B235="",ISBLANK(B235),B235=0),0,IF(MOD(B235,2)=1,1,2))</f>
        <v>0</v>
      </c>
      <c r="J235" s="3">
        <f>IF(OR(C235="",ISBLANK(C235),C235=0),0,IF(MOD(C235,2)=1,1,2))</f>
        <v>0</v>
      </c>
      <c r="K235" s="3">
        <f>IF(OR(D235="",ISBLANK(D235),D235=0),0,IF(MOD(D235,2)=1,1,2))</f>
        <v>0</v>
      </c>
      <c r="L235" s="3">
        <f>IF(OR(E235="",ISBLANK(E235),E235=0),0,IF(MOD(E235,2)=1,1,2))</f>
        <v>0</v>
      </c>
      <c r="M235" s="3">
        <f>IF(OR(F235="",ISBLANK(F235),F235=0),0,IF(MOD(F235,2)=1,1,2))</f>
        <v>0</v>
      </c>
      <c r="N235" s="3">
        <f>IF(OR(G235="",ISBLANK(G235),G235=0),0,IF(MOD(G235,2)=1,1,2))</f>
        <v>0</v>
      </c>
      <c r="O235" s="32"/>
      <c r="P235" s="3" cm="1">
        <f t="array" ref="P235">SUMPRODUCT(--(MOD(B235:G235,2)=1))</f>
        <v>0</v>
      </c>
      <c r="Q235" s="3">
        <f>6-P235</f>
        <v>6</v>
      </c>
      <c r="R235" s="34"/>
      <c r="S235" s="3">
        <f>COUNTIFS(B235:G235,"&gt;=1",B235:G235,"&lt;=23")</f>
        <v>0</v>
      </c>
      <c r="T235" s="3">
        <f>6-S235</f>
        <v>6</v>
      </c>
      <c r="U235" s="34"/>
      <c r="V235" s="3" cm="1">
        <f t="array" ref="V235">SUMPRODUCT(--(MOD(B235:G235,10)&gt;=1), --(MOD(B235:G235,10)&lt;=5))</f>
        <v>0</v>
      </c>
      <c r="W235" s="3">
        <f>6-V235</f>
        <v>6</v>
      </c>
      <c r="X235" s="34"/>
      <c r="Y235" s="3" cm="1">
        <f t="array" ref="Y235">IFERROR(COUNT(_xlfn._xlws.FILTER(B235:G235, ISNUMBER(MATCH(B235:G235, {2,3,5,7,11,13,17,19,23,29,31,37,41,43}, 0)))), 0)</f>
        <v>0</v>
      </c>
      <c r="Z235" s="3" cm="1">
        <f t="array" ref="Z235">IFERROR(COUNT(_xlfn._xlws.FILTER(B235:G235, ISNUMBER(MATCH(B235:G235, {1,4,8,10,14,16,20,22,25,26,28,32,34,35,38,40,44}, 0)))), 0)</f>
        <v>0</v>
      </c>
      <c r="AA235" s="3" cm="1">
        <f t="array" ref="AA235">IFERROR(COUNT(_xlfn._xlws.FILTER(B235:G235, ISNUMBER(MATCH(B235:G235, {6,9,12,15,18,21,24,27,30,33,36,39,42,45}, 0)))), 0)</f>
        <v>0</v>
      </c>
      <c r="AB235" s="30"/>
      <c r="AC235" s="26" cm="1">
        <f t="array" ref="AC235">_xlfn.IFS(
   OR(B235="",ISBLANK(B235),B235=0),0,
   ISNUMBER(MATCH(B235,{2,3,5,7,11,13,17,19,23,29,31,37,41,43},0)),"소",
   AND(ISNUMBER(B235),MOD(B235,3)=0),"배",
   AND(ISNUMBER(B235),B235&gt;0),"자"
)</f>
        <v>0</v>
      </c>
      <c r="AD235" s="26" cm="1">
        <f t="array" ref="AD235">_xlfn.IFS(
   OR(C235="",ISBLANK(C235),C235=0),0,
   ISNUMBER(MATCH(C235,{2,3,5,7,11,13,17,19,23,29,31,37,41,43},0)),"소",
   AND(ISNUMBER(C235),MOD(C235,3)=0),"배",
   AND(ISNUMBER(C235),C235&gt;0),"자"
)</f>
        <v>0</v>
      </c>
      <c r="AE235" s="26" cm="1">
        <f t="array" ref="AE235">_xlfn.IFS(
   OR(D235="",ISBLANK(D235),D235=0),0,
   ISNUMBER(MATCH(D235,{2,3,5,7,11,13,17,19,23,29,31,37,41,43},0)),"소",
   AND(ISNUMBER(D235),MOD(D235,3)=0),"배",
   AND(ISNUMBER(D235),D235&gt;0),"자"
)</f>
        <v>0</v>
      </c>
      <c r="AF235" s="26" cm="1">
        <f t="array" ref="AF235">_xlfn.IFS(
   OR(E235="",ISBLANK(E235),E235=0),0,
   ISNUMBER(MATCH(E235,{2,3,5,7,11,13,17,19,23,29,31,37,41,43},0)),"소",
   AND(ISNUMBER(E235),MOD(E235,3)=0),"배",
   AND(ISNUMBER(E235),E235&gt;0),"자"
)</f>
        <v>0</v>
      </c>
      <c r="AG235" s="26" cm="1">
        <f t="array" ref="AG235">_xlfn.IFS(
   OR(F235="",ISBLANK(F235),F235=0),0,
   ISNUMBER(MATCH(F235,{2,3,5,7,11,13,17,19,23,29,31,37,41,43},0)),"소",
   AND(ISNUMBER(F235),MOD(F235,3)=0),"배",
   AND(ISNUMBER(F235),F235&gt;0),"자"
)</f>
        <v>0</v>
      </c>
      <c r="AH235" s="26" cm="1">
        <f t="array" ref="AH235">_xlfn.IFS(
   OR(G235="",ISBLANK(G235),G235=0),0,
   ISNUMBER(MATCH(G235,{2,3,5,7,11,13,17,19,23,29,31,37,41,43},0)),"소",
   AND(ISNUMBER(G235),MOD(G235,3)=0),"배",
   AND(ISNUMBER(G235),G235&gt;0),"자"
)</f>
        <v>0</v>
      </c>
      <c r="AI235" s="30"/>
      <c r="AJ235" s="3">
        <f>COUNTIFS(B235:G235,"&gt;=1",B235:G235,"&lt;=14")</f>
        <v>0</v>
      </c>
      <c r="AK235" s="3">
        <f>COUNTIFS(B235:G235,"&gt;=15",B235:G235,"&lt;=31")</f>
        <v>0</v>
      </c>
      <c r="AL235" s="3">
        <f>6-AK235-AJ235</f>
        <v>6</v>
      </c>
      <c r="AM235" s="33"/>
      <c r="AN235" s="3">
        <f>COUNTIFS($B235:$G235, "&gt;=1",$B235:$G235, "&lt;=9")</f>
        <v>0</v>
      </c>
      <c r="AO235" s="3">
        <f>COUNTIFS($B235:$G235, "&gt;=10",$B235:$G235, "&lt;=18")</f>
        <v>0</v>
      </c>
      <c r="AP235" s="3">
        <f>COUNTIFS($B235:$G235, "&gt;=19",$B235:$G235, "&lt;=27")</f>
        <v>0</v>
      </c>
      <c r="AQ235" s="3">
        <f>COUNTIFS($B235:$G235, "&gt;=28",$B235:$G235, "&lt;=36")</f>
        <v>0</v>
      </c>
      <c r="AR235" s="3">
        <f>COUNTIFS($B235:$G235, "&gt;=37",$B235:$G235, "&lt;=45")</f>
        <v>0</v>
      </c>
      <c r="AS235" s="28" t="e">
        <f>#REF!</f>
        <v>#REF!</v>
      </c>
      <c r="AT235" s="28" t="e">
        <f>#REF!*2</f>
        <v>#REF!</v>
      </c>
      <c r="AU235" s="28" t="e">
        <f>#REF!</f>
        <v>#REF!</v>
      </c>
      <c r="AV235" s="28" t="e">
        <f>#REF!*2</f>
        <v>#REF!</v>
      </c>
      <c r="AW235" s="28" t="e">
        <f>#REF!</f>
        <v>#REF!</v>
      </c>
      <c r="AX235" s="28" t="e">
        <f>#REF!*2</f>
        <v>#REF!</v>
      </c>
      <c r="AY235" s="28" t="e">
        <f>#REF!</f>
        <v>#REF!</v>
      </c>
      <c r="AZ235" s="28" t="e">
        <f>#REF!*2</f>
        <v>#REF!</v>
      </c>
      <c r="BA235" s="28" t="e">
        <f>#REF!</f>
        <v>#REF!</v>
      </c>
      <c r="BB235" s="28" t="e">
        <f>#REF!*2</f>
        <v>#REF!</v>
      </c>
      <c r="BC235" s="28" t="e">
        <f>#REF!</f>
        <v>#REF!</v>
      </c>
      <c r="BD235" s="28" t="e">
        <f>#REF!*2</f>
        <v>#REF!</v>
      </c>
      <c r="BE235" s="9" t="e">
        <f>#REF!-#REF!</f>
        <v>#REF!</v>
      </c>
      <c r="BF235" s="9" t="e">
        <f>#REF!-#REF!</f>
        <v>#REF!</v>
      </c>
      <c r="BG235" s="9" t="e">
        <f>#REF!-#REF!</f>
        <v>#REF!</v>
      </c>
      <c r="BH235" s="9" t="e">
        <f>#REF!-#REF!</f>
        <v>#REF!</v>
      </c>
      <c r="BI235" s="9" t="e">
        <f>#REF!-#REF!</f>
        <v>#REF!</v>
      </c>
      <c r="BJ235" s="33"/>
      <c r="BK235" s="3">
        <f>COUNTIFS(B235:G235, "&gt;=1", B235:G235, "&lt;=9")</f>
        <v>0</v>
      </c>
      <c r="BL235" s="3">
        <f>COUNTIFS(B235:G235, "&gt;=10", B235:G235, "&lt;=19")</f>
        <v>0</v>
      </c>
      <c r="BM235" s="3">
        <f>COUNTIFS(B235:G235, "&gt;=20", B235:G235, "&lt;=29")</f>
        <v>0</v>
      </c>
      <c r="BN235" s="3">
        <f>COUNTIFS(B235:G235, "&gt;=30", B235:G235, "&lt;=39")</f>
        <v>0</v>
      </c>
      <c r="BO235" s="3">
        <f>COUNTIFS(B235:G235, "&gt;=40", B235:G235, "&lt;=45")</f>
        <v>0</v>
      </c>
      <c r="BP235" s="28" t="e">
        <f>#REF!</f>
        <v>#REF!</v>
      </c>
      <c r="BQ235" s="28" t="e">
        <f>#REF!*2</f>
        <v>#REF!</v>
      </c>
      <c r="BR235" s="28" t="e">
        <f>#REF!</f>
        <v>#REF!</v>
      </c>
      <c r="BS235" s="28" t="e">
        <f>#REF!*2</f>
        <v>#REF!</v>
      </c>
      <c r="BT235" s="28" t="e">
        <f>#REF!</f>
        <v>#REF!</v>
      </c>
      <c r="BU235" s="28" t="e">
        <f>#REF!*2</f>
        <v>#REF!</v>
      </c>
      <c r="BV235" s="28" t="e">
        <f>#REF!</f>
        <v>#REF!</v>
      </c>
      <c r="BW235" s="28" t="e">
        <f>#REF!*2</f>
        <v>#REF!</v>
      </c>
      <c r="BX235" s="28" t="e">
        <f>#REF!</f>
        <v>#REF!</v>
      </c>
      <c r="BY235" s="28" t="e">
        <f>#REF!*2</f>
        <v>#REF!</v>
      </c>
      <c r="BZ235" s="28" t="e">
        <f>#REF!</f>
        <v>#REF!</v>
      </c>
      <c r="CA235" s="28" t="e">
        <f>#REF!*2</f>
        <v>#REF!</v>
      </c>
      <c r="CB235" s="9">
        <f>C235-B235</f>
        <v>0</v>
      </c>
      <c r="CC235" s="9">
        <f>D235-C235</f>
        <v>0</v>
      </c>
      <c r="CD235" s="9">
        <f>E235-D235</f>
        <v>0</v>
      </c>
      <c r="CE235" s="9">
        <f>F235-E235</f>
        <v>0</v>
      </c>
      <c r="CF235" s="9">
        <f>G235-F235</f>
        <v>0</v>
      </c>
      <c r="CG235" s="33"/>
      <c r="CH235" s="3">
        <f>C235-B235</f>
        <v>0</v>
      </c>
      <c r="CI235" s="3">
        <f>D235-C235</f>
        <v>0</v>
      </c>
      <c r="CJ235" s="3">
        <f>E235-D235</f>
        <v>0</v>
      </c>
      <c r="CK235" s="3">
        <f>F235-E235</f>
        <v>0</v>
      </c>
      <c r="CL235" s="3">
        <f>G235-F235</f>
        <v>0</v>
      </c>
      <c r="CM235" s="32"/>
      <c r="CN235" s="3">
        <f>IF(OR(CH235="",ISBLANK(CH235),CH235=0),0,IF(MOD(CH235,2)=1,1,2))</f>
        <v>0</v>
      </c>
      <c r="CO235" s="3">
        <f>IF(OR(CI235="",ISBLANK(CI235),CI235=0),0,IF(MOD(CI235,2)=1,1,2))</f>
        <v>0</v>
      </c>
      <c r="CP235" s="3">
        <f>IF(OR(CJ235="",ISBLANK(CJ235),CJ235=0),0,IF(MOD(CJ235,2)=1,1,2))</f>
        <v>0</v>
      </c>
      <c r="CQ235" s="3">
        <f>IF(OR(CK235="",ISBLANK(CK235),CK235=0),0,IF(MOD(CK235,2)=1,1,2))</f>
        <v>0</v>
      </c>
      <c r="CR235" s="3">
        <f>IF(OR(CL235="",ISBLANK(CL235),CL235=0),0,IF(MOD(CL235,2)=1,1,2))</f>
        <v>0</v>
      </c>
      <c r="CS235" s="31"/>
      <c r="CT235" s="3" cm="1">
        <f t="array" ref="CT235">SUMPRODUCT(--(MOD(CH235:CL235,2)=1))</f>
        <v>0</v>
      </c>
      <c r="CU235" s="3">
        <f>5-CT235</f>
        <v>5</v>
      </c>
      <c r="CV235" s="30"/>
      <c r="CW235" s="3" cm="1">
        <f t="array" ref="CW235">SUMPRODUCT(--(MOD(CH235:CL235,10)&gt;=1), --(MOD(CH235:CL235,10)&lt;=5))</f>
        <v>0</v>
      </c>
      <c r="CX235" s="3">
        <f>5-CW235</f>
        <v>5</v>
      </c>
      <c r="CY235" s="30"/>
      <c r="CZ235" s="3" cm="1">
        <f t="array" ref="CZ235">IFERROR(COUNT(_xlfn._xlws.FILTER(CH235:CL235, ISNUMBER(MATCH(CH235:CL235, {2,3,5,7,11,13,17,19,23,29,31,37,41,43}, 0)))), 0)</f>
        <v>0</v>
      </c>
      <c r="DA235" s="3" cm="1">
        <f t="array" ref="DA235">IFERROR(COUNT(_xlfn._xlws.FILTER(CH235:CL235, ISNUMBER(MATCH(CH235:CL235, {1,4,8,10,14,16,20,22,25,26,28,32,34,35,38,40,44}, 0)))), 0)</f>
        <v>0</v>
      </c>
      <c r="DB235" s="3" cm="1">
        <f t="array" ref="DB235">IFERROR(COUNT(_xlfn._xlws.FILTER(CH235:CL235, ISNUMBER(MATCH(CH235:CL235, {6,9,12,15,18,21,24,27,30,33,36,39,42,45}, 0)))), 0)</f>
        <v>0</v>
      </c>
      <c r="DC235" s="29"/>
      <c r="DD235" s="28" t="e">
        <f>#REF!</f>
        <v>#REF!</v>
      </c>
      <c r="DE235" s="28" t="e">
        <f>#REF!*2</f>
        <v>#REF!</v>
      </c>
      <c r="DF235" s="28" t="e">
        <f>#REF!</f>
        <v>#REF!</v>
      </c>
      <c r="DG235" s="28" t="e">
        <f>#REF!*2</f>
        <v>#REF!</v>
      </c>
      <c r="DH235" s="28" t="e">
        <f>#REF!</f>
        <v>#REF!</v>
      </c>
      <c r="DI235" s="28" t="e">
        <f>#REF!*2</f>
        <v>#REF!</v>
      </c>
      <c r="DJ235" s="28" t="e">
        <f>#REF!</f>
        <v>#REF!</v>
      </c>
      <c r="DK235" s="28" t="e">
        <f>#REF!*2</f>
        <v>#REF!</v>
      </c>
      <c r="DL235" s="28" t="e">
        <f>#REF!</f>
        <v>#REF!</v>
      </c>
      <c r="DM235" s="28" t="e">
        <f>#REF!*2</f>
        <v>#REF!</v>
      </c>
      <c r="DN235" s="27"/>
      <c r="DO235" s="26"/>
      <c r="DP235" s="26"/>
      <c r="DQ235" s="26"/>
      <c r="DR235" s="26"/>
      <c r="DS235" s="26"/>
      <c r="DT235" s="25"/>
    </row>
    <row r="236" spans="2:124" x14ac:dyDescent="0.3">
      <c r="B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2"/>
      <c r="I236" s="3">
        <f>IF(OR(B236="",ISBLANK(B236),B236=0),0,IF(MOD(B236,2)=1,1,2))</f>
        <v>0</v>
      </c>
      <c r="J236" s="3">
        <f>IF(OR(C236="",ISBLANK(C236),C236=0),0,IF(MOD(C236,2)=1,1,2))</f>
        <v>0</v>
      </c>
      <c r="K236" s="3">
        <f>IF(OR(D236="",ISBLANK(D236),D236=0),0,IF(MOD(D236,2)=1,1,2))</f>
        <v>0</v>
      </c>
      <c r="L236" s="3">
        <f>IF(OR(E236="",ISBLANK(E236),E236=0),0,IF(MOD(E236,2)=1,1,2))</f>
        <v>0</v>
      </c>
      <c r="M236" s="3">
        <f>IF(OR(F236="",ISBLANK(F236),F236=0),0,IF(MOD(F236,2)=1,1,2))</f>
        <v>0</v>
      </c>
      <c r="N236" s="3">
        <f>IF(OR(G236="",ISBLANK(G236),G236=0),0,IF(MOD(G236,2)=1,1,2))</f>
        <v>0</v>
      </c>
      <c r="O236" s="32"/>
      <c r="P236" s="3" cm="1">
        <f t="array" ref="P236">SUMPRODUCT(--(MOD(B236:G236,2)=1))</f>
        <v>0</v>
      </c>
      <c r="Q236" s="3">
        <f>6-P236</f>
        <v>6</v>
      </c>
      <c r="R236" s="34"/>
      <c r="S236" s="3">
        <f>COUNTIFS(B236:G236,"&gt;=1",B236:G236,"&lt;=23")</f>
        <v>0</v>
      </c>
      <c r="T236" s="3">
        <f>6-S236</f>
        <v>6</v>
      </c>
      <c r="U236" s="34"/>
      <c r="V236" s="3" cm="1">
        <f t="array" ref="V236">SUMPRODUCT(--(MOD(B236:G236,10)&gt;=1), --(MOD(B236:G236,10)&lt;=5))</f>
        <v>0</v>
      </c>
      <c r="W236" s="3">
        <f>6-V236</f>
        <v>6</v>
      </c>
      <c r="X236" s="34"/>
      <c r="Y236" s="3" cm="1">
        <f t="array" ref="Y236">IFERROR(COUNT(_xlfn._xlws.FILTER(B236:G236, ISNUMBER(MATCH(B236:G236, {2,3,5,7,11,13,17,19,23,29,31,37,41,43}, 0)))), 0)</f>
        <v>0</v>
      </c>
      <c r="Z236" s="3" cm="1">
        <f t="array" ref="Z236">IFERROR(COUNT(_xlfn._xlws.FILTER(B236:G236, ISNUMBER(MATCH(B236:G236, {1,4,8,10,14,16,20,22,25,26,28,32,34,35,38,40,44}, 0)))), 0)</f>
        <v>0</v>
      </c>
      <c r="AA236" s="3" cm="1">
        <f t="array" ref="AA236">IFERROR(COUNT(_xlfn._xlws.FILTER(B236:G236, ISNUMBER(MATCH(B236:G236, {6,9,12,15,18,21,24,27,30,33,36,39,42,45}, 0)))), 0)</f>
        <v>0</v>
      </c>
      <c r="AB236" s="30"/>
      <c r="AC236" s="26" cm="1">
        <f t="array" ref="AC236">_xlfn.IFS(
   OR(B236="",ISBLANK(B236),B236=0),0,
   ISNUMBER(MATCH(B236,{2,3,5,7,11,13,17,19,23,29,31,37,41,43},0)),"소",
   AND(ISNUMBER(B236),MOD(B236,3)=0),"배",
   AND(ISNUMBER(B236),B236&gt;0),"자"
)</f>
        <v>0</v>
      </c>
      <c r="AD236" s="26" cm="1">
        <f t="array" ref="AD236">_xlfn.IFS(
   OR(C236="",ISBLANK(C236),C236=0),0,
   ISNUMBER(MATCH(C236,{2,3,5,7,11,13,17,19,23,29,31,37,41,43},0)),"소",
   AND(ISNUMBER(C236),MOD(C236,3)=0),"배",
   AND(ISNUMBER(C236),C236&gt;0),"자"
)</f>
        <v>0</v>
      </c>
      <c r="AE236" s="26" cm="1">
        <f t="array" ref="AE236">_xlfn.IFS(
   OR(D236="",ISBLANK(D236),D236=0),0,
   ISNUMBER(MATCH(D236,{2,3,5,7,11,13,17,19,23,29,31,37,41,43},0)),"소",
   AND(ISNUMBER(D236),MOD(D236,3)=0),"배",
   AND(ISNUMBER(D236),D236&gt;0),"자"
)</f>
        <v>0</v>
      </c>
      <c r="AF236" s="26" cm="1">
        <f t="array" ref="AF236">_xlfn.IFS(
   OR(E236="",ISBLANK(E236),E236=0),0,
   ISNUMBER(MATCH(E236,{2,3,5,7,11,13,17,19,23,29,31,37,41,43},0)),"소",
   AND(ISNUMBER(E236),MOD(E236,3)=0),"배",
   AND(ISNUMBER(E236),E236&gt;0),"자"
)</f>
        <v>0</v>
      </c>
      <c r="AG236" s="26" cm="1">
        <f t="array" ref="AG236">_xlfn.IFS(
   OR(F236="",ISBLANK(F236),F236=0),0,
   ISNUMBER(MATCH(F236,{2,3,5,7,11,13,17,19,23,29,31,37,41,43},0)),"소",
   AND(ISNUMBER(F236),MOD(F236,3)=0),"배",
   AND(ISNUMBER(F236),F236&gt;0),"자"
)</f>
        <v>0</v>
      </c>
      <c r="AH236" s="26" cm="1">
        <f t="array" ref="AH236">_xlfn.IFS(
   OR(G236="",ISBLANK(G236),G236=0),0,
   ISNUMBER(MATCH(G236,{2,3,5,7,11,13,17,19,23,29,31,37,41,43},0)),"소",
   AND(ISNUMBER(G236),MOD(G236,3)=0),"배",
   AND(ISNUMBER(G236),G236&gt;0),"자"
)</f>
        <v>0</v>
      </c>
      <c r="AI236" s="30"/>
      <c r="AJ236" s="3">
        <f>COUNTIFS(B236:G236,"&gt;=1",B236:G236,"&lt;=14")</f>
        <v>0</v>
      </c>
      <c r="AK236" s="3">
        <f>COUNTIFS(B236:G236,"&gt;=15",B236:G236,"&lt;=31")</f>
        <v>0</v>
      </c>
      <c r="AL236" s="3">
        <f>6-AK236-AJ236</f>
        <v>6</v>
      </c>
      <c r="AM236" s="33"/>
      <c r="AN236" s="3">
        <f>COUNTIFS($B236:$G236, "&gt;=1",$B236:$G236, "&lt;=9")</f>
        <v>0</v>
      </c>
      <c r="AO236" s="3">
        <f>COUNTIFS($B236:$G236, "&gt;=10",$B236:$G236, "&lt;=18")</f>
        <v>0</v>
      </c>
      <c r="AP236" s="3">
        <f>COUNTIFS($B236:$G236, "&gt;=19",$B236:$G236, "&lt;=27")</f>
        <v>0</v>
      </c>
      <c r="AQ236" s="3">
        <f>COUNTIFS($B236:$G236, "&gt;=28",$B236:$G236, "&lt;=36")</f>
        <v>0</v>
      </c>
      <c r="AR236" s="3">
        <f>COUNTIFS($B236:$G236, "&gt;=37",$B236:$G236, "&lt;=45")</f>
        <v>0</v>
      </c>
      <c r="AS236" s="28" t="e">
        <f>#REF!</f>
        <v>#REF!</v>
      </c>
      <c r="AT236" s="28" t="e">
        <f>#REF!*2</f>
        <v>#REF!</v>
      </c>
      <c r="AU236" s="28" t="e">
        <f>#REF!</f>
        <v>#REF!</v>
      </c>
      <c r="AV236" s="28" t="e">
        <f>#REF!*2</f>
        <v>#REF!</v>
      </c>
      <c r="AW236" s="28" t="e">
        <f>#REF!</f>
        <v>#REF!</v>
      </c>
      <c r="AX236" s="28" t="e">
        <f>#REF!*2</f>
        <v>#REF!</v>
      </c>
      <c r="AY236" s="28" t="e">
        <f>#REF!</f>
        <v>#REF!</v>
      </c>
      <c r="AZ236" s="28" t="e">
        <f>#REF!*2</f>
        <v>#REF!</v>
      </c>
      <c r="BA236" s="28" t="e">
        <f>#REF!</f>
        <v>#REF!</v>
      </c>
      <c r="BB236" s="28" t="e">
        <f>#REF!*2</f>
        <v>#REF!</v>
      </c>
      <c r="BC236" s="28" t="e">
        <f>#REF!</f>
        <v>#REF!</v>
      </c>
      <c r="BD236" s="28" t="e">
        <f>#REF!*2</f>
        <v>#REF!</v>
      </c>
      <c r="BE236" s="9" t="e">
        <f>#REF!-#REF!</f>
        <v>#REF!</v>
      </c>
      <c r="BF236" s="9" t="e">
        <f>#REF!-#REF!</f>
        <v>#REF!</v>
      </c>
      <c r="BG236" s="9" t="e">
        <f>#REF!-#REF!</f>
        <v>#REF!</v>
      </c>
      <c r="BH236" s="9" t="e">
        <f>#REF!-#REF!</f>
        <v>#REF!</v>
      </c>
      <c r="BI236" s="9" t="e">
        <f>#REF!-#REF!</f>
        <v>#REF!</v>
      </c>
      <c r="BJ236" s="33"/>
      <c r="BK236" s="3">
        <f>COUNTIFS(B236:G236, "&gt;=1", B236:G236, "&lt;=9")</f>
        <v>0</v>
      </c>
      <c r="BL236" s="3">
        <f>COUNTIFS(B236:G236, "&gt;=10", B236:G236, "&lt;=19")</f>
        <v>0</v>
      </c>
      <c r="BM236" s="3">
        <f>COUNTIFS(B236:G236, "&gt;=20", B236:G236, "&lt;=29")</f>
        <v>0</v>
      </c>
      <c r="BN236" s="3">
        <f>COUNTIFS(B236:G236, "&gt;=30", B236:G236, "&lt;=39")</f>
        <v>0</v>
      </c>
      <c r="BO236" s="3">
        <f>COUNTIFS(B236:G236, "&gt;=40", B236:G236, "&lt;=45")</f>
        <v>0</v>
      </c>
      <c r="BP236" s="28" t="e">
        <f>#REF!</f>
        <v>#REF!</v>
      </c>
      <c r="BQ236" s="28" t="e">
        <f>#REF!*2</f>
        <v>#REF!</v>
      </c>
      <c r="BR236" s="28" t="e">
        <f>#REF!</f>
        <v>#REF!</v>
      </c>
      <c r="BS236" s="28" t="e">
        <f>#REF!*2</f>
        <v>#REF!</v>
      </c>
      <c r="BT236" s="28" t="e">
        <f>#REF!</f>
        <v>#REF!</v>
      </c>
      <c r="BU236" s="28" t="e">
        <f>#REF!*2</f>
        <v>#REF!</v>
      </c>
      <c r="BV236" s="28" t="e">
        <f>#REF!</f>
        <v>#REF!</v>
      </c>
      <c r="BW236" s="28" t="e">
        <f>#REF!*2</f>
        <v>#REF!</v>
      </c>
      <c r="BX236" s="28" t="e">
        <f>#REF!</f>
        <v>#REF!</v>
      </c>
      <c r="BY236" s="28" t="e">
        <f>#REF!*2</f>
        <v>#REF!</v>
      </c>
      <c r="BZ236" s="28" t="e">
        <f>#REF!</f>
        <v>#REF!</v>
      </c>
      <c r="CA236" s="28" t="e">
        <f>#REF!*2</f>
        <v>#REF!</v>
      </c>
      <c r="CB236" s="9">
        <f>C236-B236</f>
        <v>0</v>
      </c>
      <c r="CC236" s="9">
        <f>D236-C236</f>
        <v>0</v>
      </c>
      <c r="CD236" s="9">
        <f>E236-D236</f>
        <v>0</v>
      </c>
      <c r="CE236" s="9">
        <f>F236-E236</f>
        <v>0</v>
      </c>
      <c r="CF236" s="9">
        <f>G236-F236</f>
        <v>0</v>
      </c>
      <c r="CG236" s="33"/>
      <c r="CH236" s="3">
        <f>C236-B236</f>
        <v>0</v>
      </c>
      <c r="CI236" s="3">
        <f>D236-C236</f>
        <v>0</v>
      </c>
      <c r="CJ236" s="3">
        <f>E236-D236</f>
        <v>0</v>
      </c>
      <c r="CK236" s="3">
        <f>F236-E236</f>
        <v>0</v>
      </c>
      <c r="CL236" s="3">
        <f>G236-F236</f>
        <v>0</v>
      </c>
      <c r="CM236" s="32"/>
      <c r="CN236" s="3">
        <f>IF(OR(CH236="",ISBLANK(CH236),CH236=0),0,IF(MOD(CH236,2)=1,1,2))</f>
        <v>0</v>
      </c>
      <c r="CO236" s="3">
        <f>IF(OR(CI236="",ISBLANK(CI236),CI236=0),0,IF(MOD(CI236,2)=1,1,2))</f>
        <v>0</v>
      </c>
      <c r="CP236" s="3">
        <f>IF(OR(CJ236="",ISBLANK(CJ236),CJ236=0),0,IF(MOD(CJ236,2)=1,1,2))</f>
        <v>0</v>
      </c>
      <c r="CQ236" s="3">
        <f>IF(OR(CK236="",ISBLANK(CK236),CK236=0),0,IF(MOD(CK236,2)=1,1,2))</f>
        <v>0</v>
      </c>
      <c r="CR236" s="3">
        <f>IF(OR(CL236="",ISBLANK(CL236),CL236=0),0,IF(MOD(CL236,2)=1,1,2))</f>
        <v>0</v>
      </c>
      <c r="CS236" s="31"/>
      <c r="CT236" s="3" cm="1">
        <f t="array" ref="CT236">SUMPRODUCT(--(MOD(CH236:CL236,2)=1))</f>
        <v>0</v>
      </c>
      <c r="CU236" s="3">
        <f>5-CT236</f>
        <v>5</v>
      </c>
      <c r="CV236" s="30"/>
      <c r="CW236" s="3" cm="1">
        <f t="array" ref="CW236">SUMPRODUCT(--(MOD(CH236:CL236,10)&gt;=1), --(MOD(CH236:CL236,10)&lt;=5))</f>
        <v>0</v>
      </c>
      <c r="CX236" s="3">
        <f>5-CW236</f>
        <v>5</v>
      </c>
      <c r="CY236" s="30"/>
      <c r="CZ236" s="3" cm="1">
        <f t="array" ref="CZ236">IFERROR(COUNT(_xlfn._xlws.FILTER(CH236:CL236, ISNUMBER(MATCH(CH236:CL236, {2,3,5,7,11,13,17,19,23,29,31,37,41,43}, 0)))), 0)</f>
        <v>0</v>
      </c>
      <c r="DA236" s="3" cm="1">
        <f t="array" ref="DA236">IFERROR(COUNT(_xlfn._xlws.FILTER(CH236:CL236, ISNUMBER(MATCH(CH236:CL236, {1,4,8,10,14,16,20,22,25,26,28,32,34,35,38,40,44}, 0)))), 0)</f>
        <v>0</v>
      </c>
      <c r="DB236" s="3" cm="1">
        <f t="array" ref="DB236">IFERROR(COUNT(_xlfn._xlws.FILTER(CH236:CL236, ISNUMBER(MATCH(CH236:CL236, {6,9,12,15,18,21,24,27,30,33,36,39,42,45}, 0)))), 0)</f>
        <v>0</v>
      </c>
      <c r="DC236" s="29"/>
      <c r="DD236" s="28" t="e">
        <f>#REF!</f>
        <v>#REF!</v>
      </c>
      <c r="DE236" s="28" t="e">
        <f>#REF!*2</f>
        <v>#REF!</v>
      </c>
      <c r="DF236" s="28" t="e">
        <f>#REF!</f>
        <v>#REF!</v>
      </c>
      <c r="DG236" s="28" t="e">
        <f>#REF!*2</f>
        <v>#REF!</v>
      </c>
      <c r="DH236" s="28" t="e">
        <f>#REF!</f>
        <v>#REF!</v>
      </c>
      <c r="DI236" s="28" t="e">
        <f>#REF!*2</f>
        <v>#REF!</v>
      </c>
      <c r="DJ236" s="28" t="e">
        <f>#REF!</f>
        <v>#REF!</v>
      </c>
      <c r="DK236" s="28" t="e">
        <f>#REF!*2</f>
        <v>#REF!</v>
      </c>
      <c r="DL236" s="28" t="e">
        <f>#REF!</f>
        <v>#REF!</v>
      </c>
      <c r="DM236" s="28" t="e">
        <f>#REF!*2</f>
        <v>#REF!</v>
      </c>
      <c r="DN236" s="27"/>
      <c r="DO236" s="26"/>
      <c r="DP236" s="26"/>
      <c r="DQ236" s="26"/>
      <c r="DR236" s="26"/>
      <c r="DS236" s="26"/>
      <c r="DT236" s="25"/>
    </row>
    <row r="237" spans="2:124" x14ac:dyDescent="0.3">
      <c r="B237" s="3">
        <v>0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2"/>
      <c r="I237" s="3">
        <f>IF(OR(B237="",ISBLANK(B237),B237=0),0,IF(MOD(B237,2)=1,1,2))</f>
        <v>0</v>
      </c>
      <c r="J237" s="3">
        <f>IF(OR(C237="",ISBLANK(C237),C237=0),0,IF(MOD(C237,2)=1,1,2))</f>
        <v>0</v>
      </c>
      <c r="K237" s="3">
        <f>IF(OR(D237="",ISBLANK(D237),D237=0),0,IF(MOD(D237,2)=1,1,2))</f>
        <v>0</v>
      </c>
      <c r="L237" s="3">
        <f>IF(OR(E237="",ISBLANK(E237),E237=0),0,IF(MOD(E237,2)=1,1,2))</f>
        <v>0</v>
      </c>
      <c r="M237" s="3">
        <f>IF(OR(F237="",ISBLANK(F237),F237=0),0,IF(MOD(F237,2)=1,1,2))</f>
        <v>0</v>
      </c>
      <c r="N237" s="3">
        <f>IF(OR(G237="",ISBLANK(G237),G237=0),0,IF(MOD(G237,2)=1,1,2))</f>
        <v>0</v>
      </c>
      <c r="O237" s="32"/>
      <c r="P237" s="3" cm="1">
        <f t="array" ref="P237">SUMPRODUCT(--(MOD(B237:G237,2)=1))</f>
        <v>0</v>
      </c>
      <c r="Q237" s="3">
        <f>6-P237</f>
        <v>6</v>
      </c>
      <c r="R237" s="34"/>
      <c r="S237" s="3">
        <f>COUNTIFS(B237:G237,"&gt;=1",B237:G237,"&lt;=23")</f>
        <v>0</v>
      </c>
      <c r="T237" s="3">
        <f>6-S237</f>
        <v>6</v>
      </c>
      <c r="U237" s="34"/>
      <c r="V237" s="3" cm="1">
        <f t="array" ref="V237">SUMPRODUCT(--(MOD(B237:G237,10)&gt;=1), --(MOD(B237:G237,10)&lt;=5))</f>
        <v>0</v>
      </c>
      <c r="W237" s="3">
        <f>6-V237</f>
        <v>6</v>
      </c>
      <c r="X237" s="34"/>
      <c r="Y237" s="3" cm="1">
        <f t="array" ref="Y237">IFERROR(COUNT(_xlfn._xlws.FILTER(B237:G237, ISNUMBER(MATCH(B237:G237, {2,3,5,7,11,13,17,19,23,29,31,37,41,43}, 0)))), 0)</f>
        <v>0</v>
      </c>
      <c r="Z237" s="3" cm="1">
        <f t="array" ref="Z237">IFERROR(COUNT(_xlfn._xlws.FILTER(B237:G237, ISNUMBER(MATCH(B237:G237, {1,4,8,10,14,16,20,22,25,26,28,32,34,35,38,40,44}, 0)))), 0)</f>
        <v>0</v>
      </c>
      <c r="AA237" s="3" cm="1">
        <f t="array" ref="AA237">IFERROR(COUNT(_xlfn._xlws.FILTER(B237:G237, ISNUMBER(MATCH(B237:G237, {6,9,12,15,18,21,24,27,30,33,36,39,42,45}, 0)))), 0)</f>
        <v>0</v>
      </c>
      <c r="AB237" s="30"/>
      <c r="AC237" s="26" cm="1">
        <f t="array" ref="AC237">_xlfn.IFS(
   OR(B237="",ISBLANK(B237),B237=0),0,
   ISNUMBER(MATCH(B237,{2,3,5,7,11,13,17,19,23,29,31,37,41,43},0)),"소",
   AND(ISNUMBER(B237),MOD(B237,3)=0),"배",
   AND(ISNUMBER(B237),B237&gt;0),"자"
)</f>
        <v>0</v>
      </c>
      <c r="AD237" s="26" cm="1">
        <f t="array" ref="AD237">_xlfn.IFS(
   OR(C237="",ISBLANK(C237),C237=0),0,
   ISNUMBER(MATCH(C237,{2,3,5,7,11,13,17,19,23,29,31,37,41,43},0)),"소",
   AND(ISNUMBER(C237),MOD(C237,3)=0),"배",
   AND(ISNUMBER(C237),C237&gt;0),"자"
)</f>
        <v>0</v>
      </c>
      <c r="AE237" s="26" cm="1">
        <f t="array" ref="AE237">_xlfn.IFS(
   OR(D237="",ISBLANK(D237),D237=0),0,
   ISNUMBER(MATCH(D237,{2,3,5,7,11,13,17,19,23,29,31,37,41,43},0)),"소",
   AND(ISNUMBER(D237),MOD(D237,3)=0),"배",
   AND(ISNUMBER(D237),D237&gt;0),"자"
)</f>
        <v>0</v>
      </c>
      <c r="AF237" s="26" cm="1">
        <f t="array" ref="AF237">_xlfn.IFS(
   OR(E237="",ISBLANK(E237),E237=0),0,
   ISNUMBER(MATCH(E237,{2,3,5,7,11,13,17,19,23,29,31,37,41,43},0)),"소",
   AND(ISNUMBER(E237),MOD(E237,3)=0),"배",
   AND(ISNUMBER(E237),E237&gt;0),"자"
)</f>
        <v>0</v>
      </c>
      <c r="AG237" s="26" cm="1">
        <f t="array" ref="AG237">_xlfn.IFS(
   OR(F237="",ISBLANK(F237),F237=0),0,
   ISNUMBER(MATCH(F237,{2,3,5,7,11,13,17,19,23,29,31,37,41,43},0)),"소",
   AND(ISNUMBER(F237),MOD(F237,3)=0),"배",
   AND(ISNUMBER(F237),F237&gt;0),"자"
)</f>
        <v>0</v>
      </c>
      <c r="AH237" s="26" cm="1">
        <f t="array" ref="AH237">_xlfn.IFS(
   OR(G237="",ISBLANK(G237),G237=0),0,
   ISNUMBER(MATCH(G237,{2,3,5,7,11,13,17,19,23,29,31,37,41,43},0)),"소",
   AND(ISNUMBER(G237),MOD(G237,3)=0),"배",
   AND(ISNUMBER(G237),G237&gt;0),"자"
)</f>
        <v>0</v>
      </c>
      <c r="AI237" s="30"/>
      <c r="AJ237" s="3">
        <f>COUNTIFS(B237:G237,"&gt;=1",B237:G237,"&lt;=14")</f>
        <v>0</v>
      </c>
      <c r="AK237" s="3">
        <f>COUNTIFS(B237:G237,"&gt;=15",B237:G237,"&lt;=31")</f>
        <v>0</v>
      </c>
      <c r="AL237" s="3">
        <f>6-AK237-AJ237</f>
        <v>6</v>
      </c>
      <c r="AM237" s="33"/>
      <c r="AN237" s="3">
        <f>COUNTIFS($B237:$G237, "&gt;=1",$B237:$G237, "&lt;=9")</f>
        <v>0</v>
      </c>
      <c r="AO237" s="3">
        <f>COUNTIFS($B237:$G237, "&gt;=10",$B237:$G237, "&lt;=18")</f>
        <v>0</v>
      </c>
      <c r="AP237" s="3">
        <f>COUNTIFS($B237:$G237, "&gt;=19",$B237:$G237, "&lt;=27")</f>
        <v>0</v>
      </c>
      <c r="AQ237" s="3">
        <f>COUNTIFS($B237:$G237, "&gt;=28",$B237:$G237, "&lt;=36")</f>
        <v>0</v>
      </c>
      <c r="AR237" s="3">
        <f>COUNTIFS($B237:$G237, "&gt;=37",$B237:$G237, "&lt;=45")</f>
        <v>0</v>
      </c>
      <c r="AS237" s="28" t="e">
        <f>#REF!</f>
        <v>#REF!</v>
      </c>
      <c r="AT237" s="28" t="e">
        <f>#REF!*2</f>
        <v>#REF!</v>
      </c>
      <c r="AU237" s="28" t="e">
        <f>#REF!</f>
        <v>#REF!</v>
      </c>
      <c r="AV237" s="28" t="e">
        <f>#REF!*2</f>
        <v>#REF!</v>
      </c>
      <c r="AW237" s="28" t="e">
        <f>#REF!</f>
        <v>#REF!</v>
      </c>
      <c r="AX237" s="28" t="e">
        <f>#REF!*2</f>
        <v>#REF!</v>
      </c>
      <c r="AY237" s="28" t="e">
        <f>#REF!</f>
        <v>#REF!</v>
      </c>
      <c r="AZ237" s="28" t="e">
        <f>#REF!*2</f>
        <v>#REF!</v>
      </c>
      <c r="BA237" s="28" t="e">
        <f>#REF!</f>
        <v>#REF!</v>
      </c>
      <c r="BB237" s="28" t="e">
        <f>#REF!*2</f>
        <v>#REF!</v>
      </c>
      <c r="BC237" s="28" t="e">
        <f>#REF!</f>
        <v>#REF!</v>
      </c>
      <c r="BD237" s="28" t="e">
        <f>#REF!*2</f>
        <v>#REF!</v>
      </c>
      <c r="BE237" s="9" t="e">
        <f>#REF!-#REF!</f>
        <v>#REF!</v>
      </c>
      <c r="BF237" s="9" t="e">
        <f>#REF!-#REF!</f>
        <v>#REF!</v>
      </c>
      <c r="BG237" s="9" t="e">
        <f>#REF!-#REF!</f>
        <v>#REF!</v>
      </c>
      <c r="BH237" s="9" t="e">
        <f>#REF!-#REF!</f>
        <v>#REF!</v>
      </c>
      <c r="BI237" s="9" t="e">
        <f>#REF!-#REF!</f>
        <v>#REF!</v>
      </c>
      <c r="BJ237" s="33"/>
      <c r="BK237" s="3">
        <f>COUNTIFS(B237:G237, "&gt;=1", B237:G237, "&lt;=9")</f>
        <v>0</v>
      </c>
      <c r="BL237" s="3">
        <f>COUNTIFS(B237:G237, "&gt;=10", B237:G237, "&lt;=19")</f>
        <v>0</v>
      </c>
      <c r="BM237" s="3">
        <f>COUNTIFS(B237:G237, "&gt;=20", B237:G237, "&lt;=29")</f>
        <v>0</v>
      </c>
      <c r="BN237" s="3">
        <f>COUNTIFS(B237:G237, "&gt;=30", B237:G237, "&lt;=39")</f>
        <v>0</v>
      </c>
      <c r="BO237" s="3">
        <f>COUNTIFS(B237:G237, "&gt;=40", B237:G237, "&lt;=45")</f>
        <v>0</v>
      </c>
      <c r="BP237" s="28" t="e">
        <f>#REF!</f>
        <v>#REF!</v>
      </c>
      <c r="BQ237" s="28" t="e">
        <f>#REF!*2</f>
        <v>#REF!</v>
      </c>
      <c r="BR237" s="28" t="e">
        <f>#REF!</f>
        <v>#REF!</v>
      </c>
      <c r="BS237" s="28" t="e">
        <f>#REF!*2</f>
        <v>#REF!</v>
      </c>
      <c r="BT237" s="28" t="e">
        <f>#REF!</f>
        <v>#REF!</v>
      </c>
      <c r="BU237" s="28" t="e">
        <f>#REF!*2</f>
        <v>#REF!</v>
      </c>
      <c r="BV237" s="28" t="e">
        <f>#REF!</f>
        <v>#REF!</v>
      </c>
      <c r="BW237" s="28" t="e">
        <f>#REF!*2</f>
        <v>#REF!</v>
      </c>
      <c r="BX237" s="28" t="e">
        <f>#REF!</f>
        <v>#REF!</v>
      </c>
      <c r="BY237" s="28" t="e">
        <f>#REF!*2</f>
        <v>#REF!</v>
      </c>
      <c r="BZ237" s="28" t="e">
        <f>#REF!</f>
        <v>#REF!</v>
      </c>
      <c r="CA237" s="28" t="e">
        <f>#REF!*2</f>
        <v>#REF!</v>
      </c>
      <c r="CB237" s="9">
        <f>C237-B237</f>
        <v>0</v>
      </c>
      <c r="CC237" s="9">
        <f>D237-C237</f>
        <v>0</v>
      </c>
      <c r="CD237" s="9">
        <f>E237-D237</f>
        <v>0</v>
      </c>
      <c r="CE237" s="9">
        <f>F237-E237</f>
        <v>0</v>
      </c>
      <c r="CF237" s="9">
        <f>G237-F237</f>
        <v>0</v>
      </c>
      <c r="CG237" s="33"/>
      <c r="CH237" s="3">
        <f>C237-B237</f>
        <v>0</v>
      </c>
      <c r="CI237" s="3">
        <f>D237-C237</f>
        <v>0</v>
      </c>
      <c r="CJ237" s="3">
        <f>E237-D237</f>
        <v>0</v>
      </c>
      <c r="CK237" s="3">
        <f>F237-E237</f>
        <v>0</v>
      </c>
      <c r="CL237" s="3">
        <f>G237-F237</f>
        <v>0</v>
      </c>
      <c r="CM237" s="32"/>
      <c r="CN237" s="3">
        <f>IF(OR(CH237="",ISBLANK(CH237),CH237=0),0,IF(MOD(CH237,2)=1,1,2))</f>
        <v>0</v>
      </c>
      <c r="CO237" s="3">
        <f>IF(OR(CI237="",ISBLANK(CI237),CI237=0),0,IF(MOD(CI237,2)=1,1,2))</f>
        <v>0</v>
      </c>
      <c r="CP237" s="3">
        <f>IF(OR(CJ237="",ISBLANK(CJ237),CJ237=0),0,IF(MOD(CJ237,2)=1,1,2))</f>
        <v>0</v>
      </c>
      <c r="CQ237" s="3">
        <f>IF(OR(CK237="",ISBLANK(CK237),CK237=0),0,IF(MOD(CK237,2)=1,1,2))</f>
        <v>0</v>
      </c>
      <c r="CR237" s="3">
        <f>IF(OR(CL237="",ISBLANK(CL237),CL237=0),0,IF(MOD(CL237,2)=1,1,2))</f>
        <v>0</v>
      </c>
      <c r="CS237" s="31"/>
      <c r="CT237" s="3" cm="1">
        <f t="array" ref="CT237">SUMPRODUCT(--(MOD(CH237:CL237,2)=1))</f>
        <v>0</v>
      </c>
      <c r="CU237" s="3">
        <f>5-CT237</f>
        <v>5</v>
      </c>
      <c r="CV237" s="30"/>
      <c r="CW237" s="3" cm="1">
        <f t="array" ref="CW237">SUMPRODUCT(--(MOD(CH237:CL237,10)&gt;=1), --(MOD(CH237:CL237,10)&lt;=5))</f>
        <v>0</v>
      </c>
      <c r="CX237" s="3">
        <f>5-CW237</f>
        <v>5</v>
      </c>
      <c r="CY237" s="30"/>
      <c r="CZ237" s="3" cm="1">
        <f t="array" ref="CZ237">IFERROR(COUNT(_xlfn._xlws.FILTER(CH237:CL237, ISNUMBER(MATCH(CH237:CL237, {2,3,5,7,11,13,17,19,23,29,31,37,41,43}, 0)))), 0)</f>
        <v>0</v>
      </c>
      <c r="DA237" s="3" cm="1">
        <f t="array" ref="DA237">IFERROR(COUNT(_xlfn._xlws.FILTER(CH237:CL237, ISNUMBER(MATCH(CH237:CL237, {1,4,8,10,14,16,20,22,25,26,28,32,34,35,38,40,44}, 0)))), 0)</f>
        <v>0</v>
      </c>
      <c r="DB237" s="3" cm="1">
        <f t="array" ref="DB237">IFERROR(COUNT(_xlfn._xlws.FILTER(CH237:CL237, ISNUMBER(MATCH(CH237:CL237, {6,9,12,15,18,21,24,27,30,33,36,39,42,45}, 0)))), 0)</f>
        <v>0</v>
      </c>
      <c r="DC237" s="29"/>
      <c r="DD237" s="28" t="e">
        <f>#REF!</f>
        <v>#REF!</v>
      </c>
      <c r="DE237" s="28" t="e">
        <f>#REF!*2</f>
        <v>#REF!</v>
      </c>
      <c r="DF237" s="28" t="e">
        <f>#REF!</f>
        <v>#REF!</v>
      </c>
      <c r="DG237" s="28" t="e">
        <f>#REF!*2</f>
        <v>#REF!</v>
      </c>
      <c r="DH237" s="28" t="e">
        <f>#REF!</f>
        <v>#REF!</v>
      </c>
      <c r="DI237" s="28" t="e">
        <f>#REF!*2</f>
        <v>#REF!</v>
      </c>
      <c r="DJ237" s="28" t="e">
        <f>#REF!</f>
        <v>#REF!</v>
      </c>
      <c r="DK237" s="28" t="e">
        <f>#REF!*2</f>
        <v>#REF!</v>
      </c>
      <c r="DL237" s="28" t="e">
        <f>#REF!</f>
        <v>#REF!</v>
      </c>
      <c r="DM237" s="28" t="e">
        <f>#REF!*2</f>
        <v>#REF!</v>
      </c>
      <c r="DN237" s="27"/>
      <c r="DO237" s="26"/>
      <c r="DP237" s="26"/>
      <c r="DQ237" s="26"/>
      <c r="DR237" s="26"/>
      <c r="DS237" s="26"/>
      <c r="DT237" s="25"/>
    </row>
    <row r="238" spans="2:124" x14ac:dyDescent="0.3">
      <c r="B238" s="3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2"/>
      <c r="I238" s="3">
        <f>IF(OR(B238="",ISBLANK(B238),B238=0),0,IF(MOD(B238,2)=1,1,2))</f>
        <v>0</v>
      </c>
      <c r="J238" s="3">
        <f>IF(OR(C238="",ISBLANK(C238),C238=0),0,IF(MOD(C238,2)=1,1,2))</f>
        <v>0</v>
      </c>
      <c r="K238" s="3">
        <f>IF(OR(D238="",ISBLANK(D238),D238=0),0,IF(MOD(D238,2)=1,1,2))</f>
        <v>0</v>
      </c>
      <c r="L238" s="3">
        <f>IF(OR(E238="",ISBLANK(E238),E238=0),0,IF(MOD(E238,2)=1,1,2))</f>
        <v>0</v>
      </c>
      <c r="M238" s="3">
        <f>IF(OR(F238="",ISBLANK(F238),F238=0),0,IF(MOD(F238,2)=1,1,2))</f>
        <v>0</v>
      </c>
      <c r="N238" s="3">
        <f>IF(OR(G238="",ISBLANK(G238),G238=0),0,IF(MOD(G238,2)=1,1,2))</f>
        <v>0</v>
      </c>
      <c r="O238" s="32"/>
      <c r="P238" s="3" cm="1">
        <f t="array" ref="P238">SUMPRODUCT(--(MOD(B238:G238,2)=1))</f>
        <v>0</v>
      </c>
      <c r="Q238" s="3">
        <f>6-P238</f>
        <v>6</v>
      </c>
      <c r="R238" s="34"/>
      <c r="S238" s="3">
        <f>COUNTIFS(B238:G238,"&gt;=1",B238:G238,"&lt;=23")</f>
        <v>0</v>
      </c>
      <c r="T238" s="3">
        <f>6-S238</f>
        <v>6</v>
      </c>
      <c r="U238" s="34"/>
      <c r="V238" s="3" cm="1">
        <f t="array" ref="V238">SUMPRODUCT(--(MOD(B238:G238,10)&gt;=1), --(MOD(B238:G238,10)&lt;=5))</f>
        <v>0</v>
      </c>
      <c r="W238" s="3">
        <f>6-V238</f>
        <v>6</v>
      </c>
      <c r="X238" s="34"/>
      <c r="Y238" s="3" cm="1">
        <f t="array" ref="Y238">IFERROR(COUNT(_xlfn._xlws.FILTER(B238:G238, ISNUMBER(MATCH(B238:G238, {2,3,5,7,11,13,17,19,23,29,31,37,41,43}, 0)))), 0)</f>
        <v>0</v>
      </c>
      <c r="Z238" s="3" cm="1">
        <f t="array" ref="Z238">IFERROR(COUNT(_xlfn._xlws.FILTER(B238:G238, ISNUMBER(MATCH(B238:G238, {1,4,8,10,14,16,20,22,25,26,28,32,34,35,38,40,44}, 0)))), 0)</f>
        <v>0</v>
      </c>
      <c r="AA238" s="3" cm="1">
        <f t="array" ref="AA238">IFERROR(COUNT(_xlfn._xlws.FILTER(B238:G238, ISNUMBER(MATCH(B238:G238, {6,9,12,15,18,21,24,27,30,33,36,39,42,45}, 0)))), 0)</f>
        <v>0</v>
      </c>
      <c r="AB238" s="30"/>
      <c r="AC238" s="26" cm="1">
        <f t="array" ref="AC238">_xlfn.IFS(
   OR(B238="",ISBLANK(B238),B238=0),0,
   ISNUMBER(MATCH(B238,{2,3,5,7,11,13,17,19,23,29,31,37,41,43},0)),"소",
   AND(ISNUMBER(B238),MOD(B238,3)=0),"배",
   AND(ISNUMBER(B238),B238&gt;0),"자"
)</f>
        <v>0</v>
      </c>
      <c r="AD238" s="26" cm="1">
        <f t="array" ref="AD238">_xlfn.IFS(
   OR(C238="",ISBLANK(C238),C238=0),0,
   ISNUMBER(MATCH(C238,{2,3,5,7,11,13,17,19,23,29,31,37,41,43},0)),"소",
   AND(ISNUMBER(C238),MOD(C238,3)=0),"배",
   AND(ISNUMBER(C238),C238&gt;0),"자"
)</f>
        <v>0</v>
      </c>
      <c r="AE238" s="26" cm="1">
        <f t="array" ref="AE238">_xlfn.IFS(
   OR(D238="",ISBLANK(D238),D238=0),0,
   ISNUMBER(MATCH(D238,{2,3,5,7,11,13,17,19,23,29,31,37,41,43},0)),"소",
   AND(ISNUMBER(D238),MOD(D238,3)=0),"배",
   AND(ISNUMBER(D238),D238&gt;0),"자"
)</f>
        <v>0</v>
      </c>
      <c r="AF238" s="26" cm="1">
        <f t="array" ref="AF238">_xlfn.IFS(
   OR(E238="",ISBLANK(E238),E238=0),0,
   ISNUMBER(MATCH(E238,{2,3,5,7,11,13,17,19,23,29,31,37,41,43},0)),"소",
   AND(ISNUMBER(E238),MOD(E238,3)=0),"배",
   AND(ISNUMBER(E238),E238&gt;0),"자"
)</f>
        <v>0</v>
      </c>
      <c r="AG238" s="26" cm="1">
        <f t="array" ref="AG238">_xlfn.IFS(
   OR(F238="",ISBLANK(F238),F238=0),0,
   ISNUMBER(MATCH(F238,{2,3,5,7,11,13,17,19,23,29,31,37,41,43},0)),"소",
   AND(ISNUMBER(F238),MOD(F238,3)=0),"배",
   AND(ISNUMBER(F238),F238&gt;0),"자"
)</f>
        <v>0</v>
      </c>
      <c r="AH238" s="26" cm="1">
        <f t="array" ref="AH238">_xlfn.IFS(
   OR(G238="",ISBLANK(G238),G238=0),0,
   ISNUMBER(MATCH(G238,{2,3,5,7,11,13,17,19,23,29,31,37,41,43},0)),"소",
   AND(ISNUMBER(G238),MOD(G238,3)=0),"배",
   AND(ISNUMBER(G238),G238&gt;0),"자"
)</f>
        <v>0</v>
      </c>
      <c r="AI238" s="30"/>
      <c r="AJ238" s="3">
        <f>COUNTIFS(B238:G238,"&gt;=1",B238:G238,"&lt;=14")</f>
        <v>0</v>
      </c>
      <c r="AK238" s="3">
        <f>COUNTIFS(B238:G238,"&gt;=15",B238:G238,"&lt;=31")</f>
        <v>0</v>
      </c>
      <c r="AL238" s="3">
        <f>6-AK238-AJ238</f>
        <v>6</v>
      </c>
      <c r="AM238" s="33"/>
      <c r="AN238" s="3">
        <f>COUNTIFS($B238:$G238, "&gt;=1",$B238:$G238, "&lt;=9")</f>
        <v>0</v>
      </c>
      <c r="AO238" s="3">
        <f>COUNTIFS($B238:$G238, "&gt;=10",$B238:$G238, "&lt;=18")</f>
        <v>0</v>
      </c>
      <c r="AP238" s="3">
        <f>COUNTIFS($B238:$G238, "&gt;=19",$B238:$G238, "&lt;=27")</f>
        <v>0</v>
      </c>
      <c r="AQ238" s="3">
        <f>COUNTIFS($B238:$G238, "&gt;=28",$B238:$G238, "&lt;=36")</f>
        <v>0</v>
      </c>
      <c r="AR238" s="3">
        <f>COUNTIFS($B238:$G238, "&gt;=37",$B238:$G238, "&lt;=45")</f>
        <v>0</v>
      </c>
      <c r="AS238" s="28" t="e">
        <f>#REF!</f>
        <v>#REF!</v>
      </c>
      <c r="AT238" s="28" t="e">
        <f>#REF!*2</f>
        <v>#REF!</v>
      </c>
      <c r="AU238" s="28" t="e">
        <f>#REF!</f>
        <v>#REF!</v>
      </c>
      <c r="AV238" s="28" t="e">
        <f>#REF!*2</f>
        <v>#REF!</v>
      </c>
      <c r="AW238" s="28" t="e">
        <f>#REF!</f>
        <v>#REF!</v>
      </c>
      <c r="AX238" s="28" t="e">
        <f>#REF!*2</f>
        <v>#REF!</v>
      </c>
      <c r="AY238" s="28" t="e">
        <f>#REF!</f>
        <v>#REF!</v>
      </c>
      <c r="AZ238" s="28" t="e">
        <f>#REF!*2</f>
        <v>#REF!</v>
      </c>
      <c r="BA238" s="28" t="e">
        <f>#REF!</f>
        <v>#REF!</v>
      </c>
      <c r="BB238" s="28" t="e">
        <f>#REF!*2</f>
        <v>#REF!</v>
      </c>
      <c r="BC238" s="28" t="e">
        <f>#REF!</f>
        <v>#REF!</v>
      </c>
      <c r="BD238" s="28" t="e">
        <f>#REF!*2</f>
        <v>#REF!</v>
      </c>
      <c r="BE238" s="9" t="e">
        <f>#REF!-#REF!</f>
        <v>#REF!</v>
      </c>
      <c r="BF238" s="9" t="e">
        <f>#REF!-#REF!</f>
        <v>#REF!</v>
      </c>
      <c r="BG238" s="9" t="e">
        <f>#REF!-#REF!</f>
        <v>#REF!</v>
      </c>
      <c r="BH238" s="9" t="e">
        <f>#REF!-#REF!</f>
        <v>#REF!</v>
      </c>
      <c r="BI238" s="9" t="e">
        <f>#REF!-#REF!</f>
        <v>#REF!</v>
      </c>
      <c r="BJ238" s="33"/>
      <c r="BK238" s="3">
        <f>COUNTIFS(B238:G238, "&gt;=1", B238:G238, "&lt;=9")</f>
        <v>0</v>
      </c>
      <c r="BL238" s="3">
        <f>COUNTIFS(B238:G238, "&gt;=10", B238:G238, "&lt;=19")</f>
        <v>0</v>
      </c>
      <c r="BM238" s="3">
        <f>COUNTIFS(B238:G238, "&gt;=20", B238:G238, "&lt;=29")</f>
        <v>0</v>
      </c>
      <c r="BN238" s="3">
        <f>COUNTIFS(B238:G238, "&gt;=30", B238:G238, "&lt;=39")</f>
        <v>0</v>
      </c>
      <c r="BO238" s="3">
        <f>COUNTIFS(B238:G238, "&gt;=40", B238:G238, "&lt;=45")</f>
        <v>0</v>
      </c>
      <c r="BP238" s="28" t="e">
        <f>#REF!</f>
        <v>#REF!</v>
      </c>
      <c r="BQ238" s="28" t="e">
        <f>#REF!*2</f>
        <v>#REF!</v>
      </c>
      <c r="BR238" s="28" t="e">
        <f>#REF!</f>
        <v>#REF!</v>
      </c>
      <c r="BS238" s="28" t="e">
        <f>#REF!*2</f>
        <v>#REF!</v>
      </c>
      <c r="BT238" s="28" t="e">
        <f>#REF!</f>
        <v>#REF!</v>
      </c>
      <c r="BU238" s="28" t="e">
        <f>#REF!*2</f>
        <v>#REF!</v>
      </c>
      <c r="BV238" s="28" t="e">
        <f>#REF!</f>
        <v>#REF!</v>
      </c>
      <c r="BW238" s="28" t="e">
        <f>#REF!*2</f>
        <v>#REF!</v>
      </c>
      <c r="BX238" s="28" t="e">
        <f>#REF!</f>
        <v>#REF!</v>
      </c>
      <c r="BY238" s="28" t="e">
        <f>#REF!*2</f>
        <v>#REF!</v>
      </c>
      <c r="BZ238" s="28" t="e">
        <f>#REF!</f>
        <v>#REF!</v>
      </c>
      <c r="CA238" s="28" t="e">
        <f>#REF!*2</f>
        <v>#REF!</v>
      </c>
      <c r="CB238" s="9">
        <f>C238-B238</f>
        <v>0</v>
      </c>
      <c r="CC238" s="9">
        <f>D238-C238</f>
        <v>0</v>
      </c>
      <c r="CD238" s="9">
        <f>E238-D238</f>
        <v>0</v>
      </c>
      <c r="CE238" s="9">
        <f>F238-E238</f>
        <v>0</v>
      </c>
      <c r="CF238" s="9">
        <f>G238-F238</f>
        <v>0</v>
      </c>
      <c r="CG238" s="33"/>
      <c r="CH238" s="3">
        <f>C238-B238</f>
        <v>0</v>
      </c>
      <c r="CI238" s="3">
        <f>D238-C238</f>
        <v>0</v>
      </c>
      <c r="CJ238" s="3">
        <f>E238-D238</f>
        <v>0</v>
      </c>
      <c r="CK238" s="3">
        <f>F238-E238</f>
        <v>0</v>
      </c>
      <c r="CL238" s="3">
        <f>G238-F238</f>
        <v>0</v>
      </c>
      <c r="CM238" s="32"/>
      <c r="CN238" s="3">
        <f>IF(OR(CH238="",ISBLANK(CH238),CH238=0),0,IF(MOD(CH238,2)=1,1,2))</f>
        <v>0</v>
      </c>
      <c r="CO238" s="3">
        <f>IF(OR(CI238="",ISBLANK(CI238),CI238=0),0,IF(MOD(CI238,2)=1,1,2))</f>
        <v>0</v>
      </c>
      <c r="CP238" s="3">
        <f>IF(OR(CJ238="",ISBLANK(CJ238),CJ238=0),0,IF(MOD(CJ238,2)=1,1,2))</f>
        <v>0</v>
      </c>
      <c r="CQ238" s="3">
        <f>IF(OR(CK238="",ISBLANK(CK238),CK238=0),0,IF(MOD(CK238,2)=1,1,2))</f>
        <v>0</v>
      </c>
      <c r="CR238" s="3">
        <f>IF(OR(CL238="",ISBLANK(CL238),CL238=0),0,IF(MOD(CL238,2)=1,1,2))</f>
        <v>0</v>
      </c>
      <c r="CS238" s="31"/>
      <c r="CT238" s="3" cm="1">
        <f t="array" ref="CT238">SUMPRODUCT(--(MOD(CH238:CL238,2)=1))</f>
        <v>0</v>
      </c>
      <c r="CU238" s="3">
        <f>5-CT238</f>
        <v>5</v>
      </c>
      <c r="CV238" s="30"/>
      <c r="CW238" s="3" cm="1">
        <f t="array" ref="CW238">SUMPRODUCT(--(MOD(CH238:CL238,10)&gt;=1), --(MOD(CH238:CL238,10)&lt;=5))</f>
        <v>0</v>
      </c>
      <c r="CX238" s="3">
        <f>5-CW238</f>
        <v>5</v>
      </c>
      <c r="CY238" s="30"/>
      <c r="CZ238" s="3" cm="1">
        <f t="array" ref="CZ238">IFERROR(COUNT(_xlfn._xlws.FILTER(CH238:CL238, ISNUMBER(MATCH(CH238:CL238, {2,3,5,7,11,13,17,19,23,29,31,37,41,43}, 0)))), 0)</f>
        <v>0</v>
      </c>
      <c r="DA238" s="3" cm="1">
        <f t="array" ref="DA238">IFERROR(COUNT(_xlfn._xlws.FILTER(CH238:CL238, ISNUMBER(MATCH(CH238:CL238, {1,4,8,10,14,16,20,22,25,26,28,32,34,35,38,40,44}, 0)))), 0)</f>
        <v>0</v>
      </c>
      <c r="DB238" s="3" cm="1">
        <f t="array" ref="DB238">IFERROR(COUNT(_xlfn._xlws.FILTER(CH238:CL238, ISNUMBER(MATCH(CH238:CL238, {6,9,12,15,18,21,24,27,30,33,36,39,42,45}, 0)))), 0)</f>
        <v>0</v>
      </c>
      <c r="DC238" s="29"/>
      <c r="DD238" s="28" t="e">
        <f>#REF!</f>
        <v>#REF!</v>
      </c>
      <c r="DE238" s="28" t="e">
        <f>#REF!*2</f>
        <v>#REF!</v>
      </c>
      <c r="DF238" s="28" t="e">
        <f>#REF!</f>
        <v>#REF!</v>
      </c>
      <c r="DG238" s="28" t="e">
        <f>#REF!*2</f>
        <v>#REF!</v>
      </c>
      <c r="DH238" s="28" t="e">
        <f>#REF!</f>
        <v>#REF!</v>
      </c>
      <c r="DI238" s="28" t="e">
        <f>#REF!*2</f>
        <v>#REF!</v>
      </c>
      <c r="DJ238" s="28" t="e">
        <f>#REF!</f>
        <v>#REF!</v>
      </c>
      <c r="DK238" s="28" t="e">
        <f>#REF!*2</f>
        <v>#REF!</v>
      </c>
      <c r="DL238" s="28" t="e">
        <f>#REF!</f>
        <v>#REF!</v>
      </c>
      <c r="DM238" s="28" t="e">
        <f>#REF!*2</f>
        <v>#REF!</v>
      </c>
      <c r="DN238" s="27"/>
      <c r="DO238" s="26"/>
      <c r="DP238" s="26"/>
      <c r="DQ238" s="26"/>
      <c r="DR238" s="26"/>
      <c r="DS238" s="26"/>
      <c r="DT238" s="25"/>
    </row>
    <row r="239" spans="2:124" x14ac:dyDescent="0.3">
      <c r="B239" s="3">
        <v>0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2"/>
      <c r="I239" s="3">
        <f>IF(OR(B239="",ISBLANK(B239),B239=0),0,IF(MOD(B239,2)=1,1,2))</f>
        <v>0</v>
      </c>
      <c r="J239" s="3">
        <f>IF(OR(C239="",ISBLANK(C239),C239=0),0,IF(MOD(C239,2)=1,1,2))</f>
        <v>0</v>
      </c>
      <c r="K239" s="3">
        <f>IF(OR(D239="",ISBLANK(D239),D239=0),0,IF(MOD(D239,2)=1,1,2))</f>
        <v>0</v>
      </c>
      <c r="L239" s="3">
        <f>IF(OR(E239="",ISBLANK(E239),E239=0),0,IF(MOD(E239,2)=1,1,2))</f>
        <v>0</v>
      </c>
      <c r="M239" s="3">
        <f>IF(OR(F239="",ISBLANK(F239),F239=0),0,IF(MOD(F239,2)=1,1,2))</f>
        <v>0</v>
      </c>
      <c r="N239" s="3">
        <f>IF(OR(G239="",ISBLANK(G239),G239=0),0,IF(MOD(G239,2)=1,1,2))</f>
        <v>0</v>
      </c>
      <c r="O239" s="32"/>
      <c r="P239" s="3" cm="1">
        <f t="array" ref="P239">SUMPRODUCT(--(MOD(B239:G239,2)=1))</f>
        <v>0</v>
      </c>
      <c r="Q239" s="3">
        <f>6-P239</f>
        <v>6</v>
      </c>
      <c r="R239" s="34"/>
      <c r="S239" s="3">
        <f>COUNTIFS(B239:G239,"&gt;=1",B239:G239,"&lt;=23")</f>
        <v>0</v>
      </c>
      <c r="T239" s="3">
        <f>6-S239</f>
        <v>6</v>
      </c>
      <c r="U239" s="34"/>
      <c r="V239" s="3" cm="1">
        <f t="array" ref="V239">SUMPRODUCT(--(MOD(B239:G239,10)&gt;=1), --(MOD(B239:G239,10)&lt;=5))</f>
        <v>0</v>
      </c>
      <c r="W239" s="3">
        <f>6-V239</f>
        <v>6</v>
      </c>
      <c r="X239" s="34"/>
      <c r="Y239" s="3" cm="1">
        <f t="array" ref="Y239">IFERROR(COUNT(_xlfn._xlws.FILTER(B239:G239, ISNUMBER(MATCH(B239:G239, {2,3,5,7,11,13,17,19,23,29,31,37,41,43}, 0)))), 0)</f>
        <v>0</v>
      </c>
      <c r="Z239" s="3" cm="1">
        <f t="array" ref="Z239">IFERROR(COUNT(_xlfn._xlws.FILTER(B239:G239, ISNUMBER(MATCH(B239:G239, {1,4,8,10,14,16,20,22,25,26,28,32,34,35,38,40,44}, 0)))), 0)</f>
        <v>0</v>
      </c>
      <c r="AA239" s="3" cm="1">
        <f t="array" ref="AA239">IFERROR(COUNT(_xlfn._xlws.FILTER(B239:G239, ISNUMBER(MATCH(B239:G239, {6,9,12,15,18,21,24,27,30,33,36,39,42,45}, 0)))), 0)</f>
        <v>0</v>
      </c>
      <c r="AB239" s="30"/>
      <c r="AC239" s="26" cm="1">
        <f t="array" ref="AC239">_xlfn.IFS(
   OR(B239="",ISBLANK(B239),B239=0),0,
   ISNUMBER(MATCH(B239,{2,3,5,7,11,13,17,19,23,29,31,37,41,43},0)),"소",
   AND(ISNUMBER(B239),MOD(B239,3)=0),"배",
   AND(ISNUMBER(B239),B239&gt;0),"자"
)</f>
        <v>0</v>
      </c>
      <c r="AD239" s="26" cm="1">
        <f t="array" ref="AD239">_xlfn.IFS(
   OR(C239="",ISBLANK(C239),C239=0),0,
   ISNUMBER(MATCH(C239,{2,3,5,7,11,13,17,19,23,29,31,37,41,43},0)),"소",
   AND(ISNUMBER(C239),MOD(C239,3)=0),"배",
   AND(ISNUMBER(C239),C239&gt;0),"자"
)</f>
        <v>0</v>
      </c>
      <c r="AE239" s="26" cm="1">
        <f t="array" ref="AE239">_xlfn.IFS(
   OR(D239="",ISBLANK(D239),D239=0),0,
   ISNUMBER(MATCH(D239,{2,3,5,7,11,13,17,19,23,29,31,37,41,43},0)),"소",
   AND(ISNUMBER(D239),MOD(D239,3)=0),"배",
   AND(ISNUMBER(D239),D239&gt;0),"자"
)</f>
        <v>0</v>
      </c>
      <c r="AF239" s="26" cm="1">
        <f t="array" ref="AF239">_xlfn.IFS(
   OR(E239="",ISBLANK(E239),E239=0),0,
   ISNUMBER(MATCH(E239,{2,3,5,7,11,13,17,19,23,29,31,37,41,43},0)),"소",
   AND(ISNUMBER(E239),MOD(E239,3)=0),"배",
   AND(ISNUMBER(E239),E239&gt;0),"자"
)</f>
        <v>0</v>
      </c>
      <c r="AG239" s="26" cm="1">
        <f t="array" ref="AG239">_xlfn.IFS(
   OR(F239="",ISBLANK(F239),F239=0),0,
   ISNUMBER(MATCH(F239,{2,3,5,7,11,13,17,19,23,29,31,37,41,43},0)),"소",
   AND(ISNUMBER(F239),MOD(F239,3)=0),"배",
   AND(ISNUMBER(F239),F239&gt;0),"자"
)</f>
        <v>0</v>
      </c>
      <c r="AH239" s="26" cm="1">
        <f t="array" ref="AH239">_xlfn.IFS(
   OR(G239="",ISBLANK(G239),G239=0),0,
   ISNUMBER(MATCH(G239,{2,3,5,7,11,13,17,19,23,29,31,37,41,43},0)),"소",
   AND(ISNUMBER(G239),MOD(G239,3)=0),"배",
   AND(ISNUMBER(G239),G239&gt;0),"자"
)</f>
        <v>0</v>
      </c>
      <c r="AI239" s="30"/>
      <c r="AJ239" s="3">
        <f>COUNTIFS(B239:G239,"&gt;=1",B239:G239,"&lt;=14")</f>
        <v>0</v>
      </c>
      <c r="AK239" s="3">
        <f>COUNTIFS(B239:G239,"&gt;=15",B239:G239,"&lt;=31")</f>
        <v>0</v>
      </c>
      <c r="AL239" s="3">
        <f>6-AK239-AJ239</f>
        <v>6</v>
      </c>
      <c r="AM239" s="33"/>
      <c r="AN239" s="3">
        <f>COUNTIFS($B239:$G239, "&gt;=1",$B239:$G239, "&lt;=9")</f>
        <v>0</v>
      </c>
      <c r="AO239" s="3">
        <f>COUNTIFS($B239:$G239, "&gt;=10",$B239:$G239, "&lt;=18")</f>
        <v>0</v>
      </c>
      <c r="AP239" s="3">
        <f>COUNTIFS($B239:$G239, "&gt;=19",$B239:$G239, "&lt;=27")</f>
        <v>0</v>
      </c>
      <c r="AQ239" s="3">
        <f>COUNTIFS($B239:$G239, "&gt;=28",$B239:$G239, "&lt;=36")</f>
        <v>0</v>
      </c>
      <c r="AR239" s="3">
        <f>COUNTIFS($B239:$G239, "&gt;=37",$B239:$G239, "&lt;=45")</f>
        <v>0</v>
      </c>
      <c r="AS239" s="28" t="e">
        <f>#REF!</f>
        <v>#REF!</v>
      </c>
      <c r="AT239" s="28" t="e">
        <f>#REF!*2</f>
        <v>#REF!</v>
      </c>
      <c r="AU239" s="28" t="e">
        <f>#REF!</f>
        <v>#REF!</v>
      </c>
      <c r="AV239" s="28" t="e">
        <f>#REF!*2</f>
        <v>#REF!</v>
      </c>
      <c r="AW239" s="28" t="e">
        <f>#REF!</f>
        <v>#REF!</v>
      </c>
      <c r="AX239" s="28" t="e">
        <f>#REF!*2</f>
        <v>#REF!</v>
      </c>
      <c r="AY239" s="28" t="e">
        <f>#REF!</f>
        <v>#REF!</v>
      </c>
      <c r="AZ239" s="28" t="e">
        <f>#REF!*2</f>
        <v>#REF!</v>
      </c>
      <c r="BA239" s="28" t="e">
        <f>#REF!</f>
        <v>#REF!</v>
      </c>
      <c r="BB239" s="28" t="e">
        <f>#REF!*2</f>
        <v>#REF!</v>
      </c>
      <c r="BC239" s="28" t="e">
        <f>#REF!</f>
        <v>#REF!</v>
      </c>
      <c r="BD239" s="28" t="e">
        <f>#REF!*2</f>
        <v>#REF!</v>
      </c>
      <c r="BE239" s="9" t="e">
        <f>#REF!-#REF!</f>
        <v>#REF!</v>
      </c>
      <c r="BF239" s="9" t="e">
        <f>#REF!-#REF!</f>
        <v>#REF!</v>
      </c>
      <c r="BG239" s="9" t="e">
        <f>#REF!-#REF!</f>
        <v>#REF!</v>
      </c>
      <c r="BH239" s="9" t="e">
        <f>#REF!-#REF!</f>
        <v>#REF!</v>
      </c>
      <c r="BI239" s="9" t="e">
        <f>#REF!-#REF!</f>
        <v>#REF!</v>
      </c>
      <c r="BJ239" s="33"/>
      <c r="BK239" s="3">
        <f>COUNTIFS(B239:G239, "&gt;=1", B239:G239, "&lt;=9")</f>
        <v>0</v>
      </c>
      <c r="BL239" s="3">
        <f>COUNTIFS(B239:G239, "&gt;=10", B239:G239, "&lt;=19")</f>
        <v>0</v>
      </c>
      <c r="BM239" s="3">
        <f>COUNTIFS(B239:G239, "&gt;=20", B239:G239, "&lt;=29")</f>
        <v>0</v>
      </c>
      <c r="BN239" s="3">
        <f>COUNTIFS(B239:G239, "&gt;=30", B239:G239, "&lt;=39")</f>
        <v>0</v>
      </c>
      <c r="BO239" s="3">
        <f>COUNTIFS(B239:G239, "&gt;=40", B239:G239, "&lt;=45")</f>
        <v>0</v>
      </c>
      <c r="BP239" s="28" t="e">
        <f>#REF!</f>
        <v>#REF!</v>
      </c>
      <c r="BQ239" s="28" t="e">
        <f>#REF!*2</f>
        <v>#REF!</v>
      </c>
      <c r="BR239" s="28" t="e">
        <f>#REF!</f>
        <v>#REF!</v>
      </c>
      <c r="BS239" s="28" t="e">
        <f>#REF!*2</f>
        <v>#REF!</v>
      </c>
      <c r="BT239" s="28" t="e">
        <f>#REF!</f>
        <v>#REF!</v>
      </c>
      <c r="BU239" s="28" t="e">
        <f>#REF!*2</f>
        <v>#REF!</v>
      </c>
      <c r="BV239" s="28" t="e">
        <f>#REF!</f>
        <v>#REF!</v>
      </c>
      <c r="BW239" s="28" t="e">
        <f>#REF!*2</f>
        <v>#REF!</v>
      </c>
      <c r="BX239" s="28" t="e">
        <f>#REF!</f>
        <v>#REF!</v>
      </c>
      <c r="BY239" s="28" t="e">
        <f>#REF!*2</f>
        <v>#REF!</v>
      </c>
      <c r="BZ239" s="28" t="e">
        <f>#REF!</f>
        <v>#REF!</v>
      </c>
      <c r="CA239" s="28" t="e">
        <f>#REF!*2</f>
        <v>#REF!</v>
      </c>
      <c r="CB239" s="9">
        <f>C239-B239</f>
        <v>0</v>
      </c>
      <c r="CC239" s="9">
        <f>D239-C239</f>
        <v>0</v>
      </c>
      <c r="CD239" s="9">
        <f>E239-D239</f>
        <v>0</v>
      </c>
      <c r="CE239" s="9">
        <f>F239-E239</f>
        <v>0</v>
      </c>
      <c r="CF239" s="9">
        <f>G239-F239</f>
        <v>0</v>
      </c>
      <c r="CG239" s="33"/>
      <c r="CH239" s="3">
        <f>C239-B239</f>
        <v>0</v>
      </c>
      <c r="CI239" s="3">
        <f>D239-C239</f>
        <v>0</v>
      </c>
      <c r="CJ239" s="3">
        <f>E239-D239</f>
        <v>0</v>
      </c>
      <c r="CK239" s="3">
        <f>F239-E239</f>
        <v>0</v>
      </c>
      <c r="CL239" s="3">
        <f>G239-F239</f>
        <v>0</v>
      </c>
      <c r="CM239" s="32"/>
      <c r="CN239" s="3">
        <f>IF(OR(CH239="",ISBLANK(CH239),CH239=0),0,IF(MOD(CH239,2)=1,1,2))</f>
        <v>0</v>
      </c>
      <c r="CO239" s="3">
        <f>IF(OR(CI239="",ISBLANK(CI239),CI239=0),0,IF(MOD(CI239,2)=1,1,2))</f>
        <v>0</v>
      </c>
      <c r="CP239" s="3">
        <f>IF(OR(CJ239="",ISBLANK(CJ239),CJ239=0),0,IF(MOD(CJ239,2)=1,1,2))</f>
        <v>0</v>
      </c>
      <c r="CQ239" s="3">
        <f>IF(OR(CK239="",ISBLANK(CK239),CK239=0),0,IF(MOD(CK239,2)=1,1,2))</f>
        <v>0</v>
      </c>
      <c r="CR239" s="3">
        <f>IF(OR(CL239="",ISBLANK(CL239),CL239=0),0,IF(MOD(CL239,2)=1,1,2))</f>
        <v>0</v>
      </c>
      <c r="CS239" s="31"/>
      <c r="CT239" s="3" cm="1">
        <f t="array" ref="CT239">SUMPRODUCT(--(MOD(CH239:CL239,2)=1))</f>
        <v>0</v>
      </c>
      <c r="CU239" s="3">
        <f>5-CT239</f>
        <v>5</v>
      </c>
      <c r="CV239" s="30"/>
      <c r="CW239" s="3" cm="1">
        <f t="array" ref="CW239">SUMPRODUCT(--(MOD(CH239:CL239,10)&gt;=1), --(MOD(CH239:CL239,10)&lt;=5))</f>
        <v>0</v>
      </c>
      <c r="CX239" s="3">
        <f>5-CW239</f>
        <v>5</v>
      </c>
      <c r="CY239" s="30"/>
      <c r="CZ239" s="3" cm="1">
        <f t="array" ref="CZ239">IFERROR(COUNT(_xlfn._xlws.FILTER(CH239:CL239, ISNUMBER(MATCH(CH239:CL239, {2,3,5,7,11,13,17,19,23,29,31,37,41,43}, 0)))), 0)</f>
        <v>0</v>
      </c>
      <c r="DA239" s="3" cm="1">
        <f t="array" ref="DA239">IFERROR(COUNT(_xlfn._xlws.FILTER(CH239:CL239, ISNUMBER(MATCH(CH239:CL239, {1,4,8,10,14,16,20,22,25,26,28,32,34,35,38,40,44}, 0)))), 0)</f>
        <v>0</v>
      </c>
      <c r="DB239" s="3" cm="1">
        <f t="array" ref="DB239">IFERROR(COUNT(_xlfn._xlws.FILTER(CH239:CL239, ISNUMBER(MATCH(CH239:CL239, {6,9,12,15,18,21,24,27,30,33,36,39,42,45}, 0)))), 0)</f>
        <v>0</v>
      </c>
      <c r="DC239" s="29"/>
      <c r="DD239" s="28" t="e">
        <f>#REF!</f>
        <v>#REF!</v>
      </c>
      <c r="DE239" s="28" t="e">
        <f>#REF!*2</f>
        <v>#REF!</v>
      </c>
      <c r="DF239" s="28" t="e">
        <f>#REF!</f>
        <v>#REF!</v>
      </c>
      <c r="DG239" s="28" t="e">
        <f>#REF!*2</f>
        <v>#REF!</v>
      </c>
      <c r="DH239" s="28" t="e">
        <f>#REF!</f>
        <v>#REF!</v>
      </c>
      <c r="DI239" s="28" t="e">
        <f>#REF!*2</f>
        <v>#REF!</v>
      </c>
      <c r="DJ239" s="28" t="e">
        <f>#REF!</f>
        <v>#REF!</v>
      </c>
      <c r="DK239" s="28" t="e">
        <f>#REF!*2</f>
        <v>#REF!</v>
      </c>
      <c r="DL239" s="28" t="e">
        <f>#REF!</f>
        <v>#REF!</v>
      </c>
      <c r="DM239" s="28" t="e">
        <f>#REF!*2</f>
        <v>#REF!</v>
      </c>
      <c r="DN239" s="27"/>
      <c r="DO239" s="26"/>
      <c r="DP239" s="26"/>
      <c r="DQ239" s="26"/>
      <c r="DR239" s="26"/>
      <c r="DS239" s="26"/>
      <c r="DT239" s="25"/>
    </row>
    <row r="240" spans="2:124" x14ac:dyDescent="0.3">
      <c r="B240" s="3">
        <v>0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2"/>
      <c r="I240" s="3">
        <f>IF(OR(B240="",ISBLANK(B240),B240=0),0,IF(MOD(B240,2)=1,1,2))</f>
        <v>0</v>
      </c>
      <c r="J240" s="3">
        <f>IF(OR(C240="",ISBLANK(C240),C240=0),0,IF(MOD(C240,2)=1,1,2))</f>
        <v>0</v>
      </c>
      <c r="K240" s="3">
        <f>IF(OR(D240="",ISBLANK(D240),D240=0),0,IF(MOD(D240,2)=1,1,2))</f>
        <v>0</v>
      </c>
      <c r="L240" s="3">
        <f>IF(OR(E240="",ISBLANK(E240),E240=0),0,IF(MOD(E240,2)=1,1,2))</f>
        <v>0</v>
      </c>
      <c r="M240" s="3">
        <f>IF(OR(F240="",ISBLANK(F240),F240=0),0,IF(MOD(F240,2)=1,1,2))</f>
        <v>0</v>
      </c>
      <c r="N240" s="3">
        <f>IF(OR(G240="",ISBLANK(G240),G240=0),0,IF(MOD(G240,2)=1,1,2))</f>
        <v>0</v>
      </c>
      <c r="O240" s="32"/>
      <c r="P240" s="3" cm="1">
        <f t="array" ref="P240">SUMPRODUCT(--(MOD(B240:G240,2)=1))</f>
        <v>0</v>
      </c>
      <c r="Q240" s="3">
        <f>6-P240</f>
        <v>6</v>
      </c>
      <c r="R240" s="34"/>
      <c r="S240" s="3">
        <f>COUNTIFS(B240:G240,"&gt;=1",B240:G240,"&lt;=23")</f>
        <v>0</v>
      </c>
      <c r="T240" s="3">
        <f>6-S240</f>
        <v>6</v>
      </c>
      <c r="U240" s="34"/>
      <c r="V240" s="3" cm="1">
        <f t="array" ref="V240">SUMPRODUCT(--(MOD(B240:G240,10)&gt;=1), --(MOD(B240:G240,10)&lt;=5))</f>
        <v>0</v>
      </c>
      <c r="W240" s="3">
        <f>6-V240</f>
        <v>6</v>
      </c>
      <c r="X240" s="34"/>
      <c r="Y240" s="3" cm="1">
        <f t="array" ref="Y240">IFERROR(COUNT(_xlfn._xlws.FILTER(B240:G240, ISNUMBER(MATCH(B240:G240, {2,3,5,7,11,13,17,19,23,29,31,37,41,43}, 0)))), 0)</f>
        <v>0</v>
      </c>
      <c r="Z240" s="3" cm="1">
        <f t="array" ref="Z240">IFERROR(COUNT(_xlfn._xlws.FILTER(B240:G240, ISNUMBER(MATCH(B240:G240, {1,4,8,10,14,16,20,22,25,26,28,32,34,35,38,40,44}, 0)))), 0)</f>
        <v>0</v>
      </c>
      <c r="AA240" s="3" cm="1">
        <f t="array" ref="AA240">IFERROR(COUNT(_xlfn._xlws.FILTER(B240:G240, ISNUMBER(MATCH(B240:G240, {6,9,12,15,18,21,24,27,30,33,36,39,42,45}, 0)))), 0)</f>
        <v>0</v>
      </c>
      <c r="AB240" s="30"/>
      <c r="AC240" s="26" cm="1">
        <f t="array" ref="AC240">_xlfn.IFS(
   OR(B240="",ISBLANK(B240),B240=0),0,
   ISNUMBER(MATCH(B240,{2,3,5,7,11,13,17,19,23,29,31,37,41,43},0)),"소",
   AND(ISNUMBER(B240),MOD(B240,3)=0),"배",
   AND(ISNUMBER(B240),B240&gt;0),"자"
)</f>
        <v>0</v>
      </c>
      <c r="AD240" s="26" cm="1">
        <f t="array" ref="AD240">_xlfn.IFS(
   OR(C240="",ISBLANK(C240),C240=0),0,
   ISNUMBER(MATCH(C240,{2,3,5,7,11,13,17,19,23,29,31,37,41,43},0)),"소",
   AND(ISNUMBER(C240),MOD(C240,3)=0),"배",
   AND(ISNUMBER(C240),C240&gt;0),"자"
)</f>
        <v>0</v>
      </c>
      <c r="AE240" s="26" cm="1">
        <f t="array" ref="AE240">_xlfn.IFS(
   OR(D240="",ISBLANK(D240),D240=0),0,
   ISNUMBER(MATCH(D240,{2,3,5,7,11,13,17,19,23,29,31,37,41,43},0)),"소",
   AND(ISNUMBER(D240),MOD(D240,3)=0),"배",
   AND(ISNUMBER(D240),D240&gt;0),"자"
)</f>
        <v>0</v>
      </c>
      <c r="AF240" s="26" cm="1">
        <f t="array" ref="AF240">_xlfn.IFS(
   OR(E240="",ISBLANK(E240),E240=0),0,
   ISNUMBER(MATCH(E240,{2,3,5,7,11,13,17,19,23,29,31,37,41,43},0)),"소",
   AND(ISNUMBER(E240),MOD(E240,3)=0),"배",
   AND(ISNUMBER(E240),E240&gt;0),"자"
)</f>
        <v>0</v>
      </c>
      <c r="AG240" s="26" cm="1">
        <f t="array" ref="AG240">_xlfn.IFS(
   OR(F240="",ISBLANK(F240),F240=0),0,
   ISNUMBER(MATCH(F240,{2,3,5,7,11,13,17,19,23,29,31,37,41,43},0)),"소",
   AND(ISNUMBER(F240),MOD(F240,3)=0),"배",
   AND(ISNUMBER(F240),F240&gt;0),"자"
)</f>
        <v>0</v>
      </c>
      <c r="AH240" s="26" cm="1">
        <f t="array" ref="AH240">_xlfn.IFS(
   OR(G240="",ISBLANK(G240),G240=0),0,
   ISNUMBER(MATCH(G240,{2,3,5,7,11,13,17,19,23,29,31,37,41,43},0)),"소",
   AND(ISNUMBER(G240),MOD(G240,3)=0),"배",
   AND(ISNUMBER(G240),G240&gt;0),"자"
)</f>
        <v>0</v>
      </c>
      <c r="AI240" s="30"/>
      <c r="AJ240" s="3">
        <f>COUNTIFS(B240:G240,"&gt;=1",B240:G240,"&lt;=14")</f>
        <v>0</v>
      </c>
      <c r="AK240" s="3">
        <f>COUNTIFS(B240:G240,"&gt;=15",B240:G240,"&lt;=31")</f>
        <v>0</v>
      </c>
      <c r="AL240" s="3">
        <f>6-AK240-AJ240</f>
        <v>6</v>
      </c>
      <c r="AM240" s="33"/>
      <c r="AN240" s="3">
        <f>COUNTIFS($B240:$G240, "&gt;=1",$B240:$G240, "&lt;=9")</f>
        <v>0</v>
      </c>
      <c r="AO240" s="3">
        <f>COUNTIFS($B240:$G240, "&gt;=10",$B240:$G240, "&lt;=18")</f>
        <v>0</v>
      </c>
      <c r="AP240" s="3">
        <f>COUNTIFS($B240:$G240, "&gt;=19",$B240:$G240, "&lt;=27")</f>
        <v>0</v>
      </c>
      <c r="AQ240" s="3">
        <f>COUNTIFS($B240:$G240, "&gt;=28",$B240:$G240, "&lt;=36")</f>
        <v>0</v>
      </c>
      <c r="AR240" s="3">
        <f>COUNTIFS($B240:$G240, "&gt;=37",$B240:$G240, "&lt;=45")</f>
        <v>0</v>
      </c>
      <c r="AS240" s="28" t="e">
        <f>#REF!</f>
        <v>#REF!</v>
      </c>
      <c r="AT240" s="28" t="e">
        <f>#REF!*2</f>
        <v>#REF!</v>
      </c>
      <c r="AU240" s="28" t="e">
        <f>#REF!</f>
        <v>#REF!</v>
      </c>
      <c r="AV240" s="28" t="e">
        <f>#REF!*2</f>
        <v>#REF!</v>
      </c>
      <c r="AW240" s="28" t="e">
        <f>#REF!</f>
        <v>#REF!</v>
      </c>
      <c r="AX240" s="28" t="e">
        <f>#REF!*2</f>
        <v>#REF!</v>
      </c>
      <c r="AY240" s="28" t="e">
        <f>#REF!</f>
        <v>#REF!</v>
      </c>
      <c r="AZ240" s="28" t="e">
        <f>#REF!*2</f>
        <v>#REF!</v>
      </c>
      <c r="BA240" s="28" t="e">
        <f>#REF!</f>
        <v>#REF!</v>
      </c>
      <c r="BB240" s="28" t="e">
        <f>#REF!*2</f>
        <v>#REF!</v>
      </c>
      <c r="BC240" s="28" t="e">
        <f>#REF!</f>
        <v>#REF!</v>
      </c>
      <c r="BD240" s="28" t="e">
        <f>#REF!*2</f>
        <v>#REF!</v>
      </c>
      <c r="BE240" s="9" t="e">
        <f>#REF!-#REF!</f>
        <v>#REF!</v>
      </c>
      <c r="BF240" s="9" t="e">
        <f>#REF!-#REF!</f>
        <v>#REF!</v>
      </c>
      <c r="BG240" s="9" t="e">
        <f>#REF!-#REF!</f>
        <v>#REF!</v>
      </c>
      <c r="BH240" s="9" t="e">
        <f>#REF!-#REF!</f>
        <v>#REF!</v>
      </c>
      <c r="BI240" s="9" t="e">
        <f>#REF!-#REF!</f>
        <v>#REF!</v>
      </c>
      <c r="BJ240" s="33"/>
      <c r="BK240" s="3">
        <f>COUNTIFS(B240:G240, "&gt;=1", B240:G240, "&lt;=9")</f>
        <v>0</v>
      </c>
      <c r="BL240" s="3">
        <f>COUNTIFS(B240:G240, "&gt;=10", B240:G240, "&lt;=19")</f>
        <v>0</v>
      </c>
      <c r="BM240" s="3">
        <f>COUNTIFS(B240:G240, "&gt;=20", B240:G240, "&lt;=29")</f>
        <v>0</v>
      </c>
      <c r="BN240" s="3">
        <f>COUNTIFS(B240:G240, "&gt;=30", B240:G240, "&lt;=39")</f>
        <v>0</v>
      </c>
      <c r="BO240" s="3">
        <f>COUNTIFS(B240:G240, "&gt;=40", B240:G240, "&lt;=45")</f>
        <v>0</v>
      </c>
      <c r="BP240" s="28" t="e">
        <f>#REF!</f>
        <v>#REF!</v>
      </c>
      <c r="BQ240" s="28" t="e">
        <f>#REF!*2</f>
        <v>#REF!</v>
      </c>
      <c r="BR240" s="28" t="e">
        <f>#REF!</f>
        <v>#REF!</v>
      </c>
      <c r="BS240" s="28" t="e">
        <f>#REF!*2</f>
        <v>#REF!</v>
      </c>
      <c r="BT240" s="28" t="e">
        <f>#REF!</f>
        <v>#REF!</v>
      </c>
      <c r="BU240" s="28" t="e">
        <f>#REF!*2</f>
        <v>#REF!</v>
      </c>
      <c r="BV240" s="28" t="e">
        <f>#REF!</f>
        <v>#REF!</v>
      </c>
      <c r="BW240" s="28" t="e">
        <f>#REF!*2</f>
        <v>#REF!</v>
      </c>
      <c r="BX240" s="28" t="e">
        <f>#REF!</f>
        <v>#REF!</v>
      </c>
      <c r="BY240" s="28" t="e">
        <f>#REF!*2</f>
        <v>#REF!</v>
      </c>
      <c r="BZ240" s="28" t="e">
        <f>#REF!</f>
        <v>#REF!</v>
      </c>
      <c r="CA240" s="28" t="e">
        <f>#REF!*2</f>
        <v>#REF!</v>
      </c>
      <c r="CB240" s="9">
        <f>C240-B240</f>
        <v>0</v>
      </c>
      <c r="CC240" s="9">
        <f>D240-C240</f>
        <v>0</v>
      </c>
      <c r="CD240" s="9">
        <f>E240-D240</f>
        <v>0</v>
      </c>
      <c r="CE240" s="9">
        <f>F240-E240</f>
        <v>0</v>
      </c>
      <c r="CF240" s="9">
        <f>G240-F240</f>
        <v>0</v>
      </c>
      <c r="CG240" s="33"/>
      <c r="CH240" s="3">
        <f>C240-B240</f>
        <v>0</v>
      </c>
      <c r="CI240" s="3">
        <f>D240-C240</f>
        <v>0</v>
      </c>
      <c r="CJ240" s="3">
        <f>E240-D240</f>
        <v>0</v>
      </c>
      <c r="CK240" s="3">
        <f>F240-E240</f>
        <v>0</v>
      </c>
      <c r="CL240" s="3">
        <f>G240-F240</f>
        <v>0</v>
      </c>
      <c r="CM240" s="32"/>
      <c r="CN240" s="3">
        <f>IF(OR(CH240="",ISBLANK(CH240),CH240=0),0,IF(MOD(CH240,2)=1,1,2))</f>
        <v>0</v>
      </c>
      <c r="CO240" s="3">
        <f>IF(OR(CI240="",ISBLANK(CI240),CI240=0),0,IF(MOD(CI240,2)=1,1,2))</f>
        <v>0</v>
      </c>
      <c r="CP240" s="3">
        <f>IF(OR(CJ240="",ISBLANK(CJ240),CJ240=0),0,IF(MOD(CJ240,2)=1,1,2))</f>
        <v>0</v>
      </c>
      <c r="CQ240" s="3">
        <f>IF(OR(CK240="",ISBLANK(CK240),CK240=0),0,IF(MOD(CK240,2)=1,1,2))</f>
        <v>0</v>
      </c>
      <c r="CR240" s="3">
        <f>IF(OR(CL240="",ISBLANK(CL240),CL240=0),0,IF(MOD(CL240,2)=1,1,2))</f>
        <v>0</v>
      </c>
      <c r="CS240" s="31"/>
      <c r="CT240" s="3" cm="1">
        <f t="array" ref="CT240">SUMPRODUCT(--(MOD(CH240:CL240,2)=1))</f>
        <v>0</v>
      </c>
      <c r="CU240" s="3">
        <f>5-CT240</f>
        <v>5</v>
      </c>
      <c r="CV240" s="30"/>
      <c r="CW240" s="3" cm="1">
        <f t="array" ref="CW240">SUMPRODUCT(--(MOD(CH240:CL240,10)&gt;=1), --(MOD(CH240:CL240,10)&lt;=5))</f>
        <v>0</v>
      </c>
      <c r="CX240" s="3">
        <f>5-CW240</f>
        <v>5</v>
      </c>
      <c r="CY240" s="30"/>
      <c r="CZ240" s="3" cm="1">
        <f t="array" ref="CZ240">IFERROR(COUNT(_xlfn._xlws.FILTER(CH240:CL240, ISNUMBER(MATCH(CH240:CL240, {2,3,5,7,11,13,17,19,23,29,31,37,41,43}, 0)))), 0)</f>
        <v>0</v>
      </c>
      <c r="DA240" s="3" cm="1">
        <f t="array" ref="DA240">IFERROR(COUNT(_xlfn._xlws.FILTER(CH240:CL240, ISNUMBER(MATCH(CH240:CL240, {1,4,8,10,14,16,20,22,25,26,28,32,34,35,38,40,44}, 0)))), 0)</f>
        <v>0</v>
      </c>
      <c r="DB240" s="3" cm="1">
        <f t="array" ref="DB240">IFERROR(COUNT(_xlfn._xlws.FILTER(CH240:CL240, ISNUMBER(MATCH(CH240:CL240, {6,9,12,15,18,21,24,27,30,33,36,39,42,45}, 0)))), 0)</f>
        <v>0</v>
      </c>
      <c r="DC240" s="29"/>
      <c r="DD240" s="28" t="e">
        <f>#REF!</f>
        <v>#REF!</v>
      </c>
      <c r="DE240" s="28" t="e">
        <f>#REF!*2</f>
        <v>#REF!</v>
      </c>
      <c r="DF240" s="28" t="e">
        <f>#REF!</f>
        <v>#REF!</v>
      </c>
      <c r="DG240" s="28" t="e">
        <f>#REF!*2</f>
        <v>#REF!</v>
      </c>
      <c r="DH240" s="28" t="e">
        <f>#REF!</f>
        <v>#REF!</v>
      </c>
      <c r="DI240" s="28" t="e">
        <f>#REF!*2</f>
        <v>#REF!</v>
      </c>
      <c r="DJ240" s="28" t="e">
        <f>#REF!</f>
        <v>#REF!</v>
      </c>
      <c r="DK240" s="28" t="e">
        <f>#REF!*2</f>
        <v>#REF!</v>
      </c>
      <c r="DL240" s="28" t="e">
        <f>#REF!</f>
        <v>#REF!</v>
      </c>
      <c r="DM240" s="28" t="e">
        <f>#REF!*2</f>
        <v>#REF!</v>
      </c>
      <c r="DN240" s="27"/>
      <c r="DO240" s="26"/>
      <c r="DP240" s="26"/>
      <c r="DQ240" s="26"/>
      <c r="DR240" s="26"/>
      <c r="DS240" s="26"/>
      <c r="DT240" s="25"/>
    </row>
    <row r="241" spans="2:124" x14ac:dyDescent="0.3">
      <c r="B241" s="3">
        <v>0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2"/>
      <c r="I241" s="3">
        <f>IF(OR(B241="",ISBLANK(B241),B241=0),0,IF(MOD(B241,2)=1,1,2))</f>
        <v>0</v>
      </c>
      <c r="J241" s="3">
        <f>IF(OR(C241="",ISBLANK(C241),C241=0),0,IF(MOD(C241,2)=1,1,2))</f>
        <v>0</v>
      </c>
      <c r="K241" s="3">
        <f>IF(OR(D241="",ISBLANK(D241),D241=0),0,IF(MOD(D241,2)=1,1,2))</f>
        <v>0</v>
      </c>
      <c r="L241" s="3">
        <f>IF(OR(E241="",ISBLANK(E241),E241=0),0,IF(MOD(E241,2)=1,1,2))</f>
        <v>0</v>
      </c>
      <c r="M241" s="3">
        <f>IF(OR(F241="",ISBLANK(F241),F241=0),0,IF(MOD(F241,2)=1,1,2))</f>
        <v>0</v>
      </c>
      <c r="N241" s="3">
        <f>IF(OR(G241="",ISBLANK(G241),G241=0),0,IF(MOD(G241,2)=1,1,2))</f>
        <v>0</v>
      </c>
      <c r="O241" s="32"/>
      <c r="P241" s="3" cm="1">
        <f t="array" ref="P241">SUMPRODUCT(--(MOD(B241:G241,2)=1))</f>
        <v>0</v>
      </c>
      <c r="Q241" s="3">
        <f>6-P241</f>
        <v>6</v>
      </c>
      <c r="R241" s="34"/>
      <c r="S241" s="3">
        <f>COUNTIFS(B241:G241,"&gt;=1",B241:G241,"&lt;=23")</f>
        <v>0</v>
      </c>
      <c r="T241" s="3">
        <f>6-S241</f>
        <v>6</v>
      </c>
      <c r="U241" s="34"/>
      <c r="V241" s="3" cm="1">
        <f t="array" ref="V241">SUMPRODUCT(--(MOD(B241:G241,10)&gt;=1), --(MOD(B241:G241,10)&lt;=5))</f>
        <v>0</v>
      </c>
      <c r="W241" s="3">
        <f>6-V241</f>
        <v>6</v>
      </c>
      <c r="X241" s="34"/>
      <c r="Y241" s="3" cm="1">
        <f t="array" ref="Y241">IFERROR(COUNT(_xlfn._xlws.FILTER(B241:G241, ISNUMBER(MATCH(B241:G241, {2,3,5,7,11,13,17,19,23,29,31,37,41,43}, 0)))), 0)</f>
        <v>0</v>
      </c>
      <c r="Z241" s="3" cm="1">
        <f t="array" ref="Z241">IFERROR(COUNT(_xlfn._xlws.FILTER(B241:G241, ISNUMBER(MATCH(B241:G241, {1,4,8,10,14,16,20,22,25,26,28,32,34,35,38,40,44}, 0)))), 0)</f>
        <v>0</v>
      </c>
      <c r="AA241" s="3" cm="1">
        <f t="array" ref="AA241">IFERROR(COUNT(_xlfn._xlws.FILTER(B241:G241, ISNUMBER(MATCH(B241:G241, {6,9,12,15,18,21,24,27,30,33,36,39,42,45}, 0)))), 0)</f>
        <v>0</v>
      </c>
      <c r="AB241" s="30"/>
      <c r="AC241" s="26" cm="1">
        <f t="array" ref="AC241">_xlfn.IFS(
   OR(B241="",ISBLANK(B241),B241=0),0,
   ISNUMBER(MATCH(B241,{2,3,5,7,11,13,17,19,23,29,31,37,41,43},0)),"소",
   AND(ISNUMBER(B241),MOD(B241,3)=0),"배",
   AND(ISNUMBER(B241),B241&gt;0),"자"
)</f>
        <v>0</v>
      </c>
      <c r="AD241" s="26" cm="1">
        <f t="array" ref="AD241">_xlfn.IFS(
   OR(C241="",ISBLANK(C241),C241=0),0,
   ISNUMBER(MATCH(C241,{2,3,5,7,11,13,17,19,23,29,31,37,41,43},0)),"소",
   AND(ISNUMBER(C241),MOD(C241,3)=0),"배",
   AND(ISNUMBER(C241),C241&gt;0),"자"
)</f>
        <v>0</v>
      </c>
      <c r="AE241" s="26" cm="1">
        <f t="array" ref="AE241">_xlfn.IFS(
   OR(D241="",ISBLANK(D241),D241=0),0,
   ISNUMBER(MATCH(D241,{2,3,5,7,11,13,17,19,23,29,31,37,41,43},0)),"소",
   AND(ISNUMBER(D241),MOD(D241,3)=0),"배",
   AND(ISNUMBER(D241),D241&gt;0),"자"
)</f>
        <v>0</v>
      </c>
      <c r="AF241" s="26" cm="1">
        <f t="array" ref="AF241">_xlfn.IFS(
   OR(E241="",ISBLANK(E241),E241=0),0,
   ISNUMBER(MATCH(E241,{2,3,5,7,11,13,17,19,23,29,31,37,41,43},0)),"소",
   AND(ISNUMBER(E241),MOD(E241,3)=0),"배",
   AND(ISNUMBER(E241),E241&gt;0),"자"
)</f>
        <v>0</v>
      </c>
      <c r="AG241" s="26" cm="1">
        <f t="array" ref="AG241">_xlfn.IFS(
   OR(F241="",ISBLANK(F241),F241=0),0,
   ISNUMBER(MATCH(F241,{2,3,5,7,11,13,17,19,23,29,31,37,41,43},0)),"소",
   AND(ISNUMBER(F241),MOD(F241,3)=0),"배",
   AND(ISNUMBER(F241),F241&gt;0),"자"
)</f>
        <v>0</v>
      </c>
      <c r="AH241" s="26" cm="1">
        <f t="array" ref="AH241">_xlfn.IFS(
   OR(G241="",ISBLANK(G241),G241=0),0,
   ISNUMBER(MATCH(G241,{2,3,5,7,11,13,17,19,23,29,31,37,41,43},0)),"소",
   AND(ISNUMBER(G241),MOD(G241,3)=0),"배",
   AND(ISNUMBER(G241),G241&gt;0),"자"
)</f>
        <v>0</v>
      </c>
      <c r="AI241" s="30"/>
      <c r="AJ241" s="3">
        <f>COUNTIFS(B241:G241,"&gt;=1",B241:G241,"&lt;=14")</f>
        <v>0</v>
      </c>
      <c r="AK241" s="3">
        <f>COUNTIFS(B241:G241,"&gt;=15",B241:G241,"&lt;=31")</f>
        <v>0</v>
      </c>
      <c r="AL241" s="3">
        <f>6-AK241-AJ241</f>
        <v>6</v>
      </c>
      <c r="AM241" s="33"/>
      <c r="AN241" s="3">
        <f>COUNTIFS($B241:$G241, "&gt;=1",$B241:$G241, "&lt;=9")</f>
        <v>0</v>
      </c>
      <c r="AO241" s="3">
        <f>COUNTIFS($B241:$G241, "&gt;=10",$B241:$G241, "&lt;=18")</f>
        <v>0</v>
      </c>
      <c r="AP241" s="3">
        <f>COUNTIFS($B241:$G241, "&gt;=19",$B241:$G241, "&lt;=27")</f>
        <v>0</v>
      </c>
      <c r="AQ241" s="3">
        <f>COUNTIFS($B241:$G241, "&gt;=28",$B241:$G241, "&lt;=36")</f>
        <v>0</v>
      </c>
      <c r="AR241" s="3">
        <f>COUNTIFS($B241:$G241, "&gt;=37",$B241:$G241, "&lt;=45")</f>
        <v>0</v>
      </c>
      <c r="AS241" s="28" t="e">
        <f>#REF!</f>
        <v>#REF!</v>
      </c>
      <c r="AT241" s="28" t="e">
        <f>#REF!*2</f>
        <v>#REF!</v>
      </c>
      <c r="AU241" s="28" t="e">
        <f>#REF!</f>
        <v>#REF!</v>
      </c>
      <c r="AV241" s="28" t="e">
        <f>#REF!*2</f>
        <v>#REF!</v>
      </c>
      <c r="AW241" s="28" t="e">
        <f>#REF!</f>
        <v>#REF!</v>
      </c>
      <c r="AX241" s="28" t="e">
        <f>#REF!*2</f>
        <v>#REF!</v>
      </c>
      <c r="AY241" s="28" t="e">
        <f>#REF!</f>
        <v>#REF!</v>
      </c>
      <c r="AZ241" s="28" t="e">
        <f>#REF!*2</f>
        <v>#REF!</v>
      </c>
      <c r="BA241" s="28" t="e">
        <f>#REF!</f>
        <v>#REF!</v>
      </c>
      <c r="BB241" s="28" t="e">
        <f>#REF!*2</f>
        <v>#REF!</v>
      </c>
      <c r="BC241" s="28" t="e">
        <f>#REF!</f>
        <v>#REF!</v>
      </c>
      <c r="BD241" s="28" t="e">
        <f>#REF!*2</f>
        <v>#REF!</v>
      </c>
      <c r="BE241" s="9" t="e">
        <f>#REF!-#REF!</f>
        <v>#REF!</v>
      </c>
      <c r="BF241" s="9" t="e">
        <f>#REF!-#REF!</f>
        <v>#REF!</v>
      </c>
      <c r="BG241" s="9" t="e">
        <f>#REF!-#REF!</f>
        <v>#REF!</v>
      </c>
      <c r="BH241" s="9" t="e">
        <f>#REF!-#REF!</f>
        <v>#REF!</v>
      </c>
      <c r="BI241" s="9" t="e">
        <f>#REF!-#REF!</f>
        <v>#REF!</v>
      </c>
      <c r="BJ241" s="33"/>
      <c r="BK241" s="3">
        <f>COUNTIFS(B241:G241, "&gt;=1", B241:G241, "&lt;=9")</f>
        <v>0</v>
      </c>
      <c r="BL241" s="3">
        <f>COUNTIFS(B241:G241, "&gt;=10", B241:G241, "&lt;=19")</f>
        <v>0</v>
      </c>
      <c r="BM241" s="3">
        <f>COUNTIFS(B241:G241, "&gt;=20", B241:G241, "&lt;=29")</f>
        <v>0</v>
      </c>
      <c r="BN241" s="3">
        <f>COUNTIFS(B241:G241, "&gt;=30", B241:G241, "&lt;=39")</f>
        <v>0</v>
      </c>
      <c r="BO241" s="3">
        <f>COUNTIFS(B241:G241, "&gt;=40", B241:G241, "&lt;=45")</f>
        <v>0</v>
      </c>
      <c r="BP241" s="28" t="e">
        <f>#REF!</f>
        <v>#REF!</v>
      </c>
      <c r="BQ241" s="28" t="e">
        <f>#REF!*2</f>
        <v>#REF!</v>
      </c>
      <c r="BR241" s="28" t="e">
        <f>#REF!</f>
        <v>#REF!</v>
      </c>
      <c r="BS241" s="28" t="e">
        <f>#REF!*2</f>
        <v>#REF!</v>
      </c>
      <c r="BT241" s="28" t="e">
        <f>#REF!</f>
        <v>#REF!</v>
      </c>
      <c r="BU241" s="28" t="e">
        <f>#REF!*2</f>
        <v>#REF!</v>
      </c>
      <c r="BV241" s="28" t="e">
        <f>#REF!</f>
        <v>#REF!</v>
      </c>
      <c r="BW241" s="28" t="e">
        <f>#REF!*2</f>
        <v>#REF!</v>
      </c>
      <c r="BX241" s="28" t="e">
        <f>#REF!</f>
        <v>#REF!</v>
      </c>
      <c r="BY241" s="28" t="e">
        <f>#REF!*2</f>
        <v>#REF!</v>
      </c>
      <c r="BZ241" s="28" t="e">
        <f>#REF!</f>
        <v>#REF!</v>
      </c>
      <c r="CA241" s="28" t="e">
        <f>#REF!*2</f>
        <v>#REF!</v>
      </c>
      <c r="CB241" s="9">
        <f>C241-B241</f>
        <v>0</v>
      </c>
      <c r="CC241" s="9">
        <f>D241-C241</f>
        <v>0</v>
      </c>
      <c r="CD241" s="9">
        <f>E241-D241</f>
        <v>0</v>
      </c>
      <c r="CE241" s="9">
        <f>F241-E241</f>
        <v>0</v>
      </c>
      <c r="CF241" s="9">
        <f>G241-F241</f>
        <v>0</v>
      </c>
      <c r="CG241" s="33"/>
      <c r="CH241" s="3">
        <f>C241-B241</f>
        <v>0</v>
      </c>
      <c r="CI241" s="3">
        <f>D241-C241</f>
        <v>0</v>
      </c>
      <c r="CJ241" s="3">
        <f>E241-D241</f>
        <v>0</v>
      </c>
      <c r="CK241" s="3">
        <f>F241-E241</f>
        <v>0</v>
      </c>
      <c r="CL241" s="3">
        <f>G241-F241</f>
        <v>0</v>
      </c>
      <c r="CM241" s="32"/>
      <c r="CN241" s="3">
        <f>IF(OR(CH241="",ISBLANK(CH241),CH241=0),0,IF(MOD(CH241,2)=1,1,2))</f>
        <v>0</v>
      </c>
      <c r="CO241" s="3">
        <f>IF(OR(CI241="",ISBLANK(CI241),CI241=0),0,IF(MOD(CI241,2)=1,1,2))</f>
        <v>0</v>
      </c>
      <c r="CP241" s="3">
        <f>IF(OR(CJ241="",ISBLANK(CJ241),CJ241=0),0,IF(MOD(CJ241,2)=1,1,2))</f>
        <v>0</v>
      </c>
      <c r="CQ241" s="3">
        <f>IF(OR(CK241="",ISBLANK(CK241),CK241=0),0,IF(MOD(CK241,2)=1,1,2))</f>
        <v>0</v>
      </c>
      <c r="CR241" s="3">
        <f>IF(OR(CL241="",ISBLANK(CL241),CL241=0),0,IF(MOD(CL241,2)=1,1,2))</f>
        <v>0</v>
      </c>
      <c r="CS241" s="31"/>
      <c r="CT241" s="3" cm="1">
        <f t="array" ref="CT241">SUMPRODUCT(--(MOD(CH241:CL241,2)=1))</f>
        <v>0</v>
      </c>
      <c r="CU241" s="3">
        <f>5-CT241</f>
        <v>5</v>
      </c>
      <c r="CV241" s="30"/>
      <c r="CW241" s="3" cm="1">
        <f t="array" ref="CW241">SUMPRODUCT(--(MOD(CH241:CL241,10)&gt;=1), --(MOD(CH241:CL241,10)&lt;=5))</f>
        <v>0</v>
      </c>
      <c r="CX241" s="3">
        <f>5-CW241</f>
        <v>5</v>
      </c>
      <c r="CY241" s="30"/>
      <c r="CZ241" s="3" cm="1">
        <f t="array" ref="CZ241">IFERROR(COUNT(_xlfn._xlws.FILTER(CH241:CL241, ISNUMBER(MATCH(CH241:CL241, {2,3,5,7,11,13,17,19,23,29,31,37,41,43}, 0)))), 0)</f>
        <v>0</v>
      </c>
      <c r="DA241" s="3" cm="1">
        <f t="array" ref="DA241">IFERROR(COUNT(_xlfn._xlws.FILTER(CH241:CL241, ISNUMBER(MATCH(CH241:CL241, {1,4,8,10,14,16,20,22,25,26,28,32,34,35,38,40,44}, 0)))), 0)</f>
        <v>0</v>
      </c>
      <c r="DB241" s="3" cm="1">
        <f t="array" ref="DB241">IFERROR(COUNT(_xlfn._xlws.FILTER(CH241:CL241, ISNUMBER(MATCH(CH241:CL241, {6,9,12,15,18,21,24,27,30,33,36,39,42,45}, 0)))), 0)</f>
        <v>0</v>
      </c>
      <c r="DC241" s="29"/>
      <c r="DD241" s="28" t="e">
        <f>#REF!</f>
        <v>#REF!</v>
      </c>
      <c r="DE241" s="28" t="e">
        <f>#REF!*2</f>
        <v>#REF!</v>
      </c>
      <c r="DF241" s="28" t="e">
        <f>#REF!</f>
        <v>#REF!</v>
      </c>
      <c r="DG241" s="28" t="e">
        <f>#REF!*2</f>
        <v>#REF!</v>
      </c>
      <c r="DH241" s="28" t="e">
        <f>#REF!</f>
        <v>#REF!</v>
      </c>
      <c r="DI241" s="28" t="e">
        <f>#REF!*2</f>
        <v>#REF!</v>
      </c>
      <c r="DJ241" s="28" t="e">
        <f>#REF!</f>
        <v>#REF!</v>
      </c>
      <c r="DK241" s="28" t="e">
        <f>#REF!*2</f>
        <v>#REF!</v>
      </c>
      <c r="DL241" s="28" t="e">
        <f>#REF!</f>
        <v>#REF!</v>
      </c>
      <c r="DM241" s="28" t="e">
        <f>#REF!*2</f>
        <v>#REF!</v>
      </c>
      <c r="DN241" s="27"/>
      <c r="DO241" s="26"/>
      <c r="DP241" s="26"/>
      <c r="DQ241" s="26"/>
      <c r="DR241" s="26"/>
      <c r="DS241" s="26"/>
      <c r="DT241" s="25"/>
    </row>
    <row r="242" spans="2:124" x14ac:dyDescent="0.3">
      <c r="B242" s="3">
        <v>0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2"/>
      <c r="I242" s="3">
        <f>IF(OR(B242="",ISBLANK(B242),B242=0),0,IF(MOD(B242,2)=1,1,2))</f>
        <v>0</v>
      </c>
      <c r="J242" s="3">
        <f>IF(OR(C242="",ISBLANK(C242),C242=0),0,IF(MOD(C242,2)=1,1,2))</f>
        <v>0</v>
      </c>
      <c r="K242" s="3">
        <f>IF(OR(D242="",ISBLANK(D242),D242=0),0,IF(MOD(D242,2)=1,1,2))</f>
        <v>0</v>
      </c>
      <c r="L242" s="3">
        <f>IF(OR(E242="",ISBLANK(E242),E242=0),0,IF(MOD(E242,2)=1,1,2))</f>
        <v>0</v>
      </c>
      <c r="M242" s="3">
        <f>IF(OR(F242="",ISBLANK(F242),F242=0),0,IF(MOD(F242,2)=1,1,2))</f>
        <v>0</v>
      </c>
      <c r="N242" s="3">
        <f>IF(OR(G242="",ISBLANK(G242),G242=0),0,IF(MOD(G242,2)=1,1,2))</f>
        <v>0</v>
      </c>
      <c r="O242" s="32"/>
      <c r="P242" s="3" cm="1">
        <f t="array" ref="P242">SUMPRODUCT(--(MOD(B242:G242,2)=1))</f>
        <v>0</v>
      </c>
      <c r="Q242" s="3">
        <f>6-P242</f>
        <v>6</v>
      </c>
      <c r="R242" s="34"/>
      <c r="S242" s="3">
        <f>COUNTIFS(B242:G242,"&gt;=1",B242:G242,"&lt;=23")</f>
        <v>0</v>
      </c>
      <c r="T242" s="3">
        <f>6-S242</f>
        <v>6</v>
      </c>
      <c r="U242" s="34"/>
      <c r="V242" s="3" cm="1">
        <f t="array" ref="V242">SUMPRODUCT(--(MOD(B242:G242,10)&gt;=1), --(MOD(B242:G242,10)&lt;=5))</f>
        <v>0</v>
      </c>
      <c r="W242" s="3">
        <f>6-V242</f>
        <v>6</v>
      </c>
      <c r="X242" s="34"/>
      <c r="Y242" s="3" cm="1">
        <f t="array" ref="Y242">IFERROR(COUNT(_xlfn._xlws.FILTER(B242:G242, ISNUMBER(MATCH(B242:G242, {2,3,5,7,11,13,17,19,23,29,31,37,41,43}, 0)))), 0)</f>
        <v>0</v>
      </c>
      <c r="Z242" s="3" cm="1">
        <f t="array" ref="Z242">IFERROR(COUNT(_xlfn._xlws.FILTER(B242:G242, ISNUMBER(MATCH(B242:G242, {1,4,8,10,14,16,20,22,25,26,28,32,34,35,38,40,44}, 0)))), 0)</f>
        <v>0</v>
      </c>
      <c r="AA242" s="3" cm="1">
        <f t="array" ref="AA242">IFERROR(COUNT(_xlfn._xlws.FILTER(B242:G242, ISNUMBER(MATCH(B242:G242, {6,9,12,15,18,21,24,27,30,33,36,39,42,45}, 0)))), 0)</f>
        <v>0</v>
      </c>
      <c r="AB242" s="30"/>
      <c r="AC242" s="26" cm="1">
        <f t="array" ref="AC242">_xlfn.IFS(
   OR(B242="",ISBLANK(B242),B242=0),0,
   ISNUMBER(MATCH(B242,{2,3,5,7,11,13,17,19,23,29,31,37,41,43},0)),"소",
   AND(ISNUMBER(B242),MOD(B242,3)=0),"배",
   AND(ISNUMBER(B242),B242&gt;0),"자"
)</f>
        <v>0</v>
      </c>
      <c r="AD242" s="26" cm="1">
        <f t="array" ref="AD242">_xlfn.IFS(
   OR(C242="",ISBLANK(C242),C242=0),0,
   ISNUMBER(MATCH(C242,{2,3,5,7,11,13,17,19,23,29,31,37,41,43},0)),"소",
   AND(ISNUMBER(C242),MOD(C242,3)=0),"배",
   AND(ISNUMBER(C242),C242&gt;0),"자"
)</f>
        <v>0</v>
      </c>
      <c r="AE242" s="26" cm="1">
        <f t="array" ref="AE242">_xlfn.IFS(
   OR(D242="",ISBLANK(D242),D242=0),0,
   ISNUMBER(MATCH(D242,{2,3,5,7,11,13,17,19,23,29,31,37,41,43},0)),"소",
   AND(ISNUMBER(D242),MOD(D242,3)=0),"배",
   AND(ISNUMBER(D242),D242&gt;0),"자"
)</f>
        <v>0</v>
      </c>
      <c r="AF242" s="26" cm="1">
        <f t="array" ref="AF242">_xlfn.IFS(
   OR(E242="",ISBLANK(E242),E242=0),0,
   ISNUMBER(MATCH(E242,{2,3,5,7,11,13,17,19,23,29,31,37,41,43},0)),"소",
   AND(ISNUMBER(E242),MOD(E242,3)=0),"배",
   AND(ISNUMBER(E242),E242&gt;0),"자"
)</f>
        <v>0</v>
      </c>
      <c r="AG242" s="26" cm="1">
        <f t="array" ref="AG242">_xlfn.IFS(
   OR(F242="",ISBLANK(F242),F242=0),0,
   ISNUMBER(MATCH(F242,{2,3,5,7,11,13,17,19,23,29,31,37,41,43},0)),"소",
   AND(ISNUMBER(F242),MOD(F242,3)=0),"배",
   AND(ISNUMBER(F242),F242&gt;0),"자"
)</f>
        <v>0</v>
      </c>
      <c r="AH242" s="26" cm="1">
        <f t="array" ref="AH242">_xlfn.IFS(
   OR(G242="",ISBLANK(G242),G242=0),0,
   ISNUMBER(MATCH(G242,{2,3,5,7,11,13,17,19,23,29,31,37,41,43},0)),"소",
   AND(ISNUMBER(G242),MOD(G242,3)=0),"배",
   AND(ISNUMBER(G242),G242&gt;0),"자"
)</f>
        <v>0</v>
      </c>
      <c r="AI242" s="30"/>
      <c r="AJ242" s="3">
        <f>COUNTIFS(B242:G242,"&gt;=1",B242:G242,"&lt;=14")</f>
        <v>0</v>
      </c>
      <c r="AK242" s="3">
        <f>COUNTIFS(B242:G242,"&gt;=15",B242:G242,"&lt;=31")</f>
        <v>0</v>
      </c>
      <c r="AL242" s="3">
        <f>6-AK242-AJ242</f>
        <v>6</v>
      </c>
      <c r="AM242" s="33"/>
      <c r="AN242" s="3">
        <f>COUNTIFS($B242:$G242, "&gt;=1",$B242:$G242, "&lt;=9")</f>
        <v>0</v>
      </c>
      <c r="AO242" s="3">
        <f>COUNTIFS($B242:$G242, "&gt;=10",$B242:$G242, "&lt;=18")</f>
        <v>0</v>
      </c>
      <c r="AP242" s="3">
        <f>COUNTIFS($B242:$G242, "&gt;=19",$B242:$G242, "&lt;=27")</f>
        <v>0</v>
      </c>
      <c r="AQ242" s="3">
        <f>COUNTIFS($B242:$G242, "&gt;=28",$B242:$G242, "&lt;=36")</f>
        <v>0</v>
      </c>
      <c r="AR242" s="3">
        <f>COUNTIFS($B242:$G242, "&gt;=37",$B242:$G242, "&lt;=45")</f>
        <v>0</v>
      </c>
      <c r="AS242" s="28" t="e">
        <f>#REF!</f>
        <v>#REF!</v>
      </c>
      <c r="AT242" s="28" t="e">
        <f>#REF!*2</f>
        <v>#REF!</v>
      </c>
      <c r="AU242" s="28" t="e">
        <f>#REF!</f>
        <v>#REF!</v>
      </c>
      <c r="AV242" s="28" t="e">
        <f>#REF!*2</f>
        <v>#REF!</v>
      </c>
      <c r="AW242" s="28" t="e">
        <f>#REF!</f>
        <v>#REF!</v>
      </c>
      <c r="AX242" s="28" t="e">
        <f>#REF!*2</f>
        <v>#REF!</v>
      </c>
      <c r="AY242" s="28" t="e">
        <f>#REF!</f>
        <v>#REF!</v>
      </c>
      <c r="AZ242" s="28" t="e">
        <f>#REF!*2</f>
        <v>#REF!</v>
      </c>
      <c r="BA242" s="28" t="e">
        <f>#REF!</f>
        <v>#REF!</v>
      </c>
      <c r="BB242" s="28" t="e">
        <f>#REF!*2</f>
        <v>#REF!</v>
      </c>
      <c r="BC242" s="28" t="e">
        <f>#REF!</f>
        <v>#REF!</v>
      </c>
      <c r="BD242" s="28" t="e">
        <f>#REF!*2</f>
        <v>#REF!</v>
      </c>
      <c r="BE242" s="9" t="e">
        <f>#REF!-#REF!</f>
        <v>#REF!</v>
      </c>
      <c r="BF242" s="9" t="e">
        <f>#REF!-#REF!</f>
        <v>#REF!</v>
      </c>
      <c r="BG242" s="9" t="e">
        <f>#REF!-#REF!</f>
        <v>#REF!</v>
      </c>
      <c r="BH242" s="9" t="e">
        <f>#REF!-#REF!</f>
        <v>#REF!</v>
      </c>
      <c r="BI242" s="9" t="e">
        <f>#REF!-#REF!</f>
        <v>#REF!</v>
      </c>
      <c r="BJ242" s="33"/>
      <c r="BK242" s="3">
        <f>COUNTIFS(B242:G242, "&gt;=1", B242:G242, "&lt;=9")</f>
        <v>0</v>
      </c>
      <c r="BL242" s="3">
        <f>COUNTIFS(B242:G242, "&gt;=10", B242:G242, "&lt;=19")</f>
        <v>0</v>
      </c>
      <c r="BM242" s="3">
        <f>COUNTIFS(B242:G242, "&gt;=20", B242:G242, "&lt;=29")</f>
        <v>0</v>
      </c>
      <c r="BN242" s="3">
        <f>COUNTIFS(B242:G242, "&gt;=30", B242:G242, "&lt;=39")</f>
        <v>0</v>
      </c>
      <c r="BO242" s="3">
        <f>COUNTIFS(B242:G242, "&gt;=40", B242:G242, "&lt;=45")</f>
        <v>0</v>
      </c>
      <c r="BP242" s="28" t="e">
        <f>#REF!</f>
        <v>#REF!</v>
      </c>
      <c r="BQ242" s="28" t="e">
        <f>#REF!*2</f>
        <v>#REF!</v>
      </c>
      <c r="BR242" s="28" t="e">
        <f>#REF!</f>
        <v>#REF!</v>
      </c>
      <c r="BS242" s="28" t="e">
        <f>#REF!*2</f>
        <v>#REF!</v>
      </c>
      <c r="BT242" s="28" t="e">
        <f>#REF!</f>
        <v>#REF!</v>
      </c>
      <c r="BU242" s="28" t="e">
        <f>#REF!*2</f>
        <v>#REF!</v>
      </c>
      <c r="BV242" s="28" t="e">
        <f>#REF!</f>
        <v>#REF!</v>
      </c>
      <c r="BW242" s="28" t="e">
        <f>#REF!*2</f>
        <v>#REF!</v>
      </c>
      <c r="BX242" s="28" t="e">
        <f>#REF!</f>
        <v>#REF!</v>
      </c>
      <c r="BY242" s="28" t="e">
        <f>#REF!*2</f>
        <v>#REF!</v>
      </c>
      <c r="BZ242" s="28" t="e">
        <f>#REF!</f>
        <v>#REF!</v>
      </c>
      <c r="CA242" s="28" t="e">
        <f>#REF!*2</f>
        <v>#REF!</v>
      </c>
      <c r="CB242" s="9">
        <f>C242-B242</f>
        <v>0</v>
      </c>
      <c r="CC242" s="9">
        <f>D242-C242</f>
        <v>0</v>
      </c>
      <c r="CD242" s="9">
        <f>E242-D242</f>
        <v>0</v>
      </c>
      <c r="CE242" s="9">
        <f>F242-E242</f>
        <v>0</v>
      </c>
      <c r="CF242" s="9">
        <f>G242-F242</f>
        <v>0</v>
      </c>
      <c r="CG242" s="33"/>
      <c r="CH242" s="3">
        <f>C242-B242</f>
        <v>0</v>
      </c>
      <c r="CI242" s="3">
        <f>D242-C242</f>
        <v>0</v>
      </c>
      <c r="CJ242" s="3">
        <f>E242-D242</f>
        <v>0</v>
      </c>
      <c r="CK242" s="3">
        <f>F242-E242</f>
        <v>0</v>
      </c>
      <c r="CL242" s="3">
        <f>G242-F242</f>
        <v>0</v>
      </c>
      <c r="CM242" s="32"/>
      <c r="CN242" s="3">
        <f>IF(OR(CH242="",ISBLANK(CH242),CH242=0),0,IF(MOD(CH242,2)=1,1,2))</f>
        <v>0</v>
      </c>
      <c r="CO242" s="3">
        <f>IF(OR(CI242="",ISBLANK(CI242),CI242=0),0,IF(MOD(CI242,2)=1,1,2))</f>
        <v>0</v>
      </c>
      <c r="CP242" s="3">
        <f>IF(OR(CJ242="",ISBLANK(CJ242),CJ242=0),0,IF(MOD(CJ242,2)=1,1,2))</f>
        <v>0</v>
      </c>
      <c r="CQ242" s="3">
        <f>IF(OR(CK242="",ISBLANK(CK242),CK242=0),0,IF(MOD(CK242,2)=1,1,2))</f>
        <v>0</v>
      </c>
      <c r="CR242" s="3">
        <f>IF(OR(CL242="",ISBLANK(CL242),CL242=0),0,IF(MOD(CL242,2)=1,1,2))</f>
        <v>0</v>
      </c>
      <c r="CS242" s="31"/>
      <c r="CT242" s="3" cm="1">
        <f t="array" ref="CT242">SUMPRODUCT(--(MOD(CH242:CL242,2)=1))</f>
        <v>0</v>
      </c>
      <c r="CU242" s="3">
        <f>5-CT242</f>
        <v>5</v>
      </c>
      <c r="CV242" s="30"/>
      <c r="CW242" s="3" cm="1">
        <f t="array" ref="CW242">SUMPRODUCT(--(MOD(CH242:CL242,10)&gt;=1), --(MOD(CH242:CL242,10)&lt;=5))</f>
        <v>0</v>
      </c>
      <c r="CX242" s="3">
        <f>5-CW242</f>
        <v>5</v>
      </c>
      <c r="CY242" s="30"/>
      <c r="CZ242" s="3" cm="1">
        <f t="array" ref="CZ242">IFERROR(COUNT(_xlfn._xlws.FILTER(CH242:CL242, ISNUMBER(MATCH(CH242:CL242, {2,3,5,7,11,13,17,19,23,29,31,37,41,43}, 0)))), 0)</f>
        <v>0</v>
      </c>
      <c r="DA242" s="3" cm="1">
        <f t="array" ref="DA242">IFERROR(COUNT(_xlfn._xlws.FILTER(CH242:CL242, ISNUMBER(MATCH(CH242:CL242, {1,4,8,10,14,16,20,22,25,26,28,32,34,35,38,40,44}, 0)))), 0)</f>
        <v>0</v>
      </c>
      <c r="DB242" s="3" cm="1">
        <f t="array" ref="DB242">IFERROR(COUNT(_xlfn._xlws.FILTER(CH242:CL242, ISNUMBER(MATCH(CH242:CL242, {6,9,12,15,18,21,24,27,30,33,36,39,42,45}, 0)))), 0)</f>
        <v>0</v>
      </c>
      <c r="DC242" s="29"/>
      <c r="DD242" s="28" t="e">
        <f>#REF!</f>
        <v>#REF!</v>
      </c>
      <c r="DE242" s="28" t="e">
        <f>#REF!*2</f>
        <v>#REF!</v>
      </c>
      <c r="DF242" s="28" t="e">
        <f>#REF!</f>
        <v>#REF!</v>
      </c>
      <c r="DG242" s="28" t="e">
        <f>#REF!*2</f>
        <v>#REF!</v>
      </c>
      <c r="DH242" s="28" t="e">
        <f>#REF!</f>
        <v>#REF!</v>
      </c>
      <c r="DI242" s="28" t="e">
        <f>#REF!*2</f>
        <v>#REF!</v>
      </c>
      <c r="DJ242" s="28" t="e">
        <f>#REF!</f>
        <v>#REF!</v>
      </c>
      <c r="DK242" s="28" t="e">
        <f>#REF!*2</f>
        <v>#REF!</v>
      </c>
      <c r="DL242" s="28" t="e">
        <f>#REF!</f>
        <v>#REF!</v>
      </c>
      <c r="DM242" s="28" t="e">
        <f>#REF!*2</f>
        <v>#REF!</v>
      </c>
      <c r="DN242" s="27"/>
      <c r="DO242" s="26"/>
      <c r="DP242" s="26"/>
      <c r="DQ242" s="26"/>
      <c r="DR242" s="26"/>
      <c r="DS242" s="26"/>
      <c r="DT242" s="25"/>
    </row>
    <row r="243" spans="2:124" x14ac:dyDescent="0.3">
      <c r="B243" s="3">
        <v>0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2"/>
      <c r="I243" s="3">
        <f>IF(OR(B243="",ISBLANK(B243),B243=0),0,IF(MOD(B243,2)=1,1,2))</f>
        <v>0</v>
      </c>
      <c r="J243" s="3">
        <f>IF(OR(C243="",ISBLANK(C243),C243=0),0,IF(MOD(C243,2)=1,1,2))</f>
        <v>0</v>
      </c>
      <c r="K243" s="3">
        <f>IF(OR(D243="",ISBLANK(D243),D243=0),0,IF(MOD(D243,2)=1,1,2))</f>
        <v>0</v>
      </c>
      <c r="L243" s="3">
        <f>IF(OR(E243="",ISBLANK(E243),E243=0),0,IF(MOD(E243,2)=1,1,2))</f>
        <v>0</v>
      </c>
      <c r="M243" s="3">
        <f>IF(OR(F243="",ISBLANK(F243),F243=0),0,IF(MOD(F243,2)=1,1,2))</f>
        <v>0</v>
      </c>
      <c r="N243" s="3">
        <f>IF(OR(G243="",ISBLANK(G243),G243=0),0,IF(MOD(G243,2)=1,1,2))</f>
        <v>0</v>
      </c>
      <c r="O243" s="32"/>
      <c r="P243" s="3" cm="1">
        <f t="array" ref="P243">SUMPRODUCT(--(MOD(B243:G243,2)=1))</f>
        <v>0</v>
      </c>
      <c r="Q243" s="3">
        <f>6-P243</f>
        <v>6</v>
      </c>
      <c r="R243" s="34"/>
      <c r="S243" s="3">
        <f>COUNTIFS(B243:G243,"&gt;=1",B243:G243,"&lt;=23")</f>
        <v>0</v>
      </c>
      <c r="T243" s="3">
        <f>6-S243</f>
        <v>6</v>
      </c>
      <c r="U243" s="34"/>
      <c r="V243" s="3" cm="1">
        <f t="array" ref="V243">SUMPRODUCT(--(MOD(B243:G243,10)&gt;=1), --(MOD(B243:G243,10)&lt;=5))</f>
        <v>0</v>
      </c>
      <c r="W243" s="3">
        <f>6-V243</f>
        <v>6</v>
      </c>
      <c r="X243" s="34"/>
      <c r="Y243" s="3" cm="1">
        <f t="array" ref="Y243">IFERROR(COUNT(_xlfn._xlws.FILTER(B243:G243, ISNUMBER(MATCH(B243:G243, {2,3,5,7,11,13,17,19,23,29,31,37,41,43}, 0)))), 0)</f>
        <v>0</v>
      </c>
      <c r="Z243" s="3" cm="1">
        <f t="array" ref="Z243">IFERROR(COUNT(_xlfn._xlws.FILTER(B243:G243, ISNUMBER(MATCH(B243:G243, {1,4,8,10,14,16,20,22,25,26,28,32,34,35,38,40,44}, 0)))), 0)</f>
        <v>0</v>
      </c>
      <c r="AA243" s="3" cm="1">
        <f t="array" ref="AA243">IFERROR(COUNT(_xlfn._xlws.FILTER(B243:G243, ISNUMBER(MATCH(B243:G243, {6,9,12,15,18,21,24,27,30,33,36,39,42,45}, 0)))), 0)</f>
        <v>0</v>
      </c>
      <c r="AB243" s="30"/>
      <c r="AC243" s="26" cm="1">
        <f t="array" ref="AC243">_xlfn.IFS(
   OR(B243="",ISBLANK(B243),B243=0),0,
   ISNUMBER(MATCH(B243,{2,3,5,7,11,13,17,19,23,29,31,37,41,43},0)),"소",
   AND(ISNUMBER(B243),MOD(B243,3)=0),"배",
   AND(ISNUMBER(B243),B243&gt;0),"자"
)</f>
        <v>0</v>
      </c>
      <c r="AD243" s="26" cm="1">
        <f t="array" ref="AD243">_xlfn.IFS(
   OR(C243="",ISBLANK(C243),C243=0),0,
   ISNUMBER(MATCH(C243,{2,3,5,7,11,13,17,19,23,29,31,37,41,43},0)),"소",
   AND(ISNUMBER(C243),MOD(C243,3)=0),"배",
   AND(ISNUMBER(C243),C243&gt;0),"자"
)</f>
        <v>0</v>
      </c>
      <c r="AE243" s="26" cm="1">
        <f t="array" ref="AE243">_xlfn.IFS(
   OR(D243="",ISBLANK(D243),D243=0),0,
   ISNUMBER(MATCH(D243,{2,3,5,7,11,13,17,19,23,29,31,37,41,43},0)),"소",
   AND(ISNUMBER(D243),MOD(D243,3)=0),"배",
   AND(ISNUMBER(D243),D243&gt;0),"자"
)</f>
        <v>0</v>
      </c>
      <c r="AF243" s="26" cm="1">
        <f t="array" ref="AF243">_xlfn.IFS(
   OR(E243="",ISBLANK(E243),E243=0),0,
   ISNUMBER(MATCH(E243,{2,3,5,7,11,13,17,19,23,29,31,37,41,43},0)),"소",
   AND(ISNUMBER(E243),MOD(E243,3)=0),"배",
   AND(ISNUMBER(E243),E243&gt;0),"자"
)</f>
        <v>0</v>
      </c>
      <c r="AG243" s="26" cm="1">
        <f t="array" ref="AG243">_xlfn.IFS(
   OR(F243="",ISBLANK(F243),F243=0),0,
   ISNUMBER(MATCH(F243,{2,3,5,7,11,13,17,19,23,29,31,37,41,43},0)),"소",
   AND(ISNUMBER(F243),MOD(F243,3)=0),"배",
   AND(ISNUMBER(F243),F243&gt;0),"자"
)</f>
        <v>0</v>
      </c>
      <c r="AH243" s="26" cm="1">
        <f t="array" ref="AH243">_xlfn.IFS(
   OR(G243="",ISBLANK(G243),G243=0),0,
   ISNUMBER(MATCH(G243,{2,3,5,7,11,13,17,19,23,29,31,37,41,43},0)),"소",
   AND(ISNUMBER(G243),MOD(G243,3)=0),"배",
   AND(ISNUMBER(G243),G243&gt;0),"자"
)</f>
        <v>0</v>
      </c>
      <c r="AI243" s="30"/>
      <c r="AJ243" s="3">
        <f>COUNTIFS(B243:G243,"&gt;=1",B243:G243,"&lt;=14")</f>
        <v>0</v>
      </c>
      <c r="AK243" s="3">
        <f>COUNTIFS(B243:G243,"&gt;=15",B243:G243,"&lt;=31")</f>
        <v>0</v>
      </c>
      <c r="AL243" s="3">
        <f>6-AK243-AJ243</f>
        <v>6</v>
      </c>
      <c r="AM243" s="33"/>
      <c r="AN243" s="3">
        <f>COUNTIFS($B243:$G243, "&gt;=1",$B243:$G243, "&lt;=9")</f>
        <v>0</v>
      </c>
      <c r="AO243" s="3">
        <f>COUNTIFS($B243:$G243, "&gt;=10",$B243:$G243, "&lt;=18")</f>
        <v>0</v>
      </c>
      <c r="AP243" s="3">
        <f>COUNTIFS($B243:$G243, "&gt;=19",$B243:$G243, "&lt;=27")</f>
        <v>0</v>
      </c>
      <c r="AQ243" s="3">
        <f>COUNTIFS($B243:$G243, "&gt;=28",$B243:$G243, "&lt;=36")</f>
        <v>0</v>
      </c>
      <c r="AR243" s="3">
        <f>COUNTIFS($B243:$G243, "&gt;=37",$B243:$G243, "&lt;=45")</f>
        <v>0</v>
      </c>
      <c r="AS243" s="28" t="e">
        <f>#REF!</f>
        <v>#REF!</v>
      </c>
      <c r="AT243" s="28" t="e">
        <f>#REF!*2</f>
        <v>#REF!</v>
      </c>
      <c r="AU243" s="28" t="e">
        <f>#REF!</f>
        <v>#REF!</v>
      </c>
      <c r="AV243" s="28" t="e">
        <f>#REF!*2</f>
        <v>#REF!</v>
      </c>
      <c r="AW243" s="28" t="e">
        <f>#REF!</f>
        <v>#REF!</v>
      </c>
      <c r="AX243" s="28" t="e">
        <f>#REF!*2</f>
        <v>#REF!</v>
      </c>
      <c r="AY243" s="28" t="e">
        <f>#REF!</f>
        <v>#REF!</v>
      </c>
      <c r="AZ243" s="28" t="e">
        <f>#REF!*2</f>
        <v>#REF!</v>
      </c>
      <c r="BA243" s="28" t="e">
        <f>#REF!</f>
        <v>#REF!</v>
      </c>
      <c r="BB243" s="28" t="e">
        <f>#REF!*2</f>
        <v>#REF!</v>
      </c>
      <c r="BC243" s="28" t="e">
        <f>#REF!</f>
        <v>#REF!</v>
      </c>
      <c r="BD243" s="28" t="e">
        <f>#REF!*2</f>
        <v>#REF!</v>
      </c>
      <c r="BE243" s="9" t="e">
        <f>#REF!-#REF!</f>
        <v>#REF!</v>
      </c>
      <c r="BF243" s="9" t="e">
        <f>#REF!-#REF!</f>
        <v>#REF!</v>
      </c>
      <c r="BG243" s="9" t="e">
        <f>#REF!-#REF!</f>
        <v>#REF!</v>
      </c>
      <c r="BH243" s="9" t="e">
        <f>#REF!-#REF!</f>
        <v>#REF!</v>
      </c>
      <c r="BI243" s="9" t="e">
        <f>#REF!-#REF!</f>
        <v>#REF!</v>
      </c>
      <c r="BJ243" s="33"/>
      <c r="BK243" s="3">
        <f>COUNTIFS(B243:G243, "&gt;=1", B243:G243, "&lt;=9")</f>
        <v>0</v>
      </c>
      <c r="BL243" s="3">
        <f>COUNTIFS(B243:G243, "&gt;=10", B243:G243, "&lt;=19")</f>
        <v>0</v>
      </c>
      <c r="BM243" s="3">
        <f>COUNTIFS(B243:G243, "&gt;=20", B243:G243, "&lt;=29")</f>
        <v>0</v>
      </c>
      <c r="BN243" s="3">
        <f>COUNTIFS(B243:G243, "&gt;=30", B243:G243, "&lt;=39")</f>
        <v>0</v>
      </c>
      <c r="BO243" s="3">
        <f>COUNTIFS(B243:G243, "&gt;=40", B243:G243, "&lt;=45")</f>
        <v>0</v>
      </c>
      <c r="BP243" s="28" t="e">
        <f>#REF!</f>
        <v>#REF!</v>
      </c>
      <c r="BQ243" s="28" t="e">
        <f>#REF!*2</f>
        <v>#REF!</v>
      </c>
      <c r="BR243" s="28" t="e">
        <f>#REF!</f>
        <v>#REF!</v>
      </c>
      <c r="BS243" s="28" t="e">
        <f>#REF!*2</f>
        <v>#REF!</v>
      </c>
      <c r="BT243" s="28" t="e">
        <f>#REF!</f>
        <v>#REF!</v>
      </c>
      <c r="BU243" s="28" t="e">
        <f>#REF!*2</f>
        <v>#REF!</v>
      </c>
      <c r="BV243" s="28" t="e">
        <f>#REF!</f>
        <v>#REF!</v>
      </c>
      <c r="BW243" s="28" t="e">
        <f>#REF!*2</f>
        <v>#REF!</v>
      </c>
      <c r="BX243" s="28" t="e">
        <f>#REF!</f>
        <v>#REF!</v>
      </c>
      <c r="BY243" s="28" t="e">
        <f>#REF!*2</f>
        <v>#REF!</v>
      </c>
      <c r="BZ243" s="28" t="e">
        <f>#REF!</f>
        <v>#REF!</v>
      </c>
      <c r="CA243" s="28" t="e">
        <f>#REF!*2</f>
        <v>#REF!</v>
      </c>
      <c r="CB243" s="9">
        <f>C243-B243</f>
        <v>0</v>
      </c>
      <c r="CC243" s="9">
        <f>D243-C243</f>
        <v>0</v>
      </c>
      <c r="CD243" s="9">
        <f>E243-D243</f>
        <v>0</v>
      </c>
      <c r="CE243" s="9">
        <f>F243-E243</f>
        <v>0</v>
      </c>
      <c r="CF243" s="9">
        <f>G243-F243</f>
        <v>0</v>
      </c>
      <c r="CG243" s="33"/>
      <c r="CH243" s="3">
        <f>C243-B243</f>
        <v>0</v>
      </c>
      <c r="CI243" s="3">
        <f>D243-C243</f>
        <v>0</v>
      </c>
      <c r="CJ243" s="3">
        <f>E243-D243</f>
        <v>0</v>
      </c>
      <c r="CK243" s="3">
        <f>F243-E243</f>
        <v>0</v>
      </c>
      <c r="CL243" s="3">
        <f>G243-F243</f>
        <v>0</v>
      </c>
      <c r="CM243" s="32"/>
      <c r="CN243" s="3">
        <f>IF(OR(CH243="",ISBLANK(CH243),CH243=0),0,IF(MOD(CH243,2)=1,1,2))</f>
        <v>0</v>
      </c>
      <c r="CO243" s="3">
        <f>IF(OR(CI243="",ISBLANK(CI243),CI243=0),0,IF(MOD(CI243,2)=1,1,2))</f>
        <v>0</v>
      </c>
      <c r="CP243" s="3">
        <f>IF(OR(CJ243="",ISBLANK(CJ243),CJ243=0),0,IF(MOD(CJ243,2)=1,1,2))</f>
        <v>0</v>
      </c>
      <c r="CQ243" s="3">
        <f>IF(OR(CK243="",ISBLANK(CK243),CK243=0),0,IF(MOD(CK243,2)=1,1,2))</f>
        <v>0</v>
      </c>
      <c r="CR243" s="3">
        <f>IF(OR(CL243="",ISBLANK(CL243),CL243=0),0,IF(MOD(CL243,2)=1,1,2))</f>
        <v>0</v>
      </c>
      <c r="CS243" s="31"/>
      <c r="CT243" s="3" cm="1">
        <f t="array" ref="CT243">SUMPRODUCT(--(MOD(CH243:CL243,2)=1))</f>
        <v>0</v>
      </c>
      <c r="CU243" s="3">
        <f>5-CT243</f>
        <v>5</v>
      </c>
      <c r="CV243" s="30"/>
      <c r="CW243" s="3" cm="1">
        <f t="array" ref="CW243">SUMPRODUCT(--(MOD(CH243:CL243,10)&gt;=1), --(MOD(CH243:CL243,10)&lt;=5))</f>
        <v>0</v>
      </c>
      <c r="CX243" s="3">
        <f>5-CW243</f>
        <v>5</v>
      </c>
      <c r="CY243" s="30"/>
      <c r="CZ243" s="3" cm="1">
        <f t="array" ref="CZ243">IFERROR(COUNT(_xlfn._xlws.FILTER(CH243:CL243, ISNUMBER(MATCH(CH243:CL243, {2,3,5,7,11,13,17,19,23,29,31,37,41,43}, 0)))), 0)</f>
        <v>0</v>
      </c>
      <c r="DA243" s="3" cm="1">
        <f t="array" ref="DA243">IFERROR(COUNT(_xlfn._xlws.FILTER(CH243:CL243, ISNUMBER(MATCH(CH243:CL243, {1,4,8,10,14,16,20,22,25,26,28,32,34,35,38,40,44}, 0)))), 0)</f>
        <v>0</v>
      </c>
      <c r="DB243" s="3" cm="1">
        <f t="array" ref="DB243">IFERROR(COUNT(_xlfn._xlws.FILTER(CH243:CL243, ISNUMBER(MATCH(CH243:CL243, {6,9,12,15,18,21,24,27,30,33,36,39,42,45}, 0)))), 0)</f>
        <v>0</v>
      </c>
      <c r="DC243" s="29"/>
      <c r="DD243" s="28" t="e">
        <f>#REF!</f>
        <v>#REF!</v>
      </c>
      <c r="DE243" s="28" t="e">
        <f>#REF!*2</f>
        <v>#REF!</v>
      </c>
      <c r="DF243" s="28" t="e">
        <f>#REF!</f>
        <v>#REF!</v>
      </c>
      <c r="DG243" s="28" t="e">
        <f>#REF!*2</f>
        <v>#REF!</v>
      </c>
      <c r="DH243" s="28" t="e">
        <f>#REF!</f>
        <v>#REF!</v>
      </c>
      <c r="DI243" s="28" t="e">
        <f>#REF!*2</f>
        <v>#REF!</v>
      </c>
      <c r="DJ243" s="28" t="e">
        <f>#REF!</f>
        <v>#REF!</v>
      </c>
      <c r="DK243" s="28" t="e">
        <f>#REF!*2</f>
        <v>#REF!</v>
      </c>
      <c r="DL243" s="28" t="e">
        <f>#REF!</f>
        <v>#REF!</v>
      </c>
      <c r="DM243" s="28" t="e">
        <f>#REF!*2</f>
        <v>#REF!</v>
      </c>
      <c r="DN243" s="27"/>
      <c r="DO243" s="26"/>
      <c r="DP243" s="26"/>
      <c r="DQ243" s="26"/>
      <c r="DR243" s="26"/>
      <c r="DS243" s="26"/>
      <c r="DT243" s="25"/>
    </row>
    <row r="244" spans="2:124" x14ac:dyDescent="0.3"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2"/>
      <c r="I244" s="3">
        <f>IF(OR(B244="",ISBLANK(B244),B244=0),0,IF(MOD(B244,2)=1,1,2))</f>
        <v>0</v>
      </c>
      <c r="J244" s="3">
        <f>IF(OR(C244="",ISBLANK(C244),C244=0),0,IF(MOD(C244,2)=1,1,2))</f>
        <v>0</v>
      </c>
      <c r="K244" s="3">
        <f>IF(OR(D244="",ISBLANK(D244),D244=0),0,IF(MOD(D244,2)=1,1,2))</f>
        <v>0</v>
      </c>
      <c r="L244" s="3">
        <f>IF(OR(E244="",ISBLANK(E244),E244=0),0,IF(MOD(E244,2)=1,1,2))</f>
        <v>0</v>
      </c>
      <c r="M244" s="3">
        <f>IF(OR(F244="",ISBLANK(F244),F244=0),0,IF(MOD(F244,2)=1,1,2))</f>
        <v>0</v>
      </c>
      <c r="N244" s="3">
        <f>IF(OR(G244="",ISBLANK(G244),G244=0),0,IF(MOD(G244,2)=1,1,2))</f>
        <v>0</v>
      </c>
      <c r="O244" s="32"/>
      <c r="P244" s="3" cm="1">
        <f t="array" ref="P244">SUMPRODUCT(--(MOD(B244:G244,2)=1))</f>
        <v>0</v>
      </c>
      <c r="Q244" s="3">
        <f>6-P244</f>
        <v>6</v>
      </c>
      <c r="R244" s="34"/>
      <c r="S244" s="3">
        <f>COUNTIFS(B244:G244,"&gt;=1",B244:G244,"&lt;=23")</f>
        <v>0</v>
      </c>
      <c r="T244" s="3">
        <f>6-S244</f>
        <v>6</v>
      </c>
      <c r="U244" s="34"/>
      <c r="V244" s="3" cm="1">
        <f t="array" ref="V244">SUMPRODUCT(--(MOD(B244:G244,10)&gt;=1), --(MOD(B244:G244,10)&lt;=5))</f>
        <v>0</v>
      </c>
      <c r="W244" s="3">
        <f>6-V244</f>
        <v>6</v>
      </c>
      <c r="X244" s="34"/>
      <c r="Y244" s="3" cm="1">
        <f t="array" ref="Y244">IFERROR(COUNT(_xlfn._xlws.FILTER(B244:G244, ISNUMBER(MATCH(B244:G244, {2,3,5,7,11,13,17,19,23,29,31,37,41,43}, 0)))), 0)</f>
        <v>0</v>
      </c>
      <c r="Z244" s="3" cm="1">
        <f t="array" ref="Z244">IFERROR(COUNT(_xlfn._xlws.FILTER(B244:G244, ISNUMBER(MATCH(B244:G244, {1,4,8,10,14,16,20,22,25,26,28,32,34,35,38,40,44}, 0)))), 0)</f>
        <v>0</v>
      </c>
      <c r="AA244" s="3" cm="1">
        <f t="array" ref="AA244">IFERROR(COUNT(_xlfn._xlws.FILTER(B244:G244, ISNUMBER(MATCH(B244:G244, {6,9,12,15,18,21,24,27,30,33,36,39,42,45}, 0)))), 0)</f>
        <v>0</v>
      </c>
      <c r="AB244" s="30"/>
      <c r="AC244" s="26" cm="1">
        <f t="array" ref="AC244">_xlfn.IFS(
   OR(B244="",ISBLANK(B244),B244=0),0,
   ISNUMBER(MATCH(B244,{2,3,5,7,11,13,17,19,23,29,31,37,41,43},0)),"소",
   AND(ISNUMBER(B244),MOD(B244,3)=0),"배",
   AND(ISNUMBER(B244),B244&gt;0),"자"
)</f>
        <v>0</v>
      </c>
      <c r="AD244" s="26" cm="1">
        <f t="array" ref="AD244">_xlfn.IFS(
   OR(C244="",ISBLANK(C244),C244=0),0,
   ISNUMBER(MATCH(C244,{2,3,5,7,11,13,17,19,23,29,31,37,41,43},0)),"소",
   AND(ISNUMBER(C244),MOD(C244,3)=0),"배",
   AND(ISNUMBER(C244),C244&gt;0),"자"
)</f>
        <v>0</v>
      </c>
      <c r="AE244" s="26" cm="1">
        <f t="array" ref="AE244">_xlfn.IFS(
   OR(D244="",ISBLANK(D244),D244=0),0,
   ISNUMBER(MATCH(D244,{2,3,5,7,11,13,17,19,23,29,31,37,41,43},0)),"소",
   AND(ISNUMBER(D244),MOD(D244,3)=0),"배",
   AND(ISNUMBER(D244),D244&gt;0),"자"
)</f>
        <v>0</v>
      </c>
      <c r="AF244" s="26" cm="1">
        <f t="array" ref="AF244">_xlfn.IFS(
   OR(E244="",ISBLANK(E244),E244=0),0,
   ISNUMBER(MATCH(E244,{2,3,5,7,11,13,17,19,23,29,31,37,41,43},0)),"소",
   AND(ISNUMBER(E244),MOD(E244,3)=0),"배",
   AND(ISNUMBER(E244),E244&gt;0),"자"
)</f>
        <v>0</v>
      </c>
      <c r="AG244" s="26" cm="1">
        <f t="array" ref="AG244">_xlfn.IFS(
   OR(F244="",ISBLANK(F244),F244=0),0,
   ISNUMBER(MATCH(F244,{2,3,5,7,11,13,17,19,23,29,31,37,41,43},0)),"소",
   AND(ISNUMBER(F244),MOD(F244,3)=0),"배",
   AND(ISNUMBER(F244),F244&gt;0),"자"
)</f>
        <v>0</v>
      </c>
      <c r="AH244" s="26" cm="1">
        <f t="array" ref="AH244">_xlfn.IFS(
   OR(G244="",ISBLANK(G244),G244=0),0,
   ISNUMBER(MATCH(G244,{2,3,5,7,11,13,17,19,23,29,31,37,41,43},0)),"소",
   AND(ISNUMBER(G244),MOD(G244,3)=0),"배",
   AND(ISNUMBER(G244),G244&gt;0),"자"
)</f>
        <v>0</v>
      </c>
      <c r="AI244" s="30"/>
      <c r="AJ244" s="3">
        <f>COUNTIFS(B244:G244,"&gt;=1",B244:G244,"&lt;=14")</f>
        <v>0</v>
      </c>
      <c r="AK244" s="3">
        <f>COUNTIFS(B244:G244,"&gt;=15",B244:G244,"&lt;=31")</f>
        <v>0</v>
      </c>
      <c r="AL244" s="3">
        <f>6-AK244-AJ244</f>
        <v>6</v>
      </c>
      <c r="AM244" s="33"/>
      <c r="AN244" s="3">
        <f>COUNTIFS($B244:$G244, "&gt;=1",$B244:$G244, "&lt;=9")</f>
        <v>0</v>
      </c>
      <c r="AO244" s="3">
        <f>COUNTIFS($B244:$G244, "&gt;=10",$B244:$G244, "&lt;=18")</f>
        <v>0</v>
      </c>
      <c r="AP244" s="3">
        <f>COUNTIFS($B244:$G244, "&gt;=19",$B244:$G244, "&lt;=27")</f>
        <v>0</v>
      </c>
      <c r="AQ244" s="3">
        <f>COUNTIFS($B244:$G244, "&gt;=28",$B244:$G244, "&lt;=36")</f>
        <v>0</v>
      </c>
      <c r="AR244" s="3">
        <f>COUNTIFS($B244:$G244, "&gt;=37",$B244:$G244, "&lt;=45")</f>
        <v>0</v>
      </c>
      <c r="AS244" s="28" t="e">
        <f>#REF!</f>
        <v>#REF!</v>
      </c>
      <c r="AT244" s="28" t="e">
        <f>#REF!*2</f>
        <v>#REF!</v>
      </c>
      <c r="AU244" s="28" t="e">
        <f>#REF!</f>
        <v>#REF!</v>
      </c>
      <c r="AV244" s="28" t="e">
        <f>#REF!*2</f>
        <v>#REF!</v>
      </c>
      <c r="AW244" s="28" t="e">
        <f>#REF!</f>
        <v>#REF!</v>
      </c>
      <c r="AX244" s="28" t="e">
        <f>#REF!*2</f>
        <v>#REF!</v>
      </c>
      <c r="AY244" s="28" t="e">
        <f>#REF!</f>
        <v>#REF!</v>
      </c>
      <c r="AZ244" s="28" t="e">
        <f>#REF!*2</f>
        <v>#REF!</v>
      </c>
      <c r="BA244" s="28" t="e">
        <f>#REF!</f>
        <v>#REF!</v>
      </c>
      <c r="BB244" s="28" t="e">
        <f>#REF!*2</f>
        <v>#REF!</v>
      </c>
      <c r="BC244" s="28" t="e">
        <f>#REF!</f>
        <v>#REF!</v>
      </c>
      <c r="BD244" s="28" t="e">
        <f>#REF!*2</f>
        <v>#REF!</v>
      </c>
      <c r="BE244" s="9" t="e">
        <f>#REF!-#REF!</f>
        <v>#REF!</v>
      </c>
      <c r="BF244" s="9" t="e">
        <f>#REF!-#REF!</f>
        <v>#REF!</v>
      </c>
      <c r="BG244" s="9" t="e">
        <f>#REF!-#REF!</f>
        <v>#REF!</v>
      </c>
      <c r="BH244" s="9" t="e">
        <f>#REF!-#REF!</f>
        <v>#REF!</v>
      </c>
      <c r="BI244" s="9" t="e">
        <f>#REF!-#REF!</f>
        <v>#REF!</v>
      </c>
      <c r="BJ244" s="33"/>
      <c r="BK244" s="3">
        <f>COUNTIFS(B244:G244, "&gt;=1", B244:G244, "&lt;=9")</f>
        <v>0</v>
      </c>
      <c r="BL244" s="3">
        <f>COUNTIFS(B244:G244, "&gt;=10", B244:G244, "&lt;=19")</f>
        <v>0</v>
      </c>
      <c r="BM244" s="3">
        <f>COUNTIFS(B244:G244, "&gt;=20", B244:G244, "&lt;=29")</f>
        <v>0</v>
      </c>
      <c r="BN244" s="3">
        <f>COUNTIFS(B244:G244, "&gt;=30", B244:G244, "&lt;=39")</f>
        <v>0</v>
      </c>
      <c r="BO244" s="3">
        <f>COUNTIFS(B244:G244, "&gt;=40", B244:G244, "&lt;=45")</f>
        <v>0</v>
      </c>
      <c r="BP244" s="28" t="e">
        <f>#REF!</f>
        <v>#REF!</v>
      </c>
      <c r="BQ244" s="28" t="e">
        <f>#REF!*2</f>
        <v>#REF!</v>
      </c>
      <c r="BR244" s="28" t="e">
        <f>#REF!</f>
        <v>#REF!</v>
      </c>
      <c r="BS244" s="28" t="e">
        <f>#REF!*2</f>
        <v>#REF!</v>
      </c>
      <c r="BT244" s="28" t="e">
        <f>#REF!</f>
        <v>#REF!</v>
      </c>
      <c r="BU244" s="28" t="e">
        <f>#REF!*2</f>
        <v>#REF!</v>
      </c>
      <c r="BV244" s="28" t="e">
        <f>#REF!</f>
        <v>#REF!</v>
      </c>
      <c r="BW244" s="28" t="e">
        <f>#REF!*2</f>
        <v>#REF!</v>
      </c>
      <c r="BX244" s="28" t="e">
        <f>#REF!</f>
        <v>#REF!</v>
      </c>
      <c r="BY244" s="28" t="e">
        <f>#REF!*2</f>
        <v>#REF!</v>
      </c>
      <c r="BZ244" s="28" t="e">
        <f>#REF!</f>
        <v>#REF!</v>
      </c>
      <c r="CA244" s="28" t="e">
        <f>#REF!*2</f>
        <v>#REF!</v>
      </c>
      <c r="CB244" s="9">
        <f>C244-B244</f>
        <v>0</v>
      </c>
      <c r="CC244" s="9">
        <f>D244-C244</f>
        <v>0</v>
      </c>
      <c r="CD244" s="9">
        <f>E244-D244</f>
        <v>0</v>
      </c>
      <c r="CE244" s="9">
        <f>F244-E244</f>
        <v>0</v>
      </c>
      <c r="CF244" s="9">
        <f>G244-F244</f>
        <v>0</v>
      </c>
      <c r="CG244" s="33"/>
      <c r="CH244" s="3">
        <f>C244-B244</f>
        <v>0</v>
      </c>
      <c r="CI244" s="3">
        <f>D244-C244</f>
        <v>0</v>
      </c>
      <c r="CJ244" s="3">
        <f>E244-D244</f>
        <v>0</v>
      </c>
      <c r="CK244" s="3">
        <f>F244-E244</f>
        <v>0</v>
      </c>
      <c r="CL244" s="3">
        <f>G244-F244</f>
        <v>0</v>
      </c>
      <c r="CM244" s="32"/>
      <c r="CN244" s="3">
        <f>IF(OR(CH244="",ISBLANK(CH244),CH244=0),0,IF(MOD(CH244,2)=1,1,2))</f>
        <v>0</v>
      </c>
      <c r="CO244" s="3">
        <f>IF(OR(CI244="",ISBLANK(CI244),CI244=0),0,IF(MOD(CI244,2)=1,1,2))</f>
        <v>0</v>
      </c>
      <c r="CP244" s="3">
        <f>IF(OR(CJ244="",ISBLANK(CJ244),CJ244=0),0,IF(MOD(CJ244,2)=1,1,2))</f>
        <v>0</v>
      </c>
      <c r="CQ244" s="3">
        <f>IF(OR(CK244="",ISBLANK(CK244),CK244=0),0,IF(MOD(CK244,2)=1,1,2))</f>
        <v>0</v>
      </c>
      <c r="CR244" s="3">
        <f>IF(OR(CL244="",ISBLANK(CL244),CL244=0),0,IF(MOD(CL244,2)=1,1,2))</f>
        <v>0</v>
      </c>
      <c r="CS244" s="31"/>
      <c r="CT244" s="3" cm="1">
        <f t="array" ref="CT244">SUMPRODUCT(--(MOD(CH244:CL244,2)=1))</f>
        <v>0</v>
      </c>
      <c r="CU244" s="3">
        <f>5-CT244</f>
        <v>5</v>
      </c>
      <c r="CV244" s="30"/>
      <c r="CW244" s="3" cm="1">
        <f t="array" ref="CW244">SUMPRODUCT(--(MOD(CH244:CL244,10)&gt;=1), --(MOD(CH244:CL244,10)&lt;=5))</f>
        <v>0</v>
      </c>
      <c r="CX244" s="3">
        <f>5-CW244</f>
        <v>5</v>
      </c>
      <c r="CY244" s="30"/>
      <c r="CZ244" s="3" cm="1">
        <f t="array" ref="CZ244">IFERROR(COUNT(_xlfn._xlws.FILTER(CH244:CL244, ISNUMBER(MATCH(CH244:CL244, {2,3,5,7,11,13,17,19,23,29,31,37,41,43}, 0)))), 0)</f>
        <v>0</v>
      </c>
      <c r="DA244" s="3" cm="1">
        <f t="array" ref="DA244">IFERROR(COUNT(_xlfn._xlws.FILTER(CH244:CL244, ISNUMBER(MATCH(CH244:CL244, {1,4,8,10,14,16,20,22,25,26,28,32,34,35,38,40,44}, 0)))), 0)</f>
        <v>0</v>
      </c>
      <c r="DB244" s="3" cm="1">
        <f t="array" ref="DB244">IFERROR(COUNT(_xlfn._xlws.FILTER(CH244:CL244, ISNUMBER(MATCH(CH244:CL244, {6,9,12,15,18,21,24,27,30,33,36,39,42,45}, 0)))), 0)</f>
        <v>0</v>
      </c>
      <c r="DC244" s="29"/>
      <c r="DD244" s="28" t="e">
        <f>#REF!</f>
        <v>#REF!</v>
      </c>
      <c r="DE244" s="28" t="e">
        <f>#REF!*2</f>
        <v>#REF!</v>
      </c>
      <c r="DF244" s="28" t="e">
        <f>#REF!</f>
        <v>#REF!</v>
      </c>
      <c r="DG244" s="28" t="e">
        <f>#REF!*2</f>
        <v>#REF!</v>
      </c>
      <c r="DH244" s="28" t="e">
        <f>#REF!</f>
        <v>#REF!</v>
      </c>
      <c r="DI244" s="28" t="e">
        <f>#REF!*2</f>
        <v>#REF!</v>
      </c>
      <c r="DJ244" s="28" t="e">
        <f>#REF!</f>
        <v>#REF!</v>
      </c>
      <c r="DK244" s="28" t="e">
        <f>#REF!*2</f>
        <v>#REF!</v>
      </c>
      <c r="DL244" s="28" t="e">
        <f>#REF!</f>
        <v>#REF!</v>
      </c>
      <c r="DM244" s="28" t="e">
        <f>#REF!*2</f>
        <v>#REF!</v>
      </c>
      <c r="DN244" s="27"/>
      <c r="DO244" s="26"/>
      <c r="DP244" s="26"/>
      <c r="DQ244" s="26"/>
      <c r="DR244" s="26"/>
      <c r="DS244" s="26"/>
      <c r="DT244" s="25"/>
    </row>
    <row r="245" spans="2:124" x14ac:dyDescent="0.3">
      <c r="B245" s="3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2"/>
      <c r="I245" s="3">
        <f>IF(OR(B245="",ISBLANK(B245),B245=0),0,IF(MOD(B245,2)=1,1,2))</f>
        <v>0</v>
      </c>
      <c r="J245" s="3">
        <f>IF(OR(C245="",ISBLANK(C245),C245=0),0,IF(MOD(C245,2)=1,1,2))</f>
        <v>0</v>
      </c>
      <c r="K245" s="3">
        <f>IF(OR(D245="",ISBLANK(D245),D245=0),0,IF(MOD(D245,2)=1,1,2))</f>
        <v>0</v>
      </c>
      <c r="L245" s="3">
        <f>IF(OR(E245="",ISBLANK(E245),E245=0),0,IF(MOD(E245,2)=1,1,2))</f>
        <v>0</v>
      </c>
      <c r="M245" s="3">
        <f>IF(OR(F245="",ISBLANK(F245),F245=0),0,IF(MOD(F245,2)=1,1,2))</f>
        <v>0</v>
      </c>
      <c r="N245" s="3">
        <f>IF(OR(G245="",ISBLANK(G245),G245=0),0,IF(MOD(G245,2)=1,1,2))</f>
        <v>0</v>
      </c>
      <c r="O245" s="32"/>
      <c r="P245" s="3" cm="1">
        <f t="array" ref="P245">SUMPRODUCT(--(MOD(B245:G245,2)=1))</f>
        <v>0</v>
      </c>
      <c r="Q245" s="3">
        <f>6-P245</f>
        <v>6</v>
      </c>
      <c r="R245" s="34"/>
      <c r="S245" s="3">
        <f>COUNTIFS(B245:G245,"&gt;=1",B245:G245,"&lt;=23")</f>
        <v>0</v>
      </c>
      <c r="T245" s="3">
        <f>6-S245</f>
        <v>6</v>
      </c>
      <c r="U245" s="34"/>
      <c r="V245" s="3" cm="1">
        <f t="array" ref="V245">SUMPRODUCT(--(MOD(B245:G245,10)&gt;=1), --(MOD(B245:G245,10)&lt;=5))</f>
        <v>0</v>
      </c>
      <c r="W245" s="3">
        <f>6-V245</f>
        <v>6</v>
      </c>
      <c r="X245" s="34"/>
      <c r="Y245" s="3" cm="1">
        <f t="array" ref="Y245">IFERROR(COUNT(_xlfn._xlws.FILTER(B245:G245, ISNUMBER(MATCH(B245:G245, {2,3,5,7,11,13,17,19,23,29,31,37,41,43}, 0)))), 0)</f>
        <v>0</v>
      </c>
      <c r="Z245" s="3" cm="1">
        <f t="array" ref="Z245">IFERROR(COUNT(_xlfn._xlws.FILTER(B245:G245, ISNUMBER(MATCH(B245:G245, {1,4,8,10,14,16,20,22,25,26,28,32,34,35,38,40,44}, 0)))), 0)</f>
        <v>0</v>
      </c>
      <c r="AA245" s="3" cm="1">
        <f t="array" ref="AA245">IFERROR(COUNT(_xlfn._xlws.FILTER(B245:G245, ISNUMBER(MATCH(B245:G245, {6,9,12,15,18,21,24,27,30,33,36,39,42,45}, 0)))), 0)</f>
        <v>0</v>
      </c>
      <c r="AB245" s="30"/>
      <c r="AC245" s="26" cm="1">
        <f t="array" ref="AC245">_xlfn.IFS(
   OR(B245="",ISBLANK(B245),B245=0),0,
   ISNUMBER(MATCH(B245,{2,3,5,7,11,13,17,19,23,29,31,37,41,43},0)),"소",
   AND(ISNUMBER(B245),MOD(B245,3)=0),"배",
   AND(ISNUMBER(B245),B245&gt;0),"자"
)</f>
        <v>0</v>
      </c>
      <c r="AD245" s="26" cm="1">
        <f t="array" ref="AD245">_xlfn.IFS(
   OR(C245="",ISBLANK(C245),C245=0),0,
   ISNUMBER(MATCH(C245,{2,3,5,7,11,13,17,19,23,29,31,37,41,43},0)),"소",
   AND(ISNUMBER(C245),MOD(C245,3)=0),"배",
   AND(ISNUMBER(C245),C245&gt;0),"자"
)</f>
        <v>0</v>
      </c>
      <c r="AE245" s="26" cm="1">
        <f t="array" ref="AE245">_xlfn.IFS(
   OR(D245="",ISBLANK(D245),D245=0),0,
   ISNUMBER(MATCH(D245,{2,3,5,7,11,13,17,19,23,29,31,37,41,43},0)),"소",
   AND(ISNUMBER(D245),MOD(D245,3)=0),"배",
   AND(ISNUMBER(D245),D245&gt;0),"자"
)</f>
        <v>0</v>
      </c>
      <c r="AF245" s="26" cm="1">
        <f t="array" ref="AF245">_xlfn.IFS(
   OR(E245="",ISBLANK(E245),E245=0),0,
   ISNUMBER(MATCH(E245,{2,3,5,7,11,13,17,19,23,29,31,37,41,43},0)),"소",
   AND(ISNUMBER(E245),MOD(E245,3)=0),"배",
   AND(ISNUMBER(E245),E245&gt;0),"자"
)</f>
        <v>0</v>
      </c>
      <c r="AG245" s="26" cm="1">
        <f t="array" ref="AG245">_xlfn.IFS(
   OR(F245="",ISBLANK(F245),F245=0),0,
   ISNUMBER(MATCH(F245,{2,3,5,7,11,13,17,19,23,29,31,37,41,43},0)),"소",
   AND(ISNUMBER(F245),MOD(F245,3)=0),"배",
   AND(ISNUMBER(F245),F245&gt;0),"자"
)</f>
        <v>0</v>
      </c>
      <c r="AH245" s="26" cm="1">
        <f t="array" ref="AH245">_xlfn.IFS(
   OR(G245="",ISBLANK(G245),G245=0),0,
   ISNUMBER(MATCH(G245,{2,3,5,7,11,13,17,19,23,29,31,37,41,43},0)),"소",
   AND(ISNUMBER(G245),MOD(G245,3)=0),"배",
   AND(ISNUMBER(G245),G245&gt;0),"자"
)</f>
        <v>0</v>
      </c>
      <c r="AI245" s="30"/>
      <c r="AJ245" s="3">
        <f>COUNTIFS(B245:G245,"&gt;=1",B245:G245,"&lt;=14")</f>
        <v>0</v>
      </c>
      <c r="AK245" s="3">
        <f>COUNTIFS(B245:G245,"&gt;=15",B245:G245,"&lt;=31")</f>
        <v>0</v>
      </c>
      <c r="AL245" s="3">
        <f>6-AK245-AJ245</f>
        <v>6</v>
      </c>
      <c r="AM245" s="33"/>
      <c r="AN245" s="3">
        <f>COUNTIFS($B245:$G245, "&gt;=1",$B245:$G245, "&lt;=9")</f>
        <v>0</v>
      </c>
      <c r="AO245" s="3">
        <f>COUNTIFS($B245:$G245, "&gt;=10",$B245:$G245, "&lt;=18")</f>
        <v>0</v>
      </c>
      <c r="AP245" s="3">
        <f>COUNTIFS($B245:$G245, "&gt;=19",$B245:$G245, "&lt;=27")</f>
        <v>0</v>
      </c>
      <c r="AQ245" s="3">
        <f>COUNTIFS($B245:$G245, "&gt;=28",$B245:$G245, "&lt;=36")</f>
        <v>0</v>
      </c>
      <c r="AR245" s="3">
        <f>COUNTIFS($B245:$G245, "&gt;=37",$B245:$G245, "&lt;=45")</f>
        <v>0</v>
      </c>
      <c r="AS245" s="28" t="e">
        <f>#REF!</f>
        <v>#REF!</v>
      </c>
      <c r="AT245" s="28" t="e">
        <f>#REF!*2</f>
        <v>#REF!</v>
      </c>
      <c r="AU245" s="28" t="e">
        <f>#REF!</f>
        <v>#REF!</v>
      </c>
      <c r="AV245" s="28" t="e">
        <f>#REF!*2</f>
        <v>#REF!</v>
      </c>
      <c r="AW245" s="28" t="e">
        <f>#REF!</f>
        <v>#REF!</v>
      </c>
      <c r="AX245" s="28" t="e">
        <f>#REF!*2</f>
        <v>#REF!</v>
      </c>
      <c r="AY245" s="28" t="e">
        <f>#REF!</f>
        <v>#REF!</v>
      </c>
      <c r="AZ245" s="28" t="e">
        <f>#REF!*2</f>
        <v>#REF!</v>
      </c>
      <c r="BA245" s="28" t="e">
        <f>#REF!</f>
        <v>#REF!</v>
      </c>
      <c r="BB245" s="28" t="e">
        <f>#REF!*2</f>
        <v>#REF!</v>
      </c>
      <c r="BC245" s="28" t="e">
        <f>#REF!</f>
        <v>#REF!</v>
      </c>
      <c r="BD245" s="28" t="e">
        <f>#REF!*2</f>
        <v>#REF!</v>
      </c>
      <c r="BE245" s="9" t="e">
        <f>#REF!-#REF!</f>
        <v>#REF!</v>
      </c>
      <c r="BF245" s="9" t="e">
        <f>#REF!-#REF!</f>
        <v>#REF!</v>
      </c>
      <c r="BG245" s="9" t="e">
        <f>#REF!-#REF!</f>
        <v>#REF!</v>
      </c>
      <c r="BH245" s="9" t="e">
        <f>#REF!-#REF!</f>
        <v>#REF!</v>
      </c>
      <c r="BI245" s="9" t="e">
        <f>#REF!-#REF!</f>
        <v>#REF!</v>
      </c>
      <c r="BJ245" s="33"/>
      <c r="BK245" s="3">
        <f>COUNTIFS(B245:G245, "&gt;=1", B245:G245, "&lt;=9")</f>
        <v>0</v>
      </c>
      <c r="BL245" s="3">
        <f>COUNTIFS(B245:G245, "&gt;=10", B245:G245, "&lt;=19")</f>
        <v>0</v>
      </c>
      <c r="BM245" s="3">
        <f>COUNTIFS(B245:G245, "&gt;=20", B245:G245, "&lt;=29")</f>
        <v>0</v>
      </c>
      <c r="BN245" s="3">
        <f>COUNTIFS(B245:G245, "&gt;=30", B245:G245, "&lt;=39")</f>
        <v>0</v>
      </c>
      <c r="BO245" s="3">
        <f>COUNTIFS(B245:G245, "&gt;=40", B245:G245, "&lt;=45")</f>
        <v>0</v>
      </c>
      <c r="BP245" s="28" t="e">
        <f>#REF!</f>
        <v>#REF!</v>
      </c>
      <c r="BQ245" s="28" t="e">
        <f>#REF!*2</f>
        <v>#REF!</v>
      </c>
      <c r="BR245" s="28" t="e">
        <f>#REF!</f>
        <v>#REF!</v>
      </c>
      <c r="BS245" s="28" t="e">
        <f>#REF!*2</f>
        <v>#REF!</v>
      </c>
      <c r="BT245" s="28" t="e">
        <f>#REF!</f>
        <v>#REF!</v>
      </c>
      <c r="BU245" s="28" t="e">
        <f>#REF!*2</f>
        <v>#REF!</v>
      </c>
      <c r="BV245" s="28" t="e">
        <f>#REF!</f>
        <v>#REF!</v>
      </c>
      <c r="BW245" s="28" t="e">
        <f>#REF!*2</f>
        <v>#REF!</v>
      </c>
      <c r="BX245" s="28" t="e">
        <f>#REF!</f>
        <v>#REF!</v>
      </c>
      <c r="BY245" s="28" t="e">
        <f>#REF!*2</f>
        <v>#REF!</v>
      </c>
      <c r="BZ245" s="28" t="e">
        <f>#REF!</f>
        <v>#REF!</v>
      </c>
      <c r="CA245" s="28" t="e">
        <f>#REF!*2</f>
        <v>#REF!</v>
      </c>
      <c r="CB245" s="9">
        <f>C245-B245</f>
        <v>0</v>
      </c>
      <c r="CC245" s="9">
        <f>D245-C245</f>
        <v>0</v>
      </c>
      <c r="CD245" s="9">
        <f>E245-D245</f>
        <v>0</v>
      </c>
      <c r="CE245" s="9">
        <f>F245-E245</f>
        <v>0</v>
      </c>
      <c r="CF245" s="9">
        <f>G245-F245</f>
        <v>0</v>
      </c>
      <c r="CG245" s="33"/>
      <c r="CH245" s="3">
        <f>C245-B245</f>
        <v>0</v>
      </c>
      <c r="CI245" s="3">
        <f>D245-C245</f>
        <v>0</v>
      </c>
      <c r="CJ245" s="3">
        <f>E245-D245</f>
        <v>0</v>
      </c>
      <c r="CK245" s="3">
        <f>F245-E245</f>
        <v>0</v>
      </c>
      <c r="CL245" s="3">
        <f>G245-F245</f>
        <v>0</v>
      </c>
      <c r="CM245" s="32"/>
      <c r="CN245" s="3">
        <f>IF(OR(CH245="",ISBLANK(CH245),CH245=0),0,IF(MOD(CH245,2)=1,1,2))</f>
        <v>0</v>
      </c>
      <c r="CO245" s="3">
        <f>IF(OR(CI245="",ISBLANK(CI245),CI245=0),0,IF(MOD(CI245,2)=1,1,2))</f>
        <v>0</v>
      </c>
      <c r="CP245" s="3">
        <f>IF(OR(CJ245="",ISBLANK(CJ245),CJ245=0),0,IF(MOD(CJ245,2)=1,1,2))</f>
        <v>0</v>
      </c>
      <c r="CQ245" s="3">
        <f>IF(OR(CK245="",ISBLANK(CK245),CK245=0),0,IF(MOD(CK245,2)=1,1,2))</f>
        <v>0</v>
      </c>
      <c r="CR245" s="3">
        <f>IF(OR(CL245="",ISBLANK(CL245),CL245=0),0,IF(MOD(CL245,2)=1,1,2))</f>
        <v>0</v>
      </c>
      <c r="CS245" s="31"/>
      <c r="CT245" s="3" cm="1">
        <f t="array" ref="CT245">SUMPRODUCT(--(MOD(CH245:CL245,2)=1))</f>
        <v>0</v>
      </c>
      <c r="CU245" s="3">
        <f>5-CT245</f>
        <v>5</v>
      </c>
      <c r="CV245" s="30"/>
      <c r="CW245" s="3" cm="1">
        <f t="array" ref="CW245">SUMPRODUCT(--(MOD(CH245:CL245,10)&gt;=1), --(MOD(CH245:CL245,10)&lt;=5))</f>
        <v>0</v>
      </c>
      <c r="CX245" s="3">
        <f>5-CW245</f>
        <v>5</v>
      </c>
      <c r="CY245" s="30"/>
      <c r="CZ245" s="3" cm="1">
        <f t="array" ref="CZ245">IFERROR(COUNT(_xlfn._xlws.FILTER(CH245:CL245, ISNUMBER(MATCH(CH245:CL245, {2,3,5,7,11,13,17,19,23,29,31,37,41,43}, 0)))), 0)</f>
        <v>0</v>
      </c>
      <c r="DA245" s="3" cm="1">
        <f t="array" ref="DA245">IFERROR(COUNT(_xlfn._xlws.FILTER(CH245:CL245, ISNUMBER(MATCH(CH245:CL245, {1,4,8,10,14,16,20,22,25,26,28,32,34,35,38,40,44}, 0)))), 0)</f>
        <v>0</v>
      </c>
      <c r="DB245" s="3" cm="1">
        <f t="array" ref="DB245">IFERROR(COUNT(_xlfn._xlws.FILTER(CH245:CL245, ISNUMBER(MATCH(CH245:CL245, {6,9,12,15,18,21,24,27,30,33,36,39,42,45}, 0)))), 0)</f>
        <v>0</v>
      </c>
      <c r="DC245" s="29"/>
      <c r="DD245" s="28" t="e">
        <f>#REF!</f>
        <v>#REF!</v>
      </c>
      <c r="DE245" s="28" t="e">
        <f>#REF!*2</f>
        <v>#REF!</v>
      </c>
      <c r="DF245" s="28" t="e">
        <f>#REF!</f>
        <v>#REF!</v>
      </c>
      <c r="DG245" s="28" t="e">
        <f>#REF!*2</f>
        <v>#REF!</v>
      </c>
      <c r="DH245" s="28" t="e">
        <f>#REF!</f>
        <v>#REF!</v>
      </c>
      <c r="DI245" s="28" t="e">
        <f>#REF!*2</f>
        <v>#REF!</v>
      </c>
      <c r="DJ245" s="28" t="e">
        <f>#REF!</f>
        <v>#REF!</v>
      </c>
      <c r="DK245" s="28" t="e">
        <f>#REF!*2</f>
        <v>#REF!</v>
      </c>
      <c r="DL245" s="28" t="e">
        <f>#REF!</f>
        <v>#REF!</v>
      </c>
      <c r="DM245" s="28" t="e">
        <f>#REF!*2</f>
        <v>#REF!</v>
      </c>
      <c r="DN245" s="27"/>
      <c r="DO245" s="26"/>
      <c r="DP245" s="26"/>
      <c r="DQ245" s="26"/>
      <c r="DR245" s="26"/>
      <c r="DS245" s="26"/>
      <c r="DT245" s="25"/>
    </row>
    <row r="246" spans="2:124" x14ac:dyDescent="0.3">
      <c r="B246" s="3">
        <v>0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2"/>
      <c r="I246" s="3">
        <f>IF(OR(B246="",ISBLANK(B246),B246=0),0,IF(MOD(B246,2)=1,1,2))</f>
        <v>0</v>
      </c>
      <c r="J246" s="3">
        <f>IF(OR(C246="",ISBLANK(C246),C246=0),0,IF(MOD(C246,2)=1,1,2))</f>
        <v>0</v>
      </c>
      <c r="K246" s="3">
        <f>IF(OR(D246="",ISBLANK(D246),D246=0),0,IF(MOD(D246,2)=1,1,2))</f>
        <v>0</v>
      </c>
      <c r="L246" s="3">
        <f>IF(OR(E246="",ISBLANK(E246),E246=0),0,IF(MOD(E246,2)=1,1,2))</f>
        <v>0</v>
      </c>
      <c r="M246" s="3">
        <f>IF(OR(F246="",ISBLANK(F246),F246=0),0,IF(MOD(F246,2)=1,1,2))</f>
        <v>0</v>
      </c>
      <c r="N246" s="3">
        <f>IF(OR(G246="",ISBLANK(G246),G246=0),0,IF(MOD(G246,2)=1,1,2))</f>
        <v>0</v>
      </c>
      <c r="O246" s="32"/>
      <c r="P246" s="3" cm="1">
        <f t="array" ref="P246">SUMPRODUCT(--(MOD(B246:G246,2)=1))</f>
        <v>0</v>
      </c>
      <c r="Q246" s="3">
        <f>6-P246</f>
        <v>6</v>
      </c>
      <c r="R246" s="34"/>
      <c r="S246" s="3">
        <f>COUNTIFS(B246:G246,"&gt;=1",B246:G246,"&lt;=23")</f>
        <v>0</v>
      </c>
      <c r="T246" s="3">
        <f>6-S246</f>
        <v>6</v>
      </c>
      <c r="U246" s="34"/>
      <c r="V246" s="3" cm="1">
        <f t="array" ref="V246">SUMPRODUCT(--(MOD(B246:G246,10)&gt;=1), --(MOD(B246:G246,10)&lt;=5))</f>
        <v>0</v>
      </c>
      <c r="W246" s="3">
        <f>6-V246</f>
        <v>6</v>
      </c>
      <c r="X246" s="34"/>
      <c r="Y246" s="3" cm="1">
        <f t="array" ref="Y246">IFERROR(COUNT(_xlfn._xlws.FILTER(B246:G246, ISNUMBER(MATCH(B246:G246, {2,3,5,7,11,13,17,19,23,29,31,37,41,43}, 0)))), 0)</f>
        <v>0</v>
      </c>
      <c r="Z246" s="3" cm="1">
        <f t="array" ref="Z246">IFERROR(COUNT(_xlfn._xlws.FILTER(B246:G246, ISNUMBER(MATCH(B246:G246, {1,4,8,10,14,16,20,22,25,26,28,32,34,35,38,40,44}, 0)))), 0)</f>
        <v>0</v>
      </c>
      <c r="AA246" s="3" cm="1">
        <f t="array" ref="AA246">IFERROR(COUNT(_xlfn._xlws.FILTER(B246:G246, ISNUMBER(MATCH(B246:G246, {6,9,12,15,18,21,24,27,30,33,36,39,42,45}, 0)))), 0)</f>
        <v>0</v>
      </c>
      <c r="AB246" s="30"/>
      <c r="AC246" s="26" cm="1">
        <f t="array" ref="AC246">_xlfn.IFS(
   OR(B246="",ISBLANK(B246),B246=0),0,
   ISNUMBER(MATCH(B246,{2,3,5,7,11,13,17,19,23,29,31,37,41,43},0)),"소",
   AND(ISNUMBER(B246),MOD(B246,3)=0),"배",
   AND(ISNUMBER(B246),B246&gt;0),"자"
)</f>
        <v>0</v>
      </c>
      <c r="AD246" s="26" cm="1">
        <f t="array" ref="AD246">_xlfn.IFS(
   OR(C246="",ISBLANK(C246),C246=0),0,
   ISNUMBER(MATCH(C246,{2,3,5,7,11,13,17,19,23,29,31,37,41,43},0)),"소",
   AND(ISNUMBER(C246),MOD(C246,3)=0),"배",
   AND(ISNUMBER(C246),C246&gt;0),"자"
)</f>
        <v>0</v>
      </c>
      <c r="AE246" s="26" cm="1">
        <f t="array" ref="AE246">_xlfn.IFS(
   OR(D246="",ISBLANK(D246),D246=0),0,
   ISNUMBER(MATCH(D246,{2,3,5,7,11,13,17,19,23,29,31,37,41,43},0)),"소",
   AND(ISNUMBER(D246),MOD(D246,3)=0),"배",
   AND(ISNUMBER(D246),D246&gt;0),"자"
)</f>
        <v>0</v>
      </c>
      <c r="AF246" s="26" cm="1">
        <f t="array" ref="AF246">_xlfn.IFS(
   OR(E246="",ISBLANK(E246),E246=0),0,
   ISNUMBER(MATCH(E246,{2,3,5,7,11,13,17,19,23,29,31,37,41,43},0)),"소",
   AND(ISNUMBER(E246),MOD(E246,3)=0),"배",
   AND(ISNUMBER(E246),E246&gt;0),"자"
)</f>
        <v>0</v>
      </c>
      <c r="AG246" s="26" cm="1">
        <f t="array" ref="AG246">_xlfn.IFS(
   OR(F246="",ISBLANK(F246),F246=0),0,
   ISNUMBER(MATCH(F246,{2,3,5,7,11,13,17,19,23,29,31,37,41,43},0)),"소",
   AND(ISNUMBER(F246),MOD(F246,3)=0),"배",
   AND(ISNUMBER(F246),F246&gt;0),"자"
)</f>
        <v>0</v>
      </c>
      <c r="AH246" s="26" cm="1">
        <f t="array" ref="AH246">_xlfn.IFS(
   OR(G246="",ISBLANK(G246),G246=0),0,
   ISNUMBER(MATCH(G246,{2,3,5,7,11,13,17,19,23,29,31,37,41,43},0)),"소",
   AND(ISNUMBER(G246),MOD(G246,3)=0),"배",
   AND(ISNUMBER(G246),G246&gt;0),"자"
)</f>
        <v>0</v>
      </c>
      <c r="AI246" s="30"/>
      <c r="AJ246" s="3">
        <f>COUNTIFS(B246:G246,"&gt;=1",B246:G246,"&lt;=14")</f>
        <v>0</v>
      </c>
      <c r="AK246" s="3">
        <f>COUNTIFS(B246:G246,"&gt;=15",B246:G246,"&lt;=31")</f>
        <v>0</v>
      </c>
      <c r="AL246" s="3">
        <f>6-AK246-AJ246</f>
        <v>6</v>
      </c>
      <c r="AM246" s="33"/>
      <c r="AN246" s="3">
        <f>COUNTIFS($B246:$G246, "&gt;=1",$B246:$G246, "&lt;=9")</f>
        <v>0</v>
      </c>
      <c r="AO246" s="3">
        <f>COUNTIFS($B246:$G246, "&gt;=10",$B246:$G246, "&lt;=18")</f>
        <v>0</v>
      </c>
      <c r="AP246" s="3">
        <f>COUNTIFS($B246:$G246, "&gt;=19",$B246:$G246, "&lt;=27")</f>
        <v>0</v>
      </c>
      <c r="AQ246" s="3">
        <f>COUNTIFS($B246:$G246, "&gt;=28",$B246:$G246, "&lt;=36")</f>
        <v>0</v>
      </c>
      <c r="AR246" s="3">
        <f>COUNTIFS($B246:$G246, "&gt;=37",$B246:$G246, "&lt;=45")</f>
        <v>0</v>
      </c>
      <c r="AS246" s="28" t="e">
        <f>#REF!</f>
        <v>#REF!</v>
      </c>
      <c r="AT246" s="28" t="e">
        <f>#REF!*2</f>
        <v>#REF!</v>
      </c>
      <c r="AU246" s="28" t="e">
        <f>#REF!</f>
        <v>#REF!</v>
      </c>
      <c r="AV246" s="28" t="e">
        <f>#REF!*2</f>
        <v>#REF!</v>
      </c>
      <c r="AW246" s="28" t="e">
        <f>#REF!</f>
        <v>#REF!</v>
      </c>
      <c r="AX246" s="28" t="e">
        <f>#REF!*2</f>
        <v>#REF!</v>
      </c>
      <c r="AY246" s="28" t="e">
        <f>#REF!</f>
        <v>#REF!</v>
      </c>
      <c r="AZ246" s="28" t="e">
        <f>#REF!*2</f>
        <v>#REF!</v>
      </c>
      <c r="BA246" s="28" t="e">
        <f>#REF!</f>
        <v>#REF!</v>
      </c>
      <c r="BB246" s="28" t="e">
        <f>#REF!*2</f>
        <v>#REF!</v>
      </c>
      <c r="BC246" s="28" t="e">
        <f>#REF!</f>
        <v>#REF!</v>
      </c>
      <c r="BD246" s="28" t="e">
        <f>#REF!*2</f>
        <v>#REF!</v>
      </c>
      <c r="BE246" s="9" t="e">
        <f>#REF!-#REF!</f>
        <v>#REF!</v>
      </c>
      <c r="BF246" s="9" t="e">
        <f>#REF!-#REF!</f>
        <v>#REF!</v>
      </c>
      <c r="BG246" s="9" t="e">
        <f>#REF!-#REF!</f>
        <v>#REF!</v>
      </c>
      <c r="BH246" s="9" t="e">
        <f>#REF!-#REF!</f>
        <v>#REF!</v>
      </c>
      <c r="BI246" s="9" t="e">
        <f>#REF!-#REF!</f>
        <v>#REF!</v>
      </c>
      <c r="BJ246" s="33"/>
      <c r="BK246" s="3">
        <f>COUNTIFS(B246:G246, "&gt;=1", B246:G246, "&lt;=9")</f>
        <v>0</v>
      </c>
      <c r="BL246" s="3">
        <f>COUNTIFS(B246:G246, "&gt;=10", B246:G246, "&lt;=19")</f>
        <v>0</v>
      </c>
      <c r="BM246" s="3">
        <f>COUNTIFS(B246:G246, "&gt;=20", B246:G246, "&lt;=29")</f>
        <v>0</v>
      </c>
      <c r="BN246" s="3">
        <f>COUNTIFS(B246:G246, "&gt;=30", B246:G246, "&lt;=39")</f>
        <v>0</v>
      </c>
      <c r="BO246" s="3">
        <f>COUNTIFS(B246:G246, "&gt;=40", B246:G246, "&lt;=45")</f>
        <v>0</v>
      </c>
      <c r="BP246" s="28" t="e">
        <f>#REF!</f>
        <v>#REF!</v>
      </c>
      <c r="BQ246" s="28" t="e">
        <f>#REF!*2</f>
        <v>#REF!</v>
      </c>
      <c r="BR246" s="28" t="e">
        <f>#REF!</f>
        <v>#REF!</v>
      </c>
      <c r="BS246" s="28" t="e">
        <f>#REF!*2</f>
        <v>#REF!</v>
      </c>
      <c r="BT246" s="28" t="e">
        <f>#REF!</f>
        <v>#REF!</v>
      </c>
      <c r="BU246" s="28" t="e">
        <f>#REF!*2</f>
        <v>#REF!</v>
      </c>
      <c r="BV246" s="28" t="e">
        <f>#REF!</f>
        <v>#REF!</v>
      </c>
      <c r="BW246" s="28" t="e">
        <f>#REF!*2</f>
        <v>#REF!</v>
      </c>
      <c r="BX246" s="28" t="e">
        <f>#REF!</f>
        <v>#REF!</v>
      </c>
      <c r="BY246" s="28" t="e">
        <f>#REF!*2</f>
        <v>#REF!</v>
      </c>
      <c r="BZ246" s="28" t="e">
        <f>#REF!</f>
        <v>#REF!</v>
      </c>
      <c r="CA246" s="28" t="e">
        <f>#REF!*2</f>
        <v>#REF!</v>
      </c>
      <c r="CB246" s="9">
        <f>C246-B246</f>
        <v>0</v>
      </c>
      <c r="CC246" s="9">
        <f>D246-C246</f>
        <v>0</v>
      </c>
      <c r="CD246" s="9">
        <f>E246-D246</f>
        <v>0</v>
      </c>
      <c r="CE246" s="9">
        <f>F246-E246</f>
        <v>0</v>
      </c>
      <c r="CF246" s="9">
        <f>G246-F246</f>
        <v>0</v>
      </c>
      <c r="CG246" s="33"/>
      <c r="CH246" s="3">
        <f>C246-B246</f>
        <v>0</v>
      </c>
      <c r="CI246" s="3">
        <f>D246-C246</f>
        <v>0</v>
      </c>
      <c r="CJ246" s="3">
        <f>E246-D246</f>
        <v>0</v>
      </c>
      <c r="CK246" s="3">
        <f>F246-E246</f>
        <v>0</v>
      </c>
      <c r="CL246" s="3">
        <f>G246-F246</f>
        <v>0</v>
      </c>
      <c r="CM246" s="32"/>
      <c r="CN246" s="3">
        <f>IF(OR(CH246="",ISBLANK(CH246),CH246=0),0,IF(MOD(CH246,2)=1,1,2))</f>
        <v>0</v>
      </c>
      <c r="CO246" s="3">
        <f>IF(OR(CI246="",ISBLANK(CI246),CI246=0),0,IF(MOD(CI246,2)=1,1,2))</f>
        <v>0</v>
      </c>
      <c r="CP246" s="3">
        <f>IF(OR(CJ246="",ISBLANK(CJ246),CJ246=0),0,IF(MOD(CJ246,2)=1,1,2))</f>
        <v>0</v>
      </c>
      <c r="CQ246" s="3">
        <f>IF(OR(CK246="",ISBLANK(CK246),CK246=0),0,IF(MOD(CK246,2)=1,1,2))</f>
        <v>0</v>
      </c>
      <c r="CR246" s="3">
        <f>IF(OR(CL246="",ISBLANK(CL246),CL246=0),0,IF(MOD(CL246,2)=1,1,2))</f>
        <v>0</v>
      </c>
      <c r="CS246" s="31"/>
      <c r="CT246" s="3" cm="1">
        <f t="array" ref="CT246">SUMPRODUCT(--(MOD(CH246:CL246,2)=1))</f>
        <v>0</v>
      </c>
      <c r="CU246" s="3">
        <f>5-CT246</f>
        <v>5</v>
      </c>
      <c r="CV246" s="30"/>
      <c r="CW246" s="3" cm="1">
        <f t="array" ref="CW246">SUMPRODUCT(--(MOD(CH246:CL246,10)&gt;=1), --(MOD(CH246:CL246,10)&lt;=5))</f>
        <v>0</v>
      </c>
      <c r="CX246" s="3">
        <f>5-CW246</f>
        <v>5</v>
      </c>
      <c r="CY246" s="30"/>
      <c r="CZ246" s="3" cm="1">
        <f t="array" ref="CZ246">IFERROR(COUNT(_xlfn._xlws.FILTER(CH246:CL246, ISNUMBER(MATCH(CH246:CL246, {2,3,5,7,11,13,17,19,23,29,31,37,41,43}, 0)))), 0)</f>
        <v>0</v>
      </c>
      <c r="DA246" s="3" cm="1">
        <f t="array" ref="DA246">IFERROR(COUNT(_xlfn._xlws.FILTER(CH246:CL246, ISNUMBER(MATCH(CH246:CL246, {1,4,8,10,14,16,20,22,25,26,28,32,34,35,38,40,44}, 0)))), 0)</f>
        <v>0</v>
      </c>
      <c r="DB246" s="3" cm="1">
        <f t="array" ref="DB246">IFERROR(COUNT(_xlfn._xlws.FILTER(CH246:CL246, ISNUMBER(MATCH(CH246:CL246, {6,9,12,15,18,21,24,27,30,33,36,39,42,45}, 0)))), 0)</f>
        <v>0</v>
      </c>
      <c r="DC246" s="29"/>
      <c r="DD246" s="28" t="e">
        <f>#REF!</f>
        <v>#REF!</v>
      </c>
      <c r="DE246" s="28" t="e">
        <f>#REF!*2</f>
        <v>#REF!</v>
      </c>
      <c r="DF246" s="28" t="e">
        <f>#REF!</f>
        <v>#REF!</v>
      </c>
      <c r="DG246" s="28" t="e">
        <f>#REF!*2</f>
        <v>#REF!</v>
      </c>
      <c r="DH246" s="28" t="e">
        <f>#REF!</f>
        <v>#REF!</v>
      </c>
      <c r="DI246" s="28" t="e">
        <f>#REF!*2</f>
        <v>#REF!</v>
      </c>
      <c r="DJ246" s="28" t="e">
        <f>#REF!</f>
        <v>#REF!</v>
      </c>
      <c r="DK246" s="28" t="e">
        <f>#REF!*2</f>
        <v>#REF!</v>
      </c>
      <c r="DL246" s="28" t="e">
        <f>#REF!</f>
        <v>#REF!</v>
      </c>
      <c r="DM246" s="28" t="e">
        <f>#REF!*2</f>
        <v>#REF!</v>
      </c>
      <c r="DN246" s="27"/>
      <c r="DO246" s="26"/>
      <c r="DP246" s="26"/>
      <c r="DQ246" s="26"/>
      <c r="DR246" s="26"/>
      <c r="DS246" s="26"/>
      <c r="DT246" s="25"/>
    </row>
    <row r="247" spans="2:124" x14ac:dyDescent="0.3"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2"/>
      <c r="I247" s="3">
        <f>IF(OR(B247="",ISBLANK(B247),B247=0),0,IF(MOD(B247,2)=1,1,2))</f>
        <v>0</v>
      </c>
      <c r="J247" s="3">
        <f>IF(OR(C247="",ISBLANK(C247),C247=0),0,IF(MOD(C247,2)=1,1,2))</f>
        <v>0</v>
      </c>
      <c r="K247" s="3">
        <f>IF(OR(D247="",ISBLANK(D247),D247=0),0,IF(MOD(D247,2)=1,1,2))</f>
        <v>0</v>
      </c>
      <c r="L247" s="3">
        <f>IF(OR(E247="",ISBLANK(E247),E247=0),0,IF(MOD(E247,2)=1,1,2))</f>
        <v>0</v>
      </c>
      <c r="M247" s="3">
        <f>IF(OR(F247="",ISBLANK(F247),F247=0),0,IF(MOD(F247,2)=1,1,2))</f>
        <v>0</v>
      </c>
      <c r="N247" s="3">
        <f>IF(OR(G247="",ISBLANK(G247),G247=0),0,IF(MOD(G247,2)=1,1,2))</f>
        <v>0</v>
      </c>
      <c r="O247" s="32"/>
      <c r="P247" s="3" cm="1">
        <f t="array" ref="P247">SUMPRODUCT(--(MOD(B247:G247,2)=1))</f>
        <v>0</v>
      </c>
      <c r="Q247" s="3">
        <f>6-P247</f>
        <v>6</v>
      </c>
      <c r="R247" s="34"/>
      <c r="S247" s="3">
        <f>COUNTIFS(B247:G247,"&gt;=1",B247:G247,"&lt;=23")</f>
        <v>0</v>
      </c>
      <c r="T247" s="3">
        <f>6-S247</f>
        <v>6</v>
      </c>
      <c r="U247" s="34"/>
      <c r="V247" s="3" cm="1">
        <f t="array" ref="V247">SUMPRODUCT(--(MOD(B247:G247,10)&gt;=1), --(MOD(B247:G247,10)&lt;=5))</f>
        <v>0</v>
      </c>
      <c r="W247" s="3">
        <f>6-V247</f>
        <v>6</v>
      </c>
      <c r="X247" s="34"/>
      <c r="Y247" s="3" cm="1">
        <f t="array" ref="Y247">IFERROR(COUNT(_xlfn._xlws.FILTER(B247:G247, ISNUMBER(MATCH(B247:G247, {2,3,5,7,11,13,17,19,23,29,31,37,41,43}, 0)))), 0)</f>
        <v>0</v>
      </c>
      <c r="Z247" s="3" cm="1">
        <f t="array" ref="Z247">IFERROR(COUNT(_xlfn._xlws.FILTER(B247:G247, ISNUMBER(MATCH(B247:G247, {1,4,8,10,14,16,20,22,25,26,28,32,34,35,38,40,44}, 0)))), 0)</f>
        <v>0</v>
      </c>
      <c r="AA247" s="3" cm="1">
        <f t="array" ref="AA247">IFERROR(COUNT(_xlfn._xlws.FILTER(B247:G247, ISNUMBER(MATCH(B247:G247, {6,9,12,15,18,21,24,27,30,33,36,39,42,45}, 0)))), 0)</f>
        <v>0</v>
      </c>
      <c r="AB247" s="30"/>
      <c r="AC247" s="26" cm="1">
        <f t="array" ref="AC247">_xlfn.IFS(
   OR(B247="",ISBLANK(B247),B247=0),0,
   ISNUMBER(MATCH(B247,{2,3,5,7,11,13,17,19,23,29,31,37,41,43},0)),"소",
   AND(ISNUMBER(B247),MOD(B247,3)=0),"배",
   AND(ISNUMBER(B247),B247&gt;0),"자"
)</f>
        <v>0</v>
      </c>
      <c r="AD247" s="26" cm="1">
        <f t="array" ref="AD247">_xlfn.IFS(
   OR(C247="",ISBLANK(C247),C247=0),0,
   ISNUMBER(MATCH(C247,{2,3,5,7,11,13,17,19,23,29,31,37,41,43},0)),"소",
   AND(ISNUMBER(C247),MOD(C247,3)=0),"배",
   AND(ISNUMBER(C247),C247&gt;0),"자"
)</f>
        <v>0</v>
      </c>
      <c r="AE247" s="26" cm="1">
        <f t="array" ref="AE247">_xlfn.IFS(
   OR(D247="",ISBLANK(D247),D247=0),0,
   ISNUMBER(MATCH(D247,{2,3,5,7,11,13,17,19,23,29,31,37,41,43},0)),"소",
   AND(ISNUMBER(D247),MOD(D247,3)=0),"배",
   AND(ISNUMBER(D247),D247&gt;0),"자"
)</f>
        <v>0</v>
      </c>
      <c r="AF247" s="26" cm="1">
        <f t="array" ref="AF247">_xlfn.IFS(
   OR(E247="",ISBLANK(E247),E247=0),0,
   ISNUMBER(MATCH(E247,{2,3,5,7,11,13,17,19,23,29,31,37,41,43},0)),"소",
   AND(ISNUMBER(E247),MOD(E247,3)=0),"배",
   AND(ISNUMBER(E247),E247&gt;0),"자"
)</f>
        <v>0</v>
      </c>
      <c r="AG247" s="26" cm="1">
        <f t="array" ref="AG247">_xlfn.IFS(
   OR(F247="",ISBLANK(F247),F247=0),0,
   ISNUMBER(MATCH(F247,{2,3,5,7,11,13,17,19,23,29,31,37,41,43},0)),"소",
   AND(ISNUMBER(F247),MOD(F247,3)=0),"배",
   AND(ISNUMBER(F247),F247&gt;0),"자"
)</f>
        <v>0</v>
      </c>
      <c r="AH247" s="26" cm="1">
        <f t="array" ref="AH247">_xlfn.IFS(
   OR(G247="",ISBLANK(G247),G247=0),0,
   ISNUMBER(MATCH(G247,{2,3,5,7,11,13,17,19,23,29,31,37,41,43},0)),"소",
   AND(ISNUMBER(G247),MOD(G247,3)=0),"배",
   AND(ISNUMBER(G247),G247&gt;0),"자"
)</f>
        <v>0</v>
      </c>
      <c r="AI247" s="30"/>
      <c r="AJ247" s="3">
        <f>COUNTIFS(B247:G247,"&gt;=1",B247:G247,"&lt;=14")</f>
        <v>0</v>
      </c>
      <c r="AK247" s="3">
        <f>COUNTIFS(B247:G247,"&gt;=15",B247:G247,"&lt;=31")</f>
        <v>0</v>
      </c>
      <c r="AL247" s="3">
        <f>6-AK247-AJ247</f>
        <v>6</v>
      </c>
      <c r="AM247" s="33"/>
      <c r="AN247" s="3">
        <f>COUNTIFS($B247:$G247, "&gt;=1",$B247:$G247, "&lt;=9")</f>
        <v>0</v>
      </c>
      <c r="AO247" s="3">
        <f>COUNTIFS($B247:$G247, "&gt;=10",$B247:$G247, "&lt;=18")</f>
        <v>0</v>
      </c>
      <c r="AP247" s="3">
        <f>COUNTIFS($B247:$G247, "&gt;=19",$B247:$G247, "&lt;=27")</f>
        <v>0</v>
      </c>
      <c r="AQ247" s="3">
        <f>COUNTIFS($B247:$G247, "&gt;=28",$B247:$G247, "&lt;=36")</f>
        <v>0</v>
      </c>
      <c r="AR247" s="3">
        <f>COUNTIFS($B247:$G247, "&gt;=37",$B247:$G247, "&lt;=45")</f>
        <v>0</v>
      </c>
      <c r="AS247" s="28" t="e">
        <f>#REF!</f>
        <v>#REF!</v>
      </c>
      <c r="AT247" s="28" t="e">
        <f>#REF!*2</f>
        <v>#REF!</v>
      </c>
      <c r="AU247" s="28" t="e">
        <f>#REF!</f>
        <v>#REF!</v>
      </c>
      <c r="AV247" s="28" t="e">
        <f>#REF!*2</f>
        <v>#REF!</v>
      </c>
      <c r="AW247" s="28" t="e">
        <f>#REF!</f>
        <v>#REF!</v>
      </c>
      <c r="AX247" s="28" t="e">
        <f>#REF!*2</f>
        <v>#REF!</v>
      </c>
      <c r="AY247" s="28" t="e">
        <f>#REF!</f>
        <v>#REF!</v>
      </c>
      <c r="AZ247" s="28" t="e">
        <f>#REF!*2</f>
        <v>#REF!</v>
      </c>
      <c r="BA247" s="28" t="e">
        <f>#REF!</f>
        <v>#REF!</v>
      </c>
      <c r="BB247" s="28" t="e">
        <f>#REF!*2</f>
        <v>#REF!</v>
      </c>
      <c r="BC247" s="28" t="e">
        <f>#REF!</f>
        <v>#REF!</v>
      </c>
      <c r="BD247" s="28" t="e">
        <f>#REF!*2</f>
        <v>#REF!</v>
      </c>
      <c r="BE247" s="9" t="e">
        <f>#REF!-#REF!</f>
        <v>#REF!</v>
      </c>
      <c r="BF247" s="9" t="e">
        <f>#REF!-#REF!</f>
        <v>#REF!</v>
      </c>
      <c r="BG247" s="9" t="e">
        <f>#REF!-#REF!</f>
        <v>#REF!</v>
      </c>
      <c r="BH247" s="9" t="e">
        <f>#REF!-#REF!</f>
        <v>#REF!</v>
      </c>
      <c r="BI247" s="9" t="e">
        <f>#REF!-#REF!</f>
        <v>#REF!</v>
      </c>
      <c r="BJ247" s="33"/>
      <c r="BK247" s="3">
        <f>COUNTIFS(B247:G247, "&gt;=1", B247:G247, "&lt;=9")</f>
        <v>0</v>
      </c>
      <c r="BL247" s="3">
        <f>COUNTIFS(B247:G247, "&gt;=10", B247:G247, "&lt;=19")</f>
        <v>0</v>
      </c>
      <c r="BM247" s="3">
        <f>COUNTIFS(B247:G247, "&gt;=20", B247:G247, "&lt;=29")</f>
        <v>0</v>
      </c>
      <c r="BN247" s="3">
        <f>COUNTIFS(B247:G247, "&gt;=30", B247:G247, "&lt;=39")</f>
        <v>0</v>
      </c>
      <c r="BO247" s="3">
        <f>COUNTIFS(B247:G247, "&gt;=40", B247:G247, "&lt;=45")</f>
        <v>0</v>
      </c>
      <c r="BP247" s="28" t="e">
        <f>#REF!</f>
        <v>#REF!</v>
      </c>
      <c r="BQ247" s="28" t="e">
        <f>#REF!*2</f>
        <v>#REF!</v>
      </c>
      <c r="BR247" s="28" t="e">
        <f>#REF!</f>
        <v>#REF!</v>
      </c>
      <c r="BS247" s="28" t="e">
        <f>#REF!*2</f>
        <v>#REF!</v>
      </c>
      <c r="BT247" s="28" t="e">
        <f>#REF!</f>
        <v>#REF!</v>
      </c>
      <c r="BU247" s="28" t="e">
        <f>#REF!*2</f>
        <v>#REF!</v>
      </c>
      <c r="BV247" s="28" t="e">
        <f>#REF!</f>
        <v>#REF!</v>
      </c>
      <c r="BW247" s="28" t="e">
        <f>#REF!*2</f>
        <v>#REF!</v>
      </c>
      <c r="BX247" s="28" t="e">
        <f>#REF!</f>
        <v>#REF!</v>
      </c>
      <c r="BY247" s="28" t="e">
        <f>#REF!*2</f>
        <v>#REF!</v>
      </c>
      <c r="BZ247" s="28" t="e">
        <f>#REF!</f>
        <v>#REF!</v>
      </c>
      <c r="CA247" s="28" t="e">
        <f>#REF!*2</f>
        <v>#REF!</v>
      </c>
      <c r="CB247" s="9">
        <f>C247-B247</f>
        <v>0</v>
      </c>
      <c r="CC247" s="9">
        <f>D247-C247</f>
        <v>0</v>
      </c>
      <c r="CD247" s="9">
        <f>E247-D247</f>
        <v>0</v>
      </c>
      <c r="CE247" s="9">
        <f>F247-E247</f>
        <v>0</v>
      </c>
      <c r="CF247" s="9">
        <f>G247-F247</f>
        <v>0</v>
      </c>
      <c r="CG247" s="33"/>
      <c r="CH247" s="3">
        <f>C247-B247</f>
        <v>0</v>
      </c>
      <c r="CI247" s="3">
        <f>D247-C247</f>
        <v>0</v>
      </c>
      <c r="CJ247" s="3">
        <f>E247-D247</f>
        <v>0</v>
      </c>
      <c r="CK247" s="3">
        <f>F247-E247</f>
        <v>0</v>
      </c>
      <c r="CL247" s="3">
        <f>G247-F247</f>
        <v>0</v>
      </c>
      <c r="CM247" s="32"/>
      <c r="CN247" s="3">
        <f>IF(OR(CH247="",ISBLANK(CH247),CH247=0),0,IF(MOD(CH247,2)=1,1,2))</f>
        <v>0</v>
      </c>
      <c r="CO247" s="3">
        <f>IF(OR(CI247="",ISBLANK(CI247),CI247=0),0,IF(MOD(CI247,2)=1,1,2))</f>
        <v>0</v>
      </c>
      <c r="CP247" s="3">
        <f>IF(OR(CJ247="",ISBLANK(CJ247),CJ247=0),0,IF(MOD(CJ247,2)=1,1,2))</f>
        <v>0</v>
      </c>
      <c r="CQ247" s="3">
        <f>IF(OR(CK247="",ISBLANK(CK247),CK247=0),0,IF(MOD(CK247,2)=1,1,2))</f>
        <v>0</v>
      </c>
      <c r="CR247" s="3">
        <f>IF(OR(CL247="",ISBLANK(CL247),CL247=0),0,IF(MOD(CL247,2)=1,1,2))</f>
        <v>0</v>
      </c>
      <c r="CS247" s="31"/>
      <c r="CT247" s="3" cm="1">
        <f t="array" ref="CT247">SUMPRODUCT(--(MOD(CH247:CL247,2)=1))</f>
        <v>0</v>
      </c>
      <c r="CU247" s="3">
        <f>5-CT247</f>
        <v>5</v>
      </c>
      <c r="CV247" s="30"/>
      <c r="CW247" s="3" cm="1">
        <f t="array" ref="CW247">SUMPRODUCT(--(MOD(CH247:CL247,10)&gt;=1), --(MOD(CH247:CL247,10)&lt;=5))</f>
        <v>0</v>
      </c>
      <c r="CX247" s="3">
        <f>5-CW247</f>
        <v>5</v>
      </c>
      <c r="CY247" s="30"/>
      <c r="CZ247" s="3" cm="1">
        <f t="array" ref="CZ247">IFERROR(COUNT(_xlfn._xlws.FILTER(CH247:CL247, ISNUMBER(MATCH(CH247:CL247, {2,3,5,7,11,13,17,19,23,29,31,37,41,43}, 0)))), 0)</f>
        <v>0</v>
      </c>
      <c r="DA247" s="3" cm="1">
        <f t="array" ref="DA247">IFERROR(COUNT(_xlfn._xlws.FILTER(CH247:CL247, ISNUMBER(MATCH(CH247:CL247, {1,4,8,10,14,16,20,22,25,26,28,32,34,35,38,40,44}, 0)))), 0)</f>
        <v>0</v>
      </c>
      <c r="DB247" s="3" cm="1">
        <f t="array" ref="DB247">IFERROR(COUNT(_xlfn._xlws.FILTER(CH247:CL247, ISNUMBER(MATCH(CH247:CL247, {6,9,12,15,18,21,24,27,30,33,36,39,42,45}, 0)))), 0)</f>
        <v>0</v>
      </c>
      <c r="DC247" s="29"/>
      <c r="DD247" s="28" t="e">
        <f>#REF!</f>
        <v>#REF!</v>
      </c>
      <c r="DE247" s="28" t="e">
        <f>#REF!*2</f>
        <v>#REF!</v>
      </c>
      <c r="DF247" s="28" t="e">
        <f>#REF!</f>
        <v>#REF!</v>
      </c>
      <c r="DG247" s="28" t="e">
        <f>#REF!*2</f>
        <v>#REF!</v>
      </c>
      <c r="DH247" s="28" t="e">
        <f>#REF!</f>
        <v>#REF!</v>
      </c>
      <c r="DI247" s="28" t="e">
        <f>#REF!*2</f>
        <v>#REF!</v>
      </c>
      <c r="DJ247" s="28" t="e">
        <f>#REF!</f>
        <v>#REF!</v>
      </c>
      <c r="DK247" s="28" t="e">
        <f>#REF!*2</f>
        <v>#REF!</v>
      </c>
      <c r="DL247" s="28" t="e">
        <f>#REF!</f>
        <v>#REF!</v>
      </c>
      <c r="DM247" s="28" t="e">
        <f>#REF!*2</f>
        <v>#REF!</v>
      </c>
      <c r="DN247" s="27"/>
      <c r="DO247" s="26"/>
      <c r="DP247" s="26"/>
      <c r="DQ247" s="26"/>
      <c r="DR247" s="26"/>
      <c r="DS247" s="26"/>
      <c r="DT247" s="25"/>
    </row>
    <row r="248" spans="2:124" x14ac:dyDescent="0.3">
      <c r="B248" s="3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2"/>
      <c r="I248" s="3">
        <f>IF(OR(B248="",ISBLANK(B248),B248=0),0,IF(MOD(B248,2)=1,1,2))</f>
        <v>0</v>
      </c>
      <c r="J248" s="3">
        <f>IF(OR(C248="",ISBLANK(C248),C248=0),0,IF(MOD(C248,2)=1,1,2))</f>
        <v>0</v>
      </c>
      <c r="K248" s="3">
        <f>IF(OR(D248="",ISBLANK(D248),D248=0),0,IF(MOD(D248,2)=1,1,2))</f>
        <v>0</v>
      </c>
      <c r="L248" s="3">
        <f>IF(OR(E248="",ISBLANK(E248),E248=0),0,IF(MOD(E248,2)=1,1,2))</f>
        <v>0</v>
      </c>
      <c r="M248" s="3">
        <f>IF(OR(F248="",ISBLANK(F248),F248=0),0,IF(MOD(F248,2)=1,1,2))</f>
        <v>0</v>
      </c>
      <c r="N248" s="3">
        <f>IF(OR(G248="",ISBLANK(G248),G248=0),0,IF(MOD(G248,2)=1,1,2))</f>
        <v>0</v>
      </c>
      <c r="O248" s="32"/>
      <c r="P248" s="3" cm="1">
        <f t="array" ref="P248">SUMPRODUCT(--(MOD(B248:G248,2)=1))</f>
        <v>0</v>
      </c>
      <c r="Q248" s="3">
        <f>6-P248</f>
        <v>6</v>
      </c>
      <c r="R248" s="34"/>
      <c r="S248" s="3">
        <f>COUNTIFS(B248:G248,"&gt;=1",B248:G248,"&lt;=23")</f>
        <v>0</v>
      </c>
      <c r="T248" s="3">
        <f>6-S248</f>
        <v>6</v>
      </c>
      <c r="U248" s="34"/>
      <c r="V248" s="3" cm="1">
        <f t="array" ref="V248">SUMPRODUCT(--(MOD(B248:G248,10)&gt;=1), --(MOD(B248:G248,10)&lt;=5))</f>
        <v>0</v>
      </c>
      <c r="W248" s="3">
        <f>6-V248</f>
        <v>6</v>
      </c>
      <c r="X248" s="34"/>
      <c r="Y248" s="3" cm="1">
        <f t="array" ref="Y248">IFERROR(COUNT(_xlfn._xlws.FILTER(B248:G248, ISNUMBER(MATCH(B248:G248, {2,3,5,7,11,13,17,19,23,29,31,37,41,43}, 0)))), 0)</f>
        <v>0</v>
      </c>
      <c r="Z248" s="3" cm="1">
        <f t="array" ref="Z248">IFERROR(COUNT(_xlfn._xlws.FILTER(B248:G248, ISNUMBER(MATCH(B248:G248, {1,4,8,10,14,16,20,22,25,26,28,32,34,35,38,40,44}, 0)))), 0)</f>
        <v>0</v>
      </c>
      <c r="AA248" s="3" cm="1">
        <f t="array" ref="AA248">IFERROR(COUNT(_xlfn._xlws.FILTER(B248:G248, ISNUMBER(MATCH(B248:G248, {6,9,12,15,18,21,24,27,30,33,36,39,42,45}, 0)))), 0)</f>
        <v>0</v>
      </c>
      <c r="AB248" s="30"/>
      <c r="AC248" s="26" cm="1">
        <f t="array" ref="AC248">_xlfn.IFS(
   OR(B248="",ISBLANK(B248),B248=0),0,
   ISNUMBER(MATCH(B248,{2,3,5,7,11,13,17,19,23,29,31,37,41,43},0)),"소",
   AND(ISNUMBER(B248),MOD(B248,3)=0),"배",
   AND(ISNUMBER(B248),B248&gt;0),"자"
)</f>
        <v>0</v>
      </c>
      <c r="AD248" s="26" cm="1">
        <f t="array" ref="AD248">_xlfn.IFS(
   OR(C248="",ISBLANK(C248),C248=0),0,
   ISNUMBER(MATCH(C248,{2,3,5,7,11,13,17,19,23,29,31,37,41,43},0)),"소",
   AND(ISNUMBER(C248),MOD(C248,3)=0),"배",
   AND(ISNUMBER(C248),C248&gt;0),"자"
)</f>
        <v>0</v>
      </c>
      <c r="AE248" s="26" cm="1">
        <f t="array" ref="AE248">_xlfn.IFS(
   OR(D248="",ISBLANK(D248),D248=0),0,
   ISNUMBER(MATCH(D248,{2,3,5,7,11,13,17,19,23,29,31,37,41,43},0)),"소",
   AND(ISNUMBER(D248),MOD(D248,3)=0),"배",
   AND(ISNUMBER(D248),D248&gt;0),"자"
)</f>
        <v>0</v>
      </c>
      <c r="AF248" s="26" cm="1">
        <f t="array" ref="AF248">_xlfn.IFS(
   OR(E248="",ISBLANK(E248),E248=0),0,
   ISNUMBER(MATCH(E248,{2,3,5,7,11,13,17,19,23,29,31,37,41,43},0)),"소",
   AND(ISNUMBER(E248),MOD(E248,3)=0),"배",
   AND(ISNUMBER(E248),E248&gt;0),"자"
)</f>
        <v>0</v>
      </c>
      <c r="AG248" s="26" cm="1">
        <f t="array" ref="AG248">_xlfn.IFS(
   OR(F248="",ISBLANK(F248),F248=0),0,
   ISNUMBER(MATCH(F248,{2,3,5,7,11,13,17,19,23,29,31,37,41,43},0)),"소",
   AND(ISNUMBER(F248),MOD(F248,3)=0),"배",
   AND(ISNUMBER(F248),F248&gt;0),"자"
)</f>
        <v>0</v>
      </c>
      <c r="AH248" s="26" cm="1">
        <f t="array" ref="AH248">_xlfn.IFS(
   OR(G248="",ISBLANK(G248),G248=0),0,
   ISNUMBER(MATCH(G248,{2,3,5,7,11,13,17,19,23,29,31,37,41,43},0)),"소",
   AND(ISNUMBER(G248),MOD(G248,3)=0),"배",
   AND(ISNUMBER(G248),G248&gt;0),"자"
)</f>
        <v>0</v>
      </c>
      <c r="AI248" s="30"/>
      <c r="AJ248" s="3">
        <f>COUNTIFS(B248:G248,"&gt;=1",B248:G248,"&lt;=14")</f>
        <v>0</v>
      </c>
      <c r="AK248" s="3">
        <f>COUNTIFS(B248:G248,"&gt;=15",B248:G248,"&lt;=31")</f>
        <v>0</v>
      </c>
      <c r="AL248" s="3">
        <f>6-AK248-AJ248</f>
        <v>6</v>
      </c>
      <c r="AM248" s="33"/>
      <c r="AN248" s="3">
        <f>COUNTIFS($B248:$G248, "&gt;=1",$B248:$G248, "&lt;=9")</f>
        <v>0</v>
      </c>
      <c r="AO248" s="3">
        <f>COUNTIFS($B248:$G248, "&gt;=10",$B248:$G248, "&lt;=18")</f>
        <v>0</v>
      </c>
      <c r="AP248" s="3">
        <f>COUNTIFS($B248:$G248, "&gt;=19",$B248:$G248, "&lt;=27")</f>
        <v>0</v>
      </c>
      <c r="AQ248" s="3">
        <f>COUNTIFS($B248:$G248, "&gt;=28",$B248:$G248, "&lt;=36")</f>
        <v>0</v>
      </c>
      <c r="AR248" s="3">
        <f>COUNTIFS($B248:$G248, "&gt;=37",$B248:$G248, "&lt;=45")</f>
        <v>0</v>
      </c>
      <c r="AS248" s="28" t="e">
        <f>#REF!</f>
        <v>#REF!</v>
      </c>
      <c r="AT248" s="28" t="e">
        <f>#REF!*2</f>
        <v>#REF!</v>
      </c>
      <c r="AU248" s="28" t="e">
        <f>#REF!</f>
        <v>#REF!</v>
      </c>
      <c r="AV248" s="28" t="e">
        <f>#REF!*2</f>
        <v>#REF!</v>
      </c>
      <c r="AW248" s="28" t="e">
        <f>#REF!</f>
        <v>#REF!</v>
      </c>
      <c r="AX248" s="28" t="e">
        <f>#REF!*2</f>
        <v>#REF!</v>
      </c>
      <c r="AY248" s="28" t="e">
        <f>#REF!</f>
        <v>#REF!</v>
      </c>
      <c r="AZ248" s="28" t="e">
        <f>#REF!*2</f>
        <v>#REF!</v>
      </c>
      <c r="BA248" s="28" t="e">
        <f>#REF!</f>
        <v>#REF!</v>
      </c>
      <c r="BB248" s="28" t="e">
        <f>#REF!*2</f>
        <v>#REF!</v>
      </c>
      <c r="BC248" s="28" t="e">
        <f>#REF!</f>
        <v>#REF!</v>
      </c>
      <c r="BD248" s="28" t="e">
        <f>#REF!*2</f>
        <v>#REF!</v>
      </c>
      <c r="BE248" s="9" t="e">
        <f>#REF!-#REF!</f>
        <v>#REF!</v>
      </c>
      <c r="BF248" s="9" t="e">
        <f>#REF!-#REF!</f>
        <v>#REF!</v>
      </c>
      <c r="BG248" s="9" t="e">
        <f>#REF!-#REF!</f>
        <v>#REF!</v>
      </c>
      <c r="BH248" s="9" t="e">
        <f>#REF!-#REF!</f>
        <v>#REF!</v>
      </c>
      <c r="BI248" s="9" t="e">
        <f>#REF!-#REF!</f>
        <v>#REF!</v>
      </c>
      <c r="BJ248" s="33"/>
      <c r="BK248" s="3">
        <f>COUNTIFS(B248:G248, "&gt;=1", B248:G248, "&lt;=9")</f>
        <v>0</v>
      </c>
      <c r="BL248" s="3">
        <f>COUNTIFS(B248:G248, "&gt;=10", B248:G248, "&lt;=19")</f>
        <v>0</v>
      </c>
      <c r="BM248" s="3">
        <f>COUNTIFS(B248:G248, "&gt;=20", B248:G248, "&lt;=29")</f>
        <v>0</v>
      </c>
      <c r="BN248" s="3">
        <f>COUNTIFS(B248:G248, "&gt;=30", B248:G248, "&lt;=39")</f>
        <v>0</v>
      </c>
      <c r="BO248" s="3">
        <f>COUNTIFS(B248:G248, "&gt;=40", B248:G248, "&lt;=45")</f>
        <v>0</v>
      </c>
      <c r="BP248" s="28" t="e">
        <f>#REF!</f>
        <v>#REF!</v>
      </c>
      <c r="BQ248" s="28" t="e">
        <f>#REF!*2</f>
        <v>#REF!</v>
      </c>
      <c r="BR248" s="28" t="e">
        <f>#REF!</f>
        <v>#REF!</v>
      </c>
      <c r="BS248" s="28" t="e">
        <f>#REF!*2</f>
        <v>#REF!</v>
      </c>
      <c r="BT248" s="28" t="e">
        <f>#REF!</f>
        <v>#REF!</v>
      </c>
      <c r="BU248" s="28" t="e">
        <f>#REF!*2</f>
        <v>#REF!</v>
      </c>
      <c r="BV248" s="28" t="e">
        <f>#REF!</f>
        <v>#REF!</v>
      </c>
      <c r="BW248" s="28" t="e">
        <f>#REF!*2</f>
        <v>#REF!</v>
      </c>
      <c r="BX248" s="28" t="e">
        <f>#REF!</f>
        <v>#REF!</v>
      </c>
      <c r="BY248" s="28" t="e">
        <f>#REF!*2</f>
        <v>#REF!</v>
      </c>
      <c r="BZ248" s="28" t="e">
        <f>#REF!</f>
        <v>#REF!</v>
      </c>
      <c r="CA248" s="28" t="e">
        <f>#REF!*2</f>
        <v>#REF!</v>
      </c>
      <c r="CB248" s="9">
        <f>C248-B248</f>
        <v>0</v>
      </c>
      <c r="CC248" s="9">
        <f>D248-C248</f>
        <v>0</v>
      </c>
      <c r="CD248" s="9">
        <f>E248-D248</f>
        <v>0</v>
      </c>
      <c r="CE248" s="9">
        <f>F248-E248</f>
        <v>0</v>
      </c>
      <c r="CF248" s="9">
        <f>G248-F248</f>
        <v>0</v>
      </c>
      <c r="CG248" s="33"/>
      <c r="CH248" s="3">
        <f>C248-B248</f>
        <v>0</v>
      </c>
      <c r="CI248" s="3">
        <f>D248-C248</f>
        <v>0</v>
      </c>
      <c r="CJ248" s="3">
        <f>E248-D248</f>
        <v>0</v>
      </c>
      <c r="CK248" s="3">
        <f>F248-E248</f>
        <v>0</v>
      </c>
      <c r="CL248" s="3">
        <f>G248-F248</f>
        <v>0</v>
      </c>
      <c r="CM248" s="32"/>
      <c r="CN248" s="3">
        <f>IF(OR(CH248="",ISBLANK(CH248),CH248=0),0,IF(MOD(CH248,2)=1,1,2))</f>
        <v>0</v>
      </c>
      <c r="CO248" s="3">
        <f>IF(OR(CI248="",ISBLANK(CI248),CI248=0),0,IF(MOD(CI248,2)=1,1,2))</f>
        <v>0</v>
      </c>
      <c r="CP248" s="3">
        <f>IF(OR(CJ248="",ISBLANK(CJ248),CJ248=0),0,IF(MOD(CJ248,2)=1,1,2))</f>
        <v>0</v>
      </c>
      <c r="CQ248" s="3">
        <f>IF(OR(CK248="",ISBLANK(CK248),CK248=0),0,IF(MOD(CK248,2)=1,1,2))</f>
        <v>0</v>
      </c>
      <c r="CR248" s="3">
        <f>IF(OR(CL248="",ISBLANK(CL248),CL248=0),0,IF(MOD(CL248,2)=1,1,2))</f>
        <v>0</v>
      </c>
      <c r="CS248" s="31"/>
      <c r="CT248" s="3" cm="1">
        <f t="array" ref="CT248">SUMPRODUCT(--(MOD(CH248:CL248,2)=1))</f>
        <v>0</v>
      </c>
      <c r="CU248" s="3">
        <f>5-CT248</f>
        <v>5</v>
      </c>
      <c r="CV248" s="30"/>
      <c r="CW248" s="3" cm="1">
        <f t="array" ref="CW248">SUMPRODUCT(--(MOD(CH248:CL248,10)&gt;=1), --(MOD(CH248:CL248,10)&lt;=5))</f>
        <v>0</v>
      </c>
      <c r="CX248" s="3">
        <f>5-CW248</f>
        <v>5</v>
      </c>
      <c r="CY248" s="30"/>
      <c r="CZ248" s="3" cm="1">
        <f t="array" ref="CZ248">IFERROR(COUNT(_xlfn._xlws.FILTER(CH248:CL248, ISNUMBER(MATCH(CH248:CL248, {2,3,5,7,11,13,17,19,23,29,31,37,41,43}, 0)))), 0)</f>
        <v>0</v>
      </c>
      <c r="DA248" s="3" cm="1">
        <f t="array" ref="DA248">IFERROR(COUNT(_xlfn._xlws.FILTER(CH248:CL248, ISNUMBER(MATCH(CH248:CL248, {1,4,8,10,14,16,20,22,25,26,28,32,34,35,38,40,44}, 0)))), 0)</f>
        <v>0</v>
      </c>
      <c r="DB248" s="3" cm="1">
        <f t="array" ref="DB248">IFERROR(COUNT(_xlfn._xlws.FILTER(CH248:CL248, ISNUMBER(MATCH(CH248:CL248, {6,9,12,15,18,21,24,27,30,33,36,39,42,45}, 0)))), 0)</f>
        <v>0</v>
      </c>
      <c r="DC248" s="29"/>
      <c r="DD248" s="28" t="e">
        <f>#REF!</f>
        <v>#REF!</v>
      </c>
      <c r="DE248" s="28" t="e">
        <f>#REF!*2</f>
        <v>#REF!</v>
      </c>
      <c r="DF248" s="28" t="e">
        <f>#REF!</f>
        <v>#REF!</v>
      </c>
      <c r="DG248" s="28" t="e">
        <f>#REF!*2</f>
        <v>#REF!</v>
      </c>
      <c r="DH248" s="28" t="e">
        <f>#REF!</f>
        <v>#REF!</v>
      </c>
      <c r="DI248" s="28" t="e">
        <f>#REF!*2</f>
        <v>#REF!</v>
      </c>
      <c r="DJ248" s="28" t="e">
        <f>#REF!</f>
        <v>#REF!</v>
      </c>
      <c r="DK248" s="28" t="e">
        <f>#REF!*2</f>
        <v>#REF!</v>
      </c>
      <c r="DL248" s="28" t="e">
        <f>#REF!</f>
        <v>#REF!</v>
      </c>
      <c r="DM248" s="28" t="e">
        <f>#REF!*2</f>
        <v>#REF!</v>
      </c>
      <c r="DN248" s="27"/>
      <c r="DO248" s="26"/>
      <c r="DP248" s="26"/>
      <c r="DQ248" s="26"/>
      <c r="DR248" s="26"/>
      <c r="DS248" s="26"/>
      <c r="DT248" s="25"/>
    </row>
    <row r="249" spans="2:124" x14ac:dyDescent="0.3"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2"/>
      <c r="I249" s="3">
        <f>IF(OR(B249="",ISBLANK(B249),B249=0),0,IF(MOD(B249,2)=1,1,2))</f>
        <v>0</v>
      </c>
      <c r="J249" s="3">
        <f>IF(OR(C249="",ISBLANK(C249),C249=0),0,IF(MOD(C249,2)=1,1,2))</f>
        <v>0</v>
      </c>
      <c r="K249" s="3">
        <f>IF(OR(D249="",ISBLANK(D249),D249=0),0,IF(MOD(D249,2)=1,1,2))</f>
        <v>0</v>
      </c>
      <c r="L249" s="3">
        <f>IF(OR(E249="",ISBLANK(E249),E249=0),0,IF(MOD(E249,2)=1,1,2))</f>
        <v>0</v>
      </c>
      <c r="M249" s="3">
        <f>IF(OR(F249="",ISBLANK(F249),F249=0),0,IF(MOD(F249,2)=1,1,2))</f>
        <v>0</v>
      </c>
      <c r="N249" s="3">
        <f>IF(OR(G249="",ISBLANK(G249),G249=0),0,IF(MOD(G249,2)=1,1,2))</f>
        <v>0</v>
      </c>
      <c r="O249" s="32"/>
      <c r="P249" s="3" cm="1">
        <f t="array" ref="P249">SUMPRODUCT(--(MOD(B249:G249,2)=1))</f>
        <v>0</v>
      </c>
      <c r="Q249" s="3">
        <f>6-P249</f>
        <v>6</v>
      </c>
      <c r="R249" s="34"/>
      <c r="S249" s="3">
        <f>COUNTIFS(B249:G249,"&gt;=1",B249:G249,"&lt;=23")</f>
        <v>0</v>
      </c>
      <c r="T249" s="3">
        <f>6-S249</f>
        <v>6</v>
      </c>
      <c r="U249" s="34"/>
      <c r="V249" s="3" cm="1">
        <f t="array" ref="V249">SUMPRODUCT(--(MOD(B249:G249,10)&gt;=1), --(MOD(B249:G249,10)&lt;=5))</f>
        <v>0</v>
      </c>
      <c r="W249" s="3">
        <f>6-V249</f>
        <v>6</v>
      </c>
      <c r="X249" s="34"/>
      <c r="Y249" s="3" cm="1">
        <f t="array" ref="Y249">IFERROR(COUNT(_xlfn._xlws.FILTER(B249:G249, ISNUMBER(MATCH(B249:G249, {2,3,5,7,11,13,17,19,23,29,31,37,41,43}, 0)))), 0)</f>
        <v>0</v>
      </c>
      <c r="Z249" s="3" cm="1">
        <f t="array" ref="Z249">IFERROR(COUNT(_xlfn._xlws.FILTER(B249:G249, ISNUMBER(MATCH(B249:G249, {1,4,8,10,14,16,20,22,25,26,28,32,34,35,38,40,44}, 0)))), 0)</f>
        <v>0</v>
      </c>
      <c r="AA249" s="3" cm="1">
        <f t="array" ref="AA249">IFERROR(COUNT(_xlfn._xlws.FILTER(B249:G249, ISNUMBER(MATCH(B249:G249, {6,9,12,15,18,21,24,27,30,33,36,39,42,45}, 0)))), 0)</f>
        <v>0</v>
      </c>
      <c r="AB249" s="30"/>
      <c r="AC249" s="26" cm="1">
        <f t="array" ref="AC249">_xlfn.IFS(
   OR(B249="",ISBLANK(B249),B249=0),0,
   ISNUMBER(MATCH(B249,{2,3,5,7,11,13,17,19,23,29,31,37,41,43},0)),"소",
   AND(ISNUMBER(B249),MOD(B249,3)=0),"배",
   AND(ISNUMBER(B249),B249&gt;0),"자"
)</f>
        <v>0</v>
      </c>
      <c r="AD249" s="26" cm="1">
        <f t="array" ref="AD249">_xlfn.IFS(
   OR(C249="",ISBLANK(C249),C249=0),0,
   ISNUMBER(MATCH(C249,{2,3,5,7,11,13,17,19,23,29,31,37,41,43},0)),"소",
   AND(ISNUMBER(C249),MOD(C249,3)=0),"배",
   AND(ISNUMBER(C249),C249&gt;0),"자"
)</f>
        <v>0</v>
      </c>
      <c r="AE249" s="26" cm="1">
        <f t="array" ref="AE249">_xlfn.IFS(
   OR(D249="",ISBLANK(D249),D249=0),0,
   ISNUMBER(MATCH(D249,{2,3,5,7,11,13,17,19,23,29,31,37,41,43},0)),"소",
   AND(ISNUMBER(D249),MOD(D249,3)=0),"배",
   AND(ISNUMBER(D249),D249&gt;0),"자"
)</f>
        <v>0</v>
      </c>
      <c r="AF249" s="26" cm="1">
        <f t="array" ref="AF249">_xlfn.IFS(
   OR(E249="",ISBLANK(E249),E249=0),0,
   ISNUMBER(MATCH(E249,{2,3,5,7,11,13,17,19,23,29,31,37,41,43},0)),"소",
   AND(ISNUMBER(E249),MOD(E249,3)=0),"배",
   AND(ISNUMBER(E249),E249&gt;0),"자"
)</f>
        <v>0</v>
      </c>
      <c r="AG249" s="26" cm="1">
        <f t="array" ref="AG249">_xlfn.IFS(
   OR(F249="",ISBLANK(F249),F249=0),0,
   ISNUMBER(MATCH(F249,{2,3,5,7,11,13,17,19,23,29,31,37,41,43},0)),"소",
   AND(ISNUMBER(F249),MOD(F249,3)=0),"배",
   AND(ISNUMBER(F249),F249&gt;0),"자"
)</f>
        <v>0</v>
      </c>
      <c r="AH249" s="26" cm="1">
        <f t="array" ref="AH249">_xlfn.IFS(
   OR(G249="",ISBLANK(G249),G249=0),0,
   ISNUMBER(MATCH(G249,{2,3,5,7,11,13,17,19,23,29,31,37,41,43},0)),"소",
   AND(ISNUMBER(G249),MOD(G249,3)=0),"배",
   AND(ISNUMBER(G249),G249&gt;0),"자"
)</f>
        <v>0</v>
      </c>
      <c r="AI249" s="30"/>
      <c r="AJ249" s="3">
        <f>COUNTIFS(B249:G249,"&gt;=1",B249:G249,"&lt;=14")</f>
        <v>0</v>
      </c>
      <c r="AK249" s="3">
        <f>COUNTIFS(B249:G249,"&gt;=15",B249:G249,"&lt;=31")</f>
        <v>0</v>
      </c>
      <c r="AL249" s="3">
        <f>6-AK249-AJ249</f>
        <v>6</v>
      </c>
      <c r="AM249" s="33"/>
      <c r="AN249" s="3">
        <f>COUNTIFS($B249:$G249, "&gt;=1",$B249:$G249, "&lt;=9")</f>
        <v>0</v>
      </c>
      <c r="AO249" s="3">
        <f>COUNTIFS($B249:$G249, "&gt;=10",$B249:$G249, "&lt;=18")</f>
        <v>0</v>
      </c>
      <c r="AP249" s="3">
        <f>COUNTIFS($B249:$G249, "&gt;=19",$B249:$G249, "&lt;=27")</f>
        <v>0</v>
      </c>
      <c r="AQ249" s="3">
        <f>COUNTIFS($B249:$G249, "&gt;=28",$B249:$G249, "&lt;=36")</f>
        <v>0</v>
      </c>
      <c r="AR249" s="3">
        <f>COUNTIFS($B249:$G249, "&gt;=37",$B249:$G249, "&lt;=45")</f>
        <v>0</v>
      </c>
      <c r="AS249" s="28" t="e">
        <f>#REF!</f>
        <v>#REF!</v>
      </c>
      <c r="AT249" s="28" t="e">
        <f>#REF!*2</f>
        <v>#REF!</v>
      </c>
      <c r="AU249" s="28" t="e">
        <f>#REF!</f>
        <v>#REF!</v>
      </c>
      <c r="AV249" s="28" t="e">
        <f>#REF!*2</f>
        <v>#REF!</v>
      </c>
      <c r="AW249" s="28" t="e">
        <f>#REF!</f>
        <v>#REF!</v>
      </c>
      <c r="AX249" s="28" t="e">
        <f>#REF!*2</f>
        <v>#REF!</v>
      </c>
      <c r="AY249" s="28" t="e">
        <f>#REF!</f>
        <v>#REF!</v>
      </c>
      <c r="AZ249" s="28" t="e">
        <f>#REF!*2</f>
        <v>#REF!</v>
      </c>
      <c r="BA249" s="28" t="e">
        <f>#REF!</f>
        <v>#REF!</v>
      </c>
      <c r="BB249" s="28" t="e">
        <f>#REF!*2</f>
        <v>#REF!</v>
      </c>
      <c r="BC249" s="28" t="e">
        <f>#REF!</f>
        <v>#REF!</v>
      </c>
      <c r="BD249" s="28" t="e">
        <f>#REF!*2</f>
        <v>#REF!</v>
      </c>
      <c r="BE249" s="9" t="e">
        <f>#REF!-#REF!</f>
        <v>#REF!</v>
      </c>
      <c r="BF249" s="9" t="e">
        <f>#REF!-#REF!</f>
        <v>#REF!</v>
      </c>
      <c r="BG249" s="9" t="e">
        <f>#REF!-#REF!</f>
        <v>#REF!</v>
      </c>
      <c r="BH249" s="9" t="e">
        <f>#REF!-#REF!</f>
        <v>#REF!</v>
      </c>
      <c r="BI249" s="9" t="e">
        <f>#REF!-#REF!</f>
        <v>#REF!</v>
      </c>
      <c r="BJ249" s="33"/>
      <c r="BK249" s="3">
        <f>COUNTIFS(B249:G249, "&gt;=1", B249:G249, "&lt;=9")</f>
        <v>0</v>
      </c>
      <c r="BL249" s="3">
        <f>COUNTIFS(B249:G249, "&gt;=10", B249:G249, "&lt;=19")</f>
        <v>0</v>
      </c>
      <c r="BM249" s="3">
        <f>COUNTIFS(B249:G249, "&gt;=20", B249:G249, "&lt;=29")</f>
        <v>0</v>
      </c>
      <c r="BN249" s="3">
        <f>COUNTIFS(B249:G249, "&gt;=30", B249:G249, "&lt;=39")</f>
        <v>0</v>
      </c>
      <c r="BO249" s="3">
        <f>COUNTIFS(B249:G249, "&gt;=40", B249:G249, "&lt;=45")</f>
        <v>0</v>
      </c>
      <c r="BP249" s="28" t="e">
        <f>#REF!</f>
        <v>#REF!</v>
      </c>
      <c r="BQ249" s="28" t="e">
        <f>#REF!*2</f>
        <v>#REF!</v>
      </c>
      <c r="BR249" s="28" t="e">
        <f>#REF!</f>
        <v>#REF!</v>
      </c>
      <c r="BS249" s="28" t="e">
        <f>#REF!*2</f>
        <v>#REF!</v>
      </c>
      <c r="BT249" s="28" t="e">
        <f>#REF!</f>
        <v>#REF!</v>
      </c>
      <c r="BU249" s="28" t="e">
        <f>#REF!*2</f>
        <v>#REF!</v>
      </c>
      <c r="BV249" s="28" t="e">
        <f>#REF!</f>
        <v>#REF!</v>
      </c>
      <c r="BW249" s="28" t="e">
        <f>#REF!*2</f>
        <v>#REF!</v>
      </c>
      <c r="BX249" s="28" t="e">
        <f>#REF!</f>
        <v>#REF!</v>
      </c>
      <c r="BY249" s="28" t="e">
        <f>#REF!*2</f>
        <v>#REF!</v>
      </c>
      <c r="BZ249" s="28" t="e">
        <f>#REF!</f>
        <v>#REF!</v>
      </c>
      <c r="CA249" s="28" t="e">
        <f>#REF!*2</f>
        <v>#REF!</v>
      </c>
      <c r="CB249" s="9">
        <f>C249-B249</f>
        <v>0</v>
      </c>
      <c r="CC249" s="9">
        <f>D249-C249</f>
        <v>0</v>
      </c>
      <c r="CD249" s="9">
        <f>E249-D249</f>
        <v>0</v>
      </c>
      <c r="CE249" s="9">
        <f>F249-E249</f>
        <v>0</v>
      </c>
      <c r="CF249" s="9">
        <f>G249-F249</f>
        <v>0</v>
      </c>
      <c r="CG249" s="33"/>
      <c r="CH249" s="3">
        <f>C249-B249</f>
        <v>0</v>
      </c>
      <c r="CI249" s="3">
        <f>D249-C249</f>
        <v>0</v>
      </c>
      <c r="CJ249" s="3">
        <f>E249-D249</f>
        <v>0</v>
      </c>
      <c r="CK249" s="3">
        <f>F249-E249</f>
        <v>0</v>
      </c>
      <c r="CL249" s="3">
        <f>G249-F249</f>
        <v>0</v>
      </c>
      <c r="CM249" s="32"/>
      <c r="CN249" s="3">
        <f>IF(OR(CH249="",ISBLANK(CH249),CH249=0),0,IF(MOD(CH249,2)=1,1,2))</f>
        <v>0</v>
      </c>
      <c r="CO249" s="3">
        <f>IF(OR(CI249="",ISBLANK(CI249),CI249=0),0,IF(MOD(CI249,2)=1,1,2))</f>
        <v>0</v>
      </c>
      <c r="CP249" s="3">
        <f>IF(OR(CJ249="",ISBLANK(CJ249),CJ249=0),0,IF(MOD(CJ249,2)=1,1,2))</f>
        <v>0</v>
      </c>
      <c r="CQ249" s="3">
        <f>IF(OR(CK249="",ISBLANK(CK249),CK249=0),0,IF(MOD(CK249,2)=1,1,2))</f>
        <v>0</v>
      </c>
      <c r="CR249" s="3">
        <f>IF(OR(CL249="",ISBLANK(CL249),CL249=0),0,IF(MOD(CL249,2)=1,1,2))</f>
        <v>0</v>
      </c>
      <c r="CS249" s="31"/>
      <c r="CT249" s="3" cm="1">
        <f t="array" ref="CT249">SUMPRODUCT(--(MOD(CH249:CL249,2)=1))</f>
        <v>0</v>
      </c>
      <c r="CU249" s="3">
        <f>5-CT249</f>
        <v>5</v>
      </c>
      <c r="CV249" s="30"/>
      <c r="CW249" s="3" cm="1">
        <f t="array" ref="CW249">SUMPRODUCT(--(MOD(CH249:CL249,10)&gt;=1), --(MOD(CH249:CL249,10)&lt;=5))</f>
        <v>0</v>
      </c>
      <c r="CX249" s="3">
        <f>5-CW249</f>
        <v>5</v>
      </c>
      <c r="CY249" s="30"/>
      <c r="CZ249" s="3" cm="1">
        <f t="array" ref="CZ249">IFERROR(COUNT(_xlfn._xlws.FILTER(CH249:CL249, ISNUMBER(MATCH(CH249:CL249, {2,3,5,7,11,13,17,19,23,29,31,37,41,43}, 0)))), 0)</f>
        <v>0</v>
      </c>
      <c r="DA249" s="3" cm="1">
        <f t="array" ref="DA249">IFERROR(COUNT(_xlfn._xlws.FILTER(CH249:CL249, ISNUMBER(MATCH(CH249:CL249, {1,4,8,10,14,16,20,22,25,26,28,32,34,35,38,40,44}, 0)))), 0)</f>
        <v>0</v>
      </c>
      <c r="DB249" s="3" cm="1">
        <f t="array" ref="DB249">IFERROR(COUNT(_xlfn._xlws.FILTER(CH249:CL249, ISNUMBER(MATCH(CH249:CL249, {6,9,12,15,18,21,24,27,30,33,36,39,42,45}, 0)))), 0)</f>
        <v>0</v>
      </c>
      <c r="DC249" s="29"/>
      <c r="DD249" s="28" t="e">
        <f>#REF!</f>
        <v>#REF!</v>
      </c>
      <c r="DE249" s="28" t="e">
        <f>#REF!*2</f>
        <v>#REF!</v>
      </c>
      <c r="DF249" s="28" t="e">
        <f>#REF!</f>
        <v>#REF!</v>
      </c>
      <c r="DG249" s="28" t="e">
        <f>#REF!*2</f>
        <v>#REF!</v>
      </c>
      <c r="DH249" s="28" t="e">
        <f>#REF!</f>
        <v>#REF!</v>
      </c>
      <c r="DI249" s="28" t="e">
        <f>#REF!*2</f>
        <v>#REF!</v>
      </c>
      <c r="DJ249" s="28" t="e">
        <f>#REF!</f>
        <v>#REF!</v>
      </c>
      <c r="DK249" s="28" t="e">
        <f>#REF!*2</f>
        <v>#REF!</v>
      </c>
      <c r="DL249" s="28" t="e">
        <f>#REF!</f>
        <v>#REF!</v>
      </c>
      <c r="DM249" s="28" t="e">
        <f>#REF!*2</f>
        <v>#REF!</v>
      </c>
      <c r="DN249" s="27"/>
      <c r="DO249" s="26"/>
      <c r="DP249" s="26"/>
      <c r="DQ249" s="26"/>
      <c r="DR249" s="26"/>
      <c r="DS249" s="26"/>
      <c r="DT249" s="25"/>
    </row>
    <row r="250" spans="2:124" x14ac:dyDescent="0.3">
      <c r="B250" s="3">
        <v>0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2"/>
      <c r="I250" s="3">
        <f>IF(OR(B250="",ISBLANK(B250),B250=0),0,IF(MOD(B250,2)=1,1,2))</f>
        <v>0</v>
      </c>
      <c r="J250" s="3">
        <f>IF(OR(C250="",ISBLANK(C250),C250=0),0,IF(MOD(C250,2)=1,1,2))</f>
        <v>0</v>
      </c>
      <c r="K250" s="3">
        <f>IF(OR(D250="",ISBLANK(D250),D250=0),0,IF(MOD(D250,2)=1,1,2))</f>
        <v>0</v>
      </c>
      <c r="L250" s="3">
        <f>IF(OR(E250="",ISBLANK(E250),E250=0),0,IF(MOD(E250,2)=1,1,2))</f>
        <v>0</v>
      </c>
      <c r="M250" s="3">
        <f>IF(OR(F250="",ISBLANK(F250),F250=0),0,IF(MOD(F250,2)=1,1,2))</f>
        <v>0</v>
      </c>
      <c r="N250" s="3">
        <f>IF(OR(G250="",ISBLANK(G250),G250=0),0,IF(MOD(G250,2)=1,1,2))</f>
        <v>0</v>
      </c>
      <c r="O250" s="32"/>
      <c r="P250" s="3" cm="1">
        <f t="array" ref="P250">SUMPRODUCT(--(MOD(B250:G250,2)=1))</f>
        <v>0</v>
      </c>
      <c r="Q250" s="3">
        <f>6-P250</f>
        <v>6</v>
      </c>
      <c r="R250" s="34"/>
      <c r="S250" s="3">
        <f>COUNTIFS(B250:G250,"&gt;=1",B250:G250,"&lt;=23")</f>
        <v>0</v>
      </c>
      <c r="T250" s="3">
        <f>6-S250</f>
        <v>6</v>
      </c>
      <c r="U250" s="34"/>
      <c r="V250" s="3" cm="1">
        <f t="array" ref="V250">SUMPRODUCT(--(MOD(B250:G250,10)&gt;=1), --(MOD(B250:G250,10)&lt;=5))</f>
        <v>0</v>
      </c>
      <c r="W250" s="3">
        <f>6-V250</f>
        <v>6</v>
      </c>
      <c r="X250" s="34"/>
      <c r="Y250" s="3" cm="1">
        <f t="array" ref="Y250">IFERROR(COUNT(_xlfn._xlws.FILTER(B250:G250, ISNUMBER(MATCH(B250:G250, {2,3,5,7,11,13,17,19,23,29,31,37,41,43}, 0)))), 0)</f>
        <v>0</v>
      </c>
      <c r="Z250" s="3" cm="1">
        <f t="array" ref="Z250">IFERROR(COUNT(_xlfn._xlws.FILTER(B250:G250, ISNUMBER(MATCH(B250:G250, {1,4,8,10,14,16,20,22,25,26,28,32,34,35,38,40,44}, 0)))), 0)</f>
        <v>0</v>
      </c>
      <c r="AA250" s="3" cm="1">
        <f t="array" ref="AA250">IFERROR(COUNT(_xlfn._xlws.FILTER(B250:G250, ISNUMBER(MATCH(B250:G250, {6,9,12,15,18,21,24,27,30,33,36,39,42,45}, 0)))), 0)</f>
        <v>0</v>
      </c>
      <c r="AB250" s="30"/>
      <c r="AC250" s="26" cm="1">
        <f t="array" ref="AC250">_xlfn.IFS(
   OR(B250="",ISBLANK(B250),B250=0),0,
   ISNUMBER(MATCH(B250,{2,3,5,7,11,13,17,19,23,29,31,37,41,43},0)),"소",
   AND(ISNUMBER(B250),MOD(B250,3)=0),"배",
   AND(ISNUMBER(B250),B250&gt;0),"자"
)</f>
        <v>0</v>
      </c>
      <c r="AD250" s="26" cm="1">
        <f t="array" ref="AD250">_xlfn.IFS(
   OR(C250="",ISBLANK(C250),C250=0),0,
   ISNUMBER(MATCH(C250,{2,3,5,7,11,13,17,19,23,29,31,37,41,43},0)),"소",
   AND(ISNUMBER(C250),MOD(C250,3)=0),"배",
   AND(ISNUMBER(C250),C250&gt;0),"자"
)</f>
        <v>0</v>
      </c>
      <c r="AE250" s="26" cm="1">
        <f t="array" ref="AE250">_xlfn.IFS(
   OR(D250="",ISBLANK(D250),D250=0),0,
   ISNUMBER(MATCH(D250,{2,3,5,7,11,13,17,19,23,29,31,37,41,43},0)),"소",
   AND(ISNUMBER(D250),MOD(D250,3)=0),"배",
   AND(ISNUMBER(D250),D250&gt;0),"자"
)</f>
        <v>0</v>
      </c>
      <c r="AF250" s="26" cm="1">
        <f t="array" ref="AF250">_xlfn.IFS(
   OR(E250="",ISBLANK(E250),E250=0),0,
   ISNUMBER(MATCH(E250,{2,3,5,7,11,13,17,19,23,29,31,37,41,43},0)),"소",
   AND(ISNUMBER(E250),MOD(E250,3)=0),"배",
   AND(ISNUMBER(E250),E250&gt;0),"자"
)</f>
        <v>0</v>
      </c>
      <c r="AG250" s="26" cm="1">
        <f t="array" ref="AG250">_xlfn.IFS(
   OR(F250="",ISBLANK(F250),F250=0),0,
   ISNUMBER(MATCH(F250,{2,3,5,7,11,13,17,19,23,29,31,37,41,43},0)),"소",
   AND(ISNUMBER(F250),MOD(F250,3)=0),"배",
   AND(ISNUMBER(F250),F250&gt;0),"자"
)</f>
        <v>0</v>
      </c>
      <c r="AH250" s="26" cm="1">
        <f t="array" ref="AH250">_xlfn.IFS(
   OR(G250="",ISBLANK(G250),G250=0),0,
   ISNUMBER(MATCH(G250,{2,3,5,7,11,13,17,19,23,29,31,37,41,43},0)),"소",
   AND(ISNUMBER(G250),MOD(G250,3)=0),"배",
   AND(ISNUMBER(G250),G250&gt;0),"자"
)</f>
        <v>0</v>
      </c>
      <c r="AI250" s="30"/>
      <c r="AJ250" s="3">
        <f>COUNTIFS(B250:G250,"&gt;=1",B250:G250,"&lt;=14")</f>
        <v>0</v>
      </c>
      <c r="AK250" s="3">
        <f>COUNTIFS(B250:G250,"&gt;=15",B250:G250,"&lt;=31")</f>
        <v>0</v>
      </c>
      <c r="AL250" s="3">
        <f>6-AK250-AJ250</f>
        <v>6</v>
      </c>
      <c r="AM250" s="33"/>
      <c r="AN250" s="3">
        <f>COUNTIFS($B250:$G250, "&gt;=1",$B250:$G250, "&lt;=9")</f>
        <v>0</v>
      </c>
      <c r="AO250" s="3">
        <f>COUNTIFS($B250:$G250, "&gt;=10",$B250:$G250, "&lt;=18")</f>
        <v>0</v>
      </c>
      <c r="AP250" s="3">
        <f>COUNTIFS($B250:$G250, "&gt;=19",$B250:$G250, "&lt;=27")</f>
        <v>0</v>
      </c>
      <c r="AQ250" s="3">
        <f>COUNTIFS($B250:$G250, "&gt;=28",$B250:$G250, "&lt;=36")</f>
        <v>0</v>
      </c>
      <c r="AR250" s="3">
        <f>COUNTIFS($B250:$G250, "&gt;=37",$B250:$G250, "&lt;=45")</f>
        <v>0</v>
      </c>
      <c r="AS250" s="28" t="e">
        <f>#REF!</f>
        <v>#REF!</v>
      </c>
      <c r="AT250" s="28" t="e">
        <f>#REF!*2</f>
        <v>#REF!</v>
      </c>
      <c r="AU250" s="28" t="e">
        <f>#REF!</f>
        <v>#REF!</v>
      </c>
      <c r="AV250" s="28" t="e">
        <f>#REF!*2</f>
        <v>#REF!</v>
      </c>
      <c r="AW250" s="28" t="e">
        <f>#REF!</f>
        <v>#REF!</v>
      </c>
      <c r="AX250" s="28" t="e">
        <f>#REF!*2</f>
        <v>#REF!</v>
      </c>
      <c r="AY250" s="28" t="e">
        <f>#REF!</f>
        <v>#REF!</v>
      </c>
      <c r="AZ250" s="28" t="e">
        <f>#REF!*2</f>
        <v>#REF!</v>
      </c>
      <c r="BA250" s="28" t="e">
        <f>#REF!</f>
        <v>#REF!</v>
      </c>
      <c r="BB250" s="28" t="e">
        <f>#REF!*2</f>
        <v>#REF!</v>
      </c>
      <c r="BC250" s="28" t="e">
        <f>#REF!</f>
        <v>#REF!</v>
      </c>
      <c r="BD250" s="28" t="e">
        <f>#REF!*2</f>
        <v>#REF!</v>
      </c>
      <c r="BE250" s="9" t="e">
        <f>#REF!-#REF!</f>
        <v>#REF!</v>
      </c>
      <c r="BF250" s="9" t="e">
        <f>#REF!-#REF!</f>
        <v>#REF!</v>
      </c>
      <c r="BG250" s="9" t="e">
        <f>#REF!-#REF!</f>
        <v>#REF!</v>
      </c>
      <c r="BH250" s="9" t="e">
        <f>#REF!-#REF!</f>
        <v>#REF!</v>
      </c>
      <c r="BI250" s="9" t="e">
        <f>#REF!-#REF!</f>
        <v>#REF!</v>
      </c>
      <c r="BJ250" s="33"/>
      <c r="BK250" s="3">
        <f>COUNTIFS(B250:G250, "&gt;=1", B250:G250, "&lt;=9")</f>
        <v>0</v>
      </c>
      <c r="BL250" s="3">
        <f>COUNTIFS(B250:G250, "&gt;=10", B250:G250, "&lt;=19")</f>
        <v>0</v>
      </c>
      <c r="BM250" s="3">
        <f>COUNTIFS(B250:G250, "&gt;=20", B250:G250, "&lt;=29")</f>
        <v>0</v>
      </c>
      <c r="BN250" s="3">
        <f>COUNTIFS(B250:G250, "&gt;=30", B250:G250, "&lt;=39")</f>
        <v>0</v>
      </c>
      <c r="BO250" s="3">
        <f>COUNTIFS(B250:G250, "&gt;=40", B250:G250, "&lt;=45")</f>
        <v>0</v>
      </c>
      <c r="BP250" s="28" t="e">
        <f>#REF!</f>
        <v>#REF!</v>
      </c>
      <c r="BQ250" s="28" t="e">
        <f>#REF!*2</f>
        <v>#REF!</v>
      </c>
      <c r="BR250" s="28" t="e">
        <f>#REF!</f>
        <v>#REF!</v>
      </c>
      <c r="BS250" s="28" t="e">
        <f>#REF!*2</f>
        <v>#REF!</v>
      </c>
      <c r="BT250" s="28" t="e">
        <f>#REF!</f>
        <v>#REF!</v>
      </c>
      <c r="BU250" s="28" t="e">
        <f>#REF!*2</f>
        <v>#REF!</v>
      </c>
      <c r="BV250" s="28" t="e">
        <f>#REF!</f>
        <v>#REF!</v>
      </c>
      <c r="BW250" s="28" t="e">
        <f>#REF!*2</f>
        <v>#REF!</v>
      </c>
      <c r="BX250" s="28" t="e">
        <f>#REF!</f>
        <v>#REF!</v>
      </c>
      <c r="BY250" s="28" t="e">
        <f>#REF!*2</f>
        <v>#REF!</v>
      </c>
      <c r="BZ250" s="28" t="e">
        <f>#REF!</f>
        <v>#REF!</v>
      </c>
      <c r="CA250" s="28" t="e">
        <f>#REF!*2</f>
        <v>#REF!</v>
      </c>
      <c r="CB250" s="9">
        <f>C250-B250</f>
        <v>0</v>
      </c>
      <c r="CC250" s="9">
        <f>D250-C250</f>
        <v>0</v>
      </c>
      <c r="CD250" s="9">
        <f>E250-D250</f>
        <v>0</v>
      </c>
      <c r="CE250" s="9">
        <f>F250-E250</f>
        <v>0</v>
      </c>
      <c r="CF250" s="9">
        <f>G250-F250</f>
        <v>0</v>
      </c>
      <c r="CG250" s="33"/>
      <c r="CH250" s="3">
        <f>C250-B250</f>
        <v>0</v>
      </c>
      <c r="CI250" s="3">
        <f>D250-C250</f>
        <v>0</v>
      </c>
      <c r="CJ250" s="3">
        <f>E250-D250</f>
        <v>0</v>
      </c>
      <c r="CK250" s="3">
        <f>F250-E250</f>
        <v>0</v>
      </c>
      <c r="CL250" s="3">
        <f>G250-F250</f>
        <v>0</v>
      </c>
      <c r="CM250" s="32"/>
      <c r="CN250" s="3">
        <f>IF(OR(CH250="",ISBLANK(CH250),CH250=0),0,IF(MOD(CH250,2)=1,1,2))</f>
        <v>0</v>
      </c>
      <c r="CO250" s="3">
        <f>IF(OR(CI250="",ISBLANK(CI250),CI250=0),0,IF(MOD(CI250,2)=1,1,2))</f>
        <v>0</v>
      </c>
      <c r="CP250" s="3">
        <f>IF(OR(CJ250="",ISBLANK(CJ250),CJ250=0),0,IF(MOD(CJ250,2)=1,1,2))</f>
        <v>0</v>
      </c>
      <c r="CQ250" s="3">
        <f>IF(OR(CK250="",ISBLANK(CK250),CK250=0),0,IF(MOD(CK250,2)=1,1,2))</f>
        <v>0</v>
      </c>
      <c r="CR250" s="3">
        <f>IF(OR(CL250="",ISBLANK(CL250),CL250=0),0,IF(MOD(CL250,2)=1,1,2))</f>
        <v>0</v>
      </c>
      <c r="CS250" s="31"/>
      <c r="CT250" s="3" cm="1">
        <f t="array" ref="CT250">SUMPRODUCT(--(MOD(CH250:CL250,2)=1))</f>
        <v>0</v>
      </c>
      <c r="CU250" s="3">
        <f>5-CT250</f>
        <v>5</v>
      </c>
      <c r="CV250" s="30"/>
      <c r="CW250" s="3" cm="1">
        <f t="array" ref="CW250">SUMPRODUCT(--(MOD(CH250:CL250,10)&gt;=1), --(MOD(CH250:CL250,10)&lt;=5))</f>
        <v>0</v>
      </c>
      <c r="CX250" s="3">
        <f>5-CW250</f>
        <v>5</v>
      </c>
      <c r="CY250" s="30"/>
      <c r="CZ250" s="3" cm="1">
        <f t="array" ref="CZ250">IFERROR(COUNT(_xlfn._xlws.FILTER(CH250:CL250, ISNUMBER(MATCH(CH250:CL250, {2,3,5,7,11,13,17,19,23,29,31,37,41,43}, 0)))), 0)</f>
        <v>0</v>
      </c>
      <c r="DA250" s="3" cm="1">
        <f t="array" ref="DA250">IFERROR(COUNT(_xlfn._xlws.FILTER(CH250:CL250, ISNUMBER(MATCH(CH250:CL250, {1,4,8,10,14,16,20,22,25,26,28,32,34,35,38,40,44}, 0)))), 0)</f>
        <v>0</v>
      </c>
      <c r="DB250" s="3" cm="1">
        <f t="array" ref="DB250">IFERROR(COUNT(_xlfn._xlws.FILTER(CH250:CL250, ISNUMBER(MATCH(CH250:CL250, {6,9,12,15,18,21,24,27,30,33,36,39,42,45}, 0)))), 0)</f>
        <v>0</v>
      </c>
      <c r="DC250" s="29"/>
      <c r="DD250" s="28" t="e">
        <f>#REF!</f>
        <v>#REF!</v>
      </c>
      <c r="DE250" s="28" t="e">
        <f>#REF!*2</f>
        <v>#REF!</v>
      </c>
      <c r="DF250" s="28" t="e">
        <f>#REF!</f>
        <v>#REF!</v>
      </c>
      <c r="DG250" s="28" t="e">
        <f>#REF!*2</f>
        <v>#REF!</v>
      </c>
      <c r="DH250" s="28" t="e">
        <f>#REF!</f>
        <v>#REF!</v>
      </c>
      <c r="DI250" s="28" t="e">
        <f>#REF!*2</f>
        <v>#REF!</v>
      </c>
      <c r="DJ250" s="28" t="e">
        <f>#REF!</f>
        <v>#REF!</v>
      </c>
      <c r="DK250" s="28" t="e">
        <f>#REF!*2</f>
        <v>#REF!</v>
      </c>
      <c r="DL250" s="28" t="e">
        <f>#REF!</f>
        <v>#REF!</v>
      </c>
      <c r="DM250" s="28" t="e">
        <f>#REF!*2</f>
        <v>#REF!</v>
      </c>
      <c r="DN250" s="27"/>
      <c r="DO250" s="26"/>
      <c r="DP250" s="26"/>
      <c r="DQ250" s="26"/>
      <c r="DR250" s="26"/>
      <c r="DS250" s="26"/>
      <c r="DT250" s="25"/>
    </row>
    <row r="251" spans="2:124" x14ac:dyDescent="0.3">
      <c r="B251" s="3">
        <v>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2"/>
      <c r="I251" s="3">
        <f>IF(OR(B251="",ISBLANK(B251),B251=0),0,IF(MOD(B251,2)=1,1,2))</f>
        <v>0</v>
      </c>
      <c r="J251" s="3">
        <f>IF(OR(C251="",ISBLANK(C251),C251=0),0,IF(MOD(C251,2)=1,1,2))</f>
        <v>0</v>
      </c>
      <c r="K251" s="3">
        <f>IF(OR(D251="",ISBLANK(D251),D251=0),0,IF(MOD(D251,2)=1,1,2))</f>
        <v>0</v>
      </c>
      <c r="L251" s="3">
        <f>IF(OR(E251="",ISBLANK(E251),E251=0),0,IF(MOD(E251,2)=1,1,2))</f>
        <v>0</v>
      </c>
      <c r="M251" s="3">
        <f>IF(OR(F251="",ISBLANK(F251),F251=0),0,IF(MOD(F251,2)=1,1,2))</f>
        <v>0</v>
      </c>
      <c r="N251" s="3">
        <f>IF(OR(G251="",ISBLANK(G251),G251=0),0,IF(MOD(G251,2)=1,1,2))</f>
        <v>0</v>
      </c>
      <c r="O251" s="32"/>
      <c r="P251" s="3" cm="1">
        <f t="array" ref="P251">SUMPRODUCT(--(MOD(B251:G251,2)=1))</f>
        <v>0</v>
      </c>
      <c r="Q251" s="3">
        <f>6-P251</f>
        <v>6</v>
      </c>
      <c r="R251" s="34"/>
      <c r="S251" s="3">
        <f>COUNTIFS(B251:G251,"&gt;=1",B251:G251,"&lt;=23")</f>
        <v>0</v>
      </c>
      <c r="T251" s="3">
        <f>6-S251</f>
        <v>6</v>
      </c>
      <c r="U251" s="34"/>
      <c r="V251" s="3" cm="1">
        <f t="array" ref="V251">SUMPRODUCT(--(MOD(B251:G251,10)&gt;=1), --(MOD(B251:G251,10)&lt;=5))</f>
        <v>0</v>
      </c>
      <c r="W251" s="3">
        <f>6-V251</f>
        <v>6</v>
      </c>
      <c r="X251" s="34"/>
      <c r="Y251" s="3" cm="1">
        <f t="array" ref="Y251">IFERROR(COUNT(_xlfn._xlws.FILTER(B251:G251, ISNUMBER(MATCH(B251:G251, {2,3,5,7,11,13,17,19,23,29,31,37,41,43}, 0)))), 0)</f>
        <v>0</v>
      </c>
      <c r="Z251" s="3" cm="1">
        <f t="array" ref="Z251">IFERROR(COUNT(_xlfn._xlws.FILTER(B251:G251, ISNUMBER(MATCH(B251:G251, {1,4,8,10,14,16,20,22,25,26,28,32,34,35,38,40,44}, 0)))), 0)</f>
        <v>0</v>
      </c>
      <c r="AA251" s="3" cm="1">
        <f t="array" ref="AA251">IFERROR(COUNT(_xlfn._xlws.FILTER(B251:G251, ISNUMBER(MATCH(B251:G251, {6,9,12,15,18,21,24,27,30,33,36,39,42,45}, 0)))), 0)</f>
        <v>0</v>
      </c>
      <c r="AB251" s="30"/>
      <c r="AC251" s="26" cm="1">
        <f t="array" ref="AC251">_xlfn.IFS(
   OR(B251="",ISBLANK(B251),B251=0),0,
   ISNUMBER(MATCH(B251,{2,3,5,7,11,13,17,19,23,29,31,37,41,43},0)),"소",
   AND(ISNUMBER(B251),MOD(B251,3)=0),"배",
   AND(ISNUMBER(B251),B251&gt;0),"자"
)</f>
        <v>0</v>
      </c>
      <c r="AD251" s="26" cm="1">
        <f t="array" ref="AD251">_xlfn.IFS(
   OR(C251="",ISBLANK(C251),C251=0),0,
   ISNUMBER(MATCH(C251,{2,3,5,7,11,13,17,19,23,29,31,37,41,43},0)),"소",
   AND(ISNUMBER(C251),MOD(C251,3)=0),"배",
   AND(ISNUMBER(C251),C251&gt;0),"자"
)</f>
        <v>0</v>
      </c>
      <c r="AE251" s="26" cm="1">
        <f t="array" ref="AE251">_xlfn.IFS(
   OR(D251="",ISBLANK(D251),D251=0),0,
   ISNUMBER(MATCH(D251,{2,3,5,7,11,13,17,19,23,29,31,37,41,43},0)),"소",
   AND(ISNUMBER(D251),MOD(D251,3)=0),"배",
   AND(ISNUMBER(D251),D251&gt;0),"자"
)</f>
        <v>0</v>
      </c>
      <c r="AF251" s="26" cm="1">
        <f t="array" ref="AF251">_xlfn.IFS(
   OR(E251="",ISBLANK(E251),E251=0),0,
   ISNUMBER(MATCH(E251,{2,3,5,7,11,13,17,19,23,29,31,37,41,43},0)),"소",
   AND(ISNUMBER(E251),MOD(E251,3)=0),"배",
   AND(ISNUMBER(E251),E251&gt;0),"자"
)</f>
        <v>0</v>
      </c>
      <c r="AG251" s="26" cm="1">
        <f t="array" ref="AG251">_xlfn.IFS(
   OR(F251="",ISBLANK(F251),F251=0),0,
   ISNUMBER(MATCH(F251,{2,3,5,7,11,13,17,19,23,29,31,37,41,43},0)),"소",
   AND(ISNUMBER(F251),MOD(F251,3)=0),"배",
   AND(ISNUMBER(F251),F251&gt;0),"자"
)</f>
        <v>0</v>
      </c>
      <c r="AH251" s="26" cm="1">
        <f t="array" ref="AH251">_xlfn.IFS(
   OR(G251="",ISBLANK(G251),G251=0),0,
   ISNUMBER(MATCH(G251,{2,3,5,7,11,13,17,19,23,29,31,37,41,43},0)),"소",
   AND(ISNUMBER(G251),MOD(G251,3)=0),"배",
   AND(ISNUMBER(G251),G251&gt;0),"자"
)</f>
        <v>0</v>
      </c>
      <c r="AI251" s="30"/>
      <c r="AJ251" s="3">
        <f>COUNTIFS(B251:G251,"&gt;=1",B251:G251,"&lt;=14")</f>
        <v>0</v>
      </c>
      <c r="AK251" s="3">
        <f>COUNTIFS(B251:G251,"&gt;=15",B251:G251,"&lt;=31")</f>
        <v>0</v>
      </c>
      <c r="AL251" s="3">
        <f>6-AK251-AJ251</f>
        <v>6</v>
      </c>
      <c r="AM251" s="33"/>
      <c r="AN251" s="3">
        <f>COUNTIFS($B251:$G251, "&gt;=1",$B251:$G251, "&lt;=9")</f>
        <v>0</v>
      </c>
      <c r="AO251" s="3">
        <f>COUNTIFS($B251:$G251, "&gt;=10",$B251:$G251, "&lt;=18")</f>
        <v>0</v>
      </c>
      <c r="AP251" s="3">
        <f>COUNTIFS($B251:$G251, "&gt;=19",$B251:$G251, "&lt;=27")</f>
        <v>0</v>
      </c>
      <c r="AQ251" s="3">
        <f>COUNTIFS($B251:$G251, "&gt;=28",$B251:$G251, "&lt;=36")</f>
        <v>0</v>
      </c>
      <c r="AR251" s="3">
        <f>COUNTIFS($B251:$G251, "&gt;=37",$B251:$G251, "&lt;=45")</f>
        <v>0</v>
      </c>
      <c r="AS251" s="28" t="e">
        <f>#REF!</f>
        <v>#REF!</v>
      </c>
      <c r="AT251" s="28" t="e">
        <f>#REF!*2</f>
        <v>#REF!</v>
      </c>
      <c r="AU251" s="28" t="e">
        <f>#REF!</f>
        <v>#REF!</v>
      </c>
      <c r="AV251" s="28" t="e">
        <f>#REF!*2</f>
        <v>#REF!</v>
      </c>
      <c r="AW251" s="28" t="e">
        <f>#REF!</f>
        <v>#REF!</v>
      </c>
      <c r="AX251" s="28" t="e">
        <f>#REF!*2</f>
        <v>#REF!</v>
      </c>
      <c r="AY251" s="28" t="e">
        <f>#REF!</f>
        <v>#REF!</v>
      </c>
      <c r="AZ251" s="28" t="e">
        <f>#REF!*2</f>
        <v>#REF!</v>
      </c>
      <c r="BA251" s="28" t="e">
        <f>#REF!</f>
        <v>#REF!</v>
      </c>
      <c r="BB251" s="28" t="e">
        <f>#REF!*2</f>
        <v>#REF!</v>
      </c>
      <c r="BC251" s="28" t="e">
        <f>#REF!</f>
        <v>#REF!</v>
      </c>
      <c r="BD251" s="28" t="e">
        <f>#REF!*2</f>
        <v>#REF!</v>
      </c>
      <c r="BE251" s="9" t="e">
        <f>#REF!-#REF!</f>
        <v>#REF!</v>
      </c>
      <c r="BF251" s="9" t="e">
        <f>#REF!-#REF!</f>
        <v>#REF!</v>
      </c>
      <c r="BG251" s="9" t="e">
        <f>#REF!-#REF!</f>
        <v>#REF!</v>
      </c>
      <c r="BH251" s="9" t="e">
        <f>#REF!-#REF!</f>
        <v>#REF!</v>
      </c>
      <c r="BI251" s="9" t="e">
        <f>#REF!-#REF!</f>
        <v>#REF!</v>
      </c>
      <c r="BJ251" s="33"/>
      <c r="BK251" s="3">
        <f>COUNTIFS(B251:G251, "&gt;=1", B251:G251, "&lt;=9")</f>
        <v>0</v>
      </c>
      <c r="BL251" s="3">
        <f>COUNTIFS(B251:G251, "&gt;=10", B251:G251, "&lt;=19")</f>
        <v>0</v>
      </c>
      <c r="BM251" s="3">
        <f>COUNTIFS(B251:G251, "&gt;=20", B251:G251, "&lt;=29")</f>
        <v>0</v>
      </c>
      <c r="BN251" s="3">
        <f>COUNTIFS(B251:G251, "&gt;=30", B251:G251, "&lt;=39")</f>
        <v>0</v>
      </c>
      <c r="BO251" s="3">
        <f>COUNTIFS(B251:G251, "&gt;=40", B251:G251, "&lt;=45")</f>
        <v>0</v>
      </c>
      <c r="BP251" s="28" t="e">
        <f>#REF!</f>
        <v>#REF!</v>
      </c>
      <c r="BQ251" s="28" t="e">
        <f>#REF!*2</f>
        <v>#REF!</v>
      </c>
      <c r="BR251" s="28" t="e">
        <f>#REF!</f>
        <v>#REF!</v>
      </c>
      <c r="BS251" s="28" t="e">
        <f>#REF!*2</f>
        <v>#REF!</v>
      </c>
      <c r="BT251" s="28" t="e">
        <f>#REF!</f>
        <v>#REF!</v>
      </c>
      <c r="BU251" s="28" t="e">
        <f>#REF!*2</f>
        <v>#REF!</v>
      </c>
      <c r="BV251" s="28" t="e">
        <f>#REF!</f>
        <v>#REF!</v>
      </c>
      <c r="BW251" s="28" t="e">
        <f>#REF!*2</f>
        <v>#REF!</v>
      </c>
      <c r="BX251" s="28" t="e">
        <f>#REF!</f>
        <v>#REF!</v>
      </c>
      <c r="BY251" s="28" t="e">
        <f>#REF!*2</f>
        <v>#REF!</v>
      </c>
      <c r="BZ251" s="28" t="e">
        <f>#REF!</f>
        <v>#REF!</v>
      </c>
      <c r="CA251" s="28" t="e">
        <f>#REF!*2</f>
        <v>#REF!</v>
      </c>
      <c r="CB251" s="9">
        <f>C251-B251</f>
        <v>0</v>
      </c>
      <c r="CC251" s="9">
        <f>D251-C251</f>
        <v>0</v>
      </c>
      <c r="CD251" s="9">
        <f>E251-D251</f>
        <v>0</v>
      </c>
      <c r="CE251" s="9">
        <f>F251-E251</f>
        <v>0</v>
      </c>
      <c r="CF251" s="9">
        <f>G251-F251</f>
        <v>0</v>
      </c>
      <c r="CG251" s="33"/>
      <c r="CH251" s="3">
        <f>C251-B251</f>
        <v>0</v>
      </c>
      <c r="CI251" s="3">
        <f>D251-C251</f>
        <v>0</v>
      </c>
      <c r="CJ251" s="3">
        <f>E251-D251</f>
        <v>0</v>
      </c>
      <c r="CK251" s="3">
        <f>F251-E251</f>
        <v>0</v>
      </c>
      <c r="CL251" s="3">
        <f>G251-F251</f>
        <v>0</v>
      </c>
      <c r="CM251" s="32"/>
      <c r="CN251" s="3">
        <f>IF(OR(CH251="",ISBLANK(CH251),CH251=0),0,IF(MOD(CH251,2)=1,1,2))</f>
        <v>0</v>
      </c>
      <c r="CO251" s="3">
        <f>IF(OR(CI251="",ISBLANK(CI251),CI251=0),0,IF(MOD(CI251,2)=1,1,2))</f>
        <v>0</v>
      </c>
      <c r="CP251" s="3">
        <f>IF(OR(CJ251="",ISBLANK(CJ251),CJ251=0),0,IF(MOD(CJ251,2)=1,1,2))</f>
        <v>0</v>
      </c>
      <c r="CQ251" s="3">
        <f>IF(OR(CK251="",ISBLANK(CK251),CK251=0),0,IF(MOD(CK251,2)=1,1,2))</f>
        <v>0</v>
      </c>
      <c r="CR251" s="3">
        <f>IF(OR(CL251="",ISBLANK(CL251),CL251=0),0,IF(MOD(CL251,2)=1,1,2))</f>
        <v>0</v>
      </c>
      <c r="CS251" s="31"/>
      <c r="CT251" s="3" cm="1">
        <f t="array" ref="CT251">SUMPRODUCT(--(MOD(CH251:CL251,2)=1))</f>
        <v>0</v>
      </c>
      <c r="CU251" s="3">
        <f>5-CT251</f>
        <v>5</v>
      </c>
      <c r="CV251" s="30"/>
      <c r="CW251" s="3" cm="1">
        <f t="array" ref="CW251">SUMPRODUCT(--(MOD(CH251:CL251,10)&gt;=1), --(MOD(CH251:CL251,10)&lt;=5))</f>
        <v>0</v>
      </c>
      <c r="CX251" s="3">
        <f>5-CW251</f>
        <v>5</v>
      </c>
      <c r="CY251" s="30"/>
      <c r="CZ251" s="3" cm="1">
        <f t="array" ref="CZ251">IFERROR(COUNT(_xlfn._xlws.FILTER(CH251:CL251, ISNUMBER(MATCH(CH251:CL251, {2,3,5,7,11,13,17,19,23,29,31,37,41,43}, 0)))), 0)</f>
        <v>0</v>
      </c>
      <c r="DA251" s="3" cm="1">
        <f t="array" ref="DA251">IFERROR(COUNT(_xlfn._xlws.FILTER(CH251:CL251, ISNUMBER(MATCH(CH251:CL251, {1,4,8,10,14,16,20,22,25,26,28,32,34,35,38,40,44}, 0)))), 0)</f>
        <v>0</v>
      </c>
      <c r="DB251" s="3" cm="1">
        <f t="array" ref="DB251">IFERROR(COUNT(_xlfn._xlws.FILTER(CH251:CL251, ISNUMBER(MATCH(CH251:CL251, {6,9,12,15,18,21,24,27,30,33,36,39,42,45}, 0)))), 0)</f>
        <v>0</v>
      </c>
      <c r="DC251" s="29"/>
      <c r="DD251" s="28" t="e">
        <f>#REF!</f>
        <v>#REF!</v>
      </c>
      <c r="DE251" s="28" t="e">
        <f>#REF!*2</f>
        <v>#REF!</v>
      </c>
      <c r="DF251" s="28" t="e">
        <f>#REF!</f>
        <v>#REF!</v>
      </c>
      <c r="DG251" s="28" t="e">
        <f>#REF!*2</f>
        <v>#REF!</v>
      </c>
      <c r="DH251" s="28" t="e">
        <f>#REF!</f>
        <v>#REF!</v>
      </c>
      <c r="DI251" s="28" t="e">
        <f>#REF!*2</f>
        <v>#REF!</v>
      </c>
      <c r="DJ251" s="28" t="e">
        <f>#REF!</f>
        <v>#REF!</v>
      </c>
      <c r="DK251" s="28" t="e">
        <f>#REF!*2</f>
        <v>#REF!</v>
      </c>
      <c r="DL251" s="28" t="e">
        <f>#REF!</f>
        <v>#REF!</v>
      </c>
      <c r="DM251" s="28" t="e">
        <f>#REF!*2</f>
        <v>#REF!</v>
      </c>
      <c r="DN251" s="27"/>
      <c r="DO251" s="26"/>
      <c r="DP251" s="26"/>
      <c r="DQ251" s="26"/>
      <c r="DR251" s="26"/>
      <c r="DS251" s="26"/>
      <c r="DT251" s="25"/>
    </row>
    <row r="252" spans="2:124" x14ac:dyDescent="0.3">
      <c r="B252" s="3">
        <v>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2"/>
      <c r="I252" s="3">
        <f>IF(OR(B252="",ISBLANK(B252),B252=0),0,IF(MOD(B252,2)=1,1,2))</f>
        <v>0</v>
      </c>
      <c r="J252" s="3">
        <f>IF(OR(C252="",ISBLANK(C252),C252=0),0,IF(MOD(C252,2)=1,1,2))</f>
        <v>0</v>
      </c>
      <c r="K252" s="3">
        <f>IF(OR(D252="",ISBLANK(D252),D252=0),0,IF(MOD(D252,2)=1,1,2))</f>
        <v>0</v>
      </c>
      <c r="L252" s="3">
        <f>IF(OR(E252="",ISBLANK(E252),E252=0),0,IF(MOD(E252,2)=1,1,2))</f>
        <v>0</v>
      </c>
      <c r="M252" s="3">
        <f>IF(OR(F252="",ISBLANK(F252),F252=0),0,IF(MOD(F252,2)=1,1,2))</f>
        <v>0</v>
      </c>
      <c r="N252" s="3">
        <f>IF(OR(G252="",ISBLANK(G252),G252=0),0,IF(MOD(G252,2)=1,1,2))</f>
        <v>0</v>
      </c>
      <c r="O252" s="32"/>
      <c r="P252" s="3" cm="1">
        <f t="array" ref="P252">SUMPRODUCT(--(MOD(B252:G252,2)=1))</f>
        <v>0</v>
      </c>
      <c r="Q252" s="3">
        <f>6-P252</f>
        <v>6</v>
      </c>
      <c r="R252" s="34"/>
      <c r="S252" s="3">
        <f>COUNTIFS(B252:G252,"&gt;=1",B252:G252,"&lt;=23")</f>
        <v>0</v>
      </c>
      <c r="T252" s="3">
        <f>6-S252</f>
        <v>6</v>
      </c>
      <c r="U252" s="34"/>
      <c r="V252" s="3" cm="1">
        <f t="array" ref="V252">SUMPRODUCT(--(MOD(B252:G252,10)&gt;=1), --(MOD(B252:G252,10)&lt;=5))</f>
        <v>0</v>
      </c>
      <c r="W252" s="3">
        <f>6-V252</f>
        <v>6</v>
      </c>
      <c r="X252" s="34"/>
      <c r="Y252" s="3" cm="1">
        <f t="array" ref="Y252">IFERROR(COUNT(_xlfn._xlws.FILTER(B252:G252, ISNUMBER(MATCH(B252:G252, {2,3,5,7,11,13,17,19,23,29,31,37,41,43}, 0)))), 0)</f>
        <v>0</v>
      </c>
      <c r="Z252" s="3" cm="1">
        <f t="array" ref="Z252">IFERROR(COUNT(_xlfn._xlws.FILTER(B252:G252, ISNUMBER(MATCH(B252:G252, {1,4,8,10,14,16,20,22,25,26,28,32,34,35,38,40,44}, 0)))), 0)</f>
        <v>0</v>
      </c>
      <c r="AA252" s="3" cm="1">
        <f t="array" ref="AA252">IFERROR(COUNT(_xlfn._xlws.FILTER(B252:G252, ISNUMBER(MATCH(B252:G252, {6,9,12,15,18,21,24,27,30,33,36,39,42,45}, 0)))), 0)</f>
        <v>0</v>
      </c>
      <c r="AB252" s="30"/>
      <c r="AC252" s="26" cm="1">
        <f t="array" ref="AC252">_xlfn.IFS(
   OR(B252="",ISBLANK(B252),B252=0),0,
   ISNUMBER(MATCH(B252,{2,3,5,7,11,13,17,19,23,29,31,37,41,43},0)),"소",
   AND(ISNUMBER(B252),MOD(B252,3)=0),"배",
   AND(ISNUMBER(B252),B252&gt;0),"자"
)</f>
        <v>0</v>
      </c>
      <c r="AD252" s="26" cm="1">
        <f t="array" ref="AD252">_xlfn.IFS(
   OR(C252="",ISBLANK(C252),C252=0),0,
   ISNUMBER(MATCH(C252,{2,3,5,7,11,13,17,19,23,29,31,37,41,43},0)),"소",
   AND(ISNUMBER(C252),MOD(C252,3)=0),"배",
   AND(ISNUMBER(C252),C252&gt;0),"자"
)</f>
        <v>0</v>
      </c>
      <c r="AE252" s="26" cm="1">
        <f t="array" ref="AE252">_xlfn.IFS(
   OR(D252="",ISBLANK(D252),D252=0),0,
   ISNUMBER(MATCH(D252,{2,3,5,7,11,13,17,19,23,29,31,37,41,43},0)),"소",
   AND(ISNUMBER(D252),MOD(D252,3)=0),"배",
   AND(ISNUMBER(D252),D252&gt;0),"자"
)</f>
        <v>0</v>
      </c>
      <c r="AF252" s="26" cm="1">
        <f t="array" ref="AF252">_xlfn.IFS(
   OR(E252="",ISBLANK(E252),E252=0),0,
   ISNUMBER(MATCH(E252,{2,3,5,7,11,13,17,19,23,29,31,37,41,43},0)),"소",
   AND(ISNUMBER(E252),MOD(E252,3)=0),"배",
   AND(ISNUMBER(E252),E252&gt;0),"자"
)</f>
        <v>0</v>
      </c>
      <c r="AG252" s="26" cm="1">
        <f t="array" ref="AG252">_xlfn.IFS(
   OR(F252="",ISBLANK(F252),F252=0),0,
   ISNUMBER(MATCH(F252,{2,3,5,7,11,13,17,19,23,29,31,37,41,43},0)),"소",
   AND(ISNUMBER(F252),MOD(F252,3)=0),"배",
   AND(ISNUMBER(F252),F252&gt;0),"자"
)</f>
        <v>0</v>
      </c>
      <c r="AH252" s="26" cm="1">
        <f t="array" ref="AH252">_xlfn.IFS(
   OR(G252="",ISBLANK(G252),G252=0),0,
   ISNUMBER(MATCH(G252,{2,3,5,7,11,13,17,19,23,29,31,37,41,43},0)),"소",
   AND(ISNUMBER(G252),MOD(G252,3)=0),"배",
   AND(ISNUMBER(G252),G252&gt;0),"자"
)</f>
        <v>0</v>
      </c>
      <c r="AI252" s="30"/>
      <c r="AJ252" s="3">
        <f>COUNTIFS(B252:G252,"&gt;=1",B252:G252,"&lt;=14")</f>
        <v>0</v>
      </c>
      <c r="AK252" s="3">
        <f>COUNTIFS(B252:G252,"&gt;=15",B252:G252,"&lt;=31")</f>
        <v>0</v>
      </c>
      <c r="AL252" s="3">
        <f>6-AK252-AJ252</f>
        <v>6</v>
      </c>
      <c r="AM252" s="33"/>
      <c r="AN252" s="3">
        <f>COUNTIFS($B252:$G252, "&gt;=1",$B252:$G252, "&lt;=9")</f>
        <v>0</v>
      </c>
      <c r="AO252" s="3">
        <f>COUNTIFS($B252:$G252, "&gt;=10",$B252:$G252, "&lt;=18")</f>
        <v>0</v>
      </c>
      <c r="AP252" s="3">
        <f>COUNTIFS($B252:$G252, "&gt;=19",$B252:$G252, "&lt;=27")</f>
        <v>0</v>
      </c>
      <c r="AQ252" s="3">
        <f>COUNTIFS($B252:$G252, "&gt;=28",$B252:$G252, "&lt;=36")</f>
        <v>0</v>
      </c>
      <c r="AR252" s="3">
        <f>COUNTIFS($B252:$G252, "&gt;=37",$B252:$G252, "&lt;=45")</f>
        <v>0</v>
      </c>
      <c r="AS252" s="28" t="e">
        <f>#REF!</f>
        <v>#REF!</v>
      </c>
      <c r="AT252" s="28" t="e">
        <f>#REF!*2</f>
        <v>#REF!</v>
      </c>
      <c r="AU252" s="28" t="e">
        <f>#REF!</f>
        <v>#REF!</v>
      </c>
      <c r="AV252" s="28" t="e">
        <f>#REF!*2</f>
        <v>#REF!</v>
      </c>
      <c r="AW252" s="28" t="e">
        <f>#REF!</f>
        <v>#REF!</v>
      </c>
      <c r="AX252" s="28" t="e">
        <f>#REF!*2</f>
        <v>#REF!</v>
      </c>
      <c r="AY252" s="28" t="e">
        <f>#REF!</f>
        <v>#REF!</v>
      </c>
      <c r="AZ252" s="28" t="e">
        <f>#REF!*2</f>
        <v>#REF!</v>
      </c>
      <c r="BA252" s="28" t="e">
        <f>#REF!</f>
        <v>#REF!</v>
      </c>
      <c r="BB252" s="28" t="e">
        <f>#REF!*2</f>
        <v>#REF!</v>
      </c>
      <c r="BC252" s="28" t="e">
        <f>#REF!</f>
        <v>#REF!</v>
      </c>
      <c r="BD252" s="28" t="e">
        <f>#REF!*2</f>
        <v>#REF!</v>
      </c>
      <c r="BE252" s="9" t="e">
        <f>#REF!-#REF!</f>
        <v>#REF!</v>
      </c>
      <c r="BF252" s="9" t="e">
        <f>#REF!-#REF!</f>
        <v>#REF!</v>
      </c>
      <c r="BG252" s="9" t="e">
        <f>#REF!-#REF!</f>
        <v>#REF!</v>
      </c>
      <c r="BH252" s="9" t="e">
        <f>#REF!-#REF!</f>
        <v>#REF!</v>
      </c>
      <c r="BI252" s="9" t="e">
        <f>#REF!-#REF!</f>
        <v>#REF!</v>
      </c>
      <c r="BJ252" s="33"/>
      <c r="BK252" s="3">
        <f>COUNTIFS(B252:G252, "&gt;=1", B252:G252, "&lt;=9")</f>
        <v>0</v>
      </c>
      <c r="BL252" s="3">
        <f>COUNTIFS(B252:G252, "&gt;=10", B252:G252, "&lt;=19")</f>
        <v>0</v>
      </c>
      <c r="BM252" s="3">
        <f>COUNTIFS(B252:G252, "&gt;=20", B252:G252, "&lt;=29")</f>
        <v>0</v>
      </c>
      <c r="BN252" s="3">
        <f>COUNTIFS(B252:G252, "&gt;=30", B252:G252, "&lt;=39")</f>
        <v>0</v>
      </c>
      <c r="BO252" s="3">
        <f>COUNTIFS(B252:G252, "&gt;=40", B252:G252, "&lt;=45")</f>
        <v>0</v>
      </c>
      <c r="BP252" s="28" t="e">
        <f>#REF!</f>
        <v>#REF!</v>
      </c>
      <c r="BQ252" s="28" t="e">
        <f>#REF!*2</f>
        <v>#REF!</v>
      </c>
      <c r="BR252" s="28" t="e">
        <f>#REF!</f>
        <v>#REF!</v>
      </c>
      <c r="BS252" s="28" t="e">
        <f>#REF!*2</f>
        <v>#REF!</v>
      </c>
      <c r="BT252" s="28" t="e">
        <f>#REF!</f>
        <v>#REF!</v>
      </c>
      <c r="BU252" s="28" t="e">
        <f>#REF!*2</f>
        <v>#REF!</v>
      </c>
      <c r="BV252" s="28" t="e">
        <f>#REF!</f>
        <v>#REF!</v>
      </c>
      <c r="BW252" s="28" t="e">
        <f>#REF!*2</f>
        <v>#REF!</v>
      </c>
      <c r="BX252" s="28" t="e">
        <f>#REF!</f>
        <v>#REF!</v>
      </c>
      <c r="BY252" s="28" t="e">
        <f>#REF!*2</f>
        <v>#REF!</v>
      </c>
      <c r="BZ252" s="28" t="e">
        <f>#REF!</f>
        <v>#REF!</v>
      </c>
      <c r="CA252" s="28" t="e">
        <f>#REF!*2</f>
        <v>#REF!</v>
      </c>
      <c r="CB252" s="9">
        <f>C252-B252</f>
        <v>0</v>
      </c>
      <c r="CC252" s="9">
        <f>D252-C252</f>
        <v>0</v>
      </c>
      <c r="CD252" s="9">
        <f>E252-D252</f>
        <v>0</v>
      </c>
      <c r="CE252" s="9">
        <f>F252-E252</f>
        <v>0</v>
      </c>
      <c r="CF252" s="9">
        <f>G252-F252</f>
        <v>0</v>
      </c>
      <c r="CG252" s="33"/>
      <c r="CH252" s="3">
        <f>C252-B252</f>
        <v>0</v>
      </c>
      <c r="CI252" s="3">
        <f>D252-C252</f>
        <v>0</v>
      </c>
      <c r="CJ252" s="3">
        <f>E252-D252</f>
        <v>0</v>
      </c>
      <c r="CK252" s="3">
        <f>F252-E252</f>
        <v>0</v>
      </c>
      <c r="CL252" s="3">
        <f>G252-F252</f>
        <v>0</v>
      </c>
      <c r="CM252" s="32"/>
      <c r="CN252" s="3">
        <f>IF(OR(CH252="",ISBLANK(CH252),CH252=0),0,IF(MOD(CH252,2)=1,1,2))</f>
        <v>0</v>
      </c>
      <c r="CO252" s="3">
        <f>IF(OR(CI252="",ISBLANK(CI252),CI252=0),0,IF(MOD(CI252,2)=1,1,2))</f>
        <v>0</v>
      </c>
      <c r="CP252" s="3">
        <f>IF(OR(CJ252="",ISBLANK(CJ252),CJ252=0),0,IF(MOD(CJ252,2)=1,1,2))</f>
        <v>0</v>
      </c>
      <c r="CQ252" s="3">
        <f>IF(OR(CK252="",ISBLANK(CK252),CK252=0),0,IF(MOD(CK252,2)=1,1,2))</f>
        <v>0</v>
      </c>
      <c r="CR252" s="3">
        <f>IF(OR(CL252="",ISBLANK(CL252),CL252=0),0,IF(MOD(CL252,2)=1,1,2))</f>
        <v>0</v>
      </c>
      <c r="CS252" s="31"/>
      <c r="CT252" s="3" cm="1">
        <f t="array" ref="CT252">SUMPRODUCT(--(MOD(CH252:CL252,2)=1))</f>
        <v>0</v>
      </c>
      <c r="CU252" s="3">
        <f>5-CT252</f>
        <v>5</v>
      </c>
      <c r="CV252" s="30"/>
      <c r="CW252" s="3" cm="1">
        <f t="array" ref="CW252">SUMPRODUCT(--(MOD(CH252:CL252,10)&gt;=1), --(MOD(CH252:CL252,10)&lt;=5))</f>
        <v>0</v>
      </c>
      <c r="CX252" s="3">
        <f>5-CW252</f>
        <v>5</v>
      </c>
      <c r="CY252" s="30"/>
      <c r="CZ252" s="3" cm="1">
        <f t="array" ref="CZ252">IFERROR(COUNT(_xlfn._xlws.FILTER(CH252:CL252, ISNUMBER(MATCH(CH252:CL252, {2,3,5,7,11,13,17,19,23,29,31,37,41,43}, 0)))), 0)</f>
        <v>0</v>
      </c>
      <c r="DA252" s="3" cm="1">
        <f t="array" ref="DA252">IFERROR(COUNT(_xlfn._xlws.FILTER(CH252:CL252, ISNUMBER(MATCH(CH252:CL252, {1,4,8,10,14,16,20,22,25,26,28,32,34,35,38,40,44}, 0)))), 0)</f>
        <v>0</v>
      </c>
      <c r="DB252" s="3" cm="1">
        <f t="array" ref="DB252">IFERROR(COUNT(_xlfn._xlws.FILTER(CH252:CL252, ISNUMBER(MATCH(CH252:CL252, {6,9,12,15,18,21,24,27,30,33,36,39,42,45}, 0)))), 0)</f>
        <v>0</v>
      </c>
      <c r="DC252" s="29"/>
      <c r="DD252" s="28" t="e">
        <f>#REF!</f>
        <v>#REF!</v>
      </c>
      <c r="DE252" s="28" t="e">
        <f>#REF!*2</f>
        <v>#REF!</v>
      </c>
      <c r="DF252" s="28" t="e">
        <f>#REF!</f>
        <v>#REF!</v>
      </c>
      <c r="DG252" s="28" t="e">
        <f>#REF!*2</f>
        <v>#REF!</v>
      </c>
      <c r="DH252" s="28" t="e">
        <f>#REF!</f>
        <v>#REF!</v>
      </c>
      <c r="DI252" s="28" t="e">
        <f>#REF!*2</f>
        <v>#REF!</v>
      </c>
      <c r="DJ252" s="28" t="e">
        <f>#REF!</f>
        <v>#REF!</v>
      </c>
      <c r="DK252" s="28" t="e">
        <f>#REF!*2</f>
        <v>#REF!</v>
      </c>
      <c r="DL252" s="28" t="e">
        <f>#REF!</f>
        <v>#REF!</v>
      </c>
      <c r="DM252" s="28" t="e">
        <f>#REF!*2</f>
        <v>#REF!</v>
      </c>
      <c r="DN252" s="27"/>
      <c r="DO252" s="26"/>
      <c r="DP252" s="26"/>
      <c r="DQ252" s="26"/>
      <c r="DR252" s="26"/>
      <c r="DS252" s="26"/>
      <c r="DT252" s="25"/>
    </row>
    <row r="253" spans="2:124" x14ac:dyDescent="0.3">
      <c r="B253" s="3">
        <v>0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2"/>
      <c r="I253" s="3">
        <f>IF(OR(B253="",ISBLANK(B253),B253=0),0,IF(MOD(B253,2)=1,1,2))</f>
        <v>0</v>
      </c>
      <c r="J253" s="3">
        <f>IF(OR(C253="",ISBLANK(C253),C253=0),0,IF(MOD(C253,2)=1,1,2))</f>
        <v>0</v>
      </c>
      <c r="K253" s="3">
        <f>IF(OR(D253="",ISBLANK(D253),D253=0),0,IF(MOD(D253,2)=1,1,2))</f>
        <v>0</v>
      </c>
      <c r="L253" s="3">
        <f>IF(OR(E253="",ISBLANK(E253),E253=0),0,IF(MOD(E253,2)=1,1,2))</f>
        <v>0</v>
      </c>
      <c r="M253" s="3">
        <f>IF(OR(F253="",ISBLANK(F253),F253=0),0,IF(MOD(F253,2)=1,1,2))</f>
        <v>0</v>
      </c>
      <c r="N253" s="3">
        <f>IF(OR(G253="",ISBLANK(G253),G253=0),0,IF(MOD(G253,2)=1,1,2))</f>
        <v>0</v>
      </c>
      <c r="O253" s="32"/>
      <c r="P253" s="3" cm="1">
        <f t="array" ref="P253">SUMPRODUCT(--(MOD(B253:G253,2)=1))</f>
        <v>0</v>
      </c>
      <c r="Q253" s="3">
        <f>6-P253</f>
        <v>6</v>
      </c>
      <c r="R253" s="34"/>
      <c r="S253" s="3">
        <f>COUNTIFS(B253:G253,"&gt;=1",B253:G253,"&lt;=23")</f>
        <v>0</v>
      </c>
      <c r="T253" s="3">
        <f>6-S253</f>
        <v>6</v>
      </c>
      <c r="U253" s="34"/>
      <c r="V253" s="3" cm="1">
        <f t="array" ref="V253">SUMPRODUCT(--(MOD(B253:G253,10)&gt;=1), --(MOD(B253:G253,10)&lt;=5))</f>
        <v>0</v>
      </c>
      <c r="W253" s="3">
        <f>6-V253</f>
        <v>6</v>
      </c>
      <c r="X253" s="34"/>
      <c r="Y253" s="3" cm="1">
        <f t="array" ref="Y253">IFERROR(COUNT(_xlfn._xlws.FILTER(B253:G253, ISNUMBER(MATCH(B253:G253, {2,3,5,7,11,13,17,19,23,29,31,37,41,43}, 0)))), 0)</f>
        <v>0</v>
      </c>
      <c r="Z253" s="3" cm="1">
        <f t="array" ref="Z253">IFERROR(COUNT(_xlfn._xlws.FILTER(B253:G253, ISNUMBER(MATCH(B253:G253, {1,4,8,10,14,16,20,22,25,26,28,32,34,35,38,40,44}, 0)))), 0)</f>
        <v>0</v>
      </c>
      <c r="AA253" s="3" cm="1">
        <f t="array" ref="AA253">IFERROR(COUNT(_xlfn._xlws.FILTER(B253:G253, ISNUMBER(MATCH(B253:G253, {6,9,12,15,18,21,24,27,30,33,36,39,42,45}, 0)))), 0)</f>
        <v>0</v>
      </c>
      <c r="AB253" s="30"/>
      <c r="AC253" s="26" cm="1">
        <f t="array" ref="AC253">_xlfn.IFS(
   OR(B253="",ISBLANK(B253),B253=0),0,
   ISNUMBER(MATCH(B253,{2,3,5,7,11,13,17,19,23,29,31,37,41,43},0)),"소",
   AND(ISNUMBER(B253),MOD(B253,3)=0),"배",
   AND(ISNUMBER(B253),B253&gt;0),"자"
)</f>
        <v>0</v>
      </c>
      <c r="AD253" s="26" cm="1">
        <f t="array" ref="AD253">_xlfn.IFS(
   OR(C253="",ISBLANK(C253),C253=0),0,
   ISNUMBER(MATCH(C253,{2,3,5,7,11,13,17,19,23,29,31,37,41,43},0)),"소",
   AND(ISNUMBER(C253),MOD(C253,3)=0),"배",
   AND(ISNUMBER(C253),C253&gt;0),"자"
)</f>
        <v>0</v>
      </c>
      <c r="AE253" s="26" cm="1">
        <f t="array" ref="AE253">_xlfn.IFS(
   OR(D253="",ISBLANK(D253),D253=0),0,
   ISNUMBER(MATCH(D253,{2,3,5,7,11,13,17,19,23,29,31,37,41,43},0)),"소",
   AND(ISNUMBER(D253),MOD(D253,3)=0),"배",
   AND(ISNUMBER(D253),D253&gt;0),"자"
)</f>
        <v>0</v>
      </c>
      <c r="AF253" s="26" cm="1">
        <f t="array" ref="AF253">_xlfn.IFS(
   OR(E253="",ISBLANK(E253),E253=0),0,
   ISNUMBER(MATCH(E253,{2,3,5,7,11,13,17,19,23,29,31,37,41,43},0)),"소",
   AND(ISNUMBER(E253),MOD(E253,3)=0),"배",
   AND(ISNUMBER(E253),E253&gt;0),"자"
)</f>
        <v>0</v>
      </c>
      <c r="AG253" s="26" cm="1">
        <f t="array" ref="AG253">_xlfn.IFS(
   OR(F253="",ISBLANK(F253),F253=0),0,
   ISNUMBER(MATCH(F253,{2,3,5,7,11,13,17,19,23,29,31,37,41,43},0)),"소",
   AND(ISNUMBER(F253),MOD(F253,3)=0),"배",
   AND(ISNUMBER(F253),F253&gt;0),"자"
)</f>
        <v>0</v>
      </c>
      <c r="AH253" s="26" cm="1">
        <f t="array" ref="AH253">_xlfn.IFS(
   OR(G253="",ISBLANK(G253),G253=0),0,
   ISNUMBER(MATCH(G253,{2,3,5,7,11,13,17,19,23,29,31,37,41,43},0)),"소",
   AND(ISNUMBER(G253),MOD(G253,3)=0),"배",
   AND(ISNUMBER(G253),G253&gt;0),"자"
)</f>
        <v>0</v>
      </c>
      <c r="AI253" s="30"/>
      <c r="AJ253" s="3">
        <f>COUNTIFS(B253:G253,"&gt;=1",B253:G253,"&lt;=14")</f>
        <v>0</v>
      </c>
      <c r="AK253" s="3">
        <f>COUNTIFS(B253:G253,"&gt;=15",B253:G253,"&lt;=31")</f>
        <v>0</v>
      </c>
      <c r="AL253" s="3">
        <f>6-AK253-AJ253</f>
        <v>6</v>
      </c>
      <c r="AM253" s="33"/>
      <c r="AN253" s="3">
        <f>COUNTIFS($B253:$G253, "&gt;=1",$B253:$G253, "&lt;=9")</f>
        <v>0</v>
      </c>
      <c r="AO253" s="3">
        <f>COUNTIFS($B253:$G253, "&gt;=10",$B253:$G253, "&lt;=18")</f>
        <v>0</v>
      </c>
      <c r="AP253" s="3">
        <f>COUNTIFS($B253:$G253, "&gt;=19",$B253:$G253, "&lt;=27")</f>
        <v>0</v>
      </c>
      <c r="AQ253" s="3">
        <f>COUNTIFS($B253:$G253, "&gt;=28",$B253:$G253, "&lt;=36")</f>
        <v>0</v>
      </c>
      <c r="AR253" s="3">
        <f>COUNTIFS($B253:$G253, "&gt;=37",$B253:$G253, "&lt;=45")</f>
        <v>0</v>
      </c>
      <c r="AS253" s="28" t="e">
        <f>#REF!</f>
        <v>#REF!</v>
      </c>
      <c r="AT253" s="28" t="e">
        <f>#REF!*2</f>
        <v>#REF!</v>
      </c>
      <c r="AU253" s="28" t="e">
        <f>#REF!</f>
        <v>#REF!</v>
      </c>
      <c r="AV253" s="28" t="e">
        <f>#REF!*2</f>
        <v>#REF!</v>
      </c>
      <c r="AW253" s="28" t="e">
        <f>#REF!</f>
        <v>#REF!</v>
      </c>
      <c r="AX253" s="28" t="e">
        <f>#REF!*2</f>
        <v>#REF!</v>
      </c>
      <c r="AY253" s="28" t="e">
        <f>#REF!</f>
        <v>#REF!</v>
      </c>
      <c r="AZ253" s="28" t="e">
        <f>#REF!*2</f>
        <v>#REF!</v>
      </c>
      <c r="BA253" s="28" t="e">
        <f>#REF!</f>
        <v>#REF!</v>
      </c>
      <c r="BB253" s="28" t="e">
        <f>#REF!*2</f>
        <v>#REF!</v>
      </c>
      <c r="BC253" s="28" t="e">
        <f>#REF!</f>
        <v>#REF!</v>
      </c>
      <c r="BD253" s="28" t="e">
        <f>#REF!*2</f>
        <v>#REF!</v>
      </c>
      <c r="BE253" s="9" t="e">
        <f>#REF!-#REF!</f>
        <v>#REF!</v>
      </c>
      <c r="BF253" s="9" t="e">
        <f>#REF!-#REF!</f>
        <v>#REF!</v>
      </c>
      <c r="BG253" s="9" t="e">
        <f>#REF!-#REF!</f>
        <v>#REF!</v>
      </c>
      <c r="BH253" s="9" t="e">
        <f>#REF!-#REF!</f>
        <v>#REF!</v>
      </c>
      <c r="BI253" s="9" t="e">
        <f>#REF!-#REF!</f>
        <v>#REF!</v>
      </c>
      <c r="BJ253" s="33"/>
      <c r="BK253" s="3">
        <f>COUNTIFS(B253:G253, "&gt;=1", B253:G253, "&lt;=9")</f>
        <v>0</v>
      </c>
      <c r="BL253" s="3">
        <f>COUNTIFS(B253:G253, "&gt;=10", B253:G253, "&lt;=19")</f>
        <v>0</v>
      </c>
      <c r="BM253" s="3">
        <f>COUNTIFS(B253:G253, "&gt;=20", B253:G253, "&lt;=29")</f>
        <v>0</v>
      </c>
      <c r="BN253" s="3">
        <f>COUNTIFS(B253:G253, "&gt;=30", B253:G253, "&lt;=39")</f>
        <v>0</v>
      </c>
      <c r="BO253" s="3">
        <f>COUNTIFS(B253:G253, "&gt;=40", B253:G253, "&lt;=45")</f>
        <v>0</v>
      </c>
      <c r="BP253" s="28" t="e">
        <f>#REF!</f>
        <v>#REF!</v>
      </c>
      <c r="BQ253" s="28" t="e">
        <f>#REF!*2</f>
        <v>#REF!</v>
      </c>
      <c r="BR253" s="28" t="e">
        <f>#REF!</f>
        <v>#REF!</v>
      </c>
      <c r="BS253" s="28" t="e">
        <f>#REF!*2</f>
        <v>#REF!</v>
      </c>
      <c r="BT253" s="28" t="e">
        <f>#REF!</f>
        <v>#REF!</v>
      </c>
      <c r="BU253" s="28" t="e">
        <f>#REF!*2</f>
        <v>#REF!</v>
      </c>
      <c r="BV253" s="28" t="e">
        <f>#REF!</f>
        <v>#REF!</v>
      </c>
      <c r="BW253" s="28" t="e">
        <f>#REF!*2</f>
        <v>#REF!</v>
      </c>
      <c r="BX253" s="28" t="e">
        <f>#REF!</f>
        <v>#REF!</v>
      </c>
      <c r="BY253" s="28" t="e">
        <f>#REF!*2</f>
        <v>#REF!</v>
      </c>
      <c r="BZ253" s="28" t="e">
        <f>#REF!</f>
        <v>#REF!</v>
      </c>
      <c r="CA253" s="28" t="e">
        <f>#REF!*2</f>
        <v>#REF!</v>
      </c>
      <c r="CB253" s="9">
        <f>C253-B253</f>
        <v>0</v>
      </c>
      <c r="CC253" s="9">
        <f>D253-C253</f>
        <v>0</v>
      </c>
      <c r="CD253" s="9">
        <f>E253-D253</f>
        <v>0</v>
      </c>
      <c r="CE253" s="9">
        <f>F253-E253</f>
        <v>0</v>
      </c>
      <c r="CF253" s="9">
        <f>G253-F253</f>
        <v>0</v>
      </c>
      <c r="CG253" s="33"/>
      <c r="CH253" s="3">
        <f>C253-B253</f>
        <v>0</v>
      </c>
      <c r="CI253" s="3">
        <f>D253-C253</f>
        <v>0</v>
      </c>
      <c r="CJ253" s="3">
        <f>E253-D253</f>
        <v>0</v>
      </c>
      <c r="CK253" s="3">
        <f>F253-E253</f>
        <v>0</v>
      </c>
      <c r="CL253" s="3">
        <f>G253-F253</f>
        <v>0</v>
      </c>
      <c r="CM253" s="32"/>
      <c r="CN253" s="3">
        <f>IF(OR(CH253="",ISBLANK(CH253),CH253=0),0,IF(MOD(CH253,2)=1,1,2))</f>
        <v>0</v>
      </c>
      <c r="CO253" s="3">
        <f>IF(OR(CI253="",ISBLANK(CI253),CI253=0),0,IF(MOD(CI253,2)=1,1,2))</f>
        <v>0</v>
      </c>
      <c r="CP253" s="3">
        <f>IF(OR(CJ253="",ISBLANK(CJ253),CJ253=0),0,IF(MOD(CJ253,2)=1,1,2))</f>
        <v>0</v>
      </c>
      <c r="CQ253" s="3">
        <f>IF(OR(CK253="",ISBLANK(CK253),CK253=0),0,IF(MOD(CK253,2)=1,1,2))</f>
        <v>0</v>
      </c>
      <c r="CR253" s="3">
        <f>IF(OR(CL253="",ISBLANK(CL253),CL253=0),0,IF(MOD(CL253,2)=1,1,2))</f>
        <v>0</v>
      </c>
      <c r="CS253" s="31"/>
      <c r="CT253" s="3" cm="1">
        <f t="array" ref="CT253">SUMPRODUCT(--(MOD(CH253:CL253,2)=1))</f>
        <v>0</v>
      </c>
      <c r="CU253" s="3">
        <f>5-CT253</f>
        <v>5</v>
      </c>
      <c r="CV253" s="30"/>
      <c r="CW253" s="3" cm="1">
        <f t="array" ref="CW253">SUMPRODUCT(--(MOD(CH253:CL253,10)&gt;=1), --(MOD(CH253:CL253,10)&lt;=5))</f>
        <v>0</v>
      </c>
      <c r="CX253" s="3">
        <f>5-CW253</f>
        <v>5</v>
      </c>
      <c r="CY253" s="30"/>
      <c r="CZ253" s="3" cm="1">
        <f t="array" ref="CZ253">IFERROR(COUNT(_xlfn._xlws.FILTER(CH253:CL253, ISNUMBER(MATCH(CH253:CL253, {2,3,5,7,11,13,17,19,23,29,31,37,41,43}, 0)))), 0)</f>
        <v>0</v>
      </c>
      <c r="DA253" s="3" cm="1">
        <f t="array" ref="DA253">IFERROR(COUNT(_xlfn._xlws.FILTER(CH253:CL253, ISNUMBER(MATCH(CH253:CL253, {1,4,8,10,14,16,20,22,25,26,28,32,34,35,38,40,44}, 0)))), 0)</f>
        <v>0</v>
      </c>
      <c r="DB253" s="3" cm="1">
        <f t="array" ref="DB253">IFERROR(COUNT(_xlfn._xlws.FILTER(CH253:CL253, ISNUMBER(MATCH(CH253:CL253, {6,9,12,15,18,21,24,27,30,33,36,39,42,45}, 0)))), 0)</f>
        <v>0</v>
      </c>
      <c r="DC253" s="29"/>
      <c r="DD253" s="28" t="e">
        <f>#REF!</f>
        <v>#REF!</v>
      </c>
      <c r="DE253" s="28" t="e">
        <f>#REF!*2</f>
        <v>#REF!</v>
      </c>
      <c r="DF253" s="28" t="e">
        <f>#REF!</f>
        <v>#REF!</v>
      </c>
      <c r="DG253" s="28" t="e">
        <f>#REF!*2</f>
        <v>#REF!</v>
      </c>
      <c r="DH253" s="28" t="e">
        <f>#REF!</f>
        <v>#REF!</v>
      </c>
      <c r="DI253" s="28" t="e">
        <f>#REF!*2</f>
        <v>#REF!</v>
      </c>
      <c r="DJ253" s="28" t="e">
        <f>#REF!</f>
        <v>#REF!</v>
      </c>
      <c r="DK253" s="28" t="e">
        <f>#REF!*2</f>
        <v>#REF!</v>
      </c>
      <c r="DL253" s="28" t="e">
        <f>#REF!</f>
        <v>#REF!</v>
      </c>
      <c r="DM253" s="28" t="e">
        <f>#REF!*2</f>
        <v>#REF!</v>
      </c>
      <c r="DN253" s="27"/>
      <c r="DO253" s="26"/>
      <c r="DP253" s="26"/>
      <c r="DQ253" s="26"/>
      <c r="DR253" s="26"/>
      <c r="DS253" s="26"/>
      <c r="DT253" s="25"/>
    </row>
    <row r="254" spans="2:124" x14ac:dyDescent="0.3">
      <c r="B254" s="3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2"/>
      <c r="I254" s="3">
        <f>IF(OR(B254="",ISBLANK(B254),B254=0),0,IF(MOD(B254,2)=1,1,2))</f>
        <v>0</v>
      </c>
      <c r="J254" s="3">
        <f>IF(OR(C254="",ISBLANK(C254),C254=0),0,IF(MOD(C254,2)=1,1,2))</f>
        <v>0</v>
      </c>
      <c r="K254" s="3">
        <f>IF(OR(D254="",ISBLANK(D254),D254=0),0,IF(MOD(D254,2)=1,1,2))</f>
        <v>0</v>
      </c>
      <c r="L254" s="3">
        <f>IF(OR(E254="",ISBLANK(E254),E254=0),0,IF(MOD(E254,2)=1,1,2))</f>
        <v>0</v>
      </c>
      <c r="M254" s="3">
        <f>IF(OR(F254="",ISBLANK(F254),F254=0),0,IF(MOD(F254,2)=1,1,2))</f>
        <v>0</v>
      </c>
      <c r="N254" s="3">
        <f>IF(OR(G254="",ISBLANK(G254),G254=0),0,IF(MOD(G254,2)=1,1,2))</f>
        <v>0</v>
      </c>
      <c r="O254" s="32"/>
      <c r="P254" s="3" cm="1">
        <f t="array" ref="P254">SUMPRODUCT(--(MOD(B254:G254,2)=1))</f>
        <v>0</v>
      </c>
      <c r="Q254" s="3">
        <f>6-P254</f>
        <v>6</v>
      </c>
      <c r="R254" s="34"/>
      <c r="S254" s="3">
        <f>COUNTIFS(B254:G254,"&gt;=1",B254:G254,"&lt;=23")</f>
        <v>0</v>
      </c>
      <c r="T254" s="3">
        <f>6-S254</f>
        <v>6</v>
      </c>
      <c r="U254" s="34"/>
      <c r="V254" s="3" cm="1">
        <f t="array" ref="V254">SUMPRODUCT(--(MOD(B254:G254,10)&gt;=1), --(MOD(B254:G254,10)&lt;=5))</f>
        <v>0</v>
      </c>
      <c r="W254" s="3">
        <f>6-V254</f>
        <v>6</v>
      </c>
      <c r="X254" s="34"/>
      <c r="Y254" s="3" cm="1">
        <f t="array" ref="Y254">IFERROR(COUNT(_xlfn._xlws.FILTER(B254:G254, ISNUMBER(MATCH(B254:G254, {2,3,5,7,11,13,17,19,23,29,31,37,41,43}, 0)))), 0)</f>
        <v>0</v>
      </c>
      <c r="Z254" s="3" cm="1">
        <f t="array" ref="Z254">IFERROR(COUNT(_xlfn._xlws.FILTER(B254:G254, ISNUMBER(MATCH(B254:G254, {1,4,8,10,14,16,20,22,25,26,28,32,34,35,38,40,44}, 0)))), 0)</f>
        <v>0</v>
      </c>
      <c r="AA254" s="3" cm="1">
        <f t="array" ref="AA254">IFERROR(COUNT(_xlfn._xlws.FILTER(B254:G254, ISNUMBER(MATCH(B254:G254, {6,9,12,15,18,21,24,27,30,33,36,39,42,45}, 0)))), 0)</f>
        <v>0</v>
      </c>
      <c r="AB254" s="30"/>
      <c r="AC254" s="26" cm="1">
        <f t="array" ref="AC254">_xlfn.IFS(
   OR(B254="",ISBLANK(B254),B254=0),0,
   ISNUMBER(MATCH(B254,{2,3,5,7,11,13,17,19,23,29,31,37,41,43},0)),"소",
   AND(ISNUMBER(B254),MOD(B254,3)=0),"배",
   AND(ISNUMBER(B254),B254&gt;0),"자"
)</f>
        <v>0</v>
      </c>
      <c r="AD254" s="26" cm="1">
        <f t="array" ref="AD254">_xlfn.IFS(
   OR(C254="",ISBLANK(C254),C254=0),0,
   ISNUMBER(MATCH(C254,{2,3,5,7,11,13,17,19,23,29,31,37,41,43},0)),"소",
   AND(ISNUMBER(C254),MOD(C254,3)=0),"배",
   AND(ISNUMBER(C254),C254&gt;0),"자"
)</f>
        <v>0</v>
      </c>
      <c r="AE254" s="26" cm="1">
        <f t="array" ref="AE254">_xlfn.IFS(
   OR(D254="",ISBLANK(D254),D254=0),0,
   ISNUMBER(MATCH(D254,{2,3,5,7,11,13,17,19,23,29,31,37,41,43},0)),"소",
   AND(ISNUMBER(D254),MOD(D254,3)=0),"배",
   AND(ISNUMBER(D254),D254&gt;0),"자"
)</f>
        <v>0</v>
      </c>
      <c r="AF254" s="26" cm="1">
        <f t="array" ref="AF254">_xlfn.IFS(
   OR(E254="",ISBLANK(E254),E254=0),0,
   ISNUMBER(MATCH(E254,{2,3,5,7,11,13,17,19,23,29,31,37,41,43},0)),"소",
   AND(ISNUMBER(E254),MOD(E254,3)=0),"배",
   AND(ISNUMBER(E254),E254&gt;0),"자"
)</f>
        <v>0</v>
      </c>
      <c r="AG254" s="26" cm="1">
        <f t="array" ref="AG254">_xlfn.IFS(
   OR(F254="",ISBLANK(F254),F254=0),0,
   ISNUMBER(MATCH(F254,{2,3,5,7,11,13,17,19,23,29,31,37,41,43},0)),"소",
   AND(ISNUMBER(F254),MOD(F254,3)=0),"배",
   AND(ISNUMBER(F254),F254&gt;0),"자"
)</f>
        <v>0</v>
      </c>
      <c r="AH254" s="26" cm="1">
        <f t="array" ref="AH254">_xlfn.IFS(
   OR(G254="",ISBLANK(G254),G254=0),0,
   ISNUMBER(MATCH(G254,{2,3,5,7,11,13,17,19,23,29,31,37,41,43},0)),"소",
   AND(ISNUMBER(G254),MOD(G254,3)=0),"배",
   AND(ISNUMBER(G254),G254&gt;0),"자"
)</f>
        <v>0</v>
      </c>
      <c r="AI254" s="30"/>
      <c r="AJ254" s="3">
        <f>COUNTIFS(B254:G254,"&gt;=1",B254:G254,"&lt;=14")</f>
        <v>0</v>
      </c>
      <c r="AK254" s="3">
        <f>COUNTIFS(B254:G254,"&gt;=15",B254:G254,"&lt;=31")</f>
        <v>0</v>
      </c>
      <c r="AL254" s="3">
        <f>6-AK254-AJ254</f>
        <v>6</v>
      </c>
      <c r="AM254" s="33"/>
      <c r="AN254" s="3">
        <f>COUNTIFS($B254:$G254, "&gt;=1",$B254:$G254, "&lt;=9")</f>
        <v>0</v>
      </c>
      <c r="AO254" s="3">
        <f>COUNTIFS($B254:$G254, "&gt;=10",$B254:$G254, "&lt;=18")</f>
        <v>0</v>
      </c>
      <c r="AP254" s="3">
        <f>COUNTIFS($B254:$G254, "&gt;=19",$B254:$G254, "&lt;=27")</f>
        <v>0</v>
      </c>
      <c r="AQ254" s="3">
        <f>COUNTIFS($B254:$G254, "&gt;=28",$B254:$G254, "&lt;=36")</f>
        <v>0</v>
      </c>
      <c r="AR254" s="3">
        <f>COUNTIFS($B254:$G254, "&gt;=37",$B254:$G254, "&lt;=45")</f>
        <v>0</v>
      </c>
      <c r="AS254" s="28" t="e">
        <f>#REF!</f>
        <v>#REF!</v>
      </c>
      <c r="AT254" s="28" t="e">
        <f>#REF!*2</f>
        <v>#REF!</v>
      </c>
      <c r="AU254" s="28" t="e">
        <f>#REF!</f>
        <v>#REF!</v>
      </c>
      <c r="AV254" s="28" t="e">
        <f>#REF!*2</f>
        <v>#REF!</v>
      </c>
      <c r="AW254" s="28" t="e">
        <f>#REF!</f>
        <v>#REF!</v>
      </c>
      <c r="AX254" s="28" t="e">
        <f>#REF!*2</f>
        <v>#REF!</v>
      </c>
      <c r="AY254" s="28" t="e">
        <f>#REF!</f>
        <v>#REF!</v>
      </c>
      <c r="AZ254" s="28" t="e">
        <f>#REF!*2</f>
        <v>#REF!</v>
      </c>
      <c r="BA254" s="28" t="e">
        <f>#REF!</f>
        <v>#REF!</v>
      </c>
      <c r="BB254" s="28" t="e">
        <f>#REF!*2</f>
        <v>#REF!</v>
      </c>
      <c r="BC254" s="28" t="e">
        <f>#REF!</f>
        <v>#REF!</v>
      </c>
      <c r="BD254" s="28" t="e">
        <f>#REF!*2</f>
        <v>#REF!</v>
      </c>
      <c r="BE254" s="9" t="e">
        <f>#REF!-#REF!</f>
        <v>#REF!</v>
      </c>
      <c r="BF254" s="9" t="e">
        <f>#REF!-#REF!</f>
        <v>#REF!</v>
      </c>
      <c r="BG254" s="9" t="e">
        <f>#REF!-#REF!</f>
        <v>#REF!</v>
      </c>
      <c r="BH254" s="9" t="e">
        <f>#REF!-#REF!</f>
        <v>#REF!</v>
      </c>
      <c r="BI254" s="9" t="e">
        <f>#REF!-#REF!</f>
        <v>#REF!</v>
      </c>
      <c r="BJ254" s="33"/>
      <c r="BK254" s="3">
        <f>COUNTIFS(B254:G254, "&gt;=1", B254:G254, "&lt;=9")</f>
        <v>0</v>
      </c>
      <c r="BL254" s="3">
        <f>COUNTIFS(B254:G254, "&gt;=10", B254:G254, "&lt;=19")</f>
        <v>0</v>
      </c>
      <c r="BM254" s="3">
        <f>COUNTIFS(B254:G254, "&gt;=20", B254:G254, "&lt;=29")</f>
        <v>0</v>
      </c>
      <c r="BN254" s="3">
        <f>COUNTIFS(B254:G254, "&gt;=30", B254:G254, "&lt;=39")</f>
        <v>0</v>
      </c>
      <c r="BO254" s="3">
        <f>COUNTIFS(B254:G254, "&gt;=40", B254:G254, "&lt;=45")</f>
        <v>0</v>
      </c>
      <c r="BP254" s="28" t="e">
        <f>#REF!</f>
        <v>#REF!</v>
      </c>
      <c r="BQ254" s="28" t="e">
        <f>#REF!*2</f>
        <v>#REF!</v>
      </c>
      <c r="BR254" s="28" t="e">
        <f>#REF!</f>
        <v>#REF!</v>
      </c>
      <c r="BS254" s="28" t="e">
        <f>#REF!*2</f>
        <v>#REF!</v>
      </c>
      <c r="BT254" s="28" t="e">
        <f>#REF!</f>
        <v>#REF!</v>
      </c>
      <c r="BU254" s="28" t="e">
        <f>#REF!*2</f>
        <v>#REF!</v>
      </c>
      <c r="BV254" s="28" t="e">
        <f>#REF!</f>
        <v>#REF!</v>
      </c>
      <c r="BW254" s="28" t="e">
        <f>#REF!*2</f>
        <v>#REF!</v>
      </c>
      <c r="BX254" s="28" t="e">
        <f>#REF!</f>
        <v>#REF!</v>
      </c>
      <c r="BY254" s="28" t="e">
        <f>#REF!*2</f>
        <v>#REF!</v>
      </c>
      <c r="BZ254" s="28" t="e">
        <f>#REF!</f>
        <v>#REF!</v>
      </c>
      <c r="CA254" s="28" t="e">
        <f>#REF!*2</f>
        <v>#REF!</v>
      </c>
      <c r="CB254" s="9">
        <f>C254-B254</f>
        <v>0</v>
      </c>
      <c r="CC254" s="9">
        <f>D254-C254</f>
        <v>0</v>
      </c>
      <c r="CD254" s="9">
        <f>E254-D254</f>
        <v>0</v>
      </c>
      <c r="CE254" s="9">
        <f>F254-E254</f>
        <v>0</v>
      </c>
      <c r="CF254" s="9">
        <f>G254-F254</f>
        <v>0</v>
      </c>
      <c r="CG254" s="33"/>
      <c r="CH254" s="3">
        <f>C254-B254</f>
        <v>0</v>
      </c>
      <c r="CI254" s="3">
        <f>D254-C254</f>
        <v>0</v>
      </c>
      <c r="CJ254" s="3">
        <f>E254-D254</f>
        <v>0</v>
      </c>
      <c r="CK254" s="3">
        <f>F254-E254</f>
        <v>0</v>
      </c>
      <c r="CL254" s="3">
        <f>G254-F254</f>
        <v>0</v>
      </c>
      <c r="CM254" s="32"/>
      <c r="CN254" s="3">
        <f>IF(OR(CH254="",ISBLANK(CH254),CH254=0),0,IF(MOD(CH254,2)=1,1,2))</f>
        <v>0</v>
      </c>
      <c r="CO254" s="3">
        <f>IF(OR(CI254="",ISBLANK(CI254),CI254=0),0,IF(MOD(CI254,2)=1,1,2))</f>
        <v>0</v>
      </c>
      <c r="CP254" s="3">
        <f>IF(OR(CJ254="",ISBLANK(CJ254),CJ254=0),0,IF(MOD(CJ254,2)=1,1,2))</f>
        <v>0</v>
      </c>
      <c r="CQ254" s="3">
        <f>IF(OR(CK254="",ISBLANK(CK254),CK254=0),0,IF(MOD(CK254,2)=1,1,2))</f>
        <v>0</v>
      </c>
      <c r="CR254" s="3">
        <f>IF(OR(CL254="",ISBLANK(CL254),CL254=0),0,IF(MOD(CL254,2)=1,1,2))</f>
        <v>0</v>
      </c>
      <c r="CS254" s="31"/>
      <c r="CT254" s="3" cm="1">
        <f t="array" ref="CT254">SUMPRODUCT(--(MOD(CH254:CL254,2)=1))</f>
        <v>0</v>
      </c>
      <c r="CU254" s="3">
        <f>5-CT254</f>
        <v>5</v>
      </c>
      <c r="CV254" s="30"/>
      <c r="CW254" s="3" cm="1">
        <f t="array" ref="CW254">SUMPRODUCT(--(MOD(CH254:CL254,10)&gt;=1), --(MOD(CH254:CL254,10)&lt;=5))</f>
        <v>0</v>
      </c>
      <c r="CX254" s="3">
        <f>5-CW254</f>
        <v>5</v>
      </c>
      <c r="CY254" s="30"/>
      <c r="CZ254" s="3" cm="1">
        <f t="array" ref="CZ254">IFERROR(COUNT(_xlfn._xlws.FILTER(CH254:CL254, ISNUMBER(MATCH(CH254:CL254, {2,3,5,7,11,13,17,19,23,29,31,37,41,43}, 0)))), 0)</f>
        <v>0</v>
      </c>
      <c r="DA254" s="3" cm="1">
        <f t="array" ref="DA254">IFERROR(COUNT(_xlfn._xlws.FILTER(CH254:CL254, ISNUMBER(MATCH(CH254:CL254, {1,4,8,10,14,16,20,22,25,26,28,32,34,35,38,40,44}, 0)))), 0)</f>
        <v>0</v>
      </c>
      <c r="DB254" s="3" cm="1">
        <f t="array" ref="DB254">IFERROR(COUNT(_xlfn._xlws.FILTER(CH254:CL254, ISNUMBER(MATCH(CH254:CL254, {6,9,12,15,18,21,24,27,30,33,36,39,42,45}, 0)))), 0)</f>
        <v>0</v>
      </c>
      <c r="DC254" s="29"/>
      <c r="DD254" s="28" t="e">
        <f>#REF!</f>
        <v>#REF!</v>
      </c>
      <c r="DE254" s="28" t="e">
        <f>#REF!*2</f>
        <v>#REF!</v>
      </c>
      <c r="DF254" s="28" t="e">
        <f>#REF!</f>
        <v>#REF!</v>
      </c>
      <c r="DG254" s="28" t="e">
        <f>#REF!*2</f>
        <v>#REF!</v>
      </c>
      <c r="DH254" s="28" t="e">
        <f>#REF!</f>
        <v>#REF!</v>
      </c>
      <c r="DI254" s="28" t="e">
        <f>#REF!*2</f>
        <v>#REF!</v>
      </c>
      <c r="DJ254" s="28" t="e">
        <f>#REF!</f>
        <v>#REF!</v>
      </c>
      <c r="DK254" s="28" t="e">
        <f>#REF!*2</f>
        <v>#REF!</v>
      </c>
      <c r="DL254" s="28" t="e">
        <f>#REF!</f>
        <v>#REF!</v>
      </c>
      <c r="DM254" s="28" t="e">
        <f>#REF!*2</f>
        <v>#REF!</v>
      </c>
      <c r="DN254" s="27"/>
      <c r="DO254" s="26"/>
      <c r="DP254" s="26"/>
      <c r="DQ254" s="26"/>
      <c r="DR254" s="26"/>
      <c r="DS254" s="26"/>
      <c r="DT254" s="25"/>
    </row>
    <row r="255" spans="2:124" x14ac:dyDescent="0.3">
      <c r="B255" s="3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2"/>
      <c r="I255" s="3">
        <f>IF(OR(B255="",ISBLANK(B255),B255=0),0,IF(MOD(B255,2)=1,1,2))</f>
        <v>0</v>
      </c>
      <c r="J255" s="3">
        <f>IF(OR(C255="",ISBLANK(C255),C255=0),0,IF(MOD(C255,2)=1,1,2))</f>
        <v>0</v>
      </c>
      <c r="K255" s="3">
        <f>IF(OR(D255="",ISBLANK(D255),D255=0),0,IF(MOD(D255,2)=1,1,2))</f>
        <v>0</v>
      </c>
      <c r="L255" s="3">
        <f>IF(OR(E255="",ISBLANK(E255),E255=0),0,IF(MOD(E255,2)=1,1,2))</f>
        <v>0</v>
      </c>
      <c r="M255" s="3">
        <f>IF(OR(F255="",ISBLANK(F255),F255=0),0,IF(MOD(F255,2)=1,1,2))</f>
        <v>0</v>
      </c>
      <c r="N255" s="3">
        <f>IF(OR(G255="",ISBLANK(G255),G255=0),0,IF(MOD(G255,2)=1,1,2))</f>
        <v>0</v>
      </c>
      <c r="O255" s="32"/>
      <c r="P255" s="3" cm="1">
        <f t="array" ref="P255">SUMPRODUCT(--(MOD(B255:G255,2)=1))</f>
        <v>0</v>
      </c>
      <c r="Q255" s="3">
        <f>6-P255</f>
        <v>6</v>
      </c>
      <c r="R255" s="34"/>
      <c r="S255" s="3">
        <f>COUNTIFS(B255:G255,"&gt;=1",B255:G255,"&lt;=23")</f>
        <v>0</v>
      </c>
      <c r="T255" s="3">
        <f>6-S255</f>
        <v>6</v>
      </c>
      <c r="U255" s="34"/>
      <c r="V255" s="3" cm="1">
        <f t="array" ref="V255">SUMPRODUCT(--(MOD(B255:G255,10)&gt;=1), --(MOD(B255:G255,10)&lt;=5))</f>
        <v>0</v>
      </c>
      <c r="W255" s="3">
        <f>6-V255</f>
        <v>6</v>
      </c>
      <c r="X255" s="34"/>
      <c r="Y255" s="3" cm="1">
        <f t="array" ref="Y255">IFERROR(COUNT(_xlfn._xlws.FILTER(B255:G255, ISNUMBER(MATCH(B255:G255, {2,3,5,7,11,13,17,19,23,29,31,37,41,43}, 0)))), 0)</f>
        <v>0</v>
      </c>
      <c r="Z255" s="3" cm="1">
        <f t="array" ref="Z255">IFERROR(COUNT(_xlfn._xlws.FILTER(B255:G255, ISNUMBER(MATCH(B255:G255, {1,4,8,10,14,16,20,22,25,26,28,32,34,35,38,40,44}, 0)))), 0)</f>
        <v>0</v>
      </c>
      <c r="AA255" s="3" cm="1">
        <f t="array" ref="AA255">IFERROR(COUNT(_xlfn._xlws.FILTER(B255:G255, ISNUMBER(MATCH(B255:G255, {6,9,12,15,18,21,24,27,30,33,36,39,42,45}, 0)))), 0)</f>
        <v>0</v>
      </c>
      <c r="AB255" s="30"/>
      <c r="AC255" s="26" cm="1">
        <f t="array" ref="AC255">_xlfn.IFS(
   OR(B255="",ISBLANK(B255),B255=0),0,
   ISNUMBER(MATCH(B255,{2,3,5,7,11,13,17,19,23,29,31,37,41,43},0)),"소",
   AND(ISNUMBER(B255),MOD(B255,3)=0),"배",
   AND(ISNUMBER(B255),B255&gt;0),"자"
)</f>
        <v>0</v>
      </c>
      <c r="AD255" s="26" cm="1">
        <f t="array" ref="AD255">_xlfn.IFS(
   OR(C255="",ISBLANK(C255),C255=0),0,
   ISNUMBER(MATCH(C255,{2,3,5,7,11,13,17,19,23,29,31,37,41,43},0)),"소",
   AND(ISNUMBER(C255),MOD(C255,3)=0),"배",
   AND(ISNUMBER(C255),C255&gt;0),"자"
)</f>
        <v>0</v>
      </c>
      <c r="AE255" s="26" cm="1">
        <f t="array" ref="AE255">_xlfn.IFS(
   OR(D255="",ISBLANK(D255),D255=0),0,
   ISNUMBER(MATCH(D255,{2,3,5,7,11,13,17,19,23,29,31,37,41,43},0)),"소",
   AND(ISNUMBER(D255),MOD(D255,3)=0),"배",
   AND(ISNUMBER(D255),D255&gt;0),"자"
)</f>
        <v>0</v>
      </c>
      <c r="AF255" s="26" cm="1">
        <f t="array" ref="AF255">_xlfn.IFS(
   OR(E255="",ISBLANK(E255),E255=0),0,
   ISNUMBER(MATCH(E255,{2,3,5,7,11,13,17,19,23,29,31,37,41,43},0)),"소",
   AND(ISNUMBER(E255),MOD(E255,3)=0),"배",
   AND(ISNUMBER(E255),E255&gt;0),"자"
)</f>
        <v>0</v>
      </c>
      <c r="AG255" s="26" cm="1">
        <f t="array" ref="AG255">_xlfn.IFS(
   OR(F255="",ISBLANK(F255),F255=0),0,
   ISNUMBER(MATCH(F255,{2,3,5,7,11,13,17,19,23,29,31,37,41,43},0)),"소",
   AND(ISNUMBER(F255),MOD(F255,3)=0),"배",
   AND(ISNUMBER(F255),F255&gt;0),"자"
)</f>
        <v>0</v>
      </c>
      <c r="AH255" s="26" cm="1">
        <f t="array" ref="AH255">_xlfn.IFS(
   OR(G255="",ISBLANK(G255),G255=0),0,
   ISNUMBER(MATCH(G255,{2,3,5,7,11,13,17,19,23,29,31,37,41,43},0)),"소",
   AND(ISNUMBER(G255),MOD(G255,3)=0),"배",
   AND(ISNUMBER(G255),G255&gt;0),"자"
)</f>
        <v>0</v>
      </c>
      <c r="AI255" s="30"/>
      <c r="AJ255" s="3">
        <f>COUNTIFS(B255:G255,"&gt;=1",B255:G255,"&lt;=14")</f>
        <v>0</v>
      </c>
      <c r="AK255" s="3">
        <f>COUNTIFS(B255:G255,"&gt;=15",B255:G255,"&lt;=31")</f>
        <v>0</v>
      </c>
      <c r="AL255" s="3">
        <f>6-AK255-AJ255</f>
        <v>6</v>
      </c>
      <c r="AM255" s="33"/>
      <c r="AN255" s="3">
        <f>COUNTIFS($B255:$G255, "&gt;=1",$B255:$G255, "&lt;=9")</f>
        <v>0</v>
      </c>
      <c r="AO255" s="3">
        <f>COUNTIFS($B255:$G255, "&gt;=10",$B255:$G255, "&lt;=18")</f>
        <v>0</v>
      </c>
      <c r="AP255" s="3">
        <f>COUNTIFS($B255:$G255, "&gt;=19",$B255:$G255, "&lt;=27")</f>
        <v>0</v>
      </c>
      <c r="AQ255" s="3">
        <f>COUNTIFS($B255:$G255, "&gt;=28",$B255:$G255, "&lt;=36")</f>
        <v>0</v>
      </c>
      <c r="AR255" s="3">
        <f>COUNTIFS($B255:$G255, "&gt;=37",$B255:$G255, "&lt;=45")</f>
        <v>0</v>
      </c>
      <c r="AS255" s="28" t="e">
        <f>#REF!</f>
        <v>#REF!</v>
      </c>
      <c r="AT255" s="28" t="e">
        <f>#REF!*2</f>
        <v>#REF!</v>
      </c>
      <c r="AU255" s="28" t="e">
        <f>#REF!</f>
        <v>#REF!</v>
      </c>
      <c r="AV255" s="28" t="e">
        <f>#REF!*2</f>
        <v>#REF!</v>
      </c>
      <c r="AW255" s="28" t="e">
        <f>#REF!</f>
        <v>#REF!</v>
      </c>
      <c r="AX255" s="28" t="e">
        <f>#REF!*2</f>
        <v>#REF!</v>
      </c>
      <c r="AY255" s="28" t="e">
        <f>#REF!</f>
        <v>#REF!</v>
      </c>
      <c r="AZ255" s="28" t="e">
        <f>#REF!*2</f>
        <v>#REF!</v>
      </c>
      <c r="BA255" s="28" t="e">
        <f>#REF!</f>
        <v>#REF!</v>
      </c>
      <c r="BB255" s="28" t="e">
        <f>#REF!*2</f>
        <v>#REF!</v>
      </c>
      <c r="BC255" s="28" t="e">
        <f>#REF!</f>
        <v>#REF!</v>
      </c>
      <c r="BD255" s="28" t="e">
        <f>#REF!*2</f>
        <v>#REF!</v>
      </c>
      <c r="BE255" s="9" t="e">
        <f>#REF!-#REF!</f>
        <v>#REF!</v>
      </c>
      <c r="BF255" s="9" t="e">
        <f>#REF!-#REF!</f>
        <v>#REF!</v>
      </c>
      <c r="BG255" s="9" t="e">
        <f>#REF!-#REF!</f>
        <v>#REF!</v>
      </c>
      <c r="BH255" s="9" t="e">
        <f>#REF!-#REF!</f>
        <v>#REF!</v>
      </c>
      <c r="BI255" s="9" t="e">
        <f>#REF!-#REF!</f>
        <v>#REF!</v>
      </c>
      <c r="BJ255" s="33"/>
      <c r="BK255" s="3">
        <f>COUNTIFS(B255:G255, "&gt;=1", B255:G255, "&lt;=9")</f>
        <v>0</v>
      </c>
      <c r="BL255" s="3">
        <f>COUNTIFS(B255:G255, "&gt;=10", B255:G255, "&lt;=19")</f>
        <v>0</v>
      </c>
      <c r="BM255" s="3">
        <f>COUNTIFS(B255:G255, "&gt;=20", B255:G255, "&lt;=29")</f>
        <v>0</v>
      </c>
      <c r="BN255" s="3">
        <f>COUNTIFS(B255:G255, "&gt;=30", B255:G255, "&lt;=39")</f>
        <v>0</v>
      </c>
      <c r="BO255" s="3">
        <f>COUNTIFS(B255:G255, "&gt;=40", B255:G255, "&lt;=45")</f>
        <v>0</v>
      </c>
      <c r="BP255" s="28" t="e">
        <f>#REF!</f>
        <v>#REF!</v>
      </c>
      <c r="BQ255" s="28" t="e">
        <f>#REF!*2</f>
        <v>#REF!</v>
      </c>
      <c r="BR255" s="28" t="e">
        <f>#REF!</f>
        <v>#REF!</v>
      </c>
      <c r="BS255" s="28" t="e">
        <f>#REF!*2</f>
        <v>#REF!</v>
      </c>
      <c r="BT255" s="28" t="e">
        <f>#REF!</f>
        <v>#REF!</v>
      </c>
      <c r="BU255" s="28" t="e">
        <f>#REF!*2</f>
        <v>#REF!</v>
      </c>
      <c r="BV255" s="28" t="e">
        <f>#REF!</f>
        <v>#REF!</v>
      </c>
      <c r="BW255" s="28" t="e">
        <f>#REF!*2</f>
        <v>#REF!</v>
      </c>
      <c r="BX255" s="28" t="e">
        <f>#REF!</f>
        <v>#REF!</v>
      </c>
      <c r="BY255" s="28" t="e">
        <f>#REF!*2</f>
        <v>#REF!</v>
      </c>
      <c r="BZ255" s="28" t="e">
        <f>#REF!</f>
        <v>#REF!</v>
      </c>
      <c r="CA255" s="28" t="e">
        <f>#REF!*2</f>
        <v>#REF!</v>
      </c>
      <c r="CB255" s="9">
        <f>C255-B255</f>
        <v>0</v>
      </c>
      <c r="CC255" s="9">
        <f>D255-C255</f>
        <v>0</v>
      </c>
      <c r="CD255" s="9">
        <f>E255-D255</f>
        <v>0</v>
      </c>
      <c r="CE255" s="9">
        <f>F255-E255</f>
        <v>0</v>
      </c>
      <c r="CF255" s="9">
        <f>G255-F255</f>
        <v>0</v>
      </c>
      <c r="CG255" s="33"/>
      <c r="CH255" s="3">
        <f>C255-B255</f>
        <v>0</v>
      </c>
      <c r="CI255" s="3">
        <f>D255-C255</f>
        <v>0</v>
      </c>
      <c r="CJ255" s="3">
        <f>E255-D255</f>
        <v>0</v>
      </c>
      <c r="CK255" s="3">
        <f>F255-E255</f>
        <v>0</v>
      </c>
      <c r="CL255" s="3">
        <f>G255-F255</f>
        <v>0</v>
      </c>
      <c r="CM255" s="32"/>
      <c r="CN255" s="3">
        <f>IF(OR(CH255="",ISBLANK(CH255),CH255=0),0,IF(MOD(CH255,2)=1,1,2))</f>
        <v>0</v>
      </c>
      <c r="CO255" s="3">
        <f>IF(OR(CI255="",ISBLANK(CI255),CI255=0),0,IF(MOD(CI255,2)=1,1,2))</f>
        <v>0</v>
      </c>
      <c r="CP255" s="3">
        <f>IF(OR(CJ255="",ISBLANK(CJ255),CJ255=0),0,IF(MOD(CJ255,2)=1,1,2))</f>
        <v>0</v>
      </c>
      <c r="CQ255" s="3">
        <f>IF(OR(CK255="",ISBLANK(CK255),CK255=0),0,IF(MOD(CK255,2)=1,1,2))</f>
        <v>0</v>
      </c>
      <c r="CR255" s="3">
        <f>IF(OR(CL255="",ISBLANK(CL255),CL255=0),0,IF(MOD(CL255,2)=1,1,2))</f>
        <v>0</v>
      </c>
      <c r="CS255" s="31"/>
      <c r="CT255" s="3" cm="1">
        <f t="array" ref="CT255">SUMPRODUCT(--(MOD(CH255:CL255,2)=1))</f>
        <v>0</v>
      </c>
      <c r="CU255" s="3">
        <f>5-CT255</f>
        <v>5</v>
      </c>
      <c r="CV255" s="30"/>
      <c r="CW255" s="3" cm="1">
        <f t="array" ref="CW255">SUMPRODUCT(--(MOD(CH255:CL255,10)&gt;=1), --(MOD(CH255:CL255,10)&lt;=5))</f>
        <v>0</v>
      </c>
      <c r="CX255" s="3">
        <f>5-CW255</f>
        <v>5</v>
      </c>
      <c r="CY255" s="30"/>
      <c r="CZ255" s="3" cm="1">
        <f t="array" ref="CZ255">IFERROR(COUNT(_xlfn._xlws.FILTER(CH255:CL255, ISNUMBER(MATCH(CH255:CL255, {2,3,5,7,11,13,17,19,23,29,31,37,41,43}, 0)))), 0)</f>
        <v>0</v>
      </c>
      <c r="DA255" s="3" cm="1">
        <f t="array" ref="DA255">IFERROR(COUNT(_xlfn._xlws.FILTER(CH255:CL255, ISNUMBER(MATCH(CH255:CL255, {1,4,8,10,14,16,20,22,25,26,28,32,34,35,38,40,44}, 0)))), 0)</f>
        <v>0</v>
      </c>
      <c r="DB255" s="3" cm="1">
        <f t="array" ref="DB255">IFERROR(COUNT(_xlfn._xlws.FILTER(CH255:CL255, ISNUMBER(MATCH(CH255:CL255, {6,9,12,15,18,21,24,27,30,33,36,39,42,45}, 0)))), 0)</f>
        <v>0</v>
      </c>
      <c r="DC255" s="29"/>
      <c r="DD255" s="28" t="e">
        <f>#REF!</f>
        <v>#REF!</v>
      </c>
      <c r="DE255" s="28" t="e">
        <f>#REF!*2</f>
        <v>#REF!</v>
      </c>
      <c r="DF255" s="28" t="e">
        <f>#REF!</f>
        <v>#REF!</v>
      </c>
      <c r="DG255" s="28" t="e">
        <f>#REF!*2</f>
        <v>#REF!</v>
      </c>
      <c r="DH255" s="28" t="e">
        <f>#REF!</f>
        <v>#REF!</v>
      </c>
      <c r="DI255" s="28" t="e">
        <f>#REF!*2</f>
        <v>#REF!</v>
      </c>
      <c r="DJ255" s="28" t="e">
        <f>#REF!</f>
        <v>#REF!</v>
      </c>
      <c r="DK255" s="28" t="e">
        <f>#REF!*2</f>
        <v>#REF!</v>
      </c>
      <c r="DL255" s="28" t="e">
        <f>#REF!</f>
        <v>#REF!</v>
      </c>
      <c r="DM255" s="28" t="e">
        <f>#REF!*2</f>
        <v>#REF!</v>
      </c>
      <c r="DN255" s="27"/>
      <c r="DO255" s="26"/>
      <c r="DP255" s="26"/>
      <c r="DQ255" s="26"/>
      <c r="DR255" s="26"/>
      <c r="DS255" s="26"/>
      <c r="DT255" s="25"/>
    </row>
    <row r="256" spans="2:124" x14ac:dyDescent="0.3">
      <c r="B256" s="3">
        <v>0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2"/>
      <c r="I256" s="3">
        <f>IF(OR(B256="",ISBLANK(B256),B256=0),0,IF(MOD(B256,2)=1,1,2))</f>
        <v>0</v>
      </c>
      <c r="J256" s="3">
        <f>IF(OR(C256="",ISBLANK(C256),C256=0),0,IF(MOD(C256,2)=1,1,2))</f>
        <v>0</v>
      </c>
      <c r="K256" s="3">
        <f>IF(OR(D256="",ISBLANK(D256),D256=0),0,IF(MOD(D256,2)=1,1,2))</f>
        <v>0</v>
      </c>
      <c r="L256" s="3">
        <f>IF(OR(E256="",ISBLANK(E256),E256=0),0,IF(MOD(E256,2)=1,1,2))</f>
        <v>0</v>
      </c>
      <c r="M256" s="3">
        <f>IF(OR(F256="",ISBLANK(F256),F256=0),0,IF(MOD(F256,2)=1,1,2))</f>
        <v>0</v>
      </c>
      <c r="N256" s="3">
        <f>IF(OR(G256="",ISBLANK(G256),G256=0),0,IF(MOD(G256,2)=1,1,2))</f>
        <v>0</v>
      </c>
      <c r="O256" s="32"/>
      <c r="P256" s="3" cm="1">
        <f t="array" ref="P256">SUMPRODUCT(--(MOD(B256:G256,2)=1))</f>
        <v>0</v>
      </c>
      <c r="Q256" s="3">
        <f>6-P256</f>
        <v>6</v>
      </c>
      <c r="R256" s="34"/>
      <c r="S256" s="3">
        <f>COUNTIFS(B256:G256,"&gt;=1",B256:G256,"&lt;=23")</f>
        <v>0</v>
      </c>
      <c r="T256" s="3">
        <f>6-S256</f>
        <v>6</v>
      </c>
      <c r="U256" s="34"/>
      <c r="V256" s="3" cm="1">
        <f t="array" ref="V256">SUMPRODUCT(--(MOD(B256:G256,10)&gt;=1), --(MOD(B256:G256,10)&lt;=5))</f>
        <v>0</v>
      </c>
      <c r="W256" s="3">
        <f>6-V256</f>
        <v>6</v>
      </c>
      <c r="X256" s="34"/>
      <c r="Y256" s="3" cm="1">
        <f t="array" ref="Y256">IFERROR(COUNT(_xlfn._xlws.FILTER(B256:G256, ISNUMBER(MATCH(B256:G256, {2,3,5,7,11,13,17,19,23,29,31,37,41,43}, 0)))), 0)</f>
        <v>0</v>
      </c>
      <c r="Z256" s="3" cm="1">
        <f t="array" ref="Z256">IFERROR(COUNT(_xlfn._xlws.FILTER(B256:G256, ISNUMBER(MATCH(B256:G256, {1,4,8,10,14,16,20,22,25,26,28,32,34,35,38,40,44}, 0)))), 0)</f>
        <v>0</v>
      </c>
      <c r="AA256" s="3" cm="1">
        <f t="array" ref="AA256">IFERROR(COUNT(_xlfn._xlws.FILTER(B256:G256, ISNUMBER(MATCH(B256:G256, {6,9,12,15,18,21,24,27,30,33,36,39,42,45}, 0)))), 0)</f>
        <v>0</v>
      </c>
      <c r="AB256" s="30"/>
      <c r="AC256" s="26" cm="1">
        <f t="array" ref="AC256">_xlfn.IFS(
   OR(B256="",ISBLANK(B256),B256=0),0,
   ISNUMBER(MATCH(B256,{2,3,5,7,11,13,17,19,23,29,31,37,41,43},0)),"소",
   AND(ISNUMBER(B256),MOD(B256,3)=0),"배",
   AND(ISNUMBER(B256),B256&gt;0),"자"
)</f>
        <v>0</v>
      </c>
      <c r="AD256" s="26" cm="1">
        <f t="array" ref="AD256">_xlfn.IFS(
   OR(C256="",ISBLANK(C256),C256=0),0,
   ISNUMBER(MATCH(C256,{2,3,5,7,11,13,17,19,23,29,31,37,41,43},0)),"소",
   AND(ISNUMBER(C256),MOD(C256,3)=0),"배",
   AND(ISNUMBER(C256),C256&gt;0),"자"
)</f>
        <v>0</v>
      </c>
      <c r="AE256" s="26" cm="1">
        <f t="array" ref="AE256">_xlfn.IFS(
   OR(D256="",ISBLANK(D256),D256=0),0,
   ISNUMBER(MATCH(D256,{2,3,5,7,11,13,17,19,23,29,31,37,41,43},0)),"소",
   AND(ISNUMBER(D256),MOD(D256,3)=0),"배",
   AND(ISNUMBER(D256),D256&gt;0),"자"
)</f>
        <v>0</v>
      </c>
      <c r="AF256" s="26" cm="1">
        <f t="array" ref="AF256">_xlfn.IFS(
   OR(E256="",ISBLANK(E256),E256=0),0,
   ISNUMBER(MATCH(E256,{2,3,5,7,11,13,17,19,23,29,31,37,41,43},0)),"소",
   AND(ISNUMBER(E256),MOD(E256,3)=0),"배",
   AND(ISNUMBER(E256),E256&gt;0),"자"
)</f>
        <v>0</v>
      </c>
      <c r="AG256" s="26" cm="1">
        <f t="array" ref="AG256">_xlfn.IFS(
   OR(F256="",ISBLANK(F256),F256=0),0,
   ISNUMBER(MATCH(F256,{2,3,5,7,11,13,17,19,23,29,31,37,41,43},0)),"소",
   AND(ISNUMBER(F256),MOD(F256,3)=0),"배",
   AND(ISNUMBER(F256),F256&gt;0),"자"
)</f>
        <v>0</v>
      </c>
      <c r="AH256" s="26" cm="1">
        <f t="array" ref="AH256">_xlfn.IFS(
   OR(G256="",ISBLANK(G256),G256=0),0,
   ISNUMBER(MATCH(G256,{2,3,5,7,11,13,17,19,23,29,31,37,41,43},0)),"소",
   AND(ISNUMBER(G256),MOD(G256,3)=0),"배",
   AND(ISNUMBER(G256),G256&gt;0),"자"
)</f>
        <v>0</v>
      </c>
      <c r="AI256" s="30"/>
      <c r="AJ256" s="3">
        <f>COUNTIFS(B256:G256,"&gt;=1",B256:G256,"&lt;=14")</f>
        <v>0</v>
      </c>
      <c r="AK256" s="3">
        <f>COUNTIFS(B256:G256,"&gt;=15",B256:G256,"&lt;=31")</f>
        <v>0</v>
      </c>
      <c r="AL256" s="3">
        <f>6-AK256-AJ256</f>
        <v>6</v>
      </c>
      <c r="AM256" s="33"/>
      <c r="AN256" s="3">
        <f>COUNTIFS($B256:$G256, "&gt;=1",$B256:$G256, "&lt;=9")</f>
        <v>0</v>
      </c>
      <c r="AO256" s="3">
        <f>COUNTIFS($B256:$G256, "&gt;=10",$B256:$G256, "&lt;=18")</f>
        <v>0</v>
      </c>
      <c r="AP256" s="3">
        <f>COUNTIFS($B256:$G256, "&gt;=19",$B256:$G256, "&lt;=27")</f>
        <v>0</v>
      </c>
      <c r="AQ256" s="3">
        <f>COUNTIFS($B256:$G256, "&gt;=28",$B256:$G256, "&lt;=36")</f>
        <v>0</v>
      </c>
      <c r="AR256" s="3">
        <f>COUNTIFS($B256:$G256, "&gt;=37",$B256:$G256, "&lt;=45")</f>
        <v>0</v>
      </c>
      <c r="AS256" s="28" t="e">
        <f>#REF!</f>
        <v>#REF!</v>
      </c>
      <c r="AT256" s="28" t="e">
        <f>#REF!*2</f>
        <v>#REF!</v>
      </c>
      <c r="AU256" s="28" t="e">
        <f>#REF!</f>
        <v>#REF!</v>
      </c>
      <c r="AV256" s="28" t="e">
        <f>#REF!*2</f>
        <v>#REF!</v>
      </c>
      <c r="AW256" s="28" t="e">
        <f>#REF!</f>
        <v>#REF!</v>
      </c>
      <c r="AX256" s="28" t="e">
        <f>#REF!*2</f>
        <v>#REF!</v>
      </c>
      <c r="AY256" s="28" t="e">
        <f>#REF!</f>
        <v>#REF!</v>
      </c>
      <c r="AZ256" s="28" t="e">
        <f>#REF!*2</f>
        <v>#REF!</v>
      </c>
      <c r="BA256" s="28" t="e">
        <f>#REF!</f>
        <v>#REF!</v>
      </c>
      <c r="BB256" s="28" t="e">
        <f>#REF!*2</f>
        <v>#REF!</v>
      </c>
      <c r="BC256" s="28" t="e">
        <f>#REF!</f>
        <v>#REF!</v>
      </c>
      <c r="BD256" s="28" t="e">
        <f>#REF!*2</f>
        <v>#REF!</v>
      </c>
      <c r="BE256" s="9" t="e">
        <f>#REF!-#REF!</f>
        <v>#REF!</v>
      </c>
      <c r="BF256" s="9" t="e">
        <f>#REF!-#REF!</f>
        <v>#REF!</v>
      </c>
      <c r="BG256" s="9" t="e">
        <f>#REF!-#REF!</f>
        <v>#REF!</v>
      </c>
      <c r="BH256" s="9" t="e">
        <f>#REF!-#REF!</f>
        <v>#REF!</v>
      </c>
      <c r="BI256" s="9" t="e">
        <f>#REF!-#REF!</f>
        <v>#REF!</v>
      </c>
      <c r="BJ256" s="33"/>
      <c r="BK256" s="3">
        <f>COUNTIFS(B256:G256, "&gt;=1", B256:G256, "&lt;=9")</f>
        <v>0</v>
      </c>
      <c r="BL256" s="3">
        <f>COUNTIFS(B256:G256, "&gt;=10", B256:G256, "&lt;=19")</f>
        <v>0</v>
      </c>
      <c r="BM256" s="3">
        <f>COUNTIFS(B256:G256, "&gt;=20", B256:G256, "&lt;=29")</f>
        <v>0</v>
      </c>
      <c r="BN256" s="3">
        <f>COUNTIFS(B256:G256, "&gt;=30", B256:G256, "&lt;=39")</f>
        <v>0</v>
      </c>
      <c r="BO256" s="3">
        <f>COUNTIFS(B256:G256, "&gt;=40", B256:G256, "&lt;=45")</f>
        <v>0</v>
      </c>
      <c r="BP256" s="28" t="e">
        <f>#REF!</f>
        <v>#REF!</v>
      </c>
      <c r="BQ256" s="28" t="e">
        <f>#REF!*2</f>
        <v>#REF!</v>
      </c>
      <c r="BR256" s="28" t="e">
        <f>#REF!</f>
        <v>#REF!</v>
      </c>
      <c r="BS256" s="28" t="e">
        <f>#REF!*2</f>
        <v>#REF!</v>
      </c>
      <c r="BT256" s="28" t="e">
        <f>#REF!</f>
        <v>#REF!</v>
      </c>
      <c r="BU256" s="28" t="e">
        <f>#REF!*2</f>
        <v>#REF!</v>
      </c>
      <c r="BV256" s="28" t="e">
        <f>#REF!</f>
        <v>#REF!</v>
      </c>
      <c r="BW256" s="28" t="e">
        <f>#REF!*2</f>
        <v>#REF!</v>
      </c>
      <c r="BX256" s="28" t="e">
        <f>#REF!</f>
        <v>#REF!</v>
      </c>
      <c r="BY256" s="28" t="e">
        <f>#REF!*2</f>
        <v>#REF!</v>
      </c>
      <c r="BZ256" s="28" t="e">
        <f>#REF!</f>
        <v>#REF!</v>
      </c>
      <c r="CA256" s="28" t="e">
        <f>#REF!*2</f>
        <v>#REF!</v>
      </c>
      <c r="CB256" s="9">
        <f>C256-B256</f>
        <v>0</v>
      </c>
      <c r="CC256" s="9">
        <f>D256-C256</f>
        <v>0</v>
      </c>
      <c r="CD256" s="9">
        <f>E256-D256</f>
        <v>0</v>
      </c>
      <c r="CE256" s="9">
        <f>F256-E256</f>
        <v>0</v>
      </c>
      <c r="CF256" s="9">
        <f>G256-F256</f>
        <v>0</v>
      </c>
      <c r="CG256" s="33"/>
      <c r="CH256" s="3">
        <f>C256-B256</f>
        <v>0</v>
      </c>
      <c r="CI256" s="3">
        <f>D256-C256</f>
        <v>0</v>
      </c>
      <c r="CJ256" s="3">
        <f>E256-D256</f>
        <v>0</v>
      </c>
      <c r="CK256" s="3">
        <f>F256-E256</f>
        <v>0</v>
      </c>
      <c r="CL256" s="3">
        <f>G256-F256</f>
        <v>0</v>
      </c>
      <c r="CM256" s="32"/>
      <c r="CN256" s="3">
        <f>IF(OR(CH256="",ISBLANK(CH256),CH256=0),0,IF(MOD(CH256,2)=1,1,2))</f>
        <v>0</v>
      </c>
      <c r="CO256" s="3">
        <f>IF(OR(CI256="",ISBLANK(CI256),CI256=0),0,IF(MOD(CI256,2)=1,1,2))</f>
        <v>0</v>
      </c>
      <c r="CP256" s="3">
        <f>IF(OR(CJ256="",ISBLANK(CJ256),CJ256=0),0,IF(MOD(CJ256,2)=1,1,2))</f>
        <v>0</v>
      </c>
      <c r="CQ256" s="3">
        <f>IF(OR(CK256="",ISBLANK(CK256),CK256=0),0,IF(MOD(CK256,2)=1,1,2))</f>
        <v>0</v>
      </c>
      <c r="CR256" s="3">
        <f>IF(OR(CL256="",ISBLANK(CL256),CL256=0),0,IF(MOD(CL256,2)=1,1,2))</f>
        <v>0</v>
      </c>
      <c r="CS256" s="31"/>
      <c r="CT256" s="3" cm="1">
        <f t="array" ref="CT256">SUMPRODUCT(--(MOD(CH256:CL256,2)=1))</f>
        <v>0</v>
      </c>
      <c r="CU256" s="3">
        <f>5-CT256</f>
        <v>5</v>
      </c>
      <c r="CV256" s="30"/>
      <c r="CW256" s="3" cm="1">
        <f t="array" ref="CW256">SUMPRODUCT(--(MOD(CH256:CL256,10)&gt;=1), --(MOD(CH256:CL256,10)&lt;=5))</f>
        <v>0</v>
      </c>
      <c r="CX256" s="3">
        <f>5-CW256</f>
        <v>5</v>
      </c>
      <c r="CY256" s="30"/>
      <c r="CZ256" s="3" cm="1">
        <f t="array" ref="CZ256">IFERROR(COUNT(_xlfn._xlws.FILTER(CH256:CL256, ISNUMBER(MATCH(CH256:CL256, {2,3,5,7,11,13,17,19,23,29,31,37,41,43}, 0)))), 0)</f>
        <v>0</v>
      </c>
      <c r="DA256" s="3" cm="1">
        <f t="array" ref="DA256">IFERROR(COUNT(_xlfn._xlws.FILTER(CH256:CL256, ISNUMBER(MATCH(CH256:CL256, {1,4,8,10,14,16,20,22,25,26,28,32,34,35,38,40,44}, 0)))), 0)</f>
        <v>0</v>
      </c>
      <c r="DB256" s="3" cm="1">
        <f t="array" ref="DB256">IFERROR(COUNT(_xlfn._xlws.FILTER(CH256:CL256, ISNUMBER(MATCH(CH256:CL256, {6,9,12,15,18,21,24,27,30,33,36,39,42,45}, 0)))), 0)</f>
        <v>0</v>
      </c>
      <c r="DC256" s="29"/>
      <c r="DD256" s="28" t="e">
        <f>#REF!</f>
        <v>#REF!</v>
      </c>
      <c r="DE256" s="28" t="e">
        <f>#REF!*2</f>
        <v>#REF!</v>
      </c>
      <c r="DF256" s="28" t="e">
        <f>#REF!</f>
        <v>#REF!</v>
      </c>
      <c r="DG256" s="28" t="e">
        <f>#REF!*2</f>
        <v>#REF!</v>
      </c>
      <c r="DH256" s="28" t="e">
        <f>#REF!</f>
        <v>#REF!</v>
      </c>
      <c r="DI256" s="28" t="e">
        <f>#REF!*2</f>
        <v>#REF!</v>
      </c>
      <c r="DJ256" s="28" t="e">
        <f>#REF!</f>
        <v>#REF!</v>
      </c>
      <c r="DK256" s="28" t="e">
        <f>#REF!*2</f>
        <v>#REF!</v>
      </c>
      <c r="DL256" s="28" t="e">
        <f>#REF!</f>
        <v>#REF!</v>
      </c>
      <c r="DM256" s="28" t="e">
        <f>#REF!*2</f>
        <v>#REF!</v>
      </c>
      <c r="DN256" s="27"/>
      <c r="DO256" s="26"/>
      <c r="DP256" s="26"/>
      <c r="DQ256" s="26"/>
      <c r="DR256" s="26"/>
      <c r="DS256" s="26"/>
      <c r="DT256" s="25"/>
    </row>
    <row r="257" spans="2:124" x14ac:dyDescent="0.3">
      <c r="B257" s="3">
        <v>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2"/>
      <c r="I257" s="3">
        <f>IF(OR(B257="",ISBLANK(B257),B257=0),0,IF(MOD(B257,2)=1,1,2))</f>
        <v>0</v>
      </c>
      <c r="J257" s="3">
        <f>IF(OR(C257="",ISBLANK(C257),C257=0),0,IF(MOD(C257,2)=1,1,2))</f>
        <v>0</v>
      </c>
      <c r="K257" s="3">
        <f>IF(OR(D257="",ISBLANK(D257),D257=0),0,IF(MOD(D257,2)=1,1,2))</f>
        <v>0</v>
      </c>
      <c r="L257" s="3">
        <f>IF(OR(E257="",ISBLANK(E257),E257=0),0,IF(MOD(E257,2)=1,1,2))</f>
        <v>0</v>
      </c>
      <c r="M257" s="3">
        <f>IF(OR(F257="",ISBLANK(F257),F257=0),0,IF(MOD(F257,2)=1,1,2))</f>
        <v>0</v>
      </c>
      <c r="N257" s="3">
        <f>IF(OR(G257="",ISBLANK(G257),G257=0),0,IF(MOD(G257,2)=1,1,2))</f>
        <v>0</v>
      </c>
      <c r="O257" s="32"/>
      <c r="P257" s="3" cm="1">
        <f t="array" ref="P257">SUMPRODUCT(--(MOD(B257:G257,2)=1))</f>
        <v>0</v>
      </c>
      <c r="Q257" s="3">
        <f>6-P257</f>
        <v>6</v>
      </c>
      <c r="R257" s="34"/>
      <c r="S257" s="3">
        <f>COUNTIFS(B257:G257,"&gt;=1",B257:G257,"&lt;=23")</f>
        <v>0</v>
      </c>
      <c r="T257" s="3">
        <f>6-S257</f>
        <v>6</v>
      </c>
      <c r="U257" s="34"/>
      <c r="V257" s="3" cm="1">
        <f t="array" ref="V257">SUMPRODUCT(--(MOD(B257:G257,10)&gt;=1), --(MOD(B257:G257,10)&lt;=5))</f>
        <v>0</v>
      </c>
      <c r="W257" s="3">
        <f>6-V257</f>
        <v>6</v>
      </c>
      <c r="X257" s="34"/>
      <c r="Y257" s="3" cm="1">
        <f t="array" ref="Y257">IFERROR(COUNT(_xlfn._xlws.FILTER(B257:G257, ISNUMBER(MATCH(B257:G257, {2,3,5,7,11,13,17,19,23,29,31,37,41,43}, 0)))), 0)</f>
        <v>0</v>
      </c>
      <c r="Z257" s="3" cm="1">
        <f t="array" ref="Z257">IFERROR(COUNT(_xlfn._xlws.FILTER(B257:G257, ISNUMBER(MATCH(B257:G257, {1,4,8,10,14,16,20,22,25,26,28,32,34,35,38,40,44}, 0)))), 0)</f>
        <v>0</v>
      </c>
      <c r="AA257" s="3" cm="1">
        <f t="array" ref="AA257">IFERROR(COUNT(_xlfn._xlws.FILTER(B257:G257, ISNUMBER(MATCH(B257:G257, {6,9,12,15,18,21,24,27,30,33,36,39,42,45}, 0)))), 0)</f>
        <v>0</v>
      </c>
      <c r="AB257" s="30"/>
      <c r="AC257" s="26" cm="1">
        <f t="array" ref="AC257">_xlfn.IFS(
   OR(B257="",ISBLANK(B257),B257=0),0,
   ISNUMBER(MATCH(B257,{2,3,5,7,11,13,17,19,23,29,31,37,41,43},0)),"소",
   AND(ISNUMBER(B257),MOD(B257,3)=0),"배",
   AND(ISNUMBER(B257),B257&gt;0),"자"
)</f>
        <v>0</v>
      </c>
      <c r="AD257" s="26" cm="1">
        <f t="array" ref="AD257">_xlfn.IFS(
   OR(C257="",ISBLANK(C257),C257=0),0,
   ISNUMBER(MATCH(C257,{2,3,5,7,11,13,17,19,23,29,31,37,41,43},0)),"소",
   AND(ISNUMBER(C257),MOD(C257,3)=0),"배",
   AND(ISNUMBER(C257),C257&gt;0),"자"
)</f>
        <v>0</v>
      </c>
      <c r="AE257" s="26" cm="1">
        <f t="array" ref="AE257">_xlfn.IFS(
   OR(D257="",ISBLANK(D257),D257=0),0,
   ISNUMBER(MATCH(D257,{2,3,5,7,11,13,17,19,23,29,31,37,41,43},0)),"소",
   AND(ISNUMBER(D257),MOD(D257,3)=0),"배",
   AND(ISNUMBER(D257),D257&gt;0),"자"
)</f>
        <v>0</v>
      </c>
      <c r="AF257" s="26" cm="1">
        <f t="array" ref="AF257">_xlfn.IFS(
   OR(E257="",ISBLANK(E257),E257=0),0,
   ISNUMBER(MATCH(E257,{2,3,5,7,11,13,17,19,23,29,31,37,41,43},0)),"소",
   AND(ISNUMBER(E257),MOD(E257,3)=0),"배",
   AND(ISNUMBER(E257),E257&gt;0),"자"
)</f>
        <v>0</v>
      </c>
      <c r="AG257" s="26" cm="1">
        <f t="array" ref="AG257">_xlfn.IFS(
   OR(F257="",ISBLANK(F257),F257=0),0,
   ISNUMBER(MATCH(F257,{2,3,5,7,11,13,17,19,23,29,31,37,41,43},0)),"소",
   AND(ISNUMBER(F257),MOD(F257,3)=0),"배",
   AND(ISNUMBER(F257),F257&gt;0),"자"
)</f>
        <v>0</v>
      </c>
      <c r="AH257" s="26" cm="1">
        <f t="array" ref="AH257">_xlfn.IFS(
   OR(G257="",ISBLANK(G257),G257=0),0,
   ISNUMBER(MATCH(G257,{2,3,5,7,11,13,17,19,23,29,31,37,41,43},0)),"소",
   AND(ISNUMBER(G257),MOD(G257,3)=0),"배",
   AND(ISNUMBER(G257),G257&gt;0),"자"
)</f>
        <v>0</v>
      </c>
      <c r="AI257" s="30"/>
      <c r="AJ257" s="3">
        <f>COUNTIFS(B257:G257,"&gt;=1",B257:G257,"&lt;=14")</f>
        <v>0</v>
      </c>
      <c r="AK257" s="3">
        <f>COUNTIFS(B257:G257,"&gt;=15",B257:G257,"&lt;=31")</f>
        <v>0</v>
      </c>
      <c r="AL257" s="3">
        <f>6-AK257-AJ257</f>
        <v>6</v>
      </c>
      <c r="AM257" s="33"/>
      <c r="AN257" s="3">
        <f>COUNTIFS($B257:$G257, "&gt;=1",$B257:$G257, "&lt;=9")</f>
        <v>0</v>
      </c>
      <c r="AO257" s="3">
        <f>COUNTIFS($B257:$G257, "&gt;=10",$B257:$G257, "&lt;=18")</f>
        <v>0</v>
      </c>
      <c r="AP257" s="3">
        <f>COUNTIFS($B257:$G257, "&gt;=19",$B257:$G257, "&lt;=27")</f>
        <v>0</v>
      </c>
      <c r="AQ257" s="3">
        <f>COUNTIFS($B257:$G257, "&gt;=28",$B257:$G257, "&lt;=36")</f>
        <v>0</v>
      </c>
      <c r="AR257" s="3">
        <f>COUNTIFS($B257:$G257, "&gt;=37",$B257:$G257, "&lt;=45")</f>
        <v>0</v>
      </c>
      <c r="AS257" s="28" t="e">
        <f>#REF!</f>
        <v>#REF!</v>
      </c>
      <c r="AT257" s="28" t="e">
        <f>#REF!*2</f>
        <v>#REF!</v>
      </c>
      <c r="AU257" s="28" t="e">
        <f>#REF!</f>
        <v>#REF!</v>
      </c>
      <c r="AV257" s="28" t="e">
        <f>#REF!*2</f>
        <v>#REF!</v>
      </c>
      <c r="AW257" s="28" t="e">
        <f>#REF!</f>
        <v>#REF!</v>
      </c>
      <c r="AX257" s="28" t="e">
        <f>#REF!*2</f>
        <v>#REF!</v>
      </c>
      <c r="AY257" s="28" t="e">
        <f>#REF!</f>
        <v>#REF!</v>
      </c>
      <c r="AZ257" s="28" t="e">
        <f>#REF!*2</f>
        <v>#REF!</v>
      </c>
      <c r="BA257" s="28" t="e">
        <f>#REF!</f>
        <v>#REF!</v>
      </c>
      <c r="BB257" s="28" t="e">
        <f>#REF!*2</f>
        <v>#REF!</v>
      </c>
      <c r="BC257" s="28" t="e">
        <f>#REF!</f>
        <v>#REF!</v>
      </c>
      <c r="BD257" s="28" t="e">
        <f>#REF!*2</f>
        <v>#REF!</v>
      </c>
      <c r="BE257" s="9" t="e">
        <f>#REF!-#REF!</f>
        <v>#REF!</v>
      </c>
      <c r="BF257" s="9" t="e">
        <f>#REF!-#REF!</f>
        <v>#REF!</v>
      </c>
      <c r="BG257" s="9" t="e">
        <f>#REF!-#REF!</f>
        <v>#REF!</v>
      </c>
      <c r="BH257" s="9" t="e">
        <f>#REF!-#REF!</f>
        <v>#REF!</v>
      </c>
      <c r="BI257" s="9" t="e">
        <f>#REF!-#REF!</f>
        <v>#REF!</v>
      </c>
      <c r="BJ257" s="33"/>
      <c r="BK257" s="3">
        <f>COUNTIFS(B257:G257, "&gt;=1", B257:G257, "&lt;=9")</f>
        <v>0</v>
      </c>
      <c r="BL257" s="3">
        <f>COUNTIFS(B257:G257, "&gt;=10", B257:G257, "&lt;=19")</f>
        <v>0</v>
      </c>
      <c r="BM257" s="3">
        <f>COUNTIFS(B257:G257, "&gt;=20", B257:G257, "&lt;=29")</f>
        <v>0</v>
      </c>
      <c r="BN257" s="3">
        <f>COUNTIFS(B257:G257, "&gt;=30", B257:G257, "&lt;=39")</f>
        <v>0</v>
      </c>
      <c r="BO257" s="3">
        <f>COUNTIFS(B257:G257, "&gt;=40", B257:G257, "&lt;=45")</f>
        <v>0</v>
      </c>
      <c r="BP257" s="28" t="e">
        <f>#REF!</f>
        <v>#REF!</v>
      </c>
      <c r="BQ257" s="28" t="e">
        <f>#REF!*2</f>
        <v>#REF!</v>
      </c>
      <c r="BR257" s="28" t="e">
        <f>#REF!</f>
        <v>#REF!</v>
      </c>
      <c r="BS257" s="28" t="e">
        <f>#REF!*2</f>
        <v>#REF!</v>
      </c>
      <c r="BT257" s="28" t="e">
        <f>#REF!</f>
        <v>#REF!</v>
      </c>
      <c r="BU257" s="28" t="e">
        <f>#REF!*2</f>
        <v>#REF!</v>
      </c>
      <c r="BV257" s="28" t="e">
        <f>#REF!</f>
        <v>#REF!</v>
      </c>
      <c r="BW257" s="28" t="e">
        <f>#REF!*2</f>
        <v>#REF!</v>
      </c>
      <c r="BX257" s="28" t="e">
        <f>#REF!</f>
        <v>#REF!</v>
      </c>
      <c r="BY257" s="28" t="e">
        <f>#REF!*2</f>
        <v>#REF!</v>
      </c>
      <c r="BZ257" s="28" t="e">
        <f>#REF!</f>
        <v>#REF!</v>
      </c>
      <c r="CA257" s="28" t="e">
        <f>#REF!*2</f>
        <v>#REF!</v>
      </c>
      <c r="CB257" s="9">
        <f>C257-B257</f>
        <v>0</v>
      </c>
      <c r="CC257" s="9">
        <f>D257-C257</f>
        <v>0</v>
      </c>
      <c r="CD257" s="9">
        <f>E257-D257</f>
        <v>0</v>
      </c>
      <c r="CE257" s="9">
        <f>F257-E257</f>
        <v>0</v>
      </c>
      <c r="CF257" s="9">
        <f>G257-F257</f>
        <v>0</v>
      </c>
      <c r="CG257" s="33"/>
      <c r="CH257" s="3">
        <f>C257-B257</f>
        <v>0</v>
      </c>
      <c r="CI257" s="3">
        <f>D257-C257</f>
        <v>0</v>
      </c>
      <c r="CJ257" s="3">
        <f>E257-D257</f>
        <v>0</v>
      </c>
      <c r="CK257" s="3">
        <f>F257-E257</f>
        <v>0</v>
      </c>
      <c r="CL257" s="3">
        <f>G257-F257</f>
        <v>0</v>
      </c>
      <c r="CM257" s="32"/>
      <c r="CN257" s="3">
        <f>IF(OR(CH257="",ISBLANK(CH257),CH257=0),0,IF(MOD(CH257,2)=1,1,2))</f>
        <v>0</v>
      </c>
      <c r="CO257" s="3">
        <f>IF(OR(CI257="",ISBLANK(CI257),CI257=0),0,IF(MOD(CI257,2)=1,1,2))</f>
        <v>0</v>
      </c>
      <c r="CP257" s="3">
        <f>IF(OR(CJ257="",ISBLANK(CJ257),CJ257=0),0,IF(MOD(CJ257,2)=1,1,2))</f>
        <v>0</v>
      </c>
      <c r="CQ257" s="3">
        <f>IF(OR(CK257="",ISBLANK(CK257),CK257=0),0,IF(MOD(CK257,2)=1,1,2))</f>
        <v>0</v>
      </c>
      <c r="CR257" s="3">
        <f>IF(OR(CL257="",ISBLANK(CL257),CL257=0),0,IF(MOD(CL257,2)=1,1,2))</f>
        <v>0</v>
      </c>
      <c r="CS257" s="31"/>
      <c r="CT257" s="3" cm="1">
        <f t="array" ref="CT257">SUMPRODUCT(--(MOD(CH257:CL257,2)=1))</f>
        <v>0</v>
      </c>
      <c r="CU257" s="3">
        <f>5-CT257</f>
        <v>5</v>
      </c>
      <c r="CV257" s="30"/>
      <c r="CW257" s="3" cm="1">
        <f t="array" ref="CW257">SUMPRODUCT(--(MOD(CH257:CL257,10)&gt;=1), --(MOD(CH257:CL257,10)&lt;=5))</f>
        <v>0</v>
      </c>
      <c r="CX257" s="3">
        <f>5-CW257</f>
        <v>5</v>
      </c>
      <c r="CY257" s="30"/>
      <c r="CZ257" s="3" cm="1">
        <f t="array" ref="CZ257">IFERROR(COUNT(_xlfn._xlws.FILTER(CH257:CL257, ISNUMBER(MATCH(CH257:CL257, {2,3,5,7,11,13,17,19,23,29,31,37,41,43}, 0)))), 0)</f>
        <v>0</v>
      </c>
      <c r="DA257" s="3" cm="1">
        <f t="array" ref="DA257">IFERROR(COUNT(_xlfn._xlws.FILTER(CH257:CL257, ISNUMBER(MATCH(CH257:CL257, {1,4,8,10,14,16,20,22,25,26,28,32,34,35,38,40,44}, 0)))), 0)</f>
        <v>0</v>
      </c>
      <c r="DB257" s="3" cm="1">
        <f t="array" ref="DB257">IFERROR(COUNT(_xlfn._xlws.FILTER(CH257:CL257, ISNUMBER(MATCH(CH257:CL257, {6,9,12,15,18,21,24,27,30,33,36,39,42,45}, 0)))), 0)</f>
        <v>0</v>
      </c>
      <c r="DC257" s="29"/>
      <c r="DD257" s="28" t="e">
        <f>#REF!</f>
        <v>#REF!</v>
      </c>
      <c r="DE257" s="28" t="e">
        <f>#REF!*2</f>
        <v>#REF!</v>
      </c>
      <c r="DF257" s="28" t="e">
        <f>#REF!</f>
        <v>#REF!</v>
      </c>
      <c r="DG257" s="28" t="e">
        <f>#REF!*2</f>
        <v>#REF!</v>
      </c>
      <c r="DH257" s="28" t="e">
        <f>#REF!</f>
        <v>#REF!</v>
      </c>
      <c r="DI257" s="28" t="e">
        <f>#REF!*2</f>
        <v>#REF!</v>
      </c>
      <c r="DJ257" s="28" t="e">
        <f>#REF!</f>
        <v>#REF!</v>
      </c>
      <c r="DK257" s="28" t="e">
        <f>#REF!*2</f>
        <v>#REF!</v>
      </c>
      <c r="DL257" s="28" t="e">
        <f>#REF!</f>
        <v>#REF!</v>
      </c>
      <c r="DM257" s="28" t="e">
        <f>#REF!*2</f>
        <v>#REF!</v>
      </c>
      <c r="DN257" s="27"/>
      <c r="DO257" s="26"/>
      <c r="DP257" s="26"/>
      <c r="DQ257" s="26"/>
      <c r="DR257" s="26"/>
      <c r="DS257" s="26"/>
      <c r="DT257" s="25"/>
    </row>
    <row r="258" spans="2:124" x14ac:dyDescent="0.3"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2"/>
      <c r="I258" s="3">
        <f>IF(OR(B258="",ISBLANK(B258),B258=0),0,IF(MOD(B258,2)=1,1,2))</f>
        <v>0</v>
      </c>
      <c r="J258" s="3">
        <f>IF(OR(C258="",ISBLANK(C258),C258=0),0,IF(MOD(C258,2)=1,1,2))</f>
        <v>0</v>
      </c>
      <c r="K258" s="3">
        <f>IF(OR(D258="",ISBLANK(D258),D258=0),0,IF(MOD(D258,2)=1,1,2))</f>
        <v>0</v>
      </c>
      <c r="L258" s="3">
        <f>IF(OR(E258="",ISBLANK(E258),E258=0),0,IF(MOD(E258,2)=1,1,2))</f>
        <v>0</v>
      </c>
      <c r="M258" s="3">
        <f>IF(OR(F258="",ISBLANK(F258),F258=0),0,IF(MOD(F258,2)=1,1,2))</f>
        <v>0</v>
      </c>
      <c r="N258" s="3">
        <f>IF(OR(G258="",ISBLANK(G258),G258=0),0,IF(MOD(G258,2)=1,1,2))</f>
        <v>0</v>
      </c>
      <c r="O258" s="32"/>
      <c r="P258" s="3" cm="1">
        <f t="array" ref="P258">SUMPRODUCT(--(MOD(B258:G258,2)=1))</f>
        <v>0</v>
      </c>
      <c r="Q258" s="3">
        <f>6-P258</f>
        <v>6</v>
      </c>
      <c r="R258" s="34"/>
      <c r="S258" s="3">
        <f>COUNTIFS(B258:G258,"&gt;=1",B258:G258,"&lt;=23")</f>
        <v>0</v>
      </c>
      <c r="T258" s="3">
        <f>6-S258</f>
        <v>6</v>
      </c>
      <c r="U258" s="34"/>
      <c r="V258" s="3" cm="1">
        <f t="array" ref="V258">SUMPRODUCT(--(MOD(B258:G258,10)&gt;=1), --(MOD(B258:G258,10)&lt;=5))</f>
        <v>0</v>
      </c>
      <c r="W258" s="3">
        <f>6-V258</f>
        <v>6</v>
      </c>
      <c r="X258" s="34"/>
      <c r="Y258" s="3" cm="1">
        <f t="array" ref="Y258">IFERROR(COUNT(_xlfn._xlws.FILTER(B258:G258, ISNUMBER(MATCH(B258:G258, {2,3,5,7,11,13,17,19,23,29,31,37,41,43}, 0)))), 0)</f>
        <v>0</v>
      </c>
      <c r="Z258" s="3" cm="1">
        <f t="array" ref="Z258">IFERROR(COUNT(_xlfn._xlws.FILTER(B258:G258, ISNUMBER(MATCH(B258:G258, {1,4,8,10,14,16,20,22,25,26,28,32,34,35,38,40,44}, 0)))), 0)</f>
        <v>0</v>
      </c>
      <c r="AA258" s="3" cm="1">
        <f t="array" ref="AA258">IFERROR(COUNT(_xlfn._xlws.FILTER(B258:G258, ISNUMBER(MATCH(B258:G258, {6,9,12,15,18,21,24,27,30,33,36,39,42,45}, 0)))), 0)</f>
        <v>0</v>
      </c>
      <c r="AB258" s="30"/>
      <c r="AC258" s="26" cm="1">
        <f t="array" ref="AC258">_xlfn.IFS(
   OR(B258="",ISBLANK(B258),B258=0),0,
   ISNUMBER(MATCH(B258,{2,3,5,7,11,13,17,19,23,29,31,37,41,43},0)),"소",
   AND(ISNUMBER(B258),MOD(B258,3)=0),"배",
   AND(ISNUMBER(B258),B258&gt;0),"자"
)</f>
        <v>0</v>
      </c>
      <c r="AD258" s="26" cm="1">
        <f t="array" ref="AD258">_xlfn.IFS(
   OR(C258="",ISBLANK(C258),C258=0),0,
   ISNUMBER(MATCH(C258,{2,3,5,7,11,13,17,19,23,29,31,37,41,43},0)),"소",
   AND(ISNUMBER(C258),MOD(C258,3)=0),"배",
   AND(ISNUMBER(C258),C258&gt;0),"자"
)</f>
        <v>0</v>
      </c>
      <c r="AE258" s="26" cm="1">
        <f t="array" ref="AE258">_xlfn.IFS(
   OR(D258="",ISBLANK(D258),D258=0),0,
   ISNUMBER(MATCH(D258,{2,3,5,7,11,13,17,19,23,29,31,37,41,43},0)),"소",
   AND(ISNUMBER(D258),MOD(D258,3)=0),"배",
   AND(ISNUMBER(D258),D258&gt;0),"자"
)</f>
        <v>0</v>
      </c>
      <c r="AF258" s="26" cm="1">
        <f t="array" ref="AF258">_xlfn.IFS(
   OR(E258="",ISBLANK(E258),E258=0),0,
   ISNUMBER(MATCH(E258,{2,3,5,7,11,13,17,19,23,29,31,37,41,43},0)),"소",
   AND(ISNUMBER(E258),MOD(E258,3)=0),"배",
   AND(ISNUMBER(E258),E258&gt;0),"자"
)</f>
        <v>0</v>
      </c>
      <c r="AG258" s="26" cm="1">
        <f t="array" ref="AG258">_xlfn.IFS(
   OR(F258="",ISBLANK(F258),F258=0),0,
   ISNUMBER(MATCH(F258,{2,3,5,7,11,13,17,19,23,29,31,37,41,43},0)),"소",
   AND(ISNUMBER(F258),MOD(F258,3)=0),"배",
   AND(ISNUMBER(F258),F258&gt;0),"자"
)</f>
        <v>0</v>
      </c>
      <c r="AH258" s="26" cm="1">
        <f t="array" ref="AH258">_xlfn.IFS(
   OR(G258="",ISBLANK(G258),G258=0),0,
   ISNUMBER(MATCH(G258,{2,3,5,7,11,13,17,19,23,29,31,37,41,43},0)),"소",
   AND(ISNUMBER(G258),MOD(G258,3)=0),"배",
   AND(ISNUMBER(G258),G258&gt;0),"자"
)</f>
        <v>0</v>
      </c>
      <c r="AI258" s="30"/>
      <c r="AJ258" s="3">
        <f>COUNTIFS(B258:G258,"&gt;=1",B258:G258,"&lt;=14")</f>
        <v>0</v>
      </c>
      <c r="AK258" s="3">
        <f>COUNTIFS(B258:G258,"&gt;=15",B258:G258,"&lt;=31")</f>
        <v>0</v>
      </c>
      <c r="AL258" s="3">
        <f>6-AK258-AJ258</f>
        <v>6</v>
      </c>
      <c r="AM258" s="33"/>
      <c r="AN258" s="3">
        <f>COUNTIFS($B258:$G258, "&gt;=1",$B258:$G258, "&lt;=9")</f>
        <v>0</v>
      </c>
      <c r="AO258" s="3">
        <f>COUNTIFS($B258:$G258, "&gt;=10",$B258:$G258, "&lt;=18")</f>
        <v>0</v>
      </c>
      <c r="AP258" s="3">
        <f>COUNTIFS($B258:$G258, "&gt;=19",$B258:$G258, "&lt;=27")</f>
        <v>0</v>
      </c>
      <c r="AQ258" s="3">
        <f>COUNTIFS($B258:$G258, "&gt;=28",$B258:$G258, "&lt;=36")</f>
        <v>0</v>
      </c>
      <c r="AR258" s="3">
        <f>COUNTIFS($B258:$G258, "&gt;=37",$B258:$G258, "&lt;=45")</f>
        <v>0</v>
      </c>
      <c r="AS258" s="28" t="e">
        <f>#REF!</f>
        <v>#REF!</v>
      </c>
      <c r="AT258" s="28" t="e">
        <f>#REF!*2</f>
        <v>#REF!</v>
      </c>
      <c r="AU258" s="28" t="e">
        <f>#REF!</f>
        <v>#REF!</v>
      </c>
      <c r="AV258" s="28" t="e">
        <f>#REF!*2</f>
        <v>#REF!</v>
      </c>
      <c r="AW258" s="28" t="e">
        <f>#REF!</f>
        <v>#REF!</v>
      </c>
      <c r="AX258" s="28" t="e">
        <f>#REF!*2</f>
        <v>#REF!</v>
      </c>
      <c r="AY258" s="28" t="e">
        <f>#REF!</f>
        <v>#REF!</v>
      </c>
      <c r="AZ258" s="28" t="e">
        <f>#REF!*2</f>
        <v>#REF!</v>
      </c>
      <c r="BA258" s="28" t="e">
        <f>#REF!</f>
        <v>#REF!</v>
      </c>
      <c r="BB258" s="28" t="e">
        <f>#REF!*2</f>
        <v>#REF!</v>
      </c>
      <c r="BC258" s="28" t="e">
        <f>#REF!</f>
        <v>#REF!</v>
      </c>
      <c r="BD258" s="28" t="e">
        <f>#REF!*2</f>
        <v>#REF!</v>
      </c>
      <c r="BE258" s="9" t="e">
        <f>#REF!-#REF!</f>
        <v>#REF!</v>
      </c>
      <c r="BF258" s="9" t="e">
        <f>#REF!-#REF!</f>
        <v>#REF!</v>
      </c>
      <c r="BG258" s="9" t="e">
        <f>#REF!-#REF!</f>
        <v>#REF!</v>
      </c>
      <c r="BH258" s="9" t="e">
        <f>#REF!-#REF!</f>
        <v>#REF!</v>
      </c>
      <c r="BI258" s="9" t="e">
        <f>#REF!-#REF!</f>
        <v>#REF!</v>
      </c>
      <c r="BJ258" s="33"/>
      <c r="BK258" s="3">
        <f>COUNTIFS(B258:G258, "&gt;=1", B258:G258, "&lt;=9")</f>
        <v>0</v>
      </c>
      <c r="BL258" s="3">
        <f>COUNTIFS(B258:G258, "&gt;=10", B258:G258, "&lt;=19")</f>
        <v>0</v>
      </c>
      <c r="BM258" s="3">
        <f>COUNTIFS(B258:G258, "&gt;=20", B258:G258, "&lt;=29")</f>
        <v>0</v>
      </c>
      <c r="BN258" s="3">
        <f>COUNTIFS(B258:G258, "&gt;=30", B258:G258, "&lt;=39")</f>
        <v>0</v>
      </c>
      <c r="BO258" s="3">
        <f>COUNTIFS(B258:G258, "&gt;=40", B258:G258, "&lt;=45")</f>
        <v>0</v>
      </c>
      <c r="BP258" s="28" t="e">
        <f>#REF!</f>
        <v>#REF!</v>
      </c>
      <c r="BQ258" s="28" t="e">
        <f>#REF!*2</f>
        <v>#REF!</v>
      </c>
      <c r="BR258" s="28" t="e">
        <f>#REF!</f>
        <v>#REF!</v>
      </c>
      <c r="BS258" s="28" t="e">
        <f>#REF!*2</f>
        <v>#REF!</v>
      </c>
      <c r="BT258" s="28" t="e">
        <f>#REF!</f>
        <v>#REF!</v>
      </c>
      <c r="BU258" s="28" t="e">
        <f>#REF!*2</f>
        <v>#REF!</v>
      </c>
      <c r="BV258" s="28" t="e">
        <f>#REF!</f>
        <v>#REF!</v>
      </c>
      <c r="BW258" s="28" t="e">
        <f>#REF!*2</f>
        <v>#REF!</v>
      </c>
      <c r="BX258" s="28" t="e">
        <f>#REF!</f>
        <v>#REF!</v>
      </c>
      <c r="BY258" s="28" t="e">
        <f>#REF!*2</f>
        <v>#REF!</v>
      </c>
      <c r="BZ258" s="28" t="e">
        <f>#REF!</f>
        <v>#REF!</v>
      </c>
      <c r="CA258" s="28" t="e">
        <f>#REF!*2</f>
        <v>#REF!</v>
      </c>
      <c r="CB258" s="9">
        <f>C258-B258</f>
        <v>0</v>
      </c>
      <c r="CC258" s="9">
        <f>D258-C258</f>
        <v>0</v>
      </c>
      <c r="CD258" s="9">
        <f>E258-D258</f>
        <v>0</v>
      </c>
      <c r="CE258" s="9">
        <f>F258-E258</f>
        <v>0</v>
      </c>
      <c r="CF258" s="9">
        <f>G258-F258</f>
        <v>0</v>
      </c>
      <c r="CG258" s="33"/>
      <c r="CH258" s="3">
        <f>C258-B258</f>
        <v>0</v>
      </c>
      <c r="CI258" s="3">
        <f>D258-C258</f>
        <v>0</v>
      </c>
      <c r="CJ258" s="3">
        <f>E258-D258</f>
        <v>0</v>
      </c>
      <c r="CK258" s="3">
        <f>F258-E258</f>
        <v>0</v>
      </c>
      <c r="CL258" s="3">
        <f>G258-F258</f>
        <v>0</v>
      </c>
      <c r="CM258" s="32"/>
      <c r="CN258" s="3">
        <f>IF(OR(CH258="",ISBLANK(CH258),CH258=0),0,IF(MOD(CH258,2)=1,1,2))</f>
        <v>0</v>
      </c>
      <c r="CO258" s="3">
        <f>IF(OR(CI258="",ISBLANK(CI258),CI258=0),0,IF(MOD(CI258,2)=1,1,2))</f>
        <v>0</v>
      </c>
      <c r="CP258" s="3">
        <f>IF(OR(CJ258="",ISBLANK(CJ258),CJ258=0),0,IF(MOD(CJ258,2)=1,1,2))</f>
        <v>0</v>
      </c>
      <c r="CQ258" s="3">
        <f>IF(OR(CK258="",ISBLANK(CK258),CK258=0),0,IF(MOD(CK258,2)=1,1,2))</f>
        <v>0</v>
      </c>
      <c r="CR258" s="3">
        <f>IF(OR(CL258="",ISBLANK(CL258),CL258=0),0,IF(MOD(CL258,2)=1,1,2))</f>
        <v>0</v>
      </c>
      <c r="CS258" s="31"/>
      <c r="CT258" s="3" cm="1">
        <f t="array" ref="CT258">SUMPRODUCT(--(MOD(CH258:CL258,2)=1))</f>
        <v>0</v>
      </c>
      <c r="CU258" s="3">
        <f>5-CT258</f>
        <v>5</v>
      </c>
      <c r="CV258" s="30"/>
      <c r="CW258" s="3" cm="1">
        <f t="array" ref="CW258">SUMPRODUCT(--(MOD(CH258:CL258,10)&gt;=1), --(MOD(CH258:CL258,10)&lt;=5))</f>
        <v>0</v>
      </c>
      <c r="CX258" s="3">
        <f>5-CW258</f>
        <v>5</v>
      </c>
      <c r="CY258" s="30"/>
      <c r="CZ258" s="3" cm="1">
        <f t="array" ref="CZ258">IFERROR(COUNT(_xlfn._xlws.FILTER(CH258:CL258, ISNUMBER(MATCH(CH258:CL258, {2,3,5,7,11,13,17,19,23,29,31,37,41,43}, 0)))), 0)</f>
        <v>0</v>
      </c>
      <c r="DA258" s="3" cm="1">
        <f t="array" ref="DA258">IFERROR(COUNT(_xlfn._xlws.FILTER(CH258:CL258, ISNUMBER(MATCH(CH258:CL258, {1,4,8,10,14,16,20,22,25,26,28,32,34,35,38,40,44}, 0)))), 0)</f>
        <v>0</v>
      </c>
      <c r="DB258" s="3" cm="1">
        <f t="array" ref="DB258">IFERROR(COUNT(_xlfn._xlws.FILTER(CH258:CL258, ISNUMBER(MATCH(CH258:CL258, {6,9,12,15,18,21,24,27,30,33,36,39,42,45}, 0)))), 0)</f>
        <v>0</v>
      </c>
      <c r="DC258" s="29"/>
      <c r="DD258" s="28" t="e">
        <f>#REF!</f>
        <v>#REF!</v>
      </c>
      <c r="DE258" s="28" t="e">
        <f>#REF!*2</f>
        <v>#REF!</v>
      </c>
      <c r="DF258" s="28" t="e">
        <f>#REF!</f>
        <v>#REF!</v>
      </c>
      <c r="DG258" s="28" t="e">
        <f>#REF!*2</f>
        <v>#REF!</v>
      </c>
      <c r="DH258" s="28" t="e">
        <f>#REF!</f>
        <v>#REF!</v>
      </c>
      <c r="DI258" s="28" t="e">
        <f>#REF!*2</f>
        <v>#REF!</v>
      </c>
      <c r="DJ258" s="28" t="e">
        <f>#REF!</f>
        <v>#REF!</v>
      </c>
      <c r="DK258" s="28" t="e">
        <f>#REF!*2</f>
        <v>#REF!</v>
      </c>
      <c r="DL258" s="28" t="e">
        <f>#REF!</f>
        <v>#REF!</v>
      </c>
      <c r="DM258" s="28" t="e">
        <f>#REF!*2</f>
        <v>#REF!</v>
      </c>
      <c r="DN258" s="27"/>
      <c r="DO258" s="26"/>
      <c r="DP258" s="26"/>
      <c r="DQ258" s="26"/>
      <c r="DR258" s="26"/>
      <c r="DS258" s="26"/>
      <c r="DT258" s="25"/>
    </row>
    <row r="259" spans="2:124" x14ac:dyDescent="0.3">
      <c r="B259" s="3">
        <v>0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2"/>
      <c r="I259" s="3">
        <f>IF(OR(B259="",ISBLANK(B259),B259=0),0,IF(MOD(B259,2)=1,1,2))</f>
        <v>0</v>
      </c>
      <c r="J259" s="3">
        <f>IF(OR(C259="",ISBLANK(C259),C259=0),0,IF(MOD(C259,2)=1,1,2))</f>
        <v>0</v>
      </c>
      <c r="K259" s="3">
        <f>IF(OR(D259="",ISBLANK(D259),D259=0),0,IF(MOD(D259,2)=1,1,2))</f>
        <v>0</v>
      </c>
      <c r="L259" s="3">
        <f>IF(OR(E259="",ISBLANK(E259),E259=0),0,IF(MOD(E259,2)=1,1,2))</f>
        <v>0</v>
      </c>
      <c r="M259" s="3">
        <f>IF(OR(F259="",ISBLANK(F259),F259=0),0,IF(MOD(F259,2)=1,1,2))</f>
        <v>0</v>
      </c>
      <c r="N259" s="3">
        <f>IF(OR(G259="",ISBLANK(G259),G259=0),0,IF(MOD(G259,2)=1,1,2))</f>
        <v>0</v>
      </c>
      <c r="O259" s="32"/>
      <c r="P259" s="3" cm="1">
        <f t="array" ref="P259">SUMPRODUCT(--(MOD(B259:G259,2)=1))</f>
        <v>0</v>
      </c>
      <c r="Q259" s="3">
        <f>6-P259</f>
        <v>6</v>
      </c>
      <c r="R259" s="34"/>
      <c r="S259" s="3">
        <f>COUNTIFS(B259:G259,"&gt;=1",B259:G259,"&lt;=23")</f>
        <v>0</v>
      </c>
      <c r="T259" s="3">
        <f>6-S259</f>
        <v>6</v>
      </c>
      <c r="U259" s="34"/>
      <c r="V259" s="3" cm="1">
        <f t="array" ref="V259">SUMPRODUCT(--(MOD(B259:G259,10)&gt;=1), --(MOD(B259:G259,10)&lt;=5))</f>
        <v>0</v>
      </c>
      <c r="W259" s="3">
        <f>6-V259</f>
        <v>6</v>
      </c>
      <c r="X259" s="34"/>
      <c r="Y259" s="3" cm="1">
        <f t="array" ref="Y259">IFERROR(COUNT(_xlfn._xlws.FILTER(B259:G259, ISNUMBER(MATCH(B259:G259, {2,3,5,7,11,13,17,19,23,29,31,37,41,43}, 0)))), 0)</f>
        <v>0</v>
      </c>
      <c r="Z259" s="3" cm="1">
        <f t="array" ref="Z259">IFERROR(COUNT(_xlfn._xlws.FILTER(B259:G259, ISNUMBER(MATCH(B259:G259, {1,4,8,10,14,16,20,22,25,26,28,32,34,35,38,40,44}, 0)))), 0)</f>
        <v>0</v>
      </c>
      <c r="AA259" s="3" cm="1">
        <f t="array" ref="AA259">IFERROR(COUNT(_xlfn._xlws.FILTER(B259:G259, ISNUMBER(MATCH(B259:G259, {6,9,12,15,18,21,24,27,30,33,36,39,42,45}, 0)))), 0)</f>
        <v>0</v>
      </c>
      <c r="AB259" s="30"/>
      <c r="AC259" s="26" cm="1">
        <f t="array" ref="AC259">_xlfn.IFS(
   OR(B259="",ISBLANK(B259),B259=0),0,
   ISNUMBER(MATCH(B259,{2,3,5,7,11,13,17,19,23,29,31,37,41,43},0)),"소",
   AND(ISNUMBER(B259),MOD(B259,3)=0),"배",
   AND(ISNUMBER(B259),B259&gt;0),"자"
)</f>
        <v>0</v>
      </c>
      <c r="AD259" s="26" cm="1">
        <f t="array" ref="AD259">_xlfn.IFS(
   OR(C259="",ISBLANK(C259),C259=0),0,
   ISNUMBER(MATCH(C259,{2,3,5,7,11,13,17,19,23,29,31,37,41,43},0)),"소",
   AND(ISNUMBER(C259),MOD(C259,3)=0),"배",
   AND(ISNUMBER(C259),C259&gt;0),"자"
)</f>
        <v>0</v>
      </c>
      <c r="AE259" s="26" cm="1">
        <f t="array" ref="AE259">_xlfn.IFS(
   OR(D259="",ISBLANK(D259),D259=0),0,
   ISNUMBER(MATCH(D259,{2,3,5,7,11,13,17,19,23,29,31,37,41,43},0)),"소",
   AND(ISNUMBER(D259),MOD(D259,3)=0),"배",
   AND(ISNUMBER(D259),D259&gt;0),"자"
)</f>
        <v>0</v>
      </c>
      <c r="AF259" s="26" cm="1">
        <f t="array" ref="AF259">_xlfn.IFS(
   OR(E259="",ISBLANK(E259),E259=0),0,
   ISNUMBER(MATCH(E259,{2,3,5,7,11,13,17,19,23,29,31,37,41,43},0)),"소",
   AND(ISNUMBER(E259),MOD(E259,3)=0),"배",
   AND(ISNUMBER(E259),E259&gt;0),"자"
)</f>
        <v>0</v>
      </c>
      <c r="AG259" s="26" cm="1">
        <f t="array" ref="AG259">_xlfn.IFS(
   OR(F259="",ISBLANK(F259),F259=0),0,
   ISNUMBER(MATCH(F259,{2,3,5,7,11,13,17,19,23,29,31,37,41,43},0)),"소",
   AND(ISNUMBER(F259),MOD(F259,3)=0),"배",
   AND(ISNUMBER(F259),F259&gt;0),"자"
)</f>
        <v>0</v>
      </c>
      <c r="AH259" s="26" cm="1">
        <f t="array" ref="AH259">_xlfn.IFS(
   OR(G259="",ISBLANK(G259),G259=0),0,
   ISNUMBER(MATCH(G259,{2,3,5,7,11,13,17,19,23,29,31,37,41,43},0)),"소",
   AND(ISNUMBER(G259),MOD(G259,3)=0),"배",
   AND(ISNUMBER(G259),G259&gt;0),"자"
)</f>
        <v>0</v>
      </c>
      <c r="AI259" s="30"/>
      <c r="AJ259" s="3">
        <f>COUNTIFS(B259:G259,"&gt;=1",B259:G259,"&lt;=14")</f>
        <v>0</v>
      </c>
      <c r="AK259" s="3">
        <f>COUNTIFS(B259:G259,"&gt;=15",B259:G259,"&lt;=31")</f>
        <v>0</v>
      </c>
      <c r="AL259" s="3">
        <f>6-AK259-AJ259</f>
        <v>6</v>
      </c>
      <c r="AM259" s="33"/>
      <c r="AN259" s="3">
        <f>COUNTIFS($B259:$G259, "&gt;=1",$B259:$G259, "&lt;=9")</f>
        <v>0</v>
      </c>
      <c r="AO259" s="3">
        <f>COUNTIFS($B259:$G259, "&gt;=10",$B259:$G259, "&lt;=18")</f>
        <v>0</v>
      </c>
      <c r="AP259" s="3">
        <f>COUNTIFS($B259:$G259, "&gt;=19",$B259:$G259, "&lt;=27")</f>
        <v>0</v>
      </c>
      <c r="AQ259" s="3">
        <f>COUNTIFS($B259:$G259, "&gt;=28",$B259:$G259, "&lt;=36")</f>
        <v>0</v>
      </c>
      <c r="AR259" s="3">
        <f>COUNTIFS($B259:$G259, "&gt;=37",$B259:$G259, "&lt;=45")</f>
        <v>0</v>
      </c>
      <c r="AS259" s="28" t="e">
        <f>#REF!</f>
        <v>#REF!</v>
      </c>
      <c r="AT259" s="28" t="e">
        <f>#REF!*2</f>
        <v>#REF!</v>
      </c>
      <c r="AU259" s="28" t="e">
        <f>#REF!</f>
        <v>#REF!</v>
      </c>
      <c r="AV259" s="28" t="e">
        <f>#REF!*2</f>
        <v>#REF!</v>
      </c>
      <c r="AW259" s="28" t="e">
        <f>#REF!</f>
        <v>#REF!</v>
      </c>
      <c r="AX259" s="28" t="e">
        <f>#REF!*2</f>
        <v>#REF!</v>
      </c>
      <c r="AY259" s="28" t="e">
        <f>#REF!</f>
        <v>#REF!</v>
      </c>
      <c r="AZ259" s="28" t="e">
        <f>#REF!*2</f>
        <v>#REF!</v>
      </c>
      <c r="BA259" s="28" t="e">
        <f>#REF!</f>
        <v>#REF!</v>
      </c>
      <c r="BB259" s="28" t="e">
        <f>#REF!*2</f>
        <v>#REF!</v>
      </c>
      <c r="BC259" s="28" t="e">
        <f>#REF!</f>
        <v>#REF!</v>
      </c>
      <c r="BD259" s="28" t="e">
        <f>#REF!*2</f>
        <v>#REF!</v>
      </c>
      <c r="BE259" s="9" t="e">
        <f>#REF!-#REF!</f>
        <v>#REF!</v>
      </c>
      <c r="BF259" s="9" t="e">
        <f>#REF!-#REF!</f>
        <v>#REF!</v>
      </c>
      <c r="BG259" s="9" t="e">
        <f>#REF!-#REF!</f>
        <v>#REF!</v>
      </c>
      <c r="BH259" s="9" t="e">
        <f>#REF!-#REF!</f>
        <v>#REF!</v>
      </c>
      <c r="BI259" s="9" t="e">
        <f>#REF!-#REF!</f>
        <v>#REF!</v>
      </c>
      <c r="BJ259" s="33"/>
      <c r="BK259" s="3">
        <f>COUNTIFS(B259:G259, "&gt;=1", B259:G259, "&lt;=9")</f>
        <v>0</v>
      </c>
      <c r="BL259" s="3">
        <f>COUNTIFS(B259:G259, "&gt;=10", B259:G259, "&lt;=19")</f>
        <v>0</v>
      </c>
      <c r="BM259" s="3">
        <f>COUNTIFS(B259:G259, "&gt;=20", B259:G259, "&lt;=29")</f>
        <v>0</v>
      </c>
      <c r="BN259" s="3">
        <f>COUNTIFS(B259:G259, "&gt;=30", B259:G259, "&lt;=39")</f>
        <v>0</v>
      </c>
      <c r="BO259" s="3">
        <f>COUNTIFS(B259:G259, "&gt;=40", B259:G259, "&lt;=45")</f>
        <v>0</v>
      </c>
      <c r="BP259" s="28" t="e">
        <f>#REF!</f>
        <v>#REF!</v>
      </c>
      <c r="BQ259" s="28" t="e">
        <f>#REF!*2</f>
        <v>#REF!</v>
      </c>
      <c r="BR259" s="28" t="e">
        <f>#REF!</f>
        <v>#REF!</v>
      </c>
      <c r="BS259" s="28" t="e">
        <f>#REF!*2</f>
        <v>#REF!</v>
      </c>
      <c r="BT259" s="28" t="e">
        <f>#REF!</f>
        <v>#REF!</v>
      </c>
      <c r="BU259" s="28" t="e">
        <f>#REF!*2</f>
        <v>#REF!</v>
      </c>
      <c r="BV259" s="28" t="e">
        <f>#REF!</f>
        <v>#REF!</v>
      </c>
      <c r="BW259" s="28" t="e">
        <f>#REF!*2</f>
        <v>#REF!</v>
      </c>
      <c r="BX259" s="28" t="e">
        <f>#REF!</f>
        <v>#REF!</v>
      </c>
      <c r="BY259" s="28" t="e">
        <f>#REF!*2</f>
        <v>#REF!</v>
      </c>
      <c r="BZ259" s="28" t="e">
        <f>#REF!</f>
        <v>#REF!</v>
      </c>
      <c r="CA259" s="28" t="e">
        <f>#REF!*2</f>
        <v>#REF!</v>
      </c>
      <c r="CB259" s="9">
        <f>C259-B259</f>
        <v>0</v>
      </c>
      <c r="CC259" s="9">
        <f>D259-C259</f>
        <v>0</v>
      </c>
      <c r="CD259" s="9">
        <f>E259-D259</f>
        <v>0</v>
      </c>
      <c r="CE259" s="9">
        <f>F259-E259</f>
        <v>0</v>
      </c>
      <c r="CF259" s="9">
        <f>G259-F259</f>
        <v>0</v>
      </c>
      <c r="CG259" s="33"/>
      <c r="CH259" s="3">
        <f>C259-B259</f>
        <v>0</v>
      </c>
      <c r="CI259" s="3">
        <f>D259-C259</f>
        <v>0</v>
      </c>
      <c r="CJ259" s="3">
        <f>E259-D259</f>
        <v>0</v>
      </c>
      <c r="CK259" s="3">
        <f>F259-E259</f>
        <v>0</v>
      </c>
      <c r="CL259" s="3">
        <f>G259-F259</f>
        <v>0</v>
      </c>
      <c r="CM259" s="32"/>
      <c r="CN259" s="3">
        <f>IF(OR(CH259="",ISBLANK(CH259),CH259=0),0,IF(MOD(CH259,2)=1,1,2))</f>
        <v>0</v>
      </c>
      <c r="CO259" s="3">
        <f>IF(OR(CI259="",ISBLANK(CI259),CI259=0),0,IF(MOD(CI259,2)=1,1,2))</f>
        <v>0</v>
      </c>
      <c r="CP259" s="3">
        <f>IF(OR(CJ259="",ISBLANK(CJ259),CJ259=0),0,IF(MOD(CJ259,2)=1,1,2))</f>
        <v>0</v>
      </c>
      <c r="CQ259" s="3">
        <f>IF(OR(CK259="",ISBLANK(CK259),CK259=0),0,IF(MOD(CK259,2)=1,1,2))</f>
        <v>0</v>
      </c>
      <c r="CR259" s="3">
        <f>IF(OR(CL259="",ISBLANK(CL259),CL259=0),0,IF(MOD(CL259,2)=1,1,2))</f>
        <v>0</v>
      </c>
      <c r="CS259" s="31"/>
      <c r="CT259" s="3" cm="1">
        <f t="array" ref="CT259">SUMPRODUCT(--(MOD(CH259:CL259,2)=1))</f>
        <v>0</v>
      </c>
      <c r="CU259" s="3">
        <f>5-CT259</f>
        <v>5</v>
      </c>
      <c r="CV259" s="30"/>
      <c r="CW259" s="3" cm="1">
        <f t="array" ref="CW259">SUMPRODUCT(--(MOD(CH259:CL259,10)&gt;=1), --(MOD(CH259:CL259,10)&lt;=5))</f>
        <v>0</v>
      </c>
      <c r="CX259" s="3">
        <f>5-CW259</f>
        <v>5</v>
      </c>
      <c r="CY259" s="30"/>
      <c r="CZ259" s="3" cm="1">
        <f t="array" ref="CZ259">IFERROR(COUNT(_xlfn._xlws.FILTER(CH259:CL259, ISNUMBER(MATCH(CH259:CL259, {2,3,5,7,11,13,17,19,23,29,31,37,41,43}, 0)))), 0)</f>
        <v>0</v>
      </c>
      <c r="DA259" s="3" cm="1">
        <f t="array" ref="DA259">IFERROR(COUNT(_xlfn._xlws.FILTER(CH259:CL259, ISNUMBER(MATCH(CH259:CL259, {1,4,8,10,14,16,20,22,25,26,28,32,34,35,38,40,44}, 0)))), 0)</f>
        <v>0</v>
      </c>
      <c r="DB259" s="3" cm="1">
        <f t="array" ref="DB259">IFERROR(COUNT(_xlfn._xlws.FILTER(CH259:CL259, ISNUMBER(MATCH(CH259:CL259, {6,9,12,15,18,21,24,27,30,33,36,39,42,45}, 0)))), 0)</f>
        <v>0</v>
      </c>
      <c r="DC259" s="29"/>
      <c r="DD259" s="28" t="e">
        <f>#REF!</f>
        <v>#REF!</v>
      </c>
      <c r="DE259" s="28" t="e">
        <f>#REF!*2</f>
        <v>#REF!</v>
      </c>
      <c r="DF259" s="28" t="e">
        <f>#REF!</f>
        <v>#REF!</v>
      </c>
      <c r="DG259" s="28" t="e">
        <f>#REF!*2</f>
        <v>#REF!</v>
      </c>
      <c r="DH259" s="28" t="e">
        <f>#REF!</f>
        <v>#REF!</v>
      </c>
      <c r="DI259" s="28" t="e">
        <f>#REF!*2</f>
        <v>#REF!</v>
      </c>
      <c r="DJ259" s="28" t="e">
        <f>#REF!</f>
        <v>#REF!</v>
      </c>
      <c r="DK259" s="28" t="e">
        <f>#REF!*2</f>
        <v>#REF!</v>
      </c>
      <c r="DL259" s="28" t="e">
        <f>#REF!</f>
        <v>#REF!</v>
      </c>
      <c r="DM259" s="28" t="e">
        <f>#REF!*2</f>
        <v>#REF!</v>
      </c>
      <c r="DN259" s="27"/>
      <c r="DO259" s="26"/>
      <c r="DP259" s="26"/>
      <c r="DQ259" s="26"/>
      <c r="DR259" s="26"/>
      <c r="DS259" s="26"/>
      <c r="DT259" s="25"/>
    </row>
    <row r="260" spans="2:124" x14ac:dyDescent="0.3">
      <c r="B260" s="3">
        <v>0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2"/>
      <c r="I260" s="3">
        <f>IF(OR(B260="",ISBLANK(B260),B260=0),0,IF(MOD(B260,2)=1,1,2))</f>
        <v>0</v>
      </c>
      <c r="J260" s="3">
        <f>IF(OR(C260="",ISBLANK(C260),C260=0),0,IF(MOD(C260,2)=1,1,2))</f>
        <v>0</v>
      </c>
      <c r="K260" s="3">
        <f>IF(OR(D260="",ISBLANK(D260),D260=0),0,IF(MOD(D260,2)=1,1,2))</f>
        <v>0</v>
      </c>
      <c r="L260" s="3">
        <f>IF(OR(E260="",ISBLANK(E260),E260=0),0,IF(MOD(E260,2)=1,1,2))</f>
        <v>0</v>
      </c>
      <c r="M260" s="3">
        <f>IF(OR(F260="",ISBLANK(F260),F260=0),0,IF(MOD(F260,2)=1,1,2))</f>
        <v>0</v>
      </c>
      <c r="N260" s="3">
        <f>IF(OR(G260="",ISBLANK(G260),G260=0),0,IF(MOD(G260,2)=1,1,2))</f>
        <v>0</v>
      </c>
      <c r="O260" s="32"/>
      <c r="P260" s="3" cm="1">
        <f t="array" ref="P260">SUMPRODUCT(--(MOD(B260:G260,2)=1))</f>
        <v>0</v>
      </c>
      <c r="Q260" s="3">
        <f>6-P260</f>
        <v>6</v>
      </c>
      <c r="R260" s="34"/>
      <c r="S260" s="3">
        <f>COUNTIFS(B260:G260,"&gt;=1",B260:G260,"&lt;=23")</f>
        <v>0</v>
      </c>
      <c r="T260" s="3">
        <f>6-S260</f>
        <v>6</v>
      </c>
      <c r="U260" s="34"/>
      <c r="V260" s="3" cm="1">
        <f t="array" ref="V260">SUMPRODUCT(--(MOD(B260:G260,10)&gt;=1), --(MOD(B260:G260,10)&lt;=5))</f>
        <v>0</v>
      </c>
      <c r="W260" s="3">
        <f>6-V260</f>
        <v>6</v>
      </c>
      <c r="X260" s="34"/>
      <c r="Y260" s="3" cm="1">
        <f t="array" ref="Y260">IFERROR(COUNT(_xlfn._xlws.FILTER(B260:G260, ISNUMBER(MATCH(B260:G260, {2,3,5,7,11,13,17,19,23,29,31,37,41,43}, 0)))), 0)</f>
        <v>0</v>
      </c>
      <c r="Z260" s="3" cm="1">
        <f t="array" ref="Z260">IFERROR(COUNT(_xlfn._xlws.FILTER(B260:G260, ISNUMBER(MATCH(B260:G260, {1,4,8,10,14,16,20,22,25,26,28,32,34,35,38,40,44}, 0)))), 0)</f>
        <v>0</v>
      </c>
      <c r="AA260" s="3" cm="1">
        <f t="array" ref="AA260">IFERROR(COUNT(_xlfn._xlws.FILTER(B260:G260, ISNUMBER(MATCH(B260:G260, {6,9,12,15,18,21,24,27,30,33,36,39,42,45}, 0)))), 0)</f>
        <v>0</v>
      </c>
      <c r="AB260" s="30"/>
      <c r="AC260" s="26" cm="1">
        <f t="array" ref="AC260">_xlfn.IFS(
   OR(B260="",ISBLANK(B260),B260=0),0,
   ISNUMBER(MATCH(B260,{2,3,5,7,11,13,17,19,23,29,31,37,41,43},0)),"소",
   AND(ISNUMBER(B260),MOD(B260,3)=0),"배",
   AND(ISNUMBER(B260),B260&gt;0),"자"
)</f>
        <v>0</v>
      </c>
      <c r="AD260" s="26" cm="1">
        <f t="array" ref="AD260">_xlfn.IFS(
   OR(C260="",ISBLANK(C260),C260=0),0,
   ISNUMBER(MATCH(C260,{2,3,5,7,11,13,17,19,23,29,31,37,41,43},0)),"소",
   AND(ISNUMBER(C260),MOD(C260,3)=0),"배",
   AND(ISNUMBER(C260),C260&gt;0),"자"
)</f>
        <v>0</v>
      </c>
      <c r="AE260" s="26" cm="1">
        <f t="array" ref="AE260">_xlfn.IFS(
   OR(D260="",ISBLANK(D260),D260=0),0,
   ISNUMBER(MATCH(D260,{2,3,5,7,11,13,17,19,23,29,31,37,41,43},0)),"소",
   AND(ISNUMBER(D260),MOD(D260,3)=0),"배",
   AND(ISNUMBER(D260),D260&gt;0),"자"
)</f>
        <v>0</v>
      </c>
      <c r="AF260" s="26" cm="1">
        <f t="array" ref="AF260">_xlfn.IFS(
   OR(E260="",ISBLANK(E260),E260=0),0,
   ISNUMBER(MATCH(E260,{2,3,5,7,11,13,17,19,23,29,31,37,41,43},0)),"소",
   AND(ISNUMBER(E260),MOD(E260,3)=0),"배",
   AND(ISNUMBER(E260),E260&gt;0),"자"
)</f>
        <v>0</v>
      </c>
      <c r="AG260" s="26" cm="1">
        <f t="array" ref="AG260">_xlfn.IFS(
   OR(F260="",ISBLANK(F260),F260=0),0,
   ISNUMBER(MATCH(F260,{2,3,5,7,11,13,17,19,23,29,31,37,41,43},0)),"소",
   AND(ISNUMBER(F260),MOD(F260,3)=0),"배",
   AND(ISNUMBER(F260),F260&gt;0),"자"
)</f>
        <v>0</v>
      </c>
      <c r="AH260" s="26" cm="1">
        <f t="array" ref="AH260">_xlfn.IFS(
   OR(G260="",ISBLANK(G260),G260=0),0,
   ISNUMBER(MATCH(G260,{2,3,5,7,11,13,17,19,23,29,31,37,41,43},0)),"소",
   AND(ISNUMBER(G260),MOD(G260,3)=0),"배",
   AND(ISNUMBER(G260),G260&gt;0),"자"
)</f>
        <v>0</v>
      </c>
      <c r="AI260" s="30"/>
      <c r="AJ260" s="3">
        <f>COUNTIFS(B260:G260,"&gt;=1",B260:G260,"&lt;=14")</f>
        <v>0</v>
      </c>
      <c r="AK260" s="3">
        <f>COUNTIFS(B260:G260,"&gt;=15",B260:G260,"&lt;=31")</f>
        <v>0</v>
      </c>
      <c r="AL260" s="3">
        <f>6-AK260-AJ260</f>
        <v>6</v>
      </c>
      <c r="AM260" s="33"/>
      <c r="AN260" s="3">
        <f>COUNTIFS($B260:$G260, "&gt;=1",$B260:$G260, "&lt;=9")</f>
        <v>0</v>
      </c>
      <c r="AO260" s="3">
        <f>COUNTIFS($B260:$G260, "&gt;=10",$B260:$G260, "&lt;=18")</f>
        <v>0</v>
      </c>
      <c r="AP260" s="3">
        <f>COUNTIFS($B260:$G260, "&gt;=19",$B260:$G260, "&lt;=27")</f>
        <v>0</v>
      </c>
      <c r="AQ260" s="3">
        <f>COUNTIFS($B260:$G260, "&gt;=28",$B260:$G260, "&lt;=36")</f>
        <v>0</v>
      </c>
      <c r="AR260" s="3">
        <f>COUNTIFS($B260:$G260, "&gt;=37",$B260:$G260, "&lt;=45")</f>
        <v>0</v>
      </c>
      <c r="AS260" s="28" t="e">
        <f>#REF!</f>
        <v>#REF!</v>
      </c>
      <c r="AT260" s="28" t="e">
        <f>#REF!*2</f>
        <v>#REF!</v>
      </c>
      <c r="AU260" s="28" t="e">
        <f>#REF!</f>
        <v>#REF!</v>
      </c>
      <c r="AV260" s="28" t="e">
        <f>#REF!*2</f>
        <v>#REF!</v>
      </c>
      <c r="AW260" s="28" t="e">
        <f>#REF!</f>
        <v>#REF!</v>
      </c>
      <c r="AX260" s="28" t="e">
        <f>#REF!*2</f>
        <v>#REF!</v>
      </c>
      <c r="AY260" s="28" t="e">
        <f>#REF!</f>
        <v>#REF!</v>
      </c>
      <c r="AZ260" s="28" t="e">
        <f>#REF!*2</f>
        <v>#REF!</v>
      </c>
      <c r="BA260" s="28" t="e">
        <f>#REF!</f>
        <v>#REF!</v>
      </c>
      <c r="BB260" s="28" t="e">
        <f>#REF!*2</f>
        <v>#REF!</v>
      </c>
      <c r="BC260" s="28" t="e">
        <f>#REF!</f>
        <v>#REF!</v>
      </c>
      <c r="BD260" s="28" t="e">
        <f>#REF!*2</f>
        <v>#REF!</v>
      </c>
      <c r="BE260" s="9" t="e">
        <f>#REF!-#REF!</f>
        <v>#REF!</v>
      </c>
      <c r="BF260" s="9" t="e">
        <f>#REF!-#REF!</f>
        <v>#REF!</v>
      </c>
      <c r="BG260" s="9" t="e">
        <f>#REF!-#REF!</f>
        <v>#REF!</v>
      </c>
      <c r="BH260" s="9" t="e">
        <f>#REF!-#REF!</f>
        <v>#REF!</v>
      </c>
      <c r="BI260" s="9" t="e">
        <f>#REF!-#REF!</f>
        <v>#REF!</v>
      </c>
      <c r="BJ260" s="33"/>
      <c r="BK260" s="3">
        <f>COUNTIFS(B260:G260, "&gt;=1", B260:G260, "&lt;=9")</f>
        <v>0</v>
      </c>
      <c r="BL260" s="3">
        <f>COUNTIFS(B260:G260, "&gt;=10", B260:G260, "&lt;=19")</f>
        <v>0</v>
      </c>
      <c r="BM260" s="3">
        <f>COUNTIFS(B260:G260, "&gt;=20", B260:G260, "&lt;=29")</f>
        <v>0</v>
      </c>
      <c r="BN260" s="3">
        <f>COUNTIFS(B260:G260, "&gt;=30", B260:G260, "&lt;=39")</f>
        <v>0</v>
      </c>
      <c r="BO260" s="3">
        <f>COUNTIFS(B260:G260, "&gt;=40", B260:G260, "&lt;=45")</f>
        <v>0</v>
      </c>
      <c r="BP260" s="28" t="e">
        <f>#REF!</f>
        <v>#REF!</v>
      </c>
      <c r="BQ260" s="28" t="e">
        <f>#REF!*2</f>
        <v>#REF!</v>
      </c>
      <c r="BR260" s="28" t="e">
        <f>#REF!</f>
        <v>#REF!</v>
      </c>
      <c r="BS260" s="28" t="e">
        <f>#REF!*2</f>
        <v>#REF!</v>
      </c>
      <c r="BT260" s="28" t="e">
        <f>#REF!</f>
        <v>#REF!</v>
      </c>
      <c r="BU260" s="28" t="e">
        <f>#REF!*2</f>
        <v>#REF!</v>
      </c>
      <c r="BV260" s="28" t="e">
        <f>#REF!</f>
        <v>#REF!</v>
      </c>
      <c r="BW260" s="28" t="e">
        <f>#REF!*2</f>
        <v>#REF!</v>
      </c>
      <c r="BX260" s="28" t="e">
        <f>#REF!</f>
        <v>#REF!</v>
      </c>
      <c r="BY260" s="28" t="e">
        <f>#REF!*2</f>
        <v>#REF!</v>
      </c>
      <c r="BZ260" s="28" t="e">
        <f>#REF!</f>
        <v>#REF!</v>
      </c>
      <c r="CA260" s="28" t="e">
        <f>#REF!*2</f>
        <v>#REF!</v>
      </c>
      <c r="CB260" s="9">
        <f>C260-B260</f>
        <v>0</v>
      </c>
      <c r="CC260" s="9">
        <f>D260-C260</f>
        <v>0</v>
      </c>
      <c r="CD260" s="9">
        <f>E260-D260</f>
        <v>0</v>
      </c>
      <c r="CE260" s="9">
        <f>F260-E260</f>
        <v>0</v>
      </c>
      <c r="CF260" s="9">
        <f>G260-F260</f>
        <v>0</v>
      </c>
      <c r="CG260" s="33"/>
      <c r="CH260" s="3">
        <f>C260-B260</f>
        <v>0</v>
      </c>
      <c r="CI260" s="3">
        <f>D260-C260</f>
        <v>0</v>
      </c>
      <c r="CJ260" s="3">
        <f>E260-D260</f>
        <v>0</v>
      </c>
      <c r="CK260" s="3">
        <f>F260-E260</f>
        <v>0</v>
      </c>
      <c r="CL260" s="3">
        <f>G260-F260</f>
        <v>0</v>
      </c>
      <c r="CM260" s="32"/>
      <c r="CN260" s="3">
        <f>IF(OR(CH260="",ISBLANK(CH260),CH260=0),0,IF(MOD(CH260,2)=1,1,2))</f>
        <v>0</v>
      </c>
      <c r="CO260" s="3">
        <f>IF(OR(CI260="",ISBLANK(CI260),CI260=0),0,IF(MOD(CI260,2)=1,1,2))</f>
        <v>0</v>
      </c>
      <c r="CP260" s="3">
        <f>IF(OR(CJ260="",ISBLANK(CJ260),CJ260=0),0,IF(MOD(CJ260,2)=1,1,2))</f>
        <v>0</v>
      </c>
      <c r="CQ260" s="3">
        <f>IF(OR(CK260="",ISBLANK(CK260),CK260=0),0,IF(MOD(CK260,2)=1,1,2))</f>
        <v>0</v>
      </c>
      <c r="CR260" s="3">
        <f>IF(OR(CL260="",ISBLANK(CL260),CL260=0),0,IF(MOD(CL260,2)=1,1,2))</f>
        <v>0</v>
      </c>
      <c r="CS260" s="31"/>
      <c r="CT260" s="3" cm="1">
        <f t="array" ref="CT260">SUMPRODUCT(--(MOD(CH260:CL260,2)=1))</f>
        <v>0</v>
      </c>
      <c r="CU260" s="3">
        <f>5-CT260</f>
        <v>5</v>
      </c>
      <c r="CV260" s="30"/>
      <c r="CW260" s="3" cm="1">
        <f t="array" ref="CW260">SUMPRODUCT(--(MOD(CH260:CL260,10)&gt;=1), --(MOD(CH260:CL260,10)&lt;=5))</f>
        <v>0</v>
      </c>
      <c r="CX260" s="3">
        <f>5-CW260</f>
        <v>5</v>
      </c>
      <c r="CY260" s="30"/>
      <c r="CZ260" s="3" cm="1">
        <f t="array" ref="CZ260">IFERROR(COUNT(_xlfn._xlws.FILTER(CH260:CL260, ISNUMBER(MATCH(CH260:CL260, {2,3,5,7,11,13,17,19,23,29,31,37,41,43}, 0)))), 0)</f>
        <v>0</v>
      </c>
      <c r="DA260" s="3" cm="1">
        <f t="array" ref="DA260">IFERROR(COUNT(_xlfn._xlws.FILTER(CH260:CL260, ISNUMBER(MATCH(CH260:CL260, {1,4,8,10,14,16,20,22,25,26,28,32,34,35,38,40,44}, 0)))), 0)</f>
        <v>0</v>
      </c>
      <c r="DB260" s="3" cm="1">
        <f t="array" ref="DB260">IFERROR(COUNT(_xlfn._xlws.FILTER(CH260:CL260, ISNUMBER(MATCH(CH260:CL260, {6,9,12,15,18,21,24,27,30,33,36,39,42,45}, 0)))), 0)</f>
        <v>0</v>
      </c>
      <c r="DC260" s="29"/>
      <c r="DD260" s="28" t="e">
        <f>#REF!</f>
        <v>#REF!</v>
      </c>
      <c r="DE260" s="28" t="e">
        <f>#REF!*2</f>
        <v>#REF!</v>
      </c>
      <c r="DF260" s="28" t="e">
        <f>#REF!</f>
        <v>#REF!</v>
      </c>
      <c r="DG260" s="28" t="e">
        <f>#REF!*2</f>
        <v>#REF!</v>
      </c>
      <c r="DH260" s="28" t="e">
        <f>#REF!</f>
        <v>#REF!</v>
      </c>
      <c r="DI260" s="28" t="e">
        <f>#REF!*2</f>
        <v>#REF!</v>
      </c>
      <c r="DJ260" s="28" t="e">
        <f>#REF!</f>
        <v>#REF!</v>
      </c>
      <c r="DK260" s="28" t="e">
        <f>#REF!*2</f>
        <v>#REF!</v>
      </c>
      <c r="DL260" s="28" t="e">
        <f>#REF!</f>
        <v>#REF!</v>
      </c>
      <c r="DM260" s="28" t="e">
        <f>#REF!*2</f>
        <v>#REF!</v>
      </c>
      <c r="DN260" s="27"/>
      <c r="DO260" s="26"/>
      <c r="DP260" s="26"/>
      <c r="DQ260" s="26"/>
      <c r="DR260" s="26"/>
      <c r="DS260" s="26"/>
      <c r="DT260" s="25"/>
    </row>
    <row r="261" spans="2:124" x14ac:dyDescent="0.3">
      <c r="B261" s="3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2"/>
      <c r="I261" s="3">
        <f>IF(OR(B261="",ISBLANK(B261),B261=0),0,IF(MOD(B261,2)=1,1,2))</f>
        <v>0</v>
      </c>
      <c r="J261" s="3">
        <f>IF(OR(C261="",ISBLANK(C261),C261=0),0,IF(MOD(C261,2)=1,1,2))</f>
        <v>0</v>
      </c>
      <c r="K261" s="3">
        <f>IF(OR(D261="",ISBLANK(D261),D261=0),0,IF(MOD(D261,2)=1,1,2))</f>
        <v>0</v>
      </c>
      <c r="L261" s="3">
        <f>IF(OR(E261="",ISBLANK(E261),E261=0),0,IF(MOD(E261,2)=1,1,2))</f>
        <v>0</v>
      </c>
      <c r="M261" s="3">
        <f>IF(OR(F261="",ISBLANK(F261),F261=0),0,IF(MOD(F261,2)=1,1,2))</f>
        <v>0</v>
      </c>
      <c r="N261" s="3">
        <f>IF(OR(G261="",ISBLANK(G261),G261=0),0,IF(MOD(G261,2)=1,1,2))</f>
        <v>0</v>
      </c>
      <c r="O261" s="32"/>
      <c r="P261" s="3" cm="1">
        <f t="array" ref="P261">SUMPRODUCT(--(MOD(B261:G261,2)=1))</f>
        <v>0</v>
      </c>
      <c r="Q261" s="3">
        <f>6-P261</f>
        <v>6</v>
      </c>
      <c r="R261" s="34"/>
      <c r="S261" s="3">
        <f>COUNTIFS(B261:G261,"&gt;=1",B261:G261,"&lt;=23")</f>
        <v>0</v>
      </c>
      <c r="T261" s="3">
        <f>6-S261</f>
        <v>6</v>
      </c>
      <c r="U261" s="34"/>
      <c r="V261" s="3" cm="1">
        <f t="array" ref="V261">SUMPRODUCT(--(MOD(B261:G261,10)&gt;=1), --(MOD(B261:G261,10)&lt;=5))</f>
        <v>0</v>
      </c>
      <c r="W261" s="3">
        <f>6-V261</f>
        <v>6</v>
      </c>
      <c r="X261" s="34"/>
      <c r="Y261" s="3" cm="1">
        <f t="array" ref="Y261">IFERROR(COUNT(_xlfn._xlws.FILTER(B261:G261, ISNUMBER(MATCH(B261:G261, {2,3,5,7,11,13,17,19,23,29,31,37,41,43}, 0)))), 0)</f>
        <v>0</v>
      </c>
      <c r="Z261" s="3" cm="1">
        <f t="array" ref="Z261">IFERROR(COUNT(_xlfn._xlws.FILTER(B261:G261, ISNUMBER(MATCH(B261:G261, {1,4,8,10,14,16,20,22,25,26,28,32,34,35,38,40,44}, 0)))), 0)</f>
        <v>0</v>
      </c>
      <c r="AA261" s="3" cm="1">
        <f t="array" ref="AA261">IFERROR(COUNT(_xlfn._xlws.FILTER(B261:G261, ISNUMBER(MATCH(B261:G261, {6,9,12,15,18,21,24,27,30,33,36,39,42,45}, 0)))), 0)</f>
        <v>0</v>
      </c>
      <c r="AB261" s="30"/>
      <c r="AC261" s="26" cm="1">
        <f t="array" ref="AC261">_xlfn.IFS(
   OR(B261="",ISBLANK(B261),B261=0),0,
   ISNUMBER(MATCH(B261,{2,3,5,7,11,13,17,19,23,29,31,37,41,43},0)),"소",
   AND(ISNUMBER(B261),MOD(B261,3)=0),"배",
   AND(ISNUMBER(B261),B261&gt;0),"자"
)</f>
        <v>0</v>
      </c>
      <c r="AD261" s="26" cm="1">
        <f t="array" ref="AD261">_xlfn.IFS(
   OR(C261="",ISBLANK(C261),C261=0),0,
   ISNUMBER(MATCH(C261,{2,3,5,7,11,13,17,19,23,29,31,37,41,43},0)),"소",
   AND(ISNUMBER(C261),MOD(C261,3)=0),"배",
   AND(ISNUMBER(C261),C261&gt;0),"자"
)</f>
        <v>0</v>
      </c>
      <c r="AE261" s="26" cm="1">
        <f t="array" ref="AE261">_xlfn.IFS(
   OR(D261="",ISBLANK(D261),D261=0),0,
   ISNUMBER(MATCH(D261,{2,3,5,7,11,13,17,19,23,29,31,37,41,43},0)),"소",
   AND(ISNUMBER(D261),MOD(D261,3)=0),"배",
   AND(ISNUMBER(D261),D261&gt;0),"자"
)</f>
        <v>0</v>
      </c>
      <c r="AF261" s="26" cm="1">
        <f t="array" ref="AF261">_xlfn.IFS(
   OR(E261="",ISBLANK(E261),E261=0),0,
   ISNUMBER(MATCH(E261,{2,3,5,7,11,13,17,19,23,29,31,37,41,43},0)),"소",
   AND(ISNUMBER(E261),MOD(E261,3)=0),"배",
   AND(ISNUMBER(E261),E261&gt;0),"자"
)</f>
        <v>0</v>
      </c>
      <c r="AG261" s="26" cm="1">
        <f t="array" ref="AG261">_xlfn.IFS(
   OR(F261="",ISBLANK(F261),F261=0),0,
   ISNUMBER(MATCH(F261,{2,3,5,7,11,13,17,19,23,29,31,37,41,43},0)),"소",
   AND(ISNUMBER(F261),MOD(F261,3)=0),"배",
   AND(ISNUMBER(F261),F261&gt;0),"자"
)</f>
        <v>0</v>
      </c>
      <c r="AH261" s="26" cm="1">
        <f t="array" ref="AH261">_xlfn.IFS(
   OR(G261="",ISBLANK(G261),G261=0),0,
   ISNUMBER(MATCH(G261,{2,3,5,7,11,13,17,19,23,29,31,37,41,43},0)),"소",
   AND(ISNUMBER(G261),MOD(G261,3)=0),"배",
   AND(ISNUMBER(G261),G261&gt;0),"자"
)</f>
        <v>0</v>
      </c>
      <c r="AI261" s="30"/>
      <c r="AJ261" s="3">
        <f>COUNTIFS(B261:G261,"&gt;=1",B261:G261,"&lt;=14")</f>
        <v>0</v>
      </c>
      <c r="AK261" s="3">
        <f>COUNTIFS(B261:G261,"&gt;=15",B261:G261,"&lt;=31")</f>
        <v>0</v>
      </c>
      <c r="AL261" s="3">
        <f>6-AK261-AJ261</f>
        <v>6</v>
      </c>
      <c r="AM261" s="33"/>
      <c r="AN261" s="3">
        <f>COUNTIFS($B261:$G261, "&gt;=1",$B261:$G261, "&lt;=9")</f>
        <v>0</v>
      </c>
      <c r="AO261" s="3">
        <f>COUNTIFS($B261:$G261, "&gt;=10",$B261:$G261, "&lt;=18")</f>
        <v>0</v>
      </c>
      <c r="AP261" s="3">
        <f>COUNTIFS($B261:$G261, "&gt;=19",$B261:$G261, "&lt;=27")</f>
        <v>0</v>
      </c>
      <c r="AQ261" s="3">
        <f>COUNTIFS($B261:$G261, "&gt;=28",$B261:$G261, "&lt;=36")</f>
        <v>0</v>
      </c>
      <c r="AR261" s="3">
        <f>COUNTIFS($B261:$G261, "&gt;=37",$B261:$G261, "&lt;=45")</f>
        <v>0</v>
      </c>
      <c r="AS261" s="28" t="e">
        <f>#REF!</f>
        <v>#REF!</v>
      </c>
      <c r="AT261" s="28" t="e">
        <f>#REF!*2</f>
        <v>#REF!</v>
      </c>
      <c r="AU261" s="28" t="e">
        <f>#REF!</f>
        <v>#REF!</v>
      </c>
      <c r="AV261" s="28" t="e">
        <f>#REF!*2</f>
        <v>#REF!</v>
      </c>
      <c r="AW261" s="28" t="e">
        <f>#REF!</f>
        <v>#REF!</v>
      </c>
      <c r="AX261" s="28" t="e">
        <f>#REF!*2</f>
        <v>#REF!</v>
      </c>
      <c r="AY261" s="28" t="e">
        <f>#REF!</f>
        <v>#REF!</v>
      </c>
      <c r="AZ261" s="28" t="e">
        <f>#REF!*2</f>
        <v>#REF!</v>
      </c>
      <c r="BA261" s="28" t="e">
        <f>#REF!</f>
        <v>#REF!</v>
      </c>
      <c r="BB261" s="28" t="e">
        <f>#REF!*2</f>
        <v>#REF!</v>
      </c>
      <c r="BC261" s="28" t="e">
        <f>#REF!</f>
        <v>#REF!</v>
      </c>
      <c r="BD261" s="28" t="e">
        <f>#REF!*2</f>
        <v>#REF!</v>
      </c>
      <c r="BE261" s="9" t="e">
        <f>#REF!-#REF!</f>
        <v>#REF!</v>
      </c>
      <c r="BF261" s="9" t="e">
        <f>#REF!-#REF!</f>
        <v>#REF!</v>
      </c>
      <c r="BG261" s="9" t="e">
        <f>#REF!-#REF!</f>
        <v>#REF!</v>
      </c>
      <c r="BH261" s="9" t="e">
        <f>#REF!-#REF!</f>
        <v>#REF!</v>
      </c>
      <c r="BI261" s="9" t="e">
        <f>#REF!-#REF!</f>
        <v>#REF!</v>
      </c>
      <c r="BJ261" s="33"/>
      <c r="BK261" s="3">
        <f>COUNTIFS(B261:G261, "&gt;=1", B261:G261, "&lt;=9")</f>
        <v>0</v>
      </c>
      <c r="BL261" s="3">
        <f>COUNTIFS(B261:G261, "&gt;=10", B261:G261, "&lt;=19")</f>
        <v>0</v>
      </c>
      <c r="BM261" s="3">
        <f>COUNTIFS(B261:G261, "&gt;=20", B261:G261, "&lt;=29")</f>
        <v>0</v>
      </c>
      <c r="BN261" s="3">
        <f>COUNTIFS(B261:G261, "&gt;=30", B261:G261, "&lt;=39")</f>
        <v>0</v>
      </c>
      <c r="BO261" s="3">
        <f>COUNTIFS(B261:G261, "&gt;=40", B261:G261, "&lt;=45")</f>
        <v>0</v>
      </c>
      <c r="BP261" s="28" t="e">
        <f>#REF!</f>
        <v>#REF!</v>
      </c>
      <c r="BQ261" s="28" t="e">
        <f>#REF!*2</f>
        <v>#REF!</v>
      </c>
      <c r="BR261" s="28" t="e">
        <f>#REF!</f>
        <v>#REF!</v>
      </c>
      <c r="BS261" s="28" t="e">
        <f>#REF!*2</f>
        <v>#REF!</v>
      </c>
      <c r="BT261" s="28" t="e">
        <f>#REF!</f>
        <v>#REF!</v>
      </c>
      <c r="BU261" s="28" t="e">
        <f>#REF!*2</f>
        <v>#REF!</v>
      </c>
      <c r="BV261" s="28" t="e">
        <f>#REF!</f>
        <v>#REF!</v>
      </c>
      <c r="BW261" s="28" t="e">
        <f>#REF!*2</f>
        <v>#REF!</v>
      </c>
      <c r="BX261" s="28" t="e">
        <f>#REF!</f>
        <v>#REF!</v>
      </c>
      <c r="BY261" s="28" t="e">
        <f>#REF!*2</f>
        <v>#REF!</v>
      </c>
      <c r="BZ261" s="28" t="e">
        <f>#REF!</f>
        <v>#REF!</v>
      </c>
      <c r="CA261" s="28" t="e">
        <f>#REF!*2</f>
        <v>#REF!</v>
      </c>
      <c r="CB261" s="9">
        <f>C261-B261</f>
        <v>0</v>
      </c>
      <c r="CC261" s="9">
        <f>D261-C261</f>
        <v>0</v>
      </c>
      <c r="CD261" s="9">
        <f>E261-D261</f>
        <v>0</v>
      </c>
      <c r="CE261" s="9">
        <f>F261-E261</f>
        <v>0</v>
      </c>
      <c r="CF261" s="9">
        <f>G261-F261</f>
        <v>0</v>
      </c>
      <c r="CG261" s="33"/>
      <c r="CH261" s="3">
        <f>C261-B261</f>
        <v>0</v>
      </c>
      <c r="CI261" s="3">
        <f>D261-C261</f>
        <v>0</v>
      </c>
      <c r="CJ261" s="3">
        <f>E261-D261</f>
        <v>0</v>
      </c>
      <c r="CK261" s="3">
        <f>F261-E261</f>
        <v>0</v>
      </c>
      <c r="CL261" s="3">
        <f>G261-F261</f>
        <v>0</v>
      </c>
      <c r="CM261" s="32"/>
      <c r="CN261" s="3">
        <f>IF(OR(CH261="",ISBLANK(CH261),CH261=0),0,IF(MOD(CH261,2)=1,1,2))</f>
        <v>0</v>
      </c>
      <c r="CO261" s="3">
        <f>IF(OR(CI261="",ISBLANK(CI261),CI261=0),0,IF(MOD(CI261,2)=1,1,2))</f>
        <v>0</v>
      </c>
      <c r="CP261" s="3">
        <f>IF(OR(CJ261="",ISBLANK(CJ261),CJ261=0),0,IF(MOD(CJ261,2)=1,1,2))</f>
        <v>0</v>
      </c>
      <c r="CQ261" s="3">
        <f>IF(OR(CK261="",ISBLANK(CK261),CK261=0),0,IF(MOD(CK261,2)=1,1,2))</f>
        <v>0</v>
      </c>
      <c r="CR261" s="3">
        <f>IF(OR(CL261="",ISBLANK(CL261),CL261=0),0,IF(MOD(CL261,2)=1,1,2))</f>
        <v>0</v>
      </c>
      <c r="CS261" s="31"/>
      <c r="CT261" s="3" cm="1">
        <f t="array" ref="CT261">SUMPRODUCT(--(MOD(CH261:CL261,2)=1))</f>
        <v>0</v>
      </c>
      <c r="CU261" s="3">
        <f>5-CT261</f>
        <v>5</v>
      </c>
      <c r="CV261" s="30"/>
      <c r="CW261" s="3" cm="1">
        <f t="array" ref="CW261">SUMPRODUCT(--(MOD(CH261:CL261,10)&gt;=1), --(MOD(CH261:CL261,10)&lt;=5))</f>
        <v>0</v>
      </c>
      <c r="CX261" s="3">
        <f>5-CW261</f>
        <v>5</v>
      </c>
      <c r="CY261" s="30"/>
      <c r="CZ261" s="3" cm="1">
        <f t="array" ref="CZ261">IFERROR(COUNT(_xlfn._xlws.FILTER(CH261:CL261, ISNUMBER(MATCH(CH261:CL261, {2,3,5,7,11,13,17,19,23,29,31,37,41,43}, 0)))), 0)</f>
        <v>0</v>
      </c>
      <c r="DA261" s="3" cm="1">
        <f t="array" ref="DA261">IFERROR(COUNT(_xlfn._xlws.FILTER(CH261:CL261, ISNUMBER(MATCH(CH261:CL261, {1,4,8,10,14,16,20,22,25,26,28,32,34,35,38,40,44}, 0)))), 0)</f>
        <v>0</v>
      </c>
      <c r="DB261" s="3" cm="1">
        <f t="array" ref="DB261">IFERROR(COUNT(_xlfn._xlws.FILTER(CH261:CL261, ISNUMBER(MATCH(CH261:CL261, {6,9,12,15,18,21,24,27,30,33,36,39,42,45}, 0)))), 0)</f>
        <v>0</v>
      </c>
      <c r="DC261" s="29"/>
      <c r="DD261" s="28" t="e">
        <f>#REF!</f>
        <v>#REF!</v>
      </c>
      <c r="DE261" s="28" t="e">
        <f>#REF!*2</f>
        <v>#REF!</v>
      </c>
      <c r="DF261" s="28" t="e">
        <f>#REF!</f>
        <v>#REF!</v>
      </c>
      <c r="DG261" s="28" t="e">
        <f>#REF!*2</f>
        <v>#REF!</v>
      </c>
      <c r="DH261" s="28" t="e">
        <f>#REF!</f>
        <v>#REF!</v>
      </c>
      <c r="DI261" s="28" t="e">
        <f>#REF!*2</f>
        <v>#REF!</v>
      </c>
      <c r="DJ261" s="28" t="e">
        <f>#REF!</f>
        <v>#REF!</v>
      </c>
      <c r="DK261" s="28" t="e">
        <f>#REF!*2</f>
        <v>#REF!</v>
      </c>
      <c r="DL261" s="28" t="e">
        <f>#REF!</f>
        <v>#REF!</v>
      </c>
      <c r="DM261" s="28" t="e">
        <f>#REF!*2</f>
        <v>#REF!</v>
      </c>
      <c r="DN261" s="27"/>
      <c r="DO261" s="26"/>
      <c r="DP261" s="26"/>
      <c r="DQ261" s="26"/>
      <c r="DR261" s="26"/>
      <c r="DS261" s="26"/>
      <c r="DT261" s="25"/>
    </row>
    <row r="262" spans="2:124" x14ac:dyDescent="0.3">
      <c r="B262" s="3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2"/>
      <c r="I262" s="3">
        <f>IF(OR(B262="",ISBLANK(B262),B262=0),0,IF(MOD(B262,2)=1,1,2))</f>
        <v>0</v>
      </c>
      <c r="J262" s="3">
        <f>IF(OR(C262="",ISBLANK(C262),C262=0),0,IF(MOD(C262,2)=1,1,2))</f>
        <v>0</v>
      </c>
      <c r="K262" s="3">
        <f>IF(OR(D262="",ISBLANK(D262),D262=0),0,IF(MOD(D262,2)=1,1,2))</f>
        <v>0</v>
      </c>
      <c r="L262" s="3">
        <f>IF(OR(E262="",ISBLANK(E262),E262=0),0,IF(MOD(E262,2)=1,1,2))</f>
        <v>0</v>
      </c>
      <c r="M262" s="3">
        <f>IF(OR(F262="",ISBLANK(F262),F262=0),0,IF(MOD(F262,2)=1,1,2))</f>
        <v>0</v>
      </c>
      <c r="N262" s="3">
        <f>IF(OR(G262="",ISBLANK(G262),G262=0),0,IF(MOD(G262,2)=1,1,2))</f>
        <v>0</v>
      </c>
      <c r="O262" s="32"/>
      <c r="P262" s="3" cm="1">
        <f t="array" ref="P262">SUMPRODUCT(--(MOD(B262:G262,2)=1))</f>
        <v>0</v>
      </c>
      <c r="Q262" s="3">
        <f>6-P262</f>
        <v>6</v>
      </c>
      <c r="R262" s="34"/>
      <c r="S262" s="3">
        <f>COUNTIFS(B262:G262,"&gt;=1",B262:G262,"&lt;=23")</f>
        <v>0</v>
      </c>
      <c r="T262" s="3">
        <f>6-S262</f>
        <v>6</v>
      </c>
      <c r="U262" s="34"/>
      <c r="V262" s="3" cm="1">
        <f t="array" ref="V262">SUMPRODUCT(--(MOD(B262:G262,10)&gt;=1), --(MOD(B262:G262,10)&lt;=5))</f>
        <v>0</v>
      </c>
      <c r="W262" s="3">
        <f>6-V262</f>
        <v>6</v>
      </c>
      <c r="X262" s="34"/>
      <c r="Y262" s="3" cm="1">
        <f t="array" ref="Y262">IFERROR(COUNT(_xlfn._xlws.FILTER(B262:G262, ISNUMBER(MATCH(B262:G262, {2,3,5,7,11,13,17,19,23,29,31,37,41,43}, 0)))), 0)</f>
        <v>0</v>
      </c>
      <c r="Z262" s="3" cm="1">
        <f t="array" ref="Z262">IFERROR(COUNT(_xlfn._xlws.FILTER(B262:G262, ISNUMBER(MATCH(B262:G262, {1,4,8,10,14,16,20,22,25,26,28,32,34,35,38,40,44}, 0)))), 0)</f>
        <v>0</v>
      </c>
      <c r="AA262" s="3" cm="1">
        <f t="array" ref="AA262">IFERROR(COUNT(_xlfn._xlws.FILTER(B262:G262, ISNUMBER(MATCH(B262:G262, {6,9,12,15,18,21,24,27,30,33,36,39,42,45}, 0)))), 0)</f>
        <v>0</v>
      </c>
      <c r="AB262" s="30"/>
      <c r="AC262" s="26" cm="1">
        <f t="array" ref="AC262">_xlfn.IFS(
   OR(B262="",ISBLANK(B262),B262=0),0,
   ISNUMBER(MATCH(B262,{2,3,5,7,11,13,17,19,23,29,31,37,41,43},0)),"소",
   AND(ISNUMBER(B262),MOD(B262,3)=0),"배",
   AND(ISNUMBER(B262),B262&gt;0),"자"
)</f>
        <v>0</v>
      </c>
      <c r="AD262" s="26" cm="1">
        <f t="array" ref="AD262">_xlfn.IFS(
   OR(C262="",ISBLANK(C262),C262=0),0,
   ISNUMBER(MATCH(C262,{2,3,5,7,11,13,17,19,23,29,31,37,41,43},0)),"소",
   AND(ISNUMBER(C262),MOD(C262,3)=0),"배",
   AND(ISNUMBER(C262),C262&gt;0),"자"
)</f>
        <v>0</v>
      </c>
      <c r="AE262" s="26" cm="1">
        <f t="array" ref="AE262">_xlfn.IFS(
   OR(D262="",ISBLANK(D262),D262=0),0,
   ISNUMBER(MATCH(D262,{2,3,5,7,11,13,17,19,23,29,31,37,41,43},0)),"소",
   AND(ISNUMBER(D262),MOD(D262,3)=0),"배",
   AND(ISNUMBER(D262),D262&gt;0),"자"
)</f>
        <v>0</v>
      </c>
      <c r="AF262" s="26" cm="1">
        <f t="array" ref="AF262">_xlfn.IFS(
   OR(E262="",ISBLANK(E262),E262=0),0,
   ISNUMBER(MATCH(E262,{2,3,5,7,11,13,17,19,23,29,31,37,41,43},0)),"소",
   AND(ISNUMBER(E262),MOD(E262,3)=0),"배",
   AND(ISNUMBER(E262),E262&gt;0),"자"
)</f>
        <v>0</v>
      </c>
      <c r="AG262" s="26" cm="1">
        <f t="array" ref="AG262">_xlfn.IFS(
   OR(F262="",ISBLANK(F262),F262=0),0,
   ISNUMBER(MATCH(F262,{2,3,5,7,11,13,17,19,23,29,31,37,41,43},0)),"소",
   AND(ISNUMBER(F262),MOD(F262,3)=0),"배",
   AND(ISNUMBER(F262),F262&gt;0),"자"
)</f>
        <v>0</v>
      </c>
      <c r="AH262" s="26" cm="1">
        <f t="array" ref="AH262">_xlfn.IFS(
   OR(G262="",ISBLANK(G262),G262=0),0,
   ISNUMBER(MATCH(G262,{2,3,5,7,11,13,17,19,23,29,31,37,41,43},0)),"소",
   AND(ISNUMBER(G262),MOD(G262,3)=0),"배",
   AND(ISNUMBER(G262),G262&gt;0),"자"
)</f>
        <v>0</v>
      </c>
      <c r="AI262" s="30"/>
      <c r="AJ262" s="3">
        <f>COUNTIFS(B262:G262,"&gt;=1",B262:G262,"&lt;=14")</f>
        <v>0</v>
      </c>
      <c r="AK262" s="3">
        <f>COUNTIFS(B262:G262,"&gt;=15",B262:G262,"&lt;=31")</f>
        <v>0</v>
      </c>
      <c r="AL262" s="3">
        <f>6-AK262-AJ262</f>
        <v>6</v>
      </c>
      <c r="AM262" s="33"/>
      <c r="AN262" s="3">
        <f>COUNTIFS($B262:$G262, "&gt;=1",$B262:$G262, "&lt;=9")</f>
        <v>0</v>
      </c>
      <c r="AO262" s="3">
        <f>COUNTIFS($B262:$G262, "&gt;=10",$B262:$G262, "&lt;=18")</f>
        <v>0</v>
      </c>
      <c r="AP262" s="3">
        <f>COUNTIFS($B262:$G262, "&gt;=19",$B262:$G262, "&lt;=27")</f>
        <v>0</v>
      </c>
      <c r="AQ262" s="3">
        <f>COUNTIFS($B262:$G262, "&gt;=28",$B262:$G262, "&lt;=36")</f>
        <v>0</v>
      </c>
      <c r="AR262" s="3">
        <f>COUNTIFS($B262:$G262, "&gt;=37",$B262:$G262, "&lt;=45")</f>
        <v>0</v>
      </c>
      <c r="AS262" s="28" t="e">
        <f>#REF!</f>
        <v>#REF!</v>
      </c>
      <c r="AT262" s="28" t="e">
        <f>#REF!*2</f>
        <v>#REF!</v>
      </c>
      <c r="AU262" s="28" t="e">
        <f>#REF!</f>
        <v>#REF!</v>
      </c>
      <c r="AV262" s="28" t="e">
        <f>#REF!*2</f>
        <v>#REF!</v>
      </c>
      <c r="AW262" s="28" t="e">
        <f>#REF!</f>
        <v>#REF!</v>
      </c>
      <c r="AX262" s="28" t="e">
        <f>#REF!*2</f>
        <v>#REF!</v>
      </c>
      <c r="AY262" s="28" t="e">
        <f>#REF!</f>
        <v>#REF!</v>
      </c>
      <c r="AZ262" s="28" t="e">
        <f>#REF!*2</f>
        <v>#REF!</v>
      </c>
      <c r="BA262" s="28" t="e">
        <f>#REF!</f>
        <v>#REF!</v>
      </c>
      <c r="BB262" s="28" t="e">
        <f>#REF!*2</f>
        <v>#REF!</v>
      </c>
      <c r="BC262" s="28" t="e">
        <f>#REF!</f>
        <v>#REF!</v>
      </c>
      <c r="BD262" s="28" t="e">
        <f>#REF!*2</f>
        <v>#REF!</v>
      </c>
      <c r="BE262" s="9" t="e">
        <f>#REF!-#REF!</f>
        <v>#REF!</v>
      </c>
      <c r="BF262" s="9" t="e">
        <f>#REF!-#REF!</f>
        <v>#REF!</v>
      </c>
      <c r="BG262" s="9" t="e">
        <f>#REF!-#REF!</f>
        <v>#REF!</v>
      </c>
      <c r="BH262" s="9" t="e">
        <f>#REF!-#REF!</f>
        <v>#REF!</v>
      </c>
      <c r="BI262" s="9" t="e">
        <f>#REF!-#REF!</f>
        <v>#REF!</v>
      </c>
      <c r="BJ262" s="33"/>
      <c r="BK262" s="3">
        <f>COUNTIFS(B262:G262, "&gt;=1", B262:G262, "&lt;=9")</f>
        <v>0</v>
      </c>
      <c r="BL262" s="3">
        <f>COUNTIFS(B262:G262, "&gt;=10", B262:G262, "&lt;=19")</f>
        <v>0</v>
      </c>
      <c r="BM262" s="3">
        <f>COUNTIFS(B262:G262, "&gt;=20", B262:G262, "&lt;=29")</f>
        <v>0</v>
      </c>
      <c r="BN262" s="3">
        <f>COUNTIFS(B262:G262, "&gt;=30", B262:G262, "&lt;=39")</f>
        <v>0</v>
      </c>
      <c r="BO262" s="3">
        <f>COUNTIFS(B262:G262, "&gt;=40", B262:G262, "&lt;=45")</f>
        <v>0</v>
      </c>
      <c r="BP262" s="28" t="e">
        <f>#REF!</f>
        <v>#REF!</v>
      </c>
      <c r="BQ262" s="28" t="e">
        <f>#REF!*2</f>
        <v>#REF!</v>
      </c>
      <c r="BR262" s="28" t="e">
        <f>#REF!</f>
        <v>#REF!</v>
      </c>
      <c r="BS262" s="28" t="e">
        <f>#REF!*2</f>
        <v>#REF!</v>
      </c>
      <c r="BT262" s="28" t="e">
        <f>#REF!</f>
        <v>#REF!</v>
      </c>
      <c r="BU262" s="28" t="e">
        <f>#REF!*2</f>
        <v>#REF!</v>
      </c>
      <c r="BV262" s="28" t="e">
        <f>#REF!</f>
        <v>#REF!</v>
      </c>
      <c r="BW262" s="28" t="e">
        <f>#REF!*2</f>
        <v>#REF!</v>
      </c>
      <c r="BX262" s="28" t="e">
        <f>#REF!</f>
        <v>#REF!</v>
      </c>
      <c r="BY262" s="28" t="e">
        <f>#REF!*2</f>
        <v>#REF!</v>
      </c>
      <c r="BZ262" s="28" t="e">
        <f>#REF!</f>
        <v>#REF!</v>
      </c>
      <c r="CA262" s="28" t="e">
        <f>#REF!*2</f>
        <v>#REF!</v>
      </c>
      <c r="CB262" s="9">
        <f>C262-B262</f>
        <v>0</v>
      </c>
      <c r="CC262" s="9">
        <f>D262-C262</f>
        <v>0</v>
      </c>
      <c r="CD262" s="9">
        <f>E262-D262</f>
        <v>0</v>
      </c>
      <c r="CE262" s="9">
        <f>F262-E262</f>
        <v>0</v>
      </c>
      <c r="CF262" s="9">
        <f>G262-F262</f>
        <v>0</v>
      </c>
      <c r="CG262" s="33"/>
      <c r="CH262" s="3">
        <f>C262-B262</f>
        <v>0</v>
      </c>
      <c r="CI262" s="3">
        <f>D262-C262</f>
        <v>0</v>
      </c>
      <c r="CJ262" s="3">
        <f>E262-D262</f>
        <v>0</v>
      </c>
      <c r="CK262" s="3">
        <f>F262-E262</f>
        <v>0</v>
      </c>
      <c r="CL262" s="3">
        <f>G262-F262</f>
        <v>0</v>
      </c>
      <c r="CM262" s="32"/>
      <c r="CN262" s="3">
        <f>IF(OR(CH262="",ISBLANK(CH262),CH262=0),0,IF(MOD(CH262,2)=1,1,2))</f>
        <v>0</v>
      </c>
      <c r="CO262" s="3">
        <f>IF(OR(CI262="",ISBLANK(CI262),CI262=0),0,IF(MOD(CI262,2)=1,1,2))</f>
        <v>0</v>
      </c>
      <c r="CP262" s="3">
        <f>IF(OR(CJ262="",ISBLANK(CJ262),CJ262=0),0,IF(MOD(CJ262,2)=1,1,2))</f>
        <v>0</v>
      </c>
      <c r="CQ262" s="3">
        <f>IF(OR(CK262="",ISBLANK(CK262),CK262=0),0,IF(MOD(CK262,2)=1,1,2))</f>
        <v>0</v>
      </c>
      <c r="CR262" s="3">
        <f>IF(OR(CL262="",ISBLANK(CL262),CL262=0),0,IF(MOD(CL262,2)=1,1,2))</f>
        <v>0</v>
      </c>
      <c r="CS262" s="31"/>
      <c r="CT262" s="3" cm="1">
        <f t="array" ref="CT262">SUMPRODUCT(--(MOD(CH262:CL262,2)=1))</f>
        <v>0</v>
      </c>
      <c r="CU262" s="3">
        <f>5-CT262</f>
        <v>5</v>
      </c>
      <c r="CV262" s="30"/>
      <c r="CW262" s="3" cm="1">
        <f t="array" ref="CW262">SUMPRODUCT(--(MOD(CH262:CL262,10)&gt;=1), --(MOD(CH262:CL262,10)&lt;=5))</f>
        <v>0</v>
      </c>
      <c r="CX262" s="3">
        <f>5-CW262</f>
        <v>5</v>
      </c>
      <c r="CY262" s="30"/>
      <c r="CZ262" s="3" cm="1">
        <f t="array" ref="CZ262">IFERROR(COUNT(_xlfn._xlws.FILTER(CH262:CL262, ISNUMBER(MATCH(CH262:CL262, {2,3,5,7,11,13,17,19,23,29,31,37,41,43}, 0)))), 0)</f>
        <v>0</v>
      </c>
      <c r="DA262" s="3" cm="1">
        <f t="array" ref="DA262">IFERROR(COUNT(_xlfn._xlws.FILTER(CH262:CL262, ISNUMBER(MATCH(CH262:CL262, {1,4,8,10,14,16,20,22,25,26,28,32,34,35,38,40,44}, 0)))), 0)</f>
        <v>0</v>
      </c>
      <c r="DB262" s="3" cm="1">
        <f t="array" ref="DB262">IFERROR(COUNT(_xlfn._xlws.FILTER(CH262:CL262, ISNUMBER(MATCH(CH262:CL262, {6,9,12,15,18,21,24,27,30,33,36,39,42,45}, 0)))), 0)</f>
        <v>0</v>
      </c>
      <c r="DC262" s="29"/>
      <c r="DD262" s="28" t="e">
        <f>#REF!</f>
        <v>#REF!</v>
      </c>
      <c r="DE262" s="28" t="e">
        <f>#REF!*2</f>
        <v>#REF!</v>
      </c>
      <c r="DF262" s="28" t="e">
        <f>#REF!</f>
        <v>#REF!</v>
      </c>
      <c r="DG262" s="28" t="e">
        <f>#REF!*2</f>
        <v>#REF!</v>
      </c>
      <c r="DH262" s="28" t="e">
        <f>#REF!</f>
        <v>#REF!</v>
      </c>
      <c r="DI262" s="28" t="e">
        <f>#REF!*2</f>
        <v>#REF!</v>
      </c>
      <c r="DJ262" s="28" t="e">
        <f>#REF!</f>
        <v>#REF!</v>
      </c>
      <c r="DK262" s="28" t="e">
        <f>#REF!*2</f>
        <v>#REF!</v>
      </c>
      <c r="DL262" s="28" t="e">
        <f>#REF!</f>
        <v>#REF!</v>
      </c>
      <c r="DM262" s="28" t="e">
        <f>#REF!*2</f>
        <v>#REF!</v>
      </c>
      <c r="DN262" s="27"/>
      <c r="DO262" s="26"/>
      <c r="DP262" s="26"/>
      <c r="DQ262" s="26"/>
      <c r="DR262" s="26"/>
      <c r="DS262" s="26"/>
      <c r="DT262" s="25"/>
    </row>
    <row r="263" spans="2:124" x14ac:dyDescent="0.3">
      <c r="B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2"/>
      <c r="I263" s="3">
        <f>IF(OR(B263="",ISBLANK(B263),B263=0),0,IF(MOD(B263,2)=1,1,2))</f>
        <v>0</v>
      </c>
      <c r="J263" s="3">
        <f>IF(OR(C263="",ISBLANK(C263),C263=0),0,IF(MOD(C263,2)=1,1,2))</f>
        <v>0</v>
      </c>
      <c r="K263" s="3">
        <f>IF(OR(D263="",ISBLANK(D263),D263=0),0,IF(MOD(D263,2)=1,1,2))</f>
        <v>0</v>
      </c>
      <c r="L263" s="3">
        <f>IF(OR(E263="",ISBLANK(E263),E263=0),0,IF(MOD(E263,2)=1,1,2))</f>
        <v>0</v>
      </c>
      <c r="M263" s="3">
        <f>IF(OR(F263="",ISBLANK(F263),F263=0),0,IF(MOD(F263,2)=1,1,2))</f>
        <v>0</v>
      </c>
      <c r="N263" s="3">
        <f>IF(OR(G263="",ISBLANK(G263),G263=0),0,IF(MOD(G263,2)=1,1,2))</f>
        <v>0</v>
      </c>
      <c r="O263" s="32"/>
      <c r="P263" s="3" cm="1">
        <f t="array" ref="P263">SUMPRODUCT(--(MOD(B263:G263,2)=1))</f>
        <v>0</v>
      </c>
      <c r="Q263" s="3">
        <f>6-P263</f>
        <v>6</v>
      </c>
      <c r="R263" s="34"/>
      <c r="S263" s="3">
        <f>COUNTIFS(B263:G263,"&gt;=1",B263:G263,"&lt;=23")</f>
        <v>0</v>
      </c>
      <c r="T263" s="3">
        <f>6-S263</f>
        <v>6</v>
      </c>
      <c r="U263" s="34"/>
      <c r="V263" s="3" cm="1">
        <f t="array" ref="V263">SUMPRODUCT(--(MOD(B263:G263,10)&gt;=1), --(MOD(B263:G263,10)&lt;=5))</f>
        <v>0</v>
      </c>
      <c r="W263" s="3">
        <f>6-V263</f>
        <v>6</v>
      </c>
      <c r="X263" s="34"/>
      <c r="Y263" s="3" cm="1">
        <f t="array" ref="Y263">IFERROR(COUNT(_xlfn._xlws.FILTER(B263:G263, ISNUMBER(MATCH(B263:G263, {2,3,5,7,11,13,17,19,23,29,31,37,41,43}, 0)))), 0)</f>
        <v>0</v>
      </c>
      <c r="Z263" s="3" cm="1">
        <f t="array" ref="Z263">IFERROR(COUNT(_xlfn._xlws.FILTER(B263:G263, ISNUMBER(MATCH(B263:G263, {1,4,8,10,14,16,20,22,25,26,28,32,34,35,38,40,44}, 0)))), 0)</f>
        <v>0</v>
      </c>
      <c r="AA263" s="3" cm="1">
        <f t="array" ref="AA263">IFERROR(COUNT(_xlfn._xlws.FILTER(B263:G263, ISNUMBER(MATCH(B263:G263, {6,9,12,15,18,21,24,27,30,33,36,39,42,45}, 0)))), 0)</f>
        <v>0</v>
      </c>
      <c r="AB263" s="30"/>
      <c r="AC263" s="26" cm="1">
        <f t="array" ref="AC263">_xlfn.IFS(
   OR(B263="",ISBLANK(B263),B263=0),0,
   ISNUMBER(MATCH(B263,{2,3,5,7,11,13,17,19,23,29,31,37,41,43},0)),"소",
   AND(ISNUMBER(B263),MOD(B263,3)=0),"배",
   AND(ISNUMBER(B263),B263&gt;0),"자"
)</f>
        <v>0</v>
      </c>
      <c r="AD263" s="26" cm="1">
        <f t="array" ref="AD263">_xlfn.IFS(
   OR(C263="",ISBLANK(C263),C263=0),0,
   ISNUMBER(MATCH(C263,{2,3,5,7,11,13,17,19,23,29,31,37,41,43},0)),"소",
   AND(ISNUMBER(C263),MOD(C263,3)=0),"배",
   AND(ISNUMBER(C263),C263&gt;0),"자"
)</f>
        <v>0</v>
      </c>
      <c r="AE263" s="26" cm="1">
        <f t="array" ref="AE263">_xlfn.IFS(
   OR(D263="",ISBLANK(D263),D263=0),0,
   ISNUMBER(MATCH(D263,{2,3,5,7,11,13,17,19,23,29,31,37,41,43},0)),"소",
   AND(ISNUMBER(D263),MOD(D263,3)=0),"배",
   AND(ISNUMBER(D263),D263&gt;0),"자"
)</f>
        <v>0</v>
      </c>
      <c r="AF263" s="26" cm="1">
        <f t="array" ref="AF263">_xlfn.IFS(
   OR(E263="",ISBLANK(E263),E263=0),0,
   ISNUMBER(MATCH(E263,{2,3,5,7,11,13,17,19,23,29,31,37,41,43},0)),"소",
   AND(ISNUMBER(E263),MOD(E263,3)=0),"배",
   AND(ISNUMBER(E263),E263&gt;0),"자"
)</f>
        <v>0</v>
      </c>
      <c r="AG263" s="26" cm="1">
        <f t="array" ref="AG263">_xlfn.IFS(
   OR(F263="",ISBLANK(F263),F263=0),0,
   ISNUMBER(MATCH(F263,{2,3,5,7,11,13,17,19,23,29,31,37,41,43},0)),"소",
   AND(ISNUMBER(F263),MOD(F263,3)=0),"배",
   AND(ISNUMBER(F263),F263&gt;0),"자"
)</f>
        <v>0</v>
      </c>
      <c r="AH263" s="26" cm="1">
        <f t="array" ref="AH263">_xlfn.IFS(
   OR(G263="",ISBLANK(G263),G263=0),0,
   ISNUMBER(MATCH(G263,{2,3,5,7,11,13,17,19,23,29,31,37,41,43},0)),"소",
   AND(ISNUMBER(G263),MOD(G263,3)=0),"배",
   AND(ISNUMBER(G263),G263&gt;0),"자"
)</f>
        <v>0</v>
      </c>
      <c r="AI263" s="30"/>
      <c r="AJ263" s="3">
        <f>COUNTIFS(B263:G263,"&gt;=1",B263:G263,"&lt;=14")</f>
        <v>0</v>
      </c>
      <c r="AK263" s="3">
        <f>COUNTIFS(B263:G263,"&gt;=15",B263:G263,"&lt;=31")</f>
        <v>0</v>
      </c>
      <c r="AL263" s="3">
        <f>6-AK263-AJ263</f>
        <v>6</v>
      </c>
      <c r="AM263" s="33"/>
      <c r="AN263" s="3">
        <f>COUNTIFS($B263:$G263, "&gt;=1",$B263:$G263, "&lt;=9")</f>
        <v>0</v>
      </c>
      <c r="AO263" s="3">
        <f>COUNTIFS($B263:$G263, "&gt;=10",$B263:$G263, "&lt;=18")</f>
        <v>0</v>
      </c>
      <c r="AP263" s="3">
        <f>COUNTIFS($B263:$G263, "&gt;=19",$B263:$G263, "&lt;=27")</f>
        <v>0</v>
      </c>
      <c r="AQ263" s="3">
        <f>COUNTIFS($B263:$G263, "&gt;=28",$B263:$G263, "&lt;=36")</f>
        <v>0</v>
      </c>
      <c r="AR263" s="3">
        <f>COUNTIFS($B263:$G263, "&gt;=37",$B263:$G263, "&lt;=45")</f>
        <v>0</v>
      </c>
      <c r="AS263" s="28" t="e">
        <f>#REF!</f>
        <v>#REF!</v>
      </c>
      <c r="AT263" s="28" t="e">
        <f>#REF!*2</f>
        <v>#REF!</v>
      </c>
      <c r="AU263" s="28" t="e">
        <f>#REF!</f>
        <v>#REF!</v>
      </c>
      <c r="AV263" s="28" t="e">
        <f>#REF!*2</f>
        <v>#REF!</v>
      </c>
      <c r="AW263" s="28" t="e">
        <f>#REF!</f>
        <v>#REF!</v>
      </c>
      <c r="AX263" s="28" t="e">
        <f>#REF!*2</f>
        <v>#REF!</v>
      </c>
      <c r="AY263" s="28" t="e">
        <f>#REF!</f>
        <v>#REF!</v>
      </c>
      <c r="AZ263" s="28" t="e">
        <f>#REF!*2</f>
        <v>#REF!</v>
      </c>
      <c r="BA263" s="28" t="e">
        <f>#REF!</f>
        <v>#REF!</v>
      </c>
      <c r="BB263" s="28" t="e">
        <f>#REF!*2</f>
        <v>#REF!</v>
      </c>
      <c r="BC263" s="28" t="e">
        <f>#REF!</f>
        <v>#REF!</v>
      </c>
      <c r="BD263" s="28" t="e">
        <f>#REF!*2</f>
        <v>#REF!</v>
      </c>
      <c r="BE263" s="9" t="e">
        <f>#REF!-#REF!</f>
        <v>#REF!</v>
      </c>
      <c r="BF263" s="9" t="e">
        <f>#REF!-#REF!</f>
        <v>#REF!</v>
      </c>
      <c r="BG263" s="9" t="e">
        <f>#REF!-#REF!</f>
        <v>#REF!</v>
      </c>
      <c r="BH263" s="9" t="e">
        <f>#REF!-#REF!</f>
        <v>#REF!</v>
      </c>
      <c r="BI263" s="9" t="e">
        <f>#REF!-#REF!</f>
        <v>#REF!</v>
      </c>
      <c r="BJ263" s="33"/>
      <c r="BK263" s="3">
        <f>COUNTIFS(B263:G263, "&gt;=1", B263:G263, "&lt;=9")</f>
        <v>0</v>
      </c>
      <c r="BL263" s="3">
        <f>COUNTIFS(B263:G263, "&gt;=10", B263:G263, "&lt;=19")</f>
        <v>0</v>
      </c>
      <c r="BM263" s="3">
        <f>COUNTIFS(B263:G263, "&gt;=20", B263:G263, "&lt;=29")</f>
        <v>0</v>
      </c>
      <c r="BN263" s="3">
        <f>COUNTIFS(B263:G263, "&gt;=30", B263:G263, "&lt;=39")</f>
        <v>0</v>
      </c>
      <c r="BO263" s="3">
        <f>COUNTIFS(B263:G263, "&gt;=40", B263:G263, "&lt;=45")</f>
        <v>0</v>
      </c>
      <c r="BP263" s="28" t="e">
        <f>#REF!</f>
        <v>#REF!</v>
      </c>
      <c r="BQ263" s="28" t="e">
        <f>#REF!*2</f>
        <v>#REF!</v>
      </c>
      <c r="BR263" s="28" t="e">
        <f>#REF!</f>
        <v>#REF!</v>
      </c>
      <c r="BS263" s="28" t="e">
        <f>#REF!*2</f>
        <v>#REF!</v>
      </c>
      <c r="BT263" s="28" t="e">
        <f>#REF!</f>
        <v>#REF!</v>
      </c>
      <c r="BU263" s="28" t="e">
        <f>#REF!*2</f>
        <v>#REF!</v>
      </c>
      <c r="BV263" s="28" t="e">
        <f>#REF!</f>
        <v>#REF!</v>
      </c>
      <c r="BW263" s="28" t="e">
        <f>#REF!*2</f>
        <v>#REF!</v>
      </c>
      <c r="BX263" s="28" t="e">
        <f>#REF!</f>
        <v>#REF!</v>
      </c>
      <c r="BY263" s="28" t="e">
        <f>#REF!*2</f>
        <v>#REF!</v>
      </c>
      <c r="BZ263" s="28" t="e">
        <f>#REF!</f>
        <v>#REF!</v>
      </c>
      <c r="CA263" s="28" t="e">
        <f>#REF!*2</f>
        <v>#REF!</v>
      </c>
      <c r="CB263" s="9">
        <f>C263-B263</f>
        <v>0</v>
      </c>
      <c r="CC263" s="9">
        <f>D263-C263</f>
        <v>0</v>
      </c>
      <c r="CD263" s="9">
        <f>E263-D263</f>
        <v>0</v>
      </c>
      <c r="CE263" s="9">
        <f>F263-E263</f>
        <v>0</v>
      </c>
      <c r="CF263" s="9">
        <f>G263-F263</f>
        <v>0</v>
      </c>
      <c r="CG263" s="33"/>
      <c r="CH263" s="3">
        <f>C263-B263</f>
        <v>0</v>
      </c>
      <c r="CI263" s="3">
        <f>D263-C263</f>
        <v>0</v>
      </c>
      <c r="CJ263" s="3">
        <f>E263-D263</f>
        <v>0</v>
      </c>
      <c r="CK263" s="3">
        <f>F263-E263</f>
        <v>0</v>
      </c>
      <c r="CL263" s="3">
        <f>G263-F263</f>
        <v>0</v>
      </c>
      <c r="CM263" s="32"/>
      <c r="CN263" s="3">
        <f>IF(OR(CH263="",ISBLANK(CH263),CH263=0),0,IF(MOD(CH263,2)=1,1,2))</f>
        <v>0</v>
      </c>
      <c r="CO263" s="3">
        <f>IF(OR(CI263="",ISBLANK(CI263),CI263=0),0,IF(MOD(CI263,2)=1,1,2))</f>
        <v>0</v>
      </c>
      <c r="CP263" s="3">
        <f>IF(OR(CJ263="",ISBLANK(CJ263),CJ263=0),0,IF(MOD(CJ263,2)=1,1,2))</f>
        <v>0</v>
      </c>
      <c r="CQ263" s="3">
        <f>IF(OR(CK263="",ISBLANK(CK263),CK263=0),0,IF(MOD(CK263,2)=1,1,2))</f>
        <v>0</v>
      </c>
      <c r="CR263" s="3">
        <f>IF(OR(CL263="",ISBLANK(CL263),CL263=0),0,IF(MOD(CL263,2)=1,1,2))</f>
        <v>0</v>
      </c>
      <c r="CS263" s="31"/>
      <c r="CT263" s="3" cm="1">
        <f t="array" ref="CT263">SUMPRODUCT(--(MOD(CH263:CL263,2)=1))</f>
        <v>0</v>
      </c>
      <c r="CU263" s="3">
        <f>5-CT263</f>
        <v>5</v>
      </c>
      <c r="CV263" s="30"/>
      <c r="CW263" s="3" cm="1">
        <f t="array" ref="CW263">SUMPRODUCT(--(MOD(CH263:CL263,10)&gt;=1), --(MOD(CH263:CL263,10)&lt;=5))</f>
        <v>0</v>
      </c>
      <c r="CX263" s="3">
        <f>5-CW263</f>
        <v>5</v>
      </c>
      <c r="CY263" s="30"/>
      <c r="CZ263" s="3" cm="1">
        <f t="array" ref="CZ263">IFERROR(COUNT(_xlfn._xlws.FILTER(CH263:CL263, ISNUMBER(MATCH(CH263:CL263, {2,3,5,7,11,13,17,19,23,29,31,37,41,43}, 0)))), 0)</f>
        <v>0</v>
      </c>
      <c r="DA263" s="3" cm="1">
        <f t="array" ref="DA263">IFERROR(COUNT(_xlfn._xlws.FILTER(CH263:CL263, ISNUMBER(MATCH(CH263:CL263, {1,4,8,10,14,16,20,22,25,26,28,32,34,35,38,40,44}, 0)))), 0)</f>
        <v>0</v>
      </c>
      <c r="DB263" s="3" cm="1">
        <f t="array" ref="DB263">IFERROR(COUNT(_xlfn._xlws.FILTER(CH263:CL263, ISNUMBER(MATCH(CH263:CL263, {6,9,12,15,18,21,24,27,30,33,36,39,42,45}, 0)))), 0)</f>
        <v>0</v>
      </c>
      <c r="DC263" s="29"/>
      <c r="DD263" s="28" t="e">
        <f>#REF!</f>
        <v>#REF!</v>
      </c>
      <c r="DE263" s="28" t="e">
        <f>#REF!*2</f>
        <v>#REF!</v>
      </c>
      <c r="DF263" s="28" t="e">
        <f>#REF!</f>
        <v>#REF!</v>
      </c>
      <c r="DG263" s="28" t="e">
        <f>#REF!*2</f>
        <v>#REF!</v>
      </c>
      <c r="DH263" s="28" t="e">
        <f>#REF!</f>
        <v>#REF!</v>
      </c>
      <c r="DI263" s="28" t="e">
        <f>#REF!*2</f>
        <v>#REF!</v>
      </c>
      <c r="DJ263" s="28" t="e">
        <f>#REF!</f>
        <v>#REF!</v>
      </c>
      <c r="DK263" s="28" t="e">
        <f>#REF!*2</f>
        <v>#REF!</v>
      </c>
      <c r="DL263" s="28" t="e">
        <f>#REF!</f>
        <v>#REF!</v>
      </c>
      <c r="DM263" s="28" t="e">
        <f>#REF!*2</f>
        <v>#REF!</v>
      </c>
      <c r="DN263" s="27"/>
      <c r="DO263" s="26"/>
      <c r="DP263" s="26"/>
      <c r="DQ263" s="26"/>
      <c r="DR263" s="26"/>
      <c r="DS263" s="26"/>
      <c r="DT263" s="25"/>
    </row>
    <row r="264" spans="2:124" x14ac:dyDescent="0.3">
      <c r="B264" s="3">
        <v>0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2"/>
      <c r="I264" s="3">
        <f>IF(OR(B264="",ISBLANK(B264),B264=0),0,IF(MOD(B264,2)=1,1,2))</f>
        <v>0</v>
      </c>
      <c r="J264" s="3">
        <f>IF(OR(C264="",ISBLANK(C264),C264=0),0,IF(MOD(C264,2)=1,1,2))</f>
        <v>0</v>
      </c>
      <c r="K264" s="3">
        <f>IF(OR(D264="",ISBLANK(D264),D264=0),0,IF(MOD(D264,2)=1,1,2))</f>
        <v>0</v>
      </c>
      <c r="L264" s="3">
        <f>IF(OR(E264="",ISBLANK(E264),E264=0),0,IF(MOD(E264,2)=1,1,2))</f>
        <v>0</v>
      </c>
      <c r="M264" s="3">
        <f>IF(OR(F264="",ISBLANK(F264),F264=0),0,IF(MOD(F264,2)=1,1,2))</f>
        <v>0</v>
      </c>
      <c r="N264" s="3">
        <f>IF(OR(G264="",ISBLANK(G264),G264=0),0,IF(MOD(G264,2)=1,1,2))</f>
        <v>0</v>
      </c>
      <c r="O264" s="32"/>
      <c r="P264" s="3" cm="1">
        <f t="array" ref="P264">SUMPRODUCT(--(MOD(B264:G264,2)=1))</f>
        <v>0</v>
      </c>
      <c r="Q264" s="3">
        <f>6-P264</f>
        <v>6</v>
      </c>
      <c r="R264" s="34"/>
      <c r="S264" s="3">
        <f>COUNTIFS(B264:G264,"&gt;=1",B264:G264,"&lt;=23")</f>
        <v>0</v>
      </c>
      <c r="T264" s="3">
        <f>6-S264</f>
        <v>6</v>
      </c>
      <c r="U264" s="34"/>
      <c r="V264" s="3" cm="1">
        <f t="array" ref="V264">SUMPRODUCT(--(MOD(B264:G264,10)&gt;=1), --(MOD(B264:G264,10)&lt;=5))</f>
        <v>0</v>
      </c>
      <c r="W264" s="3">
        <f>6-V264</f>
        <v>6</v>
      </c>
      <c r="X264" s="34"/>
      <c r="Y264" s="3" cm="1">
        <f t="array" ref="Y264">IFERROR(COUNT(_xlfn._xlws.FILTER(B264:G264, ISNUMBER(MATCH(B264:G264, {2,3,5,7,11,13,17,19,23,29,31,37,41,43}, 0)))), 0)</f>
        <v>0</v>
      </c>
      <c r="Z264" s="3" cm="1">
        <f t="array" ref="Z264">IFERROR(COUNT(_xlfn._xlws.FILTER(B264:G264, ISNUMBER(MATCH(B264:G264, {1,4,8,10,14,16,20,22,25,26,28,32,34,35,38,40,44}, 0)))), 0)</f>
        <v>0</v>
      </c>
      <c r="AA264" s="3" cm="1">
        <f t="array" ref="AA264">IFERROR(COUNT(_xlfn._xlws.FILTER(B264:G264, ISNUMBER(MATCH(B264:G264, {6,9,12,15,18,21,24,27,30,33,36,39,42,45}, 0)))), 0)</f>
        <v>0</v>
      </c>
      <c r="AB264" s="30"/>
      <c r="AC264" s="26" cm="1">
        <f t="array" ref="AC264">_xlfn.IFS(
   OR(B264="",ISBLANK(B264),B264=0),0,
   ISNUMBER(MATCH(B264,{2,3,5,7,11,13,17,19,23,29,31,37,41,43},0)),"소",
   AND(ISNUMBER(B264),MOD(B264,3)=0),"배",
   AND(ISNUMBER(B264),B264&gt;0),"자"
)</f>
        <v>0</v>
      </c>
      <c r="AD264" s="26" cm="1">
        <f t="array" ref="AD264">_xlfn.IFS(
   OR(C264="",ISBLANK(C264),C264=0),0,
   ISNUMBER(MATCH(C264,{2,3,5,7,11,13,17,19,23,29,31,37,41,43},0)),"소",
   AND(ISNUMBER(C264),MOD(C264,3)=0),"배",
   AND(ISNUMBER(C264),C264&gt;0),"자"
)</f>
        <v>0</v>
      </c>
      <c r="AE264" s="26" cm="1">
        <f t="array" ref="AE264">_xlfn.IFS(
   OR(D264="",ISBLANK(D264),D264=0),0,
   ISNUMBER(MATCH(D264,{2,3,5,7,11,13,17,19,23,29,31,37,41,43},0)),"소",
   AND(ISNUMBER(D264),MOD(D264,3)=0),"배",
   AND(ISNUMBER(D264),D264&gt;0),"자"
)</f>
        <v>0</v>
      </c>
      <c r="AF264" s="26" cm="1">
        <f t="array" ref="AF264">_xlfn.IFS(
   OR(E264="",ISBLANK(E264),E264=0),0,
   ISNUMBER(MATCH(E264,{2,3,5,7,11,13,17,19,23,29,31,37,41,43},0)),"소",
   AND(ISNUMBER(E264),MOD(E264,3)=0),"배",
   AND(ISNUMBER(E264),E264&gt;0),"자"
)</f>
        <v>0</v>
      </c>
      <c r="AG264" s="26" cm="1">
        <f t="array" ref="AG264">_xlfn.IFS(
   OR(F264="",ISBLANK(F264),F264=0),0,
   ISNUMBER(MATCH(F264,{2,3,5,7,11,13,17,19,23,29,31,37,41,43},0)),"소",
   AND(ISNUMBER(F264),MOD(F264,3)=0),"배",
   AND(ISNUMBER(F264),F264&gt;0),"자"
)</f>
        <v>0</v>
      </c>
      <c r="AH264" s="26" cm="1">
        <f t="array" ref="AH264">_xlfn.IFS(
   OR(G264="",ISBLANK(G264),G264=0),0,
   ISNUMBER(MATCH(G264,{2,3,5,7,11,13,17,19,23,29,31,37,41,43},0)),"소",
   AND(ISNUMBER(G264),MOD(G264,3)=0),"배",
   AND(ISNUMBER(G264),G264&gt;0),"자"
)</f>
        <v>0</v>
      </c>
      <c r="AI264" s="30"/>
      <c r="AJ264" s="3">
        <f>COUNTIFS(B264:G264,"&gt;=1",B264:G264,"&lt;=14")</f>
        <v>0</v>
      </c>
      <c r="AK264" s="3">
        <f>COUNTIFS(B264:G264,"&gt;=15",B264:G264,"&lt;=31")</f>
        <v>0</v>
      </c>
      <c r="AL264" s="3">
        <f>6-AK264-AJ264</f>
        <v>6</v>
      </c>
      <c r="AM264" s="33"/>
      <c r="AN264" s="3">
        <f>COUNTIFS($B264:$G264, "&gt;=1",$B264:$G264, "&lt;=9")</f>
        <v>0</v>
      </c>
      <c r="AO264" s="3">
        <f>COUNTIFS($B264:$G264, "&gt;=10",$B264:$G264, "&lt;=18")</f>
        <v>0</v>
      </c>
      <c r="AP264" s="3">
        <f>COUNTIFS($B264:$G264, "&gt;=19",$B264:$G264, "&lt;=27")</f>
        <v>0</v>
      </c>
      <c r="AQ264" s="3">
        <f>COUNTIFS($B264:$G264, "&gt;=28",$B264:$G264, "&lt;=36")</f>
        <v>0</v>
      </c>
      <c r="AR264" s="3">
        <f>COUNTIFS($B264:$G264, "&gt;=37",$B264:$G264, "&lt;=45")</f>
        <v>0</v>
      </c>
      <c r="AS264" s="28" t="e">
        <f>#REF!</f>
        <v>#REF!</v>
      </c>
      <c r="AT264" s="28" t="e">
        <f>#REF!*2</f>
        <v>#REF!</v>
      </c>
      <c r="AU264" s="28" t="e">
        <f>#REF!</f>
        <v>#REF!</v>
      </c>
      <c r="AV264" s="28" t="e">
        <f>#REF!*2</f>
        <v>#REF!</v>
      </c>
      <c r="AW264" s="28" t="e">
        <f>#REF!</f>
        <v>#REF!</v>
      </c>
      <c r="AX264" s="28" t="e">
        <f>#REF!*2</f>
        <v>#REF!</v>
      </c>
      <c r="AY264" s="28" t="e">
        <f>#REF!</f>
        <v>#REF!</v>
      </c>
      <c r="AZ264" s="28" t="e">
        <f>#REF!*2</f>
        <v>#REF!</v>
      </c>
      <c r="BA264" s="28" t="e">
        <f>#REF!</f>
        <v>#REF!</v>
      </c>
      <c r="BB264" s="28" t="e">
        <f>#REF!*2</f>
        <v>#REF!</v>
      </c>
      <c r="BC264" s="28" t="e">
        <f>#REF!</f>
        <v>#REF!</v>
      </c>
      <c r="BD264" s="28" t="e">
        <f>#REF!*2</f>
        <v>#REF!</v>
      </c>
      <c r="BE264" s="9" t="e">
        <f>#REF!-#REF!</f>
        <v>#REF!</v>
      </c>
      <c r="BF264" s="9" t="e">
        <f>#REF!-#REF!</f>
        <v>#REF!</v>
      </c>
      <c r="BG264" s="9" t="e">
        <f>#REF!-#REF!</f>
        <v>#REF!</v>
      </c>
      <c r="BH264" s="9" t="e">
        <f>#REF!-#REF!</f>
        <v>#REF!</v>
      </c>
      <c r="BI264" s="9" t="e">
        <f>#REF!-#REF!</f>
        <v>#REF!</v>
      </c>
      <c r="BJ264" s="33"/>
      <c r="BK264" s="3">
        <f>COUNTIFS(B264:G264, "&gt;=1", B264:G264, "&lt;=9")</f>
        <v>0</v>
      </c>
      <c r="BL264" s="3">
        <f>COUNTIFS(B264:G264, "&gt;=10", B264:G264, "&lt;=19")</f>
        <v>0</v>
      </c>
      <c r="BM264" s="3">
        <f>COUNTIFS(B264:G264, "&gt;=20", B264:G264, "&lt;=29")</f>
        <v>0</v>
      </c>
      <c r="BN264" s="3">
        <f>COUNTIFS(B264:G264, "&gt;=30", B264:G264, "&lt;=39")</f>
        <v>0</v>
      </c>
      <c r="BO264" s="3">
        <f>COUNTIFS(B264:G264, "&gt;=40", B264:G264, "&lt;=45")</f>
        <v>0</v>
      </c>
      <c r="BP264" s="28" t="e">
        <f>#REF!</f>
        <v>#REF!</v>
      </c>
      <c r="BQ264" s="28" t="e">
        <f>#REF!*2</f>
        <v>#REF!</v>
      </c>
      <c r="BR264" s="28" t="e">
        <f>#REF!</f>
        <v>#REF!</v>
      </c>
      <c r="BS264" s="28" t="e">
        <f>#REF!*2</f>
        <v>#REF!</v>
      </c>
      <c r="BT264" s="28" t="e">
        <f>#REF!</f>
        <v>#REF!</v>
      </c>
      <c r="BU264" s="28" t="e">
        <f>#REF!*2</f>
        <v>#REF!</v>
      </c>
      <c r="BV264" s="28" t="e">
        <f>#REF!</f>
        <v>#REF!</v>
      </c>
      <c r="BW264" s="28" t="e">
        <f>#REF!*2</f>
        <v>#REF!</v>
      </c>
      <c r="BX264" s="28" t="e">
        <f>#REF!</f>
        <v>#REF!</v>
      </c>
      <c r="BY264" s="28" t="e">
        <f>#REF!*2</f>
        <v>#REF!</v>
      </c>
      <c r="BZ264" s="28" t="e">
        <f>#REF!</f>
        <v>#REF!</v>
      </c>
      <c r="CA264" s="28" t="e">
        <f>#REF!*2</f>
        <v>#REF!</v>
      </c>
      <c r="CB264" s="9">
        <f>C264-B264</f>
        <v>0</v>
      </c>
      <c r="CC264" s="9">
        <f>D264-C264</f>
        <v>0</v>
      </c>
      <c r="CD264" s="9">
        <f>E264-D264</f>
        <v>0</v>
      </c>
      <c r="CE264" s="9">
        <f>F264-E264</f>
        <v>0</v>
      </c>
      <c r="CF264" s="9">
        <f>G264-F264</f>
        <v>0</v>
      </c>
      <c r="CG264" s="33"/>
      <c r="CH264" s="3">
        <f>C264-B264</f>
        <v>0</v>
      </c>
      <c r="CI264" s="3">
        <f>D264-C264</f>
        <v>0</v>
      </c>
      <c r="CJ264" s="3">
        <f>E264-D264</f>
        <v>0</v>
      </c>
      <c r="CK264" s="3">
        <f>F264-E264</f>
        <v>0</v>
      </c>
      <c r="CL264" s="3">
        <f>G264-F264</f>
        <v>0</v>
      </c>
      <c r="CM264" s="32"/>
      <c r="CN264" s="3">
        <f>IF(OR(CH264="",ISBLANK(CH264),CH264=0),0,IF(MOD(CH264,2)=1,1,2))</f>
        <v>0</v>
      </c>
      <c r="CO264" s="3">
        <f>IF(OR(CI264="",ISBLANK(CI264),CI264=0),0,IF(MOD(CI264,2)=1,1,2))</f>
        <v>0</v>
      </c>
      <c r="CP264" s="3">
        <f>IF(OR(CJ264="",ISBLANK(CJ264),CJ264=0),0,IF(MOD(CJ264,2)=1,1,2))</f>
        <v>0</v>
      </c>
      <c r="CQ264" s="3">
        <f>IF(OR(CK264="",ISBLANK(CK264),CK264=0),0,IF(MOD(CK264,2)=1,1,2))</f>
        <v>0</v>
      </c>
      <c r="CR264" s="3">
        <f>IF(OR(CL264="",ISBLANK(CL264),CL264=0),0,IF(MOD(CL264,2)=1,1,2))</f>
        <v>0</v>
      </c>
      <c r="CS264" s="31"/>
      <c r="CT264" s="3" cm="1">
        <f t="array" ref="CT264">SUMPRODUCT(--(MOD(CH264:CL264,2)=1))</f>
        <v>0</v>
      </c>
      <c r="CU264" s="3">
        <f>5-CT264</f>
        <v>5</v>
      </c>
      <c r="CV264" s="30"/>
      <c r="CW264" s="3" cm="1">
        <f t="array" ref="CW264">SUMPRODUCT(--(MOD(CH264:CL264,10)&gt;=1), --(MOD(CH264:CL264,10)&lt;=5))</f>
        <v>0</v>
      </c>
      <c r="CX264" s="3">
        <f>5-CW264</f>
        <v>5</v>
      </c>
      <c r="CY264" s="30"/>
      <c r="CZ264" s="3" cm="1">
        <f t="array" ref="CZ264">IFERROR(COUNT(_xlfn._xlws.FILTER(CH264:CL264, ISNUMBER(MATCH(CH264:CL264, {2,3,5,7,11,13,17,19,23,29,31,37,41,43}, 0)))), 0)</f>
        <v>0</v>
      </c>
      <c r="DA264" s="3" cm="1">
        <f t="array" ref="DA264">IFERROR(COUNT(_xlfn._xlws.FILTER(CH264:CL264, ISNUMBER(MATCH(CH264:CL264, {1,4,8,10,14,16,20,22,25,26,28,32,34,35,38,40,44}, 0)))), 0)</f>
        <v>0</v>
      </c>
      <c r="DB264" s="3" cm="1">
        <f t="array" ref="DB264">IFERROR(COUNT(_xlfn._xlws.FILTER(CH264:CL264, ISNUMBER(MATCH(CH264:CL264, {6,9,12,15,18,21,24,27,30,33,36,39,42,45}, 0)))), 0)</f>
        <v>0</v>
      </c>
      <c r="DC264" s="29"/>
      <c r="DD264" s="28" t="e">
        <f>#REF!</f>
        <v>#REF!</v>
      </c>
      <c r="DE264" s="28" t="e">
        <f>#REF!*2</f>
        <v>#REF!</v>
      </c>
      <c r="DF264" s="28" t="e">
        <f>#REF!</f>
        <v>#REF!</v>
      </c>
      <c r="DG264" s="28" t="e">
        <f>#REF!*2</f>
        <v>#REF!</v>
      </c>
      <c r="DH264" s="28" t="e">
        <f>#REF!</f>
        <v>#REF!</v>
      </c>
      <c r="DI264" s="28" t="e">
        <f>#REF!*2</f>
        <v>#REF!</v>
      </c>
      <c r="DJ264" s="28" t="e">
        <f>#REF!</f>
        <v>#REF!</v>
      </c>
      <c r="DK264" s="28" t="e">
        <f>#REF!*2</f>
        <v>#REF!</v>
      </c>
      <c r="DL264" s="28" t="e">
        <f>#REF!</f>
        <v>#REF!</v>
      </c>
      <c r="DM264" s="28" t="e">
        <f>#REF!*2</f>
        <v>#REF!</v>
      </c>
      <c r="DN264" s="27"/>
      <c r="DO264" s="26"/>
      <c r="DP264" s="26"/>
      <c r="DQ264" s="26"/>
      <c r="DR264" s="26"/>
      <c r="DS264" s="26"/>
      <c r="DT264" s="25"/>
    </row>
    <row r="265" spans="2:124" x14ac:dyDescent="0.3">
      <c r="B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2"/>
      <c r="I265" s="3">
        <f>IF(OR(B265="",ISBLANK(B265),B265=0),0,IF(MOD(B265,2)=1,1,2))</f>
        <v>0</v>
      </c>
      <c r="J265" s="3">
        <f>IF(OR(C265="",ISBLANK(C265),C265=0),0,IF(MOD(C265,2)=1,1,2))</f>
        <v>0</v>
      </c>
      <c r="K265" s="3">
        <f>IF(OR(D265="",ISBLANK(D265),D265=0),0,IF(MOD(D265,2)=1,1,2))</f>
        <v>0</v>
      </c>
      <c r="L265" s="3">
        <f>IF(OR(E265="",ISBLANK(E265),E265=0),0,IF(MOD(E265,2)=1,1,2))</f>
        <v>0</v>
      </c>
      <c r="M265" s="3">
        <f>IF(OR(F265="",ISBLANK(F265),F265=0),0,IF(MOD(F265,2)=1,1,2))</f>
        <v>0</v>
      </c>
      <c r="N265" s="3">
        <f>IF(OR(G265="",ISBLANK(G265),G265=0),0,IF(MOD(G265,2)=1,1,2))</f>
        <v>0</v>
      </c>
      <c r="O265" s="32"/>
      <c r="P265" s="3" cm="1">
        <f t="array" ref="P265">SUMPRODUCT(--(MOD(B265:G265,2)=1))</f>
        <v>0</v>
      </c>
      <c r="Q265" s="3">
        <f>6-P265</f>
        <v>6</v>
      </c>
      <c r="R265" s="34"/>
      <c r="S265" s="3">
        <f>COUNTIFS(B265:G265,"&gt;=1",B265:G265,"&lt;=23")</f>
        <v>0</v>
      </c>
      <c r="T265" s="3">
        <f>6-S265</f>
        <v>6</v>
      </c>
      <c r="U265" s="34"/>
      <c r="V265" s="3" cm="1">
        <f t="array" ref="V265">SUMPRODUCT(--(MOD(B265:G265,10)&gt;=1), --(MOD(B265:G265,10)&lt;=5))</f>
        <v>0</v>
      </c>
      <c r="W265" s="3">
        <f>6-V265</f>
        <v>6</v>
      </c>
      <c r="X265" s="34"/>
      <c r="Y265" s="3" cm="1">
        <f t="array" ref="Y265">IFERROR(COUNT(_xlfn._xlws.FILTER(B265:G265, ISNUMBER(MATCH(B265:G265, {2,3,5,7,11,13,17,19,23,29,31,37,41,43}, 0)))), 0)</f>
        <v>0</v>
      </c>
      <c r="Z265" s="3" cm="1">
        <f t="array" ref="Z265">IFERROR(COUNT(_xlfn._xlws.FILTER(B265:G265, ISNUMBER(MATCH(B265:G265, {1,4,8,10,14,16,20,22,25,26,28,32,34,35,38,40,44}, 0)))), 0)</f>
        <v>0</v>
      </c>
      <c r="AA265" s="3" cm="1">
        <f t="array" ref="AA265">IFERROR(COUNT(_xlfn._xlws.FILTER(B265:G265, ISNUMBER(MATCH(B265:G265, {6,9,12,15,18,21,24,27,30,33,36,39,42,45}, 0)))), 0)</f>
        <v>0</v>
      </c>
      <c r="AB265" s="30"/>
      <c r="AC265" s="26" cm="1">
        <f t="array" ref="AC265">_xlfn.IFS(
   OR(B265="",ISBLANK(B265),B265=0),0,
   ISNUMBER(MATCH(B265,{2,3,5,7,11,13,17,19,23,29,31,37,41,43},0)),"소",
   AND(ISNUMBER(B265),MOD(B265,3)=0),"배",
   AND(ISNUMBER(B265),B265&gt;0),"자"
)</f>
        <v>0</v>
      </c>
      <c r="AD265" s="26" cm="1">
        <f t="array" ref="AD265">_xlfn.IFS(
   OR(C265="",ISBLANK(C265),C265=0),0,
   ISNUMBER(MATCH(C265,{2,3,5,7,11,13,17,19,23,29,31,37,41,43},0)),"소",
   AND(ISNUMBER(C265),MOD(C265,3)=0),"배",
   AND(ISNUMBER(C265),C265&gt;0),"자"
)</f>
        <v>0</v>
      </c>
      <c r="AE265" s="26" cm="1">
        <f t="array" ref="AE265">_xlfn.IFS(
   OR(D265="",ISBLANK(D265),D265=0),0,
   ISNUMBER(MATCH(D265,{2,3,5,7,11,13,17,19,23,29,31,37,41,43},0)),"소",
   AND(ISNUMBER(D265),MOD(D265,3)=0),"배",
   AND(ISNUMBER(D265),D265&gt;0),"자"
)</f>
        <v>0</v>
      </c>
      <c r="AF265" s="26" cm="1">
        <f t="array" ref="AF265">_xlfn.IFS(
   OR(E265="",ISBLANK(E265),E265=0),0,
   ISNUMBER(MATCH(E265,{2,3,5,7,11,13,17,19,23,29,31,37,41,43},0)),"소",
   AND(ISNUMBER(E265),MOD(E265,3)=0),"배",
   AND(ISNUMBER(E265),E265&gt;0),"자"
)</f>
        <v>0</v>
      </c>
      <c r="AG265" s="26" cm="1">
        <f t="array" ref="AG265">_xlfn.IFS(
   OR(F265="",ISBLANK(F265),F265=0),0,
   ISNUMBER(MATCH(F265,{2,3,5,7,11,13,17,19,23,29,31,37,41,43},0)),"소",
   AND(ISNUMBER(F265),MOD(F265,3)=0),"배",
   AND(ISNUMBER(F265),F265&gt;0),"자"
)</f>
        <v>0</v>
      </c>
      <c r="AH265" s="26" cm="1">
        <f t="array" ref="AH265">_xlfn.IFS(
   OR(G265="",ISBLANK(G265),G265=0),0,
   ISNUMBER(MATCH(G265,{2,3,5,7,11,13,17,19,23,29,31,37,41,43},0)),"소",
   AND(ISNUMBER(G265),MOD(G265,3)=0),"배",
   AND(ISNUMBER(G265),G265&gt;0),"자"
)</f>
        <v>0</v>
      </c>
      <c r="AI265" s="30"/>
      <c r="AJ265" s="3">
        <f>COUNTIFS(B265:G265,"&gt;=1",B265:G265,"&lt;=14")</f>
        <v>0</v>
      </c>
      <c r="AK265" s="3">
        <f>COUNTIFS(B265:G265,"&gt;=15",B265:G265,"&lt;=31")</f>
        <v>0</v>
      </c>
      <c r="AL265" s="3">
        <f>6-AK265-AJ265</f>
        <v>6</v>
      </c>
      <c r="AM265" s="33"/>
      <c r="AN265" s="3">
        <f>COUNTIFS($B265:$G265, "&gt;=1",$B265:$G265, "&lt;=9")</f>
        <v>0</v>
      </c>
      <c r="AO265" s="3">
        <f>COUNTIFS($B265:$G265, "&gt;=10",$B265:$G265, "&lt;=18")</f>
        <v>0</v>
      </c>
      <c r="AP265" s="3">
        <f>COUNTIFS($B265:$G265, "&gt;=19",$B265:$G265, "&lt;=27")</f>
        <v>0</v>
      </c>
      <c r="AQ265" s="3">
        <f>COUNTIFS($B265:$G265, "&gt;=28",$B265:$G265, "&lt;=36")</f>
        <v>0</v>
      </c>
      <c r="AR265" s="3">
        <f>COUNTIFS($B265:$G265, "&gt;=37",$B265:$G265, "&lt;=45")</f>
        <v>0</v>
      </c>
      <c r="AS265" s="28" t="e">
        <f>#REF!</f>
        <v>#REF!</v>
      </c>
      <c r="AT265" s="28" t="e">
        <f>#REF!*2</f>
        <v>#REF!</v>
      </c>
      <c r="AU265" s="28" t="e">
        <f>#REF!</f>
        <v>#REF!</v>
      </c>
      <c r="AV265" s="28" t="e">
        <f>#REF!*2</f>
        <v>#REF!</v>
      </c>
      <c r="AW265" s="28" t="e">
        <f>#REF!</f>
        <v>#REF!</v>
      </c>
      <c r="AX265" s="28" t="e">
        <f>#REF!*2</f>
        <v>#REF!</v>
      </c>
      <c r="AY265" s="28" t="e">
        <f>#REF!</f>
        <v>#REF!</v>
      </c>
      <c r="AZ265" s="28" t="e">
        <f>#REF!*2</f>
        <v>#REF!</v>
      </c>
      <c r="BA265" s="28" t="e">
        <f>#REF!</f>
        <v>#REF!</v>
      </c>
      <c r="BB265" s="28" t="e">
        <f>#REF!*2</f>
        <v>#REF!</v>
      </c>
      <c r="BC265" s="28" t="e">
        <f>#REF!</f>
        <v>#REF!</v>
      </c>
      <c r="BD265" s="28" t="e">
        <f>#REF!*2</f>
        <v>#REF!</v>
      </c>
      <c r="BE265" s="9" t="e">
        <f>#REF!-#REF!</f>
        <v>#REF!</v>
      </c>
      <c r="BF265" s="9" t="e">
        <f>#REF!-#REF!</f>
        <v>#REF!</v>
      </c>
      <c r="BG265" s="9" t="e">
        <f>#REF!-#REF!</f>
        <v>#REF!</v>
      </c>
      <c r="BH265" s="9" t="e">
        <f>#REF!-#REF!</f>
        <v>#REF!</v>
      </c>
      <c r="BI265" s="9" t="e">
        <f>#REF!-#REF!</f>
        <v>#REF!</v>
      </c>
      <c r="BJ265" s="33"/>
      <c r="BK265" s="3">
        <f>COUNTIFS(B265:G265, "&gt;=1", B265:G265, "&lt;=9")</f>
        <v>0</v>
      </c>
      <c r="BL265" s="3">
        <f>COUNTIFS(B265:G265, "&gt;=10", B265:G265, "&lt;=19")</f>
        <v>0</v>
      </c>
      <c r="BM265" s="3">
        <f>COUNTIFS(B265:G265, "&gt;=20", B265:G265, "&lt;=29")</f>
        <v>0</v>
      </c>
      <c r="BN265" s="3">
        <f>COUNTIFS(B265:G265, "&gt;=30", B265:G265, "&lt;=39")</f>
        <v>0</v>
      </c>
      <c r="BO265" s="3">
        <f>COUNTIFS(B265:G265, "&gt;=40", B265:G265, "&lt;=45")</f>
        <v>0</v>
      </c>
      <c r="BP265" s="28" t="e">
        <f>#REF!</f>
        <v>#REF!</v>
      </c>
      <c r="BQ265" s="28" t="e">
        <f>#REF!*2</f>
        <v>#REF!</v>
      </c>
      <c r="BR265" s="28" t="e">
        <f>#REF!</f>
        <v>#REF!</v>
      </c>
      <c r="BS265" s="28" t="e">
        <f>#REF!*2</f>
        <v>#REF!</v>
      </c>
      <c r="BT265" s="28" t="e">
        <f>#REF!</f>
        <v>#REF!</v>
      </c>
      <c r="BU265" s="28" t="e">
        <f>#REF!*2</f>
        <v>#REF!</v>
      </c>
      <c r="BV265" s="28" t="e">
        <f>#REF!</f>
        <v>#REF!</v>
      </c>
      <c r="BW265" s="28" t="e">
        <f>#REF!*2</f>
        <v>#REF!</v>
      </c>
      <c r="BX265" s="28" t="e">
        <f>#REF!</f>
        <v>#REF!</v>
      </c>
      <c r="BY265" s="28" t="e">
        <f>#REF!*2</f>
        <v>#REF!</v>
      </c>
      <c r="BZ265" s="28" t="e">
        <f>#REF!</f>
        <v>#REF!</v>
      </c>
      <c r="CA265" s="28" t="e">
        <f>#REF!*2</f>
        <v>#REF!</v>
      </c>
      <c r="CB265" s="9">
        <f>C265-B265</f>
        <v>0</v>
      </c>
      <c r="CC265" s="9">
        <f>D265-C265</f>
        <v>0</v>
      </c>
      <c r="CD265" s="9">
        <f>E265-D265</f>
        <v>0</v>
      </c>
      <c r="CE265" s="9">
        <f>F265-E265</f>
        <v>0</v>
      </c>
      <c r="CF265" s="9">
        <f>G265-F265</f>
        <v>0</v>
      </c>
      <c r="CG265" s="33"/>
      <c r="CH265" s="3">
        <f>C265-B265</f>
        <v>0</v>
      </c>
      <c r="CI265" s="3">
        <f>D265-C265</f>
        <v>0</v>
      </c>
      <c r="CJ265" s="3">
        <f>E265-D265</f>
        <v>0</v>
      </c>
      <c r="CK265" s="3">
        <f>F265-E265</f>
        <v>0</v>
      </c>
      <c r="CL265" s="3">
        <f>G265-F265</f>
        <v>0</v>
      </c>
      <c r="CM265" s="32"/>
      <c r="CN265" s="3">
        <f>IF(OR(CH265="",ISBLANK(CH265),CH265=0),0,IF(MOD(CH265,2)=1,1,2))</f>
        <v>0</v>
      </c>
      <c r="CO265" s="3">
        <f>IF(OR(CI265="",ISBLANK(CI265),CI265=0),0,IF(MOD(CI265,2)=1,1,2))</f>
        <v>0</v>
      </c>
      <c r="CP265" s="3">
        <f>IF(OR(CJ265="",ISBLANK(CJ265),CJ265=0),0,IF(MOD(CJ265,2)=1,1,2))</f>
        <v>0</v>
      </c>
      <c r="CQ265" s="3">
        <f>IF(OR(CK265="",ISBLANK(CK265),CK265=0),0,IF(MOD(CK265,2)=1,1,2))</f>
        <v>0</v>
      </c>
      <c r="CR265" s="3">
        <f>IF(OR(CL265="",ISBLANK(CL265),CL265=0),0,IF(MOD(CL265,2)=1,1,2))</f>
        <v>0</v>
      </c>
      <c r="CS265" s="31"/>
      <c r="CT265" s="3" cm="1">
        <f t="array" ref="CT265">SUMPRODUCT(--(MOD(CH265:CL265,2)=1))</f>
        <v>0</v>
      </c>
      <c r="CU265" s="3">
        <f>5-CT265</f>
        <v>5</v>
      </c>
      <c r="CV265" s="30"/>
      <c r="CW265" s="3" cm="1">
        <f t="array" ref="CW265">SUMPRODUCT(--(MOD(CH265:CL265,10)&gt;=1), --(MOD(CH265:CL265,10)&lt;=5))</f>
        <v>0</v>
      </c>
      <c r="CX265" s="3">
        <f>5-CW265</f>
        <v>5</v>
      </c>
      <c r="CY265" s="30"/>
      <c r="CZ265" s="3" cm="1">
        <f t="array" ref="CZ265">IFERROR(COUNT(_xlfn._xlws.FILTER(CH265:CL265, ISNUMBER(MATCH(CH265:CL265, {2,3,5,7,11,13,17,19,23,29,31,37,41,43}, 0)))), 0)</f>
        <v>0</v>
      </c>
      <c r="DA265" s="3" cm="1">
        <f t="array" ref="DA265">IFERROR(COUNT(_xlfn._xlws.FILTER(CH265:CL265, ISNUMBER(MATCH(CH265:CL265, {1,4,8,10,14,16,20,22,25,26,28,32,34,35,38,40,44}, 0)))), 0)</f>
        <v>0</v>
      </c>
      <c r="DB265" s="3" cm="1">
        <f t="array" ref="DB265">IFERROR(COUNT(_xlfn._xlws.FILTER(CH265:CL265, ISNUMBER(MATCH(CH265:CL265, {6,9,12,15,18,21,24,27,30,33,36,39,42,45}, 0)))), 0)</f>
        <v>0</v>
      </c>
      <c r="DC265" s="29"/>
      <c r="DD265" s="28" t="e">
        <f>#REF!</f>
        <v>#REF!</v>
      </c>
      <c r="DE265" s="28" t="e">
        <f>#REF!*2</f>
        <v>#REF!</v>
      </c>
      <c r="DF265" s="28" t="e">
        <f>#REF!</f>
        <v>#REF!</v>
      </c>
      <c r="DG265" s="28" t="e">
        <f>#REF!*2</f>
        <v>#REF!</v>
      </c>
      <c r="DH265" s="28" t="e">
        <f>#REF!</f>
        <v>#REF!</v>
      </c>
      <c r="DI265" s="28" t="e">
        <f>#REF!*2</f>
        <v>#REF!</v>
      </c>
      <c r="DJ265" s="28" t="e">
        <f>#REF!</f>
        <v>#REF!</v>
      </c>
      <c r="DK265" s="28" t="e">
        <f>#REF!*2</f>
        <v>#REF!</v>
      </c>
      <c r="DL265" s="28" t="e">
        <f>#REF!</f>
        <v>#REF!</v>
      </c>
      <c r="DM265" s="28" t="e">
        <f>#REF!*2</f>
        <v>#REF!</v>
      </c>
      <c r="DN265" s="27"/>
      <c r="DO265" s="26"/>
      <c r="DP265" s="26"/>
      <c r="DQ265" s="26"/>
      <c r="DR265" s="26"/>
      <c r="DS265" s="26"/>
      <c r="DT265" s="25"/>
    </row>
    <row r="266" spans="2:124" x14ac:dyDescent="0.3">
      <c r="B266" s="3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2"/>
      <c r="I266" s="3">
        <f>IF(OR(B266="",ISBLANK(B266),B266=0),0,IF(MOD(B266,2)=1,1,2))</f>
        <v>0</v>
      </c>
      <c r="J266" s="3">
        <f>IF(OR(C266="",ISBLANK(C266),C266=0),0,IF(MOD(C266,2)=1,1,2))</f>
        <v>0</v>
      </c>
      <c r="K266" s="3">
        <f>IF(OR(D266="",ISBLANK(D266),D266=0),0,IF(MOD(D266,2)=1,1,2))</f>
        <v>0</v>
      </c>
      <c r="L266" s="3">
        <f>IF(OR(E266="",ISBLANK(E266),E266=0),0,IF(MOD(E266,2)=1,1,2))</f>
        <v>0</v>
      </c>
      <c r="M266" s="3">
        <f>IF(OR(F266="",ISBLANK(F266),F266=0),0,IF(MOD(F266,2)=1,1,2))</f>
        <v>0</v>
      </c>
      <c r="N266" s="3">
        <f>IF(OR(G266="",ISBLANK(G266),G266=0),0,IF(MOD(G266,2)=1,1,2))</f>
        <v>0</v>
      </c>
      <c r="O266" s="32"/>
      <c r="P266" s="3" cm="1">
        <f t="array" ref="P266">SUMPRODUCT(--(MOD(B266:G266,2)=1))</f>
        <v>0</v>
      </c>
      <c r="Q266" s="3">
        <f>6-P266</f>
        <v>6</v>
      </c>
      <c r="R266" s="34"/>
      <c r="S266" s="3">
        <f>COUNTIFS(B266:G266,"&gt;=1",B266:G266,"&lt;=23")</f>
        <v>0</v>
      </c>
      <c r="T266" s="3">
        <f>6-S266</f>
        <v>6</v>
      </c>
      <c r="U266" s="34"/>
      <c r="V266" s="3" cm="1">
        <f t="array" ref="V266">SUMPRODUCT(--(MOD(B266:G266,10)&gt;=1), --(MOD(B266:G266,10)&lt;=5))</f>
        <v>0</v>
      </c>
      <c r="W266" s="3">
        <f>6-V266</f>
        <v>6</v>
      </c>
      <c r="X266" s="34"/>
      <c r="Y266" s="3" cm="1">
        <f t="array" ref="Y266">IFERROR(COUNT(_xlfn._xlws.FILTER(B266:G266, ISNUMBER(MATCH(B266:G266, {2,3,5,7,11,13,17,19,23,29,31,37,41,43}, 0)))), 0)</f>
        <v>0</v>
      </c>
      <c r="Z266" s="3" cm="1">
        <f t="array" ref="Z266">IFERROR(COUNT(_xlfn._xlws.FILTER(B266:G266, ISNUMBER(MATCH(B266:G266, {1,4,8,10,14,16,20,22,25,26,28,32,34,35,38,40,44}, 0)))), 0)</f>
        <v>0</v>
      </c>
      <c r="AA266" s="3" cm="1">
        <f t="array" ref="AA266">IFERROR(COUNT(_xlfn._xlws.FILTER(B266:G266, ISNUMBER(MATCH(B266:G266, {6,9,12,15,18,21,24,27,30,33,36,39,42,45}, 0)))), 0)</f>
        <v>0</v>
      </c>
      <c r="AB266" s="30"/>
      <c r="AC266" s="26" cm="1">
        <f t="array" ref="AC266">_xlfn.IFS(
   OR(B266="",ISBLANK(B266),B266=0),0,
   ISNUMBER(MATCH(B266,{2,3,5,7,11,13,17,19,23,29,31,37,41,43},0)),"소",
   AND(ISNUMBER(B266),MOD(B266,3)=0),"배",
   AND(ISNUMBER(B266),B266&gt;0),"자"
)</f>
        <v>0</v>
      </c>
      <c r="AD266" s="26" cm="1">
        <f t="array" ref="AD266">_xlfn.IFS(
   OR(C266="",ISBLANK(C266),C266=0),0,
   ISNUMBER(MATCH(C266,{2,3,5,7,11,13,17,19,23,29,31,37,41,43},0)),"소",
   AND(ISNUMBER(C266),MOD(C266,3)=0),"배",
   AND(ISNUMBER(C266),C266&gt;0),"자"
)</f>
        <v>0</v>
      </c>
      <c r="AE266" s="26" cm="1">
        <f t="array" ref="AE266">_xlfn.IFS(
   OR(D266="",ISBLANK(D266),D266=0),0,
   ISNUMBER(MATCH(D266,{2,3,5,7,11,13,17,19,23,29,31,37,41,43},0)),"소",
   AND(ISNUMBER(D266),MOD(D266,3)=0),"배",
   AND(ISNUMBER(D266),D266&gt;0),"자"
)</f>
        <v>0</v>
      </c>
      <c r="AF266" s="26" cm="1">
        <f t="array" ref="AF266">_xlfn.IFS(
   OR(E266="",ISBLANK(E266),E266=0),0,
   ISNUMBER(MATCH(E266,{2,3,5,7,11,13,17,19,23,29,31,37,41,43},0)),"소",
   AND(ISNUMBER(E266),MOD(E266,3)=0),"배",
   AND(ISNUMBER(E266),E266&gt;0),"자"
)</f>
        <v>0</v>
      </c>
      <c r="AG266" s="26" cm="1">
        <f t="array" ref="AG266">_xlfn.IFS(
   OR(F266="",ISBLANK(F266),F266=0),0,
   ISNUMBER(MATCH(F266,{2,3,5,7,11,13,17,19,23,29,31,37,41,43},0)),"소",
   AND(ISNUMBER(F266),MOD(F266,3)=0),"배",
   AND(ISNUMBER(F266),F266&gt;0),"자"
)</f>
        <v>0</v>
      </c>
      <c r="AH266" s="26" cm="1">
        <f t="array" ref="AH266">_xlfn.IFS(
   OR(G266="",ISBLANK(G266),G266=0),0,
   ISNUMBER(MATCH(G266,{2,3,5,7,11,13,17,19,23,29,31,37,41,43},0)),"소",
   AND(ISNUMBER(G266),MOD(G266,3)=0),"배",
   AND(ISNUMBER(G266),G266&gt;0),"자"
)</f>
        <v>0</v>
      </c>
      <c r="AI266" s="30"/>
      <c r="AJ266" s="3">
        <f>COUNTIFS(B266:G266,"&gt;=1",B266:G266,"&lt;=14")</f>
        <v>0</v>
      </c>
      <c r="AK266" s="3">
        <f>COUNTIFS(B266:G266,"&gt;=15",B266:G266,"&lt;=31")</f>
        <v>0</v>
      </c>
      <c r="AL266" s="3">
        <f>6-AK266-AJ266</f>
        <v>6</v>
      </c>
      <c r="AM266" s="33"/>
      <c r="AN266" s="3">
        <f>COUNTIFS($B266:$G266, "&gt;=1",$B266:$G266, "&lt;=9")</f>
        <v>0</v>
      </c>
      <c r="AO266" s="3">
        <f>COUNTIFS($B266:$G266, "&gt;=10",$B266:$G266, "&lt;=18")</f>
        <v>0</v>
      </c>
      <c r="AP266" s="3">
        <f>COUNTIFS($B266:$G266, "&gt;=19",$B266:$G266, "&lt;=27")</f>
        <v>0</v>
      </c>
      <c r="AQ266" s="3">
        <f>COUNTIFS($B266:$G266, "&gt;=28",$B266:$G266, "&lt;=36")</f>
        <v>0</v>
      </c>
      <c r="AR266" s="3">
        <f>COUNTIFS($B266:$G266, "&gt;=37",$B266:$G266, "&lt;=45")</f>
        <v>0</v>
      </c>
      <c r="AS266" s="28" t="e">
        <f>#REF!</f>
        <v>#REF!</v>
      </c>
      <c r="AT266" s="28" t="e">
        <f>#REF!*2</f>
        <v>#REF!</v>
      </c>
      <c r="AU266" s="28" t="e">
        <f>#REF!</f>
        <v>#REF!</v>
      </c>
      <c r="AV266" s="28" t="e">
        <f>#REF!*2</f>
        <v>#REF!</v>
      </c>
      <c r="AW266" s="28" t="e">
        <f>#REF!</f>
        <v>#REF!</v>
      </c>
      <c r="AX266" s="28" t="e">
        <f>#REF!*2</f>
        <v>#REF!</v>
      </c>
      <c r="AY266" s="28" t="e">
        <f>#REF!</f>
        <v>#REF!</v>
      </c>
      <c r="AZ266" s="28" t="e">
        <f>#REF!*2</f>
        <v>#REF!</v>
      </c>
      <c r="BA266" s="28" t="e">
        <f>#REF!</f>
        <v>#REF!</v>
      </c>
      <c r="BB266" s="28" t="e">
        <f>#REF!*2</f>
        <v>#REF!</v>
      </c>
      <c r="BC266" s="28" t="e">
        <f>#REF!</f>
        <v>#REF!</v>
      </c>
      <c r="BD266" s="28" t="e">
        <f>#REF!*2</f>
        <v>#REF!</v>
      </c>
      <c r="BE266" s="9" t="e">
        <f>#REF!-#REF!</f>
        <v>#REF!</v>
      </c>
      <c r="BF266" s="9" t="e">
        <f>#REF!-#REF!</f>
        <v>#REF!</v>
      </c>
      <c r="BG266" s="9" t="e">
        <f>#REF!-#REF!</f>
        <v>#REF!</v>
      </c>
      <c r="BH266" s="9" t="e">
        <f>#REF!-#REF!</f>
        <v>#REF!</v>
      </c>
      <c r="BI266" s="9" t="e">
        <f>#REF!-#REF!</f>
        <v>#REF!</v>
      </c>
      <c r="BJ266" s="33"/>
      <c r="BK266" s="3">
        <f>COUNTIFS(B266:G266, "&gt;=1", B266:G266, "&lt;=9")</f>
        <v>0</v>
      </c>
      <c r="BL266" s="3">
        <f>COUNTIFS(B266:G266, "&gt;=10", B266:G266, "&lt;=19")</f>
        <v>0</v>
      </c>
      <c r="BM266" s="3">
        <f>COUNTIFS(B266:G266, "&gt;=20", B266:G266, "&lt;=29")</f>
        <v>0</v>
      </c>
      <c r="BN266" s="3">
        <f>COUNTIFS(B266:G266, "&gt;=30", B266:G266, "&lt;=39")</f>
        <v>0</v>
      </c>
      <c r="BO266" s="3">
        <f>COUNTIFS(B266:G266, "&gt;=40", B266:G266, "&lt;=45")</f>
        <v>0</v>
      </c>
      <c r="BP266" s="28" t="e">
        <f>#REF!</f>
        <v>#REF!</v>
      </c>
      <c r="BQ266" s="28" t="e">
        <f>#REF!*2</f>
        <v>#REF!</v>
      </c>
      <c r="BR266" s="28" t="e">
        <f>#REF!</f>
        <v>#REF!</v>
      </c>
      <c r="BS266" s="28" t="e">
        <f>#REF!*2</f>
        <v>#REF!</v>
      </c>
      <c r="BT266" s="28" t="e">
        <f>#REF!</f>
        <v>#REF!</v>
      </c>
      <c r="BU266" s="28" t="e">
        <f>#REF!*2</f>
        <v>#REF!</v>
      </c>
      <c r="BV266" s="28" t="e">
        <f>#REF!</f>
        <v>#REF!</v>
      </c>
      <c r="BW266" s="28" t="e">
        <f>#REF!*2</f>
        <v>#REF!</v>
      </c>
      <c r="BX266" s="28" t="e">
        <f>#REF!</f>
        <v>#REF!</v>
      </c>
      <c r="BY266" s="28" t="e">
        <f>#REF!*2</f>
        <v>#REF!</v>
      </c>
      <c r="BZ266" s="28" t="e">
        <f>#REF!</f>
        <v>#REF!</v>
      </c>
      <c r="CA266" s="28" t="e">
        <f>#REF!*2</f>
        <v>#REF!</v>
      </c>
      <c r="CB266" s="9">
        <f>C266-B266</f>
        <v>0</v>
      </c>
      <c r="CC266" s="9">
        <f>D266-C266</f>
        <v>0</v>
      </c>
      <c r="CD266" s="9">
        <f>E266-D266</f>
        <v>0</v>
      </c>
      <c r="CE266" s="9">
        <f>F266-E266</f>
        <v>0</v>
      </c>
      <c r="CF266" s="9">
        <f>G266-F266</f>
        <v>0</v>
      </c>
      <c r="CG266" s="33"/>
      <c r="CH266" s="3">
        <f>C266-B266</f>
        <v>0</v>
      </c>
      <c r="CI266" s="3">
        <f>D266-C266</f>
        <v>0</v>
      </c>
      <c r="CJ266" s="3">
        <f>E266-D266</f>
        <v>0</v>
      </c>
      <c r="CK266" s="3">
        <f>F266-E266</f>
        <v>0</v>
      </c>
      <c r="CL266" s="3">
        <f>G266-F266</f>
        <v>0</v>
      </c>
      <c r="CM266" s="32"/>
      <c r="CN266" s="3">
        <f>IF(OR(CH266="",ISBLANK(CH266),CH266=0),0,IF(MOD(CH266,2)=1,1,2))</f>
        <v>0</v>
      </c>
      <c r="CO266" s="3">
        <f>IF(OR(CI266="",ISBLANK(CI266),CI266=0),0,IF(MOD(CI266,2)=1,1,2))</f>
        <v>0</v>
      </c>
      <c r="CP266" s="3">
        <f>IF(OR(CJ266="",ISBLANK(CJ266),CJ266=0),0,IF(MOD(CJ266,2)=1,1,2))</f>
        <v>0</v>
      </c>
      <c r="CQ266" s="3">
        <f>IF(OR(CK266="",ISBLANK(CK266),CK266=0),0,IF(MOD(CK266,2)=1,1,2))</f>
        <v>0</v>
      </c>
      <c r="CR266" s="3">
        <f>IF(OR(CL266="",ISBLANK(CL266),CL266=0),0,IF(MOD(CL266,2)=1,1,2))</f>
        <v>0</v>
      </c>
      <c r="CS266" s="31"/>
      <c r="CT266" s="3" cm="1">
        <f t="array" ref="CT266">SUMPRODUCT(--(MOD(CH266:CL266,2)=1))</f>
        <v>0</v>
      </c>
      <c r="CU266" s="3">
        <f>5-CT266</f>
        <v>5</v>
      </c>
      <c r="CV266" s="30"/>
      <c r="CW266" s="3" cm="1">
        <f t="array" ref="CW266">SUMPRODUCT(--(MOD(CH266:CL266,10)&gt;=1), --(MOD(CH266:CL266,10)&lt;=5))</f>
        <v>0</v>
      </c>
      <c r="CX266" s="3">
        <f>5-CW266</f>
        <v>5</v>
      </c>
      <c r="CY266" s="30"/>
      <c r="CZ266" s="3" cm="1">
        <f t="array" ref="CZ266">IFERROR(COUNT(_xlfn._xlws.FILTER(CH266:CL266, ISNUMBER(MATCH(CH266:CL266, {2,3,5,7,11,13,17,19,23,29,31,37,41,43}, 0)))), 0)</f>
        <v>0</v>
      </c>
      <c r="DA266" s="3" cm="1">
        <f t="array" ref="DA266">IFERROR(COUNT(_xlfn._xlws.FILTER(CH266:CL266, ISNUMBER(MATCH(CH266:CL266, {1,4,8,10,14,16,20,22,25,26,28,32,34,35,38,40,44}, 0)))), 0)</f>
        <v>0</v>
      </c>
      <c r="DB266" s="3" cm="1">
        <f t="array" ref="DB266">IFERROR(COUNT(_xlfn._xlws.FILTER(CH266:CL266, ISNUMBER(MATCH(CH266:CL266, {6,9,12,15,18,21,24,27,30,33,36,39,42,45}, 0)))), 0)</f>
        <v>0</v>
      </c>
      <c r="DC266" s="29"/>
      <c r="DD266" s="28" t="e">
        <f>#REF!</f>
        <v>#REF!</v>
      </c>
      <c r="DE266" s="28" t="e">
        <f>#REF!*2</f>
        <v>#REF!</v>
      </c>
      <c r="DF266" s="28" t="e">
        <f>#REF!</f>
        <v>#REF!</v>
      </c>
      <c r="DG266" s="28" t="e">
        <f>#REF!*2</f>
        <v>#REF!</v>
      </c>
      <c r="DH266" s="28" t="e">
        <f>#REF!</f>
        <v>#REF!</v>
      </c>
      <c r="DI266" s="28" t="e">
        <f>#REF!*2</f>
        <v>#REF!</v>
      </c>
      <c r="DJ266" s="28" t="e">
        <f>#REF!</f>
        <v>#REF!</v>
      </c>
      <c r="DK266" s="28" t="e">
        <f>#REF!*2</f>
        <v>#REF!</v>
      </c>
      <c r="DL266" s="28" t="e">
        <f>#REF!</f>
        <v>#REF!</v>
      </c>
      <c r="DM266" s="28" t="e">
        <f>#REF!*2</f>
        <v>#REF!</v>
      </c>
      <c r="DN266" s="27"/>
      <c r="DO266" s="26"/>
      <c r="DP266" s="26"/>
      <c r="DQ266" s="26"/>
      <c r="DR266" s="26"/>
      <c r="DS266" s="26"/>
      <c r="DT266" s="25"/>
    </row>
    <row r="267" spans="2:124" x14ac:dyDescent="0.3">
      <c r="B267" s="3">
        <v>0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2"/>
      <c r="I267" s="3">
        <f>IF(OR(B267="",ISBLANK(B267),B267=0),0,IF(MOD(B267,2)=1,1,2))</f>
        <v>0</v>
      </c>
      <c r="J267" s="3">
        <f>IF(OR(C267="",ISBLANK(C267),C267=0),0,IF(MOD(C267,2)=1,1,2))</f>
        <v>0</v>
      </c>
      <c r="K267" s="3">
        <f>IF(OR(D267="",ISBLANK(D267),D267=0),0,IF(MOD(D267,2)=1,1,2))</f>
        <v>0</v>
      </c>
      <c r="L267" s="3">
        <f>IF(OR(E267="",ISBLANK(E267),E267=0),0,IF(MOD(E267,2)=1,1,2))</f>
        <v>0</v>
      </c>
      <c r="M267" s="3">
        <f>IF(OR(F267="",ISBLANK(F267),F267=0),0,IF(MOD(F267,2)=1,1,2))</f>
        <v>0</v>
      </c>
      <c r="N267" s="3">
        <f>IF(OR(G267="",ISBLANK(G267),G267=0),0,IF(MOD(G267,2)=1,1,2))</f>
        <v>0</v>
      </c>
      <c r="O267" s="32"/>
      <c r="P267" s="3" cm="1">
        <f t="array" ref="P267">SUMPRODUCT(--(MOD(B267:G267,2)=1))</f>
        <v>0</v>
      </c>
      <c r="Q267" s="3">
        <f>6-P267</f>
        <v>6</v>
      </c>
      <c r="R267" s="34"/>
      <c r="S267" s="3">
        <f>COUNTIFS(B267:G267,"&gt;=1",B267:G267,"&lt;=23")</f>
        <v>0</v>
      </c>
      <c r="T267" s="3">
        <f>6-S267</f>
        <v>6</v>
      </c>
      <c r="U267" s="34"/>
      <c r="V267" s="3" cm="1">
        <f t="array" ref="V267">SUMPRODUCT(--(MOD(B267:G267,10)&gt;=1), --(MOD(B267:G267,10)&lt;=5))</f>
        <v>0</v>
      </c>
      <c r="W267" s="3">
        <f>6-V267</f>
        <v>6</v>
      </c>
      <c r="X267" s="34"/>
      <c r="Y267" s="3" cm="1">
        <f t="array" ref="Y267">IFERROR(COUNT(_xlfn._xlws.FILTER(B267:G267, ISNUMBER(MATCH(B267:G267, {2,3,5,7,11,13,17,19,23,29,31,37,41,43}, 0)))), 0)</f>
        <v>0</v>
      </c>
      <c r="Z267" s="3" cm="1">
        <f t="array" ref="Z267">IFERROR(COUNT(_xlfn._xlws.FILTER(B267:G267, ISNUMBER(MATCH(B267:G267, {1,4,8,10,14,16,20,22,25,26,28,32,34,35,38,40,44}, 0)))), 0)</f>
        <v>0</v>
      </c>
      <c r="AA267" s="3" cm="1">
        <f t="array" ref="AA267">IFERROR(COUNT(_xlfn._xlws.FILTER(B267:G267, ISNUMBER(MATCH(B267:G267, {6,9,12,15,18,21,24,27,30,33,36,39,42,45}, 0)))), 0)</f>
        <v>0</v>
      </c>
      <c r="AB267" s="30"/>
      <c r="AC267" s="26" cm="1">
        <f t="array" ref="AC267">_xlfn.IFS(
   OR(B267="",ISBLANK(B267),B267=0),0,
   ISNUMBER(MATCH(B267,{2,3,5,7,11,13,17,19,23,29,31,37,41,43},0)),"소",
   AND(ISNUMBER(B267),MOD(B267,3)=0),"배",
   AND(ISNUMBER(B267),B267&gt;0),"자"
)</f>
        <v>0</v>
      </c>
      <c r="AD267" s="26" cm="1">
        <f t="array" ref="AD267">_xlfn.IFS(
   OR(C267="",ISBLANK(C267),C267=0),0,
   ISNUMBER(MATCH(C267,{2,3,5,7,11,13,17,19,23,29,31,37,41,43},0)),"소",
   AND(ISNUMBER(C267),MOD(C267,3)=0),"배",
   AND(ISNUMBER(C267),C267&gt;0),"자"
)</f>
        <v>0</v>
      </c>
      <c r="AE267" s="26" cm="1">
        <f t="array" ref="AE267">_xlfn.IFS(
   OR(D267="",ISBLANK(D267),D267=0),0,
   ISNUMBER(MATCH(D267,{2,3,5,7,11,13,17,19,23,29,31,37,41,43},0)),"소",
   AND(ISNUMBER(D267),MOD(D267,3)=0),"배",
   AND(ISNUMBER(D267),D267&gt;0),"자"
)</f>
        <v>0</v>
      </c>
      <c r="AF267" s="26" cm="1">
        <f t="array" ref="AF267">_xlfn.IFS(
   OR(E267="",ISBLANK(E267),E267=0),0,
   ISNUMBER(MATCH(E267,{2,3,5,7,11,13,17,19,23,29,31,37,41,43},0)),"소",
   AND(ISNUMBER(E267),MOD(E267,3)=0),"배",
   AND(ISNUMBER(E267),E267&gt;0),"자"
)</f>
        <v>0</v>
      </c>
      <c r="AG267" s="26" cm="1">
        <f t="array" ref="AG267">_xlfn.IFS(
   OR(F267="",ISBLANK(F267),F267=0),0,
   ISNUMBER(MATCH(F267,{2,3,5,7,11,13,17,19,23,29,31,37,41,43},0)),"소",
   AND(ISNUMBER(F267),MOD(F267,3)=0),"배",
   AND(ISNUMBER(F267),F267&gt;0),"자"
)</f>
        <v>0</v>
      </c>
      <c r="AH267" s="26" cm="1">
        <f t="array" ref="AH267">_xlfn.IFS(
   OR(G267="",ISBLANK(G267),G267=0),0,
   ISNUMBER(MATCH(G267,{2,3,5,7,11,13,17,19,23,29,31,37,41,43},0)),"소",
   AND(ISNUMBER(G267),MOD(G267,3)=0),"배",
   AND(ISNUMBER(G267),G267&gt;0),"자"
)</f>
        <v>0</v>
      </c>
      <c r="AI267" s="30"/>
      <c r="AJ267" s="3">
        <f>COUNTIFS(B267:G267,"&gt;=1",B267:G267,"&lt;=14")</f>
        <v>0</v>
      </c>
      <c r="AK267" s="3">
        <f>COUNTIFS(B267:G267,"&gt;=15",B267:G267,"&lt;=31")</f>
        <v>0</v>
      </c>
      <c r="AL267" s="3">
        <f>6-AK267-AJ267</f>
        <v>6</v>
      </c>
      <c r="AM267" s="33"/>
      <c r="AN267" s="3">
        <f>COUNTIFS($B267:$G267, "&gt;=1",$B267:$G267, "&lt;=9")</f>
        <v>0</v>
      </c>
      <c r="AO267" s="3">
        <f>COUNTIFS($B267:$G267, "&gt;=10",$B267:$G267, "&lt;=18")</f>
        <v>0</v>
      </c>
      <c r="AP267" s="3">
        <f>COUNTIFS($B267:$G267, "&gt;=19",$B267:$G267, "&lt;=27")</f>
        <v>0</v>
      </c>
      <c r="AQ267" s="3">
        <f>COUNTIFS($B267:$G267, "&gt;=28",$B267:$G267, "&lt;=36")</f>
        <v>0</v>
      </c>
      <c r="AR267" s="3">
        <f>COUNTIFS($B267:$G267, "&gt;=37",$B267:$G267, "&lt;=45")</f>
        <v>0</v>
      </c>
      <c r="AS267" s="28" t="e">
        <f>#REF!</f>
        <v>#REF!</v>
      </c>
      <c r="AT267" s="28" t="e">
        <f>#REF!*2</f>
        <v>#REF!</v>
      </c>
      <c r="AU267" s="28" t="e">
        <f>#REF!</f>
        <v>#REF!</v>
      </c>
      <c r="AV267" s="28" t="e">
        <f>#REF!*2</f>
        <v>#REF!</v>
      </c>
      <c r="AW267" s="28" t="e">
        <f>#REF!</f>
        <v>#REF!</v>
      </c>
      <c r="AX267" s="28" t="e">
        <f>#REF!*2</f>
        <v>#REF!</v>
      </c>
      <c r="AY267" s="28" t="e">
        <f>#REF!</f>
        <v>#REF!</v>
      </c>
      <c r="AZ267" s="28" t="e">
        <f>#REF!*2</f>
        <v>#REF!</v>
      </c>
      <c r="BA267" s="28" t="e">
        <f>#REF!</f>
        <v>#REF!</v>
      </c>
      <c r="BB267" s="28" t="e">
        <f>#REF!*2</f>
        <v>#REF!</v>
      </c>
      <c r="BC267" s="28" t="e">
        <f>#REF!</f>
        <v>#REF!</v>
      </c>
      <c r="BD267" s="28" t="e">
        <f>#REF!*2</f>
        <v>#REF!</v>
      </c>
      <c r="BE267" s="9" t="e">
        <f>#REF!-#REF!</f>
        <v>#REF!</v>
      </c>
      <c r="BF267" s="9" t="e">
        <f>#REF!-#REF!</f>
        <v>#REF!</v>
      </c>
      <c r="BG267" s="9" t="e">
        <f>#REF!-#REF!</f>
        <v>#REF!</v>
      </c>
      <c r="BH267" s="9" t="e">
        <f>#REF!-#REF!</f>
        <v>#REF!</v>
      </c>
      <c r="BI267" s="9" t="e">
        <f>#REF!-#REF!</f>
        <v>#REF!</v>
      </c>
      <c r="BJ267" s="33"/>
      <c r="BK267" s="3">
        <f>COUNTIFS(B267:G267, "&gt;=1", B267:G267, "&lt;=9")</f>
        <v>0</v>
      </c>
      <c r="BL267" s="3">
        <f>COUNTIFS(B267:G267, "&gt;=10", B267:G267, "&lt;=19")</f>
        <v>0</v>
      </c>
      <c r="BM267" s="3">
        <f>COUNTIFS(B267:G267, "&gt;=20", B267:G267, "&lt;=29")</f>
        <v>0</v>
      </c>
      <c r="BN267" s="3">
        <f>COUNTIFS(B267:G267, "&gt;=30", B267:G267, "&lt;=39")</f>
        <v>0</v>
      </c>
      <c r="BO267" s="3">
        <f>COUNTIFS(B267:G267, "&gt;=40", B267:G267, "&lt;=45")</f>
        <v>0</v>
      </c>
      <c r="BP267" s="28" t="e">
        <f>#REF!</f>
        <v>#REF!</v>
      </c>
      <c r="BQ267" s="28" t="e">
        <f>#REF!*2</f>
        <v>#REF!</v>
      </c>
      <c r="BR267" s="28" t="e">
        <f>#REF!</f>
        <v>#REF!</v>
      </c>
      <c r="BS267" s="28" t="e">
        <f>#REF!*2</f>
        <v>#REF!</v>
      </c>
      <c r="BT267" s="28" t="e">
        <f>#REF!</f>
        <v>#REF!</v>
      </c>
      <c r="BU267" s="28" t="e">
        <f>#REF!*2</f>
        <v>#REF!</v>
      </c>
      <c r="BV267" s="28" t="e">
        <f>#REF!</f>
        <v>#REF!</v>
      </c>
      <c r="BW267" s="28" t="e">
        <f>#REF!*2</f>
        <v>#REF!</v>
      </c>
      <c r="BX267" s="28" t="e">
        <f>#REF!</f>
        <v>#REF!</v>
      </c>
      <c r="BY267" s="28" t="e">
        <f>#REF!*2</f>
        <v>#REF!</v>
      </c>
      <c r="BZ267" s="28" t="e">
        <f>#REF!</f>
        <v>#REF!</v>
      </c>
      <c r="CA267" s="28" t="e">
        <f>#REF!*2</f>
        <v>#REF!</v>
      </c>
      <c r="CB267" s="9">
        <f>C267-B267</f>
        <v>0</v>
      </c>
      <c r="CC267" s="9">
        <f>D267-C267</f>
        <v>0</v>
      </c>
      <c r="CD267" s="9">
        <f>E267-D267</f>
        <v>0</v>
      </c>
      <c r="CE267" s="9">
        <f>F267-E267</f>
        <v>0</v>
      </c>
      <c r="CF267" s="9">
        <f>G267-F267</f>
        <v>0</v>
      </c>
      <c r="CG267" s="33"/>
      <c r="CH267" s="3">
        <f>C267-B267</f>
        <v>0</v>
      </c>
      <c r="CI267" s="3">
        <f>D267-C267</f>
        <v>0</v>
      </c>
      <c r="CJ267" s="3">
        <f>E267-D267</f>
        <v>0</v>
      </c>
      <c r="CK267" s="3">
        <f>F267-E267</f>
        <v>0</v>
      </c>
      <c r="CL267" s="3">
        <f>G267-F267</f>
        <v>0</v>
      </c>
      <c r="CM267" s="32"/>
      <c r="CN267" s="3">
        <f>IF(OR(CH267="",ISBLANK(CH267),CH267=0),0,IF(MOD(CH267,2)=1,1,2))</f>
        <v>0</v>
      </c>
      <c r="CO267" s="3">
        <f>IF(OR(CI267="",ISBLANK(CI267),CI267=0),0,IF(MOD(CI267,2)=1,1,2))</f>
        <v>0</v>
      </c>
      <c r="CP267" s="3">
        <f>IF(OR(CJ267="",ISBLANK(CJ267),CJ267=0),0,IF(MOD(CJ267,2)=1,1,2))</f>
        <v>0</v>
      </c>
      <c r="CQ267" s="3">
        <f>IF(OR(CK267="",ISBLANK(CK267),CK267=0),0,IF(MOD(CK267,2)=1,1,2))</f>
        <v>0</v>
      </c>
      <c r="CR267" s="3">
        <f>IF(OR(CL267="",ISBLANK(CL267),CL267=0),0,IF(MOD(CL267,2)=1,1,2))</f>
        <v>0</v>
      </c>
      <c r="CS267" s="31"/>
      <c r="CT267" s="3" cm="1">
        <f t="array" ref="CT267">SUMPRODUCT(--(MOD(CH267:CL267,2)=1))</f>
        <v>0</v>
      </c>
      <c r="CU267" s="3">
        <f>5-CT267</f>
        <v>5</v>
      </c>
      <c r="CV267" s="30"/>
      <c r="CW267" s="3" cm="1">
        <f t="array" ref="CW267">SUMPRODUCT(--(MOD(CH267:CL267,10)&gt;=1), --(MOD(CH267:CL267,10)&lt;=5))</f>
        <v>0</v>
      </c>
      <c r="CX267" s="3">
        <f>5-CW267</f>
        <v>5</v>
      </c>
      <c r="CY267" s="30"/>
      <c r="CZ267" s="3" cm="1">
        <f t="array" ref="CZ267">IFERROR(COUNT(_xlfn._xlws.FILTER(CH267:CL267, ISNUMBER(MATCH(CH267:CL267, {2,3,5,7,11,13,17,19,23,29,31,37,41,43}, 0)))), 0)</f>
        <v>0</v>
      </c>
      <c r="DA267" s="3" cm="1">
        <f t="array" ref="DA267">IFERROR(COUNT(_xlfn._xlws.FILTER(CH267:CL267, ISNUMBER(MATCH(CH267:CL267, {1,4,8,10,14,16,20,22,25,26,28,32,34,35,38,40,44}, 0)))), 0)</f>
        <v>0</v>
      </c>
      <c r="DB267" s="3" cm="1">
        <f t="array" ref="DB267">IFERROR(COUNT(_xlfn._xlws.FILTER(CH267:CL267, ISNUMBER(MATCH(CH267:CL267, {6,9,12,15,18,21,24,27,30,33,36,39,42,45}, 0)))), 0)</f>
        <v>0</v>
      </c>
      <c r="DC267" s="29"/>
      <c r="DD267" s="28" t="e">
        <f>#REF!</f>
        <v>#REF!</v>
      </c>
      <c r="DE267" s="28" t="e">
        <f>#REF!*2</f>
        <v>#REF!</v>
      </c>
      <c r="DF267" s="28" t="e">
        <f>#REF!</f>
        <v>#REF!</v>
      </c>
      <c r="DG267" s="28" t="e">
        <f>#REF!*2</f>
        <v>#REF!</v>
      </c>
      <c r="DH267" s="28" t="e">
        <f>#REF!</f>
        <v>#REF!</v>
      </c>
      <c r="DI267" s="28" t="e">
        <f>#REF!*2</f>
        <v>#REF!</v>
      </c>
      <c r="DJ267" s="28" t="e">
        <f>#REF!</f>
        <v>#REF!</v>
      </c>
      <c r="DK267" s="28" t="e">
        <f>#REF!*2</f>
        <v>#REF!</v>
      </c>
      <c r="DL267" s="28" t="e">
        <f>#REF!</f>
        <v>#REF!</v>
      </c>
      <c r="DM267" s="28" t="e">
        <f>#REF!*2</f>
        <v>#REF!</v>
      </c>
      <c r="DN267" s="27"/>
      <c r="DO267" s="26"/>
      <c r="DP267" s="26"/>
      <c r="DQ267" s="26"/>
      <c r="DR267" s="26"/>
      <c r="DS267" s="26"/>
      <c r="DT267" s="25"/>
    </row>
    <row r="268" spans="2:124" x14ac:dyDescent="0.3">
      <c r="B268" s="3">
        <v>0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2"/>
      <c r="I268" s="3">
        <f>IF(OR(B268="",ISBLANK(B268),B268=0),0,IF(MOD(B268,2)=1,1,2))</f>
        <v>0</v>
      </c>
      <c r="J268" s="3">
        <f>IF(OR(C268="",ISBLANK(C268),C268=0),0,IF(MOD(C268,2)=1,1,2))</f>
        <v>0</v>
      </c>
      <c r="K268" s="3">
        <f>IF(OR(D268="",ISBLANK(D268),D268=0),0,IF(MOD(D268,2)=1,1,2))</f>
        <v>0</v>
      </c>
      <c r="L268" s="3">
        <f>IF(OR(E268="",ISBLANK(E268),E268=0),0,IF(MOD(E268,2)=1,1,2))</f>
        <v>0</v>
      </c>
      <c r="M268" s="3">
        <f>IF(OR(F268="",ISBLANK(F268),F268=0),0,IF(MOD(F268,2)=1,1,2))</f>
        <v>0</v>
      </c>
      <c r="N268" s="3">
        <f>IF(OR(G268="",ISBLANK(G268),G268=0),0,IF(MOD(G268,2)=1,1,2))</f>
        <v>0</v>
      </c>
      <c r="O268" s="32"/>
      <c r="P268" s="3" cm="1">
        <f t="array" ref="P268">SUMPRODUCT(--(MOD(B268:G268,2)=1))</f>
        <v>0</v>
      </c>
      <c r="Q268" s="3">
        <f>6-P268</f>
        <v>6</v>
      </c>
      <c r="R268" s="34"/>
      <c r="S268" s="3">
        <f>COUNTIFS(B268:G268,"&gt;=1",B268:G268,"&lt;=23")</f>
        <v>0</v>
      </c>
      <c r="T268" s="3">
        <f>6-S268</f>
        <v>6</v>
      </c>
      <c r="U268" s="34"/>
      <c r="V268" s="3" cm="1">
        <f t="array" ref="V268">SUMPRODUCT(--(MOD(B268:G268,10)&gt;=1), --(MOD(B268:G268,10)&lt;=5))</f>
        <v>0</v>
      </c>
      <c r="W268" s="3">
        <f>6-V268</f>
        <v>6</v>
      </c>
      <c r="X268" s="34"/>
      <c r="Y268" s="3" cm="1">
        <f t="array" ref="Y268">IFERROR(COUNT(_xlfn._xlws.FILTER(B268:G268, ISNUMBER(MATCH(B268:G268, {2,3,5,7,11,13,17,19,23,29,31,37,41,43}, 0)))), 0)</f>
        <v>0</v>
      </c>
      <c r="Z268" s="3" cm="1">
        <f t="array" ref="Z268">IFERROR(COUNT(_xlfn._xlws.FILTER(B268:G268, ISNUMBER(MATCH(B268:G268, {1,4,8,10,14,16,20,22,25,26,28,32,34,35,38,40,44}, 0)))), 0)</f>
        <v>0</v>
      </c>
      <c r="AA268" s="3" cm="1">
        <f t="array" ref="AA268">IFERROR(COUNT(_xlfn._xlws.FILTER(B268:G268, ISNUMBER(MATCH(B268:G268, {6,9,12,15,18,21,24,27,30,33,36,39,42,45}, 0)))), 0)</f>
        <v>0</v>
      </c>
      <c r="AB268" s="30"/>
      <c r="AC268" s="26" cm="1">
        <f t="array" ref="AC268">_xlfn.IFS(
   OR(B268="",ISBLANK(B268),B268=0),0,
   ISNUMBER(MATCH(B268,{2,3,5,7,11,13,17,19,23,29,31,37,41,43},0)),"소",
   AND(ISNUMBER(B268),MOD(B268,3)=0),"배",
   AND(ISNUMBER(B268),B268&gt;0),"자"
)</f>
        <v>0</v>
      </c>
      <c r="AD268" s="26" cm="1">
        <f t="array" ref="AD268">_xlfn.IFS(
   OR(C268="",ISBLANK(C268),C268=0),0,
   ISNUMBER(MATCH(C268,{2,3,5,7,11,13,17,19,23,29,31,37,41,43},0)),"소",
   AND(ISNUMBER(C268),MOD(C268,3)=0),"배",
   AND(ISNUMBER(C268),C268&gt;0),"자"
)</f>
        <v>0</v>
      </c>
      <c r="AE268" s="26" cm="1">
        <f t="array" ref="AE268">_xlfn.IFS(
   OR(D268="",ISBLANK(D268),D268=0),0,
   ISNUMBER(MATCH(D268,{2,3,5,7,11,13,17,19,23,29,31,37,41,43},0)),"소",
   AND(ISNUMBER(D268),MOD(D268,3)=0),"배",
   AND(ISNUMBER(D268),D268&gt;0),"자"
)</f>
        <v>0</v>
      </c>
      <c r="AF268" s="26" cm="1">
        <f t="array" ref="AF268">_xlfn.IFS(
   OR(E268="",ISBLANK(E268),E268=0),0,
   ISNUMBER(MATCH(E268,{2,3,5,7,11,13,17,19,23,29,31,37,41,43},0)),"소",
   AND(ISNUMBER(E268),MOD(E268,3)=0),"배",
   AND(ISNUMBER(E268),E268&gt;0),"자"
)</f>
        <v>0</v>
      </c>
      <c r="AG268" s="26" cm="1">
        <f t="array" ref="AG268">_xlfn.IFS(
   OR(F268="",ISBLANK(F268),F268=0),0,
   ISNUMBER(MATCH(F268,{2,3,5,7,11,13,17,19,23,29,31,37,41,43},0)),"소",
   AND(ISNUMBER(F268),MOD(F268,3)=0),"배",
   AND(ISNUMBER(F268),F268&gt;0),"자"
)</f>
        <v>0</v>
      </c>
      <c r="AH268" s="26" cm="1">
        <f t="array" ref="AH268">_xlfn.IFS(
   OR(G268="",ISBLANK(G268),G268=0),0,
   ISNUMBER(MATCH(G268,{2,3,5,7,11,13,17,19,23,29,31,37,41,43},0)),"소",
   AND(ISNUMBER(G268),MOD(G268,3)=0),"배",
   AND(ISNUMBER(G268),G268&gt;0),"자"
)</f>
        <v>0</v>
      </c>
      <c r="AI268" s="30"/>
      <c r="AJ268" s="3">
        <f>COUNTIFS(B268:G268,"&gt;=1",B268:G268,"&lt;=14")</f>
        <v>0</v>
      </c>
      <c r="AK268" s="3">
        <f>COUNTIFS(B268:G268,"&gt;=15",B268:G268,"&lt;=31")</f>
        <v>0</v>
      </c>
      <c r="AL268" s="3">
        <f>6-AK268-AJ268</f>
        <v>6</v>
      </c>
      <c r="AM268" s="33"/>
      <c r="AN268" s="3">
        <f>COUNTIFS($B268:$G268, "&gt;=1",$B268:$G268, "&lt;=9")</f>
        <v>0</v>
      </c>
      <c r="AO268" s="3">
        <f>COUNTIFS($B268:$G268, "&gt;=10",$B268:$G268, "&lt;=18")</f>
        <v>0</v>
      </c>
      <c r="AP268" s="3">
        <f>COUNTIFS($B268:$G268, "&gt;=19",$B268:$G268, "&lt;=27")</f>
        <v>0</v>
      </c>
      <c r="AQ268" s="3">
        <f>COUNTIFS($B268:$G268, "&gt;=28",$B268:$G268, "&lt;=36")</f>
        <v>0</v>
      </c>
      <c r="AR268" s="3">
        <f>COUNTIFS($B268:$G268, "&gt;=37",$B268:$G268, "&lt;=45")</f>
        <v>0</v>
      </c>
      <c r="AS268" s="28" t="e">
        <f>#REF!</f>
        <v>#REF!</v>
      </c>
      <c r="AT268" s="28" t="e">
        <f>#REF!*2</f>
        <v>#REF!</v>
      </c>
      <c r="AU268" s="28" t="e">
        <f>#REF!</f>
        <v>#REF!</v>
      </c>
      <c r="AV268" s="28" t="e">
        <f>#REF!*2</f>
        <v>#REF!</v>
      </c>
      <c r="AW268" s="28" t="e">
        <f>#REF!</f>
        <v>#REF!</v>
      </c>
      <c r="AX268" s="28" t="e">
        <f>#REF!*2</f>
        <v>#REF!</v>
      </c>
      <c r="AY268" s="28" t="e">
        <f>#REF!</f>
        <v>#REF!</v>
      </c>
      <c r="AZ268" s="28" t="e">
        <f>#REF!*2</f>
        <v>#REF!</v>
      </c>
      <c r="BA268" s="28" t="e">
        <f>#REF!</f>
        <v>#REF!</v>
      </c>
      <c r="BB268" s="28" t="e">
        <f>#REF!*2</f>
        <v>#REF!</v>
      </c>
      <c r="BC268" s="28" t="e">
        <f>#REF!</f>
        <v>#REF!</v>
      </c>
      <c r="BD268" s="28" t="e">
        <f>#REF!*2</f>
        <v>#REF!</v>
      </c>
      <c r="BE268" s="9" t="e">
        <f>#REF!-#REF!</f>
        <v>#REF!</v>
      </c>
      <c r="BF268" s="9" t="e">
        <f>#REF!-#REF!</f>
        <v>#REF!</v>
      </c>
      <c r="BG268" s="9" t="e">
        <f>#REF!-#REF!</f>
        <v>#REF!</v>
      </c>
      <c r="BH268" s="9" t="e">
        <f>#REF!-#REF!</f>
        <v>#REF!</v>
      </c>
      <c r="BI268" s="9" t="e">
        <f>#REF!-#REF!</f>
        <v>#REF!</v>
      </c>
      <c r="BJ268" s="33"/>
      <c r="BK268" s="3">
        <f>COUNTIFS(B268:G268, "&gt;=1", B268:G268, "&lt;=9")</f>
        <v>0</v>
      </c>
      <c r="BL268" s="3">
        <f>COUNTIFS(B268:G268, "&gt;=10", B268:G268, "&lt;=19")</f>
        <v>0</v>
      </c>
      <c r="BM268" s="3">
        <f>COUNTIFS(B268:G268, "&gt;=20", B268:G268, "&lt;=29")</f>
        <v>0</v>
      </c>
      <c r="BN268" s="3">
        <f>COUNTIFS(B268:G268, "&gt;=30", B268:G268, "&lt;=39")</f>
        <v>0</v>
      </c>
      <c r="BO268" s="3">
        <f>COUNTIFS(B268:G268, "&gt;=40", B268:G268, "&lt;=45")</f>
        <v>0</v>
      </c>
      <c r="BP268" s="28" t="e">
        <f>#REF!</f>
        <v>#REF!</v>
      </c>
      <c r="BQ268" s="28" t="e">
        <f>#REF!*2</f>
        <v>#REF!</v>
      </c>
      <c r="BR268" s="28" t="e">
        <f>#REF!</f>
        <v>#REF!</v>
      </c>
      <c r="BS268" s="28" t="e">
        <f>#REF!*2</f>
        <v>#REF!</v>
      </c>
      <c r="BT268" s="28" t="e">
        <f>#REF!</f>
        <v>#REF!</v>
      </c>
      <c r="BU268" s="28" t="e">
        <f>#REF!*2</f>
        <v>#REF!</v>
      </c>
      <c r="BV268" s="28" t="e">
        <f>#REF!</f>
        <v>#REF!</v>
      </c>
      <c r="BW268" s="28" t="e">
        <f>#REF!*2</f>
        <v>#REF!</v>
      </c>
      <c r="BX268" s="28" t="e">
        <f>#REF!</f>
        <v>#REF!</v>
      </c>
      <c r="BY268" s="28" t="e">
        <f>#REF!*2</f>
        <v>#REF!</v>
      </c>
      <c r="BZ268" s="28" t="e">
        <f>#REF!</f>
        <v>#REF!</v>
      </c>
      <c r="CA268" s="28" t="e">
        <f>#REF!*2</f>
        <v>#REF!</v>
      </c>
      <c r="CB268" s="9">
        <f>C268-B268</f>
        <v>0</v>
      </c>
      <c r="CC268" s="9">
        <f>D268-C268</f>
        <v>0</v>
      </c>
      <c r="CD268" s="9">
        <f>E268-D268</f>
        <v>0</v>
      </c>
      <c r="CE268" s="9">
        <f>F268-E268</f>
        <v>0</v>
      </c>
      <c r="CF268" s="9">
        <f>G268-F268</f>
        <v>0</v>
      </c>
      <c r="CG268" s="33"/>
      <c r="CH268" s="3">
        <f>C268-B268</f>
        <v>0</v>
      </c>
      <c r="CI268" s="3">
        <f>D268-C268</f>
        <v>0</v>
      </c>
      <c r="CJ268" s="3">
        <f>E268-D268</f>
        <v>0</v>
      </c>
      <c r="CK268" s="3">
        <f>F268-E268</f>
        <v>0</v>
      </c>
      <c r="CL268" s="3">
        <f>G268-F268</f>
        <v>0</v>
      </c>
      <c r="CM268" s="32"/>
      <c r="CN268" s="3">
        <f>IF(OR(CH268="",ISBLANK(CH268),CH268=0),0,IF(MOD(CH268,2)=1,1,2))</f>
        <v>0</v>
      </c>
      <c r="CO268" s="3">
        <f>IF(OR(CI268="",ISBLANK(CI268),CI268=0),0,IF(MOD(CI268,2)=1,1,2))</f>
        <v>0</v>
      </c>
      <c r="CP268" s="3">
        <f>IF(OR(CJ268="",ISBLANK(CJ268),CJ268=0),0,IF(MOD(CJ268,2)=1,1,2))</f>
        <v>0</v>
      </c>
      <c r="CQ268" s="3">
        <f>IF(OR(CK268="",ISBLANK(CK268),CK268=0),0,IF(MOD(CK268,2)=1,1,2))</f>
        <v>0</v>
      </c>
      <c r="CR268" s="3">
        <f>IF(OR(CL268="",ISBLANK(CL268),CL268=0),0,IF(MOD(CL268,2)=1,1,2))</f>
        <v>0</v>
      </c>
      <c r="CS268" s="31"/>
      <c r="CT268" s="3" cm="1">
        <f t="array" ref="CT268">SUMPRODUCT(--(MOD(CH268:CL268,2)=1))</f>
        <v>0</v>
      </c>
      <c r="CU268" s="3">
        <f>5-CT268</f>
        <v>5</v>
      </c>
      <c r="CV268" s="30"/>
      <c r="CW268" s="3" cm="1">
        <f t="array" ref="CW268">SUMPRODUCT(--(MOD(CH268:CL268,10)&gt;=1), --(MOD(CH268:CL268,10)&lt;=5))</f>
        <v>0</v>
      </c>
      <c r="CX268" s="3">
        <f>5-CW268</f>
        <v>5</v>
      </c>
      <c r="CY268" s="30"/>
      <c r="CZ268" s="3" cm="1">
        <f t="array" ref="CZ268">IFERROR(COUNT(_xlfn._xlws.FILTER(CH268:CL268, ISNUMBER(MATCH(CH268:CL268, {2,3,5,7,11,13,17,19,23,29,31,37,41,43}, 0)))), 0)</f>
        <v>0</v>
      </c>
      <c r="DA268" s="3" cm="1">
        <f t="array" ref="DA268">IFERROR(COUNT(_xlfn._xlws.FILTER(CH268:CL268, ISNUMBER(MATCH(CH268:CL268, {1,4,8,10,14,16,20,22,25,26,28,32,34,35,38,40,44}, 0)))), 0)</f>
        <v>0</v>
      </c>
      <c r="DB268" s="3" cm="1">
        <f t="array" ref="DB268">IFERROR(COUNT(_xlfn._xlws.FILTER(CH268:CL268, ISNUMBER(MATCH(CH268:CL268, {6,9,12,15,18,21,24,27,30,33,36,39,42,45}, 0)))), 0)</f>
        <v>0</v>
      </c>
      <c r="DC268" s="29"/>
      <c r="DD268" s="28" t="e">
        <f>#REF!</f>
        <v>#REF!</v>
      </c>
      <c r="DE268" s="28" t="e">
        <f>#REF!*2</f>
        <v>#REF!</v>
      </c>
      <c r="DF268" s="28" t="e">
        <f>#REF!</f>
        <v>#REF!</v>
      </c>
      <c r="DG268" s="28" t="e">
        <f>#REF!*2</f>
        <v>#REF!</v>
      </c>
      <c r="DH268" s="28" t="e">
        <f>#REF!</f>
        <v>#REF!</v>
      </c>
      <c r="DI268" s="28" t="e">
        <f>#REF!*2</f>
        <v>#REF!</v>
      </c>
      <c r="DJ268" s="28" t="e">
        <f>#REF!</f>
        <v>#REF!</v>
      </c>
      <c r="DK268" s="28" t="e">
        <f>#REF!*2</f>
        <v>#REF!</v>
      </c>
      <c r="DL268" s="28" t="e">
        <f>#REF!</f>
        <v>#REF!</v>
      </c>
      <c r="DM268" s="28" t="e">
        <f>#REF!*2</f>
        <v>#REF!</v>
      </c>
      <c r="DN268" s="27"/>
      <c r="DO268" s="26"/>
      <c r="DP268" s="26"/>
      <c r="DQ268" s="26"/>
      <c r="DR268" s="26"/>
      <c r="DS268" s="26"/>
      <c r="DT268" s="25"/>
    </row>
    <row r="269" spans="2:124" x14ac:dyDescent="0.3">
      <c r="B269" s="3">
        <v>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2"/>
      <c r="I269" s="3">
        <f>IF(OR(B269="",ISBLANK(B269),B269=0),0,IF(MOD(B269,2)=1,1,2))</f>
        <v>0</v>
      </c>
      <c r="J269" s="3">
        <f>IF(OR(C269="",ISBLANK(C269),C269=0),0,IF(MOD(C269,2)=1,1,2))</f>
        <v>0</v>
      </c>
      <c r="K269" s="3">
        <f>IF(OR(D269="",ISBLANK(D269),D269=0),0,IF(MOD(D269,2)=1,1,2))</f>
        <v>0</v>
      </c>
      <c r="L269" s="3">
        <f>IF(OR(E269="",ISBLANK(E269),E269=0),0,IF(MOD(E269,2)=1,1,2))</f>
        <v>0</v>
      </c>
      <c r="M269" s="3">
        <f>IF(OR(F269="",ISBLANK(F269),F269=0),0,IF(MOD(F269,2)=1,1,2))</f>
        <v>0</v>
      </c>
      <c r="N269" s="3">
        <f>IF(OR(G269="",ISBLANK(G269),G269=0),0,IF(MOD(G269,2)=1,1,2))</f>
        <v>0</v>
      </c>
      <c r="O269" s="32"/>
      <c r="P269" s="3" cm="1">
        <f t="array" ref="P269">SUMPRODUCT(--(MOD(B269:G269,2)=1))</f>
        <v>0</v>
      </c>
      <c r="Q269" s="3">
        <f>6-P269</f>
        <v>6</v>
      </c>
      <c r="R269" s="34"/>
      <c r="S269" s="3">
        <f>COUNTIFS(B269:G269,"&gt;=1",B269:G269,"&lt;=23")</f>
        <v>0</v>
      </c>
      <c r="T269" s="3">
        <f>6-S269</f>
        <v>6</v>
      </c>
      <c r="U269" s="34"/>
      <c r="V269" s="3" cm="1">
        <f t="array" ref="V269">SUMPRODUCT(--(MOD(B269:G269,10)&gt;=1), --(MOD(B269:G269,10)&lt;=5))</f>
        <v>0</v>
      </c>
      <c r="W269" s="3">
        <f>6-V269</f>
        <v>6</v>
      </c>
      <c r="X269" s="34"/>
      <c r="Y269" s="3" cm="1">
        <f t="array" ref="Y269">IFERROR(COUNT(_xlfn._xlws.FILTER(B269:G269, ISNUMBER(MATCH(B269:G269, {2,3,5,7,11,13,17,19,23,29,31,37,41,43}, 0)))), 0)</f>
        <v>0</v>
      </c>
      <c r="Z269" s="3" cm="1">
        <f t="array" ref="Z269">IFERROR(COUNT(_xlfn._xlws.FILTER(B269:G269, ISNUMBER(MATCH(B269:G269, {1,4,8,10,14,16,20,22,25,26,28,32,34,35,38,40,44}, 0)))), 0)</f>
        <v>0</v>
      </c>
      <c r="AA269" s="3" cm="1">
        <f t="array" ref="AA269">IFERROR(COUNT(_xlfn._xlws.FILTER(B269:G269, ISNUMBER(MATCH(B269:G269, {6,9,12,15,18,21,24,27,30,33,36,39,42,45}, 0)))), 0)</f>
        <v>0</v>
      </c>
      <c r="AB269" s="30"/>
      <c r="AC269" s="26" cm="1">
        <f t="array" ref="AC269">_xlfn.IFS(
   OR(B269="",ISBLANK(B269),B269=0),0,
   ISNUMBER(MATCH(B269,{2,3,5,7,11,13,17,19,23,29,31,37,41,43},0)),"소",
   AND(ISNUMBER(B269),MOD(B269,3)=0),"배",
   AND(ISNUMBER(B269),B269&gt;0),"자"
)</f>
        <v>0</v>
      </c>
      <c r="AD269" s="26" cm="1">
        <f t="array" ref="AD269">_xlfn.IFS(
   OR(C269="",ISBLANK(C269),C269=0),0,
   ISNUMBER(MATCH(C269,{2,3,5,7,11,13,17,19,23,29,31,37,41,43},0)),"소",
   AND(ISNUMBER(C269),MOD(C269,3)=0),"배",
   AND(ISNUMBER(C269),C269&gt;0),"자"
)</f>
        <v>0</v>
      </c>
      <c r="AE269" s="26" cm="1">
        <f t="array" ref="AE269">_xlfn.IFS(
   OR(D269="",ISBLANK(D269),D269=0),0,
   ISNUMBER(MATCH(D269,{2,3,5,7,11,13,17,19,23,29,31,37,41,43},0)),"소",
   AND(ISNUMBER(D269),MOD(D269,3)=0),"배",
   AND(ISNUMBER(D269),D269&gt;0),"자"
)</f>
        <v>0</v>
      </c>
      <c r="AF269" s="26" cm="1">
        <f t="array" ref="AF269">_xlfn.IFS(
   OR(E269="",ISBLANK(E269),E269=0),0,
   ISNUMBER(MATCH(E269,{2,3,5,7,11,13,17,19,23,29,31,37,41,43},0)),"소",
   AND(ISNUMBER(E269),MOD(E269,3)=0),"배",
   AND(ISNUMBER(E269),E269&gt;0),"자"
)</f>
        <v>0</v>
      </c>
      <c r="AG269" s="26" cm="1">
        <f t="array" ref="AG269">_xlfn.IFS(
   OR(F269="",ISBLANK(F269),F269=0),0,
   ISNUMBER(MATCH(F269,{2,3,5,7,11,13,17,19,23,29,31,37,41,43},0)),"소",
   AND(ISNUMBER(F269),MOD(F269,3)=0),"배",
   AND(ISNUMBER(F269),F269&gt;0),"자"
)</f>
        <v>0</v>
      </c>
      <c r="AH269" s="26" cm="1">
        <f t="array" ref="AH269">_xlfn.IFS(
   OR(G269="",ISBLANK(G269),G269=0),0,
   ISNUMBER(MATCH(G269,{2,3,5,7,11,13,17,19,23,29,31,37,41,43},0)),"소",
   AND(ISNUMBER(G269),MOD(G269,3)=0),"배",
   AND(ISNUMBER(G269),G269&gt;0),"자"
)</f>
        <v>0</v>
      </c>
      <c r="AI269" s="30"/>
      <c r="AJ269" s="3">
        <f>COUNTIFS(B269:G269,"&gt;=1",B269:G269,"&lt;=14")</f>
        <v>0</v>
      </c>
      <c r="AK269" s="3">
        <f>COUNTIFS(B269:G269,"&gt;=15",B269:G269,"&lt;=31")</f>
        <v>0</v>
      </c>
      <c r="AL269" s="3">
        <f>6-AK269-AJ269</f>
        <v>6</v>
      </c>
      <c r="AM269" s="33"/>
      <c r="AN269" s="3">
        <f>COUNTIFS($B269:$G269, "&gt;=1",$B269:$G269, "&lt;=9")</f>
        <v>0</v>
      </c>
      <c r="AO269" s="3">
        <f>COUNTIFS($B269:$G269, "&gt;=10",$B269:$G269, "&lt;=18")</f>
        <v>0</v>
      </c>
      <c r="AP269" s="3">
        <f>COUNTIFS($B269:$G269, "&gt;=19",$B269:$G269, "&lt;=27")</f>
        <v>0</v>
      </c>
      <c r="AQ269" s="3">
        <f>COUNTIFS($B269:$G269, "&gt;=28",$B269:$G269, "&lt;=36")</f>
        <v>0</v>
      </c>
      <c r="AR269" s="3">
        <f>COUNTIFS($B269:$G269, "&gt;=37",$B269:$G269, "&lt;=45")</f>
        <v>0</v>
      </c>
      <c r="AS269" s="28" t="e">
        <f>#REF!</f>
        <v>#REF!</v>
      </c>
      <c r="AT269" s="28" t="e">
        <f>#REF!*2</f>
        <v>#REF!</v>
      </c>
      <c r="AU269" s="28" t="e">
        <f>#REF!</f>
        <v>#REF!</v>
      </c>
      <c r="AV269" s="28" t="e">
        <f>#REF!*2</f>
        <v>#REF!</v>
      </c>
      <c r="AW269" s="28" t="e">
        <f>#REF!</f>
        <v>#REF!</v>
      </c>
      <c r="AX269" s="28" t="e">
        <f>#REF!*2</f>
        <v>#REF!</v>
      </c>
      <c r="AY269" s="28" t="e">
        <f>#REF!</f>
        <v>#REF!</v>
      </c>
      <c r="AZ269" s="28" t="e">
        <f>#REF!*2</f>
        <v>#REF!</v>
      </c>
      <c r="BA269" s="28" t="e">
        <f>#REF!</f>
        <v>#REF!</v>
      </c>
      <c r="BB269" s="28" t="e">
        <f>#REF!*2</f>
        <v>#REF!</v>
      </c>
      <c r="BC269" s="28" t="e">
        <f>#REF!</f>
        <v>#REF!</v>
      </c>
      <c r="BD269" s="28" t="e">
        <f>#REF!*2</f>
        <v>#REF!</v>
      </c>
      <c r="BE269" s="9" t="e">
        <f>#REF!-#REF!</f>
        <v>#REF!</v>
      </c>
      <c r="BF269" s="9" t="e">
        <f>#REF!-#REF!</f>
        <v>#REF!</v>
      </c>
      <c r="BG269" s="9" t="e">
        <f>#REF!-#REF!</f>
        <v>#REF!</v>
      </c>
      <c r="BH269" s="9" t="e">
        <f>#REF!-#REF!</f>
        <v>#REF!</v>
      </c>
      <c r="BI269" s="9" t="e">
        <f>#REF!-#REF!</f>
        <v>#REF!</v>
      </c>
      <c r="BJ269" s="33"/>
      <c r="BK269" s="3">
        <f>COUNTIFS(B269:G269, "&gt;=1", B269:G269, "&lt;=9")</f>
        <v>0</v>
      </c>
      <c r="BL269" s="3">
        <f>COUNTIFS(B269:G269, "&gt;=10", B269:G269, "&lt;=19")</f>
        <v>0</v>
      </c>
      <c r="BM269" s="3">
        <f>COUNTIFS(B269:G269, "&gt;=20", B269:G269, "&lt;=29")</f>
        <v>0</v>
      </c>
      <c r="BN269" s="3">
        <f>COUNTIFS(B269:G269, "&gt;=30", B269:G269, "&lt;=39")</f>
        <v>0</v>
      </c>
      <c r="BO269" s="3">
        <f>COUNTIFS(B269:G269, "&gt;=40", B269:G269, "&lt;=45")</f>
        <v>0</v>
      </c>
      <c r="BP269" s="28" t="e">
        <f>#REF!</f>
        <v>#REF!</v>
      </c>
      <c r="BQ269" s="28" t="e">
        <f>#REF!*2</f>
        <v>#REF!</v>
      </c>
      <c r="BR269" s="28" t="e">
        <f>#REF!</f>
        <v>#REF!</v>
      </c>
      <c r="BS269" s="28" t="e">
        <f>#REF!*2</f>
        <v>#REF!</v>
      </c>
      <c r="BT269" s="28" t="e">
        <f>#REF!</f>
        <v>#REF!</v>
      </c>
      <c r="BU269" s="28" t="e">
        <f>#REF!*2</f>
        <v>#REF!</v>
      </c>
      <c r="BV269" s="28" t="e">
        <f>#REF!</f>
        <v>#REF!</v>
      </c>
      <c r="BW269" s="28" t="e">
        <f>#REF!*2</f>
        <v>#REF!</v>
      </c>
      <c r="BX269" s="28" t="e">
        <f>#REF!</f>
        <v>#REF!</v>
      </c>
      <c r="BY269" s="28" t="e">
        <f>#REF!*2</f>
        <v>#REF!</v>
      </c>
      <c r="BZ269" s="28" t="e">
        <f>#REF!</f>
        <v>#REF!</v>
      </c>
      <c r="CA269" s="28" t="e">
        <f>#REF!*2</f>
        <v>#REF!</v>
      </c>
      <c r="CB269" s="9">
        <f>C269-B269</f>
        <v>0</v>
      </c>
      <c r="CC269" s="9">
        <f>D269-C269</f>
        <v>0</v>
      </c>
      <c r="CD269" s="9">
        <f>E269-D269</f>
        <v>0</v>
      </c>
      <c r="CE269" s="9">
        <f>F269-E269</f>
        <v>0</v>
      </c>
      <c r="CF269" s="9">
        <f>G269-F269</f>
        <v>0</v>
      </c>
      <c r="CG269" s="33"/>
      <c r="CH269" s="3">
        <f>C269-B269</f>
        <v>0</v>
      </c>
      <c r="CI269" s="3">
        <f>D269-C269</f>
        <v>0</v>
      </c>
      <c r="CJ269" s="3">
        <f>E269-D269</f>
        <v>0</v>
      </c>
      <c r="CK269" s="3">
        <f>F269-E269</f>
        <v>0</v>
      </c>
      <c r="CL269" s="3">
        <f>G269-F269</f>
        <v>0</v>
      </c>
      <c r="CM269" s="32"/>
      <c r="CN269" s="3">
        <f>IF(OR(CH269="",ISBLANK(CH269),CH269=0),0,IF(MOD(CH269,2)=1,1,2))</f>
        <v>0</v>
      </c>
      <c r="CO269" s="3">
        <f>IF(OR(CI269="",ISBLANK(CI269),CI269=0),0,IF(MOD(CI269,2)=1,1,2))</f>
        <v>0</v>
      </c>
      <c r="CP269" s="3">
        <f>IF(OR(CJ269="",ISBLANK(CJ269),CJ269=0),0,IF(MOD(CJ269,2)=1,1,2))</f>
        <v>0</v>
      </c>
      <c r="CQ269" s="3">
        <f>IF(OR(CK269="",ISBLANK(CK269),CK269=0),0,IF(MOD(CK269,2)=1,1,2))</f>
        <v>0</v>
      </c>
      <c r="CR269" s="3">
        <f>IF(OR(CL269="",ISBLANK(CL269),CL269=0),0,IF(MOD(CL269,2)=1,1,2))</f>
        <v>0</v>
      </c>
      <c r="CS269" s="31"/>
      <c r="CT269" s="3" cm="1">
        <f t="array" ref="CT269">SUMPRODUCT(--(MOD(CH269:CL269,2)=1))</f>
        <v>0</v>
      </c>
      <c r="CU269" s="3">
        <f>5-CT269</f>
        <v>5</v>
      </c>
      <c r="CV269" s="30"/>
      <c r="CW269" s="3" cm="1">
        <f t="array" ref="CW269">SUMPRODUCT(--(MOD(CH269:CL269,10)&gt;=1), --(MOD(CH269:CL269,10)&lt;=5))</f>
        <v>0</v>
      </c>
      <c r="CX269" s="3">
        <f>5-CW269</f>
        <v>5</v>
      </c>
      <c r="CY269" s="30"/>
      <c r="CZ269" s="3" cm="1">
        <f t="array" ref="CZ269">IFERROR(COUNT(_xlfn._xlws.FILTER(CH269:CL269, ISNUMBER(MATCH(CH269:CL269, {2,3,5,7,11,13,17,19,23,29,31,37,41,43}, 0)))), 0)</f>
        <v>0</v>
      </c>
      <c r="DA269" s="3" cm="1">
        <f t="array" ref="DA269">IFERROR(COUNT(_xlfn._xlws.FILTER(CH269:CL269, ISNUMBER(MATCH(CH269:CL269, {1,4,8,10,14,16,20,22,25,26,28,32,34,35,38,40,44}, 0)))), 0)</f>
        <v>0</v>
      </c>
      <c r="DB269" s="3" cm="1">
        <f t="array" ref="DB269">IFERROR(COUNT(_xlfn._xlws.FILTER(CH269:CL269, ISNUMBER(MATCH(CH269:CL269, {6,9,12,15,18,21,24,27,30,33,36,39,42,45}, 0)))), 0)</f>
        <v>0</v>
      </c>
      <c r="DC269" s="29"/>
      <c r="DD269" s="28" t="e">
        <f>#REF!</f>
        <v>#REF!</v>
      </c>
      <c r="DE269" s="28" t="e">
        <f>#REF!*2</f>
        <v>#REF!</v>
      </c>
      <c r="DF269" s="28" t="e">
        <f>#REF!</f>
        <v>#REF!</v>
      </c>
      <c r="DG269" s="28" t="e">
        <f>#REF!*2</f>
        <v>#REF!</v>
      </c>
      <c r="DH269" s="28" t="e">
        <f>#REF!</f>
        <v>#REF!</v>
      </c>
      <c r="DI269" s="28" t="e">
        <f>#REF!*2</f>
        <v>#REF!</v>
      </c>
      <c r="DJ269" s="28" t="e">
        <f>#REF!</f>
        <v>#REF!</v>
      </c>
      <c r="DK269" s="28" t="e">
        <f>#REF!*2</f>
        <v>#REF!</v>
      </c>
      <c r="DL269" s="28" t="e">
        <f>#REF!</f>
        <v>#REF!</v>
      </c>
      <c r="DM269" s="28" t="e">
        <f>#REF!*2</f>
        <v>#REF!</v>
      </c>
      <c r="DN269" s="27"/>
      <c r="DO269" s="26"/>
      <c r="DP269" s="26"/>
      <c r="DQ269" s="26"/>
      <c r="DR269" s="26"/>
      <c r="DS269" s="26"/>
      <c r="DT269" s="25"/>
    </row>
    <row r="270" spans="2:124" x14ac:dyDescent="0.3"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2"/>
      <c r="I270" s="3">
        <f>IF(OR(B270="",ISBLANK(B270),B270=0),0,IF(MOD(B270,2)=1,1,2))</f>
        <v>0</v>
      </c>
      <c r="J270" s="3">
        <f>IF(OR(C270="",ISBLANK(C270),C270=0),0,IF(MOD(C270,2)=1,1,2))</f>
        <v>0</v>
      </c>
      <c r="K270" s="3">
        <f>IF(OR(D270="",ISBLANK(D270),D270=0),0,IF(MOD(D270,2)=1,1,2))</f>
        <v>0</v>
      </c>
      <c r="L270" s="3">
        <f>IF(OR(E270="",ISBLANK(E270),E270=0),0,IF(MOD(E270,2)=1,1,2))</f>
        <v>0</v>
      </c>
      <c r="M270" s="3">
        <f>IF(OR(F270="",ISBLANK(F270),F270=0),0,IF(MOD(F270,2)=1,1,2))</f>
        <v>0</v>
      </c>
      <c r="N270" s="3">
        <f>IF(OR(G270="",ISBLANK(G270),G270=0),0,IF(MOD(G270,2)=1,1,2))</f>
        <v>0</v>
      </c>
      <c r="O270" s="32"/>
      <c r="P270" s="3" cm="1">
        <f t="array" ref="P270">SUMPRODUCT(--(MOD(B270:G270,2)=1))</f>
        <v>0</v>
      </c>
      <c r="Q270" s="3">
        <f>6-P270</f>
        <v>6</v>
      </c>
      <c r="R270" s="34"/>
      <c r="S270" s="3">
        <f>COUNTIFS(B270:G270,"&gt;=1",B270:G270,"&lt;=23")</f>
        <v>0</v>
      </c>
      <c r="T270" s="3">
        <f>6-S270</f>
        <v>6</v>
      </c>
      <c r="U270" s="34"/>
      <c r="V270" s="3" cm="1">
        <f t="array" ref="V270">SUMPRODUCT(--(MOD(B270:G270,10)&gt;=1), --(MOD(B270:G270,10)&lt;=5))</f>
        <v>0</v>
      </c>
      <c r="W270" s="3">
        <f>6-V270</f>
        <v>6</v>
      </c>
      <c r="X270" s="34"/>
      <c r="Y270" s="3" cm="1">
        <f t="array" ref="Y270">IFERROR(COUNT(_xlfn._xlws.FILTER(B270:G270, ISNUMBER(MATCH(B270:G270, {2,3,5,7,11,13,17,19,23,29,31,37,41,43}, 0)))), 0)</f>
        <v>0</v>
      </c>
      <c r="Z270" s="3" cm="1">
        <f t="array" ref="Z270">IFERROR(COUNT(_xlfn._xlws.FILTER(B270:G270, ISNUMBER(MATCH(B270:G270, {1,4,8,10,14,16,20,22,25,26,28,32,34,35,38,40,44}, 0)))), 0)</f>
        <v>0</v>
      </c>
      <c r="AA270" s="3" cm="1">
        <f t="array" ref="AA270">IFERROR(COUNT(_xlfn._xlws.FILTER(B270:G270, ISNUMBER(MATCH(B270:G270, {6,9,12,15,18,21,24,27,30,33,36,39,42,45}, 0)))), 0)</f>
        <v>0</v>
      </c>
      <c r="AB270" s="30"/>
      <c r="AC270" s="26" cm="1">
        <f t="array" ref="AC270">_xlfn.IFS(
   OR(B270="",ISBLANK(B270),B270=0),0,
   ISNUMBER(MATCH(B270,{2,3,5,7,11,13,17,19,23,29,31,37,41,43},0)),"소",
   AND(ISNUMBER(B270),MOD(B270,3)=0),"배",
   AND(ISNUMBER(B270),B270&gt;0),"자"
)</f>
        <v>0</v>
      </c>
      <c r="AD270" s="26" cm="1">
        <f t="array" ref="AD270">_xlfn.IFS(
   OR(C270="",ISBLANK(C270),C270=0),0,
   ISNUMBER(MATCH(C270,{2,3,5,7,11,13,17,19,23,29,31,37,41,43},0)),"소",
   AND(ISNUMBER(C270),MOD(C270,3)=0),"배",
   AND(ISNUMBER(C270),C270&gt;0),"자"
)</f>
        <v>0</v>
      </c>
      <c r="AE270" s="26" cm="1">
        <f t="array" ref="AE270">_xlfn.IFS(
   OR(D270="",ISBLANK(D270),D270=0),0,
   ISNUMBER(MATCH(D270,{2,3,5,7,11,13,17,19,23,29,31,37,41,43},0)),"소",
   AND(ISNUMBER(D270),MOD(D270,3)=0),"배",
   AND(ISNUMBER(D270),D270&gt;0),"자"
)</f>
        <v>0</v>
      </c>
      <c r="AF270" s="26" cm="1">
        <f t="array" ref="AF270">_xlfn.IFS(
   OR(E270="",ISBLANK(E270),E270=0),0,
   ISNUMBER(MATCH(E270,{2,3,5,7,11,13,17,19,23,29,31,37,41,43},0)),"소",
   AND(ISNUMBER(E270),MOD(E270,3)=0),"배",
   AND(ISNUMBER(E270),E270&gt;0),"자"
)</f>
        <v>0</v>
      </c>
      <c r="AG270" s="26" cm="1">
        <f t="array" ref="AG270">_xlfn.IFS(
   OR(F270="",ISBLANK(F270),F270=0),0,
   ISNUMBER(MATCH(F270,{2,3,5,7,11,13,17,19,23,29,31,37,41,43},0)),"소",
   AND(ISNUMBER(F270),MOD(F270,3)=0),"배",
   AND(ISNUMBER(F270),F270&gt;0),"자"
)</f>
        <v>0</v>
      </c>
      <c r="AH270" s="26" cm="1">
        <f t="array" ref="AH270">_xlfn.IFS(
   OR(G270="",ISBLANK(G270),G270=0),0,
   ISNUMBER(MATCH(G270,{2,3,5,7,11,13,17,19,23,29,31,37,41,43},0)),"소",
   AND(ISNUMBER(G270),MOD(G270,3)=0),"배",
   AND(ISNUMBER(G270),G270&gt;0),"자"
)</f>
        <v>0</v>
      </c>
      <c r="AI270" s="30"/>
      <c r="AJ270" s="3">
        <f>COUNTIFS(B270:G270,"&gt;=1",B270:G270,"&lt;=14")</f>
        <v>0</v>
      </c>
      <c r="AK270" s="3">
        <f>COUNTIFS(B270:G270,"&gt;=15",B270:G270,"&lt;=31")</f>
        <v>0</v>
      </c>
      <c r="AL270" s="3">
        <f>6-AK270-AJ270</f>
        <v>6</v>
      </c>
      <c r="AM270" s="33"/>
      <c r="AN270" s="3">
        <f>COUNTIFS($B270:$G270, "&gt;=1",$B270:$G270, "&lt;=9")</f>
        <v>0</v>
      </c>
      <c r="AO270" s="3">
        <f>COUNTIFS($B270:$G270, "&gt;=10",$B270:$G270, "&lt;=18")</f>
        <v>0</v>
      </c>
      <c r="AP270" s="3">
        <f>COUNTIFS($B270:$G270, "&gt;=19",$B270:$G270, "&lt;=27")</f>
        <v>0</v>
      </c>
      <c r="AQ270" s="3">
        <f>COUNTIFS($B270:$G270, "&gt;=28",$B270:$G270, "&lt;=36")</f>
        <v>0</v>
      </c>
      <c r="AR270" s="3">
        <f>COUNTIFS($B270:$G270, "&gt;=37",$B270:$G270, "&lt;=45")</f>
        <v>0</v>
      </c>
      <c r="AS270" s="28" t="e">
        <f>#REF!</f>
        <v>#REF!</v>
      </c>
      <c r="AT270" s="28" t="e">
        <f>#REF!*2</f>
        <v>#REF!</v>
      </c>
      <c r="AU270" s="28" t="e">
        <f>#REF!</f>
        <v>#REF!</v>
      </c>
      <c r="AV270" s="28" t="e">
        <f>#REF!*2</f>
        <v>#REF!</v>
      </c>
      <c r="AW270" s="28" t="e">
        <f>#REF!</f>
        <v>#REF!</v>
      </c>
      <c r="AX270" s="28" t="e">
        <f>#REF!*2</f>
        <v>#REF!</v>
      </c>
      <c r="AY270" s="28" t="e">
        <f>#REF!</f>
        <v>#REF!</v>
      </c>
      <c r="AZ270" s="28" t="e">
        <f>#REF!*2</f>
        <v>#REF!</v>
      </c>
      <c r="BA270" s="28" t="e">
        <f>#REF!</f>
        <v>#REF!</v>
      </c>
      <c r="BB270" s="28" t="e">
        <f>#REF!*2</f>
        <v>#REF!</v>
      </c>
      <c r="BC270" s="28" t="e">
        <f>#REF!</f>
        <v>#REF!</v>
      </c>
      <c r="BD270" s="28" t="e">
        <f>#REF!*2</f>
        <v>#REF!</v>
      </c>
      <c r="BE270" s="9" t="e">
        <f>#REF!-#REF!</f>
        <v>#REF!</v>
      </c>
      <c r="BF270" s="9" t="e">
        <f>#REF!-#REF!</f>
        <v>#REF!</v>
      </c>
      <c r="BG270" s="9" t="e">
        <f>#REF!-#REF!</f>
        <v>#REF!</v>
      </c>
      <c r="BH270" s="9" t="e">
        <f>#REF!-#REF!</f>
        <v>#REF!</v>
      </c>
      <c r="BI270" s="9" t="e">
        <f>#REF!-#REF!</f>
        <v>#REF!</v>
      </c>
      <c r="BJ270" s="33"/>
      <c r="BK270" s="3">
        <f>COUNTIFS(B270:G270, "&gt;=1", B270:G270, "&lt;=9")</f>
        <v>0</v>
      </c>
      <c r="BL270" s="3">
        <f>COUNTIFS(B270:G270, "&gt;=10", B270:G270, "&lt;=19")</f>
        <v>0</v>
      </c>
      <c r="BM270" s="3">
        <f>COUNTIFS(B270:G270, "&gt;=20", B270:G270, "&lt;=29")</f>
        <v>0</v>
      </c>
      <c r="BN270" s="3">
        <f>COUNTIFS(B270:G270, "&gt;=30", B270:G270, "&lt;=39")</f>
        <v>0</v>
      </c>
      <c r="BO270" s="3">
        <f>COUNTIFS(B270:G270, "&gt;=40", B270:G270, "&lt;=45")</f>
        <v>0</v>
      </c>
      <c r="BP270" s="28" t="e">
        <f>#REF!</f>
        <v>#REF!</v>
      </c>
      <c r="BQ270" s="28" t="e">
        <f>#REF!*2</f>
        <v>#REF!</v>
      </c>
      <c r="BR270" s="28" t="e">
        <f>#REF!</f>
        <v>#REF!</v>
      </c>
      <c r="BS270" s="28" t="e">
        <f>#REF!*2</f>
        <v>#REF!</v>
      </c>
      <c r="BT270" s="28" t="e">
        <f>#REF!</f>
        <v>#REF!</v>
      </c>
      <c r="BU270" s="28" t="e">
        <f>#REF!*2</f>
        <v>#REF!</v>
      </c>
      <c r="BV270" s="28" t="e">
        <f>#REF!</f>
        <v>#REF!</v>
      </c>
      <c r="BW270" s="28" t="e">
        <f>#REF!*2</f>
        <v>#REF!</v>
      </c>
      <c r="BX270" s="28" t="e">
        <f>#REF!</f>
        <v>#REF!</v>
      </c>
      <c r="BY270" s="28" t="e">
        <f>#REF!*2</f>
        <v>#REF!</v>
      </c>
      <c r="BZ270" s="28" t="e">
        <f>#REF!</f>
        <v>#REF!</v>
      </c>
      <c r="CA270" s="28" t="e">
        <f>#REF!*2</f>
        <v>#REF!</v>
      </c>
      <c r="CB270" s="9">
        <f>C270-B270</f>
        <v>0</v>
      </c>
      <c r="CC270" s="9">
        <f>D270-C270</f>
        <v>0</v>
      </c>
      <c r="CD270" s="9">
        <f>E270-D270</f>
        <v>0</v>
      </c>
      <c r="CE270" s="9">
        <f>F270-E270</f>
        <v>0</v>
      </c>
      <c r="CF270" s="9">
        <f>G270-F270</f>
        <v>0</v>
      </c>
      <c r="CG270" s="33"/>
      <c r="CH270" s="3">
        <f>C270-B270</f>
        <v>0</v>
      </c>
      <c r="CI270" s="3">
        <f>D270-C270</f>
        <v>0</v>
      </c>
      <c r="CJ270" s="3">
        <f>E270-D270</f>
        <v>0</v>
      </c>
      <c r="CK270" s="3">
        <f>F270-E270</f>
        <v>0</v>
      </c>
      <c r="CL270" s="3">
        <f>G270-F270</f>
        <v>0</v>
      </c>
      <c r="CM270" s="32"/>
      <c r="CN270" s="3">
        <f>IF(OR(CH270="",ISBLANK(CH270),CH270=0),0,IF(MOD(CH270,2)=1,1,2))</f>
        <v>0</v>
      </c>
      <c r="CO270" s="3">
        <f>IF(OR(CI270="",ISBLANK(CI270),CI270=0),0,IF(MOD(CI270,2)=1,1,2))</f>
        <v>0</v>
      </c>
      <c r="CP270" s="3">
        <f>IF(OR(CJ270="",ISBLANK(CJ270),CJ270=0),0,IF(MOD(CJ270,2)=1,1,2))</f>
        <v>0</v>
      </c>
      <c r="CQ270" s="3">
        <f>IF(OR(CK270="",ISBLANK(CK270),CK270=0),0,IF(MOD(CK270,2)=1,1,2))</f>
        <v>0</v>
      </c>
      <c r="CR270" s="3">
        <f>IF(OR(CL270="",ISBLANK(CL270),CL270=0),0,IF(MOD(CL270,2)=1,1,2))</f>
        <v>0</v>
      </c>
      <c r="CS270" s="31"/>
      <c r="CT270" s="3" cm="1">
        <f t="array" ref="CT270">SUMPRODUCT(--(MOD(CH270:CL270,2)=1))</f>
        <v>0</v>
      </c>
      <c r="CU270" s="3">
        <f>5-CT270</f>
        <v>5</v>
      </c>
      <c r="CV270" s="30"/>
      <c r="CW270" s="3" cm="1">
        <f t="array" ref="CW270">SUMPRODUCT(--(MOD(CH270:CL270,10)&gt;=1), --(MOD(CH270:CL270,10)&lt;=5))</f>
        <v>0</v>
      </c>
      <c r="CX270" s="3">
        <f>5-CW270</f>
        <v>5</v>
      </c>
      <c r="CY270" s="30"/>
      <c r="CZ270" s="3" cm="1">
        <f t="array" ref="CZ270">IFERROR(COUNT(_xlfn._xlws.FILTER(CH270:CL270, ISNUMBER(MATCH(CH270:CL270, {2,3,5,7,11,13,17,19,23,29,31,37,41,43}, 0)))), 0)</f>
        <v>0</v>
      </c>
      <c r="DA270" s="3" cm="1">
        <f t="array" ref="DA270">IFERROR(COUNT(_xlfn._xlws.FILTER(CH270:CL270, ISNUMBER(MATCH(CH270:CL270, {1,4,8,10,14,16,20,22,25,26,28,32,34,35,38,40,44}, 0)))), 0)</f>
        <v>0</v>
      </c>
      <c r="DB270" s="3" cm="1">
        <f t="array" ref="DB270">IFERROR(COUNT(_xlfn._xlws.FILTER(CH270:CL270, ISNUMBER(MATCH(CH270:CL270, {6,9,12,15,18,21,24,27,30,33,36,39,42,45}, 0)))), 0)</f>
        <v>0</v>
      </c>
      <c r="DC270" s="29"/>
      <c r="DD270" s="28" t="e">
        <f>#REF!</f>
        <v>#REF!</v>
      </c>
      <c r="DE270" s="28" t="e">
        <f>#REF!*2</f>
        <v>#REF!</v>
      </c>
      <c r="DF270" s="28" t="e">
        <f>#REF!</f>
        <v>#REF!</v>
      </c>
      <c r="DG270" s="28" t="e">
        <f>#REF!*2</f>
        <v>#REF!</v>
      </c>
      <c r="DH270" s="28" t="e">
        <f>#REF!</f>
        <v>#REF!</v>
      </c>
      <c r="DI270" s="28" t="e">
        <f>#REF!*2</f>
        <v>#REF!</v>
      </c>
      <c r="DJ270" s="28" t="e">
        <f>#REF!</f>
        <v>#REF!</v>
      </c>
      <c r="DK270" s="28" t="e">
        <f>#REF!*2</f>
        <v>#REF!</v>
      </c>
      <c r="DL270" s="28" t="e">
        <f>#REF!</f>
        <v>#REF!</v>
      </c>
      <c r="DM270" s="28" t="e">
        <f>#REF!*2</f>
        <v>#REF!</v>
      </c>
      <c r="DN270" s="27"/>
      <c r="DO270" s="26"/>
      <c r="DP270" s="26"/>
      <c r="DQ270" s="26"/>
      <c r="DR270" s="26"/>
      <c r="DS270" s="26"/>
      <c r="DT270" s="25"/>
    </row>
    <row r="271" spans="2:124" x14ac:dyDescent="0.3">
      <c r="B271" s="3">
        <v>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2"/>
      <c r="I271" s="3">
        <f>IF(OR(B271="",ISBLANK(B271),B271=0),0,IF(MOD(B271,2)=1,1,2))</f>
        <v>0</v>
      </c>
      <c r="J271" s="3">
        <f>IF(OR(C271="",ISBLANK(C271),C271=0),0,IF(MOD(C271,2)=1,1,2))</f>
        <v>0</v>
      </c>
      <c r="K271" s="3">
        <f>IF(OR(D271="",ISBLANK(D271),D271=0),0,IF(MOD(D271,2)=1,1,2))</f>
        <v>0</v>
      </c>
      <c r="L271" s="3">
        <f>IF(OR(E271="",ISBLANK(E271),E271=0),0,IF(MOD(E271,2)=1,1,2))</f>
        <v>0</v>
      </c>
      <c r="M271" s="3">
        <f>IF(OR(F271="",ISBLANK(F271),F271=0),0,IF(MOD(F271,2)=1,1,2))</f>
        <v>0</v>
      </c>
      <c r="N271" s="3">
        <f>IF(OR(G271="",ISBLANK(G271),G271=0),0,IF(MOD(G271,2)=1,1,2))</f>
        <v>0</v>
      </c>
      <c r="O271" s="32"/>
      <c r="P271" s="3" cm="1">
        <f t="array" ref="P271">SUMPRODUCT(--(MOD(B271:G271,2)=1))</f>
        <v>0</v>
      </c>
      <c r="Q271" s="3">
        <f>6-P271</f>
        <v>6</v>
      </c>
      <c r="R271" s="34"/>
      <c r="S271" s="3">
        <f>COUNTIFS(B271:G271,"&gt;=1",B271:G271,"&lt;=23")</f>
        <v>0</v>
      </c>
      <c r="T271" s="3">
        <f>6-S271</f>
        <v>6</v>
      </c>
      <c r="U271" s="34"/>
      <c r="V271" s="3" cm="1">
        <f t="array" ref="V271">SUMPRODUCT(--(MOD(B271:G271,10)&gt;=1), --(MOD(B271:G271,10)&lt;=5))</f>
        <v>0</v>
      </c>
      <c r="W271" s="3">
        <f>6-V271</f>
        <v>6</v>
      </c>
      <c r="X271" s="34"/>
      <c r="Y271" s="3" cm="1">
        <f t="array" ref="Y271">IFERROR(COUNT(_xlfn._xlws.FILTER(B271:G271, ISNUMBER(MATCH(B271:G271, {2,3,5,7,11,13,17,19,23,29,31,37,41,43}, 0)))), 0)</f>
        <v>0</v>
      </c>
      <c r="Z271" s="3" cm="1">
        <f t="array" ref="Z271">IFERROR(COUNT(_xlfn._xlws.FILTER(B271:G271, ISNUMBER(MATCH(B271:G271, {1,4,8,10,14,16,20,22,25,26,28,32,34,35,38,40,44}, 0)))), 0)</f>
        <v>0</v>
      </c>
      <c r="AA271" s="3" cm="1">
        <f t="array" ref="AA271">IFERROR(COUNT(_xlfn._xlws.FILTER(B271:G271, ISNUMBER(MATCH(B271:G271, {6,9,12,15,18,21,24,27,30,33,36,39,42,45}, 0)))), 0)</f>
        <v>0</v>
      </c>
      <c r="AB271" s="30"/>
      <c r="AC271" s="26" cm="1">
        <f t="array" ref="AC271">_xlfn.IFS(
   OR(B271="",ISBLANK(B271),B271=0),0,
   ISNUMBER(MATCH(B271,{2,3,5,7,11,13,17,19,23,29,31,37,41,43},0)),"소",
   AND(ISNUMBER(B271),MOD(B271,3)=0),"배",
   AND(ISNUMBER(B271),B271&gt;0),"자"
)</f>
        <v>0</v>
      </c>
      <c r="AD271" s="26" cm="1">
        <f t="array" ref="AD271">_xlfn.IFS(
   OR(C271="",ISBLANK(C271),C271=0),0,
   ISNUMBER(MATCH(C271,{2,3,5,7,11,13,17,19,23,29,31,37,41,43},0)),"소",
   AND(ISNUMBER(C271),MOD(C271,3)=0),"배",
   AND(ISNUMBER(C271),C271&gt;0),"자"
)</f>
        <v>0</v>
      </c>
      <c r="AE271" s="26" cm="1">
        <f t="array" ref="AE271">_xlfn.IFS(
   OR(D271="",ISBLANK(D271),D271=0),0,
   ISNUMBER(MATCH(D271,{2,3,5,7,11,13,17,19,23,29,31,37,41,43},0)),"소",
   AND(ISNUMBER(D271),MOD(D271,3)=0),"배",
   AND(ISNUMBER(D271),D271&gt;0),"자"
)</f>
        <v>0</v>
      </c>
      <c r="AF271" s="26" cm="1">
        <f t="array" ref="AF271">_xlfn.IFS(
   OR(E271="",ISBLANK(E271),E271=0),0,
   ISNUMBER(MATCH(E271,{2,3,5,7,11,13,17,19,23,29,31,37,41,43},0)),"소",
   AND(ISNUMBER(E271),MOD(E271,3)=0),"배",
   AND(ISNUMBER(E271),E271&gt;0),"자"
)</f>
        <v>0</v>
      </c>
      <c r="AG271" s="26" cm="1">
        <f t="array" ref="AG271">_xlfn.IFS(
   OR(F271="",ISBLANK(F271),F271=0),0,
   ISNUMBER(MATCH(F271,{2,3,5,7,11,13,17,19,23,29,31,37,41,43},0)),"소",
   AND(ISNUMBER(F271),MOD(F271,3)=0),"배",
   AND(ISNUMBER(F271),F271&gt;0),"자"
)</f>
        <v>0</v>
      </c>
      <c r="AH271" s="26" cm="1">
        <f t="array" ref="AH271">_xlfn.IFS(
   OR(G271="",ISBLANK(G271),G271=0),0,
   ISNUMBER(MATCH(G271,{2,3,5,7,11,13,17,19,23,29,31,37,41,43},0)),"소",
   AND(ISNUMBER(G271),MOD(G271,3)=0),"배",
   AND(ISNUMBER(G271),G271&gt;0),"자"
)</f>
        <v>0</v>
      </c>
      <c r="AI271" s="30"/>
      <c r="AJ271" s="3">
        <f>COUNTIFS(B271:G271,"&gt;=1",B271:G271,"&lt;=14")</f>
        <v>0</v>
      </c>
      <c r="AK271" s="3">
        <f>COUNTIFS(B271:G271,"&gt;=15",B271:G271,"&lt;=31")</f>
        <v>0</v>
      </c>
      <c r="AL271" s="3">
        <f>6-AK271-AJ271</f>
        <v>6</v>
      </c>
      <c r="AM271" s="33"/>
      <c r="AN271" s="3">
        <f>COUNTIFS($B271:$G271, "&gt;=1",$B271:$G271, "&lt;=9")</f>
        <v>0</v>
      </c>
      <c r="AO271" s="3">
        <f>COUNTIFS($B271:$G271, "&gt;=10",$B271:$G271, "&lt;=18")</f>
        <v>0</v>
      </c>
      <c r="AP271" s="3">
        <f>COUNTIFS($B271:$G271, "&gt;=19",$B271:$G271, "&lt;=27")</f>
        <v>0</v>
      </c>
      <c r="AQ271" s="3">
        <f>COUNTIFS($B271:$G271, "&gt;=28",$B271:$G271, "&lt;=36")</f>
        <v>0</v>
      </c>
      <c r="AR271" s="3">
        <f>COUNTIFS($B271:$G271, "&gt;=37",$B271:$G271, "&lt;=45")</f>
        <v>0</v>
      </c>
      <c r="AS271" s="28" t="e">
        <f>#REF!</f>
        <v>#REF!</v>
      </c>
      <c r="AT271" s="28" t="e">
        <f>#REF!*2</f>
        <v>#REF!</v>
      </c>
      <c r="AU271" s="28" t="e">
        <f>#REF!</f>
        <v>#REF!</v>
      </c>
      <c r="AV271" s="28" t="e">
        <f>#REF!*2</f>
        <v>#REF!</v>
      </c>
      <c r="AW271" s="28" t="e">
        <f>#REF!</f>
        <v>#REF!</v>
      </c>
      <c r="AX271" s="28" t="e">
        <f>#REF!*2</f>
        <v>#REF!</v>
      </c>
      <c r="AY271" s="28" t="e">
        <f>#REF!</f>
        <v>#REF!</v>
      </c>
      <c r="AZ271" s="28" t="e">
        <f>#REF!*2</f>
        <v>#REF!</v>
      </c>
      <c r="BA271" s="28" t="e">
        <f>#REF!</f>
        <v>#REF!</v>
      </c>
      <c r="BB271" s="28" t="e">
        <f>#REF!*2</f>
        <v>#REF!</v>
      </c>
      <c r="BC271" s="28" t="e">
        <f>#REF!</f>
        <v>#REF!</v>
      </c>
      <c r="BD271" s="28" t="e">
        <f>#REF!*2</f>
        <v>#REF!</v>
      </c>
      <c r="BE271" s="9" t="e">
        <f>#REF!-#REF!</f>
        <v>#REF!</v>
      </c>
      <c r="BF271" s="9" t="e">
        <f>#REF!-#REF!</f>
        <v>#REF!</v>
      </c>
      <c r="BG271" s="9" t="e">
        <f>#REF!-#REF!</f>
        <v>#REF!</v>
      </c>
      <c r="BH271" s="9" t="e">
        <f>#REF!-#REF!</f>
        <v>#REF!</v>
      </c>
      <c r="BI271" s="9" t="e">
        <f>#REF!-#REF!</f>
        <v>#REF!</v>
      </c>
      <c r="BJ271" s="33"/>
      <c r="BK271" s="3">
        <f>COUNTIFS(B271:G271, "&gt;=1", B271:G271, "&lt;=9")</f>
        <v>0</v>
      </c>
      <c r="BL271" s="3">
        <f>COUNTIFS(B271:G271, "&gt;=10", B271:G271, "&lt;=19")</f>
        <v>0</v>
      </c>
      <c r="BM271" s="3">
        <f>COUNTIFS(B271:G271, "&gt;=20", B271:G271, "&lt;=29")</f>
        <v>0</v>
      </c>
      <c r="BN271" s="3">
        <f>COUNTIFS(B271:G271, "&gt;=30", B271:G271, "&lt;=39")</f>
        <v>0</v>
      </c>
      <c r="BO271" s="3">
        <f>COUNTIFS(B271:G271, "&gt;=40", B271:G271, "&lt;=45")</f>
        <v>0</v>
      </c>
      <c r="BP271" s="28" t="e">
        <f>#REF!</f>
        <v>#REF!</v>
      </c>
      <c r="BQ271" s="28" t="e">
        <f>#REF!*2</f>
        <v>#REF!</v>
      </c>
      <c r="BR271" s="28" t="e">
        <f>#REF!</f>
        <v>#REF!</v>
      </c>
      <c r="BS271" s="28" t="e">
        <f>#REF!*2</f>
        <v>#REF!</v>
      </c>
      <c r="BT271" s="28" t="e">
        <f>#REF!</f>
        <v>#REF!</v>
      </c>
      <c r="BU271" s="28" t="e">
        <f>#REF!*2</f>
        <v>#REF!</v>
      </c>
      <c r="BV271" s="28" t="e">
        <f>#REF!</f>
        <v>#REF!</v>
      </c>
      <c r="BW271" s="28" t="e">
        <f>#REF!*2</f>
        <v>#REF!</v>
      </c>
      <c r="BX271" s="28" t="e">
        <f>#REF!</f>
        <v>#REF!</v>
      </c>
      <c r="BY271" s="28" t="e">
        <f>#REF!*2</f>
        <v>#REF!</v>
      </c>
      <c r="BZ271" s="28" t="e">
        <f>#REF!</f>
        <v>#REF!</v>
      </c>
      <c r="CA271" s="28" t="e">
        <f>#REF!*2</f>
        <v>#REF!</v>
      </c>
      <c r="CB271" s="9">
        <f>C271-B271</f>
        <v>0</v>
      </c>
      <c r="CC271" s="9">
        <f>D271-C271</f>
        <v>0</v>
      </c>
      <c r="CD271" s="9">
        <f>E271-D271</f>
        <v>0</v>
      </c>
      <c r="CE271" s="9">
        <f>F271-E271</f>
        <v>0</v>
      </c>
      <c r="CF271" s="9">
        <f>G271-F271</f>
        <v>0</v>
      </c>
      <c r="CG271" s="33"/>
      <c r="CH271" s="3">
        <f>C271-B271</f>
        <v>0</v>
      </c>
      <c r="CI271" s="3">
        <f>D271-C271</f>
        <v>0</v>
      </c>
      <c r="CJ271" s="3">
        <f>E271-D271</f>
        <v>0</v>
      </c>
      <c r="CK271" s="3">
        <f>F271-E271</f>
        <v>0</v>
      </c>
      <c r="CL271" s="3">
        <f>G271-F271</f>
        <v>0</v>
      </c>
      <c r="CM271" s="32"/>
      <c r="CN271" s="3">
        <f>IF(OR(CH271="",ISBLANK(CH271),CH271=0),0,IF(MOD(CH271,2)=1,1,2))</f>
        <v>0</v>
      </c>
      <c r="CO271" s="3">
        <f>IF(OR(CI271="",ISBLANK(CI271),CI271=0),0,IF(MOD(CI271,2)=1,1,2))</f>
        <v>0</v>
      </c>
      <c r="CP271" s="3">
        <f>IF(OR(CJ271="",ISBLANK(CJ271),CJ271=0),0,IF(MOD(CJ271,2)=1,1,2))</f>
        <v>0</v>
      </c>
      <c r="CQ271" s="3">
        <f>IF(OR(CK271="",ISBLANK(CK271),CK271=0),0,IF(MOD(CK271,2)=1,1,2))</f>
        <v>0</v>
      </c>
      <c r="CR271" s="3">
        <f>IF(OR(CL271="",ISBLANK(CL271),CL271=0),0,IF(MOD(CL271,2)=1,1,2))</f>
        <v>0</v>
      </c>
      <c r="CS271" s="31"/>
      <c r="CT271" s="3" cm="1">
        <f t="array" ref="CT271">SUMPRODUCT(--(MOD(CH271:CL271,2)=1))</f>
        <v>0</v>
      </c>
      <c r="CU271" s="3">
        <f>5-CT271</f>
        <v>5</v>
      </c>
      <c r="CV271" s="30"/>
      <c r="CW271" s="3" cm="1">
        <f t="array" ref="CW271">SUMPRODUCT(--(MOD(CH271:CL271,10)&gt;=1), --(MOD(CH271:CL271,10)&lt;=5))</f>
        <v>0</v>
      </c>
      <c r="CX271" s="3">
        <f>5-CW271</f>
        <v>5</v>
      </c>
      <c r="CY271" s="30"/>
      <c r="CZ271" s="3" cm="1">
        <f t="array" ref="CZ271">IFERROR(COUNT(_xlfn._xlws.FILTER(CH271:CL271, ISNUMBER(MATCH(CH271:CL271, {2,3,5,7,11,13,17,19,23,29,31,37,41,43}, 0)))), 0)</f>
        <v>0</v>
      </c>
      <c r="DA271" s="3" cm="1">
        <f t="array" ref="DA271">IFERROR(COUNT(_xlfn._xlws.FILTER(CH271:CL271, ISNUMBER(MATCH(CH271:CL271, {1,4,8,10,14,16,20,22,25,26,28,32,34,35,38,40,44}, 0)))), 0)</f>
        <v>0</v>
      </c>
      <c r="DB271" s="3" cm="1">
        <f t="array" ref="DB271">IFERROR(COUNT(_xlfn._xlws.FILTER(CH271:CL271, ISNUMBER(MATCH(CH271:CL271, {6,9,12,15,18,21,24,27,30,33,36,39,42,45}, 0)))), 0)</f>
        <v>0</v>
      </c>
      <c r="DC271" s="29"/>
      <c r="DD271" s="28" t="e">
        <f>#REF!</f>
        <v>#REF!</v>
      </c>
      <c r="DE271" s="28" t="e">
        <f>#REF!*2</f>
        <v>#REF!</v>
      </c>
      <c r="DF271" s="28" t="e">
        <f>#REF!</f>
        <v>#REF!</v>
      </c>
      <c r="DG271" s="28" t="e">
        <f>#REF!*2</f>
        <v>#REF!</v>
      </c>
      <c r="DH271" s="28" t="e">
        <f>#REF!</f>
        <v>#REF!</v>
      </c>
      <c r="DI271" s="28" t="e">
        <f>#REF!*2</f>
        <v>#REF!</v>
      </c>
      <c r="DJ271" s="28" t="e">
        <f>#REF!</f>
        <v>#REF!</v>
      </c>
      <c r="DK271" s="28" t="e">
        <f>#REF!*2</f>
        <v>#REF!</v>
      </c>
      <c r="DL271" s="28" t="e">
        <f>#REF!</f>
        <v>#REF!</v>
      </c>
      <c r="DM271" s="28" t="e">
        <f>#REF!*2</f>
        <v>#REF!</v>
      </c>
      <c r="DN271" s="27"/>
      <c r="DO271" s="26"/>
      <c r="DP271" s="26"/>
      <c r="DQ271" s="26"/>
      <c r="DR271" s="26"/>
      <c r="DS271" s="26"/>
      <c r="DT271" s="25"/>
    </row>
    <row r="272" spans="2:124" x14ac:dyDescent="0.3">
      <c r="B272" s="3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2"/>
      <c r="I272" s="3">
        <f>IF(OR(B272="",ISBLANK(B272),B272=0),0,IF(MOD(B272,2)=1,1,2))</f>
        <v>0</v>
      </c>
      <c r="J272" s="3">
        <f>IF(OR(C272="",ISBLANK(C272),C272=0),0,IF(MOD(C272,2)=1,1,2))</f>
        <v>0</v>
      </c>
      <c r="K272" s="3">
        <f>IF(OR(D272="",ISBLANK(D272),D272=0),0,IF(MOD(D272,2)=1,1,2))</f>
        <v>0</v>
      </c>
      <c r="L272" s="3">
        <f>IF(OR(E272="",ISBLANK(E272),E272=0),0,IF(MOD(E272,2)=1,1,2))</f>
        <v>0</v>
      </c>
      <c r="M272" s="3">
        <f>IF(OR(F272="",ISBLANK(F272),F272=0),0,IF(MOD(F272,2)=1,1,2))</f>
        <v>0</v>
      </c>
      <c r="N272" s="3">
        <f>IF(OR(G272="",ISBLANK(G272),G272=0),0,IF(MOD(G272,2)=1,1,2))</f>
        <v>0</v>
      </c>
      <c r="O272" s="32"/>
      <c r="P272" s="3" cm="1">
        <f t="array" ref="P272">SUMPRODUCT(--(MOD(B272:G272,2)=1))</f>
        <v>0</v>
      </c>
      <c r="Q272" s="3">
        <f>6-P272</f>
        <v>6</v>
      </c>
      <c r="R272" s="34"/>
      <c r="S272" s="3">
        <f>COUNTIFS(B272:G272,"&gt;=1",B272:G272,"&lt;=23")</f>
        <v>0</v>
      </c>
      <c r="T272" s="3">
        <f>6-S272</f>
        <v>6</v>
      </c>
      <c r="U272" s="34"/>
      <c r="V272" s="3" cm="1">
        <f t="array" ref="V272">SUMPRODUCT(--(MOD(B272:G272,10)&gt;=1), --(MOD(B272:G272,10)&lt;=5))</f>
        <v>0</v>
      </c>
      <c r="W272" s="3">
        <f>6-V272</f>
        <v>6</v>
      </c>
      <c r="X272" s="34"/>
      <c r="Y272" s="3" cm="1">
        <f t="array" ref="Y272">IFERROR(COUNT(_xlfn._xlws.FILTER(B272:G272, ISNUMBER(MATCH(B272:G272, {2,3,5,7,11,13,17,19,23,29,31,37,41,43}, 0)))), 0)</f>
        <v>0</v>
      </c>
      <c r="Z272" s="3" cm="1">
        <f t="array" ref="Z272">IFERROR(COUNT(_xlfn._xlws.FILTER(B272:G272, ISNUMBER(MATCH(B272:G272, {1,4,8,10,14,16,20,22,25,26,28,32,34,35,38,40,44}, 0)))), 0)</f>
        <v>0</v>
      </c>
      <c r="AA272" s="3" cm="1">
        <f t="array" ref="AA272">IFERROR(COUNT(_xlfn._xlws.FILTER(B272:G272, ISNUMBER(MATCH(B272:G272, {6,9,12,15,18,21,24,27,30,33,36,39,42,45}, 0)))), 0)</f>
        <v>0</v>
      </c>
      <c r="AB272" s="30"/>
      <c r="AC272" s="26" cm="1">
        <f t="array" ref="AC272">_xlfn.IFS(
   OR(B272="",ISBLANK(B272),B272=0),0,
   ISNUMBER(MATCH(B272,{2,3,5,7,11,13,17,19,23,29,31,37,41,43},0)),"소",
   AND(ISNUMBER(B272),MOD(B272,3)=0),"배",
   AND(ISNUMBER(B272),B272&gt;0),"자"
)</f>
        <v>0</v>
      </c>
      <c r="AD272" s="26" cm="1">
        <f t="array" ref="AD272">_xlfn.IFS(
   OR(C272="",ISBLANK(C272),C272=0),0,
   ISNUMBER(MATCH(C272,{2,3,5,7,11,13,17,19,23,29,31,37,41,43},0)),"소",
   AND(ISNUMBER(C272),MOD(C272,3)=0),"배",
   AND(ISNUMBER(C272),C272&gt;0),"자"
)</f>
        <v>0</v>
      </c>
      <c r="AE272" s="26" cm="1">
        <f t="array" ref="AE272">_xlfn.IFS(
   OR(D272="",ISBLANK(D272),D272=0),0,
   ISNUMBER(MATCH(D272,{2,3,5,7,11,13,17,19,23,29,31,37,41,43},0)),"소",
   AND(ISNUMBER(D272),MOD(D272,3)=0),"배",
   AND(ISNUMBER(D272),D272&gt;0),"자"
)</f>
        <v>0</v>
      </c>
      <c r="AF272" s="26" cm="1">
        <f t="array" ref="AF272">_xlfn.IFS(
   OR(E272="",ISBLANK(E272),E272=0),0,
   ISNUMBER(MATCH(E272,{2,3,5,7,11,13,17,19,23,29,31,37,41,43},0)),"소",
   AND(ISNUMBER(E272),MOD(E272,3)=0),"배",
   AND(ISNUMBER(E272),E272&gt;0),"자"
)</f>
        <v>0</v>
      </c>
      <c r="AG272" s="26" cm="1">
        <f t="array" ref="AG272">_xlfn.IFS(
   OR(F272="",ISBLANK(F272),F272=0),0,
   ISNUMBER(MATCH(F272,{2,3,5,7,11,13,17,19,23,29,31,37,41,43},0)),"소",
   AND(ISNUMBER(F272),MOD(F272,3)=0),"배",
   AND(ISNUMBER(F272),F272&gt;0),"자"
)</f>
        <v>0</v>
      </c>
      <c r="AH272" s="26" cm="1">
        <f t="array" ref="AH272">_xlfn.IFS(
   OR(G272="",ISBLANK(G272),G272=0),0,
   ISNUMBER(MATCH(G272,{2,3,5,7,11,13,17,19,23,29,31,37,41,43},0)),"소",
   AND(ISNUMBER(G272),MOD(G272,3)=0),"배",
   AND(ISNUMBER(G272),G272&gt;0),"자"
)</f>
        <v>0</v>
      </c>
      <c r="AI272" s="30"/>
      <c r="AJ272" s="3">
        <f>COUNTIFS(B272:G272,"&gt;=1",B272:G272,"&lt;=14")</f>
        <v>0</v>
      </c>
      <c r="AK272" s="3">
        <f>COUNTIFS(B272:G272,"&gt;=15",B272:G272,"&lt;=31")</f>
        <v>0</v>
      </c>
      <c r="AL272" s="3">
        <f>6-AK272-AJ272</f>
        <v>6</v>
      </c>
      <c r="AM272" s="33"/>
      <c r="AN272" s="3">
        <f>COUNTIFS($B272:$G272, "&gt;=1",$B272:$G272, "&lt;=9")</f>
        <v>0</v>
      </c>
      <c r="AO272" s="3">
        <f>COUNTIFS($B272:$G272, "&gt;=10",$B272:$G272, "&lt;=18")</f>
        <v>0</v>
      </c>
      <c r="AP272" s="3">
        <f>COUNTIFS($B272:$G272, "&gt;=19",$B272:$G272, "&lt;=27")</f>
        <v>0</v>
      </c>
      <c r="AQ272" s="3">
        <f>COUNTIFS($B272:$G272, "&gt;=28",$B272:$G272, "&lt;=36")</f>
        <v>0</v>
      </c>
      <c r="AR272" s="3">
        <f>COUNTIFS($B272:$G272, "&gt;=37",$B272:$G272, "&lt;=45")</f>
        <v>0</v>
      </c>
      <c r="AS272" s="28" t="e">
        <f>#REF!</f>
        <v>#REF!</v>
      </c>
      <c r="AT272" s="28" t="e">
        <f>#REF!*2</f>
        <v>#REF!</v>
      </c>
      <c r="AU272" s="28" t="e">
        <f>#REF!</f>
        <v>#REF!</v>
      </c>
      <c r="AV272" s="28" t="e">
        <f>#REF!*2</f>
        <v>#REF!</v>
      </c>
      <c r="AW272" s="28" t="e">
        <f>#REF!</f>
        <v>#REF!</v>
      </c>
      <c r="AX272" s="28" t="e">
        <f>#REF!*2</f>
        <v>#REF!</v>
      </c>
      <c r="AY272" s="28" t="e">
        <f>#REF!</f>
        <v>#REF!</v>
      </c>
      <c r="AZ272" s="28" t="e">
        <f>#REF!*2</f>
        <v>#REF!</v>
      </c>
      <c r="BA272" s="28" t="e">
        <f>#REF!</f>
        <v>#REF!</v>
      </c>
      <c r="BB272" s="28" t="e">
        <f>#REF!*2</f>
        <v>#REF!</v>
      </c>
      <c r="BC272" s="28" t="e">
        <f>#REF!</f>
        <v>#REF!</v>
      </c>
      <c r="BD272" s="28" t="e">
        <f>#REF!*2</f>
        <v>#REF!</v>
      </c>
      <c r="BE272" s="9" t="e">
        <f>#REF!-#REF!</f>
        <v>#REF!</v>
      </c>
      <c r="BF272" s="9" t="e">
        <f>#REF!-#REF!</f>
        <v>#REF!</v>
      </c>
      <c r="BG272" s="9" t="e">
        <f>#REF!-#REF!</f>
        <v>#REF!</v>
      </c>
      <c r="BH272" s="9" t="e">
        <f>#REF!-#REF!</f>
        <v>#REF!</v>
      </c>
      <c r="BI272" s="9" t="e">
        <f>#REF!-#REF!</f>
        <v>#REF!</v>
      </c>
      <c r="BJ272" s="33"/>
      <c r="BK272" s="3">
        <f>COUNTIFS(B272:G272, "&gt;=1", B272:G272, "&lt;=9")</f>
        <v>0</v>
      </c>
      <c r="BL272" s="3">
        <f>COUNTIFS(B272:G272, "&gt;=10", B272:G272, "&lt;=19")</f>
        <v>0</v>
      </c>
      <c r="BM272" s="3">
        <f>COUNTIFS(B272:G272, "&gt;=20", B272:G272, "&lt;=29")</f>
        <v>0</v>
      </c>
      <c r="BN272" s="3">
        <f>COUNTIFS(B272:G272, "&gt;=30", B272:G272, "&lt;=39")</f>
        <v>0</v>
      </c>
      <c r="BO272" s="3">
        <f>COUNTIFS(B272:G272, "&gt;=40", B272:G272, "&lt;=45")</f>
        <v>0</v>
      </c>
      <c r="BP272" s="28" t="e">
        <f>#REF!</f>
        <v>#REF!</v>
      </c>
      <c r="BQ272" s="28" t="e">
        <f>#REF!*2</f>
        <v>#REF!</v>
      </c>
      <c r="BR272" s="28" t="e">
        <f>#REF!</f>
        <v>#REF!</v>
      </c>
      <c r="BS272" s="28" t="e">
        <f>#REF!*2</f>
        <v>#REF!</v>
      </c>
      <c r="BT272" s="28" t="e">
        <f>#REF!</f>
        <v>#REF!</v>
      </c>
      <c r="BU272" s="28" t="e">
        <f>#REF!*2</f>
        <v>#REF!</v>
      </c>
      <c r="BV272" s="28" t="e">
        <f>#REF!</f>
        <v>#REF!</v>
      </c>
      <c r="BW272" s="28" t="e">
        <f>#REF!*2</f>
        <v>#REF!</v>
      </c>
      <c r="BX272" s="28" t="e">
        <f>#REF!</f>
        <v>#REF!</v>
      </c>
      <c r="BY272" s="28" t="e">
        <f>#REF!*2</f>
        <v>#REF!</v>
      </c>
      <c r="BZ272" s="28" t="e">
        <f>#REF!</f>
        <v>#REF!</v>
      </c>
      <c r="CA272" s="28" t="e">
        <f>#REF!*2</f>
        <v>#REF!</v>
      </c>
      <c r="CB272" s="9">
        <f>C272-B272</f>
        <v>0</v>
      </c>
      <c r="CC272" s="9">
        <f>D272-C272</f>
        <v>0</v>
      </c>
      <c r="CD272" s="9">
        <f>E272-D272</f>
        <v>0</v>
      </c>
      <c r="CE272" s="9">
        <f>F272-E272</f>
        <v>0</v>
      </c>
      <c r="CF272" s="9">
        <f>G272-F272</f>
        <v>0</v>
      </c>
      <c r="CG272" s="33"/>
      <c r="CH272" s="3">
        <f>C272-B272</f>
        <v>0</v>
      </c>
      <c r="CI272" s="3">
        <f>D272-C272</f>
        <v>0</v>
      </c>
      <c r="CJ272" s="3">
        <f>E272-D272</f>
        <v>0</v>
      </c>
      <c r="CK272" s="3">
        <f>F272-E272</f>
        <v>0</v>
      </c>
      <c r="CL272" s="3">
        <f>G272-F272</f>
        <v>0</v>
      </c>
      <c r="CM272" s="32"/>
      <c r="CN272" s="3">
        <f>IF(OR(CH272="",ISBLANK(CH272),CH272=0),0,IF(MOD(CH272,2)=1,1,2))</f>
        <v>0</v>
      </c>
      <c r="CO272" s="3">
        <f>IF(OR(CI272="",ISBLANK(CI272),CI272=0),0,IF(MOD(CI272,2)=1,1,2))</f>
        <v>0</v>
      </c>
      <c r="CP272" s="3">
        <f>IF(OR(CJ272="",ISBLANK(CJ272),CJ272=0),0,IF(MOD(CJ272,2)=1,1,2))</f>
        <v>0</v>
      </c>
      <c r="CQ272" s="3">
        <f>IF(OR(CK272="",ISBLANK(CK272),CK272=0),0,IF(MOD(CK272,2)=1,1,2))</f>
        <v>0</v>
      </c>
      <c r="CR272" s="3">
        <f>IF(OR(CL272="",ISBLANK(CL272),CL272=0),0,IF(MOD(CL272,2)=1,1,2))</f>
        <v>0</v>
      </c>
      <c r="CS272" s="31"/>
      <c r="CT272" s="3" cm="1">
        <f t="array" ref="CT272">SUMPRODUCT(--(MOD(CH272:CL272,2)=1))</f>
        <v>0</v>
      </c>
      <c r="CU272" s="3">
        <f>5-CT272</f>
        <v>5</v>
      </c>
      <c r="CV272" s="30"/>
      <c r="CW272" s="3" cm="1">
        <f t="array" ref="CW272">SUMPRODUCT(--(MOD(CH272:CL272,10)&gt;=1), --(MOD(CH272:CL272,10)&lt;=5))</f>
        <v>0</v>
      </c>
      <c r="CX272" s="3">
        <f>5-CW272</f>
        <v>5</v>
      </c>
      <c r="CY272" s="30"/>
      <c r="CZ272" s="3" cm="1">
        <f t="array" ref="CZ272">IFERROR(COUNT(_xlfn._xlws.FILTER(CH272:CL272, ISNUMBER(MATCH(CH272:CL272, {2,3,5,7,11,13,17,19,23,29,31,37,41,43}, 0)))), 0)</f>
        <v>0</v>
      </c>
      <c r="DA272" s="3" cm="1">
        <f t="array" ref="DA272">IFERROR(COUNT(_xlfn._xlws.FILTER(CH272:CL272, ISNUMBER(MATCH(CH272:CL272, {1,4,8,10,14,16,20,22,25,26,28,32,34,35,38,40,44}, 0)))), 0)</f>
        <v>0</v>
      </c>
      <c r="DB272" s="3" cm="1">
        <f t="array" ref="DB272">IFERROR(COUNT(_xlfn._xlws.FILTER(CH272:CL272, ISNUMBER(MATCH(CH272:CL272, {6,9,12,15,18,21,24,27,30,33,36,39,42,45}, 0)))), 0)</f>
        <v>0</v>
      </c>
      <c r="DC272" s="29"/>
      <c r="DD272" s="28" t="e">
        <f>#REF!</f>
        <v>#REF!</v>
      </c>
      <c r="DE272" s="28" t="e">
        <f>#REF!*2</f>
        <v>#REF!</v>
      </c>
      <c r="DF272" s="28" t="e">
        <f>#REF!</f>
        <v>#REF!</v>
      </c>
      <c r="DG272" s="28" t="e">
        <f>#REF!*2</f>
        <v>#REF!</v>
      </c>
      <c r="DH272" s="28" t="e">
        <f>#REF!</f>
        <v>#REF!</v>
      </c>
      <c r="DI272" s="28" t="e">
        <f>#REF!*2</f>
        <v>#REF!</v>
      </c>
      <c r="DJ272" s="28" t="e">
        <f>#REF!</f>
        <v>#REF!</v>
      </c>
      <c r="DK272" s="28" t="e">
        <f>#REF!*2</f>
        <v>#REF!</v>
      </c>
      <c r="DL272" s="28" t="e">
        <f>#REF!</f>
        <v>#REF!</v>
      </c>
      <c r="DM272" s="28" t="e">
        <f>#REF!*2</f>
        <v>#REF!</v>
      </c>
      <c r="DN272" s="27"/>
      <c r="DO272" s="26"/>
      <c r="DP272" s="26"/>
      <c r="DQ272" s="26"/>
      <c r="DR272" s="26"/>
      <c r="DS272" s="26"/>
      <c r="DT272" s="25"/>
    </row>
    <row r="273" spans="2:124" x14ac:dyDescent="0.3">
      <c r="B273" s="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2"/>
      <c r="I273" s="3">
        <f>IF(OR(B273="",ISBLANK(B273),B273=0),0,IF(MOD(B273,2)=1,1,2))</f>
        <v>0</v>
      </c>
      <c r="J273" s="3">
        <f>IF(OR(C273="",ISBLANK(C273),C273=0),0,IF(MOD(C273,2)=1,1,2))</f>
        <v>0</v>
      </c>
      <c r="K273" s="3">
        <f>IF(OR(D273="",ISBLANK(D273),D273=0),0,IF(MOD(D273,2)=1,1,2))</f>
        <v>0</v>
      </c>
      <c r="L273" s="3">
        <f>IF(OR(E273="",ISBLANK(E273),E273=0),0,IF(MOD(E273,2)=1,1,2))</f>
        <v>0</v>
      </c>
      <c r="M273" s="3">
        <f>IF(OR(F273="",ISBLANK(F273),F273=0),0,IF(MOD(F273,2)=1,1,2))</f>
        <v>0</v>
      </c>
      <c r="N273" s="3">
        <f>IF(OR(G273="",ISBLANK(G273),G273=0),0,IF(MOD(G273,2)=1,1,2))</f>
        <v>0</v>
      </c>
      <c r="O273" s="32"/>
      <c r="P273" s="3" cm="1">
        <f t="array" ref="P273">SUMPRODUCT(--(MOD(B273:G273,2)=1))</f>
        <v>0</v>
      </c>
      <c r="Q273" s="3">
        <f>6-P273</f>
        <v>6</v>
      </c>
      <c r="R273" s="34"/>
      <c r="S273" s="3">
        <f>COUNTIFS(B273:G273,"&gt;=1",B273:G273,"&lt;=23")</f>
        <v>0</v>
      </c>
      <c r="T273" s="3">
        <f>6-S273</f>
        <v>6</v>
      </c>
      <c r="U273" s="34"/>
      <c r="V273" s="3" cm="1">
        <f t="array" ref="V273">SUMPRODUCT(--(MOD(B273:G273,10)&gt;=1), --(MOD(B273:G273,10)&lt;=5))</f>
        <v>0</v>
      </c>
      <c r="W273" s="3">
        <f>6-V273</f>
        <v>6</v>
      </c>
      <c r="X273" s="34"/>
      <c r="Y273" s="3" cm="1">
        <f t="array" ref="Y273">IFERROR(COUNT(_xlfn._xlws.FILTER(B273:G273, ISNUMBER(MATCH(B273:G273, {2,3,5,7,11,13,17,19,23,29,31,37,41,43}, 0)))), 0)</f>
        <v>0</v>
      </c>
      <c r="Z273" s="3" cm="1">
        <f t="array" ref="Z273">IFERROR(COUNT(_xlfn._xlws.FILTER(B273:G273, ISNUMBER(MATCH(B273:G273, {1,4,8,10,14,16,20,22,25,26,28,32,34,35,38,40,44}, 0)))), 0)</f>
        <v>0</v>
      </c>
      <c r="AA273" s="3" cm="1">
        <f t="array" ref="AA273">IFERROR(COUNT(_xlfn._xlws.FILTER(B273:G273, ISNUMBER(MATCH(B273:G273, {6,9,12,15,18,21,24,27,30,33,36,39,42,45}, 0)))), 0)</f>
        <v>0</v>
      </c>
      <c r="AB273" s="30"/>
      <c r="AC273" s="26" cm="1">
        <f t="array" ref="AC273">_xlfn.IFS(
   OR(B273="",ISBLANK(B273),B273=0),0,
   ISNUMBER(MATCH(B273,{2,3,5,7,11,13,17,19,23,29,31,37,41,43},0)),"소",
   AND(ISNUMBER(B273),MOD(B273,3)=0),"배",
   AND(ISNUMBER(B273),B273&gt;0),"자"
)</f>
        <v>0</v>
      </c>
      <c r="AD273" s="26" cm="1">
        <f t="array" ref="AD273">_xlfn.IFS(
   OR(C273="",ISBLANK(C273),C273=0),0,
   ISNUMBER(MATCH(C273,{2,3,5,7,11,13,17,19,23,29,31,37,41,43},0)),"소",
   AND(ISNUMBER(C273),MOD(C273,3)=0),"배",
   AND(ISNUMBER(C273),C273&gt;0),"자"
)</f>
        <v>0</v>
      </c>
      <c r="AE273" s="26" cm="1">
        <f t="array" ref="AE273">_xlfn.IFS(
   OR(D273="",ISBLANK(D273),D273=0),0,
   ISNUMBER(MATCH(D273,{2,3,5,7,11,13,17,19,23,29,31,37,41,43},0)),"소",
   AND(ISNUMBER(D273),MOD(D273,3)=0),"배",
   AND(ISNUMBER(D273),D273&gt;0),"자"
)</f>
        <v>0</v>
      </c>
      <c r="AF273" s="26" cm="1">
        <f t="array" ref="AF273">_xlfn.IFS(
   OR(E273="",ISBLANK(E273),E273=0),0,
   ISNUMBER(MATCH(E273,{2,3,5,7,11,13,17,19,23,29,31,37,41,43},0)),"소",
   AND(ISNUMBER(E273),MOD(E273,3)=0),"배",
   AND(ISNUMBER(E273),E273&gt;0),"자"
)</f>
        <v>0</v>
      </c>
      <c r="AG273" s="26" cm="1">
        <f t="array" ref="AG273">_xlfn.IFS(
   OR(F273="",ISBLANK(F273),F273=0),0,
   ISNUMBER(MATCH(F273,{2,3,5,7,11,13,17,19,23,29,31,37,41,43},0)),"소",
   AND(ISNUMBER(F273),MOD(F273,3)=0),"배",
   AND(ISNUMBER(F273),F273&gt;0),"자"
)</f>
        <v>0</v>
      </c>
      <c r="AH273" s="26" cm="1">
        <f t="array" ref="AH273">_xlfn.IFS(
   OR(G273="",ISBLANK(G273),G273=0),0,
   ISNUMBER(MATCH(G273,{2,3,5,7,11,13,17,19,23,29,31,37,41,43},0)),"소",
   AND(ISNUMBER(G273),MOD(G273,3)=0),"배",
   AND(ISNUMBER(G273),G273&gt;0),"자"
)</f>
        <v>0</v>
      </c>
      <c r="AI273" s="30"/>
      <c r="AJ273" s="3">
        <f>COUNTIFS(B273:G273,"&gt;=1",B273:G273,"&lt;=14")</f>
        <v>0</v>
      </c>
      <c r="AK273" s="3">
        <f>COUNTIFS(B273:G273,"&gt;=15",B273:G273,"&lt;=31")</f>
        <v>0</v>
      </c>
      <c r="AL273" s="3">
        <f>6-AK273-AJ273</f>
        <v>6</v>
      </c>
      <c r="AM273" s="33"/>
      <c r="AN273" s="3">
        <f>COUNTIFS($B273:$G273, "&gt;=1",$B273:$G273, "&lt;=9")</f>
        <v>0</v>
      </c>
      <c r="AO273" s="3">
        <f>COUNTIFS($B273:$G273, "&gt;=10",$B273:$G273, "&lt;=18")</f>
        <v>0</v>
      </c>
      <c r="AP273" s="3">
        <f>COUNTIFS($B273:$G273, "&gt;=19",$B273:$G273, "&lt;=27")</f>
        <v>0</v>
      </c>
      <c r="AQ273" s="3">
        <f>COUNTIFS($B273:$G273, "&gt;=28",$B273:$G273, "&lt;=36")</f>
        <v>0</v>
      </c>
      <c r="AR273" s="3">
        <f>COUNTIFS($B273:$G273, "&gt;=37",$B273:$G273, "&lt;=45")</f>
        <v>0</v>
      </c>
      <c r="AS273" s="28" t="e">
        <f>#REF!</f>
        <v>#REF!</v>
      </c>
      <c r="AT273" s="28" t="e">
        <f>#REF!*2</f>
        <v>#REF!</v>
      </c>
      <c r="AU273" s="28" t="e">
        <f>#REF!</f>
        <v>#REF!</v>
      </c>
      <c r="AV273" s="28" t="e">
        <f>#REF!*2</f>
        <v>#REF!</v>
      </c>
      <c r="AW273" s="28" t="e">
        <f>#REF!</f>
        <v>#REF!</v>
      </c>
      <c r="AX273" s="28" t="e">
        <f>#REF!*2</f>
        <v>#REF!</v>
      </c>
      <c r="AY273" s="28" t="e">
        <f>#REF!</f>
        <v>#REF!</v>
      </c>
      <c r="AZ273" s="28" t="e">
        <f>#REF!*2</f>
        <v>#REF!</v>
      </c>
      <c r="BA273" s="28" t="e">
        <f>#REF!</f>
        <v>#REF!</v>
      </c>
      <c r="BB273" s="28" t="e">
        <f>#REF!*2</f>
        <v>#REF!</v>
      </c>
      <c r="BC273" s="28" t="e">
        <f>#REF!</f>
        <v>#REF!</v>
      </c>
      <c r="BD273" s="28" t="e">
        <f>#REF!*2</f>
        <v>#REF!</v>
      </c>
      <c r="BE273" s="9" t="e">
        <f>#REF!-#REF!</f>
        <v>#REF!</v>
      </c>
      <c r="BF273" s="9" t="e">
        <f>#REF!-#REF!</f>
        <v>#REF!</v>
      </c>
      <c r="BG273" s="9" t="e">
        <f>#REF!-#REF!</f>
        <v>#REF!</v>
      </c>
      <c r="BH273" s="9" t="e">
        <f>#REF!-#REF!</f>
        <v>#REF!</v>
      </c>
      <c r="BI273" s="9" t="e">
        <f>#REF!-#REF!</f>
        <v>#REF!</v>
      </c>
      <c r="BJ273" s="33"/>
      <c r="BK273" s="3">
        <f>COUNTIFS(B273:G273, "&gt;=1", B273:G273, "&lt;=9")</f>
        <v>0</v>
      </c>
      <c r="BL273" s="3">
        <f>COUNTIFS(B273:G273, "&gt;=10", B273:G273, "&lt;=19")</f>
        <v>0</v>
      </c>
      <c r="BM273" s="3">
        <f>COUNTIFS(B273:G273, "&gt;=20", B273:G273, "&lt;=29")</f>
        <v>0</v>
      </c>
      <c r="BN273" s="3">
        <f>COUNTIFS(B273:G273, "&gt;=30", B273:G273, "&lt;=39")</f>
        <v>0</v>
      </c>
      <c r="BO273" s="3">
        <f>COUNTIFS(B273:G273, "&gt;=40", B273:G273, "&lt;=45")</f>
        <v>0</v>
      </c>
      <c r="BP273" s="28" t="e">
        <f>#REF!</f>
        <v>#REF!</v>
      </c>
      <c r="BQ273" s="28" t="e">
        <f>#REF!*2</f>
        <v>#REF!</v>
      </c>
      <c r="BR273" s="28" t="e">
        <f>#REF!</f>
        <v>#REF!</v>
      </c>
      <c r="BS273" s="28" t="e">
        <f>#REF!*2</f>
        <v>#REF!</v>
      </c>
      <c r="BT273" s="28" t="e">
        <f>#REF!</f>
        <v>#REF!</v>
      </c>
      <c r="BU273" s="28" t="e">
        <f>#REF!*2</f>
        <v>#REF!</v>
      </c>
      <c r="BV273" s="28" t="e">
        <f>#REF!</f>
        <v>#REF!</v>
      </c>
      <c r="BW273" s="28" t="e">
        <f>#REF!*2</f>
        <v>#REF!</v>
      </c>
      <c r="BX273" s="28" t="e">
        <f>#REF!</f>
        <v>#REF!</v>
      </c>
      <c r="BY273" s="28" t="e">
        <f>#REF!*2</f>
        <v>#REF!</v>
      </c>
      <c r="BZ273" s="28" t="e">
        <f>#REF!</f>
        <v>#REF!</v>
      </c>
      <c r="CA273" s="28" t="e">
        <f>#REF!*2</f>
        <v>#REF!</v>
      </c>
      <c r="CB273" s="9">
        <f>C273-B273</f>
        <v>0</v>
      </c>
      <c r="CC273" s="9">
        <f>D273-C273</f>
        <v>0</v>
      </c>
      <c r="CD273" s="9">
        <f>E273-D273</f>
        <v>0</v>
      </c>
      <c r="CE273" s="9">
        <f>F273-E273</f>
        <v>0</v>
      </c>
      <c r="CF273" s="9">
        <f>G273-F273</f>
        <v>0</v>
      </c>
      <c r="CG273" s="33"/>
      <c r="CH273" s="3">
        <f>C273-B273</f>
        <v>0</v>
      </c>
      <c r="CI273" s="3">
        <f>D273-C273</f>
        <v>0</v>
      </c>
      <c r="CJ273" s="3">
        <f>E273-D273</f>
        <v>0</v>
      </c>
      <c r="CK273" s="3">
        <f>F273-E273</f>
        <v>0</v>
      </c>
      <c r="CL273" s="3">
        <f>G273-F273</f>
        <v>0</v>
      </c>
      <c r="CM273" s="32"/>
      <c r="CN273" s="3">
        <f>IF(OR(CH273="",ISBLANK(CH273),CH273=0),0,IF(MOD(CH273,2)=1,1,2))</f>
        <v>0</v>
      </c>
      <c r="CO273" s="3">
        <f>IF(OR(CI273="",ISBLANK(CI273),CI273=0),0,IF(MOD(CI273,2)=1,1,2))</f>
        <v>0</v>
      </c>
      <c r="CP273" s="3">
        <f>IF(OR(CJ273="",ISBLANK(CJ273),CJ273=0),0,IF(MOD(CJ273,2)=1,1,2))</f>
        <v>0</v>
      </c>
      <c r="CQ273" s="3">
        <f>IF(OR(CK273="",ISBLANK(CK273),CK273=0),0,IF(MOD(CK273,2)=1,1,2))</f>
        <v>0</v>
      </c>
      <c r="CR273" s="3">
        <f>IF(OR(CL273="",ISBLANK(CL273),CL273=0),0,IF(MOD(CL273,2)=1,1,2))</f>
        <v>0</v>
      </c>
      <c r="CS273" s="31"/>
      <c r="CT273" s="3" cm="1">
        <f t="array" ref="CT273">SUMPRODUCT(--(MOD(CH273:CL273,2)=1))</f>
        <v>0</v>
      </c>
      <c r="CU273" s="3">
        <f>5-CT273</f>
        <v>5</v>
      </c>
      <c r="CV273" s="30"/>
      <c r="CW273" s="3" cm="1">
        <f t="array" ref="CW273">SUMPRODUCT(--(MOD(CH273:CL273,10)&gt;=1), --(MOD(CH273:CL273,10)&lt;=5))</f>
        <v>0</v>
      </c>
      <c r="CX273" s="3">
        <f>5-CW273</f>
        <v>5</v>
      </c>
      <c r="CY273" s="30"/>
      <c r="CZ273" s="3" cm="1">
        <f t="array" ref="CZ273">IFERROR(COUNT(_xlfn._xlws.FILTER(CH273:CL273, ISNUMBER(MATCH(CH273:CL273, {2,3,5,7,11,13,17,19,23,29,31,37,41,43}, 0)))), 0)</f>
        <v>0</v>
      </c>
      <c r="DA273" s="3" cm="1">
        <f t="array" ref="DA273">IFERROR(COUNT(_xlfn._xlws.FILTER(CH273:CL273, ISNUMBER(MATCH(CH273:CL273, {1,4,8,10,14,16,20,22,25,26,28,32,34,35,38,40,44}, 0)))), 0)</f>
        <v>0</v>
      </c>
      <c r="DB273" s="3" cm="1">
        <f t="array" ref="DB273">IFERROR(COUNT(_xlfn._xlws.FILTER(CH273:CL273, ISNUMBER(MATCH(CH273:CL273, {6,9,12,15,18,21,24,27,30,33,36,39,42,45}, 0)))), 0)</f>
        <v>0</v>
      </c>
      <c r="DC273" s="29"/>
      <c r="DD273" s="28" t="e">
        <f>#REF!</f>
        <v>#REF!</v>
      </c>
      <c r="DE273" s="28" t="e">
        <f>#REF!*2</f>
        <v>#REF!</v>
      </c>
      <c r="DF273" s="28" t="e">
        <f>#REF!</f>
        <v>#REF!</v>
      </c>
      <c r="DG273" s="28" t="e">
        <f>#REF!*2</f>
        <v>#REF!</v>
      </c>
      <c r="DH273" s="28" t="e">
        <f>#REF!</f>
        <v>#REF!</v>
      </c>
      <c r="DI273" s="28" t="e">
        <f>#REF!*2</f>
        <v>#REF!</v>
      </c>
      <c r="DJ273" s="28" t="e">
        <f>#REF!</f>
        <v>#REF!</v>
      </c>
      <c r="DK273" s="28" t="e">
        <f>#REF!*2</f>
        <v>#REF!</v>
      </c>
      <c r="DL273" s="28" t="e">
        <f>#REF!</f>
        <v>#REF!</v>
      </c>
      <c r="DM273" s="28" t="e">
        <f>#REF!*2</f>
        <v>#REF!</v>
      </c>
      <c r="DN273" s="27"/>
      <c r="DO273" s="26"/>
      <c r="DP273" s="26"/>
      <c r="DQ273" s="26"/>
      <c r="DR273" s="26"/>
      <c r="DS273" s="26"/>
      <c r="DT273" s="25"/>
    </row>
    <row r="274" spans="2:124" x14ac:dyDescent="0.3">
      <c r="B274" s="3">
        <v>0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2"/>
      <c r="I274" s="3">
        <f>IF(OR(B274="",ISBLANK(B274),B274=0),0,IF(MOD(B274,2)=1,1,2))</f>
        <v>0</v>
      </c>
      <c r="J274" s="3">
        <f>IF(OR(C274="",ISBLANK(C274),C274=0),0,IF(MOD(C274,2)=1,1,2))</f>
        <v>0</v>
      </c>
      <c r="K274" s="3">
        <f>IF(OR(D274="",ISBLANK(D274),D274=0),0,IF(MOD(D274,2)=1,1,2))</f>
        <v>0</v>
      </c>
      <c r="L274" s="3">
        <f>IF(OR(E274="",ISBLANK(E274),E274=0),0,IF(MOD(E274,2)=1,1,2))</f>
        <v>0</v>
      </c>
      <c r="M274" s="3">
        <f>IF(OR(F274="",ISBLANK(F274),F274=0),0,IF(MOD(F274,2)=1,1,2))</f>
        <v>0</v>
      </c>
      <c r="N274" s="3">
        <f>IF(OR(G274="",ISBLANK(G274),G274=0),0,IF(MOD(G274,2)=1,1,2))</f>
        <v>0</v>
      </c>
      <c r="O274" s="32"/>
      <c r="P274" s="3" cm="1">
        <f t="array" ref="P274">SUMPRODUCT(--(MOD(B274:G274,2)=1))</f>
        <v>0</v>
      </c>
      <c r="Q274" s="3">
        <f>6-P274</f>
        <v>6</v>
      </c>
      <c r="R274" s="34"/>
      <c r="S274" s="3">
        <f>COUNTIFS(B274:G274,"&gt;=1",B274:G274,"&lt;=23")</f>
        <v>0</v>
      </c>
      <c r="T274" s="3">
        <f>6-S274</f>
        <v>6</v>
      </c>
      <c r="U274" s="34"/>
      <c r="V274" s="3" cm="1">
        <f t="array" ref="V274">SUMPRODUCT(--(MOD(B274:G274,10)&gt;=1), --(MOD(B274:G274,10)&lt;=5))</f>
        <v>0</v>
      </c>
      <c r="W274" s="3">
        <f>6-V274</f>
        <v>6</v>
      </c>
      <c r="X274" s="34"/>
      <c r="Y274" s="3" cm="1">
        <f t="array" ref="Y274">IFERROR(COUNT(_xlfn._xlws.FILTER(B274:G274, ISNUMBER(MATCH(B274:G274, {2,3,5,7,11,13,17,19,23,29,31,37,41,43}, 0)))), 0)</f>
        <v>0</v>
      </c>
      <c r="Z274" s="3" cm="1">
        <f t="array" ref="Z274">IFERROR(COUNT(_xlfn._xlws.FILTER(B274:G274, ISNUMBER(MATCH(B274:G274, {1,4,8,10,14,16,20,22,25,26,28,32,34,35,38,40,44}, 0)))), 0)</f>
        <v>0</v>
      </c>
      <c r="AA274" s="3" cm="1">
        <f t="array" ref="AA274">IFERROR(COUNT(_xlfn._xlws.FILTER(B274:G274, ISNUMBER(MATCH(B274:G274, {6,9,12,15,18,21,24,27,30,33,36,39,42,45}, 0)))), 0)</f>
        <v>0</v>
      </c>
      <c r="AB274" s="30"/>
      <c r="AC274" s="26" cm="1">
        <f t="array" ref="AC274">_xlfn.IFS(
   OR(B274="",ISBLANK(B274),B274=0),0,
   ISNUMBER(MATCH(B274,{2,3,5,7,11,13,17,19,23,29,31,37,41,43},0)),"소",
   AND(ISNUMBER(B274),MOD(B274,3)=0),"배",
   AND(ISNUMBER(B274),B274&gt;0),"자"
)</f>
        <v>0</v>
      </c>
      <c r="AD274" s="26" cm="1">
        <f t="array" ref="AD274">_xlfn.IFS(
   OR(C274="",ISBLANK(C274),C274=0),0,
   ISNUMBER(MATCH(C274,{2,3,5,7,11,13,17,19,23,29,31,37,41,43},0)),"소",
   AND(ISNUMBER(C274),MOD(C274,3)=0),"배",
   AND(ISNUMBER(C274),C274&gt;0),"자"
)</f>
        <v>0</v>
      </c>
      <c r="AE274" s="26" cm="1">
        <f t="array" ref="AE274">_xlfn.IFS(
   OR(D274="",ISBLANK(D274),D274=0),0,
   ISNUMBER(MATCH(D274,{2,3,5,7,11,13,17,19,23,29,31,37,41,43},0)),"소",
   AND(ISNUMBER(D274),MOD(D274,3)=0),"배",
   AND(ISNUMBER(D274),D274&gt;0),"자"
)</f>
        <v>0</v>
      </c>
      <c r="AF274" s="26" cm="1">
        <f t="array" ref="AF274">_xlfn.IFS(
   OR(E274="",ISBLANK(E274),E274=0),0,
   ISNUMBER(MATCH(E274,{2,3,5,7,11,13,17,19,23,29,31,37,41,43},0)),"소",
   AND(ISNUMBER(E274),MOD(E274,3)=0),"배",
   AND(ISNUMBER(E274),E274&gt;0),"자"
)</f>
        <v>0</v>
      </c>
      <c r="AG274" s="26" cm="1">
        <f t="array" ref="AG274">_xlfn.IFS(
   OR(F274="",ISBLANK(F274),F274=0),0,
   ISNUMBER(MATCH(F274,{2,3,5,7,11,13,17,19,23,29,31,37,41,43},0)),"소",
   AND(ISNUMBER(F274),MOD(F274,3)=0),"배",
   AND(ISNUMBER(F274),F274&gt;0),"자"
)</f>
        <v>0</v>
      </c>
      <c r="AH274" s="26" cm="1">
        <f t="array" ref="AH274">_xlfn.IFS(
   OR(G274="",ISBLANK(G274),G274=0),0,
   ISNUMBER(MATCH(G274,{2,3,5,7,11,13,17,19,23,29,31,37,41,43},0)),"소",
   AND(ISNUMBER(G274),MOD(G274,3)=0),"배",
   AND(ISNUMBER(G274),G274&gt;0),"자"
)</f>
        <v>0</v>
      </c>
      <c r="AI274" s="30"/>
      <c r="AJ274" s="3">
        <f>COUNTIFS(B274:G274,"&gt;=1",B274:G274,"&lt;=14")</f>
        <v>0</v>
      </c>
      <c r="AK274" s="3">
        <f>COUNTIFS(B274:G274,"&gt;=15",B274:G274,"&lt;=31")</f>
        <v>0</v>
      </c>
      <c r="AL274" s="3">
        <f>6-AK274-AJ274</f>
        <v>6</v>
      </c>
      <c r="AM274" s="33"/>
      <c r="AN274" s="3">
        <f>COUNTIFS($B274:$G274, "&gt;=1",$B274:$G274, "&lt;=9")</f>
        <v>0</v>
      </c>
      <c r="AO274" s="3">
        <f>COUNTIFS($B274:$G274, "&gt;=10",$B274:$G274, "&lt;=18")</f>
        <v>0</v>
      </c>
      <c r="AP274" s="3">
        <f>COUNTIFS($B274:$G274, "&gt;=19",$B274:$G274, "&lt;=27")</f>
        <v>0</v>
      </c>
      <c r="AQ274" s="3">
        <f>COUNTIFS($B274:$G274, "&gt;=28",$B274:$G274, "&lt;=36")</f>
        <v>0</v>
      </c>
      <c r="AR274" s="3">
        <f>COUNTIFS($B274:$G274, "&gt;=37",$B274:$G274, "&lt;=45")</f>
        <v>0</v>
      </c>
      <c r="AS274" s="28" t="e">
        <f>#REF!</f>
        <v>#REF!</v>
      </c>
      <c r="AT274" s="28" t="e">
        <f>#REF!*2</f>
        <v>#REF!</v>
      </c>
      <c r="AU274" s="28" t="e">
        <f>#REF!</f>
        <v>#REF!</v>
      </c>
      <c r="AV274" s="28" t="e">
        <f>#REF!*2</f>
        <v>#REF!</v>
      </c>
      <c r="AW274" s="28" t="e">
        <f>#REF!</f>
        <v>#REF!</v>
      </c>
      <c r="AX274" s="28" t="e">
        <f>#REF!*2</f>
        <v>#REF!</v>
      </c>
      <c r="AY274" s="28" t="e">
        <f>#REF!</f>
        <v>#REF!</v>
      </c>
      <c r="AZ274" s="28" t="e">
        <f>#REF!*2</f>
        <v>#REF!</v>
      </c>
      <c r="BA274" s="28" t="e">
        <f>#REF!</f>
        <v>#REF!</v>
      </c>
      <c r="BB274" s="28" t="e">
        <f>#REF!*2</f>
        <v>#REF!</v>
      </c>
      <c r="BC274" s="28" t="e">
        <f>#REF!</f>
        <v>#REF!</v>
      </c>
      <c r="BD274" s="28" t="e">
        <f>#REF!*2</f>
        <v>#REF!</v>
      </c>
      <c r="BE274" s="9" t="e">
        <f>#REF!-#REF!</f>
        <v>#REF!</v>
      </c>
      <c r="BF274" s="9" t="e">
        <f>#REF!-#REF!</f>
        <v>#REF!</v>
      </c>
      <c r="BG274" s="9" t="e">
        <f>#REF!-#REF!</f>
        <v>#REF!</v>
      </c>
      <c r="BH274" s="9" t="e">
        <f>#REF!-#REF!</f>
        <v>#REF!</v>
      </c>
      <c r="BI274" s="9" t="e">
        <f>#REF!-#REF!</f>
        <v>#REF!</v>
      </c>
      <c r="BJ274" s="33"/>
      <c r="BK274" s="3">
        <f>COUNTIFS(B274:G274, "&gt;=1", B274:G274, "&lt;=9")</f>
        <v>0</v>
      </c>
      <c r="BL274" s="3">
        <f>COUNTIFS(B274:G274, "&gt;=10", B274:G274, "&lt;=19")</f>
        <v>0</v>
      </c>
      <c r="BM274" s="3">
        <f>COUNTIFS(B274:G274, "&gt;=20", B274:G274, "&lt;=29")</f>
        <v>0</v>
      </c>
      <c r="BN274" s="3">
        <f>COUNTIFS(B274:G274, "&gt;=30", B274:G274, "&lt;=39")</f>
        <v>0</v>
      </c>
      <c r="BO274" s="3">
        <f>COUNTIFS(B274:G274, "&gt;=40", B274:G274, "&lt;=45")</f>
        <v>0</v>
      </c>
      <c r="BP274" s="28" t="e">
        <f>#REF!</f>
        <v>#REF!</v>
      </c>
      <c r="BQ274" s="28" t="e">
        <f>#REF!*2</f>
        <v>#REF!</v>
      </c>
      <c r="BR274" s="28" t="e">
        <f>#REF!</f>
        <v>#REF!</v>
      </c>
      <c r="BS274" s="28" t="e">
        <f>#REF!*2</f>
        <v>#REF!</v>
      </c>
      <c r="BT274" s="28" t="e">
        <f>#REF!</f>
        <v>#REF!</v>
      </c>
      <c r="BU274" s="28" t="e">
        <f>#REF!*2</f>
        <v>#REF!</v>
      </c>
      <c r="BV274" s="28" t="e">
        <f>#REF!</f>
        <v>#REF!</v>
      </c>
      <c r="BW274" s="28" t="e">
        <f>#REF!*2</f>
        <v>#REF!</v>
      </c>
      <c r="BX274" s="28" t="e">
        <f>#REF!</f>
        <v>#REF!</v>
      </c>
      <c r="BY274" s="28" t="e">
        <f>#REF!*2</f>
        <v>#REF!</v>
      </c>
      <c r="BZ274" s="28" t="e">
        <f>#REF!</f>
        <v>#REF!</v>
      </c>
      <c r="CA274" s="28" t="e">
        <f>#REF!*2</f>
        <v>#REF!</v>
      </c>
      <c r="CB274" s="9">
        <f>C274-B274</f>
        <v>0</v>
      </c>
      <c r="CC274" s="9">
        <f>D274-C274</f>
        <v>0</v>
      </c>
      <c r="CD274" s="9">
        <f>E274-D274</f>
        <v>0</v>
      </c>
      <c r="CE274" s="9">
        <f>F274-E274</f>
        <v>0</v>
      </c>
      <c r="CF274" s="9">
        <f>G274-F274</f>
        <v>0</v>
      </c>
      <c r="CG274" s="33"/>
      <c r="CH274" s="3">
        <f>C274-B274</f>
        <v>0</v>
      </c>
      <c r="CI274" s="3">
        <f>D274-C274</f>
        <v>0</v>
      </c>
      <c r="CJ274" s="3">
        <f>E274-D274</f>
        <v>0</v>
      </c>
      <c r="CK274" s="3">
        <f>F274-E274</f>
        <v>0</v>
      </c>
      <c r="CL274" s="3">
        <f>G274-F274</f>
        <v>0</v>
      </c>
      <c r="CM274" s="32"/>
      <c r="CN274" s="3">
        <f>IF(OR(CH274="",ISBLANK(CH274),CH274=0),0,IF(MOD(CH274,2)=1,1,2))</f>
        <v>0</v>
      </c>
      <c r="CO274" s="3">
        <f>IF(OR(CI274="",ISBLANK(CI274),CI274=0),0,IF(MOD(CI274,2)=1,1,2))</f>
        <v>0</v>
      </c>
      <c r="CP274" s="3">
        <f>IF(OR(CJ274="",ISBLANK(CJ274),CJ274=0),0,IF(MOD(CJ274,2)=1,1,2))</f>
        <v>0</v>
      </c>
      <c r="CQ274" s="3">
        <f>IF(OR(CK274="",ISBLANK(CK274),CK274=0),0,IF(MOD(CK274,2)=1,1,2))</f>
        <v>0</v>
      </c>
      <c r="CR274" s="3">
        <f>IF(OR(CL274="",ISBLANK(CL274),CL274=0),0,IF(MOD(CL274,2)=1,1,2))</f>
        <v>0</v>
      </c>
      <c r="CS274" s="31"/>
      <c r="CT274" s="3" cm="1">
        <f t="array" ref="CT274">SUMPRODUCT(--(MOD(CH274:CL274,2)=1))</f>
        <v>0</v>
      </c>
      <c r="CU274" s="3">
        <f>5-CT274</f>
        <v>5</v>
      </c>
      <c r="CV274" s="30"/>
      <c r="CW274" s="3" cm="1">
        <f t="array" ref="CW274">SUMPRODUCT(--(MOD(CH274:CL274,10)&gt;=1), --(MOD(CH274:CL274,10)&lt;=5))</f>
        <v>0</v>
      </c>
      <c r="CX274" s="3">
        <f>5-CW274</f>
        <v>5</v>
      </c>
      <c r="CY274" s="30"/>
      <c r="CZ274" s="3" cm="1">
        <f t="array" ref="CZ274">IFERROR(COUNT(_xlfn._xlws.FILTER(CH274:CL274, ISNUMBER(MATCH(CH274:CL274, {2,3,5,7,11,13,17,19,23,29,31,37,41,43}, 0)))), 0)</f>
        <v>0</v>
      </c>
      <c r="DA274" s="3" cm="1">
        <f t="array" ref="DA274">IFERROR(COUNT(_xlfn._xlws.FILTER(CH274:CL274, ISNUMBER(MATCH(CH274:CL274, {1,4,8,10,14,16,20,22,25,26,28,32,34,35,38,40,44}, 0)))), 0)</f>
        <v>0</v>
      </c>
      <c r="DB274" s="3" cm="1">
        <f t="array" ref="DB274">IFERROR(COUNT(_xlfn._xlws.FILTER(CH274:CL274, ISNUMBER(MATCH(CH274:CL274, {6,9,12,15,18,21,24,27,30,33,36,39,42,45}, 0)))), 0)</f>
        <v>0</v>
      </c>
      <c r="DC274" s="29"/>
      <c r="DD274" s="28" t="e">
        <f>#REF!</f>
        <v>#REF!</v>
      </c>
      <c r="DE274" s="28" t="e">
        <f>#REF!*2</f>
        <v>#REF!</v>
      </c>
      <c r="DF274" s="28" t="e">
        <f>#REF!</f>
        <v>#REF!</v>
      </c>
      <c r="DG274" s="28" t="e">
        <f>#REF!*2</f>
        <v>#REF!</v>
      </c>
      <c r="DH274" s="28" t="e">
        <f>#REF!</f>
        <v>#REF!</v>
      </c>
      <c r="DI274" s="28" t="e">
        <f>#REF!*2</f>
        <v>#REF!</v>
      </c>
      <c r="DJ274" s="28" t="e">
        <f>#REF!</f>
        <v>#REF!</v>
      </c>
      <c r="DK274" s="28" t="e">
        <f>#REF!*2</f>
        <v>#REF!</v>
      </c>
      <c r="DL274" s="28" t="e">
        <f>#REF!</f>
        <v>#REF!</v>
      </c>
      <c r="DM274" s="28" t="e">
        <f>#REF!*2</f>
        <v>#REF!</v>
      </c>
      <c r="DN274" s="27"/>
      <c r="DO274" s="26"/>
      <c r="DP274" s="26"/>
      <c r="DQ274" s="26"/>
      <c r="DR274" s="26"/>
      <c r="DS274" s="26"/>
      <c r="DT274" s="25"/>
    </row>
    <row r="275" spans="2:124" x14ac:dyDescent="0.3"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2"/>
      <c r="I275" s="3">
        <f>IF(OR(B275="",ISBLANK(B275),B275=0),0,IF(MOD(B275,2)=1,1,2))</f>
        <v>0</v>
      </c>
      <c r="J275" s="3">
        <f>IF(OR(C275="",ISBLANK(C275),C275=0),0,IF(MOD(C275,2)=1,1,2))</f>
        <v>0</v>
      </c>
      <c r="K275" s="3">
        <f>IF(OR(D275="",ISBLANK(D275),D275=0),0,IF(MOD(D275,2)=1,1,2))</f>
        <v>0</v>
      </c>
      <c r="L275" s="3">
        <f>IF(OR(E275="",ISBLANK(E275),E275=0),0,IF(MOD(E275,2)=1,1,2))</f>
        <v>0</v>
      </c>
      <c r="M275" s="3">
        <f>IF(OR(F275="",ISBLANK(F275),F275=0),0,IF(MOD(F275,2)=1,1,2))</f>
        <v>0</v>
      </c>
      <c r="N275" s="3">
        <f>IF(OR(G275="",ISBLANK(G275),G275=0),0,IF(MOD(G275,2)=1,1,2))</f>
        <v>0</v>
      </c>
      <c r="O275" s="32"/>
      <c r="P275" s="3" cm="1">
        <f t="array" ref="P275">SUMPRODUCT(--(MOD(B275:G275,2)=1))</f>
        <v>0</v>
      </c>
      <c r="Q275" s="3">
        <f>6-P275</f>
        <v>6</v>
      </c>
      <c r="R275" s="34"/>
      <c r="S275" s="3">
        <f>COUNTIFS(B275:G275,"&gt;=1",B275:G275,"&lt;=23")</f>
        <v>0</v>
      </c>
      <c r="T275" s="3">
        <f>6-S275</f>
        <v>6</v>
      </c>
      <c r="U275" s="34"/>
      <c r="V275" s="3" cm="1">
        <f t="array" ref="V275">SUMPRODUCT(--(MOD(B275:G275,10)&gt;=1), --(MOD(B275:G275,10)&lt;=5))</f>
        <v>0</v>
      </c>
      <c r="W275" s="3">
        <f>6-V275</f>
        <v>6</v>
      </c>
      <c r="X275" s="34"/>
      <c r="Y275" s="3" cm="1">
        <f t="array" ref="Y275">IFERROR(COUNT(_xlfn._xlws.FILTER(B275:G275, ISNUMBER(MATCH(B275:G275, {2,3,5,7,11,13,17,19,23,29,31,37,41,43}, 0)))), 0)</f>
        <v>0</v>
      </c>
      <c r="Z275" s="3" cm="1">
        <f t="array" ref="Z275">IFERROR(COUNT(_xlfn._xlws.FILTER(B275:G275, ISNUMBER(MATCH(B275:G275, {1,4,8,10,14,16,20,22,25,26,28,32,34,35,38,40,44}, 0)))), 0)</f>
        <v>0</v>
      </c>
      <c r="AA275" s="3" cm="1">
        <f t="array" ref="AA275">IFERROR(COUNT(_xlfn._xlws.FILTER(B275:G275, ISNUMBER(MATCH(B275:G275, {6,9,12,15,18,21,24,27,30,33,36,39,42,45}, 0)))), 0)</f>
        <v>0</v>
      </c>
      <c r="AB275" s="30"/>
      <c r="AC275" s="26" cm="1">
        <f t="array" ref="AC275">_xlfn.IFS(
   OR(B275="",ISBLANK(B275),B275=0),0,
   ISNUMBER(MATCH(B275,{2,3,5,7,11,13,17,19,23,29,31,37,41,43},0)),"소",
   AND(ISNUMBER(B275),MOD(B275,3)=0),"배",
   AND(ISNUMBER(B275),B275&gt;0),"자"
)</f>
        <v>0</v>
      </c>
      <c r="AD275" s="26" cm="1">
        <f t="array" ref="AD275">_xlfn.IFS(
   OR(C275="",ISBLANK(C275),C275=0),0,
   ISNUMBER(MATCH(C275,{2,3,5,7,11,13,17,19,23,29,31,37,41,43},0)),"소",
   AND(ISNUMBER(C275),MOD(C275,3)=0),"배",
   AND(ISNUMBER(C275),C275&gt;0),"자"
)</f>
        <v>0</v>
      </c>
      <c r="AE275" s="26" cm="1">
        <f t="array" ref="AE275">_xlfn.IFS(
   OR(D275="",ISBLANK(D275),D275=0),0,
   ISNUMBER(MATCH(D275,{2,3,5,7,11,13,17,19,23,29,31,37,41,43},0)),"소",
   AND(ISNUMBER(D275),MOD(D275,3)=0),"배",
   AND(ISNUMBER(D275),D275&gt;0),"자"
)</f>
        <v>0</v>
      </c>
      <c r="AF275" s="26" cm="1">
        <f t="array" ref="AF275">_xlfn.IFS(
   OR(E275="",ISBLANK(E275),E275=0),0,
   ISNUMBER(MATCH(E275,{2,3,5,7,11,13,17,19,23,29,31,37,41,43},0)),"소",
   AND(ISNUMBER(E275),MOD(E275,3)=0),"배",
   AND(ISNUMBER(E275),E275&gt;0),"자"
)</f>
        <v>0</v>
      </c>
      <c r="AG275" s="26" cm="1">
        <f t="array" ref="AG275">_xlfn.IFS(
   OR(F275="",ISBLANK(F275),F275=0),0,
   ISNUMBER(MATCH(F275,{2,3,5,7,11,13,17,19,23,29,31,37,41,43},0)),"소",
   AND(ISNUMBER(F275),MOD(F275,3)=0),"배",
   AND(ISNUMBER(F275),F275&gt;0),"자"
)</f>
        <v>0</v>
      </c>
      <c r="AH275" s="26" cm="1">
        <f t="array" ref="AH275">_xlfn.IFS(
   OR(G275="",ISBLANK(G275),G275=0),0,
   ISNUMBER(MATCH(G275,{2,3,5,7,11,13,17,19,23,29,31,37,41,43},0)),"소",
   AND(ISNUMBER(G275),MOD(G275,3)=0),"배",
   AND(ISNUMBER(G275),G275&gt;0),"자"
)</f>
        <v>0</v>
      </c>
      <c r="AI275" s="30"/>
      <c r="AJ275" s="3">
        <f>COUNTIFS(B275:G275,"&gt;=1",B275:G275,"&lt;=14")</f>
        <v>0</v>
      </c>
      <c r="AK275" s="3">
        <f>COUNTIFS(B275:G275,"&gt;=15",B275:G275,"&lt;=31")</f>
        <v>0</v>
      </c>
      <c r="AL275" s="3">
        <f>6-AK275-AJ275</f>
        <v>6</v>
      </c>
      <c r="AM275" s="33"/>
      <c r="AN275" s="3">
        <f>COUNTIFS($B275:$G275, "&gt;=1",$B275:$G275, "&lt;=9")</f>
        <v>0</v>
      </c>
      <c r="AO275" s="3">
        <f>COUNTIFS($B275:$G275, "&gt;=10",$B275:$G275, "&lt;=18")</f>
        <v>0</v>
      </c>
      <c r="AP275" s="3">
        <f>COUNTIFS($B275:$G275, "&gt;=19",$B275:$G275, "&lt;=27")</f>
        <v>0</v>
      </c>
      <c r="AQ275" s="3">
        <f>COUNTIFS($B275:$G275, "&gt;=28",$B275:$G275, "&lt;=36")</f>
        <v>0</v>
      </c>
      <c r="AR275" s="3">
        <f>COUNTIFS($B275:$G275, "&gt;=37",$B275:$G275, "&lt;=45")</f>
        <v>0</v>
      </c>
      <c r="AS275" s="28" t="e">
        <f>#REF!</f>
        <v>#REF!</v>
      </c>
      <c r="AT275" s="28" t="e">
        <f>#REF!*2</f>
        <v>#REF!</v>
      </c>
      <c r="AU275" s="28" t="e">
        <f>#REF!</f>
        <v>#REF!</v>
      </c>
      <c r="AV275" s="28" t="e">
        <f>#REF!*2</f>
        <v>#REF!</v>
      </c>
      <c r="AW275" s="28" t="e">
        <f>#REF!</f>
        <v>#REF!</v>
      </c>
      <c r="AX275" s="28" t="e">
        <f>#REF!*2</f>
        <v>#REF!</v>
      </c>
      <c r="AY275" s="28" t="e">
        <f>#REF!</f>
        <v>#REF!</v>
      </c>
      <c r="AZ275" s="28" t="e">
        <f>#REF!*2</f>
        <v>#REF!</v>
      </c>
      <c r="BA275" s="28" t="e">
        <f>#REF!</f>
        <v>#REF!</v>
      </c>
      <c r="BB275" s="28" t="e">
        <f>#REF!*2</f>
        <v>#REF!</v>
      </c>
      <c r="BC275" s="28" t="e">
        <f>#REF!</f>
        <v>#REF!</v>
      </c>
      <c r="BD275" s="28" t="e">
        <f>#REF!*2</f>
        <v>#REF!</v>
      </c>
      <c r="BE275" s="9" t="e">
        <f>#REF!-#REF!</f>
        <v>#REF!</v>
      </c>
      <c r="BF275" s="9" t="e">
        <f>#REF!-#REF!</f>
        <v>#REF!</v>
      </c>
      <c r="BG275" s="9" t="e">
        <f>#REF!-#REF!</f>
        <v>#REF!</v>
      </c>
      <c r="BH275" s="9" t="e">
        <f>#REF!-#REF!</f>
        <v>#REF!</v>
      </c>
      <c r="BI275" s="9" t="e">
        <f>#REF!-#REF!</f>
        <v>#REF!</v>
      </c>
      <c r="BJ275" s="33"/>
      <c r="BK275" s="3">
        <f>COUNTIFS(B275:G275, "&gt;=1", B275:G275, "&lt;=9")</f>
        <v>0</v>
      </c>
      <c r="BL275" s="3">
        <f>COUNTIFS(B275:G275, "&gt;=10", B275:G275, "&lt;=19")</f>
        <v>0</v>
      </c>
      <c r="BM275" s="3">
        <f>COUNTIFS(B275:G275, "&gt;=20", B275:G275, "&lt;=29")</f>
        <v>0</v>
      </c>
      <c r="BN275" s="3">
        <f>COUNTIFS(B275:G275, "&gt;=30", B275:G275, "&lt;=39")</f>
        <v>0</v>
      </c>
      <c r="BO275" s="3">
        <f>COUNTIFS(B275:G275, "&gt;=40", B275:G275, "&lt;=45")</f>
        <v>0</v>
      </c>
      <c r="BP275" s="28" t="e">
        <f>#REF!</f>
        <v>#REF!</v>
      </c>
      <c r="BQ275" s="28" t="e">
        <f>#REF!*2</f>
        <v>#REF!</v>
      </c>
      <c r="BR275" s="28" t="e">
        <f>#REF!</f>
        <v>#REF!</v>
      </c>
      <c r="BS275" s="28" t="e">
        <f>#REF!*2</f>
        <v>#REF!</v>
      </c>
      <c r="BT275" s="28" t="e">
        <f>#REF!</f>
        <v>#REF!</v>
      </c>
      <c r="BU275" s="28" t="e">
        <f>#REF!*2</f>
        <v>#REF!</v>
      </c>
      <c r="BV275" s="28" t="e">
        <f>#REF!</f>
        <v>#REF!</v>
      </c>
      <c r="BW275" s="28" t="e">
        <f>#REF!*2</f>
        <v>#REF!</v>
      </c>
      <c r="BX275" s="28" t="e">
        <f>#REF!</f>
        <v>#REF!</v>
      </c>
      <c r="BY275" s="28" t="e">
        <f>#REF!*2</f>
        <v>#REF!</v>
      </c>
      <c r="BZ275" s="28" t="e">
        <f>#REF!</f>
        <v>#REF!</v>
      </c>
      <c r="CA275" s="28" t="e">
        <f>#REF!*2</f>
        <v>#REF!</v>
      </c>
      <c r="CB275" s="9">
        <f>C275-B275</f>
        <v>0</v>
      </c>
      <c r="CC275" s="9">
        <f>D275-C275</f>
        <v>0</v>
      </c>
      <c r="CD275" s="9">
        <f>E275-D275</f>
        <v>0</v>
      </c>
      <c r="CE275" s="9">
        <f>F275-E275</f>
        <v>0</v>
      </c>
      <c r="CF275" s="9">
        <f>G275-F275</f>
        <v>0</v>
      </c>
      <c r="CG275" s="33"/>
      <c r="CH275" s="3">
        <f>C275-B275</f>
        <v>0</v>
      </c>
      <c r="CI275" s="3">
        <f>D275-C275</f>
        <v>0</v>
      </c>
      <c r="CJ275" s="3">
        <f>E275-D275</f>
        <v>0</v>
      </c>
      <c r="CK275" s="3">
        <f>F275-E275</f>
        <v>0</v>
      </c>
      <c r="CL275" s="3">
        <f>G275-F275</f>
        <v>0</v>
      </c>
      <c r="CM275" s="32"/>
      <c r="CN275" s="3">
        <f>IF(OR(CH275="",ISBLANK(CH275),CH275=0),0,IF(MOD(CH275,2)=1,1,2))</f>
        <v>0</v>
      </c>
      <c r="CO275" s="3">
        <f>IF(OR(CI275="",ISBLANK(CI275),CI275=0),0,IF(MOD(CI275,2)=1,1,2))</f>
        <v>0</v>
      </c>
      <c r="CP275" s="3">
        <f>IF(OR(CJ275="",ISBLANK(CJ275),CJ275=0),0,IF(MOD(CJ275,2)=1,1,2))</f>
        <v>0</v>
      </c>
      <c r="CQ275" s="3">
        <f>IF(OR(CK275="",ISBLANK(CK275),CK275=0),0,IF(MOD(CK275,2)=1,1,2))</f>
        <v>0</v>
      </c>
      <c r="CR275" s="3">
        <f>IF(OR(CL275="",ISBLANK(CL275),CL275=0),0,IF(MOD(CL275,2)=1,1,2))</f>
        <v>0</v>
      </c>
      <c r="CS275" s="31"/>
      <c r="CT275" s="3" cm="1">
        <f t="array" ref="CT275">SUMPRODUCT(--(MOD(CH275:CL275,2)=1))</f>
        <v>0</v>
      </c>
      <c r="CU275" s="3">
        <f>5-CT275</f>
        <v>5</v>
      </c>
      <c r="CV275" s="30"/>
      <c r="CW275" s="3" cm="1">
        <f t="array" ref="CW275">SUMPRODUCT(--(MOD(CH275:CL275,10)&gt;=1), --(MOD(CH275:CL275,10)&lt;=5))</f>
        <v>0</v>
      </c>
      <c r="CX275" s="3">
        <f>5-CW275</f>
        <v>5</v>
      </c>
      <c r="CY275" s="30"/>
      <c r="CZ275" s="3" cm="1">
        <f t="array" ref="CZ275">IFERROR(COUNT(_xlfn._xlws.FILTER(CH275:CL275, ISNUMBER(MATCH(CH275:CL275, {2,3,5,7,11,13,17,19,23,29,31,37,41,43}, 0)))), 0)</f>
        <v>0</v>
      </c>
      <c r="DA275" s="3" cm="1">
        <f t="array" ref="DA275">IFERROR(COUNT(_xlfn._xlws.FILTER(CH275:CL275, ISNUMBER(MATCH(CH275:CL275, {1,4,8,10,14,16,20,22,25,26,28,32,34,35,38,40,44}, 0)))), 0)</f>
        <v>0</v>
      </c>
      <c r="DB275" s="3" cm="1">
        <f t="array" ref="DB275">IFERROR(COUNT(_xlfn._xlws.FILTER(CH275:CL275, ISNUMBER(MATCH(CH275:CL275, {6,9,12,15,18,21,24,27,30,33,36,39,42,45}, 0)))), 0)</f>
        <v>0</v>
      </c>
      <c r="DC275" s="29"/>
      <c r="DD275" s="28" t="e">
        <f>#REF!</f>
        <v>#REF!</v>
      </c>
      <c r="DE275" s="28" t="e">
        <f>#REF!*2</f>
        <v>#REF!</v>
      </c>
      <c r="DF275" s="28" t="e">
        <f>#REF!</f>
        <v>#REF!</v>
      </c>
      <c r="DG275" s="28" t="e">
        <f>#REF!*2</f>
        <v>#REF!</v>
      </c>
      <c r="DH275" s="28" t="e">
        <f>#REF!</f>
        <v>#REF!</v>
      </c>
      <c r="DI275" s="28" t="e">
        <f>#REF!*2</f>
        <v>#REF!</v>
      </c>
      <c r="DJ275" s="28" t="e">
        <f>#REF!</f>
        <v>#REF!</v>
      </c>
      <c r="DK275" s="28" t="e">
        <f>#REF!*2</f>
        <v>#REF!</v>
      </c>
      <c r="DL275" s="28" t="e">
        <f>#REF!</f>
        <v>#REF!</v>
      </c>
      <c r="DM275" s="28" t="e">
        <f>#REF!*2</f>
        <v>#REF!</v>
      </c>
      <c r="DN275" s="27"/>
      <c r="DO275" s="26"/>
      <c r="DP275" s="26"/>
      <c r="DQ275" s="26"/>
      <c r="DR275" s="26"/>
      <c r="DS275" s="26"/>
      <c r="DT275" s="25"/>
    </row>
    <row r="276" spans="2:124" x14ac:dyDescent="0.3">
      <c r="B276" s="3">
        <v>0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2"/>
      <c r="I276" s="3">
        <f>IF(OR(B276="",ISBLANK(B276),B276=0),0,IF(MOD(B276,2)=1,1,2))</f>
        <v>0</v>
      </c>
      <c r="J276" s="3">
        <f>IF(OR(C276="",ISBLANK(C276),C276=0),0,IF(MOD(C276,2)=1,1,2))</f>
        <v>0</v>
      </c>
      <c r="K276" s="3">
        <f>IF(OR(D276="",ISBLANK(D276),D276=0),0,IF(MOD(D276,2)=1,1,2))</f>
        <v>0</v>
      </c>
      <c r="L276" s="3">
        <f>IF(OR(E276="",ISBLANK(E276),E276=0),0,IF(MOD(E276,2)=1,1,2))</f>
        <v>0</v>
      </c>
      <c r="M276" s="3">
        <f>IF(OR(F276="",ISBLANK(F276),F276=0),0,IF(MOD(F276,2)=1,1,2))</f>
        <v>0</v>
      </c>
      <c r="N276" s="3">
        <f>IF(OR(G276="",ISBLANK(G276),G276=0),0,IF(MOD(G276,2)=1,1,2))</f>
        <v>0</v>
      </c>
      <c r="O276" s="32"/>
      <c r="P276" s="3" cm="1">
        <f t="array" ref="P276">SUMPRODUCT(--(MOD(B276:G276,2)=1))</f>
        <v>0</v>
      </c>
      <c r="Q276" s="3">
        <f>6-P276</f>
        <v>6</v>
      </c>
      <c r="R276" s="34"/>
      <c r="S276" s="3">
        <f>COUNTIFS(B276:G276,"&gt;=1",B276:G276,"&lt;=23")</f>
        <v>0</v>
      </c>
      <c r="T276" s="3">
        <f>6-S276</f>
        <v>6</v>
      </c>
      <c r="U276" s="34"/>
      <c r="V276" s="3" cm="1">
        <f t="array" ref="V276">SUMPRODUCT(--(MOD(B276:G276,10)&gt;=1), --(MOD(B276:G276,10)&lt;=5))</f>
        <v>0</v>
      </c>
      <c r="W276" s="3">
        <f>6-V276</f>
        <v>6</v>
      </c>
      <c r="X276" s="34"/>
      <c r="Y276" s="3" cm="1">
        <f t="array" ref="Y276">IFERROR(COUNT(_xlfn._xlws.FILTER(B276:G276, ISNUMBER(MATCH(B276:G276, {2,3,5,7,11,13,17,19,23,29,31,37,41,43}, 0)))), 0)</f>
        <v>0</v>
      </c>
      <c r="Z276" s="3" cm="1">
        <f t="array" ref="Z276">IFERROR(COUNT(_xlfn._xlws.FILTER(B276:G276, ISNUMBER(MATCH(B276:G276, {1,4,8,10,14,16,20,22,25,26,28,32,34,35,38,40,44}, 0)))), 0)</f>
        <v>0</v>
      </c>
      <c r="AA276" s="3" cm="1">
        <f t="array" ref="AA276">IFERROR(COUNT(_xlfn._xlws.FILTER(B276:G276, ISNUMBER(MATCH(B276:G276, {6,9,12,15,18,21,24,27,30,33,36,39,42,45}, 0)))), 0)</f>
        <v>0</v>
      </c>
      <c r="AB276" s="30"/>
      <c r="AC276" s="26" cm="1">
        <f t="array" ref="AC276">_xlfn.IFS(
   OR(B276="",ISBLANK(B276),B276=0),0,
   ISNUMBER(MATCH(B276,{2,3,5,7,11,13,17,19,23,29,31,37,41,43},0)),"소",
   AND(ISNUMBER(B276),MOD(B276,3)=0),"배",
   AND(ISNUMBER(B276),B276&gt;0),"자"
)</f>
        <v>0</v>
      </c>
      <c r="AD276" s="26" cm="1">
        <f t="array" ref="AD276">_xlfn.IFS(
   OR(C276="",ISBLANK(C276),C276=0),0,
   ISNUMBER(MATCH(C276,{2,3,5,7,11,13,17,19,23,29,31,37,41,43},0)),"소",
   AND(ISNUMBER(C276),MOD(C276,3)=0),"배",
   AND(ISNUMBER(C276),C276&gt;0),"자"
)</f>
        <v>0</v>
      </c>
      <c r="AE276" s="26" cm="1">
        <f t="array" ref="AE276">_xlfn.IFS(
   OR(D276="",ISBLANK(D276),D276=0),0,
   ISNUMBER(MATCH(D276,{2,3,5,7,11,13,17,19,23,29,31,37,41,43},0)),"소",
   AND(ISNUMBER(D276),MOD(D276,3)=0),"배",
   AND(ISNUMBER(D276),D276&gt;0),"자"
)</f>
        <v>0</v>
      </c>
      <c r="AF276" s="26" cm="1">
        <f t="array" ref="AF276">_xlfn.IFS(
   OR(E276="",ISBLANK(E276),E276=0),0,
   ISNUMBER(MATCH(E276,{2,3,5,7,11,13,17,19,23,29,31,37,41,43},0)),"소",
   AND(ISNUMBER(E276),MOD(E276,3)=0),"배",
   AND(ISNUMBER(E276),E276&gt;0),"자"
)</f>
        <v>0</v>
      </c>
      <c r="AG276" s="26" cm="1">
        <f t="array" ref="AG276">_xlfn.IFS(
   OR(F276="",ISBLANK(F276),F276=0),0,
   ISNUMBER(MATCH(F276,{2,3,5,7,11,13,17,19,23,29,31,37,41,43},0)),"소",
   AND(ISNUMBER(F276),MOD(F276,3)=0),"배",
   AND(ISNUMBER(F276),F276&gt;0),"자"
)</f>
        <v>0</v>
      </c>
      <c r="AH276" s="26" cm="1">
        <f t="array" ref="AH276">_xlfn.IFS(
   OR(G276="",ISBLANK(G276),G276=0),0,
   ISNUMBER(MATCH(G276,{2,3,5,7,11,13,17,19,23,29,31,37,41,43},0)),"소",
   AND(ISNUMBER(G276),MOD(G276,3)=0),"배",
   AND(ISNUMBER(G276),G276&gt;0),"자"
)</f>
        <v>0</v>
      </c>
      <c r="AI276" s="30"/>
      <c r="AJ276" s="3">
        <f>COUNTIFS(B276:G276,"&gt;=1",B276:G276,"&lt;=14")</f>
        <v>0</v>
      </c>
      <c r="AK276" s="3">
        <f>COUNTIFS(B276:G276,"&gt;=15",B276:G276,"&lt;=31")</f>
        <v>0</v>
      </c>
      <c r="AL276" s="3">
        <f>6-AK276-AJ276</f>
        <v>6</v>
      </c>
      <c r="AM276" s="33"/>
      <c r="AN276" s="3">
        <f>COUNTIFS($B276:$G276, "&gt;=1",$B276:$G276, "&lt;=9")</f>
        <v>0</v>
      </c>
      <c r="AO276" s="3">
        <f>COUNTIFS($B276:$G276, "&gt;=10",$B276:$G276, "&lt;=18")</f>
        <v>0</v>
      </c>
      <c r="AP276" s="3">
        <f>COUNTIFS($B276:$G276, "&gt;=19",$B276:$G276, "&lt;=27")</f>
        <v>0</v>
      </c>
      <c r="AQ276" s="3">
        <f>COUNTIFS($B276:$G276, "&gt;=28",$B276:$G276, "&lt;=36")</f>
        <v>0</v>
      </c>
      <c r="AR276" s="3">
        <f>COUNTIFS($B276:$G276, "&gt;=37",$B276:$G276, "&lt;=45")</f>
        <v>0</v>
      </c>
      <c r="AS276" s="28" t="e">
        <f>#REF!</f>
        <v>#REF!</v>
      </c>
      <c r="AT276" s="28" t="e">
        <f>#REF!*2</f>
        <v>#REF!</v>
      </c>
      <c r="AU276" s="28" t="e">
        <f>#REF!</f>
        <v>#REF!</v>
      </c>
      <c r="AV276" s="28" t="e">
        <f>#REF!*2</f>
        <v>#REF!</v>
      </c>
      <c r="AW276" s="28" t="e">
        <f>#REF!</f>
        <v>#REF!</v>
      </c>
      <c r="AX276" s="28" t="e">
        <f>#REF!*2</f>
        <v>#REF!</v>
      </c>
      <c r="AY276" s="28" t="e">
        <f>#REF!</f>
        <v>#REF!</v>
      </c>
      <c r="AZ276" s="28" t="e">
        <f>#REF!*2</f>
        <v>#REF!</v>
      </c>
      <c r="BA276" s="28" t="e">
        <f>#REF!</f>
        <v>#REF!</v>
      </c>
      <c r="BB276" s="28" t="e">
        <f>#REF!*2</f>
        <v>#REF!</v>
      </c>
      <c r="BC276" s="28" t="e">
        <f>#REF!</f>
        <v>#REF!</v>
      </c>
      <c r="BD276" s="28" t="e">
        <f>#REF!*2</f>
        <v>#REF!</v>
      </c>
      <c r="BE276" s="9" t="e">
        <f>#REF!-#REF!</f>
        <v>#REF!</v>
      </c>
      <c r="BF276" s="9" t="e">
        <f>#REF!-#REF!</f>
        <v>#REF!</v>
      </c>
      <c r="BG276" s="9" t="e">
        <f>#REF!-#REF!</f>
        <v>#REF!</v>
      </c>
      <c r="BH276" s="9" t="e">
        <f>#REF!-#REF!</f>
        <v>#REF!</v>
      </c>
      <c r="BI276" s="9" t="e">
        <f>#REF!-#REF!</f>
        <v>#REF!</v>
      </c>
      <c r="BJ276" s="33"/>
      <c r="BK276" s="3">
        <f>COUNTIFS(B276:G276, "&gt;=1", B276:G276, "&lt;=9")</f>
        <v>0</v>
      </c>
      <c r="BL276" s="3">
        <f>COUNTIFS(B276:G276, "&gt;=10", B276:G276, "&lt;=19")</f>
        <v>0</v>
      </c>
      <c r="BM276" s="3">
        <f>COUNTIFS(B276:G276, "&gt;=20", B276:G276, "&lt;=29")</f>
        <v>0</v>
      </c>
      <c r="BN276" s="3">
        <f>COUNTIFS(B276:G276, "&gt;=30", B276:G276, "&lt;=39")</f>
        <v>0</v>
      </c>
      <c r="BO276" s="3">
        <f>COUNTIFS(B276:G276, "&gt;=40", B276:G276, "&lt;=45")</f>
        <v>0</v>
      </c>
      <c r="BP276" s="28" t="e">
        <f>#REF!</f>
        <v>#REF!</v>
      </c>
      <c r="BQ276" s="28" t="e">
        <f>#REF!*2</f>
        <v>#REF!</v>
      </c>
      <c r="BR276" s="28" t="e">
        <f>#REF!</f>
        <v>#REF!</v>
      </c>
      <c r="BS276" s="28" t="e">
        <f>#REF!*2</f>
        <v>#REF!</v>
      </c>
      <c r="BT276" s="28" t="e">
        <f>#REF!</f>
        <v>#REF!</v>
      </c>
      <c r="BU276" s="28" t="e">
        <f>#REF!*2</f>
        <v>#REF!</v>
      </c>
      <c r="BV276" s="28" t="e">
        <f>#REF!</f>
        <v>#REF!</v>
      </c>
      <c r="BW276" s="28" t="e">
        <f>#REF!*2</f>
        <v>#REF!</v>
      </c>
      <c r="BX276" s="28" t="e">
        <f>#REF!</f>
        <v>#REF!</v>
      </c>
      <c r="BY276" s="28" t="e">
        <f>#REF!*2</f>
        <v>#REF!</v>
      </c>
      <c r="BZ276" s="28" t="e">
        <f>#REF!</f>
        <v>#REF!</v>
      </c>
      <c r="CA276" s="28" t="e">
        <f>#REF!*2</f>
        <v>#REF!</v>
      </c>
      <c r="CB276" s="9">
        <f>C276-B276</f>
        <v>0</v>
      </c>
      <c r="CC276" s="9">
        <f>D276-C276</f>
        <v>0</v>
      </c>
      <c r="CD276" s="9">
        <f>E276-D276</f>
        <v>0</v>
      </c>
      <c r="CE276" s="9">
        <f>F276-E276</f>
        <v>0</v>
      </c>
      <c r="CF276" s="9">
        <f>G276-F276</f>
        <v>0</v>
      </c>
      <c r="CG276" s="33"/>
      <c r="CH276" s="3">
        <f>C276-B276</f>
        <v>0</v>
      </c>
      <c r="CI276" s="3">
        <f>D276-C276</f>
        <v>0</v>
      </c>
      <c r="CJ276" s="3">
        <f>E276-D276</f>
        <v>0</v>
      </c>
      <c r="CK276" s="3">
        <f>F276-E276</f>
        <v>0</v>
      </c>
      <c r="CL276" s="3">
        <f>G276-F276</f>
        <v>0</v>
      </c>
      <c r="CM276" s="32"/>
      <c r="CN276" s="3">
        <f>IF(OR(CH276="",ISBLANK(CH276),CH276=0),0,IF(MOD(CH276,2)=1,1,2))</f>
        <v>0</v>
      </c>
      <c r="CO276" s="3">
        <f>IF(OR(CI276="",ISBLANK(CI276),CI276=0),0,IF(MOD(CI276,2)=1,1,2))</f>
        <v>0</v>
      </c>
      <c r="CP276" s="3">
        <f>IF(OR(CJ276="",ISBLANK(CJ276),CJ276=0),0,IF(MOD(CJ276,2)=1,1,2))</f>
        <v>0</v>
      </c>
      <c r="CQ276" s="3">
        <f>IF(OR(CK276="",ISBLANK(CK276),CK276=0),0,IF(MOD(CK276,2)=1,1,2))</f>
        <v>0</v>
      </c>
      <c r="CR276" s="3">
        <f>IF(OR(CL276="",ISBLANK(CL276),CL276=0),0,IF(MOD(CL276,2)=1,1,2))</f>
        <v>0</v>
      </c>
      <c r="CS276" s="31"/>
      <c r="CT276" s="3" cm="1">
        <f t="array" ref="CT276">SUMPRODUCT(--(MOD(CH276:CL276,2)=1))</f>
        <v>0</v>
      </c>
      <c r="CU276" s="3">
        <f>5-CT276</f>
        <v>5</v>
      </c>
      <c r="CV276" s="30"/>
      <c r="CW276" s="3" cm="1">
        <f t="array" ref="CW276">SUMPRODUCT(--(MOD(CH276:CL276,10)&gt;=1), --(MOD(CH276:CL276,10)&lt;=5))</f>
        <v>0</v>
      </c>
      <c r="CX276" s="3">
        <f>5-CW276</f>
        <v>5</v>
      </c>
      <c r="CY276" s="30"/>
      <c r="CZ276" s="3" cm="1">
        <f t="array" ref="CZ276">IFERROR(COUNT(_xlfn._xlws.FILTER(CH276:CL276, ISNUMBER(MATCH(CH276:CL276, {2,3,5,7,11,13,17,19,23,29,31,37,41,43}, 0)))), 0)</f>
        <v>0</v>
      </c>
      <c r="DA276" s="3" cm="1">
        <f t="array" ref="DA276">IFERROR(COUNT(_xlfn._xlws.FILTER(CH276:CL276, ISNUMBER(MATCH(CH276:CL276, {1,4,8,10,14,16,20,22,25,26,28,32,34,35,38,40,44}, 0)))), 0)</f>
        <v>0</v>
      </c>
      <c r="DB276" s="3" cm="1">
        <f t="array" ref="DB276">IFERROR(COUNT(_xlfn._xlws.FILTER(CH276:CL276, ISNUMBER(MATCH(CH276:CL276, {6,9,12,15,18,21,24,27,30,33,36,39,42,45}, 0)))), 0)</f>
        <v>0</v>
      </c>
      <c r="DC276" s="29"/>
      <c r="DD276" s="28" t="e">
        <f>#REF!</f>
        <v>#REF!</v>
      </c>
      <c r="DE276" s="28" t="e">
        <f>#REF!*2</f>
        <v>#REF!</v>
      </c>
      <c r="DF276" s="28" t="e">
        <f>#REF!</f>
        <v>#REF!</v>
      </c>
      <c r="DG276" s="28" t="e">
        <f>#REF!*2</f>
        <v>#REF!</v>
      </c>
      <c r="DH276" s="28" t="e">
        <f>#REF!</f>
        <v>#REF!</v>
      </c>
      <c r="DI276" s="28" t="e">
        <f>#REF!*2</f>
        <v>#REF!</v>
      </c>
      <c r="DJ276" s="28" t="e">
        <f>#REF!</f>
        <v>#REF!</v>
      </c>
      <c r="DK276" s="28" t="e">
        <f>#REF!*2</f>
        <v>#REF!</v>
      </c>
      <c r="DL276" s="28" t="e">
        <f>#REF!</f>
        <v>#REF!</v>
      </c>
      <c r="DM276" s="28" t="e">
        <f>#REF!*2</f>
        <v>#REF!</v>
      </c>
      <c r="DN276" s="27"/>
      <c r="DO276" s="26"/>
      <c r="DP276" s="26"/>
      <c r="DQ276" s="26"/>
      <c r="DR276" s="26"/>
      <c r="DS276" s="26"/>
      <c r="DT276" s="25"/>
    </row>
    <row r="277" spans="2:124" x14ac:dyDescent="0.3">
      <c r="B277" s="3">
        <v>0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2"/>
      <c r="I277" s="3">
        <f>IF(OR(B277="",ISBLANK(B277),B277=0),0,IF(MOD(B277,2)=1,1,2))</f>
        <v>0</v>
      </c>
      <c r="J277" s="3">
        <f>IF(OR(C277="",ISBLANK(C277),C277=0),0,IF(MOD(C277,2)=1,1,2))</f>
        <v>0</v>
      </c>
      <c r="K277" s="3">
        <f>IF(OR(D277="",ISBLANK(D277),D277=0),0,IF(MOD(D277,2)=1,1,2))</f>
        <v>0</v>
      </c>
      <c r="L277" s="3">
        <f>IF(OR(E277="",ISBLANK(E277),E277=0),0,IF(MOD(E277,2)=1,1,2))</f>
        <v>0</v>
      </c>
      <c r="M277" s="3">
        <f>IF(OR(F277="",ISBLANK(F277),F277=0),0,IF(MOD(F277,2)=1,1,2))</f>
        <v>0</v>
      </c>
      <c r="N277" s="3">
        <f>IF(OR(G277="",ISBLANK(G277),G277=0),0,IF(MOD(G277,2)=1,1,2))</f>
        <v>0</v>
      </c>
      <c r="O277" s="32"/>
      <c r="P277" s="3" cm="1">
        <f t="array" ref="P277">SUMPRODUCT(--(MOD(B277:G277,2)=1))</f>
        <v>0</v>
      </c>
      <c r="Q277" s="3">
        <f>6-P277</f>
        <v>6</v>
      </c>
      <c r="R277" s="34"/>
      <c r="S277" s="3">
        <f>COUNTIFS(B277:G277,"&gt;=1",B277:G277,"&lt;=23")</f>
        <v>0</v>
      </c>
      <c r="T277" s="3">
        <f>6-S277</f>
        <v>6</v>
      </c>
      <c r="U277" s="34"/>
      <c r="V277" s="3" cm="1">
        <f t="array" ref="V277">SUMPRODUCT(--(MOD(B277:G277,10)&gt;=1), --(MOD(B277:G277,10)&lt;=5))</f>
        <v>0</v>
      </c>
      <c r="W277" s="3">
        <f>6-V277</f>
        <v>6</v>
      </c>
      <c r="X277" s="34"/>
      <c r="Y277" s="3" cm="1">
        <f t="array" ref="Y277">IFERROR(COUNT(_xlfn._xlws.FILTER(B277:G277, ISNUMBER(MATCH(B277:G277, {2,3,5,7,11,13,17,19,23,29,31,37,41,43}, 0)))), 0)</f>
        <v>0</v>
      </c>
      <c r="Z277" s="3" cm="1">
        <f t="array" ref="Z277">IFERROR(COUNT(_xlfn._xlws.FILTER(B277:G277, ISNUMBER(MATCH(B277:G277, {1,4,8,10,14,16,20,22,25,26,28,32,34,35,38,40,44}, 0)))), 0)</f>
        <v>0</v>
      </c>
      <c r="AA277" s="3" cm="1">
        <f t="array" ref="AA277">IFERROR(COUNT(_xlfn._xlws.FILTER(B277:G277, ISNUMBER(MATCH(B277:G277, {6,9,12,15,18,21,24,27,30,33,36,39,42,45}, 0)))), 0)</f>
        <v>0</v>
      </c>
      <c r="AB277" s="30"/>
      <c r="AC277" s="26" cm="1">
        <f t="array" ref="AC277">_xlfn.IFS(
   OR(B277="",ISBLANK(B277),B277=0),0,
   ISNUMBER(MATCH(B277,{2,3,5,7,11,13,17,19,23,29,31,37,41,43},0)),"소",
   AND(ISNUMBER(B277),MOD(B277,3)=0),"배",
   AND(ISNUMBER(B277),B277&gt;0),"자"
)</f>
        <v>0</v>
      </c>
      <c r="AD277" s="26" cm="1">
        <f t="array" ref="AD277">_xlfn.IFS(
   OR(C277="",ISBLANK(C277),C277=0),0,
   ISNUMBER(MATCH(C277,{2,3,5,7,11,13,17,19,23,29,31,37,41,43},0)),"소",
   AND(ISNUMBER(C277),MOD(C277,3)=0),"배",
   AND(ISNUMBER(C277),C277&gt;0),"자"
)</f>
        <v>0</v>
      </c>
      <c r="AE277" s="26" cm="1">
        <f t="array" ref="AE277">_xlfn.IFS(
   OR(D277="",ISBLANK(D277),D277=0),0,
   ISNUMBER(MATCH(D277,{2,3,5,7,11,13,17,19,23,29,31,37,41,43},0)),"소",
   AND(ISNUMBER(D277),MOD(D277,3)=0),"배",
   AND(ISNUMBER(D277),D277&gt;0),"자"
)</f>
        <v>0</v>
      </c>
      <c r="AF277" s="26" cm="1">
        <f t="array" ref="AF277">_xlfn.IFS(
   OR(E277="",ISBLANK(E277),E277=0),0,
   ISNUMBER(MATCH(E277,{2,3,5,7,11,13,17,19,23,29,31,37,41,43},0)),"소",
   AND(ISNUMBER(E277),MOD(E277,3)=0),"배",
   AND(ISNUMBER(E277),E277&gt;0),"자"
)</f>
        <v>0</v>
      </c>
      <c r="AG277" s="26" cm="1">
        <f t="array" ref="AG277">_xlfn.IFS(
   OR(F277="",ISBLANK(F277),F277=0),0,
   ISNUMBER(MATCH(F277,{2,3,5,7,11,13,17,19,23,29,31,37,41,43},0)),"소",
   AND(ISNUMBER(F277),MOD(F277,3)=0),"배",
   AND(ISNUMBER(F277),F277&gt;0),"자"
)</f>
        <v>0</v>
      </c>
      <c r="AH277" s="26" cm="1">
        <f t="array" ref="AH277">_xlfn.IFS(
   OR(G277="",ISBLANK(G277),G277=0),0,
   ISNUMBER(MATCH(G277,{2,3,5,7,11,13,17,19,23,29,31,37,41,43},0)),"소",
   AND(ISNUMBER(G277),MOD(G277,3)=0),"배",
   AND(ISNUMBER(G277),G277&gt;0),"자"
)</f>
        <v>0</v>
      </c>
      <c r="AI277" s="30"/>
      <c r="AJ277" s="3">
        <f>COUNTIFS(B277:G277,"&gt;=1",B277:G277,"&lt;=14")</f>
        <v>0</v>
      </c>
      <c r="AK277" s="3">
        <f>COUNTIFS(B277:G277,"&gt;=15",B277:G277,"&lt;=31")</f>
        <v>0</v>
      </c>
      <c r="AL277" s="3">
        <f>6-AK277-AJ277</f>
        <v>6</v>
      </c>
      <c r="AM277" s="33"/>
      <c r="AN277" s="3">
        <f>COUNTIFS($B277:$G277, "&gt;=1",$B277:$G277, "&lt;=9")</f>
        <v>0</v>
      </c>
      <c r="AO277" s="3">
        <f>COUNTIFS($B277:$G277, "&gt;=10",$B277:$G277, "&lt;=18")</f>
        <v>0</v>
      </c>
      <c r="AP277" s="3">
        <f>COUNTIFS($B277:$G277, "&gt;=19",$B277:$G277, "&lt;=27")</f>
        <v>0</v>
      </c>
      <c r="AQ277" s="3">
        <f>COUNTIFS($B277:$G277, "&gt;=28",$B277:$G277, "&lt;=36")</f>
        <v>0</v>
      </c>
      <c r="AR277" s="3">
        <f>COUNTIFS($B277:$G277, "&gt;=37",$B277:$G277, "&lt;=45")</f>
        <v>0</v>
      </c>
      <c r="AS277" s="28" t="e">
        <f>#REF!</f>
        <v>#REF!</v>
      </c>
      <c r="AT277" s="28" t="e">
        <f>#REF!*2</f>
        <v>#REF!</v>
      </c>
      <c r="AU277" s="28" t="e">
        <f>#REF!</f>
        <v>#REF!</v>
      </c>
      <c r="AV277" s="28" t="e">
        <f>#REF!*2</f>
        <v>#REF!</v>
      </c>
      <c r="AW277" s="28" t="e">
        <f>#REF!</f>
        <v>#REF!</v>
      </c>
      <c r="AX277" s="28" t="e">
        <f>#REF!*2</f>
        <v>#REF!</v>
      </c>
      <c r="AY277" s="28" t="e">
        <f>#REF!</f>
        <v>#REF!</v>
      </c>
      <c r="AZ277" s="28" t="e">
        <f>#REF!*2</f>
        <v>#REF!</v>
      </c>
      <c r="BA277" s="28" t="e">
        <f>#REF!</f>
        <v>#REF!</v>
      </c>
      <c r="BB277" s="28" t="e">
        <f>#REF!*2</f>
        <v>#REF!</v>
      </c>
      <c r="BC277" s="28" t="e">
        <f>#REF!</f>
        <v>#REF!</v>
      </c>
      <c r="BD277" s="28" t="e">
        <f>#REF!*2</f>
        <v>#REF!</v>
      </c>
      <c r="BE277" s="9" t="e">
        <f>#REF!-#REF!</f>
        <v>#REF!</v>
      </c>
      <c r="BF277" s="9" t="e">
        <f>#REF!-#REF!</f>
        <v>#REF!</v>
      </c>
      <c r="BG277" s="9" t="e">
        <f>#REF!-#REF!</f>
        <v>#REF!</v>
      </c>
      <c r="BH277" s="9" t="e">
        <f>#REF!-#REF!</f>
        <v>#REF!</v>
      </c>
      <c r="BI277" s="9" t="e">
        <f>#REF!-#REF!</f>
        <v>#REF!</v>
      </c>
      <c r="BJ277" s="33"/>
      <c r="BK277" s="3">
        <f>COUNTIFS(B277:G277, "&gt;=1", B277:G277, "&lt;=9")</f>
        <v>0</v>
      </c>
      <c r="BL277" s="3">
        <f>COUNTIFS(B277:G277, "&gt;=10", B277:G277, "&lt;=19")</f>
        <v>0</v>
      </c>
      <c r="BM277" s="3">
        <f>COUNTIFS(B277:G277, "&gt;=20", B277:G277, "&lt;=29")</f>
        <v>0</v>
      </c>
      <c r="BN277" s="3">
        <f>COUNTIFS(B277:G277, "&gt;=30", B277:G277, "&lt;=39")</f>
        <v>0</v>
      </c>
      <c r="BO277" s="3">
        <f>COUNTIFS(B277:G277, "&gt;=40", B277:G277, "&lt;=45")</f>
        <v>0</v>
      </c>
      <c r="BP277" s="28" t="e">
        <f>#REF!</f>
        <v>#REF!</v>
      </c>
      <c r="BQ277" s="28" t="e">
        <f>#REF!*2</f>
        <v>#REF!</v>
      </c>
      <c r="BR277" s="28" t="e">
        <f>#REF!</f>
        <v>#REF!</v>
      </c>
      <c r="BS277" s="28" t="e">
        <f>#REF!*2</f>
        <v>#REF!</v>
      </c>
      <c r="BT277" s="28" t="e">
        <f>#REF!</f>
        <v>#REF!</v>
      </c>
      <c r="BU277" s="28" t="e">
        <f>#REF!*2</f>
        <v>#REF!</v>
      </c>
      <c r="BV277" s="28" t="e">
        <f>#REF!</f>
        <v>#REF!</v>
      </c>
      <c r="BW277" s="28" t="e">
        <f>#REF!*2</f>
        <v>#REF!</v>
      </c>
      <c r="BX277" s="28" t="e">
        <f>#REF!</f>
        <v>#REF!</v>
      </c>
      <c r="BY277" s="28" t="e">
        <f>#REF!*2</f>
        <v>#REF!</v>
      </c>
      <c r="BZ277" s="28" t="e">
        <f>#REF!</f>
        <v>#REF!</v>
      </c>
      <c r="CA277" s="28" t="e">
        <f>#REF!*2</f>
        <v>#REF!</v>
      </c>
      <c r="CB277" s="9">
        <f>C277-B277</f>
        <v>0</v>
      </c>
      <c r="CC277" s="9">
        <f>D277-C277</f>
        <v>0</v>
      </c>
      <c r="CD277" s="9">
        <f>E277-D277</f>
        <v>0</v>
      </c>
      <c r="CE277" s="9">
        <f>F277-E277</f>
        <v>0</v>
      </c>
      <c r="CF277" s="9">
        <f>G277-F277</f>
        <v>0</v>
      </c>
      <c r="CG277" s="33"/>
      <c r="CH277" s="3">
        <f>C277-B277</f>
        <v>0</v>
      </c>
      <c r="CI277" s="3">
        <f>D277-C277</f>
        <v>0</v>
      </c>
      <c r="CJ277" s="3">
        <f>E277-D277</f>
        <v>0</v>
      </c>
      <c r="CK277" s="3">
        <f>F277-E277</f>
        <v>0</v>
      </c>
      <c r="CL277" s="3">
        <f>G277-F277</f>
        <v>0</v>
      </c>
      <c r="CM277" s="32"/>
      <c r="CN277" s="3">
        <f>IF(OR(CH277="",ISBLANK(CH277),CH277=0),0,IF(MOD(CH277,2)=1,1,2))</f>
        <v>0</v>
      </c>
      <c r="CO277" s="3">
        <f>IF(OR(CI277="",ISBLANK(CI277),CI277=0),0,IF(MOD(CI277,2)=1,1,2))</f>
        <v>0</v>
      </c>
      <c r="CP277" s="3">
        <f>IF(OR(CJ277="",ISBLANK(CJ277),CJ277=0),0,IF(MOD(CJ277,2)=1,1,2))</f>
        <v>0</v>
      </c>
      <c r="CQ277" s="3">
        <f>IF(OR(CK277="",ISBLANK(CK277),CK277=0),0,IF(MOD(CK277,2)=1,1,2))</f>
        <v>0</v>
      </c>
      <c r="CR277" s="3">
        <f>IF(OR(CL277="",ISBLANK(CL277),CL277=0),0,IF(MOD(CL277,2)=1,1,2))</f>
        <v>0</v>
      </c>
      <c r="CS277" s="31"/>
      <c r="CT277" s="3" cm="1">
        <f t="array" ref="CT277">SUMPRODUCT(--(MOD(CH277:CL277,2)=1))</f>
        <v>0</v>
      </c>
      <c r="CU277" s="3">
        <f>5-CT277</f>
        <v>5</v>
      </c>
      <c r="CV277" s="30"/>
      <c r="CW277" s="3" cm="1">
        <f t="array" ref="CW277">SUMPRODUCT(--(MOD(CH277:CL277,10)&gt;=1), --(MOD(CH277:CL277,10)&lt;=5))</f>
        <v>0</v>
      </c>
      <c r="CX277" s="3">
        <f>5-CW277</f>
        <v>5</v>
      </c>
      <c r="CY277" s="30"/>
      <c r="CZ277" s="3" cm="1">
        <f t="array" ref="CZ277">IFERROR(COUNT(_xlfn._xlws.FILTER(CH277:CL277, ISNUMBER(MATCH(CH277:CL277, {2,3,5,7,11,13,17,19,23,29,31,37,41,43}, 0)))), 0)</f>
        <v>0</v>
      </c>
      <c r="DA277" s="3" cm="1">
        <f t="array" ref="DA277">IFERROR(COUNT(_xlfn._xlws.FILTER(CH277:CL277, ISNUMBER(MATCH(CH277:CL277, {1,4,8,10,14,16,20,22,25,26,28,32,34,35,38,40,44}, 0)))), 0)</f>
        <v>0</v>
      </c>
      <c r="DB277" s="3" cm="1">
        <f t="array" ref="DB277">IFERROR(COUNT(_xlfn._xlws.FILTER(CH277:CL277, ISNUMBER(MATCH(CH277:CL277, {6,9,12,15,18,21,24,27,30,33,36,39,42,45}, 0)))), 0)</f>
        <v>0</v>
      </c>
      <c r="DC277" s="29"/>
      <c r="DD277" s="28" t="e">
        <f>#REF!</f>
        <v>#REF!</v>
      </c>
      <c r="DE277" s="28" t="e">
        <f>#REF!*2</f>
        <v>#REF!</v>
      </c>
      <c r="DF277" s="28" t="e">
        <f>#REF!</f>
        <v>#REF!</v>
      </c>
      <c r="DG277" s="28" t="e">
        <f>#REF!*2</f>
        <v>#REF!</v>
      </c>
      <c r="DH277" s="28" t="e">
        <f>#REF!</f>
        <v>#REF!</v>
      </c>
      <c r="DI277" s="28" t="e">
        <f>#REF!*2</f>
        <v>#REF!</v>
      </c>
      <c r="DJ277" s="28" t="e">
        <f>#REF!</f>
        <v>#REF!</v>
      </c>
      <c r="DK277" s="28" t="e">
        <f>#REF!*2</f>
        <v>#REF!</v>
      </c>
      <c r="DL277" s="28" t="e">
        <f>#REF!</f>
        <v>#REF!</v>
      </c>
      <c r="DM277" s="28" t="e">
        <f>#REF!*2</f>
        <v>#REF!</v>
      </c>
      <c r="DN277" s="27"/>
      <c r="DO277" s="26"/>
      <c r="DP277" s="26"/>
      <c r="DQ277" s="26"/>
      <c r="DR277" s="26"/>
      <c r="DS277" s="26"/>
      <c r="DT277" s="25"/>
    </row>
    <row r="278" spans="2:124" x14ac:dyDescent="0.3">
      <c r="B278" s="3">
        <v>0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2"/>
      <c r="I278" s="3">
        <f>IF(OR(B278="",ISBLANK(B278),B278=0),0,IF(MOD(B278,2)=1,1,2))</f>
        <v>0</v>
      </c>
      <c r="J278" s="3">
        <f>IF(OR(C278="",ISBLANK(C278),C278=0),0,IF(MOD(C278,2)=1,1,2))</f>
        <v>0</v>
      </c>
      <c r="K278" s="3">
        <f>IF(OR(D278="",ISBLANK(D278),D278=0),0,IF(MOD(D278,2)=1,1,2))</f>
        <v>0</v>
      </c>
      <c r="L278" s="3">
        <f>IF(OR(E278="",ISBLANK(E278),E278=0),0,IF(MOD(E278,2)=1,1,2))</f>
        <v>0</v>
      </c>
      <c r="M278" s="3">
        <f>IF(OR(F278="",ISBLANK(F278),F278=0),0,IF(MOD(F278,2)=1,1,2))</f>
        <v>0</v>
      </c>
      <c r="N278" s="3">
        <f>IF(OR(G278="",ISBLANK(G278),G278=0),0,IF(MOD(G278,2)=1,1,2))</f>
        <v>0</v>
      </c>
      <c r="O278" s="32"/>
      <c r="P278" s="3" cm="1">
        <f t="array" ref="P278">SUMPRODUCT(--(MOD(B278:G278,2)=1))</f>
        <v>0</v>
      </c>
      <c r="Q278" s="3">
        <f>6-P278</f>
        <v>6</v>
      </c>
      <c r="R278" s="34"/>
      <c r="S278" s="3">
        <f>COUNTIFS(B278:G278,"&gt;=1",B278:G278,"&lt;=23")</f>
        <v>0</v>
      </c>
      <c r="T278" s="3">
        <f>6-S278</f>
        <v>6</v>
      </c>
      <c r="U278" s="34"/>
      <c r="V278" s="3" cm="1">
        <f t="array" ref="V278">SUMPRODUCT(--(MOD(B278:G278,10)&gt;=1), --(MOD(B278:G278,10)&lt;=5))</f>
        <v>0</v>
      </c>
      <c r="W278" s="3">
        <f>6-V278</f>
        <v>6</v>
      </c>
      <c r="X278" s="34"/>
      <c r="Y278" s="3" cm="1">
        <f t="array" ref="Y278">IFERROR(COUNT(_xlfn._xlws.FILTER(B278:G278, ISNUMBER(MATCH(B278:G278, {2,3,5,7,11,13,17,19,23,29,31,37,41,43}, 0)))), 0)</f>
        <v>0</v>
      </c>
      <c r="Z278" s="3" cm="1">
        <f t="array" ref="Z278">IFERROR(COUNT(_xlfn._xlws.FILTER(B278:G278, ISNUMBER(MATCH(B278:G278, {1,4,8,10,14,16,20,22,25,26,28,32,34,35,38,40,44}, 0)))), 0)</f>
        <v>0</v>
      </c>
      <c r="AA278" s="3" cm="1">
        <f t="array" ref="AA278">IFERROR(COUNT(_xlfn._xlws.FILTER(B278:G278, ISNUMBER(MATCH(B278:G278, {6,9,12,15,18,21,24,27,30,33,36,39,42,45}, 0)))), 0)</f>
        <v>0</v>
      </c>
      <c r="AB278" s="30"/>
      <c r="AC278" s="26" cm="1">
        <f t="array" ref="AC278">_xlfn.IFS(
   OR(B278="",ISBLANK(B278),B278=0),0,
   ISNUMBER(MATCH(B278,{2,3,5,7,11,13,17,19,23,29,31,37,41,43},0)),"소",
   AND(ISNUMBER(B278),MOD(B278,3)=0),"배",
   AND(ISNUMBER(B278),B278&gt;0),"자"
)</f>
        <v>0</v>
      </c>
      <c r="AD278" s="26" cm="1">
        <f t="array" ref="AD278">_xlfn.IFS(
   OR(C278="",ISBLANK(C278),C278=0),0,
   ISNUMBER(MATCH(C278,{2,3,5,7,11,13,17,19,23,29,31,37,41,43},0)),"소",
   AND(ISNUMBER(C278),MOD(C278,3)=0),"배",
   AND(ISNUMBER(C278),C278&gt;0),"자"
)</f>
        <v>0</v>
      </c>
      <c r="AE278" s="26" cm="1">
        <f t="array" ref="AE278">_xlfn.IFS(
   OR(D278="",ISBLANK(D278),D278=0),0,
   ISNUMBER(MATCH(D278,{2,3,5,7,11,13,17,19,23,29,31,37,41,43},0)),"소",
   AND(ISNUMBER(D278),MOD(D278,3)=0),"배",
   AND(ISNUMBER(D278),D278&gt;0),"자"
)</f>
        <v>0</v>
      </c>
      <c r="AF278" s="26" cm="1">
        <f t="array" ref="AF278">_xlfn.IFS(
   OR(E278="",ISBLANK(E278),E278=0),0,
   ISNUMBER(MATCH(E278,{2,3,5,7,11,13,17,19,23,29,31,37,41,43},0)),"소",
   AND(ISNUMBER(E278),MOD(E278,3)=0),"배",
   AND(ISNUMBER(E278),E278&gt;0),"자"
)</f>
        <v>0</v>
      </c>
      <c r="AG278" s="26" cm="1">
        <f t="array" ref="AG278">_xlfn.IFS(
   OR(F278="",ISBLANK(F278),F278=0),0,
   ISNUMBER(MATCH(F278,{2,3,5,7,11,13,17,19,23,29,31,37,41,43},0)),"소",
   AND(ISNUMBER(F278),MOD(F278,3)=0),"배",
   AND(ISNUMBER(F278),F278&gt;0),"자"
)</f>
        <v>0</v>
      </c>
      <c r="AH278" s="26" cm="1">
        <f t="array" ref="AH278">_xlfn.IFS(
   OR(G278="",ISBLANK(G278),G278=0),0,
   ISNUMBER(MATCH(G278,{2,3,5,7,11,13,17,19,23,29,31,37,41,43},0)),"소",
   AND(ISNUMBER(G278),MOD(G278,3)=0),"배",
   AND(ISNUMBER(G278),G278&gt;0),"자"
)</f>
        <v>0</v>
      </c>
      <c r="AI278" s="30"/>
      <c r="AJ278" s="3">
        <f>COUNTIFS(B278:G278,"&gt;=1",B278:G278,"&lt;=14")</f>
        <v>0</v>
      </c>
      <c r="AK278" s="3">
        <f>COUNTIFS(B278:G278,"&gt;=15",B278:G278,"&lt;=31")</f>
        <v>0</v>
      </c>
      <c r="AL278" s="3">
        <f>6-AK278-AJ278</f>
        <v>6</v>
      </c>
      <c r="AM278" s="33"/>
      <c r="AN278" s="3">
        <f>COUNTIFS($B278:$G278, "&gt;=1",$B278:$G278, "&lt;=9")</f>
        <v>0</v>
      </c>
      <c r="AO278" s="3">
        <f>COUNTIFS($B278:$G278, "&gt;=10",$B278:$G278, "&lt;=18")</f>
        <v>0</v>
      </c>
      <c r="AP278" s="3">
        <f>COUNTIFS($B278:$G278, "&gt;=19",$B278:$G278, "&lt;=27")</f>
        <v>0</v>
      </c>
      <c r="AQ278" s="3">
        <f>COUNTIFS($B278:$G278, "&gt;=28",$B278:$G278, "&lt;=36")</f>
        <v>0</v>
      </c>
      <c r="AR278" s="3">
        <f>COUNTIFS($B278:$G278, "&gt;=37",$B278:$G278, "&lt;=45")</f>
        <v>0</v>
      </c>
      <c r="AS278" s="28" t="e">
        <f>#REF!</f>
        <v>#REF!</v>
      </c>
      <c r="AT278" s="28" t="e">
        <f>#REF!*2</f>
        <v>#REF!</v>
      </c>
      <c r="AU278" s="28" t="e">
        <f>#REF!</f>
        <v>#REF!</v>
      </c>
      <c r="AV278" s="28" t="e">
        <f>#REF!*2</f>
        <v>#REF!</v>
      </c>
      <c r="AW278" s="28" t="e">
        <f>#REF!</f>
        <v>#REF!</v>
      </c>
      <c r="AX278" s="28" t="e">
        <f>#REF!*2</f>
        <v>#REF!</v>
      </c>
      <c r="AY278" s="28" t="e">
        <f>#REF!</f>
        <v>#REF!</v>
      </c>
      <c r="AZ278" s="28" t="e">
        <f>#REF!*2</f>
        <v>#REF!</v>
      </c>
      <c r="BA278" s="28" t="e">
        <f>#REF!</f>
        <v>#REF!</v>
      </c>
      <c r="BB278" s="28" t="e">
        <f>#REF!*2</f>
        <v>#REF!</v>
      </c>
      <c r="BC278" s="28" t="e">
        <f>#REF!</f>
        <v>#REF!</v>
      </c>
      <c r="BD278" s="28" t="e">
        <f>#REF!*2</f>
        <v>#REF!</v>
      </c>
      <c r="BE278" s="9" t="e">
        <f>#REF!-#REF!</f>
        <v>#REF!</v>
      </c>
      <c r="BF278" s="9" t="e">
        <f>#REF!-#REF!</f>
        <v>#REF!</v>
      </c>
      <c r="BG278" s="9" t="e">
        <f>#REF!-#REF!</f>
        <v>#REF!</v>
      </c>
      <c r="BH278" s="9" t="e">
        <f>#REF!-#REF!</f>
        <v>#REF!</v>
      </c>
      <c r="BI278" s="9" t="e">
        <f>#REF!-#REF!</f>
        <v>#REF!</v>
      </c>
      <c r="BJ278" s="33"/>
      <c r="BK278" s="3">
        <f>COUNTIFS(B278:G278, "&gt;=1", B278:G278, "&lt;=9")</f>
        <v>0</v>
      </c>
      <c r="BL278" s="3">
        <f>COUNTIFS(B278:G278, "&gt;=10", B278:G278, "&lt;=19")</f>
        <v>0</v>
      </c>
      <c r="BM278" s="3">
        <f>COUNTIFS(B278:G278, "&gt;=20", B278:G278, "&lt;=29")</f>
        <v>0</v>
      </c>
      <c r="BN278" s="3">
        <f>COUNTIFS(B278:G278, "&gt;=30", B278:G278, "&lt;=39")</f>
        <v>0</v>
      </c>
      <c r="BO278" s="3">
        <f>COUNTIFS(B278:G278, "&gt;=40", B278:G278, "&lt;=45")</f>
        <v>0</v>
      </c>
      <c r="BP278" s="28" t="e">
        <f>#REF!</f>
        <v>#REF!</v>
      </c>
      <c r="BQ278" s="28" t="e">
        <f>#REF!*2</f>
        <v>#REF!</v>
      </c>
      <c r="BR278" s="28" t="e">
        <f>#REF!</f>
        <v>#REF!</v>
      </c>
      <c r="BS278" s="28" t="e">
        <f>#REF!*2</f>
        <v>#REF!</v>
      </c>
      <c r="BT278" s="28" t="e">
        <f>#REF!</f>
        <v>#REF!</v>
      </c>
      <c r="BU278" s="28" t="e">
        <f>#REF!*2</f>
        <v>#REF!</v>
      </c>
      <c r="BV278" s="28" t="e">
        <f>#REF!</f>
        <v>#REF!</v>
      </c>
      <c r="BW278" s="28" t="e">
        <f>#REF!*2</f>
        <v>#REF!</v>
      </c>
      <c r="BX278" s="28" t="e">
        <f>#REF!</f>
        <v>#REF!</v>
      </c>
      <c r="BY278" s="28" t="e">
        <f>#REF!*2</f>
        <v>#REF!</v>
      </c>
      <c r="BZ278" s="28" t="e">
        <f>#REF!</f>
        <v>#REF!</v>
      </c>
      <c r="CA278" s="28" t="e">
        <f>#REF!*2</f>
        <v>#REF!</v>
      </c>
      <c r="CB278" s="9">
        <f>C278-B278</f>
        <v>0</v>
      </c>
      <c r="CC278" s="9">
        <f>D278-C278</f>
        <v>0</v>
      </c>
      <c r="CD278" s="9">
        <f>E278-D278</f>
        <v>0</v>
      </c>
      <c r="CE278" s="9">
        <f>F278-E278</f>
        <v>0</v>
      </c>
      <c r="CF278" s="9">
        <f>G278-F278</f>
        <v>0</v>
      </c>
      <c r="CG278" s="33"/>
      <c r="CH278" s="3">
        <f>C278-B278</f>
        <v>0</v>
      </c>
      <c r="CI278" s="3">
        <f>D278-C278</f>
        <v>0</v>
      </c>
      <c r="CJ278" s="3">
        <f>E278-D278</f>
        <v>0</v>
      </c>
      <c r="CK278" s="3">
        <f>F278-E278</f>
        <v>0</v>
      </c>
      <c r="CL278" s="3">
        <f>G278-F278</f>
        <v>0</v>
      </c>
      <c r="CM278" s="32"/>
      <c r="CN278" s="3">
        <f>IF(OR(CH278="",ISBLANK(CH278),CH278=0),0,IF(MOD(CH278,2)=1,1,2))</f>
        <v>0</v>
      </c>
      <c r="CO278" s="3">
        <f>IF(OR(CI278="",ISBLANK(CI278),CI278=0),0,IF(MOD(CI278,2)=1,1,2))</f>
        <v>0</v>
      </c>
      <c r="CP278" s="3">
        <f>IF(OR(CJ278="",ISBLANK(CJ278),CJ278=0),0,IF(MOD(CJ278,2)=1,1,2))</f>
        <v>0</v>
      </c>
      <c r="CQ278" s="3">
        <f>IF(OR(CK278="",ISBLANK(CK278),CK278=0),0,IF(MOD(CK278,2)=1,1,2))</f>
        <v>0</v>
      </c>
      <c r="CR278" s="3">
        <f>IF(OR(CL278="",ISBLANK(CL278),CL278=0),0,IF(MOD(CL278,2)=1,1,2))</f>
        <v>0</v>
      </c>
      <c r="CS278" s="31"/>
      <c r="CT278" s="3" cm="1">
        <f t="array" ref="CT278">SUMPRODUCT(--(MOD(CH278:CL278,2)=1))</f>
        <v>0</v>
      </c>
      <c r="CU278" s="3">
        <f>5-CT278</f>
        <v>5</v>
      </c>
      <c r="CV278" s="30"/>
      <c r="CW278" s="3" cm="1">
        <f t="array" ref="CW278">SUMPRODUCT(--(MOD(CH278:CL278,10)&gt;=1), --(MOD(CH278:CL278,10)&lt;=5))</f>
        <v>0</v>
      </c>
      <c r="CX278" s="3">
        <f>5-CW278</f>
        <v>5</v>
      </c>
      <c r="CY278" s="30"/>
      <c r="CZ278" s="3" cm="1">
        <f t="array" ref="CZ278">IFERROR(COUNT(_xlfn._xlws.FILTER(CH278:CL278, ISNUMBER(MATCH(CH278:CL278, {2,3,5,7,11,13,17,19,23,29,31,37,41,43}, 0)))), 0)</f>
        <v>0</v>
      </c>
      <c r="DA278" s="3" cm="1">
        <f t="array" ref="DA278">IFERROR(COUNT(_xlfn._xlws.FILTER(CH278:CL278, ISNUMBER(MATCH(CH278:CL278, {1,4,8,10,14,16,20,22,25,26,28,32,34,35,38,40,44}, 0)))), 0)</f>
        <v>0</v>
      </c>
      <c r="DB278" s="3" cm="1">
        <f t="array" ref="DB278">IFERROR(COUNT(_xlfn._xlws.FILTER(CH278:CL278, ISNUMBER(MATCH(CH278:CL278, {6,9,12,15,18,21,24,27,30,33,36,39,42,45}, 0)))), 0)</f>
        <v>0</v>
      </c>
      <c r="DC278" s="29"/>
      <c r="DD278" s="28" t="e">
        <f>#REF!</f>
        <v>#REF!</v>
      </c>
      <c r="DE278" s="28" t="e">
        <f>#REF!*2</f>
        <v>#REF!</v>
      </c>
      <c r="DF278" s="28" t="e">
        <f>#REF!</f>
        <v>#REF!</v>
      </c>
      <c r="DG278" s="28" t="e">
        <f>#REF!*2</f>
        <v>#REF!</v>
      </c>
      <c r="DH278" s="28" t="e">
        <f>#REF!</f>
        <v>#REF!</v>
      </c>
      <c r="DI278" s="28" t="e">
        <f>#REF!*2</f>
        <v>#REF!</v>
      </c>
      <c r="DJ278" s="28" t="e">
        <f>#REF!</f>
        <v>#REF!</v>
      </c>
      <c r="DK278" s="28" t="e">
        <f>#REF!*2</f>
        <v>#REF!</v>
      </c>
      <c r="DL278" s="28" t="e">
        <f>#REF!</f>
        <v>#REF!</v>
      </c>
      <c r="DM278" s="28" t="e">
        <f>#REF!*2</f>
        <v>#REF!</v>
      </c>
      <c r="DN278" s="27"/>
      <c r="DO278" s="26"/>
      <c r="DP278" s="26"/>
      <c r="DQ278" s="26"/>
      <c r="DR278" s="26"/>
      <c r="DS278" s="26"/>
      <c r="DT278" s="25"/>
    </row>
    <row r="279" spans="2:124" x14ac:dyDescent="0.3">
      <c r="B279" s="3">
        <v>0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2"/>
      <c r="I279" s="3">
        <f>IF(OR(B279="",ISBLANK(B279),B279=0),0,IF(MOD(B279,2)=1,1,2))</f>
        <v>0</v>
      </c>
      <c r="J279" s="3">
        <f>IF(OR(C279="",ISBLANK(C279),C279=0),0,IF(MOD(C279,2)=1,1,2))</f>
        <v>0</v>
      </c>
      <c r="K279" s="3">
        <f>IF(OR(D279="",ISBLANK(D279),D279=0),0,IF(MOD(D279,2)=1,1,2))</f>
        <v>0</v>
      </c>
      <c r="L279" s="3">
        <f>IF(OR(E279="",ISBLANK(E279),E279=0),0,IF(MOD(E279,2)=1,1,2))</f>
        <v>0</v>
      </c>
      <c r="M279" s="3">
        <f>IF(OR(F279="",ISBLANK(F279),F279=0),0,IF(MOD(F279,2)=1,1,2))</f>
        <v>0</v>
      </c>
      <c r="N279" s="3">
        <f>IF(OR(G279="",ISBLANK(G279),G279=0),0,IF(MOD(G279,2)=1,1,2))</f>
        <v>0</v>
      </c>
      <c r="O279" s="32"/>
      <c r="P279" s="3" cm="1">
        <f t="array" ref="P279">SUMPRODUCT(--(MOD(B279:G279,2)=1))</f>
        <v>0</v>
      </c>
      <c r="Q279" s="3">
        <f>6-P279</f>
        <v>6</v>
      </c>
      <c r="R279" s="34"/>
      <c r="S279" s="3">
        <f>COUNTIFS(B279:G279,"&gt;=1",B279:G279,"&lt;=23")</f>
        <v>0</v>
      </c>
      <c r="T279" s="3">
        <f>6-S279</f>
        <v>6</v>
      </c>
      <c r="U279" s="34"/>
      <c r="V279" s="3" cm="1">
        <f t="array" ref="V279">SUMPRODUCT(--(MOD(B279:G279,10)&gt;=1), --(MOD(B279:G279,10)&lt;=5))</f>
        <v>0</v>
      </c>
      <c r="W279" s="3">
        <f>6-V279</f>
        <v>6</v>
      </c>
      <c r="X279" s="34"/>
      <c r="Y279" s="3" cm="1">
        <f t="array" ref="Y279">IFERROR(COUNT(_xlfn._xlws.FILTER(B279:G279, ISNUMBER(MATCH(B279:G279, {2,3,5,7,11,13,17,19,23,29,31,37,41,43}, 0)))), 0)</f>
        <v>0</v>
      </c>
      <c r="Z279" s="3" cm="1">
        <f t="array" ref="Z279">IFERROR(COUNT(_xlfn._xlws.FILTER(B279:G279, ISNUMBER(MATCH(B279:G279, {1,4,8,10,14,16,20,22,25,26,28,32,34,35,38,40,44}, 0)))), 0)</f>
        <v>0</v>
      </c>
      <c r="AA279" s="3" cm="1">
        <f t="array" ref="AA279">IFERROR(COUNT(_xlfn._xlws.FILTER(B279:G279, ISNUMBER(MATCH(B279:G279, {6,9,12,15,18,21,24,27,30,33,36,39,42,45}, 0)))), 0)</f>
        <v>0</v>
      </c>
      <c r="AB279" s="30"/>
      <c r="AC279" s="26" cm="1">
        <f t="array" ref="AC279">_xlfn.IFS(
   OR(B279="",ISBLANK(B279),B279=0),0,
   ISNUMBER(MATCH(B279,{2,3,5,7,11,13,17,19,23,29,31,37,41,43},0)),"소",
   AND(ISNUMBER(B279),MOD(B279,3)=0),"배",
   AND(ISNUMBER(B279),B279&gt;0),"자"
)</f>
        <v>0</v>
      </c>
      <c r="AD279" s="26" cm="1">
        <f t="array" ref="AD279">_xlfn.IFS(
   OR(C279="",ISBLANK(C279),C279=0),0,
   ISNUMBER(MATCH(C279,{2,3,5,7,11,13,17,19,23,29,31,37,41,43},0)),"소",
   AND(ISNUMBER(C279),MOD(C279,3)=0),"배",
   AND(ISNUMBER(C279),C279&gt;0),"자"
)</f>
        <v>0</v>
      </c>
      <c r="AE279" s="26" cm="1">
        <f t="array" ref="AE279">_xlfn.IFS(
   OR(D279="",ISBLANK(D279),D279=0),0,
   ISNUMBER(MATCH(D279,{2,3,5,7,11,13,17,19,23,29,31,37,41,43},0)),"소",
   AND(ISNUMBER(D279),MOD(D279,3)=0),"배",
   AND(ISNUMBER(D279),D279&gt;0),"자"
)</f>
        <v>0</v>
      </c>
      <c r="AF279" s="26" cm="1">
        <f t="array" ref="AF279">_xlfn.IFS(
   OR(E279="",ISBLANK(E279),E279=0),0,
   ISNUMBER(MATCH(E279,{2,3,5,7,11,13,17,19,23,29,31,37,41,43},0)),"소",
   AND(ISNUMBER(E279),MOD(E279,3)=0),"배",
   AND(ISNUMBER(E279),E279&gt;0),"자"
)</f>
        <v>0</v>
      </c>
      <c r="AG279" s="26" cm="1">
        <f t="array" ref="AG279">_xlfn.IFS(
   OR(F279="",ISBLANK(F279),F279=0),0,
   ISNUMBER(MATCH(F279,{2,3,5,7,11,13,17,19,23,29,31,37,41,43},0)),"소",
   AND(ISNUMBER(F279),MOD(F279,3)=0),"배",
   AND(ISNUMBER(F279),F279&gt;0),"자"
)</f>
        <v>0</v>
      </c>
      <c r="AH279" s="26" cm="1">
        <f t="array" ref="AH279">_xlfn.IFS(
   OR(G279="",ISBLANK(G279),G279=0),0,
   ISNUMBER(MATCH(G279,{2,3,5,7,11,13,17,19,23,29,31,37,41,43},0)),"소",
   AND(ISNUMBER(G279),MOD(G279,3)=0),"배",
   AND(ISNUMBER(G279),G279&gt;0),"자"
)</f>
        <v>0</v>
      </c>
      <c r="AI279" s="30"/>
      <c r="AJ279" s="3">
        <f>COUNTIFS(B279:G279,"&gt;=1",B279:G279,"&lt;=14")</f>
        <v>0</v>
      </c>
      <c r="AK279" s="3">
        <f>COUNTIFS(B279:G279,"&gt;=15",B279:G279,"&lt;=31")</f>
        <v>0</v>
      </c>
      <c r="AL279" s="3">
        <f>6-AK279-AJ279</f>
        <v>6</v>
      </c>
      <c r="AM279" s="33"/>
      <c r="AN279" s="3">
        <f>COUNTIFS($B279:$G279, "&gt;=1",$B279:$G279, "&lt;=9")</f>
        <v>0</v>
      </c>
      <c r="AO279" s="3">
        <f>COUNTIFS($B279:$G279, "&gt;=10",$B279:$G279, "&lt;=18")</f>
        <v>0</v>
      </c>
      <c r="AP279" s="3">
        <f>COUNTIFS($B279:$G279, "&gt;=19",$B279:$G279, "&lt;=27")</f>
        <v>0</v>
      </c>
      <c r="AQ279" s="3">
        <f>COUNTIFS($B279:$G279, "&gt;=28",$B279:$G279, "&lt;=36")</f>
        <v>0</v>
      </c>
      <c r="AR279" s="3">
        <f>COUNTIFS($B279:$G279, "&gt;=37",$B279:$G279, "&lt;=45")</f>
        <v>0</v>
      </c>
      <c r="AS279" s="28" t="e">
        <f>#REF!</f>
        <v>#REF!</v>
      </c>
      <c r="AT279" s="28" t="e">
        <f>#REF!*2</f>
        <v>#REF!</v>
      </c>
      <c r="AU279" s="28" t="e">
        <f>#REF!</f>
        <v>#REF!</v>
      </c>
      <c r="AV279" s="28" t="e">
        <f>#REF!*2</f>
        <v>#REF!</v>
      </c>
      <c r="AW279" s="28" t="e">
        <f>#REF!</f>
        <v>#REF!</v>
      </c>
      <c r="AX279" s="28" t="e">
        <f>#REF!*2</f>
        <v>#REF!</v>
      </c>
      <c r="AY279" s="28" t="e">
        <f>#REF!</f>
        <v>#REF!</v>
      </c>
      <c r="AZ279" s="28" t="e">
        <f>#REF!*2</f>
        <v>#REF!</v>
      </c>
      <c r="BA279" s="28" t="e">
        <f>#REF!</f>
        <v>#REF!</v>
      </c>
      <c r="BB279" s="28" t="e">
        <f>#REF!*2</f>
        <v>#REF!</v>
      </c>
      <c r="BC279" s="28" t="e">
        <f>#REF!</f>
        <v>#REF!</v>
      </c>
      <c r="BD279" s="28" t="e">
        <f>#REF!*2</f>
        <v>#REF!</v>
      </c>
      <c r="BE279" s="9" t="e">
        <f>#REF!-#REF!</f>
        <v>#REF!</v>
      </c>
      <c r="BF279" s="9" t="e">
        <f>#REF!-#REF!</f>
        <v>#REF!</v>
      </c>
      <c r="BG279" s="9" t="e">
        <f>#REF!-#REF!</f>
        <v>#REF!</v>
      </c>
      <c r="BH279" s="9" t="e">
        <f>#REF!-#REF!</f>
        <v>#REF!</v>
      </c>
      <c r="BI279" s="9" t="e">
        <f>#REF!-#REF!</f>
        <v>#REF!</v>
      </c>
      <c r="BJ279" s="33"/>
      <c r="BK279" s="3">
        <f>COUNTIFS(B279:G279, "&gt;=1", B279:G279, "&lt;=9")</f>
        <v>0</v>
      </c>
      <c r="BL279" s="3">
        <f>COUNTIFS(B279:G279, "&gt;=10", B279:G279, "&lt;=19")</f>
        <v>0</v>
      </c>
      <c r="BM279" s="3">
        <f>COUNTIFS(B279:G279, "&gt;=20", B279:G279, "&lt;=29")</f>
        <v>0</v>
      </c>
      <c r="BN279" s="3">
        <f>COUNTIFS(B279:G279, "&gt;=30", B279:G279, "&lt;=39")</f>
        <v>0</v>
      </c>
      <c r="BO279" s="3">
        <f>COUNTIFS(B279:G279, "&gt;=40", B279:G279, "&lt;=45")</f>
        <v>0</v>
      </c>
      <c r="BP279" s="28" t="e">
        <f>#REF!</f>
        <v>#REF!</v>
      </c>
      <c r="BQ279" s="28" t="e">
        <f>#REF!*2</f>
        <v>#REF!</v>
      </c>
      <c r="BR279" s="28" t="e">
        <f>#REF!</f>
        <v>#REF!</v>
      </c>
      <c r="BS279" s="28" t="e">
        <f>#REF!*2</f>
        <v>#REF!</v>
      </c>
      <c r="BT279" s="28" t="e">
        <f>#REF!</f>
        <v>#REF!</v>
      </c>
      <c r="BU279" s="28" t="e">
        <f>#REF!*2</f>
        <v>#REF!</v>
      </c>
      <c r="BV279" s="28" t="e">
        <f>#REF!</f>
        <v>#REF!</v>
      </c>
      <c r="BW279" s="28" t="e">
        <f>#REF!*2</f>
        <v>#REF!</v>
      </c>
      <c r="BX279" s="28" t="e">
        <f>#REF!</f>
        <v>#REF!</v>
      </c>
      <c r="BY279" s="28" t="e">
        <f>#REF!*2</f>
        <v>#REF!</v>
      </c>
      <c r="BZ279" s="28" t="e">
        <f>#REF!</f>
        <v>#REF!</v>
      </c>
      <c r="CA279" s="28" t="e">
        <f>#REF!*2</f>
        <v>#REF!</v>
      </c>
      <c r="CB279" s="9">
        <f>C279-B279</f>
        <v>0</v>
      </c>
      <c r="CC279" s="9">
        <f>D279-C279</f>
        <v>0</v>
      </c>
      <c r="CD279" s="9">
        <f>E279-D279</f>
        <v>0</v>
      </c>
      <c r="CE279" s="9">
        <f>F279-E279</f>
        <v>0</v>
      </c>
      <c r="CF279" s="9">
        <f>G279-F279</f>
        <v>0</v>
      </c>
      <c r="CG279" s="33"/>
      <c r="CH279" s="3">
        <f>C279-B279</f>
        <v>0</v>
      </c>
      <c r="CI279" s="3">
        <f>D279-C279</f>
        <v>0</v>
      </c>
      <c r="CJ279" s="3">
        <f>E279-D279</f>
        <v>0</v>
      </c>
      <c r="CK279" s="3">
        <f>F279-E279</f>
        <v>0</v>
      </c>
      <c r="CL279" s="3">
        <f>G279-F279</f>
        <v>0</v>
      </c>
      <c r="CM279" s="32"/>
      <c r="CN279" s="3">
        <f>IF(OR(CH279="",ISBLANK(CH279),CH279=0),0,IF(MOD(CH279,2)=1,1,2))</f>
        <v>0</v>
      </c>
      <c r="CO279" s="3">
        <f>IF(OR(CI279="",ISBLANK(CI279),CI279=0),0,IF(MOD(CI279,2)=1,1,2))</f>
        <v>0</v>
      </c>
      <c r="CP279" s="3">
        <f>IF(OR(CJ279="",ISBLANK(CJ279),CJ279=0),0,IF(MOD(CJ279,2)=1,1,2))</f>
        <v>0</v>
      </c>
      <c r="CQ279" s="3">
        <f>IF(OR(CK279="",ISBLANK(CK279),CK279=0),0,IF(MOD(CK279,2)=1,1,2))</f>
        <v>0</v>
      </c>
      <c r="CR279" s="3">
        <f>IF(OR(CL279="",ISBLANK(CL279),CL279=0),0,IF(MOD(CL279,2)=1,1,2))</f>
        <v>0</v>
      </c>
      <c r="CS279" s="31"/>
      <c r="CT279" s="3" cm="1">
        <f t="array" ref="CT279">SUMPRODUCT(--(MOD(CH279:CL279,2)=1))</f>
        <v>0</v>
      </c>
      <c r="CU279" s="3">
        <f>5-CT279</f>
        <v>5</v>
      </c>
      <c r="CV279" s="30"/>
      <c r="CW279" s="3" cm="1">
        <f t="array" ref="CW279">SUMPRODUCT(--(MOD(CH279:CL279,10)&gt;=1), --(MOD(CH279:CL279,10)&lt;=5))</f>
        <v>0</v>
      </c>
      <c r="CX279" s="3">
        <f>5-CW279</f>
        <v>5</v>
      </c>
      <c r="CY279" s="30"/>
      <c r="CZ279" s="3" cm="1">
        <f t="array" ref="CZ279">IFERROR(COUNT(_xlfn._xlws.FILTER(CH279:CL279, ISNUMBER(MATCH(CH279:CL279, {2,3,5,7,11,13,17,19,23,29,31,37,41,43}, 0)))), 0)</f>
        <v>0</v>
      </c>
      <c r="DA279" s="3" cm="1">
        <f t="array" ref="DA279">IFERROR(COUNT(_xlfn._xlws.FILTER(CH279:CL279, ISNUMBER(MATCH(CH279:CL279, {1,4,8,10,14,16,20,22,25,26,28,32,34,35,38,40,44}, 0)))), 0)</f>
        <v>0</v>
      </c>
      <c r="DB279" s="3" cm="1">
        <f t="array" ref="DB279">IFERROR(COUNT(_xlfn._xlws.FILTER(CH279:CL279, ISNUMBER(MATCH(CH279:CL279, {6,9,12,15,18,21,24,27,30,33,36,39,42,45}, 0)))), 0)</f>
        <v>0</v>
      </c>
      <c r="DC279" s="29"/>
      <c r="DD279" s="28" t="e">
        <f>#REF!</f>
        <v>#REF!</v>
      </c>
      <c r="DE279" s="28" t="e">
        <f>#REF!*2</f>
        <v>#REF!</v>
      </c>
      <c r="DF279" s="28" t="e">
        <f>#REF!</f>
        <v>#REF!</v>
      </c>
      <c r="DG279" s="28" t="e">
        <f>#REF!*2</f>
        <v>#REF!</v>
      </c>
      <c r="DH279" s="28" t="e">
        <f>#REF!</f>
        <v>#REF!</v>
      </c>
      <c r="DI279" s="28" t="e">
        <f>#REF!*2</f>
        <v>#REF!</v>
      </c>
      <c r="DJ279" s="28" t="e">
        <f>#REF!</f>
        <v>#REF!</v>
      </c>
      <c r="DK279" s="28" t="e">
        <f>#REF!*2</f>
        <v>#REF!</v>
      </c>
      <c r="DL279" s="28" t="e">
        <f>#REF!</f>
        <v>#REF!</v>
      </c>
      <c r="DM279" s="28" t="e">
        <f>#REF!*2</f>
        <v>#REF!</v>
      </c>
      <c r="DN279" s="27"/>
      <c r="DO279" s="26"/>
      <c r="DP279" s="26"/>
      <c r="DQ279" s="26"/>
      <c r="DR279" s="26"/>
      <c r="DS279" s="26"/>
      <c r="DT279" s="25"/>
    </row>
    <row r="280" spans="2:124" x14ac:dyDescent="0.3">
      <c r="B280" s="3">
        <v>0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2"/>
      <c r="I280" s="3">
        <f>IF(OR(B280="",ISBLANK(B280),B280=0),0,IF(MOD(B280,2)=1,1,2))</f>
        <v>0</v>
      </c>
      <c r="J280" s="3">
        <f>IF(OR(C280="",ISBLANK(C280),C280=0),0,IF(MOD(C280,2)=1,1,2))</f>
        <v>0</v>
      </c>
      <c r="K280" s="3">
        <f>IF(OR(D280="",ISBLANK(D280),D280=0),0,IF(MOD(D280,2)=1,1,2))</f>
        <v>0</v>
      </c>
      <c r="L280" s="3">
        <f>IF(OR(E280="",ISBLANK(E280),E280=0),0,IF(MOD(E280,2)=1,1,2))</f>
        <v>0</v>
      </c>
      <c r="M280" s="3">
        <f>IF(OR(F280="",ISBLANK(F280),F280=0),0,IF(MOD(F280,2)=1,1,2))</f>
        <v>0</v>
      </c>
      <c r="N280" s="3">
        <f>IF(OR(G280="",ISBLANK(G280),G280=0),0,IF(MOD(G280,2)=1,1,2))</f>
        <v>0</v>
      </c>
      <c r="O280" s="32"/>
      <c r="P280" s="3" cm="1">
        <f t="array" ref="P280">SUMPRODUCT(--(MOD(B280:G280,2)=1))</f>
        <v>0</v>
      </c>
      <c r="Q280" s="3">
        <f>6-P280</f>
        <v>6</v>
      </c>
      <c r="R280" s="34"/>
      <c r="S280" s="3">
        <f>COUNTIFS(B280:G280,"&gt;=1",B280:G280,"&lt;=23")</f>
        <v>0</v>
      </c>
      <c r="T280" s="3">
        <f>6-S280</f>
        <v>6</v>
      </c>
      <c r="U280" s="34"/>
      <c r="V280" s="3" cm="1">
        <f t="array" ref="V280">SUMPRODUCT(--(MOD(B280:G280,10)&gt;=1), --(MOD(B280:G280,10)&lt;=5))</f>
        <v>0</v>
      </c>
      <c r="W280" s="3">
        <f>6-V280</f>
        <v>6</v>
      </c>
      <c r="X280" s="34"/>
      <c r="Y280" s="3" cm="1">
        <f t="array" ref="Y280">IFERROR(COUNT(_xlfn._xlws.FILTER(B280:G280, ISNUMBER(MATCH(B280:G280, {2,3,5,7,11,13,17,19,23,29,31,37,41,43}, 0)))), 0)</f>
        <v>0</v>
      </c>
      <c r="Z280" s="3" cm="1">
        <f t="array" ref="Z280">IFERROR(COUNT(_xlfn._xlws.FILTER(B280:G280, ISNUMBER(MATCH(B280:G280, {1,4,8,10,14,16,20,22,25,26,28,32,34,35,38,40,44}, 0)))), 0)</f>
        <v>0</v>
      </c>
      <c r="AA280" s="3" cm="1">
        <f t="array" ref="AA280">IFERROR(COUNT(_xlfn._xlws.FILTER(B280:G280, ISNUMBER(MATCH(B280:G280, {6,9,12,15,18,21,24,27,30,33,36,39,42,45}, 0)))), 0)</f>
        <v>0</v>
      </c>
      <c r="AB280" s="30"/>
      <c r="AC280" s="26" cm="1">
        <f t="array" ref="AC280">_xlfn.IFS(
   OR(B280="",ISBLANK(B280),B280=0),0,
   ISNUMBER(MATCH(B280,{2,3,5,7,11,13,17,19,23,29,31,37,41,43},0)),"소",
   AND(ISNUMBER(B280),MOD(B280,3)=0),"배",
   AND(ISNUMBER(B280),B280&gt;0),"자"
)</f>
        <v>0</v>
      </c>
      <c r="AD280" s="26" cm="1">
        <f t="array" ref="AD280">_xlfn.IFS(
   OR(C280="",ISBLANK(C280),C280=0),0,
   ISNUMBER(MATCH(C280,{2,3,5,7,11,13,17,19,23,29,31,37,41,43},0)),"소",
   AND(ISNUMBER(C280),MOD(C280,3)=0),"배",
   AND(ISNUMBER(C280),C280&gt;0),"자"
)</f>
        <v>0</v>
      </c>
      <c r="AE280" s="26" cm="1">
        <f t="array" ref="AE280">_xlfn.IFS(
   OR(D280="",ISBLANK(D280),D280=0),0,
   ISNUMBER(MATCH(D280,{2,3,5,7,11,13,17,19,23,29,31,37,41,43},0)),"소",
   AND(ISNUMBER(D280),MOD(D280,3)=0),"배",
   AND(ISNUMBER(D280),D280&gt;0),"자"
)</f>
        <v>0</v>
      </c>
      <c r="AF280" s="26" cm="1">
        <f t="array" ref="AF280">_xlfn.IFS(
   OR(E280="",ISBLANK(E280),E280=0),0,
   ISNUMBER(MATCH(E280,{2,3,5,7,11,13,17,19,23,29,31,37,41,43},0)),"소",
   AND(ISNUMBER(E280),MOD(E280,3)=0),"배",
   AND(ISNUMBER(E280),E280&gt;0),"자"
)</f>
        <v>0</v>
      </c>
      <c r="AG280" s="26" cm="1">
        <f t="array" ref="AG280">_xlfn.IFS(
   OR(F280="",ISBLANK(F280),F280=0),0,
   ISNUMBER(MATCH(F280,{2,3,5,7,11,13,17,19,23,29,31,37,41,43},0)),"소",
   AND(ISNUMBER(F280),MOD(F280,3)=0),"배",
   AND(ISNUMBER(F280),F280&gt;0),"자"
)</f>
        <v>0</v>
      </c>
      <c r="AH280" s="26" cm="1">
        <f t="array" ref="AH280">_xlfn.IFS(
   OR(G280="",ISBLANK(G280),G280=0),0,
   ISNUMBER(MATCH(G280,{2,3,5,7,11,13,17,19,23,29,31,37,41,43},0)),"소",
   AND(ISNUMBER(G280),MOD(G280,3)=0),"배",
   AND(ISNUMBER(G280),G280&gt;0),"자"
)</f>
        <v>0</v>
      </c>
      <c r="AI280" s="30"/>
      <c r="AJ280" s="3">
        <f>COUNTIFS(B280:G280,"&gt;=1",B280:G280,"&lt;=14")</f>
        <v>0</v>
      </c>
      <c r="AK280" s="3">
        <f>COUNTIFS(B280:G280,"&gt;=15",B280:G280,"&lt;=31")</f>
        <v>0</v>
      </c>
      <c r="AL280" s="3">
        <f>6-AK280-AJ280</f>
        <v>6</v>
      </c>
      <c r="AM280" s="33"/>
      <c r="AN280" s="3">
        <f>COUNTIFS($B280:$G280, "&gt;=1",$B280:$G280, "&lt;=9")</f>
        <v>0</v>
      </c>
      <c r="AO280" s="3">
        <f>COUNTIFS($B280:$G280, "&gt;=10",$B280:$G280, "&lt;=18")</f>
        <v>0</v>
      </c>
      <c r="AP280" s="3">
        <f>COUNTIFS($B280:$G280, "&gt;=19",$B280:$G280, "&lt;=27")</f>
        <v>0</v>
      </c>
      <c r="AQ280" s="3">
        <f>COUNTIFS($B280:$G280, "&gt;=28",$B280:$G280, "&lt;=36")</f>
        <v>0</v>
      </c>
      <c r="AR280" s="3">
        <f>COUNTIFS($B280:$G280, "&gt;=37",$B280:$G280, "&lt;=45")</f>
        <v>0</v>
      </c>
      <c r="AS280" s="28" t="e">
        <f>#REF!</f>
        <v>#REF!</v>
      </c>
      <c r="AT280" s="28" t="e">
        <f>#REF!*2</f>
        <v>#REF!</v>
      </c>
      <c r="AU280" s="28" t="e">
        <f>#REF!</f>
        <v>#REF!</v>
      </c>
      <c r="AV280" s="28" t="e">
        <f>#REF!*2</f>
        <v>#REF!</v>
      </c>
      <c r="AW280" s="28" t="e">
        <f>#REF!</f>
        <v>#REF!</v>
      </c>
      <c r="AX280" s="28" t="e">
        <f>#REF!*2</f>
        <v>#REF!</v>
      </c>
      <c r="AY280" s="28" t="e">
        <f>#REF!</f>
        <v>#REF!</v>
      </c>
      <c r="AZ280" s="28" t="e">
        <f>#REF!*2</f>
        <v>#REF!</v>
      </c>
      <c r="BA280" s="28" t="e">
        <f>#REF!</f>
        <v>#REF!</v>
      </c>
      <c r="BB280" s="28" t="e">
        <f>#REF!*2</f>
        <v>#REF!</v>
      </c>
      <c r="BC280" s="28" t="e">
        <f>#REF!</f>
        <v>#REF!</v>
      </c>
      <c r="BD280" s="28" t="e">
        <f>#REF!*2</f>
        <v>#REF!</v>
      </c>
      <c r="BE280" s="9" t="e">
        <f>#REF!-#REF!</f>
        <v>#REF!</v>
      </c>
      <c r="BF280" s="9" t="e">
        <f>#REF!-#REF!</f>
        <v>#REF!</v>
      </c>
      <c r="BG280" s="9" t="e">
        <f>#REF!-#REF!</f>
        <v>#REF!</v>
      </c>
      <c r="BH280" s="9" t="e">
        <f>#REF!-#REF!</f>
        <v>#REF!</v>
      </c>
      <c r="BI280" s="9" t="e">
        <f>#REF!-#REF!</f>
        <v>#REF!</v>
      </c>
      <c r="BJ280" s="33"/>
      <c r="BK280" s="3">
        <f>COUNTIFS(B280:G280, "&gt;=1", B280:G280, "&lt;=9")</f>
        <v>0</v>
      </c>
      <c r="BL280" s="3">
        <f>COUNTIFS(B280:G280, "&gt;=10", B280:G280, "&lt;=19")</f>
        <v>0</v>
      </c>
      <c r="BM280" s="3">
        <f>COUNTIFS(B280:G280, "&gt;=20", B280:G280, "&lt;=29")</f>
        <v>0</v>
      </c>
      <c r="BN280" s="3">
        <f>COUNTIFS(B280:G280, "&gt;=30", B280:G280, "&lt;=39")</f>
        <v>0</v>
      </c>
      <c r="BO280" s="3">
        <f>COUNTIFS(B280:G280, "&gt;=40", B280:G280, "&lt;=45")</f>
        <v>0</v>
      </c>
      <c r="BP280" s="28" t="e">
        <f>#REF!</f>
        <v>#REF!</v>
      </c>
      <c r="BQ280" s="28" t="e">
        <f>#REF!*2</f>
        <v>#REF!</v>
      </c>
      <c r="BR280" s="28" t="e">
        <f>#REF!</f>
        <v>#REF!</v>
      </c>
      <c r="BS280" s="28" t="e">
        <f>#REF!*2</f>
        <v>#REF!</v>
      </c>
      <c r="BT280" s="28" t="e">
        <f>#REF!</f>
        <v>#REF!</v>
      </c>
      <c r="BU280" s="28" t="e">
        <f>#REF!*2</f>
        <v>#REF!</v>
      </c>
      <c r="BV280" s="28" t="e">
        <f>#REF!</f>
        <v>#REF!</v>
      </c>
      <c r="BW280" s="28" t="e">
        <f>#REF!*2</f>
        <v>#REF!</v>
      </c>
      <c r="BX280" s="28" t="e">
        <f>#REF!</f>
        <v>#REF!</v>
      </c>
      <c r="BY280" s="28" t="e">
        <f>#REF!*2</f>
        <v>#REF!</v>
      </c>
      <c r="BZ280" s="28" t="e">
        <f>#REF!</f>
        <v>#REF!</v>
      </c>
      <c r="CA280" s="28" t="e">
        <f>#REF!*2</f>
        <v>#REF!</v>
      </c>
      <c r="CB280" s="9">
        <f>C280-B280</f>
        <v>0</v>
      </c>
      <c r="CC280" s="9">
        <f>D280-C280</f>
        <v>0</v>
      </c>
      <c r="CD280" s="9">
        <f>E280-D280</f>
        <v>0</v>
      </c>
      <c r="CE280" s="9">
        <f>F280-E280</f>
        <v>0</v>
      </c>
      <c r="CF280" s="9">
        <f>G280-F280</f>
        <v>0</v>
      </c>
      <c r="CG280" s="33"/>
      <c r="CH280" s="3">
        <f>C280-B280</f>
        <v>0</v>
      </c>
      <c r="CI280" s="3">
        <f>D280-C280</f>
        <v>0</v>
      </c>
      <c r="CJ280" s="3">
        <f>E280-D280</f>
        <v>0</v>
      </c>
      <c r="CK280" s="3">
        <f>F280-E280</f>
        <v>0</v>
      </c>
      <c r="CL280" s="3">
        <f>G280-F280</f>
        <v>0</v>
      </c>
      <c r="CM280" s="32"/>
      <c r="CN280" s="3">
        <f>IF(OR(CH280="",ISBLANK(CH280),CH280=0),0,IF(MOD(CH280,2)=1,1,2))</f>
        <v>0</v>
      </c>
      <c r="CO280" s="3">
        <f>IF(OR(CI280="",ISBLANK(CI280),CI280=0),0,IF(MOD(CI280,2)=1,1,2))</f>
        <v>0</v>
      </c>
      <c r="CP280" s="3">
        <f>IF(OR(CJ280="",ISBLANK(CJ280),CJ280=0),0,IF(MOD(CJ280,2)=1,1,2))</f>
        <v>0</v>
      </c>
      <c r="CQ280" s="3">
        <f>IF(OR(CK280="",ISBLANK(CK280),CK280=0),0,IF(MOD(CK280,2)=1,1,2))</f>
        <v>0</v>
      </c>
      <c r="CR280" s="3">
        <f>IF(OR(CL280="",ISBLANK(CL280),CL280=0),0,IF(MOD(CL280,2)=1,1,2))</f>
        <v>0</v>
      </c>
      <c r="CS280" s="31"/>
      <c r="CT280" s="3" cm="1">
        <f t="array" ref="CT280">SUMPRODUCT(--(MOD(CH280:CL280,2)=1))</f>
        <v>0</v>
      </c>
      <c r="CU280" s="3">
        <f>5-CT280</f>
        <v>5</v>
      </c>
      <c r="CV280" s="30"/>
      <c r="CW280" s="3" cm="1">
        <f t="array" ref="CW280">SUMPRODUCT(--(MOD(CH280:CL280,10)&gt;=1), --(MOD(CH280:CL280,10)&lt;=5))</f>
        <v>0</v>
      </c>
      <c r="CX280" s="3">
        <f>5-CW280</f>
        <v>5</v>
      </c>
      <c r="CY280" s="30"/>
      <c r="CZ280" s="3" cm="1">
        <f t="array" ref="CZ280">IFERROR(COUNT(_xlfn._xlws.FILTER(CH280:CL280, ISNUMBER(MATCH(CH280:CL280, {2,3,5,7,11,13,17,19,23,29,31,37,41,43}, 0)))), 0)</f>
        <v>0</v>
      </c>
      <c r="DA280" s="3" cm="1">
        <f t="array" ref="DA280">IFERROR(COUNT(_xlfn._xlws.FILTER(CH280:CL280, ISNUMBER(MATCH(CH280:CL280, {1,4,8,10,14,16,20,22,25,26,28,32,34,35,38,40,44}, 0)))), 0)</f>
        <v>0</v>
      </c>
      <c r="DB280" s="3" cm="1">
        <f t="array" ref="DB280">IFERROR(COUNT(_xlfn._xlws.FILTER(CH280:CL280, ISNUMBER(MATCH(CH280:CL280, {6,9,12,15,18,21,24,27,30,33,36,39,42,45}, 0)))), 0)</f>
        <v>0</v>
      </c>
      <c r="DC280" s="29"/>
      <c r="DD280" s="28" t="e">
        <f>#REF!</f>
        <v>#REF!</v>
      </c>
      <c r="DE280" s="28" t="e">
        <f>#REF!*2</f>
        <v>#REF!</v>
      </c>
      <c r="DF280" s="28" t="e">
        <f>#REF!</f>
        <v>#REF!</v>
      </c>
      <c r="DG280" s="28" t="e">
        <f>#REF!*2</f>
        <v>#REF!</v>
      </c>
      <c r="DH280" s="28" t="e">
        <f>#REF!</f>
        <v>#REF!</v>
      </c>
      <c r="DI280" s="28" t="e">
        <f>#REF!*2</f>
        <v>#REF!</v>
      </c>
      <c r="DJ280" s="28" t="e">
        <f>#REF!</f>
        <v>#REF!</v>
      </c>
      <c r="DK280" s="28" t="e">
        <f>#REF!*2</f>
        <v>#REF!</v>
      </c>
      <c r="DL280" s="28" t="e">
        <f>#REF!</f>
        <v>#REF!</v>
      </c>
      <c r="DM280" s="28" t="e">
        <f>#REF!*2</f>
        <v>#REF!</v>
      </c>
      <c r="DN280" s="27"/>
      <c r="DO280" s="26"/>
      <c r="DP280" s="26"/>
      <c r="DQ280" s="26"/>
      <c r="DR280" s="26"/>
      <c r="DS280" s="26"/>
      <c r="DT280" s="25"/>
    </row>
    <row r="281" spans="2:124" x14ac:dyDescent="0.3">
      <c r="B281" s="3">
        <v>0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2"/>
      <c r="I281" s="3">
        <f>IF(OR(B281="",ISBLANK(B281),B281=0),0,IF(MOD(B281,2)=1,1,2))</f>
        <v>0</v>
      </c>
      <c r="J281" s="3">
        <f>IF(OR(C281="",ISBLANK(C281),C281=0),0,IF(MOD(C281,2)=1,1,2))</f>
        <v>0</v>
      </c>
      <c r="K281" s="3">
        <f>IF(OR(D281="",ISBLANK(D281),D281=0),0,IF(MOD(D281,2)=1,1,2))</f>
        <v>0</v>
      </c>
      <c r="L281" s="3">
        <f>IF(OR(E281="",ISBLANK(E281),E281=0),0,IF(MOD(E281,2)=1,1,2))</f>
        <v>0</v>
      </c>
      <c r="M281" s="3">
        <f>IF(OR(F281="",ISBLANK(F281),F281=0),0,IF(MOD(F281,2)=1,1,2))</f>
        <v>0</v>
      </c>
      <c r="N281" s="3">
        <f>IF(OR(G281="",ISBLANK(G281),G281=0),0,IF(MOD(G281,2)=1,1,2))</f>
        <v>0</v>
      </c>
      <c r="O281" s="32"/>
      <c r="P281" s="3" cm="1">
        <f t="array" ref="P281">SUMPRODUCT(--(MOD(B281:G281,2)=1))</f>
        <v>0</v>
      </c>
      <c r="Q281" s="3">
        <f>6-P281</f>
        <v>6</v>
      </c>
      <c r="R281" s="34"/>
      <c r="S281" s="3">
        <f>COUNTIFS(B281:G281,"&gt;=1",B281:G281,"&lt;=23")</f>
        <v>0</v>
      </c>
      <c r="T281" s="3">
        <f>6-S281</f>
        <v>6</v>
      </c>
      <c r="U281" s="34"/>
      <c r="V281" s="3" cm="1">
        <f t="array" ref="V281">SUMPRODUCT(--(MOD(B281:G281,10)&gt;=1), --(MOD(B281:G281,10)&lt;=5))</f>
        <v>0</v>
      </c>
      <c r="W281" s="3">
        <f>6-V281</f>
        <v>6</v>
      </c>
      <c r="X281" s="34"/>
      <c r="Y281" s="3" cm="1">
        <f t="array" ref="Y281">IFERROR(COUNT(_xlfn._xlws.FILTER(B281:G281, ISNUMBER(MATCH(B281:G281, {2,3,5,7,11,13,17,19,23,29,31,37,41,43}, 0)))), 0)</f>
        <v>0</v>
      </c>
      <c r="Z281" s="3" cm="1">
        <f t="array" ref="Z281">IFERROR(COUNT(_xlfn._xlws.FILTER(B281:G281, ISNUMBER(MATCH(B281:G281, {1,4,8,10,14,16,20,22,25,26,28,32,34,35,38,40,44}, 0)))), 0)</f>
        <v>0</v>
      </c>
      <c r="AA281" s="3" cm="1">
        <f t="array" ref="AA281">IFERROR(COUNT(_xlfn._xlws.FILTER(B281:G281, ISNUMBER(MATCH(B281:G281, {6,9,12,15,18,21,24,27,30,33,36,39,42,45}, 0)))), 0)</f>
        <v>0</v>
      </c>
      <c r="AB281" s="30"/>
      <c r="AC281" s="26" cm="1">
        <f t="array" ref="AC281">_xlfn.IFS(
   OR(B281="",ISBLANK(B281),B281=0),0,
   ISNUMBER(MATCH(B281,{2,3,5,7,11,13,17,19,23,29,31,37,41,43},0)),"소",
   AND(ISNUMBER(B281),MOD(B281,3)=0),"배",
   AND(ISNUMBER(B281),B281&gt;0),"자"
)</f>
        <v>0</v>
      </c>
      <c r="AD281" s="26" cm="1">
        <f t="array" ref="AD281">_xlfn.IFS(
   OR(C281="",ISBLANK(C281),C281=0),0,
   ISNUMBER(MATCH(C281,{2,3,5,7,11,13,17,19,23,29,31,37,41,43},0)),"소",
   AND(ISNUMBER(C281),MOD(C281,3)=0),"배",
   AND(ISNUMBER(C281),C281&gt;0),"자"
)</f>
        <v>0</v>
      </c>
      <c r="AE281" s="26" cm="1">
        <f t="array" ref="AE281">_xlfn.IFS(
   OR(D281="",ISBLANK(D281),D281=0),0,
   ISNUMBER(MATCH(D281,{2,3,5,7,11,13,17,19,23,29,31,37,41,43},0)),"소",
   AND(ISNUMBER(D281),MOD(D281,3)=0),"배",
   AND(ISNUMBER(D281),D281&gt;0),"자"
)</f>
        <v>0</v>
      </c>
      <c r="AF281" s="26" cm="1">
        <f t="array" ref="AF281">_xlfn.IFS(
   OR(E281="",ISBLANK(E281),E281=0),0,
   ISNUMBER(MATCH(E281,{2,3,5,7,11,13,17,19,23,29,31,37,41,43},0)),"소",
   AND(ISNUMBER(E281),MOD(E281,3)=0),"배",
   AND(ISNUMBER(E281),E281&gt;0),"자"
)</f>
        <v>0</v>
      </c>
      <c r="AG281" s="26" cm="1">
        <f t="array" ref="AG281">_xlfn.IFS(
   OR(F281="",ISBLANK(F281),F281=0),0,
   ISNUMBER(MATCH(F281,{2,3,5,7,11,13,17,19,23,29,31,37,41,43},0)),"소",
   AND(ISNUMBER(F281),MOD(F281,3)=0),"배",
   AND(ISNUMBER(F281),F281&gt;0),"자"
)</f>
        <v>0</v>
      </c>
      <c r="AH281" s="26" cm="1">
        <f t="array" ref="AH281">_xlfn.IFS(
   OR(G281="",ISBLANK(G281),G281=0),0,
   ISNUMBER(MATCH(G281,{2,3,5,7,11,13,17,19,23,29,31,37,41,43},0)),"소",
   AND(ISNUMBER(G281),MOD(G281,3)=0),"배",
   AND(ISNUMBER(G281),G281&gt;0),"자"
)</f>
        <v>0</v>
      </c>
      <c r="AI281" s="30"/>
      <c r="AJ281" s="3">
        <f>COUNTIFS(B281:G281,"&gt;=1",B281:G281,"&lt;=14")</f>
        <v>0</v>
      </c>
      <c r="AK281" s="3">
        <f>COUNTIFS(B281:G281,"&gt;=15",B281:G281,"&lt;=31")</f>
        <v>0</v>
      </c>
      <c r="AL281" s="3">
        <f>6-AK281-AJ281</f>
        <v>6</v>
      </c>
      <c r="AM281" s="33"/>
      <c r="AN281" s="3">
        <f>COUNTIFS($B281:$G281, "&gt;=1",$B281:$G281, "&lt;=9")</f>
        <v>0</v>
      </c>
      <c r="AO281" s="3">
        <f>COUNTIFS($B281:$G281, "&gt;=10",$B281:$G281, "&lt;=18")</f>
        <v>0</v>
      </c>
      <c r="AP281" s="3">
        <f>COUNTIFS($B281:$G281, "&gt;=19",$B281:$G281, "&lt;=27")</f>
        <v>0</v>
      </c>
      <c r="AQ281" s="3">
        <f>COUNTIFS($B281:$G281, "&gt;=28",$B281:$G281, "&lt;=36")</f>
        <v>0</v>
      </c>
      <c r="AR281" s="3">
        <f>COUNTIFS($B281:$G281, "&gt;=37",$B281:$G281, "&lt;=45")</f>
        <v>0</v>
      </c>
      <c r="AS281" s="28" t="e">
        <f>#REF!</f>
        <v>#REF!</v>
      </c>
      <c r="AT281" s="28" t="e">
        <f>#REF!*2</f>
        <v>#REF!</v>
      </c>
      <c r="AU281" s="28" t="e">
        <f>#REF!</f>
        <v>#REF!</v>
      </c>
      <c r="AV281" s="28" t="e">
        <f>#REF!*2</f>
        <v>#REF!</v>
      </c>
      <c r="AW281" s="28" t="e">
        <f>#REF!</f>
        <v>#REF!</v>
      </c>
      <c r="AX281" s="28" t="e">
        <f>#REF!*2</f>
        <v>#REF!</v>
      </c>
      <c r="AY281" s="28" t="e">
        <f>#REF!</f>
        <v>#REF!</v>
      </c>
      <c r="AZ281" s="28" t="e">
        <f>#REF!*2</f>
        <v>#REF!</v>
      </c>
      <c r="BA281" s="28" t="e">
        <f>#REF!</f>
        <v>#REF!</v>
      </c>
      <c r="BB281" s="28" t="e">
        <f>#REF!*2</f>
        <v>#REF!</v>
      </c>
      <c r="BC281" s="28" t="e">
        <f>#REF!</f>
        <v>#REF!</v>
      </c>
      <c r="BD281" s="28" t="e">
        <f>#REF!*2</f>
        <v>#REF!</v>
      </c>
      <c r="BE281" s="9" t="e">
        <f>#REF!-#REF!</f>
        <v>#REF!</v>
      </c>
      <c r="BF281" s="9" t="e">
        <f>#REF!-#REF!</f>
        <v>#REF!</v>
      </c>
      <c r="BG281" s="9" t="e">
        <f>#REF!-#REF!</f>
        <v>#REF!</v>
      </c>
      <c r="BH281" s="9" t="e">
        <f>#REF!-#REF!</f>
        <v>#REF!</v>
      </c>
      <c r="BI281" s="9" t="e">
        <f>#REF!-#REF!</f>
        <v>#REF!</v>
      </c>
      <c r="BJ281" s="33"/>
      <c r="BK281" s="3">
        <f>COUNTIFS(B281:G281, "&gt;=1", B281:G281, "&lt;=9")</f>
        <v>0</v>
      </c>
      <c r="BL281" s="3">
        <f>COUNTIFS(B281:G281, "&gt;=10", B281:G281, "&lt;=19")</f>
        <v>0</v>
      </c>
      <c r="BM281" s="3">
        <f>COUNTIFS(B281:G281, "&gt;=20", B281:G281, "&lt;=29")</f>
        <v>0</v>
      </c>
      <c r="BN281" s="3">
        <f>COUNTIFS(B281:G281, "&gt;=30", B281:G281, "&lt;=39")</f>
        <v>0</v>
      </c>
      <c r="BO281" s="3">
        <f>COUNTIFS(B281:G281, "&gt;=40", B281:G281, "&lt;=45")</f>
        <v>0</v>
      </c>
      <c r="BP281" s="28" t="e">
        <f>#REF!</f>
        <v>#REF!</v>
      </c>
      <c r="BQ281" s="28" t="e">
        <f>#REF!*2</f>
        <v>#REF!</v>
      </c>
      <c r="BR281" s="28" t="e">
        <f>#REF!</f>
        <v>#REF!</v>
      </c>
      <c r="BS281" s="28" t="e">
        <f>#REF!*2</f>
        <v>#REF!</v>
      </c>
      <c r="BT281" s="28" t="e">
        <f>#REF!</f>
        <v>#REF!</v>
      </c>
      <c r="BU281" s="28" t="e">
        <f>#REF!*2</f>
        <v>#REF!</v>
      </c>
      <c r="BV281" s="28" t="e">
        <f>#REF!</f>
        <v>#REF!</v>
      </c>
      <c r="BW281" s="28" t="e">
        <f>#REF!*2</f>
        <v>#REF!</v>
      </c>
      <c r="BX281" s="28" t="e">
        <f>#REF!</f>
        <v>#REF!</v>
      </c>
      <c r="BY281" s="28" t="e">
        <f>#REF!*2</f>
        <v>#REF!</v>
      </c>
      <c r="BZ281" s="28" t="e">
        <f>#REF!</f>
        <v>#REF!</v>
      </c>
      <c r="CA281" s="28" t="e">
        <f>#REF!*2</f>
        <v>#REF!</v>
      </c>
      <c r="CB281" s="9">
        <f>C281-B281</f>
        <v>0</v>
      </c>
      <c r="CC281" s="9">
        <f>D281-C281</f>
        <v>0</v>
      </c>
      <c r="CD281" s="9">
        <f>E281-D281</f>
        <v>0</v>
      </c>
      <c r="CE281" s="9">
        <f>F281-E281</f>
        <v>0</v>
      </c>
      <c r="CF281" s="9">
        <f>G281-F281</f>
        <v>0</v>
      </c>
      <c r="CG281" s="33"/>
      <c r="CH281" s="3">
        <f>C281-B281</f>
        <v>0</v>
      </c>
      <c r="CI281" s="3">
        <f>D281-C281</f>
        <v>0</v>
      </c>
      <c r="CJ281" s="3">
        <f>E281-D281</f>
        <v>0</v>
      </c>
      <c r="CK281" s="3">
        <f>F281-E281</f>
        <v>0</v>
      </c>
      <c r="CL281" s="3">
        <f>G281-F281</f>
        <v>0</v>
      </c>
      <c r="CM281" s="32"/>
      <c r="CN281" s="3">
        <f>IF(OR(CH281="",ISBLANK(CH281),CH281=0),0,IF(MOD(CH281,2)=1,1,2))</f>
        <v>0</v>
      </c>
      <c r="CO281" s="3">
        <f>IF(OR(CI281="",ISBLANK(CI281),CI281=0),0,IF(MOD(CI281,2)=1,1,2))</f>
        <v>0</v>
      </c>
      <c r="CP281" s="3">
        <f>IF(OR(CJ281="",ISBLANK(CJ281),CJ281=0),0,IF(MOD(CJ281,2)=1,1,2))</f>
        <v>0</v>
      </c>
      <c r="CQ281" s="3">
        <f>IF(OR(CK281="",ISBLANK(CK281),CK281=0),0,IF(MOD(CK281,2)=1,1,2))</f>
        <v>0</v>
      </c>
      <c r="CR281" s="3">
        <f>IF(OR(CL281="",ISBLANK(CL281),CL281=0),0,IF(MOD(CL281,2)=1,1,2))</f>
        <v>0</v>
      </c>
      <c r="CS281" s="31"/>
      <c r="CT281" s="3" cm="1">
        <f t="array" ref="CT281">SUMPRODUCT(--(MOD(CH281:CL281,2)=1))</f>
        <v>0</v>
      </c>
      <c r="CU281" s="3">
        <f>5-CT281</f>
        <v>5</v>
      </c>
      <c r="CV281" s="30"/>
      <c r="CW281" s="3" cm="1">
        <f t="array" ref="CW281">SUMPRODUCT(--(MOD(CH281:CL281,10)&gt;=1), --(MOD(CH281:CL281,10)&lt;=5))</f>
        <v>0</v>
      </c>
      <c r="CX281" s="3">
        <f>5-CW281</f>
        <v>5</v>
      </c>
      <c r="CY281" s="30"/>
      <c r="CZ281" s="3" cm="1">
        <f t="array" ref="CZ281">IFERROR(COUNT(_xlfn._xlws.FILTER(CH281:CL281, ISNUMBER(MATCH(CH281:CL281, {2,3,5,7,11,13,17,19,23,29,31,37,41,43}, 0)))), 0)</f>
        <v>0</v>
      </c>
      <c r="DA281" s="3" cm="1">
        <f t="array" ref="DA281">IFERROR(COUNT(_xlfn._xlws.FILTER(CH281:CL281, ISNUMBER(MATCH(CH281:CL281, {1,4,8,10,14,16,20,22,25,26,28,32,34,35,38,40,44}, 0)))), 0)</f>
        <v>0</v>
      </c>
      <c r="DB281" s="3" cm="1">
        <f t="array" ref="DB281">IFERROR(COUNT(_xlfn._xlws.FILTER(CH281:CL281, ISNUMBER(MATCH(CH281:CL281, {6,9,12,15,18,21,24,27,30,33,36,39,42,45}, 0)))), 0)</f>
        <v>0</v>
      </c>
      <c r="DC281" s="29"/>
      <c r="DD281" s="28" t="e">
        <f>#REF!</f>
        <v>#REF!</v>
      </c>
      <c r="DE281" s="28" t="e">
        <f>#REF!*2</f>
        <v>#REF!</v>
      </c>
      <c r="DF281" s="28" t="e">
        <f>#REF!</f>
        <v>#REF!</v>
      </c>
      <c r="DG281" s="28" t="e">
        <f>#REF!*2</f>
        <v>#REF!</v>
      </c>
      <c r="DH281" s="28" t="e">
        <f>#REF!</f>
        <v>#REF!</v>
      </c>
      <c r="DI281" s="28" t="e">
        <f>#REF!*2</f>
        <v>#REF!</v>
      </c>
      <c r="DJ281" s="28" t="e">
        <f>#REF!</f>
        <v>#REF!</v>
      </c>
      <c r="DK281" s="28" t="e">
        <f>#REF!*2</f>
        <v>#REF!</v>
      </c>
      <c r="DL281" s="28" t="e">
        <f>#REF!</f>
        <v>#REF!</v>
      </c>
      <c r="DM281" s="28" t="e">
        <f>#REF!*2</f>
        <v>#REF!</v>
      </c>
      <c r="DN281" s="27"/>
      <c r="DO281" s="26"/>
      <c r="DP281" s="26"/>
      <c r="DQ281" s="26"/>
      <c r="DR281" s="26"/>
      <c r="DS281" s="26"/>
      <c r="DT281" s="25"/>
    </row>
    <row r="282" spans="2:124" x14ac:dyDescent="0.3">
      <c r="B282" s="3">
        <v>0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2"/>
      <c r="I282" s="3">
        <f>IF(OR(B282="",ISBLANK(B282),B282=0),0,IF(MOD(B282,2)=1,1,2))</f>
        <v>0</v>
      </c>
      <c r="J282" s="3">
        <f>IF(OR(C282="",ISBLANK(C282),C282=0),0,IF(MOD(C282,2)=1,1,2))</f>
        <v>0</v>
      </c>
      <c r="K282" s="3">
        <f>IF(OR(D282="",ISBLANK(D282),D282=0),0,IF(MOD(D282,2)=1,1,2))</f>
        <v>0</v>
      </c>
      <c r="L282" s="3">
        <f>IF(OR(E282="",ISBLANK(E282),E282=0),0,IF(MOD(E282,2)=1,1,2))</f>
        <v>0</v>
      </c>
      <c r="M282" s="3">
        <f>IF(OR(F282="",ISBLANK(F282),F282=0),0,IF(MOD(F282,2)=1,1,2))</f>
        <v>0</v>
      </c>
      <c r="N282" s="3">
        <f>IF(OR(G282="",ISBLANK(G282),G282=0),0,IF(MOD(G282,2)=1,1,2))</f>
        <v>0</v>
      </c>
      <c r="O282" s="32"/>
      <c r="P282" s="3" cm="1">
        <f t="array" ref="P282">SUMPRODUCT(--(MOD(B282:G282,2)=1))</f>
        <v>0</v>
      </c>
      <c r="Q282" s="3">
        <f>6-P282</f>
        <v>6</v>
      </c>
      <c r="R282" s="34"/>
      <c r="S282" s="3">
        <f>COUNTIFS(B282:G282,"&gt;=1",B282:G282,"&lt;=23")</f>
        <v>0</v>
      </c>
      <c r="T282" s="3">
        <f>6-S282</f>
        <v>6</v>
      </c>
      <c r="U282" s="34"/>
      <c r="V282" s="3" cm="1">
        <f t="array" ref="V282">SUMPRODUCT(--(MOD(B282:G282,10)&gt;=1), --(MOD(B282:G282,10)&lt;=5))</f>
        <v>0</v>
      </c>
      <c r="W282" s="3">
        <f>6-V282</f>
        <v>6</v>
      </c>
      <c r="X282" s="34"/>
      <c r="Y282" s="3" cm="1">
        <f t="array" ref="Y282">IFERROR(COUNT(_xlfn._xlws.FILTER(B282:G282, ISNUMBER(MATCH(B282:G282, {2,3,5,7,11,13,17,19,23,29,31,37,41,43}, 0)))), 0)</f>
        <v>0</v>
      </c>
      <c r="Z282" s="3" cm="1">
        <f t="array" ref="Z282">IFERROR(COUNT(_xlfn._xlws.FILTER(B282:G282, ISNUMBER(MATCH(B282:G282, {1,4,8,10,14,16,20,22,25,26,28,32,34,35,38,40,44}, 0)))), 0)</f>
        <v>0</v>
      </c>
      <c r="AA282" s="3" cm="1">
        <f t="array" ref="AA282">IFERROR(COUNT(_xlfn._xlws.FILTER(B282:G282, ISNUMBER(MATCH(B282:G282, {6,9,12,15,18,21,24,27,30,33,36,39,42,45}, 0)))), 0)</f>
        <v>0</v>
      </c>
      <c r="AB282" s="30"/>
      <c r="AC282" s="26" cm="1">
        <f t="array" ref="AC282">_xlfn.IFS(
   OR(B282="",ISBLANK(B282),B282=0),0,
   ISNUMBER(MATCH(B282,{2,3,5,7,11,13,17,19,23,29,31,37,41,43},0)),"소",
   AND(ISNUMBER(B282),MOD(B282,3)=0),"배",
   AND(ISNUMBER(B282),B282&gt;0),"자"
)</f>
        <v>0</v>
      </c>
      <c r="AD282" s="26" cm="1">
        <f t="array" ref="AD282">_xlfn.IFS(
   OR(C282="",ISBLANK(C282),C282=0),0,
   ISNUMBER(MATCH(C282,{2,3,5,7,11,13,17,19,23,29,31,37,41,43},0)),"소",
   AND(ISNUMBER(C282),MOD(C282,3)=0),"배",
   AND(ISNUMBER(C282),C282&gt;0),"자"
)</f>
        <v>0</v>
      </c>
      <c r="AE282" s="26" cm="1">
        <f t="array" ref="AE282">_xlfn.IFS(
   OR(D282="",ISBLANK(D282),D282=0),0,
   ISNUMBER(MATCH(D282,{2,3,5,7,11,13,17,19,23,29,31,37,41,43},0)),"소",
   AND(ISNUMBER(D282),MOD(D282,3)=0),"배",
   AND(ISNUMBER(D282),D282&gt;0),"자"
)</f>
        <v>0</v>
      </c>
      <c r="AF282" s="26" cm="1">
        <f t="array" ref="AF282">_xlfn.IFS(
   OR(E282="",ISBLANK(E282),E282=0),0,
   ISNUMBER(MATCH(E282,{2,3,5,7,11,13,17,19,23,29,31,37,41,43},0)),"소",
   AND(ISNUMBER(E282),MOD(E282,3)=0),"배",
   AND(ISNUMBER(E282),E282&gt;0),"자"
)</f>
        <v>0</v>
      </c>
      <c r="AG282" s="26" cm="1">
        <f t="array" ref="AG282">_xlfn.IFS(
   OR(F282="",ISBLANK(F282),F282=0),0,
   ISNUMBER(MATCH(F282,{2,3,5,7,11,13,17,19,23,29,31,37,41,43},0)),"소",
   AND(ISNUMBER(F282),MOD(F282,3)=0),"배",
   AND(ISNUMBER(F282),F282&gt;0),"자"
)</f>
        <v>0</v>
      </c>
      <c r="AH282" s="26" cm="1">
        <f t="array" ref="AH282">_xlfn.IFS(
   OR(G282="",ISBLANK(G282),G282=0),0,
   ISNUMBER(MATCH(G282,{2,3,5,7,11,13,17,19,23,29,31,37,41,43},0)),"소",
   AND(ISNUMBER(G282),MOD(G282,3)=0),"배",
   AND(ISNUMBER(G282),G282&gt;0),"자"
)</f>
        <v>0</v>
      </c>
      <c r="AI282" s="30"/>
      <c r="AJ282" s="3">
        <f>COUNTIFS(B282:G282,"&gt;=1",B282:G282,"&lt;=14")</f>
        <v>0</v>
      </c>
      <c r="AK282" s="3">
        <f>COUNTIFS(B282:G282,"&gt;=15",B282:G282,"&lt;=31")</f>
        <v>0</v>
      </c>
      <c r="AL282" s="3">
        <f>6-AK282-AJ282</f>
        <v>6</v>
      </c>
      <c r="AM282" s="33"/>
      <c r="AN282" s="3">
        <f>COUNTIFS($B282:$G282, "&gt;=1",$B282:$G282, "&lt;=9")</f>
        <v>0</v>
      </c>
      <c r="AO282" s="3">
        <f>COUNTIFS($B282:$G282, "&gt;=10",$B282:$G282, "&lt;=18")</f>
        <v>0</v>
      </c>
      <c r="AP282" s="3">
        <f>COUNTIFS($B282:$G282, "&gt;=19",$B282:$G282, "&lt;=27")</f>
        <v>0</v>
      </c>
      <c r="AQ282" s="3">
        <f>COUNTIFS($B282:$G282, "&gt;=28",$B282:$G282, "&lt;=36")</f>
        <v>0</v>
      </c>
      <c r="AR282" s="3">
        <f>COUNTIFS($B282:$G282, "&gt;=37",$B282:$G282, "&lt;=45")</f>
        <v>0</v>
      </c>
      <c r="AS282" s="28" t="e">
        <f>#REF!</f>
        <v>#REF!</v>
      </c>
      <c r="AT282" s="28" t="e">
        <f>#REF!*2</f>
        <v>#REF!</v>
      </c>
      <c r="AU282" s="28" t="e">
        <f>#REF!</f>
        <v>#REF!</v>
      </c>
      <c r="AV282" s="28" t="e">
        <f>#REF!*2</f>
        <v>#REF!</v>
      </c>
      <c r="AW282" s="28" t="e">
        <f>#REF!</f>
        <v>#REF!</v>
      </c>
      <c r="AX282" s="28" t="e">
        <f>#REF!*2</f>
        <v>#REF!</v>
      </c>
      <c r="AY282" s="28" t="e">
        <f>#REF!</f>
        <v>#REF!</v>
      </c>
      <c r="AZ282" s="28" t="e">
        <f>#REF!*2</f>
        <v>#REF!</v>
      </c>
      <c r="BA282" s="28" t="e">
        <f>#REF!</f>
        <v>#REF!</v>
      </c>
      <c r="BB282" s="28" t="e">
        <f>#REF!*2</f>
        <v>#REF!</v>
      </c>
      <c r="BC282" s="28" t="e">
        <f>#REF!</f>
        <v>#REF!</v>
      </c>
      <c r="BD282" s="28" t="e">
        <f>#REF!*2</f>
        <v>#REF!</v>
      </c>
      <c r="BE282" s="9" t="e">
        <f>#REF!-#REF!</f>
        <v>#REF!</v>
      </c>
      <c r="BF282" s="9" t="e">
        <f>#REF!-#REF!</f>
        <v>#REF!</v>
      </c>
      <c r="BG282" s="9" t="e">
        <f>#REF!-#REF!</f>
        <v>#REF!</v>
      </c>
      <c r="BH282" s="9" t="e">
        <f>#REF!-#REF!</f>
        <v>#REF!</v>
      </c>
      <c r="BI282" s="9" t="e">
        <f>#REF!-#REF!</f>
        <v>#REF!</v>
      </c>
      <c r="BJ282" s="33"/>
      <c r="BK282" s="3">
        <f>COUNTIFS(B282:G282, "&gt;=1", B282:G282, "&lt;=9")</f>
        <v>0</v>
      </c>
      <c r="BL282" s="3">
        <f>COUNTIFS(B282:G282, "&gt;=10", B282:G282, "&lt;=19")</f>
        <v>0</v>
      </c>
      <c r="BM282" s="3">
        <f>COUNTIFS(B282:G282, "&gt;=20", B282:G282, "&lt;=29")</f>
        <v>0</v>
      </c>
      <c r="BN282" s="3">
        <f>COUNTIFS(B282:G282, "&gt;=30", B282:G282, "&lt;=39")</f>
        <v>0</v>
      </c>
      <c r="BO282" s="3">
        <f>COUNTIFS(B282:G282, "&gt;=40", B282:G282, "&lt;=45")</f>
        <v>0</v>
      </c>
      <c r="BP282" s="28" t="e">
        <f>#REF!</f>
        <v>#REF!</v>
      </c>
      <c r="BQ282" s="28" t="e">
        <f>#REF!*2</f>
        <v>#REF!</v>
      </c>
      <c r="BR282" s="28" t="e">
        <f>#REF!</f>
        <v>#REF!</v>
      </c>
      <c r="BS282" s="28" t="e">
        <f>#REF!*2</f>
        <v>#REF!</v>
      </c>
      <c r="BT282" s="28" t="e">
        <f>#REF!</f>
        <v>#REF!</v>
      </c>
      <c r="BU282" s="28" t="e">
        <f>#REF!*2</f>
        <v>#REF!</v>
      </c>
      <c r="BV282" s="28" t="e">
        <f>#REF!</f>
        <v>#REF!</v>
      </c>
      <c r="BW282" s="28" t="e">
        <f>#REF!*2</f>
        <v>#REF!</v>
      </c>
      <c r="BX282" s="28" t="e">
        <f>#REF!</f>
        <v>#REF!</v>
      </c>
      <c r="BY282" s="28" t="e">
        <f>#REF!*2</f>
        <v>#REF!</v>
      </c>
      <c r="BZ282" s="28" t="e">
        <f>#REF!</f>
        <v>#REF!</v>
      </c>
      <c r="CA282" s="28" t="e">
        <f>#REF!*2</f>
        <v>#REF!</v>
      </c>
      <c r="CB282" s="9">
        <f>C282-B282</f>
        <v>0</v>
      </c>
      <c r="CC282" s="9">
        <f>D282-C282</f>
        <v>0</v>
      </c>
      <c r="CD282" s="9">
        <f>E282-D282</f>
        <v>0</v>
      </c>
      <c r="CE282" s="9">
        <f>F282-E282</f>
        <v>0</v>
      </c>
      <c r="CF282" s="9">
        <f>G282-F282</f>
        <v>0</v>
      </c>
      <c r="CG282" s="33"/>
      <c r="CH282" s="3">
        <f>C282-B282</f>
        <v>0</v>
      </c>
      <c r="CI282" s="3">
        <f>D282-C282</f>
        <v>0</v>
      </c>
      <c r="CJ282" s="3">
        <f>E282-D282</f>
        <v>0</v>
      </c>
      <c r="CK282" s="3">
        <f>F282-E282</f>
        <v>0</v>
      </c>
      <c r="CL282" s="3">
        <f>G282-F282</f>
        <v>0</v>
      </c>
      <c r="CM282" s="32"/>
      <c r="CN282" s="3">
        <f>IF(OR(CH282="",ISBLANK(CH282),CH282=0),0,IF(MOD(CH282,2)=1,1,2))</f>
        <v>0</v>
      </c>
      <c r="CO282" s="3">
        <f>IF(OR(CI282="",ISBLANK(CI282),CI282=0),0,IF(MOD(CI282,2)=1,1,2))</f>
        <v>0</v>
      </c>
      <c r="CP282" s="3">
        <f>IF(OR(CJ282="",ISBLANK(CJ282),CJ282=0),0,IF(MOD(CJ282,2)=1,1,2))</f>
        <v>0</v>
      </c>
      <c r="CQ282" s="3">
        <f>IF(OR(CK282="",ISBLANK(CK282),CK282=0),0,IF(MOD(CK282,2)=1,1,2))</f>
        <v>0</v>
      </c>
      <c r="CR282" s="3">
        <f>IF(OR(CL282="",ISBLANK(CL282),CL282=0),0,IF(MOD(CL282,2)=1,1,2))</f>
        <v>0</v>
      </c>
      <c r="CS282" s="31"/>
      <c r="CT282" s="3" cm="1">
        <f t="array" ref="CT282">SUMPRODUCT(--(MOD(CH282:CL282,2)=1))</f>
        <v>0</v>
      </c>
      <c r="CU282" s="3">
        <f>5-CT282</f>
        <v>5</v>
      </c>
      <c r="CV282" s="30"/>
      <c r="CW282" s="3" cm="1">
        <f t="array" ref="CW282">SUMPRODUCT(--(MOD(CH282:CL282,10)&gt;=1), --(MOD(CH282:CL282,10)&lt;=5))</f>
        <v>0</v>
      </c>
      <c r="CX282" s="3">
        <f>5-CW282</f>
        <v>5</v>
      </c>
      <c r="CY282" s="30"/>
      <c r="CZ282" s="3" cm="1">
        <f t="array" ref="CZ282">IFERROR(COUNT(_xlfn._xlws.FILTER(CH282:CL282, ISNUMBER(MATCH(CH282:CL282, {2,3,5,7,11,13,17,19,23,29,31,37,41,43}, 0)))), 0)</f>
        <v>0</v>
      </c>
      <c r="DA282" s="3" cm="1">
        <f t="array" ref="DA282">IFERROR(COUNT(_xlfn._xlws.FILTER(CH282:CL282, ISNUMBER(MATCH(CH282:CL282, {1,4,8,10,14,16,20,22,25,26,28,32,34,35,38,40,44}, 0)))), 0)</f>
        <v>0</v>
      </c>
      <c r="DB282" s="3" cm="1">
        <f t="array" ref="DB282">IFERROR(COUNT(_xlfn._xlws.FILTER(CH282:CL282, ISNUMBER(MATCH(CH282:CL282, {6,9,12,15,18,21,24,27,30,33,36,39,42,45}, 0)))), 0)</f>
        <v>0</v>
      </c>
      <c r="DC282" s="29"/>
      <c r="DD282" s="28" t="e">
        <f>#REF!</f>
        <v>#REF!</v>
      </c>
      <c r="DE282" s="28" t="e">
        <f>#REF!*2</f>
        <v>#REF!</v>
      </c>
      <c r="DF282" s="28" t="e">
        <f>#REF!</f>
        <v>#REF!</v>
      </c>
      <c r="DG282" s="28" t="e">
        <f>#REF!*2</f>
        <v>#REF!</v>
      </c>
      <c r="DH282" s="28" t="e">
        <f>#REF!</f>
        <v>#REF!</v>
      </c>
      <c r="DI282" s="28" t="e">
        <f>#REF!*2</f>
        <v>#REF!</v>
      </c>
      <c r="DJ282" s="28" t="e">
        <f>#REF!</f>
        <v>#REF!</v>
      </c>
      <c r="DK282" s="28" t="e">
        <f>#REF!*2</f>
        <v>#REF!</v>
      </c>
      <c r="DL282" s="28" t="e">
        <f>#REF!</f>
        <v>#REF!</v>
      </c>
      <c r="DM282" s="28" t="e">
        <f>#REF!*2</f>
        <v>#REF!</v>
      </c>
      <c r="DN282" s="27"/>
      <c r="DO282" s="26"/>
      <c r="DP282" s="26"/>
      <c r="DQ282" s="26"/>
      <c r="DR282" s="26"/>
      <c r="DS282" s="26"/>
      <c r="DT282" s="25"/>
    </row>
    <row r="283" spans="2:124" x14ac:dyDescent="0.3">
      <c r="B283" s="3">
        <v>0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2"/>
      <c r="I283" s="3">
        <f>IF(OR(B283="",ISBLANK(B283),B283=0),0,IF(MOD(B283,2)=1,1,2))</f>
        <v>0</v>
      </c>
      <c r="J283" s="3">
        <f>IF(OR(C283="",ISBLANK(C283),C283=0),0,IF(MOD(C283,2)=1,1,2))</f>
        <v>0</v>
      </c>
      <c r="K283" s="3">
        <f>IF(OR(D283="",ISBLANK(D283),D283=0),0,IF(MOD(D283,2)=1,1,2))</f>
        <v>0</v>
      </c>
      <c r="L283" s="3">
        <f>IF(OR(E283="",ISBLANK(E283),E283=0),0,IF(MOD(E283,2)=1,1,2))</f>
        <v>0</v>
      </c>
      <c r="M283" s="3">
        <f>IF(OR(F283="",ISBLANK(F283),F283=0),0,IF(MOD(F283,2)=1,1,2))</f>
        <v>0</v>
      </c>
      <c r="N283" s="3">
        <f>IF(OR(G283="",ISBLANK(G283),G283=0),0,IF(MOD(G283,2)=1,1,2))</f>
        <v>0</v>
      </c>
      <c r="O283" s="32"/>
      <c r="P283" s="3" cm="1">
        <f t="array" ref="P283">SUMPRODUCT(--(MOD(B283:G283,2)=1))</f>
        <v>0</v>
      </c>
      <c r="Q283" s="3">
        <f>6-P283</f>
        <v>6</v>
      </c>
      <c r="R283" s="34"/>
      <c r="S283" s="3">
        <f>COUNTIFS(B283:G283,"&gt;=1",B283:G283,"&lt;=23")</f>
        <v>0</v>
      </c>
      <c r="T283" s="3">
        <f>6-S283</f>
        <v>6</v>
      </c>
      <c r="U283" s="34"/>
      <c r="V283" s="3" cm="1">
        <f t="array" ref="V283">SUMPRODUCT(--(MOD(B283:G283,10)&gt;=1), --(MOD(B283:G283,10)&lt;=5))</f>
        <v>0</v>
      </c>
      <c r="W283" s="3">
        <f>6-V283</f>
        <v>6</v>
      </c>
      <c r="X283" s="34"/>
      <c r="Y283" s="3" cm="1">
        <f t="array" ref="Y283">IFERROR(COUNT(_xlfn._xlws.FILTER(B283:G283, ISNUMBER(MATCH(B283:G283, {2,3,5,7,11,13,17,19,23,29,31,37,41,43}, 0)))), 0)</f>
        <v>0</v>
      </c>
      <c r="Z283" s="3" cm="1">
        <f t="array" ref="Z283">IFERROR(COUNT(_xlfn._xlws.FILTER(B283:G283, ISNUMBER(MATCH(B283:G283, {1,4,8,10,14,16,20,22,25,26,28,32,34,35,38,40,44}, 0)))), 0)</f>
        <v>0</v>
      </c>
      <c r="AA283" s="3" cm="1">
        <f t="array" ref="AA283">IFERROR(COUNT(_xlfn._xlws.FILTER(B283:G283, ISNUMBER(MATCH(B283:G283, {6,9,12,15,18,21,24,27,30,33,36,39,42,45}, 0)))), 0)</f>
        <v>0</v>
      </c>
      <c r="AB283" s="30"/>
      <c r="AC283" s="26" cm="1">
        <f t="array" ref="AC283">_xlfn.IFS(
   OR(B283="",ISBLANK(B283),B283=0),0,
   ISNUMBER(MATCH(B283,{2,3,5,7,11,13,17,19,23,29,31,37,41,43},0)),"소",
   AND(ISNUMBER(B283),MOD(B283,3)=0),"배",
   AND(ISNUMBER(B283),B283&gt;0),"자"
)</f>
        <v>0</v>
      </c>
      <c r="AD283" s="26" cm="1">
        <f t="array" ref="AD283">_xlfn.IFS(
   OR(C283="",ISBLANK(C283),C283=0),0,
   ISNUMBER(MATCH(C283,{2,3,5,7,11,13,17,19,23,29,31,37,41,43},0)),"소",
   AND(ISNUMBER(C283),MOD(C283,3)=0),"배",
   AND(ISNUMBER(C283),C283&gt;0),"자"
)</f>
        <v>0</v>
      </c>
      <c r="AE283" s="26" cm="1">
        <f t="array" ref="AE283">_xlfn.IFS(
   OR(D283="",ISBLANK(D283),D283=0),0,
   ISNUMBER(MATCH(D283,{2,3,5,7,11,13,17,19,23,29,31,37,41,43},0)),"소",
   AND(ISNUMBER(D283),MOD(D283,3)=0),"배",
   AND(ISNUMBER(D283),D283&gt;0),"자"
)</f>
        <v>0</v>
      </c>
      <c r="AF283" s="26" cm="1">
        <f t="array" ref="AF283">_xlfn.IFS(
   OR(E283="",ISBLANK(E283),E283=0),0,
   ISNUMBER(MATCH(E283,{2,3,5,7,11,13,17,19,23,29,31,37,41,43},0)),"소",
   AND(ISNUMBER(E283),MOD(E283,3)=0),"배",
   AND(ISNUMBER(E283),E283&gt;0),"자"
)</f>
        <v>0</v>
      </c>
      <c r="AG283" s="26" cm="1">
        <f t="array" ref="AG283">_xlfn.IFS(
   OR(F283="",ISBLANK(F283),F283=0),0,
   ISNUMBER(MATCH(F283,{2,3,5,7,11,13,17,19,23,29,31,37,41,43},0)),"소",
   AND(ISNUMBER(F283),MOD(F283,3)=0),"배",
   AND(ISNUMBER(F283),F283&gt;0),"자"
)</f>
        <v>0</v>
      </c>
      <c r="AH283" s="26" cm="1">
        <f t="array" ref="AH283">_xlfn.IFS(
   OR(G283="",ISBLANK(G283),G283=0),0,
   ISNUMBER(MATCH(G283,{2,3,5,7,11,13,17,19,23,29,31,37,41,43},0)),"소",
   AND(ISNUMBER(G283),MOD(G283,3)=0),"배",
   AND(ISNUMBER(G283),G283&gt;0),"자"
)</f>
        <v>0</v>
      </c>
      <c r="AI283" s="30"/>
      <c r="AJ283" s="3">
        <f>COUNTIFS(B283:G283,"&gt;=1",B283:G283,"&lt;=14")</f>
        <v>0</v>
      </c>
      <c r="AK283" s="3">
        <f>COUNTIFS(B283:G283,"&gt;=15",B283:G283,"&lt;=31")</f>
        <v>0</v>
      </c>
      <c r="AL283" s="3">
        <f>6-AK283-AJ283</f>
        <v>6</v>
      </c>
      <c r="AM283" s="33"/>
      <c r="AN283" s="3">
        <f>COUNTIFS($B283:$G283, "&gt;=1",$B283:$G283, "&lt;=9")</f>
        <v>0</v>
      </c>
      <c r="AO283" s="3">
        <f>COUNTIFS($B283:$G283, "&gt;=10",$B283:$G283, "&lt;=18")</f>
        <v>0</v>
      </c>
      <c r="AP283" s="3">
        <f>COUNTIFS($B283:$G283, "&gt;=19",$B283:$G283, "&lt;=27")</f>
        <v>0</v>
      </c>
      <c r="AQ283" s="3">
        <f>COUNTIFS($B283:$G283, "&gt;=28",$B283:$G283, "&lt;=36")</f>
        <v>0</v>
      </c>
      <c r="AR283" s="3">
        <f>COUNTIFS($B283:$G283, "&gt;=37",$B283:$G283, "&lt;=45")</f>
        <v>0</v>
      </c>
      <c r="AS283" s="28" t="e">
        <f>#REF!</f>
        <v>#REF!</v>
      </c>
      <c r="AT283" s="28" t="e">
        <f>#REF!*2</f>
        <v>#REF!</v>
      </c>
      <c r="AU283" s="28" t="e">
        <f>#REF!</f>
        <v>#REF!</v>
      </c>
      <c r="AV283" s="28" t="e">
        <f>#REF!*2</f>
        <v>#REF!</v>
      </c>
      <c r="AW283" s="28" t="e">
        <f>#REF!</f>
        <v>#REF!</v>
      </c>
      <c r="AX283" s="28" t="e">
        <f>#REF!*2</f>
        <v>#REF!</v>
      </c>
      <c r="AY283" s="28" t="e">
        <f>#REF!</f>
        <v>#REF!</v>
      </c>
      <c r="AZ283" s="28" t="e">
        <f>#REF!*2</f>
        <v>#REF!</v>
      </c>
      <c r="BA283" s="28" t="e">
        <f>#REF!</f>
        <v>#REF!</v>
      </c>
      <c r="BB283" s="28" t="e">
        <f>#REF!*2</f>
        <v>#REF!</v>
      </c>
      <c r="BC283" s="28" t="e">
        <f>#REF!</f>
        <v>#REF!</v>
      </c>
      <c r="BD283" s="28" t="e">
        <f>#REF!*2</f>
        <v>#REF!</v>
      </c>
      <c r="BE283" s="9" t="e">
        <f>#REF!-#REF!</f>
        <v>#REF!</v>
      </c>
      <c r="BF283" s="9" t="e">
        <f>#REF!-#REF!</f>
        <v>#REF!</v>
      </c>
      <c r="BG283" s="9" t="e">
        <f>#REF!-#REF!</f>
        <v>#REF!</v>
      </c>
      <c r="BH283" s="9" t="e">
        <f>#REF!-#REF!</f>
        <v>#REF!</v>
      </c>
      <c r="BI283" s="9" t="e">
        <f>#REF!-#REF!</f>
        <v>#REF!</v>
      </c>
      <c r="BJ283" s="33"/>
      <c r="BK283" s="3">
        <f>COUNTIFS(B283:G283, "&gt;=1", B283:G283, "&lt;=9")</f>
        <v>0</v>
      </c>
      <c r="BL283" s="3">
        <f>COUNTIFS(B283:G283, "&gt;=10", B283:G283, "&lt;=19")</f>
        <v>0</v>
      </c>
      <c r="BM283" s="3">
        <f>COUNTIFS(B283:G283, "&gt;=20", B283:G283, "&lt;=29")</f>
        <v>0</v>
      </c>
      <c r="BN283" s="3">
        <f>COUNTIFS(B283:G283, "&gt;=30", B283:G283, "&lt;=39")</f>
        <v>0</v>
      </c>
      <c r="BO283" s="3">
        <f>COUNTIFS(B283:G283, "&gt;=40", B283:G283, "&lt;=45")</f>
        <v>0</v>
      </c>
      <c r="BP283" s="28" t="e">
        <f>#REF!</f>
        <v>#REF!</v>
      </c>
      <c r="BQ283" s="28" t="e">
        <f>#REF!*2</f>
        <v>#REF!</v>
      </c>
      <c r="BR283" s="28" t="e">
        <f>#REF!</f>
        <v>#REF!</v>
      </c>
      <c r="BS283" s="28" t="e">
        <f>#REF!*2</f>
        <v>#REF!</v>
      </c>
      <c r="BT283" s="28" t="e">
        <f>#REF!</f>
        <v>#REF!</v>
      </c>
      <c r="BU283" s="28" t="e">
        <f>#REF!*2</f>
        <v>#REF!</v>
      </c>
      <c r="BV283" s="28" t="e">
        <f>#REF!</f>
        <v>#REF!</v>
      </c>
      <c r="BW283" s="28" t="e">
        <f>#REF!*2</f>
        <v>#REF!</v>
      </c>
      <c r="BX283" s="28" t="e">
        <f>#REF!</f>
        <v>#REF!</v>
      </c>
      <c r="BY283" s="28" t="e">
        <f>#REF!*2</f>
        <v>#REF!</v>
      </c>
      <c r="BZ283" s="28" t="e">
        <f>#REF!</f>
        <v>#REF!</v>
      </c>
      <c r="CA283" s="28" t="e">
        <f>#REF!*2</f>
        <v>#REF!</v>
      </c>
      <c r="CB283" s="9">
        <f>C283-B283</f>
        <v>0</v>
      </c>
      <c r="CC283" s="9">
        <f>D283-C283</f>
        <v>0</v>
      </c>
      <c r="CD283" s="9">
        <f>E283-D283</f>
        <v>0</v>
      </c>
      <c r="CE283" s="9">
        <f>F283-E283</f>
        <v>0</v>
      </c>
      <c r="CF283" s="9">
        <f>G283-F283</f>
        <v>0</v>
      </c>
      <c r="CG283" s="33"/>
      <c r="CH283" s="3">
        <f>C283-B283</f>
        <v>0</v>
      </c>
      <c r="CI283" s="3">
        <f>D283-C283</f>
        <v>0</v>
      </c>
      <c r="CJ283" s="3">
        <f>E283-D283</f>
        <v>0</v>
      </c>
      <c r="CK283" s="3">
        <f>F283-E283</f>
        <v>0</v>
      </c>
      <c r="CL283" s="3">
        <f>G283-F283</f>
        <v>0</v>
      </c>
      <c r="CM283" s="32"/>
      <c r="CN283" s="3">
        <f>IF(OR(CH283="",ISBLANK(CH283),CH283=0),0,IF(MOD(CH283,2)=1,1,2))</f>
        <v>0</v>
      </c>
      <c r="CO283" s="3">
        <f>IF(OR(CI283="",ISBLANK(CI283),CI283=0),0,IF(MOD(CI283,2)=1,1,2))</f>
        <v>0</v>
      </c>
      <c r="CP283" s="3">
        <f>IF(OR(CJ283="",ISBLANK(CJ283),CJ283=0),0,IF(MOD(CJ283,2)=1,1,2))</f>
        <v>0</v>
      </c>
      <c r="CQ283" s="3">
        <f>IF(OR(CK283="",ISBLANK(CK283),CK283=0),0,IF(MOD(CK283,2)=1,1,2))</f>
        <v>0</v>
      </c>
      <c r="CR283" s="3">
        <f>IF(OR(CL283="",ISBLANK(CL283),CL283=0),0,IF(MOD(CL283,2)=1,1,2))</f>
        <v>0</v>
      </c>
      <c r="CS283" s="31"/>
      <c r="CT283" s="3" cm="1">
        <f t="array" ref="CT283">SUMPRODUCT(--(MOD(CH283:CL283,2)=1))</f>
        <v>0</v>
      </c>
      <c r="CU283" s="3">
        <f>5-CT283</f>
        <v>5</v>
      </c>
      <c r="CV283" s="30"/>
      <c r="CW283" s="3" cm="1">
        <f t="array" ref="CW283">SUMPRODUCT(--(MOD(CH283:CL283,10)&gt;=1), --(MOD(CH283:CL283,10)&lt;=5))</f>
        <v>0</v>
      </c>
      <c r="CX283" s="3">
        <f>5-CW283</f>
        <v>5</v>
      </c>
      <c r="CY283" s="30"/>
      <c r="CZ283" s="3" cm="1">
        <f t="array" ref="CZ283">IFERROR(COUNT(_xlfn._xlws.FILTER(CH283:CL283, ISNUMBER(MATCH(CH283:CL283, {2,3,5,7,11,13,17,19,23,29,31,37,41,43}, 0)))), 0)</f>
        <v>0</v>
      </c>
      <c r="DA283" s="3" cm="1">
        <f t="array" ref="DA283">IFERROR(COUNT(_xlfn._xlws.FILTER(CH283:CL283, ISNUMBER(MATCH(CH283:CL283, {1,4,8,10,14,16,20,22,25,26,28,32,34,35,38,40,44}, 0)))), 0)</f>
        <v>0</v>
      </c>
      <c r="DB283" s="3" cm="1">
        <f t="array" ref="DB283">IFERROR(COUNT(_xlfn._xlws.FILTER(CH283:CL283, ISNUMBER(MATCH(CH283:CL283, {6,9,12,15,18,21,24,27,30,33,36,39,42,45}, 0)))), 0)</f>
        <v>0</v>
      </c>
      <c r="DC283" s="29"/>
      <c r="DD283" s="28" t="e">
        <f>#REF!</f>
        <v>#REF!</v>
      </c>
      <c r="DE283" s="28" t="e">
        <f>#REF!*2</f>
        <v>#REF!</v>
      </c>
      <c r="DF283" s="28" t="e">
        <f>#REF!</f>
        <v>#REF!</v>
      </c>
      <c r="DG283" s="28" t="e">
        <f>#REF!*2</f>
        <v>#REF!</v>
      </c>
      <c r="DH283" s="28" t="e">
        <f>#REF!</f>
        <v>#REF!</v>
      </c>
      <c r="DI283" s="28" t="e">
        <f>#REF!*2</f>
        <v>#REF!</v>
      </c>
      <c r="DJ283" s="28" t="e">
        <f>#REF!</f>
        <v>#REF!</v>
      </c>
      <c r="DK283" s="28" t="e">
        <f>#REF!*2</f>
        <v>#REF!</v>
      </c>
      <c r="DL283" s="28" t="e">
        <f>#REF!</f>
        <v>#REF!</v>
      </c>
      <c r="DM283" s="28" t="e">
        <f>#REF!*2</f>
        <v>#REF!</v>
      </c>
      <c r="DN283" s="27"/>
      <c r="DO283" s="26"/>
      <c r="DP283" s="26"/>
      <c r="DQ283" s="26"/>
      <c r="DR283" s="26"/>
      <c r="DS283" s="26"/>
      <c r="DT283" s="25"/>
    </row>
    <row r="284" spans="2:124" x14ac:dyDescent="0.3">
      <c r="B284" s="3">
        <v>0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2"/>
      <c r="I284" s="3">
        <f>IF(OR(B284="",ISBLANK(B284),B284=0),0,IF(MOD(B284,2)=1,1,2))</f>
        <v>0</v>
      </c>
      <c r="J284" s="3">
        <f>IF(OR(C284="",ISBLANK(C284),C284=0),0,IF(MOD(C284,2)=1,1,2))</f>
        <v>0</v>
      </c>
      <c r="K284" s="3">
        <f>IF(OR(D284="",ISBLANK(D284),D284=0),0,IF(MOD(D284,2)=1,1,2))</f>
        <v>0</v>
      </c>
      <c r="L284" s="3">
        <f>IF(OR(E284="",ISBLANK(E284),E284=0),0,IF(MOD(E284,2)=1,1,2))</f>
        <v>0</v>
      </c>
      <c r="M284" s="3">
        <f>IF(OR(F284="",ISBLANK(F284),F284=0),0,IF(MOD(F284,2)=1,1,2))</f>
        <v>0</v>
      </c>
      <c r="N284" s="3">
        <f>IF(OR(G284="",ISBLANK(G284),G284=0),0,IF(MOD(G284,2)=1,1,2))</f>
        <v>0</v>
      </c>
      <c r="O284" s="32"/>
      <c r="P284" s="3" cm="1">
        <f t="array" ref="P284">SUMPRODUCT(--(MOD(B284:G284,2)=1))</f>
        <v>0</v>
      </c>
      <c r="Q284" s="3">
        <f>6-P284</f>
        <v>6</v>
      </c>
      <c r="R284" s="34"/>
      <c r="S284" s="3">
        <f>COUNTIFS(B284:G284,"&gt;=1",B284:G284,"&lt;=23")</f>
        <v>0</v>
      </c>
      <c r="T284" s="3">
        <f>6-S284</f>
        <v>6</v>
      </c>
      <c r="U284" s="34"/>
      <c r="V284" s="3" cm="1">
        <f t="array" ref="V284">SUMPRODUCT(--(MOD(B284:G284,10)&gt;=1), --(MOD(B284:G284,10)&lt;=5))</f>
        <v>0</v>
      </c>
      <c r="W284" s="3">
        <f>6-V284</f>
        <v>6</v>
      </c>
      <c r="X284" s="34"/>
      <c r="Y284" s="3" cm="1">
        <f t="array" ref="Y284">IFERROR(COUNT(_xlfn._xlws.FILTER(B284:G284, ISNUMBER(MATCH(B284:G284, {2,3,5,7,11,13,17,19,23,29,31,37,41,43}, 0)))), 0)</f>
        <v>0</v>
      </c>
      <c r="Z284" s="3" cm="1">
        <f t="array" ref="Z284">IFERROR(COUNT(_xlfn._xlws.FILTER(B284:G284, ISNUMBER(MATCH(B284:G284, {1,4,8,10,14,16,20,22,25,26,28,32,34,35,38,40,44}, 0)))), 0)</f>
        <v>0</v>
      </c>
      <c r="AA284" s="3" cm="1">
        <f t="array" ref="AA284">IFERROR(COUNT(_xlfn._xlws.FILTER(B284:G284, ISNUMBER(MATCH(B284:G284, {6,9,12,15,18,21,24,27,30,33,36,39,42,45}, 0)))), 0)</f>
        <v>0</v>
      </c>
      <c r="AB284" s="30"/>
      <c r="AC284" s="26" cm="1">
        <f t="array" ref="AC284">_xlfn.IFS(
   OR(B284="",ISBLANK(B284),B284=0),0,
   ISNUMBER(MATCH(B284,{2,3,5,7,11,13,17,19,23,29,31,37,41,43},0)),"소",
   AND(ISNUMBER(B284),MOD(B284,3)=0),"배",
   AND(ISNUMBER(B284),B284&gt;0),"자"
)</f>
        <v>0</v>
      </c>
      <c r="AD284" s="26" cm="1">
        <f t="array" ref="AD284">_xlfn.IFS(
   OR(C284="",ISBLANK(C284),C284=0),0,
   ISNUMBER(MATCH(C284,{2,3,5,7,11,13,17,19,23,29,31,37,41,43},0)),"소",
   AND(ISNUMBER(C284),MOD(C284,3)=0),"배",
   AND(ISNUMBER(C284),C284&gt;0),"자"
)</f>
        <v>0</v>
      </c>
      <c r="AE284" s="26" cm="1">
        <f t="array" ref="AE284">_xlfn.IFS(
   OR(D284="",ISBLANK(D284),D284=0),0,
   ISNUMBER(MATCH(D284,{2,3,5,7,11,13,17,19,23,29,31,37,41,43},0)),"소",
   AND(ISNUMBER(D284),MOD(D284,3)=0),"배",
   AND(ISNUMBER(D284),D284&gt;0),"자"
)</f>
        <v>0</v>
      </c>
      <c r="AF284" s="26" cm="1">
        <f t="array" ref="AF284">_xlfn.IFS(
   OR(E284="",ISBLANK(E284),E284=0),0,
   ISNUMBER(MATCH(E284,{2,3,5,7,11,13,17,19,23,29,31,37,41,43},0)),"소",
   AND(ISNUMBER(E284),MOD(E284,3)=0),"배",
   AND(ISNUMBER(E284),E284&gt;0),"자"
)</f>
        <v>0</v>
      </c>
      <c r="AG284" s="26" cm="1">
        <f t="array" ref="AG284">_xlfn.IFS(
   OR(F284="",ISBLANK(F284),F284=0),0,
   ISNUMBER(MATCH(F284,{2,3,5,7,11,13,17,19,23,29,31,37,41,43},0)),"소",
   AND(ISNUMBER(F284),MOD(F284,3)=0),"배",
   AND(ISNUMBER(F284),F284&gt;0),"자"
)</f>
        <v>0</v>
      </c>
      <c r="AH284" s="26" cm="1">
        <f t="array" ref="AH284">_xlfn.IFS(
   OR(G284="",ISBLANK(G284),G284=0),0,
   ISNUMBER(MATCH(G284,{2,3,5,7,11,13,17,19,23,29,31,37,41,43},0)),"소",
   AND(ISNUMBER(G284),MOD(G284,3)=0),"배",
   AND(ISNUMBER(G284),G284&gt;0),"자"
)</f>
        <v>0</v>
      </c>
      <c r="AI284" s="30"/>
      <c r="AJ284" s="3">
        <f>COUNTIFS(B284:G284,"&gt;=1",B284:G284,"&lt;=14")</f>
        <v>0</v>
      </c>
      <c r="AK284" s="3">
        <f>COUNTIFS(B284:G284,"&gt;=15",B284:G284,"&lt;=31")</f>
        <v>0</v>
      </c>
      <c r="AL284" s="3">
        <f>6-AK284-AJ284</f>
        <v>6</v>
      </c>
      <c r="AM284" s="33"/>
      <c r="AN284" s="3">
        <f>COUNTIFS($B284:$G284, "&gt;=1",$B284:$G284, "&lt;=9")</f>
        <v>0</v>
      </c>
      <c r="AO284" s="3">
        <f>COUNTIFS($B284:$G284, "&gt;=10",$B284:$G284, "&lt;=18")</f>
        <v>0</v>
      </c>
      <c r="AP284" s="3">
        <f>COUNTIFS($B284:$G284, "&gt;=19",$B284:$G284, "&lt;=27")</f>
        <v>0</v>
      </c>
      <c r="AQ284" s="3">
        <f>COUNTIFS($B284:$G284, "&gt;=28",$B284:$G284, "&lt;=36")</f>
        <v>0</v>
      </c>
      <c r="AR284" s="3">
        <f>COUNTIFS($B284:$G284, "&gt;=37",$B284:$G284, "&lt;=45")</f>
        <v>0</v>
      </c>
      <c r="AS284" s="28" t="e">
        <f>#REF!</f>
        <v>#REF!</v>
      </c>
      <c r="AT284" s="28" t="e">
        <f>#REF!*2</f>
        <v>#REF!</v>
      </c>
      <c r="AU284" s="28" t="e">
        <f>#REF!</f>
        <v>#REF!</v>
      </c>
      <c r="AV284" s="28" t="e">
        <f>#REF!*2</f>
        <v>#REF!</v>
      </c>
      <c r="AW284" s="28" t="e">
        <f>#REF!</f>
        <v>#REF!</v>
      </c>
      <c r="AX284" s="28" t="e">
        <f>#REF!*2</f>
        <v>#REF!</v>
      </c>
      <c r="AY284" s="28" t="e">
        <f>#REF!</f>
        <v>#REF!</v>
      </c>
      <c r="AZ284" s="28" t="e">
        <f>#REF!*2</f>
        <v>#REF!</v>
      </c>
      <c r="BA284" s="28" t="e">
        <f>#REF!</f>
        <v>#REF!</v>
      </c>
      <c r="BB284" s="28" t="e">
        <f>#REF!*2</f>
        <v>#REF!</v>
      </c>
      <c r="BC284" s="28" t="e">
        <f>#REF!</f>
        <v>#REF!</v>
      </c>
      <c r="BD284" s="28" t="e">
        <f>#REF!*2</f>
        <v>#REF!</v>
      </c>
      <c r="BE284" s="9" t="e">
        <f>#REF!-#REF!</f>
        <v>#REF!</v>
      </c>
      <c r="BF284" s="9" t="e">
        <f>#REF!-#REF!</f>
        <v>#REF!</v>
      </c>
      <c r="BG284" s="9" t="e">
        <f>#REF!-#REF!</f>
        <v>#REF!</v>
      </c>
      <c r="BH284" s="9" t="e">
        <f>#REF!-#REF!</f>
        <v>#REF!</v>
      </c>
      <c r="BI284" s="9" t="e">
        <f>#REF!-#REF!</f>
        <v>#REF!</v>
      </c>
      <c r="BJ284" s="33"/>
      <c r="BK284" s="3">
        <f>COUNTIFS(B284:G284, "&gt;=1", B284:G284, "&lt;=9")</f>
        <v>0</v>
      </c>
      <c r="BL284" s="3">
        <f>COUNTIFS(B284:G284, "&gt;=10", B284:G284, "&lt;=19")</f>
        <v>0</v>
      </c>
      <c r="BM284" s="3">
        <f>COUNTIFS(B284:G284, "&gt;=20", B284:G284, "&lt;=29")</f>
        <v>0</v>
      </c>
      <c r="BN284" s="3">
        <f>COUNTIFS(B284:G284, "&gt;=30", B284:G284, "&lt;=39")</f>
        <v>0</v>
      </c>
      <c r="BO284" s="3">
        <f>COUNTIFS(B284:G284, "&gt;=40", B284:G284, "&lt;=45")</f>
        <v>0</v>
      </c>
      <c r="BP284" s="28" t="e">
        <f>#REF!</f>
        <v>#REF!</v>
      </c>
      <c r="BQ284" s="28" t="e">
        <f>#REF!*2</f>
        <v>#REF!</v>
      </c>
      <c r="BR284" s="28" t="e">
        <f>#REF!</f>
        <v>#REF!</v>
      </c>
      <c r="BS284" s="28" t="e">
        <f>#REF!*2</f>
        <v>#REF!</v>
      </c>
      <c r="BT284" s="28" t="e">
        <f>#REF!</f>
        <v>#REF!</v>
      </c>
      <c r="BU284" s="28" t="e">
        <f>#REF!*2</f>
        <v>#REF!</v>
      </c>
      <c r="BV284" s="28" t="e">
        <f>#REF!</f>
        <v>#REF!</v>
      </c>
      <c r="BW284" s="28" t="e">
        <f>#REF!*2</f>
        <v>#REF!</v>
      </c>
      <c r="BX284" s="28" t="e">
        <f>#REF!</f>
        <v>#REF!</v>
      </c>
      <c r="BY284" s="28" t="e">
        <f>#REF!*2</f>
        <v>#REF!</v>
      </c>
      <c r="BZ284" s="28" t="e">
        <f>#REF!</f>
        <v>#REF!</v>
      </c>
      <c r="CA284" s="28" t="e">
        <f>#REF!*2</f>
        <v>#REF!</v>
      </c>
      <c r="CB284" s="9">
        <f>C284-B284</f>
        <v>0</v>
      </c>
      <c r="CC284" s="9">
        <f>D284-C284</f>
        <v>0</v>
      </c>
      <c r="CD284" s="9">
        <f>E284-D284</f>
        <v>0</v>
      </c>
      <c r="CE284" s="9">
        <f>F284-E284</f>
        <v>0</v>
      </c>
      <c r="CF284" s="9">
        <f>G284-F284</f>
        <v>0</v>
      </c>
      <c r="CG284" s="33"/>
      <c r="CH284" s="3">
        <f>C284-B284</f>
        <v>0</v>
      </c>
      <c r="CI284" s="3">
        <f>D284-C284</f>
        <v>0</v>
      </c>
      <c r="CJ284" s="3">
        <f>E284-D284</f>
        <v>0</v>
      </c>
      <c r="CK284" s="3">
        <f>F284-E284</f>
        <v>0</v>
      </c>
      <c r="CL284" s="3">
        <f>G284-F284</f>
        <v>0</v>
      </c>
      <c r="CM284" s="32"/>
      <c r="CN284" s="3">
        <f>IF(OR(CH284="",ISBLANK(CH284),CH284=0),0,IF(MOD(CH284,2)=1,1,2))</f>
        <v>0</v>
      </c>
      <c r="CO284" s="3">
        <f>IF(OR(CI284="",ISBLANK(CI284),CI284=0),0,IF(MOD(CI284,2)=1,1,2))</f>
        <v>0</v>
      </c>
      <c r="CP284" s="3">
        <f>IF(OR(CJ284="",ISBLANK(CJ284),CJ284=0),0,IF(MOD(CJ284,2)=1,1,2))</f>
        <v>0</v>
      </c>
      <c r="CQ284" s="3">
        <f>IF(OR(CK284="",ISBLANK(CK284),CK284=0),0,IF(MOD(CK284,2)=1,1,2))</f>
        <v>0</v>
      </c>
      <c r="CR284" s="3">
        <f>IF(OR(CL284="",ISBLANK(CL284),CL284=0),0,IF(MOD(CL284,2)=1,1,2))</f>
        <v>0</v>
      </c>
      <c r="CS284" s="31"/>
      <c r="CT284" s="3" cm="1">
        <f t="array" ref="CT284">SUMPRODUCT(--(MOD(CH284:CL284,2)=1))</f>
        <v>0</v>
      </c>
      <c r="CU284" s="3">
        <f>5-CT284</f>
        <v>5</v>
      </c>
      <c r="CV284" s="30"/>
      <c r="CW284" s="3" cm="1">
        <f t="array" ref="CW284">SUMPRODUCT(--(MOD(CH284:CL284,10)&gt;=1), --(MOD(CH284:CL284,10)&lt;=5))</f>
        <v>0</v>
      </c>
      <c r="CX284" s="3">
        <f>5-CW284</f>
        <v>5</v>
      </c>
      <c r="CY284" s="30"/>
      <c r="CZ284" s="3" cm="1">
        <f t="array" ref="CZ284">IFERROR(COUNT(_xlfn._xlws.FILTER(CH284:CL284, ISNUMBER(MATCH(CH284:CL284, {2,3,5,7,11,13,17,19,23,29,31,37,41,43}, 0)))), 0)</f>
        <v>0</v>
      </c>
      <c r="DA284" s="3" cm="1">
        <f t="array" ref="DA284">IFERROR(COUNT(_xlfn._xlws.FILTER(CH284:CL284, ISNUMBER(MATCH(CH284:CL284, {1,4,8,10,14,16,20,22,25,26,28,32,34,35,38,40,44}, 0)))), 0)</f>
        <v>0</v>
      </c>
      <c r="DB284" s="3" cm="1">
        <f t="array" ref="DB284">IFERROR(COUNT(_xlfn._xlws.FILTER(CH284:CL284, ISNUMBER(MATCH(CH284:CL284, {6,9,12,15,18,21,24,27,30,33,36,39,42,45}, 0)))), 0)</f>
        <v>0</v>
      </c>
      <c r="DC284" s="29"/>
      <c r="DD284" s="28" t="e">
        <f>#REF!</f>
        <v>#REF!</v>
      </c>
      <c r="DE284" s="28" t="e">
        <f>#REF!*2</f>
        <v>#REF!</v>
      </c>
      <c r="DF284" s="28" t="e">
        <f>#REF!</f>
        <v>#REF!</v>
      </c>
      <c r="DG284" s="28" t="e">
        <f>#REF!*2</f>
        <v>#REF!</v>
      </c>
      <c r="DH284" s="28" t="e">
        <f>#REF!</f>
        <v>#REF!</v>
      </c>
      <c r="DI284" s="28" t="e">
        <f>#REF!*2</f>
        <v>#REF!</v>
      </c>
      <c r="DJ284" s="28" t="e">
        <f>#REF!</f>
        <v>#REF!</v>
      </c>
      <c r="DK284" s="28" t="e">
        <f>#REF!*2</f>
        <v>#REF!</v>
      </c>
      <c r="DL284" s="28" t="e">
        <f>#REF!</f>
        <v>#REF!</v>
      </c>
      <c r="DM284" s="28" t="e">
        <f>#REF!*2</f>
        <v>#REF!</v>
      </c>
      <c r="DN284" s="27"/>
      <c r="DO284" s="26"/>
      <c r="DP284" s="26"/>
      <c r="DQ284" s="26"/>
      <c r="DR284" s="26"/>
      <c r="DS284" s="26"/>
      <c r="DT284" s="25"/>
    </row>
    <row r="285" spans="2:124" x14ac:dyDescent="0.3">
      <c r="B285" s="3">
        <v>0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2"/>
      <c r="I285" s="3">
        <f>IF(OR(B285="",ISBLANK(B285),B285=0),0,IF(MOD(B285,2)=1,1,2))</f>
        <v>0</v>
      </c>
      <c r="J285" s="3">
        <f>IF(OR(C285="",ISBLANK(C285),C285=0),0,IF(MOD(C285,2)=1,1,2))</f>
        <v>0</v>
      </c>
      <c r="K285" s="3">
        <f>IF(OR(D285="",ISBLANK(D285),D285=0),0,IF(MOD(D285,2)=1,1,2))</f>
        <v>0</v>
      </c>
      <c r="L285" s="3">
        <f>IF(OR(E285="",ISBLANK(E285),E285=0),0,IF(MOD(E285,2)=1,1,2))</f>
        <v>0</v>
      </c>
      <c r="M285" s="3">
        <f>IF(OR(F285="",ISBLANK(F285),F285=0),0,IF(MOD(F285,2)=1,1,2))</f>
        <v>0</v>
      </c>
      <c r="N285" s="3">
        <f>IF(OR(G285="",ISBLANK(G285),G285=0),0,IF(MOD(G285,2)=1,1,2))</f>
        <v>0</v>
      </c>
      <c r="O285" s="32"/>
      <c r="P285" s="3" cm="1">
        <f t="array" ref="P285">SUMPRODUCT(--(MOD(B285:G285,2)=1))</f>
        <v>0</v>
      </c>
      <c r="Q285" s="3">
        <f>6-P285</f>
        <v>6</v>
      </c>
      <c r="R285" s="34"/>
      <c r="S285" s="3">
        <f>COUNTIFS(B285:G285,"&gt;=1",B285:G285,"&lt;=23")</f>
        <v>0</v>
      </c>
      <c r="T285" s="3">
        <f>6-S285</f>
        <v>6</v>
      </c>
      <c r="U285" s="34"/>
      <c r="V285" s="3" cm="1">
        <f t="array" ref="V285">SUMPRODUCT(--(MOD(B285:G285,10)&gt;=1), --(MOD(B285:G285,10)&lt;=5))</f>
        <v>0</v>
      </c>
      <c r="W285" s="3">
        <f>6-V285</f>
        <v>6</v>
      </c>
      <c r="X285" s="34"/>
      <c r="Y285" s="3" cm="1">
        <f t="array" ref="Y285">IFERROR(COUNT(_xlfn._xlws.FILTER(B285:G285, ISNUMBER(MATCH(B285:G285, {2,3,5,7,11,13,17,19,23,29,31,37,41,43}, 0)))), 0)</f>
        <v>0</v>
      </c>
      <c r="Z285" s="3" cm="1">
        <f t="array" ref="Z285">IFERROR(COUNT(_xlfn._xlws.FILTER(B285:G285, ISNUMBER(MATCH(B285:G285, {1,4,8,10,14,16,20,22,25,26,28,32,34,35,38,40,44}, 0)))), 0)</f>
        <v>0</v>
      </c>
      <c r="AA285" s="3" cm="1">
        <f t="array" ref="AA285">IFERROR(COUNT(_xlfn._xlws.FILTER(B285:G285, ISNUMBER(MATCH(B285:G285, {6,9,12,15,18,21,24,27,30,33,36,39,42,45}, 0)))), 0)</f>
        <v>0</v>
      </c>
      <c r="AB285" s="30"/>
      <c r="AC285" s="26" cm="1">
        <f t="array" ref="AC285">_xlfn.IFS(
   OR(B285="",ISBLANK(B285),B285=0),0,
   ISNUMBER(MATCH(B285,{2,3,5,7,11,13,17,19,23,29,31,37,41,43},0)),"소",
   AND(ISNUMBER(B285),MOD(B285,3)=0),"배",
   AND(ISNUMBER(B285),B285&gt;0),"자"
)</f>
        <v>0</v>
      </c>
      <c r="AD285" s="26" cm="1">
        <f t="array" ref="AD285">_xlfn.IFS(
   OR(C285="",ISBLANK(C285),C285=0),0,
   ISNUMBER(MATCH(C285,{2,3,5,7,11,13,17,19,23,29,31,37,41,43},0)),"소",
   AND(ISNUMBER(C285),MOD(C285,3)=0),"배",
   AND(ISNUMBER(C285),C285&gt;0),"자"
)</f>
        <v>0</v>
      </c>
      <c r="AE285" s="26" cm="1">
        <f t="array" ref="AE285">_xlfn.IFS(
   OR(D285="",ISBLANK(D285),D285=0),0,
   ISNUMBER(MATCH(D285,{2,3,5,7,11,13,17,19,23,29,31,37,41,43},0)),"소",
   AND(ISNUMBER(D285),MOD(D285,3)=0),"배",
   AND(ISNUMBER(D285),D285&gt;0),"자"
)</f>
        <v>0</v>
      </c>
      <c r="AF285" s="26" cm="1">
        <f t="array" ref="AF285">_xlfn.IFS(
   OR(E285="",ISBLANK(E285),E285=0),0,
   ISNUMBER(MATCH(E285,{2,3,5,7,11,13,17,19,23,29,31,37,41,43},0)),"소",
   AND(ISNUMBER(E285),MOD(E285,3)=0),"배",
   AND(ISNUMBER(E285),E285&gt;0),"자"
)</f>
        <v>0</v>
      </c>
      <c r="AG285" s="26" cm="1">
        <f t="array" ref="AG285">_xlfn.IFS(
   OR(F285="",ISBLANK(F285),F285=0),0,
   ISNUMBER(MATCH(F285,{2,3,5,7,11,13,17,19,23,29,31,37,41,43},0)),"소",
   AND(ISNUMBER(F285),MOD(F285,3)=0),"배",
   AND(ISNUMBER(F285),F285&gt;0),"자"
)</f>
        <v>0</v>
      </c>
      <c r="AH285" s="26" cm="1">
        <f t="array" ref="AH285">_xlfn.IFS(
   OR(G285="",ISBLANK(G285),G285=0),0,
   ISNUMBER(MATCH(G285,{2,3,5,7,11,13,17,19,23,29,31,37,41,43},0)),"소",
   AND(ISNUMBER(G285),MOD(G285,3)=0),"배",
   AND(ISNUMBER(G285),G285&gt;0),"자"
)</f>
        <v>0</v>
      </c>
      <c r="AI285" s="30"/>
      <c r="AJ285" s="3">
        <f>COUNTIFS(B285:G285,"&gt;=1",B285:G285,"&lt;=14")</f>
        <v>0</v>
      </c>
      <c r="AK285" s="3">
        <f>COUNTIFS(B285:G285,"&gt;=15",B285:G285,"&lt;=31")</f>
        <v>0</v>
      </c>
      <c r="AL285" s="3">
        <f>6-AK285-AJ285</f>
        <v>6</v>
      </c>
      <c r="AM285" s="33"/>
      <c r="AN285" s="3">
        <f>COUNTIFS($B285:$G285, "&gt;=1",$B285:$G285, "&lt;=9")</f>
        <v>0</v>
      </c>
      <c r="AO285" s="3">
        <f>COUNTIFS($B285:$G285, "&gt;=10",$B285:$G285, "&lt;=18")</f>
        <v>0</v>
      </c>
      <c r="AP285" s="3">
        <f>COUNTIFS($B285:$G285, "&gt;=19",$B285:$G285, "&lt;=27")</f>
        <v>0</v>
      </c>
      <c r="AQ285" s="3">
        <f>COUNTIFS($B285:$G285, "&gt;=28",$B285:$G285, "&lt;=36")</f>
        <v>0</v>
      </c>
      <c r="AR285" s="3">
        <f>COUNTIFS($B285:$G285, "&gt;=37",$B285:$G285, "&lt;=45")</f>
        <v>0</v>
      </c>
      <c r="AS285" s="28" t="e">
        <f>#REF!</f>
        <v>#REF!</v>
      </c>
      <c r="AT285" s="28" t="e">
        <f>#REF!*2</f>
        <v>#REF!</v>
      </c>
      <c r="AU285" s="28" t="e">
        <f>#REF!</f>
        <v>#REF!</v>
      </c>
      <c r="AV285" s="28" t="e">
        <f>#REF!*2</f>
        <v>#REF!</v>
      </c>
      <c r="AW285" s="28" t="e">
        <f>#REF!</f>
        <v>#REF!</v>
      </c>
      <c r="AX285" s="28" t="e">
        <f>#REF!*2</f>
        <v>#REF!</v>
      </c>
      <c r="AY285" s="28" t="e">
        <f>#REF!</f>
        <v>#REF!</v>
      </c>
      <c r="AZ285" s="28" t="e">
        <f>#REF!*2</f>
        <v>#REF!</v>
      </c>
      <c r="BA285" s="28" t="e">
        <f>#REF!</f>
        <v>#REF!</v>
      </c>
      <c r="BB285" s="28" t="e">
        <f>#REF!*2</f>
        <v>#REF!</v>
      </c>
      <c r="BC285" s="28" t="e">
        <f>#REF!</f>
        <v>#REF!</v>
      </c>
      <c r="BD285" s="28" t="e">
        <f>#REF!*2</f>
        <v>#REF!</v>
      </c>
      <c r="BE285" s="9" t="e">
        <f>#REF!-#REF!</f>
        <v>#REF!</v>
      </c>
      <c r="BF285" s="9" t="e">
        <f>#REF!-#REF!</f>
        <v>#REF!</v>
      </c>
      <c r="BG285" s="9" t="e">
        <f>#REF!-#REF!</f>
        <v>#REF!</v>
      </c>
      <c r="BH285" s="9" t="e">
        <f>#REF!-#REF!</f>
        <v>#REF!</v>
      </c>
      <c r="BI285" s="9" t="e">
        <f>#REF!-#REF!</f>
        <v>#REF!</v>
      </c>
      <c r="BJ285" s="33"/>
      <c r="BK285" s="3">
        <f>COUNTIFS(B285:G285, "&gt;=1", B285:G285, "&lt;=9")</f>
        <v>0</v>
      </c>
      <c r="BL285" s="3">
        <f>COUNTIFS(B285:G285, "&gt;=10", B285:G285, "&lt;=19")</f>
        <v>0</v>
      </c>
      <c r="BM285" s="3">
        <f>COUNTIFS(B285:G285, "&gt;=20", B285:G285, "&lt;=29")</f>
        <v>0</v>
      </c>
      <c r="BN285" s="3">
        <f>COUNTIFS(B285:G285, "&gt;=30", B285:G285, "&lt;=39")</f>
        <v>0</v>
      </c>
      <c r="BO285" s="3">
        <f>COUNTIFS(B285:G285, "&gt;=40", B285:G285, "&lt;=45")</f>
        <v>0</v>
      </c>
      <c r="BP285" s="28" t="e">
        <f>#REF!</f>
        <v>#REF!</v>
      </c>
      <c r="BQ285" s="28" t="e">
        <f>#REF!*2</f>
        <v>#REF!</v>
      </c>
      <c r="BR285" s="28" t="e">
        <f>#REF!</f>
        <v>#REF!</v>
      </c>
      <c r="BS285" s="28" t="e">
        <f>#REF!*2</f>
        <v>#REF!</v>
      </c>
      <c r="BT285" s="28" t="e">
        <f>#REF!</f>
        <v>#REF!</v>
      </c>
      <c r="BU285" s="28" t="e">
        <f>#REF!*2</f>
        <v>#REF!</v>
      </c>
      <c r="BV285" s="28" t="e">
        <f>#REF!</f>
        <v>#REF!</v>
      </c>
      <c r="BW285" s="28" t="e">
        <f>#REF!*2</f>
        <v>#REF!</v>
      </c>
      <c r="BX285" s="28" t="e">
        <f>#REF!</f>
        <v>#REF!</v>
      </c>
      <c r="BY285" s="28" t="e">
        <f>#REF!*2</f>
        <v>#REF!</v>
      </c>
      <c r="BZ285" s="28" t="e">
        <f>#REF!</f>
        <v>#REF!</v>
      </c>
      <c r="CA285" s="28" t="e">
        <f>#REF!*2</f>
        <v>#REF!</v>
      </c>
      <c r="CB285" s="9">
        <f>C285-B285</f>
        <v>0</v>
      </c>
      <c r="CC285" s="9">
        <f>D285-C285</f>
        <v>0</v>
      </c>
      <c r="CD285" s="9">
        <f>E285-D285</f>
        <v>0</v>
      </c>
      <c r="CE285" s="9">
        <f>F285-E285</f>
        <v>0</v>
      </c>
      <c r="CF285" s="9">
        <f>G285-F285</f>
        <v>0</v>
      </c>
      <c r="CG285" s="33"/>
      <c r="CH285" s="3">
        <f>C285-B285</f>
        <v>0</v>
      </c>
      <c r="CI285" s="3">
        <f>D285-C285</f>
        <v>0</v>
      </c>
      <c r="CJ285" s="3">
        <f>E285-D285</f>
        <v>0</v>
      </c>
      <c r="CK285" s="3">
        <f>F285-E285</f>
        <v>0</v>
      </c>
      <c r="CL285" s="3">
        <f>G285-F285</f>
        <v>0</v>
      </c>
      <c r="CM285" s="32"/>
      <c r="CN285" s="3">
        <f>IF(OR(CH285="",ISBLANK(CH285),CH285=0),0,IF(MOD(CH285,2)=1,1,2))</f>
        <v>0</v>
      </c>
      <c r="CO285" s="3">
        <f>IF(OR(CI285="",ISBLANK(CI285),CI285=0),0,IF(MOD(CI285,2)=1,1,2))</f>
        <v>0</v>
      </c>
      <c r="CP285" s="3">
        <f>IF(OR(CJ285="",ISBLANK(CJ285),CJ285=0),0,IF(MOD(CJ285,2)=1,1,2))</f>
        <v>0</v>
      </c>
      <c r="CQ285" s="3">
        <f>IF(OR(CK285="",ISBLANK(CK285),CK285=0),0,IF(MOD(CK285,2)=1,1,2))</f>
        <v>0</v>
      </c>
      <c r="CR285" s="3">
        <f>IF(OR(CL285="",ISBLANK(CL285),CL285=0),0,IF(MOD(CL285,2)=1,1,2))</f>
        <v>0</v>
      </c>
      <c r="CS285" s="31"/>
      <c r="CT285" s="3" cm="1">
        <f t="array" ref="CT285">SUMPRODUCT(--(MOD(CH285:CL285,2)=1))</f>
        <v>0</v>
      </c>
      <c r="CU285" s="3">
        <f>5-CT285</f>
        <v>5</v>
      </c>
      <c r="CV285" s="30"/>
      <c r="CW285" s="3" cm="1">
        <f t="array" ref="CW285">SUMPRODUCT(--(MOD(CH285:CL285,10)&gt;=1), --(MOD(CH285:CL285,10)&lt;=5))</f>
        <v>0</v>
      </c>
      <c r="CX285" s="3">
        <f>5-CW285</f>
        <v>5</v>
      </c>
      <c r="CY285" s="30"/>
      <c r="CZ285" s="3" cm="1">
        <f t="array" ref="CZ285">IFERROR(COUNT(_xlfn._xlws.FILTER(CH285:CL285, ISNUMBER(MATCH(CH285:CL285, {2,3,5,7,11,13,17,19,23,29,31,37,41,43}, 0)))), 0)</f>
        <v>0</v>
      </c>
      <c r="DA285" s="3" cm="1">
        <f t="array" ref="DA285">IFERROR(COUNT(_xlfn._xlws.FILTER(CH285:CL285, ISNUMBER(MATCH(CH285:CL285, {1,4,8,10,14,16,20,22,25,26,28,32,34,35,38,40,44}, 0)))), 0)</f>
        <v>0</v>
      </c>
      <c r="DB285" s="3" cm="1">
        <f t="array" ref="DB285">IFERROR(COUNT(_xlfn._xlws.FILTER(CH285:CL285, ISNUMBER(MATCH(CH285:CL285, {6,9,12,15,18,21,24,27,30,33,36,39,42,45}, 0)))), 0)</f>
        <v>0</v>
      </c>
      <c r="DC285" s="29"/>
      <c r="DD285" s="28" t="e">
        <f>#REF!</f>
        <v>#REF!</v>
      </c>
      <c r="DE285" s="28" t="e">
        <f>#REF!*2</f>
        <v>#REF!</v>
      </c>
      <c r="DF285" s="28" t="e">
        <f>#REF!</f>
        <v>#REF!</v>
      </c>
      <c r="DG285" s="28" t="e">
        <f>#REF!*2</f>
        <v>#REF!</v>
      </c>
      <c r="DH285" s="28" t="e">
        <f>#REF!</f>
        <v>#REF!</v>
      </c>
      <c r="DI285" s="28" t="e">
        <f>#REF!*2</f>
        <v>#REF!</v>
      </c>
      <c r="DJ285" s="28" t="e">
        <f>#REF!</f>
        <v>#REF!</v>
      </c>
      <c r="DK285" s="28" t="e">
        <f>#REF!*2</f>
        <v>#REF!</v>
      </c>
      <c r="DL285" s="28" t="e">
        <f>#REF!</f>
        <v>#REF!</v>
      </c>
      <c r="DM285" s="28" t="e">
        <f>#REF!*2</f>
        <v>#REF!</v>
      </c>
      <c r="DN285" s="27"/>
      <c r="DO285" s="26"/>
      <c r="DP285" s="26"/>
      <c r="DQ285" s="26"/>
      <c r="DR285" s="26"/>
      <c r="DS285" s="26"/>
      <c r="DT285" s="25"/>
    </row>
    <row r="286" spans="2:124" x14ac:dyDescent="0.3">
      <c r="B286" s="3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2"/>
      <c r="I286" s="3">
        <f>IF(OR(B286="",ISBLANK(B286),B286=0),0,IF(MOD(B286,2)=1,1,2))</f>
        <v>0</v>
      </c>
      <c r="J286" s="3">
        <f>IF(OR(C286="",ISBLANK(C286),C286=0),0,IF(MOD(C286,2)=1,1,2))</f>
        <v>0</v>
      </c>
      <c r="K286" s="3">
        <f>IF(OR(D286="",ISBLANK(D286),D286=0),0,IF(MOD(D286,2)=1,1,2))</f>
        <v>0</v>
      </c>
      <c r="L286" s="3">
        <f>IF(OR(E286="",ISBLANK(E286),E286=0),0,IF(MOD(E286,2)=1,1,2))</f>
        <v>0</v>
      </c>
      <c r="M286" s="3">
        <f>IF(OR(F286="",ISBLANK(F286),F286=0),0,IF(MOD(F286,2)=1,1,2))</f>
        <v>0</v>
      </c>
      <c r="N286" s="3">
        <f>IF(OR(G286="",ISBLANK(G286),G286=0),0,IF(MOD(G286,2)=1,1,2))</f>
        <v>0</v>
      </c>
      <c r="O286" s="32"/>
      <c r="P286" s="3" cm="1">
        <f t="array" ref="P286">SUMPRODUCT(--(MOD(B286:G286,2)=1))</f>
        <v>0</v>
      </c>
      <c r="Q286" s="3">
        <f>6-P286</f>
        <v>6</v>
      </c>
      <c r="R286" s="34"/>
      <c r="S286" s="3">
        <f>COUNTIFS(B286:G286,"&gt;=1",B286:G286,"&lt;=23")</f>
        <v>0</v>
      </c>
      <c r="T286" s="3">
        <f>6-S286</f>
        <v>6</v>
      </c>
      <c r="U286" s="34"/>
      <c r="V286" s="3" cm="1">
        <f t="array" ref="V286">SUMPRODUCT(--(MOD(B286:G286,10)&gt;=1), --(MOD(B286:G286,10)&lt;=5))</f>
        <v>0</v>
      </c>
      <c r="W286" s="3">
        <f>6-V286</f>
        <v>6</v>
      </c>
      <c r="X286" s="34"/>
      <c r="Y286" s="3" cm="1">
        <f t="array" ref="Y286">IFERROR(COUNT(_xlfn._xlws.FILTER(B286:G286, ISNUMBER(MATCH(B286:G286, {2,3,5,7,11,13,17,19,23,29,31,37,41,43}, 0)))), 0)</f>
        <v>0</v>
      </c>
      <c r="Z286" s="3" cm="1">
        <f t="array" ref="Z286">IFERROR(COUNT(_xlfn._xlws.FILTER(B286:G286, ISNUMBER(MATCH(B286:G286, {1,4,8,10,14,16,20,22,25,26,28,32,34,35,38,40,44}, 0)))), 0)</f>
        <v>0</v>
      </c>
      <c r="AA286" s="3" cm="1">
        <f t="array" ref="AA286">IFERROR(COUNT(_xlfn._xlws.FILTER(B286:G286, ISNUMBER(MATCH(B286:G286, {6,9,12,15,18,21,24,27,30,33,36,39,42,45}, 0)))), 0)</f>
        <v>0</v>
      </c>
      <c r="AB286" s="30"/>
      <c r="AC286" s="26" cm="1">
        <f t="array" ref="AC286">_xlfn.IFS(
   OR(B286="",ISBLANK(B286),B286=0),0,
   ISNUMBER(MATCH(B286,{2,3,5,7,11,13,17,19,23,29,31,37,41,43},0)),"소",
   AND(ISNUMBER(B286),MOD(B286,3)=0),"배",
   AND(ISNUMBER(B286),B286&gt;0),"자"
)</f>
        <v>0</v>
      </c>
      <c r="AD286" s="26" cm="1">
        <f t="array" ref="AD286">_xlfn.IFS(
   OR(C286="",ISBLANK(C286),C286=0),0,
   ISNUMBER(MATCH(C286,{2,3,5,7,11,13,17,19,23,29,31,37,41,43},0)),"소",
   AND(ISNUMBER(C286),MOD(C286,3)=0),"배",
   AND(ISNUMBER(C286),C286&gt;0),"자"
)</f>
        <v>0</v>
      </c>
      <c r="AE286" s="26" cm="1">
        <f t="array" ref="AE286">_xlfn.IFS(
   OR(D286="",ISBLANK(D286),D286=0),0,
   ISNUMBER(MATCH(D286,{2,3,5,7,11,13,17,19,23,29,31,37,41,43},0)),"소",
   AND(ISNUMBER(D286),MOD(D286,3)=0),"배",
   AND(ISNUMBER(D286),D286&gt;0),"자"
)</f>
        <v>0</v>
      </c>
      <c r="AF286" s="26" cm="1">
        <f t="array" ref="AF286">_xlfn.IFS(
   OR(E286="",ISBLANK(E286),E286=0),0,
   ISNUMBER(MATCH(E286,{2,3,5,7,11,13,17,19,23,29,31,37,41,43},0)),"소",
   AND(ISNUMBER(E286),MOD(E286,3)=0),"배",
   AND(ISNUMBER(E286),E286&gt;0),"자"
)</f>
        <v>0</v>
      </c>
      <c r="AG286" s="26" cm="1">
        <f t="array" ref="AG286">_xlfn.IFS(
   OR(F286="",ISBLANK(F286),F286=0),0,
   ISNUMBER(MATCH(F286,{2,3,5,7,11,13,17,19,23,29,31,37,41,43},0)),"소",
   AND(ISNUMBER(F286),MOD(F286,3)=0),"배",
   AND(ISNUMBER(F286),F286&gt;0),"자"
)</f>
        <v>0</v>
      </c>
      <c r="AH286" s="26" cm="1">
        <f t="array" ref="AH286">_xlfn.IFS(
   OR(G286="",ISBLANK(G286),G286=0),0,
   ISNUMBER(MATCH(G286,{2,3,5,7,11,13,17,19,23,29,31,37,41,43},0)),"소",
   AND(ISNUMBER(G286),MOD(G286,3)=0),"배",
   AND(ISNUMBER(G286),G286&gt;0),"자"
)</f>
        <v>0</v>
      </c>
      <c r="AI286" s="30"/>
      <c r="AJ286" s="3">
        <f>COUNTIFS(B286:G286,"&gt;=1",B286:G286,"&lt;=14")</f>
        <v>0</v>
      </c>
      <c r="AK286" s="3">
        <f>COUNTIFS(B286:G286,"&gt;=15",B286:G286,"&lt;=31")</f>
        <v>0</v>
      </c>
      <c r="AL286" s="3">
        <f>6-AK286-AJ286</f>
        <v>6</v>
      </c>
      <c r="AM286" s="33"/>
      <c r="AN286" s="3">
        <f>COUNTIFS($B286:$G286, "&gt;=1",$B286:$G286, "&lt;=9")</f>
        <v>0</v>
      </c>
      <c r="AO286" s="3">
        <f>COUNTIFS($B286:$G286, "&gt;=10",$B286:$G286, "&lt;=18")</f>
        <v>0</v>
      </c>
      <c r="AP286" s="3">
        <f>COUNTIFS($B286:$G286, "&gt;=19",$B286:$G286, "&lt;=27")</f>
        <v>0</v>
      </c>
      <c r="AQ286" s="3">
        <f>COUNTIFS($B286:$G286, "&gt;=28",$B286:$G286, "&lt;=36")</f>
        <v>0</v>
      </c>
      <c r="AR286" s="3">
        <f>COUNTIFS($B286:$G286, "&gt;=37",$B286:$G286, "&lt;=45")</f>
        <v>0</v>
      </c>
      <c r="AS286" s="28" t="e">
        <f>#REF!</f>
        <v>#REF!</v>
      </c>
      <c r="AT286" s="28" t="e">
        <f>#REF!*2</f>
        <v>#REF!</v>
      </c>
      <c r="AU286" s="28" t="e">
        <f>#REF!</f>
        <v>#REF!</v>
      </c>
      <c r="AV286" s="28" t="e">
        <f>#REF!*2</f>
        <v>#REF!</v>
      </c>
      <c r="AW286" s="28" t="e">
        <f>#REF!</f>
        <v>#REF!</v>
      </c>
      <c r="AX286" s="28" t="e">
        <f>#REF!*2</f>
        <v>#REF!</v>
      </c>
      <c r="AY286" s="28" t="e">
        <f>#REF!</f>
        <v>#REF!</v>
      </c>
      <c r="AZ286" s="28" t="e">
        <f>#REF!*2</f>
        <v>#REF!</v>
      </c>
      <c r="BA286" s="28" t="e">
        <f>#REF!</f>
        <v>#REF!</v>
      </c>
      <c r="BB286" s="28" t="e">
        <f>#REF!*2</f>
        <v>#REF!</v>
      </c>
      <c r="BC286" s="28" t="e">
        <f>#REF!</f>
        <v>#REF!</v>
      </c>
      <c r="BD286" s="28" t="e">
        <f>#REF!*2</f>
        <v>#REF!</v>
      </c>
      <c r="BE286" s="9" t="e">
        <f>#REF!-#REF!</f>
        <v>#REF!</v>
      </c>
      <c r="BF286" s="9" t="e">
        <f>#REF!-#REF!</f>
        <v>#REF!</v>
      </c>
      <c r="BG286" s="9" t="e">
        <f>#REF!-#REF!</f>
        <v>#REF!</v>
      </c>
      <c r="BH286" s="9" t="e">
        <f>#REF!-#REF!</f>
        <v>#REF!</v>
      </c>
      <c r="BI286" s="9" t="e">
        <f>#REF!-#REF!</f>
        <v>#REF!</v>
      </c>
      <c r="BJ286" s="33"/>
      <c r="BK286" s="3">
        <f>COUNTIFS(B286:G286, "&gt;=1", B286:G286, "&lt;=9")</f>
        <v>0</v>
      </c>
      <c r="BL286" s="3">
        <f>COUNTIFS(B286:G286, "&gt;=10", B286:G286, "&lt;=19")</f>
        <v>0</v>
      </c>
      <c r="BM286" s="3">
        <f>COUNTIFS(B286:G286, "&gt;=20", B286:G286, "&lt;=29")</f>
        <v>0</v>
      </c>
      <c r="BN286" s="3">
        <f>COUNTIFS(B286:G286, "&gt;=30", B286:G286, "&lt;=39")</f>
        <v>0</v>
      </c>
      <c r="BO286" s="3">
        <f>COUNTIFS(B286:G286, "&gt;=40", B286:G286, "&lt;=45")</f>
        <v>0</v>
      </c>
      <c r="BP286" s="28" t="e">
        <f>#REF!</f>
        <v>#REF!</v>
      </c>
      <c r="BQ286" s="28" t="e">
        <f>#REF!*2</f>
        <v>#REF!</v>
      </c>
      <c r="BR286" s="28" t="e">
        <f>#REF!</f>
        <v>#REF!</v>
      </c>
      <c r="BS286" s="28" t="e">
        <f>#REF!*2</f>
        <v>#REF!</v>
      </c>
      <c r="BT286" s="28" t="e">
        <f>#REF!</f>
        <v>#REF!</v>
      </c>
      <c r="BU286" s="28" t="e">
        <f>#REF!*2</f>
        <v>#REF!</v>
      </c>
      <c r="BV286" s="28" t="e">
        <f>#REF!</f>
        <v>#REF!</v>
      </c>
      <c r="BW286" s="28" t="e">
        <f>#REF!*2</f>
        <v>#REF!</v>
      </c>
      <c r="BX286" s="28" t="e">
        <f>#REF!</f>
        <v>#REF!</v>
      </c>
      <c r="BY286" s="28" t="e">
        <f>#REF!*2</f>
        <v>#REF!</v>
      </c>
      <c r="BZ286" s="28" t="e">
        <f>#REF!</f>
        <v>#REF!</v>
      </c>
      <c r="CA286" s="28" t="e">
        <f>#REF!*2</f>
        <v>#REF!</v>
      </c>
      <c r="CB286" s="9">
        <f>C286-B286</f>
        <v>0</v>
      </c>
      <c r="CC286" s="9">
        <f>D286-C286</f>
        <v>0</v>
      </c>
      <c r="CD286" s="9">
        <f>E286-D286</f>
        <v>0</v>
      </c>
      <c r="CE286" s="9">
        <f>F286-E286</f>
        <v>0</v>
      </c>
      <c r="CF286" s="9">
        <f>G286-F286</f>
        <v>0</v>
      </c>
      <c r="CG286" s="33"/>
      <c r="CH286" s="3">
        <f>C286-B286</f>
        <v>0</v>
      </c>
      <c r="CI286" s="3">
        <f>D286-C286</f>
        <v>0</v>
      </c>
      <c r="CJ286" s="3">
        <f>E286-D286</f>
        <v>0</v>
      </c>
      <c r="CK286" s="3">
        <f>F286-E286</f>
        <v>0</v>
      </c>
      <c r="CL286" s="3">
        <f>G286-F286</f>
        <v>0</v>
      </c>
      <c r="CM286" s="32"/>
      <c r="CN286" s="3">
        <f>IF(OR(CH286="",ISBLANK(CH286),CH286=0),0,IF(MOD(CH286,2)=1,1,2))</f>
        <v>0</v>
      </c>
      <c r="CO286" s="3">
        <f>IF(OR(CI286="",ISBLANK(CI286),CI286=0),0,IF(MOD(CI286,2)=1,1,2))</f>
        <v>0</v>
      </c>
      <c r="CP286" s="3">
        <f>IF(OR(CJ286="",ISBLANK(CJ286),CJ286=0),0,IF(MOD(CJ286,2)=1,1,2))</f>
        <v>0</v>
      </c>
      <c r="CQ286" s="3">
        <f>IF(OR(CK286="",ISBLANK(CK286),CK286=0),0,IF(MOD(CK286,2)=1,1,2))</f>
        <v>0</v>
      </c>
      <c r="CR286" s="3">
        <f>IF(OR(CL286="",ISBLANK(CL286),CL286=0),0,IF(MOD(CL286,2)=1,1,2))</f>
        <v>0</v>
      </c>
      <c r="CS286" s="31"/>
      <c r="CT286" s="3" cm="1">
        <f t="array" ref="CT286">SUMPRODUCT(--(MOD(CH286:CL286,2)=1))</f>
        <v>0</v>
      </c>
      <c r="CU286" s="3">
        <f>5-CT286</f>
        <v>5</v>
      </c>
      <c r="CV286" s="30"/>
      <c r="CW286" s="3" cm="1">
        <f t="array" ref="CW286">SUMPRODUCT(--(MOD(CH286:CL286,10)&gt;=1), --(MOD(CH286:CL286,10)&lt;=5))</f>
        <v>0</v>
      </c>
      <c r="CX286" s="3">
        <f>5-CW286</f>
        <v>5</v>
      </c>
      <c r="CY286" s="30"/>
      <c r="CZ286" s="3" cm="1">
        <f t="array" ref="CZ286">IFERROR(COUNT(_xlfn._xlws.FILTER(CH286:CL286, ISNUMBER(MATCH(CH286:CL286, {2,3,5,7,11,13,17,19,23,29,31,37,41,43}, 0)))), 0)</f>
        <v>0</v>
      </c>
      <c r="DA286" s="3" cm="1">
        <f t="array" ref="DA286">IFERROR(COUNT(_xlfn._xlws.FILTER(CH286:CL286, ISNUMBER(MATCH(CH286:CL286, {1,4,8,10,14,16,20,22,25,26,28,32,34,35,38,40,44}, 0)))), 0)</f>
        <v>0</v>
      </c>
      <c r="DB286" s="3" cm="1">
        <f t="array" ref="DB286">IFERROR(COUNT(_xlfn._xlws.FILTER(CH286:CL286, ISNUMBER(MATCH(CH286:CL286, {6,9,12,15,18,21,24,27,30,33,36,39,42,45}, 0)))), 0)</f>
        <v>0</v>
      </c>
      <c r="DC286" s="29"/>
      <c r="DD286" s="28" t="e">
        <f>#REF!</f>
        <v>#REF!</v>
      </c>
      <c r="DE286" s="28" t="e">
        <f>#REF!*2</f>
        <v>#REF!</v>
      </c>
      <c r="DF286" s="28" t="e">
        <f>#REF!</f>
        <v>#REF!</v>
      </c>
      <c r="DG286" s="28" t="e">
        <f>#REF!*2</f>
        <v>#REF!</v>
      </c>
      <c r="DH286" s="28" t="e">
        <f>#REF!</f>
        <v>#REF!</v>
      </c>
      <c r="DI286" s="28" t="e">
        <f>#REF!*2</f>
        <v>#REF!</v>
      </c>
      <c r="DJ286" s="28" t="e">
        <f>#REF!</f>
        <v>#REF!</v>
      </c>
      <c r="DK286" s="28" t="e">
        <f>#REF!*2</f>
        <v>#REF!</v>
      </c>
      <c r="DL286" s="28" t="e">
        <f>#REF!</f>
        <v>#REF!</v>
      </c>
      <c r="DM286" s="28" t="e">
        <f>#REF!*2</f>
        <v>#REF!</v>
      </c>
      <c r="DN286" s="27"/>
      <c r="DO286" s="26"/>
      <c r="DP286" s="26"/>
      <c r="DQ286" s="26"/>
      <c r="DR286" s="26"/>
      <c r="DS286" s="26"/>
      <c r="DT286" s="25"/>
    </row>
    <row r="287" spans="2:124" x14ac:dyDescent="0.3">
      <c r="B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2"/>
      <c r="I287" s="3">
        <f>IF(OR(B287="",ISBLANK(B287),B287=0),0,IF(MOD(B287,2)=1,1,2))</f>
        <v>0</v>
      </c>
      <c r="J287" s="3">
        <f>IF(OR(C287="",ISBLANK(C287),C287=0),0,IF(MOD(C287,2)=1,1,2))</f>
        <v>0</v>
      </c>
      <c r="K287" s="3">
        <f>IF(OR(D287="",ISBLANK(D287),D287=0),0,IF(MOD(D287,2)=1,1,2))</f>
        <v>0</v>
      </c>
      <c r="L287" s="3">
        <f>IF(OR(E287="",ISBLANK(E287),E287=0),0,IF(MOD(E287,2)=1,1,2))</f>
        <v>0</v>
      </c>
      <c r="M287" s="3">
        <f>IF(OR(F287="",ISBLANK(F287),F287=0),0,IF(MOD(F287,2)=1,1,2))</f>
        <v>0</v>
      </c>
      <c r="N287" s="3">
        <f>IF(OR(G287="",ISBLANK(G287),G287=0),0,IF(MOD(G287,2)=1,1,2))</f>
        <v>0</v>
      </c>
      <c r="O287" s="32"/>
      <c r="P287" s="3" cm="1">
        <f t="array" ref="P287">SUMPRODUCT(--(MOD(B287:G287,2)=1))</f>
        <v>0</v>
      </c>
      <c r="Q287" s="3">
        <f>6-P287</f>
        <v>6</v>
      </c>
      <c r="R287" s="34"/>
      <c r="S287" s="3">
        <f>COUNTIFS(B287:G287,"&gt;=1",B287:G287,"&lt;=23")</f>
        <v>0</v>
      </c>
      <c r="T287" s="3">
        <f>6-S287</f>
        <v>6</v>
      </c>
      <c r="U287" s="34"/>
      <c r="V287" s="3" cm="1">
        <f t="array" ref="V287">SUMPRODUCT(--(MOD(B287:G287,10)&gt;=1), --(MOD(B287:G287,10)&lt;=5))</f>
        <v>0</v>
      </c>
      <c r="W287" s="3">
        <f>6-V287</f>
        <v>6</v>
      </c>
      <c r="X287" s="34"/>
      <c r="Y287" s="3" cm="1">
        <f t="array" ref="Y287">IFERROR(COUNT(_xlfn._xlws.FILTER(B287:G287, ISNUMBER(MATCH(B287:G287, {2,3,5,7,11,13,17,19,23,29,31,37,41,43}, 0)))), 0)</f>
        <v>0</v>
      </c>
      <c r="Z287" s="3" cm="1">
        <f t="array" ref="Z287">IFERROR(COUNT(_xlfn._xlws.FILTER(B287:G287, ISNUMBER(MATCH(B287:G287, {1,4,8,10,14,16,20,22,25,26,28,32,34,35,38,40,44}, 0)))), 0)</f>
        <v>0</v>
      </c>
      <c r="AA287" s="3" cm="1">
        <f t="array" ref="AA287">IFERROR(COUNT(_xlfn._xlws.FILTER(B287:G287, ISNUMBER(MATCH(B287:G287, {6,9,12,15,18,21,24,27,30,33,36,39,42,45}, 0)))), 0)</f>
        <v>0</v>
      </c>
      <c r="AB287" s="30"/>
      <c r="AC287" s="26" cm="1">
        <f t="array" ref="AC287">_xlfn.IFS(
   OR(B287="",ISBLANK(B287),B287=0),0,
   ISNUMBER(MATCH(B287,{2,3,5,7,11,13,17,19,23,29,31,37,41,43},0)),"소",
   AND(ISNUMBER(B287),MOD(B287,3)=0),"배",
   AND(ISNUMBER(B287),B287&gt;0),"자"
)</f>
        <v>0</v>
      </c>
      <c r="AD287" s="26" cm="1">
        <f t="array" ref="AD287">_xlfn.IFS(
   OR(C287="",ISBLANK(C287),C287=0),0,
   ISNUMBER(MATCH(C287,{2,3,5,7,11,13,17,19,23,29,31,37,41,43},0)),"소",
   AND(ISNUMBER(C287),MOD(C287,3)=0),"배",
   AND(ISNUMBER(C287),C287&gt;0),"자"
)</f>
        <v>0</v>
      </c>
      <c r="AE287" s="26" cm="1">
        <f t="array" ref="AE287">_xlfn.IFS(
   OR(D287="",ISBLANK(D287),D287=0),0,
   ISNUMBER(MATCH(D287,{2,3,5,7,11,13,17,19,23,29,31,37,41,43},0)),"소",
   AND(ISNUMBER(D287),MOD(D287,3)=0),"배",
   AND(ISNUMBER(D287),D287&gt;0),"자"
)</f>
        <v>0</v>
      </c>
      <c r="AF287" s="26" cm="1">
        <f t="array" ref="AF287">_xlfn.IFS(
   OR(E287="",ISBLANK(E287),E287=0),0,
   ISNUMBER(MATCH(E287,{2,3,5,7,11,13,17,19,23,29,31,37,41,43},0)),"소",
   AND(ISNUMBER(E287),MOD(E287,3)=0),"배",
   AND(ISNUMBER(E287),E287&gt;0),"자"
)</f>
        <v>0</v>
      </c>
      <c r="AG287" s="26" cm="1">
        <f t="array" ref="AG287">_xlfn.IFS(
   OR(F287="",ISBLANK(F287),F287=0),0,
   ISNUMBER(MATCH(F287,{2,3,5,7,11,13,17,19,23,29,31,37,41,43},0)),"소",
   AND(ISNUMBER(F287),MOD(F287,3)=0),"배",
   AND(ISNUMBER(F287),F287&gt;0),"자"
)</f>
        <v>0</v>
      </c>
      <c r="AH287" s="26" cm="1">
        <f t="array" ref="AH287">_xlfn.IFS(
   OR(G287="",ISBLANK(G287),G287=0),0,
   ISNUMBER(MATCH(G287,{2,3,5,7,11,13,17,19,23,29,31,37,41,43},0)),"소",
   AND(ISNUMBER(G287),MOD(G287,3)=0),"배",
   AND(ISNUMBER(G287),G287&gt;0),"자"
)</f>
        <v>0</v>
      </c>
      <c r="AI287" s="30"/>
      <c r="AJ287" s="3">
        <f>COUNTIFS(B287:G287,"&gt;=1",B287:G287,"&lt;=14")</f>
        <v>0</v>
      </c>
      <c r="AK287" s="3">
        <f>COUNTIFS(B287:G287,"&gt;=15",B287:G287,"&lt;=31")</f>
        <v>0</v>
      </c>
      <c r="AL287" s="3">
        <f>6-AK287-AJ287</f>
        <v>6</v>
      </c>
      <c r="AM287" s="33"/>
      <c r="AN287" s="3">
        <f>COUNTIFS($B287:$G287, "&gt;=1",$B287:$G287, "&lt;=9")</f>
        <v>0</v>
      </c>
      <c r="AO287" s="3">
        <f>COUNTIFS($B287:$G287, "&gt;=10",$B287:$G287, "&lt;=18")</f>
        <v>0</v>
      </c>
      <c r="AP287" s="3">
        <f>COUNTIFS($B287:$G287, "&gt;=19",$B287:$G287, "&lt;=27")</f>
        <v>0</v>
      </c>
      <c r="AQ287" s="3">
        <f>COUNTIFS($B287:$G287, "&gt;=28",$B287:$G287, "&lt;=36")</f>
        <v>0</v>
      </c>
      <c r="AR287" s="3">
        <f>COUNTIFS($B287:$G287, "&gt;=37",$B287:$G287, "&lt;=45")</f>
        <v>0</v>
      </c>
      <c r="AS287" s="28" t="e">
        <f>#REF!</f>
        <v>#REF!</v>
      </c>
      <c r="AT287" s="28" t="e">
        <f>#REF!*2</f>
        <v>#REF!</v>
      </c>
      <c r="AU287" s="28" t="e">
        <f>#REF!</f>
        <v>#REF!</v>
      </c>
      <c r="AV287" s="28" t="e">
        <f>#REF!*2</f>
        <v>#REF!</v>
      </c>
      <c r="AW287" s="28" t="e">
        <f>#REF!</f>
        <v>#REF!</v>
      </c>
      <c r="AX287" s="28" t="e">
        <f>#REF!*2</f>
        <v>#REF!</v>
      </c>
      <c r="AY287" s="28" t="e">
        <f>#REF!</f>
        <v>#REF!</v>
      </c>
      <c r="AZ287" s="28" t="e">
        <f>#REF!*2</f>
        <v>#REF!</v>
      </c>
      <c r="BA287" s="28" t="e">
        <f>#REF!</f>
        <v>#REF!</v>
      </c>
      <c r="BB287" s="28" t="e">
        <f>#REF!*2</f>
        <v>#REF!</v>
      </c>
      <c r="BC287" s="28" t="e">
        <f>#REF!</f>
        <v>#REF!</v>
      </c>
      <c r="BD287" s="28" t="e">
        <f>#REF!*2</f>
        <v>#REF!</v>
      </c>
      <c r="BE287" s="9" t="e">
        <f>#REF!-#REF!</f>
        <v>#REF!</v>
      </c>
      <c r="BF287" s="9" t="e">
        <f>#REF!-#REF!</f>
        <v>#REF!</v>
      </c>
      <c r="BG287" s="9" t="e">
        <f>#REF!-#REF!</f>
        <v>#REF!</v>
      </c>
      <c r="BH287" s="9" t="e">
        <f>#REF!-#REF!</f>
        <v>#REF!</v>
      </c>
      <c r="BI287" s="9" t="e">
        <f>#REF!-#REF!</f>
        <v>#REF!</v>
      </c>
      <c r="BJ287" s="33"/>
      <c r="BK287" s="3">
        <f>COUNTIFS(B287:G287, "&gt;=1", B287:G287, "&lt;=9")</f>
        <v>0</v>
      </c>
      <c r="BL287" s="3">
        <f>COUNTIFS(B287:G287, "&gt;=10", B287:G287, "&lt;=19")</f>
        <v>0</v>
      </c>
      <c r="BM287" s="3">
        <f>COUNTIFS(B287:G287, "&gt;=20", B287:G287, "&lt;=29")</f>
        <v>0</v>
      </c>
      <c r="BN287" s="3">
        <f>COUNTIFS(B287:G287, "&gt;=30", B287:G287, "&lt;=39")</f>
        <v>0</v>
      </c>
      <c r="BO287" s="3">
        <f>COUNTIFS(B287:G287, "&gt;=40", B287:G287, "&lt;=45")</f>
        <v>0</v>
      </c>
      <c r="BP287" s="28" t="e">
        <f>#REF!</f>
        <v>#REF!</v>
      </c>
      <c r="BQ287" s="28" t="e">
        <f>#REF!*2</f>
        <v>#REF!</v>
      </c>
      <c r="BR287" s="28" t="e">
        <f>#REF!</f>
        <v>#REF!</v>
      </c>
      <c r="BS287" s="28" t="e">
        <f>#REF!*2</f>
        <v>#REF!</v>
      </c>
      <c r="BT287" s="28" t="e">
        <f>#REF!</f>
        <v>#REF!</v>
      </c>
      <c r="BU287" s="28" t="e">
        <f>#REF!*2</f>
        <v>#REF!</v>
      </c>
      <c r="BV287" s="28" t="e">
        <f>#REF!</f>
        <v>#REF!</v>
      </c>
      <c r="BW287" s="28" t="e">
        <f>#REF!*2</f>
        <v>#REF!</v>
      </c>
      <c r="BX287" s="28" t="e">
        <f>#REF!</f>
        <v>#REF!</v>
      </c>
      <c r="BY287" s="28" t="e">
        <f>#REF!*2</f>
        <v>#REF!</v>
      </c>
      <c r="BZ287" s="28" t="e">
        <f>#REF!</f>
        <v>#REF!</v>
      </c>
      <c r="CA287" s="28" t="e">
        <f>#REF!*2</f>
        <v>#REF!</v>
      </c>
      <c r="CB287" s="9">
        <f>C287-B287</f>
        <v>0</v>
      </c>
      <c r="CC287" s="9">
        <f>D287-C287</f>
        <v>0</v>
      </c>
      <c r="CD287" s="9">
        <f>E287-D287</f>
        <v>0</v>
      </c>
      <c r="CE287" s="9">
        <f>F287-E287</f>
        <v>0</v>
      </c>
      <c r="CF287" s="9">
        <f>G287-F287</f>
        <v>0</v>
      </c>
      <c r="CG287" s="33"/>
      <c r="CH287" s="3">
        <f>C287-B287</f>
        <v>0</v>
      </c>
      <c r="CI287" s="3">
        <f>D287-C287</f>
        <v>0</v>
      </c>
      <c r="CJ287" s="3">
        <f>E287-D287</f>
        <v>0</v>
      </c>
      <c r="CK287" s="3">
        <f>F287-E287</f>
        <v>0</v>
      </c>
      <c r="CL287" s="3">
        <f>G287-F287</f>
        <v>0</v>
      </c>
      <c r="CM287" s="32"/>
      <c r="CN287" s="3">
        <f>IF(OR(CH287="",ISBLANK(CH287),CH287=0),0,IF(MOD(CH287,2)=1,1,2))</f>
        <v>0</v>
      </c>
      <c r="CO287" s="3">
        <f>IF(OR(CI287="",ISBLANK(CI287),CI287=0),0,IF(MOD(CI287,2)=1,1,2))</f>
        <v>0</v>
      </c>
      <c r="CP287" s="3">
        <f>IF(OR(CJ287="",ISBLANK(CJ287),CJ287=0),0,IF(MOD(CJ287,2)=1,1,2))</f>
        <v>0</v>
      </c>
      <c r="CQ287" s="3">
        <f>IF(OR(CK287="",ISBLANK(CK287),CK287=0),0,IF(MOD(CK287,2)=1,1,2))</f>
        <v>0</v>
      </c>
      <c r="CR287" s="3">
        <f>IF(OR(CL287="",ISBLANK(CL287),CL287=0),0,IF(MOD(CL287,2)=1,1,2))</f>
        <v>0</v>
      </c>
      <c r="CS287" s="31"/>
      <c r="CT287" s="3" cm="1">
        <f t="array" ref="CT287">SUMPRODUCT(--(MOD(CH287:CL287,2)=1))</f>
        <v>0</v>
      </c>
      <c r="CU287" s="3">
        <f>5-CT287</f>
        <v>5</v>
      </c>
      <c r="CV287" s="30"/>
      <c r="CW287" s="3" cm="1">
        <f t="array" ref="CW287">SUMPRODUCT(--(MOD(CH287:CL287,10)&gt;=1), --(MOD(CH287:CL287,10)&lt;=5))</f>
        <v>0</v>
      </c>
      <c r="CX287" s="3">
        <f>5-CW287</f>
        <v>5</v>
      </c>
      <c r="CY287" s="30"/>
      <c r="CZ287" s="3" cm="1">
        <f t="array" ref="CZ287">IFERROR(COUNT(_xlfn._xlws.FILTER(CH287:CL287, ISNUMBER(MATCH(CH287:CL287, {2,3,5,7,11,13,17,19,23,29,31,37,41,43}, 0)))), 0)</f>
        <v>0</v>
      </c>
      <c r="DA287" s="3" cm="1">
        <f t="array" ref="DA287">IFERROR(COUNT(_xlfn._xlws.FILTER(CH287:CL287, ISNUMBER(MATCH(CH287:CL287, {1,4,8,10,14,16,20,22,25,26,28,32,34,35,38,40,44}, 0)))), 0)</f>
        <v>0</v>
      </c>
      <c r="DB287" s="3" cm="1">
        <f t="array" ref="DB287">IFERROR(COUNT(_xlfn._xlws.FILTER(CH287:CL287, ISNUMBER(MATCH(CH287:CL287, {6,9,12,15,18,21,24,27,30,33,36,39,42,45}, 0)))), 0)</f>
        <v>0</v>
      </c>
      <c r="DC287" s="29"/>
      <c r="DD287" s="28" t="e">
        <f>#REF!</f>
        <v>#REF!</v>
      </c>
      <c r="DE287" s="28" t="e">
        <f>#REF!*2</f>
        <v>#REF!</v>
      </c>
      <c r="DF287" s="28" t="e">
        <f>#REF!</f>
        <v>#REF!</v>
      </c>
      <c r="DG287" s="28" t="e">
        <f>#REF!*2</f>
        <v>#REF!</v>
      </c>
      <c r="DH287" s="28" t="e">
        <f>#REF!</f>
        <v>#REF!</v>
      </c>
      <c r="DI287" s="28" t="e">
        <f>#REF!*2</f>
        <v>#REF!</v>
      </c>
      <c r="DJ287" s="28" t="e">
        <f>#REF!</f>
        <v>#REF!</v>
      </c>
      <c r="DK287" s="28" t="e">
        <f>#REF!*2</f>
        <v>#REF!</v>
      </c>
      <c r="DL287" s="28" t="e">
        <f>#REF!</f>
        <v>#REF!</v>
      </c>
      <c r="DM287" s="28" t="e">
        <f>#REF!*2</f>
        <v>#REF!</v>
      </c>
      <c r="DN287" s="27"/>
      <c r="DO287" s="26"/>
      <c r="DP287" s="26"/>
      <c r="DQ287" s="26"/>
      <c r="DR287" s="26"/>
      <c r="DS287" s="26"/>
      <c r="DT287" s="25"/>
    </row>
    <row r="288" spans="2:124" x14ac:dyDescent="0.3">
      <c r="B288" s="3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2"/>
      <c r="I288" s="3">
        <f>IF(OR(B288="",ISBLANK(B288),B288=0),0,IF(MOD(B288,2)=1,1,2))</f>
        <v>0</v>
      </c>
      <c r="J288" s="3">
        <f>IF(OR(C288="",ISBLANK(C288),C288=0),0,IF(MOD(C288,2)=1,1,2))</f>
        <v>0</v>
      </c>
      <c r="K288" s="3">
        <f>IF(OR(D288="",ISBLANK(D288),D288=0),0,IF(MOD(D288,2)=1,1,2))</f>
        <v>0</v>
      </c>
      <c r="L288" s="3">
        <f>IF(OR(E288="",ISBLANK(E288),E288=0),0,IF(MOD(E288,2)=1,1,2))</f>
        <v>0</v>
      </c>
      <c r="M288" s="3">
        <f>IF(OR(F288="",ISBLANK(F288),F288=0),0,IF(MOD(F288,2)=1,1,2))</f>
        <v>0</v>
      </c>
      <c r="N288" s="3">
        <f>IF(OR(G288="",ISBLANK(G288),G288=0),0,IF(MOD(G288,2)=1,1,2))</f>
        <v>0</v>
      </c>
      <c r="O288" s="32"/>
      <c r="P288" s="3" cm="1">
        <f t="array" ref="P288">SUMPRODUCT(--(MOD(B288:G288,2)=1))</f>
        <v>0</v>
      </c>
      <c r="Q288" s="3">
        <f>6-P288</f>
        <v>6</v>
      </c>
      <c r="R288" s="34"/>
      <c r="S288" s="3">
        <f>COUNTIFS(B288:G288,"&gt;=1",B288:G288,"&lt;=23")</f>
        <v>0</v>
      </c>
      <c r="T288" s="3">
        <f>6-S288</f>
        <v>6</v>
      </c>
      <c r="U288" s="34"/>
      <c r="V288" s="3" cm="1">
        <f t="array" ref="V288">SUMPRODUCT(--(MOD(B288:G288,10)&gt;=1), --(MOD(B288:G288,10)&lt;=5))</f>
        <v>0</v>
      </c>
      <c r="W288" s="3">
        <f>6-V288</f>
        <v>6</v>
      </c>
      <c r="X288" s="34"/>
      <c r="Y288" s="3" cm="1">
        <f t="array" ref="Y288">IFERROR(COUNT(_xlfn._xlws.FILTER(B288:G288, ISNUMBER(MATCH(B288:G288, {2,3,5,7,11,13,17,19,23,29,31,37,41,43}, 0)))), 0)</f>
        <v>0</v>
      </c>
      <c r="Z288" s="3" cm="1">
        <f t="array" ref="Z288">IFERROR(COUNT(_xlfn._xlws.FILTER(B288:G288, ISNUMBER(MATCH(B288:G288, {1,4,8,10,14,16,20,22,25,26,28,32,34,35,38,40,44}, 0)))), 0)</f>
        <v>0</v>
      </c>
      <c r="AA288" s="3" cm="1">
        <f t="array" ref="AA288">IFERROR(COUNT(_xlfn._xlws.FILTER(B288:G288, ISNUMBER(MATCH(B288:G288, {6,9,12,15,18,21,24,27,30,33,36,39,42,45}, 0)))), 0)</f>
        <v>0</v>
      </c>
      <c r="AB288" s="30"/>
      <c r="AC288" s="26" cm="1">
        <f t="array" ref="AC288">_xlfn.IFS(
   OR(B288="",ISBLANK(B288),B288=0),0,
   ISNUMBER(MATCH(B288,{2,3,5,7,11,13,17,19,23,29,31,37,41,43},0)),"소",
   AND(ISNUMBER(B288),MOD(B288,3)=0),"배",
   AND(ISNUMBER(B288),B288&gt;0),"자"
)</f>
        <v>0</v>
      </c>
      <c r="AD288" s="26" cm="1">
        <f t="array" ref="AD288">_xlfn.IFS(
   OR(C288="",ISBLANK(C288),C288=0),0,
   ISNUMBER(MATCH(C288,{2,3,5,7,11,13,17,19,23,29,31,37,41,43},0)),"소",
   AND(ISNUMBER(C288),MOD(C288,3)=0),"배",
   AND(ISNUMBER(C288),C288&gt;0),"자"
)</f>
        <v>0</v>
      </c>
      <c r="AE288" s="26" cm="1">
        <f t="array" ref="AE288">_xlfn.IFS(
   OR(D288="",ISBLANK(D288),D288=0),0,
   ISNUMBER(MATCH(D288,{2,3,5,7,11,13,17,19,23,29,31,37,41,43},0)),"소",
   AND(ISNUMBER(D288),MOD(D288,3)=0),"배",
   AND(ISNUMBER(D288),D288&gt;0),"자"
)</f>
        <v>0</v>
      </c>
      <c r="AF288" s="26" cm="1">
        <f t="array" ref="AF288">_xlfn.IFS(
   OR(E288="",ISBLANK(E288),E288=0),0,
   ISNUMBER(MATCH(E288,{2,3,5,7,11,13,17,19,23,29,31,37,41,43},0)),"소",
   AND(ISNUMBER(E288),MOD(E288,3)=0),"배",
   AND(ISNUMBER(E288),E288&gt;0),"자"
)</f>
        <v>0</v>
      </c>
      <c r="AG288" s="26" cm="1">
        <f t="array" ref="AG288">_xlfn.IFS(
   OR(F288="",ISBLANK(F288),F288=0),0,
   ISNUMBER(MATCH(F288,{2,3,5,7,11,13,17,19,23,29,31,37,41,43},0)),"소",
   AND(ISNUMBER(F288),MOD(F288,3)=0),"배",
   AND(ISNUMBER(F288),F288&gt;0),"자"
)</f>
        <v>0</v>
      </c>
      <c r="AH288" s="26" cm="1">
        <f t="array" ref="AH288">_xlfn.IFS(
   OR(G288="",ISBLANK(G288),G288=0),0,
   ISNUMBER(MATCH(G288,{2,3,5,7,11,13,17,19,23,29,31,37,41,43},0)),"소",
   AND(ISNUMBER(G288),MOD(G288,3)=0),"배",
   AND(ISNUMBER(G288),G288&gt;0),"자"
)</f>
        <v>0</v>
      </c>
      <c r="AI288" s="30"/>
      <c r="AJ288" s="3">
        <f>COUNTIFS(B288:G288,"&gt;=1",B288:G288,"&lt;=14")</f>
        <v>0</v>
      </c>
      <c r="AK288" s="3">
        <f>COUNTIFS(B288:G288,"&gt;=15",B288:G288,"&lt;=31")</f>
        <v>0</v>
      </c>
      <c r="AL288" s="3">
        <f>6-AK288-AJ288</f>
        <v>6</v>
      </c>
      <c r="AM288" s="33"/>
      <c r="AN288" s="3">
        <f>COUNTIFS($B288:$G288, "&gt;=1",$B288:$G288, "&lt;=9")</f>
        <v>0</v>
      </c>
      <c r="AO288" s="3">
        <f>COUNTIFS($B288:$G288, "&gt;=10",$B288:$G288, "&lt;=18")</f>
        <v>0</v>
      </c>
      <c r="AP288" s="3">
        <f>COUNTIFS($B288:$G288, "&gt;=19",$B288:$G288, "&lt;=27")</f>
        <v>0</v>
      </c>
      <c r="AQ288" s="3">
        <f>COUNTIFS($B288:$G288, "&gt;=28",$B288:$G288, "&lt;=36")</f>
        <v>0</v>
      </c>
      <c r="AR288" s="3">
        <f>COUNTIFS($B288:$G288, "&gt;=37",$B288:$G288, "&lt;=45")</f>
        <v>0</v>
      </c>
      <c r="AS288" s="28" t="e">
        <f>#REF!</f>
        <v>#REF!</v>
      </c>
      <c r="AT288" s="28" t="e">
        <f>#REF!*2</f>
        <v>#REF!</v>
      </c>
      <c r="AU288" s="28" t="e">
        <f>#REF!</f>
        <v>#REF!</v>
      </c>
      <c r="AV288" s="28" t="e">
        <f>#REF!*2</f>
        <v>#REF!</v>
      </c>
      <c r="AW288" s="28" t="e">
        <f>#REF!</f>
        <v>#REF!</v>
      </c>
      <c r="AX288" s="28" t="e">
        <f>#REF!*2</f>
        <v>#REF!</v>
      </c>
      <c r="AY288" s="28" t="e">
        <f>#REF!</f>
        <v>#REF!</v>
      </c>
      <c r="AZ288" s="28" t="e">
        <f>#REF!*2</f>
        <v>#REF!</v>
      </c>
      <c r="BA288" s="28" t="e">
        <f>#REF!</f>
        <v>#REF!</v>
      </c>
      <c r="BB288" s="28" t="e">
        <f>#REF!*2</f>
        <v>#REF!</v>
      </c>
      <c r="BC288" s="28" t="e">
        <f>#REF!</f>
        <v>#REF!</v>
      </c>
      <c r="BD288" s="28" t="e">
        <f>#REF!*2</f>
        <v>#REF!</v>
      </c>
      <c r="BE288" s="9" t="e">
        <f>#REF!-#REF!</f>
        <v>#REF!</v>
      </c>
      <c r="BF288" s="9" t="e">
        <f>#REF!-#REF!</f>
        <v>#REF!</v>
      </c>
      <c r="BG288" s="9" t="e">
        <f>#REF!-#REF!</f>
        <v>#REF!</v>
      </c>
      <c r="BH288" s="9" t="e">
        <f>#REF!-#REF!</f>
        <v>#REF!</v>
      </c>
      <c r="BI288" s="9" t="e">
        <f>#REF!-#REF!</f>
        <v>#REF!</v>
      </c>
      <c r="BJ288" s="33"/>
      <c r="BK288" s="3">
        <f>COUNTIFS(B288:G288, "&gt;=1", B288:G288, "&lt;=9")</f>
        <v>0</v>
      </c>
      <c r="BL288" s="3">
        <f>COUNTIFS(B288:G288, "&gt;=10", B288:G288, "&lt;=19")</f>
        <v>0</v>
      </c>
      <c r="BM288" s="3">
        <f>COUNTIFS(B288:G288, "&gt;=20", B288:G288, "&lt;=29")</f>
        <v>0</v>
      </c>
      <c r="BN288" s="3">
        <f>COUNTIFS(B288:G288, "&gt;=30", B288:G288, "&lt;=39")</f>
        <v>0</v>
      </c>
      <c r="BO288" s="3">
        <f>COUNTIFS(B288:G288, "&gt;=40", B288:G288, "&lt;=45")</f>
        <v>0</v>
      </c>
      <c r="BP288" s="28" t="e">
        <f>#REF!</f>
        <v>#REF!</v>
      </c>
      <c r="BQ288" s="28" t="e">
        <f>#REF!*2</f>
        <v>#REF!</v>
      </c>
      <c r="BR288" s="28" t="e">
        <f>#REF!</f>
        <v>#REF!</v>
      </c>
      <c r="BS288" s="28" t="e">
        <f>#REF!*2</f>
        <v>#REF!</v>
      </c>
      <c r="BT288" s="28" t="e">
        <f>#REF!</f>
        <v>#REF!</v>
      </c>
      <c r="BU288" s="28" t="e">
        <f>#REF!*2</f>
        <v>#REF!</v>
      </c>
      <c r="BV288" s="28" t="e">
        <f>#REF!</f>
        <v>#REF!</v>
      </c>
      <c r="BW288" s="28" t="e">
        <f>#REF!*2</f>
        <v>#REF!</v>
      </c>
      <c r="BX288" s="28" t="e">
        <f>#REF!</f>
        <v>#REF!</v>
      </c>
      <c r="BY288" s="28" t="e">
        <f>#REF!*2</f>
        <v>#REF!</v>
      </c>
      <c r="BZ288" s="28" t="e">
        <f>#REF!</f>
        <v>#REF!</v>
      </c>
      <c r="CA288" s="28" t="e">
        <f>#REF!*2</f>
        <v>#REF!</v>
      </c>
      <c r="CB288" s="9">
        <f>C288-B288</f>
        <v>0</v>
      </c>
      <c r="CC288" s="9">
        <f>D288-C288</f>
        <v>0</v>
      </c>
      <c r="CD288" s="9">
        <f>E288-D288</f>
        <v>0</v>
      </c>
      <c r="CE288" s="9">
        <f>F288-E288</f>
        <v>0</v>
      </c>
      <c r="CF288" s="9">
        <f>G288-F288</f>
        <v>0</v>
      </c>
      <c r="CG288" s="33"/>
      <c r="CH288" s="3">
        <f>C288-B288</f>
        <v>0</v>
      </c>
      <c r="CI288" s="3">
        <f>D288-C288</f>
        <v>0</v>
      </c>
      <c r="CJ288" s="3">
        <f>E288-D288</f>
        <v>0</v>
      </c>
      <c r="CK288" s="3">
        <f>F288-E288</f>
        <v>0</v>
      </c>
      <c r="CL288" s="3">
        <f>G288-F288</f>
        <v>0</v>
      </c>
      <c r="CM288" s="32"/>
      <c r="CN288" s="3">
        <f>IF(OR(CH288="",ISBLANK(CH288),CH288=0),0,IF(MOD(CH288,2)=1,1,2))</f>
        <v>0</v>
      </c>
      <c r="CO288" s="3">
        <f>IF(OR(CI288="",ISBLANK(CI288),CI288=0),0,IF(MOD(CI288,2)=1,1,2))</f>
        <v>0</v>
      </c>
      <c r="CP288" s="3">
        <f>IF(OR(CJ288="",ISBLANK(CJ288),CJ288=0),0,IF(MOD(CJ288,2)=1,1,2))</f>
        <v>0</v>
      </c>
      <c r="CQ288" s="3">
        <f>IF(OR(CK288="",ISBLANK(CK288),CK288=0),0,IF(MOD(CK288,2)=1,1,2))</f>
        <v>0</v>
      </c>
      <c r="CR288" s="3">
        <f>IF(OR(CL288="",ISBLANK(CL288),CL288=0),0,IF(MOD(CL288,2)=1,1,2))</f>
        <v>0</v>
      </c>
      <c r="CS288" s="31"/>
      <c r="CT288" s="3" cm="1">
        <f t="array" ref="CT288">SUMPRODUCT(--(MOD(CH288:CL288,2)=1))</f>
        <v>0</v>
      </c>
      <c r="CU288" s="3">
        <f>5-CT288</f>
        <v>5</v>
      </c>
      <c r="CV288" s="30"/>
      <c r="CW288" s="3" cm="1">
        <f t="array" ref="CW288">SUMPRODUCT(--(MOD(CH288:CL288,10)&gt;=1), --(MOD(CH288:CL288,10)&lt;=5))</f>
        <v>0</v>
      </c>
      <c r="CX288" s="3">
        <f>5-CW288</f>
        <v>5</v>
      </c>
      <c r="CY288" s="30"/>
      <c r="CZ288" s="3" cm="1">
        <f t="array" ref="CZ288">IFERROR(COUNT(_xlfn._xlws.FILTER(CH288:CL288, ISNUMBER(MATCH(CH288:CL288, {2,3,5,7,11,13,17,19,23,29,31,37,41,43}, 0)))), 0)</f>
        <v>0</v>
      </c>
      <c r="DA288" s="3" cm="1">
        <f t="array" ref="DA288">IFERROR(COUNT(_xlfn._xlws.FILTER(CH288:CL288, ISNUMBER(MATCH(CH288:CL288, {1,4,8,10,14,16,20,22,25,26,28,32,34,35,38,40,44}, 0)))), 0)</f>
        <v>0</v>
      </c>
      <c r="DB288" s="3" cm="1">
        <f t="array" ref="DB288">IFERROR(COUNT(_xlfn._xlws.FILTER(CH288:CL288, ISNUMBER(MATCH(CH288:CL288, {6,9,12,15,18,21,24,27,30,33,36,39,42,45}, 0)))), 0)</f>
        <v>0</v>
      </c>
      <c r="DC288" s="29"/>
      <c r="DD288" s="28" t="e">
        <f>#REF!</f>
        <v>#REF!</v>
      </c>
      <c r="DE288" s="28" t="e">
        <f>#REF!*2</f>
        <v>#REF!</v>
      </c>
      <c r="DF288" s="28" t="e">
        <f>#REF!</f>
        <v>#REF!</v>
      </c>
      <c r="DG288" s="28" t="e">
        <f>#REF!*2</f>
        <v>#REF!</v>
      </c>
      <c r="DH288" s="28" t="e">
        <f>#REF!</f>
        <v>#REF!</v>
      </c>
      <c r="DI288" s="28" t="e">
        <f>#REF!*2</f>
        <v>#REF!</v>
      </c>
      <c r="DJ288" s="28" t="e">
        <f>#REF!</f>
        <v>#REF!</v>
      </c>
      <c r="DK288" s="28" t="e">
        <f>#REF!*2</f>
        <v>#REF!</v>
      </c>
      <c r="DL288" s="28" t="e">
        <f>#REF!</f>
        <v>#REF!</v>
      </c>
      <c r="DM288" s="28" t="e">
        <f>#REF!*2</f>
        <v>#REF!</v>
      </c>
      <c r="DN288" s="27"/>
      <c r="DO288" s="26"/>
      <c r="DP288" s="26"/>
      <c r="DQ288" s="26"/>
      <c r="DR288" s="26"/>
      <c r="DS288" s="26"/>
      <c r="DT288" s="25"/>
    </row>
    <row r="289" spans="2:124" x14ac:dyDescent="0.3">
      <c r="B289" s="3">
        <v>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2"/>
      <c r="I289" s="3">
        <f>IF(OR(B289="",ISBLANK(B289),B289=0),0,IF(MOD(B289,2)=1,1,2))</f>
        <v>0</v>
      </c>
      <c r="J289" s="3">
        <f>IF(OR(C289="",ISBLANK(C289),C289=0),0,IF(MOD(C289,2)=1,1,2))</f>
        <v>0</v>
      </c>
      <c r="K289" s="3">
        <f>IF(OR(D289="",ISBLANK(D289),D289=0),0,IF(MOD(D289,2)=1,1,2))</f>
        <v>0</v>
      </c>
      <c r="L289" s="3">
        <f>IF(OR(E289="",ISBLANK(E289),E289=0),0,IF(MOD(E289,2)=1,1,2))</f>
        <v>0</v>
      </c>
      <c r="M289" s="3">
        <f>IF(OR(F289="",ISBLANK(F289),F289=0),0,IF(MOD(F289,2)=1,1,2))</f>
        <v>0</v>
      </c>
      <c r="N289" s="3">
        <f>IF(OR(G289="",ISBLANK(G289),G289=0),0,IF(MOD(G289,2)=1,1,2))</f>
        <v>0</v>
      </c>
      <c r="O289" s="32"/>
      <c r="P289" s="3" cm="1">
        <f t="array" ref="P289">SUMPRODUCT(--(MOD(B289:G289,2)=1))</f>
        <v>0</v>
      </c>
      <c r="Q289" s="3">
        <f>6-P289</f>
        <v>6</v>
      </c>
      <c r="R289" s="34"/>
      <c r="S289" s="3">
        <f>COUNTIFS(B289:G289,"&gt;=1",B289:G289,"&lt;=23")</f>
        <v>0</v>
      </c>
      <c r="T289" s="3">
        <f>6-S289</f>
        <v>6</v>
      </c>
      <c r="U289" s="34"/>
      <c r="V289" s="3" cm="1">
        <f t="array" ref="V289">SUMPRODUCT(--(MOD(B289:G289,10)&gt;=1), --(MOD(B289:G289,10)&lt;=5))</f>
        <v>0</v>
      </c>
      <c r="W289" s="3">
        <f>6-V289</f>
        <v>6</v>
      </c>
      <c r="X289" s="34"/>
      <c r="Y289" s="3" cm="1">
        <f t="array" ref="Y289">IFERROR(COUNT(_xlfn._xlws.FILTER(B289:G289, ISNUMBER(MATCH(B289:G289, {2,3,5,7,11,13,17,19,23,29,31,37,41,43}, 0)))), 0)</f>
        <v>0</v>
      </c>
      <c r="Z289" s="3" cm="1">
        <f t="array" ref="Z289">IFERROR(COUNT(_xlfn._xlws.FILTER(B289:G289, ISNUMBER(MATCH(B289:G289, {1,4,8,10,14,16,20,22,25,26,28,32,34,35,38,40,44}, 0)))), 0)</f>
        <v>0</v>
      </c>
      <c r="AA289" s="3" cm="1">
        <f t="array" ref="AA289">IFERROR(COUNT(_xlfn._xlws.FILTER(B289:G289, ISNUMBER(MATCH(B289:G289, {6,9,12,15,18,21,24,27,30,33,36,39,42,45}, 0)))), 0)</f>
        <v>0</v>
      </c>
      <c r="AB289" s="30"/>
      <c r="AC289" s="26" cm="1">
        <f t="array" ref="AC289">_xlfn.IFS(
   OR(B289="",ISBLANK(B289),B289=0),0,
   ISNUMBER(MATCH(B289,{2,3,5,7,11,13,17,19,23,29,31,37,41,43},0)),"소",
   AND(ISNUMBER(B289),MOD(B289,3)=0),"배",
   AND(ISNUMBER(B289),B289&gt;0),"자"
)</f>
        <v>0</v>
      </c>
      <c r="AD289" s="26" cm="1">
        <f t="array" ref="AD289">_xlfn.IFS(
   OR(C289="",ISBLANK(C289),C289=0),0,
   ISNUMBER(MATCH(C289,{2,3,5,7,11,13,17,19,23,29,31,37,41,43},0)),"소",
   AND(ISNUMBER(C289),MOD(C289,3)=0),"배",
   AND(ISNUMBER(C289),C289&gt;0),"자"
)</f>
        <v>0</v>
      </c>
      <c r="AE289" s="26" cm="1">
        <f t="array" ref="AE289">_xlfn.IFS(
   OR(D289="",ISBLANK(D289),D289=0),0,
   ISNUMBER(MATCH(D289,{2,3,5,7,11,13,17,19,23,29,31,37,41,43},0)),"소",
   AND(ISNUMBER(D289),MOD(D289,3)=0),"배",
   AND(ISNUMBER(D289),D289&gt;0),"자"
)</f>
        <v>0</v>
      </c>
      <c r="AF289" s="26" cm="1">
        <f t="array" ref="AF289">_xlfn.IFS(
   OR(E289="",ISBLANK(E289),E289=0),0,
   ISNUMBER(MATCH(E289,{2,3,5,7,11,13,17,19,23,29,31,37,41,43},0)),"소",
   AND(ISNUMBER(E289),MOD(E289,3)=0),"배",
   AND(ISNUMBER(E289),E289&gt;0),"자"
)</f>
        <v>0</v>
      </c>
      <c r="AG289" s="26" cm="1">
        <f t="array" ref="AG289">_xlfn.IFS(
   OR(F289="",ISBLANK(F289),F289=0),0,
   ISNUMBER(MATCH(F289,{2,3,5,7,11,13,17,19,23,29,31,37,41,43},0)),"소",
   AND(ISNUMBER(F289),MOD(F289,3)=0),"배",
   AND(ISNUMBER(F289),F289&gt;0),"자"
)</f>
        <v>0</v>
      </c>
      <c r="AH289" s="26" cm="1">
        <f t="array" ref="AH289">_xlfn.IFS(
   OR(G289="",ISBLANK(G289),G289=0),0,
   ISNUMBER(MATCH(G289,{2,3,5,7,11,13,17,19,23,29,31,37,41,43},0)),"소",
   AND(ISNUMBER(G289),MOD(G289,3)=0),"배",
   AND(ISNUMBER(G289),G289&gt;0),"자"
)</f>
        <v>0</v>
      </c>
      <c r="AI289" s="30"/>
      <c r="AJ289" s="3">
        <f>COUNTIFS(B289:G289,"&gt;=1",B289:G289,"&lt;=14")</f>
        <v>0</v>
      </c>
      <c r="AK289" s="3">
        <f>COUNTIFS(B289:G289,"&gt;=15",B289:G289,"&lt;=31")</f>
        <v>0</v>
      </c>
      <c r="AL289" s="3">
        <f>6-AK289-AJ289</f>
        <v>6</v>
      </c>
      <c r="AM289" s="33"/>
      <c r="AN289" s="3">
        <f>COUNTIFS($B289:$G289, "&gt;=1",$B289:$G289, "&lt;=9")</f>
        <v>0</v>
      </c>
      <c r="AO289" s="3">
        <f>COUNTIFS($B289:$G289, "&gt;=10",$B289:$G289, "&lt;=18")</f>
        <v>0</v>
      </c>
      <c r="AP289" s="3">
        <f>COUNTIFS($B289:$G289, "&gt;=19",$B289:$G289, "&lt;=27")</f>
        <v>0</v>
      </c>
      <c r="AQ289" s="3">
        <f>COUNTIFS($B289:$G289, "&gt;=28",$B289:$G289, "&lt;=36")</f>
        <v>0</v>
      </c>
      <c r="AR289" s="3">
        <f>COUNTIFS($B289:$G289, "&gt;=37",$B289:$G289, "&lt;=45")</f>
        <v>0</v>
      </c>
      <c r="AS289" s="28" t="e">
        <f>#REF!</f>
        <v>#REF!</v>
      </c>
      <c r="AT289" s="28" t="e">
        <f>#REF!*2</f>
        <v>#REF!</v>
      </c>
      <c r="AU289" s="28" t="e">
        <f>#REF!</f>
        <v>#REF!</v>
      </c>
      <c r="AV289" s="28" t="e">
        <f>#REF!*2</f>
        <v>#REF!</v>
      </c>
      <c r="AW289" s="28" t="e">
        <f>#REF!</f>
        <v>#REF!</v>
      </c>
      <c r="AX289" s="28" t="e">
        <f>#REF!*2</f>
        <v>#REF!</v>
      </c>
      <c r="AY289" s="28" t="e">
        <f>#REF!</f>
        <v>#REF!</v>
      </c>
      <c r="AZ289" s="28" t="e">
        <f>#REF!*2</f>
        <v>#REF!</v>
      </c>
      <c r="BA289" s="28" t="e">
        <f>#REF!</f>
        <v>#REF!</v>
      </c>
      <c r="BB289" s="28" t="e">
        <f>#REF!*2</f>
        <v>#REF!</v>
      </c>
      <c r="BC289" s="28" t="e">
        <f>#REF!</f>
        <v>#REF!</v>
      </c>
      <c r="BD289" s="28" t="e">
        <f>#REF!*2</f>
        <v>#REF!</v>
      </c>
      <c r="BE289" s="9" t="e">
        <f>#REF!-#REF!</f>
        <v>#REF!</v>
      </c>
      <c r="BF289" s="9" t="e">
        <f>#REF!-#REF!</f>
        <v>#REF!</v>
      </c>
      <c r="BG289" s="9" t="e">
        <f>#REF!-#REF!</f>
        <v>#REF!</v>
      </c>
      <c r="BH289" s="9" t="e">
        <f>#REF!-#REF!</f>
        <v>#REF!</v>
      </c>
      <c r="BI289" s="9" t="e">
        <f>#REF!-#REF!</f>
        <v>#REF!</v>
      </c>
      <c r="BJ289" s="33"/>
      <c r="BK289" s="3">
        <f>COUNTIFS(B289:G289, "&gt;=1", B289:G289, "&lt;=9")</f>
        <v>0</v>
      </c>
      <c r="BL289" s="3">
        <f>COUNTIFS(B289:G289, "&gt;=10", B289:G289, "&lt;=19")</f>
        <v>0</v>
      </c>
      <c r="BM289" s="3">
        <f>COUNTIFS(B289:G289, "&gt;=20", B289:G289, "&lt;=29")</f>
        <v>0</v>
      </c>
      <c r="BN289" s="3">
        <f>COUNTIFS(B289:G289, "&gt;=30", B289:G289, "&lt;=39")</f>
        <v>0</v>
      </c>
      <c r="BO289" s="3">
        <f>COUNTIFS(B289:G289, "&gt;=40", B289:G289, "&lt;=45")</f>
        <v>0</v>
      </c>
      <c r="BP289" s="28" t="e">
        <f>#REF!</f>
        <v>#REF!</v>
      </c>
      <c r="BQ289" s="28" t="e">
        <f>#REF!*2</f>
        <v>#REF!</v>
      </c>
      <c r="BR289" s="28" t="e">
        <f>#REF!</f>
        <v>#REF!</v>
      </c>
      <c r="BS289" s="28" t="e">
        <f>#REF!*2</f>
        <v>#REF!</v>
      </c>
      <c r="BT289" s="28" t="e">
        <f>#REF!</f>
        <v>#REF!</v>
      </c>
      <c r="BU289" s="28" t="e">
        <f>#REF!*2</f>
        <v>#REF!</v>
      </c>
      <c r="BV289" s="28" t="e">
        <f>#REF!</f>
        <v>#REF!</v>
      </c>
      <c r="BW289" s="28" t="e">
        <f>#REF!*2</f>
        <v>#REF!</v>
      </c>
      <c r="BX289" s="28" t="e">
        <f>#REF!</f>
        <v>#REF!</v>
      </c>
      <c r="BY289" s="28" t="e">
        <f>#REF!*2</f>
        <v>#REF!</v>
      </c>
      <c r="BZ289" s="28" t="e">
        <f>#REF!</f>
        <v>#REF!</v>
      </c>
      <c r="CA289" s="28" t="e">
        <f>#REF!*2</f>
        <v>#REF!</v>
      </c>
      <c r="CB289" s="9">
        <f>C289-B289</f>
        <v>0</v>
      </c>
      <c r="CC289" s="9">
        <f>D289-C289</f>
        <v>0</v>
      </c>
      <c r="CD289" s="9">
        <f>E289-D289</f>
        <v>0</v>
      </c>
      <c r="CE289" s="9">
        <f>F289-E289</f>
        <v>0</v>
      </c>
      <c r="CF289" s="9">
        <f>G289-F289</f>
        <v>0</v>
      </c>
      <c r="CG289" s="33"/>
      <c r="CH289" s="3">
        <f>C289-B289</f>
        <v>0</v>
      </c>
      <c r="CI289" s="3">
        <f>D289-C289</f>
        <v>0</v>
      </c>
      <c r="CJ289" s="3">
        <f>E289-D289</f>
        <v>0</v>
      </c>
      <c r="CK289" s="3">
        <f>F289-E289</f>
        <v>0</v>
      </c>
      <c r="CL289" s="3">
        <f>G289-F289</f>
        <v>0</v>
      </c>
      <c r="CM289" s="32"/>
      <c r="CN289" s="3">
        <f>IF(OR(CH289="",ISBLANK(CH289),CH289=0),0,IF(MOD(CH289,2)=1,1,2))</f>
        <v>0</v>
      </c>
      <c r="CO289" s="3">
        <f>IF(OR(CI289="",ISBLANK(CI289),CI289=0),0,IF(MOD(CI289,2)=1,1,2))</f>
        <v>0</v>
      </c>
      <c r="CP289" s="3">
        <f>IF(OR(CJ289="",ISBLANK(CJ289),CJ289=0),0,IF(MOD(CJ289,2)=1,1,2))</f>
        <v>0</v>
      </c>
      <c r="CQ289" s="3">
        <f>IF(OR(CK289="",ISBLANK(CK289),CK289=0),0,IF(MOD(CK289,2)=1,1,2))</f>
        <v>0</v>
      </c>
      <c r="CR289" s="3">
        <f>IF(OR(CL289="",ISBLANK(CL289),CL289=0),0,IF(MOD(CL289,2)=1,1,2))</f>
        <v>0</v>
      </c>
      <c r="CS289" s="31"/>
      <c r="CT289" s="3" cm="1">
        <f t="array" ref="CT289">SUMPRODUCT(--(MOD(CH289:CL289,2)=1))</f>
        <v>0</v>
      </c>
      <c r="CU289" s="3">
        <f>5-CT289</f>
        <v>5</v>
      </c>
      <c r="CV289" s="30"/>
      <c r="CW289" s="3" cm="1">
        <f t="array" ref="CW289">SUMPRODUCT(--(MOD(CH289:CL289,10)&gt;=1), --(MOD(CH289:CL289,10)&lt;=5))</f>
        <v>0</v>
      </c>
      <c r="CX289" s="3">
        <f>5-CW289</f>
        <v>5</v>
      </c>
      <c r="CY289" s="30"/>
      <c r="CZ289" s="3" cm="1">
        <f t="array" ref="CZ289">IFERROR(COUNT(_xlfn._xlws.FILTER(CH289:CL289, ISNUMBER(MATCH(CH289:CL289, {2,3,5,7,11,13,17,19,23,29,31,37,41,43}, 0)))), 0)</f>
        <v>0</v>
      </c>
      <c r="DA289" s="3" cm="1">
        <f t="array" ref="DA289">IFERROR(COUNT(_xlfn._xlws.FILTER(CH289:CL289, ISNUMBER(MATCH(CH289:CL289, {1,4,8,10,14,16,20,22,25,26,28,32,34,35,38,40,44}, 0)))), 0)</f>
        <v>0</v>
      </c>
      <c r="DB289" s="3" cm="1">
        <f t="array" ref="DB289">IFERROR(COUNT(_xlfn._xlws.FILTER(CH289:CL289, ISNUMBER(MATCH(CH289:CL289, {6,9,12,15,18,21,24,27,30,33,36,39,42,45}, 0)))), 0)</f>
        <v>0</v>
      </c>
      <c r="DC289" s="29"/>
      <c r="DD289" s="28" t="e">
        <f>#REF!</f>
        <v>#REF!</v>
      </c>
      <c r="DE289" s="28" t="e">
        <f>#REF!*2</f>
        <v>#REF!</v>
      </c>
      <c r="DF289" s="28" t="e">
        <f>#REF!</f>
        <v>#REF!</v>
      </c>
      <c r="DG289" s="28" t="e">
        <f>#REF!*2</f>
        <v>#REF!</v>
      </c>
      <c r="DH289" s="28" t="e">
        <f>#REF!</f>
        <v>#REF!</v>
      </c>
      <c r="DI289" s="28" t="e">
        <f>#REF!*2</f>
        <v>#REF!</v>
      </c>
      <c r="DJ289" s="28" t="e">
        <f>#REF!</f>
        <v>#REF!</v>
      </c>
      <c r="DK289" s="28" t="e">
        <f>#REF!*2</f>
        <v>#REF!</v>
      </c>
      <c r="DL289" s="28" t="e">
        <f>#REF!</f>
        <v>#REF!</v>
      </c>
      <c r="DM289" s="28" t="e">
        <f>#REF!*2</f>
        <v>#REF!</v>
      </c>
      <c r="DN289" s="27"/>
      <c r="DO289" s="26"/>
      <c r="DP289" s="26"/>
      <c r="DQ289" s="26"/>
      <c r="DR289" s="26"/>
      <c r="DS289" s="26"/>
      <c r="DT289" s="25"/>
    </row>
    <row r="290" spans="2:124" x14ac:dyDescent="0.3">
      <c r="B290" s="3"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2"/>
      <c r="I290" s="3">
        <f>IF(OR(B290="",ISBLANK(B290),B290=0),0,IF(MOD(B290,2)=1,1,2))</f>
        <v>0</v>
      </c>
      <c r="J290" s="3">
        <f>IF(OR(C290="",ISBLANK(C290),C290=0),0,IF(MOD(C290,2)=1,1,2))</f>
        <v>0</v>
      </c>
      <c r="K290" s="3">
        <f>IF(OR(D290="",ISBLANK(D290),D290=0),0,IF(MOD(D290,2)=1,1,2))</f>
        <v>0</v>
      </c>
      <c r="L290" s="3">
        <f>IF(OR(E290="",ISBLANK(E290),E290=0),0,IF(MOD(E290,2)=1,1,2))</f>
        <v>0</v>
      </c>
      <c r="M290" s="3">
        <f>IF(OR(F290="",ISBLANK(F290),F290=0),0,IF(MOD(F290,2)=1,1,2))</f>
        <v>0</v>
      </c>
      <c r="N290" s="3">
        <f>IF(OR(G290="",ISBLANK(G290),G290=0),0,IF(MOD(G290,2)=1,1,2))</f>
        <v>0</v>
      </c>
      <c r="O290" s="32"/>
      <c r="P290" s="3" cm="1">
        <f t="array" ref="P290">SUMPRODUCT(--(MOD(B290:G290,2)=1))</f>
        <v>0</v>
      </c>
      <c r="Q290" s="3">
        <f>6-P290</f>
        <v>6</v>
      </c>
      <c r="R290" s="34"/>
      <c r="S290" s="3">
        <f>COUNTIFS(B290:G290,"&gt;=1",B290:G290,"&lt;=23")</f>
        <v>0</v>
      </c>
      <c r="T290" s="3">
        <f>6-S290</f>
        <v>6</v>
      </c>
      <c r="U290" s="34"/>
      <c r="V290" s="3" cm="1">
        <f t="array" ref="V290">SUMPRODUCT(--(MOD(B290:G290,10)&gt;=1), --(MOD(B290:G290,10)&lt;=5))</f>
        <v>0</v>
      </c>
      <c r="W290" s="3">
        <f>6-V290</f>
        <v>6</v>
      </c>
      <c r="X290" s="34"/>
      <c r="Y290" s="3" cm="1">
        <f t="array" ref="Y290">IFERROR(COUNT(_xlfn._xlws.FILTER(B290:G290, ISNUMBER(MATCH(B290:G290, {2,3,5,7,11,13,17,19,23,29,31,37,41,43}, 0)))), 0)</f>
        <v>0</v>
      </c>
      <c r="Z290" s="3" cm="1">
        <f t="array" ref="Z290">IFERROR(COUNT(_xlfn._xlws.FILTER(B290:G290, ISNUMBER(MATCH(B290:G290, {1,4,8,10,14,16,20,22,25,26,28,32,34,35,38,40,44}, 0)))), 0)</f>
        <v>0</v>
      </c>
      <c r="AA290" s="3" cm="1">
        <f t="array" ref="AA290">IFERROR(COUNT(_xlfn._xlws.FILTER(B290:G290, ISNUMBER(MATCH(B290:G290, {6,9,12,15,18,21,24,27,30,33,36,39,42,45}, 0)))), 0)</f>
        <v>0</v>
      </c>
      <c r="AB290" s="30"/>
      <c r="AC290" s="26" cm="1">
        <f t="array" ref="AC290">_xlfn.IFS(
   OR(B290="",ISBLANK(B290),B290=0),0,
   ISNUMBER(MATCH(B290,{2,3,5,7,11,13,17,19,23,29,31,37,41,43},0)),"소",
   AND(ISNUMBER(B290),MOD(B290,3)=0),"배",
   AND(ISNUMBER(B290),B290&gt;0),"자"
)</f>
        <v>0</v>
      </c>
      <c r="AD290" s="26" cm="1">
        <f t="array" ref="AD290">_xlfn.IFS(
   OR(C290="",ISBLANK(C290),C290=0),0,
   ISNUMBER(MATCH(C290,{2,3,5,7,11,13,17,19,23,29,31,37,41,43},0)),"소",
   AND(ISNUMBER(C290),MOD(C290,3)=0),"배",
   AND(ISNUMBER(C290),C290&gt;0),"자"
)</f>
        <v>0</v>
      </c>
      <c r="AE290" s="26" cm="1">
        <f t="array" ref="AE290">_xlfn.IFS(
   OR(D290="",ISBLANK(D290),D290=0),0,
   ISNUMBER(MATCH(D290,{2,3,5,7,11,13,17,19,23,29,31,37,41,43},0)),"소",
   AND(ISNUMBER(D290),MOD(D290,3)=0),"배",
   AND(ISNUMBER(D290),D290&gt;0),"자"
)</f>
        <v>0</v>
      </c>
      <c r="AF290" s="26" cm="1">
        <f t="array" ref="AF290">_xlfn.IFS(
   OR(E290="",ISBLANK(E290),E290=0),0,
   ISNUMBER(MATCH(E290,{2,3,5,7,11,13,17,19,23,29,31,37,41,43},0)),"소",
   AND(ISNUMBER(E290),MOD(E290,3)=0),"배",
   AND(ISNUMBER(E290),E290&gt;0),"자"
)</f>
        <v>0</v>
      </c>
      <c r="AG290" s="26" cm="1">
        <f t="array" ref="AG290">_xlfn.IFS(
   OR(F290="",ISBLANK(F290),F290=0),0,
   ISNUMBER(MATCH(F290,{2,3,5,7,11,13,17,19,23,29,31,37,41,43},0)),"소",
   AND(ISNUMBER(F290),MOD(F290,3)=0),"배",
   AND(ISNUMBER(F290),F290&gt;0),"자"
)</f>
        <v>0</v>
      </c>
      <c r="AH290" s="26" cm="1">
        <f t="array" ref="AH290">_xlfn.IFS(
   OR(G290="",ISBLANK(G290),G290=0),0,
   ISNUMBER(MATCH(G290,{2,3,5,7,11,13,17,19,23,29,31,37,41,43},0)),"소",
   AND(ISNUMBER(G290),MOD(G290,3)=0),"배",
   AND(ISNUMBER(G290),G290&gt;0),"자"
)</f>
        <v>0</v>
      </c>
      <c r="AI290" s="30"/>
      <c r="AJ290" s="3">
        <f>COUNTIFS(B290:G290,"&gt;=1",B290:G290,"&lt;=14")</f>
        <v>0</v>
      </c>
      <c r="AK290" s="3">
        <f>COUNTIFS(B290:G290,"&gt;=15",B290:G290,"&lt;=31")</f>
        <v>0</v>
      </c>
      <c r="AL290" s="3">
        <f>6-AK290-AJ290</f>
        <v>6</v>
      </c>
      <c r="AM290" s="33"/>
      <c r="AN290" s="3">
        <f>COUNTIFS($B290:$G290, "&gt;=1",$B290:$G290, "&lt;=9")</f>
        <v>0</v>
      </c>
      <c r="AO290" s="3">
        <f>COUNTIFS($B290:$G290, "&gt;=10",$B290:$G290, "&lt;=18")</f>
        <v>0</v>
      </c>
      <c r="AP290" s="3">
        <f>COUNTIFS($B290:$G290, "&gt;=19",$B290:$G290, "&lt;=27")</f>
        <v>0</v>
      </c>
      <c r="AQ290" s="3">
        <f>COUNTIFS($B290:$G290, "&gt;=28",$B290:$G290, "&lt;=36")</f>
        <v>0</v>
      </c>
      <c r="AR290" s="3">
        <f>COUNTIFS($B290:$G290, "&gt;=37",$B290:$G290, "&lt;=45")</f>
        <v>0</v>
      </c>
      <c r="AS290" s="28" t="e">
        <f>#REF!</f>
        <v>#REF!</v>
      </c>
      <c r="AT290" s="28" t="e">
        <f>#REF!*2</f>
        <v>#REF!</v>
      </c>
      <c r="AU290" s="28" t="e">
        <f>#REF!</f>
        <v>#REF!</v>
      </c>
      <c r="AV290" s="28" t="e">
        <f>#REF!*2</f>
        <v>#REF!</v>
      </c>
      <c r="AW290" s="28" t="e">
        <f>#REF!</f>
        <v>#REF!</v>
      </c>
      <c r="AX290" s="28" t="e">
        <f>#REF!*2</f>
        <v>#REF!</v>
      </c>
      <c r="AY290" s="28" t="e">
        <f>#REF!</f>
        <v>#REF!</v>
      </c>
      <c r="AZ290" s="28" t="e">
        <f>#REF!*2</f>
        <v>#REF!</v>
      </c>
      <c r="BA290" s="28" t="e">
        <f>#REF!</f>
        <v>#REF!</v>
      </c>
      <c r="BB290" s="28" t="e">
        <f>#REF!*2</f>
        <v>#REF!</v>
      </c>
      <c r="BC290" s="28" t="e">
        <f>#REF!</f>
        <v>#REF!</v>
      </c>
      <c r="BD290" s="28" t="e">
        <f>#REF!*2</f>
        <v>#REF!</v>
      </c>
      <c r="BE290" s="9" t="e">
        <f>#REF!-#REF!</f>
        <v>#REF!</v>
      </c>
      <c r="BF290" s="9" t="e">
        <f>#REF!-#REF!</f>
        <v>#REF!</v>
      </c>
      <c r="BG290" s="9" t="e">
        <f>#REF!-#REF!</f>
        <v>#REF!</v>
      </c>
      <c r="BH290" s="9" t="e">
        <f>#REF!-#REF!</f>
        <v>#REF!</v>
      </c>
      <c r="BI290" s="9" t="e">
        <f>#REF!-#REF!</f>
        <v>#REF!</v>
      </c>
      <c r="BJ290" s="33"/>
      <c r="BK290" s="3">
        <f>COUNTIFS(B290:G290, "&gt;=1", B290:G290, "&lt;=9")</f>
        <v>0</v>
      </c>
      <c r="BL290" s="3">
        <f>COUNTIFS(B290:G290, "&gt;=10", B290:G290, "&lt;=19")</f>
        <v>0</v>
      </c>
      <c r="BM290" s="3">
        <f>COUNTIFS(B290:G290, "&gt;=20", B290:G290, "&lt;=29")</f>
        <v>0</v>
      </c>
      <c r="BN290" s="3">
        <f>COUNTIFS(B290:G290, "&gt;=30", B290:G290, "&lt;=39")</f>
        <v>0</v>
      </c>
      <c r="BO290" s="3">
        <f>COUNTIFS(B290:G290, "&gt;=40", B290:G290, "&lt;=45")</f>
        <v>0</v>
      </c>
      <c r="BP290" s="28" t="e">
        <f>#REF!</f>
        <v>#REF!</v>
      </c>
      <c r="BQ290" s="28" t="e">
        <f>#REF!*2</f>
        <v>#REF!</v>
      </c>
      <c r="BR290" s="28" t="e">
        <f>#REF!</f>
        <v>#REF!</v>
      </c>
      <c r="BS290" s="28" t="e">
        <f>#REF!*2</f>
        <v>#REF!</v>
      </c>
      <c r="BT290" s="28" t="e">
        <f>#REF!</f>
        <v>#REF!</v>
      </c>
      <c r="BU290" s="28" t="e">
        <f>#REF!*2</f>
        <v>#REF!</v>
      </c>
      <c r="BV290" s="28" t="e">
        <f>#REF!</f>
        <v>#REF!</v>
      </c>
      <c r="BW290" s="28" t="e">
        <f>#REF!*2</f>
        <v>#REF!</v>
      </c>
      <c r="BX290" s="28" t="e">
        <f>#REF!</f>
        <v>#REF!</v>
      </c>
      <c r="BY290" s="28" t="e">
        <f>#REF!*2</f>
        <v>#REF!</v>
      </c>
      <c r="BZ290" s="28" t="e">
        <f>#REF!</f>
        <v>#REF!</v>
      </c>
      <c r="CA290" s="28" t="e">
        <f>#REF!*2</f>
        <v>#REF!</v>
      </c>
      <c r="CB290" s="9">
        <f>C290-B290</f>
        <v>0</v>
      </c>
      <c r="CC290" s="9">
        <f>D290-C290</f>
        <v>0</v>
      </c>
      <c r="CD290" s="9">
        <f>E290-D290</f>
        <v>0</v>
      </c>
      <c r="CE290" s="9">
        <f>F290-E290</f>
        <v>0</v>
      </c>
      <c r="CF290" s="9">
        <f>G290-F290</f>
        <v>0</v>
      </c>
      <c r="CG290" s="33"/>
      <c r="CH290" s="3">
        <f>C290-B290</f>
        <v>0</v>
      </c>
      <c r="CI290" s="3">
        <f>D290-C290</f>
        <v>0</v>
      </c>
      <c r="CJ290" s="3">
        <f>E290-D290</f>
        <v>0</v>
      </c>
      <c r="CK290" s="3">
        <f>F290-E290</f>
        <v>0</v>
      </c>
      <c r="CL290" s="3">
        <f>G290-F290</f>
        <v>0</v>
      </c>
      <c r="CM290" s="32"/>
      <c r="CN290" s="3">
        <f>IF(OR(CH290="",ISBLANK(CH290),CH290=0),0,IF(MOD(CH290,2)=1,1,2))</f>
        <v>0</v>
      </c>
      <c r="CO290" s="3">
        <f>IF(OR(CI290="",ISBLANK(CI290),CI290=0),0,IF(MOD(CI290,2)=1,1,2))</f>
        <v>0</v>
      </c>
      <c r="CP290" s="3">
        <f>IF(OR(CJ290="",ISBLANK(CJ290),CJ290=0),0,IF(MOD(CJ290,2)=1,1,2))</f>
        <v>0</v>
      </c>
      <c r="CQ290" s="3">
        <f>IF(OR(CK290="",ISBLANK(CK290),CK290=0),0,IF(MOD(CK290,2)=1,1,2))</f>
        <v>0</v>
      </c>
      <c r="CR290" s="3">
        <f>IF(OR(CL290="",ISBLANK(CL290),CL290=0),0,IF(MOD(CL290,2)=1,1,2))</f>
        <v>0</v>
      </c>
      <c r="CS290" s="31"/>
      <c r="CT290" s="3" cm="1">
        <f t="array" ref="CT290">SUMPRODUCT(--(MOD(CH290:CL290,2)=1))</f>
        <v>0</v>
      </c>
      <c r="CU290" s="3">
        <f>5-CT290</f>
        <v>5</v>
      </c>
      <c r="CV290" s="30"/>
      <c r="CW290" s="3" cm="1">
        <f t="array" ref="CW290">SUMPRODUCT(--(MOD(CH290:CL290,10)&gt;=1), --(MOD(CH290:CL290,10)&lt;=5))</f>
        <v>0</v>
      </c>
      <c r="CX290" s="3">
        <f>5-CW290</f>
        <v>5</v>
      </c>
      <c r="CY290" s="30"/>
      <c r="CZ290" s="3" cm="1">
        <f t="array" ref="CZ290">IFERROR(COUNT(_xlfn._xlws.FILTER(CH290:CL290, ISNUMBER(MATCH(CH290:CL290, {2,3,5,7,11,13,17,19,23,29,31,37,41,43}, 0)))), 0)</f>
        <v>0</v>
      </c>
      <c r="DA290" s="3" cm="1">
        <f t="array" ref="DA290">IFERROR(COUNT(_xlfn._xlws.FILTER(CH290:CL290, ISNUMBER(MATCH(CH290:CL290, {1,4,8,10,14,16,20,22,25,26,28,32,34,35,38,40,44}, 0)))), 0)</f>
        <v>0</v>
      </c>
      <c r="DB290" s="3" cm="1">
        <f t="array" ref="DB290">IFERROR(COUNT(_xlfn._xlws.FILTER(CH290:CL290, ISNUMBER(MATCH(CH290:CL290, {6,9,12,15,18,21,24,27,30,33,36,39,42,45}, 0)))), 0)</f>
        <v>0</v>
      </c>
      <c r="DC290" s="29"/>
      <c r="DD290" s="28" t="e">
        <f>#REF!</f>
        <v>#REF!</v>
      </c>
      <c r="DE290" s="28" t="e">
        <f>#REF!*2</f>
        <v>#REF!</v>
      </c>
      <c r="DF290" s="28" t="e">
        <f>#REF!</f>
        <v>#REF!</v>
      </c>
      <c r="DG290" s="28" t="e">
        <f>#REF!*2</f>
        <v>#REF!</v>
      </c>
      <c r="DH290" s="28" t="e">
        <f>#REF!</f>
        <v>#REF!</v>
      </c>
      <c r="DI290" s="28" t="e">
        <f>#REF!*2</f>
        <v>#REF!</v>
      </c>
      <c r="DJ290" s="28" t="e">
        <f>#REF!</f>
        <v>#REF!</v>
      </c>
      <c r="DK290" s="28" t="e">
        <f>#REF!*2</f>
        <v>#REF!</v>
      </c>
      <c r="DL290" s="28" t="e">
        <f>#REF!</f>
        <v>#REF!</v>
      </c>
      <c r="DM290" s="28" t="e">
        <f>#REF!*2</f>
        <v>#REF!</v>
      </c>
      <c r="DN290" s="27"/>
      <c r="DO290" s="26"/>
      <c r="DP290" s="26"/>
      <c r="DQ290" s="26"/>
      <c r="DR290" s="26"/>
      <c r="DS290" s="26"/>
      <c r="DT290" s="25"/>
    </row>
    <row r="291" spans="2:124" x14ac:dyDescent="0.3">
      <c r="B291" s="3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2"/>
      <c r="I291" s="3">
        <f>IF(OR(B291="",ISBLANK(B291),B291=0),0,IF(MOD(B291,2)=1,1,2))</f>
        <v>0</v>
      </c>
      <c r="J291" s="3">
        <f>IF(OR(C291="",ISBLANK(C291),C291=0),0,IF(MOD(C291,2)=1,1,2))</f>
        <v>0</v>
      </c>
      <c r="K291" s="3">
        <f>IF(OR(D291="",ISBLANK(D291),D291=0),0,IF(MOD(D291,2)=1,1,2))</f>
        <v>0</v>
      </c>
      <c r="L291" s="3">
        <f>IF(OR(E291="",ISBLANK(E291),E291=0),0,IF(MOD(E291,2)=1,1,2))</f>
        <v>0</v>
      </c>
      <c r="M291" s="3">
        <f>IF(OR(F291="",ISBLANK(F291),F291=0),0,IF(MOD(F291,2)=1,1,2))</f>
        <v>0</v>
      </c>
      <c r="N291" s="3">
        <f>IF(OR(G291="",ISBLANK(G291),G291=0),0,IF(MOD(G291,2)=1,1,2))</f>
        <v>0</v>
      </c>
      <c r="O291" s="32"/>
      <c r="P291" s="3" cm="1">
        <f t="array" ref="P291">SUMPRODUCT(--(MOD(B291:G291,2)=1))</f>
        <v>0</v>
      </c>
      <c r="Q291" s="3">
        <f>6-P291</f>
        <v>6</v>
      </c>
      <c r="R291" s="34"/>
      <c r="S291" s="3">
        <f>COUNTIFS(B291:G291,"&gt;=1",B291:G291,"&lt;=23")</f>
        <v>0</v>
      </c>
      <c r="T291" s="3">
        <f>6-S291</f>
        <v>6</v>
      </c>
      <c r="U291" s="34"/>
      <c r="V291" s="3" cm="1">
        <f t="array" ref="V291">SUMPRODUCT(--(MOD(B291:G291,10)&gt;=1), --(MOD(B291:G291,10)&lt;=5))</f>
        <v>0</v>
      </c>
      <c r="W291" s="3">
        <f>6-V291</f>
        <v>6</v>
      </c>
      <c r="X291" s="34"/>
      <c r="Y291" s="3" cm="1">
        <f t="array" ref="Y291">IFERROR(COUNT(_xlfn._xlws.FILTER(B291:G291, ISNUMBER(MATCH(B291:G291, {2,3,5,7,11,13,17,19,23,29,31,37,41,43}, 0)))), 0)</f>
        <v>0</v>
      </c>
      <c r="Z291" s="3" cm="1">
        <f t="array" ref="Z291">IFERROR(COUNT(_xlfn._xlws.FILTER(B291:G291, ISNUMBER(MATCH(B291:G291, {1,4,8,10,14,16,20,22,25,26,28,32,34,35,38,40,44}, 0)))), 0)</f>
        <v>0</v>
      </c>
      <c r="AA291" s="3" cm="1">
        <f t="array" ref="AA291">IFERROR(COUNT(_xlfn._xlws.FILTER(B291:G291, ISNUMBER(MATCH(B291:G291, {6,9,12,15,18,21,24,27,30,33,36,39,42,45}, 0)))), 0)</f>
        <v>0</v>
      </c>
      <c r="AB291" s="30"/>
      <c r="AC291" s="26" cm="1">
        <f t="array" ref="AC291">_xlfn.IFS(
   OR(B291="",ISBLANK(B291),B291=0),0,
   ISNUMBER(MATCH(B291,{2,3,5,7,11,13,17,19,23,29,31,37,41,43},0)),"소",
   AND(ISNUMBER(B291),MOD(B291,3)=0),"배",
   AND(ISNUMBER(B291),B291&gt;0),"자"
)</f>
        <v>0</v>
      </c>
      <c r="AD291" s="26" cm="1">
        <f t="array" ref="AD291">_xlfn.IFS(
   OR(C291="",ISBLANK(C291),C291=0),0,
   ISNUMBER(MATCH(C291,{2,3,5,7,11,13,17,19,23,29,31,37,41,43},0)),"소",
   AND(ISNUMBER(C291),MOD(C291,3)=0),"배",
   AND(ISNUMBER(C291),C291&gt;0),"자"
)</f>
        <v>0</v>
      </c>
      <c r="AE291" s="26" cm="1">
        <f t="array" ref="AE291">_xlfn.IFS(
   OR(D291="",ISBLANK(D291),D291=0),0,
   ISNUMBER(MATCH(D291,{2,3,5,7,11,13,17,19,23,29,31,37,41,43},0)),"소",
   AND(ISNUMBER(D291),MOD(D291,3)=0),"배",
   AND(ISNUMBER(D291),D291&gt;0),"자"
)</f>
        <v>0</v>
      </c>
      <c r="AF291" s="26" cm="1">
        <f t="array" ref="AF291">_xlfn.IFS(
   OR(E291="",ISBLANK(E291),E291=0),0,
   ISNUMBER(MATCH(E291,{2,3,5,7,11,13,17,19,23,29,31,37,41,43},0)),"소",
   AND(ISNUMBER(E291),MOD(E291,3)=0),"배",
   AND(ISNUMBER(E291),E291&gt;0),"자"
)</f>
        <v>0</v>
      </c>
      <c r="AG291" s="26" cm="1">
        <f t="array" ref="AG291">_xlfn.IFS(
   OR(F291="",ISBLANK(F291),F291=0),0,
   ISNUMBER(MATCH(F291,{2,3,5,7,11,13,17,19,23,29,31,37,41,43},0)),"소",
   AND(ISNUMBER(F291),MOD(F291,3)=0),"배",
   AND(ISNUMBER(F291),F291&gt;0),"자"
)</f>
        <v>0</v>
      </c>
      <c r="AH291" s="26" cm="1">
        <f t="array" ref="AH291">_xlfn.IFS(
   OR(G291="",ISBLANK(G291),G291=0),0,
   ISNUMBER(MATCH(G291,{2,3,5,7,11,13,17,19,23,29,31,37,41,43},0)),"소",
   AND(ISNUMBER(G291),MOD(G291,3)=0),"배",
   AND(ISNUMBER(G291),G291&gt;0),"자"
)</f>
        <v>0</v>
      </c>
      <c r="AI291" s="30"/>
      <c r="AJ291" s="3">
        <f>COUNTIFS(B291:G291,"&gt;=1",B291:G291,"&lt;=14")</f>
        <v>0</v>
      </c>
      <c r="AK291" s="3">
        <f>COUNTIFS(B291:G291,"&gt;=15",B291:G291,"&lt;=31")</f>
        <v>0</v>
      </c>
      <c r="AL291" s="3">
        <f>6-AK291-AJ291</f>
        <v>6</v>
      </c>
      <c r="AM291" s="33"/>
      <c r="AN291" s="3">
        <f>COUNTIFS($B291:$G291, "&gt;=1",$B291:$G291, "&lt;=9")</f>
        <v>0</v>
      </c>
      <c r="AO291" s="3">
        <f>COUNTIFS($B291:$G291, "&gt;=10",$B291:$G291, "&lt;=18")</f>
        <v>0</v>
      </c>
      <c r="AP291" s="3">
        <f>COUNTIFS($B291:$G291, "&gt;=19",$B291:$G291, "&lt;=27")</f>
        <v>0</v>
      </c>
      <c r="AQ291" s="3">
        <f>COUNTIFS($B291:$G291, "&gt;=28",$B291:$G291, "&lt;=36")</f>
        <v>0</v>
      </c>
      <c r="AR291" s="3">
        <f>COUNTIFS($B291:$G291, "&gt;=37",$B291:$G291, "&lt;=45")</f>
        <v>0</v>
      </c>
      <c r="AS291" s="28" t="e">
        <f>#REF!</f>
        <v>#REF!</v>
      </c>
      <c r="AT291" s="28" t="e">
        <f>#REF!*2</f>
        <v>#REF!</v>
      </c>
      <c r="AU291" s="28" t="e">
        <f>#REF!</f>
        <v>#REF!</v>
      </c>
      <c r="AV291" s="28" t="e">
        <f>#REF!*2</f>
        <v>#REF!</v>
      </c>
      <c r="AW291" s="28" t="e">
        <f>#REF!</f>
        <v>#REF!</v>
      </c>
      <c r="AX291" s="28" t="e">
        <f>#REF!*2</f>
        <v>#REF!</v>
      </c>
      <c r="AY291" s="28" t="e">
        <f>#REF!</f>
        <v>#REF!</v>
      </c>
      <c r="AZ291" s="28" t="e">
        <f>#REF!*2</f>
        <v>#REF!</v>
      </c>
      <c r="BA291" s="28" t="e">
        <f>#REF!</f>
        <v>#REF!</v>
      </c>
      <c r="BB291" s="28" t="e">
        <f>#REF!*2</f>
        <v>#REF!</v>
      </c>
      <c r="BC291" s="28" t="e">
        <f>#REF!</f>
        <v>#REF!</v>
      </c>
      <c r="BD291" s="28" t="e">
        <f>#REF!*2</f>
        <v>#REF!</v>
      </c>
      <c r="BE291" s="9" t="e">
        <f>#REF!-#REF!</f>
        <v>#REF!</v>
      </c>
      <c r="BF291" s="9" t="e">
        <f>#REF!-#REF!</f>
        <v>#REF!</v>
      </c>
      <c r="BG291" s="9" t="e">
        <f>#REF!-#REF!</f>
        <v>#REF!</v>
      </c>
      <c r="BH291" s="9" t="e">
        <f>#REF!-#REF!</f>
        <v>#REF!</v>
      </c>
      <c r="BI291" s="9" t="e">
        <f>#REF!-#REF!</f>
        <v>#REF!</v>
      </c>
      <c r="BJ291" s="33"/>
      <c r="BK291" s="3">
        <f>COUNTIFS(B291:G291, "&gt;=1", B291:G291, "&lt;=9")</f>
        <v>0</v>
      </c>
      <c r="BL291" s="3">
        <f>COUNTIFS(B291:G291, "&gt;=10", B291:G291, "&lt;=19")</f>
        <v>0</v>
      </c>
      <c r="BM291" s="3">
        <f>COUNTIFS(B291:G291, "&gt;=20", B291:G291, "&lt;=29")</f>
        <v>0</v>
      </c>
      <c r="BN291" s="3">
        <f>COUNTIFS(B291:G291, "&gt;=30", B291:G291, "&lt;=39")</f>
        <v>0</v>
      </c>
      <c r="BO291" s="3">
        <f>COUNTIFS(B291:G291, "&gt;=40", B291:G291, "&lt;=45")</f>
        <v>0</v>
      </c>
      <c r="BP291" s="28" t="e">
        <f>#REF!</f>
        <v>#REF!</v>
      </c>
      <c r="BQ291" s="28" t="e">
        <f>#REF!*2</f>
        <v>#REF!</v>
      </c>
      <c r="BR291" s="28" t="e">
        <f>#REF!</f>
        <v>#REF!</v>
      </c>
      <c r="BS291" s="28" t="e">
        <f>#REF!*2</f>
        <v>#REF!</v>
      </c>
      <c r="BT291" s="28" t="e">
        <f>#REF!</f>
        <v>#REF!</v>
      </c>
      <c r="BU291" s="28" t="e">
        <f>#REF!*2</f>
        <v>#REF!</v>
      </c>
      <c r="BV291" s="28" t="e">
        <f>#REF!</f>
        <v>#REF!</v>
      </c>
      <c r="BW291" s="28" t="e">
        <f>#REF!*2</f>
        <v>#REF!</v>
      </c>
      <c r="BX291" s="28" t="e">
        <f>#REF!</f>
        <v>#REF!</v>
      </c>
      <c r="BY291" s="28" t="e">
        <f>#REF!*2</f>
        <v>#REF!</v>
      </c>
      <c r="BZ291" s="28" t="e">
        <f>#REF!</f>
        <v>#REF!</v>
      </c>
      <c r="CA291" s="28" t="e">
        <f>#REF!*2</f>
        <v>#REF!</v>
      </c>
      <c r="CB291" s="9">
        <f>C291-B291</f>
        <v>0</v>
      </c>
      <c r="CC291" s="9">
        <f>D291-C291</f>
        <v>0</v>
      </c>
      <c r="CD291" s="9">
        <f>E291-D291</f>
        <v>0</v>
      </c>
      <c r="CE291" s="9">
        <f>F291-E291</f>
        <v>0</v>
      </c>
      <c r="CF291" s="9">
        <f>G291-F291</f>
        <v>0</v>
      </c>
      <c r="CG291" s="33"/>
      <c r="CH291" s="3">
        <f>C291-B291</f>
        <v>0</v>
      </c>
      <c r="CI291" s="3">
        <f>D291-C291</f>
        <v>0</v>
      </c>
      <c r="CJ291" s="3">
        <f>E291-D291</f>
        <v>0</v>
      </c>
      <c r="CK291" s="3">
        <f>F291-E291</f>
        <v>0</v>
      </c>
      <c r="CL291" s="3">
        <f>G291-F291</f>
        <v>0</v>
      </c>
      <c r="CM291" s="32"/>
      <c r="CN291" s="3">
        <f>IF(OR(CH291="",ISBLANK(CH291),CH291=0),0,IF(MOD(CH291,2)=1,1,2))</f>
        <v>0</v>
      </c>
      <c r="CO291" s="3">
        <f>IF(OR(CI291="",ISBLANK(CI291),CI291=0),0,IF(MOD(CI291,2)=1,1,2))</f>
        <v>0</v>
      </c>
      <c r="CP291" s="3">
        <f>IF(OR(CJ291="",ISBLANK(CJ291),CJ291=0),0,IF(MOD(CJ291,2)=1,1,2))</f>
        <v>0</v>
      </c>
      <c r="CQ291" s="3">
        <f>IF(OR(CK291="",ISBLANK(CK291),CK291=0),0,IF(MOD(CK291,2)=1,1,2))</f>
        <v>0</v>
      </c>
      <c r="CR291" s="3">
        <f>IF(OR(CL291="",ISBLANK(CL291),CL291=0),0,IF(MOD(CL291,2)=1,1,2))</f>
        <v>0</v>
      </c>
      <c r="CS291" s="31"/>
      <c r="CT291" s="3" cm="1">
        <f t="array" ref="CT291">SUMPRODUCT(--(MOD(CH291:CL291,2)=1))</f>
        <v>0</v>
      </c>
      <c r="CU291" s="3">
        <f>5-CT291</f>
        <v>5</v>
      </c>
      <c r="CV291" s="30"/>
      <c r="CW291" s="3" cm="1">
        <f t="array" ref="CW291">SUMPRODUCT(--(MOD(CH291:CL291,10)&gt;=1), --(MOD(CH291:CL291,10)&lt;=5))</f>
        <v>0</v>
      </c>
      <c r="CX291" s="3">
        <f>5-CW291</f>
        <v>5</v>
      </c>
      <c r="CY291" s="30"/>
      <c r="CZ291" s="3" cm="1">
        <f t="array" ref="CZ291">IFERROR(COUNT(_xlfn._xlws.FILTER(CH291:CL291, ISNUMBER(MATCH(CH291:CL291, {2,3,5,7,11,13,17,19,23,29,31,37,41,43}, 0)))), 0)</f>
        <v>0</v>
      </c>
      <c r="DA291" s="3" cm="1">
        <f t="array" ref="DA291">IFERROR(COUNT(_xlfn._xlws.FILTER(CH291:CL291, ISNUMBER(MATCH(CH291:CL291, {1,4,8,10,14,16,20,22,25,26,28,32,34,35,38,40,44}, 0)))), 0)</f>
        <v>0</v>
      </c>
      <c r="DB291" s="3" cm="1">
        <f t="array" ref="DB291">IFERROR(COUNT(_xlfn._xlws.FILTER(CH291:CL291, ISNUMBER(MATCH(CH291:CL291, {6,9,12,15,18,21,24,27,30,33,36,39,42,45}, 0)))), 0)</f>
        <v>0</v>
      </c>
      <c r="DC291" s="29"/>
      <c r="DD291" s="28" t="e">
        <f>#REF!</f>
        <v>#REF!</v>
      </c>
      <c r="DE291" s="28" t="e">
        <f>#REF!*2</f>
        <v>#REF!</v>
      </c>
      <c r="DF291" s="28" t="e">
        <f>#REF!</f>
        <v>#REF!</v>
      </c>
      <c r="DG291" s="28" t="e">
        <f>#REF!*2</f>
        <v>#REF!</v>
      </c>
      <c r="DH291" s="28" t="e">
        <f>#REF!</f>
        <v>#REF!</v>
      </c>
      <c r="DI291" s="28" t="e">
        <f>#REF!*2</f>
        <v>#REF!</v>
      </c>
      <c r="DJ291" s="28" t="e">
        <f>#REF!</f>
        <v>#REF!</v>
      </c>
      <c r="DK291" s="28" t="e">
        <f>#REF!*2</f>
        <v>#REF!</v>
      </c>
      <c r="DL291" s="28" t="e">
        <f>#REF!</f>
        <v>#REF!</v>
      </c>
      <c r="DM291" s="28" t="e">
        <f>#REF!*2</f>
        <v>#REF!</v>
      </c>
      <c r="DN291" s="27"/>
      <c r="DO291" s="26"/>
      <c r="DP291" s="26"/>
      <c r="DQ291" s="26"/>
      <c r="DR291" s="26"/>
      <c r="DS291" s="26"/>
      <c r="DT291" s="25"/>
    </row>
    <row r="292" spans="2:124" x14ac:dyDescent="0.3">
      <c r="B292" s="3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2"/>
      <c r="I292" s="3">
        <f>IF(OR(B292="",ISBLANK(B292),B292=0),0,IF(MOD(B292,2)=1,1,2))</f>
        <v>0</v>
      </c>
      <c r="J292" s="3">
        <f>IF(OR(C292="",ISBLANK(C292),C292=0),0,IF(MOD(C292,2)=1,1,2))</f>
        <v>0</v>
      </c>
      <c r="K292" s="3">
        <f>IF(OR(D292="",ISBLANK(D292),D292=0),0,IF(MOD(D292,2)=1,1,2))</f>
        <v>0</v>
      </c>
      <c r="L292" s="3">
        <f>IF(OR(E292="",ISBLANK(E292),E292=0),0,IF(MOD(E292,2)=1,1,2))</f>
        <v>0</v>
      </c>
      <c r="M292" s="3">
        <f>IF(OR(F292="",ISBLANK(F292),F292=0),0,IF(MOD(F292,2)=1,1,2))</f>
        <v>0</v>
      </c>
      <c r="N292" s="3">
        <f>IF(OR(G292="",ISBLANK(G292),G292=0),0,IF(MOD(G292,2)=1,1,2))</f>
        <v>0</v>
      </c>
      <c r="O292" s="32"/>
      <c r="P292" s="3" cm="1">
        <f t="array" ref="P292">SUMPRODUCT(--(MOD(B292:G292,2)=1))</f>
        <v>0</v>
      </c>
      <c r="Q292" s="3">
        <f>6-P292</f>
        <v>6</v>
      </c>
      <c r="R292" s="34"/>
      <c r="S292" s="3">
        <f>COUNTIFS(B292:G292,"&gt;=1",B292:G292,"&lt;=23")</f>
        <v>0</v>
      </c>
      <c r="T292" s="3">
        <f>6-S292</f>
        <v>6</v>
      </c>
      <c r="U292" s="34"/>
      <c r="V292" s="3" cm="1">
        <f t="array" ref="V292">SUMPRODUCT(--(MOD(B292:G292,10)&gt;=1), --(MOD(B292:G292,10)&lt;=5))</f>
        <v>0</v>
      </c>
      <c r="W292" s="3">
        <f>6-V292</f>
        <v>6</v>
      </c>
      <c r="X292" s="34"/>
      <c r="Y292" s="3" cm="1">
        <f t="array" ref="Y292">IFERROR(COUNT(_xlfn._xlws.FILTER(B292:G292, ISNUMBER(MATCH(B292:G292, {2,3,5,7,11,13,17,19,23,29,31,37,41,43}, 0)))), 0)</f>
        <v>0</v>
      </c>
      <c r="Z292" s="3" cm="1">
        <f t="array" ref="Z292">IFERROR(COUNT(_xlfn._xlws.FILTER(B292:G292, ISNUMBER(MATCH(B292:G292, {1,4,8,10,14,16,20,22,25,26,28,32,34,35,38,40,44}, 0)))), 0)</f>
        <v>0</v>
      </c>
      <c r="AA292" s="3" cm="1">
        <f t="array" ref="AA292">IFERROR(COUNT(_xlfn._xlws.FILTER(B292:G292, ISNUMBER(MATCH(B292:G292, {6,9,12,15,18,21,24,27,30,33,36,39,42,45}, 0)))), 0)</f>
        <v>0</v>
      </c>
      <c r="AB292" s="30"/>
      <c r="AC292" s="26" cm="1">
        <f t="array" ref="AC292">_xlfn.IFS(
   OR(B292="",ISBLANK(B292),B292=0),0,
   ISNUMBER(MATCH(B292,{2,3,5,7,11,13,17,19,23,29,31,37,41,43},0)),"소",
   AND(ISNUMBER(B292),MOD(B292,3)=0),"배",
   AND(ISNUMBER(B292),B292&gt;0),"자"
)</f>
        <v>0</v>
      </c>
      <c r="AD292" s="26" cm="1">
        <f t="array" ref="AD292">_xlfn.IFS(
   OR(C292="",ISBLANK(C292),C292=0),0,
   ISNUMBER(MATCH(C292,{2,3,5,7,11,13,17,19,23,29,31,37,41,43},0)),"소",
   AND(ISNUMBER(C292),MOD(C292,3)=0),"배",
   AND(ISNUMBER(C292),C292&gt;0),"자"
)</f>
        <v>0</v>
      </c>
      <c r="AE292" s="26" cm="1">
        <f t="array" ref="AE292">_xlfn.IFS(
   OR(D292="",ISBLANK(D292),D292=0),0,
   ISNUMBER(MATCH(D292,{2,3,5,7,11,13,17,19,23,29,31,37,41,43},0)),"소",
   AND(ISNUMBER(D292),MOD(D292,3)=0),"배",
   AND(ISNUMBER(D292),D292&gt;0),"자"
)</f>
        <v>0</v>
      </c>
      <c r="AF292" s="26" cm="1">
        <f t="array" ref="AF292">_xlfn.IFS(
   OR(E292="",ISBLANK(E292),E292=0),0,
   ISNUMBER(MATCH(E292,{2,3,5,7,11,13,17,19,23,29,31,37,41,43},0)),"소",
   AND(ISNUMBER(E292),MOD(E292,3)=0),"배",
   AND(ISNUMBER(E292),E292&gt;0),"자"
)</f>
        <v>0</v>
      </c>
      <c r="AG292" s="26" cm="1">
        <f t="array" ref="AG292">_xlfn.IFS(
   OR(F292="",ISBLANK(F292),F292=0),0,
   ISNUMBER(MATCH(F292,{2,3,5,7,11,13,17,19,23,29,31,37,41,43},0)),"소",
   AND(ISNUMBER(F292),MOD(F292,3)=0),"배",
   AND(ISNUMBER(F292),F292&gt;0),"자"
)</f>
        <v>0</v>
      </c>
      <c r="AH292" s="26" cm="1">
        <f t="array" ref="AH292">_xlfn.IFS(
   OR(G292="",ISBLANK(G292),G292=0),0,
   ISNUMBER(MATCH(G292,{2,3,5,7,11,13,17,19,23,29,31,37,41,43},0)),"소",
   AND(ISNUMBER(G292),MOD(G292,3)=0),"배",
   AND(ISNUMBER(G292),G292&gt;0),"자"
)</f>
        <v>0</v>
      </c>
      <c r="AI292" s="30"/>
      <c r="AJ292" s="3">
        <f>COUNTIFS(B292:G292,"&gt;=1",B292:G292,"&lt;=14")</f>
        <v>0</v>
      </c>
      <c r="AK292" s="3">
        <f>COUNTIFS(B292:G292,"&gt;=15",B292:G292,"&lt;=31")</f>
        <v>0</v>
      </c>
      <c r="AL292" s="3">
        <f>6-AK292-AJ292</f>
        <v>6</v>
      </c>
      <c r="AM292" s="33"/>
      <c r="AN292" s="3">
        <f>COUNTIFS($B292:$G292, "&gt;=1",$B292:$G292, "&lt;=9")</f>
        <v>0</v>
      </c>
      <c r="AO292" s="3">
        <f>COUNTIFS($B292:$G292, "&gt;=10",$B292:$G292, "&lt;=18")</f>
        <v>0</v>
      </c>
      <c r="AP292" s="3">
        <f>COUNTIFS($B292:$G292, "&gt;=19",$B292:$G292, "&lt;=27")</f>
        <v>0</v>
      </c>
      <c r="AQ292" s="3">
        <f>COUNTIFS($B292:$G292, "&gt;=28",$B292:$G292, "&lt;=36")</f>
        <v>0</v>
      </c>
      <c r="AR292" s="3">
        <f>COUNTIFS($B292:$G292, "&gt;=37",$B292:$G292, "&lt;=45")</f>
        <v>0</v>
      </c>
      <c r="AS292" s="28" t="e">
        <f>#REF!</f>
        <v>#REF!</v>
      </c>
      <c r="AT292" s="28" t="e">
        <f>#REF!*2</f>
        <v>#REF!</v>
      </c>
      <c r="AU292" s="28" t="e">
        <f>#REF!</f>
        <v>#REF!</v>
      </c>
      <c r="AV292" s="28" t="e">
        <f>#REF!*2</f>
        <v>#REF!</v>
      </c>
      <c r="AW292" s="28" t="e">
        <f>#REF!</f>
        <v>#REF!</v>
      </c>
      <c r="AX292" s="28" t="e">
        <f>#REF!*2</f>
        <v>#REF!</v>
      </c>
      <c r="AY292" s="28" t="e">
        <f>#REF!</f>
        <v>#REF!</v>
      </c>
      <c r="AZ292" s="28" t="e">
        <f>#REF!*2</f>
        <v>#REF!</v>
      </c>
      <c r="BA292" s="28" t="e">
        <f>#REF!</f>
        <v>#REF!</v>
      </c>
      <c r="BB292" s="28" t="e">
        <f>#REF!*2</f>
        <v>#REF!</v>
      </c>
      <c r="BC292" s="28" t="e">
        <f>#REF!</f>
        <v>#REF!</v>
      </c>
      <c r="BD292" s="28" t="e">
        <f>#REF!*2</f>
        <v>#REF!</v>
      </c>
      <c r="BE292" s="9" t="e">
        <f>#REF!-#REF!</f>
        <v>#REF!</v>
      </c>
      <c r="BF292" s="9" t="e">
        <f>#REF!-#REF!</f>
        <v>#REF!</v>
      </c>
      <c r="BG292" s="9" t="e">
        <f>#REF!-#REF!</f>
        <v>#REF!</v>
      </c>
      <c r="BH292" s="9" t="e">
        <f>#REF!-#REF!</f>
        <v>#REF!</v>
      </c>
      <c r="BI292" s="9" t="e">
        <f>#REF!-#REF!</f>
        <v>#REF!</v>
      </c>
      <c r="BJ292" s="33"/>
      <c r="BK292" s="3">
        <f>COUNTIFS(B292:G292, "&gt;=1", B292:G292, "&lt;=9")</f>
        <v>0</v>
      </c>
      <c r="BL292" s="3">
        <f>COUNTIFS(B292:G292, "&gt;=10", B292:G292, "&lt;=19")</f>
        <v>0</v>
      </c>
      <c r="BM292" s="3">
        <f>COUNTIFS(B292:G292, "&gt;=20", B292:G292, "&lt;=29")</f>
        <v>0</v>
      </c>
      <c r="BN292" s="3">
        <f>COUNTIFS(B292:G292, "&gt;=30", B292:G292, "&lt;=39")</f>
        <v>0</v>
      </c>
      <c r="BO292" s="3">
        <f>COUNTIFS(B292:G292, "&gt;=40", B292:G292, "&lt;=45")</f>
        <v>0</v>
      </c>
      <c r="BP292" s="28" t="e">
        <f>#REF!</f>
        <v>#REF!</v>
      </c>
      <c r="BQ292" s="28" t="e">
        <f>#REF!*2</f>
        <v>#REF!</v>
      </c>
      <c r="BR292" s="28" t="e">
        <f>#REF!</f>
        <v>#REF!</v>
      </c>
      <c r="BS292" s="28" t="e">
        <f>#REF!*2</f>
        <v>#REF!</v>
      </c>
      <c r="BT292" s="28" t="e">
        <f>#REF!</f>
        <v>#REF!</v>
      </c>
      <c r="BU292" s="28" t="e">
        <f>#REF!*2</f>
        <v>#REF!</v>
      </c>
      <c r="BV292" s="28" t="e">
        <f>#REF!</f>
        <v>#REF!</v>
      </c>
      <c r="BW292" s="28" t="e">
        <f>#REF!*2</f>
        <v>#REF!</v>
      </c>
      <c r="BX292" s="28" t="e">
        <f>#REF!</f>
        <v>#REF!</v>
      </c>
      <c r="BY292" s="28" t="e">
        <f>#REF!*2</f>
        <v>#REF!</v>
      </c>
      <c r="BZ292" s="28" t="e">
        <f>#REF!</f>
        <v>#REF!</v>
      </c>
      <c r="CA292" s="28" t="e">
        <f>#REF!*2</f>
        <v>#REF!</v>
      </c>
      <c r="CB292" s="9">
        <f>C292-B292</f>
        <v>0</v>
      </c>
      <c r="CC292" s="9">
        <f>D292-C292</f>
        <v>0</v>
      </c>
      <c r="CD292" s="9">
        <f>E292-D292</f>
        <v>0</v>
      </c>
      <c r="CE292" s="9">
        <f>F292-E292</f>
        <v>0</v>
      </c>
      <c r="CF292" s="9">
        <f>G292-F292</f>
        <v>0</v>
      </c>
      <c r="CG292" s="33"/>
      <c r="CH292" s="3">
        <f>C292-B292</f>
        <v>0</v>
      </c>
      <c r="CI292" s="3">
        <f>D292-C292</f>
        <v>0</v>
      </c>
      <c r="CJ292" s="3">
        <f>E292-D292</f>
        <v>0</v>
      </c>
      <c r="CK292" s="3">
        <f>F292-E292</f>
        <v>0</v>
      </c>
      <c r="CL292" s="3">
        <f>G292-F292</f>
        <v>0</v>
      </c>
      <c r="CM292" s="32"/>
      <c r="CN292" s="3">
        <f>IF(OR(CH292="",ISBLANK(CH292),CH292=0),0,IF(MOD(CH292,2)=1,1,2))</f>
        <v>0</v>
      </c>
      <c r="CO292" s="3">
        <f>IF(OR(CI292="",ISBLANK(CI292),CI292=0),0,IF(MOD(CI292,2)=1,1,2))</f>
        <v>0</v>
      </c>
      <c r="CP292" s="3">
        <f>IF(OR(CJ292="",ISBLANK(CJ292),CJ292=0),0,IF(MOD(CJ292,2)=1,1,2))</f>
        <v>0</v>
      </c>
      <c r="CQ292" s="3">
        <f>IF(OR(CK292="",ISBLANK(CK292),CK292=0),0,IF(MOD(CK292,2)=1,1,2))</f>
        <v>0</v>
      </c>
      <c r="CR292" s="3">
        <f>IF(OR(CL292="",ISBLANK(CL292),CL292=0),0,IF(MOD(CL292,2)=1,1,2))</f>
        <v>0</v>
      </c>
      <c r="CS292" s="31"/>
      <c r="CT292" s="3" cm="1">
        <f t="array" ref="CT292">SUMPRODUCT(--(MOD(CH292:CL292,2)=1))</f>
        <v>0</v>
      </c>
      <c r="CU292" s="3">
        <f>5-CT292</f>
        <v>5</v>
      </c>
      <c r="CV292" s="30"/>
      <c r="CW292" s="3" cm="1">
        <f t="array" ref="CW292">SUMPRODUCT(--(MOD(CH292:CL292,10)&gt;=1), --(MOD(CH292:CL292,10)&lt;=5))</f>
        <v>0</v>
      </c>
      <c r="CX292" s="3">
        <f>5-CW292</f>
        <v>5</v>
      </c>
      <c r="CY292" s="30"/>
      <c r="CZ292" s="3" cm="1">
        <f t="array" ref="CZ292">IFERROR(COUNT(_xlfn._xlws.FILTER(CH292:CL292, ISNUMBER(MATCH(CH292:CL292, {2,3,5,7,11,13,17,19,23,29,31,37,41,43}, 0)))), 0)</f>
        <v>0</v>
      </c>
      <c r="DA292" s="3" cm="1">
        <f t="array" ref="DA292">IFERROR(COUNT(_xlfn._xlws.FILTER(CH292:CL292, ISNUMBER(MATCH(CH292:CL292, {1,4,8,10,14,16,20,22,25,26,28,32,34,35,38,40,44}, 0)))), 0)</f>
        <v>0</v>
      </c>
      <c r="DB292" s="3" cm="1">
        <f t="array" ref="DB292">IFERROR(COUNT(_xlfn._xlws.FILTER(CH292:CL292, ISNUMBER(MATCH(CH292:CL292, {6,9,12,15,18,21,24,27,30,33,36,39,42,45}, 0)))), 0)</f>
        <v>0</v>
      </c>
      <c r="DC292" s="29"/>
      <c r="DD292" s="28" t="e">
        <f>#REF!</f>
        <v>#REF!</v>
      </c>
      <c r="DE292" s="28" t="e">
        <f>#REF!*2</f>
        <v>#REF!</v>
      </c>
      <c r="DF292" s="28" t="e">
        <f>#REF!</f>
        <v>#REF!</v>
      </c>
      <c r="DG292" s="28" t="e">
        <f>#REF!*2</f>
        <v>#REF!</v>
      </c>
      <c r="DH292" s="28" t="e">
        <f>#REF!</f>
        <v>#REF!</v>
      </c>
      <c r="DI292" s="28" t="e">
        <f>#REF!*2</f>
        <v>#REF!</v>
      </c>
      <c r="DJ292" s="28" t="e">
        <f>#REF!</f>
        <v>#REF!</v>
      </c>
      <c r="DK292" s="28" t="e">
        <f>#REF!*2</f>
        <v>#REF!</v>
      </c>
      <c r="DL292" s="28" t="e">
        <f>#REF!</f>
        <v>#REF!</v>
      </c>
      <c r="DM292" s="28" t="e">
        <f>#REF!*2</f>
        <v>#REF!</v>
      </c>
      <c r="DN292" s="27"/>
      <c r="DO292" s="26"/>
      <c r="DP292" s="26"/>
      <c r="DQ292" s="26"/>
      <c r="DR292" s="26"/>
      <c r="DS292" s="26"/>
      <c r="DT292" s="25"/>
    </row>
    <row r="293" spans="2:124" x14ac:dyDescent="0.3">
      <c r="B293" s="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2"/>
      <c r="I293" s="3">
        <f>IF(OR(B293="",ISBLANK(B293),B293=0),0,IF(MOD(B293,2)=1,1,2))</f>
        <v>0</v>
      </c>
      <c r="J293" s="3">
        <f>IF(OR(C293="",ISBLANK(C293),C293=0),0,IF(MOD(C293,2)=1,1,2))</f>
        <v>0</v>
      </c>
      <c r="K293" s="3">
        <f>IF(OR(D293="",ISBLANK(D293),D293=0),0,IF(MOD(D293,2)=1,1,2))</f>
        <v>0</v>
      </c>
      <c r="L293" s="3">
        <f>IF(OR(E293="",ISBLANK(E293),E293=0),0,IF(MOD(E293,2)=1,1,2))</f>
        <v>0</v>
      </c>
      <c r="M293" s="3">
        <f>IF(OR(F293="",ISBLANK(F293),F293=0),0,IF(MOD(F293,2)=1,1,2))</f>
        <v>0</v>
      </c>
      <c r="N293" s="3">
        <f>IF(OR(G293="",ISBLANK(G293),G293=0),0,IF(MOD(G293,2)=1,1,2))</f>
        <v>0</v>
      </c>
      <c r="O293" s="32"/>
      <c r="P293" s="3" cm="1">
        <f t="array" ref="P293">SUMPRODUCT(--(MOD(B293:G293,2)=1))</f>
        <v>0</v>
      </c>
      <c r="Q293" s="3">
        <f>6-P293</f>
        <v>6</v>
      </c>
      <c r="R293" s="34"/>
      <c r="S293" s="3">
        <f>COUNTIFS(B293:G293,"&gt;=1",B293:G293,"&lt;=23")</f>
        <v>0</v>
      </c>
      <c r="T293" s="3">
        <f>6-S293</f>
        <v>6</v>
      </c>
      <c r="U293" s="34"/>
      <c r="V293" s="3" cm="1">
        <f t="array" ref="V293">SUMPRODUCT(--(MOD(B293:G293,10)&gt;=1), --(MOD(B293:G293,10)&lt;=5))</f>
        <v>0</v>
      </c>
      <c r="W293" s="3">
        <f>6-V293</f>
        <v>6</v>
      </c>
      <c r="X293" s="34"/>
      <c r="Y293" s="3" cm="1">
        <f t="array" ref="Y293">IFERROR(COUNT(_xlfn._xlws.FILTER(B293:G293, ISNUMBER(MATCH(B293:G293, {2,3,5,7,11,13,17,19,23,29,31,37,41,43}, 0)))), 0)</f>
        <v>0</v>
      </c>
      <c r="Z293" s="3" cm="1">
        <f t="array" ref="Z293">IFERROR(COUNT(_xlfn._xlws.FILTER(B293:G293, ISNUMBER(MATCH(B293:G293, {1,4,8,10,14,16,20,22,25,26,28,32,34,35,38,40,44}, 0)))), 0)</f>
        <v>0</v>
      </c>
      <c r="AA293" s="3" cm="1">
        <f t="array" ref="AA293">IFERROR(COUNT(_xlfn._xlws.FILTER(B293:G293, ISNUMBER(MATCH(B293:G293, {6,9,12,15,18,21,24,27,30,33,36,39,42,45}, 0)))), 0)</f>
        <v>0</v>
      </c>
      <c r="AB293" s="30"/>
      <c r="AC293" s="26" cm="1">
        <f t="array" ref="AC293">_xlfn.IFS(
   OR(B293="",ISBLANK(B293),B293=0),0,
   ISNUMBER(MATCH(B293,{2,3,5,7,11,13,17,19,23,29,31,37,41,43},0)),"소",
   AND(ISNUMBER(B293),MOD(B293,3)=0),"배",
   AND(ISNUMBER(B293),B293&gt;0),"자"
)</f>
        <v>0</v>
      </c>
      <c r="AD293" s="26" cm="1">
        <f t="array" ref="AD293">_xlfn.IFS(
   OR(C293="",ISBLANK(C293),C293=0),0,
   ISNUMBER(MATCH(C293,{2,3,5,7,11,13,17,19,23,29,31,37,41,43},0)),"소",
   AND(ISNUMBER(C293),MOD(C293,3)=0),"배",
   AND(ISNUMBER(C293),C293&gt;0),"자"
)</f>
        <v>0</v>
      </c>
      <c r="AE293" s="26" cm="1">
        <f t="array" ref="AE293">_xlfn.IFS(
   OR(D293="",ISBLANK(D293),D293=0),0,
   ISNUMBER(MATCH(D293,{2,3,5,7,11,13,17,19,23,29,31,37,41,43},0)),"소",
   AND(ISNUMBER(D293),MOD(D293,3)=0),"배",
   AND(ISNUMBER(D293),D293&gt;0),"자"
)</f>
        <v>0</v>
      </c>
      <c r="AF293" s="26" cm="1">
        <f t="array" ref="AF293">_xlfn.IFS(
   OR(E293="",ISBLANK(E293),E293=0),0,
   ISNUMBER(MATCH(E293,{2,3,5,7,11,13,17,19,23,29,31,37,41,43},0)),"소",
   AND(ISNUMBER(E293),MOD(E293,3)=0),"배",
   AND(ISNUMBER(E293),E293&gt;0),"자"
)</f>
        <v>0</v>
      </c>
      <c r="AG293" s="26" cm="1">
        <f t="array" ref="AG293">_xlfn.IFS(
   OR(F293="",ISBLANK(F293),F293=0),0,
   ISNUMBER(MATCH(F293,{2,3,5,7,11,13,17,19,23,29,31,37,41,43},0)),"소",
   AND(ISNUMBER(F293),MOD(F293,3)=0),"배",
   AND(ISNUMBER(F293),F293&gt;0),"자"
)</f>
        <v>0</v>
      </c>
      <c r="AH293" s="26" cm="1">
        <f t="array" ref="AH293">_xlfn.IFS(
   OR(G293="",ISBLANK(G293),G293=0),0,
   ISNUMBER(MATCH(G293,{2,3,5,7,11,13,17,19,23,29,31,37,41,43},0)),"소",
   AND(ISNUMBER(G293),MOD(G293,3)=0),"배",
   AND(ISNUMBER(G293),G293&gt;0),"자"
)</f>
        <v>0</v>
      </c>
      <c r="AI293" s="30"/>
      <c r="AJ293" s="3">
        <f>COUNTIFS(B293:G293,"&gt;=1",B293:G293,"&lt;=14")</f>
        <v>0</v>
      </c>
      <c r="AK293" s="3">
        <f>COUNTIFS(B293:G293,"&gt;=15",B293:G293,"&lt;=31")</f>
        <v>0</v>
      </c>
      <c r="AL293" s="3">
        <f>6-AK293-AJ293</f>
        <v>6</v>
      </c>
      <c r="AM293" s="33"/>
      <c r="AN293" s="3">
        <f>COUNTIFS($B293:$G293, "&gt;=1",$B293:$G293, "&lt;=9")</f>
        <v>0</v>
      </c>
      <c r="AO293" s="3">
        <f>COUNTIFS($B293:$G293, "&gt;=10",$B293:$G293, "&lt;=18")</f>
        <v>0</v>
      </c>
      <c r="AP293" s="3">
        <f>COUNTIFS($B293:$G293, "&gt;=19",$B293:$G293, "&lt;=27")</f>
        <v>0</v>
      </c>
      <c r="AQ293" s="3">
        <f>COUNTIFS($B293:$G293, "&gt;=28",$B293:$G293, "&lt;=36")</f>
        <v>0</v>
      </c>
      <c r="AR293" s="3">
        <f>COUNTIFS($B293:$G293, "&gt;=37",$B293:$G293, "&lt;=45")</f>
        <v>0</v>
      </c>
      <c r="AS293" s="28" t="e">
        <f>#REF!</f>
        <v>#REF!</v>
      </c>
      <c r="AT293" s="28" t="e">
        <f>#REF!*2</f>
        <v>#REF!</v>
      </c>
      <c r="AU293" s="28" t="e">
        <f>#REF!</f>
        <v>#REF!</v>
      </c>
      <c r="AV293" s="28" t="e">
        <f>#REF!*2</f>
        <v>#REF!</v>
      </c>
      <c r="AW293" s="28" t="e">
        <f>#REF!</f>
        <v>#REF!</v>
      </c>
      <c r="AX293" s="28" t="e">
        <f>#REF!*2</f>
        <v>#REF!</v>
      </c>
      <c r="AY293" s="28" t="e">
        <f>#REF!</f>
        <v>#REF!</v>
      </c>
      <c r="AZ293" s="28" t="e">
        <f>#REF!*2</f>
        <v>#REF!</v>
      </c>
      <c r="BA293" s="28" t="e">
        <f>#REF!</f>
        <v>#REF!</v>
      </c>
      <c r="BB293" s="28" t="e">
        <f>#REF!*2</f>
        <v>#REF!</v>
      </c>
      <c r="BC293" s="28" t="e">
        <f>#REF!</f>
        <v>#REF!</v>
      </c>
      <c r="BD293" s="28" t="e">
        <f>#REF!*2</f>
        <v>#REF!</v>
      </c>
      <c r="BE293" s="9" t="e">
        <f>#REF!-#REF!</f>
        <v>#REF!</v>
      </c>
      <c r="BF293" s="9" t="e">
        <f>#REF!-#REF!</f>
        <v>#REF!</v>
      </c>
      <c r="BG293" s="9" t="e">
        <f>#REF!-#REF!</f>
        <v>#REF!</v>
      </c>
      <c r="BH293" s="9" t="e">
        <f>#REF!-#REF!</f>
        <v>#REF!</v>
      </c>
      <c r="BI293" s="9" t="e">
        <f>#REF!-#REF!</f>
        <v>#REF!</v>
      </c>
      <c r="BJ293" s="33"/>
      <c r="BK293" s="3">
        <f>COUNTIFS(B293:G293, "&gt;=1", B293:G293, "&lt;=9")</f>
        <v>0</v>
      </c>
      <c r="BL293" s="3">
        <f>COUNTIFS(B293:G293, "&gt;=10", B293:G293, "&lt;=19")</f>
        <v>0</v>
      </c>
      <c r="BM293" s="3">
        <f>COUNTIFS(B293:G293, "&gt;=20", B293:G293, "&lt;=29")</f>
        <v>0</v>
      </c>
      <c r="BN293" s="3">
        <f>COUNTIFS(B293:G293, "&gt;=30", B293:G293, "&lt;=39")</f>
        <v>0</v>
      </c>
      <c r="BO293" s="3">
        <f>COUNTIFS(B293:G293, "&gt;=40", B293:G293, "&lt;=45")</f>
        <v>0</v>
      </c>
      <c r="BP293" s="28" t="e">
        <f>#REF!</f>
        <v>#REF!</v>
      </c>
      <c r="BQ293" s="28" t="e">
        <f>#REF!*2</f>
        <v>#REF!</v>
      </c>
      <c r="BR293" s="28" t="e">
        <f>#REF!</f>
        <v>#REF!</v>
      </c>
      <c r="BS293" s="28" t="e">
        <f>#REF!*2</f>
        <v>#REF!</v>
      </c>
      <c r="BT293" s="28" t="e">
        <f>#REF!</f>
        <v>#REF!</v>
      </c>
      <c r="BU293" s="28" t="e">
        <f>#REF!*2</f>
        <v>#REF!</v>
      </c>
      <c r="BV293" s="28" t="e">
        <f>#REF!</f>
        <v>#REF!</v>
      </c>
      <c r="BW293" s="28" t="e">
        <f>#REF!*2</f>
        <v>#REF!</v>
      </c>
      <c r="BX293" s="28" t="e">
        <f>#REF!</f>
        <v>#REF!</v>
      </c>
      <c r="BY293" s="28" t="e">
        <f>#REF!*2</f>
        <v>#REF!</v>
      </c>
      <c r="BZ293" s="28" t="e">
        <f>#REF!</f>
        <v>#REF!</v>
      </c>
      <c r="CA293" s="28" t="e">
        <f>#REF!*2</f>
        <v>#REF!</v>
      </c>
      <c r="CB293" s="9">
        <f>C293-B293</f>
        <v>0</v>
      </c>
      <c r="CC293" s="9">
        <f>D293-C293</f>
        <v>0</v>
      </c>
      <c r="CD293" s="9">
        <f>E293-D293</f>
        <v>0</v>
      </c>
      <c r="CE293" s="9">
        <f>F293-E293</f>
        <v>0</v>
      </c>
      <c r="CF293" s="9">
        <f>G293-F293</f>
        <v>0</v>
      </c>
      <c r="CG293" s="33"/>
      <c r="CH293" s="3">
        <f>C293-B293</f>
        <v>0</v>
      </c>
      <c r="CI293" s="3">
        <f>D293-C293</f>
        <v>0</v>
      </c>
      <c r="CJ293" s="3">
        <f>E293-D293</f>
        <v>0</v>
      </c>
      <c r="CK293" s="3">
        <f>F293-E293</f>
        <v>0</v>
      </c>
      <c r="CL293" s="3">
        <f>G293-F293</f>
        <v>0</v>
      </c>
      <c r="CM293" s="32"/>
      <c r="CN293" s="3">
        <f>IF(OR(CH293="",ISBLANK(CH293),CH293=0),0,IF(MOD(CH293,2)=1,1,2))</f>
        <v>0</v>
      </c>
      <c r="CO293" s="3">
        <f>IF(OR(CI293="",ISBLANK(CI293),CI293=0),0,IF(MOD(CI293,2)=1,1,2))</f>
        <v>0</v>
      </c>
      <c r="CP293" s="3">
        <f>IF(OR(CJ293="",ISBLANK(CJ293),CJ293=0),0,IF(MOD(CJ293,2)=1,1,2))</f>
        <v>0</v>
      </c>
      <c r="CQ293" s="3">
        <f>IF(OR(CK293="",ISBLANK(CK293),CK293=0),0,IF(MOD(CK293,2)=1,1,2))</f>
        <v>0</v>
      </c>
      <c r="CR293" s="3">
        <f>IF(OR(CL293="",ISBLANK(CL293),CL293=0),0,IF(MOD(CL293,2)=1,1,2))</f>
        <v>0</v>
      </c>
      <c r="CS293" s="31"/>
      <c r="CT293" s="3" cm="1">
        <f t="array" ref="CT293">SUMPRODUCT(--(MOD(CH293:CL293,2)=1))</f>
        <v>0</v>
      </c>
      <c r="CU293" s="3">
        <f>5-CT293</f>
        <v>5</v>
      </c>
      <c r="CV293" s="30"/>
      <c r="CW293" s="3" cm="1">
        <f t="array" ref="CW293">SUMPRODUCT(--(MOD(CH293:CL293,10)&gt;=1), --(MOD(CH293:CL293,10)&lt;=5))</f>
        <v>0</v>
      </c>
      <c r="CX293" s="3">
        <f>5-CW293</f>
        <v>5</v>
      </c>
      <c r="CY293" s="30"/>
      <c r="CZ293" s="3" cm="1">
        <f t="array" ref="CZ293">IFERROR(COUNT(_xlfn._xlws.FILTER(CH293:CL293, ISNUMBER(MATCH(CH293:CL293, {2,3,5,7,11,13,17,19,23,29,31,37,41,43}, 0)))), 0)</f>
        <v>0</v>
      </c>
      <c r="DA293" s="3" cm="1">
        <f t="array" ref="DA293">IFERROR(COUNT(_xlfn._xlws.FILTER(CH293:CL293, ISNUMBER(MATCH(CH293:CL293, {1,4,8,10,14,16,20,22,25,26,28,32,34,35,38,40,44}, 0)))), 0)</f>
        <v>0</v>
      </c>
      <c r="DB293" s="3" cm="1">
        <f t="array" ref="DB293">IFERROR(COUNT(_xlfn._xlws.FILTER(CH293:CL293, ISNUMBER(MATCH(CH293:CL293, {6,9,12,15,18,21,24,27,30,33,36,39,42,45}, 0)))), 0)</f>
        <v>0</v>
      </c>
      <c r="DC293" s="29"/>
      <c r="DD293" s="28" t="e">
        <f>#REF!</f>
        <v>#REF!</v>
      </c>
      <c r="DE293" s="28" t="e">
        <f>#REF!*2</f>
        <v>#REF!</v>
      </c>
      <c r="DF293" s="28" t="e">
        <f>#REF!</f>
        <v>#REF!</v>
      </c>
      <c r="DG293" s="28" t="e">
        <f>#REF!*2</f>
        <v>#REF!</v>
      </c>
      <c r="DH293" s="28" t="e">
        <f>#REF!</f>
        <v>#REF!</v>
      </c>
      <c r="DI293" s="28" t="e">
        <f>#REF!*2</f>
        <v>#REF!</v>
      </c>
      <c r="DJ293" s="28" t="e">
        <f>#REF!</f>
        <v>#REF!</v>
      </c>
      <c r="DK293" s="28" t="e">
        <f>#REF!*2</f>
        <v>#REF!</v>
      </c>
      <c r="DL293" s="28" t="e">
        <f>#REF!</f>
        <v>#REF!</v>
      </c>
      <c r="DM293" s="28" t="e">
        <f>#REF!*2</f>
        <v>#REF!</v>
      </c>
      <c r="DN293" s="27"/>
      <c r="DO293" s="26"/>
      <c r="DP293" s="26"/>
      <c r="DQ293" s="26"/>
      <c r="DR293" s="26"/>
      <c r="DS293" s="26"/>
      <c r="DT293" s="25"/>
    </row>
    <row r="294" spans="2:124" x14ac:dyDescent="0.3">
      <c r="B294" s="3">
        <v>0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2"/>
      <c r="I294" s="3">
        <f>IF(OR(B294="",ISBLANK(B294),B294=0),0,IF(MOD(B294,2)=1,1,2))</f>
        <v>0</v>
      </c>
      <c r="J294" s="3">
        <f>IF(OR(C294="",ISBLANK(C294),C294=0),0,IF(MOD(C294,2)=1,1,2))</f>
        <v>0</v>
      </c>
      <c r="K294" s="3">
        <f>IF(OR(D294="",ISBLANK(D294),D294=0),0,IF(MOD(D294,2)=1,1,2))</f>
        <v>0</v>
      </c>
      <c r="L294" s="3">
        <f>IF(OR(E294="",ISBLANK(E294),E294=0),0,IF(MOD(E294,2)=1,1,2))</f>
        <v>0</v>
      </c>
      <c r="M294" s="3">
        <f>IF(OR(F294="",ISBLANK(F294),F294=0),0,IF(MOD(F294,2)=1,1,2))</f>
        <v>0</v>
      </c>
      <c r="N294" s="3">
        <f>IF(OR(G294="",ISBLANK(G294),G294=0),0,IF(MOD(G294,2)=1,1,2))</f>
        <v>0</v>
      </c>
      <c r="O294" s="32"/>
      <c r="P294" s="3" cm="1">
        <f t="array" ref="P294">SUMPRODUCT(--(MOD(B294:G294,2)=1))</f>
        <v>0</v>
      </c>
      <c r="Q294" s="3">
        <f>6-P294</f>
        <v>6</v>
      </c>
      <c r="R294" s="34"/>
      <c r="S294" s="3">
        <f>COUNTIFS(B294:G294,"&gt;=1",B294:G294,"&lt;=23")</f>
        <v>0</v>
      </c>
      <c r="T294" s="3">
        <f>6-S294</f>
        <v>6</v>
      </c>
      <c r="U294" s="34"/>
      <c r="V294" s="3" cm="1">
        <f t="array" ref="V294">SUMPRODUCT(--(MOD(B294:G294,10)&gt;=1), --(MOD(B294:G294,10)&lt;=5))</f>
        <v>0</v>
      </c>
      <c r="W294" s="3">
        <f>6-V294</f>
        <v>6</v>
      </c>
      <c r="X294" s="34"/>
      <c r="Y294" s="3" cm="1">
        <f t="array" ref="Y294">IFERROR(COUNT(_xlfn._xlws.FILTER(B294:G294, ISNUMBER(MATCH(B294:G294, {2,3,5,7,11,13,17,19,23,29,31,37,41,43}, 0)))), 0)</f>
        <v>0</v>
      </c>
      <c r="Z294" s="3" cm="1">
        <f t="array" ref="Z294">IFERROR(COUNT(_xlfn._xlws.FILTER(B294:G294, ISNUMBER(MATCH(B294:G294, {1,4,8,10,14,16,20,22,25,26,28,32,34,35,38,40,44}, 0)))), 0)</f>
        <v>0</v>
      </c>
      <c r="AA294" s="3" cm="1">
        <f t="array" ref="AA294">IFERROR(COUNT(_xlfn._xlws.FILTER(B294:G294, ISNUMBER(MATCH(B294:G294, {6,9,12,15,18,21,24,27,30,33,36,39,42,45}, 0)))), 0)</f>
        <v>0</v>
      </c>
      <c r="AB294" s="30"/>
      <c r="AC294" s="26" cm="1">
        <f t="array" ref="AC294">_xlfn.IFS(
   OR(B294="",ISBLANK(B294),B294=0),0,
   ISNUMBER(MATCH(B294,{2,3,5,7,11,13,17,19,23,29,31,37,41,43},0)),"소",
   AND(ISNUMBER(B294),MOD(B294,3)=0),"배",
   AND(ISNUMBER(B294),B294&gt;0),"자"
)</f>
        <v>0</v>
      </c>
      <c r="AD294" s="26" cm="1">
        <f t="array" ref="AD294">_xlfn.IFS(
   OR(C294="",ISBLANK(C294),C294=0),0,
   ISNUMBER(MATCH(C294,{2,3,5,7,11,13,17,19,23,29,31,37,41,43},0)),"소",
   AND(ISNUMBER(C294),MOD(C294,3)=0),"배",
   AND(ISNUMBER(C294),C294&gt;0),"자"
)</f>
        <v>0</v>
      </c>
      <c r="AE294" s="26" cm="1">
        <f t="array" ref="AE294">_xlfn.IFS(
   OR(D294="",ISBLANK(D294),D294=0),0,
   ISNUMBER(MATCH(D294,{2,3,5,7,11,13,17,19,23,29,31,37,41,43},0)),"소",
   AND(ISNUMBER(D294),MOD(D294,3)=0),"배",
   AND(ISNUMBER(D294),D294&gt;0),"자"
)</f>
        <v>0</v>
      </c>
      <c r="AF294" s="26" cm="1">
        <f t="array" ref="AF294">_xlfn.IFS(
   OR(E294="",ISBLANK(E294),E294=0),0,
   ISNUMBER(MATCH(E294,{2,3,5,7,11,13,17,19,23,29,31,37,41,43},0)),"소",
   AND(ISNUMBER(E294),MOD(E294,3)=0),"배",
   AND(ISNUMBER(E294),E294&gt;0),"자"
)</f>
        <v>0</v>
      </c>
      <c r="AG294" s="26" cm="1">
        <f t="array" ref="AG294">_xlfn.IFS(
   OR(F294="",ISBLANK(F294),F294=0),0,
   ISNUMBER(MATCH(F294,{2,3,5,7,11,13,17,19,23,29,31,37,41,43},0)),"소",
   AND(ISNUMBER(F294),MOD(F294,3)=0),"배",
   AND(ISNUMBER(F294),F294&gt;0),"자"
)</f>
        <v>0</v>
      </c>
      <c r="AH294" s="26" cm="1">
        <f t="array" ref="AH294">_xlfn.IFS(
   OR(G294="",ISBLANK(G294),G294=0),0,
   ISNUMBER(MATCH(G294,{2,3,5,7,11,13,17,19,23,29,31,37,41,43},0)),"소",
   AND(ISNUMBER(G294),MOD(G294,3)=0),"배",
   AND(ISNUMBER(G294),G294&gt;0),"자"
)</f>
        <v>0</v>
      </c>
      <c r="AI294" s="30"/>
      <c r="AJ294" s="3">
        <f>COUNTIFS(B294:G294,"&gt;=1",B294:G294,"&lt;=14")</f>
        <v>0</v>
      </c>
      <c r="AK294" s="3">
        <f>COUNTIFS(B294:G294,"&gt;=15",B294:G294,"&lt;=31")</f>
        <v>0</v>
      </c>
      <c r="AL294" s="3">
        <f>6-AK294-AJ294</f>
        <v>6</v>
      </c>
      <c r="AM294" s="33"/>
      <c r="AN294" s="3">
        <f>COUNTIFS($B294:$G294, "&gt;=1",$B294:$G294, "&lt;=9")</f>
        <v>0</v>
      </c>
      <c r="AO294" s="3">
        <f>COUNTIFS($B294:$G294, "&gt;=10",$B294:$G294, "&lt;=18")</f>
        <v>0</v>
      </c>
      <c r="AP294" s="3">
        <f>COUNTIFS($B294:$G294, "&gt;=19",$B294:$G294, "&lt;=27")</f>
        <v>0</v>
      </c>
      <c r="AQ294" s="3">
        <f>COUNTIFS($B294:$G294, "&gt;=28",$B294:$G294, "&lt;=36")</f>
        <v>0</v>
      </c>
      <c r="AR294" s="3">
        <f>COUNTIFS($B294:$G294, "&gt;=37",$B294:$G294, "&lt;=45")</f>
        <v>0</v>
      </c>
      <c r="AS294" s="28" t="e">
        <f>#REF!</f>
        <v>#REF!</v>
      </c>
      <c r="AT294" s="28" t="e">
        <f>#REF!*2</f>
        <v>#REF!</v>
      </c>
      <c r="AU294" s="28" t="e">
        <f>#REF!</f>
        <v>#REF!</v>
      </c>
      <c r="AV294" s="28" t="e">
        <f>#REF!*2</f>
        <v>#REF!</v>
      </c>
      <c r="AW294" s="28" t="e">
        <f>#REF!</f>
        <v>#REF!</v>
      </c>
      <c r="AX294" s="28" t="e">
        <f>#REF!*2</f>
        <v>#REF!</v>
      </c>
      <c r="AY294" s="28" t="e">
        <f>#REF!</f>
        <v>#REF!</v>
      </c>
      <c r="AZ294" s="28" t="e">
        <f>#REF!*2</f>
        <v>#REF!</v>
      </c>
      <c r="BA294" s="28" t="e">
        <f>#REF!</f>
        <v>#REF!</v>
      </c>
      <c r="BB294" s="28" t="e">
        <f>#REF!*2</f>
        <v>#REF!</v>
      </c>
      <c r="BC294" s="28" t="e">
        <f>#REF!</f>
        <v>#REF!</v>
      </c>
      <c r="BD294" s="28" t="e">
        <f>#REF!*2</f>
        <v>#REF!</v>
      </c>
      <c r="BE294" s="9" t="e">
        <f>#REF!-#REF!</f>
        <v>#REF!</v>
      </c>
      <c r="BF294" s="9" t="e">
        <f>#REF!-#REF!</f>
        <v>#REF!</v>
      </c>
      <c r="BG294" s="9" t="e">
        <f>#REF!-#REF!</f>
        <v>#REF!</v>
      </c>
      <c r="BH294" s="9" t="e">
        <f>#REF!-#REF!</f>
        <v>#REF!</v>
      </c>
      <c r="BI294" s="9" t="e">
        <f>#REF!-#REF!</f>
        <v>#REF!</v>
      </c>
      <c r="BJ294" s="33"/>
      <c r="BK294" s="3">
        <f>COUNTIFS(B294:G294, "&gt;=1", B294:G294, "&lt;=9")</f>
        <v>0</v>
      </c>
      <c r="BL294" s="3">
        <f>COUNTIFS(B294:G294, "&gt;=10", B294:G294, "&lt;=19")</f>
        <v>0</v>
      </c>
      <c r="BM294" s="3">
        <f>COUNTIFS(B294:G294, "&gt;=20", B294:G294, "&lt;=29")</f>
        <v>0</v>
      </c>
      <c r="BN294" s="3">
        <f>COUNTIFS(B294:G294, "&gt;=30", B294:G294, "&lt;=39")</f>
        <v>0</v>
      </c>
      <c r="BO294" s="3">
        <f>COUNTIFS(B294:G294, "&gt;=40", B294:G294, "&lt;=45")</f>
        <v>0</v>
      </c>
      <c r="BP294" s="28" t="e">
        <f>#REF!</f>
        <v>#REF!</v>
      </c>
      <c r="BQ294" s="28" t="e">
        <f>#REF!*2</f>
        <v>#REF!</v>
      </c>
      <c r="BR294" s="28" t="e">
        <f>#REF!</f>
        <v>#REF!</v>
      </c>
      <c r="BS294" s="28" t="e">
        <f>#REF!*2</f>
        <v>#REF!</v>
      </c>
      <c r="BT294" s="28" t="e">
        <f>#REF!</f>
        <v>#REF!</v>
      </c>
      <c r="BU294" s="28" t="e">
        <f>#REF!*2</f>
        <v>#REF!</v>
      </c>
      <c r="BV294" s="28" t="e">
        <f>#REF!</f>
        <v>#REF!</v>
      </c>
      <c r="BW294" s="28" t="e">
        <f>#REF!*2</f>
        <v>#REF!</v>
      </c>
      <c r="BX294" s="28" t="e">
        <f>#REF!</f>
        <v>#REF!</v>
      </c>
      <c r="BY294" s="28" t="e">
        <f>#REF!*2</f>
        <v>#REF!</v>
      </c>
      <c r="BZ294" s="28" t="e">
        <f>#REF!</f>
        <v>#REF!</v>
      </c>
      <c r="CA294" s="28" t="e">
        <f>#REF!*2</f>
        <v>#REF!</v>
      </c>
      <c r="CB294" s="9">
        <f>C294-B294</f>
        <v>0</v>
      </c>
      <c r="CC294" s="9">
        <f>D294-C294</f>
        <v>0</v>
      </c>
      <c r="CD294" s="9">
        <f>E294-D294</f>
        <v>0</v>
      </c>
      <c r="CE294" s="9">
        <f>F294-E294</f>
        <v>0</v>
      </c>
      <c r="CF294" s="9">
        <f>G294-F294</f>
        <v>0</v>
      </c>
      <c r="CG294" s="33"/>
      <c r="CH294" s="3">
        <f>C294-B294</f>
        <v>0</v>
      </c>
      <c r="CI294" s="3">
        <f>D294-C294</f>
        <v>0</v>
      </c>
      <c r="CJ294" s="3">
        <f>E294-D294</f>
        <v>0</v>
      </c>
      <c r="CK294" s="3">
        <f>F294-E294</f>
        <v>0</v>
      </c>
      <c r="CL294" s="3">
        <f>G294-F294</f>
        <v>0</v>
      </c>
      <c r="CM294" s="32"/>
      <c r="CN294" s="3">
        <f>IF(OR(CH294="",ISBLANK(CH294),CH294=0),0,IF(MOD(CH294,2)=1,1,2))</f>
        <v>0</v>
      </c>
      <c r="CO294" s="3">
        <f>IF(OR(CI294="",ISBLANK(CI294),CI294=0),0,IF(MOD(CI294,2)=1,1,2))</f>
        <v>0</v>
      </c>
      <c r="CP294" s="3">
        <f>IF(OR(CJ294="",ISBLANK(CJ294),CJ294=0),0,IF(MOD(CJ294,2)=1,1,2))</f>
        <v>0</v>
      </c>
      <c r="CQ294" s="3">
        <f>IF(OR(CK294="",ISBLANK(CK294),CK294=0),0,IF(MOD(CK294,2)=1,1,2))</f>
        <v>0</v>
      </c>
      <c r="CR294" s="3">
        <f>IF(OR(CL294="",ISBLANK(CL294),CL294=0),0,IF(MOD(CL294,2)=1,1,2))</f>
        <v>0</v>
      </c>
      <c r="CS294" s="31"/>
      <c r="CT294" s="3" cm="1">
        <f t="array" ref="CT294">SUMPRODUCT(--(MOD(CH294:CL294,2)=1))</f>
        <v>0</v>
      </c>
      <c r="CU294" s="3">
        <f>5-CT294</f>
        <v>5</v>
      </c>
      <c r="CV294" s="30"/>
      <c r="CW294" s="3" cm="1">
        <f t="array" ref="CW294">SUMPRODUCT(--(MOD(CH294:CL294,10)&gt;=1), --(MOD(CH294:CL294,10)&lt;=5))</f>
        <v>0</v>
      </c>
      <c r="CX294" s="3">
        <f>5-CW294</f>
        <v>5</v>
      </c>
      <c r="CY294" s="30"/>
      <c r="CZ294" s="3" cm="1">
        <f t="array" ref="CZ294">IFERROR(COUNT(_xlfn._xlws.FILTER(CH294:CL294, ISNUMBER(MATCH(CH294:CL294, {2,3,5,7,11,13,17,19,23,29,31,37,41,43}, 0)))), 0)</f>
        <v>0</v>
      </c>
      <c r="DA294" s="3" cm="1">
        <f t="array" ref="DA294">IFERROR(COUNT(_xlfn._xlws.FILTER(CH294:CL294, ISNUMBER(MATCH(CH294:CL294, {1,4,8,10,14,16,20,22,25,26,28,32,34,35,38,40,44}, 0)))), 0)</f>
        <v>0</v>
      </c>
      <c r="DB294" s="3" cm="1">
        <f t="array" ref="DB294">IFERROR(COUNT(_xlfn._xlws.FILTER(CH294:CL294, ISNUMBER(MATCH(CH294:CL294, {6,9,12,15,18,21,24,27,30,33,36,39,42,45}, 0)))), 0)</f>
        <v>0</v>
      </c>
      <c r="DC294" s="29"/>
      <c r="DD294" s="28" t="e">
        <f>#REF!</f>
        <v>#REF!</v>
      </c>
      <c r="DE294" s="28" t="e">
        <f>#REF!*2</f>
        <v>#REF!</v>
      </c>
      <c r="DF294" s="28" t="e">
        <f>#REF!</f>
        <v>#REF!</v>
      </c>
      <c r="DG294" s="28" t="e">
        <f>#REF!*2</f>
        <v>#REF!</v>
      </c>
      <c r="DH294" s="28" t="e">
        <f>#REF!</f>
        <v>#REF!</v>
      </c>
      <c r="DI294" s="28" t="e">
        <f>#REF!*2</f>
        <v>#REF!</v>
      </c>
      <c r="DJ294" s="28" t="e">
        <f>#REF!</f>
        <v>#REF!</v>
      </c>
      <c r="DK294" s="28" t="e">
        <f>#REF!*2</f>
        <v>#REF!</v>
      </c>
      <c r="DL294" s="28" t="e">
        <f>#REF!</f>
        <v>#REF!</v>
      </c>
      <c r="DM294" s="28" t="e">
        <f>#REF!*2</f>
        <v>#REF!</v>
      </c>
      <c r="DN294" s="27"/>
      <c r="DO294" s="26"/>
      <c r="DP294" s="26"/>
      <c r="DQ294" s="26"/>
      <c r="DR294" s="26"/>
      <c r="DS294" s="26"/>
      <c r="DT294" s="25"/>
    </row>
    <row r="295" spans="2:124" x14ac:dyDescent="0.3">
      <c r="B295" s="3">
        <v>0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2"/>
      <c r="I295" s="3">
        <f>IF(OR(B295="",ISBLANK(B295),B295=0),0,IF(MOD(B295,2)=1,1,2))</f>
        <v>0</v>
      </c>
      <c r="J295" s="3">
        <f>IF(OR(C295="",ISBLANK(C295),C295=0),0,IF(MOD(C295,2)=1,1,2))</f>
        <v>0</v>
      </c>
      <c r="K295" s="3">
        <f>IF(OR(D295="",ISBLANK(D295),D295=0),0,IF(MOD(D295,2)=1,1,2))</f>
        <v>0</v>
      </c>
      <c r="L295" s="3">
        <f>IF(OR(E295="",ISBLANK(E295),E295=0),0,IF(MOD(E295,2)=1,1,2))</f>
        <v>0</v>
      </c>
      <c r="M295" s="3">
        <f>IF(OR(F295="",ISBLANK(F295),F295=0),0,IF(MOD(F295,2)=1,1,2))</f>
        <v>0</v>
      </c>
      <c r="N295" s="3">
        <f>IF(OR(G295="",ISBLANK(G295),G295=0),0,IF(MOD(G295,2)=1,1,2))</f>
        <v>0</v>
      </c>
      <c r="O295" s="32"/>
      <c r="P295" s="3" cm="1">
        <f t="array" ref="P295">SUMPRODUCT(--(MOD(B295:G295,2)=1))</f>
        <v>0</v>
      </c>
      <c r="Q295" s="3">
        <f>6-P295</f>
        <v>6</v>
      </c>
      <c r="R295" s="34"/>
      <c r="S295" s="3">
        <f>COUNTIFS(B295:G295,"&gt;=1",B295:G295,"&lt;=23")</f>
        <v>0</v>
      </c>
      <c r="T295" s="3">
        <f>6-S295</f>
        <v>6</v>
      </c>
      <c r="U295" s="34"/>
      <c r="V295" s="3" cm="1">
        <f t="array" ref="V295">SUMPRODUCT(--(MOD(B295:G295,10)&gt;=1), --(MOD(B295:G295,10)&lt;=5))</f>
        <v>0</v>
      </c>
      <c r="W295" s="3">
        <f>6-V295</f>
        <v>6</v>
      </c>
      <c r="X295" s="34"/>
      <c r="Y295" s="3" cm="1">
        <f t="array" ref="Y295">IFERROR(COUNT(_xlfn._xlws.FILTER(B295:G295, ISNUMBER(MATCH(B295:G295, {2,3,5,7,11,13,17,19,23,29,31,37,41,43}, 0)))), 0)</f>
        <v>0</v>
      </c>
      <c r="Z295" s="3" cm="1">
        <f t="array" ref="Z295">IFERROR(COUNT(_xlfn._xlws.FILTER(B295:G295, ISNUMBER(MATCH(B295:G295, {1,4,8,10,14,16,20,22,25,26,28,32,34,35,38,40,44}, 0)))), 0)</f>
        <v>0</v>
      </c>
      <c r="AA295" s="3" cm="1">
        <f t="array" ref="AA295">IFERROR(COUNT(_xlfn._xlws.FILTER(B295:G295, ISNUMBER(MATCH(B295:G295, {6,9,12,15,18,21,24,27,30,33,36,39,42,45}, 0)))), 0)</f>
        <v>0</v>
      </c>
      <c r="AB295" s="30"/>
      <c r="AC295" s="26" cm="1">
        <f t="array" ref="AC295">_xlfn.IFS(
   OR(B295="",ISBLANK(B295),B295=0),0,
   ISNUMBER(MATCH(B295,{2,3,5,7,11,13,17,19,23,29,31,37,41,43},0)),"소",
   AND(ISNUMBER(B295),MOD(B295,3)=0),"배",
   AND(ISNUMBER(B295),B295&gt;0),"자"
)</f>
        <v>0</v>
      </c>
      <c r="AD295" s="26" cm="1">
        <f t="array" ref="AD295">_xlfn.IFS(
   OR(C295="",ISBLANK(C295),C295=0),0,
   ISNUMBER(MATCH(C295,{2,3,5,7,11,13,17,19,23,29,31,37,41,43},0)),"소",
   AND(ISNUMBER(C295),MOD(C295,3)=0),"배",
   AND(ISNUMBER(C295),C295&gt;0),"자"
)</f>
        <v>0</v>
      </c>
      <c r="AE295" s="26" cm="1">
        <f t="array" ref="AE295">_xlfn.IFS(
   OR(D295="",ISBLANK(D295),D295=0),0,
   ISNUMBER(MATCH(D295,{2,3,5,7,11,13,17,19,23,29,31,37,41,43},0)),"소",
   AND(ISNUMBER(D295),MOD(D295,3)=0),"배",
   AND(ISNUMBER(D295),D295&gt;0),"자"
)</f>
        <v>0</v>
      </c>
      <c r="AF295" s="26" cm="1">
        <f t="array" ref="AF295">_xlfn.IFS(
   OR(E295="",ISBLANK(E295),E295=0),0,
   ISNUMBER(MATCH(E295,{2,3,5,7,11,13,17,19,23,29,31,37,41,43},0)),"소",
   AND(ISNUMBER(E295),MOD(E295,3)=0),"배",
   AND(ISNUMBER(E295),E295&gt;0),"자"
)</f>
        <v>0</v>
      </c>
      <c r="AG295" s="26" cm="1">
        <f t="array" ref="AG295">_xlfn.IFS(
   OR(F295="",ISBLANK(F295),F295=0),0,
   ISNUMBER(MATCH(F295,{2,3,5,7,11,13,17,19,23,29,31,37,41,43},0)),"소",
   AND(ISNUMBER(F295),MOD(F295,3)=0),"배",
   AND(ISNUMBER(F295),F295&gt;0),"자"
)</f>
        <v>0</v>
      </c>
      <c r="AH295" s="26" cm="1">
        <f t="array" ref="AH295">_xlfn.IFS(
   OR(G295="",ISBLANK(G295),G295=0),0,
   ISNUMBER(MATCH(G295,{2,3,5,7,11,13,17,19,23,29,31,37,41,43},0)),"소",
   AND(ISNUMBER(G295),MOD(G295,3)=0),"배",
   AND(ISNUMBER(G295),G295&gt;0),"자"
)</f>
        <v>0</v>
      </c>
      <c r="AI295" s="30"/>
      <c r="AJ295" s="3">
        <f>COUNTIFS(B295:G295,"&gt;=1",B295:G295,"&lt;=14")</f>
        <v>0</v>
      </c>
      <c r="AK295" s="3">
        <f>COUNTIFS(B295:G295,"&gt;=15",B295:G295,"&lt;=31")</f>
        <v>0</v>
      </c>
      <c r="AL295" s="3">
        <f>6-AK295-AJ295</f>
        <v>6</v>
      </c>
      <c r="AM295" s="33"/>
      <c r="AN295" s="3">
        <f>COUNTIFS($B295:$G295, "&gt;=1",$B295:$G295, "&lt;=9")</f>
        <v>0</v>
      </c>
      <c r="AO295" s="3">
        <f>COUNTIFS($B295:$G295, "&gt;=10",$B295:$G295, "&lt;=18")</f>
        <v>0</v>
      </c>
      <c r="AP295" s="3">
        <f>COUNTIFS($B295:$G295, "&gt;=19",$B295:$G295, "&lt;=27")</f>
        <v>0</v>
      </c>
      <c r="AQ295" s="3">
        <f>COUNTIFS($B295:$G295, "&gt;=28",$B295:$G295, "&lt;=36")</f>
        <v>0</v>
      </c>
      <c r="AR295" s="3">
        <f>COUNTIFS($B295:$G295, "&gt;=37",$B295:$G295, "&lt;=45")</f>
        <v>0</v>
      </c>
      <c r="AS295" s="28" t="e">
        <f>#REF!</f>
        <v>#REF!</v>
      </c>
      <c r="AT295" s="28" t="e">
        <f>#REF!*2</f>
        <v>#REF!</v>
      </c>
      <c r="AU295" s="28" t="e">
        <f>#REF!</f>
        <v>#REF!</v>
      </c>
      <c r="AV295" s="28" t="e">
        <f>#REF!*2</f>
        <v>#REF!</v>
      </c>
      <c r="AW295" s="28" t="e">
        <f>#REF!</f>
        <v>#REF!</v>
      </c>
      <c r="AX295" s="28" t="e">
        <f>#REF!*2</f>
        <v>#REF!</v>
      </c>
      <c r="AY295" s="28" t="e">
        <f>#REF!</f>
        <v>#REF!</v>
      </c>
      <c r="AZ295" s="28" t="e">
        <f>#REF!*2</f>
        <v>#REF!</v>
      </c>
      <c r="BA295" s="28" t="e">
        <f>#REF!</f>
        <v>#REF!</v>
      </c>
      <c r="BB295" s="28" t="e">
        <f>#REF!*2</f>
        <v>#REF!</v>
      </c>
      <c r="BC295" s="28" t="e">
        <f>#REF!</f>
        <v>#REF!</v>
      </c>
      <c r="BD295" s="28" t="e">
        <f>#REF!*2</f>
        <v>#REF!</v>
      </c>
      <c r="BE295" s="9" t="e">
        <f>#REF!-#REF!</f>
        <v>#REF!</v>
      </c>
      <c r="BF295" s="9" t="e">
        <f>#REF!-#REF!</f>
        <v>#REF!</v>
      </c>
      <c r="BG295" s="9" t="e">
        <f>#REF!-#REF!</f>
        <v>#REF!</v>
      </c>
      <c r="BH295" s="9" t="e">
        <f>#REF!-#REF!</f>
        <v>#REF!</v>
      </c>
      <c r="BI295" s="9" t="e">
        <f>#REF!-#REF!</f>
        <v>#REF!</v>
      </c>
      <c r="BJ295" s="33"/>
      <c r="BK295" s="3">
        <f>COUNTIFS(B295:G295, "&gt;=1", B295:G295, "&lt;=9")</f>
        <v>0</v>
      </c>
      <c r="BL295" s="3">
        <f>COUNTIFS(B295:G295, "&gt;=10", B295:G295, "&lt;=19")</f>
        <v>0</v>
      </c>
      <c r="BM295" s="3">
        <f>COUNTIFS(B295:G295, "&gt;=20", B295:G295, "&lt;=29")</f>
        <v>0</v>
      </c>
      <c r="BN295" s="3">
        <f>COUNTIFS(B295:G295, "&gt;=30", B295:G295, "&lt;=39")</f>
        <v>0</v>
      </c>
      <c r="BO295" s="3">
        <f>COUNTIFS(B295:G295, "&gt;=40", B295:G295, "&lt;=45")</f>
        <v>0</v>
      </c>
      <c r="BP295" s="28" t="e">
        <f>#REF!</f>
        <v>#REF!</v>
      </c>
      <c r="BQ295" s="28" t="e">
        <f>#REF!*2</f>
        <v>#REF!</v>
      </c>
      <c r="BR295" s="28" t="e">
        <f>#REF!</f>
        <v>#REF!</v>
      </c>
      <c r="BS295" s="28" t="e">
        <f>#REF!*2</f>
        <v>#REF!</v>
      </c>
      <c r="BT295" s="28" t="e">
        <f>#REF!</f>
        <v>#REF!</v>
      </c>
      <c r="BU295" s="28" t="e">
        <f>#REF!*2</f>
        <v>#REF!</v>
      </c>
      <c r="BV295" s="28" t="e">
        <f>#REF!</f>
        <v>#REF!</v>
      </c>
      <c r="BW295" s="28" t="e">
        <f>#REF!*2</f>
        <v>#REF!</v>
      </c>
      <c r="BX295" s="28" t="e">
        <f>#REF!</f>
        <v>#REF!</v>
      </c>
      <c r="BY295" s="28" t="e">
        <f>#REF!*2</f>
        <v>#REF!</v>
      </c>
      <c r="BZ295" s="28" t="e">
        <f>#REF!</f>
        <v>#REF!</v>
      </c>
      <c r="CA295" s="28" t="e">
        <f>#REF!*2</f>
        <v>#REF!</v>
      </c>
      <c r="CB295" s="9">
        <f>C295-B295</f>
        <v>0</v>
      </c>
      <c r="CC295" s="9">
        <f>D295-C295</f>
        <v>0</v>
      </c>
      <c r="CD295" s="9">
        <f>E295-D295</f>
        <v>0</v>
      </c>
      <c r="CE295" s="9">
        <f>F295-E295</f>
        <v>0</v>
      </c>
      <c r="CF295" s="9">
        <f>G295-F295</f>
        <v>0</v>
      </c>
      <c r="CG295" s="33"/>
      <c r="CH295" s="3">
        <f>C295-B295</f>
        <v>0</v>
      </c>
      <c r="CI295" s="3">
        <f>D295-C295</f>
        <v>0</v>
      </c>
      <c r="CJ295" s="3">
        <f>E295-D295</f>
        <v>0</v>
      </c>
      <c r="CK295" s="3">
        <f>F295-E295</f>
        <v>0</v>
      </c>
      <c r="CL295" s="3">
        <f>G295-F295</f>
        <v>0</v>
      </c>
      <c r="CM295" s="32"/>
      <c r="CN295" s="3">
        <f>IF(OR(CH295="",ISBLANK(CH295),CH295=0),0,IF(MOD(CH295,2)=1,1,2))</f>
        <v>0</v>
      </c>
      <c r="CO295" s="3">
        <f>IF(OR(CI295="",ISBLANK(CI295),CI295=0),0,IF(MOD(CI295,2)=1,1,2))</f>
        <v>0</v>
      </c>
      <c r="CP295" s="3">
        <f>IF(OR(CJ295="",ISBLANK(CJ295),CJ295=0),0,IF(MOD(CJ295,2)=1,1,2))</f>
        <v>0</v>
      </c>
      <c r="CQ295" s="3">
        <f>IF(OR(CK295="",ISBLANK(CK295),CK295=0),0,IF(MOD(CK295,2)=1,1,2))</f>
        <v>0</v>
      </c>
      <c r="CR295" s="3">
        <f>IF(OR(CL295="",ISBLANK(CL295),CL295=0),0,IF(MOD(CL295,2)=1,1,2))</f>
        <v>0</v>
      </c>
      <c r="CS295" s="31"/>
      <c r="CT295" s="3" cm="1">
        <f t="array" ref="CT295">SUMPRODUCT(--(MOD(CH295:CL295,2)=1))</f>
        <v>0</v>
      </c>
      <c r="CU295" s="3">
        <f>5-CT295</f>
        <v>5</v>
      </c>
      <c r="CV295" s="30"/>
      <c r="CW295" s="3" cm="1">
        <f t="array" ref="CW295">SUMPRODUCT(--(MOD(CH295:CL295,10)&gt;=1), --(MOD(CH295:CL295,10)&lt;=5))</f>
        <v>0</v>
      </c>
      <c r="CX295" s="3">
        <f>5-CW295</f>
        <v>5</v>
      </c>
      <c r="CY295" s="30"/>
      <c r="CZ295" s="3" cm="1">
        <f t="array" ref="CZ295">IFERROR(COUNT(_xlfn._xlws.FILTER(CH295:CL295, ISNUMBER(MATCH(CH295:CL295, {2,3,5,7,11,13,17,19,23,29,31,37,41,43}, 0)))), 0)</f>
        <v>0</v>
      </c>
      <c r="DA295" s="3" cm="1">
        <f t="array" ref="DA295">IFERROR(COUNT(_xlfn._xlws.FILTER(CH295:CL295, ISNUMBER(MATCH(CH295:CL295, {1,4,8,10,14,16,20,22,25,26,28,32,34,35,38,40,44}, 0)))), 0)</f>
        <v>0</v>
      </c>
      <c r="DB295" s="3" cm="1">
        <f t="array" ref="DB295">IFERROR(COUNT(_xlfn._xlws.FILTER(CH295:CL295, ISNUMBER(MATCH(CH295:CL295, {6,9,12,15,18,21,24,27,30,33,36,39,42,45}, 0)))), 0)</f>
        <v>0</v>
      </c>
      <c r="DC295" s="29"/>
      <c r="DD295" s="28" t="e">
        <f>#REF!</f>
        <v>#REF!</v>
      </c>
      <c r="DE295" s="28" t="e">
        <f>#REF!*2</f>
        <v>#REF!</v>
      </c>
      <c r="DF295" s="28" t="e">
        <f>#REF!</f>
        <v>#REF!</v>
      </c>
      <c r="DG295" s="28" t="e">
        <f>#REF!*2</f>
        <v>#REF!</v>
      </c>
      <c r="DH295" s="28" t="e">
        <f>#REF!</f>
        <v>#REF!</v>
      </c>
      <c r="DI295" s="28" t="e">
        <f>#REF!*2</f>
        <v>#REF!</v>
      </c>
      <c r="DJ295" s="28" t="e">
        <f>#REF!</f>
        <v>#REF!</v>
      </c>
      <c r="DK295" s="28" t="e">
        <f>#REF!*2</f>
        <v>#REF!</v>
      </c>
      <c r="DL295" s="28" t="e">
        <f>#REF!</f>
        <v>#REF!</v>
      </c>
      <c r="DM295" s="28" t="e">
        <f>#REF!*2</f>
        <v>#REF!</v>
      </c>
      <c r="DN295" s="27"/>
      <c r="DO295" s="26"/>
      <c r="DP295" s="26"/>
      <c r="DQ295" s="26"/>
      <c r="DR295" s="26"/>
      <c r="DS295" s="26"/>
      <c r="DT295" s="25"/>
    </row>
    <row r="296" spans="2:124" x14ac:dyDescent="0.3">
      <c r="B296" s="3">
        <v>0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2"/>
      <c r="I296" s="3">
        <f>IF(OR(B296="",ISBLANK(B296),B296=0),0,IF(MOD(B296,2)=1,1,2))</f>
        <v>0</v>
      </c>
      <c r="J296" s="3">
        <f>IF(OR(C296="",ISBLANK(C296),C296=0),0,IF(MOD(C296,2)=1,1,2))</f>
        <v>0</v>
      </c>
      <c r="K296" s="3">
        <f>IF(OR(D296="",ISBLANK(D296),D296=0),0,IF(MOD(D296,2)=1,1,2))</f>
        <v>0</v>
      </c>
      <c r="L296" s="3">
        <f>IF(OR(E296="",ISBLANK(E296),E296=0),0,IF(MOD(E296,2)=1,1,2))</f>
        <v>0</v>
      </c>
      <c r="M296" s="3">
        <f>IF(OR(F296="",ISBLANK(F296),F296=0),0,IF(MOD(F296,2)=1,1,2))</f>
        <v>0</v>
      </c>
      <c r="N296" s="3">
        <f>IF(OR(G296="",ISBLANK(G296),G296=0),0,IF(MOD(G296,2)=1,1,2))</f>
        <v>0</v>
      </c>
      <c r="O296" s="32"/>
      <c r="P296" s="3" cm="1">
        <f t="array" ref="P296">SUMPRODUCT(--(MOD(B296:G296,2)=1))</f>
        <v>0</v>
      </c>
      <c r="Q296" s="3">
        <f>6-P296</f>
        <v>6</v>
      </c>
      <c r="R296" s="34"/>
      <c r="S296" s="3">
        <f>COUNTIFS(B296:G296,"&gt;=1",B296:G296,"&lt;=23")</f>
        <v>0</v>
      </c>
      <c r="T296" s="3">
        <f>6-S296</f>
        <v>6</v>
      </c>
      <c r="U296" s="34"/>
      <c r="V296" s="3" cm="1">
        <f t="array" ref="V296">SUMPRODUCT(--(MOD(B296:G296,10)&gt;=1), --(MOD(B296:G296,10)&lt;=5))</f>
        <v>0</v>
      </c>
      <c r="W296" s="3">
        <f>6-V296</f>
        <v>6</v>
      </c>
      <c r="X296" s="34"/>
      <c r="Y296" s="3" cm="1">
        <f t="array" ref="Y296">IFERROR(COUNT(_xlfn._xlws.FILTER(B296:G296, ISNUMBER(MATCH(B296:G296, {2,3,5,7,11,13,17,19,23,29,31,37,41,43}, 0)))), 0)</f>
        <v>0</v>
      </c>
      <c r="Z296" s="3" cm="1">
        <f t="array" ref="Z296">IFERROR(COUNT(_xlfn._xlws.FILTER(B296:G296, ISNUMBER(MATCH(B296:G296, {1,4,8,10,14,16,20,22,25,26,28,32,34,35,38,40,44}, 0)))), 0)</f>
        <v>0</v>
      </c>
      <c r="AA296" s="3" cm="1">
        <f t="array" ref="AA296">IFERROR(COUNT(_xlfn._xlws.FILTER(B296:G296, ISNUMBER(MATCH(B296:G296, {6,9,12,15,18,21,24,27,30,33,36,39,42,45}, 0)))), 0)</f>
        <v>0</v>
      </c>
      <c r="AB296" s="30"/>
      <c r="AC296" s="26" cm="1">
        <f t="array" ref="AC296">_xlfn.IFS(
   OR(B296="",ISBLANK(B296),B296=0),0,
   ISNUMBER(MATCH(B296,{2,3,5,7,11,13,17,19,23,29,31,37,41,43},0)),"소",
   AND(ISNUMBER(B296),MOD(B296,3)=0),"배",
   AND(ISNUMBER(B296),B296&gt;0),"자"
)</f>
        <v>0</v>
      </c>
      <c r="AD296" s="26" cm="1">
        <f t="array" ref="AD296">_xlfn.IFS(
   OR(C296="",ISBLANK(C296),C296=0),0,
   ISNUMBER(MATCH(C296,{2,3,5,7,11,13,17,19,23,29,31,37,41,43},0)),"소",
   AND(ISNUMBER(C296),MOD(C296,3)=0),"배",
   AND(ISNUMBER(C296),C296&gt;0),"자"
)</f>
        <v>0</v>
      </c>
      <c r="AE296" s="26" cm="1">
        <f t="array" ref="AE296">_xlfn.IFS(
   OR(D296="",ISBLANK(D296),D296=0),0,
   ISNUMBER(MATCH(D296,{2,3,5,7,11,13,17,19,23,29,31,37,41,43},0)),"소",
   AND(ISNUMBER(D296),MOD(D296,3)=0),"배",
   AND(ISNUMBER(D296),D296&gt;0),"자"
)</f>
        <v>0</v>
      </c>
      <c r="AF296" s="26" cm="1">
        <f t="array" ref="AF296">_xlfn.IFS(
   OR(E296="",ISBLANK(E296),E296=0),0,
   ISNUMBER(MATCH(E296,{2,3,5,7,11,13,17,19,23,29,31,37,41,43},0)),"소",
   AND(ISNUMBER(E296),MOD(E296,3)=0),"배",
   AND(ISNUMBER(E296),E296&gt;0),"자"
)</f>
        <v>0</v>
      </c>
      <c r="AG296" s="26" cm="1">
        <f t="array" ref="AG296">_xlfn.IFS(
   OR(F296="",ISBLANK(F296),F296=0),0,
   ISNUMBER(MATCH(F296,{2,3,5,7,11,13,17,19,23,29,31,37,41,43},0)),"소",
   AND(ISNUMBER(F296),MOD(F296,3)=0),"배",
   AND(ISNUMBER(F296),F296&gt;0),"자"
)</f>
        <v>0</v>
      </c>
      <c r="AH296" s="26" cm="1">
        <f t="array" ref="AH296">_xlfn.IFS(
   OR(G296="",ISBLANK(G296),G296=0),0,
   ISNUMBER(MATCH(G296,{2,3,5,7,11,13,17,19,23,29,31,37,41,43},0)),"소",
   AND(ISNUMBER(G296),MOD(G296,3)=0),"배",
   AND(ISNUMBER(G296),G296&gt;0),"자"
)</f>
        <v>0</v>
      </c>
      <c r="AI296" s="30"/>
      <c r="AJ296" s="3">
        <f>COUNTIFS(B296:G296,"&gt;=1",B296:G296,"&lt;=14")</f>
        <v>0</v>
      </c>
      <c r="AK296" s="3">
        <f>COUNTIFS(B296:G296,"&gt;=15",B296:G296,"&lt;=31")</f>
        <v>0</v>
      </c>
      <c r="AL296" s="3">
        <f>6-AK296-AJ296</f>
        <v>6</v>
      </c>
      <c r="AM296" s="33"/>
      <c r="AN296" s="3">
        <f>COUNTIFS($B296:$G296, "&gt;=1",$B296:$G296, "&lt;=9")</f>
        <v>0</v>
      </c>
      <c r="AO296" s="3">
        <f>COUNTIFS($B296:$G296, "&gt;=10",$B296:$G296, "&lt;=18")</f>
        <v>0</v>
      </c>
      <c r="AP296" s="3">
        <f>COUNTIFS($B296:$G296, "&gt;=19",$B296:$G296, "&lt;=27")</f>
        <v>0</v>
      </c>
      <c r="AQ296" s="3">
        <f>COUNTIFS($B296:$G296, "&gt;=28",$B296:$G296, "&lt;=36")</f>
        <v>0</v>
      </c>
      <c r="AR296" s="3">
        <f>COUNTIFS($B296:$G296, "&gt;=37",$B296:$G296, "&lt;=45")</f>
        <v>0</v>
      </c>
      <c r="AS296" s="28" t="e">
        <f>#REF!</f>
        <v>#REF!</v>
      </c>
      <c r="AT296" s="28" t="e">
        <f>#REF!*2</f>
        <v>#REF!</v>
      </c>
      <c r="AU296" s="28" t="e">
        <f>#REF!</f>
        <v>#REF!</v>
      </c>
      <c r="AV296" s="28" t="e">
        <f>#REF!*2</f>
        <v>#REF!</v>
      </c>
      <c r="AW296" s="28" t="e">
        <f>#REF!</f>
        <v>#REF!</v>
      </c>
      <c r="AX296" s="28" t="e">
        <f>#REF!*2</f>
        <v>#REF!</v>
      </c>
      <c r="AY296" s="28" t="e">
        <f>#REF!</f>
        <v>#REF!</v>
      </c>
      <c r="AZ296" s="28" t="e">
        <f>#REF!*2</f>
        <v>#REF!</v>
      </c>
      <c r="BA296" s="28" t="e">
        <f>#REF!</f>
        <v>#REF!</v>
      </c>
      <c r="BB296" s="28" t="e">
        <f>#REF!*2</f>
        <v>#REF!</v>
      </c>
      <c r="BC296" s="28" t="e">
        <f>#REF!</f>
        <v>#REF!</v>
      </c>
      <c r="BD296" s="28" t="e">
        <f>#REF!*2</f>
        <v>#REF!</v>
      </c>
      <c r="BE296" s="9" t="e">
        <f>#REF!-#REF!</f>
        <v>#REF!</v>
      </c>
      <c r="BF296" s="9" t="e">
        <f>#REF!-#REF!</f>
        <v>#REF!</v>
      </c>
      <c r="BG296" s="9" t="e">
        <f>#REF!-#REF!</f>
        <v>#REF!</v>
      </c>
      <c r="BH296" s="9" t="e">
        <f>#REF!-#REF!</f>
        <v>#REF!</v>
      </c>
      <c r="BI296" s="9" t="e">
        <f>#REF!-#REF!</f>
        <v>#REF!</v>
      </c>
      <c r="BJ296" s="33"/>
      <c r="BK296" s="3">
        <f>COUNTIFS(B296:G296, "&gt;=1", B296:G296, "&lt;=9")</f>
        <v>0</v>
      </c>
      <c r="BL296" s="3">
        <f>COUNTIFS(B296:G296, "&gt;=10", B296:G296, "&lt;=19")</f>
        <v>0</v>
      </c>
      <c r="BM296" s="3">
        <f>COUNTIFS(B296:G296, "&gt;=20", B296:G296, "&lt;=29")</f>
        <v>0</v>
      </c>
      <c r="BN296" s="3">
        <f>COUNTIFS(B296:G296, "&gt;=30", B296:G296, "&lt;=39")</f>
        <v>0</v>
      </c>
      <c r="BO296" s="3">
        <f>COUNTIFS(B296:G296, "&gt;=40", B296:G296, "&lt;=45")</f>
        <v>0</v>
      </c>
      <c r="BP296" s="28" t="e">
        <f>#REF!</f>
        <v>#REF!</v>
      </c>
      <c r="BQ296" s="28" t="e">
        <f>#REF!*2</f>
        <v>#REF!</v>
      </c>
      <c r="BR296" s="28" t="e">
        <f>#REF!</f>
        <v>#REF!</v>
      </c>
      <c r="BS296" s="28" t="e">
        <f>#REF!*2</f>
        <v>#REF!</v>
      </c>
      <c r="BT296" s="28" t="e">
        <f>#REF!</f>
        <v>#REF!</v>
      </c>
      <c r="BU296" s="28" t="e">
        <f>#REF!*2</f>
        <v>#REF!</v>
      </c>
      <c r="BV296" s="28" t="e">
        <f>#REF!</f>
        <v>#REF!</v>
      </c>
      <c r="BW296" s="28" t="e">
        <f>#REF!*2</f>
        <v>#REF!</v>
      </c>
      <c r="BX296" s="28" t="e">
        <f>#REF!</f>
        <v>#REF!</v>
      </c>
      <c r="BY296" s="28" t="e">
        <f>#REF!*2</f>
        <v>#REF!</v>
      </c>
      <c r="BZ296" s="28" t="e">
        <f>#REF!</f>
        <v>#REF!</v>
      </c>
      <c r="CA296" s="28" t="e">
        <f>#REF!*2</f>
        <v>#REF!</v>
      </c>
      <c r="CB296" s="9">
        <f>C296-B296</f>
        <v>0</v>
      </c>
      <c r="CC296" s="9">
        <f>D296-C296</f>
        <v>0</v>
      </c>
      <c r="CD296" s="9">
        <f>E296-D296</f>
        <v>0</v>
      </c>
      <c r="CE296" s="9">
        <f>F296-E296</f>
        <v>0</v>
      </c>
      <c r="CF296" s="9">
        <f>G296-F296</f>
        <v>0</v>
      </c>
      <c r="CG296" s="33"/>
      <c r="CH296" s="3">
        <f>C296-B296</f>
        <v>0</v>
      </c>
      <c r="CI296" s="3">
        <f>D296-C296</f>
        <v>0</v>
      </c>
      <c r="CJ296" s="3">
        <f>E296-D296</f>
        <v>0</v>
      </c>
      <c r="CK296" s="3">
        <f>F296-E296</f>
        <v>0</v>
      </c>
      <c r="CL296" s="3">
        <f>G296-F296</f>
        <v>0</v>
      </c>
      <c r="CM296" s="32"/>
      <c r="CN296" s="3">
        <f>IF(OR(CH296="",ISBLANK(CH296),CH296=0),0,IF(MOD(CH296,2)=1,1,2))</f>
        <v>0</v>
      </c>
      <c r="CO296" s="3">
        <f>IF(OR(CI296="",ISBLANK(CI296),CI296=0),0,IF(MOD(CI296,2)=1,1,2))</f>
        <v>0</v>
      </c>
      <c r="CP296" s="3">
        <f>IF(OR(CJ296="",ISBLANK(CJ296),CJ296=0),0,IF(MOD(CJ296,2)=1,1,2))</f>
        <v>0</v>
      </c>
      <c r="CQ296" s="3">
        <f>IF(OR(CK296="",ISBLANK(CK296),CK296=0),0,IF(MOD(CK296,2)=1,1,2))</f>
        <v>0</v>
      </c>
      <c r="CR296" s="3">
        <f>IF(OR(CL296="",ISBLANK(CL296),CL296=0),0,IF(MOD(CL296,2)=1,1,2))</f>
        <v>0</v>
      </c>
      <c r="CS296" s="31"/>
      <c r="CT296" s="3" cm="1">
        <f t="array" ref="CT296">SUMPRODUCT(--(MOD(CH296:CL296,2)=1))</f>
        <v>0</v>
      </c>
      <c r="CU296" s="3">
        <f>5-CT296</f>
        <v>5</v>
      </c>
      <c r="CV296" s="30"/>
      <c r="CW296" s="3" cm="1">
        <f t="array" ref="CW296">SUMPRODUCT(--(MOD(CH296:CL296,10)&gt;=1), --(MOD(CH296:CL296,10)&lt;=5))</f>
        <v>0</v>
      </c>
      <c r="CX296" s="3">
        <f>5-CW296</f>
        <v>5</v>
      </c>
      <c r="CY296" s="30"/>
      <c r="CZ296" s="3" cm="1">
        <f t="array" ref="CZ296">IFERROR(COUNT(_xlfn._xlws.FILTER(CH296:CL296, ISNUMBER(MATCH(CH296:CL296, {2,3,5,7,11,13,17,19,23,29,31,37,41,43}, 0)))), 0)</f>
        <v>0</v>
      </c>
      <c r="DA296" s="3" cm="1">
        <f t="array" ref="DA296">IFERROR(COUNT(_xlfn._xlws.FILTER(CH296:CL296, ISNUMBER(MATCH(CH296:CL296, {1,4,8,10,14,16,20,22,25,26,28,32,34,35,38,40,44}, 0)))), 0)</f>
        <v>0</v>
      </c>
      <c r="DB296" s="3" cm="1">
        <f t="array" ref="DB296">IFERROR(COUNT(_xlfn._xlws.FILTER(CH296:CL296, ISNUMBER(MATCH(CH296:CL296, {6,9,12,15,18,21,24,27,30,33,36,39,42,45}, 0)))), 0)</f>
        <v>0</v>
      </c>
      <c r="DC296" s="29"/>
      <c r="DD296" s="28" t="e">
        <f>#REF!</f>
        <v>#REF!</v>
      </c>
      <c r="DE296" s="28" t="e">
        <f>#REF!*2</f>
        <v>#REF!</v>
      </c>
      <c r="DF296" s="28" t="e">
        <f>#REF!</f>
        <v>#REF!</v>
      </c>
      <c r="DG296" s="28" t="e">
        <f>#REF!*2</f>
        <v>#REF!</v>
      </c>
      <c r="DH296" s="28" t="e">
        <f>#REF!</f>
        <v>#REF!</v>
      </c>
      <c r="DI296" s="28" t="e">
        <f>#REF!*2</f>
        <v>#REF!</v>
      </c>
      <c r="DJ296" s="28" t="e">
        <f>#REF!</f>
        <v>#REF!</v>
      </c>
      <c r="DK296" s="28" t="e">
        <f>#REF!*2</f>
        <v>#REF!</v>
      </c>
      <c r="DL296" s="28" t="e">
        <f>#REF!</f>
        <v>#REF!</v>
      </c>
      <c r="DM296" s="28" t="e">
        <f>#REF!*2</f>
        <v>#REF!</v>
      </c>
      <c r="DN296" s="27"/>
      <c r="DO296" s="26"/>
      <c r="DP296" s="26"/>
      <c r="DQ296" s="26"/>
      <c r="DR296" s="26"/>
      <c r="DS296" s="26"/>
      <c r="DT296" s="25"/>
    </row>
    <row r="297" spans="2:124" x14ac:dyDescent="0.3"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2"/>
      <c r="I297" s="3">
        <f>IF(OR(B297="",ISBLANK(B297),B297=0),0,IF(MOD(B297,2)=1,1,2))</f>
        <v>0</v>
      </c>
      <c r="J297" s="3">
        <f>IF(OR(C297="",ISBLANK(C297),C297=0),0,IF(MOD(C297,2)=1,1,2))</f>
        <v>0</v>
      </c>
      <c r="K297" s="3">
        <f>IF(OR(D297="",ISBLANK(D297),D297=0),0,IF(MOD(D297,2)=1,1,2))</f>
        <v>0</v>
      </c>
      <c r="L297" s="3">
        <f>IF(OR(E297="",ISBLANK(E297),E297=0),0,IF(MOD(E297,2)=1,1,2))</f>
        <v>0</v>
      </c>
      <c r="M297" s="3">
        <f>IF(OR(F297="",ISBLANK(F297),F297=0),0,IF(MOD(F297,2)=1,1,2))</f>
        <v>0</v>
      </c>
      <c r="N297" s="3">
        <f>IF(OR(G297="",ISBLANK(G297),G297=0),0,IF(MOD(G297,2)=1,1,2))</f>
        <v>0</v>
      </c>
      <c r="O297" s="32"/>
      <c r="P297" s="3" cm="1">
        <f t="array" ref="P297">SUMPRODUCT(--(MOD(B297:G297,2)=1))</f>
        <v>0</v>
      </c>
      <c r="Q297" s="3">
        <f>6-P297</f>
        <v>6</v>
      </c>
      <c r="R297" s="34"/>
      <c r="S297" s="3">
        <f>COUNTIFS(B297:G297,"&gt;=1",B297:G297,"&lt;=23")</f>
        <v>0</v>
      </c>
      <c r="T297" s="3">
        <f>6-S297</f>
        <v>6</v>
      </c>
      <c r="U297" s="34"/>
      <c r="V297" s="3" cm="1">
        <f t="array" ref="V297">SUMPRODUCT(--(MOD(B297:G297,10)&gt;=1), --(MOD(B297:G297,10)&lt;=5))</f>
        <v>0</v>
      </c>
      <c r="W297" s="3">
        <f>6-V297</f>
        <v>6</v>
      </c>
      <c r="X297" s="34"/>
      <c r="Y297" s="3" cm="1">
        <f t="array" ref="Y297">IFERROR(COUNT(_xlfn._xlws.FILTER(B297:G297, ISNUMBER(MATCH(B297:G297, {2,3,5,7,11,13,17,19,23,29,31,37,41,43}, 0)))), 0)</f>
        <v>0</v>
      </c>
      <c r="Z297" s="3" cm="1">
        <f t="array" ref="Z297">IFERROR(COUNT(_xlfn._xlws.FILTER(B297:G297, ISNUMBER(MATCH(B297:G297, {1,4,8,10,14,16,20,22,25,26,28,32,34,35,38,40,44}, 0)))), 0)</f>
        <v>0</v>
      </c>
      <c r="AA297" s="3" cm="1">
        <f t="array" ref="AA297">IFERROR(COUNT(_xlfn._xlws.FILTER(B297:G297, ISNUMBER(MATCH(B297:G297, {6,9,12,15,18,21,24,27,30,33,36,39,42,45}, 0)))), 0)</f>
        <v>0</v>
      </c>
      <c r="AB297" s="30"/>
      <c r="AC297" s="26" cm="1">
        <f t="array" ref="AC297">_xlfn.IFS(
   OR(B297="",ISBLANK(B297),B297=0),0,
   ISNUMBER(MATCH(B297,{2,3,5,7,11,13,17,19,23,29,31,37,41,43},0)),"소",
   AND(ISNUMBER(B297),MOD(B297,3)=0),"배",
   AND(ISNUMBER(B297),B297&gt;0),"자"
)</f>
        <v>0</v>
      </c>
      <c r="AD297" s="26" cm="1">
        <f t="array" ref="AD297">_xlfn.IFS(
   OR(C297="",ISBLANK(C297),C297=0),0,
   ISNUMBER(MATCH(C297,{2,3,5,7,11,13,17,19,23,29,31,37,41,43},0)),"소",
   AND(ISNUMBER(C297),MOD(C297,3)=0),"배",
   AND(ISNUMBER(C297),C297&gt;0),"자"
)</f>
        <v>0</v>
      </c>
      <c r="AE297" s="26" cm="1">
        <f t="array" ref="AE297">_xlfn.IFS(
   OR(D297="",ISBLANK(D297),D297=0),0,
   ISNUMBER(MATCH(D297,{2,3,5,7,11,13,17,19,23,29,31,37,41,43},0)),"소",
   AND(ISNUMBER(D297),MOD(D297,3)=0),"배",
   AND(ISNUMBER(D297),D297&gt;0),"자"
)</f>
        <v>0</v>
      </c>
      <c r="AF297" s="26" cm="1">
        <f t="array" ref="AF297">_xlfn.IFS(
   OR(E297="",ISBLANK(E297),E297=0),0,
   ISNUMBER(MATCH(E297,{2,3,5,7,11,13,17,19,23,29,31,37,41,43},0)),"소",
   AND(ISNUMBER(E297),MOD(E297,3)=0),"배",
   AND(ISNUMBER(E297),E297&gt;0),"자"
)</f>
        <v>0</v>
      </c>
      <c r="AG297" s="26" cm="1">
        <f t="array" ref="AG297">_xlfn.IFS(
   OR(F297="",ISBLANK(F297),F297=0),0,
   ISNUMBER(MATCH(F297,{2,3,5,7,11,13,17,19,23,29,31,37,41,43},0)),"소",
   AND(ISNUMBER(F297),MOD(F297,3)=0),"배",
   AND(ISNUMBER(F297),F297&gt;0),"자"
)</f>
        <v>0</v>
      </c>
      <c r="AH297" s="26" cm="1">
        <f t="array" ref="AH297">_xlfn.IFS(
   OR(G297="",ISBLANK(G297),G297=0),0,
   ISNUMBER(MATCH(G297,{2,3,5,7,11,13,17,19,23,29,31,37,41,43},0)),"소",
   AND(ISNUMBER(G297),MOD(G297,3)=0),"배",
   AND(ISNUMBER(G297),G297&gt;0),"자"
)</f>
        <v>0</v>
      </c>
      <c r="AI297" s="30"/>
      <c r="AJ297" s="3">
        <f>COUNTIFS(B297:G297,"&gt;=1",B297:G297,"&lt;=14")</f>
        <v>0</v>
      </c>
      <c r="AK297" s="3">
        <f>COUNTIFS(B297:G297,"&gt;=15",B297:G297,"&lt;=31")</f>
        <v>0</v>
      </c>
      <c r="AL297" s="3">
        <f>6-AK297-AJ297</f>
        <v>6</v>
      </c>
      <c r="AM297" s="33"/>
      <c r="AN297" s="3">
        <f>COUNTIFS($B297:$G297, "&gt;=1",$B297:$G297, "&lt;=9")</f>
        <v>0</v>
      </c>
      <c r="AO297" s="3">
        <f>COUNTIFS($B297:$G297, "&gt;=10",$B297:$G297, "&lt;=18")</f>
        <v>0</v>
      </c>
      <c r="AP297" s="3">
        <f>COUNTIFS($B297:$G297, "&gt;=19",$B297:$G297, "&lt;=27")</f>
        <v>0</v>
      </c>
      <c r="AQ297" s="3">
        <f>COUNTIFS($B297:$G297, "&gt;=28",$B297:$G297, "&lt;=36")</f>
        <v>0</v>
      </c>
      <c r="AR297" s="3">
        <f>COUNTIFS($B297:$G297, "&gt;=37",$B297:$G297, "&lt;=45")</f>
        <v>0</v>
      </c>
      <c r="AS297" s="28" t="e">
        <f>#REF!</f>
        <v>#REF!</v>
      </c>
      <c r="AT297" s="28" t="e">
        <f>#REF!*2</f>
        <v>#REF!</v>
      </c>
      <c r="AU297" s="28" t="e">
        <f>#REF!</f>
        <v>#REF!</v>
      </c>
      <c r="AV297" s="28" t="e">
        <f>#REF!*2</f>
        <v>#REF!</v>
      </c>
      <c r="AW297" s="28" t="e">
        <f>#REF!</f>
        <v>#REF!</v>
      </c>
      <c r="AX297" s="28" t="e">
        <f>#REF!*2</f>
        <v>#REF!</v>
      </c>
      <c r="AY297" s="28" t="e">
        <f>#REF!</f>
        <v>#REF!</v>
      </c>
      <c r="AZ297" s="28" t="e">
        <f>#REF!*2</f>
        <v>#REF!</v>
      </c>
      <c r="BA297" s="28" t="e">
        <f>#REF!</f>
        <v>#REF!</v>
      </c>
      <c r="BB297" s="28" t="e">
        <f>#REF!*2</f>
        <v>#REF!</v>
      </c>
      <c r="BC297" s="28" t="e">
        <f>#REF!</f>
        <v>#REF!</v>
      </c>
      <c r="BD297" s="28" t="e">
        <f>#REF!*2</f>
        <v>#REF!</v>
      </c>
      <c r="BE297" s="9" t="e">
        <f>#REF!-#REF!</f>
        <v>#REF!</v>
      </c>
      <c r="BF297" s="9" t="e">
        <f>#REF!-#REF!</f>
        <v>#REF!</v>
      </c>
      <c r="BG297" s="9" t="e">
        <f>#REF!-#REF!</f>
        <v>#REF!</v>
      </c>
      <c r="BH297" s="9" t="e">
        <f>#REF!-#REF!</f>
        <v>#REF!</v>
      </c>
      <c r="BI297" s="9" t="e">
        <f>#REF!-#REF!</f>
        <v>#REF!</v>
      </c>
      <c r="BJ297" s="33"/>
      <c r="BK297" s="3">
        <f>COUNTIFS(B297:G297, "&gt;=1", B297:G297, "&lt;=9")</f>
        <v>0</v>
      </c>
      <c r="BL297" s="3">
        <f>COUNTIFS(B297:G297, "&gt;=10", B297:G297, "&lt;=19")</f>
        <v>0</v>
      </c>
      <c r="BM297" s="3">
        <f>COUNTIFS(B297:G297, "&gt;=20", B297:G297, "&lt;=29")</f>
        <v>0</v>
      </c>
      <c r="BN297" s="3">
        <f>COUNTIFS(B297:G297, "&gt;=30", B297:G297, "&lt;=39")</f>
        <v>0</v>
      </c>
      <c r="BO297" s="3">
        <f>COUNTIFS(B297:G297, "&gt;=40", B297:G297, "&lt;=45")</f>
        <v>0</v>
      </c>
      <c r="BP297" s="28" t="e">
        <f>#REF!</f>
        <v>#REF!</v>
      </c>
      <c r="BQ297" s="28" t="e">
        <f>#REF!*2</f>
        <v>#REF!</v>
      </c>
      <c r="BR297" s="28" t="e">
        <f>#REF!</f>
        <v>#REF!</v>
      </c>
      <c r="BS297" s="28" t="e">
        <f>#REF!*2</f>
        <v>#REF!</v>
      </c>
      <c r="BT297" s="28" t="e">
        <f>#REF!</f>
        <v>#REF!</v>
      </c>
      <c r="BU297" s="28" t="e">
        <f>#REF!*2</f>
        <v>#REF!</v>
      </c>
      <c r="BV297" s="28" t="e">
        <f>#REF!</f>
        <v>#REF!</v>
      </c>
      <c r="BW297" s="28" t="e">
        <f>#REF!*2</f>
        <v>#REF!</v>
      </c>
      <c r="BX297" s="28" t="e">
        <f>#REF!</f>
        <v>#REF!</v>
      </c>
      <c r="BY297" s="28" t="e">
        <f>#REF!*2</f>
        <v>#REF!</v>
      </c>
      <c r="BZ297" s="28" t="e">
        <f>#REF!</f>
        <v>#REF!</v>
      </c>
      <c r="CA297" s="28" t="e">
        <f>#REF!*2</f>
        <v>#REF!</v>
      </c>
      <c r="CB297" s="9">
        <f>C297-B297</f>
        <v>0</v>
      </c>
      <c r="CC297" s="9">
        <f>D297-C297</f>
        <v>0</v>
      </c>
      <c r="CD297" s="9">
        <f>E297-D297</f>
        <v>0</v>
      </c>
      <c r="CE297" s="9">
        <f>F297-E297</f>
        <v>0</v>
      </c>
      <c r="CF297" s="9">
        <f>G297-F297</f>
        <v>0</v>
      </c>
      <c r="CG297" s="33"/>
      <c r="CH297" s="3">
        <f>C297-B297</f>
        <v>0</v>
      </c>
      <c r="CI297" s="3">
        <f>D297-C297</f>
        <v>0</v>
      </c>
      <c r="CJ297" s="3">
        <f>E297-D297</f>
        <v>0</v>
      </c>
      <c r="CK297" s="3">
        <f>F297-E297</f>
        <v>0</v>
      </c>
      <c r="CL297" s="3">
        <f>G297-F297</f>
        <v>0</v>
      </c>
      <c r="CM297" s="32"/>
      <c r="CN297" s="3">
        <f>IF(OR(CH297="",ISBLANK(CH297),CH297=0),0,IF(MOD(CH297,2)=1,1,2))</f>
        <v>0</v>
      </c>
      <c r="CO297" s="3">
        <f>IF(OR(CI297="",ISBLANK(CI297),CI297=0),0,IF(MOD(CI297,2)=1,1,2))</f>
        <v>0</v>
      </c>
      <c r="CP297" s="3">
        <f>IF(OR(CJ297="",ISBLANK(CJ297),CJ297=0),0,IF(MOD(CJ297,2)=1,1,2))</f>
        <v>0</v>
      </c>
      <c r="CQ297" s="3">
        <f>IF(OR(CK297="",ISBLANK(CK297),CK297=0),0,IF(MOD(CK297,2)=1,1,2))</f>
        <v>0</v>
      </c>
      <c r="CR297" s="3">
        <f>IF(OR(CL297="",ISBLANK(CL297),CL297=0),0,IF(MOD(CL297,2)=1,1,2))</f>
        <v>0</v>
      </c>
      <c r="CS297" s="31"/>
      <c r="CT297" s="3" cm="1">
        <f t="array" ref="CT297">SUMPRODUCT(--(MOD(CH297:CL297,2)=1))</f>
        <v>0</v>
      </c>
      <c r="CU297" s="3">
        <f>5-CT297</f>
        <v>5</v>
      </c>
      <c r="CV297" s="30"/>
      <c r="CW297" s="3" cm="1">
        <f t="array" ref="CW297">SUMPRODUCT(--(MOD(CH297:CL297,10)&gt;=1), --(MOD(CH297:CL297,10)&lt;=5))</f>
        <v>0</v>
      </c>
      <c r="CX297" s="3">
        <f>5-CW297</f>
        <v>5</v>
      </c>
      <c r="CY297" s="30"/>
      <c r="CZ297" s="3" cm="1">
        <f t="array" ref="CZ297">IFERROR(COUNT(_xlfn._xlws.FILTER(CH297:CL297, ISNUMBER(MATCH(CH297:CL297, {2,3,5,7,11,13,17,19,23,29,31,37,41,43}, 0)))), 0)</f>
        <v>0</v>
      </c>
      <c r="DA297" s="3" cm="1">
        <f t="array" ref="DA297">IFERROR(COUNT(_xlfn._xlws.FILTER(CH297:CL297, ISNUMBER(MATCH(CH297:CL297, {1,4,8,10,14,16,20,22,25,26,28,32,34,35,38,40,44}, 0)))), 0)</f>
        <v>0</v>
      </c>
      <c r="DB297" s="3" cm="1">
        <f t="array" ref="DB297">IFERROR(COUNT(_xlfn._xlws.FILTER(CH297:CL297, ISNUMBER(MATCH(CH297:CL297, {6,9,12,15,18,21,24,27,30,33,36,39,42,45}, 0)))), 0)</f>
        <v>0</v>
      </c>
      <c r="DC297" s="29"/>
      <c r="DD297" s="28" t="e">
        <f>#REF!</f>
        <v>#REF!</v>
      </c>
      <c r="DE297" s="28" t="e">
        <f>#REF!*2</f>
        <v>#REF!</v>
      </c>
      <c r="DF297" s="28" t="e">
        <f>#REF!</f>
        <v>#REF!</v>
      </c>
      <c r="DG297" s="28" t="e">
        <f>#REF!*2</f>
        <v>#REF!</v>
      </c>
      <c r="DH297" s="28" t="e">
        <f>#REF!</f>
        <v>#REF!</v>
      </c>
      <c r="DI297" s="28" t="e">
        <f>#REF!*2</f>
        <v>#REF!</v>
      </c>
      <c r="DJ297" s="28" t="e">
        <f>#REF!</f>
        <v>#REF!</v>
      </c>
      <c r="DK297" s="28" t="e">
        <f>#REF!*2</f>
        <v>#REF!</v>
      </c>
      <c r="DL297" s="28" t="e">
        <f>#REF!</f>
        <v>#REF!</v>
      </c>
      <c r="DM297" s="28" t="e">
        <f>#REF!*2</f>
        <v>#REF!</v>
      </c>
      <c r="DN297" s="27"/>
      <c r="DO297" s="26"/>
      <c r="DP297" s="26"/>
      <c r="DQ297" s="26"/>
      <c r="DR297" s="26"/>
      <c r="DS297" s="26"/>
      <c r="DT297" s="25"/>
    </row>
    <row r="298" spans="2:124" x14ac:dyDescent="0.3">
      <c r="B298" s="3">
        <v>0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2"/>
      <c r="I298" s="3">
        <f>IF(OR(B298="",ISBLANK(B298),B298=0),0,IF(MOD(B298,2)=1,1,2))</f>
        <v>0</v>
      </c>
      <c r="J298" s="3">
        <f>IF(OR(C298="",ISBLANK(C298),C298=0),0,IF(MOD(C298,2)=1,1,2))</f>
        <v>0</v>
      </c>
      <c r="K298" s="3">
        <f>IF(OR(D298="",ISBLANK(D298),D298=0),0,IF(MOD(D298,2)=1,1,2))</f>
        <v>0</v>
      </c>
      <c r="L298" s="3">
        <f>IF(OR(E298="",ISBLANK(E298),E298=0),0,IF(MOD(E298,2)=1,1,2))</f>
        <v>0</v>
      </c>
      <c r="M298" s="3">
        <f>IF(OR(F298="",ISBLANK(F298),F298=0),0,IF(MOD(F298,2)=1,1,2))</f>
        <v>0</v>
      </c>
      <c r="N298" s="3">
        <f>IF(OR(G298="",ISBLANK(G298),G298=0),0,IF(MOD(G298,2)=1,1,2))</f>
        <v>0</v>
      </c>
      <c r="O298" s="32"/>
      <c r="P298" s="3" cm="1">
        <f t="array" ref="P298">SUMPRODUCT(--(MOD(B298:G298,2)=1))</f>
        <v>0</v>
      </c>
      <c r="Q298" s="3">
        <f>6-P298</f>
        <v>6</v>
      </c>
      <c r="R298" s="34"/>
      <c r="S298" s="3">
        <f>COUNTIFS(B298:G298,"&gt;=1",B298:G298,"&lt;=23")</f>
        <v>0</v>
      </c>
      <c r="T298" s="3">
        <f>6-S298</f>
        <v>6</v>
      </c>
      <c r="U298" s="34"/>
      <c r="V298" s="3" cm="1">
        <f t="array" ref="V298">SUMPRODUCT(--(MOD(B298:G298,10)&gt;=1), --(MOD(B298:G298,10)&lt;=5))</f>
        <v>0</v>
      </c>
      <c r="W298" s="3">
        <f>6-V298</f>
        <v>6</v>
      </c>
      <c r="X298" s="34"/>
      <c r="Y298" s="3" cm="1">
        <f t="array" ref="Y298">IFERROR(COUNT(_xlfn._xlws.FILTER(B298:G298, ISNUMBER(MATCH(B298:G298, {2,3,5,7,11,13,17,19,23,29,31,37,41,43}, 0)))), 0)</f>
        <v>0</v>
      </c>
      <c r="Z298" s="3" cm="1">
        <f t="array" ref="Z298">IFERROR(COUNT(_xlfn._xlws.FILTER(B298:G298, ISNUMBER(MATCH(B298:G298, {1,4,8,10,14,16,20,22,25,26,28,32,34,35,38,40,44}, 0)))), 0)</f>
        <v>0</v>
      </c>
      <c r="AA298" s="3" cm="1">
        <f t="array" ref="AA298">IFERROR(COUNT(_xlfn._xlws.FILTER(B298:G298, ISNUMBER(MATCH(B298:G298, {6,9,12,15,18,21,24,27,30,33,36,39,42,45}, 0)))), 0)</f>
        <v>0</v>
      </c>
      <c r="AB298" s="30"/>
      <c r="AC298" s="26" cm="1">
        <f t="array" ref="AC298">_xlfn.IFS(
   OR(B298="",ISBLANK(B298),B298=0),0,
   ISNUMBER(MATCH(B298,{2,3,5,7,11,13,17,19,23,29,31,37,41,43},0)),"소",
   AND(ISNUMBER(B298),MOD(B298,3)=0),"배",
   AND(ISNUMBER(B298),B298&gt;0),"자"
)</f>
        <v>0</v>
      </c>
      <c r="AD298" s="26" cm="1">
        <f t="array" ref="AD298">_xlfn.IFS(
   OR(C298="",ISBLANK(C298),C298=0),0,
   ISNUMBER(MATCH(C298,{2,3,5,7,11,13,17,19,23,29,31,37,41,43},0)),"소",
   AND(ISNUMBER(C298),MOD(C298,3)=0),"배",
   AND(ISNUMBER(C298),C298&gt;0),"자"
)</f>
        <v>0</v>
      </c>
      <c r="AE298" s="26" cm="1">
        <f t="array" ref="AE298">_xlfn.IFS(
   OR(D298="",ISBLANK(D298),D298=0),0,
   ISNUMBER(MATCH(D298,{2,3,5,7,11,13,17,19,23,29,31,37,41,43},0)),"소",
   AND(ISNUMBER(D298),MOD(D298,3)=0),"배",
   AND(ISNUMBER(D298),D298&gt;0),"자"
)</f>
        <v>0</v>
      </c>
      <c r="AF298" s="26" cm="1">
        <f t="array" ref="AF298">_xlfn.IFS(
   OR(E298="",ISBLANK(E298),E298=0),0,
   ISNUMBER(MATCH(E298,{2,3,5,7,11,13,17,19,23,29,31,37,41,43},0)),"소",
   AND(ISNUMBER(E298),MOD(E298,3)=0),"배",
   AND(ISNUMBER(E298),E298&gt;0),"자"
)</f>
        <v>0</v>
      </c>
      <c r="AG298" s="26" cm="1">
        <f t="array" ref="AG298">_xlfn.IFS(
   OR(F298="",ISBLANK(F298),F298=0),0,
   ISNUMBER(MATCH(F298,{2,3,5,7,11,13,17,19,23,29,31,37,41,43},0)),"소",
   AND(ISNUMBER(F298),MOD(F298,3)=0),"배",
   AND(ISNUMBER(F298),F298&gt;0),"자"
)</f>
        <v>0</v>
      </c>
      <c r="AH298" s="26" cm="1">
        <f t="array" ref="AH298">_xlfn.IFS(
   OR(G298="",ISBLANK(G298),G298=0),0,
   ISNUMBER(MATCH(G298,{2,3,5,7,11,13,17,19,23,29,31,37,41,43},0)),"소",
   AND(ISNUMBER(G298),MOD(G298,3)=0),"배",
   AND(ISNUMBER(G298),G298&gt;0),"자"
)</f>
        <v>0</v>
      </c>
      <c r="AI298" s="30"/>
      <c r="AJ298" s="3">
        <f>COUNTIFS(B298:G298,"&gt;=1",B298:G298,"&lt;=14")</f>
        <v>0</v>
      </c>
      <c r="AK298" s="3">
        <f>COUNTIFS(B298:G298,"&gt;=15",B298:G298,"&lt;=31")</f>
        <v>0</v>
      </c>
      <c r="AL298" s="3">
        <f>6-AK298-AJ298</f>
        <v>6</v>
      </c>
      <c r="AM298" s="33"/>
      <c r="AN298" s="3">
        <f>COUNTIFS($B298:$G298, "&gt;=1",$B298:$G298, "&lt;=9")</f>
        <v>0</v>
      </c>
      <c r="AO298" s="3">
        <f>COUNTIFS($B298:$G298, "&gt;=10",$B298:$G298, "&lt;=18")</f>
        <v>0</v>
      </c>
      <c r="AP298" s="3">
        <f>COUNTIFS($B298:$G298, "&gt;=19",$B298:$G298, "&lt;=27")</f>
        <v>0</v>
      </c>
      <c r="AQ298" s="3">
        <f>COUNTIFS($B298:$G298, "&gt;=28",$B298:$G298, "&lt;=36")</f>
        <v>0</v>
      </c>
      <c r="AR298" s="3">
        <f>COUNTIFS($B298:$G298, "&gt;=37",$B298:$G298, "&lt;=45")</f>
        <v>0</v>
      </c>
      <c r="AS298" s="28" t="e">
        <f>#REF!</f>
        <v>#REF!</v>
      </c>
      <c r="AT298" s="28" t="e">
        <f>#REF!*2</f>
        <v>#REF!</v>
      </c>
      <c r="AU298" s="28" t="e">
        <f>#REF!</f>
        <v>#REF!</v>
      </c>
      <c r="AV298" s="28" t="e">
        <f>#REF!*2</f>
        <v>#REF!</v>
      </c>
      <c r="AW298" s="28" t="e">
        <f>#REF!</f>
        <v>#REF!</v>
      </c>
      <c r="AX298" s="28" t="e">
        <f>#REF!*2</f>
        <v>#REF!</v>
      </c>
      <c r="AY298" s="28" t="e">
        <f>#REF!</f>
        <v>#REF!</v>
      </c>
      <c r="AZ298" s="28" t="e">
        <f>#REF!*2</f>
        <v>#REF!</v>
      </c>
      <c r="BA298" s="28" t="e">
        <f>#REF!</f>
        <v>#REF!</v>
      </c>
      <c r="BB298" s="28" t="e">
        <f>#REF!*2</f>
        <v>#REF!</v>
      </c>
      <c r="BC298" s="28" t="e">
        <f>#REF!</f>
        <v>#REF!</v>
      </c>
      <c r="BD298" s="28" t="e">
        <f>#REF!*2</f>
        <v>#REF!</v>
      </c>
      <c r="BE298" s="9" t="e">
        <f>#REF!-#REF!</f>
        <v>#REF!</v>
      </c>
      <c r="BF298" s="9" t="e">
        <f>#REF!-#REF!</f>
        <v>#REF!</v>
      </c>
      <c r="BG298" s="9" t="e">
        <f>#REF!-#REF!</f>
        <v>#REF!</v>
      </c>
      <c r="BH298" s="9" t="e">
        <f>#REF!-#REF!</f>
        <v>#REF!</v>
      </c>
      <c r="BI298" s="9" t="e">
        <f>#REF!-#REF!</f>
        <v>#REF!</v>
      </c>
      <c r="BJ298" s="33"/>
      <c r="BK298" s="3">
        <f>COUNTIFS(B298:G298, "&gt;=1", B298:G298, "&lt;=9")</f>
        <v>0</v>
      </c>
      <c r="BL298" s="3">
        <f>COUNTIFS(B298:G298, "&gt;=10", B298:G298, "&lt;=19")</f>
        <v>0</v>
      </c>
      <c r="BM298" s="3">
        <f>COUNTIFS(B298:G298, "&gt;=20", B298:G298, "&lt;=29")</f>
        <v>0</v>
      </c>
      <c r="BN298" s="3">
        <f>COUNTIFS(B298:G298, "&gt;=30", B298:G298, "&lt;=39")</f>
        <v>0</v>
      </c>
      <c r="BO298" s="3">
        <f>COUNTIFS(B298:G298, "&gt;=40", B298:G298, "&lt;=45")</f>
        <v>0</v>
      </c>
      <c r="BP298" s="28" t="e">
        <f>#REF!</f>
        <v>#REF!</v>
      </c>
      <c r="BQ298" s="28" t="e">
        <f>#REF!*2</f>
        <v>#REF!</v>
      </c>
      <c r="BR298" s="28" t="e">
        <f>#REF!</f>
        <v>#REF!</v>
      </c>
      <c r="BS298" s="28" t="e">
        <f>#REF!*2</f>
        <v>#REF!</v>
      </c>
      <c r="BT298" s="28" t="e">
        <f>#REF!</f>
        <v>#REF!</v>
      </c>
      <c r="BU298" s="28" t="e">
        <f>#REF!*2</f>
        <v>#REF!</v>
      </c>
      <c r="BV298" s="28" t="e">
        <f>#REF!</f>
        <v>#REF!</v>
      </c>
      <c r="BW298" s="28" t="e">
        <f>#REF!*2</f>
        <v>#REF!</v>
      </c>
      <c r="BX298" s="28" t="e">
        <f>#REF!</f>
        <v>#REF!</v>
      </c>
      <c r="BY298" s="28" t="e">
        <f>#REF!*2</f>
        <v>#REF!</v>
      </c>
      <c r="BZ298" s="28" t="e">
        <f>#REF!</f>
        <v>#REF!</v>
      </c>
      <c r="CA298" s="28" t="e">
        <f>#REF!*2</f>
        <v>#REF!</v>
      </c>
      <c r="CB298" s="9">
        <f>C298-B298</f>
        <v>0</v>
      </c>
      <c r="CC298" s="9">
        <f>D298-C298</f>
        <v>0</v>
      </c>
      <c r="CD298" s="9">
        <f>E298-D298</f>
        <v>0</v>
      </c>
      <c r="CE298" s="9">
        <f>F298-E298</f>
        <v>0</v>
      </c>
      <c r="CF298" s="9">
        <f>G298-F298</f>
        <v>0</v>
      </c>
      <c r="CG298" s="33"/>
      <c r="CH298" s="3">
        <f>C298-B298</f>
        <v>0</v>
      </c>
      <c r="CI298" s="3">
        <f>D298-C298</f>
        <v>0</v>
      </c>
      <c r="CJ298" s="3">
        <f>E298-D298</f>
        <v>0</v>
      </c>
      <c r="CK298" s="3">
        <f>F298-E298</f>
        <v>0</v>
      </c>
      <c r="CL298" s="3">
        <f>G298-F298</f>
        <v>0</v>
      </c>
      <c r="CM298" s="32"/>
      <c r="CN298" s="3">
        <f>IF(OR(CH298="",ISBLANK(CH298),CH298=0),0,IF(MOD(CH298,2)=1,1,2))</f>
        <v>0</v>
      </c>
      <c r="CO298" s="3">
        <f>IF(OR(CI298="",ISBLANK(CI298),CI298=0),0,IF(MOD(CI298,2)=1,1,2))</f>
        <v>0</v>
      </c>
      <c r="CP298" s="3">
        <f>IF(OR(CJ298="",ISBLANK(CJ298),CJ298=0),0,IF(MOD(CJ298,2)=1,1,2))</f>
        <v>0</v>
      </c>
      <c r="CQ298" s="3">
        <f>IF(OR(CK298="",ISBLANK(CK298),CK298=0),0,IF(MOD(CK298,2)=1,1,2))</f>
        <v>0</v>
      </c>
      <c r="CR298" s="3">
        <f>IF(OR(CL298="",ISBLANK(CL298),CL298=0),0,IF(MOD(CL298,2)=1,1,2))</f>
        <v>0</v>
      </c>
      <c r="CS298" s="31"/>
      <c r="CT298" s="3" cm="1">
        <f t="array" ref="CT298">SUMPRODUCT(--(MOD(CH298:CL298,2)=1))</f>
        <v>0</v>
      </c>
      <c r="CU298" s="3">
        <f>5-CT298</f>
        <v>5</v>
      </c>
      <c r="CV298" s="30"/>
      <c r="CW298" s="3" cm="1">
        <f t="array" ref="CW298">SUMPRODUCT(--(MOD(CH298:CL298,10)&gt;=1), --(MOD(CH298:CL298,10)&lt;=5))</f>
        <v>0</v>
      </c>
      <c r="CX298" s="3">
        <f>5-CW298</f>
        <v>5</v>
      </c>
      <c r="CY298" s="30"/>
      <c r="CZ298" s="3" cm="1">
        <f t="array" ref="CZ298">IFERROR(COUNT(_xlfn._xlws.FILTER(CH298:CL298, ISNUMBER(MATCH(CH298:CL298, {2,3,5,7,11,13,17,19,23,29,31,37,41,43}, 0)))), 0)</f>
        <v>0</v>
      </c>
      <c r="DA298" s="3" cm="1">
        <f t="array" ref="DA298">IFERROR(COUNT(_xlfn._xlws.FILTER(CH298:CL298, ISNUMBER(MATCH(CH298:CL298, {1,4,8,10,14,16,20,22,25,26,28,32,34,35,38,40,44}, 0)))), 0)</f>
        <v>0</v>
      </c>
      <c r="DB298" s="3" cm="1">
        <f t="array" ref="DB298">IFERROR(COUNT(_xlfn._xlws.FILTER(CH298:CL298, ISNUMBER(MATCH(CH298:CL298, {6,9,12,15,18,21,24,27,30,33,36,39,42,45}, 0)))), 0)</f>
        <v>0</v>
      </c>
      <c r="DC298" s="29"/>
      <c r="DD298" s="28" t="e">
        <f>#REF!</f>
        <v>#REF!</v>
      </c>
      <c r="DE298" s="28" t="e">
        <f>#REF!*2</f>
        <v>#REF!</v>
      </c>
      <c r="DF298" s="28" t="e">
        <f>#REF!</f>
        <v>#REF!</v>
      </c>
      <c r="DG298" s="28" t="e">
        <f>#REF!*2</f>
        <v>#REF!</v>
      </c>
      <c r="DH298" s="28" t="e">
        <f>#REF!</f>
        <v>#REF!</v>
      </c>
      <c r="DI298" s="28" t="e">
        <f>#REF!*2</f>
        <v>#REF!</v>
      </c>
      <c r="DJ298" s="28" t="e">
        <f>#REF!</f>
        <v>#REF!</v>
      </c>
      <c r="DK298" s="28" t="e">
        <f>#REF!*2</f>
        <v>#REF!</v>
      </c>
      <c r="DL298" s="28" t="e">
        <f>#REF!</f>
        <v>#REF!</v>
      </c>
      <c r="DM298" s="28" t="e">
        <f>#REF!*2</f>
        <v>#REF!</v>
      </c>
      <c r="DN298" s="27"/>
      <c r="DO298" s="26"/>
      <c r="DP298" s="26"/>
      <c r="DQ298" s="26"/>
      <c r="DR298" s="26"/>
      <c r="DS298" s="26"/>
      <c r="DT298" s="25"/>
    </row>
    <row r="299" spans="2:124" x14ac:dyDescent="0.3">
      <c r="B299" s="3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2"/>
      <c r="I299" s="3">
        <f>IF(OR(B299="",ISBLANK(B299),B299=0),0,IF(MOD(B299,2)=1,1,2))</f>
        <v>0</v>
      </c>
      <c r="J299" s="3">
        <f>IF(OR(C299="",ISBLANK(C299),C299=0),0,IF(MOD(C299,2)=1,1,2))</f>
        <v>0</v>
      </c>
      <c r="K299" s="3">
        <f>IF(OR(D299="",ISBLANK(D299),D299=0),0,IF(MOD(D299,2)=1,1,2))</f>
        <v>0</v>
      </c>
      <c r="L299" s="3">
        <f>IF(OR(E299="",ISBLANK(E299),E299=0),0,IF(MOD(E299,2)=1,1,2))</f>
        <v>0</v>
      </c>
      <c r="M299" s="3">
        <f>IF(OR(F299="",ISBLANK(F299),F299=0),0,IF(MOD(F299,2)=1,1,2))</f>
        <v>0</v>
      </c>
      <c r="N299" s="3">
        <f>IF(OR(G299="",ISBLANK(G299),G299=0),0,IF(MOD(G299,2)=1,1,2))</f>
        <v>0</v>
      </c>
      <c r="O299" s="32"/>
      <c r="P299" s="3" cm="1">
        <f t="array" ref="P299">SUMPRODUCT(--(MOD(B299:G299,2)=1))</f>
        <v>0</v>
      </c>
      <c r="Q299" s="3">
        <f>6-P299</f>
        <v>6</v>
      </c>
      <c r="R299" s="34"/>
      <c r="S299" s="3">
        <f>COUNTIFS(B299:G299,"&gt;=1",B299:G299,"&lt;=23")</f>
        <v>0</v>
      </c>
      <c r="T299" s="3">
        <f>6-S299</f>
        <v>6</v>
      </c>
      <c r="U299" s="34"/>
      <c r="V299" s="3" cm="1">
        <f t="array" ref="V299">SUMPRODUCT(--(MOD(B299:G299,10)&gt;=1), --(MOD(B299:G299,10)&lt;=5))</f>
        <v>0</v>
      </c>
      <c r="W299" s="3">
        <f>6-V299</f>
        <v>6</v>
      </c>
      <c r="X299" s="34"/>
      <c r="Y299" s="3" cm="1">
        <f t="array" ref="Y299">IFERROR(COUNT(_xlfn._xlws.FILTER(B299:G299, ISNUMBER(MATCH(B299:G299, {2,3,5,7,11,13,17,19,23,29,31,37,41,43}, 0)))), 0)</f>
        <v>0</v>
      </c>
      <c r="Z299" s="3" cm="1">
        <f t="array" ref="Z299">IFERROR(COUNT(_xlfn._xlws.FILTER(B299:G299, ISNUMBER(MATCH(B299:G299, {1,4,8,10,14,16,20,22,25,26,28,32,34,35,38,40,44}, 0)))), 0)</f>
        <v>0</v>
      </c>
      <c r="AA299" s="3" cm="1">
        <f t="array" ref="AA299">IFERROR(COUNT(_xlfn._xlws.FILTER(B299:G299, ISNUMBER(MATCH(B299:G299, {6,9,12,15,18,21,24,27,30,33,36,39,42,45}, 0)))), 0)</f>
        <v>0</v>
      </c>
      <c r="AB299" s="30"/>
      <c r="AC299" s="26" cm="1">
        <f t="array" ref="AC299">_xlfn.IFS(
   OR(B299="",ISBLANK(B299),B299=0),0,
   ISNUMBER(MATCH(B299,{2,3,5,7,11,13,17,19,23,29,31,37,41,43},0)),"소",
   AND(ISNUMBER(B299),MOD(B299,3)=0),"배",
   AND(ISNUMBER(B299),B299&gt;0),"자"
)</f>
        <v>0</v>
      </c>
      <c r="AD299" s="26" cm="1">
        <f t="array" ref="AD299">_xlfn.IFS(
   OR(C299="",ISBLANK(C299),C299=0),0,
   ISNUMBER(MATCH(C299,{2,3,5,7,11,13,17,19,23,29,31,37,41,43},0)),"소",
   AND(ISNUMBER(C299),MOD(C299,3)=0),"배",
   AND(ISNUMBER(C299),C299&gt;0),"자"
)</f>
        <v>0</v>
      </c>
      <c r="AE299" s="26" cm="1">
        <f t="array" ref="AE299">_xlfn.IFS(
   OR(D299="",ISBLANK(D299),D299=0),0,
   ISNUMBER(MATCH(D299,{2,3,5,7,11,13,17,19,23,29,31,37,41,43},0)),"소",
   AND(ISNUMBER(D299),MOD(D299,3)=0),"배",
   AND(ISNUMBER(D299),D299&gt;0),"자"
)</f>
        <v>0</v>
      </c>
      <c r="AF299" s="26" cm="1">
        <f t="array" ref="AF299">_xlfn.IFS(
   OR(E299="",ISBLANK(E299),E299=0),0,
   ISNUMBER(MATCH(E299,{2,3,5,7,11,13,17,19,23,29,31,37,41,43},0)),"소",
   AND(ISNUMBER(E299),MOD(E299,3)=0),"배",
   AND(ISNUMBER(E299),E299&gt;0),"자"
)</f>
        <v>0</v>
      </c>
      <c r="AG299" s="26" cm="1">
        <f t="array" ref="AG299">_xlfn.IFS(
   OR(F299="",ISBLANK(F299),F299=0),0,
   ISNUMBER(MATCH(F299,{2,3,5,7,11,13,17,19,23,29,31,37,41,43},0)),"소",
   AND(ISNUMBER(F299),MOD(F299,3)=0),"배",
   AND(ISNUMBER(F299),F299&gt;0),"자"
)</f>
        <v>0</v>
      </c>
      <c r="AH299" s="26" cm="1">
        <f t="array" ref="AH299">_xlfn.IFS(
   OR(G299="",ISBLANK(G299),G299=0),0,
   ISNUMBER(MATCH(G299,{2,3,5,7,11,13,17,19,23,29,31,37,41,43},0)),"소",
   AND(ISNUMBER(G299),MOD(G299,3)=0),"배",
   AND(ISNUMBER(G299),G299&gt;0),"자"
)</f>
        <v>0</v>
      </c>
      <c r="AI299" s="30"/>
      <c r="AJ299" s="3">
        <f>COUNTIFS(B299:G299,"&gt;=1",B299:G299,"&lt;=14")</f>
        <v>0</v>
      </c>
      <c r="AK299" s="3">
        <f>COUNTIFS(B299:G299,"&gt;=15",B299:G299,"&lt;=31")</f>
        <v>0</v>
      </c>
      <c r="AL299" s="3">
        <f>6-AK299-AJ299</f>
        <v>6</v>
      </c>
      <c r="AM299" s="33"/>
      <c r="AN299" s="3">
        <f>COUNTIFS($B299:$G299, "&gt;=1",$B299:$G299, "&lt;=9")</f>
        <v>0</v>
      </c>
      <c r="AO299" s="3">
        <f>COUNTIFS($B299:$G299, "&gt;=10",$B299:$G299, "&lt;=18")</f>
        <v>0</v>
      </c>
      <c r="AP299" s="3">
        <f>COUNTIFS($B299:$G299, "&gt;=19",$B299:$G299, "&lt;=27")</f>
        <v>0</v>
      </c>
      <c r="AQ299" s="3">
        <f>COUNTIFS($B299:$G299, "&gt;=28",$B299:$G299, "&lt;=36")</f>
        <v>0</v>
      </c>
      <c r="AR299" s="3">
        <f>COUNTIFS($B299:$G299, "&gt;=37",$B299:$G299, "&lt;=45")</f>
        <v>0</v>
      </c>
      <c r="AS299" s="28" t="e">
        <f>#REF!</f>
        <v>#REF!</v>
      </c>
      <c r="AT299" s="28" t="e">
        <f>#REF!*2</f>
        <v>#REF!</v>
      </c>
      <c r="AU299" s="28" t="e">
        <f>#REF!</f>
        <v>#REF!</v>
      </c>
      <c r="AV299" s="28" t="e">
        <f>#REF!*2</f>
        <v>#REF!</v>
      </c>
      <c r="AW299" s="28" t="e">
        <f>#REF!</f>
        <v>#REF!</v>
      </c>
      <c r="AX299" s="28" t="e">
        <f>#REF!*2</f>
        <v>#REF!</v>
      </c>
      <c r="AY299" s="28" t="e">
        <f>#REF!</f>
        <v>#REF!</v>
      </c>
      <c r="AZ299" s="28" t="e">
        <f>#REF!*2</f>
        <v>#REF!</v>
      </c>
      <c r="BA299" s="28" t="e">
        <f>#REF!</f>
        <v>#REF!</v>
      </c>
      <c r="BB299" s="28" t="e">
        <f>#REF!*2</f>
        <v>#REF!</v>
      </c>
      <c r="BC299" s="28" t="e">
        <f>#REF!</f>
        <v>#REF!</v>
      </c>
      <c r="BD299" s="28" t="e">
        <f>#REF!*2</f>
        <v>#REF!</v>
      </c>
      <c r="BE299" s="9" t="e">
        <f>#REF!-#REF!</f>
        <v>#REF!</v>
      </c>
      <c r="BF299" s="9" t="e">
        <f>#REF!-#REF!</f>
        <v>#REF!</v>
      </c>
      <c r="BG299" s="9" t="e">
        <f>#REF!-#REF!</f>
        <v>#REF!</v>
      </c>
      <c r="BH299" s="9" t="e">
        <f>#REF!-#REF!</f>
        <v>#REF!</v>
      </c>
      <c r="BI299" s="9" t="e">
        <f>#REF!-#REF!</f>
        <v>#REF!</v>
      </c>
      <c r="BJ299" s="33"/>
      <c r="BK299" s="3">
        <f>COUNTIFS(B299:G299, "&gt;=1", B299:G299, "&lt;=9")</f>
        <v>0</v>
      </c>
      <c r="BL299" s="3">
        <f>COUNTIFS(B299:G299, "&gt;=10", B299:G299, "&lt;=19")</f>
        <v>0</v>
      </c>
      <c r="BM299" s="3">
        <f>COUNTIFS(B299:G299, "&gt;=20", B299:G299, "&lt;=29")</f>
        <v>0</v>
      </c>
      <c r="BN299" s="3">
        <f>COUNTIFS(B299:G299, "&gt;=30", B299:G299, "&lt;=39")</f>
        <v>0</v>
      </c>
      <c r="BO299" s="3">
        <f>COUNTIFS(B299:G299, "&gt;=40", B299:G299, "&lt;=45")</f>
        <v>0</v>
      </c>
      <c r="BP299" s="28" t="e">
        <f>#REF!</f>
        <v>#REF!</v>
      </c>
      <c r="BQ299" s="28" t="e">
        <f>#REF!*2</f>
        <v>#REF!</v>
      </c>
      <c r="BR299" s="28" t="e">
        <f>#REF!</f>
        <v>#REF!</v>
      </c>
      <c r="BS299" s="28" t="e">
        <f>#REF!*2</f>
        <v>#REF!</v>
      </c>
      <c r="BT299" s="28" t="e">
        <f>#REF!</f>
        <v>#REF!</v>
      </c>
      <c r="BU299" s="28" t="e">
        <f>#REF!*2</f>
        <v>#REF!</v>
      </c>
      <c r="BV299" s="28" t="e">
        <f>#REF!</f>
        <v>#REF!</v>
      </c>
      <c r="BW299" s="28" t="e">
        <f>#REF!*2</f>
        <v>#REF!</v>
      </c>
      <c r="BX299" s="28" t="e">
        <f>#REF!</f>
        <v>#REF!</v>
      </c>
      <c r="BY299" s="28" t="e">
        <f>#REF!*2</f>
        <v>#REF!</v>
      </c>
      <c r="BZ299" s="28" t="e">
        <f>#REF!</f>
        <v>#REF!</v>
      </c>
      <c r="CA299" s="28" t="e">
        <f>#REF!*2</f>
        <v>#REF!</v>
      </c>
      <c r="CB299" s="9">
        <f>C299-B299</f>
        <v>0</v>
      </c>
      <c r="CC299" s="9">
        <f>D299-C299</f>
        <v>0</v>
      </c>
      <c r="CD299" s="9">
        <f>E299-D299</f>
        <v>0</v>
      </c>
      <c r="CE299" s="9">
        <f>F299-E299</f>
        <v>0</v>
      </c>
      <c r="CF299" s="9">
        <f>G299-F299</f>
        <v>0</v>
      </c>
      <c r="CG299" s="33"/>
      <c r="CH299" s="3">
        <f>C299-B299</f>
        <v>0</v>
      </c>
      <c r="CI299" s="3">
        <f>D299-C299</f>
        <v>0</v>
      </c>
      <c r="CJ299" s="3">
        <f>E299-D299</f>
        <v>0</v>
      </c>
      <c r="CK299" s="3">
        <f>F299-E299</f>
        <v>0</v>
      </c>
      <c r="CL299" s="3">
        <f>G299-F299</f>
        <v>0</v>
      </c>
      <c r="CM299" s="32"/>
      <c r="CN299" s="3">
        <f>IF(OR(CH299="",ISBLANK(CH299),CH299=0),0,IF(MOD(CH299,2)=1,1,2))</f>
        <v>0</v>
      </c>
      <c r="CO299" s="3">
        <f>IF(OR(CI299="",ISBLANK(CI299),CI299=0),0,IF(MOD(CI299,2)=1,1,2))</f>
        <v>0</v>
      </c>
      <c r="CP299" s="3">
        <f>IF(OR(CJ299="",ISBLANK(CJ299),CJ299=0),0,IF(MOD(CJ299,2)=1,1,2))</f>
        <v>0</v>
      </c>
      <c r="CQ299" s="3">
        <f>IF(OR(CK299="",ISBLANK(CK299),CK299=0),0,IF(MOD(CK299,2)=1,1,2))</f>
        <v>0</v>
      </c>
      <c r="CR299" s="3">
        <f>IF(OR(CL299="",ISBLANK(CL299),CL299=0),0,IF(MOD(CL299,2)=1,1,2))</f>
        <v>0</v>
      </c>
      <c r="CS299" s="31"/>
      <c r="CT299" s="3" cm="1">
        <f t="array" ref="CT299">SUMPRODUCT(--(MOD(CH299:CL299,2)=1))</f>
        <v>0</v>
      </c>
      <c r="CU299" s="3">
        <f>5-CT299</f>
        <v>5</v>
      </c>
      <c r="CV299" s="30"/>
      <c r="CW299" s="3" cm="1">
        <f t="array" ref="CW299">SUMPRODUCT(--(MOD(CH299:CL299,10)&gt;=1), --(MOD(CH299:CL299,10)&lt;=5))</f>
        <v>0</v>
      </c>
      <c r="CX299" s="3">
        <f>5-CW299</f>
        <v>5</v>
      </c>
      <c r="CY299" s="30"/>
      <c r="CZ299" s="3" cm="1">
        <f t="array" ref="CZ299">IFERROR(COUNT(_xlfn._xlws.FILTER(CH299:CL299, ISNUMBER(MATCH(CH299:CL299, {2,3,5,7,11,13,17,19,23,29,31,37,41,43}, 0)))), 0)</f>
        <v>0</v>
      </c>
      <c r="DA299" s="3" cm="1">
        <f t="array" ref="DA299">IFERROR(COUNT(_xlfn._xlws.FILTER(CH299:CL299, ISNUMBER(MATCH(CH299:CL299, {1,4,8,10,14,16,20,22,25,26,28,32,34,35,38,40,44}, 0)))), 0)</f>
        <v>0</v>
      </c>
      <c r="DB299" s="3" cm="1">
        <f t="array" ref="DB299">IFERROR(COUNT(_xlfn._xlws.FILTER(CH299:CL299, ISNUMBER(MATCH(CH299:CL299, {6,9,12,15,18,21,24,27,30,33,36,39,42,45}, 0)))), 0)</f>
        <v>0</v>
      </c>
      <c r="DC299" s="29"/>
      <c r="DD299" s="28" t="e">
        <f>#REF!</f>
        <v>#REF!</v>
      </c>
      <c r="DE299" s="28" t="e">
        <f>#REF!*2</f>
        <v>#REF!</v>
      </c>
      <c r="DF299" s="28" t="e">
        <f>#REF!</f>
        <v>#REF!</v>
      </c>
      <c r="DG299" s="28" t="e">
        <f>#REF!*2</f>
        <v>#REF!</v>
      </c>
      <c r="DH299" s="28" t="e">
        <f>#REF!</f>
        <v>#REF!</v>
      </c>
      <c r="DI299" s="28" t="e">
        <f>#REF!*2</f>
        <v>#REF!</v>
      </c>
      <c r="DJ299" s="28" t="e">
        <f>#REF!</f>
        <v>#REF!</v>
      </c>
      <c r="DK299" s="28" t="e">
        <f>#REF!*2</f>
        <v>#REF!</v>
      </c>
      <c r="DL299" s="28" t="e">
        <f>#REF!</f>
        <v>#REF!</v>
      </c>
      <c r="DM299" s="28" t="e">
        <f>#REF!*2</f>
        <v>#REF!</v>
      </c>
      <c r="DN299" s="27"/>
      <c r="DO299" s="26"/>
      <c r="DP299" s="26"/>
      <c r="DQ299" s="26"/>
      <c r="DR299" s="26"/>
      <c r="DS299" s="26"/>
      <c r="DT299" s="25"/>
    </row>
    <row r="300" spans="2:124" x14ac:dyDescent="0.3">
      <c r="B300" s="3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2"/>
      <c r="I300" s="3">
        <f>IF(OR(B300="",ISBLANK(B300),B300=0),0,IF(MOD(B300,2)=1,1,2))</f>
        <v>0</v>
      </c>
      <c r="J300" s="3">
        <f>IF(OR(C300="",ISBLANK(C300),C300=0),0,IF(MOD(C300,2)=1,1,2))</f>
        <v>0</v>
      </c>
      <c r="K300" s="3">
        <f>IF(OR(D300="",ISBLANK(D300),D300=0),0,IF(MOD(D300,2)=1,1,2))</f>
        <v>0</v>
      </c>
      <c r="L300" s="3">
        <f>IF(OR(E300="",ISBLANK(E300),E300=0),0,IF(MOD(E300,2)=1,1,2))</f>
        <v>0</v>
      </c>
      <c r="M300" s="3">
        <f>IF(OR(F300="",ISBLANK(F300),F300=0),0,IF(MOD(F300,2)=1,1,2))</f>
        <v>0</v>
      </c>
      <c r="N300" s="3">
        <f>IF(OR(G300="",ISBLANK(G300),G300=0),0,IF(MOD(G300,2)=1,1,2))</f>
        <v>0</v>
      </c>
      <c r="O300" s="32"/>
      <c r="P300" s="3" cm="1">
        <f t="array" ref="P300">SUMPRODUCT(--(MOD(B300:G300,2)=1))</f>
        <v>0</v>
      </c>
      <c r="Q300" s="3">
        <f>6-P300</f>
        <v>6</v>
      </c>
      <c r="R300" s="34"/>
      <c r="S300" s="3">
        <f>COUNTIFS(B300:G300,"&gt;=1",B300:G300,"&lt;=23")</f>
        <v>0</v>
      </c>
      <c r="T300" s="3">
        <f>6-S300</f>
        <v>6</v>
      </c>
      <c r="U300" s="34"/>
      <c r="V300" s="3" cm="1">
        <f t="array" ref="V300">SUMPRODUCT(--(MOD(B300:G300,10)&gt;=1), --(MOD(B300:G300,10)&lt;=5))</f>
        <v>0</v>
      </c>
      <c r="W300" s="3">
        <f>6-V300</f>
        <v>6</v>
      </c>
      <c r="X300" s="34"/>
      <c r="Y300" s="3" cm="1">
        <f t="array" ref="Y300">IFERROR(COUNT(_xlfn._xlws.FILTER(B300:G300, ISNUMBER(MATCH(B300:G300, {2,3,5,7,11,13,17,19,23,29,31,37,41,43}, 0)))), 0)</f>
        <v>0</v>
      </c>
      <c r="Z300" s="3" cm="1">
        <f t="array" ref="Z300">IFERROR(COUNT(_xlfn._xlws.FILTER(B300:G300, ISNUMBER(MATCH(B300:G300, {1,4,8,10,14,16,20,22,25,26,28,32,34,35,38,40,44}, 0)))), 0)</f>
        <v>0</v>
      </c>
      <c r="AA300" s="3" cm="1">
        <f t="array" ref="AA300">IFERROR(COUNT(_xlfn._xlws.FILTER(B300:G300, ISNUMBER(MATCH(B300:G300, {6,9,12,15,18,21,24,27,30,33,36,39,42,45}, 0)))), 0)</f>
        <v>0</v>
      </c>
      <c r="AB300" s="30"/>
      <c r="AC300" s="26" cm="1">
        <f t="array" ref="AC300">_xlfn.IFS(
   OR(B300="",ISBLANK(B300),B300=0),0,
   ISNUMBER(MATCH(B300,{2,3,5,7,11,13,17,19,23,29,31,37,41,43},0)),"소",
   AND(ISNUMBER(B300),MOD(B300,3)=0),"배",
   AND(ISNUMBER(B300),B300&gt;0),"자"
)</f>
        <v>0</v>
      </c>
      <c r="AD300" s="26" cm="1">
        <f t="array" ref="AD300">_xlfn.IFS(
   OR(C300="",ISBLANK(C300),C300=0),0,
   ISNUMBER(MATCH(C300,{2,3,5,7,11,13,17,19,23,29,31,37,41,43},0)),"소",
   AND(ISNUMBER(C300),MOD(C300,3)=0),"배",
   AND(ISNUMBER(C300),C300&gt;0),"자"
)</f>
        <v>0</v>
      </c>
      <c r="AE300" s="26" cm="1">
        <f t="array" ref="AE300">_xlfn.IFS(
   OR(D300="",ISBLANK(D300),D300=0),0,
   ISNUMBER(MATCH(D300,{2,3,5,7,11,13,17,19,23,29,31,37,41,43},0)),"소",
   AND(ISNUMBER(D300),MOD(D300,3)=0),"배",
   AND(ISNUMBER(D300),D300&gt;0),"자"
)</f>
        <v>0</v>
      </c>
      <c r="AF300" s="26" cm="1">
        <f t="array" ref="AF300">_xlfn.IFS(
   OR(E300="",ISBLANK(E300),E300=0),0,
   ISNUMBER(MATCH(E300,{2,3,5,7,11,13,17,19,23,29,31,37,41,43},0)),"소",
   AND(ISNUMBER(E300),MOD(E300,3)=0),"배",
   AND(ISNUMBER(E300),E300&gt;0),"자"
)</f>
        <v>0</v>
      </c>
      <c r="AG300" s="26" cm="1">
        <f t="array" ref="AG300">_xlfn.IFS(
   OR(F300="",ISBLANK(F300),F300=0),0,
   ISNUMBER(MATCH(F300,{2,3,5,7,11,13,17,19,23,29,31,37,41,43},0)),"소",
   AND(ISNUMBER(F300),MOD(F300,3)=0),"배",
   AND(ISNUMBER(F300),F300&gt;0),"자"
)</f>
        <v>0</v>
      </c>
      <c r="AH300" s="26" cm="1">
        <f t="array" ref="AH300">_xlfn.IFS(
   OR(G300="",ISBLANK(G300),G300=0),0,
   ISNUMBER(MATCH(G300,{2,3,5,7,11,13,17,19,23,29,31,37,41,43},0)),"소",
   AND(ISNUMBER(G300),MOD(G300,3)=0),"배",
   AND(ISNUMBER(G300),G300&gt;0),"자"
)</f>
        <v>0</v>
      </c>
      <c r="AI300" s="30"/>
      <c r="AJ300" s="3">
        <f>COUNTIFS(B300:G300,"&gt;=1",B300:G300,"&lt;=14")</f>
        <v>0</v>
      </c>
      <c r="AK300" s="3">
        <f>COUNTIFS(B300:G300,"&gt;=15",B300:G300,"&lt;=31")</f>
        <v>0</v>
      </c>
      <c r="AL300" s="3">
        <f>6-AK300-AJ300</f>
        <v>6</v>
      </c>
      <c r="AM300" s="33"/>
      <c r="AN300" s="3">
        <f>COUNTIFS($B300:$G300, "&gt;=1",$B300:$G300, "&lt;=9")</f>
        <v>0</v>
      </c>
      <c r="AO300" s="3">
        <f>COUNTIFS($B300:$G300, "&gt;=10",$B300:$G300, "&lt;=18")</f>
        <v>0</v>
      </c>
      <c r="AP300" s="3">
        <f>COUNTIFS($B300:$G300, "&gt;=19",$B300:$G300, "&lt;=27")</f>
        <v>0</v>
      </c>
      <c r="AQ300" s="3">
        <f>COUNTIFS($B300:$G300, "&gt;=28",$B300:$G300, "&lt;=36")</f>
        <v>0</v>
      </c>
      <c r="AR300" s="3">
        <f>COUNTIFS($B300:$G300, "&gt;=37",$B300:$G300, "&lt;=45")</f>
        <v>0</v>
      </c>
      <c r="AS300" s="28" t="e">
        <f>#REF!</f>
        <v>#REF!</v>
      </c>
      <c r="AT300" s="28" t="e">
        <f>#REF!*2</f>
        <v>#REF!</v>
      </c>
      <c r="AU300" s="28" t="e">
        <f>#REF!</f>
        <v>#REF!</v>
      </c>
      <c r="AV300" s="28" t="e">
        <f>#REF!*2</f>
        <v>#REF!</v>
      </c>
      <c r="AW300" s="28" t="e">
        <f>#REF!</f>
        <v>#REF!</v>
      </c>
      <c r="AX300" s="28" t="e">
        <f>#REF!*2</f>
        <v>#REF!</v>
      </c>
      <c r="AY300" s="28" t="e">
        <f>#REF!</f>
        <v>#REF!</v>
      </c>
      <c r="AZ300" s="28" t="e">
        <f>#REF!*2</f>
        <v>#REF!</v>
      </c>
      <c r="BA300" s="28" t="e">
        <f>#REF!</f>
        <v>#REF!</v>
      </c>
      <c r="BB300" s="28" t="e">
        <f>#REF!*2</f>
        <v>#REF!</v>
      </c>
      <c r="BC300" s="28" t="e">
        <f>#REF!</f>
        <v>#REF!</v>
      </c>
      <c r="BD300" s="28" t="e">
        <f>#REF!*2</f>
        <v>#REF!</v>
      </c>
      <c r="BE300" s="9" t="e">
        <f>#REF!-#REF!</f>
        <v>#REF!</v>
      </c>
      <c r="BF300" s="9" t="e">
        <f>#REF!-#REF!</f>
        <v>#REF!</v>
      </c>
      <c r="BG300" s="9" t="e">
        <f>#REF!-#REF!</f>
        <v>#REF!</v>
      </c>
      <c r="BH300" s="9" t="e">
        <f>#REF!-#REF!</f>
        <v>#REF!</v>
      </c>
      <c r="BI300" s="9" t="e">
        <f>#REF!-#REF!</f>
        <v>#REF!</v>
      </c>
      <c r="BJ300" s="33"/>
      <c r="BK300" s="3">
        <f>COUNTIFS(B300:G300, "&gt;=1", B300:G300, "&lt;=9")</f>
        <v>0</v>
      </c>
      <c r="BL300" s="3">
        <f>COUNTIFS(B300:G300, "&gt;=10", B300:G300, "&lt;=19")</f>
        <v>0</v>
      </c>
      <c r="BM300" s="3">
        <f>COUNTIFS(B300:G300, "&gt;=20", B300:G300, "&lt;=29")</f>
        <v>0</v>
      </c>
      <c r="BN300" s="3">
        <f>COUNTIFS(B300:G300, "&gt;=30", B300:G300, "&lt;=39")</f>
        <v>0</v>
      </c>
      <c r="BO300" s="3">
        <f>COUNTIFS(B300:G300, "&gt;=40", B300:G300, "&lt;=45")</f>
        <v>0</v>
      </c>
      <c r="BP300" s="28" t="e">
        <f>#REF!</f>
        <v>#REF!</v>
      </c>
      <c r="BQ300" s="28" t="e">
        <f>#REF!*2</f>
        <v>#REF!</v>
      </c>
      <c r="BR300" s="28" t="e">
        <f>#REF!</f>
        <v>#REF!</v>
      </c>
      <c r="BS300" s="28" t="e">
        <f>#REF!*2</f>
        <v>#REF!</v>
      </c>
      <c r="BT300" s="28" t="e">
        <f>#REF!</f>
        <v>#REF!</v>
      </c>
      <c r="BU300" s="28" t="e">
        <f>#REF!*2</f>
        <v>#REF!</v>
      </c>
      <c r="BV300" s="28" t="e">
        <f>#REF!</f>
        <v>#REF!</v>
      </c>
      <c r="BW300" s="28" t="e">
        <f>#REF!*2</f>
        <v>#REF!</v>
      </c>
      <c r="BX300" s="28" t="e">
        <f>#REF!</f>
        <v>#REF!</v>
      </c>
      <c r="BY300" s="28" t="e">
        <f>#REF!*2</f>
        <v>#REF!</v>
      </c>
      <c r="BZ300" s="28" t="e">
        <f>#REF!</f>
        <v>#REF!</v>
      </c>
      <c r="CA300" s="28" t="e">
        <f>#REF!*2</f>
        <v>#REF!</v>
      </c>
      <c r="CB300" s="9">
        <f>C300-B300</f>
        <v>0</v>
      </c>
      <c r="CC300" s="9">
        <f>D300-C300</f>
        <v>0</v>
      </c>
      <c r="CD300" s="9">
        <f>E300-D300</f>
        <v>0</v>
      </c>
      <c r="CE300" s="9">
        <f>F300-E300</f>
        <v>0</v>
      </c>
      <c r="CF300" s="9">
        <f>G300-F300</f>
        <v>0</v>
      </c>
      <c r="CG300" s="33"/>
      <c r="CH300" s="3">
        <f>C300-B300</f>
        <v>0</v>
      </c>
      <c r="CI300" s="3">
        <f>D300-C300</f>
        <v>0</v>
      </c>
      <c r="CJ300" s="3">
        <f>E300-D300</f>
        <v>0</v>
      </c>
      <c r="CK300" s="3">
        <f>F300-E300</f>
        <v>0</v>
      </c>
      <c r="CL300" s="3">
        <f>G300-F300</f>
        <v>0</v>
      </c>
      <c r="CM300" s="32"/>
      <c r="CN300" s="3">
        <f>IF(OR(CH300="",ISBLANK(CH300),CH300=0),0,IF(MOD(CH300,2)=1,1,2))</f>
        <v>0</v>
      </c>
      <c r="CO300" s="3">
        <f>IF(OR(CI300="",ISBLANK(CI300),CI300=0),0,IF(MOD(CI300,2)=1,1,2))</f>
        <v>0</v>
      </c>
      <c r="CP300" s="3">
        <f>IF(OR(CJ300="",ISBLANK(CJ300),CJ300=0),0,IF(MOD(CJ300,2)=1,1,2))</f>
        <v>0</v>
      </c>
      <c r="CQ300" s="3">
        <f>IF(OR(CK300="",ISBLANK(CK300),CK300=0),0,IF(MOD(CK300,2)=1,1,2))</f>
        <v>0</v>
      </c>
      <c r="CR300" s="3">
        <f>IF(OR(CL300="",ISBLANK(CL300),CL300=0),0,IF(MOD(CL300,2)=1,1,2))</f>
        <v>0</v>
      </c>
      <c r="CS300" s="31"/>
      <c r="CT300" s="3" cm="1">
        <f t="array" ref="CT300">SUMPRODUCT(--(MOD(CH300:CL300,2)=1))</f>
        <v>0</v>
      </c>
      <c r="CU300" s="3">
        <f>5-CT300</f>
        <v>5</v>
      </c>
      <c r="CV300" s="30"/>
      <c r="CW300" s="3" cm="1">
        <f t="array" ref="CW300">SUMPRODUCT(--(MOD(CH300:CL300,10)&gt;=1), --(MOD(CH300:CL300,10)&lt;=5))</f>
        <v>0</v>
      </c>
      <c r="CX300" s="3">
        <f>5-CW300</f>
        <v>5</v>
      </c>
      <c r="CY300" s="30"/>
      <c r="CZ300" s="3" cm="1">
        <f t="array" ref="CZ300">IFERROR(COUNT(_xlfn._xlws.FILTER(CH300:CL300, ISNUMBER(MATCH(CH300:CL300, {2,3,5,7,11,13,17,19,23,29,31,37,41,43}, 0)))), 0)</f>
        <v>0</v>
      </c>
      <c r="DA300" s="3" cm="1">
        <f t="array" ref="DA300">IFERROR(COUNT(_xlfn._xlws.FILTER(CH300:CL300, ISNUMBER(MATCH(CH300:CL300, {1,4,8,10,14,16,20,22,25,26,28,32,34,35,38,40,44}, 0)))), 0)</f>
        <v>0</v>
      </c>
      <c r="DB300" s="3" cm="1">
        <f t="array" ref="DB300">IFERROR(COUNT(_xlfn._xlws.FILTER(CH300:CL300, ISNUMBER(MATCH(CH300:CL300, {6,9,12,15,18,21,24,27,30,33,36,39,42,45}, 0)))), 0)</f>
        <v>0</v>
      </c>
      <c r="DC300" s="29"/>
      <c r="DD300" s="28" t="e">
        <f>#REF!</f>
        <v>#REF!</v>
      </c>
      <c r="DE300" s="28" t="e">
        <f>#REF!*2</f>
        <v>#REF!</v>
      </c>
      <c r="DF300" s="28" t="e">
        <f>#REF!</f>
        <v>#REF!</v>
      </c>
      <c r="DG300" s="28" t="e">
        <f>#REF!*2</f>
        <v>#REF!</v>
      </c>
      <c r="DH300" s="28" t="e">
        <f>#REF!</f>
        <v>#REF!</v>
      </c>
      <c r="DI300" s="28" t="e">
        <f>#REF!*2</f>
        <v>#REF!</v>
      </c>
      <c r="DJ300" s="28" t="e">
        <f>#REF!</f>
        <v>#REF!</v>
      </c>
      <c r="DK300" s="28" t="e">
        <f>#REF!*2</f>
        <v>#REF!</v>
      </c>
      <c r="DL300" s="28" t="e">
        <f>#REF!</f>
        <v>#REF!</v>
      </c>
      <c r="DM300" s="28" t="e">
        <f>#REF!*2</f>
        <v>#REF!</v>
      </c>
      <c r="DN300" s="27"/>
      <c r="DO300" s="26"/>
      <c r="DP300" s="26"/>
      <c r="DQ300" s="26"/>
      <c r="DR300" s="26"/>
      <c r="DS300" s="26"/>
      <c r="DT300" s="25"/>
    </row>
    <row r="301" spans="2:124" x14ac:dyDescent="0.3">
      <c r="B301" s="3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2"/>
      <c r="I301" s="3">
        <f>IF(OR(B301="",ISBLANK(B301),B301=0),0,IF(MOD(B301,2)=1,1,2))</f>
        <v>0</v>
      </c>
      <c r="J301" s="3">
        <f>IF(OR(C301="",ISBLANK(C301),C301=0),0,IF(MOD(C301,2)=1,1,2))</f>
        <v>0</v>
      </c>
      <c r="K301" s="3">
        <f>IF(OR(D301="",ISBLANK(D301),D301=0),0,IF(MOD(D301,2)=1,1,2))</f>
        <v>0</v>
      </c>
      <c r="L301" s="3">
        <f>IF(OR(E301="",ISBLANK(E301),E301=0),0,IF(MOD(E301,2)=1,1,2))</f>
        <v>0</v>
      </c>
      <c r="M301" s="3">
        <f>IF(OR(F301="",ISBLANK(F301),F301=0),0,IF(MOD(F301,2)=1,1,2))</f>
        <v>0</v>
      </c>
      <c r="N301" s="3">
        <f>IF(OR(G301="",ISBLANK(G301),G301=0),0,IF(MOD(G301,2)=1,1,2))</f>
        <v>0</v>
      </c>
      <c r="O301" s="32"/>
      <c r="P301" s="3" cm="1">
        <f t="array" ref="P301">SUMPRODUCT(--(MOD(B301:G301,2)=1))</f>
        <v>0</v>
      </c>
      <c r="Q301" s="3">
        <f>6-P301</f>
        <v>6</v>
      </c>
      <c r="R301" s="34"/>
      <c r="S301" s="3">
        <f>COUNTIFS(B301:G301,"&gt;=1",B301:G301,"&lt;=23")</f>
        <v>0</v>
      </c>
      <c r="T301" s="3">
        <f>6-S301</f>
        <v>6</v>
      </c>
      <c r="U301" s="34"/>
      <c r="V301" s="3" cm="1">
        <f t="array" ref="V301">SUMPRODUCT(--(MOD(B301:G301,10)&gt;=1), --(MOD(B301:G301,10)&lt;=5))</f>
        <v>0</v>
      </c>
      <c r="W301" s="3">
        <f>6-V301</f>
        <v>6</v>
      </c>
      <c r="X301" s="34"/>
      <c r="Y301" s="3" cm="1">
        <f t="array" ref="Y301">IFERROR(COUNT(_xlfn._xlws.FILTER(B301:G301, ISNUMBER(MATCH(B301:G301, {2,3,5,7,11,13,17,19,23,29,31,37,41,43}, 0)))), 0)</f>
        <v>0</v>
      </c>
      <c r="Z301" s="3" cm="1">
        <f t="array" ref="Z301">IFERROR(COUNT(_xlfn._xlws.FILTER(B301:G301, ISNUMBER(MATCH(B301:G301, {1,4,8,10,14,16,20,22,25,26,28,32,34,35,38,40,44}, 0)))), 0)</f>
        <v>0</v>
      </c>
      <c r="AA301" s="3" cm="1">
        <f t="array" ref="AA301">IFERROR(COUNT(_xlfn._xlws.FILTER(B301:G301, ISNUMBER(MATCH(B301:G301, {6,9,12,15,18,21,24,27,30,33,36,39,42,45}, 0)))), 0)</f>
        <v>0</v>
      </c>
      <c r="AB301" s="30"/>
      <c r="AC301" s="26" cm="1">
        <f t="array" ref="AC301">_xlfn.IFS(
   OR(B301="",ISBLANK(B301),B301=0),0,
   ISNUMBER(MATCH(B301,{2,3,5,7,11,13,17,19,23,29,31,37,41,43},0)),"소",
   AND(ISNUMBER(B301),MOD(B301,3)=0),"배",
   AND(ISNUMBER(B301),B301&gt;0),"자"
)</f>
        <v>0</v>
      </c>
      <c r="AD301" s="26" cm="1">
        <f t="array" ref="AD301">_xlfn.IFS(
   OR(C301="",ISBLANK(C301),C301=0),0,
   ISNUMBER(MATCH(C301,{2,3,5,7,11,13,17,19,23,29,31,37,41,43},0)),"소",
   AND(ISNUMBER(C301),MOD(C301,3)=0),"배",
   AND(ISNUMBER(C301),C301&gt;0),"자"
)</f>
        <v>0</v>
      </c>
      <c r="AE301" s="26" cm="1">
        <f t="array" ref="AE301">_xlfn.IFS(
   OR(D301="",ISBLANK(D301),D301=0),0,
   ISNUMBER(MATCH(D301,{2,3,5,7,11,13,17,19,23,29,31,37,41,43},0)),"소",
   AND(ISNUMBER(D301),MOD(D301,3)=0),"배",
   AND(ISNUMBER(D301),D301&gt;0),"자"
)</f>
        <v>0</v>
      </c>
      <c r="AF301" s="26" cm="1">
        <f t="array" ref="AF301">_xlfn.IFS(
   OR(E301="",ISBLANK(E301),E301=0),0,
   ISNUMBER(MATCH(E301,{2,3,5,7,11,13,17,19,23,29,31,37,41,43},0)),"소",
   AND(ISNUMBER(E301),MOD(E301,3)=0),"배",
   AND(ISNUMBER(E301),E301&gt;0),"자"
)</f>
        <v>0</v>
      </c>
      <c r="AG301" s="26" cm="1">
        <f t="array" ref="AG301">_xlfn.IFS(
   OR(F301="",ISBLANK(F301),F301=0),0,
   ISNUMBER(MATCH(F301,{2,3,5,7,11,13,17,19,23,29,31,37,41,43},0)),"소",
   AND(ISNUMBER(F301),MOD(F301,3)=0),"배",
   AND(ISNUMBER(F301),F301&gt;0),"자"
)</f>
        <v>0</v>
      </c>
      <c r="AH301" s="26" cm="1">
        <f t="array" ref="AH301">_xlfn.IFS(
   OR(G301="",ISBLANK(G301),G301=0),0,
   ISNUMBER(MATCH(G301,{2,3,5,7,11,13,17,19,23,29,31,37,41,43},0)),"소",
   AND(ISNUMBER(G301),MOD(G301,3)=0),"배",
   AND(ISNUMBER(G301),G301&gt;0),"자"
)</f>
        <v>0</v>
      </c>
      <c r="AI301" s="30"/>
      <c r="AJ301" s="3">
        <f>COUNTIFS(B301:G301,"&gt;=1",B301:G301,"&lt;=14")</f>
        <v>0</v>
      </c>
      <c r="AK301" s="3">
        <f>COUNTIFS(B301:G301,"&gt;=15",B301:G301,"&lt;=31")</f>
        <v>0</v>
      </c>
      <c r="AL301" s="3">
        <f>6-AK301-AJ301</f>
        <v>6</v>
      </c>
      <c r="AM301" s="33"/>
      <c r="AN301" s="3">
        <f>COUNTIFS($B301:$G301, "&gt;=1",$B301:$G301, "&lt;=9")</f>
        <v>0</v>
      </c>
      <c r="AO301" s="3">
        <f>COUNTIFS($B301:$G301, "&gt;=10",$B301:$G301, "&lt;=18")</f>
        <v>0</v>
      </c>
      <c r="AP301" s="3">
        <f>COUNTIFS($B301:$G301, "&gt;=19",$B301:$G301, "&lt;=27")</f>
        <v>0</v>
      </c>
      <c r="AQ301" s="3">
        <f>COUNTIFS($B301:$G301, "&gt;=28",$B301:$G301, "&lt;=36")</f>
        <v>0</v>
      </c>
      <c r="AR301" s="3">
        <f>COUNTIFS($B301:$G301, "&gt;=37",$B301:$G301, "&lt;=45")</f>
        <v>0</v>
      </c>
      <c r="AS301" s="28" t="e">
        <f>#REF!</f>
        <v>#REF!</v>
      </c>
      <c r="AT301" s="28" t="e">
        <f>#REF!*2</f>
        <v>#REF!</v>
      </c>
      <c r="AU301" s="28" t="e">
        <f>#REF!</f>
        <v>#REF!</v>
      </c>
      <c r="AV301" s="28" t="e">
        <f>#REF!*2</f>
        <v>#REF!</v>
      </c>
      <c r="AW301" s="28" t="e">
        <f>#REF!</f>
        <v>#REF!</v>
      </c>
      <c r="AX301" s="28" t="e">
        <f>#REF!*2</f>
        <v>#REF!</v>
      </c>
      <c r="AY301" s="28" t="e">
        <f>#REF!</f>
        <v>#REF!</v>
      </c>
      <c r="AZ301" s="28" t="e">
        <f>#REF!*2</f>
        <v>#REF!</v>
      </c>
      <c r="BA301" s="28" t="e">
        <f>#REF!</f>
        <v>#REF!</v>
      </c>
      <c r="BB301" s="28" t="e">
        <f>#REF!*2</f>
        <v>#REF!</v>
      </c>
      <c r="BC301" s="28" t="e">
        <f>#REF!</f>
        <v>#REF!</v>
      </c>
      <c r="BD301" s="28" t="e">
        <f>#REF!*2</f>
        <v>#REF!</v>
      </c>
      <c r="BE301" s="9" t="e">
        <f>#REF!-#REF!</f>
        <v>#REF!</v>
      </c>
      <c r="BF301" s="9" t="e">
        <f>#REF!-#REF!</f>
        <v>#REF!</v>
      </c>
      <c r="BG301" s="9" t="e">
        <f>#REF!-#REF!</f>
        <v>#REF!</v>
      </c>
      <c r="BH301" s="9" t="e">
        <f>#REF!-#REF!</f>
        <v>#REF!</v>
      </c>
      <c r="BI301" s="9" t="e">
        <f>#REF!-#REF!</f>
        <v>#REF!</v>
      </c>
      <c r="BJ301" s="33"/>
      <c r="BK301" s="3">
        <f>COUNTIFS(B301:G301, "&gt;=1", B301:G301, "&lt;=9")</f>
        <v>0</v>
      </c>
      <c r="BL301" s="3">
        <f>COUNTIFS(B301:G301, "&gt;=10", B301:G301, "&lt;=19")</f>
        <v>0</v>
      </c>
      <c r="BM301" s="3">
        <f>COUNTIFS(B301:G301, "&gt;=20", B301:G301, "&lt;=29")</f>
        <v>0</v>
      </c>
      <c r="BN301" s="3">
        <f>COUNTIFS(B301:G301, "&gt;=30", B301:G301, "&lt;=39")</f>
        <v>0</v>
      </c>
      <c r="BO301" s="3">
        <f>COUNTIFS(B301:G301, "&gt;=40", B301:G301, "&lt;=45")</f>
        <v>0</v>
      </c>
      <c r="BP301" s="28" t="e">
        <f>#REF!</f>
        <v>#REF!</v>
      </c>
      <c r="BQ301" s="28" t="e">
        <f>#REF!*2</f>
        <v>#REF!</v>
      </c>
      <c r="BR301" s="28" t="e">
        <f>#REF!</f>
        <v>#REF!</v>
      </c>
      <c r="BS301" s="28" t="e">
        <f>#REF!*2</f>
        <v>#REF!</v>
      </c>
      <c r="BT301" s="28" t="e">
        <f>#REF!</f>
        <v>#REF!</v>
      </c>
      <c r="BU301" s="28" t="e">
        <f>#REF!*2</f>
        <v>#REF!</v>
      </c>
      <c r="BV301" s="28" t="e">
        <f>#REF!</f>
        <v>#REF!</v>
      </c>
      <c r="BW301" s="28" t="e">
        <f>#REF!*2</f>
        <v>#REF!</v>
      </c>
      <c r="BX301" s="28" t="e">
        <f>#REF!</f>
        <v>#REF!</v>
      </c>
      <c r="BY301" s="28" t="e">
        <f>#REF!*2</f>
        <v>#REF!</v>
      </c>
      <c r="BZ301" s="28" t="e">
        <f>#REF!</f>
        <v>#REF!</v>
      </c>
      <c r="CA301" s="28" t="e">
        <f>#REF!*2</f>
        <v>#REF!</v>
      </c>
      <c r="CB301" s="9">
        <f>C301-B301</f>
        <v>0</v>
      </c>
      <c r="CC301" s="9">
        <f>D301-C301</f>
        <v>0</v>
      </c>
      <c r="CD301" s="9">
        <f>E301-D301</f>
        <v>0</v>
      </c>
      <c r="CE301" s="9">
        <f>F301-E301</f>
        <v>0</v>
      </c>
      <c r="CF301" s="9">
        <f>G301-F301</f>
        <v>0</v>
      </c>
      <c r="CG301" s="33"/>
      <c r="CH301" s="3">
        <f>C301-B301</f>
        <v>0</v>
      </c>
      <c r="CI301" s="3">
        <f>D301-C301</f>
        <v>0</v>
      </c>
      <c r="CJ301" s="3">
        <f>E301-D301</f>
        <v>0</v>
      </c>
      <c r="CK301" s="3">
        <f>F301-E301</f>
        <v>0</v>
      </c>
      <c r="CL301" s="3">
        <f>G301-F301</f>
        <v>0</v>
      </c>
      <c r="CM301" s="32"/>
      <c r="CN301" s="3">
        <f>IF(OR(CH301="",ISBLANK(CH301),CH301=0),0,IF(MOD(CH301,2)=1,1,2))</f>
        <v>0</v>
      </c>
      <c r="CO301" s="3">
        <f>IF(OR(CI301="",ISBLANK(CI301),CI301=0),0,IF(MOD(CI301,2)=1,1,2))</f>
        <v>0</v>
      </c>
      <c r="CP301" s="3">
        <f>IF(OR(CJ301="",ISBLANK(CJ301),CJ301=0),0,IF(MOD(CJ301,2)=1,1,2))</f>
        <v>0</v>
      </c>
      <c r="CQ301" s="3">
        <f>IF(OR(CK301="",ISBLANK(CK301),CK301=0),0,IF(MOD(CK301,2)=1,1,2))</f>
        <v>0</v>
      </c>
      <c r="CR301" s="3">
        <f>IF(OR(CL301="",ISBLANK(CL301),CL301=0),0,IF(MOD(CL301,2)=1,1,2))</f>
        <v>0</v>
      </c>
      <c r="CS301" s="31"/>
      <c r="CT301" s="3" cm="1">
        <f t="array" ref="CT301">SUMPRODUCT(--(MOD(CH301:CL301,2)=1))</f>
        <v>0</v>
      </c>
      <c r="CU301" s="3">
        <f>5-CT301</f>
        <v>5</v>
      </c>
      <c r="CV301" s="30"/>
      <c r="CW301" s="3" cm="1">
        <f t="array" ref="CW301">SUMPRODUCT(--(MOD(CH301:CL301,10)&gt;=1), --(MOD(CH301:CL301,10)&lt;=5))</f>
        <v>0</v>
      </c>
      <c r="CX301" s="3">
        <f>5-CW301</f>
        <v>5</v>
      </c>
      <c r="CY301" s="30"/>
      <c r="CZ301" s="3" cm="1">
        <f t="array" ref="CZ301">IFERROR(COUNT(_xlfn._xlws.FILTER(CH301:CL301, ISNUMBER(MATCH(CH301:CL301, {2,3,5,7,11,13,17,19,23,29,31,37,41,43}, 0)))), 0)</f>
        <v>0</v>
      </c>
      <c r="DA301" s="3" cm="1">
        <f t="array" ref="DA301">IFERROR(COUNT(_xlfn._xlws.FILTER(CH301:CL301, ISNUMBER(MATCH(CH301:CL301, {1,4,8,10,14,16,20,22,25,26,28,32,34,35,38,40,44}, 0)))), 0)</f>
        <v>0</v>
      </c>
      <c r="DB301" s="3" cm="1">
        <f t="array" ref="DB301">IFERROR(COUNT(_xlfn._xlws.FILTER(CH301:CL301, ISNUMBER(MATCH(CH301:CL301, {6,9,12,15,18,21,24,27,30,33,36,39,42,45}, 0)))), 0)</f>
        <v>0</v>
      </c>
      <c r="DC301" s="29"/>
      <c r="DD301" s="28" t="e">
        <f>#REF!</f>
        <v>#REF!</v>
      </c>
      <c r="DE301" s="28" t="e">
        <f>#REF!*2</f>
        <v>#REF!</v>
      </c>
      <c r="DF301" s="28" t="e">
        <f>#REF!</f>
        <v>#REF!</v>
      </c>
      <c r="DG301" s="28" t="e">
        <f>#REF!*2</f>
        <v>#REF!</v>
      </c>
      <c r="DH301" s="28" t="e">
        <f>#REF!</f>
        <v>#REF!</v>
      </c>
      <c r="DI301" s="28" t="e">
        <f>#REF!*2</f>
        <v>#REF!</v>
      </c>
      <c r="DJ301" s="28" t="e">
        <f>#REF!</f>
        <v>#REF!</v>
      </c>
      <c r="DK301" s="28" t="e">
        <f>#REF!*2</f>
        <v>#REF!</v>
      </c>
      <c r="DL301" s="28" t="e">
        <f>#REF!</f>
        <v>#REF!</v>
      </c>
      <c r="DM301" s="28" t="e">
        <f>#REF!*2</f>
        <v>#REF!</v>
      </c>
      <c r="DN301" s="27"/>
      <c r="DO301" s="26"/>
      <c r="DP301" s="26"/>
      <c r="DQ301" s="26"/>
      <c r="DR301" s="26"/>
      <c r="DS301" s="26"/>
      <c r="DT301" s="25"/>
    </row>
    <row r="302" spans="2:124" x14ac:dyDescent="0.3">
      <c r="B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2"/>
      <c r="I302" s="3">
        <f>IF(OR(B302="",ISBLANK(B302),B302=0),0,IF(MOD(B302,2)=1,1,2))</f>
        <v>0</v>
      </c>
      <c r="J302" s="3">
        <f>IF(OR(C302="",ISBLANK(C302),C302=0),0,IF(MOD(C302,2)=1,1,2))</f>
        <v>0</v>
      </c>
      <c r="K302" s="3">
        <f>IF(OR(D302="",ISBLANK(D302),D302=0),0,IF(MOD(D302,2)=1,1,2))</f>
        <v>0</v>
      </c>
      <c r="L302" s="3">
        <f>IF(OR(E302="",ISBLANK(E302),E302=0),0,IF(MOD(E302,2)=1,1,2))</f>
        <v>0</v>
      </c>
      <c r="M302" s="3">
        <f>IF(OR(F302="",ISBLANK(F302),F302=0),0,IF(MOD(F302,2)=1,1,2))</f>
        <v>0</v>
      </c>
      <c r="N302" s="3">
        <f>IF(OR(G302="",ISBLANK(G302),G302=0),0,IF(MOD(G302,2)=1,1,2))</f>
        <v>0</v>
      </c>
      <c r="O302" s="32"/>
      <c r="P302" s="3" cm="1">
        <f t="array" ref="P302">SUMPRODUCT(--(MOD(B302:G302,2)=1))</f>
        <v>0</v>
      </c>
      <c r="Q302" s="3">
        <f>6-P302</f>
        <v>6</v>
      </c>
      <c r="R302" s="34"/>
      <c r="S302" s="3">
        <f>COUNTIFS(B302:G302,"&gt;=1",B302:G302,"&lt;=23")</f>
        <v>0</v>
      </c>
      <c r="T302" s="3">
        <f>6-S302</f>
        <v>6</v>
      </c>
      <c r="U302" s="34"/>
      <c r="V302" s="3" cm="1">
        <f t="array" ref="V302">SUMPRODUCT(--(MOD(B302:G302,10)&gt;=1), --(MOD(B302:G302,10)&lt;=5))</f>
        <v>0</v>
      </c>
      <c r="W302" s="3">
        <f>6-V302</f>
        <v>6</v>
      </c>
      <c r="X302" s="34"/>
      <c r="Y302" s="3" cm="1">
        <f t="array" ref="Y302">IFERROR(COUNT(_xlfn._xlws.FILTER(B302:G302, ISNUMBER(MATCH(B302:G302, {2,3,5,7,11,13,17,19,23,29,31,37,41,43}, 0)))), 0)</f>
        <v>0</v>
      </c>
      <c r="Z302" s="3" cm="1">
        <f t="array" ref="Z302">IFERROR(COUNT(_xlfn._xlws.FILTER(B302:G302, ISNUMBER(MATCH(B302:G302, {1,4,8,10,14,16,20,22,25,26,28,32,34,35,38,40,44}, 0)))), 0)</f>
        <v>0</v>
      </c>
      <c r="AA302" s="3" cm="1">
        <f t="array" ref="AA302">IFERROR(COUNT(_xlfn._xlws.FILTER(B302:G302, ISNUMBER(MATCH(B302:G302, {6,9,12,15,18,21,24,27,30,33,36,39,42,45}, 0)))), 0)</f>
        <v>0</v>
      </c>
      <c r="AB302" s="30"/>
      <c r="AC302" s="26" cm="1">
        <f t="array" ref="AC302">_xlfn.IFS(
   OR(B302="",ISBLANK(B302),B302=0),0,
   ISNUMBER(MATCH(B302,{2,3,5,7,11,13,17,19,23,29,31,37,41,43},0)),"소",
   AND(ISNUMBER(B302),MOD(B302,3)=0),"배",
   AND(ISNUMBER(B302),B302&gt;0),"자"
)</f>
        <v>0</v>
      </c>
      <c r="AD302" s="26" cm="1">
        <f t="array" ref="AD302">_xlfn.IFS(
   OR(C302="",ISBLANK(C302),C302=0),0,
   ISNUMBER(MATCH(C302,{2,3,5,7,11,13,17,19,23,29,31,37,41,43},0)),"소",
   AND(ISNUMBER(C302),MOD(C302,3)=0),"배",
   AND(ISNUMBER(C302),C302&gt;0),"자"
)</f>
        <v>0</v>
      </c>
      <c r="AE302" s="26" cm="1">
        <f t="array" ref="AE302">_xlfn.IFS(
   OR(D302="",ISBLANK(D302),D302=0),0,
   ISNUMBER(MATCH(D302,{2,3,5,7,11,13,17,19,23,29,31,37,41,43},0)),"소",
   AND(ISNUMBER(D302),MOD(D302,3)=0),"배",
   AND(ISNUMBER(D302),D302&gt;0),"자"
)</f>
        <v>0</v>
      </c>
      <c r="AF302" s="26" cm="1">
        <f t="array" ref="AF302">_xlfn.IFS(
   OR(E302="",ISBLANK(E302),E302=0),0,
   ISNUMBER(MATCH(E302,{2,3,5,7,11,13,17,19,23,29,31,37,41,43},0)),"소",
   AND(ISNUMBER(E302),MOD(E302,3)=0),"배",
   AND(ISNUMBER(E302),E302&gt;0),"자"
)</f>
        <v>0</v>
      </c>
      <c r="AG302" s="26" cm="1">
        <f t="array" ref="AG302">_xlfn.IFS(
   OR(F302="",ISBLANK(F302),F302=0),0,
   ISNUMBER(MATCH(F302,{2,3,5,7,11,13,17,19,23,29,31,37,41,43},0)),"소",
   AND(ISNUMBER(F302),MOD(F302,3)=0),"배",
   AND(ISNUMBER(F302),F302&gt;0),"자"
)</f>
        <v>0</v>
      </c>
      <c r="AH302" s="26" cm="1">
        <f t="array" ref="AH302">_xlfn.IFS(
   OR(G302="",ISBLANK(G302),G302=0),0,
   ISNUMBER(MATCH(G302,{2,3,5,7,11,13,17,19,23,29,31,37,41,43},0)),"소",
   AND(ISNUMBER(G302),MOD(G302,3)=0),"배",
   AND(ISNUMBER(G302),G302&gt;0),"자"
)</f>
        <v>0</v>
      </c>
      <c r="AI302" s="30"/>
      <c r="AJ302" s="3">
        <f>COUNTIFS(B302:G302,"&gt;=1",B302:G302,"&lt;=14")</f>
        <v>0</v>
      </c>
      <c r="AK302" s="3">
        <f>COUNTIFS(B302:G302,"&gt;=15",B302:G302,"&lt;=31")</f>
        <v>0</v>
      </c>
      <c r="AL302" s="3">
        <f>6-AK302-AJ302</f>
        <v>6</v>
      </c>
      <c r="AM302" s="33"/>
      <c r="AN302" s="3">
        <f>COUNTIFS($B302:$G302, "&gt;=1",$B302:$G302, "&lt;=9")</f>
        <v>0</v>
      </c>
      <c r="AO302" s="3">
        <f>COUNTIFS($B302:$G302, "&gt;=10",$B302:$G302, "&lt;=18")</f>
        <v>0</v>
      </c>
      <c r="AP302" s="3">
        <f>COUNTIFS($B302:$G302, "&gt;=19",$B302:$G302, "&lt;=27")</f>
        <v>0</v>
      </c>
      <c r="AQ302" s="3">
        <f>COUNTIFS($B302:$G302, "&gt;=28",$B302:$G302, "&lt;=36")</f>
        <v>0</v>
      </c>
      <c r="AR302" s="3">
        <f>COUNTIFS($B302:$G302, "&gt;=37",$B302:$G302, "&lt;=45")</f>
        <v>0</v>
      </c>
      <c r="AS302" s="28" t="e">
        <f>#REF!</f>
        <v>#REF!</v>
      </c>
      <c r="AT302" s="28" t="e">
        <f>#REF!*2</f>
        <v>#REF!</v>
      </c>
      <c r="AU302" s="28" t="e">
        <f>#REF!</f>
        <v>#REF!</v>
      </c>
      <c r="AV302" s="28" t="e">
        <f>#REF!*2</f>
        <v>#REF!</v>
      </c>
      <c r="AW302" s="28" t="e">
        <f>#REF!</f>
        <v>#REF!</v>
      </c>
      <c r="AX302" s="28" t="e">
        <f>#REF!*2</f>
        <v>#REF!</v>
      </c>
      <c r="AY302" s="28" t="e">
        <f>#REF!</f>
        <v>#REF!</v>
      </c>
      <c r="AZ302" s="28" t="e">
        <f>#REF!*2</f>
        <v>#REF!</v>
      </c>
      <c r="BA302" s="28" t="e">
        <f>#REF!</f>
        <v>#REF!</v>
      </c>
      <c r="BB302" s="28" t="e">
        <f>#REF!*2</f>
        <v>#REF!</v>
      </c>
      <c r="BC302" s="28" t="e">
        <f>#REF!</f>
        <v>#REF!</v>
      </c>
      <c r="BD302" s="28" t="e">
        <f>#REF!*2</f>
        <v>#REF!</v>
      </c>
      <c r="BE302" s="9" t="e">
        <f>#REF!-#REF!</f>
        <v>#REF!</v>
      </c>
      <c r="BF302" s="9" t="e">
        <f>#REF!-#REF!</f>
        <v>#REF!</v>
      </c>
      <c r="BG302" s="9" t="e">
        <f>#REF!-#REF!</f>
        <v>#REF!</v>
      </c>
      <c r="BH302" s="9" t="e">
        <f>#REF!-#REF!</f>
        <v>#REF!</v>
      </c>
      <c r="BI302" s="9" t="e">
        <f>#REF!-#REF!</f>
        <v>#REF!</v>
      </c>
      <c r="BJ302" s="33"/>
      <c r="BK302" s="3">
        <f>COUNTIFS(B302:G302, "&gt;=1", B302:G302, "&lt;=9")</f>
        <v>0</v>
      </c>
      <c r="BL302" s="3">
        <f>COUNTIFS(B302:G302, "&gt;=10", B302:G302, "&lt;=19")</f>
        <v>0</v>
      </c>
      <c r="BM302" s="3">
        <f>COUNTIFS(B302:G302, "&gt;=20", B302:G302, "&lt;=29")</f>
        <v>0</v>
      </c>
      <c r="BN302" s="3">
        <f>COUNTIFS(B302:G302, "&gt;=30", B302:G302, "&lt;=39")</f>
        <v>0</v>
      </c>
      <c r="BO302" s="3">
        <f>COUNTIFS(B302:G302, "&gt;=40", B302:G302, "&lt;=45")</f>
        <v>0</v>
      </c>
      <c r="BP302" s="28" t="e">
        <f>#REF!</f>
        <v>#REF!</v>
      </c>
      <c r="BQ302" s="28" t="e">
        <f>#REF!*2</f>
        <v>#REF!</v>
      </c>
      <c r="BR302" s="28" t="e">
        <f>#REF!</f>
        <v>#REF!</v>
      </c>
      <c r="BS302" s="28" t="e">
        <f>#REF!*2</f>
        <v>#REF!</v>
      </c>
      <c r="BT302" s="28" t="e">
        <f>#REF!</f>
        <v>#REF!</v>
      </c>
      <c r="BU302" s="28" t="e">
        <f>#REF!*2</f>
        <v>#REF!</v>
      </c>
      <c r="BV302" s="28" t="e">
        <f>#REF!</f>
        <v>#REF!</v>
      </c>
      <c r="BW302" s="28" t="e">
        <f>#REF!*2</f>
        <v>#REF!</v>
      </c>
      <c r="BX302" s="28" t="e">
        <f>#REF!</f>
        <v>#REF!</v>
      </c>
      <c r="BY302" s="28" t="e">
        <f>#REF!*2</f>
        <v>#REF!</v>
      </c>
      <c r="BZ302" s="28" t="e">
        <f>#REF!</f>
        <v>#REF!</v>
      </c>
      <c r="CA302" s="28" t="e">
        <f>#REF!*2</f>
        <v>#REF!</v>
      </c>
      <c r="CB302" s="9">
        <f>C302-B302</f>
        <v>0</v>
      </c>
      <c r="CC302" s="9">
        <f>D302-C302</f>
        <v>0</v>
      </c>
      <c r="CD302" s="9">
        <f>E302-D302</f>
        <v>0</v>
      </c>
      <c r="CE302" s="9">
        <f>F302-E302</f>
        <v>0</v>
      </c>
      <c r="CF302" s="9">
        <f>G302-F302</f>
        <v>0</v>
      </c>
      <c r="CG302" s="33"/>
      <c r="CH302" s="3">
        <f>C302-B302</f>
        <v>0</v>
      </c>
      <c r="CI302" s="3">
        <f>D302-C302</f>
        <v>0</v>
      </c>
      <c r="CJ302" s="3">
        <f>E302-D302</f>
        <v>0</v>
      </c>
      <c r="CK302" s="3">
        <f>F302-E302</f>
        <v>0</v>
      </c>
      <c r="CL302" s="3">
        <f>G302-F302</f>
        <v>0</v>
      </c>
      <c r="CM302" s="32"/>
      <c r="CN302" s="3">
        <f>IF(OR(CH302="",ISBLANK(CH302),CH302=0),0,IF(MOD(CH302,2)=1,1,2))</f>
        <v>0</v>
      </c>
      <c r="CO302" s="3">
        <f>IF(OR(CI302="",ISBLANK(CI302),CI302=0),0,IF(MOD(CI302,2)=1,1,2))</f>
        <v>0</v>
      </c>
      <c r="CP302" s="3">
        <f>IF(OR(CJ302="",ISBLANK(CJ302),CJ302=0),0,IF(MOD(CJ302,2)=1,1,2))</f>
        <v>0</v>
      </c>
      <c r="CQ302" s="3">
        <f>IF(OR(CK302="",ISBLANK(CK302),CK302=0),0,IF(MOD(CK302,2)=1,1,2))</f>
        <v>0</v>
      </c>
      <c r="CR302" s="3">
        <f>IF(OR(CL302="",ISBLANK(CL302),CL302=0),0,IF(MOD(CL302,2)=1,1,2))</f>
        <v>0</v>
      </c>
      <c r="CS302" s="31"/>
      <c r="CT302" s="3" cm="1">
        <f t="array" ref="CT302">SUMPRODUCT(--(MOD(CH302:CL302,2)=1))</f>
        <v>0</v>
      </c>
      <c r="CU302" s="3">
        <f>5-CT302</f>
        <v>5</v>
      </c>
      <c r="CV302" s="30"/>
      <c r="CW302" s="3" cm="1">
        <f t="array" ref="CW302">SUMPRODUCT(--(MOD(CH302:CL302,10)&gt;=1), --(MOD(CH302:CL302,10)&lt;=5))</f>
        <v>0</v>
      </c>
      <c r="CX302" s="3">
        <f>5-CW302</f>
        <v>5</v>
      </c>
      <c r="CY302" s="30"/>
      <c r="CZ302" s="3" cm="1">
        <f t="array" ref="CZ302">IFERROR(COUNT(_xlfn._xlws.FILTER(CH302:CL302, ISNUMBER(MATCH(CH302:CL302, {2,3,5,7,11,13,17,19,23,29,31,37,41,43}, 0)))), 0)</f>
        <v>0</v>
      </c>
      <c r="DA302" s="3" cm="1">
        <f t="array" ref="DA302">IFERROR(COUNT(_xlfn._xlws.FILTER(CH302:CL302, ISNUMBER(MATCH(CH302:CL302, {1,4,8,10,14,16,20,22,25,26,28,32,34,35,38,40,44}, 0)))), 0)</f>
        <v>0</v>
      </c>
      <c r="DB302" s="3" cm="1">
        <f t="array" ref="DB302">IFERROR(COUNT(_xlfn._xlws.FILTER(CH302:CL302, ISNUMBER(MATCH(CH302:CL302, {6,9,12,15,18,21,24,27,30,33,36,39,42,45}, 0)))), 0)</f>
        <v>0</v>
      </c>
      <c r="DC302" s="29"/>
      <c r="DD302" s="28" t="e">
        <f>#REF!</f>
        <v>#REF!</v>
      </c>
      <c r="DE302" s="28" t="e">
        <f>#REF!*2</f>
        <v>#REF!</v>
      </c>
      <c r="DF302" s="28" t="e">
        <f>#REF!</f>
        <v>#REF!</v>
      </c>
      <c r="DG302" s="28" t="e">
        <f>#REF!*2</f>
        <v>#REF!</v>
      </c>
      <c r="DH302" s="28" t="e">
        <f>#REF!</f>
        <v>#REF!</v>
      </c>
      <c r="DI302" s="28" t="e">
        <f>#REF!*2</f>
        <v>#REF!</v>
      </c>
      <c r="DJ302" s="28" t="e">
        <f>#REF!</f>
        <v>#REF!</v>
      </c>
      <c r="DK302" s="28" t="e">
        <f>#REF!*2</f>
        <v>#REF!</v>
      </c>
      <c r="DL302" s="28" t="e">
        <f>#REF!</f>
        <v>#REF!</v>
      </c>
      <c r="DM302" s="28" t="e">
        <f>#REF!*2</f>
        <v>#REF!</v>
      </c>
      <c r="DN302" s="27"/>
      <c r="DO302" s="26"/>
      <c r="DP302" s="26"/>
      <c r="DQ302" s="26"/>
      <c r="DR302" s="26"/>
      <c r="DS302" s="26"/>
      <c r="DT302" s="25"/>
    </row>
    <row r="303" spans="2:124" x14ac:dyDescent="0.3">
      <c r="B303" s="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2"/>
      <c r="I303" s="3">
        <f>IF(OR(B303="",ISBLANK(B303),B303=0),0,IF(MOD(B303,2)=1,1,2))</f>
        <v>0</v>
      </c>
      <c r="J303" s="3">
        <f>IF(OR(C303="",ISBLANK(C303),C303=0),0,IF(MOD(C303,2)=1,1,2))</f>
        <v>0</v>
      </c>
      <c r="K303" s="3">
        <f>IF(OR(D303="",ISBLANK(D303),D303=0),0,IF(MOD(D303,2)=1,1,2))</f>
        <v>0</v>
      </c>
      <c r="L303" s="3">
        <f>IF(OR(E303="",ISBLANK(E303),E303=0),0,IF(MOD(E303,2)=1,1,2))</f>
        <v>0</v>
      </c>
      <c r="M303" s="3">
        <f>IF(OR(F303="",ISBLANK(F303),F303=0),0,IF(MOD(F303,2)=1,1,2))</f>
        <v>0</v>
      </c>
      <c r="N303" s="3">
        <f>IF(OR(G303="",ISBLANK(G303),G303=0),0,IF(MOD(G303,2)=1,1,2))</f>
        <v>0</v>
      </c>
      <c r="O303" s="32"/>
      <c r="P303" s="3" cm="1">
        <f t="array" ref="P303">SUMPRODUCT(--(MOD(B303:G303,2)=1))</f>
        <v>0</v>
      </c>
      <c r="Q303" s="3">
        <f>6-P303</f>
        <v>6</v>
      </c>
      <c r="R303" s="34"/>
      <c r="S303" s="3">
        <f>COUNTIFS(B303:G303,"&gt;=1",B303:G303,"&lt;=23")</f>
        <v>0</v>
      </c>
      <c r="T303" s="3">
        <f>6-S303</f>
        <v>6</v>
      </c>
      <c r="U303" s="34"/>
      <c r="V303" s="3" cm="1">
        <f t="array" ref="V303">SUMPRODUCT(--(MOD(B303:G303,10)&gt;=1), --(MOD(B303:G303,10)&lt;=5))</f>
        <v>0</v>
      </c>
      <c r="W303" s="3">
        <f>6-V303</f>
        <v>6</v>
      </c>
      <c r="X303" s="34"/>
      <c r="Y303" s="3" cm="1">
        <f t="array" ref="Y303">IFERROR(COUNT(_xlfn._xlws.FILTER(B303:G303, ISNUMBER(MATCH(B303:G303, {2,3,5,7,11,13,17,19,23,29,31,37,41,43}, 0)))), 0)</f>
        <v>0</v>
      </c>
      <c r="Z303" s="3" cm="1">
        <f t="array" ref="Z303">IFERROR(COUNT(_xlfn._xlws.FILTER(B303:G303, ISNUMBER(MATCH(B303:G303, {1,4,8,10,14,16,20,22,25,26,28,32,34,35,38,40,44}, 0)))), 0)</f>
        <v>0</v>
      </c>
      <c r="AA303" s="3" cm="1">
        <f t="array" ref="AA303">IFERROR(COUNT(_xlfn._xlws.FILTER(B303:G303, ISNUMBER(MATCH(B303:G303, {6,9,12,15,18,21,24,27,30,33,36,39,42,45}, 0)))), 0)</f>
        <v>0</v>
      </c>
      <c r="AB303" s="30"/>
      <c r="AC303" s="26" cm="1">
        <f t="array" ref="AC303">_xlfn.IFS(
   OR(B303="",ISBLANK(B303),B303=0),0,
   ISNUMBER(MATCH(B303,{2,3,5,7,11,13,17,19,23,29,31,37,41,43},0)),"소",
   AND(ISNUMBER(B303),MOD(B303,3)=0),"배",
   AND(ISNUMBER(B303),B303&gt;0),"자"
)</f>
        <v>0</v>
      </c>
      <c r="AD303" s="26" cm="1">
        <f t="array" ref="AD303">_xlfn.IFS(
   OR(C303="",ISBLANK(C303),C303=0),0,
   ISNUMBER(MATCH(C303,{2,3,5,7,11,13,17,19,23,29,31,37,41,43},0)),"소",
   AND(ISNUMBER(C303),MOD(C303,3)=0),"배",
   AND(ISNUMBER(C303),C303&gt;0),"자"
)</f>
        <v>0</v>
      </c>
      <c r="AE303" s="26" cm="1">
        <f t="array" ref="AE303">_xlfn.IFS(
   OR(D303="",ISBLANK(D303),D303=0),0,
   ISNUMBER(MATCH(D303,{2,3,5,7,11,13,17,19,23,29,31,37,41,43},0)),"소",
   AND(ISNUMBER(D303),MOD(D303,3)=0),"배",
   AND(ISNUMBER(D303),D303&gt;0),"자"
)</f>
        <v>0</v>
      </c>
      <c r="AF303" s="26" cm="1">
        <f t="array" ref="AF303">_xlfn.IFS(
   OR(E303="",ISBLANK(E303),E303=0),0,
   ISNUMBER(MATCH(E303,{2,3,5,7,11,13,17,19,23,29,31,37,41,43},0)),"소",
   AND(ISNUMBER(E303),MOD(E303,3)=0),"배",
   AND(ISNUMBER(E303),E303&gt;0),"자"
)</f>
        <v>0</v>
      </c>
      <c r="AG303" s="26" cm="1">
        <f t="array" ref="AG303">_xlfn.IFS(
   OR(F303="",ISBLANK(F303),F303=0),0,
   ISNUMBER(MATCH(F303,{2,3,5,7,11,13,17,19,23,29,31,37,41,43},0)),"소",
   AND(ISNUMBER(F303),MOD(F303,3)=0),"배",
   AND(ISNUMBER(F303),F303&gt;0),"자"
)</f>
        <v>0</v>
      </c>
      <c r="AH303" s="26" cm="1">
        <f t="array" ref="AH303">_xlfn.IFS(
   OR(G303="",ISBLANK(G303),G303=0),0,
   ISNUMBER(MATCH(G303,{2,3,5,7,11,13,17,19,23,29,31,37,41,43},0)),"소",
   AND(ISNUMBER(G303),MOD(G303,3)=0),"배",
   AND(ISNUMBER(G303),G303&gt;0),"자"
)</f>
        <v>0</v>
      </c>
      <c r="AI303" s="30"/>
      <c r="AJ303" s="3">
        <f>COUNTIFS(B303:G303,"&gt;=1",B303:G303,"&lt;=14")</f>
        <v>0</v>
      </c>
      <c r="AK303" s="3">
        <f>COUNTIFS(B303:G303,"&gt;=15",B303:G303,"&lt;=31")</f>
        <v>0</v>
      </c>
      <c r="AL303" s="3">
        <f>6-AK303-AJ303</f>
        <v>6</v>
      </c>
      <c r="AM303" s="33"/>
      <c r="AN303" s="3">
        <f>COUNTIFS($B303:$G303, "&gt;=1",$B303:$G303, "&lt;=9")</f>
        <v>0</v>
      </c>
      <c r="AO303" s="3">
        <f>COUNTIFS($B303:$G303, "&gt;=10",$B303:$G303, "&lt;=18")</f>
        <v>0</v>
      </c>
      <c r="AP303" s="3">
        <f>COUNTIFS($B303:$G303, "&gt;=19",$B303:$G303, "&lt;=27")</f>
        <v>0</v>
      </c>
      <c r="AQ303" s="3">
        <f>COUNTIFS($B303:$G303, "&gt;=28",$B303:$G303, "&lt;=36")</f>
        <v>0</v>
      </c>
      <c r="AR303" s="3">
        <f>COUNTIFS($B303:$G303, "&gt;=37",$B303:$G303, "&lt;=45")</f>
        <v>0</v>
      </c>
      <c r="AS303" s="28" t="e">
        <f>#REF!</f>
        <v>#REF!</v>
      </c>
      <c r="AT303" s="28" t="e">
        <f>#REF!*2</f>
        <v>#REF!</v>
      </c>
      <c r="AU303" s="28" t="e">
        <f>#REF!</f>
        <v>#REF!</v>
      </c>
      <c r="AV303" s="28" t="e">
        <f>#REF!*2</f>
        <v>#REF!</v>
      </c>
      <c r="AW303" s="28" t="e">
        <f>#REF!</f>
        <v>#REF!</v>
      </c>
      <c r="AX303" s="28" t="e">
        <f>#REF!*2</f>
        <v>#REF!</v>
      </c>
      <c r="AY303" s="28" t="e">
        <f>#REF!</f>
        <v>#REF!</v>
      </c>
      <c r="AZ303" s="28" t="e">
        <f>#REF!*2</f>
        <v>#REF!</v>
      </c>
      <c r="BA303" s="28" t="e">
        <f>#REF!</f>
        <v>#REF!</v>
      </c>
      <c r="BB303" s="28" t="e">
        <f>#REF!*2</f>
        <v>#REF!</v>
      </c>
      <c r="BC303" s="28" t="e">
        <f>#REF!</f>
        <v>#REF!</v>
      </c>
      <c r="BD303" s="28" t="e">
        <f>#REF!*2</f>
        <v>#REF!</v>
      </c>
      <c r="BE303" s="9" t="e">
        <f>#REF!-#REF!</f>
        <v>#REF!</v>
      </c>
      <c r="BF303" s="9" t="e">
        <f>#REF!-#REF!</f>
        <v>#REF!</v>
      </c>
      <c r="BG303" s="9" t="e">
        <f>#REF!-#REF!</f>
        <v>#REF!</v>
      </c>
      <c r="BH303" s="9" t="e">
        <f>#REF!-#REF!</f>
        <v>#REF!</v>
      </c>
      <c r="BI303" s="9" t="e">
        <f>#REF!-#REF!</f>
        <v>#REF!</v>
      </c>
      <c r="BJ303" s="33"/>
      <c r="BK303" s="3">
        <f>COUNTIFS(B303:G303, "&gt;=1", B303:G303, "&lt;=9")</f>
        <v>0</v>
      </c>
      <c r="BL303" s="3">
        <f>COUNTIFS(B303:G303, "&gt;=10", B303:G303, "&lt;=19")</f>
        <v>0</v>
      </c>
      <c r="BM303" s="3">
        <f>COUNTIFS(B303:G303, "&gt;=20", B303:G303, "&lt;=29")</f>
        <v>0</v>
      </c>
      <c r="BN303" s="3">
        <f>COUNTIFS(B303:G303, "&gt;=30", B303:G303, "&lt;=39")</f>
        <v>0</v>
      </c>
      <c r="BO303" s="3">
        <f>COUNTIFS(B303:G303, "&gt;=40", B303:G303, "&lt;=45")</f>
        <v>0</v>
      </c>
      <c r="BP303" s="28" t="e">
        <f>#REF!</f>
        <v>#REF!</v>
      </c>
      <c r="BQ303" s="28" t="e">
        <f>#REF!*2</f>
        <v>#REF!</v>
      </c>
      <c r="BR303" s="28" t="e">
        <f>#REF!</f>
        <v>#REF!</v>
      </c>
      <c r="BS303" s="28" t="e">
        <f>#REF!*2</f>
        <v>#REF!</v>
      </c>
      <c r="BT303" s="28" t="e">
        <f>#REF!</f>
        <v>#REF!</v>
      </c>
      <c r="BU303" s="28" t="e">
        <f>#REF!*2</f>
        <v>#REF!</v>
      </c>
      <c r="BV303" s="28" t="e">
        <f>#REF!</f>
        <v>#REF!</v>
      </c>
      <c r="BW303" s="28" t="e">
        <f>#REF!*2</f>
        <v>#REF!</v>
      </c>
      <c r="BX303" s="28" t="e">
        <f>#REF!</f>
        <v>#REF!</v>
      </c>
      <c r="BY303" s="28" t="e">
        <f>#REF!*2</f>
        <v>#REF!</v>
      </c>
      <c r="BZ303" s="28" t="e">
        <f>#REF!</f>
        <v>#REF!</v>
      </c>
      <c r="CA303" s="28" t="e">
        <f>#REF!*2</f>
        <v>#REF!</v>
      </c>
      <c r="CB303" s="9">
        <f>C303-B303</f>
        <v>0</v>
      </c>
      <c r="CC303" s="9">
        <f>D303-C303</f>
        <v>0</v>
      </c>
      <c r="CD303" s="9">
        <f>E303-D303</f>
        <v>0</v>
      </c>
      <c r="CE303" s="9">
        <f>F303-E303</f>
        <v>0</v>
      </c>
      <c r="CF303" s="9">
        <f>G303-F303</f>
        <v>0</v>
      </c>
      <c r="CG303" s="33"/>
      <c r="CH303" s="3">
        <f>C303-B303</f>
        <v>0</v>
      </c>
      <c r="CI303" s="3">
        <f>D303-C303</f>
        <v>0</v>
      </c>
      <c r="CJ303" s="3">
        <f>E303-D303</f>
        <v>0</v>
      </c>
      <c r="CK303" s="3">
        <f>F303-E303</f>
        <v>0</v>
      </c>
      <c r="CL303" s="3">
        <f>G303-F303</f>
        <v>0</v>
      </c>
      <c r="CM303" s="32"/>
      <c r="CN303" s="3">
        <f>IF(OR(CH303="",ISBLANK(CH303),CH303=0),0,IF(MOD(CH303,2)=1,1,2))</f>
        <v>0</v>
      </c>
      <c r="CO303" s="3">
        <f>IF(OR(CI303="",ISBLANK(CI303),CI303=0),0,IF(MOD(CI303,2)=1,1,2))</f>
        <v>0</v>
      </c>
      <c r="CP303" s="3">
        <f>IF(OR(CJ303="",ISBLANK(CJ303),CJ303=0),0,IF(MOD(CJ303,2)=1,1,2))</f>
        <v>0</v>
      </c>
      <c r="CQ303" s="3">
        <f>IF(OR(CK303="",ISBLANK(CK303),CK303=0),0,IF(MOD(CK303,2)=1,1,2))</f>
        <v>0</v>
      </c>
      <c r="CR303" s="3">
        <f>IF(OR(CL303="",ISBLANK(CL303),CL303=0),0,IF(MOD(CL303,2)=1,1,2))</f>
        <v>0</v>
      </c>
      <c r="CS303" s="31"/>
      <c r="CT303" s="3" cm="1">
        <f t="array" ref="CT303">SUMPRODUCT(--(MOD(CH303:CL303,2)=1))</f>
        <v>0</v>
      </c>
      <c r="CU303" s="3">
        <f>5-CT303</f>
        <v>5</v>
      </c>
      <c r="CV303" s="30"/>
      <c r="CW303" s="3" cm="1">
        <f t="array" ref="CW303">SUMPRODUCT(--(MOD(CH303:CL303,10)&gt;=1), --(MOD(CH303:CL303,10)&lt;=5))</f>
        <v>0</v>
      </c>
      <c r="CX303" s="3">
        <f>5-CW303</f>
        <v>5</v>
      </c>
      <c r="CY303" s="30"/>
      <c r="CZ303" s="3" cm="1">
        <f t="array" ref="CZ303">IFERROR(COUNT(_xlfn._xlws.FILTER(CH303:CL303, ISNUMBER(MATCH(CH303:CL303, {2,3,5,7,11,13,17,19,23,29,31,37,41,43}, 0)))), 0)</f>
        <v>0</v>
      </c>
      <c r="DA303" s="3" cm="1">
        <f t="array" ref="DA303">IFERROR(COUNT(_xlfn._xlws.FILTER(CH303:CL303, ISNUMBER(MATCH(CH303:CL303, {1,4,8,10,14,16,20,22,25,26,28,32,34,35,38,40,44}, 0)))), 0)</f>
        <v>0</v>
      </c>
      <c r="DB303" s="3" cm="1">
        <f t="array" ref="DB303">IFERROR(COUNT(_xlfn._xlws.FILTER(CH303:CL303, ISNUMBER(MATCH(CH303:CL303, {6,9,12,15,18,21,24,27,30,33,36,39,42,45}, 0)))), 0)</f>
        <v>0</v>
      </c>
      <c r="DC303" s="29"/>
      <c r="DD303" s="28" t="e">
        <f>#REF!</f>
        <v>#REF!</v>
      </c>
      <c r="DE303" s="28" t="e">
        <f>#REF!*2</f>
        <v>#REF!</v>
      </c>
      <c r="DF303" s="28" t="e">
        <f>#REF!</f>
        <v>#REF!</v>
      </c>
      <c r="DG303" s="28" t="e">
        <f>#REF!*2</f>
        <v>#REF!</v>
      </c>
      <c r="DH303" s="28" t="e">
        <f>#REF!</f>
        <v>#REF!</v>
      </c>
      <c r="DI303" s="28" t="e">
        <f>#REF!*2</f>
        <v>#REF!</v>
      </c>
      <c r="DJ303" s="28" t="e">
        <f>#REF!</f>
        <v>#REF!</v>
      </c>
      <c r="DK303" s="28" t="e">
        <f>#REF!*2</f>
        <v>#REF!</v>
      </c>
      <c r="DL303" s="28" t="e">
        <f>#REF!</f>
        <v>#REF!</v>
      </c>
      <c r="DM303" s="28" t="e">
        <f>#REF!*2</f>
        <v>#REF!</v>
      </c>
      <c r="DN303" s="27"/>
      <c r="DO303" s="26"/>
      <c r="DP303" s="26"/>
      <c r="DQ303" s="26"/>
      <c r="DR303" s="26"/>
      <c r="DS303" s="26"/>
      <c r="DT303" s="25"/>
    </row>
    <row r="304" spans="2:124" x14ac:dyDescent="0.3">
      <c r="CH304" s="3"/>
      <c r="CI304" s="3"/>
      <c r="CJ304" s="3"/>
      <c r="CK304" s="3"/>
      <c r="CL304" s="3"/>
    </row>
    <row r="305" spans="86:90" x14ac:dyDescent="0.3">
      <c r="CH305" s="3"/>
      <c r="CI305" s="3"/>
      <c r="CJ305" s="3"/>
      <c r="CK305" s="3"/>
      <c r="CL305" s="3"/>
    </row>
    <row r="306" spans="86:90" x14ac:dyDescent="0.3">
      <c r="CH306" s="3"/>
      <c r="CI306" s="3"/>
      <c r="CJ306" s="3"/>
      <c r="CK306" s="3"/>
      <c r="CL306" s="3"/>
    </row>
    <row r="307" spans="86:90" x14ac:dyDescent="0.3">
      <c r="CH307" s="3"/>
      <c r="CI307" s="3"/>
      <c r="CJ307" s="3"/>
      <c r="CK307" s="3"/>
      <c r="CL307" s="3"/>
    </row>
    <row r="308" spans="86:90" x14ac:dyDescent="0.3">
      <c r="CH308" s="3"/>
      <c r="CI308" s="3"/>
      <c r="CJ308" s="3"/>
      <c r="CK308" s="3"/>
      <c r="CL308" s="3"/>
    </row>
    <row r="309" spans="86:90" x14ac:dyDescent="0.3">
      <c r="CH309" s="3"/>
      <c r="CI309" s="3"/>
      <c r="CJ309" s="3"/>
      <c r="CK309" s="3"/>
      <c r="CL309" s="3"/>
    </row>
    <row r="310" spans="86:90" x14ac:dyDescent="0.3">
      <c r="CH310" s="3"/>
      <c r="CI310" s="3"/>
      <c r="CJ310" s="3"/>
      <c r="CK310" s="3"/>
      <c r="CL310" s="3"/>
    </row>
    <row r="311" spans="86:90" x14ac:dyDescent="0.3">
      <c r="CH311" s="3"/>
      <c r="CI311" s="3"/>
      <c r="CJ311" s="3"/>
      <c r="CK311" s="3"/>
      <c r="CL311" s="3"/>
    </row>
    <row r="312" spans="86:90" x14ac:dyDescent="0.3">
      <c r="CH312" s="3"/>
      <c r="CI312" s="3"/>
      <c r="CJ312" s="3"/>
      <c r="CK312" s="3"/>
      <c r="CL312" s="3"/>
    </row>
    <row r="313" spans="86:90" x14ac:dyDescent="0.3">
      <c r="CH313" s="3"/>
      <c r="CI313" s="3"/>
      <c r="CJ313" s="3"/>
      <c r="CK313" s="3"/>
      <c r="CL313" s="3"/>
    </row>
    <row r="314" spans="86:90" x14ac:dyDescent="0.3">
      <c r="CH314" s="3"/>
      <c r="CI314" s="3"/>
      <c r="CJ314" s="3"/>
      <c r="CK314" s="3"/>
      <c r="CL314" s="3"/>
    </row>
    <row r="315" spans="86:90" x14ac:dyDescent="0.3">
      <c r="CH315" s="3"/>
      <c r="CI315" s="3"/>
      <c r="CJ315" s="3"/>
      <c r="CK315" s="3"/>
      <c r="CL315" s="3"/>
    </row>
    <row r="316" spans="86:90" x14ac:dyDescent="0.3">
      <c r="CH316" s="3"/>
      <c r="CI316" s="3"/>
      <c r="CJ316" s="3"/>
      <c r="CK316" s="3"/>
      <c r="CL316" s="3"/>
    </row>
    <row r="317" spans="86:90" x14ac:dyDescent="0.3">
      <c r="CH317" s="3"/>
      <c r="CI317" s="3"/>
      <c r="CJ317" s="3"/>
      <c r="CK317" s="3"/>
      <c r="CL317" s="3"/>
    </row>
    <row r="318" spans="86:90" x14ac:dyDescent="0.3">
      <c r="CH318" s="3"/>
      <c r="CI318" s="3"/>
      <c r="CJ318" s="3"/>
      <c r="CK318" s="3"/>
      <c r="CL318" s="3"/>
    </row>
    <row r="319" spans="86:90" x14ac:dyDescent="0.3">
      <c r="CH319" s="3"/>
      <c r="CI319" s="3"/>
      <c r="CJ319" s="3"/>
      <c r="CK319" s="3"/>
      <c r="CL319" s="3"/>
    </row>
    <row r="320" spans="86:90" x14ac:dyDescent="0.3">
      <c r="CH320" s="3"/>
      <c r="CI320" s="3"/>
      <c r="CJ320" s="3"/>
      <c r="CK320" s="3"/>
      <c r="CL320" s="3"/>
    </row>
    <row r="321" spans="86:90" x14ac:dyDescent="0.3">
      <c r="CH321" s="3"/>
      <c r="CI321" s="3"/>
      <c r="CJ321" s="3"/>
      <c r="CK321" s="3"/>
      <c r="CL321" s="3"/>
    </row>
    <row r="322" spans="86:90" x14ac:dyDescent="0.3">
      <c r="CH322" s="3"/>
      <c r="CI322" s="3"/>
      <c r="CJ322" s="3"/>
      <c r="CK322" s="3"/>
      <c r="CL322" s="3"/>
    </row>
    <row r="323" spans="86:90" x14ac:dyDescent="0.3">
      <c r="CH323" s="3"/>
      <c r="CI323" s="3"/>
      <c r="CJ323" s="3"/>
      <c r="CK323" s="3"/>
      <c r="CL323" s="3"/>
    </row>
    <row r="324" spans="86:90" x14ac:dyDescent="0.3">
      <c r="CH324" s="3"/>
      <c r="CI324" s="3"/>
      <c r="CJ324" s="3"/>
      <c r="CK324" s="3"/>
      <c r="CL324" s="3"/>
    </row>
    <row r="325" spans="86:90" ht="14.25" thickBot="1" x14ac:dyDescent="0.35">
      <c r="CH325" s="3"/>
      <c r="CI325" s="3"/>
      <c r="CJ325" s="3"/>
      <c r="CK325" s="3"/>
      <c r="CL325" s="3"/>
    </row>
    <row r="326" spans="86:90" ht="14.25" thickBot="1" x14ac:dyDescent="0.35">
      <c r="CH326" s="17"/>
      <c r="CI326" s="15"/>
      <c r="CJ326" s="3"/>
      <c r="CK326" s="3"/>
      <c r="CL326" s="3"/>
    </row>
    <row r="327" spans="86:90" ht="14.25" thickBot="1" x14ac:dyDescent="0.35">
      <c r="CH327" s="3"/>
      <c r="CI327" s="3"/>
      <c r="CJ327" s="3"/>
      <c r="CK327" s="3"/>
      <c r="CL327" s="20"/>
    </row>
    <row r="328" spans="86:90" ht="14.25" thickBot="1" x14ac:dyDescent="0.35">
      <c r="CH328" s="3"/>
      <c r="CI328" s="14"/>
      <c r="CJ328" s="3"/>
      <c r="CK328" s="14"/>
      <c r="CL328" s="24"/>
    </row>
    <row r="329" spans="86:90" x14ac:dyDescent="0.3">
      <c r="CH329" s="3"/>
      <c r="CI329" s="3"/>
      <c r="CJ329" s="3"/>
      <c r="CK329" s="3"/>
      <c r="CL329" s="3"/>
    </row>
    <row r="330" spans="86:90" ht="14.25" thickBot="1" x14ac:dyDescent="0.35">
      <c r="CH330" s="3"/>
      <c r="CI330" s="3"/>
      <c r="CJ330" s="3"/>
      <c r="CK330" s="3"/>
      <c r="CL330" s="3"/>
    </row>
    <row r="331" spans="86:90" ht="14.25" thickBot="1" x14ac:dyDescent="0.35">
      <c r="CH331" s="3"/>
      <c r="CI331" s="3"/>
      <c r="CJ331" s="3"/>
      <c r="CK331" s="17"/>
      <c r="CL331" s="15"/>
    </row>
    <row r="332" spans="86:90" ht="14.25" thickBot="1" x14ac:dyDescent="0.35">
      <c r="CH332" s="20"/>
      <c r="CI332" s="14"/>
      <c r="CJ332" s="3"/>
      <c r="CK332" s="3"/>
      <c r="CL332" s="3"/>
    </row>
    <row r="333" spans="86:90" ht="14.25" thickBot="1" x14ac:dyDescent="0.35">
      <c r="CH333" s="21"/>
      <c r="CI333" s="3"/>
      <c r="CJ333" s="3"/>
      <c r="CK333" s="19"/>
      <c r="CL333" s="15"/>
    </row>
    <row r="334" spans="86:90" ht="14.25" thickBot="1" x14ac:dyDescent="0.35">
      <c r="CH334" s="3"/>
      <c r="CI334" s="17"/>
      <c r="CJ334" s="18"/>
      <c r="CK334" s="15"/>
      <c r="CL334" s="3"/>
    </row>
    <row r="335" spans="86:90" ht="14.25" thickBot="1" x14ac:dyDescent="0.35">
      <c r="CH335" s="3"/>
      <c r="CI335" s="3"/>
      <c r="CJ335" s="17"/>
      <c r="CK335" s="20"/>
      <c r="CL335" s="3"/>
    </row>
    <row r="336" spans="86:90" ht="14.25" thickBot="1" x14ac:dyDescent="0.35">
      <c r="CH336" s="3"/>
      <c r="CI336" s="20"/>
      <c r="CJ336" s="3"/>
      <c r="CK336" s="23"/>
      <c r="CL336" s="3"/>
    </row>
    <row r="337" spans="86:90" ht="14.25" thickBot="1" x14ac:dyDescent="0.35">
      <c r="CH337" s="3"/>
      <c r="CI337" s="21"/>
      <c r="CJ337" s="3"/>
      <c r="CK337" s="17"/>
      <c r="CL337" s="15"/>
    </row>
    <row r="338" spans="86:90" x14ac:dyDescent="0.3">
      <c r="CH338" s="3"/>
      <c r="CI338" s="3"/>
      <c r="CJ338" s="3"/>
      <c r="CK338" s="3"/>
      <c r="CL338" s="20"/>
    </row>
    <row r="339" spans="86:90" ht="14.25" thickBot="1" x14ac:dyDescent="0.35">
      <c r="CH339" s="3"/>
      <c r="CI339" s="3"/>
      <c r="CJ339" s="3"/>
      <c r="CK339" s="3"/>
      <c r="CL339" s="21"/>
    </row>
    <row r="340" spans="86:90" ht="14.25" thickBot="1" x14ac:dyDescent="0.35">
      <c r="CH340" s="3"/>
      <c r="CI340" s="3"/>
      <c r="CJ340" s="3"/>
      <c r="CK340" s="3"/>
      <c r="CL340" s="21"/>
    </row>
    <row r="341" spans="86:90" x14ac:dyDescent="0.3">
      <c r="CH341" s="3"/>
      <c r="CI341" s="3"/>
      <c r="CJ341" s="3"/>
      <c r="CK341" s="3"/>
      <c r="CL341" s="3"/>
    </row>
    <row r="342" spans="86:90" ht="14.25" thickBot="1" x14ac:dyDescent="0.35">
      <c r="CH342" s="3"/>
      <c r="CI342" s="3"/>
      <c r="CJ342" s="3"/>
      <c r="CK342" s="3"/>
      <c r="CL342" s="3"/>
    </row>
    <row r="343" spans="86:90" ht="14.25" thickBot="1" x14ac:dyDescent="0.35">
      <c r="CH343" s="3"/>
      <c r="CI343" s="3"/>
      <c r="CJ343" s="14"/>
      <c r="CK343" s="3"/>
      <c r="CL343" s="14"/>
    </row>
    <row r="344" spans="86:90" ht="14.25" thickBot="1" x14ac:dyDescent="0.35">
      <c r="CH344" s="3"/>
      <c r="CI344" s="3"/>
      <c r="CJ344" s="3"/>
      <c r="CK344" s="3"/>
      <c r="CL344" s="3"/>
    </row>
    <row r="345" spans="86:90" ht="14.25" thickBot="1" x14ac:dyDescent="0.35">
      <c r="CH345" s="3"/>
      <c r="CI345" s="3"/>
      <c r="CJ345" s="14"/>
      <c r="CK345" s="3"/>
      <c r="CL345" s="14"/>
    </row>
    <row r="346" spans="86:90" ht="14.25" thickBot="1" x14ac:dyDescent="0.35">
      <c r="CH346" s="3"/>
      <c r="CI346" s="3"/>
      <c r="CJ346" s="3"/>
      <c r="CK346" s="3"/>
      <c r="CL346" s="3"/>
    </row>
    <row r="347" spans="86:90" x14ac:dyDescent="0.3">
      <c r="CH347" s="20"/>
      <c r="CI347" s="3"/>
      <c r="CJ347" s="3"/>
      <c r="CK347" s="3"/>
      <c r="CL347" s="3"/>
    </row>
    <row r="348" spans="86:90" ht="14.25" thickBot="1" x14ac:dyDescent="0.35">
      <c r="CH348" s="21"/>
      <c r="CI348" s="3"/>
      <c r="CJ348" s="3"/>
      <c r="CK348" s="3"/>
      <c r="CL348" s="3"/>
    </row>
    <row r="349" spans="86:90" ht="14.25" thickBot="1" x14ac:dyDescent="0.35">
      <c r="CH349" s="20"/>
      <c r="CI349" s="3"/>
      <c r="CJ349" s="3"/>
      <c r="CK349" s="14"/>
      <c r="CL349" s="3"/>
    </row>
    <row r="350" spans="86:90" ht="14.25" thickBot="1" x14ac:dyDescent="0.35">
      <c r="CH350" s="14"/>
      <c r="CI350" s="3"/>
      <c r="CJ350" s="14"/>
      <c r="CK350" s="3"/>
      <c r="CL350" s="14"/>
    </row>
    <row r="351" spans="86:90" ht="14.25" thickBot="1" x14ac:dyDescent="0.35">
      <c r="CH351" s="3"/>
      <c r="CI351" s="3"/>
      <c r="CJ351" s="3"/>
      <c r="CK351" s="3"/>
      <c r="CL351" s="3"/>
    </row>
    <row r="352" spans="86:90" ht="14.25" thickBot="1" x14ac:dyDescent="0.35">
      <c r="CH352" s="3"/>
      <c r="CI352" s="20"/>
      <c r="CJ352" s="3"/>
      <c r="CK352" s="3"/>
      <c r="CL352" s="14"/>
    </row>
    <row r="353" spans="86:90" ht="14.25" thickBot="1" x14ac:dyDescent="0.35">
      <c r="CH353" s="3"/>
      <c r="CI353" s="17"/>
      <c r="CJ353" s="14"/>
      <c r="CK353" s="3"/>
      <c r="CL353" s="3"/>
    </row>
    <row r="354" spans="86:90" ht="14.25" thickBot="1" x14ac:dyDescent="0.35">
      <c r="CH354" s="3"/>
      <c r="CI354" s="14"/>
      <c r="CJ354" s="3"/>
      <c r="CK354" s="3"/>
      <c r="CL354" s="3"/>
    </row>
    <row r="355" spans="86:90" ht="14.25" thickBot="1" x14ac:dyDescent="0.35">
      <c r="CH355" s="3"/>
      <c r="CI355" s="14"/>
      <c r="CJ355" s="3"/>
      <c r="CK355" s="3"/>
      <c r="CL355" s="3"/>
    </row>
    <row r="356" spans="86:90" x14ac:dyDescent="0.3">
      <c r="CH356" s="3"/>
      <c r="CI356" s="3"/>
      <c r="CJ356" s="3"/>
      <c r="CK356" s="3"/>
      <c r="CL356" s="3"/>
    </row>
    <row r="357" spans="86:90" x14ac:dyDescent="0.3">
      <c r="CH357" s="3"/>
      <c r="CI357" s="3"/>
      <c r="CJ357" s="3"/>
      <c r="CK357" s="3"/>
      <c r="CL357" s="3"/>
    </row>
    <row r="358" spans="86:90" ht="14.25" thickBot="1" x14ac:dyDescent="0.35">
      <c r="CH358" s="3"/>
      <c r="CI358" s="3"/>
      <c r="CJ358" s="3"/>
      <c r="CK358" s="3"/>
      <c r="CL358" s="3"/>
    </row>
    <row r="359" spans="86:90" ht="14.25" thickBot="1" x14ac:dyDescent="0.35">
      <c r="CH359" s="17"/>
      <c r="CI359" s="14"/>
      <c r="CJ359" s="3"/>
      <c r="CK359" s="14"/>
      <c r="CL359" s="3"/>
    </row>
    <row r="360" spans="86:90" ht="14.25" thickBot="1" x14ac:dyDescent="0.35">
      <c r="CH360" s="3"/>
      <c r="CI360" s="21"/>
      <c r="CJ360" s="3"/>
      <c r="CK360" s="3"/>
      <c r="CL360" s="14"/>
    </row>
    <row r="361" spans="86:90" ht="14.25" thickBot="1" x14ac:dyDescent="0.35">
      <c r="CH361" s="3"/>
      <c r="CI361" s="3"/>
      <c r="CJ361" s="3"/>
      <c r="CK361" s="3"/>
      <c r="CL361" s="3"/>
    </row>
    <row r="362" spans="86:90" ht="14.25" thickBot="1" x14ac:dyDescent="0.35">
      <c r="CH362" s="3"/>
      <c r="CI362" s="3"/>
      <c r="CJ362" s="14"/>
      <c r="CK362" s="3"/>
      <c r="CL362" s="3"/>
    </row>
    <row r="363" spans="86:90" ht="14.25" thickBot="1" x14ac:dyDescent="0.35">
      <c r="CH363" s="3"/>
      <c r="CI363" s="3"/>
      <c r="CJ363" s="14"/>
      <c r="CK363" s="3"/>
      <c r="CL363" s="3"/>
    </row>
    <row r="364" spans="86:90" ht="14.25" thickBot="1" x14ac:dyDescent="0.35">
      <c r="CH364" s="3"/>
      <c r="CI364" s="3"/>
      <c r="CJ364" s="14"/>
      <c r="CK364" s="3"/>
      <c r="CL364" s="3"/>
    </row>
    <row r="365" spans="86:90" ht="14.25" thickBot="1" x14ac:dyDescent="0.35">
      <c r="CH365" s="3"/>
      <c r="CI365" s="14"/>
      <c r="CJ365" s="15"/>
      <c r="CK365" s="3"/>
      <c r="CL365" s="14"/>
    </row>
    <row r="366" spans="86:90" ht="14.25" thickBot="1" x14ac:dyDescent="0.35">
      <c r="CH366" s="20"/>
      <c r="CI366" s="3"/>
      <c r="CJ366" s="3"/>
      <c r="CK366" s="3"/>
      <c r="CL366" s="3"/>
    </row>
    <row r="367" spans="86:90" ht="14.25" thickBot="1" x14ac:dyDescent="0.35">
      <c r="CH367" s="21"/>
      <c r="CI367" s="17"/>
      <c r="CJ367" s="15"/>
      <c r="CK367" s="3"/>
      <c r="CL367" s="3"/>
    </row>
    <row r="368" spans="86:90" ht="14.25" thickBot="1" x14ac:dyDescent="0.35">
      <c r="CH368" s="3"/>
      <c r="CI368" s="3"/>
      <c r="CJ368" s="3"/>
      <c r="CK368" s="3"/>
      <c r="CL368" s="3"/>
    </row>
    <row r="369" spans="86:90" ht="14.25" thickBot="1" x14ac:dyDescent="0.35">
      <c r="CH369" s="3"/>
      <c r="CI369" s="17"/>
      <c r="CJ369" s="22"/>
      <c r="CK369" s="3"/>
      <c r="CL369" s="3"/>
    </row>
    <row r="370" spans="86:90" ht="14.25" thickBot="1" x14ac:dyDescent="0.35">
      <c r="CH370" s="14"/>
      <c r="CI370" s="3"/>
      <c r="CJ370" s="14"/>
      <c r="CK370" s="18"/>
      <c r="CL370" s="15"/>
    </row>
    <row r="371" spans="86:90" x14ac:dyDescent="0.3">
      <c r="CH371" s="3"/>
      <c r="CI371" s="3"/>
      <c r="CJ371" s="3"/>
      <c r="CK371" s="3"/>
      <c r="CL371" s="3"/>
    </row>
    <row r="372" spans="86:90" ht="14.25" thickBot="1" x14ac:dyDescent="0.35">
      <c r="CH372" s="3"/>
      <c r="CI372" s="3"/>
      <c r="CJ372" s="3"/>
      <c r="CK372" s="3"/>
      <c r="CL372" s="3"/>
    </row>
    <row r="373" spans="86:90" ht="14.25" thickBot="1" x14ac:dyDescent="0.35">
      <c r="CH373" s="3"/>
      <c r="CI373" s="3"/>
      <c r="CJ373" s="3"/>
      <c r="CK373" s="14"/>
      <c r="CL373" s="20"/>
    </row>
    <row r="374" spans="86:90" ht="14.25" thickBot="1" x14ac:dyDescent="0.35">
      <c r="CH374" s="3"/>
      <c r="CI374" s="3"/>
      <c r="CJ374" s="17"/>
      <c r="CK374" s="15"/>
      <c r="CL374" s="21"/>
    </row>
    <row r="375" spans="86:90" ht="14.25" thickBot="1" x14ac:dyDescent="0.35">
      <c r="CH375" s="3"/>
      <c r="CI375" s="3"/>
      <c r="CJ375" s="3"/>
      <c r="CK375" s="3"/>
      <c r="CL375" s="14"/>
    </row>
    <row r="376" spans="86:90" ht="14.25" thickBot="1" x14ac:dyDescent="0.35">
      <c r="CH376" s="20"/>
      <c r="CI376" s="3"/>
      <c r="CJ376" s="3"/>
      <c r="CK376" s="3"/>
      <c r="CL376" s="20"/>
    </row>
    <row r="377" spans="86:90" ht="14.25" thickBot="1" x14ac:dyDescent="0.35">
      <c r="CH377" s="17"/>
      <c r="CI377" s="15"/>
      <c r="CJ377" s="3"/>
      <c r="CK377" s="17"/>
      <c r="CL377" s="15"/>
    </row>
    <row r="378" spans="86:90" x14ac:dyDescent="0.3">
      <c r="CH378" s="3"/>
      <c r="CI378" s="3"/>
      <c r="CJ378" s="3"/>
      <c r="CK378" s="3"/>
      <c r="CL378" s="3"/>
    </row>
    <row r="379" spans="86:90" x14ac:dyDescent="0.3">
      <c r="CH379" s="3"/>
      <c r="CI379" s="3"/>
      <c r="CJ379" s="3"/>
      <c r="CK379" s="3"/>
      <c r="CL379" s="3"/>
    </row>
    <row r="380" spans="86:90" ht="14.25" thickBot="1" x14ac:dyDescent="0.35">
      <c r="CH380" s="3"/>
      <c r="CI380" s="3"/>
      <c r="CJ380" s="3"/>
      <c r="CK380" s="3"/>
      <c r="CL380" s="3"/>
    </row>
    <row r="381" spans="86:90" ht="14.25" thickBot="1" x14ac:dyDescent="0.35">
      <c r="CH381" s="14"/>
      <c r="CI381" s="3"/>
      <c r="CJ381" s="20"/>
      <c r="CK381" s="3"/>
      <c r="CL381" s="3"/>
    </row>
    <row r="382" spans="86:90" ht="14.25" thickBot="1" x14ac:dyDescent="0.35">
      <c r="CH382" s="3"/>
      <c r="CI382" s="17"/>
      <c r="CJ382" s="18"/>
      <c r="CK382" s="15"/>
      <c r="CL382" s="3"/>
    </row>
    <row r="383" spans="86:90" ht="14.25" thickBot="1" x14ac:dyDescent="0.35">
      <c r="CH383" s="3"/>
      <c r="CI383" s="3"/>
      <c r="CJ383" s="17"/>
      <c r="CK383" s="15"/>
      <c r="CL383" s="3"/>
    </row>
    <row r="384" spans="86:90" x14ac:dyDescent="0.3">
      <c r="CH384" s="3"/>
      <c r="CI384" s="3"/>
      <c r="CJ384" s="3"/>
      <c r="CK384" s="3"/>
      <c r="CL384" s="3"/>
    </row>
    <row r="385" spans="86:90" x14ac:dyDescent="0.3">
      <c r="CH385" s="3"/>
      <c r="CI385" s="3"/>
      <c r="CJ385" s="3"/>
      <c r="CK385" s="3"/>
      <c r="CL385" s="3"/>
    </row>
    <row r="386" spans="86:90" ht="14.25" thickBot="1" x14ac:dyDescent="0.35">
      <c r="CH386" s="3"/>
      <c r="CI386" s="3"/>
      <c r="CJ386" s="3"/>
      <c r="CK386" s="3"/>
      <c r="CL386" s="3"/>
    </row>
    <row r="387" spans="86:90" ht="14.25" thickBot="1" x14ac:dyDescent="0.35">
      <c r="CH387" s="3"/>
      <c r="CI387" s="14"/>
      <c r="CJ387" s="3"/>
      <c r="CK387" s="14"/>
      <c r="CL387" s="3"/>
    </row>
    <row r="388" spans="86:90" x14ac:dyDescent="0.3">
      <c r="CH388" s="3"/>
      <c r="CI388" s="3"/>
      <c r="CJ388" s="3"/>
      <c r="CK388" s="3"/>
      <c r="CL388" s="3"/>
    </row>
    <row r="389" spans="86:90" ht="14.25" thickBot="1" x14ac:dyDescent="0.35">
      <c r="CH389" s="3"/>
      <c r="CI389" s="3"/>
      <c r="CJ389" s="3"/>
      <c r="CK389" s="3"/>
      <c r="CL389" s="3"/>
    </row>
    <row r="390" spans="86:90" ht="14.25" thickBot="1" x14ac:dyDescent="0.35">
      <c r="CH390" s="17"/>
      <c r="CI390" s="18"/>
      <c r="CJ390" s="15"/>
      <c r="CK390" s="3"/>
      <c r="CL390" s="14"/>
    </row>
    <row r="391" spans="86:90" ht="14.25" thickBot="1" x14ac:dyDescent="0.35">
      <c r="CH391" s="3"/>
      <c r="CI391" s="19"/>
      <c r="CJ391" s="15"/>
      <c r="CK391" s="3"/>
      <c r="CL391" s="3"/>
    </row>
    <row r="392" spans="86:90" ht="14.25" thickBot="1" x14ac:dyDescent="0.35">
      <c r="CH392" s="17"/>
      <c r="CI392" s="14"/>
      <c r="CJ392" s="3"/>
      <c r="CK392" s="3"/>
      <c r="CL392" s="3"/>
    </row>
    <row r="393" spans="86:90" ht="14.25" thickBot="1" x14ac:dyDescent="0.35">
      <c r="CH393" s="3"/>
      <c r="CI393" s="3"/>
      <c r="CJ393" s="3"/>
      <c r="CK393" s="3"/>
      <c r="CL393" s="3"/>
    </row>
    <row r="394" spans="86:90" ht="14.25" thickBot="1" x14ac:dyDescent="0.35">
      <c r="CH394" s="14"/>
      <c r="CI394" s="3"/>
      <c r="CJ394" s="17"/>
      <c r="CK394" s="18"/>
      <c r="CL394" s="14"/>
    </row>
    <row r="395" spans="86:90" ht="14.25" thickBot="1" x14ac:dyDescent="0.35">
      <c r="CH395" s="3"/>
      <c r="CI395" s="3"/>
      <c r="CJ395" s="3"/>
      <c r="CK395" s="14"/>
      <c r="CL395" s="3"/>
    </row>
    <row r="396" spans="86:90" ht="14.25" thickBot="1" x14ac:dyDescent="0.35">
      <c r="CH396" s="17"/>
      <c r="CI396" s="15"/>
      <c r="CJ396" s="3"/>
      <c r="CK396" s="3"/>
      <c r="CL396" s="3"/>
    </row>
    <row r="397" spans="86:90" ht="14.25" thickBot="1" x14ac:dyDescent="0.35">
      <c r="CH397" s="3"/>
      <c r="CI397" s="3"/>
      <c r="CJ397" s="3"/>
      <c r="CK397" s="3"/>
      <c r="CL397" s="3"/>
    </row>
    <row r="398" spans="86:90" ht="14.25" thickBot="1" x14ac:dyDescent="0.35">
      <c r="CH398" s="3"/>
      <c r="CI398" s="3"/>
      <c r="CJ398" s="3"/>
      <c r="CK398" s="16"/>
      <c r="CL398" s="15"/>
    </row>
    <row r="399" spans="86:90" ht="14.25" thickBot="1" x14ac:dyDescent="0.35">
      <c r="CI399" s="3"/>
    </row>
    <row r="400" spans="86:90" ht="14.25" thickBot="1" x14ac:dyDescent="0.35">
      <c r="CI400" s="3"/>
      <c r="CK400" s="13"/>
      <c r="CL400" s="11"/>
    </row>
    <row r="401" spans="86:90" ht="14.25" thickBot="1" x14ac:dyDescent="0.35">
      <c r="CI401" s="3"/>
    </row>
    <row r="402" spans="86:90" ht="14.25" thickBot="1" x14ac:dyDescent="0.35">
      <c r="CI402" s="14"/>
      <c r="CL402" s="12"/>
    </row>
    <row r="403" spans="86:90" ht="14.25" thickBot="1" x14ac:dyDescent="0.35">
      <c r="CH403" s="12"/>
      <c r="CI403" s="3"/>
      <c r="CJ403" s="13"/>
      <c r="CK403" s="12"/>
      <c r="CL403" s="11"/>
    </row>
    <row r="404" spans="86:90" x14ac:dyDescent="0.3">
      <c r="CI404" s="3"/>
    </row>
    <row r="405" spans="86:90" x14ac:dyDescent="0.3">
      <c r="CI405" s="3"/>
    </row>
    <row r="406" spans="86:90" x14ac:dyDescent="0.3">
      <c r="CI406" s="3"/>
    </row>
    <row r="407" spans="86:90" x14ac:dyDescent="0.3">
      <c r="CI407" s="3"/>
    </row>
    <row r="408" spans="86:90" x14ac:dyDescent="0.3">
      <c r="CI408" s="3"/>
    </row>
  </sheetData>
  <autoFilter ref="A3:DT3" xr:uid="{A7D77DE1-605A-41FD-9024-B90B816012FD}"/>
  <phoneticPr fontId="3" type="noConversion"/>
  <conditionalFormatting sqref="B4:G1048576">
    <cfRule type="cellIs" dxfId="1389" priority="546" operator="equal">
      <formula>0</formula>
    </cfRule>
  </conditionalFormatting>
  <conditionalFormatting sqref="I4:N303">
    <cfRule type="cellIs" dxfId="1388" priority="587" operator="equal">
      <formula>2</formula>
    </cfRule>
  </conditionalFormatting>
  <conditionalFormatting sqref="I4:N1048576 CN4:CR1048576">
    <cfRule type="cellIs" dxfId="1387" priority="96" operator="equal">
      <formula>1</formula>
    </cfRule>
    <cfRule type="cellIs" dxfId="1386" priority="97" operator="equal">
      <formula>2</formula>
    </cfRule>
    <cfRule type="cellIs" dxfId="1385" priority="98" operator="equal">
      <formula>1</formula>
    </cfRule>
    <cfRule type="cellIs" dxfId="1384" priority="540" operator="equal">
      <formula>1</formula>
    </cfRule>
  </conditionalFormatting>
  <conditionalFormatting sqref="I4:N1048576">
    <cfRule type="cellIs" dxfId="1383" priority="548" operator="equal">
      <formula>2</formula>
    </cfRule>
  </conditionalFormatting>
  <conditionalFormatting sqref="O4:O303 X4:X303 AB4:AB303 CM4:CM303 CY4:CY303">
    <cfRule type="cellIs" dxfId="1382" priority="562" operator="greaterThan">
      <formula>0</formula>
    </cfRule>
  </conditionalFormatting>
  <conditionalFormatting sqref="P4:Q303 S4:T303 V4:W303 Y4:AA303 AJ4:AL303 CT4:CU303 CW4:CX303 CZ4:DB303 BK4:CA303">
    <cfRule type="cellIs" dxfId="1381" priority="591" operator="between">
      <formula>4</formula>
      <formula>6</formula>
    </cfRule>
  </conditionalFormatting>
  <conditionalFormatting sqref="P4:Q303">
    <cfRule type="cellIs" dxfId="1380" priority="552" operator="equal">
      <formula>5</formula>
    </cfRule>
    <cfRule type="cellIs" dxfId="1379" priority="553" operator="equal">
      <formula>4</formula>
    </cfRule>
    <cfRule type="cellIs" dxfId="1378" priority="556" operator="equal">
      <formula>4</formula>
    </cfRule>
  </conditionalFormatting>
  <conditionalFormatting sqref="Q4:Q303 S4:T303 V4:W303">
    <cfRule type="cellIs" dxfId="1377" priority="589" operator="between">
      <formula>6</formula>
      <formula>7</formula>
    </cfRule>
    <cfRule type="cellIs" dxfId="1376" priority="590" operator="equal">
      <formula>6</formula>
    </cfRule>
  </conditionalFormatting>
  <conditionalFormatting sqref="S4:S303">
    <cfRule type="cellIs" dxfId="1375" priority="550" operator="equal">
      <formula>5</formula>
    </cfRule>
    <cfRule type="cellIs" dxfId="1374" priority="551" operator="equal">
      <formula>4</formula>
    </cfRule>
  </conditionalFormatting>
  <conditionalFormatting sqref="S4:T303 CZ4:DB303 Y4:AA303 AJ4:AL303 CU4:CU303 CW4:CX303">
    <cfRule type="cellIs" dxfId="1373" priority="555" operator="equal">
      <formula>4</formula>
    </cfRule>
  </conditionalFormatting>
  <conditionalFormatting sqref="V4:W303 CT4:CU303 CW4:CX303 AA4:AH42 AA43:AB43 AA44:AH303 P4:Q303 S4:T303 CZ4:DB303 Y4:Z303 AJ4:AL303 BK4:BO303">
    <cfRule type="cellIs" dxfId="1372" priority="585" operator="greaterThan">
      <formula>4</formula>
    </cfRule>
  </conditionalFormatting>
  <conditionalFormatting sqref="V4:W303">
    <cfRule type="cellIs" dxfId="1371" priority="584" operator="equal">
      <formula>5</formula>
    </cfRule>
  </conditionalFormatting>
  <conditionalFormatting sqref="Y4:AA303">
    <cfRule type="cellIs" dxfId="1370" priority="558" operator="greaterThan">
      <formula>3</formula>
    </cfRule>
    <cfRule type="cellIs" dxfId="1369" priority="559" operator="equal">
      <formula>3</formula>
    </cfRule>
  </conditionalFormatting>
  <conditionalFormatting sqref="Y4:AA1048576">
    <cfRule type="cellIs" dxfId="1368" priority="105" operator="equal">
      <formula>3</formula>
    </cfRule>
  </conditionalFormatting>
  <conditionalFormatting sqref="AC4:AH42 AC44:AH303">
    <cfRule type="cellIs" dxfId="1367" priority="530" operator="equal">
      <formula>0</formula>
    </cfRule>
    <cfRule type="cellIs" dxfId="1366" priority="531" operator="equal">
      <formula>4</formula>
    </cfRule>
    <cfRule type="cellIs" dxfId="1365" priority="532" operator="greaterThan">
      <formula>3</formula>
    </cfRule>
    <cfRule type="cellIs" dxfId="1364" priority="533" operator="equal">
      <formula>3</formula>
    </cfRule>
    <cfRule type="cellIs" dxfId="1363" priority="534" operator="between">
      <formula>4</formula>
      <formula>6</formula>
    </cfRule>
    <cfRule type="cellIs" dxfId="1362" priority="535" operator="equal">
      <formula>26</formula>
    </cfRule>
    <cfRule type="cellIs" dxfId="1361" priority="536" operator="greaterThan">
      <formula>15</formula>
    </cfRule>
    <cfRule type="cellIs" dxfId="1360" priority="537" operator="between">
      <formula>1</formula>
      <formula>6</formula>
    </cfRule>
    <cfRule type="cellIs" dxfId="1359" priority="538" operator="greaterThan">
      <formula>21</formula>
    </cfRule>
    <cfRule type="cellIs" dxfId="1358" priority="539" operator="equal">
      <formula>0</formula>
    </cfRule>
  </conditionalFormatting>
  <conditionalFormatting sqref="AC4:AH42 AC44:AH1048576">
    <cfRule type="cellIs" dxfId="1357" priority="525" operator="equal">
      <formula>"배"</formula>
    </cfRule>
    <cfRule type="cellIs" dxfId="1356" priority="526" operator="equal">
      <formula>"자"</formula>
    </cfRule>
    <cfRule type="cellIs" dxfId="1355" priority="527" operator="equal">
      <formula>"소"</formula>
    </cfRule>
    <cfRule type="cellIs" dxfId="1354" priority="528" operator="greaterThan">
      <formula>3</formula>
    </cfRule>
    <cfRule type="cellIs" dxfId="1353" priority="529" operator="between">
      <formula>1</formula>
      <formula>2</formula>
    </cfRule>
  </conditionalFormatting>
  <conditionalFormatting sqref="BP4:CF303 DD4:DM303">
    <cfRule type="cellIs" dxfId="1352" priority="547" operator="equal">
      <formula>0</formula>
    </cfRule>
  </conditionalFormatting>
  <conditionalFormatting sqref="BK65 BM65:CA65 BK66:CA70 BK71:BM71 BO71:CA71 BK72:CA74 BK75:BM75 BO75:CA75 BK76:CA80 BK81:BL81 BN81:CA81 BK82:CA84 BK85:BL85 BN85:CA85 BK86:CA92 BK93 BM93:CA93 BL94:CA94 BK95:CA303">
    <cfRule type="cellIs" dxfId="1351" priority="592" operator="equal">
      <formula>0</formula>
    </cfRule>
  </conditionalFormatting>
  <conditionalFormatting sqref="BK4:BO303 CT4:CU303 CW4:CX303 CZ4:DB303 AA4:AH42 AA43:AB43 AA44:AH303 Y4:Z303 P4:Q303 S4:T303 V4:W303 AJ4:AL303">
    <cfRule type="cellIs" dxfId="1350" priority="586" operator="between">
      <formula>1</formula>
      <formula>3</formula>
    </cfRule>
  </conditionalFormatting>
  <conditionalFormatting sqref="BK4:BO303">
    <cfRule type="cellIs" dxfId="1349" priority="582" operator="equal">
      <formula>4</formula>
    </cfRule>
    <cfRule type="cellIs" dxfId="1348" priority="583" operator="equal">
      <formula>3</formula>
    </cfRule>
  </conditionalFormatting>
  <conditionalFormatting sqref="BK4:BO1048576">
    <cfRule type="cellIs" dxfId="1347" priority="544" operator="equal">
      <formula>3</formula>
    </cfRule>
  </conditionalFormatting>
  <conditionalFormatting sqref="CT4:CU303 CW4:CX303 BK4:CA303 P4:Q303 S4:T303 V4:W303 Y4:AA303 AJ4:AL303 CZ4:DB303">
    <cfRule type="cellIs" dxfId="1346" priority="597" operator="equal">
      <formula>0</formula>
    </cfRule>
  </conditionalFormatting>
  <conditionalFormatting sqref="BK4:CA64 I4:N303 P4:Q303 S4:T303 V4:W303 Y4:AA303 AJ4:AL303 CZ4:DB303 BK65:BO303">
    <cfRule type="cellIs" dxfId="1345" priority="549" operator="equal">
      <formula>0</formula>
    </cfRule>
  </conditionalFormatting>
  <conditionalFormatting sqref="P4:Q303 S4:T303 V4:W303 Y4:AA303 AJ4:AL303 CT4:CU303 CW4:CX303 CZ4:DB303 BK4:CA303">
    <cfRule type="cellIs" dxfId="1344" priority="593" operator="equal">
      <formula>26</formula>
    </cfRule>
    <cfRule type="cellIs" dxfId="1343" priority="594" operator="greaterThan">
      <formula>15</formula>
    </cfRule>
    <cfRule type="cellIs" dxfId="1342" priority="595" operator="between">
      <formula>1</formula>
      <formula>6</formula>
    </cfRule>
    <cfRule type="cellIs" dxfId="1341" priority="596" operator="greaterThan">
      <formula>21</formula>
    </cfRule>
  </conditionalFormatting>
  <conditionalFormatting sqref="BO4:BO303 DB4:DB303">
    <cfRule type="cellIs" dxfId="1340" priority="554" operator="equal">
      <formula>2</formula>
    </cfRule>
  </conditionalFormatting>
  <conditionalFormatting sqref="CB4:CF303">
    <cfRule type="cellIs" dxfId="1339" priority="563" operator="greaterThan">
      <formula>19</formula>
    </cfRule>
    <cfRule type="cellIs" dxfId="1338" priority="564" operator="greaterThan">
      <formula>9.5</formula>
    </cfRule>
    <cfRule type="cellIs" dxfId="1337" priority="565" operator="between">
      <formula>0.5</formula>
      <formula>905</formula>
    </cfRule>
    <cfRule type="cellIs" dxfId="1336" priority="566" operator="greaterThan">
      <formula>9.5</formula>
    </cfRule>
  </conditionalFormatting>
  <conditionalFormatting sqref="CH398:CJ398 CL398 CI399:CI408">
    <cfRule type="cellIs" dxfId="1335" priority="232" operator="equal">
      <formula>7</formula>
    </cfRule>
  </conditionalFormatting>
  <conditionalFormatting sqref="CH4:CL397 CH398:CJ398 CL398 CH399:CL1048576">
    <cfRule type="cellIs" dxfId="1334" priority="109" operator="equal">
      <formula>2</formula>
    </cfRule>
    <cfRule type="cellIs" dxfId="1333" priority="110" operator="equal">
      <formula>9</formula>
    </cfRule>
    <cfRule type="cellIs" dxfId="1332" priority="111" operator="equal">
      <formula>6</formula>
    </cfRule>
    <cfRule type="cellIs" dxfId="1331" priority="112" operator="equal">
      <formula>24</formula>
    </cfRule>
    <cfRule type="cellIs" dxfId="1330" priority="113" operator="equal">
      <formula>21</formula>
    </cfRule>
    <cfRule type="cellIs" dxfId="1329" priority="114" operator="equal">
      <formula>12</formula>
    </cfRule>
    <cfRule type="cellIs" dxfId="1328" priority="115" operator="equal">
      <formula>12</formula>
    </cfRule>
    <cfRule type="cellIs" dxfId="1327" priority="116" operator="equal">
      <formula>15</formula>
    </cfRule>
    <cfRule type="cellIs" dxfId="1326" priority="117" operator="equal">
      <formula>18</formula>
    </cfRule>
    <cfRule type="cellIs" dxfId="1325" priority="118" operator="equal">
      <formula>19</formula>
    </cfRule>
    <cfRule type="cellIs" dxfId="1324" priority="119" operator="equal">
      <formula>17</formula>
    </cfRule>
    <cfRule type="cellIs" dxfId="1323" priority="120" operator="equal">
      <formula>13</formula>
    </cfRule>
    <cfRule type="cellIs" dxfId="1322" priority="121" operator="equal">
      <formula>11</formula>
    </cfRule>
    <cfRule type="cellIs" dxfId="1321" priority="122" operator="greaterThan">
      <formula>9</formula>
    </cfRule>
    <cfRule type="cellIs" dxfId="1320" priority="123" operator="greaterThan">
      <formula>19</formula>
    </cfRule>
  </conditionalFormatting>
  <conditionalFormatting sqref="CH4:CL1048576">
    <cfRule type="cellIs" dxfId="1319" priority="92" operator="greaterThan">
      <formula>9</formula>
    </cfRule>
    <cfRule type="cellIs" dxfId="1318" priority="95" operator="equal">
      <formula>0</formula>
    </cfRule>
    <cfRule type="cellIs" dxfId="1317" priority="106" operator="equal">
      <formula>7</formula>
    </cfRule>
    <cfRule type="cellIs" dxfId="1316" priority="107" operator="equal">
      <formula>5</formula>
    </cfRule>
    <cfRule type="cellIs" dxfId="1315" priority="108" operator="equal">
      <formula>3</formula>
    </cfRule>
  </conditionalFormatting>
  <conditionalFormatting sqref="CH215:CL397 CH398:CJ398 CL398 CH399:CL1048576">
    <cfRule type="cellIs" dxfId="1314" priority="124" operator="equal">
      <formula>0</formula>
    </cfRule>
    <cfRule type="cellIs" dxfId="1313" priority="125" operator="greaterThan">
      <formula>9.5</formula>
    </cfRule>
    <cfRule type="cellIs" dxfId="1312" priority="126" operator="between">
      <formula>0.5</formula>
      <formula>905</formula>
    </cfRule>
    <cfRule type="cellIs" dxfId="1311" priority="506" operator="greaterThan">
      <formula>9.5</formula>
    </cfRule>
  </conditionalFormatting>
  <conditionalFormatting sqref="CH215:CL397 CH398:CJ398 CL398 CI399:CI408">
    <cfRule type="cellIs" dxfId="1310" priority="127" operator="equal">
      <formula>26</formula>
    </cfRule>
    <cfRule type="cellIs" dxfId="1309" priority="128" operator="equal">
      <formula>14</formula>
    </cfRule>
    <cfRule type="cellIs" dxfId="1308" priority="129" operator="equal">
      <formula>1</formula>
    </cfRule>
    <cfRule type="cellIs" dxfId="1307" priority="130" operator="equal">
      <formula>41</formula>
    </cfRule>
    <cfRule type="cellIs" dxfId="1306" priority="131" operator="between">
      <formula>1</formula>
      <formula>14</formula>
    </cfRule>
    <cfRule type="cellIs" dxfId="1305" priority="132" operator="between">
      <formula>1</formula>
      <formula>14</formula>
    </cfRule>
    <cfRule type="cellIs" dxfId="1304" priority="133" operator="equal">
      <formula>45</formula>
    </cfRule>
    <cfRule type="cellIs" dxfId="1303" priority="134" operator="equal">
      <formula>44</formula>
    </cfRule>
    <cfRule type="cellIs" dxfId="1302" priority="135" operator="equal">
      <formula>42</formula>
    </cfRule>
    <cfRule type="cellIs" dxfId="1301" priority="136" operator="equal">
      <formula>36</formula>
    </cfRule>
    <cfRule type="cellIs" dxfId="1300" priority="137" operator="equal">
      <formula>30</formula>
    </cfRule>
    <cfRule type="cellIs" dxfId="1299" priority="138" operator="equal">
      <formula>25</formula>
    </cfRule>
    <cfRule type="cellIs" dxfId="1298" priority="139" operator="equal">
      <formula>22</formula>
    </cfRule>
    <cfRule type="cellIs" dxfId="1297" priority="140" operator="equal">
      <formula>16</formula>
    </cfRule>
    <cfRule type="cellIs" dxfId="1296" priority="141" operator="equal">
      <formula>6</formula>
    </cfRule>
    <cfRule type="cellIs" dxfId="1295" priority="142" operator="equal">
      <formula>5</formula>
    </cfRule>
    <cfRule type="cellIs" dxfId="1294" priority="143" operator="equal">
      <formula>39</formula>
    </cfRule>
    <cfRule type="cellIs" dxfId="1293" priority="144" operator="equal">
      <formula>37</formula>
    </cfRule>
    <cfRule type="cellIs" dxfId="1292" priority="145" operator="equal">
      <formula>33</formula>
    </cfRule>
    <cfRule type="cellIs" dxfId="1291" priority="146" operator="equal">
      <formula>24</formula>
    </cfRule>
    <cfRule type="cellIs" dxfId="1290" priority="147" operator="equal">
      <formula>21</formula>
    </cfRule>
    <cfRule type="cellIs" dxfId="1289" priority="148" operator="equal">
      <formula>20</formula>
    </cfRule>
    <cfRule type="cellIs" dxfId="1288" priority="149" operator="equal">
      <formula>18</formula>
    </cfRule>
    <cfRule type="cellIs" dxfId="1287" priority="150" operator="equal">
      <formula>12</formula>
    </cfRule>
    <cfRule type="cellIs" dxfId="1286" priority="151" operator="equal">
      <formula>2</formula>
    </cfRule>
    <cfRule type="cellIs" dxfId="1285" priority="152" operator="equal">
      <formula>1</formula>
    </cfRule>
    <cfRule type="cellIs" dxfId="1284" priority="153" operator="equal">
      <formula>44</formula>
    </cfRule>
    <cfRule type="cellIs" dxfId="1283" priority="154" operator="equal">
      <formula>44</formula>
    </cfRule>
    <cfRule type="cellIs" dxfId="1282" priority="155" operator="equal">
      <formula>33</formula>
    </cfRule>
    <cfRule type="cellIs" dxfId="1281" priority="156" operator="equal">
      <formula>45</formula>
    </cfRule>
    <cfRule type="cellIs" dxfId="1280" priority="157" operator="equal">
      <formula>39</formula>
    </cfRule>
    <cfRule type="cellIs" dxfId="1279" priority="158" operator="equal">
      <formula>35</formula>
    </cfRule>
    <cfRule type="cellIs" dxfId="1278" priority="159" operator="equal">
      <formula>31</formula>
    </cfRule>
    <cfRule type="cellIs" dxfId="1277" priority="160" operator="equal">
      <formula>28</formula>
    </cfRule>
    <cfRule type="cellIs" dxfId="1276" priority="161" operator="equal">
      <formula>24</formula>
    </cfRule>
    <cfRule type="cellIs" dxfId="1275" priority="162" operator="equal">
      <formula>21</formula>
    </cfRule>
    <cfRule type="cellIs" dxfId="1274" priority="163" operator="equal">
      <formula>15</formula>
    </cfRule>
    <cfRule type="cellIs" dxfId="1273" priority="164" operator="equal">
      <formula>9</formula>
    </cfRule>
    <cfRule type="cellIs" dxfId="1272" priority="165" operator="equal">
      <formula>1</formula>
    </cfRule>
    <cfRule type="cellIs" dxfId="1271" priority="166" operator="equal">
      <formula>2</formula>
    </cfRule>
    <cfRule type="cellIs" dxfId="1270" priority="167" operator="equal">
      <formula>1</formula>
    </cfRule>
    <cfRule type="cellIs" dxfId="1269" priority="168" operator="equal">
      <formula>43</formula>
    </cfRule>
    <cfRule type="cellIs" dxfId="1268" priority="169" operator="equal">
      <formula>40</formula>
    </cfRule>
    <cfRule type="cellIs" dxfId="1267" priority="170" operator="equal">
      <formula>36</formula>
    </cfRule>
    <cfRule type="cellIs" dxfId="1266" priority="171" operator="equal">
      <formula>30</formula>
    </cfRule>
    <cfRule type="cellIs" dxfId="1265" priority="172" operator="equal">
      <formula>26</formula>
    </cfRule>
    <cfRule type="cellIs" dxfId="1264" priority="173" operator="equal">
      <formula>22</formula>
    </cfRule>
    <cfRule type="cellIs" dxfId="1263" priority="174" operator="equal">
      <formula>16</formula>
    </cfRule>
    <cfRule type="cellIs" dxfId="1262" priority="175" operator="equal">
      <formula>14</formula>
    </cfRule>
    <cfRule type="cellIs" dxfId="1261" priority="176" operator="equal">
      <formula>11</formula>
    </cfRule>
    <cfRule type="cellIs" dxfId="1260" priority="177" operator="equal">
      <formula>6</formula>
    </cfRule>
    <cfRule type="cellIs" dxfId="1259" priority="178" operator="equal">
      <formula>5</formula>
    </cfRule>
    <cfRule type="cellIs" dxfId="1258" priority="179" operator="equal">
      <formula>4</formula>
    </cfRule>
    <cfRule type="cellIs" dxfId="1257" priority="180" operator="equal">
      <formula>3</formula>
    </cfRule>
    <cfRule type="cellIs" dxfId="1256" priority="181" operator="equal">
      <formula>44</formula>
    </cfRule>
    <cfRule type="cellIs" dxfId="1255" priority="182" operator="equal">
      <formula>43</formula>
    </cfRule>
    <cfRule type="cellIs" dxfId="1254" priority="183" operator="equal">
      <formula>41</formula>
    </cfRule>
    <cfRule type="cellIs" dxfId="1253" priority="184" operator="equal">
      <formula>40</formula>
    </cfRule>
    <cfRule type="cellIs" dxfId="1252" priority="185" operator="equal">
      <formula>37</formula>
    </cfRule>
    <cfRule type="cellIs" dxfId="1251" priority="186" operator="equal">
      <formula>36</formula>
    </cfRule>
    <cfRule type="cellIs" dxfId="1250" priority="187" operator="equal">
      <formula>30</formula>
    </cfRule>
    <cfRule type="cellIs" dxfId="1249" priority="188" operator="equal">
      <formula>29</formula>
    </cfRule>
    <cfRule type="cellIs" dxfId="1248" priority="189" operator="equal">
      <formula>26</formula>
    </cfRule>
    <cfRule type="cellIs" dxfId="1247" priority="190" operator="equal">
      <formula>23</formula>
    </cfRule>
    <cfRule type="cellIs" dxfId="1246" priority="191" operator="equal">
      <formula>22</formula>
    </cfRule>
    <cfRule type="cellIs" dxfId="1245" priority="192" operator="equal">
      <formula>20</formula>
    </cfRule>
    <cfRule type="cellIs" dxfId="1244" priority="193" operator="equal">
      <formula>18</formula>
    </cfRule>
    <cfRule type="cellIs" dxfId="1243" priority="194" operator="equal">
      <formula>16</formula>
    </cfRule>
    <cfRule type="cellIs" dxfId="1242" priority="195" operator="equal">
      <formula>14</formula>
    </cfRule>
    <cfRule type="cellIs" dxfId="1241" priority="196" operator="equal">
      <formula>12</formula>
    </cfRule>
    <cfRule type="cellIs" dxfId="1240" priority="197" operator="equal">
      <formula>11</formula>
    </cfRule>
    <cfRule type="cellIs" dxfId="1239" priority="198" operator="equal">
      <formula>8</formula>
    </cfRule>
    <cfRule type="cellIs" dxfId="1238" priority="199" operator="equal">
      <formula>7</formula>
    </cfRule>
    <cfRule type="cellIs" dxfId="1237" priority="200" operator="equal">
      <formula>6</formula>
    </cfRule>
    <cfRule type="cellIs" dxfId="1236" priority="201" operator="equal">
      <formula>4</formula>
    </cfRule>
    <cfRule type="cellIs" dxfId="1235" priority="202" operator="equal">
      <formula>3</formula>
    </cfRule>
    <cfRule type="cellIs" dxfId="1234" priority="203" operator="equal">
      <formula>3</formula>
    </cfRule>
    <cfRule type="cellIs" dxfId="1233" priority="204" operator="equal">
      <formula>45</formula>
    </cfRule>
    <cfRule type="cellIs" dxfId="1232" priority="205" operator="equal">
      <formula>42</formula>
    </cfRule>
    <cfRule type="cellIs" dxfId="1231" priority="206" operator="equal">
      <formula>39</formula>
    </cfRule>
    <cfRule type="cellIs" dxfId="1230" priority="207" operator="equal">
      <formula>31</formula>
    </cfRule>
    <cfRule type="cellIs" dxfId="1229" priority="208" operator="equal">
      <formula>28</formula>
    </cfRule>
    <cfRule type="cellIs" dxfId="1228" priority="209" operator="equal">
      <formula>27</formula>
    </cfRule>
    <cfRule type="cellIs" dxfId="1227" priority="210" operator="equal">
      <formula>25</formula>
    </cfRule>
    <cfRule type="cellIs" dxfId="1226" priority="211" operator="equal">
      <formula>24</formula>
    </cfRule>
    <cfRule type="cellIs" dxfId="1225" priority="212" operator="equal">
      <formula>21</formula>
    </cfRule>
    <cfRule type="cellIs" dxfId="1224" priority="213" operator="equal">
      <formula>17</formula>
    </cfRule>
    <cfRule type="cellIs" dxfId="1223" priority="214" operator="equal">
      <formula>15</formula>
    </cfRule>
    <cfRule type="cellIs" dxfId="1222" priority="215" operator="equal">
      <formula>13</formula>
    </cfRule>
    <cfRule type="cellIs" dxfId="1221" priority="216" operator="equal">
      <formula>10</formula>
    </cfRule>
    <cfRule type="cellIs" dxfId="1220" priority="217" operator="equal">
      <formula>9</formula>
    </cfRule>
    <cfRule type="cellIs" dxfId="1219" priority="218" operator="equal">
      <formula>1</formula>
    </cfRule>
    <cfRule type="cellIs" dxfId="1218" priority="219" operator="equal">
      <formula>40</formula>
    </cfRule>
    <cfRule type="cellIs" dxfId="1217" priority="220" operator="equal">
      <formula>38</formula>
    </cfRule>
    <cfRule type="cellIs" dxfId="1216" priority="221" operator="equal">
      <formula>36</formula>
    </cfRule>
    <cfRule type="cellIs" dxfId="1215" priority="222" operator="equal">
      <formula>34</formula>
    </cfRule>
    <cfRule type="cellIs" dxfId="1214" priority="223" operator="equal">
      <formula>33</formula>
    </cfRule>
    <cfRule type="cellIs" dxfId="1213" priority="224" operator="equal">
      <formula>26</formula>
    </cfRule>
    <cfRule type="cellIs" dxfId="1212" priority="225" operator="equal">
      <formula>20</formula>
    </cfRule>
    <cfRule type="cellIs" dxfId="1211" priority="226" operator="equal">
      <formula>8</formula>
    </cfRule>
    <cfRule type="cellIs" dxfId="1210" priority="227" operator="equal">
      <formula>7</formula>
    </cfRule>
    <cfRule type="cellIs" dxfId="1209" priority="228" operator="equal">
      <formula>6</formula>
    </cfRule>
    <cfRule type="cellIs" dxfId="1208" priority="229" operator="equal">
      <formula>2</formula>
    </cfRule>
    <cfRule type="cellIs" dxfId="1207" priority="230" operator="equal">
      <formula>36</formula>
    </cfRule>
    <cfRule type="cellIs" dxfId="1206" priority="231" operator="equal">
      <formula>33</formula>
    </cfRule>
    <cfRule type="cellIs" dxfId="1205" priority="235" operator="equal">
      <formula>32</formula>
    </cfRule>
    <cfRule type="cellIs" dxfId="1204" priority="236" operator="equal">
      <formula>31</formula>
    </cfRule>
    <cfRule type="cellIs" dxfId="1203" priority="237" operator="equal">
      <formula>28</formula>
    </cfRule>
    <cfRule type="cellIs" dxfId="1202" priority="238" operator="equal">
      <formula>27</formula>
    </cfRule>
    <cfRule type="cellIs" dxfId="1201" priority="239" operator="equal">
      <formula>25</formula>
    </cfRule>
    <cfRule type="cellIs" dxfId="1200" priority="240" operator="equal">
      <formula>19</formula>
    </cfRule>
    <cfRule type="cellIs" dxfId="1199" priority="241" operator="equal">
      <formula>3</formula>
    </cfRule>
    <cfRule type="cellIs" dxfId="1198" priority="242" operator="equal">
      <formula>5</formula>
    </cfRule>
    <cfRule type="cellIs" dxfId="1197" priority="243" operator="equal">
      <formula>3</formula>
    </cfRule>
    <cfRule type="cellIs" dxfId="1196" priority="244" operator="equal">
      <formula>44</formula>
    </cfRule>
    <cfRule type="cellIs" dxfId="1195" priority="245" operator="equal">
      <formula>41</formula>
    </cfRule>
    <cfRule type="cellIs" dxfId="1194" priority="246" operator="equal">
      <formula>39</formula>
    </cfRule>
    <cfRule type="cellIs" dxfId="1193" priority="247" operator="equal">
      <formula>37</formula>
    </cfRule>
    <cfRule type="cellIs" dxfId="1192" priority="248" operator="equal">
      <formula>30</formula>
    </cfRule>
    <cfRule type="cellIs" dxfId="1191" priority="249" operator="equal">
      <formula>29</formula>
    </cfRule>
    <cfRule type="cellIs" dxfId="1190" priority="250" operator="equal">
      <formula>23</formula>
    </cfRule>
    <cfRule type="cellIs" dxfId="1189" priority="251" operator="equal">
      <formula>22</formula>
    </cfRule>
    <cfRule type="cellIs" dxfId="1188" priority="252" operator="equal">
      <formula>18</formula>
    </cfRule>
    <cfRule type="cellIs" dxfId="1187" priority="253" operator="equal">
      <formula>15</formula>
    </cfRule>
    <cfRule type="cellIs" dxfId="1186" priority="254" operator="equal">
      <formula>14</formula>
    </cfRule>
    <cfRule type="cellIs" dxfId="1185" priority="255" operator="equal">
      <formula>12</formula>
    </cfRule>
    <cfRule type="cellIs" dxfId="1184" priority="256" operator="equal">
      <formula>11</formula>
    </cfRule>
    <cfRule type="cellIs" dxfId="1183" priority="257" operator="equal">
      <formula>11</formula>
    </cfRule>
    <cfRule type="cellIs" dxfId="1182" priority="258" operator="equal">
      <formula>45</formula>
    </cfRule>
    <cfRule type="cellIs" dxfId="1181" priority="259" operator="equal">
      <formula>43</formula>
    </cfRule>
    <cfRule type="cellIs" dxfId="1180" priority="260" operator="equal">
      <formula>42</formula>
    </cfRule>
    <cfRule type="cellIs" dxfId="1179" priority="261" operator="equal">
      <formula>24</formula>
    </cfRule>
    <cfRule type="cellIs" dxfId="1178" priority="262" operator="equal">
      <formula>43</formula>
    </cfRule>
    <cfRule type="cellIs" dxfId="1177" priority="263" operator="equal">
      <formula>42</formula>
    </cfRule>
    <cfRule type="cellIs" dxfId="1176" priority="264" operator="equal">
      <formula>24</formula>
    </cfRule>
    <cfRule type="cellIs" dxfId="1175" priority="265" operator="equal">
      <formula>21</formula>
    </cfRule>
    <cfRule type="cellIs" dxfId="1174" priority="266" operator="equal">
      <formula>17</formula>
    </cfRule>
    <cfRule type="cellIs" dxfId="1173" priority="267" operator="equal">
      <formula>16</formula>
    </cfRule>
    <cfRule type="cellIs" dxfId="1172" priority="268" operator="equal">
      <formula>13</formula>
    </cfRule>
    <cfRule type="cellIs" dxfId="1171" priority="269" operator="equal">
      <formula>10</formula>
    </cfRule>
    <cfRule type="cellIs" dxfId="1170" priority="270" operator="equal">
      <formula>9</formula>
    </cfRule>
    <cfRule type="cellIs" dxfId="1169" priority="271" operator="equal">
      <formula>4</formula>
    </cfRule>
    <cfRule type="cellIs" dxfId="1168" priority="272" operator="equal">
      <formula>1</formula>
    </cfRule>
    <cfRule type="cellIs" dxfId="1167" priority="273" operator="equal">
      <formula>1</formula>
    </cfRule>
    <cfRule type="cellIs" dxfId="1166" priority="274" operator="equal">
      <formula>24</formula>
    </cfRule>
    <cfRule type="cellIs" dxfId="1165" priority="275" operator="equal">
      <formula>45</formula>
    </cfRule>
    <cfRule type="cellIs" dxfId="1164" priority="276" operator="equal">
      <formula>45</formula>
    </cfRule>
    <cfRule type="cellIs" dxfId="1163" priority="277" operator="equal">
      <formula>45</formula>
    </cfRule>
    <cfRule type="cellIs" dxfId="1162" priority="278" operator="equal">
      <formula>37</formula>
    </cfRule>
    <cfRule type="cellIs" dxfId="1161" priority="279" operator="equal">
      <formula>31</formula>
    </cfRule>
    <cfRule type="cellIs" dxfId="1160" priority="280" operator="equal">
      <formula>26</formula>
    </cfRule>
    <cfRule type="cellIs" dxfId="1159" priority="281" operator="equal">
      <formula>24</formula>
    </cfRule>
    <cfRule type="cellIs" dxfId="1158" priority="282" operator="equal">
      <formula>19</formula>
    </cfRule>
    <cfRule type="cellIs" dxfId="1157" priority="283" operator="equal">
      <formula>16</formula>
    </cfRule>
    <cfRule type="cellIs" dxfId="1156" priority="284" operator="equal">
      <formula>11</formula>
    </cfRule>
    <cfRule type="cellIs" dxfId="1155" priority="285" operator="equal">
      <formula>7</formula>
    </cfRule>
    <cfRule type="cellIs" dxfId="1154" priority="286" operator="equal">
      <formula>44</formula>
    </cfRule>
    <cfRule type="cellIs" dxfId="1153" priority="287" operator="equal">
      <formula>42</formula>
    </cfRule>
    <cfRule type="cellIs" dxfId="1152" priority="288" operator="equal">
      <formula>36</formula>
    </cfRule>
    <cfRule type="cellIs" dxfId="1151" priority="289" operator="equal">
      <formula>30</formula>
    </cfRule>
    <cfRule type="cellIs" dxfId="1150" priority="290" operator="equal">
      <formula>21</formula>
    </cfRule>
    <cfRule type="cellIs" dxfId="1149" priority="291" operator="equal">
      <formula>15</formula>
    </cfRule>
    <cfRule type="cellIs" dxfId="1148" priority="292" operator="equal">
      <formula>8</formula>
    </cfRule>
    <cfRule type="cellIs" dxfId="1147" priority="294" operator="equal">
      <formula>5</formula>
    </cfRule>
    <cfRule type="cellIs" dxfId="1146" priority="295" operator="equal">
      <formula>41</formula>
    </cfRule>
    <cfRule type="cellIs" dxfId="1145" priority="296" operator="equal">
      <formula>35</formula>
    </cfRule>
    <cfRule type="cellIs" dxfId="1144" priority="297" operator="equal">
      <formula>32</formula>
    </cfRule>
    <cfRule type="cellIs" dxfId="1143" priority="298" operator="equal">
      <formula>29</formula>
    </cfRule>
    <cfRule type="cellIs" dxfId="1142" priority="299" operator="equal">
      <formula>28</formula>
    </cfRule>
    <cfRule type="cellIs" dxfId="1141" priority="300" operator="equal">
      <formula>25</formula>
    </cfRule>
    <cfRule type="cellIs" dxfId="1140" priority="301" operator="equal">
      <formula>23</formula>
    </cfRule>
    <cfRule type="cellIs" dxfId="1139" priority="302" operator="equal">
      <formula>22</formula>
    </cfRule>
    <cfRule type="cellIs" dxfId="1138" priority="303" operator="equal">
      <formula>9</formula>
    </cfRule>
    <cfRule type="cellIs" dxfId="1137" priority="304" operator="equal">
      <formula>44</formula>
    </cfRule>
    <cfRule type="cellIs" dxfId="1136" priority="305" operator="equal">
      <formula>42</formula>
    </cfRule>
    <cfRule type="cellIs" dxfId="1135" priority="306" operator="equal">
      <formula>36</formula>
    </cfRule>
    <cfRule type="cellIs" dxfId="1134" priority="307" operator="equal">
      <formula>30</formula>
    </cfRule>
    <cfRule type="cellIs" dxfId="1133" priority="308" operator="equal">
      <formula>21</formula>
    </cfRule>
    <cfRule type="cellIs" dxfId="1132" priority="309" operator="equal">
      <formula>15</formula>
    </cfRule>
    <cfRule type="cellIs" dxfId="1131" priority="310" operator="equal">
      <formula>8</formula>
    </cfRule>
    <cfRule type="cellIs" dxfId="1130" priority="311" operator="equal">
      <formula>6</formula>
    </cfRule>
    <cfRule type="cellIs" dxfId="1129" priority="312" operator="equal">
      <formula>5</formula>
    </cfRule>
    <cfRule type="cellIs" dxfId="1128" priority="313" operator="equal">
      <formula>45</formula>
    </cfRule>
    <cfRule type="cellIs" dxfId="1127" priority="314" operator="equal">
      <formula>37</formula>
    </cfRule>
    <cfRule type="cellIs" dxfId="1126" priority="315" operator="equal">
      <formula>31</formula>
    </cfRule>
    <cfRule type="cellIs" dxfId="1125" priority="316" operator="equal">
      <formula>26</formula>
    </cfRule>
    <cfRule type="cellIs" dxfId="1124" priority="317" operator="equal">
      <formula>24</formula>
    </cfRule>
    <cfRule type="cellIs" dxfId="1123" priority="318" operator="equal">
      <formula>19</formula>
    </cfRule>
    <cfRule type="cellIs" dxfId="1122" priority="319" operator="equal">
      <formula>16</formula>
    </cfRule>
    <cfRule type="cellIs" dxfId="1121" priority="320" operator="equal">
      <formula>11</formula>
    </cfRule>
    <cfRule type="cellIs" dxfId="1120" priority="321" operator="equal">
      <formula>7</formula>
    </cfRule>
    <cfRule type="cellIs" dxfId="1119" priority="322" operator="equal">
      <formula>40</formula>
    </cfRule>
    <cfRule type="cellIs" dxfId="1118" priority="323" operator="equal">
      <formula>39</formula>
    </cfRule>
    <cfRule type="cellIs" dxfId="1117" priority="324" operator="equal">
      <formula>38</formula>
    </cfRule>
    <cfRule type="cellIs" dxfId="1116" priority="325" operator="equal">
      <formula>20</formula>
    </cfRule>
    <cfRule type="cellIs" dxfId="1115" priority="326" operator="equal">
      <formula>33</formula>
    </cfRule>
    <cfRule type="cellIs" dxfId="1114" priority="327" operator="equal">
      <formula>27</formula>
    </cfRule>
    <cfRule type="cellIs" dxfId="1113" priority="328" operator="equal">
      <formula>12</formula>
    </cfRule>
    <cfRule type="cellIs" dxfId="1112" priority="329" operator="equal">
      <formula>18</formula>
    </cfRule>
    <cfRule type="cellIs" dxfId="1111" priority="330" operator="equal">
      <formula>18</formula>
    </cfRule>
    <cfRule type="cellIs" dxfId="1110" priority="331" operator="equal">
      <formula>14</formula>
    </cfRule>
    <cfRule type="cellIs" dxfId="1109" priority="332" operator="equal">
      <formula>10</formula>
    </cfRule>
    <cfRule type="cellIs" dxfId="1108" priority="333" operator="equal">
      <formula>3</formula>
    </cfRule>
    <cfRule type="cellIs" dxfId="1107" priority="334" operator="equal">
      <formula>2</formula>
    </cfRule>
    <cfRule type="cellIs" dxfId="1106" priority="335" operator="equal">
      <formula>43</formula>
    </cfRule>
    <cfRule type="cellIs" dxfId="1105" priority="336" operator="equal">
      <formula>34</formula>
    </cfRule>
    <cfRule type="cellIs" dxfId="1104" priority="337" operator="equal">
      <formula>34</formula>
    </cfRule>
    <cfRule type="cellIs" dxfId="1103" priority="338" operator="equal">
      <formula>33</formula>
    </cfRule>
    <cfRule type="cellIs" dxfId="1102" priority="339" operator="equal">
      <formula>4</formula>
    </cfRule>
    <cfRule type="cellIs" dxfId="1101" priority="340" operator="equal">
      <formula>27</formula>
    </cfRule>
    <cfRule type="cellIs" dxfId="1100" priority="341" operator="equal">
      <formula>12</formula>
    </cfRule>
    <cfRule type="cellIs" dxfId="1099" priority="342" operator="equal">
      <formula>12</formula>
    </cfRule>
    <cfRule type="cellIs" dxfId="1098" priority="343" operator="equal">
      <formula>1</formula>
    </cfRule>
    <cfRule type="cellIs" dxfId="1097" priority="344" operator="equal">
      <formula>18</formula>
    </cfRule>
    <cfRule type="cellIs" dxfId="1096" priority="345" operator="equal">
      <formula>10</formula>
    </cfRule>
    <cfRule type="cellIs" dxfId="1095" priority="346" operator="equal">
      <formula>15</formula>
    </cfRule>
    <cfRule type="cellIs" dxfId="1094" priority="347" operator="equal">
      <formula>15</formula>
    </cfRule>
    <cfRule type="cellIs" dxfId="1093" priority="348" operator="equal">
      <formula>15</formula>
    </cfRule>
    <cfRule type="cellIs" dxfId="1092" priority="349" operator="equal">
      <formula>15</formula>
    </cfRule>
    <cfRule type="cellIs" dxfId="1091" priority="350" operator="equal">
      <formula>15</formula>
    </cfRule>
    <cfRule type="cellIs" dxfId="1090" priority="351" operator="equal">
      <formula>15</formula>
    </cfRule>
    <cfRule type="cellIs" dxfId="1089" priority="352" operator="equal">
      <formula>22</formula>
    </cfRule>
    <cfRule type="cellIs" dxfId="1088" priority="353" operator="equal">
      <formula>40</formula>
    </cfRule>
    <cfRule type="cellIs" dxfId="1087" priority="354" operator="equal">
      <formula>38</formula>
    </cfRule>
    <cfRule type="cellIs" dxfId="1086" priority="355" operator="equal">
      <formula>43</formula>
    </cfRule>
    <cfRule type="cellIs" dxfId="1085" priority="356" operator="equal">
      <formula>40</formula>
    </cfRule>
    <cfRule type="cellIs" dxfId="1084" priority="357" operator="equal">
      <formula>39</formula>
    </cfRule>
    <cfRule type="cellIs" dxfId="1083" priority="358" operator="equal">
      <formula>38</formula>
    </cfRule>
    <cfRule type="cellIs" dxfId="1082" priority="359" operator="equal">
      <formula>34</formula>
    </cfRule>
    <cfRule type="cellIs" dxfId="1081" priority="360" operator="equal">
      <formula>33</formula>
    </cfRule>
    <cfRule type="cellIs" dxfId="1080" priority="361" operator="equal">
      <formula>27</formula>
    </cfRule>
    <cfRule type="cellIs" dxfId="1079" priority="362" operator="equal">
      <formula>20</formula>
    </cfRule>
    <cfRule type="cellIs" dxfId="1078" priority="363" operator="equal">
      <formula>18</formula>
    </cfRule>
    <cfRule type="cellIs" dxfId="1077" priority="364" operator="equal">
      <formula>17</formula>
    </cfRule>
    <cfRule type="cellIs" dxfId="1076" priority="365" operator="equal">
      <formula>13</formula>
    </cfRule>
    <cfRule type="cellIs" dxfId="1075" priority="366" operator="equal">
      <formula>12</formula>
    </cfRule>
    <cfRule type="cellIs" dxfId="1074" priority="367" operator="equal">
      <formula>12</formula>
    </cfRule>
    <cfRule type="cellIs" dxfId="1073" priority="368" operator="equal">
      <formula>10</formula>
    </cfRule>
    <cfRule type="cellIs" dxfId="1072" priority="369" operator="equal">
      <formula>4</formula>
    </cfRule>
    <cfRule type="cellIs" dxfId="1071" priority="370" operator="equal">
      <formula>1</formula>
    </cfRule>
    <cfRule type="cellIs" dxfId="1070" priority="371" operator="equal">
      <formula>45</formula>
    </cfRule>
    <cfRule type="cellIs" dxfId="1069" priority="372" operator="equal">
      <formula>37</formula>
    </cfRule>
    <cfRule type="cellIs" dxfId="1068" priority="373" operator="equal">
      <formula>31</formula>
    </cfRule>
    <cfRule type="cellIs" dxfId="1067" priority="374" operator="equal">
      <formula>26</formula>
    </cfRule>
    <cfRule type="cellIs" dxfId="1066" priority="375" operator="equal">
      <formula>24</formula>
    </cfRule>
    <cfRule type="cellIs" dxfId="1065" priority="376" operator="equal">
      <formula>21</formula>
    </cfRule>
    <cfRule type="cellIs" dxfId="1064" priority="377" operator="equal">
      <formula>19</formula>
    </cfRule>
    <cfRule type="cellIs" dxfId="1063" priority="378" operator="equal">
      <formula>16</formula>
    </cfRule>
    <cfRule type="cellIs" dxfId="1062" priority="379" operator="equal">
      <formula>14</formula>
    </cfRule>
    <cfRule type="cellIs" dxfId="1061" priority="380" operator="equal">
      <formula>11</formula>
    </cfRule>
    <cfRule type="cellIs" dxfId="1060" priority="381" operator="equal">
      <formula>7</formula>
    </cfRule>
    <cfRule type="cellIs" dxfId="1059" priority="382" operator="equal">
      <formula>5</formula>
    </cfRule>
    <cfRule type="cellIs" dxfId="1058" priority="383" operator="equal">
      <formula>3</formula>
    </cfRule>
    <cfRule type="cellIs" dxfId="1057" priority="384" operator="equal">
      <formula>2</formula>
    </cfRule>
    <cfRule type="cellIs" dxfId="1056" priority="385" operator="equal">
      <formula>6</formula>
    </cfRule>
    <cfRule type="cellIs" dxfId="1055" priority="386" operator="equal">
      <formula>6</formula>
    </cfRule>
    <cfRule type="cellIs" dxfId="1054" priority="387" operator="equal">
      <formula>2</formula>
    </cfRule>
    <cfRule type="cellIs" dxfId="1053" priority="388" operator="equal">
      <formula>2</formula>
    </cfRule>
    <cfRule type="cellIs" dxfId="1052" priority="389" operator="equal">
      <formula>40</formula>
    </cfRule>
    <cfRule type="cellIs" dxfId="1051" priority="390" operator="equal">
      <formula>45</formula>
    </cfRule>
    <cfRule type="cellIs" dxfId="1050" priority="391" operator="equal">
      <formula>42</formula>
    </cfRule>
    <cfRule type="cellIs" dxfId="1049" priority="392" operator="equal">
      <formula>39</formula>
    </cfRule>
    <cfRule type="cellIs" dxfId="1048" priority="393" operator="equal">
      <formula>36</formula>
    </cfRule>
    <cfRule type="cellIs" dxfId="1047" priority="394" operator="equal">
      <formula>33</formula>
    </cfRule>
    <cfRule type="cellIs" dxfId="1046" priority="395" operator="equal">
      <formula>30</formula>
    </cfRule>
    <cfRule type="cellIs" dxfId="1045" priority="396" operator="equal">
      <formula>27</formula>
    </cfRule>
    <cfRule type="cellIs" dxfId="1044" priority="397" operator="equal">
      <formula>24</formula>
    </cfRule>
    <cfRule type="cellIs" dxfId="1043" priority="398" operator="equal">
      <formula>21</formula>
    </cfRule>
    <cfRule type="cellIs" dxfId="1042" priority="399" operator="equal">
      <formula>18</formula>
    </cfRule>
    <cfRule type="cellIs" dxfId="1041" priority="400" operator="equal">
      <formula>21</formula>
    </cfRule>
    <cfRule type="cellIs" dxfId="1040" priority="401" operator="equal">
      <formula>18</formula>
    </cfRule>
    <cfRule type="cellIs" dxfId="1039" priority="402" operator="equal">
      <formula>12</formula>
    </cfRule>
    <cfRule type="cellIs" dxfId="1038" priority="403" operator="equal">
      <formula>12</formula>
    </cfRule>
    <cfRule type="cellIs" dxfId="1037" priority="404" operator="equal">
      <formula>6</formula>
    </cfRule>
    <cfRule type="cellIs" dxfId="1036" priority="405" operator="equal">
      <formula>15</formula>
    </cfRule>
    <cfRule type="cellIs" dxfId="1035" priority="406" operator="equal">
      <formula>12</formula>
    </cfRule>
    <cfRule type="cellIs" dxfId="1034" priority="407" operator="equal">
      <formula>9</formula>
    </cfRule>
    <cfRule type="cellIs" dxfId="1033" priority="408" operator="equal">
      <formula>6</formula>
    </cfRule>
    <cfRule type="cellIs" dxfId="1032" priority="409" operator="equal">
      <formula>15</formula>
    </cfRule>
    <cfRule type="cellIs" dxfId="1031" priority="410" operator="equal">
      <formula>15</formula>
    </cfRule>
    <cfRule type="cellIs" dxfId="1030" priority="411" operator="equal">
      <formula>15</formula>
    </cfRule>
    <cfRule type="cellIs" dxfId="1029" priority="412" operator="equal">
      <formula>15</formula>
    </cfRule>
    <cfRule type="cellIs" dxfId="1028" priority="413" operator="equal">
      <formula>45</formula>
    </cfRule>
    <cfRule type="cellIs" dxfId="1027" priority="414" operator="equal">
      <formula>42</formula>
    </cfRule>
    <cfRule type="cellIs" dxfId="1026" priority="415" operator="equal">
      <formula>39</formula>
    </cfRule>
    <cfRule type="cellIs" dxfId="1025" priority="416" operator="equal">
      <formula>36</formula>
    </cfRule>
    <cfRule type="cellIs" dxfId="1024" priority="417" operator="equal">
      <formula>33</formula>
    </cfRule>
    <cfRule type="cellIs" dxfId="1023" priority="418" operator="equal">
      <formula>30</formula>
    </cfRule>
    <cfRule type="cellIs" dxfId="1022" priority="419" operator="equal">
      <formula>27</formula>
    </cfRule>
    <cfRule type="cellIs" dxfId="1021" priority="420" operator="equal">
      <formula>24</formula>
    </cfRule>
    <cfRule type="cellIs" dxfId="1020" priority="421" operator="equal">
      <formula>21</formula>
    </cfRule>
    <cfRule type="cellIs" dxfId="1019" priority="422" operator="equal">
      <formula>18</formula>
    </cfRule>
    <cfRule type="cellIs" dxfId="1018" priority="423" operator="equal">
      <formula>15</formula>
    </cfRule>
    <cfRule type="cellIs" dxfId="1017" priority="424" operator="equal">
      <formula>12</formula>
    </cfRule>
    <cfRule type="cellIs" dxfId="1016" priority="425" operator="equal">
      <formula>9</formula>
    </cfRule>
    <cfRule type="cellIs" dxfId="1015" priority="426" operator="equal">
      <formula>6</formula>
    </cfRule>
    <cfRule type="cellIs" dxfId="1014" priority="427" operator="equal">
      <formula>43</formula>
    </cfRule>
    <cfRule type="cellIs" dxfId="1013" priority="428" operator="equal">
      <formula>41</formula>
    </cfRule>
    <cfRule type="cellIs" dxfId="1012" priority="429" operator="equal">
      <formula>37</formula>
    </cfRule>
    <cfRule type="cellIs" dxfId="1011" priority="430" operator="equal">
      <formula>31</formula>
    </cfRule>
    <cfRule type="cellIs" dxfId="1010" priority="431" operator="equal">
      <formula>29</formula>
    </cfRule>
    <cfRule type="cellIs" dxfId="1009" priority="432" operator="equal">
      <formula>23</formula>
    </cfRule>
    <cfRule type="cellIs" dxfId="1008" priority="433" operator="equal">
      <formula>19</formula>
    </cfRule>
    <cfRule type="cellIs" dxfId="1007" priority="434" operator="equal">
      <formula>17</formula>
    </cfRule>
    <cfRule type="cellIs" dxfId="1006" priority="435" operator="equal">
      <formula>13</formula>
    </cfRule>
    <cfRule type="cellIs" dxfId="1005" priority="436" operator="equal">
      <formula>11</formula>
    </cfRule>
    <cfRule type="cellIs" dxfId="1004" priority="437" operator="equal">
      <formula>7</formula>
    </cfRule>
    <cfRule type="cellIs" dxfId="1003" priority="438" operator="equal">
      <formula>5</formula>
    </cfRule>
    <cfRule type="cellIs" dxfId="1002" priority="439" operator="equal">
      <formula>5</formula>
    </cfRule>
    <cfRule type="cellIs" dxfId="1001" priority="440" operator="equal">
      <formula>3</formula>
    </cfRule>
    <cfRule type="cellIs" dxfId="1000" priority="441" operator="equal">
      <formula>2</formula>
    </cfRule>
    <cfRule type="cellIs" dxfId="999" priority="442" operator="equal">
      <formula>44</formula>
    </cfRule>
    <cfRule type="cellIs" dxfId="998" priority="443" operator="equal">
      <formula>40</formula>
    </cfRule>
    <cfRule type="cellIs" dxfId="997" priority="444" operator="equal">
      <formula>38</formula>
    </cfRule>
    <cfRule type="cellIs" dxfId="996" priority="445" operator="equal">
      <formula>35</formula>
    </cfRule>
    <cfRule type="cellIs" dxfId="995" priority="446" operator="equal">
      <formula>34</formula>
    </cfRule>
    <cfRule type="cellIs" dxfId="994" priority="447" operator="equal">
      <formula>32</formula>
    </cfRule>
    <cfRule type="cellIs" dxfId="993" priority="448" operator="equal">
      <formula>28</formula>
    </cfRule>
    <cfRule type="cellIs" dxfId="992" priority="449" operator="equal">
      <formula>26</formula>
    </cfRule>
    <cfRule type="cellIs" dxfId="991" priority="450" operator="equal">
      <formula>25</formula>
    </cfRule>
    <cfRule type="cellIs" dxfId="990" priority="451" operator="equal">
      <formula>20</formula>
    </cfRule>
    <cfRule type="cellIs" dxfId="989" priority="452" operator="equal">
      <formula>16</formula>
    </cfRule>
    <cfRule type="cellIs" dxfId="988" priority="453" operator="equal">
      <formula>14</formula>
    </cfRule>
    <cfRule type="cellIs" dxfId="987" priority="454" operator="equal">
      <formula>10</formula>
    </cfRule>
    <cfRule type="cellIs" dxfId="986" priority="455" operator="equal">
      <formula>8</formula>
    </cfRule>
    <cfRule type="cellIs" dxfId="985" priority="456" operator="equal">
      <formula>4</formula>
    </cfRule>
    <cfRule type="cellIs" dxfId="984" priority="457" operator="equal">
      <formula>1</formula>
    </cfRule>
    <cfRule type="cellIs" dxfId="983" priority="458" operator="equal">
      <formula>1</formula>
    </cfRule>
    <cfRule type="cellIs" dxfId="982" priority="459" operator="equal">
      <formula>45</formula>
    </cfRule>
    <cfRule type="cellIs" dxfId="981" priority="460" operator="equal">
      <formula>40</formula>
    </cfRule>
    <cfRule type="cellIs" dxfId="980" priority="461" operator="equal">
      <formula>37</formula>
    </cfRule>
    <cfRule type="cellIs" dxfId="979" priority="462" operator="equal">
      <formula>31</formula>
    </cfRule>
    <cfRule type="cellIs" dxfId="978" priority="463" operator="equal">
      <formula>26</formula>
    </cfRule>
    <cfRule type="cellIs" dxfId="977" priority="464" operator="equal">
      <formula>24</formula>
    </cfRule>
    <cfRule type="cellIs" dxfId="976" priority="465" operator="equal">
      <formula>21</formula>
    </cfRule>
    <cfRule type="cellIs" dxfId="975" priority="466" operator="equal">
      <formula>19</formula>
    </cfRule>
    <cfRule type="cellIs" dxfId="974" priority="467" operator="equal">
      <formula>16</formula>
    </cfRule>
    <cfRule type="cellIs" dxfId="973" priority="468" operator="equal">
      <formula>11</formula>
    </cfRule>
    <cfRule type="cellIs" dxfId="972" priority="469" operator="equal">
      <formula>7</formula>
    </cfRule>
    <cfRule type="cellIs" dxfId="971" priority="470" operator="equal">
      <formula>5</formula>
    </cfRule>
    <cfRule type="cellIs" dxfId="970" priority="471" operator="equal">
      <formula>6</formula>
    </cfRule>
    <cfRule type="cellIs" dxfId="969" priority="472" operator="equal">
      <formula>3</formula>
    </cfRule>
    <cfRule type="cellIs" dxfId="968" priority="473" operator="equal">
      <formula>2</formula>
    </cfRule>
    <cfRule type="cellIs" dxfId="967" priority="474" operator="equal">
      <formula>44</formula>
    </cfRule>
    <cfRule type="cellIs" dxfId="966" priority="475" operator="equal">
      <formula>42</formula>
    </cfRule>
    <cfRule type="cellIs" dxfId="965" priority="476" operator="equal">
      <formula>41</formula>
    </cfRule>
    <cfRule type="cellIs" dxfId="964" priority="477" operator="equal">
      <formula>36</formula>
    </cfRule>
    <cfRule type="cellIs" dxfId="963" priority="478" operator="equal">
      <formula>35</formula>
    </cfRule>
    <cfRule type="cellIs" dxfId="962" priority="479" operator="equal">
      <formula>32</formula>
    </cfRule>
    <cfRule type="cellIs" dxfId="961" priority="480" operator="equal">
      <formula>30</formula>
    </cfRule>
    <cfRule type="cellIs" dxfId="960" priority="481" operator="equal">
      <formula>29</formula>
    </cfRule>
    <cfRule type="cellIs" dxfId="959" priority="482" operator="equal">
      <formula>28</formula>
    </cfRule>
    <cfRule type="cellIs" dxfId="958" priority="483" operator="equal">
      <formula>28</formula>
    </cfRule>
    <cfRule type="cellIs" dxfId="957" priority="484" operator="equal">
      <formula>25</formula>
    </cfRule>
    <cfRule type="cellIs" dxfId="956" priority="485" operator="equal">
      <formula>23</formula>
    </cfRule>
    <cfRule type="cellIs" dxfId="955" priority="486" operator="equal">
      <formula>22</formula>
    </cfRule>
    <cfRule type="cellIs" dxfId="954" priority="487" operator="equal">
      <formula>15</formula>
    </cfRule>
    <cfRule type="cellIs" dxfId="953" priority="488" operator="equal">
      <formula>9</formula>
    </cfRule>
    <cfRule type="cellIs" dxfId="952" priority="489" operator="equal">
      <formula>8</formula>
    </cfRule>
    <cfRule type="cellIs" dxfId="951" priority="490" operator="equal">
      <formula>8</formula>
    </cfRule>
    <cfRule type="cellIs" dxfId="950" priority="491" operator="equal">
      <formula>43</formula>
    </cfRule>
    <cfRule type="cellIs" dxfId="949" priority="492" operator="equal">
      <formula>39</formula>
    </cfRule>
    <cfRule type="cellIs" dxfId="948" priority="493" operator="equal">
      <formula>38</formula>
    </cfRule>
    <cfRule type="cellIs" dxfId="947" priority="494" operator="equal">
      <formula>34</formula>
    </cfRule>
    <cfRule type="cellIs" dxfId="946" priority="495" operator="equal">
      <formula>33</formula>
    </cfRule>
    <cfRule type="cellIs" dxfId="945" priority="496" operator="equal">
      <formula>27</formula>
    </cfRule>
    <cfRule type="cellIs" dxfId="944" priority="497" operator="equal">
      <formula>20</formula>
    </cfRule>
    <cfRule type="cellIs" dxfId="943" priority="498" operator="equal">
      <formula>18</formula>
    </cfRule>
    <cfRule type="cellIs" dxfId="942" priority="499" operator="equal">
      <formula>17</formula>
    </cfRule>
    <cfRule type="cellIs" dxfId="941" priority="500" operator="equal">
      <formula>14</formula>
    </cfRule>
    <cfRule type="cellIs" dxfId="940" priority="501" operator="equal">
      <formula>13</formula>
    </cfRule>
    <cfRule type="cellIs" dxfId="939" priority="502" operator="equal">
      <formula>12</formula>
    </cfRule>
    <cfRule type="cellIs" dxfId="938" priority="503" operator="equal">
      <formula>10</formula>
    </cfRule>
    <cfRule type="cellIs" dxfId="937" priority="504" operator="equal">
      <formula>4</formula>
    </cfRule>
    <cfRule type="cellIs" dxfId="936" priority="505" operator="equal">
      <formula>1</formula>
    </cfRule>
  </conditionalFormatting>
  <conditionalFormatting sqref="CI399:CI408 CH215:CL397 CH398:CJ398 CL398">
    <cfRule type="cellIs" dxfId="935" priority="293" operator="equal">
      <formula>6</formula>
    </cfRule>
  </conditionalFormatting>
  <conditionalFormatting sqref="CI399:CI408">
    <cfRule type="cellIs" dxfId="934" priority="233" operator="equal">
      <formula>6</formula>
    </cfRule>
    <cfRule type="cellIs" dxfId="933" priority="234" operator="equal">
      <formula>2</formula>
    </cfRule>
  </conditionalFormatting>
  <conditionalFormatting sqref="CN4:CR303">
    <cfRule type="cellIs" dxfId="932" priority="99" operator="equal">
      <formula>2</formula>
    </cfRule>
    <cfRule type="cellIs" dxfId="931" priority="100" operator="equal">
      <formula>0</formula>
    </cfRule>
    <cfRule type="cellIs" dxfId="930" priority="101" operator="equal">
      <formula>2</formula>
    </cfRule>
    <cfRule type="cellIs" dxfId="929" priority="543" operator="equal">
      <formula>2</formula>
    </cfRule>
  </conditionalFormatting>
  <conditionalFormatting sqref="CN4:CR1048576 I4:N1048576">
    <cfRule type="cellIs" dxfId="928" priority="541" operator="equal">
      <formula>2</formula>
    </cfRule>
  </conditionalFormatting>
  <conditionalFormatting sqref="CN4:CR1048576">
    <cfRule type="cellIs" dxfId="927" priority="542" operator="equal">
      <formula>2</formula>
    </cfRule>
  </conditionalFormatting>
  <conditionalFormatting sqref="CT4:CT1048576">
    <cfRule type="cellIs" dxfId="926" priority="94" operator="equal">
      <formula>1</formula>
    </cfRule>
    <cfRule type="cellIs" dxfId="925" priority="507" operator="equal">
      <formula>4</formula>
    </cfRule>
  </conditionalFormatting>
  <conditionalFormatting sqref="CT4:CU303 CW4:CX303">
    <cfRule type="cellIs" dxfId="924" priority="574" operator="equal">
      <formula>5</formula>
    </cfRule>
  </conditionalFormatting>
  <conditionalFormatting sqref="CU4:CU303 CW4:CX303">
    <cfRule type="cellIs" dxfId="923" priority="581" operator="equal">
      <formula>6</formula>
    </cfRule>
  </conditionalFormatting>
  <conditionalFormatting sqref="CW4:CW1048576">
    <cfRule type="cellIs" dxfId="922" priority="93" operator="lessThan">
      <formula>3</formula>
    </cfRule>
  </conditionalFormatting>
  <conditionalFormatting sqref="CW4:CX303 CT4:CU303">
    <cfRule type="cellIs" dxfId="921" priority="575" operator="equal">
      <formula>0</formula>
    </cfRule>
  </conditionalFormatting>
  <conditionalFormatting sqref="CW4:CX303 CU4:CU303">
    <cfRule type="cellIs" dxfId="920" priority="580" operator="between">
      <formula>6</formula>
      <formula>7</formula>
    </cfRule>
  </conditionalFormatting>
  <conditionalFormatting sqref="CW4:CX303">
    <cfRule type="cellIs" dxfId="919" priority="578" operator="between">
      <formula>1</formula>
      <formula>4</formula>
    </cfRule>
    <cfRule type="cellIs" dxfId="918" priority="579" operator="equal">
      <formula>5</formula>
    </cfRule>
  </conditionalFormatting>
  <conditionalFormatting sqref="CX4:CX303">
    <cfRule type="cellIs" dxfId="917" priority="560" operator="equal">
      <formula>4</formula>
    </cfRule>
  </conditionalFormatting>
  <conditionalFormatting sqref="CZ4:DA303">
    <cfRule type="cellIs" dxfId="916" priority="557" operator="equal">
      <formula>3</formula>
    </cfRule>
  </conditionalFormatting>
  <conditionalFormatting sqref="CZ4:DB303 CX4:CX303">
    <cfRule type="cellIs" dxfId="915" priority="577" operator="equal">
      <formula>3</formula>
    </cfRule>
  </conditionalFormatting>
  <conditionalFormatting sqref="CZ4:DB303">
    <cfRule type="cellIs" dxfId="914" priority="102" operator="equal">
      <formula>3</formula>
    </cfRule>
    <cfRule type="cellIs" dxfId="913" priority="103" operator="greaterThan">
      <formula>3</formula>
    </cfRule>
    <cfRule type="cellIs" dxfId="912" priority="104" operator="equal">
      <formula>3</formula>
    </cfRule>
    <cfRule type="cellIs" dxfId="911" priority="576" operator="greaterThan">
      <formula>3</formula>
    </cfRule>
  </conditionalFormatting>
  <conditionalFormatting sqref="CZ4:DB1048576">
    <cfRule type="cellIs" dxfId="910" priority="545" operator="greaterThan">
      <formula>4</formula>
    </cfRule>
  </conditionalFormatting>
  <conditionalFormatting sqref="DB4:DB303">
    <cfRule type="cellIs" dxfId="909" priority="561" operator="greaterThan">
      <formula>2</formula>
    </cfRule>
  </conditionalFormatting>
  <conditionalFormatting sqref="DD4:DM303 CZ4:DB303 BP4:CA303">
    <cfRule type="cellIs" dxfId="908" priority="588" operator="between">
      <formula>1</formula>
      <formula>2</formula>
    </cfRule>
  </conditionalFormatting>
  <conditionalFormatting sqref="DD4:DM303">
    <cfRule type="cellIs" dxfId="907" priority="567" operator="between">
      <formula>4</formula>
      <formula>6</formula>
    </cfRule>
    <cfRule type="cellIs" dxfId="906" priority="568" operator="equal">
      <formula>0</formula>
    </cfRule>
    <cfRule type="cellIs" dxfId="905" priority="569" operator="equal">
      <formula>26</formula>
    </cfRule>
    <cfRule type="cellIs" dxfId="904" priority="570" operator="greaterThan">
      <formula>15</formula>
    </cfRule>
    <cfRule type="cellIs" dxfId="903" priority="571" operator="between">
      <formula>1</formula>
      <formula>6</formula>
    </cfRule>
    <cfRule type="cellIs" dxfId="902" priority="572" operator="greaterThan">
      <formula>21</formula>
    </cfRule>
    <cfRule type="cellIs" dxfId="901" priority="573" operator="equal">
      <formula>0</formula>
    </cfRule>
  </conditionalFormatting>
  <conditionalFormatting sqref="DO4:DS303">
    <cfRule type="cellIs" dxfId="900" priority="513" operator="equal">
      <formula>0</formula>
    </cfRule>
    <cfRule type="cellIs" dxfId="899" priority="514" operator="equal">
      <formula>4</formula>
    </cfRule>
    <cfRule type="cellIs" dxfId="898" priority="515" operator="greaterThan">
      <formula>3</formula>
    </cfRule>
    <cfRule type="cellIs" dxfId="897" priority="516" operator="equal">
      <formula>3</formula>
    </cfRule>
    <cfRule type="cellIs" dxfId="896" priority="517" operator="between">
      <formula>4</formula>
      <formula>6</formula>
    </cfRule>
    <cfRule type="cellIs" dxfId="895" priority="518" operator="equal">
      <formula>26</formula>
    </cfRule>
    <cfRule type="cellIs" dxfId="894" priority="519" operator="greaterThan">
      <formula>15</formula>
    </cfRule>
    <cfRule type="cellIs" dxfId="893" priority="520" operator="between">
      <formula>1</formula>
      <formula>6</formula>
    </cfRule>
    <cfRule type="cellIs" dxfId="892" priority="521" operator="greaterThan">
      <formula>21</formula>
    </cfRule>
    <cfRule type="cellIs" dxfId="891" priority="522" operator="equal">
      <formula>0</formula>
    </cfRule>
    <cfRule type="cellIs" dxfId="890" priority="523" operator="greaterThan">
      <formula>4</formula>
    </cfRule>
    <cfRule type="cellIs" dxfId="889" priority="524" operator="between">
      <formula>1</formula>
      <formula>3</formula>
    </cfRule>
  </conditionalFormatting>
  <conditionalFormatting sqref="DO4:DS1048576">
    <cfRule type="cellIs" dxfId="888" priority="508" operator="equal">
      <formula>"배"</formula>
    </cfRule>
    <cfRule type="cellIs" dxfId="887" priority="509" operator="equal">
      <formula>"자"</formula>
    </cfRule>
    <cfRule type="cellIs" dxfId="886" priority="510" operator="equal">
      <formula>"소"</formula>
    </cfRule>
    <cfRule type="cellIs" dxfId="885" priority="511" operator="greaterThan">
      <formula>3</formula>
    </cfRule>
    <cfRule type="cellIs" dxfId="884" priority="512" operator="between">
      <formula>1</formula>
      <formula>2</formula>
    </cfRule>
  </conditionalFormatting>
  <conditionalFormatting sqref="T1:T1048576">
    <cfRule type="cellIs" dxfId="883" priority="83" operator="equal">
      <formula>5</formula>
    </cfRule>
    <cfRule type="cellIs" dxfId="882" priority="84" operator="equal">
      <formula>4</formula>
    </cfRule>
  </conditionalFormatting>
  <conditionalFormatting sqref="AS4:BD303">
    <cfRule type="cellIs" dxfId="881" priority="39" operator="between">
      <formula>4</formula>
      <formula>6</formula>
    </cfRule>
  </conditionalFormatting>
  <conditionalFormatting sqref="AS4:BI303">
    <cfRule type="cellIs" dxfId="880" priority="32" operator="equal">
      <formula>0</formula>
    </cfRule>
  </conditionalFormatting>
  <conditionalFormatting sqref="AS65:BD303">
    <cfRule type="cellIs" dxfId="879" priority="40" operator="equal">
      <formula>0</formula>
    </cfRule>
  </conditionalFormatting>
  <conditionalFormatting sqref="AS4:BD303">
    <cfRule type="cellIs" dxfId="878" priority="45" operator="equal">
      <formula>0</formula>
    </cfRule>
  </conditionalFormatting>
  <conditionalFormatting sqref="AS4:BD64">
    <cfRule type="cellIs" dxfId="877" priority="33" operator="equal">
      <formula>0</formula>
    </cfRule>
  </conditionalFormatting>
  <conditionalFormatting sqref="AS4:BD303">
    <cfRule type="cellIs" dxfId="876" priority="41" operator="equal">
      <formula>26</formula>
    </cfRule>
    <cfRule type="cellIs" dxfId="875" priority="42" operator="greaterThan">
      <formula>15</formula>
    </cfRule>
    <cfRule type="cellIs" dxfId="874" priority="43" operator="between">
      <formula>1</formula>
      <formula>6</formula>
    </cfRule>
    <cfRule type="cellIs" dxfId="873" priority="44" operator="greaterThan">
      <formula>21</formula>
    </cfRule>
  </conditionalFormatting>
  <conditionalFormatting sqref="BE4:BI303">
    <cfRule type="cellIs" dxfId="872" priority="34" operator="greaterThan">
      <formula>19</formula>
    </cfRule>
    <cfRule type="cellIs" dxfId="871" priority="35" operator="greaterThan">
      <formula>9.5</formula>
    </cfRule>
    <cfRule type="cellIs" dxfId="870" priority="36" operator="between">
      <formula>0.5</formula>
      <formula>905</formula>
    </cfRule>
    <cfRule type="cellIs" dxfId="869" priority="37" operator="greaterThan">
      <formula>9.5</formula>
    </cfRule>
  </conditionalFormatting>
  <conditionalFormatting sqref="AS4:BD303">
    <cfRule type="cellIs" dxfId="868" priority="38" operator="between">
      <formula>1</formula>
      <formula>2</formula>
    </cfRule>
  </conditionalFormatting>
  <conditionalFormatting sqref="AN4:AR303">
    <cfRule type="cellIs" dxfId="867" priority="25" operator="between">
      <formula>4</formula>
      <formula>6</formula>
    </cfRule>
  </conditionalFormatting>
  <conditionalFormatting sqref="AN4:AR303">
    <cfRule type="cellIs" dxfId="866" priority="23" operator="greaterThan">
      <formula>4</formula>
    </cfRule>
  </conditionalFormatting>
  <conditionalFormatting sqref="AN65 AP65:AR65 AN66:AR70 AN71:AP71 AR71 AN72:AR74 AN75:AP75 AR75 AN76:AR80 AN81:AO81 AQ81:AR81 AN82:AR84 AN85:AO85 AQ85:AR85 AN86:AR92 AN93 AP93:AR93 AO94:AR94 AN95:AR303">
    <cfRule type="cellIs" dxfId="865" priority="26" operator="equal">
      <formula>0</formula>
    </cfRule>
  </conditionalFormatting>
  <conditionalFormatting sqref="AN4:AR303">
    <cfRule type="cellIs" dxfId="864" priority="24" operator="between">
      <formula>1</formula>
      <formula>3</formula>
    </cfRule>
  </conditionalFormatting>
  <conditionalFormatting sqref="AN4:AR303">
    <cfRule type="cellIs" dxfId="863" priority="21" operator="equal">
      <formula>4</formula>
    </cfRule>
    <cfRule type="cellIs" dxfId="862" priority="22" operator="equal">
      <formula>3</formula>
    </cfRule>
  </conditionalFormatting>
  <conditionalFormatting sqref="AN4:AR1048576">
    <cfRule type="cellIs" dxfId="861" priority="18" operator="equal">
      <formula>3</formula>
    </cfRule>
  </conditionalFormatting>
  <conditionalFormatting sqref="AN4:AR303">
    <cfRule type="cellIs" dxfId="860" priority="31" operator="equal">
      <formula>0</formula>
    </cfRule>
  </conditionalFormatting>
  <conditionalFormatting sqref="AN4:AR303">
    <cfRule type="cellIs" dxfId="859" priority="19" operator="equal">
      <formula>0</formula>
    </cfRule>
  </conditionalFormatting>
  <conditionalFormatting sqref="AN4:AR303">
    <cfRule type="cellIs" dxfId="858" priority="27" operator="equal">
      <formula>26</formula>
    </cfRule>
    <cfRule type="cellIs" dxfId="857" priority="28" operator="greaterThan">
      <formula>15</formula>
    </cfRule>
    <cfRule type="cellIs" dxfId="856" priority="29" operator="between">
      <formula>1</formula>
      <formula>6</formula>
    </cfRule>
    <cfRule type="cellIs" dxfId="855" priority="30" operator="greaterThan">
      <formula>21</formula>
    </cfRule>
  </conditionalFormatting>
  <conditionalFormatting sqref="AR4:AR303">
    <cfRule type="cellIs" dxfId="854" priority="20" operator="equal">
      <formula>2</formula>
    </cfRule>
  </conditionalFormatting>
  <conditionalFormatting sqref="AN1:AR1048576">
    <cfRule type="cellIs" dxfId="853" priority="2" operator="equal">
      <formula>3</formula>
    </cfRule>
    <cfRule type="cellIs" dxfId="852" priority="3" operator="equal">
      <formula>2</formula>
    </cfRule>
  </conditionalFormatting>
  <conditionalFormatting sqref="CW1:CW1048576">
    <cfRule type="cellIs" dxfId="851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D2942-9064-4962-9B2E-A59E66B36E96}">
  <sheetPr>
    <tabColor rgb="FFFF0000"/>
  </sheetPr>
  <dimension ref="A1:BK9424"/>
  <sheetViews>
    <sheetView showGridLines="0" showZeros="0" tabSelected="1" zoomScale="110" zoomScaleNormal="110" workbookViewId="0">
      <pane xSplit="7" ySplit="3" topLeftCell="H394" activePane="bottomRight" state="frozen"/>
      <selection pane="topRight" activeCell="H1" sqref="H1"/>
      <selection pane="bottomLeft" activeCell="A3" sqref="A3"/>
      <selection pane="bottomRight" activeCell="K440" sqref="K440"/>
    </sheetView>
  </sheetViews>
  <sheetFormatPr defaultColWidth="2.5" defaultRowHeight="9" customHeight="1" x14ac:dyDescent="0.3"/>
  <cols>
    <col min="1" max="1" width="5.25" style="91" customWidth="1"/>
    <col min="2" max="6" width="2.875" style="70" customWidth="1"/>
    <col min="7" max="7" width="2.875" style="94" customWidth="1"/>
    <col min="8" max="8" width="3.5" style="131" customWidth="1"/>
    <col min="9" max="9" width="1.375" style="3" customWidth="1"/>
    <col min="10" max="11" width="4.125" customWidth="1"/>
    <col min="12" max="60" width="2.25" customWidth="1"/>
    <col min="61" max="61" width="3" bestFit="1" customWidth="1"/>
    <col min="62" max="62" width="3.125" bestFit="1" customWidth="1"/>
    <col min="63" max="63" width="3" bestFit="1" customWidth="1"/>
  </cols>
  <sheetData>
    <row r="1" spans="1:63" s="75" customFormat="1" ht="9" customHeight="1" x14ac:dyDescent="0.3">
      <c r="A1" s="69"/>
      <c r="B1" s="70"/>
      <c r="C1" s="70"/>
      <c r="D1" s="70"/>
      <c r="E1" s="70"/>
      <c r="F1" s="70"/>
      <c r="G1" s="70"/>
      <c r="H1" s="131"/>
      <c r="I1" s="70"/>
      <c r="J1" s="71"/>
      <c r="K1" s="72" t="s">
        <v>15</v>
      </c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4"/>
      <c r="AJ1" s="74"/>
      <c r="AK1" s="74"/>
      <c r="AL1" s="74"/>
      <c r="AM1" s="74"/>
      <c r="AN1" s="74"/>
      <c r="AO1" s="74"/>
      <c r="AP1" s="74"/>
      <c r="AQ1" s="74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</row>
    <row r="2" spans="1:63" s="84" customFormat="1" ht="9" customHeight="1" x14ac:dyDescent="0.3">
      <c r="A2" s="77"/>
      <c r="B2" s="78"/>
      <c r="C2" s="78"/>
      <c r="D2" s="78"/>
      <c r="E2" s="78"/>
      <c r="F2" s="78"/>
      <c r="G2" s="78"/>
      <c r="H2" s="132"/>
      <c r="I2" s="79"/>
      <c r="J2" s="80"/>
      <c r="K2" s="81">
        <f>SUM(L3:BD3)</f>
        <v>2658</v>
      </c>
      <c r="L2" s="82">
        <v>1</v>
      </c>
      <c r="M2" s="82">
        <v>2</v>
      </c>
      <c r="N2" s="82">
        <v>3</v>
      </c>
      <c r="O2" s="82">
        <v>4</v>
      </c>
      <c r="P2" s="82">
        <v>5</v>
      </c>
      <c r="Q2" s="82">
        <v>6</v>
      </c>
      <c r="R2" s="82">
        <v>7</v>
      </c>
      <c r="S2" s="82">
        <v>8</v>
      </c>
      <c r="T2" s="82">
        <v>9</v>
      </c>
      <c r="U2" s="82">
        <v>10</v>
      </c>
      <c r="V2" s="82">
        <v>11</v>
      </c>
      <c r="W2" s="82">
        <v>12</v>
      </c>
      <c r="X2" s="82">
        <v>13</v>
      </c>
      <c r="Y2" s="82">
        <v>14</v>
      </c>
      <c r="Z2" s="82">
        <v>15</v>
      </c>
      <c r="AA2" s="82">
        <v>16</v>
      </c>
      <c r="AB2" s="82">
        <v>17</v>
      </c>
      <c r="AC2" s="82">
        <v>18</v>
      </c>
      <c r="AD2" s="82">
        <v>19</v>
      </c>
      <c r="AE2" s="82">
        <v>20</v>
      </c>
      <c r="AF2" s="82">
        <v>21</v>
      </c>
      <c r="AG2" s="82">
        <v>22</v>
      </c>
      <c r="AH2" s="82">
        <v>23</v>
      </c>
      <c r="AI2" s="82">
        <v>24</v>
      </c>
      <c r="AJ2" s="82">
        <v>25</v>
      </c>
      <c r="AK2" s="82">
        <v>26</v>
      </c>
      <c r="AL2" s="82">
        <v>27</v>
      </c>
      <c r="AM2" s="82">
        <v>28</v>
      </c>
      <c r="AN2" s="83">
        <v>29</v>
      </c>
      <c r="AO2" s="83">
        <v>30</v>
      </c>
      <c r="AP2" s="83">
        <v>31</v>
      </c>
      <c r="AQ2" s="83">
        <v>32</v>
      </c>
      <c r="AR2" s="83">
        <v>33</v>
      </c>
      <c r="AS2" s="83">
        <v>34</v>
      </c>
      <c r="AT2" s="83">
        <v>35</v>
      </c>
      <c r="AU2" s="83">
        <v>36</v>
      </c>
      <c r="AV2" s="83">
        <v>37</v>
      </c>
      <c r="AW2" s="83">
        <v>38</v>
      </c>
      <c r="AX2" s="83">
        <v>39</v>
      </c>
      <c r="AY2" s="83">
        <v>40</v>
      </c>
      <c r="AZ2" s="83">
        <v>41</v>
      </c>
      <c r="BA2" s="83">
        <v>42</v>
      </c>
      <c r="BB2" s="83">
        <v>43</v>
      </c>
      <c r="BC2" s="83">
        <v>44</v>
      </c>
      <c r="BD2" s="83">
        <v>45</v>
      </c>
    </row>
    <row r="3" spans="1:63" s="90" customFormat="1" ht="9" customHeight="1" x14ac:dyDescent="0.3">
      <c r="A3" s="85"/>
      <c r="B3" s="86"/>
      <c r="C3" s="86"/>
      <c r="D3" s="86"/>
      <c r="E3" s="86"/>
      <c r="F3" s="86"/>
      <c r="G3" s="87"/>
      <c r="H3" s="133" t="s">
        <v>16</v>
      </c>
      <c r="I3" s="3"/>
      <c r="J3" s="80"/>
      <c r="K3" s="88">
        <f>K2/6</f>
        <v>443</v>
      </c>
      <c r="L3" s="89">
        <f t="shared" ref="L3:BD3" si="0">COUNTIFS($B4:$G99896,L2)</f>
        <v>55</v>
      </c>
      <c r="M3" s="89">
        <f t="shared" si="0"/>
        <v>52</v>
      </c>
      <c r="N3" s="89">
        <f t="shared" si="0"/>
        <v>68</v>
      </c>
      <c r="O3" s="89">
        <f t="shared" si="0"/>
        <v>50</v>
      </c>
      <c r="P3" s="89">
        <f t="shared" si="0"/>
        <v>43</v>
      </c>
      <c r="Q3" s="89">
        <f t="shared" si="0"/>
        <v>64</v>
      </c>
      <c r="R3" s="89">
        <f t="shared" si="0"/>
        <v>60</v>
      </c>
      <c r="S3" s="89">
        <f t="shared" si="0"/>
        <v>47</v>
      </c>
      <c r="T3" s="89">
        <f t="shared" si="0"/>
        <v>56</v>
      </c>
      <c r="U3" s="89">
        <f t="shared" si="0"/>
        <v>54</v>
      </c>
      <c r="V3" s="89">
        <f t="shared" si="0"/>
        <v>56</v>
      </c>
      <c r="W3" s="89">
        <f t="shared" si="0"/>
        <v>70</v>
      </c>
      <c r="X3" s="89">
        <f t="shared" si="0"/>
        <v>70</v>
      </c>
      <c r="Y3" s="89">
        <f t="shared" si="0"/>
        <v>60</v>
      </c>
      <c r="Z3" s="89">
        <f t="shared" si="0"/>
        <v>58</v>
      </c>
      <c r="AA3" s="89">
        <f t="shared" si="0"/>
        <v>68</v>
      </c>
      <c r="AB3" s="89">
        <f t="shared" si="0"/>
        <v>56</v>
      </c>
      <c r="AC3" s="89">
        <f t="shared" si="0"/>
        <v>66</v>
      </c>
      <c r="AD3" s="89">
        <f t="shared" si="0"/>
        <v>62</v>
      </c>
      <c r="AE3" s="89">
        <f t="shared" si="0"/>
        <v>49</v>
      </c>
      <c r="AF3" s="89">
        <f t="shared" si="0"/>
        <v>64</v>
      </c>
      <c r="AG3" s="89">
        <f t="shared" si="0"/>
        <v>58</v>
      </c>
      <c r="AH3" s="89">
        <f t="shared" si="0"/>
        <v>52</v>
      </c>
      <c r="AI3" s="89">
        <f t="shared" si="0"/>
        <v>58</v>
      </c>
      <c r="AJ3" s="89">
        <f t="shared" si="0"/>
        <v>51</v>
      </c>
      <c r="AK3" s="89">
        <f t="shared" si="0"/>
        <v>61</v>
      </c>
      <c r="AL3" s="89">
        <f t="shared" si="0"/>
        <v>59</v>
      </c>
      <c r="AM3" s="89">
        <f t="shared" si="0"/>
        <v>64</v>
      </c>
      <c r="AN3" s="89">
        <f t="shared" si="0"/>
        <v>59</v>
      </c>
      <c r="AO3" s="89">
        <f t="shared" si="0"/>
        <v>66</v>
      </c>
      <c r="AP3" s="89">
        <f t="shared" si="0"/>
        <v>61</v>
      </c>
      <c r="AQ3" s="89">
        <f t="shared" si="0"/>
        <v>55</v>
      </c>
      <c r="AR3" s="89">
        <f t="shared" si="0"/>
        <v>65</v>
      </c>
      <c r="AS3" s="89">
        <f t="shared" si="0"/>
        <v>58</v>
      </c>
      <c r="AT3" s="89">
        <f t="shared" si="0"/>
        <v>65</v>
      </c>
      <c r="AU3" s="89">
        <f t="shared" si="0"/>
        <v>60</v>
      </c>
      <c r="AV3" s="89">
        <f t="shared" si="0"/>
        <v>58</v>
      </c>
      <c r="AW3" s="89">
        <f t="shared" si="0"/>
        <v>72</v>
      </c>
      <c r="AX3" s="89">
        <f t="shared" si="0"/>
        <v>63</v>
      </c>
      <c r="AY3" s="89">
        <f t="shared" si="0"/>
        <v>53</v>
      </c>
      <c r="AZ3" s="89">
        <f t="shared" si="0"/>
        <v>52</v>
      </c>
      <c r="BA3" s="89">
        <f t="shared" si="0"/>
        <v>60</v>
      </c>
      <c r="BB3" s="89">
        <f t="shared" si="0"/>
        <v>54</v>
      </c>
      <c r="BC3" s="89">
        <f t="shared" si="0"/>
        <v>59</v>
      </c>
      <c r="BD3" s="89">
        <f t="shared" si="0"/>
        <v>67</v>
      </c>
    </row>
    <row r="5" spans="1:63" s="93" customFormat="1" ht="9" customHeight="1" x14ac:dyDescent="0.3">
      <c r="A5" s="91"/>
      <c r="B5" s="71">
        <v>2</v>
      </c>
      <c r="C5" s="71">
        <v>10</v>
      </c>
      <c r="D5" s="71">
        <v>11</v>
      </c>
      <c r="E5" s="71">
        <v>19</v>
      </c>
      <c r="F5" s="71">
        <v>35</v>
      </c>
      <c r="G5" s="92">
        <v>39</v>
      </c>
      <c r="H5" s="134">
        <v>29</v>
      </c>
      <c r="I5" s="3"/>
    </row>
    <row r="6" spans="1:63" s="93" customFormat="1" ht="9" customHeight="1" x14ac:dyDescent="0.3">
      <c r="A6" s="91"/>
      <c r="B6" s="70">
        <v>2</v>
      </c>
      <c r="C6" s="70">
        <v>6</v>
      </c>
      <c r="D6" s="70">
        <v>7</v>
      </c>
      <c r="E6" s="70">
        <v>12</v>
      </c>
      <c r="F6" s="70">
        <v>19</v>
      </c>
      <c r="G6" s="94">
        <v>45</v>
      </c>
      <c r="H6" s="131">
        <v>38</v>
      </c>
      <c r="I6" s="3"/>
    </row>
    <row r="7" spans="1:63" s="93" customFormat="1" ht="9" customHeight="1" x14ac:dyDescent="0.3">
      <c r="A7" s="91"/>
      <c r="B7" s="70">
        <v>3</v>
      </c>
      <c r="C7" s="70">
        <v>8</v>
      </c>
      <c r="D7" s="70">
        <v>19</v>
      </c>
      <c r="E7" s="70">
        <v>27</v>
      </c>
      <c r="F7" s="70">
        <v>30</v>
      </c>
      <c r="G7" s="94">
        <v>41</v>
      </c>
      <c r="H7" s="131">
        <v>12</v>
      </c>
      <c r="I7" s="3"/>
    </row>
    <row r="8" spans="1:63" s="93" customFormat="1" ht="9" customHeight="1" x14ac:dyDescent="0.3">
      <c r="A8" s="91"/>
      <c r="B8" s="71">
        <v>2</v>
      </c>
      <c r="C8" s="71">
        <v>10</v>
      </c>
      <c r="D8" s="71">
        <v>12</v>
      </c>
      <c r="E8" s="71">
        <v>31</v>
      </c>
      <c r="F8" s="71">
        <v>33</v>
      </c>
      <c r="G8" s="92">
        <v>42</v>
      </c>
      <c r="H8" s="134">
        <v>32</v>
      </c>
      <c r="I8" s="3"/>
    </row>
    <row r="9" spans="1:63" s="93" customFormat="1" ht="9" customHeight="1" x14ac:dyDescent="0.3">
      <c r="A9" s="91"/>
      <c r="B9" s="71">
        <v>2</v>
      </c>
      <c r="C9" s="71">
        <v>7</v>
      </c>
      <c r="D9" s="71">
        <v>19</v>
      </c>
      <c r="E9" s="71">
        <v>25</v>
      </c>
      <c r="F9" s="71">
        <v>29</v>
      </c>
      <c r="G9" s="92">
        <v>36</v>
      </c>
      <c r="H9" s="134">
        <v>16</v>
      </c>
      <c r="I9" s="3"/>
    </row>
    <row r="10" spans="1:63" s="93" customFormat="1" ht="9" customHeight="1" x14ac:dyDescent="0.3">
      <c r="A10" s="91"/>
      <c r="B10" s="70">
        <v>10</v>
      </c>
      <c r="C10" s="70">
        <v>15</v>
      </c>
      <c r="D10" s="70">
        <v>21</v>
      </c>
      <c r="E10" s="70">
        <v>35</v>
      </c>
      <c r="F10" s="70">
        <v>38</v>
      </c>
      <c r="G10" s="94">
        <v>43</v>
      </c>
      <c r="H10" s="131">
        <v>31</v>
      </c>
      <c r="I10" s="3"/>
    </row>
    <row r="11" spans="1:63" s="93" customFormat="1" ht="9" customHeight="1" x14ac:dyDescent="0.3">
      <c r="A11" s="91"/>
      <c r="B11" s="70">
        <v>6</v>
      </c>
      <c r="C11" s="70">
        <v>7</v>
      </c>
      <c r="D11" s="70">
        <v>18</v>
      </c>
      <c r="E11" s="70">
        <v>19</v>
      </c>
      <c r="F11" s="70">
        <v>30</v>
      </c>
      <c r="G11" s="94">
        <v>38</v>
      </c>
      <c r="H11" s="131">
        <v>13</v>
      </c>
      <c r="I11" s="3"/>
    </row>
    <row r="12" spans="1:63" s="93" customFormat="1" ht="9" customHeight="1" x14ac:dyDescent="0.3">
      <c r="A12" s="91"/>
      <c r="B12" s="71">
        <v>3</v>
      </c>
      <c r="C12" s="71">
        <v>10</v>
      </c>
      <c r="D12" s="71">
        <v>13</v>
      </c>
      <c r="E12" s="71">
        <v>26</v>
      </c>
      <c r="F12" s="71">
        <v>34</v>
      </c>
      <c r="G12" s="92">
        <v>38</v>
      </c>
      <c r="H12" s="134">
        <v>36</v>
      </c>
      <c r="I12" s="3"/>
    </row>
    <row r="13" spans="1:63" s="93" customFormat="1" ht="9" customHeight="1" x14ac:dyDescent="0.3">
      <c r="A13" s="91"/>
      <c r="B13" s="70">
        <v>1</v>
      </c>
      <c r="C13" s="70">
        <v>21</v>
      </c>
      <c r="D13" s="70">
        <v>26</v>
      </c>
      <c r="E13" s="70">
        <v>36</v>
      </c>
      <c r="F13" s="70">
        <v>40</v>
      </c>
      <c r="G13" s="94">
        <v>41</v>
      </c>
      <c r="H13" s="131">
        <v>5</v>
      </c>
      <c r="I13" s="3"/>
    </row>
    <row r="14" spans="1:63" s="93" customFormat="1" ht="9" customHeight="1" x14ac:dyDescent="0.3">
      <c r="A14" s="91"/>
      <c r="B14" s="70">
        <v>5</v>
      </c>
      <c r="C14" s="70">
        <v>22</v>
      </c>
      <c r="D14" s="70">
        <v>31</v>
      </c>
      <c r="E14" s="70">
        <v>32</v>
      </c>
      <c r="F14" s="70">
        <v>39</v>
      </c>
      <c r="G14" s="94">
        <v>45</v>
      </c>
      <c r="H14" s="131">
        <v>36</v>
      </c>
      <c r="I14" s="3"/>
    </row>
    <row r="15" spans="1:63" s="93" customFormat="1" ht="9" customHeight="1" x14ac:dyDescent="0.3">
      <c r="A15" s="91"/>
      <c r="B15" s="71">
        <v>2</v>
      </c>
      <c r="C15" s="71">
        <v>10</v>
      </c>
      <c r="D15" s="71">
        <v>14</v>
      </c>
      <c r="E15" s="71">
        <v>22</v>
      </c>
      <c r="F15" s="71">
        <v>32</v>
      </c>
      <c r="G15" s="92">
        <v>36</v>
      </c>
      <c r="H15" s="134">
        <v>41</v>
      </c>
      <c r="I15" s="3"/>
    </row>
    <row r="16" spans="1:63" s="93" customFormat="1" ht="9" customHeight="1" x14ac:dyDescent="0.3">
      <c r="A16" s="91"/>
      <c r="B16" s="71">
        <v>12</v>
      </c>
      <c r="C16" s="71">
        <v>17</v>
      </c>
      <c r="D16" s="71">
        <v>23</v>
      </c>
      <c r="E16" s="71">
        <v>34</v>
      </c>
      <c r="F16" s="71">
        <v>42</v>
      </c>
      <c r="G16" s="92">
        <v>45</v>
      </c>
      <c r="H16" s="134">
        <v>33</v>
      </c>
      <c r="I16" s="3"/>
    </row>
    <row r="17" spans="1:9" s="93" customFormat="1" ht="9" customHeight="1" x14ac:dyDescent="0.3">
      <c r="A17" s="91"/>
      <c r="B17" s="70">
        <v>1</v>
      </c>
      <c r="C17" s="70">
        <v>4</v>
      </c>
      <c r="D17" s="70">
        <v>10</v>
      </c>
      <c r="E17" s="70">
        <v>12</v>
      </c>
      <c r="F17" s="70">
        <v>28</v>
      </c>
      <c r="G17" s="94">
        <v>45</v>
      </c>
      <c r="H17" s="131">
        <v>26</v>
      </c>
      <c r="I17" s="3"/>
    </row>
    <row r="18" spans="1:9" s="93" customFormat="1" ht="9" customHeight="1" x14ac:dyDescent="0.3">
      <c r="A18" s="91"/>
      <c r="B18" s="70">
        <v>17</v>
      </c>
      <c r="C18" s="70">
        <v>25</v>
      </c>
      <c r="D18" s="70">
        <v>28</v>
      </c>
      <c r="E18" s="70">
        <v>37</v>
      </c>
      <c r="F18" s="70">
        <v>43</v>
      </c>
      <c r="G18" s="94">
        <v>44</v>
      </c>
      <c r="H18" s="131">
        <v>2</v>
      </c>
      <c r="I18" s="3"/>
    </row>
    <row r="19" spans="1:9" s="93" customFormat="1" ht="9" customHeight="1" x14ac:dyDescent="0.3">
      <c r="A19" s="91"/>
      <c r="B19" s="70">
        <v>10</v>
      </c>
      <c r="C19" s="70">
        <v>11</v>
      </c>
      <c r="D19" s="70">
        <v>12</v>
      </c>
      <c r="E19" s="70">
        <v>18</v>
      </c>
      <c r="F19" s="70">
        <v>24</v>
      </c>
      <c r="G19" s="94">
        <v>42</v>
      </c>
      <c r="H19" s="131">
        <v>27</v>
      </c>
      <c r="I19" s="3"/>
    </row>
    <row r="20" spans="1:9" s="93" customFormat="1" ht="9" customHeight="1" x14ac:dyDescent="0.3">
      <c r="A20" s="91"/>
      <c r="B20" s="71">
        <v>5</v>
      </c>
      <c r="C20" s="71">
        <v>9</v>
      </c>
      <c r="D20" s="71">
        <v>14</v>
      </c>
      <c r="E20" s="71">
        <v>26</v>
      </c>
      <c r="F20" s="71">
        <v>30</v>
      </c>
      <c r="G20" s="92">
        <v>43</v>
      </c>
      <c r="H20" s="134">
        <v>2</v>
      </c>
      <c r="I20" s="3"/>
    </row>
    <row r="21" spans="1:9" s="93" customFormat="1" ht="9" customHeight="1" x14ac:dyDescent="0.3">
      <c r="A21" s="91"/>
      <c r="B21" s="71">
        <v>1</v>
      </c>
      <c r="C21" s="71">
        <v>10</v>
      </c>
      <c r="D21" s="71">
        <v>13</v>
      </c>
      <c r="E21" s="71">
        <v>26</v>
      </c>
      <c r="F21" s="71">
        <v>32</v>
      </c>
      <c r="G21" s="92">
        <v>36</v>
      </c>
      <c r="H21" s="134">
        <v>9</v>
      </c>
      <c r="I21" s="3"/>
    </row>
    <row r="22" spans="1:9" s="93" customFormat="1" ht="9" customHeight="1" x14ac:dyDescent="0.3">
      <c r="A22" s="91"/>
      <c r="B22" s="71">
        <v>3</v>
      </c>
      <c r="C22" s="71">
        <v>12</v>
      </c>
      <c r="D22" s="71">
        <v>13</v>
      </c>
      <c r="E22" s="71">
        <v>18</v>
      </c>
      <c r="F22" s="71">
        <v>31</v>
      </c>
      <c r="G22" s="92">
        <v>32</v>
      </c>
      <c r="H22" s="134">
        <v>42</v>
      </c>
      <c r="I22" s="3"/>
    </row>
    <row r="23" spans="1:9" s="93" customFormat="1" ht="9" customHeight="1" x14ac:dyDescent="0.3">
      <c r="A23" s="91"/>
      <c r="B23" s="71">
        <v>14</v>
      </c>
      <c r="C23" s="71">
        <v>20</v>
      </c>
      <c r="D23" s="71">
        <v>23</v>
      </c>
      <c r="E23" s="71">
        <v>31</v>
      </c>
      <c r="F23" s="71">
        <v>37</v>
      </c>
      <c r="G23" s="92">
        <v>38</v>
      </c>
      <c r="H23" s="134">
        <v>27</v>
      </c>
      <c r="I23" s="3"/>
    </row>
    <row r="24" spans="1:9" s="93" customFormat="1" ht="9" customHeight="1" x14ac:dyDescent="0.3">
      <c r="A24" s="91"/>
      <c r="B24" s="71">
        <v>6</v>
      </c>
      <c r="C24" s="71">
        <v>10</v>
      </c>
      <c r="D24" s="71">
        <v>18</v>
      </c>
      <c r="E24" s="71">
        <v>25</v>
      </c>
      <c r="F24" s="71">
        <v>34</v>
      </c>
      <c r="G24" s="92">
        <v>35</v>
      </c>
      <c r="H24" s="134">
        <v>33</v>
      </c>
      <c r="I24" s="3"/>
    </row>
    <row r="25" spans="1:9" s="93" customFormat="1" ht="9" customHeight="1" x14ac:dyDescent="0.3">
      <c r="A25" s="91"/>
      <c r="B25" s="71">
        <v>15</v>
      </c>
      <c r="C25" s="71">
        <v>21</v>
      </c>
      <c r="D25" s="71">
        <v>31</v>
      </c>
      <c r="E25" s="71">
        <v>32</v>
      </c>
      <c r="F25" s="71">
        <v>41</v>
      </c>
      <c r="G25" s="92">
        <v>43</v>
      </c>
      <c r="H25" s="134">
        <v>24</v>
      </c>
      <c r="I25" s="3"/>
    </row>
    <row r="26" spans="1:9" s="93" customFormat="1" ht="9" customHeight="1" x14ac:dyDescent="0.3">
      <c r="A26" s="91"/>
      <c r="B26" s="71">
        <v>6</v>
      </c>
      <c r="C26" s="71">
        <v>11</v>
      </c>
      <c r="D26" s="71">
        <v>15</v>
      </c>
      <c r="E26" s="71">
        <v>17</v>
      </c>
      <c r="F26" s="71">
        <v>23</v>
      </c>
      <c r="G26" s="92">
        <v>40</v>
      </c>
      <c r="H26" s="134">
        <v>39</v>
      </c>
      <c r="I26" s="3"/>
    </row>
    <row r="27" spans="1:9" s="93" customFormat="1" ht="9" customHeight="1" x14ac:dyDescent="0.3">
      <c r="A27" s="91"/>
      <c r="B27" s="70">
        <v>5</v>
      </c>
      <c r="C27" s="70">
        <v>10</v>
      </c>
      <c r="D27" s="70">
        <v>13</v>
      </c>
      <c r="E27" s="70">
        <v>21</v>
      </c>
      <c r="F27" s="70">
        <v>39</v>
      </c>
      <c r="G27" s="94">
        <v>43</v>
      </c>
      <c r="H27" s="131">
        <v>11</v>
      </c>
      <c r="I27" s="3"/>
    </row>
    <row r="28" spans="1:9" s="93" customFormat="1" ht="9" customHeight="1" x14ac:dyDescent="0.3">
      <c r="A28" s="91"/>
      <c r="B28" s="71">
        <v>8</v>
      </c>
      <c r="C28" s="71">
        <v>11</v>
      </c>
      <c r="D28" s="71">
        <v>19</v>
      </c>
      <c r="E28" s="71">
        <v>21</v>
      </c>
      <c r="F28" s="71">
        <v>36</v>
      </c>
      <c r="G28" s="92">
        <v>45</v>
      </c>
      <c r="H28" s="134">
        <v>25</v>
      </c>
      <c r="I28" s="3"/>
    </row>
    <row r="29" spans="1:9" s="93" customFormat="1" ht="9" customHeight="1" x14ac:dyDescent="0.3">
      <c r="A29" s="91"/>
      <c r="B29" s="71">
        <v>1</v>
      </c>
      <c r="C29" s="71">
        <v>3</v>
      </c>
      <c r="D29" s="71">
        <v>12</v>
      </c>
      <c r="E29" s="71">
        <v>14</v>
      </c>
      <c r="F29" s="71">
        <v>16</v>
      </c>
      <c r="G29" s="92">
        <v>43</v>
      </c>
      <c r="H29" s="134">
        <v>10</v>
      </c>
      <c r="I29" s="3"/>
    </row>
    <row r="30" spans="1:9" s="93" customFormat="1" ht="9" customHeight="1" x14ac:dyDescent="0.3">
      <c r="A30" s="91"/>
      <c r="B30" s="70">
        <v>11</v>
      </c>
      <c r="C30" s="70">
        <v>30</v>
      </c>
      <c r="D30" s="70">
        <v>34</v>
      </c>
      <c r="E30" s="70">
        <v>35</v>
      </c>
      <c r="F30" s="70">
        <v>42</v>
      </c>
      <c r="G30" s="94">
        <v>44</v>
      </c>
      <c r="H30" s="131">
        <v>27</v>
      </c>
      <c r="I30" s="3"/>
    </row>
    <row r="31" spans="1:9" s="93" customFormat="1" ht="9" customHeight="1" x14ac:dyDescent="0.3">
      <c r="A31" s="91"/>
      <c r="B31" s="70">
        <v>2</v>
      </c>
      <c r="C31" s="70">
        <v>21</v>
      </c>
      <c r="D31" s="70">
        <v>28</v>
      </c>
      <c r="E31" s="70">
        <v>38</v>
      </c>
      <c r="F31" s="70">
        <v>42</v>
      </c>
      <c r="G31" s="94">
        <v>45</v>
      </c>
      <c r="H31" s="131">
        <v>30</v>
      </c>
      <c r="I31" s="3"/>
    </row>
    <row r="32" spans="1:9" s="93" customFormat="1" ht="9" customHeight="1" x14ac:dyDescent="0.3">
      <c r="A32" s="91"/>
      <c r="B32" s="71">
        <v>17</v>
      </c>
      <c r="C32" s="71">
        <v>21</v>
      </c>
      <c r="D32" s="71">
        <v>25</v>
      </c>
      <c r="E32" s="71">
        <v>26</v>
      </c>
      <c r="F32" s="71">
        <v>27</v>
      </c>
      <c r="G32" s="92">
        <v>36</v>
      </c>
      <c r="H32" s="134">
        <v>4</v>
      </c>
      <c r="I32" s="3"/>
    </row>
    <row r="33" spans="1:9" s="93" customFormat="1" ht="9" customHeight="1" x14ac:dyDescent="0.3">
      <c r="A33" s="91"/>
      <c r="B33" s="71">
        <v>12</v>
      </c>
      <c r="C33" s="71">
        <v>18</v>
      </c>
      <c r="D33" s="71">
        <v>19</v>
      </c>
      <c r="E33" s="71">
        <v>29</v>
      </c>
      <c r="F33" s="71">
        <v>31</v>
      </c>
      <c r="G33" s="92">
        <v>39</v>
      </c>
      <c r="H33" s="134">
        <v>7</v>
      </c>
      <c r="I33" s="3"/>
    </row>
    <row r="34" spans="1:9" s="93" customFormat="1" ht="9" customHeight="1" x14ac:dyDescent="0.3">
      <c r="A34" s="91"/>
      <c r="B34" s="70">
        <v>3</v>
      </c>
      <c r="C34" s="70">
        <v>9</v>
      </c>
      <c r="D34" s="70">
        <v>12</v>
      </c>
      <c r="E34" s="70">
        <v>13</v>
      </c>
      <c r="F34" s="70">
        <v>25</v>
      </c>
      <c r="G34" s="94">
        <v>43</v>
      </c>
      <c r="H34" s="131">
        <v>34</v>
      </c>
      <c r="I34" s="3"/>
    </row>
    <row r="35" spans="1:9" s="93" customFormat="1" ht="9" customHeight="1" x14ac:dyDescent="0.3">
      <c r="A35" s="91"/>
      <c r="B35" s="71">
        <v>14</v>
      </c>
      <c r="C35" s="71">
        <v>15</v>
      </c>
      <c r="D35" s="71">
        <v>25</v>
      </c>
      <c r="E35" s="71">
        <v>28</v>
      </c>
      <c r="F35" s="71">
        <v>29</v>
      </c>
      <c r="G35" s="92">
        <v>30</v>
      </c>
      <c r="H35" s="134">
        <v>3</v>
      </c>
      <c r="I35" s="3"/>
    </row>
    <row r="36" spans="1:9" s="93" customFormat="1" ht="9" customHeight="1" x14ac:dyDescent="0.3">
      <c r="A36" s="91"/>
      <c r="B36" s="70">
        <v>16</v>
      </c>
      <c r="C36" s="70">
        <v>25</v>
      </c>
      <c r="D36" s="70">
        <v>33</v>
      </c>
      <c r="E36" s="70">
        <v>38</v>
      </c>
      <c r="F36" s="70">
        <v>40</v>
      </c>
      <c r="G36" s="94">
        <v>45</v>
      </c>
      <c r="H36" s="131">
        <v>15</v>
      </c>
      <c r="I36" s="3"/>
    </row>
    <row r="37" spans="1:9" s="93" customFormat="1" ht="9" customHeight="1" x14ac:dyDescent="0.3">
      <c r="A37" s="91"/>
      <c r="B37" s="71">
        <v>10</v>
      </c>
      <c r="C37" s="71">
        <v>21</v>
      </c>
      <c r="D37" s="71">
        <v>22</v>
      </c>
      <c r="E37" s="71">
        <v>30</v>
      </c>
      <c r="F37" s="71">
        <v>35</v>
      </c>
      <c r="G37" s="92">
        <v>42</v>
      </c>
      <c r="H37" s="134">
        <v>6</v>
      </c>
      <c r="I37" s="3"/>
    </row>
    <row r="38" spans="1:9" s="93" customFormat="1" ht="9" customHeight="1" x14ac:dyDescent="0.3">
      <c r="A38" s="91"/>
      <c r="B38" s="71">
        <v>1</v>
      </c>
      <c r="C38" s="71">
        <v>12</v>
      </c>
      <c r="D38" s="71">
        <v>13</v>
      </c>
      <c r="E38" s="71">
        <v>24</v>
      </c>
      <c r="F38" s="71">
        <v>29</v>
      </c>
      <c r="G38" s="92">
        <v>44</v>
      </c>
      <c r="H38" s="134">
        <v>16</v>
      </c>
      <c r="I38" s="3"/>
    </row>
    <row r="39" spans="1:9" s="93" customFormat="1" ht="9" customHeight="1" x14ac:dyDescent="0.3">
      <c r="A39" s="91"/>
      <c r="B39" s="70">
        <v>9</v>
      </c>
      <c r="C39" s="70">
        <v>18</v>
      </c>
      <c r="D39" s="70">
        <v>20</v>
      </c>
      <c r="E39" s="70">
        <v>24</v>
      </c>
      <c r="F39" s="70">
        <v>27</v>
      </c>
      <c r="G39" s="94">
        <v>36</v>
      </c>
      <c r="H39" s="131">
        <v>12</v>
      </c>
      <c r="I39" s="3"/>
    </row>
    <row r="40" spans="1:9" s="93" customFormat="1" ht="9" customHeight="1" x14ac:dyDescent="0.3">
      <c r="A40" s="91"/>
      <c r="B40" s="70">
        <v>12</v>
      </c>
      <c r="C40" s="70">
        <v>18</v>
      </c>
      <c r="D40" s="70">
        <v>24</v>
      </c>
      <c r="E40" s="70">
        <v>26</v>
      </c>
      <c r="F40" s="70">
        <v>39</v>
      </c>
      <c r="G40" s="94">
        <v>40</v>
      </c>
      <c r="H40" s="131">
        <v>15</v>
      </c>
      <c r="I40" s="3"/>
    </row>
    <row r="41" spans="1:9" s="93" customFormat="1" ht="9" customHeight="1" x14ac:dyDescent="0.3">
      <c r="A41" s="91"/>
      <c r="B41" s="71">
        <v>7</v>
      </c>
      <c r="C41" s="71">
        <v>9</v>
      </c>
      <c r="D41" s="71">
        <v>24</v>
      </c>
      <c r="E41" s="71">
        <v>29</v>
      </c>
      <c r="F41" s="71">
        <v>34</v>
      </c>
      <c r="G41" s="92">
        <v>38</v>
      </c>
      <c r="H41" s="134">
        <v>26</v>
      </c>
      <c r="I41" s="3"/>
    </row>
    <row r="42" spans="1:9" s="93" customFormat="1" ht="9" customHeight="1" x14ac:dyDescent="0.3">
      <c r="A42" s="91"/>
      <c r="B42" s="71">
        <v>8</v>
      </c>
      <c r="C42" s="71">
        <v>15</v>
      </c>
      <c r="D42" s="71">
        <v>21</v>
      </c>
      <c r="E42" s="71">
        <v>31</v>
      </c>
      <c r="F42" s="71">
        <v>33</v>
      </c>
      <c r="G42" s="92">
        <v>38</v>
      </c>
      <c r="H42" s="134">
        <v>42</v>
      </c>
      <c r="I42" s="3"/>
    </row>
    <row r="43" spans="1:9" s="93" customFormat="1" ht="9" customHeight="1" x14ac:dyDescent="0.3">
      <c r="A43" s="91"/>
      <c r="B43" s="70">
        <v>13</v>
      </c>
      <c r="C43" s="70">
        <v>16</v>
      </c>
      <c r="D43" s="70">
        <v>24</v>
      </c>
      <c r="E43" s="70">
        <v>25</v>
      </c>
      <c r="F43" s="70">
        <v>33</v>
      </c>
      <c r="G43" s="94">
        <v>36</v>
      </c>
      <c r="H43" s="131">
        <v>42</v>
      </c>
      <c r="I43" s="3"/>
    </row>
    <row r="44" spans="1:9" s="93" customFormat="1" ht="9" customHeight="1" x14ac:dyDescent="0.3">
      <c r="A44" s="91"/>
      <c r="B44" s="70">
        <v>5</v>
      </c>
      <c r="C44" s="70">
        <v>11</v>
      </c>
      <c r="D44" s="70">
        <v>12</v>
      </c>
      <c r="E44" s="70">
        <v>29</v>
      </c>
      <c r="F44" s="70">
        <v>33</v>
      </c>
      <c r="G44" s="94">
        <v>44</v>
      </c>
      <c r="H44" s="131">
        <v>14</v>
      </c>
      <c r="I44" s="3"/>
    </row>
    <row r="45" spans="1:9" s="93" customFormat="1" ht="9" customHeight="1" x14ac:dyDescent="0.3">
      <c r="A45" s="91"/>
      <c r="B45" s="70">
        <v>4</v>
      </c>
      <c r="C45" s="70">
        <v>7</v>
      </c>
      <c r="D45" s="70">
        <v>13</v>
      </c>
      <c r="E45" s="70">
        <v>29</v>
      </c>
      <c r="F45" s="70">
        <v>31</v>
      </c>
      <c r="G45" s="94">
        <v>39</v>
      </c>
      <c r="H45" s="131">
        <v>18</v>
      </c>
      <c r="I45" s="3"/>
    </row>
    <row r="46" spans="1:9" s="93" customFormat="1" ht="9" customHeight="1" x14ac:dyDescent="0.3">
      <c r="A46" s="91"/>
      <c r="B46" s="70">
        <v>4</v>
      </c>
      <c r="C46" s="70">
        <v>5</v>
      </c>
      <c r="D46" s="70">
        <v>31</v>
      </c>
      <c r="E46" s="70">
        <v>35</v>
      </c>
      <c r="F46" s="70">
        <v>43</v>
      </c>
      <c r="G46" s="94">
        <v>45</v>
      </c>
      <c r="H46" s="131">
        <v>29</v>
      </c>
      <c r="I46" s="3"/>
    </row>
    <row r="47" spans="1:9" s="93" customFormat="1" ht="9" customHeight="1" x14ac:dyDescent="0.3">
      <c r="A47" s="91"/>
      <c r="B47" s="70">
        <v>5</v>
      </c>
      <c r="C47" s="70">
        <v>6</v>
      </c>
      <c r="D47" s="70">
        <v>16</v>
      </c>
      <c r="E47" s="70">
        <v>18</v>
      </c>
      <c r="F47" s="70">
        <v>37</v>
      </c>
      <c r="G47" s="94">
        <v>38</v>
      </c>
      <c r="H47" s="131">
        <v>17</v>
      </c>
      <c r="I47" s="3"/>
    </row>
    <row r="48" spans="1:9" s="93" customFormat="1" ht="9" customHeight="1" x14ac:dyDescent="0.3">
      <c r="A48" s="91"/>
      <c r="B48" s="71">
        <v>3</v>
      </c>
      <c r="C48" s="71">
        <v>10</v>
      </c>
      <c r="D48" s="71">
        <v>16</v>
      </c>
      <c r="E48" s="71">
        <v>19</v>
      </c>
      <c r="F48" s="71">
        <v>31</v>
      </c>
      <c r="G48" s="92">
        <v>39</v>
      </c>
      <c r="H48" s="134">
        <v>9</v>
      </c>
      <c r="I48" s="3"/>
    </row>
    <row r="49" spans="1:9" s="93" customFormat="1" ht="9" customHeight="1" x14ac:dyDescent="0.3">
      <c r="A49" s="91"/>
      <c r="B49" s="70">
        <v>13</v>
      </c>
      <c r="C49" s="70">
        <v>14</v>
      </c>
      <c r="D49" s="70">
        <v>19</v>
      </c>
      <c r="E49" s="70">
        <v>26</v>
      </c>
      <c r="F49" s="70">
        <v>40</v>
      </c>
      <c r="G49" s="94">
        <v>43</v>
      </c>
      <c r="H49" s="131">
        <v>30</v>
      </c>
      <c r="I49" s="3"/>
    </row>
    <row r="50" spans="1:9" s="93" customFormat="1" ht="9" customHeight="1" x14ac:dyDescent="0.3">
      <c r="A50" s="91"/>
      <c r="B50" s="71">
        <v>12</v>
      </c>
      <c r="C50" s="71">
        <v>18</v>
      </c>
      <c r="D50" s="71">
        <v>30</v>
      </c>
      <c r="E50" s="71">
        <v>39</v>
      </c>
      <c r="F50" s="71">
        <v>41</v>
      </c>
      <c r="G50" s="92">
        <v>42</v>
      </c>
      <c r="H50" s="134">
        <v>19</v>
      </c>
      <c r="I50" s="3"/>
    </row>
    <row r="51" spans="1:9" s="93" customFormat="1" ht="9" customHeight="1" x14ac:dyDescent="0.3">
      <c r="A51" s="91"/>
      <c r="B51" s="70">
        <v>6</v>
      </c>
      <c r="C51" s="70">
        <v>8</v>
      </c>
      <c r="D51" s="70">
        <v>18</v>
      </c>
      <c r="E51" s="70">
        <v>35</v>
      </c>
      <c r="F51" s="70">
        <v>42</v>
      </c>
      <c r="G51" s="70">
        <v>43</v>
      </c>
      <c r="H51" s="131">
        <v>3</v>
      </c>
      <c r="I51" s="3"/>
    </row>
    <row r="52" spans="1:9" s="93" customFormat="1" ht="9" customHeight="1" x14ac:dyDescent="0.3">
      <c r="A52" s="91"/>
      <c r="B52" s="71">
        <v>9</v>
      </c>
      <c r="C52" s="71">
        <v>10</v>
      </c>
      <c r="D52" s="71">
        <v>13</v>
      </c>
      <c r="E52" s="71">
        <v>28</v>
      </c>
      <c r="F52" s="71">
        <v>38</v>
      </c>
      <c r="G52" s="71">
        <v>45</v>
      </c>
      <c r="H52" s="134">
        <v>35</v>
      </c>
      <c r="I52" s="3"/>
    </row>
    <row r="53" spans="1:9" s="93" customFormat="1" ht="9" customHeight="1" x14ac:dyDescent="0.3">
      <c r="A53" s="91"/>
      <c r="B53" s="70">
        <v>1</v>
      </c>
      <c r="C53" s="70">
        <v>9</v>
      </c>
      <c r="D53" s="70">
        <v>11</v>
      </c>
      <c r="E53" s="70">
        <v>14</v>
      </c>
      <c r="F53" s="70">
        <v>26</v>
      </c>
      <c r="G53" s="70">
        <v>28</v>
      </c>
      <c r="H53" s="131">
        <v>19</v>
      </c>
      <c r="I53" s="3"/>
    </row>
    <row r="54" spans="1:9" s="93" customFormat="1" ht="9" customHeight="1" x14ac:dyDescent="0.3">
      <c r="A54" s="91"/>
      <c r="B54" s="70">
        <v>2</v>
      </c>
      <c r="C54" s="70">
        <v>25</v>
      </c>
      <c r="D54" s="70">
        <v>28</v>
      </c>
      <c r="E54" s="70">
        <v>30</v>
      </c>
      <c r="F54" s="70">
        <v>33</v>
      </c>
      <c r="G54" s="70">
        <v>45</v>
      </c>
      <c r="H54" s="131">
        <v>6</v>
      </c>
      <c r="I54" s="3"/>
    </row>
    <row r="55" spans="1:9" s="93" customFormat="1" ht="9" customHeight="1" x14ac:dyDescent="0.3">
      <c r="A55" s="91"/>
      <c r="B55" s="70">
        <v>9</v>
      </c>
      <c r="C55" s="70">
        <v>14</v>
      </c>
      <c r="D55" s="70">
        <v>17</v>
      </c>
      <c r="E55" s="70">
        <v>33</v>
      </c>
      <c r="F55" s="70">
        <v>36</v>
      </c>
      <c r="G55" s="70">
        <v>38</v>
      </c>
      <c r="H55" s="131">
        <v>20</v>
      </c>
      <c r="I55" s="3"/>
    </row>
    <row r="56" spans="1:9" s="93" customFormat="1" ht="9" customHeight="1" x14ac:dyDescent="0.3">
      <c r="A56" s="91"/>
      <c r="B56" s="70">
        <v>3</v>
      </c>
      <c r="C56" s="70">
        <v>9</v>
      </c>
      <c r="D56" s="70">
        <v>11</v>
      </c>
      <c r="E56" s="70">
        <v>12</v>
      </c>
      <c r="F56" s="70">
        <v>13</v>
      </c>
      <c r="G56" s="70">
        <v>19</v>
      </c>
      <c r="H56" s="131">
        <v>35</v>
      </c>
      <c r="I56" s="3"/>
    </row>
    <row r="57" spans="1:9" s="93" customFormat="1" ht="9" customHeight="1" x14ac:dyDescent="0.3">
      <c r="A57" s="91"/>
      <c r="B57" s="71">
        <v>2</v>
      </c>
      <c r="C57" s="71">
        <v>4</v>
      </c>
      <c r="D57" s="71">
        <v>11</v>
      </c>
      <c r="E57" s="71">
        <v>28</v>
      </c>
      <c r="F57" s="71">
        <v>29</v>
      </c>
      <c r="G57" s="71">
        <v>43</v>
      </c>
      <c r="H57" s="134">
        <v>27</v>
      </c>
      <c r="I57" s="3"/>
    </row>
    <row r="58" spans="1:9" s="93" customFormat="1" ht="9" customHeight="1" x14ac:dyDescent="0.3">
      <c r="A58" s="91"/>
      <c r="B58" s="71">
        <v>5</v>
      </c>
      <c r="C58" s="71">
        <v>11</v>
      </c>
      <c r="D58" s="71">
        <v>14</v>
      </c>
      <c r="E58" s="71">
        <v>30</v>
      </c>
      <c r="F58" s="71">
        <v>33</v>
      </c>
      <c r="G58" s="71">
        <v>38</v>
      </c>
      <c r="H58" s="134">
        <v>24</v>
      </c>
      <c r="I58" s="3"/>
    </row>
    <row r="59" spans="1:9" s="93" customFormat="1" ht="9" customHeight="1" x14ac:dyDescent="0.3">
      <c r="A59" s="91"/>
      <c r="B59" s="70">
        <v>14</v>
      </c>
      <c r="C59" s="70">
        <v>26</v>
      </c>
      <c r="D59" s="70">
        <v>32</v>
      </c>
      <c r="E59" s="70">
        <v>36</v>
      </c>
      <c r="F59" s="70">
        <v>39</v>
      </c>
      <c r="G59" s="70">
        <v>42</v>
      </c>
      <c r="H59" s="131">
        <v>38</v>
      </c>
      <c r="I59" s="3"/>
    </row>
    <row r="60" spans="1:9" s="93" customFormat="1" ht="9" customHeight="1" x14ac:dyDescent="0.3">
      <c r="A60" s="91"/>
      <c r="B60" s="70">
        <v>19</v>
      </c>
      <c r="C60" s="70">
        <v>21</v>
      </c>
      <c r="D60" s="70">
        <v>30</v>
      </c>
      <c r="E60" s="70">
        <v>33</v>
      </c>
      <c r="F60" s="70">
        <v>34</v>
      </c>
      <c r="G60" s="70">
        <v>42</v>
      </c>
      <c r="H60" s="131">
        <v>4</v>
      </c>
      <c r="I60" s="3"/>
    </row>
    <row r="61" spans="1:9" s="93" customFormat="1" ht="9" customHeight="1" x14ac:dyDescent="0.3">
      <c r="A61" s="91"/>
      <c r="B61" s="70">
        <v>7</v>
      </c>
      <c r="C61" s="70">
        <v>8</v>
      </c>
      <c r="D61" s="70">
        <v>13</v>
      </c>
      <c r="E61" s="70">
        <v>15</v>
      </c>
      <c r="F61" s="70">
        <v>33</v>
      </c>
      <c r="G61" s="70">
        <v>45</v>
      </c>
      <c r="H61" s="131">
        <v>18</v>
      </c>
      <c r="I61" s="3"/>
    </row>
    <row r="62" spans="1:9" s="93" customFormat="1" ht="9" customHeight="1" x14ac:dyDescent="0.3">
      <c r="A62" s="91"/>
      <c r="B62" s="70">
        <v>1</v>
      </c>
      <c r="C62" s="70">
        <v>16</v>
      </c>
      <c r="D62" s="70">
        <v>29</v>
      </c>
      <c r="E62" s="70">
        <v>33</v>
      </c>
      <c r="F62" s="70">
        <v>40</v>
      </c>
      <c r="G62" s="70">
        <v>45</v>
      </c>
      <c r="H62" s="131">
        <v>6</v>
      </c>
      <c r="I62" s="3"/>
    </row>
    <row r="63" spans="1:9" s="93" customFormat="1" ht="9" customHeight="1" x14ac:dyDescent="0.3">
      <c r="A63" s="91"/>
      <c r="B63" s="70">
        <v>5</v>
      </c>
      <c r="C63" s="70">
        <v>18</v>
      </c>
      <c r="D63" s="70">
        <v>30</v>
      </c>
      <c r="E63" s="70">
        <v>41</v>
      </c>
      <c r="F63" s="70">
        <v>43</v>
      </c>
      <c r="G63" s="70">
        <v>45</v>
      </c>
      <c r="H63" s="131">
        <v>13</v>
      </c>
      <c r="I63" s="3"/>
    </row>
    <row r="64" spans="1:9" s="93" customFormat="1" ht="9" customHeight="1" x14ac:dyDescent="0.3">
      <c r="A64" s="91"/>
      <c r="B64" s="70">
        <v>12</v>
      </c>
      <c r="C64" s="70">
        <v>16</v>
      </c>
      <c r="D64" s="70">
        <v>26</v>
      </c>
      <c r="E64" s="70">
        <v>28</v>
      </c>
      <c r="F64" s="70">
        <v>30</v>
      </c>
      <c r="G64" s="70">
        <v>42</v>
      </c>
      <c r="H64" s="131">
        <v>22</v>
      </c>
      <c r="I64" s="3"/>
    </row>
    <row r="65" spans="1:9" s="93" customFormat="1" ht="9" customHeight="1" x14ac:dyDescent="0.3">
      <c r="A65" s="91"/>
      <c r="B65" s="70">
        <v>1</v>
      </c>
      <c r="C65" s="70">
        <v>2</v>
      </c>
      <c r="D65" s="70">
        <v>16</v>
      </c>
      <c r="E65" s="70">
        <v>22</v>
      </c>
      <c r="F65" s="70">
        <v>38</v>
      </c>
      <c r="G65" s="70">
        <v>39</v>
      </c>
      <c r="H65" s="131">
        <v>34</v>
      </c>
      <c r="I65" s="3"/>
    </row>
    <row r="66" spans="1:9" s="93" customFormat="1" ht="9" customHeight="1" x14ac:dyDescent="0.3">
      <c r="A66" s="91"/>
      <c r="B66" s="70">
        <v>5</v>
      </c>
      <c r="C66" s="70">
        <v>13</v>
      </c>
      <c r="D66" s="70">
        <v>17</v>
      </c>
      <c r="E66" s="70">
        <v>29</v>
      </c>
      <c r="F66" s="70">
        <v>34</v>
      </c>
      <c r="G66" s="70">
        <v>39</v>
      </c>
      <c r="H66" s="131">
        <v>3</v>
      </c>
      <c r="I66" s="3"/>
    </row>
    <row r="67" spans="1:9" s="93" customFormat="1" ht="9" customHeight="1" x14ac:dyDescent="0.3">
      <c r="A67" s="91"/>
      <c r="B67" s="71">
        <v>16</v>
      </c>
      <c r="C67" s="71">
        <v>20</v>
      </c>
      <c r="D67" s="71">
        <v>24</v>
      </c>
      <c r="E67" s="71">
        <v>28</v>
      </c>
      <c r="F67" s="71">
        <v>36</v>
      </c>
      <c r="G67" s="71">
        <v>39</v>
      </c>
      <c r="H67" s="134">
        <v>5</v>
      </c>
      <c r="I67" s="3"/>
    </row>
    <row r="68" spans="1:9" s="93" customFormat="1" ht="9" customHeight="1" x14ac:dyDescent="0.3">
      <c r="A68" s="91"/>
      <c r="B68" s="70">
        <v>14</v>
      </c>
      <c r="C68" s="70">
        <v>18</v>
      </c>
      <c r="D68" s="70">
        <v>22</v>
      </c>
      <c r="E68" s="70">
        <v>26</v>
      </c>
      <c r="F68" s="70">
        <v>31</v>
      </c>
      <c r="G68" s="70">
        <v>44</v>
      </c>
      <c r="H68" s="131">
        <v>40</v>
      </c>
      <c r="I68" s="3"/>
    </row>
    <row r="69" spans="1:9" s="93" customFormat="1" ht="9" customHeight="1" x14ac:dyDescent="0.3">
      <c r="A69" s="91"/>
      <c r="B69" s="70">
        <v>11</v>
      </c>
      <c r="C69" s="70">
        <v>17</v>
      </c>
      <c r="D69" s="70">
        <v>28</v>
      </c>
      <c r="E69" s="70">
        <v>30</v>
      </c>
      <c r="F69" s="70">
        <v>33</v>
      </c>
      <c r="G69" s="70">
        <v>35</v>
      </c>
      <c r="H69" s="131">
        <v>9</v>
      </c>
      <c r="I69" s="3"/>
    </row>
    <row r="70" spans="1:9" s="93" customFormat="1" ht="9" customHeight="1" x14ac:dyDescent="0.3">
      <c r="A70" s="91"/>
      <c r="B70" s="71">
        <v>2</v>
      </c>
      <c r="C70" s="71">
        <v>8</v>
      </c>
      <c r="D70" s="71">
        <v>23</v>
      </c>
      <c r="E70" s="71">
        <v>26</v>
      </c>
      <c r="F70" s="71">
        <v>27</v>
      </c>
      <c r="G70" s="71">
        <v>44</v>
      </c>
      <c r="H70" s="134">
        <v>13</v>
      </c>
      <c r="I70" s="3"/>
    </row>
    <row r="71" spans="1:9" s="93" customFormat="1" ht="9" customHeight="1" x14ac:dyDescent="0.3">
      <c r="A71" s="91"/>
      <c r="B71" s="71">
        <v>20</v>
      </c>
      <c r="C71" s="71">
        <v>25</v>
      </c>
      <c r="D71" s="71">
        <v>31</v>
      </c>
      <c r="E71" s="71">
        <v>32</v>
      </c>
      <c r="F71" s="71">
        <v>36</v>
      </c>
      <c r="G71" s="71">
        <v>43</v>
      </c>
      <c r="H71" s="134">
        <v>3</v>
      </c>
      <c r="I71" s="3"/>
    </row>
    <row r="72" spans="1:9" s="93" customFormat="1" ht="9" customHeight="1" x14ac:dyDescent="0.3">
      <c r="A72" s="91"/>
      <c r="B72" s="70">
        <v>8</v>
      </c>
      <c r="C72" s="70">
        <v>15</v>
      </c>
      <c r="D72" s="70">
        <v>17</v>
      </c>
      <c r="E72" s="70">
        <v>19</v>
      </c>
      <c r="F72" s="70">
        <v>43</v>
      </c>
      <c r="G72" s="70">
        <v>44</v>
      </c>
      <c r="H72" s="131">
        <v>7</v>
      </c>
      <c r="I72" s="3"/>
    </row>
    <row r="73" spans="1:9" s="93" customFormat="1" ht="9" customHeight="1" x14ac:dyDescent="0.3">
      <c r="A73" s="91"/>
      <c r="B73" s="70">
        <v>10</v>
      </c>
      <c r="C73" s="70">
        <v>24</v>
      </c>
      <c r="D73" s="70">
        <v>40</v>
      </c>
      <c r="E73" s="70">
        <v>41</v>
      </c>
      <c r="F73" s="70">
        <v>43</v>
      </c>
      <c r="G73" s="70">
        <v>44</v>
      </c>
      <c r="H73" s="131">
        <v>17</v>
      </c>
      <c r="I73" s="3"/>
    </row>
    <row r="74" spans="1:9" s="93" customFormat="1" ht="9" customHeight="1" x14ac:dyDescent="0.3">
      <c r="A74" s="91"/>
      <c r="B74" s="71">
        <v>6</v>
      </c>
      <c r="C74" s="71">
        <v>10</v>
      </c>
      <c r="D74" s="71">
        <v>16</v>
      </c>
      <c r="E74" s="71">
        <v>28</v>
      </c>
      <c r="F74" s="71">
        <v>34</v>
      </c>
      <c r="G74" s="71">
        <v>38</v>
      </c>
      <c r="H74" s="134">
        <v>43</v>
      </c>
      <c r="I74" s="3"/>
    </row>
    <row r="75" spans="1:9" s="93" customFormat="1" ht="9" customHeight="1" x14ac:dyDescent="0.3">
      <c r="A75" s="91"/>
      <c r="B75" s="70">
        <v>9</v>
      </c>
      <c r="C75" s="70">
        <v>13</v>
      </c>
      <c r="D75" s="70">
        <v>32</v>
      </c>
      <c r="E75" s="70">
        <v>38</v>
      </c>
      <c r="F75" s="70">
        <v>39</v>
      </c>
      <c r="G75" s="70">
        <v>43</v>
      </c>
      <c r="H75" s="131">
        <v>23</v>
      </c>
      <c r="I75" s="3"/>
    </row>
    <row r="76" spans="1:9" s="93" customFormat="1" ht="9" customHeight="1" x14ac:dyDescent="0.3">
      <c r="A76" s="91"/>
      <c r="B76" s="70">
        <v>8</v>
      </c>
      <c r="C76" s="70">
        <v>22</v>
      </c>
      <c r="D76" s="70">
        <v>35</v>
      </c>
      <c r="E76" s="70">
        <v>38</v>
      </c>
      <c r="F76" s="70">
        <v>39</v>
      </c>
      <c r="G76" s="70">
        <v>41</v>
      </c>
      <c r="H76" s="131">
        <v>24</v>
      </c>
      <c r="I76" s="3"/>
    </row>
    <row r="77" spans="1:9" s="93" customFormat="1" ht="9" customHeight="1" x14ac:dyDescent="0.3">
      <c r="A77" s="91"/>
      <c r="B77" s="71">
        <v>4</v>
      </c>
      <c r="C77" s="71">
        <v>8</v>
      </c>
      <c r="D77" s="71">
        <v>18</v>
      </c>
      <c r="E77" s="71">
        <v>25</v>
      </c>
      <c r="F77" s="71">
        <v>27</v>
      </c>
      <c r="G77" s="71">
        <v>32</v>
      </c>
      <c r="H77" s="134">
        <v>42</v>
      </c>
      <c r="I77" s="3"/>
    </row>
    <row r="78" spans="1:9" s="93" customFormat="1" ht="9" customHeight="1" x14ac:dyDescent="0.3">
      <c r="A78" s="91"/>
      <c r="B78" s="70">
        <v>11</v>
      </c>
      <c r="C78" s="70">
        <v>17</v>
      </c>
      <c r="D78" s="70">
        <v>19</v>
      </c>
      <c r="E78" s="70">
        <v>21</v>
      </c>
      <c r="F78" s="70">
        <v>22</v>
      </c>
      <c r="G78" s="70">
        <v>25</v>
      </c>
      <c r="H78" s="131">
        <v>24</v>
      </c>
      <c r="I78" s="3"/>
    </row>
    <row r="79" spans="1:9" s="93" customFormat="1" ht="9" customHeight="1" x14ac:dyDescent="0.3">
      <c r="A79" s="91"/>
      <c r="B79" s="70">
        <v>10</v>
      </c>
      <c r="C79" s="70">
        <v>34</v>
      </c>
      <c r="D79" s="70">
        <v>38</v>
      </c>
      <c r="E79" s="70">
        <v>40</v>
      </c>
      <c r="F79" s="70">
        <v>42</v>
      </c>
      <c r="G79" s="70">
        <v>43</v>
      </c>
      <c r="H79" s="131">
        <v>32</v>
      </c>
      <c r="I79" s="3"/>
    </row>
    <row r="80" spans="1:9" s="93" customFormat="1" ht="9" customHeight="1" x14ac:dyDescent="0.3">
      <c r="A80" s="91"/>
      <c r="B80" s="70">
        <v>16</v>
      </c>
      <c r="C80" s="70">
        <v>21</v>
      </c>
      <c r="D80" s="70">
        <v>28</v>
      </c>
      <c r="E80" s="70">
        <v>35</v>
      </c>
      <c r="F80" s="70">
        <v>39</v>
      </c>
      <c r="G80" s="70">
        <v>43</v>
      </c>
      <c r="H80" s="131">
        <v>12</v>
      </c>
      <c r="I80" s="3"/>
    </row>
    <row r="81" spans="1:9" s="93" customFormat="1" ht="9" customHeight="1" x14ac:dyDescent="0.3">
      <c r="A81" s="91"/>
      <c r="B81" s="70">
        <v>3</v>
      </c>
      <c r="C81" s="70">
        <v>7</v>
      </c>
      <c r="D81" s="70">
        <v>10</v>
      </c>
      <c r="E81" s="70">
        <v>13</v>
      </c>
      <c r="F81" s="70">
        <v>25</v>
      </c>
      <c r="G81" s="70">
        <v>36</v>
      </c>
      <c r="H81" s="131">
        <v>32</v>
      </c>
      <c r="I81" s="3"/>
    </row>
    <row r="82" spans="1:9" s="93" customFormat="1" ht="9" customHeight="1" x14ac:dyDescent="0.3">
      <c r="A82" s="91"/>
      <c r="B82" s="70">
        <v>3</v>
      </c>
      <c r="C82" s="70">
        <v>15</v>
      </c>
      <c r="D82" s="70">
        <v>22</v>
      </c>
      <c r="E82" s="70">
        <v>32</v>
      </c>
      <c r="F82" s="70">
        <v>33</v>
      </c>
      <c r="G82" s="70">
        <v>45</v>
      </c>
      <c r="H82" s="131">
        <v>2</v>
      </c>
      <c r="I82" s="3"/>
    </row>
    <row r="83" spans="1:9" s="93" customFormat="1" ht="9" customHeight="1" x14ac:dyDescent="0.3">
      <c r="A83" s="91"/>
      <c r="B83" s="70">
        <v>9</v>
      </c>
      <c r="C83" s="70">
        <v>15</v>
      </c>
      <c r="D83" s="70">
        <v>29</v>
      </c>
      <c r="E83" s="70">
        <v>34</v>
      </c>
      <c r="F83" s="70">
        <v>37</v>
      </c>
      <c r="G83" s="70">
        <v>39</v>
      </c>
      <c r="H83" s="131">
        <v>12</v>
      </c>
      <c r="I83" s="3"/>
    </row>
    <row r="84" spans="1:9" s="93" customFormat="1" ht="9" customHeight="1" x14ac:dyDescent="0.3">
      <c r="A84" s="91"/>
      <c r="B84" s="70">
        <v>14</v>
      </c>
      <c r="C84" s="70">
        <v>17</v>
      </c>
      <c r="D84" s="70">
        <v>19</v>
      </c>
      <c r="E84" s="70">
        <v>22</v>
      </c>
      <c r="F84" s="70">
        <v>24</v>
      </c>
      <c r="G84" s="70">
        <v>40</v>
      </c>
      <c r="H84" s="131">
        <v>41</v>
      </c>
      <c r="I84" s="3"/>
    </row>
    <row r="85" spans="1:9" s="93" customFormat="1" ht="9" customHeight="1" x14ac:dyDescent="0.3">
      <c r="A85" s="91"/>
      <c r="B85" s="70">
        <v>12</v>
      </c>
      <c r="C85" s="70">
        <v>17</v>
      </c>
      <c r="D85" s="70">
        <v>28</v>
      </c>
      <c r="E85" s="70">
        <v>41</v>
      </c>
      <c r="F85" s="70">
        <v>43</v>
      </c>
      <c r="G85" s="70">
        <v>44</v>
      </c>
      <c r="H85" s="131">
        <v>25</v>
      </c>
      <c r="I85" s="3"/>
    </row>
    <row r="86" spans="1:9" s="93" customFormat="1" ht="9" customHeight="1" x14ac:dyDescent="0.3">
      <c r="A86" s="91"/>
      <c r="B86" s="71">
        <v>2</v>
      </c>
      <c r="C86" s="71">
        <v>6</v>
      </c>
      <c r="D86" s="71">
        <v>20</v>
      </c>
      <c r="E86" s="71">
        <v>27</v>
      </c>
      <c r="F86" s="71">
        <v>37</v>
      </c>
      <c r="G86" s="71">
        <v>39</v>
      </c>
      <c r="H86" s="134">
        <v>4</v>
      </c>
      <c r="I86" s="3"/>
    </row>
    <row r="87" spans="1:9" s="93" customFormat="1" ht="9" customHeight="1" x14ac:dyDescent="0.3">
      <c r="A87" s="91"/>
      <c r="B87" s="70">
        <v>21</v>
      </c>
      <c r="C87" s="70">
        <v>25</v>
      </c>
      <c r="D87" s="70">
        <v>30</v>
      </c>
      <c r="E87" s="70">
        <v>32</v>
      </c>
      <c r="F87" s="70">
        <v>40</v>
      </c>
      <c r="G87" s="70">
        <v>42</v>
      </c>
      <c r="H87" s="131">
        <v>31</v>
      </c>
      <c r="I87" s="3"/>
    </row>
    <row r="88" spans="1:9" s="93" customFormat="1" ht="9" customHeight="1" x14ac:dyDescent="0.3">
      <c r="A88" s="91"/>
      <c r="B88" s="70">
        <v>2</v>
      </c>
      <c r="C88" s="70">
        <v>6</v>
      </c>
      <c r="D88" s="70">
        <v>12</v>
      </c>
      <c r="E88" s="70">
        <v>26</v>
      </c>
      <c r="F88" s="70">
        <v>30</v>
      </c>
      <c r="G88" s="70">
        <v>34</v>
      </c>
      <c r="H88" s="131">
        <v>38</v>
      </c>
      <c r="I88" s="3"/>
    </row>
    <row r="89" spans="1:9" s="93" customFormat="1" ht="9" customHeight="1" x14ac:dyDescent="0.3">
      <c r="A89" s="91"/>
      <c r="B89" s="71">
        <v>2</v>
      </c>
      <c r="C89" s="71">
        <v>4</v>
      </c>
      <c r="D89" s="71">
        <v>30</v>
      </c>
      <c r="E89" s="71">
        <v>32</v>
      </c>
      <c r="F89" s="71">
        <v>33</v>
      </c>
      <c r="G89" s="71">
        <v>43</v>
      </c>
      <c r="H89" s="134">
        <v>29</v>
      </c>
      <c r="I89" s="3"/>
    </row>
    <row r="90" spans="1:9" s="93" customFormat="1" ht="9" customHeight="1" x14ac:dyDescent="0.3">
      <c r="A90" s="91"/>
      <c r="B90" s="70">
        <v>3</v>
      </c>
      <c r="C90" s="70">
        <v>5</v>
      </c>
      <c r="D90" s="70">
        <v>12</v>
      </c>
      <c r="E90" s="70">
        <v>13</v>
      </c>
      <c r="F90" s="70">
        <v>33</v>
      </c>
      <c r="G90" s="70">
        <v>39</v>
      </c>
      <c r="H90" s="131">
        <v>38</v>
      </c>
      <c r="I90" s="3"/>
    </row>
    <row r="91" spans="1:9" s="93" customFormat="1" ht="9" customHeight="1" x14ac:dyDescent="0.3">
      <c r="A91" s="91"/>
      <c r="B91" s="70">
        <v>1</v>
      </c>
      <c r="C91" s="70">
        <v>15</v>
      </c>
      <c r="D91" s="70">
        <v>19</v>
      </c>
      <c r="E91" s="70">
        <v>23</v>
      </c>
      <c r="F91" s="70">
        <v>28</v>
      </c>
      <c r="G91" s="70">
        <v>42</v>
      </c>
      <c r="H91" s="131">
        <v>32</v>
      </c>
      <c r="I91" s="3"/>
    </row>
    <row r="92" spans="1:9" s="93" customFormat="1" ht="9" customHeight="1" x14ac:dyDescent="0.3">
      <c r="A92" s="91"/>
      <c r="B92" s="70">
        <v>19</v>
      </c>
      <c r="C92" s="70">
        <v>22</v>
      </c>
      <c r="D92" s="70">
        <v>30</v>
      </c>
      <c r="E92" s="70">
        <v>34</v>
      </c>
      <c r="F92" s="70">
        <v>39</v>
      </c>
      <c r="G92" s="70">
        <v>44</v>
      </c>
      <c r="H92" s="131">
        <v>36</v>
      </c>
      <c r="I92" s="3"/>
    </row>
    <row r="93" spans="1:9" s="93" customFormat="1" ht="9" customHeight="1" x14ac:dyDescent="0.3">
      <c r="A93" s="91"/>
      <c r="B93" s="70">
        <v>5</v>
      </c>
      <c r="C93" s="70">
        <v>16</v>
      </c>
      <c r="D93" s="70">
        <v>21</v>
      </c>
      <c r="E93" s="70">
        <v>26</v>
      </c>
      <c r="F93" s="70">
        <v>34</v>
      </c>
      <c r="G93" s="70">
        <v>42</v>
      </c>
      <c r="H93" s="131">
        <v>24</v>
      </c>
      <c r="I93" s="3"/>
    </row>
    <row r="94" spans="1:9" s="93" customFormat="1" ht="9" customHeight="1" x14ac:dyDescent="0.3">
      <c r="A94" s="91"/>
      <c r="B94" s="70">
        <v>5</v>
      </c>
      <c r="C94" s="70">
        <v>17</v>
      </c>
      <c r="D94" s="70">
        <v>18</v>
      </c>
      <c r="E94" s="70">
        <v>22</v>
      </c>
      <c r="F94" s="70">
        <v>23</v>
      </c>
      <c r="G94" s="70">
        <v>43</v>
      </c>
      <c r="H94" s="131">
        <v>12</v>
      </c>
      <c r="I94" s="3"/>
    </row>
    <row r="95" spans="1:9" s="93" customFormat="1" ht="9" customHeight="1" x14ac:dyDescent="0.3">
      <c r="A95" s="91"/>
      <c r="B95" s="71">
        <v>2</v>
      </c>
      <c r="C95" s="71">
        <v>6</v>
      </c>
      <c r="D95" s="71">
        <v>11</v>
      </c>
      <c r="E95" s="71">
        <v>16</v>
      </c>
      <c r="F95" s="71">
        <v>25</v>
      </c>
      <c r="G95" s="71">
        <v>31</v>
      </c>
      <c r="H95" s="134">
        <v>3</v>
      </c>
      <c r="I95" s="3"/>
    </row>
    <row r="96" spans="1:9" s="93" customFormat="1" ht="9" customHeight="1" x14ac:dyDescent="0.3">
      <c r="A96" s="91"/>
      <c r="B96" s="70">
        <v>1</v>
      </c>
      <c r="C96" s="70">
        <v>4</v>
      </c>
      <c r="D96" s="70">
        <v>10</v>
      </c>
      <c r="E96" s="70">
        <v>14</v>
      </c>
      <c r="F96" s="70">
        <v>15</v>
      </c>
      <c r="G96" s="70">
        <v>35</v>
      </c>
      <c r="H96" s="131">
        <v>20</v>
      </c>
      <c r="I96" s="3"/>
    </row>
    <row r="97" spans="1:9" s="93" customFormat="1" ht="9" customHeight="1" x14ac:dyDescent="0.3">
      <c r="A97" s="91"/>
      <c r="B97" s="70">
        <v>7</v>
      </c>
      <c r="C97" s="70">
        <v>17</v>
      </c>
      <c r="D97" s="70">
        <v>19</v>
      </c>
      <c r="E97" s="70">
        <v>23</v>
      </c>
      <c r="F97" s="70">
        <v>24</v>
      </c>
      <c r="G97" s="70">
        <v>45</v>
      </c>
      <c r="H97" s="131">
        <v>38</v>
      </c>
      <c r="I97" s="3"/>
    </row>
    <row r="98" spans="1:9" s="93" customFormat="1" ht="9" customHeight="1" x14ac:dyDescent="0.3">
      <c r="A98" s="91"/>
      <c r="B98" s="71">
        <v>4</v>
      </c>
      <c r="C98" s="71">
        <v>18</v>
      </c>
      <c r="D98" s="71">
        <v>20</v>
      </c>
      <c r="E98" s="71">
        <v>26</v>
      </c>
      <c r="F98" s="71">
        <v>27</v>
      </c>
      <c r="G98" s="71">
        <v>32</v>
      </c>
      <c r="H98" s="134">
        <v>9</v>
      </c>
      <c r="I98" s="3"/>
    </row>
    <row r="99" spans="1:9" s="93" customFormat="1" ht="9" customHeight="1" x14ac:dyDescent="0.3">
      <c r="A99" s="91"/>
      <c r="B99" s="71">
        <v>18</v>
      </c>
      <c r="C99" s="71">
        <v>34</v>
      </c>
      <c r="D99" s="71">
        <v>39</v>
      </c>
      <c r="E99" s="71">
        <v>43</v>
      </c>
      <c r="F99" s="71">
        <v>44</v>
      </c>
      <c r="G99" s="71">
        <v>45</v>
      </c>
      <c r="H99" s="134">
        <v>23</v>
      </c>
      <c r="I99" s="3"/>
    </row>
    <row r="100" spans="1:9" s="93" customFormat="1" ht="9" customHeight="1" x14ac:dyDescent="0.3">
      <c r="A100" s="91"/>
      <c r="B100" s="70">
        <v>9</v>
      </c>
      <c r="C100" s="70">
        <v>18</v>
      </c>
      <c r="D100" s="70">
        <v>32</v>
      </c>
      <c r="E100" s="70">
        <v>33</v>
      </c>
      <c r="F100" s="70">
        <v>37</v>
      </c>
      <c r="G100" s="70">
        <v>44</v>
      </c>
      <c r="H100" s="131">
        <v>22</v>
      </c>
      <c r="I100" s="3"/>
    </row>
    <row r="101" spans="1:9" s="93" customFormat="1" ht="9" customHeight="1" x14ac:dyDescent="0.3">
      <c r="A101" s="91"/>
      <c r="B101" s="70">
        <v>4</v>
      </c>
      <c r="C101" s="70">
        <v>14</v>
      </c>
      <c r="D101" s="70">
        <v>23</v>
      </c>
      <c r="E101" s="70">
        <v>28</v>
      </c>
      <c r="F101" s="70">
        <v>37</v>
      </c>
      <c r="G101" s="70">
        <v>45</v>
      </c>
      <c r="H101" s="131">
        <v>17</v>
      </c>
      <c r="I101" s="3"/>
    </row>
    <row r="102" spans="1:9" s="93" customFormat="1" ht="9" customHeight="1" x14ac:dyDescent="0.3">
      <c r="A102" s="91"/>
      <c r="B102" s="71">
        <v>1</v>
      </c>
      <c r="C102" s="71">
        <v>3</v>
      </c>
      <c r="D102" s="71">
        <v>24</v>
      </c>
      <c r="E102" s="71">
        <v>27</v>
      </c>
      <c r="F102" s="71">
        <v>39</v>
      </c>
      <c r="G102" s="71">
        <v>45</v>
      </c>
      <c r="H102" s="134">
        <v>31</v>
      </c>
      <c r="I102" s="3"/>
    </row>
    <row r="103" spans="1:9" s="93" customFormat="1" ht="9" customHeight="1" x14ac:dyDescent="0.3">
      <c r="A103" s="91"/>
      <c r="B103" s="70">
        <v>19</v>
      </c>
      <c r="C103" s="70">
        <v>23</v>
      </c>
      <c r="D103" s="70">
        <v>28</v>
      </c>
      <c r="E103" s="70">
        <v>37</v>
      </c>
      <c r="F103" s="70">
        <v>42</v>
      </c>
      <c r="G103" s="70">
        <v>45</v>
      </c>
      <c r="H103" s="131">
        <v>2</v>
      </c>
      <c r="I103" s="3"/>
    </row>
    <row r="104" spans="1:9" s="93" customFormat="1" ht="9" customHeight="1" x14ac:dyDescent="0.3">
      <c r="A104" s="91"/>
      <c r="B104" s="70">
        <v>8</v>
      </c>
      <c r="C104" s="70">
        <v>14</v>
      </c>
      <c r="D104" s="70">
        <v>17</v>
      </c>
      <c r="E104" s="70">
        <v>27</v>
      </c>
      <c r="F104" s="70">
        <v>36</v>
      </c>
      <c r="G104" s="70">
        <v>45</v>
      </c>
      <c r="H104" s="131">
        <v>10</v>
      </c>
      <c r="I104" s="3"/>
    </row>
    <row r="105" spans="1:9" s="93" customFormat="1" ht="9" customHeight="1" x14ac:dyDescent="0.3">
      <c r="A105" s="91"/>
      <c r="B105" s="70">
        <v>3</v>
      </c>
      <c r="C105" s="70">
        <v>7</v>
      </c>
      <c r="D105" s="70">
        <v>12</v>
      </c>
      <c r="E105" s="70">
        <v>31</v>
      </c>
      <c r="F105" s="70">
        <v>34</v>
      </c>
      <c r="G105" s="70">
        <v>38</v>
      </c>
      <c r="H105" s="131">
        <v>32</v>
      </c>
      <c r="I105" s="3"/>
    </row>
    <row r="106" spans="1:9" s="93" customFormat="1" ht="9" customHeight="1" x14ac:dyDescent="0.3">
      <c r="A106" s="91"/>
      <c r="B106" s="71">
        <v>3</v>
      </c>
      <c r="C106" s="71">
        <v>13</v>
      </c>
      <c r="D106" s="71">
        <v>29</v>
      </c>
      <c r="E106" s="71">
        <v>38</v>
      </c>
      <c r="F106" s="71">
        <v>39</v>
      </c>
      <c r="G106" s="71">
        <v>42</v>
      </c>
      <c r="H106" s="134">
        <v>26</v>
      </c>
      <c r="I106" s="3"/>
    </row>
    <row r="107" spans="1:9" s="93" customFormat="1" ht="9" customHeight="1" x14ac:dyDescent="0.3">
      <c r="A107" s="91"/>
      <c r="B107" s="71">
        <v>1</v>
      </c>
      <c r="C107" s="71">
        <v>4</v>
      </c>
      <c r="D107" s="71">
        <v>14</v>
      </c>
      <c r="E107" s="71">
        <v>18</v>
      </c>
      <c r="F107" s="71">
        <v>29</v>
      </c>
      <c r="G107" s="71">
        <v>37</v>
      </c>
      <c r="H107" s="134">
        <v>6</v>
      </c>
      <c r="I107" s="3"/>
    </row>
    <row r="108" spans="1:9" s="93" customFormat="1" ht="9" customHeight="1" x14ac:dyDescent="0.3">
      <c r="A108" s="91"/>
      <c r="B108" s="71">
        <v>9</v>
      </c>
      <c r="C108" s="71">
        <v>13</v>
      </c>
      <c r="D108" s="71">
        <v>28</v>
      </c>
      <c r="E108" s="71">
        <v>31</v>
      </c>
      <c r="F108" s="71">
        <v>39</v>
      </c>
      <c r="G108" s="71">
        <v>41</v>
      </c>
      <c r="H108" s="134">
        <v>19</v>
      </c>
      <c r="I108" s="3"/>
    </row>
    <row r="109" spans="1:9" s="93" customFormat="1" ht="9" customHeight="1" x14ac:dyDescent="0.3">
      <c r="A109" s="91"/>
      <c r="B109" s="71">
        <v>4</v>
      </c>
      <c r="C109" s="71">
        <v>9</v>
      </c>
      <c r="D109" s="71">
        <v>17</v>
      </c>
      <c r="E109" s="71">
        <v>18</v>
      </c>
      <c r="F109" s="71">
        <v>26</v>
      </c>
      <c r="G109" s="71">
        <v>42</v>
      </c>
      <c r="H109" s="134">
        <v>36</v>
      </c>
      <c r="I109" s="3"/>
    </row>
    <row r="110" spans="1:9" s="93" customFormat="1" ht="9" customHeight="1" x14ac:dyDescent="0.3">
      <c r="A110" s="91"/>
      <c r="B110" s="71">
        <v>1</v>
      </c>
      <c r="C110" s="71">
        <v>15</v>
      </c>
      <c r="D110" s="71">
        <v>17</v>
      </c>
      <c r="E110" s="71">
        <v>23</v>
      </c>
      <c r="F110" s="71">
        <v>25</v>
      </c>
      <c r="G110" s="71">
        <v>41</v>
      </c>
      <c r="H110" s="134">
        <v>10</v>
      </c>
      <c r="I110" s="3"/>
    </row>
    <row r="111" spans="1:9" s="93" customFormat="1" ht="9" customHeight="1" x14ac:dyDescent="0.3">
      <c r="A111" s="91"/>
      <c r="B111" s="71">
        <v>19</v>
      </c>
      <c r="C111" s="71">
        <v>32</v>
      </c>
      <c r="D111" s="71">
        <v>37</v>
      </c>
      <c r="E111" s="71">
        <v>40</v>
      </c>
      <c r="F111" s="71">
        <v>41</v>
      </c>
      <c r="G111" s="71">
        <v>43</v>
      </c>
      <c r="H111" s="134">
        <v>45</v>
      </c>
      <c r="I111" s="3"/>
    </row>
    <row r="112" spans="1:9" s="93" customFormat="1" ht="9" customHeight="1" x14ac:dyDescent="0.3">
      <c r="A112" s="91"/>
      <c r="B112" s="70">
        <v>16</v>
      </c>
      <c r="C112" s="70">
        <v>26</v>
      </c>
      <c r="D112" s="70">
        <v>31</v>
      </c>
      <c r="E112" s="70">
        <v>38</v>
      </c>
      <c r="F112" s="70">
        <v>39</v>
      </c>
      <c r="G112" s="70">
        <v>41</v>
      </c>
      <c r="H112" s="131">
        <v>23</v>
      </c>
      <c r="I112" s="3"/>
    </row>
    <row r="113" spans="1:9" s="93" customFormat="1" ht="9" customHeight="1" x14ac:dyDescent="0.3">
      <c r="A113" s="91"/>
      <c r="B113" s="70">
        <v>5</v>
      </c>
      <c r="C113" s="70">
        <v>12</v>
      </c>
      <c r="D113" s="70">
        <v>25</v>
      </c>
      <c r="E113" s="70">
        <v>26</v>
      </c>
      <c r="F113" s="70">
        <v>38</v>
      </c>
      <c r="G113" s="70">
        <v>45</v>
      </c>
      <c r="H113" s="131">
        <v>23</v>
      </c>
      <c r="I113" s="3"/>
    </row>
    <row r="114" spans="1:9" s="93" customFormat="1" ht="9" customHeight="1" x14ac:dyDescent="0.3">
      <c r="A114" s="91"/>
      <c r="B114" s="71">
        <v>6</v>
      </c>
      <c r="C114" s="71">
        <v>7</v>
      </c>
      <c r="D114" s="71">
        <v>12</v>
      </c>
      <c r="E114" s="71">
        <v>22</v>
      </c>
      <c r="F114" s="71">
        <v>26</v>
      </c>
      <c r="G114" s="71">
        <v>36</v>
      </c>
      <c r="H114" s="134">
        <v>29</v>
      </c>
      <c r="I114" s="3"/>
    </row>
    <row r="115" spans="1:9" s="93" customFormat="1" ht="9" customHeight="1" x14ac:dyDescent="0.3">
      <c r="A115" s="91"/>
      <c r="B115" s="71">
        <v>18</v>
      </c>
      <c r="C115" s="71">
        <v>21</v>
      </c>
      <c r="D115" s="71">
        <v>28</v>
      </c>
      <c r="E115" s="71">
        <v>35</v>
      </c>
      <c r="F115" s="71">
        <v>37</v>
      </c>
      <c r="G115" s="71">
        <v>42</v>
      </c>
      <c r="H115" s="134">
        <v>17</v>
      </c>
      <c r="I115" s="3"/>
    </row>
    <row r="116" spans="1:9" s="93" customFormat="1" ht="9" customHeight="1" x14ac:dyDescent="0.3">
      <c r="A116" s="91"/>
      <c r="B116" s="71">
        <v>8</v>
      </c>
      <c r="C116" s="71">
        <v>19</v>
      </c>
      <c r="D116" s="71">
        <v>20</v>
      </c>
      <c r="E116" s="71">
        <v>21</v>
      </c>
      <c r="F116" s="71">
        <v>33</v>
      </c>
      <c r="G116" s="71">
        <v>39</v>
      </c>
      <c r="H116" s="134">
        <v>37</v>
      </c>
      <c r="I116" s="3"/>
    </row>
    <row r="117" spans="1:9" s="93" customFormat="1" ht="9" customHeight="1" x14ac:dyDescent="0.3">
      <c r="A117" s="91"/>
      <c r="B117" s="71">
        <v>7</v>
      </c>
      <c r="C117" s="71">
        <v>13</v>
      </c>
      <c r="D117" s="71">
        <v>16</v>
      </c>
      <c r="E117" s="71">
        <v>18</v>
      </c>
      <c r="F117" s="71">
        <v>35</v>
      </c>
      <c r="G117" s="71">
        <v>38</v>
      </c>
      <c r="H117" s="134">
        <v>14</v>
      </c>
      <c r="I117" s="3"/>
    </row>
    <row r="118" spans="1:9" s="93" customFormat="1" ht="9" customHeight="1" x14ac:dyDescent="0.3">
      <c r="A118" s="91"/>
      <c r="B118" s="70">
        <v>5</v>
      </c>
      <c r="C118" s="70">
        <v>18</v>
      </c>
      <c r="D118" s="70">
        <v>20</v>
      </c>
      <c r="E118" s="70">
        <v>23</v>
      </c>
      <c r="F118" s="70">
        <v>30</v>
      </c>
      <c r="G118" s="70">
        <v>34</v>
      </c>
      <c r="H118" s="131">
        <v>21</v>
      </c>
      <c r="I118" s="3"/>
    </row>
    <row r="119" spans="1:9" s="93" customFormat="1" ht="9" customHeight="1" x14ac:dyDescent="0.3">
      <c r="A119" s="91"/>
      <c r="B119" s="71">
        <v>7</v>
      </c>
      <c r="C119" s="71">
        <v>19</v>
      </c>
      <c r="D119" s="71">
        <v>23</v>
      </c>
      <c r="E119" s="71">
        <v>24</v>
      </c>
      <c r="F119" s="71">
        <v>36</v>
      </c>
      <c r="G119" s="71">
        <v>39</v>
      </c>
      <c r="H119" s="134">
        <v>30</v>
      </c>
      <c r="I119" s="3"/>
    </row>
    <row r="120" spans="1:9" s="93" customFormat="1" ht="9" customHeight="1" x14ac:dyDescent="0.3">
      <c r="A120" s="91"/>
      <c r="B120" s="71">
        <v>2</v>
      </c>
      <c r="C120" s="71">
        <v>15</v>
      </c>
      <c r="D120" s="71">
        <v>16</v>
      </c>
      <c r="E120" s="71">
        <v>21</v>
      </c>
      <c r="F120" s="71">
        <v>22</v>
      </c>
      <c r="G120" s="71">
        <v>28</v>
      </c>
      <c r="H120" s="134">
        <v>45</v>
      </c>
      <c r="I120" s="3"/>
    </row>
    <row r="121" spans="1:9" s="93" customFormat="1" ht="9" customHeight="1" x14ac:dyDescent="0.3">
      <c r="A121" s="91"/>
      <c r="B121" s="71">
        <v>2</v>
      </c>
      <c r="C121" s="71">
        <v>6</v>
      </c>
      <c r="D121" s="71">
        <v>8</v>
      </c>
      <c r="E121" s="71">
        <v>26</v>
      </c>
      <c r="F121" s="71">
        <v>43</v>
      </c>
      <c r="G121" s="71">
        <v>45</v>
      </c>
      <c r="H121" s="134">
        <v>11</v>
      </c>
      <c r="I121" s="3"/>
    </row>
    <row r="122" spans="1:9" s="93" customFormat="1" ht="9" customHeight="1" x14ac:dyDescent="0.3">
      <c r="A122" s="91"/>
      <c r="B122" s="71">
        <v>3</v>
      </c>
      <c r="C122" s="71">
        <v>4</v>
      </c>
      <c r="D122" s="71">
        <v>16</v>
      </c>
      <c r="E122" s="71">
        <v>27</v>
      </c>
      <c r="F122" s="71">
        <v>38</v>
      </c>
      <c r="G122" s="71">
        <v>40</v>
      </c>
      <c r="H122" s="134">
        <v>20</v>
      </c>
      <c r="I122" s="3"/>
    </row>
    <row r="123" spans="1:9" s="93" customFormat="1" ht="9" customHeight="1" x14ac:dyDescent="0.3">
      <c r="A123" s="91"/>
      <c r="B123" s="70">
        <v>2</v>
      </c>
      <c r="C123" s="70">
        <v>5</v>
      </c>
      <c r="D123" s="70">
        <v>14</v>
      </c>
      <c r="E123" s="70">
        <v>28</v>
      </c>
      <c r="F123" s="70">
        <v>31</v>
      </c>
      <c r="G123" s="70">
        <v>32</v>
      </c>
      <c r="H123" s="131">
        <v>20</v>
      </c>
      <c r="I123" s="3"/>
    </row>
    <row r="124" spans="1:9" s="93" customFormat="1" ht="9" customHeight="1" x14ac:dyDescent="0.3">
      <c r="A124" s="91"/>
      <c r="B124" s="71">
        <v>21</v>
      </c>
      <c r="C124" s="71">
        <v>27</v>
      </c>
      <c r="D124" s="71">
        <v>29</v>
      </c>
      <c r="E124" s="71">
        <v>38</v>
      </c>
      <c r="F124" s="71">
        <v>40</v>
      </c>
      <c r="G124" s="71">
        <v>44</v>
      </c>
      <c r="H124" s="134">
        <v>37</v>
      </c>
      <c r="I124" s="3"/>
    </row>
    <row r="125" spans="1:9" s="93" customFormat="1" ht="9" customHeight="1" x14ac:dyDescent="0.3">
      <c r="A125" s="91"/>
      <c r="B125" s="71">
        <v>3</v>
      </c>
      <c r="C125" s="71">
        <v>16</v>
      </c>
      <c r="D125" s="71">
        <v>21</v>
      </c>
      <c r="E125" s="71">
        <v>22</v>
      </c>
      <c r="F125" s="71">
        <v>23</v>
      </c>
      <c r="G125" s="71">
        <v>44</v>
      </c>
      <c r="H125" s="134">
        <v>30</v>
      </c>
      <c r="I125" s="3"/>
    </row>
    <row r="126" spans="1:9" s="93" customFormat="1" ht="9" customHeight="1" x14ac:dyDescent="0.3">
      <c r="A126" s="91"/>
      <c r="B126" s="70">
        <v>7</v>
      </c>
      <c r="C126" s="70">
        <v>24</v>
      </c>
      <c r="D126" s="70">
        <v>29</v>
      </c>
      <c r="E126" s="70">
        <v>30</v>
      </c>
      <c r="F126" s="70">
        <v>34</v>
      </c>
      <c r="G126" s="70">
        <v>35</v>
      </c>
      <c r="H126" s="131">
        <v>33</v>
      </c>
      <c r="I126" s="3"/>
    </row>
    <row r="127" spans="1:9" s="93" customFormat="1" ht="9" customHeight="1" x14ac:dyDescent="0.3">
      <c r="A127" s="91"/>
      <c r="B127" s="71">
        <v>1</v>
      </c>
      <c r="C127" s="71">
        <v>11</v>
      </c>
      <c r="D127" s="71">
        <v>17</v>
      </c>
      <c r="E127" s="71">
        <v>27</v>
      </c>
      <c r="F127" s="71">
        <v>35</v>
      </c>
      <c r="G127" s="71">
        <v>39</v>
      </c>
      <c r="H127" s="134">
        <v>31</v>
      </c>
      <c r="I127" s="3"/>
    </row>
    <row r="128" spans="1:9" s="93" customFormat="1" ht="9" customHeight="1" x14ac:dyDescent="0.3">
      <c r="A128" s="91"/>
      <c r="B128" s="71">
        <v>4</v>
      </c>
      <c r="C128" s="71">
        <v>5</v>
      </c>
      <c r="D128" s="71">
        <v>12</v>
      </c>
      <c r="E128" s="71">
        <v>14</v>
      </c>
      <c r="F128" s="71">
        <v>32</v>
      </c>
      <c r="G128" s="71">
        <v>42</v>
      </c>
      <c r="H128" s="134">
        <v>35</v>
      </c>
      <c r="I128" s="3"/>
    </row>
    <row r="129" spans="1:9" s="93" customFormat="1" ht="9" customHeight="1" x14ac:dyDescent="0.3">
      <c r="A129" s="91"/>
      <c r="B129" s="71">
        <v>5</v>
      </c>
      <c r="C129" s="71">
        <v>8</v>
      </c>
      <c r="D129" s="71">
        <v>18</v>
      </c>
      <c r="E129" s="71">
        <v>21</v>
      </c>
      <c r="F129" s="71">
        <v>22</v>
      </c>
      <c r="G129" s="71">
        <v>38</v>
      </c>
      <c r="H129" s="134">
        <v>10</v>
      </c>
      <c r="I129" s="3"/>
    </row>
    <row r="130" spans="1:9" s="93" customFormat="1" ht="9" customHeight="1" x14ac:dyDescent="0.3">
      <c r="A130" s="91"/>
      <c r="B130" s="70">
        <v>6</v>
      </c>
      <c r="C130" s="70">
        <v>14</v>
      </c>
      <c r="D130" s="70">
        <v>16</v>
      </c>
      <c r="E130" s="70">
        <v>21</v>
      </c>
      <c r="F130" s="70">
        <v>27</v>
      </c>
      <c r="G130" s="70">
        <v>37</v>
      </c>
      <c r="H130" s="131">
        <v>40</v>
      </c>
      <c r="I130" s="3"/>
    </row>
    <row r="131" spans="1:9" s="93" customFormat="1" ht="9" customHeight="1" x14ac:dyDescent="0.3">
      <c r="A131" s="91"/>
      <c r="B131" s="71">
        <v>16</v>
      </c>
      <c r="C131" s="71">
        <v>19</v>
      </c>
      <c r="D131" s="71">
        <v>24</v>
      </c>
      <c r="E131" s="71">
        <v>33</v>
      </c>
      <c r="F131" s="71">
        <v>42</v>
      </c>
      <c r="G131" s="71">
        <v>44</v>
      </c>
      <c r="H131" s="134">
        <v>27</v>
      </c>
      <c r="I131" s="3"/>
    </row>
    <row r="132" spans="1:9" s="93" customFormat="1" ht="9" customHeight="1" x14ac:dyDescent="0.3">
      <c r="A132" s="91"/>
      <c r="B132" s="70">
        <v>2</v>
      </c>
      <c r="C132" s="70">
        <v>6</v>
      </c>
      <c r="D132" s="70">
        <v>11</v>
      </c>
      <c r="E132" s="70">
        <v>13</v>
      </c>
      <c r="F132" s="70">
        <v>22</v>
      </c>
      <c r="G132" s="70">
        <v>37</v>
      </c>
      <c r="H132" s="131">
        <v>14</v>
      </c>
      <c r="I132" s="3"/>
    </row>
    <row r="133" spans="1:9" s="93" customFormat="1" ht="9" customHeight="1" x14ac:dyDescent="0.3">
      <c r="A133" s="91"/>
      <c r="B133" s="71">
        <v>6</v>
      </c>
      <c r="C133" s="71">
        <v>21</v>
      </c>
      <c r="D133" s="71">
        <v>22</v>
      </c>
      <c r="E133" s="71">
        <v>32</v>
      </c>
      <c r="F133" s="71">
        <v>35</v>
      </c>
      <c r="G133" s="71">
        <v>36</v>
      </c>
      <c r="H133" s="134">
        <v>17</v>
      </c>
      <c r="I133" s="3"/>
    </row>
    <row r="134" spans="1:9" s="93" customFormat="1" ht="9" customHeight="1" x14ac:dyDescent="0.3">
      <c r="A134" s="91"/>
      <c r="B134" s="71">
        <v>1</v>
      </c>
      <c r="C134" s="71">
        <v>3</v>
      </c>
      <c r="D134" s="71">
        <v>23</v>
      </c>
      <c r="E134" s="71">
        <v>24</v>
      </c>
      <c r="F134" s="71">
        <v>27</v>
      </c>
      <c r="G134" s="71">
        <v>43</v>
      </c>
      <c r="H134" s="134">
        <v>34</v>
      </c>
      <c r="I134" s="3"/>
    </row>
    <row r="135" spans="1:9" s="93" customFormat="1" ht="9" customHeight="1" x14ac:dyDescent="0.3">
      <c r="A135" s="91"/>
      <c r="B135" s="70">
        <v>7</v>
      </c>
      <c r="C135" s="70">
        <v>11</v>
      </c>
      <c r="D135" s="70">
        <v>12</v>
      </c>
      <c r="E135" s="70">
        <v>31</v>
      </c>
      <c r="F135" s="70">
        <v>33</v>
      </c>
      <c r="G135" s="70">
        <v>38</v>
      </c>
      <c r="H135" s="131">
        <v>5</v>
      </c>
      <c r="I135" s="3"/>
    </row>
    <row r="136" spans="1:9" s="93" customFormat="1" ht="9" customHeight="1" x14ac:dyDescent="0.3">
      <c r="A136" s="91"/>
      <c r="B136" s="70">
        <v>9</v>
      </c>
      <c r="C136" s="70">
        <v>14</v>
      </c>
      <c r="D136" s="70">
        <v>17</v>
      </c>
      <c r="E136" s="70">
        <v>18</v>
      </c>
      <c r="F136" s="70">
        <v>42</v>
      </c>
      <c r="G136" s="70">
        <v>44</v>
      </c>
      <c r="H136" s="131">
        <v>35</v>
      </c>
      <c r="I136" s="3"/>
    </row>
    <row r="137" spans="1:9" s="93" customFormat="1" ht="9" customHeight="1" x14ac:dyDescent="0.3">
      <c r="A137" s="91"/>
      <c r="B137" s="70">
        <v>2</v>
      </c>
      <c r="C137" s="70">
        <v>3</v>
      </c>
      <c r="D137" s="70">
        <v>26</v>
      </c>
      <c r="E137" s="70">
        <v>33</v>
      </c>
      <c r="F137" s="70">
        <v>34</v>
      </c>
      <c r="G137" s="70">
        <v>43</v>
      </c>
      <c r="H137" s="131">
        <v>29</v>
      </c>
      <c r="I137" s="3"/>
    </row>
    <row r="138" spans="1:9" s="93" customFormat="1" ht="9" customHeight="1" x14ac:dyDescent="0.3">
      <c r="A138" s="91"/>
      <c r="B138" s="70">
        <v>5</v>
      </c>
      <c r="C138" s="70">
        <v>7</v>
      </c>
      <c r="D138" s="70">
        <v>12</v>
      </c>
      <c r="E138" s="70">
        <v>22</v>
      </c>
      <c r="F138" s="70">
        <v>28</v>
      </c>
      <c r="G138" s="70">
        <v>41</v>
      </c>
      <c r="H138" s="131">
        <v>1</v>
      </c>
      <c r="I138" s="3"/>
    </row>
    <row r="139" spans="1:9" s="93" customFormat="1" ht="9" customHeight="1" x14ac:dyDescent="0.3">
      <c r="A139" s="91"/>
      <c r="B139" s="70">
        <v>2</v>
      </c>
      <c r="C139" s="70">
        <v>6</v>
      </c>
      <c r="D139" s="70">
        <v>13</v>
      </c>
      <c r="E139" s="70">
        <v>17</v>
      </c>
      <c r="F139" s="70">
        <v>27</v>
      </c>
      <c r="G139" s="70">
        <v>43</v>
      </c>
      <c r="H139" s="131">
        <v>36</v>
      </c>
      <c r="I139" s="3"/>
    </row>
    <row r="140" spans="1:9" s="93" customFormat="1" ht="9" customHeight="1" x14ac:dyDescent="0.3">
      <c r="A140" s="91"/>
      <c r="B140" s="70">
        <v>3</v>
      </c>
      <c r="C140" s="70">
        <v>17</v>
      </c>
      <c r="D140" s="70">
        <v>18</v>
      </c>
      <c r="E140" s="70">
        <v>23</v>
      </c>
      <c r="F140" s="70">
        <v>36</v>
      </c>
      <c r="G140" s="70">
        <v>41</v>
      </c>
      <c r="H140" s="131">
        <v>26</v>
      </c>
      <c r="I140" s="3"/>
    </row>
    <row r="141" spans="1:9" s="93" customFormat="1" ht="9" customHeight="1" x14ac:dyDescent="0.3">
      <c r="A141" s="91"/>
      <c r="B141" s="70">
        <v>3</v>
      </c>
      <c r="C141" s="70">
        <v>11</v>
      </c>
      <c r="D141" s="70">
        <v>34</v>
      </c>
      <c r="E141" s="70">
        <v>42</v>
      </c>
      <c r="F141" s="70">
        <v>43</v>
      </c>
      <c r="G141" s="70">
        <v>44</v>
      </c>
      <c r="H141" s="131">
        <v>13</v>
      </c>
      <c r="I141" s="3"/>
    </row>
    <row r="142" spans="1:9" s="93" customFormat="1" ht="9" customHeight="1" x14ac:dyDescent="0.3">
      <c r="A142" s="91"/>
      <c r="B142" s="70">
        <v>13</v>
      </c>
      <c r="C142" s="70">
        <v>24</v>
      </c>
      <c r="D142" s="70">
        <v>32</v>
      </c>
      <c r="E142" s="70">
        <v>34</v>
      </c>
      <c r="F142" s="70">
        <v>39</v>
      </c>
      <c r="G142" s="70">
        <v>42</v>
      </c>
      <c r="H142" s="131">
        <v>4</v>
      </c>
      <c r="I142" s="3"/>
    </row>
    <row r="143" spans="1:9" s="93" customFormat="1" ht="9" customHeight="1" x14ac:dyDescent="0.3">
      <c r="A143" s="91"/>
      <c r="B143" s="70">
        <v>10</v>
      </c>
      <c r="C143" s="70">
        <v>16</v>
      </c>
      <c r="D143" s="70">
        <v>18</v>
      </c>
      <c r="E143" s="70">
        <v>20</v>
      </c>
      <c r="F143" s="70">
        <v>25</v>
      </c>
      <c r="G143" s="70">
        <v>31</v>
      </c>
      <c r="H143" s="131">
        <v>6</v>
      </c>
      <c r="I143" s="3"/>
    </row>
    <row r="144" spans="1:9" s="93" customFormat="1" ht="9" customHeight="1" x14ac:dyDescent="0.3">
      <c r="A144" s="91"/>
      <c r="B144" s="70">
        <v>4</v>
      </c>
      <c r="C144" s="70">
        <v>15</v>
      </c>
      <c r="D144" s="70">
        <v>22</v>
      </c>
      <c r="E144" s="70">
        <v>38</v>
      </c>
      <c r="F144" s="70">
        <v>41</v>
      </c>
      <c r="G144" s="70">
        <v>43</v>
      </c>
      <c r="H144" s="131">
        <v>26</v>
      </c>
      <c r="I144" s="3"/>
    </row>
    <row r="145" spans="1:9" s="93" customFormat="1" ht="9" customHeight="1" x14ac:dyDescent="0.3">
      <c r="A145" s="91"/>
      <c r="B145" s="70">
        <v>3</v>
      </c>
      <c r="C145" s="70">
        <v>4</v>
      </c>
      <c r="D145" s="70">
        <v>10</v>
      </c>
      <c r="E145" s="70">
        <v>20</v>
      </c>
      <c r="F145" s="70">
        <v>28</v>
      </c>
      <c r="G145" s="70">
        <v>44</v>
      </c>
      <c r="H145" s="131">
        <v>30</v>
      </c>
      <c r="I145" s="3"/>
    </row>
    <row r="146" spans="1:9" s="93" customFormat="1" ht="9" customHeight="1" x14ac:dyDescent="0.3">
      <c r="A146" s="91"/>
      <c r="B146" s="70">
        <v>7</v>
      </c>
      <c r="C146" s="70">
        <v>9</v>
      </c>
      <c r="D146" s="70">
        <v>12</v>
      </c>
      <c r="E146" s="70">
        <v>15</v>
      </c>
      <c r="F146" s="70">
        <v>19</v>
      </c>
      <c r="G146" s="70">
        <v>23</v>
      </c>
      <c r="H146" s="131">
        <v>4</v>
      </c>
      <c r="I146" s="3"/>
    </row>
    <row r="147" spans="1:9" s="93" customFormat="1" ht="9" customHeight="1" x14ac:dyDescent="0.3">
      <c r="A147" s="91"/>
      <c r="B147" s="70">
        <v>8</v>
      </c>
      <c r="C147" s="70">
        <v>21</v>
      </c>
      <c r="D147" s="70">
        <v>25</v>
      </c>
      <c r="E147" s="70">
        <v>38</v>
      </c>
      <c r="F147" s="70">
        <v>39</v>
      </c>
      <c r="G147" s="70">
        <v>44</v>
      </c>
      <c r="H147" s="131">
        <v>28</v>
      </c>
      <c r="I147" s="3"/>
    </row>
    <row r="148" spans="1:9" s="93" customFormat="1" ht="9" customHeight="1" x14ac:dyDescent="0.3">
      <c r="A148" s="91"/>
      <c r="B148" s="70">
        <v>14</v>
      </c>
      <c r="C148" s="70">
        <v>15</v>
      </c>
      <c r="D148" s="70">
        <v>23</v>
      </c>
      <c r="E148" s="70">
        <v>25</v>
      </c>
      <c r="F148" s="70">
        <v>35</v>
      </c>
      <c r="G148" s="70">
        <v>43</v>
      </c>
      <c r="H148" s="131">
        <v>32</v>
      </c>
      <c r="I148" s="3"/>
    </row>
    <row r="149" spans="1:9" s="93" customFormat="1" ht="9" customHeight="1" x14ac:dyDescent="0.3">
      <c r="A149" s="91"/>
      <c r="B149" s="70">
        <v>1</v>
      </c>
      <c r="C149" s="70">
        <v>6</v>
      </c>
      <c r="D149" s="70">
        <v>15</v>
      </c>
      <c r="E149" s="70">
        <v>36</v>
      </c>
      <c r="F149" s="70">
        <v>37</v>
      </c>
      <c r="G149" s="70">
        <v>38</v>
      </c>
      <c r="H149" s="131">
        <v>5</v>
      </c>
      <c r="I149" s="3"/>
    </row>
    <row r="150" spans="1:9" s="93" customFormat="1" ht="9" customHeight="1" x14ac:dyDescent="0.3">
      <c r="A150" s="91"/>
      <c r="B150" s="70">
        <v>23</v>
      </c>
      <c r="C150" s="70">
        <v>27</v>
      </c>
      <c r="D150" s="70">
        <v>29</v>
      </c>
      <c r="E150" s="70">
        <v>31</v>
      </c>
      <c r="F150" s="70">
        <v>36</v>
      </c>
      <c r="G150" s="70">
        <v>45</v>
      </c>
      <c r="H150" s="131">
        <v>37</v>
      </c>
      <c r="I150" s="3"/>
    </row>
    <row r="151" spans="1:9" s="93" customFormat="1" ht="9" customHeight="1" x14ac:dyDescent="0.3">
      <c r="A151" s="91"/>
      <c r="B151" s="70">
        <v>1</v>
      </c>
      <c r="C151" s="70">
        <v>3</v>
      </c>
      <c r="D151" s="70">
        <v>30</v>
      </c>
      <c r="E151" s="70">
        <v>33</v>
      </c>
      <c r="F151" s="70">
        <v>36</v>
      </c>
      <c r="G151" s="70">
        <v>39</v>
      </c>
      <c r="H151" s="131">
        <v>12</v>
      </c>
      <c r="I151" s="3"/>
    </row>
    <row r="152" spans="1:9" s="93" customFormat="1" ht="9" customHeight="1" x14ac:dyDescent="0.3">
      <c r="A152" s="91"/>
      <c r="B152" s="71">
        <v>4</v>
      </c>
      <c r="C152" s="71">
        <v>10</v>
      </c>
      <c r="D152" s="71">
        <v>20</v>
      </c>
      <c r="E152" s="71">
        <v>32</v>
      </c>
      <c r="F152" s="71">
        <v>38</v>
      </c>
      <c r="G152" s="71">
        <v>44</v>
      </c>
      <c r="H152" s="134">
        <v>18</v>
      </c>
      <c r="I152" s="3"/>
    </row>
    <row r="153" spans="1:9" s="93" customFormat="1" ht="9" customHeight="1" x14ac:dyDescent="0.3">
      <c r="A153" s="91"/>
      <c r="B153" s="70">
        <v>7</v>
      </c>
      <c r="C153" s="70">
        <v>11</v>
      </c>
      <c r="D153" s="70">
        <v>13</v>
      </c>
      <c r="E153" s="70">
        <v>17</v>
      </c>
      <c r="F153" s="70">
        <v>18</v>
      </c>
      <c r="G153" s="70">
        <v>29</v>
      </c>
      <c r="H153" s="131">
        <v>43</v>
      </c>
      <c r="I153" s="3"/>
    </row>
    <row r="154" spans="1:9" s="93" customFormat="1" ht="9" customHeight="1" x14ac:dyDescent="0.3">
      <c r="A154" s="91"/>
      <c r="B154" s="71">
        <v>2</v>
      </c>
      <c r="C154" s="71">
        <v>10</v>
      </c>
      <c r="D154" s="71">
        <v>13</v>
      </c>
      <c r="E154" s="71">
        <v>22</v>
      </c>
      <c r="F154" s="71">
        <v>29</v>
      </c>
      <c r="G154" s="71">
        <v>40</v>
      </c>
      <c r="H154" s="134">
        <v>26</v>
      </c>
      <c r="I154" s="3"/>
    </row>
    <row r="155" spans="1:9" s="93" customFormat="1" ht="9" customHeight="1" x14ac:dyDescent="0.3">
      <c r="A155" s="91"/>
      <c r="B155" s="71">
        <v>4</v>
      </c>
      <c r="C155" s="71">
        <v>8</v>
      </c>
      <c r="D155" s="71">
        <v>10</v>
      </c>
      <c r="E155" s="71">
        <v>16</v>
      </c>
      <c r="F155" s="71">
        <v>31</v>
      </c>
      <c r="G155" s="71">
        <v>36</v>
      </c>
      <c r="H155" s="134">
        <v>9</v>
      </c>
      <c r="I155" s="3"/>
    </row>
    <row r="156" spans="1:9" s="93" customFormat="1" ht="9" customHeight="1" x14ac:dyDescent="0.3">
      <c r="A156" s="91"/>
      <c r="B156" s="70">
        <v>4</v>
      </c>
      <c r="C156" s="70">
        <v>11</v>
      </c>
      <c r="D156" s="70">
        <v>28</v>
      </c>
      <c r="E156" s="70">
        <v>39</v>
      </c>
      <c r="F156" s="70">
        <v>42</v>
      </c>
      <c r="G156" s="70">
        <v>45</v>
      </c>
      <c r="H156" s="131">
        <v>6</v>
      </c>
      <c r="I156" s="3"/>
    </row>
    <row r="157" spans="1:9" s="93" customFormat="1" ht="9" customHeight="1" x14ac:dyDescent="0.3">
      <c r="A157" s="91"/>
      <c r="B157" s="70">
        <v>3</v>
      </c>
      <c r="C157" s="70">
        <v>15</v>
      </c>
      <c r="D157" s="70">
        <v>20</v>
      </c>
      <c r="E157" s="70">
        <v>22</v>
      </c>
      <c r="F157" s="70">
        <v>24</v>
      </c>
      <c r="G157" s="70">
        <v>41</v>
      </c>
      <c r="H157" s="131">
        <v>11</v>
      </c>
      <c r="I157" s="3"/>
    </row>
    <row r="158" spans="1:9" s="93" customFormat="1" ht="9" customHeight="1" x14ac:dyDescent="0.3">
      <c r="A158" s="91"/>
      <c r="B158" s="71">
        <v>12</v>
      </c>
      <c r="C158" s="71">
        <v>14</v>
      </c>
      <c r="D158" s="71">
        <v>25</v>
      </c>
      <c r="E158" s="71">
        <v>27</v>
      </c>
      <c r="F158" s="71">
        <v>39</v>
      </c>
      <c r="G158" s="71">
        <v>40</v>
      </c>
      <c r="H158" s="134">
        <v>35</v>
      </c>
      <c r="I158" s="3"/>
    </row>
    <row r="159" spans="1:9" s="93" customFormat="1" ht="9" customHeight="1" x14ac:dyDescent="0.3">
      <c r="A159" s="91"/>
      <c r="B159" s="70">
        <v>10</v>
      </c>
      <c r="C159" s="70">
        <v>12</v>
      </c>
      <c r="D159" s="70">
        <v>18</v>
      </c>
      <c r="E159" s="70">
        <v>35</v>
      </c>
      <c r="F159" s="70">
        <v>42</v>
      </c>
      <c r="G159" s="70">
        <v>43</v>
      </c>
      <c r="H159" s="131">
        <v>39</v>
      </c>
      <c r="I159" s="3"/>
    </row>
    <row r="160" spans="1:9" s="93" customFormat="1" ht="9" customHeight="1" x14ac:dyDescent="0.3">
      <c r="A160" s="91"/>
      <c r="B160" s="70">
        <v>1</v>
      </c>
      <c r="C160" s="70">
        <v>8</v>
      </c>
      <c r="D160" s="70">
        <v>13</v>
      </c>
      <c r="E160" s="70">
        <v>36</v>
      </c>
      <c r="F160" s="70">
        <v>44</v>
      </c>
      <c r="G160" s="70">
        <v>45</v>
      </c>
      <c r="H160" s="131">
        <v>39</v>
      </c>
      <c r="I160" s="3"/>
    </row>
    <row r="161" spans="1:9" s="93" customFormat="1" ht="9" customHeight="1" x14ac:dyDescent="0.3">
      <c r="A161" s="91"/>
      <c r="B161" s="71">
        <v>2</v>
      </c>
      <c r="C161" s="71">
        <v>13</v>
      </c>
      <c r="D161" s="71">
        <v>16</v>
      </c>
      <c r="E161" s="71">
        <v>19</v>
      </c>
      <c r="F161" s="71">
        <v>32</v>
      </c>
      <c r="G161" s="71">
        <v>33</v>
      </c>
      <c r="H161" s="134">
        <v>42</v>
      </c>
      <c r="I161" s="3"/>
    </row>
    <row r="162" spans="1:9" s="93" customFormat="1" ht="9" customHeight="1" x14ac:dyDescent="0.3">
      <c r="A162" s="91"/>
      <c r="B162" s="70">
        <v>9</v>
      </c>
      <c r="C162" s="70">
        <v>10</v>
      </c>
      <c r="D162" s="70">
        <v>15</v>
      </c>
      <c r="E162" s="70">
        <v>30</v>
      </c>
      <c r="F162" s="70">
        <v>33</v>
      </c>
      <c r="G162" s="70">
        <v>37</v>
      </c>
      <c r="H162" s="131">
        <v>26</v>
      </c>
      <c r="I162" s="3"/>
    </row>
    <row r="163" spans="1:9" s="93" customFormat="1" ht="9" customHeight="1" x14ac:dyDescent="0.3">
      <c r="A163" s="91"/>
      <c r="B163" s="71">
        <v>9</v>
      </c>
      <c r="C163" s="71">
        <v>18</v>
      </c>
      <c r="D163" s="71">
        <v>19</v>
      </c>
      <c r="E163" s="71">
        <v>30</v>
      </c>
      <c r="F163" s="71">
        <v>34</v>
      </c>
      <c r="G163" s="71">
        <v>40</v>
      </c>
      <c r="H163" s="134">
        <v>20</v>
      </c>
      <c r="I163" s="3"/>
    </row>
    <row r="164" spans="1:9" s="93" customFormat="1" ht="9" customHeight="1" x14ac:dyDescent="0.3">
      <c r="A164" s="91"/>
      <c r="B164" s="70">
        <v>3</v>
      </c>
      <c r="C164" s="70">
        <v>8</v>
      </c>
      <c r="D164" s="70">
        <v>17</v>
      </c>
      <c r="E164" s="70">
        <v>20</v>
      </c>
      <c r="F164" s="70">
        <v>27</v>
      </c>
      <c r="G164" s="70">
        <v>35</v>
      </c>
      <c r="H164" s="131">
        <v>26</v>
      </c>
      <c r="I164" s="3"/>
    </row>
    <row r="165" spans="1:9" s="93" customFormat="1" ht="9" customHeight="1" x14ac:dyDescent="0.3">
      <c r="A165" s="91"/>
      <c r="B165" s="70">
        <v>13</v>
      </c>
      <c r="C165" s="70">
        <v>18</v>
      </c>
      <c r="D165" s="70">
        <v>30</v>
      </c>
      <c r="E165" s="70">
        <v>31</v>
      </c>
      <c r="F165" s="70">
        <v>38</v>
      </c>
      <c r="G165" s="70">
        <v>41</v>
      </c>
      <c r="H165" s="131">
        <v>5</v>
      </c>
      <c r="I165" s="3"/>
    </row>
    <row r="166" spans="1:9" s="93" customFormat="1" ht="9" customHeight="1" x14ac:dyDescent="0.3">
      <c r="A166" s="91"/>
      <c r="B166" s="71">
        <v>14</v>
      </c>
      <c r="C166" s="71">
        <v>21</v>
      </c>
      <c r="D166" s="71">
        <v>35</v>
      </c>
      <c r="E166" s="71">
        <v>36</v>
      </c>
      <c r="F166" s="71">
        <v>40</v>
      </c>
      <c r="G166" s="71">
        <v>44</v>
      </c>
      <c r="H166" s="134">
        <v>30</v>
      </c>
      <c r="I166" s="3"/>
    </row>
    <row r="167" spans="1:9" s="93" customFormat="1" ht="9" customHeight="1" x14ac:dyDescent="0.3">
      <c r="A167" s="91"/>
      <c r="B167" s="71">
        <v>3</v>
      </c>
      <c r="C167" s="71">
        <v>4</v>
      </c>
      <c r="D167" s="71">
        <v>15</v>
      </c>
      <c r="E167" s="71">
        <v>22</v>
      </c>
      <c r="F167" s="71">
        <v>28</v>
      </c>
      <c r="G167" s="71">
        <v>40</v>
      </c>
      <c r="H167" s="134">
        <v>10</v>
      </c>
      <c r="I167" s="3"/>
    </row>
    <row r="168" spans="1:9" s="93" customFormat="1" ht="9" customHeight="1" x14ac:dyDescent="0.3">
      <c r="A168" s="91"/>
      <c r="B168" s="70">
        <v>2</v>
      </c>
      <c r="C168" s="70">
        <v>12</v>
      </c>
      <c r="D168" s="70">
        <v>30</v>
      </c>
      <c r="E168" s="70">
        <v>31</v>
      </c>
      <c r="F168" s="70">
        <v>39</v>
      </c>
      <c r="G168" s="70">
        <v>43</v>
      </c>
      <c r="H168" s="131">
        <v>38</v>
      </c>
      <c r="I168" s="3"/>
    </row>
    <row r="169" spans="1:9" s="93" customFormat="1" ht="9" customHeight="1" x14ac:dyDescent="0.3">
      <c r="A169" s="91"/>
      <c r="B169" s="70">
        <v>4</v>
      </c>
      <c r="C169" s="70">
        <v>12</v>
      </c>
      <c r="D169" s="70">
        <v>22</v>
      </c>
      <c r="E169" s="70">
        <v>24</v>
      </c>
      <c r="F169" s="70">
        <v>33</v>
      </c>
      <c r="G169" s="70">
        <v>41</v>
      </c>
      <c r="H169" s="131">
        <v>38</v>
      </c>
      <c r="I169" s="3"/>
    </row>
    <row r="170" spans="1:9" s="93" customFormat="1" ht="9" customHeight="1" x14ac:dyDescent="0.3">
      <c r="A170" s="91"/>
      <c r="B170" s="70">
        <v>7</v>
      </c>
      <c r="C170" s="70">
        <v>9</v>
      </c>
      <c r="D170" s="70">
        <v>22</v>
      </c>
      <c r="E170" s="70">
        <v>27</v>
      </c>
      <c r="F170" s="70">
        <v>37</v>
      </c>
      <c r="G170" s="70">
        <v>42</v>
      </c>
      <c r="H170" s="131">
        <v>34</v>
      </c>
      <c r="I170" s="3"/>
    </row>
    <row r="171" spans="1:9" s="93" customFormat="1" ht="9" customHeight="1" x14ac:dyDescent="0.3">
      <c r="A171" s="91"/>
      <c r="B171" s="70">
        <v>1</v>
      </c>
      <c r="C171" s="70">
        <v>9</v>
      </c>
      <c r="D171" s="70">
        <v>26</v>
      </c>
      <c r="E171" s="70">
        <v>28</v>
      </c>
      <c r="F171" s="70">
        <v>30</v>
      </c>
      <c r="G171" s="70">
        <v>41</v>
      </c>
      <c r="H171" s="131">
        <v>32</v>
      </c>
      <c r="I171" s="3"/>
    </row>
    <row r="172" spans="1:9" s="93" customFormat="1" ht="9" customHeight="1" x14ac:dyDescent="0.3">
      <c r="A172" s="91"/>
      <c r="B172" s="70">
        <v>4</v>
      </c>
      <c r="C172" s="70">
        <v>9</v>
      </c>
      <c r="D172" s="70">
        <v>23</v>
      </c>
      <c r="E172" s="70">
        <v>26</v>
      </c>
      <c r="F172" s="70">
        <v>29</v>
      </c>
      <c r="G172" s="70">
        <v>33</v>
      </c>
      <c r="H172" s="131">
        <v>8</v>
      </c>
      <c r="I172" s="3"/>
    </row>
    <row r="173" spans="1:9" s="93" customFormat="1" ht="9" customHeight="1" x14ac:dyDescent="0.3">
      <c r="A173" s="91"/>
      <c r="B173" s="71">
        <v>10</v>
      </c>
      <c r="C173" s="71">
        <v>11</v>
      </c>
      <c r="D173" s="71">
        <v>20</v>
      </c>
      <c r="E173" s="71">
        <v>21</v>
      </c>
      <c r="F173" s="71">
        <v>25</v>
      </c>
      <c r="G173" s="71">
        <v>41</v>
      </c>
      <c r="H173" s="134">
        <v>40</v>
      </c>
      <c r="I173" s="3"/>
    </row>
    <row r="174" spans="1:9" s="93" customFormat="1" ht="9" customHeight="1" x14ac:dyDescent="0.3">
      <c r="A174" s="91"/>
      <c r="B174" s="71">
        <v>4</v>
      </c>
      <c r="C174" s="71">
        <v>15</v>
      </c>
      <c r="D174" s="71">
        <v>24</v>
      </c>
      <c r="E174" s="71">
        <v>35</v>
      </c>
      <c r="F174" s="71">
        <v>36</v>
      </c>
      <c r="G174" s="71">
        <v>40</v>
      </c>
      <c r="H174" s="134">
        <v>1</v>
      </c>
      <c r="I174" s="3"/>
    </row>
    <row r="175" spans="1:9" s="93" customFormat="1" ht="9" customHeight="1" x14ac:dyDescent="0.3">
      <c r="A175" s="91"/>
      <c r="B175" s="70">
        <v>2</v>
      </c>
      <c r="C175" s="70">
        <v>9</v>
      </c>
      <c r="D175" s="70">
        <v>10</v>
      </c>
      <c r="E175" s="70">
        <v>16</v>
      </c>
      <c r="F175" s="70">
        <v>35</v>
      </c>
      <c r="G175" s="70">
        <v>37</v>
      </c>
      <c r="H175" s="131">
        <v>1</v>
      </c>
      <c r="I175" s="3"/>
    </row>
    <row r="176" spans="1:9" s="93" customFormat="1" ht="9" customHeight="1" x14ac:dyDescent="0.3">
      <c r="A176" s="91"/>
      <c r="B176" s="71">
        <v>1</v>
      </c>
      <c r="C176" s="71">
        <v>14</v>
      </c>
      <c r="D176" s="71">
        <v>15</v>
      </c>
      <c r="E176" s="71">
        <v>24</v>
      </c>
      <c r="F176" s="71">
        <v>40</v>
      </c>
      <c r="G176" s="71">
        <v>41</v>
      </c>
      <c r="H176" s="134">
        <v>35</v>
      </c>
      <c r="I176" s="3"/>
    </row>
    <row r="177" spans="1:9" s="93" customFormat="1" ht="9" customHeight="1" x14ac:dyDescent="0.3">
      <c r="A177" s="91"/>
      <c r="B177" s="71">
        <v>2</v>
      </c>
      <c r="C177" s="71">
        <v>18</v>
      </c>
      <c r="D177" s="71">
        <v>24</v>
      </c>
      <c r="E177" s="71">
        <v>30</v>
      </c>
      <c r="F177" s="71">
        <v>32</v>
      </c>
      <c r="G177" s="71">
        <v>45</v>
      </c>
      <c r="H177" s="134">
        <v>14</v>
      </c>
      <c r="I177" s="3"/>
    </row>
    <row r="178" spans="1:9" s="93" customFormat="1" ht="9" customHeight="1" x14ac:dyDescent="0.3">
      <c r="A178" s="91"/>
      <c r="B178" s="70">
        <v>11</v>
      </c>
      <c r="C178" s="70">
        <v>20</v>
      </c>
      <c r="D178" s="70">
        <v>29</v>
      </c>
      <c r="E178" s="70">
        <v>31</v>
      </c>
      <c r="F178" s="70">
        <v>33</v>
      </c>
      <c r="G178" s="70">
        <v>42</v>
      </c>
      <c r="H178" s="131">
        <v>43</v>
      </c>
      <c r="I178" s="3"/>
    </row>
    <row r="179" spans="1:9" s="93" customFormat="1" ht="9" customHeight="1" x14ac:dyDescent="0.3">
      <c r="A179" s="91"/>
      <c r="B179" s="71">
        <v>1</v>
      </c>
      <c r="C179" s="71">
        <v>18</v>
      </c>
      <c r="D179" s="71">
        <v>28</v>
      </c>
      <c r="E179" s="71">
        <v>31</v>
      </c>
      <c r="F179" s="71">
        <v>34</v>
      </c>
      <c r="G179" s="71">
        <v>43</v>
      </c>
      <c r="H179" s="134">
        <v>40</v>
      </c>
      <c r="I179" s="3"/>
    </row>
    <row r="180" spans="1:9" s="93" customFormat="1" ht="9" customHeight="1" x14ac:dyDescent="0.3">
      <c r="A180" s="91"/>
      <c r="B180" s="71">
        <v>6</v>
      </c>
      <c r="C180" s="71">
        <v>12</v>
      </c>
      <c r="D180" s="71">
        <v>19</v>
      </c>
      <c r="E180" s="71">
        <v>23</v>
      </c>
      <c r="F180" s="71">
        <v>34</v>
      </c>
      <c r="G180" s="71">
        <v>42</v>
      </c>
      <c r="H180" s="134">
        <v>35</v>
      </c>
      <c r="I180" s="3"/>
    </row>
    <row r="181" spans="1:9" s="93" customFormat="1" ht="9" customHeight="1" x14ac:dyDescent="0.3">
      <c r="A181" s="91"/>
      <c r="B181" s="71">
        <v>6</v>
      </c>
      <c r="C181" s="71">
        <v>21</v>
      </c>
      <c r="D181" s="71">
        <v>36</v>
      </c>
      <c r="E181" s="71">
        <v>38</v>
      </c>
      <c r="F181" s="71">
        <v>39</v>
      </c>
      <c r="G181" s="71">
        <v>43</v>
      </c>
      <c r="H181" s="134">
        <v>30</v>
      </c>
      <c r="I181" s="3"/>
    </row>
    <row r="182" spans="1:9" s="93" customFormat="1" ht="9" customHeight="1" x14ac:dyDescent="0.3">
      <c r="A182" s="91"/>
      <c r="B182" s="70">
        <v>2</v>
      </c>
      <c r="C182" s="70">
        <v>13</v>
      </c>
      <c r="D182" s="70">
        <v>25</v>
      </c>
      <c r="E182" s="70">
        <v>28</v>
      </c>
      <c r="F182" s="70">
        <v>29</v>
      </c>
      <c r="G182" s="70">
        <v>36</v>
      </c>
      <c r="H182" s="131">
        <v>34</v>
      </c>
      <c r="I182" s="3"/>
    </row>
    <row r="183" spans="1:9" s="93" customFormat="1" ht="9" customHeight="1" x14ac:dyDescent="0.3">
      <c r="A183" s="91"/>
      <c r="B183" s="71">
        <v>1</v>
      </c>
      <c r="C183" s="71">
        <v>21</v>
      </c>
      <c r="D183" s="71">
        <v>25</v>
      </c>
      <c r="E183" s="71">
        <v>29</v>
      </c>
      <c r="F183" s="71">
        <v>34</v>
      </c>
      <c r="G183" s="71">
        <v>37</v>
      </c>
      <c r="H183" s="134">
        <v>36</v>
      </c>
      <c r="I183" s="3"/>
    </row>
    <row r="184" spans="1:9" s="93" customFormat="1" ht="9" customHeight="1" x14ac:dyDescent="0.3">
      <c r="A184" s="91"/>
      <c r="B184" s="71">
        <v>1</v>
      </c>
      <c r="C184" s="71">
        <v>6</v>
      </c>
      <c r="D184" s="71">
        <v>13</v>
      </c>
      <c r="E184" s="71">
        <v>37</v>
      </c>
      <c r="F184" s="71">
        <v>38</v>
      </c>
      <c r="G184" s="71">
        <v>40</v>
      </c>
      <c r="H184" s="134">
        <v>9</v>
      </c>
      <c r="I184" s="3"/>
    </row>
    <row r="185" spans="1:9" s="93" customFormat="1" ht="9" customHeight="1" x14ac:dyDescent="0.3">
      <c r="A185" s="91"/>
      <c r="B185" s="71">
        <v>2</v>
      </c>
      <c r="C185" s="71">
        <v>5</v>
      </c>
      <c r="D185" s="71">
        <v>12</v>
      </c>
      <c r="E185" s="71">
        <v>14</v>
      </c>
      <c r="F185" s="71">
        <v>24</v>
      </c>
      <c r="G185" s="71">
        <v>39</v>
      </c>
      <c r="H185" s="134">
        <v>33</v>
      </c>
      <c r="I185" s="3"/>
    </row>
    <row r="186" spans="1:9" s="93" customFormat="1" ht="9" customHeight="1" x14ac:dyDescent="0.3">
      <c r="A186" s="91"/>
      <c r="B186" s="71">
        <v>3</v>
      </c>
      <c r="C186" s="71">
        <v>9</v>
      </c>
      <c r="D186" s="71">
        <v>10</v>
      </c>
      <c r="E186" s="71">
        <v>29</v>
      </c>
      <c r="F186" s="71">
        <v>40</v>
      </c>
      <c r="G186" s="71">
        <v>45</v>
      </c>
      <c r="H186" s="134">
        <v>7</v>
      </c>
      <c r="I186" s="3"/>
    </row>
    <row r="187" spans="1:9" s="93" customFormat="1" ht="9" customHeight="1" x14ac:dyDescent="0.3">
      <c r="A187" s="91"/>
      <c r="B187" s="71">
        <v>9</v>
      </c>
      <c r="C187" s="71">
        <v>11</v>
      </c>
      <c r="D187" s="71">
        <v>16</v>
      </c>
      <c r="E187" s="71">
        <v>21</v>
      </c>
      <c r="F187" s="71">
        <v>28</v>
      </c>
      <c r="G187" s="71">
        <v>36</v>
      </c>
      <c r="H187" s="134">
        <v>5</v>
      </c>
      <c r="I187" s="3"/>
    </row>
    <row r="188" spans="1:9" s="93" customFormat="1" ht="9" customHeight="1" x14ac:dyDescent="0.3">
      <c r="A188" s="91"/>
      <c r="B188" s="71">
        <v>2</v>
      </c>
      <c r="C188" s="71">
        <v>6</v>
      </c>
      <c r="D188" s="71">
        <v>17</v>
      </c>
      <c r="E188" s="71">
        <v>18</v>
      </c>
      <c r="F188" s="71">
        <v>21</v>
      </c>
      <c r="G188" s="71">
        <v>26</v>
      </c>
      <c r="H188" s="134">
        <v>7</v>
      </c>
      <c r="I188" s="3"/>
    </row>
    <row r="189" spans="1:9" s="93" customFormat="1" ht="9" customHeight="1" x14ac:dyDescent="0.3">
      <c r="A189" s="91"/>
      <c r="B189" s="71">
        <v>3</v>
      </c>
      <c r="C189" s="71">
        <v>6</v>
      </c>
      <c r="D189" s="71">
        <v>17</v>
      </c>
      <c r="E189" s="71">
        <v>23</v>
      </c>
      <c r="F189" s="71">
        <v>37</v>
      </c>
      <c r="G189" s="71">
        <v>39</v>
      </c>
      <c r="H189" s="134">
        <v>26</v>
      </c>
      <c r="I189" s="3"/>
    </row>
    <row r="190" spans="1:9" s="93" customFormat="1" ht="9" customHeight="1" x14ac:dyDescent="0.3">
      <c r="A190" s="91"/>
      <c r="B190" s="71">
        <v>22</v>
      </c>
      <c r="C190" s="71">
        <v>26</v>
      </c>
      <c r="D190" s="71">
        <v>31</v>
      </c>
      <c r="E190" s="71">
        <v>37</v>
      </c>
      <c r="F190" s="71">
        <v>41</v>
      </c>
      <c r="G190" s="71">
        <v>42</v>
      </c>
      <c r="H190" s="134">
        <v>24</v>
      </c>
      <c r="I190" s="3"/>
    </row>
    <row r="191" spans="1:9" s="93" customFormat="1" ht="9" customHeight="1" x14ac:dyDescent="0.3">
      <c r="A191" s="91"/>
      <c r="B191" s="71">
        <v>1</v>
      </c>
      <c r="C191" s="71">
        <v>2</v>
      </c>
      <c r="D191" s="71">
        <v>11</v>
      </c>
      <c r="E191" s="71">
        <v>16</v>
      </c>
      <c r="F191" s="71">
        <v>39</v>
      </c>
      <c r="G191" s="71">
        <v>44</v>
      </c>
      <c r="H191" s="134">
        <v>32</v>
      </c>
      <c r="I191" s="3"/>
    </row>
    <row r="192" spans="1:9" s="93" customFormat="1" ht="9" customHeight="1" x14ac:dyDescent="0.3">
      <c r="A192" s="91"/>
      <c r="B192" s="70">
        <v>7</v>
      </c>
      <c r="C192" s="70">
        <v>8</v>
      </c>
      <c r="D192" s="70">
        <v>9</v>
      </c>
      <c r="E192" s="70">
        <v>17</v>
      </c>
      <c r="F192" s="70">
        <v>22</v>
      </c>
      <c r="G192" s="70">
        <v>24</v>
      </c>
      <c r="H192" s="131">
        <v>5</v>
      </c>
      <c r="I192" s="3"/>
    </row>
    <row r="193" spans="1:9" s="93" customFormat="1" ht="9" customHeight="1" x14ac:dyDescent="0.3">
      <c r="A193" s="91"/>
      <c r="B193" s="71">
        <v>4</v>
      </c>
      <c r="C193" s="71">
        <v>12</v>
      </c>
      <c r="D193" s="71">
        <v>14</v>
      </c>
      <c r="E193" s="71">
        <v>25</v>
      </c>
      <c r="F193" s="71">
        <v>35</v>
      </c>
      <c r="G193" s="71">
        <v>37</v>
      </c>
      <c r="H193" s="134">
        <v>2</v>
      </c>
      <c r="I193" s="3"/>
    </row>
    <row r="194" spans="1:9" s="93" customFormat="1" ht="9" customHeight="1" x14ac:dyDescent="0.3">
      <c r="A194" s="91"/>
      <c r="B194" s="71">
        <v>2</v>
      </c>
      <c r="C194" s="71">
        <v>9</v>
      </c>
      <c r="D194" s="71">
        <v>10</v>
      </c>
      <c r="E194" s="71">
        <v>14</v>
      </c>
      <c r="F194" s="71">
        <v>22</v>
      </c>
      <c r="G194" s="71">
        <v>44</v>
      </c>
      <c r="H194" s="134">
        <v>16</v>
      </c>
      <c r="I194" s="3"/>
    </row>
    <row r="195" spans="1:9" s="93" customFormat="1" ht="9" customHeight="1" x14ac:dyDescent="0.3">
      <c r="A195" s="91"/>
      <c r="B195" s="70">
        <v>1</v>
      </c>
      <c r="C195" s="70">
        <v>7</v>
      </c>
      <c r="D195" s="70">
        <v>15</v>
      </c>
      <c r="E195" s="70">
        <v>32</v>
      </c>
      <c r="F195" s="70">
        <v>34</v>
      </c>
      <c r="G195" s="70">
        <v>42</v>
      </c>
      <c r="H195" s="131">
        <v>8</v>
      </c>
      <c r="I195" s="3"/>
    </row>
    <row r="196" spans="1:9" s="93" customFormat="1" ht="9" customHeight="1" x14ac:dyDescent="0.3">
      <c r="A196" s="91"/>
      <c r="B196" s="71">
        <v>7</v>
      </c>
      <c r="C196" s="71">
        <v>11</v>
      </c>
      <c r="D196" s="71">
        <v>16</v>
      </c>
      <c r="E196" s="71">
        <v>21</v>
      </c>
      <c r="F196" s="71">
        <v>27</v>
      </c>
      <c r="G196" s="71">
        <v>33</v>
      </c>
      <c r="H196" s="134">
        <v>24</v>
      </c>
      <c r="I196" s="3"/>
    </row>
    <row r="197" spans="1:9" s="93" customFormat="1" ht="9" customHeight="1" x14ac:dyDescent="0.3">
      <c r="A197" s="91"/>
      <c r="B197" s="71">
        <v>3</v>
      </c>
      <c r="C197" s="71">
        <v>13</v>
      </c>
      <c r="D197" s="71">
        <v>16</v>
      </c>
      <c r="E197" s="71">
        <v>23</v>
      </c>
      <c r="F197" s="71">
        <v>24</v>
      </c>
      <c r="G197" s="71">
        <v>35</v>
      </c>
      <c r="H197" s="134">
        <v>14</v>
      </c>
      <c r="I197" s="3"/>
    </row>
    <row r="198" spans="1:9" s="93" customFormat="1" ht="9" customHeight="1" x14ac:dyDescent="0.3">
      <c r="A198" s="91"/>
      <c r="B198" s="71">
        <v>27</v>
      </c>
      <c r="C198" s="71">
        <v>36</v>
      </c>
      <c r="D198" s="71">
        <v>37</v>
      </c>
      <c r="E198" s="71">
        <v>41</v>
      </c>
      <c r="F198" s="71">
        <v>43</v>
      </c>
      <c r="G198" s="71">
        <v>45</v>
      </c>
      <c r="H198" s="134">
        <v>32</v>
      </c>
      <c r="I198" s="3"/>
    </row>
    <row r="199" spans="1:9" s="93" customFormat="1" ht="9" customHeight="1" x14ac:dyDescent="0.3">
      <c r="A199" s="91"/>
      <c r="B199" s="70">
        <v>5</v>
      </c>
      <c r="C199" s="70">
        <v>7</v>
      </c>
      <c r="D199" s="70">
        <v>13</v>
      </c>
      <c r="E199" s="70">
        <v>20</v>
      </c>
      <c r="F199" s="70">
        <v>21</v>
      </c>
      <c r="G199" s="70">
        <v>44</v>
      </c>
      <c r="H199" s="131">
        <v>33</v>
      </c>
      <c r="I199" s="3"/>
    </row>
    <row r="200" spans="1:9" s="93" customFormat="1" ht="9" customHeight="1" x14ac:dyDescent="0.3">
      <c r="A200" s="91"/>
      <c r="B200" s="70">
        <v>13</v>
      </c>
      <c r="C200" s="70">
        <v>23</v>
      </c>
      <c r="D200" s="70">
        <v>26</v>
      </c>
      <c r="E200" s="70">
        <v>31</v>
      </c>
      <c r="F200" s="70">
        <v>35</v>
      </c>
      <c r="G200" s="70">
        <v>43</v>
      </c>
      <c r="H200" s="131">
        <v>15</v>
      </c>
      <c r="I200" s="3"/>
    </row>
    <row r="201" spans="1:9" s="93" customFormat="1" ht="9" customHeight="1" x14ac:dyDescent="0.3">
      <c r="A201" s="91"/>
      <c r="B201" s="71">
        <v>3</v>
      </c>
      <c r="C201" s="71">
        <v>10</v>
      </c>
      <c r="D201" s="71">
        <v>23</v>
      </c>
      <c r="E201" s="71">
        <v>35</v>
      </c>
      <c r="F201" s="71">
        <v>36</v>
      </c>
      <c r="G201" s="71">
        <v>37</v>
      </c>
      <c r="H201" s="134">
        <v>18</v>
      </c>
      <c r="I201" s="3"/>
    </row>
    <row r="202" spans="1:9" s="93" customFormat="1" ht="9" customHeight="1" x14ac:dyDescent="0.3">
      <c r="A202" s="91"/>
      <c r="B202" s="71">
        <v>17</v>
      </c>
      <c r="C202" s="71">
        <v>21</v>
      </c>
      <c r="D202" s="71">
        <v>23</v>
      </c>
      <c r="E202" s="71">
        <v>30</v>
      </c>
      <c r="F202" s="71">
        <v>34</v>
      </c>
      <c r="G202" s="71">
        <v>44</v>
      </c>
      <c r="H202" s="134">
        <v>19</v>
      </c>
      <c r="I202" s="3"/>
    </row>
    <row r="203" spans="1:9" s="93" customFormat="1" ht="9" customHeight="1" x14ac:dyDescent="0.3">
      <c r="A203" s="91"/>
      <c r="B203" s="71">
        <v>7</v>
      </c>
      <c r="C203" s="71">
        <v>10</v>
      </c>
      <c r="D203" s="71">
        <v>16</v>
      </c>
      <c r="E203" s="71">
        <v>28</v>
      </c>
      <c r="F203" s="71">
        <v>41</v>
      </c>
      <c r="G203" s="71">
        <v>42</v>
      </c>
      <c r="H203" s="134">
        <v>40</v>
      </c>
      <c r="I203" s="3"/>
    </row>
    <row r="204" spans="1:9" s="93" customFormat="1" ht="9" customHeight="1" x14ac:dyDescent="0.3">
      <c r="A204" s="91"/>
      <c r="B204" s="70">
        <v>2</v>
      </c>
      <c r="C204" s="70">
        <v>4</v>
      </c>
      <c r="D204" s="70">
        <v>15</v>
      </c>
      <c r="E204" s="70">
        <v>23</v>
      </c>
      <c r="F204" s="70">
        <v>29</v>
      </c>
      <c r="G204" s="70">
        <v>38</v>
      </c>
      <c r="H204" s="131">
        <v>7</v>
      </c>
      <c r="I204" s="3"/>
    </row>
    <row r="205" spans="1:9" s="93" customFormat="1" ht="9" customHeight="1" x14ac:dyDescent="0.3">
      <c r="A205" s="91"/>
      <c r="B205" s="71">
        <v>2</v>
      </c>
      <c r="C205" s="71">
        <v>13</v>
      </c>
      <c r="D205" s="71">
        <v>20</v>
      </c>
      <c r="E205" s="71">
        <v>30</v>
      </c>
      <c r="F205" s="71">
        <v>31</v>
      </c>
      <c r="G205" s="71">
        <v>41</v>
      </c>
      <c r="H205" s="134">
        <v>27</v>
      </c>
      <c r="I205" s="3"/>
    </row>
    <row r="206" spans="1:9" s="93" customFormat="1" ht="9" customHeight="1" x14ac:dyDescent="0.3">
      <c r="A206" s="91"/>
      <c r="B206" s="71">
        <v>17</v>
      </c>
      <c r="C206" s="71">
        <v>18</v>
      </c>
      <c r="D206" s="71">
        <v>21</v>
      </c>
      <c r="E206" s="71">
        <v>27</v>
      </c>
      <c r="F206" s="71">
        <v>29</v>
      </c>
      <c r="G206" s="71">
        <v>33</v>
      </c>
      <c r="H206" s="134">
        <v>26</v>
      </c>
      <c r="I206" s="3"/>
    </row>
    <row r="207" spans="1:9" s="93" customFormat="1" ht="9" customHeight="1" x14ac:dyDescent="0.3">
      <c r="A207" s="91"/>
      <c r="B207" s="71">
        <v>2</v>
      </c>
      <c r="C207" s="71">
        <v>4</v>
      </c>
      <c r="D207" s="71">
        <v>25</v>
      </c>
      <c r="E207" s="71">
        <v>26</v>
      </c>
      <c r="F207" s="71">
        <v>36</v>
      </c>
      <c r="G207" s="71">
        <v>37</v>
      </c>
      <c r="H207" s="134">
        <v>28</v>
      </c>
      <c r="I207" s="3"/>
    </row>
    <row r="208" spans="1:9" s="93" customFormat="1" ht="9" customHeight="1" x14ac:dyDescent="0.3">
      <c r="A208" s="91"/>
      <c r="B208" s="71">
        <v>13</v>
      </c>
      <c r="C208" s="71">
        <v>18</v>
      </c>
      <c r="D208" s="71">
        <v>25</v>
      </c>
      <c r="E208" s="71">
        <v>31</v>
      </c>
      <c r="F208" s="71">
        <v>33</v>
      </c>
      <c r="G208" s="71">
        <v>44</v>
      </c>
      <c r="H208" s="134">
        <v>38</v>
      </c>
      <c r="I208" s="3"/>
    </row>
    <row r="209" spans="1:9" s="93" customFormat="1" ht="9" customHeight="1" x14ac:dyDescent="0.3">
      <c r="A209" s="91"/>
      <c r="B209" s="70">
        <v>12</v>
      </c>
      <c r="C209" s="70">
        <v>20</v>
      </c>
      <c r="D209" s="70">
        <v>26</v>
      </c>
      <c r="E209" s="70">
        <v>33</v>
      </c>
      <c r="F209" s="70">
        <v>44</v>
      </c>
      <c r="G209" s="70">
        <v>45</v>
      </c>
      <c r="H209" s="131">
        <v>24</v>
      </c>
      <c r="I209" s="3"/>
    </row>
    <row r="210" spans="1:9" s="93" customFormat="1" ht="9" customHeight="1" x14ac:dyDescent="0.3">
      <c r="A210" s="91"/>
      <c r="B210" s="70">
        <v>6</v>
      </c>
      <c r="C210" s="70">
        <v>14</v>
      </c>
      <c r="D210" s="70">
        <v>16</v>
      </c>
      <c r="E210" s="70">
        <v>18</v>
      </c>
      <c r="F210" s="70">
        <v>24</v>
      </c>
      <c r="G210" s="70">
        <v>42</v>
      </c>
      <c r="H210" s="131">
        <v>44</v>
      </c>
      <c r="I210" s="3"/>
    </row>
    <row r="211" spans="1:9" s="93" customFormat="1" ht="9" customHeight="1" x14ac:dyDescent="0.3">
      <c r="A211" s="91"/>
      <c r="B211" s="70">
        <v>1</v>
      </c>
      <c r="C211" s="70">
        <v>3</v>
      </c>
      <c r="D211" s="70">
        <v>8</v>
      </c>
      <c r="E211" s="70">
        <v>24</v>
      </c>
      <c r="F211" s="70">
        <v>27</v>
      </c>
      <c r="G211" s="70">
        <v>35</v>
      </c>
      <c r="H211" s="131">
        <v>28</v>
      </c>
      <c r="I211" s="3"/>
    </row>
    <row r="212" spans="1:9" s="93" customFormat="1" ht="9" customHeight="1" x14ac:dyDescent="0.3">
      <c r="A212" s="91"/>
      <c r="B212" s="70">
        <v>1</v>
      </c>
      <c r="C212" s="70">
        <v>4</v>
      </c>
      <c r="D212" s="70">
        <v>13</v>
      </c>
      <c r="E212" s="70">
        <v>29</v>
      </c>
      <c r="F212" s="70">
        <v>38</v>
      </c>
      <c r="G212" s="70">
        <v>39</v>
      </c>
      <c r="H212" s="131">
        <v>7</v>
      </c>
      <c r="I212" s="3"/>
    </row>
    <row r="213" spans="1:9" s="93" customFormat="1" ht="9" customHeight="1" x14ac:dyDescent="0.3">
      <c r="A213" s="91"/>
      <c r="B213" s="71">
        <v>6</v>
      </c>
      <c r="C213" s="71">
        <v>11</v>
      </c>
      <c r="D213" s="71">
        <v>15</v>
      </c>
      <c r="E213" s="71">
        <v>24</v>
      </c>
      <c r="F213" s="71">
        <v>32</v>
      </c>
      <c r="G213" s="71">
        <v>39</v>
      </c>
      <c r="H213" s="134">
        <v>28</v>
      </c>
      <c r="I213" s="3"/>
    </row>
    <row r="214" spans="1:9" s="93" customFormat="1" ht="9" customHeight="1" x14ac:dyDescent="0.3">
      <c r="A214" s="91"/>
      <c r="B214" s="71">
        <v>4</v>
      </c>
      <c r="C214" s="71">
        <v>7</v>
      </c>
      <c r="D214" s="71">
        <v>14</v>
      </c>
      <c r="E214" s="71">
        <v>16</v>
      </c>
      <c r="F214" s="71">
        <v>24</v>
      </c>
      <c r="G214" s="71">
        <v>44</v>
      </c>
      <c r="H214" s="134">
        <v>20</v>
      </c>
      <c r="I214" s="3"/>
    </row>
    <row r="215" spans="1:9" s="93" customFormat="1" ht="9" customHeight="1" x14ac:dyDescent="0.3">
      <c r="A215" s="91"/>
      <c r="B215" s="71">
        <v>13</v>
      </c>
      <c r="C215" s="71">
        <v>17</v>
      </c>
      <c r="D215" s="71">
        <v>18</v>
      </c>
      <c r="E215" s="71">
        <v>20</v>
      </c>
      <c r="F215" s="71">
        <v>42</v>
      </c>
      <c r="G215" s="71">
        <v>45</v>
      </c>
      <c r="H215" s="134">
        <v>41</v>
      </c>
      <c r="I215" s="3"/>
    </row>
    <row r="216" spans="1:9" s="93" customFormat="1" ht="9" customHeight="1" x14ac:dyDescent="0.3">
      <c r="A216" s="91"/>
      <c r="B216" s="70">
        <v>1</v>
      </c>
      <c r="C216" s="70">
        <v>3</v>
      </c>
      <c r="D216" s="70">
        <v>9</v>
      </c>
      <c r="E216" s="70">
        <v>14</v>
      </c>
      <c r="F216" s="70">
        <v>18</v>
      </c>
      <c r="G216" s="70">
        <v>28</v>
      </c>
      <c r="H216" s="131">
        <v>34</v>
      </c>
      <c r="I216" s="3"/>
    </row>
    <row r="217" spans="1:9" s="93" customFormat="1" ht="9" customHeight="1" x14ac:dyDescent="0.3">
      <c r="A217" s="91"/>
      <c r="B217" s="71">
        <v>2</v>
      </c>
      <c r="C217" s="71">
        <v>8</v>
      </c>
      <c r="D217" s="71">
        <v>19</v>
      </c>
      <c r="E217" s="71">
        <v>22</v>
      </c>
      <c r="F217" s="71">
        <v>32</v>
      </c>
      <c r="G217" s="71">
        <v>42</v>
      </c>
      <c r="H217" s="134">
        <v>39</v>
      </c>
      <c r="I217" s="3"/>
    </row>
    <row r="218" spans="1:9" s="93" customFormat="1" ht="9" customHeight="1" x14ac:dyDescent="0.3">
      <c r="A218" s="91"/>
      <c r="B218" s="71">
        <v>6</v>
      </c>
      <c r="C218" s="71">
        <v>10</v>
      </c>
      <c r="D218" s="71">
        <v>12</v>
      </c>
      <c r="E218" s="71">
        <v>14</v>
      </c>
      <c r="F218" s="71">
        <v>20</v>
      </c>
      <c r="G218" s="71">
        <v>42</v>
      </c>
      <c r="H218" s="134">
        <v>15</v>
      </c>
      <c r="I218" s="3"/>
    </row>
    <row r="219" spans="1:9" s="93" customFormat="1" ht="9" customHeight="1" x14ac:dyDescent="0.3">
      <c r="A219" s="91"/>
      <c r="B219" s="71">
        <v>17</v>
      </c>
      <c r="C219" s="71">
        <v>25</v>
      </c>
      <c r="D219" s="71">
        <v>33</v>
      </c>
      <c r="E219" s="71">
        <v>35</v>
      </c>
      <c r="F219" s="71">
        <v>38</v>
      </c>
      <c r="G219" s="71">
        <v>45</v>
      </c>
      <c r="H219" s="134">
        <v>15</v>
      </c>
      <c r="I219" s="3"/>
    </row>
    <row r="220" spans="1:9" s="93" customFormat="1" ht="9" customHeight="1" x14ac:dyDescent="0.3">
      <c r="A220" s="91"/>
      <c r="B220" s="70">
        <v>1</v>
      </c>
      <c r="C220" s="70">
        <v>4</v>
      </c>
      <c r="D220" s="70">
        <v>29</v>
      </c>
      <c r="E220" s="70">
        <v>39</v>
      </c>
      <c r="F220" s="70">
        <v>43</v>
      </c>
      <c r="G220" s="70">
        <v>45</v>
      </c>
      <c r="H220" s="131">
        <v>31</v>
      </c>
      <c r="I220" s="3"/>
    </row>
    <row r="221" spans="1:9" s="93" customFormat="1" ht="9" customHeight="1" x14ac:dyDescent="0.3">
      <c r="A221" s="91"/>
      <c r="B221" s="70">
        <v>7</v>
      </c>
      <c r="C221" s="70">
        <v>15</v>
      </c>
      <c r="D221" s="70">
        <v>30</v>
      </c>
      <c r="E221" s="70">
        <v>37</v>
      </c>
      <c r="F221" s="70">
        <v>39</v>
      </c>
      <c r="G221" s="70">
        <v>44</v>
      </c>
      <c r="H221" s="131">
        <v>18</v>
      </c>
      <c r="I221" s="3"/>
    </row>
    <row r="222" spans="1:9" s="93" customFormat="1" ht="9" customHeight="1" x14ac:dyDescent="0.3">
      <c r="A222" s="91"/>
      <c r="B222" s="71">
        <v>8</v>
      </c>
      <c r="C222" s="71">
        <v>13</v>
      </c>
      <c r="D222" s="71">
        <v>18</v>
      </c>
      <c r="E222" s="71">
        <v>24</v>
      </c>
      <c r="F222" s="71">
        <v>27</v>
      </c>
      <c r="G222" s="71">
        <v>29</v>
      </c>
      <c r="H222" s="134">
        <v>17</v>
      </c>
      <c r="I222" s="3"/>
    </row>
    <row r="223" spans="1:9" s="93" customFormat="1" ht="9" customHeight="1" x14ac:dyDescent="0.3">
      <c r="A223" s="91"/>
      <c r="B223" s="71">
        <v>8</v>
      </c>
      <c r="C223" s="71">
        <v>11</v>
      </c>
      <c r="D223" s="71">
        <v>15</v>
      </c>
      <c r="E223" s="71">
        <v>16</v>
      </c>
      <c r="F223" s="71">
        <v>17</v>
      </c>
      <c r="G223" s="71">
        <v>37</v>
      </c>
      <c r="H223" s="134">
        <v>36</v>
      </c>
      <c r="I223" s="3"/>
    </row>
    <row r="224" spans="1:9" s="93" customFormat="1" ht="9" customHeight="1" x14ac:dyDescent="0.3">
      <c r="A224" s="91"/>
      <c r="B224" s="70">
        <v>8</v>
      </c>
      <c r="C224" s="70">
        <v>11</v>
      </c>
      <c r="D224" s="70">
        <v>16</v>
      </c>
      <c r="E224" s="70">
        <v>19</v>
      </c>
      <c r="F224" s="70">
        <v>21</v>
      </c>
      <c r="G224" s="70">
        <v>25</v>
      </c>
      <c r="H224" s="131">
        <v>40</v>
      </c>
      <c r="I224" s="3"/>
    </row>
    <row r="225" spans="1:9" s="93" customFormat="1" ht="9" customHeight="1" x14ac:dyDescent="0.3">
      <c r="A225" s="91"/>
      <c r="B225" s="70">
        <v>9</v>
      </c>
      <c r="C225" s="70">
        <v>11</v>
      </c>
      <c r="D225" s="70">
        <v>30</v>
      </c>
      <c r="E225" s="70">
        <v>31</v>
      </c>
      <c r="F225" s="70">
        <v>41</v>
      </c>
      <c r="G225" s="70">
        <v>44</v>
      </c>
      <c r="H225" s="131">
        <v>33</v>
      </c>
      <c r="I225" s="3"/>
    </row>
    <row r="226" spans="1:9" s="93" customFormat="1" ht="9" customHeight="1" x14ac:dyDescent="0.3">
      <c r="A226" s="91"/>
      <c r="B226" s="71">
        <v>15</v>
      </c>
      <c r="C226" s="71">
        <v>23</v>
      </c>
      <c r="D226" s="71">
        <v>29</v>
      </c>
      <c r="E226" s="71">
        <v>34</v>
      </c>
      <c r="F226" s="71">
        <v>40</v>
      </c>
      <c r="G226" s="71">
        <v>44</v>
      </c>
      <c r="H226" s="134">
        <v>20</v>
      </c>
      <c r="I226" s="3"/>
    </row>
    <row r="227" spans="1:9" s="93" customFormat="1" ht="9" customHeight="1" x14ac:dyDescent="0.3">
      <c r="A227" s="91"/>
      <c r="B227" s="71">
        <v>9</v>
      </c>
      <c r="C227" s="71">
        <v>12</v>
      </c>
      <c r="D227" s="71">
        <v>15</v>
      </c>
      <c r="E227" s="71">
        <v>25</v>
      </c>
      <c r="F227" s="71">
        <v>34</v>
      </c>
      <c r="G227" s="71">
        <v>36</v>
      </c>
      <c r="H227" s="134">
        <v>3</v>
      </c>
      <c r="I227" s="3"/>
    </row>
    <row r="228" spans="1:9" s="93" customFormat="1" ht="9" customHeight="1" x14ac:dyDescent="0.3">
      <c r="A228" s="91"/>
      <c r="B228" s="70">
        <v>1</v>
      </c>
      <c r="C228" s="70">
        <v>9</v>
      </c>
      <c r="D228" s="70">
        <v>12</v>
      </c>
      <c r="E228" s="70">
        <v>26</v>
      </c>
      <c r="F228" s="70">
        <v>35</v>
      </c>
      <c r="G228" s="70">
        <v>38</v>
      </c>
      <c r="H228" s="131">
        <v>42</v>
      </c>
      <c r="I228" s="3"/>
    </row>
    <row r="229" spans="1:9" s="93" customFormat="1" ht="9" customHeight="1" x14ac:dyDescent="0.3">
      <c r="A229" s="91"/>
      <c r="B229" s="71">
        <v>5</v>
      </c>
      <c r="C229" s="71">
        <v>11</v>
      </c>
      <c r="D229" s="71">
        <v>18</v>
      </c>
      <c r="E229" s="71">
        <v>20</v>
      </c>
      <c r="F229" s="71">
        <v>35</v>
      </c>
      <c r="G229" s="71">
        <v>45</v>
      </c>
      <c r="H229" s="134">
        <v>3</v>
      </c>
      <c r="I229" s="3"/>
    </row>
    <row r="230" spans="1:9" s="93" customFormat="1" ht="9" customHeight="1" x14ac:dyDescent="0.3">
      <c r="A230" s="91"/>
      <c r="B230" s="71">
        <v>21</v>
      </c>
      <c r="C230" s="71">
        <v>22</v>
      </c>
      <c r="D230" s="71">
        <v>26</v>
      </c>
      <c r="E230" s="71">
        <v>34</v>
      </c>
      <c r="F230" s="71">
        <v>36</v>
      </c>
      <c r="G230" s="71">
        <v>41</v>
      </c>
      <c r="H230" s="134">
        <v>32</v>
      </c>
      <c r="I230" s="3"/>
    </row>
    <row r="231" spans="1:9" s="93" customFormat="1" ht="9" customHeight="1" x14ac:dyDescent="0.3">
      <c r="A231" s="91"/>
      <c r="B231" s="71">
        <v>3</v>
      </c>
      <c r="C231" s="71">
        <v>11</v>
      </c>
      <c r="D231" s="71">
        <v>14</v>
      </c>
      <c r="E231" s="71">
        <v>18</v>
      </c>
      <c r="F231" s="71">
        <v>26</v>
      </c>
      <c r="G231" s="71">
        <v>27</v>
      </c>
      <c r="H231" s="134">
        <v>21</v>
      </c>
      <c r="I231" s="3"/>
    </row>
    <row r="232" spans="1:9" s="93" customFormat="1" ht="9" customHeight="1" x14ac:dyDescent="0.3">
      <c r="A232" s="91"/>
      <c r="B232" s="71">
        <v>14</v>
      </c>
      <c r="C232" s="71">
        <v>23</v>
      </c>
      <c r="D232" s="71">
        <v>31</v>
      </c>
      <c r="E232" s="71">
        <v>33</v>
      </c>
      <c r="F232" s="71">
        <v>37</v>
      </c>
      <c r="G232" s="71">
        <v>40</v>
      </c>
      <c r="H232" s="134">
        <v>44</v>
      </c>
      <c r="I232" s="3"/>
    </row>
    <row r="233" spans="1:9" s="93" customFormat="1" ht="9" customHeight="1" x14ac:dyDescent="0.3">
      <c r="A233" s="91"/>
      <c r="B233" s="71">
        <v>15</v>
      </c>
      <c r="C233" s="71">
        <v>26</v>
      </c>
      <c r="D233" s="71">
        <v>28</v>
      </c>
      <c r="E233" s="71">
        <v>34</v>
      </c>
      <c r="F233" s="71">
        <v>41</v>
      </c>
      <c r="G233" s="71">
        <v>42</v>
      </c>
      <c r="H233" s="134">
        <v>44</v>
      </c>
      <c r="I233" s="3"/>
    </row>
    <row r="234" spans="1:9" s="93" customFormat="1" ht="9" customHeight="1" x14ac:dyDescent="0.3">
      <c r="A234" s="91"/>
      <c r="B234" s="70">
        <v>12</v>
      </c>
      <c r="C234" s="70">
        <v>18</v>
      </c>
      <c r="D234" s="70">
        <v>22</v>
      </c>
      <c r="E234" s="70">
        <v>23</v>
      </c>
      <c r="F234" s="70">
        <v>30</v>
      </c>
      <c r="G234" s="70">
        <v>34</v>
      </c>
      <c r="H234" s="131">
        <v>32</v>
      </c>
      <c r="I234" s="3"/>
    </row>
    <row r="235" spans="1:9" s="93" customFormat="1" ht="9" customHeight="1" x14ac:dyDescent="0.3">
      <c r="A235" s="91"/>
      <c r="B235" s="70">
        <v>3</v>
      </c>
      <c r="C235" s="70">
        <v>19</v>
      </c>
      <c r="D235" s="70">
        <v>21</v>
      </c>
      <c r="E235" s="70">
        <v>25</v>
      </c>
      <c r="F235" s="70">
        <v>37</v>
      </c>
      <c r="G235" s="70">
        <v>45</v>
      </c>
      <c r="H235" s="131">
        <v>35</v>
      </c>
      <c r="I235" s="3"/>
    </row>
    <row r="236" spans="1:9" s="93" customFormat="1" ht="9" customHeight="1" x14ac:dyDescent="0.3">
      <c r="A236" s="91"/>
      <c r="B236" s="70">
        <v>1</v>
      </c>
      <c r="C236" s="70">
        <v>4</v>
      </c>
      <c r="D236" s="70">
        <v>13</v>
      </c>
      <c r="E236" s="70">
        <v>17</v>
      </c>
      <c r="F236" s="70">
        <v>34</v>
      </c>
      <c r="G236" s="70">
        <v>39</v>
      </c>
      <c r="H236" s="131">
        <v>6</v>
      </c>
      <c r="I236" s="3"/>
    </row>
    <row r="237" spans="1:9" s="93" customFormat="1" ht="9" customHeight="1" x14ac:dyDescent="0.3">
      <c r="A237" s="91"/>
      <c r="B237" s="71">
        <v>12</v>
      </c>
      <c r="C237" s="71">
        <v>27</v>
      </c>
      <c r="D237" s="71">
        <v>29</v>
      </c>
      <c r="E237" s="71">
        <v>38</v>
      </c>
      <c r="F237" s="71">
        <v>41</v>
      </c>
      <c r="G237" s="71">
        <v>45</v>
      </c>
      <c r="H237" s="134">
        <v>6</v>
      </c>
      <c r="I237" s="3"/>
    </row>
    <row r="238" spans="1:9" s="93" customFormat="1" ht="9" customHeight="1" x14ac:dyDescent="0.3">
      <c r="A238" s="91"/>
      <c r="B238" s="70">
        <v>12</v>
      </c>
      <c r="C238" s="70">
        <v>15</v>
      </c>
      <c r="D238" s="70">
        <v>17</v>
      </c>
      <c r="E238" s="70">
        <v>24</v>
      </c>
      <c r="F238" s="70">
        <v>29</v>
      </c>
      <c r="G238" s="70">
        <v>45</v>
      </c>
      <c r="H238" s="131">
        <v>16</v>
      </c>
      <c r="I238" s="3"/>
    </row>
    <row r="239" spans="1:9" s="93" customFormat="1" ht="9" customHeight="1" x14ac:dyDescent="0.3">
      <c r="A239" s="91"/>
      <c r="B239" s="71">
        <v>5</v>
      </c>
      <c r="C239" s="71">
        <v>6</v>
      </c>
      <c r="D239" s="71">
        <v>11</v>
      </c>
      <c r="E239" s="71">
        <v>29</v>
      </c>
      <c r="F239" s="71">
        <v>42</v>
      </c>
      <c r="G239" s="71">
        <v>45</v>
      </c>
      <c r="H239" s="134">
        <v>28</v>
      </c>
      <c r="I239" s="3"/>
    </row>
    <row r="240" spans="1:9" s="93" customFormat="1" ht="9" customHeight="1" x14ac:dyDescent="0.3">
      <c r="A240" s="91"/>
      <c r="B240" s="71">
        <v>10</v>
      </c>
      <c r="C240" s="71">
        <v>14</v>
      </c>
      <c r="D240" s="71">
        <v>16</v>
      </c>
      <c r="E240" s="71">
        <v>18</v>
      </c>
      <c r="F240" s="71">
        <v>29</v>
      </c>
      <c r="G240" s="71">
        <v>35</v>
      </c>
      <c r="H240" s="134">
        <v>25</v>
      </c>
      <c r="I240" s="3"/>
    </row>
    <row r="241" spans="1:9" s="93" customFormat="1" ht="9" customHeight="1" x14ac:dyDescent="0.3">
      <c r="A241" s="91"/>
      <c r="B241" s="71">
        <v>9</v>
      </c>
      <c r="C241" s="71">
        <v>18</v>
      </c>
      <c r="D241" s="71">
        <v>20</v>
      </c>
      <c r="E241" s="71">
        <v>22</v>
      </c>
      <c r="F241" s="71">
        <v>38</v>
      </c>
      <c r="G241" s="71">
        <v>44</v>
      </c>
      <c r="H241" s="134">
        <v>10</v>
      </c>
      <c r="I241" s="3"/>
    </row>
    <row r="242" spans="1:9" s="93" customFormat="1" ht="9" customHeight="1" x14ac:dyDescent="0.3">
      <c r="A242" s="91"/>
      <c r="B242" s="71">
        <v>8</v>
      </c>
      <c r="C242" s="71">
        <v>9</v>
      </c>
      <c r="D242" s="71">
        <v>20</v>
      </c>
      <c r="E242" s="71">
        <v>25</v>
      </c>
      <c r="F242" s="71">
        <v>29</v>
      </c>
      <c r="G242" s="71">
        <v>33</v>
      </c>
      <c r="H242" s="134">
        <v>7</v>
      </c>
      <c r="I242" s="3"/>
    </row>
    <row r="243" spans="1:9" s="93" customFormat="1" ht="9" customHeight="1" x14ac:dyDescent="0.3">
      <c r="A243" s="91"/>
      <c r="B243" s="71">
        <v>5</v>
      </c>
      <c r="C243" s="71">
        <v>12</v>
      </c>
      <c r="D243" s="71">
        <v>13</v>
      </c>
      <c r="E243" s="71">
        <v>31</v>
      </c>
      <c r="F243" s="71">
        <v>32</v>
      </c>
      <c r="G243" s="71">
        <v>41</v>
      </c>
      <c r="H243" s="134">
        <v>34</v>
      </c>
      <c r="I243" s="3"/>
    </row>
    <row r="244" spans="1:9" s="93" customFormat="1" ht="9" customHeight="1" x14ac:dyDescent="0.3">
      <c r="A244" s="91"/>
      <c r="B244" s="71">
        <v>14</v>
      </c>
      <c r="C244" s="71">
        <v>16</v>
      </c>
      <c r="D244" s="71">
        <v>27</v>
      </c>
      <c r="E244" s="71">
        <v>35</v>
      </c>
      <c r="F244" s="71">
        <v>39</v>
      </c>
      <c r="G244" s="71">
        <v>45</v>
      </c>
      <c r="H244" s="134">
        <v>5</v>
      </c>
      <c r="I244" s="3"/>
    </row>
    <row r="245" spans="1:9" s="93" customFormat="1" ht="9" customHeight="1" x14ac:dyDescent="0.3">
      <c r="A245" s="91"/>
      <c r="B245" s="71">
        <v>5</v>
      </c>
      <c r="C245" s="71">
        <v>7</v>
      </c>
      <c r="D245" s="71">
        <v>12</v>
      </c>
      <c r="E245" s="71">
        <v>13</v>
      </c>
      <c r="F245" s="71">
        <v>18</v>
      </c>
      <c r="G245" s="71">
        <v>35</v>
      </c>
      <c r="H245" s="134">
        <v>23</v>
      </c>
      <c r="I245" s="3"/>
    </row>
    <row r="246" spans="1:9" s="93" customFormat="1" ht="9" customHeight="1" x14ac:dyDescent="0.3">
      <c r="A246" s="91"/>
      <c r="B246" s="71">
        <v>12</v>
      </c>
      <c r="C246" s="71">
        <v>30</v>
      </c>
      <c r="D246" s="71">
        <v>32</v>
      </c>
      <c r="E246" s="71">
        <v>37</v>
      </c>
      <c r="F246" s="71">
        <v>39</v>
      </c>
      <c r="G246" s="71">
        <v>41</v>
      </c>
      <c r="H246" s="134">
        <v>24</v>
      </c>
      <c r="I246" s="3"/>
    </row>
    <row r="247" spans="1:9" s="93" customFormat="1" ht="9" customHeight="1" x14ac:dyDescent="0.3">
      <c r="A247" s="91"/>
      <c r="B247" s="71">
        <v>2</v>
      </c>
      <c r="C247" s="71">
        <v>5</v>
      </c>
      <c r="D247" s="71">
        <v>11</v>
      </c>
      <c r="E247" s="71">
        <v>17</v>
      </c>
      <c r="F247" s="71">
        <v>24</v>
      </c>
      <c r="G247" s="71">
        <v>29</v>
      </c>
      <c r="H247" s="134">
        <v>9</v>
      </c>
      <c r="I247" s="3"/>
    </row>
    <row r="248" spans="1:9" s="93" customFormat="1" ht="9" customHeight="1" x14ac:dyDescent="0.3">
      <c r="A248" s="91"/>
      <c r="B248" s="71">
        <v>6</v>
      </c>
      <c r="C248" s="71">
        <v>7</v>
      </c>
      <c r="D248" s="71">
        <v>22</v>
      </c>
      <c r="E248" s="71">
        <v>32</v>
      </c>
      <c r="F248" s="71">
        <v>35</v>
      </c>
      <c r="G248" s="71">
        <v>36</v>
      </c>
      <c r="H248" s="134">
        <v>19</v>
      </c>
      <c r="I248" s="3"/>
    </row>
    <row r="249" spans="1:9" s="93" customFormat="1" ht="9" customHeight="1" x14ac:dyDescent="0.3">
      <c r="A249" s="91"/>
      <c r="B249" s="71">
        <v>1</v>
      </c>
      <c r="C249" s="71">
        <v>6</v>
      </c>
      <c r="D249" s="71">
        <v>12</v>
      </c>
      <c r="E249" s="71">
        <v>19</v>
      </c>
      <c r="F249" s="71">
        <v>36</v>
      </c>
      <c r="G249" s="71">
        <v>42</v>
      </c>
      <c r="H249" s="134">
        <v>28</v>
      </c>
      <c r="I249" s="3"/>
    </row>
    <row r="250" spans="1:9" s="93" customFormat="1" ht="9" customHeight="1" x14ac:dyDescent="0.3">
      <c r="A250" s="91"/>
      <c r="B250" s="71">
        <v>3</v>
      </c>
      <c r="C250" s="71">
        <v>11</v>
      </c>
      <c r="D250" s="71">
        <v>15</v>
      </c>
      <c r="E250" s="71">
        <v>20</v>
      </c>
      <c r="F250" s="71">
        <v>35</v>
      </c>
      <c r="G250" s="71">
        <v>44</v>
      </c>
      <c r="H250" s="134">
        <v>10</v>
      </c>
      <c r="I250" s="3"/>
    </row>
    <row r="251" spans="1:9" s="93" customFormat="1" ht="9" customHeight="1" x14ac:dyDescent="0.3">
      <c r="A251" s="91"/>
      <c r="B251" s="71">
        <v>26</v>
      </c>
      <c r="C251" s="71">
        <v>31</v>
      </c>
      <c r="D251" s="71">
        <v>32</v>
      </c>
      <c r="E251" s="71">
        <v>33</v>
      </c>
      <c r="F251" s="71">
        <v>38</v>
      </c>
      <c r="G251" s="71">
        <v>40</v>
      </c>
      <c r="H251" s="134">
        <v>11</v>
      </c>
      <c r="I251" s="3"/>
    </row>
    <row r="252" spans="1:9" s="93" customFormat="1" ht="9" customHeight="1" x14ac:dyDescent="0.3">
      <c r="A252" s="91"/>
      <c r="B252" s="70">
        <v>9</v>
      </c>
      <c r="C252" s="70">
        <v>14</v>
      </c>
      <c r="D252" s="70">
        <v>34</v>
      </c>
      <c r="E252" s="70">
        <v>35</v>
      </c>
      <c r="F252" s="70">
        <v>41</v>
      </c>
      <c r="G252" s="70">
        <v>42</v>
      </c>
      <c r="H252" s="131">
        <v>2</v>
      </c>
      <c r="I252" s="3"/>
    </row>
    <row r="253" spans="1:9" s="93" customFormat="1" ht="9" customHeight="1" x14ac:dyDescent="0.3">
      <c r="A253" s="91"/>
      <c r="B253" s="71">
        <v>2</v>
      </c>
      <c r="C253" s="71">
        <v>5</v>
      </c>
      <c r="D253" s="71">
        <v>22</v>
      </c>
      <c r="E253" s="71">
        <v>32</v>
      </c>
      <c r="F253" s="71">
        <v>34</v>
      </c>
      <c r="G253" s="71">
        <v>45</v>
      </c>
      <c r="H253" s="134">
        <v>39</v>
      </c>
      <c r="I253" s="3"/>
    </row>
    <row r="254" spans="1:9" s="93" customFormat="1" ht="9" customHeight="1" x14ac:dyDescent="0.3">
      <c r="A254" s="91"/>
      <c r="B254" s="71">
        <v>2</v>
      </c>
      <c r="C254" s="71">
        <v>14</v>
      </c>
      <c r="D254" s="71">
        <v>15</v>
      </c>
      <c r="E254" s="71">
        <v>22</v>
      </c>
      <c r="F254" s="71">
        <v>27</v>
      </c>
      <c r="G254" s="71">
        <v>33</v>
      </c>
      <c r="H254" s="134">
        <v>31</v>
      </c>
      <c r="I254" s="3"/>
    </row>
    <row r="255" spans="1:9" s="93" customFormat="1" ht="9" customHeight="1" x14ac:dyDescent="0.3">
      <c r="A255" s="91"/>
      <c r="B255" s="70">
        <v>7</v>
      </c>
      <c r="C255" s="70">
        <v>16</v>
      </c>
      <c r="D255" s="70">
        <v>24</v>
      </c>
      <c r="E255" s="70">
        <v>27</v>
      </c>
      <c r="F255" s="70">
        <v>37</v>
      </c>
      <c r="G255" s="70">
        <v>44</v>
      </c>
      <c r="H255" s="131">
        <v>2</v>
      </c>
      <c r="I255" s="3"/>
    </row>
    <row r="256" spans="1:9" s="93" customFormat="1" ht="9" customHeight="1" x14ac:dyDescent="0.3">
      <c r="A256" s="91"/>
      <c r="B256" s="70">
        <v>2</v>
      </c>
      <c r="C256" s="70">
        <v>3</v>
      </c>
      <c r="D256" s="70">
        <v>6</v>
      </c>
      <c r="E256" s="70">
        <v>19</v>
      </c>
      <c r="F256" s="70">
        <v>36</v>
      </c>
      <c r="G256" s="70">
        <v>39</v>
      </c>
      <c r="H256" s="131">
        <v>26</v>
      </c>
      <c r="I256" s="3"/>
    </row>
    <row r="257" spans="1:9" s="93" customFormat="1" ht="9" customHeight="1" x14ac:dyDescent="0.3">
      <c r="A257" s="91"/>
      <c r="B257" s="71">
        <v>8</v>
      </c>
      <c r="C257" s="71">
        <v>16</v>
      </c>
      <c r="D257" s="71">
        <v>26</v>
      </c>
      <c r="E257" s="71">
        <v>29</v>
      </c>
      <c r="F257" s="71">
        <v>31</v>
      </c>
      <c r="G257" s="71">
        <v>36</v>
      </c>
      <c r="H257" s="134">
        <v>11</v>
      </c>
      <c r="I257" s="3"/>
    </row>
    <row r="258" spans="1:9" s="93" customFormat="1" ht="9" customHeight="1" x14ac:dyDescent="0.3">
      <c r="A258" s="91"/>
      <c r="B258" s="71">
        <v>6</v>
      </c>
      <c r="C258" s="71">
        <v>7</v>
      </c>
      <c r="D258" s="71">
        <v>9</v>
      </c>
      <c r="E258" s="71">
        <v>11</v>
      </c>
      <c r="F258" s="71">
        <v>17</v>
      </c>
      <c r="G258" s="71">
        <v>18</v>
      </c>
      <c r="H258" s="134">
        <v>45</v>
      </c>
      <c r="I258" s="3"/>
    </row>
    <row r="259" spans="1:9" s="93" customFormat="1" ht="9" customHeight="1" x14ac:dyDescent="0.3">
      <c r="A259" s="91"/>
      <c r="B259" s="70">
        <v>5</v>
      </c>
      <c r="C259" s="70">
        <v>14</v>
      </c>
      <c r="D259" s="70">
        <v>15</v>
      </c>
      <c r="E259" s="70">
        <v>23</v>
      </c>
      <c r="F259" s="70">
        <v>34</v>
      </c>
      <c r="G259" s="70">
        <v>43</v>
      </c>
      <c r="H259" s="131">
        <v>4</v>
      </c>
      <c r="I259" s="3"/>
    </row>
    <row r="260" spans="1:9" s="93" customFormat="1" ht="9" customHeight="1" x14ac:dyDescent="0.3">
      <c r="A260" s="91"/>
      <c r="B260" s="71">
        <v>3</v>
      </c>
      <c r="C260" s="71">
        <v>5</v>
      </c>
      <c r="D260" s="71">
        <v>12</v>
      </c>
      <c r="E260" s="71">
        <v>22</v>
      </c>
      <c r="F260" s="71">
        <v>26</v>
      </c>
      <c r="G260" s="71">
        <v>31</v>
      </c>
      <c r="H260" s="134">
        <v>19</v>
      </c>
      <c r="I260" s="3"/>
    </row>
    <row r="261" spans="1:9" s="93" customFormat="1" ht="9" customHeight="1" x14ac:dyDescent="0.3">
      <c r="A261" s="91"/>
      <c r="B261" s="70">
        <v>12</v>
      </c>
      <c r="C261" s="70">
        <v>17</v>
      </c>
      <c r="D261" s="70">
        <v>20</v>
      </c>
      <c r="E261" s="70">
        <v>26</v>
      </c>
      <c r="F261" s="70">
        <v>28</v>
      </c>
      <c r="G261" s="70">
        <v>36</v>
      </c>
      <c r="H261" s="131">
        <v>4</v>
      </c>
      <c r="I261" s="3"/>
    </row>
    <row r="262" spans="1:9" s="93" customFormat="1" ht="9" customHeight="1" x14ac:dyDescent="0.3">
      <c r="A262" s="91"/>
      <c r="B262" s="71">
        <v>6</v>
      </c>
      <c r="C262" s="71">
        <v>14</v>
      </c>
      <c r="D262" s="71">
        <v>15</v>
      </c>
      <c r="E262" s="71">
        <v>19</v>
      </c>
      <c r="F262" s="71">
        <v>21</v>
      </c>
      <c r="G262" s="71">
        <v>41</v>
      </c>
      <c r="H262" s="134">
        <v>37</v>
      </c>
      <c r="I262" s="3"/>
    </row>
    <row r="263" spans="1:9" s="93" customFormat="1" ht="9" customHeight="1" x14ac:dyDescent="0.3">
      <c r="A263" s="91"/>
      <c r="B263" s="70">
        <v>7</v>
      </c>
      <c r="C263" s="70">
        <v>16</v>
      </c>
      <c r="D263" s="70">
        <v>25</v>
      </c>
      <c r="E263" s="70">
        <v>29</v>
      </c>
      <c r="F263" s="70">
        <v>35</v>
      </c>
      <c r="G263" s="70">
        <v>36</v>
      </c>
      <c r="H263" s="131">
        <v>28</v>
      </c>
      <c r="I263" s="3"/>
    </row>
    <row r="264" spans="1:9" s="93" customFormat="1" ht="9" customHeight="1" x14ac:dyDescent="0.3">
      <c r="A264" s="91"/>
      <c r="B264" s="71">
        <v>2</v>
      </c>
      <c r="C264" s="71">
        <v>20</v>
      </c>
      <c r="D264" s="71">
        <v>33</v>
      </c>
      <c r="E264" s="71">
        <v>40</v>
      </c>
      <c r="F264" s="71">
        <v>42</v>
      </c>
      <c r="G264" s="71">
        <v>44</v>
      </c>
      <c r="H264" s="134">
        <v>32</v>
      </c>
      <c r="I264" s="3"/>
    </row>
    <row r="265" spans="1:9" s="93" customFormat="1" ht="9" customHeight="1" x14ac:dyDescent="0.3">
      <c r="A265" s="91"/>
      <c r="B265" s="71">
        <v>6</v>
      </c>
      <c r="C265" s="71">
        <v>12</v>
      </c>
      <c r="D265" s="71">
        <v>17</v>
      </c>
      <c r="E265" s="71">
        <v>21</v>
      </c>
      <c r="F265" s="71">
        <v>32</v>
      </c>
      <c r="G265" s="71">
        <v>39</v>
      </c>
      <c r="H265" s="134">
        <v>30</v>
      </c>
      <c r="I265" s="3"/>
    </row>
    <row r="266" spans="1:9" s="93" customFormat="1" ht="9" customHeight="1" x14ac:dyDescent="0.3">
      <c r="A266" s="91"/>
      <c r="B266" s="70">
        <v>3</v>
      </c>
      <c r="C266" s="70">
        <v>5</v>
      </c>
      <c r="D266" s="70">
        <v>13</v>
      </c>
      <c r="E266" s="70">
        <v>20</v>
      </c>
      <c r="F266" s="70">
        <v>21</v>
      </c>
      <c r="G266" s="70">
        <v>37</v>
      </c>
      <c r="H266" s="131">
        <v>17</v>
      </c>
      <c r="I266" s="3"/>
    </row>
    <row r="267" spans="1:9" s="93" customFormat="1" ht="9" customHeight="1" x14ac:dyDescent="0.3">
      <c r="A267" s="91"/>
      <c r="B267" s="70">
        <v>6</v>
      </c>
      <c r="C267" s="70">
        <v>12</v>
      </c>
      <c r="D267" s="70">
        <v>31</v>
      </c>
      <c r="E267" s="70">
        <v>35</v>
      </c>
      <c r="F267" s="70">
        <v>38</v>
      </c>
      <c r="G267" s="70">
        <v>43</v>
      </c>
      <c r="H267" s="131">
        <v>17</v>
      </c>
      <c r="I267" s="3"/>
    </row>
    <row r="268" spans="1:9" s="93" customFormat="1" ht="9" customHeight="1" x14ac:dyDescent="0.3">
      <c r="A268" s="91"/>
      <c r="B268" s="71">
        <v>21</v>
      </c>
      <c r="C268" s="71">
        <v>26</v>
      </c>
      <c r="D268" s="71">
        <v>30</v>
      </c>
      <c r="E268" s="71">
        <v>32</v>
      </c>
      <c r="F268" s="71">
        <v>33</v>
      </c>
      <c r="G268" s="71">
        <v>35</v>
      </c>
      <c r="H268" s="134">
        <v>44</v>
      </c>
      <c r="I268" s="3"/>
    </row>
    <row r="269" spans="1:9" s="93" customFormat="1" ht="9" customHeight="1" x14ac:dyDescent="0.3">
      <c r="A269" s="91"/>
      <c r="B269" s="71">
        <v>5</v>
      </c>
      <c r="C269" s="71">
        <v>17</v>
      </c>
      <c r="D269" s="71">
        <v>26</v>
      </c>
      <c r="E269" s="71">
        <v>27</v>
      </c>
      <c r="F269" s="71">
        <v>35</v>
      </c>
      <c r="G269" s="71">
        <v>38</v>
      </c>
      <c r="H269" s="134">
        <v>1</v>
      </c>
      <c r="I269" s="3"/>
    </row>
    <row r="270" spans="1:9" s="93" customFormat="1" ht="9" customHeight="1" x14ac:dyDescent="0.3">
      <c r="A270" s="91"/>
      <c r="B270" s="71">
        <v>22</v>
      </c>
      <c r="C270" s="71">
        <v>26</v>
      </c>
      <c r="D270" s="71">
        <v>29</v>
      </c>
      <c r="E270" s="71">
        <v>30</v>
      </c>
      <c r="F270" s="71">
        <v>34</v>
      </c>
      <c r="G270" s="71">
        <v>45</v>
      </c>
      <c r="H270" s="134">
        <v>15</v>
      </c>
      <c r="I270" s="3"/>
    </row>
    <row r="271" spans="1:9" s="93" customFormat="1" ht="9" customHeight="1" x14ac:dyDescent="0.3">
      <c r="A271" s="91"/>
      <c r="B271" s="70">
        <v>14</v>
      </c>
      <c r="C271" s="70">
        <v>19</v>
      </c>
      <c r="D271" s="70">
        <v>27</v>
      </c>
      <c r="E271" s="70">
        <v>28</v>
      </c>
      <c r="F271" s="70">
        <v>30</v>
      </c>
      <c r="G271" s="70">
        <v>45</v>
      </c>
      <c r="H271" s="131">
        <v>33</v>
      </c>
      <c r="I271" s="3"/>
    </row>
    <row r="272" spans="1:9" s="93" customFormat="1" ht="9" customHeight="1" x14ac:dyDescent="0.3">
      <c r="A272" s="91"/>
      <c r="B272" s="70">
        <v>4</v>
      </c>
      <c r="C272" s="70">
        <v>7</v>
      </c>
      <c r="D272" s="70">
        <v>12</v>
      </c>
      <c r="E272" s="70">
        <v>14</v>
      </c>
      <c r="F272" s="70">
        <v>22</v>
      </c>
      <c r="G272" s="70">
        <v>33</v>
      </c>
      <c r="H272" s="131">
        <v>31</v>
      </c>
      <c r="I272" s="3"/>
    </row>
    <row r="273" spans="1:9" s="93" customFormat="1" ht="9" customHeight="1" x14ac:dyDescent="0.3">
      <c r="A273" s="91"/>
      <c r="B273" s="70">
        <v>13</v>
      </c>
      <c r="C273" s="70">
        <v>20</v>
      </c>
      <c r="D273" s="70">
        <v>24</v>
      </c>
      <c r="E273" s="70">
        <v>32</v>
      </c>
      <c r="F273" s="70">
        <v>36</v>
      </c>
      <c r="G273" s="70">
        <v>45</v>
      </c>
      <c r="H273" s="131">
        <v>29</v>
      </c>
      <c r="I273" s="3"/>
    </row>
    <row r="274" spans="1:9" s="93" customFormat="1" ht="9" customHeight="1" x14ac:dyDescent="0.3">
      <c r="A274" s="91"/>
      <c r="B274" s="70">
        <v>8</v>
      </c>
      <c r="C274" s="70">
        <v>13</v>
      </c>
      <c r="D274" s="70">
        <v>19</v>
      </c>
      <c r="E274" s="70">
        <v>27</v>
      </c>
      <c r="F274" s="70">
        <v>40</v>
      </c>
      <c r="G274" s="70">
        <v>45</v>
      </c>
      <c r="H274" s="131">
        <v>12</v>
      </c>
      <c r="I274" s="3"/>
    </row>
    <row r="275" spans="1:9" s="93" customFormat="1" ht="9" customHeight="1" x14ac:dyDescent="0.3">
      <c r="A275" s="91"/>
      <c r="B275" s="71">
        <v>11</v>
      </c>
      <c r="C275" s="71">
        <v>23</v>
      </c>
      <c r="D275" s="71">
        <v>25</v>
      </c>
      <c r="E275" s="71">
        <v>30</v>
      </c>
      <c r="F275" s="71">
        <v>32</v>
      </c>
      <c r="G275" s="71">
        <v>40</v>
      </c>
      <c r="H275" s="134">
        <v>42</v>
      </c>
      <c r="I275" s="3"/>
    </row>
    <row r="276" spans="1:9" s="93" customFormat="1" ht="9" customHeight="1" x14ac:dyDescent="0.3">
      <c r="A276" s="91"/>
      <c r="B276" s="70">
        <v>7</v>
      </c>
      <c r="C276" s="70">
        <v>10</v>
      </c>
      <c r="D276" s="70">
        <v>22</v>
      </c>
      <c r="E276" s="70">
        <v>25</v>
      </c>
      <c r="F276" s="70">
        <v>34</v>
      </c>
      <c r="G276" s="70">
        <v>40</v>
      </c>
      <c r="H276" s="131">
        <v>27</v>
      </c>
      <c r="I276" s="3"/>
    </row>
    <row r="277" spans="1:9" s="93" customFormat="1" ht="9" customHeight="1" x14ac:dyDescent="0.3">
      <c r="A277" s="91"/>
      <c r="B277" s="70">
        <v>3</v>
      </c>
      <c r="C277" s="70">
        <v>10</v>
      </c>
      <c r="D277" s="70">
        <v>24</v>
      </c>
      <c r="E277" s="70">
        <v>33</v>
      </c>
      <c r="F277" s="70">
        <v>38</v>
      </c>
      <c r="G277" s="70">
        <v>45</v>
      </c>
      <c r="H277" s="131">
        <v>36</v>
      </c>
      <c r="I277" s="3"/>
    </row>
    <row r="278" spans="1:9" s="93" customFormat="1" ht="9" customHeight="1" x14ac:dyDescent="0.3">
      <c r="A278" s="91"/>
      <c r="B278" s="70">
        <v>4</v>
      </c>
      <c r="C278" s="70">
        <v>24</v>
      </c>
      <c r="D278" s="70">
        <v>27</v>
      </c>
      <c r="E278" s="70">
        <v>35</v>
      </c>
      <c r="F278" s="70">
        <v>37</v>
      </c>
      <c r="G278" s="70">
        <v>45</v>
      </c>
      <c r="H278" s="131">
        <v>15</v>
      </c>
      <c r="I278" s="3"/>
    </row>
    <row r="279" spans="1:9" s="93" customFormat="1" ht="9" customHeight="1" x14ac:dyDescent="0.3">
      <c r="A279" s="91"/>
      <c r="B279" s="70">
        <v>20</v>
      </c>
      <c r="C279" s="70">
        <v>31</v>
      </c>
      <c r="D279" s="70">
        <v>32</v>
      </c>
      <c r="E279" s="70">
        <v>40</v>
      </c>
      <c r="F279" s="70">
        <v>41</v>
      </c>
      <c r="G279" s="70">
        <v>45</v>
      </c>
      <c r="H279" s="131">
        <v>12</v>
      </c>
      <c r="I279" s="3"/>
    </row>
    <row r="280" spans="1:9" s="93" customFormat="1" ht="9" customHeight="1" x14ac:dyDescent="0.3">
      <c r="A280" s="91"/>
      <c r="B280" s="71">
        <v>3</v>
      </c>
      <c r="C280" s="71">
        <v>6</v>
      </c>
      <c r="D280" s="71">
        <v>22</v>
      </c>
      <c r="E280" s="71">
        <v>23</v>
      </c>
      <c r="F280" s="71">
        <v>24</v>
      </c>
      <c r="G280" s="71">
        <v>38</v>
      </c>
      <c r="H280" s="134">
        <v>30</v>
      </c>
      <c r="I280" s="3"/>
    </row>
    <row r="281" spans="1:9" s="93" customFormat="1" ht="9" customHeight="1" x14ac:dyDescent="0.3">
      <c r="A281" s="91"/>
      <c r="B281" s="70">
        <v>3</v>
      </c>
      <c r="C281" s="70">
        <v>6</v>
      </c>
      <c r="D281" s="70">
        <v>9</v>
      </c>
      <c r="E281" s="70">
        <v>18</v>
      </c>
      <c r="F281" s="70">
        <v>22</v>
      </c>
      <c r="G281" s="70">
        <v>35</v>
      </c>
      <c r="H281" s="131">
        <v>14</v>
      </c>
      <c r="I281" s="3"/>
    </row>
    <row r="282" spans="1:9" s="93" customFormat="1" ht="9" customHeight="1" x14ac:dyDescent="0.3">
      <c r="A282" s="91"/>
      <c r="B282" s="71">
        <v>3</v>
      </c>
      <c r="C282" s="71">
        <v>18</v>
      </c>
      <c r="D282" s="71">
        <v>19</v>
      </c>
      <c r="E282" s="71">
        <v>23</v>
      </c>
      <c r="F282" s="71">
        <v>32</v>
      </c>
      <c r="G282" s="71">
        <v>45</v>
      </c>
      <c r="H282" s="134">
        <v>24</v>
      </c>
      <c r="I282" s="3"/>
    </row>
    <row r="283" spans="1:9" s="93" customFormat="1" ht="9" customHeight="1" x14ac:dyDescent="0.3">
      <c r="A283" s="91"/>
      <c r="B283" s="70">
        <v>6</v>
      </c>
      <c r="C283" s="70">
        <v>11</v>
      </c>
      <c r="D283" s="70">
        <v>16</v>
      </c>
      <c r="E283" s="70">
        <v>19</v>
      </c>
      <c r="F283" s="70">
        <v>21</v>
      </c>
      <c r="G283" s="70">
        <v>32</v>
      </c>
      <c r="H283" s="131">
        <v>45</v>
      </c>
      <c r="I283" s="3"/>
    </row>
    <row r="284" spans="1:9" s="93" customFormat="1" ht="9" customHeight="1" x14ac:dyDescent="0.3">
      <c r="A284" s="91"/>
      <c r="B284" s="71">
        <v>7</v>
      </c>
      <c r="C284" s="71">
        <v>10</v>
      </c>
      <c r="D284" s="71">
        <v>19</v>
      </c>
      <c r="E284" s="71">
        <v>23</v>
      </c>
      <c r="F284" s="71">
        <v>28</v>
      </c>
      <c r="G284" s="71">
        <v>33</v>
      </c>
      <c r="H284" s="134">
        <v>18</v>
      </c>
      <c r="I284" s="3"/>
    </row>
    <row r="285" spans="1:9" s="93" customFormat="1" ht="9" customHeight="1" x14ac:dyDescent="0.3">
      <c r="A285" s="91"/>
      <c r="B285" s="70">
        <v>4</v>
      </c>
      <c r="C285" s="70">
        <v>7</v>
      </c>
      <c r="D285" s="70">
        <v>19</v>
      </c>
      <c r="E285" s="70">
        <v>26</v>
      </c>
      <c r="F285" s="70">
        <v>33</v>
      </c>
      <c r="G285" s="70">
        <v>35</v>
      </c>
      <c r="H285" s="131">
        <v>3</v>
      </c>
      <c r="I285" s="3"/>
    </row>
    <row r="286" spans="1:9" s="93" customFormat="1" ht="9" customHeight="1" x14ac:dyDescent="0.3">
      <c r="A286" s="91"/>
      <c r="B286" s="70">
        <v>1</v>
      </c>
      <c r="C286" s="70">
        <v>10</v>
      </c>
      <c r="D286" s="70">
        <v>18</v>
      </c>
      <c r="E286" s="70">
        <v>22</v>
      </c>
      <c r="F286" s="70">
        <v>28</v>
      </c>
      <c r="G286" s="70">
        <v>31</v>
      </c>
      <c r="H286" s="131">
        <v>44</v>
      </c>
      <c r="I286" s="3"/>
    </row>
    <row r="287" spans="1:9" s="93" customFormat="1" ht="9" customHeight="1" x14ac:dyDescent="0.3">
      <c r="A287" s="91"/>
      <c r="B287" s="71">
        <v>3</v>
      </c>
      <c r="C287" s="71">
        <v>6</v>
      </c>
      <c r="D287" s="71">
        <v>14</v>
      </c>
      <c r="E287" s="71">
        <v>22</v>
      </c>
      <c r="F287" s="71">
        <v>30</v>
      </c>
      <c r="G287" s="71">
        <v>41</v>
      </c>
      <c r="H287" s="134">
        <v>36</v>
      </c>
      <c r="I287" s="3"/>
    </row>
    <row r="288" spans="1:9" s="93" customFormat="1" ht="9" customHeight="1" x14ac:dyDescent="0.3">
      <c r="A288" s="91"/>
      <c r="B288" s="70">
        <v>1</v>
      </c>
      <c r="C288" s="70">
        <v>2</v>
      </c>
      <c r="D288" s="70">
        <v>11</v>
      </c>
      <c r="E288" s="70">
        <v>21</v>
      </c>
      <c r="F288" s="70">
        <v>30</v>
      </c>
      <c r="G288" s="70">
        <v>35</v>
      </c>
      <c r="H288" s="131">
        <v>39</v>
      </c>
      <c r="I288" s="3"/>
    </row>
    <row r="289" spans="1:9" s="93" customFormat="1" ht="9" customHeight="1" x14ac:dyDescent="0.3">
      <c r="A289" s="91"/>
      <c r="B289" s="70">
        <v>16</v>
      </c>
      <c r="C289" s="70">
        <v>18</v>
      </c>
      <c r="D289" s="70">
        <v>20</v>
      </c>
      <c r="E289" s="70">
        <v>23</v>
      </c>
      <c r="F289" s="70">
        <v>32</v>
      </c>
      <c r="G289" s="70">
        <v>43</v>
      </c>
      <c r="H289" s="131">
        <v>27</v>
      </c>
      <c r="I289" s="3"/>
    </row>
    <row r="290" spans="1:9" s="93" customFormat="1" ht="9" customHeight="1" x14ac:dyDescent="0.3">
      <c r="A290" s="91"/>
      <c r="B290" s="70">
        <v>6</v>
      </c>
      <c r="C290" s="70">
        <v>18</v>
      </c>
      <c r="D290" s="70">
        <v>28</v>
      </c>
      <c r="E290" s="70">
        <v>30</v>
      </c>
      <c r="F290" s="70">
        <v>32</v>
      </c>
      <c r="G290" s="70">
        <v>38</v>
      </c>
      <c r="H290" s="131">
        <v>15</v>
      </c>
      <c r="I290" s="3"/>
    </row>
    <row r="291" spans="1:9" s="93" customFormat="1" ht="9" customHeight="1" x14ac:dyDescent="0.3">
      <c r="A291" s="91"/>
      <c r="B291" s="70">
        <v>1</v>
      </c>
      <c r="C291" s="70">
        <v>6</v>
      </c>
      <c r="D291" s="70">
        <v>20</v>
      </c>
      <c r="E291" s="70">
        <v>27</v>
      </c>
      <c r="F291" s="70">
        <v>28</v>
      </c>
      <c r="G291" s="70">
        <v>41</v>
      </c>
      <c r="H291" s="131">
        <v>15</v>
      </c>
      <c r="I291" s="3"/>
    </row>
    <row r="292" spans="1:9" s="93" customFormat="1" ht="9" customHeight="1" x14ac:dyDescent="0.3">
      <c r="A292" s="91"/>
      <c r="B292" s="70">
        <v>1</v>
      </c>
      <c r="C292" s="70">
        <v>23</v>
      </c>
      <c r="D292" s="70">
        <v>24</v>
      </c>
      <c r="E292" s="70">
        <v>35</v>
      </c>
      <c r="F292" s="70">
        <v>44</v>
      </c>
      <c r="G292" s="70">
        <v>45</v>
      </c>
      <c r="H292" s="131">
        <v>10</v>
      </c>
      <c r="I292" s="3"/>
    </row>
    <row r="293" spans="1:9" s="93" customFormat="1" ht="9" customHeight="1" x14ac:dyDescent="0.3">
      <c r="A293" s="91"/>
      <c r="B293" s="71">
        <v>3</v>
      </c>
      <c r="C293" s="71">
        <v>7</v>
      </c>
      <c r="D293" s="71">
        <v>9</v>
      </c>
      <c r="E293" s="71">
        <v>33</v>
      </c>
      <c r="F293" s="71">
        <v>36</v>
      </c>
      <c r="G293" s="71">
        <v>37</v>
      </c>
      <c r="H293" s="134">
        <v>10</v>
      </c>
      <c r="I293" s="3"/>
    </row>
    <row r="294" spans="1:9" s="93" customFormat="1" ht="9" customHeight="1" x14ac:dyDescent="0.3">
      <c r="A294" s="91"/>
      <c r="B294" s="71">
        <v>4</v>
      </c>
      <c r="C294" s="71">
        <v>8</v>
      </c>
      <c r="D294" s="71">
        <v>17</v>
      </c>
      <c r="E294" s="71">
        <v>30</v>
      </c>
      <c r="F294" s="71">
        <v>40</v>
      </c>
      <c r="G294" s="71">
        <v>43</v>
      </c>
      <c r="H294" s="134">
        <v>34</v>
      </c>
      <c r="I294" s="3"/>
    </row>
    <row r="295" spans="1:9" s="93" customFormat="1" ht="9" customHeight="1" x14ac:dyDescent="0.3">
      <c r="A295" s="91"/>
      <c r="B295" s="71">
        <v>6</v>
      </c>
      <c r="C295" s="71">
        <v>10</v>
      </c>
      <c r="D295" s="71">
        <v>11</v>
      </c>
      <c r="E295" s="71">
        <v>14</v>
      </c>
      <c r="F295" s="71">
        <v>36</v>
      </c>
      <c r="G295" s="71">
        <v>38</v>
      </c>
      <c r="H295" s="134">
        <v>43</v>
      </c>
      <c r="I295" s="3"/>
    </row>
    <row r="296" spans="1:9" s="93" customFormat="1" ht="9" customHeight="1" x14ac:dyDescent="0.3">
      <c r="A296" s="91"/>
      <c r="B296" s="71">
        <v>4</v>
      </c>
      <c r="C296" s="71">
        <v>8</v>
      </c>
      <c r="D296" s="71">
        <v>18</v>
      </c>
      <c r="E296" s="71">
        <v>24</v>
      </c>
      <c r="F296" s="71">
        <v>37</v>
      </c>
      <c r="G296" s="71">
        <v>45</v>
      </c>
      <c r="H296" s="134">
        <v>6</v>
      </c>
      <c r="I296" s="3"/>
    </row>
    <row r="297" spans="1:9" s="93" customFormat="1" ht="9" customHeight="1" x14ac:dyDescent="0.3">
      <c r="A297" s="91"/>
      <c r="B297" s="71">
        <v>13</v>
      </c>
      <c r="C297" s="71">
        <v>16</v>
      </c>
      <c r="D297" s="71">
        <v>23</v>
      </c>
      <c r="E297" s="71">
        <v>31</v>
      </c>
      <c r="F297" s="71">
        <v>36</v>
      </c>
      <c r="G297" s="71">
        <v>44</v>
      </c>
      <c r="H297" s="134">
        <v>38</v>
      </c>
      <c r="I297" s="3"/>
    </row>
    <row r="298" spans="1:9" s="93" customFormat="1" ht="9" customHeight="1" x14ac:dyDescent="0.3">
      <c r="A298" s="91"/>
      <c r="B298" s="71">
        <v>1</v>
      </c>
      <c r="C298" s="71">
        <v>9</v>
      </c>
      <c r="D298" s="71">
        <v>16</v>
      </c>
      <c r="E298" s="71">
        <v>23</v>
      </c>
      <c r="F298" s="71">
        <v>24</v>
      </c>
      <c r="G298" s="71">
        <v>38</v>
      </c>
      <c r="H298" s="134">
        <v>17</v>
      </c>
      <c r="I298" s="3"/>
    </row>
    <row r="299" spans="1:9" s="93" customFormat="1" ht="9" customHeight="1" x14ac:dyDescent="0.3">
      <c r="A299" s="91"/>
      <c r="B299" s="71">
        <v>21</v>
      </c>
      <c r="C299" s="71">
        <v>26</v>
      </c>
      <c r="D299" s="71">
        <v>27</v>
      </c>
      <c r="E299" s="71">
        <v>32</v>
      </c>
      <c r="F299" s="71">
        <v>34</v>
      </c>
      <c r="G299" s="71">
        <v>42</v>
      </c>
      <c r="H299" s="134">
        <v>31</v>
      </c>
      <c r="I299" s="3"/>
    </row>
    <row r="300" spans="1:9" s="93" customFormat="1" ht="9" customHeight="1" x14ac:dyDescent="0.3">
      <c r="A300" s="91"/>
      <c r="B300" s="71">
        <v>3</v>
      </c>
      <c r="C300" s="71">
        <v>7</v>
      </c>
      <c r="D300" s="71">
        <v>14</v>
      </c>
      <c r="E300" s="71">
        <v>15</v>
      </c>
      <c r="F300" s="71">
        <v>22</v>
      </c>
      <c r="G300" s="71">
        <v>38</v>
      </c>
      <c r="H300" s="134">
        <v>17</v>
      </c>
      <c r="I300" s="3"/>
    </row>
    <row r="301" spans="1:9" s="93" customFormat="1" ht="9" customHeight="1" x14ac:dyDescent="0.3">
      <c r="A301" s="91"/>
      <c r="B301" s="71">
        <v>8</v>
      </c>
      <c r="C301" s="71">
        <v>12</v>
      </c>
      <c r="D301" s="71">
        <v>13</v>
      </c>
      <c r="E301" s="71">
        <v>29</v>
      </c>
      <c r="F301" s="71">
        <v>33</v>
      </c>
      <c r="G301" s="71">
        <v>42</v>
      </c>
      <c r="H301" s="134">
        <v>5</v>
      </c>
      <c r="I301" s="3"/>
    </row>
    <row r="302" spans="1:9" s="93" customFormat="1" ht="9" customHeight="1" x14ac:dyDescent="0.3">
      <c r="A302" s="91"/>
      <c r="B302" s="70">
        <v>4</v>
      </c>
      <c r="C302" s="70">
        <v>7</v>
      </c>
      <c r="D302" s="70">
        <v>17</v>
      </c>
      <c r="E302" s="70">
        <v>18</v>
      </c>
      <c r="F302" s="70">
        <v>38</v>
      </c>
      <c r="G302" s="70">
        <v>44</v>
      </c>
      <c r="H302" s="131">
        <v>36</v>
      </c>
      <c r="I302" s="3"/>
    </row>
    <row r="303" spans="1:9" s="93" customFormat="1" ht="9" customHeight="1" x14ac:dyDescent="0.3">
      <c r="A303" s="91"/>
      <c r="B303" s="70">
        <v>11</v>
      </c>
      <c r="C303" s="70">
        <v>16</v>
      </c>
      <c r="D303" s="70">
        <v>25</v>
      </c>
      <c r="E303" s="70">
        <v>27</v>
      </c>
      <c r="F303" s="70">
        <v>35</v>
      </c>
      <c r="G303" s="70">
        <v>36</v>
      </c>
      <c r="H303" s="131">
        <v>37</v>
      </c>
      <c r="I303" s="3"/>
    </row>
    <row r="304" spans="1:9" s="93" customFormat="1" ht="9" customHeight="1" x14ac:dyDescent="0.3">
      <c r="A304" s="91"/>
      <c r="B304" s="70">
        <v>13</v>
      </c>
      <c r="C304" s="70">
        <v>14</v>
      </c>
      <c r="D304" s="70">
        <v>18</v>
      </c>
      <c r="E304" s="70">
        <v>21</v>
      </c>
      <c r="F304" s="70">
        <v>34</v>
      </c>
      <c r="G304" s="70">
        <v>44</v>
      </c>
      <c r="H304" s="131">
        <v>16</v>
      </c>
      <c r="I304" s="3"/>
    </row>
    <row r="305" spans="1:9" s="93" customFormat="1" ht="9" customHeight="1" x14ac:dyDescent="0.3">
      <c r="A305" s="91"/>
      <c r="B305" s="71">
        <v>11</v>
      </c>
      <c r="C305" s="71">
        <v>21</v>
      </c>
      <c r="D305" s="71">
        <v>22</v>
      </c>
      <c r="E305" s="71">
        <v>30</v>
      </c>
      <c r="F305" s="71">
        <v>39</v>
      </c>
      <c r="G305" s="71">
        <v>44</v>
      </c>
      <c r="H305" s="134">
        <v>31</v>
      </c>
      <c r="I305" s="3"/>
    </row>
    <row r="306" spans="1:9" s="93" customFormat="1" ht="9" customHeight="1" x14ac:dyDescent="0.3">
      <c r="A306" s="91"/>
      <c r="B306" s="71">
        <v>4</v>
      </c>
      <c r="C306" s="71">
        <v>18</v>
      </c>
      <c r="D306" s="71">
        <v>31</v>
      </c>
      <c r="E306" s="71">
        <v>37</v>
      </c>
      <c r="F306" s="71">
        <v>42</v>
      </c>
      <c r="G306" s="92">
        <v>43</v>
      </c>
      <c r="H306" s="134">
        <v>40</v>
      </c>
      <c r="I306" s="3"/>
    </row>
    <row r="307" spans="1:9" s="93" customFormat="1" ht="9" customHeight="1" x14ac:dyDescent="0.3">
      <c r="A307" s="91"/>
      <c r="B307" s="70">
        <v>12</v>
      </c>
      <c r="C307" s="70">
        <v>19</v>
      </c>
      <c r="D307" s="70">
        <v>21</v>
      </c>
      <c r="E307" s="70">
        <v>29</v>
      </c>
      <c r="F307" s="70">
        <v>40</v>
      </c>
      <c r="G307" s="94">
        <v>45</v>
      </c>
      <c r="H307" s="131">
        <v>1</v>
      </c>
      <c r="I307" s="3"/>
    </row>
    <row r="308" spans="1:9" s="93" customFormat="1" ht="9" customHeight="1" x14ac:dyDescent="0.3">
      <c r="A308" s="91"/>
      <c r="B308" s="71">
        <v>6</v>
      </c>
      <c r="C308" s="71">
        <v>20</v>
      </c>
      <c r="D308" s="71">
        <v>23</v>
      </c>
      <c r="E308" s="71">
        <v>24</v>
      </c>
      <c r="F308" s="71">
        <v>28</v>
      </c>
      <c r="G308" s="92">
        <v>30</v>
      </c>
      <c r="H308" s="134">
        <v>44</v>
      </c>
      <c r="I308" s="3"/>
    </row>
    <row r="309" spans="1:9" s="93" customFormat="1" ht="9" customHeight="1" x14ac:dyDescent="0.3">
      <c r="A309" s="91"/>
      <c r="B309" s="71">
        <v>7</v>
      </c>
      <c r="C309" s="71">
        <v>18</v>
      </c>
      <c r="D309" s="71">
        <v>19</v>
      </c>
      <c r="E309" s="71">
        <v>26</v>
      </c>
      <c r="F309" s="71">
        <v>33</v>
      </c>
      <c r="G309" s="92">
        <v>45</v>
      </c>
      <c r="H309" s="134">
        <v>37</v>
      </c>
      <c r="I309" s="3"/>
    </row>
    <row r="310" spans="1:9" s="93" customFormat="1" ht="9" customHeight="1" x14ac:dyDescent="0.3">
      <c r="A310" s="91"/>
      <c r="B310" s="70">
        <v>10</v>
      </c>
      <c r="C310" s="70">
        <v>17</v>
      </c>
      <c r="D310" s="70">
        <v>22</v>
      </c>
      <c r="E310" s="70">
        <v>30</v>
      </c>
      <c r="F310" s="70">
        <v>35</v>
      </c>
      <c r="G310" s="94">
        <v>43</v>
      </c>
      <c r="H310" s="131">
        <v>44</v>
      </c>
      <c r="I310" s="3"/>
    </row>
    <row r="311" spans="1:9" s="93" customFormat="1" ht="9" customHeight="1" x14ac:dyDescent="0.3">
      <c r="A311" s="91"/>
      <c r="B311" s="70">
        <v>6</v>
      </c>
      <c r="C311" s="70">
        <v>7</v>
      </c>
      <c r="D311" s="70">
        <v>15</v>
      </c>
      <c r="E311" s="70">
        <v>22</v>
      </c>
      <c r="F311" s="70">
        <v>26</v>
      </c>
      <c r="G311" s="94">
        <v>40</v>
      </c>
      <c r="H311" s="131">
        <v>41</v>
      </c>
      <c r="I311" s="3"/>
    </row>
    <row r="312" spans="1:9" s="93" customFormat="1" ht="9" customHeight="1" x14ac:dyDescent="0.3">
      <c r="A312" s="91"/>
      <c r="B312" s="70">
        <v>8</v>
      </c>
      <c r="C312" s="70">
        <v>14</v>
      </c>
      <c r="D312" s="70">
        <v>28</v>
      </c>
      <c r="E312" s="70">
        <v>29</v>
      </c>
      <c r="F312" s="70">
        <v>34</v>
      </c>
      <c r="G312" s="94">
        <v>40</v>
      </c>
      <c r="H312" s="131">
        <v>12</v>
      </c>
      <c r="I312" s="3"/>
    </row>
    <row r="313" spans="1:9" s="93" customFormat="1" ht="9" customHeight="1" x14ac:dyDescent="0.3">
      <c r="A313" s="91"/>
      <c r="B313" s="70">
        <v>1</v>
      </c>
      <c r="C313" s="70">
        <v>12</v>
      </c>
      <c r="D313" s="70">
        <v>16</v>
      </c>
      <c r="E313" s="70">
        <v>19</v>
      </c>
      <c r="F313" s="70">
        <v>23</v>
      </c>
      <c r="G313" s="94">
        <v>43</v>
      </c>
      <c r="H313" s="131">
        <v>34</v>
      </c>
      <c r="I313" s="3"/>
    </row>
    <row r="314" spans="1:9" s="93" customFormat="1" ht="9" customHeight="1" x14ac:dyDescent="0.3">
      <c r="A314" s="91"/>
      <c r="B314" s="70">
        <v>14</v>
      </c>
      <c r="C314" s="70">
        <v>33</v>
      </c>
      <c r="D314" s="70">
        <v>34</v>
      </c>
      <c r="E314" s="70">
        <v>35</v>
      </c>
      <c r="F314" s="70">
        <v>37</v>
      </c>
      <c r="G314" s="94">
        <v>40</v>
      </c>
      <c r="H314" s="131">
        <v>4</v>
      </c>
      <c r="I314" s="3"/>
    </row>
    <row r="315" spans="1:9" s="93" customFormat="1" ht="9" customHeight="1" x14ac:dyDescent="0.3">
      <c r="A315" s="91"/>
      <c r="B315" s="70">
        <v>12</v>
      </c>
      <c r="C315" s="70">
        <v>16</v>
      </c>
      <c r="D315" s="70">
        <v>21</v>
      </c>
      <c r="E315" s="70">
        <v>24</v>
      </c>
      <c r="F315" s="70">
        <v>41</v>
      </c>
      <c r="G315" s="94">
        <v>43</v>
      </c>
      <c r="H315" s="131">
        <v>15</v>
      </c>
      <c r="I315" s="3"/>
    </row>
    <row r="316" spans="1:9" s="93" customFormat="1" ht="9" customHeight="1" x14ac:dyDescent="0.3">
      <c r="A316" s="91"/>
      <c r="B316" s="71">
        <v>3</v>
      </c>
      <c r="C316" s="71">
        <v>20</v>
      </c>
      <c r="D316" s="71">
        <v>28</v>
      </c>
      <c r="E316" s="71">
        <v>38</v>
      </c>
      <c r="F316" s="71">
        <v>40</v>
      </c>
      <c r="G316" s="92">
        <v>43</v>
      </c>
      <c r="H316" s="134">
        <v>4</v>
      </c>
      <c r="I316" s="3"/>
    </row>
    <row r="317" spans="1:9" s="93" customFormat="1" ht="9" customHeight="1" x14ac:dyDescent="0.3">
      <c r="A317" s="91"/>
      <c r="B317" s="71">
        <v>17</v>
      </c>
      <c r="C317" s="71">
        <v>26</v>
      </c>
      <c r="D317" s="71">
        <v>29</v>
      </c>
      <c r="E317" s="71">
        <v>30</v>
      </c>
      <c r="F317" s="71">
        <v>31</v>
      </c>
      <c r="G317" s="92">
        <v>43</v>
      </c>
      <c r="H317" s="134">
        <v>12</v>
      </c>
      <c r="I317" s="3"/>
    </row>
    <row r="318" spans="1:9" s="93" customFormat="1" ht="9" customHeight="1" x14ac:dyDescent="0.3">
      <c r="A318" s="91"/>
      <c r="B318" s="71">
        <v>6</v>
      </c>
      <c r="C318" s="71">
        <v>7</v>
      </c>
      <c r="D318" s="71">
        <v>13</v>
      </c>
      <c r="E318" s="71">
        <v>28</v>
      </c>
      <c r="F318" s="71">
        <v>36</v>
      </c>
      <c r="G318" s="92">
        <v>42</v>
      </c>
      <c r="H318" s="134">
        <v>41</v>
      </c>
      <c r="I318" s="3"/>
    </row>
    <row r="319" spans="1:9" s="93" customFormat="1" ht="9" customHeight="1" x14ac:dyDescent="0.3">
      <c r="A319" s="91"/>
      <c r="B319" s="71">
        <v>13</v>
      </c>
      <c r="C319" s="71">
        <v>14</v>
      </c>
      <c r="D319" s="71">
        <v>22</v>
      </c>
      <c r="E319" s="71">
        <v>26</v>
      </c>
      <c r="F319" s="71">
        <v>37</v>
      </c>
      <c r="G319" s="92">
        <v>38</v>
      </c>
      <c r="H319" s="134">
        <v>20</v>
      </c>
      <c r="I319" s="3"/>
    </row>
    <row r="320" spans="1:9" s="93" customFormat="1" ht="9" customHeight="1" x14ac:dyDescent="0.3">
      <c r="A320" s="91"/>
      <c r="B320" s="71">
        <v>10</v>
      </c>
      <c r="C320" s="71">
        <v>12</v>
      </c>
      <c r="D320" s="71">
        <v>29</v>
      </c>
      <c r="E320" s="71">
        <v>31</v>
      </c>
      <c r="F320" s="71">
        <v>40</v>
      </c>
      <c r="G320" s="92">
        <v>44</v>
      </c>
      <c r="H320" s="134">
        <v>2</v>
      </c>
      <c r="I320" s="3"/>
    </row>
    <row r="321" spans="1:9" s="93" customFormat="1" ht="9" customHeight="1" x14ac:dyDescent="0.3">
      <c r="A321" s="91"/>
      <c r="B321" s="71">
        <v>1</v>
      </c>
      <c r="C321" s="71">
        <v>7</v>
      </c>
      <c r="D321" s="71">
        <v>21</v>
      </c>
      <c r="E321" s="71">
        <v>30</v>
      </c>
      <c r="F321" s="71">
        <v>35</v>
      </c>
      <c r="G321" s="92">
        <v>38</v>
      </c>
      <c r="H321" s="134">
        <v>2</v>
      </c>
      <c r="I321" s="3"/>
    </row>
    <row r="322" spans="1:9" s="93" customFormat="1" ht="9" customHeight="1" x14ac:dyDescent="0.3">
      <c r="A322" s="91"/>
      <c r="B322" s="71">
        <v>6</v>
      </c>
      <c r="C322" s="71">
        <v>16</v>
      </c>
      <c r="D322" s="71">
        <v>34</v>
      </c>
      <c r="E322" s="71">
        <v>37</v>
      </c>
      <c r="F322" s="71">
        <v>39</v>
      </c>
      <c r="G322" s="92">
        <v>40</v>
      </c>
      <c r="H322" s="134">
        <v>11</v>
      </c>
      <c r="I322" s="3"/>
    </row>
    <row r="323" spans="1:9" s="93" customFormat="1" ht="9" customHeight="1" x14ac:dyDescent="0.3">
      <c r="A323" s="91"/>
      <c r="B323" s="71">
        <v>1</v>
      </c>
      <c r="C323" s="71">
        <v>3</v>
      </c>
      <c r="D323" s="71">
        <v>4</v>
      </c>
      <c r="E323" s="71">
        <v>29</v>
      </c>
      <c r="F323" s="71">
        <v>42</v>
      </c>
      <c r="G323" s="92">
        <v>45</v>
      </c>
      <c r="H323" s="134">
        <v>36</v>
      </c>
      <c r="I323" s="3"/>
    </row>
    <row r="324" spans="1:9" s="93" customFormat="1" ht="9" customHeight="1" x14ac:dyDescent="0.3">
      <c r="A324" s="91"/>
      <c r="B324" s="71">
        <v>6</v>
      </c>
      <c r="C324" s="71">
        <v>14</v>
      </c>
      <c r="D324" s="71">
        <v>30</v>
      </c>
      <c r="E324" s="71">
        <v>31</v>
      </c>
      <c r="F324" s="71">
        <v>40</v>
      </c>
      <c r="G324" s="92">
        <v>41</v>
      </c>
      <c r="H324" s="134">
        <v>29</v>
      </c>
      <c r="I324" s="3"/>
    </row>
    <row r="325" spans="1:9" s="93" customFormat="1" ht="9" customHeight="1" x14ac:dyDescent="0.3">
      <c r="A325" s="91"/>
      <c r="B325" s="70">
        <v>7</v>
      </c>
      <c r="C325" s="70">
        <v>19</v>
      </c>
      <c r="D325" s="70">
        <v>26</v>
      </c>
      <c r="E325" s="70">
        <v>37</v>
      </c>
      <c r="F325" s="70">
        <v>39</v>
      </c>
      <c r="G325" s="94">
        <v>44</v>
      </c>
      <c r="H325" s="131">
        <v>27</v>
      </c>
      <c r="I325" s="3"/>
    </row>
    <row r="326" spans="1:9" s="93" customFormat="1" ht="9" customHeight="1" x14ac:dyDescent="0.3">
      <c r="A326" s="91"/>
      <c r="B326" s="71">
        <v>10</v>
      </c>
      <c r="C326" s="71">
        <v>12</v>
      </c>
      <c r="D326" s="71">
        <v>13</v>
      </c>
      <c r="E326" s="71">
        <v>19</v>
      </c>
      <c r="F326" s="71">
        <v>33</v>
      </c>
      <c r="G326" s="92">
        <v>40</v>
      </c>
      <c r="H326" s="134">
        <v>2</v>
      </c>
      <c r="I326" s="3"/>
    </row>
    <row r="327" spans="1:9" s="93" customFormat="1" ht="9" customHeight="1" x14ac:dyDescent="0.3">
      <c r="A327" s="91"/>
      <c r="B327" s="70">
        <v>3</v>
      </c>
      <c r="C327" s="70">
        <v>7</v>
      </c>
      <c r="D327" s="70">
        <v>11</v>
      </c>
      <c r="E327" s="70">
        <v>20</v>
      </c>
      <c r="F327" s="70">
        <v>22</v>
      </c>
      <c r="G327" s="94">
        <v>41</v>
      </c>
      <c r="H327" s="131">
        <v>24</v>
      </c>
      <c r="I327" s="3"/>
    </row>
    <row r="328" spans="1:9" s="93" customFormat="1" ht="9" customHeight="1" x14ac:dyDescent="0.3">
      <c r="A328" s="91"/>
      <c r="B328" s="70">
        <v>3</v>
      </c>
      <c r="C328" s="70">
        <v>13</v>
      </c>
      <c r="D328" s="70">
        <v>30</v>
      </c>
      <c r="E328" s="70">
        <v>33</v>
      </c>
      <c r="F328" s="70">
        <v>43</v>
      </c>
      <c r="G328" s="94">
        <v>45</v>
      </c>
      <c r="H328" s="131">
        <v>4</v>
      </c>
      <c r="I328" s="3"/>
    </row>
    <row r="329" spans="1:9" s="93" customFormat="1" ht="9" customHeight="1" x14ac:dyDescent="0.3">
      <c r="A329" s="91"/>
      <c r="B329" s="71">
        <v>16</v>
      </c>
      <c r="C329" s="71">
        <v>20</v>
      </c>
      <c r="D329" s="71">
        <v>26</v>
      </c>
      <c r="E329" s="71">
        <v>36</v>
      </c>
      <c r="F329" s="71">
        <v>42</v>
      </c>
      <c r="G329" s="92">
        <v>44</v>
      </c>
      <c r="H329" s="134">
        <v>24</v>
      </c>
      <c r="I329" s="3"/>
    </row>
    <row r="330" spans="1:9" s="93" customFormat="1" ht="9" customHeight="1" x14ac:dyDescent="0.3">
      <c r="A330" s="91"/>
      <c r="B330" s="71">
        <v>11</v>
      </c>
      <c r="C330" s="71">
        <v>13</v>
      </c>
      <c r="D330" s="71">
        <v>20</v>
      </c>
      <c r="E330" s="71">
        <v>21</v>
      </c>
      <c r="F330" s="71">
        <v>32</v>
      </c>
      <c r="G330" s="92">
        <v>44</v>
      </c>
      <c r="H330" s="134">
        <v>8</v>
      </c>
      <c r="I330" s="3"/>
    </row>
    <row r="331" spans="1:9" s="93" customFormat="1" ht="9" customHeight="1" x14ac:dyDescent="0.3">
      <c r="A331" s="91"/>
      <c r="B331" s="71">
        <v>10</v>
      </c>
      <c r="C331" s="71">
        <v>16</v>
      </c>
      <c r="D331" s="71">
        <v>19</v>
      </c>
      <c r="E331" s="71">
        <v>32</v>
      </c>
      <c r="F331" s="71">
        <v>33</v>
      </c>
      <c r="G331" s="92">
        <v>38</v>
      </c>
      <c r="H331" s="134">
        <v>3</v>
      </c>
      <c r="I331" s="3"/>
    </row>
    <row r="332" spans="1:9" s="93" customFormat="1" ht="9" customHeight="1" x14ac:dyDescent="0.3">
      <c r="A332" s="91"/>
      <c r="B332" s="70">
        <v>7</v>
      </c>
      <c r="C332" s="70">
        <v>12</v>
      </c>
      <c r="D332" s="70">
        <v>23</v>
      </c>
      <c r="E332" s="70">
        <v>32</v>
      </c>
      <c r="F332" s="70">
        <v>34</v>
      </c>
      <c r="G332" s="94">
        <v>36</v>
      </c>
      <c r="H332" s="131">
        <v>8</v>
      </c>
      <c r="I332" s="3"/>
    </row>
    <row r="333" spans="1:9" s="93" customFormat="1" ht="9" customHeight="1" x14ac:dyDescent="0.3">
      <c r="A333" s="91"/>
      <c r="B333" s="71">
        <v>15</v>
      </c>
      <c r="C333" s="71">
        <v>16</v>
      </c>
      <c r="D333" s="71">
        <v>17</v>
      </c>
      <c r="E333" s="71">
        <v>25</v>
      </c>
      <c r="F333" s="71">
        <v>30</v>
      </c>
      <c r="G333" s="92">
        <v>31</v>
      </c>
      <c r="H333" s="134">
        <v>32</v>
      </c>
      <c r="I333" s="3"/>
    </row>
    <row r="334" spans="1:9" s="93" customFormat="1" ht="9" customHeight="1" x14ac:dyDescent="0.3">
      <c r="A334" s="91"/>
      <c r="B334" s="71">
        <v>3</v>
      </c>
      <c r="C334" s="71">
        <v>4</v>
      </c>
      <c r="D334" s="71">
        <v>9</v>
      </c>
      <c r="E334" s="71">
        <v>30</v>
      </c>
      <c r="F334" s="71">
        <v>33</v>
      </c>
      <c r="G334" s="92">
        <v>36</v>
      </c>
      <c r="H334" s="134">
        <v>7</v>
      </c>
      <c r="I334" s="3"/>
    </row>
    <row r="335" spans="1:9" s="93" customFormat="1" ht="9" customHeight="1" x14ac:dyDescent="0.3">
      <c r="A335" s="91"/>
      <c r="B335" s="70">
        <v>11</v>
      </c>
      <c r="C335" s="70">
        <v>13</v>
      </c>
      <c r="D335" s="70">
        <v>14</v>
      </c>
      <c r="E335" s="70">
        <v>15</v>
      </c>
      <c r="F335" s="70">
        <v>16</v>
      </c>
      <c r="G335" s="94">
        <v>45</v>
      </c>
      <c r="H335" s="131">
        <v>3</v>
      </c>
      <c r="I335" s="3"/>
    </row>
    <row r="336" spans="1:9" s="93" customFormat="1" ht="9" customHeight="1" x14ac:dyDescent="0.3">
      <c r="A336" s="91"/>
      <c r="B336" s="71">
        <v>1</v>
      </c>
      <c r="C336" s="71">
        <v>9</v>
      </c>
      <c r="D336" s="71">
        <v>12</v>
      </c>
      <c r="E336" s="71">
        <v>13</v>
      </c>
      <c r="F336" s="71">
        <v>20</v>
      </c>
      <c r="G336" s="92">
        <v>45</v>
      </c>
      <c r="H336" s="134">
        <v>3</v>
      </c>
      <c r="I336" s="3"/>
    </row>
    <row r="337" spans="1:9" s="93" customFormat="1" ht="9" customHeight="1" x14ac:dyDescent="0.3">
      <c r="A337" s="91"/>
      <c r="B337" s="70">
        <v>2</v>
      </c>
      <c r="C337" s="70">
        <v>19</v>
      </c>
      <c r="D337" s="70">
        <v>26</v>
      </c>
      <c r="E337" s="70">
        <v>31</v>
      </c>
      <c r="F337" s="70">
        <v>38</v>
      </c>
      <c r="G337" s="94">
        <v>41</v>
      </c>
      <c r="H337" s="131">
        <v>34</v>
      </c>
      <c r="I337" s="3"/>
    </row>
    <row r="338" spans="1:9" s="93" customFormat="1" ht="9" customHeight="1" x14ac:dyDescent="0.3">
      <c r="A338" s="91"/>
      <c r="B338" s="71">
        <v>6</v>
      </c>
      <c r="C338" s="71">
        <v>24</v>
      </c>
      <c r="D338" s="71">
        <v>31</v>
      </c>
      <c r="E338" s="71">
        <v>32</v>
      </c>
      <c r="F338" s="71">
        <v>38</v>
      </c>
      <c r="G338" s="92">
        <v>44</v>
      </c>
      <c r="H338" s="134">
        <v>8</v>
      </c>
      <c r="I338" s="3"/>
    </row>
    <row r="339" spans="1:9" s="93" customFormat="1" ht="9" customHeight="1" x14ac:dyDescent="0.3">
      <c r="A339" s="91"/>
      <c r="B339" s="71">
        <v>3</v>
      </c>
      <c r="C339" s="71">
        <v>6</v>
      </c>
      <c r="D339" s="71">
        <v>21</v>
      </c>
      <c r="E339" s="71">
        <v>30</v>
      </c>
      <c r="F339" s="71">
        <v>34</v>
      </c>
      <c r="G339" s="92">
        <v>35</v>
      </c>
      <c r="H339" s="134">
        <v>22</v>
      </c>
      <c r="I339" s="3"/>
    </row>
    <row r="340" spans="1:9" s="93" customFormat="1" ht="9" customHeight="1" x14ac:dyDescent="0.3">
      <c r="A340" s="91"/>
      <c r="B340" s="70">
        <v>13</v>
      </c>
      <c r="C340" s="70">
        <v>19</v>
      </c>
      <c r="D340" s="70">
        <v>21</v>
      </c>
      <c r="E340" s="70">
        <v>24</v>
      </c>
      <c r="F340" s="70">
        <v>34</v>
      </c>
      <c r="G340" s="94">
        <v>35</v>
      </c>
      <c r="H340" s="131">
        <v>26</v>
      </c>
      <c r="I340" s="3"/>
    </row>
    <row r="341" spans="1:9" s="93" customFormat="1" ht="9" customHeight="1" x14ac:dyDescent="0.3">
      <c r="A341" s="91"/>
      <c r="B341" s="70">
        <v>3</v>
      </c>
      <c r="C341" s="70">
        <v>8</v>
      </c>
      <c r="D341" s="70">
        <v>17</v>
      </c>
      <c r="E341" s="70">
        <v>30</v>
      </c>
      <c r="F341" s="70">
        <v>33</v>
      </c>
      <c r="G341" s="94">
        <v>34</v>
      </c>
      <c r="H341" s="131">
        <v>28</v>
      </c>
      <c r="I341" s="3"/>
    </row>
    <row r="342" spans="1:9" s="93" customFormat="1" ht="9" customHeight="1" x14ac:dyDescent="0.3">
      <c r="A342" s="91"/>
      <c r="B342" s="70">
        <v>6</v>
      </c>
      <c r="C342" s="70">
        <v>14</v>
      </c>
      <c r="D342" s="70">
        <v>25</v>
      </c>
      <c r="E342" s="70">
        <v>33</v>
      </c>
      <c r="F342" s="70">
        <v>40</v>
      </c>
      <c r="G342" s="94">
        <v>44</v>
      </c>
      <c r="H342" s="131">
        <v>30</v>
      </c>
      <c r="I342" s="3"/>
    </row>
    <row r="343" spans="1:9" s="93" customFormat="1" ht="9" customHeight="1" x14ac:dyDescent="0.3">
      <c r="A343" s="91"/>
      <c r="B343" s="70">
        <v>4</v>
      </c>
      <c r="C343" s="70">
        <v>5</v>
      </c>
      <c r="D343" s="70">
        <v>9</v>
      </c>
      <c r="E343" s="70">
        <v>11</v>
      </c>
      <c r="F343" s="70">
        <v>37</v>
      </c>
      <c r="G343" s="94">
        <v>40</v>
      </c>
      <c r="H343" s="131">
        <v>7</v>
      </c>
      <c r="I343" s="3"/>
    </row>
    <row r="344" spans="1:9" s="93" customFormat="1" ht="9" customHeight="1" x14ac:dyDescent="0.3">
      <c r="A344" s="91"/>
      <c r="B344" s="71">
        <v>10</v>
      </c>
      <c r="C344" s="71">
        <v>15</v>
      </c>
      <c r="D344" s="71">
        <v>24</v>
      </c>
      <c r="E344" s="71">
        <v>30</v>
      </c>
      <c r="F344" s="71">
        <v>31</v>
      </c>
      <c r="G344" s="92">
        <v>37</v>
      </c>
      <c r="H344" s="134">
        <v>32</v>
      </c>
      <c r="I344" s="3"/>
    </row>
    <row r="345" spans="1:9" s="93" customFormat="1" ht="9" customHeight="1" x14ac:dyDescent="0.3">
      <c r="A345" s="91"/>
      <c r="B345" s="71">
        <v>1</v>
      </c>
      <c r="C345" s="71">
        <v>5</v>
      </c>
      <c r="D345" s="71">
        <v>8</v>
      </c>
      <c r="E345" s="71">
        <v>16</v>
      </c>
      <c r="F345" s="71">
        <v>28</v>
      </c>
      <c r="G345" s="92">
        <v>33</v>
      </c>
      <c r="H345" s="134">
        <v>45</v>
      </c>
      <c r="I345" s="3"/>
    </row>
    <row r="346" spans="1:9" s="93" customFormat="1" ht="9" customHeight="1" x14ac:dyDescent="0.3">
      <c r="A346" s="91"/>
      <c r="B346" s="70">
        <v>5</v>
      </c>
      <c r="C346" s="70">
        <v>10</v>
      </c>
      <c r="D346" s="70">
        <v>11</v>
      </c>
      <c r="E346" s="70">
        <v>17</v>
      </c>
      <c r="F346" s="70">
        <v>28</v>
      </c>
      <c r="G346" s="94">
        <v>34</v>
      </c>
      <c r="H346" s="131">
        <v>22</v>
      </c>
      <c r="I346" s="3"/>
    </row>
    <row r="347" spans="1:9" s="93" customFormat="1" ht="9" customHeight="1" x14ac:dyDescent="0.3">
      <c r="A347" s="91"/>
      <c r="B347" s="70">
        <v>15</v>
      </c>
      <c r="C347" s="70">
        <v>19</v>
      </c>
      <c r="D347" s="70">
        <v>21</v>
      </c>
      <c r="E347" s="70">
        <v>25</v>
      </c>
      <c r="F347" s="70">
        <v>27</v>
      </c>
      <c r="G347" s="94">
        <v>28</v>
      </c>
      <c r="H347" s="131">
        <v>40</v>
      </c>
      <c r="I347" s="3"/>
    </row>
    <row r="348" spans="1:9" s="93" customFormat="1" ht="9" customHeight="1" x14ac:dyDescent="0.3">
      <c r="A348" s="91"/>
      <c r="B348" s="71">
        <v>1</v>
      </c>
      <c r="C348" s="71">
        <v>2</v>
      </c>
      <c r="D348" s="71">
        <v>6</v>
      </c>
      <c r="E348" s="71">
        <v>14</v>
      </c>
      <c r="F348" s="71">
        <v>27</v>
      </c>
      <c r="G348" s="92">
        <v>38</v>
      </c>
      <c r="H348" s="134">
        <v>33</v>
      </c>
      <c r="I348" s="3"/>
    </row>
    <row r="349" spans="1:9" s="93" customFormat="1" ht="9" customHeight="1" x14ac:dyDescent="0.3">
      <c r="A349" s="91"/>
      <c r="B349" s="71">
        <v>6</v>
      </c>
      <c r="C349" s="71">
        <v>7</v>
      </c>
      <c r="D349" s="71">
        <v>19</v>
      </c>
      <c r="E349" s="71">
        <v>28</v>
      </c>
      <c r="F349" s="71">
        <v>34</v>
      </c>
      <c r="G349" s="92">
        <v>41</v>
      </c>
      <c r="H349" s="134">
        <v>5</v>
      </c>
      <c r="I349" s="3"/>
    </row>
    <row r="350" spans="1:9" s="93" customFormat="1" ht="9" customHeight="1" x14ac:dyDescent="0.3">
      <c r="A350" s="91"/>
      <c r="B350" s="71">
        <v>13</v>
      </c>
      <c r="C350" s="71">
        <v>14</v>
      </c>
      <c r="D350" s="71">
        <v>20</v>
      </c>
      <c r="E350" s="71">
        <v>28</v>
      </c>
      <c r="F350" s="71">
        <v>29</v>
      </c>
      <c r="G350" s="92">
        <v>34</v>
      </c>
      <c r="H350" s="134">
        <v>23</v>
      </c>
      <c r="I350" s="3"/>
    </row>
    <row r="351" spans="1:9" s="93" customFormat="1" ht="9" customHeight="1" x14ac:dyDescent="0.3">
      <c r="A351" s="91"/>
      <c r="B351" s="71">
        <v>3</v>
      </c>
      <c r="C351" s="71">
        <v>7</v>
      </c>
      <c r="D351" s="71">
        <v>9</v>
      </c>
      <c r="E351" s="71">
        <v>13</v>
      </c>
      <c r="F351" s="71">
        <v>19</v>
      </c>
      <c r="G351" s="92">
        <v>24</v>
      </c>
      <c r="H351" s="134">
        <v>23</v>
      </c>
      <c r="I351" s="3"/>
    </row>
    <row r="352" spans="1:9" s="93" customFormat="1" ht="9" customHeight="1" x14ac:dyDescent="0.3">
      <c r="A352" s="91"/>
      <c r="B352" s="71">
        <v>1</v>
      </c>
      <c r="C352" s="71">
        <v>6</v>
      </c>
      <c r="D352" s="71">
        <v>13</v>
      </c>
      <c r="E352" s="71">
        <v>19</v>
      </c>
      <c r="F352" s="71">
        <v>21</v>
      </c>
      <c r="G352" s="92">
        <v>33</v>
      </c>
      <c r="H352" s="134">
        <v>4</v>
      </c>
      <c r="I352" s="3"/>
    </row>
    <row r="353" spans="1:9" s="93" customFormat="1" ht="9" customHeight="1" x14ac:dyDescent="0.3">
      <c r="A353" s="91"/>
      <c r="B353" s="71">
        <v>21</v>
      </c>
      <c r="C353" s="71">
        <v>33</v>
      </c>
      <c r="D353" s="71">
        <v>35</v>
      </c>
      <c r="E353" s="71">
        <v>38</v>
      </c>
      <c r="F353" s="71">
        <v>42</v>
      </c>
      <c r="G353" s="92">
        <v>44</v>
      </c>
      <c r="H353" s="134">
        <v>1</v>
      </c>
      <c r="I353" s="3"/>
    </row>
    <row r="354" spans="1:9" s="93" customFormat="1" ht="9" customHeight="1" x14ac:dyDescent="0.3">
      <c r="A354" s="91"/>
      <c r="B354" s="70">
        <v>4</v>
      </c>
      <c r="C354" s="70">
        <v>9</v>
      </c>
      <c r="D354" s="70">
        <v>12</v>
      </c>
      <c r="E354" s="70">
        <v>15</v>
      </c>
      <c r="F354" s="70">
        <v>33</v>
      </c>
      <c r="G354" s="94">
        <v>45</v>
      </c>
      <c r="H354" s="131">
        <v>26</v>
      </c>
      <c r="I354" s="3"/>
    </row>
    <row r="355" spans="1:9" s="93" customFormat="1" ht="9" customHeight="1" x14ac:dyDescent="0.3">
      <c r="A355" s="91"/>
      <c r="B355" s="71">
        <v>14</v>
      </c>
      <c r="C355" s="71">
        <v>16</v>
      </c>
      <c r="D355" s="71">
        <v>19</v>
      </c>
      <c r="E355" s="71">
        <v>20</v>
      </c>
      <c r="F355" s="71">
        <v>29</v>
      </c>
      <c r="G355" s="92">
        <v>34</v>
      </c>
      <c r="H355" s="134">
        <v>35</v>
      </c>
      <c r="I355" s="3"/>
    </row>
    <row r="356" spans="1:9" s="93" customFormat="1" ht="9" customHeight="1" x14ac:dyDescent="0.3">
      <c r="A356" s="91"/>
      <c r="B356" s="70">
        <v>5</v>
      </c>
      <c r="C356" s="70">
        <v>12</v>
      </c>
      <c r="D356" s="70">
        <v>15</v>
      </c>
      <c r="E356" s="70">
        <v>30</v>
      </c>
      <c r="F356" s="70">
        <v>37</v>
      </c>
      <c r="G356" s="94">
        <v>40</v>
      </c>
      <c r="H356" s="131">
        <v>18</v>
      </c>
      <c r="I356" s="3"/>
    </row>
    <row r="357" spans="1:9" s="93" customFormat="1" ht="9" customHeight="1" x14ac:dyDescent="0.3">
      <c r="A357" s="91"/>
      <c r="B357" s="70">
        <v>7</v>
      </c>
      <c r="C357" s="70">
        <v>10</v>
      </c>
      <c r="D357" s="70">
        <v>22</v>
      </c>
      <c r="E357" s="70">
        <v>29</v>
      </c>
      <c r="F357" s="70">
        <v>31</v>
      </c>
      <c r="G357" s="94">
        <v>38</v>
      </c>
      <c r="H357" s="131">
        <v>15</v>
      </c>
      <c r="I357" s="3"/>
    </row>
    <row r="358" spans="1:9" s="93" customFormat="1" ht="9" customHeight="1" x14ac:dyDescent="0.3">
      <c r="A358" s="91"/>
      <c r="B358" s="71">
        <v>7</v>
      </c>
      <c r="C358" s="71">
        <v>11</v>
      </c>
      <c r="D358" s="71">
        <v>12</v>
      </c>
      <c r="E358" s="71">
        <v>21</v>
      </c>
      <c r="F358" s="71">
        <v>26</v>
      </c>
      <c r="G358" s="92">
        <v>35</v>
      </c>
      <c r="H358" s="134">
        <v>20</v>
      </c>
      <c r="I358" s="3"/>
    </row>
    <row r="359" spans="1:9" s="93" customFormat="1" ht="9" customHeight="1" x14ac:dyDescent="0.3">
      <c r="A359" s="91"/>
      <c r="B359" s="71">
        <v>2</v>
      </c>
      <c r="C359" s="71">
        <v>8</v>
      </c>
      <c r="D359" s="71">
        <v>28</v>
      </c>
      <c r="E359" s="71">
        <v>30</v>
      </c>
      <c r="F359" s="71">
        <v>37</v>
      </c>
      <c r="G359" s="92">
        <v>41</v>
      </c>
      <c r="H359" s="134">
        <v>22</v>
      </c>
      <c r="I359" s="3"/>
    </row>
    <row r="360" spans="1:9" s="93" customFormat="1" ht="9" customHeight="1" x14ac:dyDescent="0.3">
      <c r="A360" s="91"/>
      <c r="B360" s="71">
        <v>10</v>
      </c>
      <c r="C360" s="71">
        <v>16</v>
      </c>
      <c r="D360" s="71">
        <v>17</v>
      </c>
      <c r="E360" s="71">
        <v>27</v>
      </c>
      <c r="F360" s="71">
        <v>28</v>
      </c>
      <c r="G360" s="92">
        <v>36</v>
      </c>
      <c r="H360" s="134">
        <v>6</v>
      </c>
      <c r="I360" s="3"/>
    </row>
    <row r="361" spans="1:9" s="93" customFormat="1" ht="9" customHeight="1" x14ac:dyDescent="0.3">
      <c r="A361" s="91"/>
      <c r="B361" s="71">
        <v>3</v>
      </c>
      <c r="C361" s="71">
        <v>4</v>
      </c>
      <c r="D361" s="71">
        <v>12</v>
      </c>
      <c r="E361" s="71">
        <v>15</v>
      </c>
      <c r="F361" s="71">
        <v>26</v>
      </c>
      <c r="G361" s="92">
        <v>34</v>
      </c>
      <c r="H361" s="134">
        <v>6</v>
      </c>
      <c r="I361" s="3"/>
    </row>
    <row r="362" spans="1:9" s="93" customFormat="1" ht="9" customHeight="1" x14ac:dyDescent="0.3">
      <c r="A362" s="91"/>
      <c r="B362" s="70">
        <v>2</v>
      </c>
      <c r="C362" s="70">
        <v>11</v>
      </c>
      <c r="D362" s="70">
        <v>31</v>
      </c>
      <c r="E362" s="70">
        <v>33</v>
      </c>
      <c r="F362" s="70">
        <v>37</v>
      </c>
      <c r="G362" s="94">
        <v>44</v>
      </c>
      <c r="H362" s="131">
        <v>32</v>
      </c>
      <c r="I362" s="3"/>
    </row>
    <row r="363" spans="1:9" s="93" customFormat="1" ht="9" customHeight="1" x14ac:dyDescent="0.3">
      <c r="A363" s="91"/>
      <c r="B363" s="71">
        <v>6</v>
      </c>
      <c r="C363" s="71">
        <v>11</v>
      </c>
      <c r="D363" s="71">
        <v>17</v>
      </c>
      <c r="E363" s="71">
        <v>19</v>
      </c>
      <c r="F363" s="71">
        <v>40</v>
      </c>
      <c r="G363" s="92">
        <v>43</v>
      </c>
      <c r="H363" s="134">
        <v>28</v>
      </c>
      <c r="I363" s="3"/>
    </row>
    <row r="364" spans="1:9" s="93" customFormat="1" ht="9" customHeight="1" x14ac:dyDescent="0.3">
      <c r="A364" s="91"/>
      <c r="B364" s="71">
        <v>7</v>
      </c>
      <c r="C364" s="71">
        <v>11</v>
      </c>
      <c r="D364" s="71">
        <v>24</v>
      </c>
      <c r="E364" s="71">
        <v>26</v>
      </c>
      <c r="F364" s="71">
        <v>27</v>
      </c>
      <c r="G364" s="92">
        <v>37</v>
      </c>
      <c r="H364" s="134">
        <v>32</v>
      </c>
      <c r="I364" s="3"/>
    </row>
    <row r="365" spans="1:9" s="93" customFormat="1" ht="9" customHeight="1" x14ac:dyDescent="0.3">
      <c r="A365" s="91"/>
      <c r="B365" s="70">
        <v>3</v>
      </c>
      <c r="C365" s="70">
        <v>6</v>
      </c>
      <c r="D365" s="70">
        <v>13</v>
      </c>
      <c r="E365" s="70">
        <v>15</v>
      </c>
      <c r="F365" s="70">
        <v>16</v>
      </c>
      <c r="G365" s="94">
        <v>22</v>
      </c>
      <c r="H365" s="131">
        <v>32</v>
      </c>
      <c r="I365" s="3"/>
    </row>
    <row r="366" spans="1:9" s="93" customFormat="1" ht="9" customHeight="1" x14ac:dyDescent="0.3">
      <c r="A366" s="91"/>
      <c r="B366" s="71">
        <v>8</v>
      </c>
      <c r="C366" s="71">
        <v>15</v>
      </c>
      <c r="D366" s="71">
        <v>19</v>
      </c>
      <c r="E366" s="71">
        <v>21</v>
      </c>
      <c r="F366" s="71">
        <v>32</v>
      </c>
      <c r="G366" s="92">
        <v>36</v>
      </c>
      <c r="H366" s="134">
        <v>38</v>
      </c>
      <c r="I366" s="3"/>
    </row>
    <row r="367" spans="1:9" s="93" customFormat="1" ht="9" customHeight="1" x14ac:dyDescent="0.3">
      <c r="A367" s="91"/>
      <c r="B367" s="71">
        <v>8</v>
      </c>
      <c r="C367" s="71">
        <v>9</v>
      </c>
      <c r="D367" s="71">
        <v>18</v>
      </c>
      <c r="E367" s="71">
        <v>35</v>
      </c>
      <c r="F367" s="71">
        <v>39</v>
      </c>
      <c r="G367" s="92">
        <v>45</v>
      </c>
      <c r="H367" s="134">
        <v>25</v>
      </c>
      <c r="I367" s="3"/>
    </row>
    <row r="368" spans="1:9" s="93" customFormat="1" ht="9" customHeight="1" x14ac:dyDescent="0.3">
      <c r="A368" s="91"/>
      <c r="B368" s="70">
        <v>2</v>
      </c>
      <c r="C368" s="70">
        <v>3</v>
      </c>
      <c r="D368" s="70">
        <v>9</v>
      </c>
      <c r="E368" s="70">
        <v>15</v>
      </c>
      <c r="F368" s="70">
        <v>27</v>
      </c>
      <c r="G368" s="94">
        <v>29</v>
      </c>
      <c r="H368" s="131">
        <v>8</v>
      </c>
      <c r="I368" s="3"/>
    </row>
    <row r="369" spans="1:9" s="93" customFormat="1" ht="9" customHeight="1" x14ac:dyDescent="0.3">
      <c r="A369" s="91"/>
      <c r="B369" s="71">
        <v>30</v>
      </c>
      <c r="C369" s="71">
        <v>31</v>
      </c>
      <c r="D369" s="71">
        <v>32</v>
      </c>
      <c r="E369" s="71">
        <v>35</v>
      </c>
      <c r="F369" s="71">
        <v>36</v>
      </c>
      <c r="G369" s="92">
        <v>37</v>
      </c>
      <c r="H369" s="134">
        <v>5</v>
      </c>
      <c r="I369" s="3"/>
    </row>
    <row r="370" spans="1:9" s="93" customFormat="1" ht="9" customHeight="1" x14ac:dyDescent="0.3">
      <c r="A370" s="91"/>
      <c r="B370" s="71">
        <v>1</v>
      </c>
      <c r="C370" s="71">
        <v>9</v>
      </c>
      <c r="D370" s="71">
        <v>10</v>
      </c>
      <c r="E370" s="71">
        <v>13</v>
      </c>
      <c r="F370" s="71">
        <v>35</v>
      </c>
      <c r="G370" s="92">
        <v>44</v>
      </c>
      <c r="H370" s="134">
        <v>5</v>
      </c>
      <c r="I370" s="3"/>
    </row>
    <row r="371" spans="1:9" s="93" customFormat="1" ht="9" customHeight="1" x14ac:dyDescent="0.3">
      <c r="A371" s="91"/>
      <c r="B371" s="70">
        <v>4</v>
      </c>
      <c r="C371" s="70">
        <v>8</v>
      </c>
      <c r="D371" s="70">
        <v>22</v>
      </c>
      <c r="E371" s="70">
        <v>26</v>
      </c>
      <c r="F371" s="70">
        <v>32</v>
      </c>
      <c r="G371" s="94">
        <v>38</v>
      </c>
      <c r="H371" s="131">
        <v>27</v>
      </c>
      <c r="I371" s="3"/>
    </row>
    <row r="372" spans="1:9" s="93" customFormat="1" ht="9" customHeight="1" x14ac:dyDescent="0.3">
      <c r="A372" s="91"/>
      <c r="B372" s="71">
        <v>10</v>
      </c>
      <c r="C372" s="71">
        <v>16</v>
      </c>
      <c r="D372" s="71">
        <v>19</v>
      </c>
      <c r="E372" s="71">
        <v>27</v>
      </c>
      <c r="F372" s="71">
        <v>37</v>
      </c>
      <c r="G372" s="92">
        <v>38</v>
      </c>
      <c r="H372" s="134">
        <v>13</v>
      </c>
      <c r="I372" s="3"/>
    </row>
    <row r="373" spans="1:9" s="93" customFormat="1" ht="9" customHeight="1" x14ac:dyDescent="0.3">
      <c r="A373" s="91"/>
      <c r="B373" s="70">
        <v>30</v>
      </c>
      <c r="C373" s="70">
        <v>31</v>
      </c>
      <c r="D373" s="70">
        <v>34</v>
      </c>
      <c r="E373" s="70">
        <v>39</v>
      </c>
      <c r="F373" s="70">
        <v>41</v>
      </c>
      <c r="G373" s="94">
        <v>45</v>
      </c>
      <c r="H373" s="131">
        <v>7</v>
      </c>
      <c r="I373" s="3"/>
    </row>
    <row r="374" spans="1:9" s="93" customFormat="1" ht="9" customHeight="1" x14ac:dyDescent="0.3">
      <c r="A374" s="91"/>
      <c r="B374" s="71">
        <v>5</v>
      </c>
      <c r="C374" s="71">
        <v>7</v>
      </c>
      <c r="D374" s="71">
        <v>12</v>
      </c>
      <c r="E374" s="71">
        <v>20</v>
      </c>
      <c r="F374" s="71">
        <v>25</v>
      </c>
      <c r="G374" s="92">
        <v>26</v>
      </c>
      <c r="H374" s="134">
        <v>28</v>
      </c>
      <c r="I374" s="3"/>
    </row>
    <row r="375" spans="1:9" s="93" customFormat="1" ht="9" customHeight="1" x14ac:dyDescent="0.3">
      <c r="A375" s="91"/>
      <c r="B375" s="71">
        <v>21</v>
      </c>
      <c r="C375" s="71">
        <v>25</v>
      </c>
      <c r="D375" s="71">
        <v>27</v>
      </c>
      <c r="E375" s="71">
        <v>32</v>
      </c>
      <c r="F375" s="71">
        <v>37</v>
      </c>
      <c r="G375" s="92">
        <v>38</v>
      </c>
      <c r="H375" s="134">
        <v>20</v>
      </c>
      <c r="I375" s="3"/>
    </row>
    <row r="376" spans="1:9" s="93" customFormat="1" ht="9" customHeight="1" x14ac:dyDescent="0.3">
      <c r="A376" s="91"/>
      <c r="B376" s="71">
        <v>3</v>
      </c>
      <c r="C376" s="71">
        <v>9</v>
      </c>
      <c r="D376" s="71">
        <v>27</v>
      </c>
      <c r="E376" s="71">
        <v>28</v>
      </c>
      <c r="F376" s="71">
        <v>38</v>
      </c>
      <c r="G376" s="92">
        <v>39</v>
      </c>
      <c r="H376" s="134">
        <v>7</v>
      </c>
      <c r="I376" s="3"/>
    </row>
    <row r="377" spans="1:9" s="93" customFormat="1" ht="9" customHeight="1" x14ac:dyDescent="0.3">
      <c r="A377" s="91"/>
      <c r="B377" s="71">
        <v>7</v>
      </c>
      <c r="C377" s="71">
        <v>13</v>
      </c>
      <c r="D377" s="71">
        <v>18</v>
      </c>
      <c r="E377" s="71">
        <v>36</v>
      </c>
      <c r="F377" s="71">
        <v>39</v>
      </c>
      <c r="G377" s="92">
        <v>45</v>
      </c>
      <c r="H377" s="134">
        <v>19</v>
      </c>
      <c r="I377" s="3"/>
    </row>
    <row r="378" spans="1:9" s="93" customFormat="1" ht="9" customHeight="1" x14ac:dyDescent="0.3">
      <c r="A378" s="91"/>
      <c r="B378" s="71">
        <v>2</v>
      </c>
      <c r="C378" s="71">
        <v>12</v>
      </c>
      <c r="D378" s="71">
        <v>20</v>
      </c>
      <c r="E378" s="71">
        <v>24</v>
      </c>
      <c r="F378" s="71">
        <v>34</v>
      </c>
      <c r="G378" s="92">
        <v>42</v>
      </c>
      <c r="H378" s="134">
        <v>37</v>
      </c>
      <c r="I378" s="3"/>
    </row>
    <row r="379" spans="1:9" s="93" customFormat="1" ht="9" customHeight="1" x14ac:dyDescent="0.3">
      <c r="A379" s="91"/>
      <c r="B379" s="70">
        <v>20</v>
      </c>
      <c r="C379" s="70">
        <v>21</v>
      </c>
      <c r="D379" s="70">
        <v>22</v>
      </c>
      <c r="E379" s="70">
        <v>25</v>
      </c>
      <c r="F379" s="70">
        <v>28</v>
      </c>
      <c r="G379" s="94">
        <v>29</v>
      </c>
      <c r="H379" s="131">
        <v>6</v>
      </c>
      <c r="I379" s="3"/>
    </row>
    <row r="380" spans="1:9" s="93" customFormat="1" ht="9" customHeight="1" x14ac:dyDescent="0.3">
      <c r="A380" s="91"/>
      <c r="B380" s="71">
        <v>2</v>
      </c>
      <c r="C380" s="71">
        <v>13</v>
      </c>
      <c r="D380" s="71">
        <v>15</v>
      </c>
      <c r="E380" s="71">
        <v>16</v>
      </c>
      <c r="F380" s="71">
        <v>33</v>
      </c>
      <c r="G380" s="92">
        <v>43</v>
      </c>
      <c r="H380" s="134">
        <v>4</v>
      </c>
      <c r="I380" s="3"/>
    </row>
    <row r="381" spans="1:9" s="93" customFormat="1" ht="9" customHeight="1" x14ac:dyDescent="0.3">
      <c r="A381" s="91"/>
      <c r="B381" s="71">
        <v>17</v>
      </c>
      <c r="C381" s="71">
        <v>18</v>
      </c>
      <c r="D381" s="71">
        <v>23</v>
      </c>
      <c r="E381" s="71">
        <v>25</v>
      </c>
      <c r="F381" s="71">
        <v>38</v>
      </c>
      <c r="G381" s="92">
        <v>39</v>
      </c>
      <c r="H381" s="134">
        <v>22</v>
      </c>
      <c r="I381" s="3"/>
    </row>
    <row r="382" spans="1:9" s="93" customFormat="1" ht="9" customHeight="1" x14ac:dyDescent="0.3">
      <c r="A382" s="91"/>
      <c r="B382" s="71">
        <v>6</v>
      </c>
      <c r="C382" s="71">
        <v>7</v>
      </c>
      <c r="D382" s="71">
        <v>27</v>
      </c>
      <c r="E382" s="71">
        <v>29</v>
      </c>
      <c r="F382" s="71">
        <v>38</v>
      </c>
      <c r="G382" s="92">
        <v>45</v>
      </c>
      <c r="H382" s="134">
        <v>17</v>
      </c>
      <c r="I382" s="3"/>
    </row>
    <row r="383" spans="1:9" s="93" customFormat="1" ht="9" customHeight="1" x14ac:dyDescent="0.3">
      <c r="A383" s="91"/>
      <c r="B383" s="70">
        <v>14</v>
      </c>
      <c r="C383" s="70">
        <v>23</v>
      </c>
      <c r="D383" s="70">
        <v>25</v>
      </c>
      <c r="E383" s="70">
        <v>27</v>
      </c>
      <c r="F383" s="70">
        <v>29</v>
      </c>
      <c r="G383" s="94">
        <v>42</v>
      </c>
      <c r="H383" s="131">
        <v>16</v>
      </c>
      <c r="I383" s="3"/>
    </row>
    <row r="384" spans="1:9" s="93" customFormat="1" ht="9" customHeight="1" x14ac:dyDescent="0.3">
      <c r="A384" s="91"/>
      <c r="B384" s="71">
        <v>8</v>
      </c>
      <c r="C384" s="71">
        <v>23</v>
      </c>
      <c r="D384" s="71">
        <v>31</v>
      </c>
      <c r="E384" s="71">
        <v>35</v>
      </c>
      <c r="F384" s="71">
        <v>39</v>
      </c>
      <c r="G384" s="92">
        <v>40</v>
      </c>
      <c r="H384" s="134">
        <v>24</v>
      </c>
      <c r="I384" s="3"/>
    </row>
    <row r="385" spans="1:16" s="93" customFormat="1" ht="9" customHeight="1" x14ac:dyDescent="0.3">
      <c r="A385" s="91"/>
      <c r="B385" s="70">
        <v>9</v>
      </c>
      <c r="C385" s="70">
        <v>21</v>
      </c>
      <c r="D385" s="70">
        <v>24</v>
      </c>
      <c r="E385" s="70">
        <v>30</v>
      </c>
      <c r="F385" s="70">
        <v>33</v>
      </c>
      <c r="G385" s="94">
        <v>37</v>
      </c>
      <c r="H385" s="131">
        <v>29</v>
      </c>
      <c r="I385" s="3"/>
    </row>
    <row r="386" spans="1:16" s="93" customFormat="1" ht="9" customHeight="1" x14ac:dyDescent="0.3">
      <c r="A386" s="91"/>
      <c r="B386" s="71">
        <v>5</v>
      </c>
      <c r="C386" s="71">
        <v>12</v>
      </c>
      <c r="D386" s="71">
        <v>24</v>
      </c>
      <c r="E386" s="71">
        <v>26</v>
      </c>
      <c r="F386" s="71">
        <v>39</v>
      </c>
      <c r="G386" s="92">
        <v>42</v>
      </c>
      <c r="H386" s="134">
        <v>20</v>
      </c>
      <c r="I386" s="3"/>
    </row>
    <row r="387" spans="1:16" s="93" customFormat="1" ht="9" customHeight="1" x14ac:dyDescent="0.3">
      <c r="A387" s="91"/>
      <c r="B387" s="71">
        <v>3</v>
      </c>
      <c r="C387" s="71">
        <v>13</v>
      </c>
      <c r="D387" s="71">
        <v>28</v>
      </c>
      <c r="E387" s="71">
        <v>34</v>
      </c>
      <c r="F387" s="71">
        <v>38</v>
      </c>
      <c r="G387" s="92">
        <v>42</v>
      </c>
      <c r="H387" s="134">
        <v>25</v>
      </c>
      <c r="I387" s="3"/>
    </row>
    <row r="388" spans="1:16" s="93" customFormat="1" ht="9" customHeight="1" x14ac:dyDescent="0.3">
      <c r="A388" s="91"/>
      <c r="B388" s="71">
        <v>3</v>
      </c>
      <c r="C388" s="71">
        <v>6</v>
      </c>
      <c r="D388" s="71">
        <v>7</v>
      </c>
      <c r="E388" s="71">
        <v>11</v>
      </c>
      <c r="F388" s="71">
        <v>12</v>
      </c>
      <c r="G388" s="92">
        <v>17</v>
      </c>
      <c r="H388" s="134">
        <v>19</v>
      </c>
      <c r="I388" s="3"/>
      <c r="K388" s="95"/>
    </row>
    <row r="389" spans="1:16" s="93" customFormat="1" ht="9" customHeight="1" x14ac:dyDescent="0.3">
      <c r="A389" s="91"/>
      <c r="B389" s="71">
        <v>7</v>
      </c>
      <c r="C389" s="71">
        <v>9</v>
      </c>
      <c r="D389" s="71">
        <v>24</v>
      </c>
      <c r="E389" s="71">
        <v>40</v>
      </c>
      <c r="F389" s="71">
        <v>42</v>
      </c>
      <c r="G389" s="92">
        <v>44</v>
      </c>
      <c r="H389" s="134">
        <v>45</v>
      </c>
      <c r="I389" s="3"/>
      <c r="K389" s="95"/>
    </row>
    <row r="390" spans="1:16" s="93" customFormat="1" ht="9" customHeight="1" x14ac:dyDescent="0.3">
      <c r="A390" s="91"/>
      <c r="B390" s="71">
        <v>1</v>
      </c>
      <c r="C390" s="71">
        <v>5</v>
      </c>
      <c r="D390" s="71">
        <v>18</v>
      </c>
      <c r="E390" s="71">
        <v>20</v>
      </c>
      <c r="F390" s="71">
        <v>30</v>
      </c>
      <c r="G390" s="92">
        <v>35</v>
      </c>
      <c r="H390" s="134">
        <v>3</v>
      </c>
      <c r="I390" s="3"/>
      <c r="K390" s="95"/>
    </row>
    <row r="391" spans="1:16" s="93" customFormat="1" ht="9" customHeight="1" x14ac:dyDescent="0.3">
      <c r="A391" s="91"/>
      <c r="B391" s="71">
        <v>8</v>
      </c>
      <c r="C391" s="71">
        <v>11</v>
      </c>
      <c r="D391" s="71">
        <v>14</v>
      </c>
      <c r="E391" s="71">
        <v>17</v>
      </c>
      <c r="F391" s="71">
        <v>36</v>
      </c>
      <c r="G391" s="92">
        <v>39</v>
      </c>
      <c r="H391" s="134">
        <v>22</v>
      </c>
      <c r="I391" s="3"/>
    </row>
    <row r="392" spans="1:16" s="93" customFormat="1" ht="9" customHeight="1" x14ac:dyDescent="0.3">
      <c r="A392" s="91"/>
      <c r="B392" s="71">
        <v>3</v>
      </c>
      <c r="C392" s="71">
        <v>4</v>
      </c>
      <c r="D392" s="71">
        <v>6</v>
      </c>
      <c r="E392" s="71">
        <v>8</v>
      </c>
      <c r="F392" s="71">
        <v>32</v>
      </c>
      <c r="G392" s="92">
        <v>42</v>
      </c>
      <c r="H392" s="134">
        <v>31</v>
      </c>
      <c r="I392" s="3"/>
    </row>
    <row r="393" spans="1:16" s="93" customFormat="1" ht="9" customHeight="1" x14ac:dyDescent="0.3">
      <c r="A393" s="91"/>
      <c r="B393" s="70">
        <v>7</v>
      </c>
      <c r="C393" s="70">
        <v>9</v>
      </c>
      <c r="D393" s="70">
        <v>11</v>
      </c>
      <c r="E393" s="70">
        <v>21</v>
      </c>
      <c r="F393" s="70">
        <v>30</v>
      </c>
      <c r="G393" s="94">
        <v>35</v>
      </c>
      <c r="H393" s="131">
        <v>29</v>
      </c>
      <c r="I393" s="3"/>
    </row>
    <row r="394" spans="1:16" s="93" customFormat="1" ht="9" customHeight="1" x14ac:dyDescent="0.3">
      <c r="A394" s="91"/>
      <c r="B394" s="70">
        <v>3</v>
      </c>
      <c r="C394" s="70">
        <v>7</v>
      </c>
      <c r="D394" s="70">
        <v>15</v>
      </c>
      <c r="E394" s="70">
        <v>16</v>
      </c>
      <c r="F394" s="70">
        <v>19</v>
      </c>
      <c r="G394" s="94">
        <v>43</v>
      </c>
      <c r="H394" s="131">
        <v>21</v>
      </c>
      <c r="I394" s="3"/>
    </row>
    <row r="395" spans="1:16" s="93" customFormat="1" ht="9" customHeight="1" thickBot="1" x14ac:dyDescent="0.35">
      <c r="A395" s="91"/>
      <c r="B395" s="71">
        <v>5</v>
      </c>
      <c r="C395" s="71">
        <v>6</v>
      </c>
      <c r="D395" s="71">
        <v>11</v>
      </c>
      <c r="E395" s="71">
        <v>27</v>
      </c>
      <c r="F395" s="71">
        <v>43</v>
      </c>
      <c r="G395" s="92">
        <v>44</v>
      </c>
      <c r="H395" s="134">
        <v>17</v>
      </c>
      <c r="I395" s="3"/>
    </row>
    <row r="396" spans="1:16" s="93" customFormat="1" ht="9" customHeight="1" x14ac:dyDescent="0.3">
      <c r="A396" s="91"/>
      <c r="B396" s="71">
        <v>3</v>
      </c>
      <c r="C396" s="71">
        <v>16</v>
      </c>
      <c r="D396" s="71">
        <v>18</v>
      </c>
      <c r="E396" s="71">
        <v>24</v>
      </c>
      <c r="F396" s="71">
        <v>40</v>
      </c>
      <c r="G396" s="92">
        <v>44</v>
      </c>
      <c r="H396" s="134">
        <v>21</v>
      </c>
      <c r="I396" s="3"/>
      <c r="J396" s="96">
        <v>38</v>
      </c>
      <c r="K396" s="89">
        <f>SUM($AW$3)</f>
        <v>72</v>
      </c>
      <c r="L396" s="97"/>
      <c r="M396" s="98"/>
      <c r="O396" s="99" t="s">
        <v>12</v>
      </c>
      <c r="P396" s="100" t="str" cm="1">
        <f t="array" ref="P396">"," &amp; _xlfn.TEXTJOIN(",",TRUE,IF(($L$3:$BD$3&gt;=59)*($L$3:$BD$3&lt;=200),$L$2:$BD$2,"")) &amp; ","</f>
        <v>,3,6,7,12,13,14,16,18,19,21,26,27,28,29,30,31,33,35,36,38,39,42,44,45,</v>
      </c>
    </row>
    <row r="397" spans="1:16" s="93" customFormat="1" ht="9" customHeight="1" x14ac:dyDescent="0.3">
      <c r="A397" s="91"/>
      <c r="B397" s="70">
        <v>6</v>
      </c>
      <c r="C397" s="70">
        <v>12</v>
      </c>
      <c r="D397" s="70">
        <v>18</v>
      </c>
      <c r="E397" s="70">
        <v>37</v>
      </c>
      <c r="F397" s="70">
        <v>40</v>
      </c>
      <c r="G397" s="94">
        <v>41</v>
      </c>
      <c r="H397" s="131">
        <v>3</v>
      </c>
      <c r="I397" s="3"/>
      <c r="J397" s="96">
        <v>12</v>
      </c>
      <c r="K397" s="89">
        <f>SUM($W$3)</f>
        <v>70</v>
      </c>
      <c r="L397" s="101"/>
      <c r="M397" s="102"/>
      <c r="O397" s="103"/>
    </row>
    <row r="398" spans="1:16" s="93" customFormat="1" ht="9" customHeight="1" x14ac:dyDescent="0.3">
      <c r="A398" s="91"/>
      <c r="B398" s="70">
        <v>8</v>
      </c>
      <c r="C398" s="70">
        <v>10</v>
      </c>
      <c r="D398" s="70">
        <v>14</v>
      </c>
      <c r="E398" s="70">
        <v>20</v>
      </c>
      <c r="F398" s="70">
        <v>33</v>
      </c>
      <c r="G398" s="94">
        <v>41</v>
      </c>
      <c r="H398" s="131">
        <v>28</v>
      </c>
      <c r="I398" s="3"/>
      <c r="J398" s="96">
        <v>13</v>
      </c>
      <c r="K398" s="89">
        <f>SUM($X$3)</f>
        <v>70</v>
      </c>
      <c r="L398" s="101"/>
      <c r="M398" s="102"/>
      <c r="O398" s="99" t="s">
        <v>17</v>
      </c>
      <c r="P398" s="100" t="str" cm="1">
        <f t="array" ref="P398">"," &amp; _xlfn.TEXTJOIN(",",TRUE,IF(($L$3:$BD$3&gt;=62)*($L$3:$BD$3&lt;=200),$L$2:$BD$2,"")) &amp; ","</f>
        <v>,3,6,12,13,16,18,19,21,28,30,33,35,38,39,45,</v>
      </c>
    </row>
    <row r="399" spans="1:16" s="93" customFormat="1" ht="9" customHeight="1" x14ac:dyDescent="0.3">
      <c r="A399" s="91"/>
      <c r="B399" s="70">
        <v>1</v>
      </c>
      <c r="C399" s="70">
        <v>13</v>
      </c>
      <c r="D399" s="70">
        <v>21</v>
      </c>
      <c r="E399" s="70">
        <v>25</v>
      </c>
      <c r="F399" s="70">
        <v>28</v>
      </c>
      <c r="G399" s="94">
        <v>31</v>
      </c>
      <c r="H399" s="131">
        <v>22</v>
      </c>
      <c r="I399" s="3"/>
      <c r="J399" s="96">
        <v>16</v>
      </c>
      <c r="K399" s="89">
        <f>SUM($AA$3)</f>
        <v>68</v>
      </c>
      <c r="L399" s="101"/>
      <c r="M399" s="102"/>
      <c r="O399" s="104" t="s">
        <v>18</v>
      </c>
      <c r="P399" s="100" t="str" cm="1">
        <f t="array" ref="P399">"," &amp; _xlfn.TEXTJOIN(",",TRUE,IF(($L$3:$BD$3&gt;=58)*($L$3:$BD$3&lt;=61),$L$2:$BD$2,"")) &amp; ","</f>
        <v>,7,14,15,22,24,26,27,29,31,34,36,37,42,44,</v>
      </c>
    </row>
    <row r="400" spans="1:16" s="93" customFormat="1" ht="9" customHeight="1" x14ac:dyDescent="0.3">
      <c r="A400" s="91"/>
      <c r="B400" s="71">
        <v>4</v>
      </c>
      <c r="C400" s="71">
        <v>15</v>
      </c>
      <c r="D400" s="71">
        <v>17</v>
      </c>
      <c r="E400" s="71">
        <v>23</v>
      </c>
      <c r="F400" s="71">
        <v>27</v>
      </c>
      <c r="G400" s="92">
        <v>36</v>
      </c>
      <c r="H400" s="134">
        <v>31</v>
      </c>
      <c r="I400" s="3"/>
      <c r="J400" s="96">
        <v>3</v>
      </c>
      <c r="K400" s="89">
        <f>SUM($N$3)</f>
        <v>68</v>
      </c>
      <c r="L400" s="101"/>
      <c r="M400" s="102"/>
      <c r="O400" s="99" t="s">
        <v>19</v>
      </c>
      <c r="P400" s="100" t="str" cm="1">
        <f t="array" ref="P400">"," &amp; _xlfn.TEXTJOIN(",",TRUE,IF(($L$3:$BD$3&gt;=0)*($L$3:$BD$3&lt;=56),$L$2:$BD$2,"")) &amp; ","</f>
        <v>,1,2,4,5,8,9,10,11,17,20,23,25,32,40,41,43,</v>
      </c>
    </row>
    <row r="401" spans="1:35" s="93" customFormat="1" ht="9" customHeight="1" x14ac:dyDescent="0.3">
      <c r="A401" s="91"/>
      <c r="B401" s="70">
        <v>14</v>
      </c>
      <c r="C401" s="70">
        <v>16</v>
      </c>
      <c r="D401" s="70">
        <v>23</v>
      </c>
      <c r="E401" s="70">
        <v>25</v>
      </c>
      <c r="F401" s="70">
        <v>31</v>
      </c>
      <c r="G401" s="94">
        <v>37</v>
      </c>
      <c r="H401" s="131">
        <v>42</v>
      </c>
      <c r="I401" s="3"/>
      <c r="J401" s="96">
        <v>45</v>
      </c>
      <c r="K401" s="89">
        <f>SUM($BD$3)</f>
        <v>67</v>
      </c>
      <c r="L401" s="101"/>
      <c r="M401" s="102"/>
      <c r="O401" s="103"/>
    </row>
    <row r="402" spans="1:35" s="93" customFormat="1" ht="9" customHeight="1" x14ac:dyDescent="0.3">
      <c r="A402" s="91"/>
      <c r="B402" s="71">
        <v>6</v>
      </c>
      <c r="C402" s="71">
        <v>17</v>
      </c>
      <c r="D402" s="71">
        <v>22</v>
      </c>
      <c r="E402" s="71">
        <v>28</v>
      </c>
      <c r="F402" s="71">
        <v>29</v>
      </c>
      <c r="G402" s="92">
        <v>32</v>
      </c>
      <c r="H402" s="134">
        <v>38</v>
      </c>
      <c r="I402" s="3"/>
      <c r="J402" s="96">
        <v>18</v>
      </c>
      <c r="K402" s="89">
        <f>SUM($AC$3)</f>
        <v>66</v>
      </c>
      <c r="L402" s="101"/>
      <c r="M402" s="102"/>
      <c r="O402" s="99">
        <v>1</v>
      </c>
      <c r="P402" s="100" t="str" cm="1">
        <f t="array" ref="P402">"," &amp; _xlfn.TEXTJOIN(",",TRUE,IF(($L$3:$BD$3&gt;=65)*($L$3:$BD$3&lt;=200),$L$2:$BD$2,"")) &amp; ","</f>
        <v>,3,12,13,16,18,30,33,35,38,45,</v>
      </c>
    </row>
    <row r="403" spans="1:35" s="93" customFormat="1" ht="9" customHeight="1" x14ac:dyDescent="0.3">
      <c r="A403" s="91"/>
      <c r="B403" s="71">
        <v>2</v>
      </c>
      <c r="C403" s="71">
        <v>8</v>
      </c>
      <c r="D403" s="71">
        <v>13</v>
      </c>
      <c r="E403" s="71">
        <v>16</v>
      </c>
      <c r="F403" s="71">
        <v>23</v>
      </c>
      <c r="G403" s="92">
        <v>28</v>
      </c>
      <c r="H403" s="134">
        <v>35</v>
      </c>
      <c r="I403" s="3"/>
      <c r="J403" s="96">
        <v>30</v>
      </c>
      <c r="K403" s="89">
        <f>SUM($AO$3)</f>
        <v>66</v>
      </c>
      <c r="L403" s="101"/>
      <c r="M403" s="102"/>
      <c r="O403" s="99">
        <v>2</v>
      </c>
      <c r="P403" s="100" t="str" cm="1">
        <f t="array" ref="P403">"," &amp; _xlfn.TEXTJOIN(",",TRUE,IF(($L$3:$BD$3&gt;=61)*($L$3:$BD$3&lt;=64),$L$2:$BD$2,"")) &amp; ","</f>
        <v>,6,19,21,26,28,31,39,</v>
      </c>
    </row>
    <row r="404" spans="1:35" s="93" customFormat="1" ht="9" customHeight="1" thickBot="1" x14ac:dyDescent="0.35">
      <c r="A404" s="91"/>
      <c r="B404" s="71">
        <v>5</v>
      </c>
      <c r="C404" s="71">
        <v>13</v>
      </c>
      <c r="D404" s="71">
        <v>26</v>
      </c>
      <c r="E404" s="71">
        <v>29</v>
      </c>
      <c r="F404" s="71">
        <v>37</v>
      </c>
      <c r="G404" s="92">
        <v>40</v>
      </c>
      <c r="H404" s="134">
        <v>42</v>
      </c>
      <c r="I404" s="3"/>
      <c r="J404" s="96">
        <v>33</v>
      </c>
      <c r="K404" s="89">
        <f>SUM($AR$3)</f>
        <v>65</v>
      </c>
      <c r="L404" s="101"/>
      <c r="M404" s="105"/>
      <c r="O404" s="99">
        <v>3</v>
      </c>
      <c r="P404" s="100" t="str" cm="1">
        <f t="array" ref="P404">"," &amp; _xlfn.TEXTJOIN(",",TRUE,IF(($L$3:$BD$3&gt;=58)*($L$3:$BD$3&lt;=59),$L$2:$BD$2,"")) &amp; ","</f>
        <v>,15,22,24,27,29,34,37,44,</v>
      </c>
    </row>
    <row r="405" spans="1:35" s="93" customFormat="1" ht="9" customHeight="1" x14ac:dyDescent="0.3">
      <c r="A405" s="91"/>
      <c r="B405" s="70">
        <v>3</v>
      </c>
      <c r="C405" s="70">
        <v>4</v>
      </c>
      <c r="D405" s="70">
        <v>12</v>
      </c>
      <c r="E405" s="70">
        <v>19</v>
      </c>
      <c r="F405" s="70">
        <v>22</v>
      </c>
      <c r="G405" s="94">
        <v>27</v>
      </c>
      <c r="H405" s="131">
        <v>9</v>
      </c>
      <c r="I405" s="3"/>
      <c r="J405" s="96">
        <v>35</v>
      </c>
      <c r="K405" s="89">
        <f>SUM($AT$3)</f>
        <v>65</v>
      </c>
      <c r="L405" s="101"/>
      <c r="M405" s="106"/>
      <c r="O405" s="99">
        <v>4</v>
      </c>
      <c r="P405" s="100" t="str" cm="1">
        <f t="array" ref="P405">"," &amp; _xlfn.TEXTJOIN(",",TRUE,IF(($L$3:$BD$3&gt;=54)*($L$3:$BD$3&lt;=57),$L$2:$BD$2,"")) &amp; ","</f>
        <v>,1,9,10,11,17,32,43,</v>
      </c>
    </row>
    <row r="406" spans="1:35" s="93" customFormat="1" ht="9" customHeight="1" x14ac:dyDescent="0.3">
      <c r="A406" s="91"/>
      <c r="B406" s="71">
        <v>9</v>
      </c>
      <c r="C406" s="71">
        <v>19</v>
      </c>
      <c r="D406" s="71">
        <v>29</v>
      </c>
      <c r="E406" s="71">
        <v>35</v>
      </c>
      <c r="F406" s="71">
        <v>37</v>
      </c>
      <c r="G406" s="92">
        <v>38</v>
      </c>
      <c r="H406" s="134">
        <v>31</v>
      </c>
      <c r="I406" s="3"/>
      <c r="J406" s="96">
        <v>21</v>
      </c>
      <c r="K406" s="89">
        <f>SUM($AF$3)</f>
        <v>64</v>
      </c>
      <c r="L406" s="101"/>
      <c r="M406" s="107"/>
      <c r="O406" s="99">
        <v>5</v>
      </c>
      <c r="P406" s="100" t="str" cm="1">
        <f t="array" ref="P406">"," &amp; _xlfn.TEXTJOIN(",",TRUE,IF(($L$3:$BD$3&gt;=0)*($L$3:$BD$3&lt;=53),$L$2:$BD$2,"")) &amp; ","</f>
        <v>,2,4,5,8,20,23,25,40,41,</v>
      </c>
    </row>
    <row r="407" spans="1:35" s="93" customFormat="1" ht="9" customHeight="1" x14ac:dyDescent="0.3">
      <c r="A407" s="91"/>
      <c r="B407" s="71">
        <v>7</v>
      </c>
      <c r="C407" s="71">
        <v>9</v>
      </c>
      <c r="D407" s="71">
        <v>19</v>
      </c>
      <c r="E407" s="71">
        <v>23</v>
      </c>
      <c r="F407" s="71">
        <v>26</v>
      </c>
      <c r="G407" s="92">
        <v>45</v>
      </c>
      <c r="H407" s="134">
        <v>33</v>
      </c>
      <c r="I407" s="3"/>
      <c r="J407" s="96">
        <v>6</v>
      </c>
      <c r="K407" s="89">
        <f>SUM($Q$3)</f>
        <v>64</v>
      </c>
      <c r="L407" s="101"/>
      <c r="M407" s="107"/>
    </row>
    <row r="408" spans="1:35" s="93" customFormat="1" ht="9" customHeight="1" x14ac:dyDescent="0.3">
      <c r="A408" s="91"/>
      <c r="B408" s="71">
        <v>1</v>
      </c>
      <c r="C408" s="71">
        <v>4</v>
      </c>
      <c r="D408" s="71">
        <v>11</v>
      </c>
      <c r="E408" s="71">
        <v>12</v>
      </c>
      <c r="F408" s="71">
        <v>20</v>
      </c>
      <c r="G408" s="92">
        <v>41</v>
      </c>
      <c r="H408" s="134">
        <v>2</v>
      </c>
      <c r="I408" s="3"/>
      <c r="J408" s="96">
        <v>28</v>
      </c>
      <c r="K408" s="89">
        <f>SUM($AM$3)</f>
        <v>64</v>
      </c>
      <c r="L408" s="101"/>
      <c r="M408" s="107"/>
      <c r="O408" s="108" t="s">
        <v>12</v>
      </c>
      <c r="P408" s="109" t="s">
        <v>13</v>
      </c>
      <c r="R408" s="108" t="s">
        <v>17</v>
      </c>
      <c r="S408" s="109" t="s">
        <v>18</v>
      </c>
      <c r="T408" s="108" t="s">
        <v>19</v>
      </c>
      <c r="V408" s="108">
        <v>1</v>
      </c>
      <c r="W408" s="108">
        <v>2</v>
      </c>
      <c r="X408" s="108">
        <v>3</v>
      </c>
      <c r="Y408" s="108">
        <v>4</v>
      </c>
      <c r="Z408" s="108">
        <v>5</v>
      </c>
    </row>
    <row r="409" spans="1:35" s="93" customFormat="1" ht="9" customHeight="1" x14ac:dyDescent="0.3">
      <c r="A409" s="91"/>
      <c r="B409" s="71">
        <v>10</v>
      </c>
      <c r="C409" s="71">
        <v>16</v>
      </c>
      <c r="D409" s="71">
        <v>23</v>
      </c>
      <c r="E409" s="71">
        <v>36</v>
      </c>
      <c r="F409" s="71">
        <v>39</v>
      </c>
      <c r="G409" s="92">
        <v>40</v>
      </c>
      <c r="H409" s="134">
        <v>11</v>
      </c>
      <c r="I409" s="3"/>
      <c r="J409" s="96">
        <v>39</v>
      </c>
      <c r="K409" s="89">
        <f>SUM($AX$3)</f>
        <v>63</v>
      </c>
      <c r="L409" s="101"/>
      <c r="M409" s="107"/>
      <c r="O409" s="110">
        <v>3</v>
      </c>
      <c r="P409" s="110">
        <f>6-O409</f>
        <v>3</v>
      </c>
      <c r="R409" s="110">
        <v>2</v>
      </c>
      <c r="S409" s="110">
        <v>2</v>
      </c>
      <c r="T409" s="111">
        <f>6-S409-R409</f>
        <v>2</v>
      </c>
      <c r="V409" s="110">
        <v>2</v>
      </c>
      <c r="W409" s="110"/>
      <c r="X409" s="110">
        <v>2</v>
      </c>
      <c r="Y409" s="110">
        <v>1</v>
      </c>
      <c r="Z409" s="111">
        <f>6-Y409-X409-W409-V409</f>
        <v>1</v>
      </c>
    </row>
    <row r="410" spans="1:35" s="93" customFormat="1" ht="9" customHeight="1" thickBot="1" x14ac:dyDescent="0.35">
      <c r="A410" s="91"/>
      <c r="B410" s="71">
        <v>6</v>
      </c>
      <c r="C410" s="71">
        <v>9</v>
      </c>
      <c r="D410" s="71">
        <v>16</v>
      </c>
      <c r="E410" s="71">
        <v>19</v>
      </c>
      <c r="F410" s="71">
        <v>24</v>
      </c>
      <c r="G410" s="92">
        <v>28</v>
      </c>
      <c r="H410" s="134">
        <v>17</v>
      </c>
      <c r="I410" s="3"/>
      <c r="J410" s="96">
        <v>19</v>
      </c>
      <c r="K410" s="89">
        <f>SUM($AD$3)</f>
        <v>62</v>
      </c>
      <c r="L410" s="112"/>
      <c r="M410" s="107"/>
      <c r="O410" s="110">
        <v>3</v>
      </c>
      <c r="P410" s="110">
        <f t="shared" ref="P410:P446" si="1">6-O410</f>
        <v>3</v>
      </c>
      <c r="R410" s="110">
        <v>0</v>
      </c>
      <c r="S410" s="110">
        <v>4</v>
      </c>
      <c r="T410" s="111">
        <f t="shared" ref="T410:T446" si="2">6-S410-R410</f>
        <v>2</v>
      </c>
      <c r="V410" s="110"/>
      <c r="W410" s="110">
        <v>3</v>
      </c>
      <c r="X410" s="110"/>
      <c r="Y410" s="110">
        <v>1</v>
      </c>
      <c r="Z410" s="111">
        <f t="shared" ref="Z410:Z446" si="3">6-Y410-X410-W410-V410</f>
        <v>2</v>
      </c>
    </row>
    <row r="411" spans="1:35" s="93" customFormat="1" ht="9" customHeight="1" x14ac:dyDescent="0.3">
      <c r="A411" s="91"/>
      <c r="B411" s="71">
        <v>3</v>
      </c>
      <c r="C411" s="71">
        <v>13</v>
      </c>
      <c r="D411" s="71">
        <v>15</v>
      </c>
      <c r="E411" s="71">
        <v>24</v>
      </c>
      <c r="F411" s="71">
        <v>33</v>
      </c>
      <c r="G411" s="92">
        <v>37</v>
      </c>
      <c r="H411" s="134">
        <v>2</v>
      </c>
      <c r="I411" s="3"/>
      <c r="J411" s="96">
        <v>26</v>
      </c>
      <c r="K411" s="89">
        <f>SUM($AK$3)</f>
        <v>61</v>
      </c>
      <c r="L411" s="113"/>
      <c r="M411" s="107"/>
      <c r="O411" s="110">
        <v>5</v>
      </c>
      <c r="P411" s="110">
        <f t="shared" si="1"/>
        <v>1</v>
      </c>
      <c r="R411" s="110">
        <v>4</v>
      </c>
      <c r="S411" s="110">
        <v>1</v>
      </c>
      <c r="T411" s="111">
        <f t="shared" si="2"/>
        <v>1</v>
      </c>
      <c r="V411" s="110">
        <v>2</v>
      </c>
      <c r="W411" s="110">
        <v>3</v>
      </c>
      <c r="X411" s="110"/>
      <c r="Y411" s="110"/>
      <c r="Z411" s="111">
        <f t="shared" si="3"/>
        <v>1</v>
      </c>
    </row>
    <row r="412" spans="1:35" s="93" customFormat="1" ht="9" customHeight="1" x14ac:dyDescent="0.3">
      <c r="A412" s="91"/>
      <c r="B412" s="70">
        <v>3</v>
      </c>
      <c r="C412" s="70">
        <v>15</v>
      </c>
      <c r="D412" s="70">
        <v>27</v>
      </c>
      <c r="E412" s="70">
        <v>33</v>
      </c>
      <c r="F412" s="70">
        <v>34</v>
      </c>
      <c r="G412" s="70">
        <v>36</v>
      </c>
      <c r="H412" s="131">
        <f>[1]기록총!H200</f>
        <v>37</v>
      </c>
      <c r="I412" s="3"/>
      <c r="J412" s="96">
        <v>31</v>
      </c>
      <c r="K412" s="89">
        <f>SUM($AP$3)</f>
        <v>61</v>
      </c>
      <c r="L412" s="113"/>
      <c r="M412" s="107"/>
      <c r="O412" s="110">
        <v>2</v>
      </c>
      <c r="P412" s="110">
        <f t="shared" si="1"/>
        <v>4</v>
      </c>
      <c r="R412" s="110">
        <v>2</v>
      </c>
      <c r="S412" s="110">
        <v>2</v>
      </c>
      <c r="T412" s="111">
        <f t="shared" si="2"/>
        <v>2</v>
      </c>
      <c r="V412" s="110">
        <v>1</v>
      </c>
      <c r="W412" s="110">
        <v>1</v>
      </c>
      <c r="X412" s="110">
        <v>1</v>
      </c>
      <c r="Y412" s="110">
        <v>2</v>
      </c>
      <c r="Z412" s="111">
        <f t="shared" si="3"/>
        <v>1</v>
      </c>
    </row>
    <row r="413" spans="1:35" s="93" customFormat="1" ht="9" customHeight="1" thickBot="1" x14ac:dyDescent="0.35">
      <c r="A413" s="91"/>
      <c r="B413" s="70">
        <v>8</v>
      </c>
      <c r="C413" s="70">
        <v>12</v>
      </c>
      <c r="D413" s="70">
        <v>15</v>
      </c>
      <c r="E413" s="70">
        <v>29</v>
      </c>
      <c r="F413" s="70">
        <v>40</v>
      </c>
      <c r="G413" s="70">
        <v>45</v>
      </c>
      <c r="H413" s="131">
        <f>[1]기록총!H201</f>
        <v>14</v>
      </c>
      <c r="I413" s="3"/>
      <c r="J413" s="96">
        <v>7</v>
      </c>
      <c r="K413" s="89">
        <f>SUM($R$3)</f>
        <v>60</v>
      </c>
      <c r="L413" s="113"/>
      <c r="M413" s="114"/>
      <c r="O413" s="110">
        <v>1</v>
      </c>
      <c r="P413" s="110">
        <f t="shared" si="1"/>
        <v>5</v>
      </c>
      <c r="R413" s="110">
        <v>1</v>
      </c>
      <c r="S413" s="110">
        <v>0</v>
      </c>
      <c r="T413" s="111">
        <f t="shared" si="2"/>
        <v>5</v>
      </c>
      <c r="V413" s="110">
        <v>1</v>
      </c>
      <c r="W413" s="110"/>
      <c r="X413" s="110"/>
      <c r="Y413" s="110">
        <v>1</v>
      </c>
      <c r="Z413" s="111">
        <f t="shared" si="3"/>
        <v>4</v>
      </c>
      <c r="AA413" s="115"/>
      <c r="AB413" s="115"/>
      <c r="AC413" s="115"/>
      <c r="AD413" s="115"/>
      <c r="AE413" s="115"/>
      <c r="AF413" s="115"/>
      <c r="AG413" s="115"/>
      <c r="AH413" s="115"/>
      <c r="AI413" s="115"/>
    </row>
    <row r="414" spans="1:35" s="93" customFormat="1" ht="9" customHeight="1" x14ac:dyDescent="0.3">
      <c r="A414" s="91"/>
      <c r="B414" s="70">
        <v>1</v>
      </c>
      <c r="C414" s="70">
        <v>5</v>
      </c>
      <c r="D414" s="70">
        <v>7</v>
      </c>
      <c r="E414" s="70">
        <v>26</v>
      </c>
      <c r="F414" s="70">
        <v>28</v>
      </c>
      <c r="G414" s="70">
        <v>43</v>
      </c>
      <c r="H414" s="131">
        <f>[1]기록총!H202</f>
        <v>30</v>
      </c>
      <c r="I414" s="3"/>
      <c r="J414" s="96">
        <v>36</v>
      </c>
      <c r="K414" s="89">
        <f>SUM($AU$3)</f>
        <v>60</v>
      </c>
      <c r="L414" s="113"/>
      <c r="M414" s="116"/>
      <c r="O414" s="110">
        <v>3</v>
      </c>
      <c r="P414" s="110">
        <f t="shared" si="1"/>
        <v>3</v>
      </c>
      <c r="R414" s="110">
        <v>2</v>
      </c>
      <c r="S414" s="110">
        <v>2</v>
      </c>
      <c r="T414" s="111">
        <f t="shared" si="2"/>
        <v>2</v>
      </c>
      <c r="V414" s="110"/>
      <c r="W414" s="110">
        <v>2</v>
      </c>
      <c r="X414" s="110">
        <v>2</v>
      </c>
      <c r="Y414" s="110">
        <v>2</v>
      </c>
      <c r="Z414" s="111">
        <f t="shared" si="3"/>
        <v>0</v>
      </c>
      <c r="AA414" s="115"/>
      <c r="AB414" s="115"/>
      <c r="AC414" s="115"/>
      <c r="AD414" s="115"/>
      <c r="AE414" s="115"/>
      <c r="AF414" s="115"/>
      <c r="AG414" s="115"/>
      <c r="AH414" s="115"/>
      <c r="AI414" s="115"/>
    </row>
    <row r="415" spans="1:35" s="93" customFormat="1" ht="9" customHeight="1" x14ac:dyDescent="0.3">
      <c r="A415" s="91"/>
      <c r="B415" s="70">
        <v>26</v>
      </c>
      <c r="C415" s="70">
        <v>30</v>
      </c>
      <c r="D415" s="70">
        <v>33</v>
      </c>
      <c r="E415" s="70">
        <v>38</v>
      </c>
      <c r="F415" s="70">
        <v>39</v>
      </c>
      <c r="G415" s="70">
        <v>41</v>
      </c>
      <c r="H415" s="131">
        <f>[1]기록총!H203</f>
        <v>21</v>
      </c>
      <c r="I415" s="3"/>
      <c r="J415" s="96">
        <v>14</v>
      </c>
      <c r="K415" s="89">
        <f>SUM($Y$3)</f>
        <v>60</v>
      </c>
      <c r="L415" s="113"/>
      <c r="M415" s="117"/>
      <c r="O415" s="110">
        <v>4</v>
      </c>
      <c r="P415" s="110">
        <f t="shared" si="1"/>
        <v>2</v>
      </c>
      <c r="R415" s="110">
        <v>3</v>
      </c>
      <c r="S415" s="110">
        <v>1</v>
      </c>
      <c r="T415" s="111">
        <f t="shared" si="2"/>
        <v>2</v>
      </c>
      <c r="V415" s="110">
        <v>3</v>
      </c>
      <c r="W415" s="110"/>
      <c r="X415" s="110">
        <v>1</v>
      </c>
      <c r="Y415" s="110">
        <v>1</v>
      </c>
      <c r="Z415" s="111">
        <f t="shared" si="3"/>
        <v>1</v>
      </c>
    </row>
    <row r="416" spans="1:35" s="93" customFormat="1" ht="9" customHeight="1" x14ac:dyDescent="0.3">
      <c r="A416" s="91"/>
      <c r="B416" s="70">
        <v>16</v>
      </c>
      <c r="C416" s="70">
        <v>24</v>
      </c>
      <c r="D416" s="70">
        <v>25</v>
      </c>
      <c r="E416" s="70">
        <v>30</v>
      </c>
      <c r="F416" s="70">
        <v>31</v>
      </c>
      <c r="G416" s="70">
        <v>32</v>
      </c>
      <c r="H416" s="131">
        <f>[1]기록총!H204</f>
        <v>7</v>
      </c>
      <c r="I416" s="3"/>
      <c r="J416" s="96">
        <v>42</v>
      </c>
      <c r="K416" s="89">
        <f>SUM($BA$3)</f>
        <v>60</v>
      </c>
      <c r="L416" s="113"/>
      <c r="M416" s="117"/>
      <c r="O416" s="110">
        <v>6</v>
      </c>
      <c r="P416" s="110">
        <f t="shared" si="1"/>
        <v>0</v>
      </c>
      <c r="R416" s="110">
        <v>5</v>
      </c>
      <c r="S416" s="110">
        <v>1</v>
      </c>
      <c r="T416" s="111">
        <f t="shared" si="2"/>
        <v>0</v>
      </c>
      <c r="V416" s="110">
        <v>2</v>
      </c>
      <c r="W416" s="110">
        <v>3</v>
      </c>
      <c r="X416" s="110">
        <v>1</v>
      </c>
      <c r="Y416" s="110"/>
      <c r="Z416" s="111">
        <f t="shared" si="3"/>
        <v>0</v>
      </c>
    </row>
    <row r="417" spans="1:26" s="93" customFormat="1" ht="9" customHeight="1" x14ac:dyDescent="0.3">
      <c r="A417" s="91"/>
      <c r="B417" s="70">
        <v>1</v>
      </c>
      <c r="C417" s="70">
        <v>2</v>
      </c>
      <c r="D417" s="70">
        <v>4</v>
      </c>
      <c r="E417" s="70">
        <v>16</v>
      </c>
      <c r="F417" s="70">
        <v>20</v>
      </c>
      <c r="G417" s="70">
        <v>32</v>
      </c>
      <c r="H417" s="131">
        <f>[1]기록총!H205</f>
        <v>45</v>
      </c>
      <c r="I417" s="3"/>
      <c r="J417" s="96">
        <v>27</v>
      </c>
      <c r="K417" s="89">
        <f>SUM($AL$3)</f>
        <v>59</v>
      </c>
      <c r="L417" s="113"/>
      <c r="M417" s="117"/>
      <c r="O417" s="110">
        <v>4</v>
      </c>
      <c r="P417" s="110">
        <f t="shared" si="1"/>
        <v>2</v>
      </c>
      <c r="R417" s="110">
        <v>2</v>
      </c>
      <c r="S417" s="110">
        <v>3</v>
      </c>
      <c r="T417" s="111">
        <f t="shared" si="2"/>
        <v>1</v>
      </c>
      <c r="V417" s="110">
        <v>1</v>
      </c>
      <c r="W417" s="110">
        <v>2</v>
      </c>
      <c r="X417" s="110">
        <v>1</v>
      </c>
      <c r="Y417" s="110">
        <v>1</v>
      </c>
      <c r="Z417" s="111">
        <f t="shared" si="3"/>
        <v>1</v>
      </c>
    </row>
    <row r="418" spans="1:26" s="93" customFormat="1" ht="9" customHeight="1" thickBot="1" x14ac:dyDescent="0.35">
      <c r="A418" s="91"/>
      <c r="B418" s="70">
        <v>7</v>
      </c>
      <c r="C418" s="70">
        <v>9</v>
      </c>
      <c r="D418" s="70">
        <v>24</v>
      </c>
      <c r="E418" s="70">
        <v>27</v>
      </c>
      <c r="F418" s="70">
        <v>35</v>
      </c>
      <c r="G418" s="70">
        <v>36</v>
      </c>
      <c r="H418" s="131">
        <f>[1]기록총!H206</f>
        <v>37</v>
      </c>
      <c r="I418" s="3"/>
      <c r="J418" s="96">
        <v>44</v>
      </c>
      <c r="K418" s="89">
        <f>SUM($BC$3)</f>
        <v>59</v>
      </c>
      <c r="L418" s="118"/>
      <c r="M418" s="117"/>
      <c r="O418" s="110">
        <v>2</v>
      </c>
      <c r="P418" s="110">
        <f t="shared" si="1"/>
        <v>4</v>
      </c>
      <c r="R418" s="110">
        <v>1</v>
      </c>
      <c r="S418" s="110">
        <v>2</v>
      </c>
      <c r="T418" s="111">
        <f t="shared" si="2"/>
        <v>3</v>
      </c>
      <c r="V418" s="110">
        <v>1</v>
      </c>
      <c r="W418" s="110"/>
      <c r="X418" s="110">
        <v>1</v>
      </c>
      <c r="Y418" s="110">
        <v>1</v>
      </c>
      <c r="Z418" s="111">
        <f t="shared" si="3"/>
        <v>3</v>
      </c>
    </row>
    <row r="419" spans="1:26" s="93" customFormat="1" ht="9" customHeight="1" x14ac:dyDescent="0.3">
      <c r="A419" s="91"/>
      <c r="B419" s="70">
        <v>5</v>
      </c>
      <c r="C419" s="70">
        <v>12</v>
      </c>
      <c r="D419" s="70">
        <v>21</v>
      </c>
      <c r="E419" s="70">
        <v>33</v>
      </c>
      <c r="F419" s="70">
        <v>37</v>
      </c>
      <c r="G419" s="70">
        <v>40</v>
      </c>
      <c r="H419" s="131">
        <f>[1]기록총!H207</f>
        <v>7</v>
      </c>
      <c r="I419" s="3"/>
      <c r="J419" s="96">
        <v>29</v>
      </c>
      <c r="K419" s="89">
        <f>SUM($AN$3)</f>
        <v>59</v>
      </c>
      <c r="L419" s="119"/>
      <c r="M419" s="117"/>
      <c r="O419" s="110">
        <v>2</v>
      </c>
      <c r="P419" s="110">
        <f t="shared" si="1"/>
        <v>4</v>
      </c>
      <c r="R419" s="110">
        <v>1</v>
      </c>
      <c r="S419" s="110">
        <v>2</v>
      </c>
      <c r="T419" s="111">
        <f t="shared" si="2"/>
        <v>3</v>
      </c>
      <c r="V419" s="110">
        <v>1</v>
      </c>
      <c r="W419" s="110">
        <v>1</v>
      </c>
      <c r="X419" s="110">
        <v>1</v>
      </c>
      <c r="Y419" s="110">
        <v>3</v>
      </c>
      <c r="Z419" s="111">
        <f t="shared" si="3"/>
        <v>0</v>
      </c>
    </row>
    <row r="420" spans="1:26" s="93" customFormat="1" ht="9" customHeight="1" x14ac:dyDescent="0.3">
      <c r="A420" s="91"/>
      <c r="B420" s="70">
        <v>3</v>
      </c>
      <c r="C420" s="70">
        <v>6</v>
      </c>
      <c r="D420" s="70">
        <v>18</v>
      </c>
      <c r="E420" s="70">
        <v>29</v>
      </c>
      <c r="F420" s="70">
        <v>35</v>
      </c>
      <c r="G420" s="70">
        <v>39</v>
      </c>
      <c r="H420" s="131">
        <f>[1]기록총!H208</f>
        <v>24</v>
      </c>
      <c r="I420" s="3"/>
      <c r="J420" s="96">
        <v>15</v>
      </c>
      <c r="K420" s="89">
        <f>SUM($Z$3)</f>
        <v>58</v>
      </c>
      <c r="L420" s="113"/>
      <c r="M420" s="117"/>
      <c r="O420" s="110">
        <v>4</v>
      </c>
      <c r="P420" s="110">
        <f t="shared" si="1"/>
        <v>2</v>
      </c>
      <c r="R420" s="110">
        <v>2</v>
      </c>
      <c r="S420" s="110">
        <v>3</v>
      </c>
      <c r="T420" s="111">
        <f t="shared" si="2"/>
        <v>1</v>
      </c>
      <c r="V420" s="110">
        <v>2</v>
      </c>
      <c r="W420" s="110"/>
      <c r="X420" s="110">
        <v>2</v>
      </c>
      <c r="Y420" s="110">
        <v>1</v>
      </c>
      <c r="Z420" s="111">
        <f t="shared" si="3"/>
        <v>1</v>
      </c>
    </row>
    <row r="421" spans="1:26" s="93" customFormat="1" ht="9" customHeight="1" x14ac:dyDescent="0.3">
      <c r="A421" s="91"/>
      <c r="B421" s="70">
        <v>8</v>
      </c>
      <c r="C421" s="70">
        <v>16</v>
      </c>
      <c r="D421" s="70">
        <v>28</v>
      </c>
      <c r="E421" s="70">
        <v>30</v>
      </c>
      <c r="F421" s="70">
        <v>31</v>
      </c>
      <c r="G421" s="70">
        <v>44</v>
      </c>
      <c r="H421" s="131">
        <f>[1]기록총!H209</f>
        <v>27</v>
      </c>
      <c r="I421" s="3"/>
      <c r="J421" s="96">
        <v>24</v>
      </c>
      <c r="K421" s="89">
        <f>SUM($AI$3)</f>
        <v>58</v>
      </c>
      <c r="L421" s="113"/>
      <c r="M421" s="117"/>
      <c r="O421" s="110">
        <v>5</v>
      </c>
      <c r="P421" s="110">
        <f t="shared" si="1"/>
        <v>1</v>
      </c>
      <c r="R421" s="110">
        <v>3</v>
      </c>
      <c r="S421" s="110">
        <v>3</v>
      </c>
      <c r="T421" s="111">
        <f t="shared" si="2"/>
        <v>0</v>
      </c>
      <c r="V421" s="110">
        <v>2</v>
      </c>
      <c r="W421" s="110">
        <v>2</v>
      </c>
      <c r="X421" s="110">
        <v>2</v>
      </c>
      <c r="Y421" s="110"/>
      <c r="Z421" s="111">
        <f t="shared" si="3"/>
        <v>0</v>
      </c>
    </row>
    <row r="422" spans="1:26" s="93" customFormat="1" ht="9" customHeight="1" thickBot="1" x14ac:dyDescent="0.35">
      <c r="A422" s="91"/>
      <c r="B422" s="70">
        <v>1</v>
      </c>
      <c r="C422" s="70">
        <v>4</v>
      </c>
      <c r="D422" s="70">
        <v>16</v>
      </c>
      <c r="E422" s="70">
        <v>23</v>
      </c>
      <c r="F422" s="70">
        <v>31</v>
      </c>
      <c r="G422" s="70">
        <v>41</v>
      </c>
      <c r="H422" s="131">
        <f>[1]기록총!H210</f>
        <v>2</v>
      </c>
      <c r="I422" s="3"/>
      <c r="J422" s="96">
        <v>37</v>
      </c>
      <c r="K422" s="89">
        <f>SUM($AV$3)</f>
        <v>58</v>
      </c>
      <c r="L422" s="113"/>
      <c r="M422" s="120"/>
      <c r="O422" s="110">
        <v>3</v>
      </c>
      <c r="P422" s="110">
        <f t="shared" si="1"/>
        <v>3</v>
      </c>
      <c r="R422" s="110">
        <v>2</v>
      </c>
      <c r="S422" s="110">
        <v>2</v>
      </c>
      <c r="T422" s="111">
        <f t="shared" si="2"/>
        <v>2</v>
      </c>
      <c r="V422" s="110">
        <v>1</v>
      </c>
      <c r="W422" s="110">
        <v>1</v>
      </c>
      <c r="X422" s="110">
        <v>1</v>
      </c>
      <c r="Y422" s="110">
        <v>1</v>
      </c>
      <c r="Z422" s="111">
        <f t="shared" si="3"/>
        <v>2</v>
      </c>
    </row>
    <row r="423" spans="1:26" s="93" customFormat="1" ht="9" customHeight="1" x14ac:dyDescent="0.3">
      <c r="A423" s="91"/>
      <c r="B423" s="70">
        <v>1</v>
      </c>
      <c r="C423" s="70">
        <v>3</v>
      </c>
      <c r="D423" s="70">
        <v>17</v>
      </c>
      <c r="E423" s="70">
        <v>26</v>
      </c>
      <c r="F423" s="70">
        <v>27</v>
      </c>
      <c r="G423" s="70">
        <v>42</v>
      </c>
      <c r="H423" s="131">
        <f>[1]기록총!H211</f>
        <v>23</v>
      </c>
      <c r="I423" s="3"/>
      <c r="J423" s="96">
        <v>34</v>
      </c>
      <c r="K423" s="89">
        <f>SUM($AS$3)</f>
        <v>58</v>
      </c>
      <c r="L423" s="113"/>
      <c r="M423" s="121"/>
      <c r="O423" s="110">
        <v>2</v>
      </c>
      <c r="P423" s="110">
        <f t="shared" si="1"/>
        <v>4</v>
      </c>
      <c r="R423" s="110">
        <v>2</v>
      </c>
      <c r="S423" s="110">
        <v>4</v>
      </c>
      <c r="T423" s="111">
        <f t="shared" si="2"/>
        <v>0</v>
      </c>
      <c r="V423" s="110">
        <v>1</v>
      </c>
      <c r="W423" s="110">
        <v>1</v>
      </c>
      <c r="X423" s="110">
        <v>2</v>
      </c>
      <c r="Y423" s="110">
        <v>2</v>
      </c>
      <c r="Z423" s="111">
        <f t="shared" si="3"/>
        <v>0</v>
      </c>
    </row>
    <row r="424" spans="1:26" s="93" customFormat="1" ht="9" customHeight="1" x14ac:dyDescent="0.3">
      <c r="A424" s="91"/>
      <c r="B424" s="70">
        <v>10</v>
      </c>
      <c r="C424" s="70">
        <v>22</v>
      </c>
      <c r="D424" s="70">
        <v>24</v>
      </c>
      <c r="E424" s="70">
        <v>27</v>
      </c>
      <c r="F424" s="70">
        <v>38</v>
      </c>
      <c r="G424" s="70">
        <v>45</v>
      </c>
      <c r="H424" s="131">
        <f>[1]기록총!H212</f>
        <v>11</v>
      </c>
      <c r="I424" s="3"/>
      <c r="J424" s="122">
        <v>22</v>
      </c>
      <c r="K424" s="89">
        <f>SUM($AG$3)</f>
        <v>58</v>
      </c>
      <c r="L424" s="113"/>
      <c r="M424" s="123"/>
      <c r="O424" s="110">
        <v>3</v>
      </c>
      <c r="P424" s="110">
        <f t="shared" si="1"/>
        <v>3</v>
      </c>
      <c r="R424" s="110">
        <v>2</v>
      </c>
      <c r="S424" s="110">
        <v>3</v>
      </c>
      <c r="T424" s="111">
        <f t="shared" si="2"/>
        <v>1</v>
      </c>
      <c r="V424" s="110">
        <v>2</v>
      </c>
      <c r="W424" s="110">
        <v>1</v>
      </c>
      <c r="X424" s="110">
        <v>1</v>
      </c>
      <c r="Y424" s="110">
        <v>1</v>
      </c>
      <c r="Z424" s="111">
        <f t="shared" si="3"/>
        <v>1</v>
      </c>
    </row>
    <row r="425" spans="1:26" s="93" customFormat="1" ht="9" customHeight="1" thickBot="1" x14ac:dyDescent="0.35">
      <c r="A425" s="91"/>
      <c r="B425" s="70">
        <v>6</v>
      </c>
      <c r="C425" s="70">
        <v>27</v>
      </c>
      <c r="D425" s="70">
        <v>30</v>
      </c>
      <c r="E425" s="70">
        <v>36</v>
      </c>
      <c r="F425" s="70">
        <v>38</v>
      </c>
      <c r="G425" s="70">
        <v>42</v>
      </c>
      <c r="H425" s="131">
        <f>[1]기록총!H213</f>
        <v>25</v>
      </c>
      <c r="I425" s="3"/>
      <c r="J425" s="122">
        <v>11</v>
      </c>
      <c r="K425" s="89">
        <f>SUM($V$3)</f>
        <v>56</v>
      </c>
      <c r="L425" s="113"/>
      <c r="M425" s="123"/>
      <c r="O425" s="110">
        <v>1</v>
      </c>
      <c r="P425" s="110">
        <f t="shared" si="1"/>
        <v>5</v>
      </c>
      <c r="R425" s="110"/>
      <c r="S425" s="110">
        <v>2</v>
      </c>
      <c r="T425" s="111">
        <f t="shared" si="2"/>
        <v>4</v>
      </c>
      <c r="V425" s="110"/>
      <c r="W425" s="110"/>
      <c r="X425" s="110">
        <v>1</v>
      </c>
      <c r="Y425" s="110">
        <v>1</v>
      </c>
      <c r="Z425" s="111">
        <f t="shared" si="3"/>
        <v>4</v>
      </c>
    </row>
    <row r="426" spans="1:26" s="93" customFormat="1" ht="9" customHeight="1" x14ac:dyDescent="0.3">
      <c r="A426" s="91"/>
      <c r="B426" s="70">
        <v>2</v>
      </c>
      <c r="C426" s="70">
        <v>17</v>
      </c>
      <c r="D426" s="70">
        <v>20</v>
      </c>
      <c r="E426" s="70">
        <v>35</v>
      </c>
      <c r="F426" s="70">
        <v>37</v>
      </c>
      <c r="G426" s="70">
        <v>39</v>
      </c>
      <c r="H426" s="131">
        <f>[1]기록총!H214</f>
        <v>24</v>
      </c>
      <c r="I426" s="3"/>
      <c r="J426" s="122">
        <v>17</v>
      </c>
      <c r="K426" s="89">
        <f>SUM($AB$3)</f>
        <v>56</v>
      </c>
      <c r="L426" s="124"/>
      <c r="M426" s="123"/>
      <c r="O426" s="110">
        <v>2</v>
      </c>
      <c r="P426" s="110">
        <f t="shared" si="1"/>
        <v>4</v>
      </c>
      <c r="R426" s="110">
        <v>1</v>
      </c>
      <c r="S426" s="110">
        <v>3</v>
      </c>
      <c r="T426" s="111">
        <f t="shared" si="2"/>
        <v>2</v>
      </c>
      <c r="V426" s="110">
        <v>1</v>
      </c>
      <c r="W426" s="110"/>
      <c r="X426" s="110">
        <v>2</v>
      </c>
      <c r="Y426" s="110">
        <v>1</v>
      </c>
      <c r="Z426" s="111">
        <f t="shared" si="3"/>
        <v>2</v>
      </c>
    </row>
    <row r="427" spans="1:26" s="93" customFormat="1" ht="9" customHeight="1" x14ac:dyDescent="0.3">
      <c r="A427" s="91"/>
      <c r="B427" s="70">
        <v>1</v>
      </c>
      <c r="C427" s="70">
        <v>7</v>
      </c>
      <c r="D427" s="70">
        <v>9</v>
      </c>
      <c r="E427" s="70">
        <v>17</v>
      </c>
      <c r="F427" s="70">
        <v>27</v>
      </c>
      <c r="G427" s="70">
        <v>38</v>
      </c>
      <c r="H427" s="131">
        <f>[1]기록총!H215</f>
        <v>31</v>
      </c>
      <c r="I427" s="3"/>
      <c r="J427" s="122">
        <v>9</v>
      </c>
      <c r="K427" s="89">
        <f>SUM($T$3)</f>
        <v>56</v>
      </c>
      <c r="L427" s="125"/>
      <c r="M427" s="123"/>
      <c r="O427" s="110">
        <v>4</v>
      </c>
      <c r="P427" s="110">
        <f t="shared" si="1"/>
        <v>2</v>
      </c>
      <c r="R427" s="110">
        <v>3</v>
      </c>
      <c r="S427" s="110">
        <v>2</v>
      </c>
      <c r="T427" s="111">
        <f t="shared" si="2"/>
        <v>1</v>
      </c>
      <c r="V427" s="110">
        <v>1</v>
      </c>
      <c r="W427" s="110">
        <v>2</v>
      </c>
      <c r="X427" s="110">
        <v>1</v>
      </c>
      <c r="Y427" s="110">
        <v>1</v>
      </c>
      <c r="Z427" s="111">
        <f t="shared" si="3"/>
        <v>1</v>
      </c>
    </row>
    <row r="428" spans="1:26" s="93" customFormat="1" ht="9" customHeight="1" x14ac:dyDescent="0.3">
      <c r="A428" s="91"/>
      <c r="B428" s="70">
        <v>23</v>
      </c>
      <c r="C428" s="70">
        <v>26</v>
      </c>
      <c r="D428" s="70">
        <v>27</v>
      </c>
      <c r="E428" s="70">
        <v>35</v>
      </c>
      <c r="F428" s="70">
        <v>38</v>
      </c>
      <c r="G428" s="70">
        <v>40</v>
      </c>
      <c r="H428" s="131">
        <f>[1]기록총!H216</f>
        <v>10</v>
      </c>
      <c r="I428" s="3"/>
      <c r="J428" s="122">
        <v>32</v>
      </c>
      <c r="K428" s="89">
        <f>SUM($AQ$3)</f>
        <v>55</v>
      </c>
      <c r="L428" s="125"/>
      <c r="M428" s="123"/>
      <c r="O428" s="110">
        <v>4</v>
      </c>
      <c r="P428" s="110">
        <f t="shared" si="1"/>
        <v>2</v>
      </c>
      <c r="R428" s="110">
        <v>4</v>
      </c>
      <c r="S428" s="110">
        <v>2</v>
      </c>
      <c r="T428" s="111">
        <f t="shared" si="2"/>
        <v>0</v>
      </c>
      <c r="V428" s="110">
        <v>2</v>
      </c>
      <c r="W428" s="110">
        <v>2</v>
      </c>
      <c r="X428" s="110">
        <v>1</v>
      </c>
      <c r="Y428" s="110">
        <v>1</v>
      </c>
      <c r="Z428" s="111">
        <f t="shared" si="3"/>
        <v>0</v>
      </c>
    </row>
    <row r="429" spans="1:26" s="93" customFormat="1" ht="9" customHeight="1" x14ac:dyDescent="0.3">
      <c r="A429" s="91"/>
      <c r="B429" s="70">
        <v>5</v>
      </c>
      <c r="C429" s="70">
        <v>8</v>
      </c>
      <c r="D429" s="70">
        <v>25</v>
      </c>
      <c r="E429" s="70">
        <v>31</v>
      </c>
      <c r="F429" s="70">
        <v>41</v>
      </c>
      <c r="G429" s="70">
        <v>44</v>
      </c>
      <c r="H429" s="131">
        <f>[1]기록총!H217</f>
        <v>45</v>
      </c>
      <c r="I429" s="3"/>
      <c r="J429" s="122">
        <v>1</v>
      </c>
      <c r="K429" s="89">
        <f>SUM($L$3)</f>
        <v>55</v>
      </c>
      <c r="L429" s="125"/>
      <c r="M429" s="123"/>
      <c r="O429" s="110">
        <v>2</v>
      </c>
      <c r="P429" s="110">
        <f t="shared" si="1"/>
        <v>4</v>
      </c>
      <c r="R429" s="110"/>
      <c r="S429" s="110">
        <v>3</v>
      </c>
      <c r="T429" s="111">
        <f t="shared" si="2"/>
        <v>3</v>
      </c>
      <c r="V429" s="110"/>
      <c r="W429" s="110"/>
      <c r="X429" s="110">
        <v>3</v>
      </c>
      <c r="Y429" s="110">
        <v>1</v>
      </c>
      <c r="Z429" s="111">
        <f t="shared" si="3"/>
        <v>2</v>
      </c>
    </row>
    <row r="430" spans="1:26" s="93" customFormat="1" ht="9" customHeight="1" x14ac:dyDescent="0.3">
      <c r="A430" s="91"/>
      <c r="B430" s="70">
        <v>5</v>
      </c>
      <c r="C430" s="70">
        <v>11</v>
      </c>
      <c r="D430" s="70">
        <v>25</v>
      </c>
      <c r="E430" s="70">
        <v>27</v>
      </c>
      <c r="F430" s="70">
        <v>36</v>
      </c>
      <c r="G430" s="70">
        <v>38</v>
      </c>
      <c r="H430" s="131">
        <f>[1]기록총!H218</f>
        <v>2</v>
      </c>
      <c r="I430" s="3"/>
      <c r="J430" s="122">
        <v>10</v>
      </c>
      <c r="K430" s="89">
        <f>SUM($U$3)</f>
        <v>54</v>
      </c>
      <c r="L430" s="125"/>
      <c r="M430" s="123"/>
      <c r="O430" s="110">
        <v>4</v>
      </c>
      <c r="P430" s="110">
        <f t="shared" si="1"/>
        <v>2</v>
      </c>
      <c r="R430" s="110">
        <v>2</v>
      </c>
      <c r="S430" s="110">
        <v>3</v>
      </c>
      <c r="T430" s="111">
        <f t="shared" si="2"/>
        <v>1</v>
      </c>
      <c r="V430" s="110">
        <v>2</v>
      </c>
      <c r="W430" s="110"/>
      <c r="X430" s="110">
        <v>3</v>
      </c>
      <c r="Y430" s="110"/>
      <c r="Z430" s="111">
        <f t="shared" si="3"/>
        <v>1</v>
      </c>
    </row>
    <row r="431" spans="1:26" s="93" customFormat="1" ht="9" customHeight="1" thickBot="1" x14ac:dyDescent="0.35">
      <c r="A431" s="91"/>
      <c r="B431" s="70">
        <v>10</v>
      </c>
      <c r="C431" s="70">
        <v>15</v>
      </c>
      <c r="D431" s="70">
        <v>19</v>
      </c>
      <c r="E431" s="70">
        <v>27</v>
      </c>
      <c r="F431" s="70">
        <v>30</v>
      </c>
      <c r="G431" s="70">
        <v>33</v>
      </c>
      <c r="H431" s="131">
        <f>[1]기록총!H219</f>
        <v>14</v>
      </c>
      <c r="I431" s="3"/>
      <c r="J431" s="122">
        <v>43</v>
      </c>
      <c r="K431" s="89">
        <f>SUM($BB$3)</f>
        <v>54</v>
      </c>
      <c r="L431" s="125"/>
      <c r="M431" s="126"/>
      <c r="O431" s="110">
        <v>3</v>
      </c>
      <c r="P431" s="110">
        <f t="shared" si="1"/>
        <v>3</v>
      </c>
      <c r="R431" s="110">
        <v>2</v>
      </c>
      <c r="S431" s="110">
        <v>2</v>
      </c>
      <c r="T431" s="111">
        <f t="shared" si="2"/>
        <v>2</v>
      </c>
      <c r="V431" s="110">
        <v>1</v>
      </c>
      <c r="W431" s="110">
        <v>1</v>
      </c>
      <c r="X431" s="110">
        <v>2</v>
      </c>
      <c r="Y431" s="110">
        <v>1</v>
      </c>
      <c r="Z431" s="111">
        <f t="shared" si="3"/>
        <v>1</v>
      </c>
    </row>
    <row r="432" spans="1:26" s="93" customFormat="1" ht="9" customHeight="1" x14ac:dyDescent="0.3">
      <c r="A432" s="91"/>
      <c r="B432" s="70">
        <v>13</v>
      </c>
      <c r="C432" s="70">
        <v>15</v>
      </c>
      <c r="D432" s="70">
        <v>19</v>
      </c>
      <c r="E432" s="70">
        <v>21</v>
      </c>
      <c r="F432" s="70">
        <v>44</v>
      </c>
      <c r="G432" s="70">
        <v>45</v>
      </c>
      <c r="H432" s="131">
        <f>[1]기록총!H220</f>
        <v>39</v>
      </c>
      <c r="I432" s="3"/>
      <c r="J432" s="122">
        <v>40</v>
      </c>
      <c r="K432" s="89">
        <f>SUM($AY$3)</f>
        <v>53</v>
      </c>
      <c r="L432" s="125"/>
      <c r="M432" s="127"/>
      <c r="O432" s="110">
        <v>1</v>
      </c>
      <c r="P432" s="110">
        <f t="shared" si="1"/>
        <v>5</v>
      </c>
      <c r="R432" s="110">
        <v>1</v>
      </c>
      <c r="S432" s="110">
        <v>3</v>
      </c>
      <c r="T432" s="111">
        <f t="shared" si="2"/>
        <v>2</v>
      </c>
      <c r="V432" s="110"/>
      <c r="W432" s="110">
        <v>1</v>
      </c>
      <c r="X432" s="110"/>
      <c r="Y432" s="110">
        <v>3</v>
      </c>
      <c r="Z432" s="111">
        <f t="shared" si="3"/>
        <v>2</v>
      </c>
    </row>
    <row r="433" spans="1:39" s="93" customFormat="1" ht="9" customHeight="1" x14ac:dyDescent="0.3">
      <c r="A433" s="91"/>
      <c r="B433" s="70">
        <v>3</v>
      </c>
      <c r="C433" s="70">
        <v>10</v>
      </c>
      <c r="D433" s="70">
        <v>14</v>
      </c>
      <c r="E433" s="70">
        <v>15</v>
      </c>
      <c r="F433" s="70">
        <v>23</v>
      </c>
      <c r="G433" s="70">
        <v>24</v>
      </c>
      <c r="H433" s="131">
        <f>[1]기록총!H221</f>
        <v>25</v>
      </c>
      <c r="I433" s="3"/>
      <c r="J433" s="122">
        <v>23</v>
      </c>
      <c r="K433" s="89">
        <f>SUM($AH$3)</f>
        <v>52</v>
      </c>
      <c r="L433" s="125"/>
      <c r="M433" s="128"/>
      <c r="O433" s="110">
        <v>6</v>
      </c>
      <c r="P433" s="110">
        <f t="shared" si="1"/>
        <v>0</v>
      </c>
      <c r="R433" s="110">
        <v>5</v>
      </c>
      <c r="S433" s="110">
        <v>1</v>
      </c>
      <c r="T433" s="111">
        <f t="shared" si="2"/>
        <v>0</v>
      </c>
      <c r="V433" s="110">
        <v>2</v>
      </c>
      <c r="W433" s="110">
        <v>3</v>
      </c>
      <c r="X433" s="110">
        <v>1</v>
      </c>
      <c r="Y433" s="110"/>
      <c r="Z433" s="111">
        <f t="shared" si="3"/>
        <v>0</v>
      </c>
    </row>
    <row r="434" spans="1:39" s="93" customFormat="1" ht="9" customHeight="1" x14ac:dyDescent="0.3">
      <c r="A434" s="91"/>
      <c r="B434" s="70">
        <v>8</v>
      </c>
      <c r="C434" s="70">
        <v>10</v>
      </c>
      <c r="D434" s="70">
        <v>15</v>
      </c>
      <c r="E434" s="70">
        <v>20</v>
      </c>
      <c r="F434" s="70">
        <v>29</v>
      </c>
      <c r="G434" s="70">
        <v>31</v>
      </c>
      <c r="H434" s="131">
        <f>[1]기록총!H222</f>
        <v>41</v>
      </c>
      <c r="I434" s="3"/>
      <c r="J434" s="122">
        <v>2</v>
      </c>
      <c r="K434" s="89">
        <f>SUM($M$3)</f>
        <v>52</v>
      </c>
      <c r="L434" s="125"/>
      <c r="M434" s="128"/>
      <c r="O434" s="110"/>
      <c r="P434" s="110">
        <f t="shared" si="1"/>
        <v>6</v>
      </c>
      <c r="R434" s="110"/>
      <c r="S434" s="110">
        <v>2</v>
      </c>
      <c r="T434" s="111">
        <f t="shared" si="2"/>
        <v>4</v>
      </c>
      <c r="V434" s="110"/>
      <c r="W434" s="110"/>
      <c r="X434" s="110">
        <v>1</v>
      </c>
      <c r="Y434" s="110">
        <v>3</v>
      </c>
      <c r="Z434" s="111">
        <f t="shared" si="3"/>
        <v>2</v>
      </c>
      <c r="AA434" s="115"/>
      <c r="AB434" s="115"/>
      <c r="AC434" s="115"/>
      <c r="AD434" s="115"/>
      <c r="AE434" s="115"/>
      <c r="AF434" s="115"/>
      <c r="AG434" s="115"/>
      <c r="AH434" s="115"/>
      <c r="AI434" s="115"/>
    </row>
    <row r="435" spans="1:39" s="93" customFormat="1" ht="9" customHeight="1" x14ac:dyDescent="0.3">
      <c r="A435" s="91"/>
      <c r="B435" s="70">
        <v>3</v>
      </c>
      <c r="C435" s="70">
        <v>28</v>
      </c>
      <c r="D435" s="70">
        <v>31</v>
      </c>
      <c r="E435" s="70">
        <v>32</v>
      </c>
      <c r="F435" s="70">
        <v>42</v>
      </c>
      <c r="G435" s="70">
        <v>45</v>
      </c>
      <c r="H435" s="131">
        <f>[1]기록총!H223</f>
        <v>25</v>
      </c>
      <c r="I435" s="3"/>
      <c r="J435" s="122">
        <v>41</v>
      </c>
      <c r="K435" s="89">
        <f>SUM($AZ$3)</f>
        <v>52</v>
      </c>
      <c r="L435" s="125"/>
      <c r="M435" s="128"/>
      <c r="O435" s="110">
        <v>4</v>
      </c>
      <c r="P435" s="110">
        <f t="shared" si="1"/>
        <v>2</v>
      </c>
      <c r="R435" s="110">
        <v>4</v>
      </c>
      <c r="S435" s="110"/>
      <c r="T435" s="111">
        <f t="shared" si="2"/>
        <v>2</v>
      </c>
      <c r="V435" s="110">
        <v>2</v>
      </c>
      <c r="W435" s="110">
        <v>2</v>
      </c>
      <c r="X435" s="110"/>
      <c r="Y435" s="110">
        <v>1</v>
      </c>
      <c r="Z435" s="111">
        <f t="shared" si="3"/>
        <v>1</v>
      </c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  <c r="AK435" s="115"/>
      <c r="AL435" s="115"/>
      <c r="AM435" s="115"/>
    </row>
    <row r="436" spans="1:39" s="93" customFormat="1" ht="9" customHeight="1" x14ac:dyDescent="0.3">
      <c r="A436" s="91"/>
      <c r="B436" s="70">
        <v>1</v>
      </c>
      <c r="C436" s="70">
        <v>2</v>
      </c>
      <c r="D436" s="70">
        <v>15</v>
      </c>
      <c r="E436" s="70">
        <v>28</v>
      </c>
      <c r="F436" s="70">
        <v>39</v>
      </c>
      <c r="G436" s="70">
        <v>45</v>
      </c>
      <c r="H436" s="131">
        <f>[1]기록총!H224</f>
        <v>31</v>
      </c>
      <c r="I436" s="3"/>
      <c r="J436" s="122">
        <v>25</v>
      </c>
      <c r="K436" s="89">
        <f>SUM($AJ$3)</f>
        <v>51</v>
      </c>
      <c r="L436" s="125"/>
      <c r="M436" s="128"/>
      <c r="O436" s="110">
        <v>4</v>
      </c>
      <c r="P436" s="110">
        <f t="shared" si="1"/>
        <v>2</v>
      </c>
      <c r="R436" s="110">
        <v>3</v>
      </c>
      <c r="S436" s="110">
        <v>2</v>
      </c>
      <c r="T436" s="111">
        <f t="shared" si="2"/>
        <v>1</v>
      </c>
      <c r="V436" s="110">
        <v>2</v>
      </c>
      <c r="W436" s="110">
        <v>1</v>
      </c>
      <c r="X436" s="110">
        <v>1</v>
      </c>
      <c r="Y436" s="110">
        <v>2</v>
      </c>
      <c r="Z436" s="111">
        <f t="shared" si="3"/>
        <v>0</v>
      </c>
    </row>
    <row r="437" spans="1:39" s="93" customFormat="1" ht="9" customHeight="1" x14ac:dyDescent="0.3">
      <c r="A437" s="91"/>
      <c r="B437" s="70">
        <v>2</v>
      </c>
      <c r="C437" s="70">
        <v>22</v>
      </c>
      <c r="D437" s="70">
        <v>25</v>
      </c>
      <c r="E437" s="70">
        <v>28</v>
      </c>
      <c r="F437" s="70">
        <v>34</v>
      </c>
      <c r="G437" s="70">
        <v>43</v>
      </c>
      <c r="H437" s="131">
        <f>[1]기록총!H225</f>
        <v>16</v>
      </c>
      <c r="I437" s="3"/>
      <c r="J437" s="122">
        <v>4</v>
      </c>
      <c r="K437" s="89">
        <f>SUM($O$3)</f>
        <v>50</v>
      </c>
      <c r="L437" s="125"/>
      <c r="M437" s="128"/>
      <c r="O437" s="110">
        <v>1</v>
      </c>
      <c r="P437" s="110">
        <f t="shared" si="1"/>
        <v>5</v>
      </c>
      <c r="R437" s="110">
        <v>1</v>
      </c>
      <c r="S437" s="110">
        <v>1</v>
      </c>
      <c r="T437" s="111">
        <f t="shared" si="2"/>
        <v>4</v>
      </c>
      <c r="V437" s="110"/>
      <c r="W437" s="110">
        <v>1</v>
      </c>
      <c r="X437" s="110">
        <v>1</v>
      </c>
      <c r="Y437" s="110">
        <v>1</v>
      </c>
      <c r="Z437" s="111">
        <f t="shared" si="3"/>
        <v>3</v>
      </c>
    </row>
    <row r="438" spans="1:39" s="93" customFormat="1" ht="9" customHeight="1" x14ac:dyDescent="0.3">
      <c r="A438" s="91"/>
      <c r="B438" s="70">
        <v>6</v>
      </c>
      <c r="C438" s="70">
        <v>13</v>
      </c>
      <c r="D438" s="70">
        <v>18</v>
      </c>
      <c r="E438" s="70">
        <v>28</v>
      </c>
      <c r="F438" s="70">
        <v>30</v>
      </c>
      <c r="G438" s="70">
        <v>36</v>
      </c>
      <c r="H438" s="131">
        <f>[1]기록총!H226</f>
        <v>9</v>
      </c>
      <c r="I438" s="3"/>
      <c r="J438" s="122">
        <v>20</v>
      </c>
      <c r="K438" s="89">
        <f>SUM($AE$3)</f>
        <v>49</v>
      </c>
      <c r="L438" s="125"/>
      <c r="M438" s="128"/>
      <c r="O438" s="110">
        <v>4</v>
      </c>
      <c r="P438" s="110">
        <f t="shared" si="1"/>
        <v>2</v>
      </c>
      <c r="R438" s="110">
        <v>3</v>
      </c>
      <c r="S438" s="110">
        <v>2</v>
      </c>
      <c r="T438" s="111">
        <f t="shared" si="2"/>
        <v>1</v>
      </c>
      <c r="V438" s="110">
        <v>1</v>
      </c>
      <c r="W438" s="110">
        <v>3</v>
      </c>
      <c r="X438" s="110"/>
      <c r="Y438" s="110">
        <v>1</v>
      </c>
      <c r="Z438" s="111">
        <f t="shared" si="3"/>
        <v>1</v>
      </c>
    </row>
    <row r="439" spans="1:39" s="93" customFormat="1" ht="9" customHeight="1" x14ac:dyDescent="0.3">
      <c r="A439" s="91"/>
      <c r="B439" s="70">
        <v>4</v>
      </c>
      <c r="C439" s="70">
        <v>11</v>
      </c>
      <c r="D439" s="70">
        <v>17</v>
      </c>
      <c r="E439" s="70">
        <v>22</v>
      </c>
      <c r="F439" s="70">
        <v>32</v>
      </c>
      <c r="G439" s="70">
        <v>41</v>
      </c>
      <c r="H439" s="131">
        <f>[1]기록총!H227</f>
        <v>34</v>
      </c>
      <c r="I439" s="3"/>
      <c r="J439" s="122">
        <v>8</v>
      </c>
      <c r="K439" s="89">
        <f>SUM($S$3)</f>
        <v>47</v>
      </c>
      <c r="L439" s="125"/>
      <c r="M439" s="128"/>
      <c r="O439" s="110">
        <v>2</v>
      </c>
      <c r="P439" s="110">
        <f t="shared" si="1"/>
        <v>4</v>
      </c>
      <c r="R439" s="110">
        <v>1</v>
      </c>
      <c r="S439" s="110">
        <v>3</v>
      </c>
      <c r="T439" s="111">
        <f t="shared" si="2"/>
        <v>2</v>
      </c>
      <c r="V439" s="110">
        <v>1</v>
      </c>
      <c r="W439" s="110"/>
      <c r="X439" s="110">
        <v>1</v>
      </c>
      <c r="Y439" s="110">
        <v>3</v>
      </c>
      <c r="Z439" s="111">
        <f t="shared" si="3"/>
        <v>1</v>
      </c>
    </row>
    <row r="440" spans="1:39" s="93" customFormat="1" ht="9" customHeight="1" thickBot="1" x14ac:dyDescent="0.35">
      <c r="A440" s="91"/>
      <c r="B440" s="70">
        <v>16</v>
      </c>
      <c r="C440" s="70">
        <v>18</v>
      </c>
      <c r="D440" s="70">
        <v>20</v>
      </c>
      <c r="E440" s="70">
        <v>32</v>
      </c>
      <c r="F440" s="70">
        <v>33</v>
      </c>
      <c r="G440" s="70">
        <v>39</v>
      </c>
      <c r="H440" s="131">
        <f>[1]기록총!H228</f>
        <v>26</v>
      </c>
      <c r="I440" s="3"/>
      <c r="J440" s="122">
        <v>5</v>
      </c>
      <c r="K440" s="89">
        <f>SUM($P$3)</f>
        <v>43</v>
      </c>
      <c r="L440" s="129"/>
      <c r="M440" s="130"/>
      <c r="O440" s="110">
        <v>3</v>
      </c>
      <c r="P440" s="110">
        <f t="shared" si="1"/>
        <v>3</v>
      </c>
      <c r="R440" s="110">
        <v>2</v>
      </c>
      <c r="S440" s="110">
        <v>4</v>
      </c>
      <c r="T440" s="111">
        <f t="shared" si="2"/>
        <v>0</v>
      </c>
      <c r="V440" s="110">
        <v>1</v>
      </c>
      <c r="W440" s="110">
        <v>2</v>
      </c>
      <c r="X440" s="110">
        <v>3</v>
      </c>
      <c r="Y440" s="110"/>
      <c r="Z440" s="111">
        <f t="shared" si="3"/>
        <v>0</v>
      </c>
    </row>
    <row r="441" spans="1:39" s="93" customFormat="1" ht="9" customHeight="1" x14ac:dyDescent="0.3">
      <c r="A441" s="91"/>
      <c r="B441" s="70">
        <v>9</v>
      </c>
      <c r="C441" s="70">
        <v>18</v>
      </c>
      <c r="D441" s="70">
        <v>21</v>
      </c>
      <c r="E441" s="70">
        <v>27</v>
      </c>
      <c r="F441" s="70">
        <v>44</v>
      </c>
      <c r="G441" s="70">
        <v>45</v>
      </c>
      <c r="H441" s="131">
        <f>[1]기록총!H229</f>
        <v>28</v>
      </c>
      <c r="I441" s="3"/>
      <c r="O441" s="110">
        <v>2</v>
      </c>
      <c r="P441" s="110">
        <f t="shared" si="1"/>
        <v>4</v>
      </c>
      <c r="R441" s="110">
        <v>2</v>
      </c>
      <c r="S441" s="110">
        <v>4</v>
      </c>
      <c r="T441" s="111">
        <f t="shared" si="2"/>
        <v>0</v>
      </c>
      <c r="V441" s="110">
        <v>2</v>
      </c>
      <c r="W441" s="110"/>
      <c r="X441" s="110">
        <v>3</v>
      </c>
      <c r="Y441" s="110">
        <v>1</v>
      </c>
      <c r="Z441" s="111">
        <f t="shared" si="3"/>
        <v>0</v>
      </c>
    </row>
    <row r="442" spans="1:39" s="93" customFormat="1" ht="9" customHeight="1" x14ac:dyDescent="0.3">
      <c r="A442" s="91"/>
      <c r="B442" s="70">
        <v>8</v>
      </c>
      <c r="C442" s="70">
        <v>9</v>
      </c>
      <c r="D442" s="70">
        <v>19</v>
      </c>
      <c r="E442" s="70">
        <v>25</v>
      </c>
      <c r="F442" s="70">
        <v>41</v>
      </c>
      <c r="G442" s="70">
        <v>42</v>
      </c>
      <c r="H442" s="131">
        <f>[1]기록총!H230</f>
        <v>33</v>
      </c>
      <c r="I442" s="3"/>
      <c r="O442" s="110">
        <v>3</v>
      </c>
      <c r="P442" s="110">
        <f t="shared" si="1"/>
        <v>3</v>
      </c>
      <c r="R442" s="110">
        <v>2</v>
      </c>
      <c r="S442" s="110">
        <v>2</v>
      </c>
      <c r="T442" s="111">
        <f t="shared" si="2"/>
        <v>2</v>
      </c>
      <c r="V442" s="110">
        <v>1</v>
      </c>
      <c r="W442" s="110">
        <v>1</v>
      </c>
      <c r="X442" s="110">
        <v>1</v>
      </c>
      <c r="Y442" s="110">
        <v>2</v>
      </c>
      <c r="Z442" s="111">
        <f t="shared" si="3"/>
        <v>1</v>
      </c>
    </row>
    <row r="443" spans="1:39" s="93" customFormat="1" ht="9" customHeight="1" x14ac:dyDescent="0.3">
      <c r="A443" s="91"/>
      <c r="B443" s="70">
        <v>4</v>
      </c>
      <c r="C443" s="70">
        <v>6</v>
      </c>
      <c r="D443" s="70">
        <v>13</v>
      </c>
      <c r="E443" s="70">
        <v>17</v>
      </c>
      <c r="F443" s="70">
        <v>26</v>
      </c>
      <c r="G443" s="70">
        <v>28</v>
      </c>
      <c r="H443" s="131">
        <f>[1]기록총!H231</f>
        <v>41</v>
      </c>
      <c r="I443" s="3"/>
      <c r="O443" s="110"/>
      <c r="P443" s="110">
        <f t="shared" si="1"/>
        <v>6</v>
      </c>
      <c r="R443" s="110"/>
      <c r="S443" s="110"/>
      <c r="T443" s="111">
        <f t="shared" si="2"/>
        <v>6</v>
      </c>
      <c r="V443" s="110"/>
      <c r="W443" s="110"/>
      <c r="X443" s="110"/>
      <c r="Y443" s="110"/>
      <c r="Z443" s="111">
        <f t="shared" si="3"/>
        <v>6</v>
      </c>
    </row>
    <row r="444" spans="1:39" s="93" customFormat="1" ht="9" customHeight="1" x14ac:dyDescent="0.3">
      <c r="A444" s="91"/>
      <c r="B444" s="70">
        <v>1</v>
      </c>
      <c r="C444" s="70">
        <v>14</v>
      </c>
      <c r="D444" s="70">
        <v>16</v>
      </c>
      <c r="E444" s="70">
        <v>34</v>
      </c>
      <c r="F444" s="70">
        <v>41</v>
      </c>
      <c r="G444" s="70">
        <v>44</v>
      </c>
      <c r="H444" s="131">
        <f>[1]기록총!H232</f>
        <v>13</v>
      </c>
      <c r="I444" s="3"/>
      <c r="O444" s="110"/>
      <c r="P444" s="110">
        <f t="shared" si="1"/>
        <v>6</v>
      </c>
      <c r="R444" s="110"/>
      <c r="S444" s="110"/>
      <c r="T444" s="111">
        <f t="shared" si="2"/>
        <v>6</v>
      </c>
      <c r="V444" s="110"/>
      <c r="W444" s="110"/>
      <c r="X444" s="110"/>
      <c r="Y444" s="110"/>
      <c r="Z444" s="111">
        <f t="shared" si="3"/>
        <v>6</v>
      </c>
    </row>
    <row r="445" spans="1:39" s="93" customFormat="1" ht="9" customHeight="1" x14ac:dyDescent="0.3">
      <c r="A445" s="91"/>
      <c r="B445" s="70">
        <v>24</v>
      </c>
      <c r="C445" s="70">
        <v>29</v>
      </c>
      <c r="D445" s="70">
        <v>30</v>
      </c>
      <c r="E445" s="70">
        <v>31</v>
      </c>
      <c r="F445" s="70">
        <v>35</v>
      </c>
      <c r="G445" s="70">
        <v>44</v>
      </c>
      <c r="H445" s="131">
        <f>[1]기록총!H233</f>
        <v>1</v>
      </c>
      <c r="I445" s="3"/>
      <c r="O445" s="110"/>
      <c r="P445" s="110">
        <f t="shared" si="1"/>
        <v>6</v>
      </c>
      <c r="R445" s="110"/>
      <c r="S445" s="110"/>
      <c r="T445" s="111">
        <f t="shared" si="2"/>
        <v>6</v>
      </c>
      <c r="V445" s="110"/>
      <c r="W445" s="110"/>
      <c r="X445" s="110"/>
      <c r="Y445" s="110"/>
      <c r="Z445" s="111">
        <f t="shared" si="3"/>
        <v>6</v>
      </c>
    </row>
    <row r="446" spans="1:39" s="93" customFormat="1" ht="9" customHeight="1" x14ac:dyDescent="0.3">
      <c r="A446" s="91"/>
      <c r="B446" s="70">
        <v>12</v>
      </c>
      <c r="C446" s="70">
        <v>13</v>
      </c>
      <c r="D446" s="70">
        <v>29</v>
      </c>
      <c r="E446" s="70">
        <v>34</v>
      </c>
      <c r="F446" s="70">
        <v>37</v>
      </c>
      <c r="G446" s="70">
        <v>42</v>
      </c>
      <c r="H446" s="131">
        <f>[1]기록총!H234</f>
        <v>16</v>
      </c>
      <c r="I446" s="3"/>
      <c r="O446" s="110"/>
      <c r="P446" s="110">
        <f t="shared" si="1"/>
        <v>6</v>
      </c>
      <c r="R446" s="110"/>
      <c r="S446" s="110"/>
      <c r="T446" s="111">
        <f t="shared" si="2"/>
        <v>6</v>
      </c>
      <c r="V446" s="110"/>
      <c r="W446" s="110"/>
      <c r="X446" s="110"/>
      <c r="Y446" s="110"/>
      <c r="Z446" s="111">
        <f t="shared" si="3"/>
        <v>6</v>
      </c>
    </row>
    <row r="447" spans="1:39" s="93" customFormat="1" ht="9" customHeight="1" x14ac:dyDescent="0.3">
      <c r="A447" s="91"/>
      <c r="B447" s="70">
        <v>3</v>
      </c>
      <c r="C447" s="70">
        <v>8</v>
      </c>
      <c r="D447" s="70">
        <v>9</v>
      </c>
      <c r="E447" s="70">
        <v>22</v>
      </c>
      <c r="F447" s="70">
        <v>28</v>
      </c>
      <c r="G447" s="70">
        <v>42</v>
      </c>
      <c r="H447" s="131">
        <f>[1]기록총!H235</f>
        <v>45</v>
      </c>
      <c r="I447" s="3"/>
    </row>
    <row r="448" spans="1:39" s="93" customFormat="1" ht="9" customHeight="1" x14ac:dyDescent="0.3">
      <c r="A448" s="91"/>
      <c r="B448" s="70">
        <v>0</v>
      </c>
      <c r="C448" s="70">
        <v>0</v>
      </c>
      <c r="D448" s="70">
        <v>0</v>
      </c>
      <c r="E448" s="70">
        <v>0</v>
      </c>
      <c r="F448" s="70">
        <v>0</v>
      </c>
      <c r="G448" s="70">
        <v>0</v>
      </c>
      <c r="H448" s="131">
        <f>[1]기록총!H236</f>
        <v>0</v>
      </c>
      <c r="I448" s="3"/>
    </row>
    <row r="449" spans="1:9" s="93" customFormat="1" ht="9" customHeight="1" x14ac:dyDescent="0.3">
      <c r="A449" s="91"/>
      <c r="B449" s="70">
        <v>0</v>
      </c>
      <c r="C449" s="70">
        <v>0</v>
      </c>
      <c r="D449" s="70">
        <v>0</v>
      </c>
      <c r="E449" s="70">
        <v>0</v>
      </c>
      <c r="F449" s="70">
        <v>0</v>
      </c>
      <c r="G449" s="70">
        <v>0</v>
      </c>
      <c r="H449" s="131">
        <f>[1]기록총!H237</f>
        <v>0</v>
      </c>
      <c r="I449" s="3"/>
    </row>
    <row r="450" spans="1:9" s="93" customFormat="1" ht="9" customHeight="1" x14ac:dyDescent="0.3">
      <c r="A450" s="91"/>
      <c r="B450" s="70">
        <v>0</v>
      </c>
      <c r="C450" s="70">
        <v>0</v>
      </c>
      <c r="D450" s="70">
        <v>0</v>
      </c>
      <c r="E450" s="70">
        <v>0</v>
      </c>
      <c r="F450" s="70">
        <v>0</v>
      </c>
      <c r="G450" s="70">
        <v>0</v>
      </c>
      <c r="H450" s="131">
        <f>[1]기록총!H238</f>
        <v>0</v>
      </c>
      <c r="I450" s="3"/>
    </row>
    <row r="451" spans="1:9" s="93" customFormat="1" ht="9" customHeight="1" x14ac:dyDescent="0.3">
      <c r="A451" s="91"/>
      <c r="B451" s="70">
        <v>0</v>
      </c>
      <c r="C451" s="70">
        <v>0</v>
      </c>
      <c r="D451" s="70">
        <v>0</v>
      </c>
      <c r="E451" s="70">
        <v>0</v>
      </c>
      <c r="F451" s="70">
        <v>0</v>
      </c>
      <c r="G451" s="70">
        <v>0</v>
      </c>
      <c r="H451" s="131">
        <f>[1]기록총!H239</f>
        <v>0</v>
      </c>
      <c r="I451" s="3"/>
    </row>
    <row r="452" spans="1:9" s="93" customFormat="1" ht="9" customHeight="1" x14ac:dyDescent="0.3">
      <c r="A452" s="91"/>
      <c r="B452" s="70"/>
      <c r="C452" s="70"/>
      <c r="D452" s="70"/>
      <c r="E452" s="70"/>
      <c r="F452" s="70"/>
      <c r="G452" s="70"/>
      <c r="H452" s="131"/>
      <c r="I452" s="3"/>
    </row>
    <row r="453" spans="1:9" s="93" customFormat="1" ht="9" customHeight="1" x14ac:dyDescent="0.3">
      <c r="A453" s="91"/>
      <c r="B453" s="70"/>
      <c r="C453" s="70"/>
      <c r="D453" s="70"/>
      <c r="E453" s="70"/>
      <c r="F453" s="70"/>
      <c r="G453" s="70"/>
      <c r="H453" s="131"/>
      <c r="I453" s="3"/>
    </row>
    <row r="454" spans="1:9" s="93" customFormat="1" ht="9" customHeight="1" x14ac:dyDescent="0.3">
      <c r="A454" s="91"/>
      <c r="B454" s="70"/>
      <c r="C454" s="70"/>
      <c r="D454" s="70"/>
      <c r="E454" s="70"/>
      <c r="F454" s="70"/>
      <c r="G454" s="70"/>
      <c r="H454" s="131"/>
      <c r="I454" s="3"/>
    </row>
    <row r="455" spans="1:9" s="93" customFormat="1" ht="9" customHeight="1" x14ac:dyDescent="0.3">
      <c r="A455" s="91"/>
      <c r="B455" s="70"/>
      <c r="C455" s="70"/>
      <c r="D455" s="70"/>
      <c r="E455" s="70"/>
      <c r="F455" s="70"/>
      <c r="G455" s="70"/>
      <c r="H455" s="131"/>
      <c r="I455" s="3"/>
    </row>
    <row r="456" spans="1:9" s="93" customFormat="1" ht="9" customHeight="1" x14ac:dyDescent="0.3">
      <c r="A456" s="91"/>
      <c r="B456" s="70"/>
      <c r="C456" s="70"/>
      <c r="D456" s="70"/>
      <c r="E456" s="70"/>
      <c r="F456" s="70"/>
      <c r="G456" s="70"/>
      <c r="H456" s="131"/>
      <c r="I456" s="3"/>
    </row>
    <row r="457" spans="1:9" s="93" customFormat="1" ht="9" customHeight="1" x14ac:dyDescent="0.3">
      <c r="A457" s="91"/>
      <c r="B457" s="70"/>
      <c r="C457" s="70"/>
      <c r="D457" s="70"/>
      <c r="E457" s="70"/>
      <c r="F457" s="70"/>
      <c r="G457" s="70"/>
      <c r="H457" s="131"/>
      <c r="I457" s="3"/>
    </row>
    <row r="458" spans="1:9" s="93" customFormat="1" ht="9" customHeight="1" x14ac:dyDescent="0.3">
      <c r="A458" s="91"/>
      <c r="B458" s="70"/>
      <c r="C458" s="70"/>
      <c r="D458" s="70"/>
      <c r="E458" s="70"/>
      <c r="F458" s="70"/>
      <c r="G458" s="70"/>
      <c r="H458" s="131"/>
      <c r="I458" s="3"/>
    </row>
    <row r="459" spans="1:9" s="93" customFormat="1" ht="9" customHeight="1" x14ac:dyDescent="0.3">
      <c r="A459" s="91"/>
      <c r="B459" s="70"/>
      <c r="C459" s="70"/>
      <c r="D459" s="70"/>
      <c r="E459" s="70"/>
      <c r="F459" s="70"/>
      <c r="G459" s="70"/>
      <c r="H459" s="131"/>
      <c r="I459" s="3"/>
    </row>
    <row r="460" spans="1:9" s="93" customFormat="1" ht="9" customHeight="1" x14ac:dyDescent="0.3">
      <c r="A460" s="91"/>
      <c r="B460" s="70"/>
      <c r="C460" s="70"/>
      <c r="D460" s="70"/>
      <c r="E460" s="70"/>
      <c r="F460" s="70"/>
      <c r="G460" s="70"/>
      <c r="H460" s="131"/>
      <c r="I460" s="3"/>
    </row>
    <row r="461" spans="1:9" s="93" customFormat="1" ht="9" customHeight="1" x14ac:dyDescent="0.3">
      <c r="A461" s="91"/>
      <c r="B461" s="70"/>
      <c r="C461" s="70"/>
      <c r="D461" s="70"/>
      <c r="E461" s="70"/>
      <c r="F461" s="70"/>
      <c r="G461" s="70"/>
      <c r="H461" s="131"/>
      <c r="I461" s="3"/>
    </row>
    <row r="462" spans="1:9" s="93" customFormat="1" ht="9" customHeight="1" x14ac:dyDescent="0.3">
      <c r="A462" s="91"/>
      <c r="B462" s="70"/>
      <c r="C462" s="70"/>
      <c r="D462" s="70"/>
      <c r="E462" s="70"/>
      <c r="F462" s="70"/>
      <c r="G462" s="70"/>
      <c r="H462" s="131"/>
      <c r="I462" s="3"/>
    </row>
    <row r="463" spans="1:9" s="93" customFormat="1" ht="9" customHeight="1" x14ac:dyDescent="0.3">
      <c r="A463" s="91"/>
      <c r="B463" s="70"/>
      <c r="C463" s="70"/>
      <c r="D463" s="70"/>
      <c r="E463" s="70"/>
      <c r="F463" s="70"/>
      <c r="G463" s="70"/>
      <c r="H463" s="131"/>
      <c r="I463" s="3"/>
    </row>
    <row r="464" spans="1:9" s="93" customFormat="1" ht="9" customHeight="1" x14ac:dyDescent="0.3">
      <c r="A464" s="91"/>
      <c r="B464" s="70"/>
      <c r="C464" s="70"/>
      <c r="D464" s="70"/>
      <c r="E464" s="70"/>
      <c r="F464" s="70"/>
      <c r="G464" s="70"/>
      <c r="H464" s="131"/>
      <c r="I464" s="3"/>
    </row>
    <row r="465" spans="1:9" s="93" customFormat="1" ht="9" customHeight="1" x14ac:dyDescent="0.3">
      <c r="A465" s="91"/>
      <c r="B465" s="70"/>
      <c r="C465" s="70"/>
      <c r="D465" s="70"/>
      <c r="E465" s="70"/>
      <c r="F465" s="70"/>
      <c r="G465" s="70"/>
      <c r="H465" s="131"/>
      <c r="I465" s="3"/>
    </row>
    <row r="466" spans="1:9" s="93" customFormat="1" ht="9" customHeight="1" x14ac:dyDescent="0.3">
      <c r="A466" s="91"/>
      <c r="B466" s="70"/>
      <c r="C466" s="70"/>
      <c r="D466" s="70"/>
      <c r="E466" s="70"/>
      <c r="F466" s="70"/>
      <c r="G466" s="70"/>
      <c r="H466" s="131"/>
      <c r="I466" s="3"/>
    </row>
    <row r="467" spans="1:9" s="93" customFormat="1" ht="9" customHeight="1" x14ac:dyDescent="0.3">
      <c r="A467" s="91"/>
      <c r="B467" s="70"/>
      <c r="C467" s="70"/>
      <c r="D467" s="70"/>
      <c r="E467" s="70"/>
      <c r="F467" s="70"/>
      <c r="G467" s="70"/>
      <c r="H467" s="131"/>
      <c r="I467" s="3"/>
    </row>
    <row r="468" spans="1:9" s="93" customFormat="1" ht="9" customHeight="1" x14ac:dyDescent="0.3">
      <c r="A468" s="91"/>
      <c r="B468" s="70"/>
      <c r="C468" s="70"/>
      <c r="D468" s="70"/>
      <c r="E468" s="70"/>
      <c r="F468" s="70"/>
      <c r="G468" s="70"/>
      <c r="H468" s="131"/>
      <c r="I468" s="3"/>
    </row>
    <row r="469" spans="1:9" s="93" customFormat="1" ht="9" customHeight="1" x14ac:dyDescent="0.3">
      <c r="A469" s="91"/>
      <c r="B469" s="70"/>
      <c r="C469" s="70"/>
      <c r="D469" s="70"/>
      <c r="E469" s="70"/>
      <c r="F469" s="70"/>
      <c r="G469" s="70"/>
      <c r="H469" s="131"/>
      <c r="I469" s="3"/>
    </row>
    <row r="470" spans="1:9" s="93" customFormat="1" ht="9" customHeight="1" x14ac:dyDescent="0.3">
      <c r="A470" s="91"/>
      <c r="B470" s="70"/>
      <c r="C470" s="70"/>
      <c r="D470" s="70"/>
      <c r="E470" s="70"/>
      <c r="F470" s="70"/>
      <c r="G470" s="70"/>
      <c r="H470" s="131"/>
      <c r="I470" s="3"/>
    </row>
    <row r="471" spans="1:9" s="93" customFormat="1" ht="9" customHeight="1" x14ac:dyDescent="0.3">
      <c r="A471" s="91"/>
      <c r="B471" s="70"/>
      <c r="C471" s="70"/>
      <c r="D471" s="70"/>
      <c r="E471" s="70"/>
      <c r="F471" s="70"/>
      <c r="G471" s="70"/>
      <c r="H471" s="131"/>
      <c r="I471" s="3"/>
    </row>
    <row r="472" spans="1:9" s="93" customFormat="1" ht="9" customHeight="1" x14ac:dyDescent="0.3">
      <c r="A472" s="91"/>
      <c r="B472" s="70"/>
      <c r="C472" s="70"/>
      <c r="D472" s="70"/>
      <c r="E472" s="70"/>
      <c r="F472" s="70"/>
      <c r="G472" s="70"/>
      <c r="H472" s="131"/>
      <c r="I472" s="3"/>
    </row>
    <row r="473" spans="1:9" s="93" customFormat="1" ht="9" customHeight="1" x14ac:dyDescent="0.3">
      <c r="A473" s="91"/>
      <c r="B473" s="70"/>
      <c r="C473" s="70"/>
      <c r="D473" s="70"/>
      <c r="E473" s="70"/>
      <c r="F473" s="70"/>
      <c r="G473" s="70"/>
      <c r="H473" s="131"/>
      <c r="I473" s="3"/>
    </row>
    <row r="474" spans="1:9" s="93" customFormat="1" ht="9" customHeight="1" x14ac:dyDescent="0.3">
      <c r="A474" s="91"/>
      <c r="B474" s="70"/>
      <c r="C474" s="70"/>
      <c r="D474" s="70"/>
      <c r="E474" s="70"/>
      <c r="F474" s="70"/>
      <c r="G474" s="70"/>
      <c r="H474" s="131"/>
      <c r="I474" s="3"/>
    </row>
    <row r="475" spans="1:9" s="93" customFormat="1" ht="9" customHeight="1" x14ac:dyDescent="0.3">
      <c r="A475" s="91"/>
      <c r="B475" s="70"/>
      <c r="C475" s="70"/>
      <c r="D475" s="70"/>
      <c r="E475" s="70"/>
      <c r="F475" s="70"/>
      <c r="G475" s="70"/>
      <c r="H475" s="131"/>
      <c r="I475" s="3"/>
    </row>
    <row r="476" spans="1:9" s="93" customFormat="1" ht="9" customHeight="1" x14ac:dyDescent="0.3">
      <c r="A476" s="91"/>
      <c r="B476" s="70"/>
      <c r="C476" s="70"/>
      <c r="D476" s="70"/>
      <c r="E476" s="70"/>
      <c r="F476" s="70"/>
      <c r="G476" s="70"/>
      <c r="H476" s="131"/>
      <c r="I476" s="3"/>
    </row>
    <row r="477" spans="1:9" s="93" customFormat="1" ht="9" customHeight="1" x14ac:dyDescent="0.3">
      <c r="A477" s="91"/>
      <c r="B477" s="70"/>
      <c r="C477" s="70"/>
      <c r="D477" s="70"/>
      <c r="E477" s="70"/>
      <c r="F477" s="70"/>
      <c r="G477" s="70"/>
      <c r="H477" s="131"/>
      <c r="I477" s="3"/>
    </row>
    <row r="478" spans="1:9" s="93" customFormat="1" ht="9" customHeight="1" x14ac:dyDescent="0.3">
      <c r="A478" s="91"/>
      <c r="B478" s="70"/>
      <c r="C478" s="70"/>
      <c r="D478" s="70"/>
      <c r="E478" s="70"/>
      <c r="F478" s="70"/>
      <c r="G478" s="70"/>
      <c r="H478" s="131"/>
      <c r="I478" s="3"/>
    </row>
    <row r="479" spans="1:9" s="93" customFormat="1" ht="9" customHeight="1" x14ac:dyDescent="0.3">
      <c r="A479" s="91"/>
      <c r="B479" s="70"/>
      <c r="C479" s="70"/>
      <c r="D479" s="70"/>
      <c r="E479" s="70"/>
      <c r="F479" s="70"/>
      <c r="G479" s="70"/>
      <c r="H479" s="131"/>
      <c r="I479" s="3"/>
    </row>
    <row r="480" spans="1:9" s="93" customFormat="1" ht="9" customHeight="1" x14ac:dyDescent="0.3">
      <c r="A480" s="91"/>
      <c r="B480" s="70"/>
      <c r="C480" s="70"/>
      <c r="D480" s="70"/>
      <c r="E480" s="70"/>
      <c r="F480" s="70"/>
      <c r="G480" s="70"/>
      <c r="H480" s="131"/>
      <c r="I480" s="3"/>
    </row>
    <row r="481" spans="1:9" s="93" customFormat="1" ht="9" customHeight="1" x14ac:dyDescent="0.3">
      <c r="A481" s="91"/>
      <c r="B481" s="70"/>
      <c r="C481" s="70"/>
      <c r="D481" s="70"/>
      <c r="E481" s="70"/>
      <c r="F481" s="70"/>
      <c r="G481" s="70"/>
      <c r="H481" s="131"/>
      <c r="I481" s="3"/>
    </row>
    <row r="482" spans="1:9" s="93" customFormat="1" ht="9" customHeight="1" x14ac:dyDescent="0.3">
      <c r="A482" s="91"/>
      <c r="B482" s="70"/>
      <c r="C482" s="70"/>
      <c r="D482" s="70"/>
      <c r="E482" s="70"/>
      <c r="F482" s="70"/>
      <c r="G482" s="70"/>
      <c r="H482" s="131"/>
      <c r="I482" s="3"/>
    </row>
    <row r="483" spans="1:9" s="93" customFormat="1" ht="9" customHeight="1" x14ac:dyDescent="0.3">
      <c r="A483" s="91"/>
      <c r="B483" s="70"/>
      <c r="C483" s="70"/>
      <c r="D483" s="70"/>
      <c r="E483" s="70"/>
      <c r="F483" s="70"/>
      <c r="G483" s="70"/>
      <c r="H483" s="131"/>
      <c r="I483" s="3"/>
    </row>
    <row r="484" spans="1:9" s="93" customFormat="1" ht="9" customHeight="1" x14ac:dyDescent="0.3">
      <c r="A484" s="91"/>
      <c r="B484" s="70"/>
      <c r="C484" s="70"/>
      <c r="D484" s="70"/>
      <c r="E484" s="70"/>
      <c r="F484" s="70"/>
      <c r="G484" s="70"/>
      <c r="H484" s="131"/>
      <c r="I484" s="3"/>
    </row>
    <row r="485" spans="1:9" s="93" customFormat="1" ht="9" customHeight="1" x14ac:dyDescent="0.3">
      <c r="A485" s="91"/>
      <c r="B485" s="70"/>
      <c r="C485" s="70"/>
      <c r="D485" s="70"/>
      <c r="E485" s="70"/>
      <c r="F485" s="70"/>
      <c r="G485" s="70"/>
      <c r="H485" s="131"/>
      <c r="I485" s="3"/>
    </row>
    <row r="486" spans="1:9" s="93" customFormat="1" ht="9" customHeight="1" x14ac:dyDescent="0.3">
      <c r="A486" s="91"/>
      <c r="B486" s="70"/>
      <c r="C486" s="70"/>
      <c r="D486" s="70"/>
      <c r="E486" s="70"/>
      <c r="F486" s="70"/>
      <c r="G486" s="70"/>
      <c r="H486" s="131"/>
      <c r="I486" s="3"/>
    </row>
    <row r="487" spans="1:9" s="93" customFormat="1" ht="9" customHeight="1" x14ac:dyDescent="0.3">
      <c r="A487" s="91"/>
      <c r="B487" s="70"/>
      <c r="C487" s="70"/>
      <c r="D487" s="70"/>
      <c r="E487" s="70"/>
      <c r="F487" s="70"/>
      <c r="G487" s="70"/>
      <c r="H487" s="131"/>
      <c r="I487" s="3"/>
    </row>
    <row r="488" spans="1:9" s="93" customFormat="1" ht="9" customHeight="1" x14ac:dyDescent="0.3">
      <c r="A488" s="91"/>
      <c r="B488" s="70"/>
      <c r="C488" s="70"/>
      <c r="D488" s="70"/>
      <c r="E488" s="70"/>
      <c r="F488" s="70"/>
      <c r="G488" s="70"/>
      <c r="H488" s="131"/>
      <c r="I488" s="3"/>
    </row>
    <row r="489" spans="1:9" s="93" customFormat="1" ht="9" customHeight="1" x14ac:dyDescent="0.3">
      <c r="A489" s="91"/>
      <c r="B489" s="70"/>
      <c r="C489" s="70"/>
      <c r="D489" s="70"/>
      <c r="E489" s="70"/>
      <c r="F489" s="70"/>
      <c r="G489" s="70"/>
      <c r="H489" s="131"/>
      <c r="I489" s="3"/>
    </row>
    <row r="490" spans="1:9" s="93" customFormat="1" ht="9" customHeight="1" x14ac:dyDescent="0.3">
      <c r="A490" s="91"/>
      <c r="B490" s="70"/>
      <c r="C490" s="70"/>
      <c r="D490" s="70"/>
      <c r="E490" s="70"/>
      <c r="F490" s="70"/>
      <c r="G490" s="70"/>
      <c r="H490" s="131"/>
      <c r="I490" s="3"/>
    </row>
    <row r="491" spans="1:9" s="93" customFormat="1" ht="9" customHeight="1" x14ac:dyDescent="0.3">
      <c r="A491" s="91"/>
      <c r="B491" s="70"/>
      <c r="C491" s="70"/>
      <c r="D491" s="70"/>
      <c r="E491" s="70"/>
      <c r="F491" s="70"/>
      <c r="G491" s="70"/>
      <c r="H491" s="131"/>
      <c r="I491" s="3"/>
    </row>
    <row r="492" spans="1:9" s="93" customFormat="1" ht="9" customHeight="1" x14ac:dyDescent="0.3">
      <c r="A492" s="91"/>
      <c r="B492" s="70"/>
      <c r="C492" s="70"/>
      <c r="D492" s="70"/>
      <c r="E492" s="70"/>
      <c r="F492" s="70"/>
      <c r="G492" s="70"/>
      <c r="H492" s="131"/>
      <c r="I492" s="3"/>
    </row>
    <row r="493" spans="1:9" s="93" customFormat="1" ht="9" customHeight="1" x14ac:dyDescent="0.3">
      <c r="A493" s="91"/>
      <c r="B493" s="70"/>
      <c r="C493" s="70"/>
      <c r="D493" s="70"/>
      <c r="E493" s="70"/>
      <c r="F493" s="70"/>
      <c r="G493" s="70"/>
      <c r="H493" s="131"/>
      <c r="I493" s="3"/>
    </row>
    <row r="494" spans="1:9" s="93" customFormat="1" ht="9" customHeight="1" x14ac:dyDescent="0.3">
      <c r="A494" s="91"/>
      <c r="B494" s="70"/>
      <c r="C494" s="70"/>
      <c r="D494" s="70"/>
      <c r="E494" s="70"/>
      <c r="F494" s="70"/>
      <c r="G494" s="70"/>
      <c r="H494" s="131"/>
      <c r="I494" s="3"/>
    </row>
    <row r="495" spans="1:9" s="93" customFormat="1" ht="9" customHeight="1" x14ac:dyDescent="0.3">
      <c r="A495" s="91"/>
      <c r="B495" s="70"/>
      <c r="C495" s="70"/>
      <c r="D495" s="70"/>
      <c r="E495" s="70"/>
      <c r="F495" s="70"/>
      <c r="G495" s="70"/>
      <c r="H495" s="131"/>
      <c r="I495" s="3"/>
    </row>
    <row r="496" spans="1:9" s="93" customFormat="1" ht="9" customHeight="1" x14ac:dyDescent="0.3">
      <c r="A496" s="91"/>
      <c r="B496" s="70"/>
      <c r="C496" s="70"/>
      <c r="D496" s="70"/>
      <c r="E496" s="70"/>
      <c r="F496" s="70"/>
      <c r="G496" s="70"/>
      <c r="H496" s="131"/>
      <c r="I496" s="3"/>
    </row>
    <row r="497" spans="1:9" s="93" customFormat="1" ht="9" customHeight="1" x14ac:dyDescent="0.3">
      <c r="A497" s="91"/>
      <c r="B497" s="70"/>
      <c r="C497" s="70"/>
      <c r="D497" s="70"/>
      <c r="E497" s="70"/>
      <c r="F497" s="70"/>
      <c r="G497" s="70"/>
      <c r="H497" s="131"/>
      <c r="I497" s="3"/>
    </row>
    <row r="498" spans="1:9" s="93" customFormat="1" ht="9" customHeight="1" x14ac:dyDescent="0.3">
      <c r="A498" s="91"/>
      <c r="B498" s="70"/>
      <c r="C498" s="70"/>
      <c r="D498" s="70"/>
      <c r="E498" s="70"/>
      <c r="F498" s="70"/>
      <c r="G498" s="70"/>
      <c r="H498" s="131"/>
      <c r="I498" s="3"/>
    </row>
    <row r="499" spans="1:9" s="93" customFormat="1" ht="9" customHeight="1" x14ac:dyDescent="0.3">
      <c r="A499" s="91"/>
      <c r="B499" s="70"/>
      <c r="C499" s="70"/>
      <c r="D499" s="70"/>
      <c r="E499" s="70"/>
      <c r="F499" s="70"/>
      <c r="G499" s="70"/>
      <c r="H499" s="131"/>
      <c r="I499" s="3"/>
    </row>
    <row r="500" spans="1:9" s="93" customFormat="1" ht="9" customHeight="1" x14ac:dyDescent="0.3">
      <c r="A500" s="91"/>
      <c r="B500" s="70"/>
      <c r="C500" s="70"/>
      <c r="D500" s="70"/>
      <c r="E500" s="70"/>
      <c r="F500" s="70"/>
      <c r="G500" s="70"/>
      <c r="H500" s="131"/>
      <c r="I500" s="3"/>
    </row>
    <row r="501" spans="1:9" s="93" customFormat="1" ht="9" customHeight="1" x14ac:dyDescent="0.3">
      <c r="A501" s="91"/>
      <c r="B501" s="70"/>
      <c r="C501" s="70"/>
      <c r="D501" s="70"/>
      <c r="E501" s="70"/>
      <c r="F501" s="70"/>
      <c r="G501" s="70"/>
      <c r="H501" s="131"/>
      <c r="I501" s="3"/>
    </row>
    <row r="502" spans="1:9" s="93" customFormat="1" ht="9" customHeight="1" x14ac:dyDescent="0.3">
      <c r="A502" s="91"/>
      <c r="B502" s="70"/>
      <c r="C502" s="70"/>
      <c r="D502" s="70"/>
      <c r="E502" s="70"/>
      <c r="F502" s="70"/>
      <c r="G502" s="70"/>
      <c r="H502" s="131"/>
      <c r="I502" s="3"/>
    </row>
    <row r="503" spans="1:9" s="93" customFormat="1" ht="9" customHeight="1" x14ac:dyDescent="0.3">
      <c r="A503" s="91"/>
      <c r="B503" s="70"/>
      <c r="C503" s="70"/>
      <c r="D503" s="70"/>
      <c r="E503" s="70"/>
      <c r="F503" s="70"/>
      <c r="G503" s="70"/>
      <c r="H503" s="131"/>
      <c r="I503" s="3"/>
    </row>
    <row r="504" spans="1:9" s="93" customFormat="1" ht="9" customHeight="1" x14ac:dyDescent="0.3">
      <c r="A504" s="91"/>
      <c r="B504" s="70"/>
      <c r="C504" s="70"/>
      <c r="D504" s="70"/>
      <c r="E504" s="70"/>
      <c r="F504" s="70"/>
      <c r="G504" s="70"/>
      <c r="H504" s="131"/>
      <c r="I504" s="3"/>
    </row>
    <row r="505" spans="1:9" s="93" customFormat="1" ht="9" customHeight="1" x14ac:dyDescent="0.3">
      <c r="A505" s="91"/>
      <c r="B505" s="70"/>
      <c r="C505" s="70"/>
      <c r="D505" s="70"/>
      <c r="E505" s="70"/>
      <c r="F505" s="70"/>
      <c r="G505" s="70"/>
      <c r="H505" s="131"/>
      <c r="I505" s="3"/>
    </row>
    <row r="506" spans="1:9" s="93" customFormat="1" ht="9" customHeight="1" x14ac:dyDescent="0.3">
      <c r="A506" s="91"/>
      <c r="B506" s="70"/>
      <c r="C506" s="70"/>
      <c r="D506" s="70"/>
      <c r="E506" s="70"/>
      <c r="F506" s="70"/>
      <c r="G506" s="70"/>
      <c r="H506" s="131"/>
      <c r="I506" s="3"/>
    </row>
    <row r="507" spans="1:9" s="93" customFormat="1" ht="9" customHeight="1" x14ac:dyDescent="0.3">
      <c r="A507" s="91"/>
      <c r="B507" s="70"/>
      <c r="C507" s="70"/>
      <c r="D507" s="70"/>
      <c r="E507" s="70"/>
      <c r="F507" s="70"/>
      <c r="G507" s="70"/>
      <c r="H507" s="131"/>
      <c r="I507" s="3"/>
    </row>
    <row r="508" spans="1:9" s="93" customFormat="1" ht="9" customHeight="1" x14ac:dyDescent="0.3">
      <c r="A508" s="91"/>
      <c r="B508" s="70"/>
      <c r="C508" s="70"/>
      <c r="D508" s="70"/>
      <c r="E508" s="70"/>
      <c r="F508" s="70"/>
      <c r="G508" s="70"/>
      <c r="H508" s="131"/>
      <c r="I508" s="3"/>
    </row>
    <row r="509" spans="1:9" s="93" customFormat="1" ht="9" customHeight="1" x14ac:dyDescent="0.3">
      <c r="A509" s="91"/>
      <c r="B509" s="70"/>
      <c r="C509" s="70"/>
      <c r="D509" s="70"/>
      <c r="E509" s="70"/>
      <c r="F509" s="70"/>
      <c r="G509" s="70"/>
      <c r="H509" s="131"/>
      <c r="I509" s="3"/>
    </row>
    <row r="510" spans="1:9" s="93" customFormat="1" ht="9" customHeight="1" x14ac:dyDescent="0.3">
      <c r="A510" s="91"/>
      <c r="B510" s="70"/>
      <c r="C510" s="70"/>
      <c r="D510" s="70"/>
      <c r="E510" s="70"/>
      <c r="F510" s="70"/>
      <c r="G510" s="70"/>
      <c r="H510" s="131"/>
      <c r="I510" s="3"/>
    </row>
    <row r="511" spans="1:9" s="93" customFormat="1" ht="9" customHeight="1" x14ac:dyDescent="0.3">
      <c r="A511" s="91"/>
      <c r="B511" s="70"/>
      <c r="C511" s="70"/>
      <c r="D511" s="70"/>
      <c r="E511" s="70"/>
      <c r="F511" s="70"/>
      <c r="G511" s="70"/>
      <c r="H511" s="131"/>
      <c r="I511" s="3"/>
    </row>
    <row r="512" spans="1:9" s="93" customFormat="1" ht="9" customHeight="1" x14ac:dyDescent="0.3">
      <c r="A512" s="91"/>
      <c r="B512" s="70"/>
      <c r="C512" s="70"/>
      <c r="D512" s="70"/>
      <c r="E512" s="70"/>
      <c r="F512" s="70"/>
      <c r="G512" s="70"/>
      <c r="H512" s="131"/>
      <c r="I512" s="3"/>
    </row>
    <row r="513" spans="1:9" s="93" customFormat="1" ht="9" customHeight="1" x14ac:dyDescent="0.3">
      <c r="A513" s="91"/>
      <c r="B513" s="70"/>
      <c r="C513" s="70"/>
      <c r="D513" s="70"/>
      <c r="E513" s="70"/>
      <c r="F513" s="70"/>
      <c r="G513" s="70"/>
      <c r="H513" s="131"/>
      <c r="I513" s="3"/>
    </row>
    <row r="514" spans="1:9" s="93" customFormat="1" ht="9" customHeight="1" x14ac:dyDescent="0.3">
      <c r="A514" s="91"/>
      <c r="B514" s="70"/>
      <c r="C514" s="70"/>
      <c r="D514" s="70"/>
      <c r="E514" s="70"/>
      <c r="F514" s="70"/>
      <c r="G514" s="70"/>
      <c r="H514" s="131"/>
      <c r="I514" s="3"/>
    </row>
    <row r="515" spans="1:9" s="93" customFormat="1" ht="9" customHeight="1" x14ac:dyDescent="0.3">
      <c r="A515" s="91"/>
      <c r="B515" s="70"/>
      <c r="C515" s="70"/>
      <c r="D515" s="70"/>
      <c r="E515" s="70"/>
      <c r="F515" s="70"/>
      <c r="G515" s="70"/>
      <c r="H515" s="131"/>
      <c r="I515" s="3"/>
    </row>
    <row r="516" spans="1:9" s="93" customFormat="1" ht="9" customHeight="1" x14ac:dyDescent="0.3">
      <c r="A516" s="91"/>
      <c r="B516" s="70"/>
      <c r="C516" s="70"/>
      <c r="D516" s="70"/>
      <c r="E516" s="70"/>
      <c r="F516" s="70"/>
      <c r="G516" s="70"/>
      <c r="H516" s="131"/>
      <c r="I516" s="3"/>
    </row>
    <row r="517" spans="1:9" s="93" customFormat="1" ht="9" customHeight="1" x14ac:dyDescent="0.3">
      <c r="A517" s="91"/>
      <c r="B517" s="70"/>
      <c r="C517" s="70"/>
      <c r="D517" s="70"/>
      <c r="E517" s="70"/>
      <c r="F517" s="70"/>
      <c r="G517" s="70"/>
      <c r="H517" s="131"/>
      <c r="I517" s="3"/>
    </row>
    <row r="518" spans="1:9" s="93" customFormat="1" ht="9" customHeight="1" x14ac:dyDescent="0.3">
      <c r="A518" s="91"/>
      <c r="B518" s="70"/>
      <c r="C518" s="70"/>
      <c r="D518" s="70"/>
      <c r="E518" s="70"/>
      <c r="F518" s="70"/>
      <c r="G518" s="70"/>
      <c r="H518" s="131"/>
      <c r="I518" s="3"/>
    </row>
    <row r="519" spans="1:9" s="93" customFormat="1" ht="9" customHeight="1" x14ac:dyDescent="0.3">
      <c r="A519" s="91"/>
      <c r="B519" s="70"/>
      <c r="C519" s="70"/>
      <c r="D519" s="70"/>
      <c r="E519" s="70"/>
      <c r="F519" s="70"/>
      <c r="G519" s="70"/>
      <c r="H519" s="131"/>
      <c r="I519" s="3"/>
    </row>
    <row r="520" spans="1:9" s="93" customFormat="1" ht="9" customHeight="1" x14ac:dyDescent="0.3">
      <c r="A520" s="91"/>
      <c r="B520" s="70"/>
      <c r="C520" s="70"/>
      <c r="D520" s="70"/>
      <c r="E520" s="70"/>
      <c r="F520" s="70"/>
      <c r="G520" s="70"/>
      <c r="H520" s="131"/>
      <c r="I520" s="3"/>
    </row>
    <row r="521" spans="1:9" s="93" customFormat="1" ht="9" customHeight="1" x14ac:dyDescent="0.3">
      <c r="A521" s="91"/>
      <c r="B521" s="70"/>
      <c r="C521" s="70"/>
      <c r="D521" s="70"/>
      <c r="E521" s="70"/>
      <c r="F521" s="70"/>
      <c r="G521" s="70"/>
      <c r="H521" s="131"/>
      <c r="I521" s="3"/>
    </row>
    <row r="522" spans="1:9" s="93" customFormat="1" ht="9" customHeight="1" x14ac:dyDescent="0.3">
      <c r="A522" s="91"/>
      <c r="B522" s="70"/>
      <c r="C522" s="70"/>
      <c r="D522" s="70"/>
      <c r="E522" s="70"/>
      <c r="F522" s="70"/>
      <c r="G522" s="70"/>
      <c r="H522" s="131"/>
      <c r="I522" s="3"/>
    </row>
    <row r="523" spans="1:9" s="93" customFormat="1" ht="9" customHeight="1" x14ac:dyDescent="0.3">
      <c r="A523" s="91"/>
      <c r="B523" s="70"/>
      <c r="C523" s="70"/>
      <c r="D523" s="70"/>
      <c r="E523" s="70"/>
      <c r="F523" s="70"/>
      <c r="G523" s="70"/>
      <c r="H523" s="131"/>
      <c r="I523" s="3"/>
    </row>
    <row r="524" spans="1:9" s="93" customFormat="1" ht="9" customHeight="1" x14ac:dyDescent="0.3">
      <c r="A524" s="91"/>
      <c r="B524" s="70"/>
      <c r="C524" s="70"/>
      <c r="D524" s="70"/>
      <c r="E524" s="70"/>
      <c r="F524" s="70"/>
      <c r="G524" s="70"/>
      <c r="H524" s="131"/>
      <c r="I524" s="3"/>
    </row>
    <row r="525" spans="1:9" s="93" customFormat="1" ht="9" customHeight="1" x14ac:dyDescent="0.3">
      <c r="A525" s="91"/>
      <c r="B525" s="70"/>
      <c r="C525" s="70"/>
      <c r="D525" s="70"/>
      <c r="E525" s="70"/>
      <c r="F525" s="70"/>
      <c r="G525" s="70"/>
      <c r="H525" s="131"/>
      <c r="I525" s="3"/>
    </row>
    <row r="526" spans="1:9" s="93" customFormat="1" ht="9" customHeight="1" x14ac:dyDescent="0.3">
      <c r="A526" s="91"/>
      <c r="B526" s="70"/>
      <c r="C526" s="70"/>
      <c r="D526" s="70"/>
      <c r="E526" s="70"/>
      <c r="F526" s="70"/>
      <c r="G526" s="70"/>
      <c r="H526" s="131"/>
      <c r="I526" s="3"/>
    </row>
    <row r="527" spans="1:9" s="93" customFormat="1" ht="9" customHeight="1" x14ac:dyDescent="0.3">
      <c r="A527" s="91"/>
      <c r="B527" s="70"/>
      <c r="C527" s="70"/>
      <c r="D527" s="70"/>
      <c r="E527" s="70"/>
      <c r="F527" s="70"/>
      <c r="G527" s="70"/>
      <c r="H527" s="131"/>
      <c r="I527" s="3"/>
    </row>
    <row r="528" spans="1:9" s="93" customFormat="1" ht="9" customHeight="1" x14ac:dyDescent="0.3">
      <c r="A528" s="91"/>
      <c r="B528" s="70"/>
      <c r="C528" s="70"/>
      <c r="D528" s="70"/>
      <c r="E528" s="70"/>
      <c r="F528" s="70"/>
      <c r="G528" s="70"/>
      <c r="H528" s="131"/>
      <c r="I528" s="3"/>
    </row>
    <row r="529" spans="1:9" s="93" customFormat="1" ht="9" customHeight="1" x14ac:dyDescent="0.3">
      <c r="A529" s="91"/>
      <c r="B529" s="70"/>
      <c r="C529" s="70"/>
      <c r="D529" s="70"/>
      <c r="E529" s="70"/>
      <c r="F529" s="70"/>
      <c r="G529" s="70"/>
      <c r="H529" s="131"/>
      <c r="I529" s="3"/>
    </row>
    <row r="530" spans="1:9" s="93" customFormat="1" ht="9" customHeight="1" x14ac:dyDescent="0.3">
      <c r="A530" s="91"/>
      <c r="B530" s="70"/>
      <c r="C530" s="70"/>
      <c r="D530" s="70"/>
      <c r="E530" s="70"/>
      <c r="F530" s="70"/>
      <c r="G530" s="70"/>
      <c r="H530" s="131"/>
      <c r="I530" s="3"/>
    </row>
    <row r="531" spans="1:9" s="93" customFormat="1" ht="9" customHeight="1" x14ac:dyDescent="0.3">
      <c r="A531" s="91"/>
      <c r="B531" s="70"/>
      <c r="C531" s="70"/>
      <c r="D531" s="70"/>
      <c r="E531" s="70"/>
      <c r="F531" s="70"/>
      <c r="G531" s="70"/>
      <c r="H531" s="131"/>
      <c r="I531" s="3"/>
    </row>
    <row r="532" spans="1:9" s="93" customFormat="1" ht="9" customHeight="1" x14ac:dyDescent="0.3">
      <c r="A532" s="91"/>
      <c r="B532" s="70"/>
      <c r="C532" s="70"/>
      <c r="D532" s="70"/>
      <c r="E532" s="70"/>
      <c r="F532" s="70"/>
      <c r="G532" s="70"/>
      <c r="H532" s="131"/>
      <c r="I532" s="3"/>
    </row>
    <row r="533" spans="1:9" s="93" customFormat="1" ht="9" customHeight="1" x14ac:dyDescent="0.3">
      <c r="A533" s="91"/>
      <c r="B533" s="70"/>
      <c r="C533" s="70"/>
      <c r="D533" s="70"/>
      <c r="E533" s="70"/>
      <c r="F533" s="70"/>
      <c r="G533" s="70"/>
      <c r="H533" s="131"/>
      <c r="I533" s="3"/>
    </row>
    <row r="534" spans="1:9" s="93" customFormat="1" ht="9" customHeight="1" x14ac:dyDescent="0.3">
      <c r="A534" s="91"/>
      <c r="B534" s="70"/>
      <c r="C534" s="70"/>
      <c r="D534" s="70"/>
      <c r="E534" s="70"/>
      <c r="F534" s="70"/>
      <c r="G534" s="70"/>
      <c r="H534" s="131"/>
      <c r="I534" s="3"/>
    </row>
    <row r="535" spans="1:9" s="93" customFormat="1" ht="9" customHeight="1" x14ac:dyDescent="0.3">
      <c r="A535" s="91"/>
      <c r="B535" s="70"/>
      <c r="C535" s="70"/>
      <c r="D535" s="70"/>
      <c r="E535" s="70"/>
      <c r="F535" s="70"/>
      <c r="G535" s="70"/>
      <c r="H535" s="131"/>
      <c r="I535" s="3"/>
    </row>
    <row r="536" spans="1:9" s="93" customFormat="1" ht="9" customHeight="1" x14ac:dyDescent="0.3">
      <c r="A536" s="91"/>
      <c r="B536" s="70"/>
      <c r="C536" s="70"/>
      <c r="D536" s="70"/>
      <c r="E536" s="70"/>
      <c r="F536" s="70"/>
      <c r="G536" s="70"/>
      <c r="H536" s="131"/>
      <c r="I536" s="3"/>
    </row>
    <row r="537" spans="1:9" s="93" customFormat="1" ht="9" customHeight="1" x14ac:dyDescent="0.3">
      <c r="A537" s="91"/>
      <c r="B537" s="70"/>
      <c r="C537" s="70"/>
      <c r="D537" s="70"/>
      <c r="E537" s="70"/>
      <c r="F537" s="70"/>
      <c r="G537" s="70"/>
      <c r="H537" s="131"/>
      <c r="I537" s="3"/>
    </row>
    <row r="538" spans="1:9" s="93" customFormat="1" ht="9" customHeight="1" x14ac:dyDescent="0.3">
      <c r="A538" s="91"/>
      <c r="B538" s="70"/>
      <c r="C538" s="70"/>
      <c r="D538" s="70"/>
      <c r="E538" s="70"/>
      <c r="F538" s="70"/>
      <c r="G538" s="70"/>
      <c r="H538" s="131"/>
      <c r="I538" s="3"/>
    </row>
    <row r="539" spans="1:9" s="93" customFormat="1" ht="9" customHeight="1" x14ac:dyDescent="0.3">
      <c r="A539" s="91"/>
      <c r="B539" s="70"/>
      <c r="C539" s="70"/>
      <c r="D539" s="70"/>
      <c r="E539" s="70"/>
      <c r="F539" s="70"/>
      <c r="G539" s="70"/>
      <c r="H539" s="131"/>
      <c r="I539" s="3"/>
    </row>
    <row r="540" spans="1:9" s="93" customFormat="1" ht="9" customHeight="1" x14ac:dyDescent="0.3">
      <c r="A540" s="91"/>
      <c r="B540" s="70"/>
      <c r="C540" s="70"/>
      <c r="D540" s="70"/>
      <c r="E540" s="70"/>
      <c r="F540" s="70"/>
      <c r="G540" s="70"/>
      <c r="H540" s="131"/>
      <c r="I540" s="3"/>
    </row>
    <row r="541" spans="1:9" s="93" customFormat="1" ht="9" customHeight="1" x14ac:dyDescent="0.3">
      <c r="A541" s="91"/>
      <c r="B541" s="70"/>
      <c r="C541" s="70"/>
      <c r="D541" s="70"/>
      <c r="E541" s="70"/>
      <c r="F541" s="70"/>
      <c r="G541" s="70"/>
      <c r="H541" s="131"/>
      <c r="I541" s="3"/>
    </row>
    <row r="542" spans="1:9" s="93" customFormat="1" ht="9" customHeight="1" x14ac:dyDescent="0.3">
      <c r="A542" s="91"/>
      <c r="B542" s="70"/>
      <c r="C542" s="70"/>
      <c r="D542" s="70"/>
      <c r="E542" s="70"/>
      <c r="F542" s="70"/>
      <c r="G542" s="70"/>
      <c r="H542" s="131"/>
      <c r="I542" s="3"/>
    </row>
    <row r="543" spans="1:9" s="93" customFormat="1" ht="9" customHeight="1" x14ac:dyDescent="0.3">
      <c r="A543" s="91"/>
      <c r="B543" s="70"/>
      <c r="C543" s="70"/>
      <c r="D543" s="70"/>
      <c r="E543" s="70"/>
      <c r="F543" s="70"/>
      <c r="G543" s="70"/>
      <c r="H543" s="131"/>
      <c r="I543" s="3"/>
    </row>
    <row r="544" spans="1:9" s="93" customFormat="1" ht="9" customHeight="1" x14ac:dyDescent="0.3">
      <c r="A544" s="91"/>
      <c r="B544" s="70"/>
      <c r="C544" s="70"/>
      <c r="D544" s="70"/>
      <c r="E544" s="70"/>
      <c r="F544" s="70"/>
      <c r="G544" s="70"/>
      <c r="H544" s="131"/>
      <c r="I544" s="3"/>
    </row>
    <row r="545" spans="1:9" s="93" customFormat="1" ht="9" customHeight="1" x14ac:dyDescent="0.3">
      <c r="A545" s="91"/>
      <c r="B545" s="70"/>
      <c r="C545" s="70"/>
      <c r="D545" s="70"/>
      <c r="E545" s="70"/>
      <c r="F545" s="70"/>
      <c r="G545" s="70"/>
      <c r="H545" s="131"/>
      <c r="I545" s="3"/>
    </row>
    <row r="546" spans="1:9" s="93" customFormat="1" ht="9" customHeight="1" x14ac:dyDescent="0.3">
      <c r="A546" s="91"/>
      <c r="B546" s="70"/>
      <c r="C546" s="70"/>
      <c r="D546" s="70"/>
      <c r="E546" s="70"/>
      <c r="F546" s="70"/>
      <c r="G546" s="70"/>
      <c r="H546" s="131"/>
      <c r="I546" s="3"/>
    </row>
    <row r="547" spans="1:9" s="93" customFormat="1" ht="9" customHeight="1" x14ac:dyDescent="0.3">
      <c r="A547" s="91"/>
      <c r="B547" s="70"/>
      <c r="C547" s="70"/>
      <c r="D547" s="70"/>
      <c r="E547" s="70"/>
      <c r="F547" s="70"/>
      <c r="G547" s="70"/>
      <c r="H547" s="131"/>
      <c r="I547" s="3"/>
    </row>
    <row r="548" spans="1:9" s="93" customFormat="1" ht="9" customHeight="1" x14ac:dyDescent="0.3">
      <c r="A548" s="91"/>
      <c r="B548" s="70"/>
      <c r="C548" s="70"/>
      <c r="D548" s="70"/>
      <c r="E548" s="70"/>
      <c r="F548" s="70"/>
      <c r="G548" s="70"/>
      <c r="H548" s="131"/>
      <c r="I548" s="3"/>
    </row>
    <row r="549" spans="1:9" s="93" customFormat="1" ht="9" customHeight="1" x14ac:dyDescent="0.3">
      <c r="A549" s="91"/>
      <c r="B549" s="70"/>
      <c r="C549" s="70"/>
      <c r="D549" s="70"/>
      <c r="E549" s="70"/>
      <c r="F549" s="70"/>
      <c r="G549" s="70"/>
      <c r="H549" s="131"/>
      <c r="I549" s="3"/>
    </row>
    <row r="550" spans="1:9" s="93" customFormat="1" ht="9" customHeight="1" x14ac:dyDescent="0.3">
      <c r="A550" s="91"/>
      <c r="B550" s="70"/>
      <c r="C550" s="70"/>
      <c r="D550" s="70"/>
      <c r="E550" s="70"/>
      <c r="F550" s="70"/>
      <c r="G550" s="70"/>
      <c r="H550" s="131"/>
      <c r="I550" s="3"/>
    </row>
    <row r="551" spans="1:9" s="93" customFormat="1" ht="9" customHeight="1" x14ac:dyDescent="0.3">
      <c r="A551" s="91"/>
      <c r="B551" s="70"/>
      <c r="C551" s="70"/>
      <c r="D551" s="70"/>
      <c r="E551" s="70"/>
      <c r="F551" s="70"/>
      <c r="G551" s="70"/>
      <c r="H551" s="131"/>
      <c r="I551" s="3"/>
    </row>
    <row r="552" spans="1:9" s="93" customFormat="1" ht="9" customHeight="1" x14ac:dyDescent="0.3">
      <c r="A552" s="91"/>
      <c r="B552" s="70"/>
      <c r="C552" s="70"/>
      <c r="D552" s="70"/>
      <c r="E552" s="70"/>
      <c r="F552" s="70"/>
      <c r="G552" s="70"/>
      <c r="H552" s="131"/>
      <c r="I552" s="3"/>
    </row>
    <row r="553" spans="1:9" s="93" customFormat="1" ht="9" customHeight="1" x14ac:dyDescent="0.3">
      <c r="A553" s="91"/>
      <c r="B553" s="70"/>
      <c r="C553" s="70"/>
      <c r="D553" s="70"/>
      <c r="E553" s="70"/>
      <c r="F553" s="70"/>
      <c r="G553" s="70"/>
      <c r="H553" s="131"/>
      <c r="I553" s="3"/>
    </row>
    <row r="554" spans="1:9" s="93" customFormat="1" ht="9" customHeight="1" x14ac:dyDescent="0.3">
      <c r="A554" s="91"/>
      <c r="B554" s="70"/>
      <c r="C554" s="70"/>
      <c r="D554" s="70"/>
      <c r="E554" s="70"/>
      <c r="F554" s="70"/>
      <c r="G554" s="70"/>
      <c r="H554" s="131"/>
      <c r="I554" s="3"/>
    </row>
    <row r="555" spans="1:9" s="93" customFormat="1" ht="9" customHeight="1" x14ac:dyDescent="0.3">
      <c r="A555" s="91"/>
      <c r="B555" s="70"/>
      <c r="C555" s="70"/>
      <c r="D555" s="70"/>
      <c r="E555" s="70"/>
      <c r="F555" s="70"/>
      <c r="G555" s="70"/>
      <c r="H555" s="131"/>
      <c r="I555" s="3"/>
    </row>
    <row r="556" spans="1:9" s="93" customFormat="1" ht="9" customHeight="1" x14ac:dyDescent="0.3">
      <c r="A556" s="91"/>
      <c r="B556" s="70"/>
      <c r="C556" s="70"/>
      <c r="D556" s="70"/>
      <c r="E556" s="70"/>
      <c r="F556" s="70"/>
      <c r="G556" s="70"/>
      <c r="H556" s="131"/>
      <c r="I556" s="3"/>
    </row>
    <row r="557" spans="1:9" s="93" customFormat="1" ht="9" customHeight="1" x14ac:dyDescent="0.3">
      <c r="A557" s="91"/>
      <c r="B557" s="70"/>
      <c r="C557" s="70"/>
      <c r="D557" s="70"/>
      <c r="E557" s="70"/>
      <c r="F557" s="70"/>
      <c r="G557" s="70"/>
      <c r="H557" s="131"/>
      <c r="I557" s="3"/>
    </row>
    <row r="558" spans="1:9" s="93" customFormat="1" ht="9" customHeight="1" x14ac:dyDescent="0.3">
      <c r="A558" s="91"/>
      <c r="B558" s="70"/>
      <c r="C558" s="70"/>
      <c r="D558" s="70"/>
      <c r="E558" s="70"/>
      <c r="F558" s="70"/>
      <c r="G558" s="70"/>
      <c r="H558" s="131"/>
      <c r="I558" s="3"/>
    </row>
    <row r="559" spans="1:9" s="93" customFormat="1" ht="9" customHeight="1" x14ac:dyDescent="0.3">
      <c r="A559" s="91"/>
      <c r="B559" s="70"/>
      <c r="C559" s="70"/>
      <c r="D559" s="70"/>
      <c r="E559" s="70"/>
      <c r="F559" s="70"/>
      <c r="G559" s="70"/>
      <c r="H559" s="131"/>
      <c r="I559" s="3"/>
    </row>
    <row r="560" spans="1:9" s="93" customFormat="1" ht="9" customHeight="1" x14ac:dyDescent="0.3">
      <c r="A560" s="91"/>
      <c r="B560" s="70"/>
      <c r="C560" s="70"/>
      <c r="D560" s="70"/>
      <c r="E560" s="70"/>
      <c r="F560" s="70"/>
      <c r="G560" s="70"/>
      <c r="H560" s="131"/>
      <c r="I560" s="3"/>
    </row>
    <row r="561" spans="1:9" s="93" customFormat="1" ht="9" customHeight="1" x14ac:dyDescent="0.3">
      <c r="A561" s="91"/>
      <c r="B561" s="70"/>
      <c r="C561" s="70"/>
      <c r="D561" s="70"/>
      <c r="E561" s="70"/>
      <c r="F561" s="70"/>
      <c r="G561" s="70"/>
      <c r="H561" s="131"/>
      <c r="I561" s="3"/>
    </row>
    <row r="562" spans="1:9" s="93" customFormat="1" ht="9" customHeight="1" x14ac:dyDescent="0.3">
      <c r="A562" s="91"/>
      <c r="B562" s="70"/>
      <c r="C562" s="70"/>
      <c r="D562" s="70"/>
      <c r="E562" s="70"/>
      <c r="F562" s="70"/>
      <c r="G562" s="70"/>
      <c r="H562" s="131"/>
      <c r="I562" s="3"/>
    </row>
    <row r="563" spans="1:9" s="93" customFormat="1" ht="9" customHeight="1" x14ac:dyDescent="0.3">
      <c r="A563" s="91"/>
      <c r="B563" s="70"/>
      <c r="C563" s="70"/>
      <c r="D563" s="70"/>
      <c r="E563" s="70"/>
      <c r="F563" s="70"/>
      <c r="G563" s="70"/>
      <c r="H563" s="131"/>
      <c r="I563" s="3"/>
    </row>
    <row r="564" spans="1:9" s="93" customFormat="1" ht="9" customHeight="1" x14ac:dyDescent="0.3">
      <c r="A564" s="91"/>
      <c r="B564" s="70"/>
      <c r="C564" s="70"/>
      <c r="D564" s="70"/>
      <c r="E564" s="70"/>
      <c r="F564" s="70"/>
      <c r="G564" s="70"/>
      <c r="H564" s="131"/>
      <c r="I564" s="3"/>
    </row>
    <row r="565" spans="1:9" s="93" customFormat="1" ht="9" customHeight="1" x14ac:dyDescent="0.3">
      <c r="A565" s="91"/>
      <c r="B565" s="70"/>
      <c r="C565" s="70"/>
      <c r="D565" s="70"/>
      <c r="E565" s="70"/>
      <c r="F565" s="70"/>
      <c r="G565" s="70"/>
      <c r="H565" s="131"/>
      <c r="I565" s="3"/>
    </row>
    <row r="566" spans="1:9" s="93" customFormat="1" ht="9" customHeight="1" x14ac:dyDescent="0.3">
      <c r="A566" s="91"/>
      <c r="B566" s="70"/>
      <c r="C566" s="70"/>
      <c r="D566" s="70"/>
      <c r="E566" s="70"/>
      <c r="F566" s="70"/>
      <c r="G566" s="70"/>
      <c r="H566" s="131"/>
      <c r="I566" s="3"/>
    </row>
    <row r="567" spans="1:9" s="93" customFormat="1" ht="9" customHeight="1" x14ac:dyDescent="0.3">
      <c r="A567" s="91"/>
      <c r="B567" s="70"/>
      <c r="C567" s="70"/>
      <c r="D567" s="70"/>
      <c r="E567" s="70"/>
      <c r="F567" s="70"/>
      <c r="G567" s="70"/>
      <c r="H567" s="131"/>
      <c r="I567" s="3"/>
    </row>
    <row r="568" spans="1:9" s="93" customFormat="1" ht="9" customHeight="1" x14ac:dyDescent="0.3">
      <c r="A568" s="91"/>
      <c r="B568" s="70"/>
      <c r="C568" s="70"/>
      <c r="D568" s="70"/>
      <c r="E568" s="70"/>
      <c r="F568" s="70"/>
      <c r="G568" s="70"/>
      <c r="H568" s="131"/>
      <c r="I568" s="3"/>
    </row>
    <row r="569" spans="1:9" s="93" customFormat="1" ht="9" customHeight="1" x14ac:dyDescent="0.3">
      <c r="A569" s="91"/>
      <c r="B569" s="70"/>
      <c r="C569" s="70"/>
      <c r="D569" s="70"/>
      <c r="E569" s="70"/>
      <c r="F569" s="70"/>
      <c r="G569" s="70"/>
      <c r="H569" s="131"/>
      <c r="I569" s="3"/>
    </row>
    <row r="570" spans="1:9" s="93" customFormat="1" ht="9" customHeight="1" x14ac:dyDescent="0.3">
      <c r="A570" s="91"/>
      <c r="B570" s="70"/>
      <c r="C570" s="70"/>
      <c r="D570" s="70"/>
      <c r="E570" s="70"/>
      <c r="F570" s="70"/>
      <c r="G570" s="70"/>
      <c r="H570" s="131"/>
      <c r="I570" s="3"/>
    </row>
    <row r="571" spans="1:9" s="93" customFormat="1" ht="9" customHeight="1" x14ac:dyDescent="0.3">
      <c r="A571" s="91"/>
      <c r="B571" s="70"/>
      <c r="C571" s="70"/>
      <c r="D571" s="70"/>
      <c r="E571" s="70"/>
      <c r="F571" s="70"/>
      <c r="G571" s="70"/>
      <c r="H571" s="131"/>
      <c r="I571" s="3"/>
    </row>
    <row r="572" spans="1:9" s="93" customFormat="1" ht="9" customHeight="1" x14ac:dyDescent="0.3">
      <c r="A572" s="91"/>
      <c r="B572" s="70"/>
      <c r="C572" s="70"/>
      <c r="D572" s="70"/>
      <c r="E572" s="70"/>
      <c r="F572" s="70"/>
      <c r="G572" s="70"/>
      <c r="H572" s="131"/>
      <c r="I572" s="3"/>
    </row>
    <row r="573" spans="1:9" s="93" customFormat="1" ht="9" customHeight="1" x14ac:dyDescent="0.3">
      <c r="A573" s="91"/>
      <c r="B573" s="70"/>
      <c r="C573" s="70"/>
      <c r="D573" s="70"/>
      <c r="E573" s="70"/>
      <c r="F573" s="70"/>
      <c r="G573" s="70"/>
      <c r="H573" s="131"/>
      <c r="I573" s="3"/>
    </row>
    <row r="574" spans="1:9" s="93" customFormat="1" ht="9" customHeight="1" x14ac:dyDescent="0.3">
      <c r="A574" s="91"/>
      <c r="B574" s="70"/>
      <c r="C574" s="70"/>
      <c r="D574" s="70"/>
      <c r="E574" s="70"/>
      <c r="F574" s="70"/>
      <c r="G574" s="70"/>
      <c r="H574" s="131"/>
      <c r="I574" s="3"/>
    </row>
    <row r="575" spans="1:9" s="93" customFormat="1" ht="9" customHeight="1" x14ac:dyDescent="0.3">
      <c r="A575" s="91"/>
      <c r="B575" s="70"/>
      <c r="C575" s="70"/>
      <c r="D575" s="70"/>
      <c r="E575" s="70"/>
      <c r="F575" s="70"/>
      <c r="G575" s="70"/>
      <c r="H575" s="131"/>
      <c r="I575" s="3"/>
    </row>
    <row r="576" spans="1:9" s="93" customFormat="1" ht="9" customHeight="1" x14ac:dyDescent="0.3">
      <c r="A576" s="91"/>
      <c r="B576" s="70"/>
      <c r="C576" s="70"/>
      <c r="D576" s="70"/>
      <c r="E576" s="70"/>
      <c r="F576" s="70"/>
      <c r="G576" s="70"/>
      <c r="H576" s="131"/>
      <c r="I576" s="3"/>
    </row>
    <row r="577" spans="1:9" s="93" customFormat="1" ht="9" customHeight="1" x14ac:dyDescent="0.3">
      <c r="A577" s="91"/>
      <c r="B577" s="70"/>
      <c r="C577" s="70"/>
      <c r="D577" s="70"/>
      <c r="E577" s="70"/>
      <c r="F577" s="70"/>
      <c r="G577" s="70"/>
      <c r="H577" s="131"/>
      <c r="I577" s="3"/>
    </row>
    <row r="578" spans="1:9" s="93" customFormat="1" ht="9" customHeight="1" x14ac:dyDescent="0.3">
      <c r="A578" s="91"/>
      <c r="B578" s="70"/>
      <c r="C578" s="70"/>
      <c r="D578" s="70"/>
      <c r="E578" s="70"/>
      <c r="F578" s="70"/>
      <c r="G578" s="70"/>
      <c r="H578" s="131"/>
      <c r="I578" s="3"/>
    </row>
    <row r="579" spans="1:9" s="93" customFormat="1" ht="9" customHeight="1" x14ac:dyDescent="0.3">
      <c r="A579" s="91"/>
      <c r="B579" s="70"/>
      <c r="C579" s="70"/>
      <c r="D579" s="70"/>
      <c r="E579" s="70"/>
      <c r="F579" s="70"/>
      <c r="G579" s="70"/>
      <c r="H579" s="131"/>
      <c r="I579" s="3"/>
    </row>
    <row r="580" spans="1:9" s="93" customFormat="1" ht="9" customHeight="1" x14ac:dyDescent="0.3">
      <c r="A580" s="91"/>
      <c r="B580" s="70"/>
      <c r="C580" s="70"/>
      <c r="D580" s="70"/>
      <c r="E580" s="70"/>
      <c r="F580" s="70"/>
      <c r="G580" s="70"/>
      <c r="H580" s="131"/>
      <c r="I580" s="3"/>
    </row>
    <row r="581" spans="1:9" s="93" customFormat="1" ht="9" customHeight="1" x14ac:dyDescent="0.3">
      <c r="A581" s="91"/>
      <c r="B581" s="70"/>
      <c r="C581" s="70"/>
      <c r="D581" s="70"/>
      <c r="E581" s="70"/>
      <c r="F581" s="70"/>
      <c r="G581" s="70"/>
      <c r="H581" s="131"/>
      <c r="I581" s="3"/>
    </row>
    <row r="582" spans="1:9" s="93" customFormat="1" ht="9" customHeight="1" x14ac:dyDescent="0.3">
      <c r="A582" s="91"/>
      <c r="B582" s="70"/>
      <c r="C582" s="70"/>
      <c r="D582" s="70"/>
      <c r="E582" s="70"/>
      <c r="F582" s="70"/>
      <c r="G582" s="70"/>
      <c r="H582" s="131"/>
      <c r="I582" s="3"/>
    </row>
    <row r="583" spans="1:9" s="93" customFormat="1" ht="9" customHeight="1" x14ac:dyDescent="0.3">
      <c r="A583" s="91"/>
      <c r="B583" s="70"/>
      <c r="C583" s="70"/>
      <c r="D583" s="70"/>
      <c r="E583" s="70"/>
      <c r="F583" s="70"/>
      <c r="G583" s="70"/>
      <c r="H583" s="131"/>
      <c r="I583" s="3"/>
    </row>
    <row r="584" spans="1:9" s="93" customFormat="1" ht="9" customHeight="1" x14ac:dyDescent="0.3">
      <c r="A584" s="91"/>
      <c r="B584" s="70"/>
      <c r="C584" s="70"/>
      <c r="D584" s="70"/>
      <c r="E584" s="70"/>
      <c r="F584" s="70"/>
      <c r="G584" s="70"/>
      <c r="H584" s="131"/>
      <c r="I584" s="3"/>
    </row>
    <row r="585" spans="1:9" s="93" customFormat="1" ht="9" customHeight="1" x14ac:dyDescent="0.3">
      <c r="A585" s="91"/>
      <c r="B585" s="70"/>
      <c r="C585" s="70"/>
      <c r="D585" s="70"/>
      <c r="E585" s="70"/>
      <c r="F585" s="70"/>
      <c r="G585" s="70"/>
      <c r="H585" s="131"/>
      <c r="I585" s="3"/>
    </row>
    <row r="586" spans="1:9" s="93" customFormat="1" ht="9" customHeight="1" x14ac:dyDescent="0.3">
      <c r="A586" s="91"/>
      <c r="B586" s="70"/>
      <c r="C586" s="70"/>
      <c r="D586" s="70"/>
      <c r="E586" s="70"/>
      <c r="F586" s="70"/>
      <c r="G586" s="70"/>
      <c r="H586" s="131"/>
      <c r="I586" s="3"/>
    </row>
    <row r="587" spans="1:9" s="93" customFormat="1" ht="9" customHeight="1" x14ac:dyDescent="0.3">
      <c r="A587" s="91"/>
      <c r="B587" s="70"/>
      <c r="C587" s="70"/>
      <c r="D587" s="70"/>
      <c r="E587" s="70"/>
      <c r="F587" s="70"/>
      <c r="G587" s="70"/>
      <c r="H587" s="131"/>
      <c r="I587" s="3"/>
    </row>
    <row r="588" spans="1:9" s="93" customFormat="1" ht="9" customHeight="1" x14ac:dyDescent="0.3">
      <c r="A588" s="91"/>
      <c r="B588" s="70"/>
      <c r="C588" s="70"/>
      <c r="D588" s="70"/>
      <c r="E588" s="70"/>
      <c r="F588" s="70"/>
      <c r="G588" s="70"/>
      <c r="H588" s="131"/>
      <c r="I588" s="3"/>
    </row>
    <row r="589" spans="1:9" s="93" customFormat="1" ht="9" customHeight="1" x14ac:dyDescent="0.3">
      <c r="A589" s="91"/>
      <c r="B589" s="70"/>
      <c r="C589" s="70"/>
      <c r="D589" s="70"/>
      <c r="E589" s="70"/>
      <c r="F589" s="70"/>
      <c r="G589" s="70"/>
      <c r="H589" s="131"/>
      <c r="I589" s="3"/>
    </row>
    <row r="590" spans="1:9" s="93" customFormat="1" ht="9" customHeight="1" x14ac:dyDescent="0.3">
      <c r="A590" s="91"/>
      <c r="B590" s="70"/>
      <c r="C590" s="70"/>
      <c r="D590" s="70"/>
      <c r="E590" s="70"/>
      <c r="F590" s="70"/>
      <c r="G590" s="70"/>
      <c r="H590" s="131"/>
      <c r="I590" s="3"/>
    </row>
    <row r="591" spans="1:9" s="93" customFormat="1" ht="9" customHeight="1" x14ac:dyDescent="0.3">
      <c r="A591" s="91"/>
      <c r="B591" s="70"/>
      <c r="C591" s="70"/>
      <c r="D591" s="70"/>
      <c r="E591" s="70"/>
      <c r="F591" s="70"/>
      <c r="G591" s="70"/>
      <c r="H591" s="131"/>
      <c r="I591" s="3"/>
    </row>
    <row r="592" spans="1:9" s="93" customFormat="1" ht="9" customHeight="1" x14ac:dyDescent="0.3">
      <c r="A592" s="91"/>
      <c r="B592" s="70"/>
      <c r="C592" s="70"/>
      <c r="D592" s="70"/>
      <c r="E592" s="70"/>
      <c r="F592" s="70"/>
      <c r="G592" s="70"/>
      <c r="H592" s="131"/>
      <c r="I592" s="3"/>
    </row>
    <row r="593" spans="1:9" s="93" customFormat="1" ht="9" customHeight="1" x14ac:dyDescent="0.3">
      <c r="A593" s="91"/>
      <c r="B593" s="70"/>
      <c r="C593" s="70"/>
      <c r="D593" s="70"/>
      <c r="E593" s="70"/>
      <c r="F593" s="70"/>
      <c r="G593" s="70"/>
      <c r="H593" s="131"/>
      <c r="I593" s="3"/>
    </row>
    <row r="594" spans="1:9" s="93" customFormat="1" ht="9" customHeight="1" x14ac:dyDescent="0.3">
      <c r="A594" s="91"/>
      <c r="B594" s="70"/>
      <c r="C594" s="70"/>
      <c r="D594" s="70"/>
      <c r="E594" s="70"/>
      <c r="F594" s="70"/>
      <c r="G594" s="70"/>
      <c r="H594" s="131"/>
      <c r="I594" s="3"/>
    </row>
    <row r="595" spans="1:9" s="93" customFormat="1" ht="9" customHeight="1" x14ac:dyDescent="0.3">
      <c r="A595" s="91"/>
      <c r="B595" s="70"/>
      <c r="C595" s="70"/>
      <c r="D595" s="70"/>
      <c r="E595" s="70"/>
      <c r="F595" s="70"/>
      <c r="G595" s="70"/>
      <c r="H595" s="131"/>
      <c r="I595" s="3"/>
    </row>
    <row r="596" spans="1:9" s="93" customFormat="1" ht="9" customHeight="1" x14ac:dyDescent="0.3">
      <c r="A596" s="91"/>
      <c r="B596" s="70"/>
      <c r="C596" s="70"/>
      <c r="D596" s="70"/>
      <c r="E596" s="70"/>
      <c r="F596" s="70"/>
      <c r="G596" s="70"/>
      <c r="H596" s="131"/>
      <c r="I596" s="3"/>
    </row>
    <row r="597" spans="1:9" s="93" customFormat="1" ht="9" customHeight="1" x14ac:dyDescent="0.3">
      <c r="A597" s="91"/>
      <c r="B597" s="70"/>
      <c r="C597" s="70"/>
      <c r="D597" s="70"/>
      <c r="E597" s="70"/>
      <c r="F597" s="70"/>
      <c r="G597" s="70"/>
      <c r="H597" s="131"/>
      <c r="I597" s="3"/>
    </row>
    <row r="598" spans="1:9" s="93" customFormat="1" ht="9" customHeight="1" x14ac:dyDescent="0.3">
      <c r="A598" s="91"/>
      <c r="B598" s="70"/>
      <c r="C598" s="70"/>
      <c r="D598" s="70"/>
      <c r="E598" s="70"/>
      <c r="F598" s="70"/>
      <c r="G598" s="70"/>
      <c r="H598" s="131"/>
      <c r="I598" s="3"/>
    </row>
    <row r="599" spans="1:9" s="93" customFormat="1" ht="9" customHeight="1" x14ac:dyDescent="0.3">
      <c r="A599" s="91"/>
      <c r="B599" s="70"/>
      <c r="C599" s="70"/>
      <c r="D599" s="70"/>
      <c r="E599" s="70"/>
      <c r="F599" s="70"/>
      <c r="G599" s="70"/>
      <c r="H599" s="131"/>
      <c r="I599" s="3"/>
    </row>
    <row r="600" spans="1:9" s="93" customFormat="1" ht="9" customHeight="1" x14ac:dyDescent="0.3">
      <c r="A600" s="91"/>
      <c r="B600" s="70"/>
      <c r="C600" s="70"/>
      <c r="D600" s="70"/>
      <c r="E600" s="70"/>
      <c r="F600" s="70"/>
      <c r="G600" s="70"/>
      <c r="H600" s="131"/>
      <c r="I600" s="3"/>
    </row>
    <row r="601" spans="1:9" s="93" customFormat="1" ht="9" customHeight="1" x14ac:dyDescent="0.3">
      <c r="A601" s="91"/>
      <c r="B601" s="70"/>
      <c r="C601" s="70"/>
      <c r="D601" s="70"/>
      <c r="E601" s="70"/>
      <c r="F601" s="70"/>
      <c r="G601" s="70"/>
      <c r="H601" s="131"/>
      <c r="I601" s="3"/>
    </row>
    <row r="602" spans="1:9" s="93" customFormat="1" ht="9" customHeight="1" x14ac:dyDescent="0.3">
      <c r="A602" s="91"/>
      <c r="B602" s="70"/>
      <c r="C602" s="70"/>
      <c r="D602" s="70"/>
      <c r="E602" s="70"/>
      <c r="F602" s="70"/>
      <c r="G602" s="70"/>
      <c r="H602" s="131"/>
      <c r="I602" s="3"/>
    </row>
    <row r="603" spans="1:9" s="93" customFormat="1" ht="9" customHeight="1" x14ac:dyDescent="0.3">
      <c r="A603" s="91"/>
      <c r="B603" s="70"/>
      <c r="C603" s="70"/>
      <c r="D603" s="70"/>
      <c r="E603" s="70"/>
      <c r="F603" s="70"/>
      <c r="G603" s="70"/>
      <c r="H603" s="131"/>
      <c r="I603" s="3"/>
    </row>
    <row r="604" spans="1:9" s="93" customFormat="1" ht="9" customHeight="1" x14ac:dyDescent="0.3">
      <c r="A604" s="91"/>
      <c r="B604" s="70"/>
      <c r="C604" s="70"/>
      <c r="D604" s="70"/>
      <c r="E604" s="70"/>
      <c r="F604" s="70"/>
      <c r="G604" s="70"/>
      <c r="H604" s="131"/>
      <c r="I604" s="3"/>
    </row>
    <row r="605" spans="1:9" s="93" customFormat="1" ht="9" customHeight="1" x14ac:dyDescent="0.3">
      <c r="A605" s="91"/>
      <c r="B605" s="70"/>
      <c r="C605" s="70"/>
      <c r="D605" s="70"/>
      <c r="E605" s="70"/>
      <c r="F605" s="70"/>
      <c r="G605" s="70"/>
      <c r="H605" s="131"/>
      <c r="I605" s="3"/>
    </row>
    <row r="606" spans="1:9" s="93" customFormat="1" ht="9" customHeight="1" x14ac:dyDescent="0.3">
      <c r="A606" s="91"/>
      <c r="B606" s="70"/>
      <c r="C606" s="70"/>
      <c r="D606" s="70"/>
      <c r="E606" s="70"/>
      <c r="F606" s="70"/>
      <c r="G606" s="70"/>
      <c r="H606" s="131"/>
      <c r="I606" s="3"/>
    </row>
    <row r="607" spans="1:9" s="93" customFormat="1" ht="9" customHeight="1" x14ac:dyDescent="0.3">
      <c r="A607" s="91"/>
      <c r="B607" s="70"/>
      <c r="C607" s="70"/>
      <c r="D607" s="70"/>
      <c r="E607" s="70"/>
      <c r="F607" s="70"/>
      <c r="G607" s="70"/>
      <c r="H607" s="131"/>
      <c r="I607" s="3"/>
    </row>
    <row r="608" spans="1:9" s="93" customFormat="1" ht="9" customHeight="1" x14ac:dyDescent="0.3">
      <c r="A608" s="91"/>
      <c r="B608" s="70"/>
      <c r="C608" s="70"/>
      <c r="D608" s="70"/>
      <c r="E608" s="70"/>
      <c r="F608" s="70"/>
      <c r="G608" s="70"/>
      <c r="H608" s="131"/>
      <c r="I608" s="3"/>
    </row>
    <row r="609" spans="1:9" s="93" customFormat="1" ht="9" customHeight="1" x14ac:dyDescent="0.3">
      <c r="A609" s="91"/>
      <c r="B609" s="70"/>
      <c r="C609" s="70"/>
      <c r="D609" s="70"/>
      <c r="E609" s="70"/>
      <c r="F609" s="70"/>
      <c r="G609" s="70"/>
      <c r="H609" s="131"/>
      <c r="I609" s="3"/>
    </row>
    <row r="610" spans="1:9" s="93" customFormat="1" ht="9" customHeight="1" x14ac:dyDescent="0.3">
      <c r="A610" s="91"/>
      <c r="B610" s="70"/>
      <c r="C610" s="70"/>
      <c r="D610" s="70"/>
      <c r="E610" s="70"/>
      <c r="F610" s="70"/>
      <c r="G610" s="70"/>
      <c r="H610" s="131"/>
      <c r="I610" s="3"/>
    </row>
    <row r="611" spans="1:9" s="93" customFormat="1" ht="9" customHeight="1" x14ac:dyDescent="0.3">
      <c r="A611" s="91"/>
      <c r="B611" s="70"/>
      <c r="C611" s="70"/>
      <c r="D611" s="70"/>
      <c r="E611" s="70"/>
      <c r="F611" s="70"/>
      <c r="G611" s="70"/>
      <c r="H611" s="131"/>
      <c r="I611" s="3"/>
    </row>
    <row r="612" spans="1:9" s="93" customFormat="1" ht="9" customHeight="1" x14ac:dyDescent="0.3">
      <c r="A612" s="91"/>
      <c r="B612" s="70"/>
      <c r="C612" s="70"/>
      <c r="D612" s="70"/>
      <c r="E612" s="70"/>
      <c r="F612" s="70"/>
      <c r="G612" s="70"/>
      <c r="H612" s="131"/>
      <c r="I612" s="3"/>
    </row>
    <row r="613" spans="1:9" s="93" customFormat="1" ht="9" customHeight="1" x14ac:dyDescent="0.3">
      <c r="A613" s="91"/>
      <c r="B613" s="70"/>
      <c r="C613" s="70"/>
      <c r="D613" s="70"/>
      <c r="E613" s="70"/>
      <c r="F613" s="70"/>
      <c r="G613" s="70"/>
      <c r="H613" s="131"/>
      <c r="I613" s="3"/>
    </row>
    <row r="614" spans="1:9" s="93" customFormat="1" ht="9" customHeight="1" x14ac:dyDescent="0.3">
      <c r="A614" s="91"/>
      <c r="B614" s="70"/>
      <c r="C614" s="70"/>
      <c r="D614" s="70"/>
      <c r="E614" s="70"/>
      <c r="F614" s="70"/>
      <c r="G614" s="70"/>
      <c r="H614" s="131"/>
      <c r="I614" s="3"/>
    </row>
    <row r="615" spans="1:9" s="93" customFormat="1" ht="9" customHeight="1" x14ac:dyDescent="0.3">
      <c r="A615" s="91"/>
      <c r="B615" s="70"/>
      <c r="C615" s="70"/>
      <c r="D615" s="70"/>
      <c r="E615" s="70"/>
      <c r="F615" s="70"/>
      <c r="G615" s="70"/>
      <c r="H615" s="131"/>
      <c r="I615" s="3"/>
    </row>
    <row r="616" spans="1:9" s="93" customFormat="1" ht="9" customHeight="1" x14ac:dyDescent="0.3">
      <c r="A616" s="91"/>
      <c r="B616" s="70"/>
      <c r="C616" s="70"/>
      <c r="D616" s="70"/>
      <c r="E616" s="70"/>
      <c r="F616" s="70"/>
      <c r="G616" s="70"/>
      <c r="H616" s="131"/>
      <c r="I616" s="3"/>
    </row>
    <row r="617" spans="1:9" s="93" customFormat="1" ht="9" customHeight="1" x14ac:dyDescent="0.3">
      <c r="A617" s="91"/>
      <c r="B617" s="70"/>
      <c r="C617" s="70"/>
      <c r="D617" s="70"/>
      <c r="E617" s="70"/>
      <c r="F617" s="70"/>
      <c r="G617" s="70"/>
      <c r="H617" s="131"/>
      <c r="I617" s="3"/>
    </row>
    <row r="618" spans="1:9" s="93" customFormat="1" ht="9" customHeight="1" x14ac:dyDescent="0.3">
      <c r="A618" s="91"/>
      <c r="B618" s="70"/>
      <c r="C618" s="70"/>
      <c r="D618" s="70"/>
      <c r="E618" s="70"/>
      <c r="F618" s="70"/>
      <c r="G618" s="70"/>
      <c r="H618" s="131"/>
      <c r="I618" s="3"/>
    </row>
    <row r="619" spans="1:9" s="93" customFormat="1" ht="9" customHeight="1" x14ac:dyDescent="0.3">
      <c r="A619" s="91"/>
      <c r="B619" s="70"/>
      <c r="C619" s="70"/>
      <c r="D619" s="70"/>
      <c r="E619" s="70"/>
      <c r="F619" s="70"/>
      <c r="G619" s="70"/>
      <c r="H619" s="131"/>
      <c r="I619" s="3"/>
    </row>
    <row r="620" spans="1:9" s="93" customFormat="1" ht="9" customHeight="1" x14ac:dyDescent="0.3">
      <c r="A620" s="91"/>
      <c r="B620" s="70"/>
      <c r="C620" s="70"/>
      <c r="D620" s="70"/>
      <c r="E620" s="70"/>
      <c r="F620" s="70"/>
      <c r="G620" s="70"/>
      <c r="H620" s="131"/>
      <c r="I620" s="3"/>
    </row>
    <row r="621" spans="1:9" s="93" customFormat="1" ht="9" customHeight="1" x14ac:dyDescent="0.3">
      <c r="A621" s="91"/>
      <c r="B621" s="70"/>
      <c r="C621" s="70"/>
      <c r="D621" s="70"/>
      <c r="E621" s="70"/>
      <c r="F621" s="70"/>
      <c r="G621" s="70"/>
      <c r="H621" s="131"/>
      <c r="I621" s="3"/>
    </row>
    <row r="622" spans="1:9" s="93" customFormat="1" ht="9" customHeight="1" x14ac:dyDescent="0.3">
      <c r="A622" s="91"/>
      <c r="B622" s="70"/>
      <c r="C622" s="70"/>
      <c r="D622" s="70"/>
      <c r="E622" s="70"/>
      <c r="F622" s="70"/>
      <c r="G622" s="70"/>
      <c r="H622" s="131"/>
      <c r="I622" s="3"/>
    </row>
    <row r="623" spans="1:9" s="93" customFormat="1" ht="9" customHeight="1" x14ac:dyDescent="0.3">
      <c r="A623" s="91"/>
      <c r="B623" s="70"/>
      <c r="C623" s="70"/>
      <c r="D623" s="70"/>
      <c r="E623" s="70"/>
      <c r="F623" s="70"/>
      <c r="G623" s="70"/>
      <c r="H623" s="131"/>
      <c r="I623" s="3"/>
    </row>
    <row r="624" spans="1:9" s="93" customFormat="1" ht="9" customHeight="1" x14ac:dyDescent="0.3">
      <c r="A624" s="91"/>
      <c r="B624" s="70"/>
      <c r="C624" s="70"/>
      <c r="D624" s="70"/>
      <c r="E624" s="70"/>
      <c r="F624" s="70"/>
      <c r="G624" s="70"/>
      <c r="H624" s="131"/>
      <c r="I624" s="3"/>
    </row>
    <row r="625" spans="1:9" s="93" customFormat="1" ht="9" customHeight="1" x14ac:dyDescent="0.3">
      <c r="A625" s="91"/>
      <c r="B625" s="70"/>
      <c r="C625" s="70"/>
      <c r="D625" s="70"/>
      <c r="E625" s="70"/>
      <c r="F625" s="70"/>
      <c r="G625" s="70"/>
      <c r="H625" s="131"/>
      <c r="I625" s="3"/>
    </row>
    <row r="626" spans="1:9" s="93" customFormat="1" ht="9" customHeight="1" x14ac:dyDescent="0.3">
      <c r="A626" s="91"/>
      <c r="B626" s="70"/>
      <c r="C626" s="70"/>
      <c r="D626" s="70"/>
      <c r="E626" s="70"/>
      <c r="F626" s="70"/>
      <c r="G626" s="70"/>
      <c r="H626" s="131"/>
      <c r="I626" s="3"/>
    </row>
    <row r="627" spans="1:9" s="93" customFormat="1" ht="9" customHeight="1" x14ac:dyDescent="0.3">
      <c r="A627" s="91"/>
      <c r="B627" s="70"/>
      <c r="C627" s="70"/>
      <c r="D627" s="70"/>
      <c r="E627" s="70"/>
      <c r="F627" s="70"/>
      <c r="G627" s="70"/>
      <c r="H627" s="131"/>
      <c r="I627" s="3"/>
    </row>
    <row r="628" spans="1:9" s="93" customFormat="1" ht="9" customHeight="1" x14ac:dyDescent="0.3">
      <c r="A628" s="91"/>
      <c r="B628" s="70"/>
      <c r="C628" s="70"/>
      <c r="D628" s="70"/>
      <c r="E628" s="70"/>
      <c r="F628" s="70"/>
      <c r="G628" s="70"/>
      <c r="H628" s="131"/>
      <c r="I628" s="3"/>
    </row>
    <row r="629" spans="1:9" s="93" customFormat="1" ht="9" customHeight="1" x14ac:dyDescent="0.3">
      <c r="A629" s="91"/>
      <c r="B629" s="70"/>
      <c r="C629" s="70"/>
      <c r="D629" s="70"/>
      <c r="E629" s="70"/>
      <c r="F629" s="70"/>
      <c r="G629" s="70"/>
      <c r="H629" s="131"/>
      <c r="I629" s="3"/>
    </row>
    <row r="630" spans="1:9" s="93" customFormat="1" ht="9" customHeight="1" x14ac:dyDescent="0.3">
      <c r="A630" s="91"/>
      <c r="B630" s="70"/>
      <c r="C630" s="70"/>
      <c r="D630" s="70"/>
      <c r="E630" s="70"/>
      <c r="F630" s="70"/>
      <c r="G630" s="70"/>
      <c r="H630" s="131"/>
      <c r="I630" s="3"/>
    </row>
    <row r="631" spans="1:9" s="93" customFormat="1" ht="9" customHeight="1" x14ac:dyDescent="0.3">
      <c r="A631" s="91"/>
      <c r="B631" s="70"/>
      <c r="C631" s="70"/>
      <c r="D631" s="70"/>
      <c r="E631" s="70"/>
      <c r="F631" s="70"/>
      <c r="G631" s="70"/>
      <c r="H631" s="131"/>
      <c r="I631" s="3"/>
    </row>
    <row r="632" spans="1:9" s="93" customFormat="1" ht="9" customHeight="1" x14ac:dyDescent="0.3">
      <c r="A632" s="91"/>
      <c r="B632" s="70"/>
      <c r="C632" s="70"/>
      <c r="D632" s="70"/>
      <c r="E632" s="70"/>
      <c r="F632" s="70"/>
      <c r="G632" s="70"/>
      <c r="H632" s="131"/>
      <c r="I632" s="3"/>
    </row>
    <row r="633" spans="1:9" s="93" customFormat="1" ht="9" customHeight="1" x14ac:dyDescent="0.3">
      <c r="A633" s="91"/>
      <c r="B633" s="70"/>
      <c r="C633" s="70"/>
      <c r="D633" s="70"/>
      <c r="E633" s="70"/>
      <c r="F633" s="70"/>
      <c r="G633" s="70"/>
      <c r="H633" s="131"/>
      <c r="I633" s="3"/>
    </row>
    <row r="634" spans="1:9" s="93" customFormat="1" ht="9" customHeight="1" x14ac:dyDescent="0.3">
      <c r="A634" s="91"/>
      <c r="B634" s="70"/>
      <c r="C634" s="70"/>
      <c r="D634" s="70"/>
      <c r="E634" s="70"/>
      <c r="F634" s="70"/>
      <c r="G634" s="70"/>
      <c r="H634" s="131"/>
      <c r="I634" s="3"/>
    </row>
    <row r="635" spans="1:9" s="93" customFormat="1" ht="9" customHeight="1" x14ac:dyDescent="0.3">
      <c r="A635" s="91"/>
      <c r="B635" s="70"/>
      <c r="C635" s="70"/>
      <c r="D635" s="70"/>
      <c r="E635" s="70"/>
      <c r="F635" s="70"/>
      <c r="G635" s="70"/>
      <c r="H635" s="131"/>
      <c r="I635" s="3"/>
    </row>
    <row r="636" spans="1:9" s="93" customFormat="1" ht="9" customHeight="1" x14ac:dyDescent="0.3">
      <c r="A636" s="91"/>
      <c r="B636" s="70"/>
      <c r="C636" s="70"/>
      <c r="D636" s="70"/>
      <c r="E636" s="70"/>
      <c r="F636" s="70"/>
      <c r="G636" s="70"/>
      <c r="H636" s="131"/>
      <c r="I636" s="3"/>
    </row>
    <row r="637" spans="1:9" s="93" customFormat="1" ht="9" customHeight="1" x14ac:dyDescent="0.3">
      <c r="A637" s="91"/>
      <c r="B637" s="70"/>
      <c r="C637" s="70"/>
      <c r="D637" s="70"/>
      <c r="E637" s="70"/>
      <c r="F637" s="70"/>
      <c r="G637" s="70"/>
      <c r="H637" s="131"/>
      <c r="I637" s="3"/>
    </row>
    <row r="638" spans="1:9" s="93" customFormat="1" ht="9" customHeight="1" x14ac:dyDescent="0.3">
      <c r="A638" s="91"/>
      <c r="B638" s="70"/>
      <c r="C638" s="70"/>
      <c r="D638" s="70"/>
      <c r="E638" s="70"/>
      <c r="F638" s="70"/>
      <c r="G638" s="70"/>
      <c r="H638" s="131"/>
      <c r="I638" s="3"/>
    </row>
    <row r="639" spans="1:9" s="93" customFormat="1" ht="9" customHeight="1" x14ac:dyDescent="0.3">
      <c r="A639" s="91"/>
      <c r="B639" s="70"/>
      <c r="C639" s="70"/>
      <c r="D639" s="70"/>
      <c r="E639" s="70"/>
      <c r="F639" s="70"/>
      <c r="G639" s="70"/>
      <c r="H639" s="131"/>
      <c r="I639" s="3"/>
    </row>
    <row r="640" spans="1:9" s="93" customFormat="1" ht="9" customHeight="1" x14ac:dyDescent="0.3">
      <c r="A640" s="91"/>
      <c r="B640" s="70"/>
      <c r="C640" s="70"/>
      <c r="D640" s="70"/>
      <c r="E640" s="70"/>
      <c r="F640" s="70"/>
      <c r="G640" s="70"/>
      <c r="H640" s="131"/>
      <c r="I640" s="3"/>
    </row>
    <row r="641" spans="1:9" s="93" customFormat="1" ht="9" customHeight="1" x14ac:dyDescent="0.3">
      <c r="A641" s="91"/>
      <c r="B641" s="70"/>
      <c r="C641" s="70"/>
      <c r="D641" s="70"/>
      <c r="E641" s="70"/>
      <c r="F641" s="70"/>
      <c r="G641" s="70"/>
      <c r="H641" s="131"/>
      <c r="I641" s="3"/>
    </row>
    <row r="642" spans="1:9" s="93" customFormat="1" ht="9" customHeight="1" x14ac:dyDescent="0.3">
      <c r="A642" s="91"/>
      <c r="B642" s="70"/>
      <c r="C642" s="70"/>
      <c r="D642" s="70"/>
      <c r="E642" s="70"/>
      <c r="F642" s="70"/>
      <c r="G642" s="70"/>
      <c r="H642" s="131"/>
      <c r="I642" s="3"/>
    </row>
    <row r="643" spans="1:9" s="93" customFormat="1" ht="9" customHeight="1" x14ac:dyDescent="0.3">
      <c r="A643" s="91"/>
      <c r="B643" s="70"/>
      <c r="C643" s="70"/>
      <c r="D643" s="70"/>
      <c r="E643" s="70"/>
      <c r="F643" s="70"/>
      <c r="G643" s="70"/>
      <c r="H643" s="131"/>
      <c r="I643" s="3"/>
    </row>
    <row r="644" spans="1:9" s="93" customFormat="1" ht="9" customHeight="1" x14ac:dyDescent="0.3">
      <c r="A644" s="91"/>
      <c r="B644" s="70"/>
      <c r="C644" s="70"/>
      <c r="D644" s="70"/>
      <c r="E644" s="70"/>
      <c r="F644" s="70"/>
      <c r="G644" s="70"/>
      <c r="H644" s="131"/>
      <c r="I644" s="3"/>
    </row>
    <row r="645" spans="1:9" s="93" customFormat="1" ht="9" customHeight="1" x14ac:dyDescent="0.3">
      <c r="A645" s="91"/>
      <c r="B645" s="70"/>
      <c r="C645" s="70"/>
      <c r="D645" s="70"/>
      <c r="E645" s="70"/>
      <c r="F645" s="70"/>
      <c r="G645" s="70"/>
      <c r="H645" s="131"/>
      <c r="I645" s="3"/>
    </row>
    <row r="646" spans="1:9" s="93" customFormat="1" ht="9" customHeight="1" x14ac:dyDescent="0.3">
      <c r="A646" s="91"/>
      <c r="B646" s="70"/>
      <c r="C646" s="70"/>
      <c r="D646" s="70"/>
      <c r="E646" s="70"/>
      <c r="F646" s="70"/>
      <c r="G646" s="70"/>
      <c r="H646" s="131"/>
      <c r="I646" s="3"/>
    </row>
    <row r="647" spans="1:9" s="93" customFormat="1" ht="9" customHeight="1" x14ac:dyDescent="0.3">
      <c r="A647" s="91"/>
      <c r="B647" s="70"/>
      <c r="C647" s="70"/>
      <c r="D647" s="70"/>
      <c r="E647" s="70"/>
      <c r="F647" s="70"/>
      <c r="G647" s="70"/>
      <c r="H647" s="131"/>
      <c r="I647" s="3"/>
    </row>
    <row r="648" spans="1:9" s="93" customFormat="1" ht="9" customHeight="1" x14ac:dyDescent="0.3">
      <c r="A648" s="91"/>
      <c r="B648" s="70"/>
      <c r="C648" s="70"/>
      <c r="D648" s="70"/>
      <c r="E648" s="70"/>
      <c r="F648" s="70"/>
      <c r="G648" s="70"/>
      <c r="H648" s="131"/>
      <c r="I648" s="3"/>
    </row>
    <row r="649" spans="1:9" s="93" customFormat="1" ht="9" customHeight="1" x14ac:dyDescent="0.3">
      <c r="A649" s="91"/>
      <c r="B649" s="70"/>
      <c r="C649" s="70"/>
      <c r="D649" s="70"/>
      <c r="E649" s="70"/>
      <c r="F649" s="70"/>
      <c r="G649" s="70"/>
      <c r="H649" s="131"/>
      <c r="I649" s="3"/>
    </row>
    <row r="650" spans="1:9" s="93" customFormat="1" ht="9" customHeight="1" x14ac:dyDescent="0.3">
      <c r="A650" s="91"/>
      <c r="B650" s="70"/>
      <c r="C650" s="70"/>
      <c r="D650" s="70"/>
      <c r="E650" s="70"/>
      <c r="F650" s="70"/>
      <c r="G650" s="70"/>
      <c r="H650" s="131"/>
      <c r="I650" s="3"/>
    </row>
    <row r="651" spans="1:9" s="93" customFormat="1" ht="9" customHeight="1" x14ac:dyDescent="0.3">
      <c r="A651" s="91"/>
      <c r="B651" s="70"/>
      <c r="C651" s="70"/>
      <c r="D651" s="70"/>
      <c r="E651" s="70"/>
      <c r="F651" s="70"/>
      <c r="G651" s="70"/>
      <c r="H651" s="131"/>
      <c r="I651" s="3"/>
    </row>
    <row r="652" spans="1:9" s="93" customFormat="1" ht="9" customHeight="1" x14ac:dyDescent="0.3">
      <c r="A652" s="91"/>
      <c r="B652" s="70"/>
      <c r="C652" s="70"/>
      <c r="D652" s="70"/>
      <c r="E652" s="70"/>
      <c r="F652" s="70"/>
      <c r="G652" s="70"/>
      <c r="H652" s="131"/>
      <c r="I652" s="3"/>
    </row>
    <row r="653" spans="1:9" s="93" customFormat="1" ht="9" customHeight="1" x14ac:dyDescent="0.3">
      <c r="A653" s="91"/>
      <c r="B653" s="70"/>
      <c r="C653" s="70"/>
      <c r="D653" s="70"/>
      <c r="E653" s="70"/>
      <c r="F653" s="70"/>
      <c r="G653" s="70"/>
      <c r="H653" s="131"/>
      <c r="I653" s="3"/>
    </row>
    <row r="654" spans="1:9" s="93" customFormat="1" ht="9" customHeight="1" x14ac:dyDescent="0.3">
      <c r="A654" s="91"/>
      <c r="B654" s="70"/>
      <c r="C654" s="70"/>
      <c r="D654" s="70"/>
      <c r="E654" s="70"/>
      <c r="F654" s="70"/>
      <c r="G654" s="70"/>
      <c r="H654" s="131"/>
      <c r="I654" s="3"/>
    </row>
    <row r="655" spans="1:9" s="93" customFormat="1" ht="9" customHeight="1" x14ac:dyDescent="0.3">
      <c r="A655" s="91"/>
      <c r="B655" s="70"/>
      <c r="C655" s="70"/>
      <c r="D655" s="70"/>
      <c r="E655" s="70"/>
      <c r="F655" s="70"/>
      <c r="G655" s="70"/>
      <c r="H655" s="131"/>
      <c r="I655" s="3"/>
    </row>
    <row r="656" spans="1:9" s="93" customFormat="1" ht="9" customHeight="1" x14ac:dyDescent="0.3">
      <c r="A656" s="91"/>
      <c r="B656" s="70"/>
      <c r="C656" s="70"/>
      <c r="D656" s="70"/>
      <c r="E656" s="70"/>
      <c r="F656" s="70"/>
      <c r="G656" s="70"/>
      <c r="H656" s="131"/>
      <c r="I656" s="3"/>
    </row>
    <row r="657" spans="1:9" s="93" customFormat="1" ht="9" customHeight="1" x14ac:dyDescent="0.3">
      <c r="A657" s="91"/>
      <c r="B657" s="70"/>
      <c r="C657" s="70"/>
      <c r="D657" s="70"/>
      <c r="E657" s="70"/>
      <c r="F657" s="70"/>
      <c r="G657" s="70"/>
      <c r="H657" s="131"/>
      <c r="I657" s="3"/>
    </row>
    <row r="658" spans="1:9" s="93" customFormat="1" ht="9" customHeight="1" x14ac:dyDescent="0.3">
      <c r="A658" s="91"/>
      <c r="B658" s="70"/>
      <c r="C658" s="70"/>
      <c r="D658" s="70"/>
      <c r="E658" s="70"/>
      <c r="F658" s="70"/>
      <c r="G658" s="70"/>
      <c r="H658" s="131"/>
      <c r="I658" s="3"/>
    </row>
    <row r="659" spans="1:9" s="93" customFormat="1" ht="9" customHeight="1" x14ac:dyDescent="0.3">
      <c r="A659" s="91"/>
      <c r="B659" s="70"/>
      <c r="C659" s="70"/>
      <c r="D659" s="70"/>
      <c r="E659" s="70"/>
      <c r="F659" s="70"/>
      <c r="G659" s="70"/>
      <c r="H659" s="131"/>
      <c r="I659" s="3"/>
    </row>
    <row r="660" spans="1:9" s="93" customFormat="1" ht="9" customHeight="1" x14ac:dyDescent="0.3">
      <c r="A660" s="91"/>
      <c r="B660" s="70"/>
      <c r="C660" s="70"/>
      <c r="D660" s="70"/>
      <c r="E660" s="70"/>
      <c r="F660" s="70"/>
      <c r="G660" s="70"/>
      <c r="H660" s="131"/>
      <c r="I660" s="3"/>
    </row>
    <row r="661" spans="1:9" s="93" customFormat="1" ht="9" customHeight="1" x14ac:dyDescent="0.3">
      <c r="A661" s="91"/>
      <c r="B661" s="70"/>
      <c r="C661" s="70"/>
      <c r="D661" s="70"/>
      <c r="E661" s="70"/>
      <c r="F661" s="70"/>
      <c r="G661" s="70"/>
      <c r="H661" s="131"/>
      <c r="I661" s="3"/>
    </row>
    <row r="662" spans="1:9" s="93" customFormat="1" ht="9" customHeight="1" x14ac:dyDescent="0.3">
      <c r="A662" s="91"/>
      <c r="B662" s="70"/>
      <c r="C662" s="70"/>
      <c r="D662" s="70"/>
      <c r="E662" s="70"/>
      <c r="F662" s="70"/>
      <c r="G662" s="70"/>
      <c r="H662" s="131"/>
      <c r="I662" s="3"/>
    </row>
    <row r="663" spans="1:9" s="93" customFormat="1" ht="9" customHeight="1" x14ac:dyDescent="0.3">
      <c r="A663" s="91"/>
      <c r="B663" s="70"/>
      <c r="C663" s="70"/>
      <c r="D663" s="70"/>
      <c r="E663" s="70"/>
      <c r="F663" s="70"/>
      <c r="G663" s="70"/>
      <c r="H663" s="131"/>
      <c r="I663" s="3"/>
    </row>
    <row r="664" spans="1:9" s="93" customFormat="1" ht="9" customHeight="1" x14ac:dyDescent="0.3">
      <c r="A664" s="91"/>
      <c r="B664" s="70"/>
      <c r="C664" s="70"/>
      <c r="D664" s="70"/>
      <c r="E664" s="70"/>
      <c r="F664" s="70"/>
      <c r="G664" s="70"/>
      <c r="H664" s="131"/>
      <c r="I664" s="3"/>
    </row>
    <row r="665" spans="1:9" s="93" customFormat="1" ht="9" customHeight="1" x14ac:dyDescent="0.3">
      <c r="A665" s="91"/>
      <c r="B665" s="70"/>
      <c r="C665" s="70"/>
      <c r="D665" s="70"/>
      <c r="E665" s="70"/>
      <c r="F665" s="70"/>
      <c r="G665" s="70"/>
      <c r="H665" s="131"/>
      <c r="I665" s="3"/>
    </row>
    <row r="666" spans="1:9" s="93" customFormat="1" ht="9" customHeight="1" x14ac:dyDescent="0.3">
      <c r="A666" s="91"/>
      <c r="B666" s="70"/>
      <c r="C666" s="70"/>
      <c r="D666" s="70"/>
      <c r="E666" s="70"/>
      <c r="F666" s="70"/>
      <c r="G666" s="70"/>
      <c r="H666" s="131"/>
      <c r="I666" s="3"/>
    </row>
    <row r="667" spans="1:9" s="93" customFormat="1" ht="9" customHeight="1" x14ac:dyDescent="0.3">
      <c r="A667" s="91"/>
      <c r="B667" s="70"/>
      <c r="C667" s="70"/>
      <c r="D667" s="70"/>
      <c r="E667" s="70"/>
      <c r="F667" s="70"/>
      <c r="G667" s="70"/>
      <c r="H667" s="131"/>
      <c r="I667" s="3"/>
    </row>
    <row r="668" spans="1:9" s="93" customFormat="1" ht="9" customHeight="1" x14ac:dyDescent="0.3">
      <c r="A668" s="91"/>
      <c r="B668" s="70"/>
      <c r="C668" s="70"/>
      <c r="D668" s="70"/>
      <c r="E668" s="70"/>
      <c r="F668" s="70"/>
      <c r="G668" s="70"/>
      <c r="H668" s="131"/>
      <c r="I668" s="3"/>
    </row>
    <row r="669" spans="1:9" s="93" customFormat="1" ht="9" customHeight="1" x14ac:dyDescent="0.3">
      <c r="A669" s="91"/>
      <c r="B669" s="70"/>
      <c r="C669" s="70"/>
      <c r="D669" s="70"/>
      <c r="E669" s="70"/>
      <c r="F669" s="70"/>
      <c r="G669" s="70"/>
      <c r="H669" s="131"/>
      <c r="I669" s="3"/>
    </row>
    <row r="670" spans="1:9" s="93" customFormat="1" ht="9" customHeight="1" x14ac:dyDescent="0.3">
      <c r="A670" s="91"/>
      <c r="B670" s="70"/>
      <c r="C670" s="70"/>
      <c r="D670" s="70"/>
      <c r="E670" s="70"/>
      <c r="F670" s="70"/>
      <c r="G670" s="70"/>
      <c r="H670" s="131"/>
      <c r="I670" s="3"/>
    </row>
    <row r="671" spans="1:9" s="93" customFormat="1" ht="9" customHeight="1" x14ac:dyDescent="0.3">
      <c r="A671" s="91"/>
      <c r="B671" s="70"/>
      <c r="C671" s="70"/>
      <c r="D671" s="70"/>
      <c r="E671" s="70"/>
      <c r="F671" s="70"/>
      <c r="G671" s="70"/>
      <c r="H671" s="131"/>
      <c r="I671" s="3"/>
    </row>
    <row r="672" spans="1:9" s="93" customFormat="1" ht="9" customHeight="1" x14ac:dyDescent="0.3">
      <c r="A672" s="91"/>
      <c r="B672" s="70"/>
      <c r="C672" s="70"/>
      <c r="D672" s="70"/>
      <c r="E672" s="70"/>
      <c r="F672" s="70"/>
      <c r="G672" s="70"/>
      <c r="H672" s="131"/>
      <c r="I672" s="3"/>
    </row>
    <row r="673" spans="1:9" s="93" customFormat="1" ht="9" customHeight="1" x14ac:dyDescent="0.3">
      <c r="A673" s="91"/>
      <c r="B673" s="70"/>
      <c r="C673" s="70"/>
      <c r="D673" s="70"/>
      <c r="E673" s="70"/>
      <c r="F673" s="70"/>
      <c r="G673" s="70"/>
      <c r="H673" s="131"/>
      <c r="I673" s="3"/>
    </row>
    <row r="674" spans="1:9" s="93" customFormat="1" ht="9" customHeight="1" x14ac:dyDescent="0.3">
      <c r="A674" s="91"/>
      <c r="B674" s="70"/>
      <c r="C674" s="70"/>
      <c r="D674" s="70"/>
      <c r="E674" s="70"/>
      <c r="F674" s="70"/>
      <c r="G674" s="70"/>
      <c r="H674" s="131"/>
      <c r="I674" s="3"/>
    </row>
    <row r="675" spans="1:9" s="93" customFormat="1" ht="9" customHeight="1" x14ac:dyDescent="0.3">
      <c r="A675" s="91"/>
      <c r="B675" s="70"/>
      <c r="C675" s="70"/>
      <c r="D675" s="70"/>
      <c r="E675" s="70"/>
      <c r="F675" s="70"/>
      <c r="G675" s="70"/>
      <c r="H675" s="131"/>
      <c r="I675" s="3"/>
    </row>
    <row r="676" spans="1:9" s="93" customFormat="1" ht="9" customHeight="1" x14ac:dyDescent="0.3">
      <c r="A676" s="91"/>
      <c r="B676" s="70"/>
      <c r="C676" s="70"/>
      <c r="D676" s="70"/>
      <c r="E676" s="70"/>
      <c r="F676" s="70"/>
      <c r="G676" s="70"/>
      <c r="H676" s="131"/>
      <c r="I676" s="3"/>
    </row>
    <row r="677" spans="1:9" s="93" customFormat="1" ht="9" customHeight="1" x14ac:dyDescent="0.3">
      <c r="A677" s="91"/>
      <c r="B677" s="70"/>
      <c r="C677" s="70"/>
      <c r="D677" s="70"/>
      <c r="E677" s="70"/>
      <c r="F677" s="70"/>
      <c r="G677" s="70"/>
      <c r="H677" s="131"/>
      <c r="I677" s="3"/>
    </row>
    <row r="678" spans="1:9" s="93" customFormat="1" ht="9" customHeight="1" x14ac:dyDescent="0.3">
      <c r="A678" s="91"/>
      <c r="B678" s="70"/>
      <c r="C678" s="70"/>
      <c r="D678" s="70"/>
      <c r="E678" s="70"/>
      <c r="F678" s="70"/>
      <c r="G678" s="70"/>
      <c r="H678" s="131"/>
      <c r="I678" s="3"/>
    </row>
    <row r="679" spans="1:9" s="93" customFormat="1" ht="9" customHeight="1" x14ac:dyDescent="0.3">
      <c r="A679" s="91"/>
      <c r="B679" s="70"/>
      <c r="C679" s="70"/>
      <c r="D679" s="70"/>
      <c r="E679" s="70"/>
      <c r="F679" s="70"/>
      <c r="G679" s="70"/>
      <c r="H679" s="131"/>
      <c r="I679" s="3"/>
    </row>
    <row r="680" spans="1:9" s="93" customFormat="1" ht="9" customHeight="1" x14ac:dyDescent="0.3">
      <c r="A680" s="91"/>
      <c r="B680" s="70"/>
      <c r="C680" s="70"/>
      <c r="D680" s="70"/>
      <c r="E680" s="70"/>
      <c r="F680" s="70"/>
      <c r="G680" s="70"/>
      <c r="H680" s="131"/>
      <c r="I680" s="3"/>
    </row>
    <row r="681" spans="1:9" s="93" customFormat="1" ht="9" customHeight="1" x14ac:dyDescent="0.3">
      <c r="A681" s="91"/>
      <c r="B681" s="70"/>
      <c r="C681" s="70"/>
      <c r="D681" s="70"/>
      <c r="E681" s="70"/>
      <c r="F681" s="70"/>
      <c r="G681" s="70"/>
      <c r="H681" s="131"/>
      <c r="I681" s="3"/>
    </row>
    <row r="682" spans="1:9" s="93" customFormat="1" ht="9" customHeight="1" x14ac:dyDescent="0.3">
      <c r="A682" s="91"/>
      <c r="B682" s="70"/>
      <c r="C682" s="70"/>
      <c r="D682" s="70"/>
      <c r="E682" s="70"/>
      <c r="F682" s="70"/>
      <c r="G682" s="70"/>
      <c r="H682" s="131"/>
      <c r="I682" s="3"/>
    </row>
    <row r="683" spans="1:9" s="93" customFormat="1" ht="9" customHeight="1" x14ac:dyDescent="0.3">
      <c r="A683" s="91"/>
      <c r="B683" s="70"/>
      <c r="C683" s="70"/>
      <c r="D683" s="70"/>
      <c r="E683" s="70"/>
      <c r="F683" s="70"/>
      <c r="G683" s="70"/>
      <c r="H683" s="131"/>
      <c r="I683" s="3"/>
    </row>
    <row r="684" spans="1:9" s="93" customFormat="1" ht="9" customHeight="1" x14ac:dyDescent="0.3">
      <c r="A684" s="91"/>
      <c r="B684" s="70"/>
      <c r="C684" s="70"/>
      <c r="D684" s="70"/>
      <c r="E684" s="70"/>
      <c r="F684" s="70"/>
      <c r="G684" s="70"/>
      <c r="H684" s="131"/>
      <c r="I684" s="3"/>
    </row>
    <row r="685" spans="1:9" s="93" customFormat="1" ht="9" customHeight="1" x14ac:dyDescent="0.3">
      <c r="A685" s="91"/>
      <c r="B685" s="70"/>
      <c r="C685" s="70"/>
      <c r="D685" s="70"/>
      <c r="E685" s="70"/>
      <c r="F685" s="70"/>
      <c r="G685" s="70"/>
      <c r="H685" s="131"/>
      <c r="I685" s="3"/>
    </row>
    <row r="686" spans="1:9" s="93" customFormat="1" ht="9" customHeight="1" x14ac:dyDescent="0.3">
      <c r="A686" s="91"/>
      <c r="B686" s="70"/>
      <c r="C686" s="70"/>
      <c r="D686" s="70"/>
      <c r="E686" s="70"/>
      <c r="F686" s="70"/>
      <c r="G686" s="70"/>
      <c r="H686" s="131"/>
      <c r="I686" s="3"/>
    </row>
    <row r="687" spans="1:9" s="93" customFormat="1" ht="9" customHeight="1" x14ac:dyDescent="0.3">
      <c r="A687" s="91"/>
      <c r="B687" s="70"/>
      <c r="C687" s="70"/>
      <c r="D687" s="70"/>
      <c r="E687" s="70"/>
      <c r="F687" s="70"/>
      <c r="G687" s="70"/>
      <c r="H687" s="131"/>
      <c r="I687" s="3"/>
    </row>
    <row r="688" spans="1:9" s="93" customFormat="1" ht="9" customHeight="1" x14ac:dyDescent="0.3">
      <c r="A688" s="91"/>
      <c r="B688" s="70"/>
      <c r="C688" s="70"/>
      <c r="D688" s="70"/>
      <c r="E688" s="70"/>
      <c r="F688" s="70"/>
      <c r="G688" s="70"/>
      <c r="H688" s="131"/>
      <c r="I688" s="3"/>
    </row>
    <row r="689" spans="1:9" s="93" customFormat="1" ht="9" customHeight="1" x14ac:dyDescent="0.3">
      <c r="A689" s="91"/>
      <c r="B689" s="70"/>
      <c r="C689" s="70"/>
      <c r="D689" s="70"/>
      <c r="E689" s="70"/>
      <c r="F689" s="70"/>
      <c r="G689" s="70"/>
      <c r="H689" s="131"/>
      <c r="I689" s="3"/>
    </row>
    <row r="690" spans="1:9" s="93" customFormat="1" ht="9" customHeight="1" x14ac:dyDescent="0.3">
      <c r="A690" s="91"/>
      <c r="B690" s="70"/>
      <c r="C690" s="70"/>
      <c r="D690" s="70"/>
      <c r="E690" s="70"/>
      <c r="F690" s="70"/>
      <c r="G690" s="70"/>
      <c r="H690" s="131"/>
      <c r="I690" s="3"/>
    </row>
    <row r="691" spans="1:9" s="93" customFormat="1" ht="9" customHeight="1" x14ac:dyDescent="0.3">
      <c r="A691" s="91"/>
      <c r="B691" s="70"/>
      <c r="C691" s="70"/>
      <c r="D691" s="70"/>
      <c r="E691" s="70"/>
      <c r="F691" s="70"/>
      <c r="G691" s="70"/>
      <c r="H691" s="131"/>
      <c r="I691" s="3"/>
    </row>
    <row r="692" spans="1:9" s="93" customFormat="1" ht="9" customHeight="1" x14ac:dyDescent="0.3">
      <c r="A692" s="91"/>
      <c r="B692" s="70"/>
      <c r="C692" s="70"/>
      <c r="D692" s="70"/>
      <c r="E692" s="70"/>
      <c r="F692" s="70"/>
      <c r="G692" s="70"/>
      <c r="H692" s="131"/>
      <c r="I692" s="3"/>
    </row>
    <row r="693" spans="1:9" s="93" customFormat="1" ht="9" customHeight="1" x14ac:dyDescent="0.3">
      <c r="A693" s="91"/>
      <c r="B693" s="70"/>
      <c r="C693" s="70"/>
      <c r="D693" s="70"/>
      <c r="E693" s="70"/>
      <c r="F693" s="70"/>
      <c r="G693" s="70"/>
      <c r="H693" s="131"/>
      <c r="I693" s="3"/>
    </row>
    <row r="694" spans="1:9" s="93" customFormat="1" ht="9" customHeight="1" x14ac:dyDescent="0.3">
      <c r="A694" s="91"/>
      <c r="B694" s="70"/>
      <c r="C694" s="70"/>
      <c r="D694" s="70"/>
      <c r="E694" s="70"/>
      <c r="F694" s="70"/>
      <c r="G694" s="70"/>
      <c r="H694" s="131"/>
      <c r="I694" s="3"/>
    </row>
    <row r="695" spans="1:9" s="93" customFormat="1" ht="9" customHeight="1" x14ac:dyDescent="0.3">
      <c r="A695" s="91"/>
      <c r="B695" s="70"/>
      <c r="C695" s="70"/>
      <c r="D695" s="70"/>
      <c r="E695" s="70"/>
      <c r="F695" s="70"/>
      <c r="G695" s="70"/>
      <c r="H695" s="131"/>
      <c r="I695" s="3"/>
    </row>
    <row r="696" spans="1:9" s="93" customFormat="1" ht="9" customHeight="1" x14ac:dyDescent="0.3">
      <c r="A696" s="91"/>
      <c r="B696" s="70"/>
      <c r="C696" s="70"/>
      <c r="D696" s="70"/>
      <c r="E696" s="70"/>
      <c r="F696" s="70"/>
      <c r="G696" s="70"/>
      <c r="H696" s="131"/>
      <c r="I696" s="3"/>
    </row>
    <row r="697" spans="1:9" s="93" customFormat="1" ht="9" customHeight="1" x14ac:dyDescent="0.3">
      <c r="A697" s="91"/>
      <c r="B697" s="70"/>
      <c r="C697" s="70"/>
      <c r="D697" s="70"/>
      <c r="E697" s="70"/>
      <c r="F697" s="70"/>
      <c r="G697" s="70"/>
      <c r="H697" s="131"/>
      <c r="I697" s="3"/>
    </row>
    <row r="698" spans="1:9" s="93" customFormat="1" ht="9" customHeight="1" x14ac:dyDescent="0.3">
      <c r="A698" s="91"/>
      <c r="B698" s="70"/>
      <c r="C698" s="70"/>
      <c r="D698" s="70"/>
      <c r="E698" s="70"/>
      <c r="F698" s="70"/>
      <c r="G698" s="70"/>
      <c r="H698" s="131"/>
      <c r="I698" s="3"/>
    </row>
    <row r="699" spans="1:9" s="93" customFormat="1" ht="9" customHeight="1" x14ac:dyDescent="0.3">
      <c r="A699" s="91"/>
      <c r="B699" s="70"/>
      <c r="C699" s="70"/>
      <c r="D699" s="70"/>
      <c r="E699" s="70"/>
      <c r="F699" s="70"/>
      <c r="G699" s="70"/>
      <c r="H699" s="131"/>
      <c r="I699" s="3"/>
    </row>
    <row r="700" spans="1:9" s="93" customFormat="1" ht="9" customHeight="1" x14ac:dyDescent="0.3">
      <c r="A700" s="91"/>
      <c r="B700" s="70"/>
      <c r="C700" s="70"/>
      <c r="D700" s="70"/>
      <c r="E700" s="70"/>
      <c r="F700" s="70"/>
      <c r="G700" s="70"/>
      <c r="H700" s="131"/>
      <c r="I700" s="3"/>
    </row>
    <row r="701" spans="1:9" s="93" customFormat="1" ht="9" customHeight="1" x14ac:dyDescent="0.3">
      <c r="A701" s="91"/>
      <c r="B701" s="70"/>
      <c r="C701" s="70"/>
      <c r="D701" s="70"/>
      <c r="E701" s="70"/>
      <c r="F701" s="70"/>
      <c r="G701" s="70"/>
      <c r="H701" s="131"/>
      <c r="I701" s="3"/>
    </row>
    <row r="702" spans="1:9" s="93" customFormat="1" ht="9" customHeight="1" x14ac:dyDescent="0.3">
      <c r="A702" s="91"/>
      <c r="B702" s="70"/>
      <c r="C702" s="70"/>
      <c r="D702" s="70"/>
      <c r="E702" s="70"/>
      <c r="F702" s="70"/>
      <c r="G702" s="70"/>
      <c r="H702" s="131"/>
      <c r="I702" s="3"/>
    </row>
    <row r="703" spans="1:9" s="93" customFormat="1" ht="9" customHeight="1" x14ac:dyDescent="0.3">
      <c r="A703" s="91"/>
      <c r="B703" s="70"/>
      <c r="C703" s="70"/>
      <c r="D703" s="70"/>
      <c r="E703" s="70"/>
      <c r="F703" s="70"/>
      <c r="G703" s="70"/>
      <c r="H703" s="131"/>
      <c r="I703" s="3"/>
    </row>
    <row r="704" spans="1:9" s="93" customFormat="1" ht="9" customHeight="1" x14ac:dyDescent="0.3">
      <c r="A704" s="91"/>
      <c r="B704" s="70"/>
      <c r="C704" s="70"/>
      <c r="D704" s="70"/>
      <c r="E704" s="70"/>
      <c r="F704" s="70"/>
      <c r="G704" s="70"/>
      <c r="H704" s="131"/>
      <c r="I704" s="3"/>
    </row>
    <row r="705" spans="1:9" s="93" customFormat="1" ht="9" customHeight="1" x14ac:dyDescent="0.3">
      <c r="A705" s="91"/>
      <c r="B705" s="70"/>
      <c r="C705" s="70"/>
      <c r="D705" s="70"/>
      <c r="E705" s="70"/>
      <c r="F705" s="70"/>
      <c r="G705" s="70"/>
      <c r="H705" s="131"/>
      <c r="I705" s="3"/>
    </row>
    <row r="706" spans="1:9" s="93" customFormat="1" ht="9" customHeight="1" x14ac:dyDescent="0.3">
      <c r="A706" s="91"/>
      <c r="B706" s="70"/>
      <c r="C706" s="70"/>
      <c r="D706" s="70"/>
      <c r="E706" s="70"/>
      <c r="F706" s="70"/>
      <c r="G706" s="70"/>
      <c r="H706" s="131"/>
      <c r="I706" s="3"/>
    </row>
    <row r="707" spans="1:9" s="93" customFormat="1" ht="9" customHeight="1" x14ac:dyDescent="0.3">
      <c r="A707" s="91"/>
      <c r="B707" s="70"/>
      <c r="C707" s="70"/>
      <c r="D707" s="70"/>
      <c r="E707" s="70"/>
      <c r="F707" s="70"/>
      <c r="G707" s="70"/>
      <c r="H707" s="131"/>
      <c r="I707" s="3"/>
    </row>
    <row r="708" spans="1:9" s="93" customFormat="1" ht="9" customHeight="1" x14ac:dyDescent="0.3">
      <c r="A708" s="91"/>
      <c r="B708" s="70"/>
      <c r="C708" s="70"/>
      <c r="D708" s="70"/>
      <c r="E708" s="70"/>
      <c r="F708" s="70"/>
      <c r="G708" s="70"/>
      <c r="H708" s="131"/>
      <c r="I708" s="3"/>
    </row>
    <row r="709" spans="1:9" s="93" customFormat="1" ht="9" customHeight="1" x14ac:dyDescent="0.3">
      <c r="A709" s="91"/>
      <c r="B709" s="70"/>
      <c r="C709" s="70"/>
      <c r="D709" s="70"/>
      <c r="E709" s="70"/>
      <c r="F709" s="70"/>
      <c r="G709" s="70"/>
      <c r="H709" s="131"/>
      <c r="I709" s="3"/>
    </row>
    <row r="710" spans="1:9" s="93" customFormat="1" ht="9" customHeight="1" x14ac:dyDescent="0.3">
      <c r="A710" s="91"/>
      <c r="B710" s="70"/>
      <c r="C710" s="70"/>
      <c r="D710" s="70"/>
      <c r="E710" s="70"/>
      <c r="F710" s="70"/>
      <c r="G710" s="70"/>
      <c r="H710" s="131"/>
      <c r="I710" s="3"/>
    </row>
    <row r="711" spans="1:9" s="93" customFormat="1" ht="9" customHeight="1" x14ac:dyDescent="0.3">
      <c r="A711" s="91"/>
      <c r="B711" s="70"/>
      <c r="C711" s="70"/>
      <c r="D711" s="70"/>
      <c r="E711" s="70"/>
      <c r="F711" s="70"/>
      <c r="G711" s="70"/>
      <c r="H711" s="131"/>
      <c r="I711" s="3"/>
    </row>
    <row r="712" spans="1:9" s="93" customFormat="1" ht="9" customHeight="1" x14ac:dyDescent="0.3">
      <c r="A712" s="91"/>
      <c r="B712" s="70"/>
      <c r="C712" s="70"/>
      <c r="D712" s="70"/>
      <c r="E712" s="70"/>
      <c r="F712" s="70"/>
      <c r="G712" s="70"/>
      <c r="H712" s="131"/>
      <c r="I712" s="3"/>
    </row>
    <row r="713" spans="1:9" s="93" customFormat="1" ht="9" customHeight="1" x14ac:dyDescent="0.3">
      <c r="A713" s="91"/>
      <c r="B713" s="70"/>
      <c r="C713" s="70"/>
      <c r="D713" s="70"/>
      <c r="E713" s="70"/>
      <c r="F713" s="70"/>
      <c r="G713" s="70"/>
      <c r="H713" s="131"/>
      <c r="I713" s="3"/>
    </row>
    <row r="714" spans="1:9" s="93" customFormat="1" ht="9" customHeight="1" x14ac:dyDescent="0.3">
      <c r="A714" s="91"/>
      <c r="B714" s="70"/>
      <c r="C714" s="70"/>
      <c r="D714" s="70"/>
      <c r="E714" s="70"/>
      <c r="F714" s="70"/>
      <c r="G714" s="70"/>
      <c r="H714" s="131"/>
      <c r="I714" s="3"/>
    </row>
    <row r="715" spans="1:9" s="93" customFormat="1" ht="9" customHeight="1" x14ac:dyDescent="0.3">
      <c r="A715" s="91"/>
      <c r="B715" s="70"/>
      <c r="C715" s="70"/>
      <c r="D715" s="70"/>
      <c r="E715" s="70"/>
      <c r="F715" s="70"/>
      <c r="G715" s="70"/>
      <c r="H715" s="131"/>
      <c r="I715" s="3"/>
    </row>
    <row r="716" spans="1:9" s="93" customFormat="1" ht="9" customHeight="1" x14ac:dyDescent="0.3">
      <c r="A716" s="91"/>
      <c r="B716" s="70"/>
      <c r="C716" s="70"/>
      <c r="D716" s="70"/>
      <c r="E716" s="70"/>
      <c r="F716" s="70"/>
      <c r="G716" s="70"/>
      <c r="H716" s="131"/>
      <c r="I716" s="3"/>
    </row>
    <row r="717" spans="1:9" s="93" customFormat="1" ht="9" customHeight="1" x14ac:dyDescent="0.3">
      <c r="A717" s="91"/>
      <c r="B717" s="70"/>
      <c r="C717" s="70"/>
      <c r="D717" s="70"/>
      <c r="E717" s="70"/>
      <c r="F717" s="70"/>
      <c r="G717" s="70"/>
      <c r="H717" s="131"/>
      <c r="I717" s="3"/>
    </row>
    <row r="718" spans="1:9" s="93" customFormat="1" ht="9" customHeight="1" x14ac:dyDescent="0.3">
      <c r="A718" s="91"/>
      <c r="B718" s="70"/>
      <c r="C718" s="70"/>
      <c r="D718" s="70"/>
      <c r="E718" s="70"/>
      <c r="F718" s="70"/>
      <c r="G718" s="70"/>
      <c r="H718" s="131"/>
      <c r="I718" s="3"/>
    </row>
    <row r="719" spans="1:9" s="93" customFormat="1" ht="9" customHeight="1" x14ac:dyDescent="0.3">
      <c r="A719" s="91"/>
      <c r="B719" s="70"/>
      <c r="C719" s="70"/>
      <c r="D719" s="70"/>
      <c r="E719" s="70"/>
      <c r="F719" s="70"/>
      <c r="G719" s="70"/>
      <c r="H719" s="131"/>
      <c r="I719" s="3"/>
    </row>
    <row r="720" spans="1:9" s="93" customFormat="1" ht="9" customHeight="1" x14ac:dyDescent="0.3">
      <c r="A720" s="91"/>
      <c r="B720" s="70"/>
      <c r="C720" s="70"/>
      <c r="D720" s="70"/>
      <c r="E720" s="70"/>
      <c r="F720" s="70"/>
      <c r="G720" s="70"/>
      <c r="H720" s="131"/>
      <c r="I720" s="3"/>
    </row>
    <row r="721" spans="1:9" s="93" customFormat="1" ht="9" customHeight="1" x14ac:dyDescent="0.3">
      <c r="A721" s="91"/>
      <c r="B721" s="70"/>
      <c r="C721" s="70"/>
      <c r="D721" s="70"/>
      <c r="E721" s="70"/>
      <c r="F721" s="70"/>
      <c r="G721" s="70"/>
      <c r="H721" s="131"/>
      <c r="I721" s="3"/>
    </row>
    <row r="722" spans="1:9" s="93" customFormat="1" ht="9" customHeight="1" x14ac:dyDescent="0.3">
      <c r="A722" s="91"/>
      <c r="B722" s="70"/>
      <c r="C722" s="70"/>
      <c r="D722" s="70"/>
      <c r="E722" s="70"/>
      <c r="F722" s="70"/>
      <c r="G722" s="70"/>
      <c r="H722" s="131"/>
      <c r="I722" s="3"/>
    </row>
    <row r="723" spans="1:9" s="93" customFormat="1" ht="9" customHeight="1" x14ac:dyDescent="0.3">
      <c r="A723" s="91"/>
      <c r="B723" s="70"/>
      <c r="C723" s="70"/>
      <c r="D723" s="70"/>
      <c r="E723" s="70"/>
      <c r="F723" s="70"/>
      <c r="G723" s="70"/>
      <c r="H723" s="131"/>
      <c r="I723" s="3"/>
    </row>
    <row r="724" spans="1:9" s="93" customFormat="1" ht="9" customHeight="1" x14ac:dyDescent="0.3">
      <c r="A724" s="91"/>
      <c r="B724" s="70"/>
      <c r="C724" s="70"/>
      <c r="D724" s="70"/>
      <c r="E724" s="70"/>
      <c r="F724" s="70"/>
      <c r="G724" s="70"/>
      <c r="H724" s="131"/>
      <c r="I724" s="3"/>
    </row>
    <row r="725" spans="1:9" s="93" customFormat="1" ht="9" customHeight="1" x14ac:dyDescent="0.3">
      <c r="A725" s="91"/>
      <c r="B725" s="70"/>
      <c r="C725" s="70"/>
      <c r="D725" s="70"/>
      <c r="E725" s="70"/>
      <c r="F725" s="70"/>
      <c r="G725" s="70"/>
      <c r="H725" s="131"/>
      <c r="I725" s="3"/>
    </row>
    <row r="726" spans="1:9" s="93" customFormat="1" ht="9" customHeight="1" x14ac:dyDescent="0.3">
      <c r="A726" s="91"/>
      <c r="B726" s="70"/>
      <c r="C726" s="70"/>
      <c r="D726" s="70"/>
      <c r="E726" s="70"/>
      <c r="F726" s="70"/>
      <c r="G726" s="70"/>
      <c r="H726" s="131"/>
      <c r="I726" s="3"/>
    </row>
    <row r="727" spans="1:9" s="93" customFormat="1" ht="9" customHeight="1" x14ac:dyDescent="0.3">
      <c r="A727" s="91"/>
      <c r="B727" s="70"/>
      <c r="C727" s="70"/>
      <c r="D727" s="70"/>
      <c r="E727" s="70"/>
      <c r="F727" s="70"/>
      <c r="G727" s="70"/>
      <c r="H727" s="131"/>
      <c r="I727" s="3"/>
    </row>
    <row r="728" spans="1:9" s="93" customFormat="1" ht="9" customHeight="1" x14ac:dyDescent="0.3">
      <c r="A728" s="91"/>
      <c r="B728" s="70"/>
      <c r="C728" s="70"/>
      <c r="D728" s="70"/>
      <c r="E728" s="70"/>
      <c r="F728" s="70"/>
      <c r="G728" s="70"/>
      <c r="H728" s="131"/>
      <c r="I728" s="3"/>
    </row>
    <row r="729" spans="1:9" s="93" customFormat="1" ht="9" customHeight="1" x14ac:dyDescent="0.3">
      <c r="A729" s="91"/>
      <c r="B729" s="70"/>
      <c r="C729" s="70"/>
      <c r="D729" s="70"/>
      <c r="E729" s="70"/>
      <c r="F729" s="70"/>
      <c r="G729" s="70"/>
      <c r="H729" s="131"/>
      <c r="I729" s="3"/>
    </row>
    <row r="730" spans="1:9" s="93" customFormat="1" ht="9" customHeight="1" x14ac:dyDescent="0.3">
      <c r="A730" s="91"/>
      <c r="B730" s="70"/>
      <c r="C730" s="70"/>
      <c r="D730" s="70"/>
      <c r="E730" s="70"/>
      <c r="F730" s="70"/>
      <c r="G730" s="70"/>
      <c r="H730" s="131"/>
      <c r="I730" s="3"/>
    </row>
    <row r="731" spans="1:9" s="93" customFormat="1" ht="9" customHeight="1" x14ac:dyDescent="0.3">
      <c r="A731" s="91"/>
      <c r="B731" s="70"/>
      <c r="C731" s="70"/>
      <c r="D731" s="70"/>
      <c r="E731" s="70"/>
      <c r="F731" s="70"/>
      <c r="G731" s="70"/>
      <c r="H731" s="131"/>
      <c r="I731" s="3"/>
    </row>
    <row r="732" spans="1:9" s="93" customFormat="1" ht="9" customHeight="1" x14ac:dyDescent="0.3">
      <c r="A732" s="91"/>
      <c r="B732" s="70"/>
      <c r="C732" s="70"/>
      <c r="D732" s="70"/>
      <c r="E732" s="70"/>
      <c r="F732" s="70"/>
      <c r="G732" s="70"/>
      <c r="H732" s="131"/>
      <c r="I732" s="3"/>
    </row>
    <row r="733" spans="1:9" s="93" customFormat="1" ht="9" customHeight="1" x14ac:dyDescent="0.3">
      <c r="A733" s="91"/>
      <c r="B733" s="70"/>
      <c r="C733" s="70"/>
      <c r="D733" s="70"/>
      <c r="E733" s="70"/>
      <c r="F733" s="70"/>
      <c r="G733" s="70"/>
      <c r="H733" s="131"/>
      <c r="I733" s="3"/>
    </row>
    <row r="734" spans="1:9" s="93" customFormat="1" ht="9" customHeight="1" x14ac:dyDescent="0.3">
      <c r="A734" s="91"/>
      <c r="B734" s="70"/>
      <c r="C734" s="70"/>
      <c r="D734" s="70"/>
      <c r="E734" s="70"/>
      <c r="F734" s="70"/>
      <c r="G734" s="70"/>
      <c r="H734" s="131"/>
      <c r="I734" s="3"/>
    </row>
    <row r="735" spans="1:9" s="93" customFormat="1" ht="9" customHeight="1" x14ac:dyDescent="0.3">
      <c r="A735" s="91"/>
      <c r="B735" s="70"/>
      <c r="C735" s="70"/>
      <c r="D735" s="70"/>
      <c r="E735" s="70"/>
      <c r="F735" s="70"/>
      <c r="G735" s="70"/>
      <c r="H735" s="131"/>
      <c r="I735" s="3"/>
    </row>
    <row r="736" spans="1:9" s="93" customFormat="1" ht="9" customHeight="1" x14ac:dyDescent="0.3">
      <c r="A736" s="91"/>
      <c r="B736" s="70"/>
      <c r="C736" s="70"/>
      <c r="D736" s="70"/>
      <c r="E736" s="70"/>
      <c r="F736" s="70"/>
      <c r="G736" s="70"/>
      <c r="H736" s="131"/>
      <c r="I736" s="3"/>
    </row>
    <row r="737" spans="1:9" s="93" customFormat="1" ht="9" customHeight="1" x14ac:dyDescent="0.3">
      <c r="A737" s="91"/>
      <c r="B737" s="70"/>
      <c r="C737" s="70"/>
      <c r="D737" s="70"/>
      <c r="E737" s="70"/>
      <c r="F737" s="70"/>
      <c r="G737" s="70"/>
      <c r="H737" s="131"/>
      <c r="I737" s="3"/>
    </row>
    <row r="738" spans="1:9" s="93" customFormat="1" ht="9" customHeight="1" x14ac:dyDescent="0.3">
      <c r="A738" s="91"/>
      <c r="B738" s="70"/>
      <c r="C738" s="70"/>
      <c r="D738" s="70"/>
      <c r="E738" s="70"/>
      <c r="F738" s="70"/>
      <c r="G738" s="70"/>
      <c r="H738" s="131"/>
      <c r="I738" s="3"/>
    </row>
    <row r="739" spans="1:9" s="93" customFormat="1" ht="9" customHeight="1" x14ac:dyDescent="0.3">
      <c r="A739" s="91"/>
      <c r="B739" s="70"/>
      <c r="C739" s="70"/>
      <c r="D739" s="70"/>
      <c r="E739" s="70"/>
      <c r="F739" s="70"/>
      <c r="G739" s="70"/>
      <c r="H739" s="131"/>
      <c r="I739" s="3"/>
    </row>
    <row r="740" spans="1:9" s="93" customFormat="1" ht="9" customHeight="1" x14ac:dyDescent="0.3">
      <c r="A740" s="91"/>
      <c r="B740" s="70"/>
      <c r="C740" s="70"/>
      <c r="D740" s="70"/>
      <c r="E740" s="70"/>
      <c r="F740" s="70"/>
      <c r="G740" s="70"/>
      <c r="H740" s="131"/>
      <c r="I740" s="3"/>
    </row>
    <row r="741" spans="1:9" s="93" customFormat="1" ht="9" customHeight="1" x14ac:dyDescent="0.3">
      <c r="A741" s="91"/>
      <c r="B741" s="70"/>
      <c r="C741" s="70"/>
      <c r="D741" s="70"/>
      <c r="E741" s="70"/>
      <c r="F741" s="70"/>
      <c r="G741" s="70"/>
      <c r="H741" s="131"/>
      <c r="I741" s="3"/>
    </row>
    <row r="742" spans="1:9" s="93" customFormat="1" ht="9" customHeight="1" x14ac:dyDescent="0.3">
      <c r="A742" s="91"/>
      <c r="B742" s="70"/>
      <c r="C742" s="70"/>
      <c r="D742" s="70"/>
      <c r="E742" s="70"/>
      <c r="F742" s="70"/>
      <c r="G742" s="70"/>
      <c r="H742" s="131"/>
      <c r="I742" s="3"/>
    </row>
    <row r="743" spans="1:9" s="93" customFormat="1" ht="9" customHeight="1" x14ac:dyDescent="0.3">
      <c r="A743" s="91"/>
      <c r="B743" s="70"/>
      <c r="C743" s="70"/>
      <c r="D743" s="70"/>
      <c r="E743" s="70"/>
      <c r="F743" s="70"/>
      <c r="G743" s="70"/>
      <c r="H743" s="131"/>
      <c r="I743" s="3"/>
    </row>
    <row r="744" spans="1:9" s="93" customFormat="1" ht="9" customHeight="1" x14ac:dyDescent="0.3">
      <c r="A744" s="91"/>
      <c r="B744" s="70"/>
      <c r="C744" s="70"/>
      <c r="D744" s="70"/>
      <c r="E744" s="70"/>
      <c r="F744" s="70"/>
      <c r="G744" s="70"/>
      <c r="H744" s="131"/>
      <c r="I744" s="3"/>
    </row>
    <row r="745" spans="1:9" s="93" customFormat="1" ht="9" customHeight="1" x14ac:dyDescent="0.3">
      <c r="A745" s="91"/>
      <c r="B745" s="70"/>
      <c r="C745" s="70"/>
      <c r="D745" s="70"/>
      <c r="E745" s="70"/>
      <c r="F745" s="70"/>
      <c r="G745" s="70"/>
      <c r="H745" s="131"/>
      <c r="I745" s="3"/>
    </row>
    <row r="746" spans="1:9" s="93" customFormat="1" ht="9" customHeight="1" x14ac:dyDescent="0.3">
      <c r="A746" s="91"/>
      <c r="B746" s="70"/>
      <c r="C746" s="70"/>
      <c r="D746" s="70"/>
      <c r="E746" s="70"/>
      <c r="F746" s="70"/>
      <c r="G746" s="70"/>
      <c r="H746" s="131"/>
      <c r="I746" s="3"/>
    </row>
    <row r="747" spans="1:9" s="93" customFormat="1" ht="9" customHeight="1" x14ac:dyDescent="0.3">
      <c r="A747" s="91"/>
      <c r="B747" s="70"/>
      <c r="C747" s="70"/>
      <c r="D747" s="70"/>
      <c r="E747" s="70"/>
      <c r="F747" s="70"/>
      <c r="G747" s="70"/>
      <c r="H747" s="131"/>
      <c r="I747" s="3"/>
    </row>
    <row r="748" spans="1:9" s="93" customFormat="1" ht="9" customHeight="1" x14ac:dyDescent="0.3">
      <c r="A748" s="91"/>
      <c r="B748" s="70"/>
      <c r="C748" s="70"/>
      <c r="D748" s="70"/>
      <c r="E748" s="70"/>
      <c r="F748" s="70"/>
      <c r="G748" s="70"/>
      <c r="H748" s="131"/>
      <c r="I748" s="3"/>
    </row>
    <row r="749" spans="1:9" s="93" customFormat="1" ht="9" customHeight="1" x14ac:dyDescent="0.3">
      <c r="A749" s="91"/>
      <c r="B749" s="70"/>
      <c r="C749" s="70"/>
      <c r="D749" s="70"/>
      <c r="E749" s="70"/>
      <c r="F749" s="70"/>
      <c r="G749" s="70"/>
      <c r="H749" s="131"/>
      <c r="I749" s="3"/>
    </row>
    <row r="750" spans="1:9" s="93" customFormat="1" ht="9" customHeight="1" x14ac:dyDescent="0.3">
      <c r="A750" s="91"/>
      <c r="B750" s="70"/>
      <c r="C750" s="70"/>
      <c r="D750" s="70"/>
      <c r="E750" s="70"/>
      <c r="F750" s="70"/>
      <c r="G750" s="70"/>
      <c r="H750" s="131"/>
      <c r="I750" s="3"/>
    </row>
    <row r="751" spans="1:9" s="93" customFormat="1" ht="9" customHeight="1" x14ac:dyDescent="0.3">
      <c r="A751" s="91"/>
      <c r="B751" s="70"/>
      <c r="C751" s="70"/>
      <c r="D751" s="70"/>
      <c r="E751" s="70"/>
      <c r="F751" s="70"/>
      <c r="G751" s="70"/>
      <c r="H751" s="131"/>
      <c r="I751" s="3"/>
    </row>
    <row r="752" spans="1:9" s="93" customFormat="1" ht="9" customHeight="1" x14ac:dyDescent="0.3">
      <c r="A752" s="91"/>
      <c r="B752" s="70"/>
      <c r="C752" s="70"/>
      <c r="D752" s="70"/>
      <c r="E752" s="70"/>
      <c r="F752" s="70"/>
      <c r="G752" s="70"/>
      <c r="H752" s="131"/>
      <c r="I752" s="3"/>
    </row>
    <row r="753" spans="1:9" s="93" customFormat="1" ht="9" customHeight="1" x14ac:dyDescent="0.3">
      <c r="A753" s="91"/>
      <c r="B753" s="70"/>
      <c r="C753" s="70"/>
      <c r="D753" s="70"/>
      <c r="E753" s="70"/>
      <c r="F753" s="70"/>
      <c r="G753" s="70"/>
      <c r="H753" s="131"/>
      <c r="I753" s="3"/>
    </row>
    <row r="754" spans="1:9" s="93" customFormat="1" ht="9" customHeight="1" x14ac:dyDescent="0.3">
      <c r="A754" s="91"/>
      <c r="B754" s="70"/>
      <c r="C754" s="70"/>
      <c r="D754" s="70"/>
      <c r="E754" s="70"/>
      <c r="F754" s="70"/>
      <c r="G754" s="70"/>
      <c r="H754" s="131"/>
      <c r="I754" s="3"/>
    </row>
    <row r="755" spans="1:9" s="93" customFormat="1" ht="9" customHeight="1" x14ac:dyDescent="0.3">
      <c r="A755" s="91"/>
      <c r="B755" s="70"/>
      <c r="C755" s="70"/>
      <c r="D755" s="70"/>
      <c r="E755" s="70"/>
      <c r="F755" s="70"/>
      <c r="G755" s="70"/>
      <c r="H755" s="131"/>
      <c r="I755" s="3"/>
    </row>
    <row r="756" spans="1:9" s="93" customFormat="1" ht="9" customHeight="1" x14ac:dyDescent="0.3">
      <c r="A756" s="91"/>
      <c r="B756" s="70"/>
      <c r="C756" s="70"/>
      <c r="D756" s="70"/>
      <c r="E756" s="70"/>
      <c r="F756" s="70"/>
      <c r="G756" s="70"/>
      <c r="H756" s="131"/>
      <c r="I756" s="3"/>
    </row>
    <row r="757" spans="1:9" s="93" customFormat="1" ht="9" customHeight="1" x14ac:dyDescent="0.3">
      <c r="A757" s="91"/>
      <c r="B757" s="70"/>
      <c r="C757" s="70"/>
      <c r="D757" s="70"/>
      <c r="E757" s="70"/>
      <c r="F757" s="70"/>
      <c r="G757" s="70"/>
      <c r="H757" s="131"/>
      <c r="I757" s="3"/>
    </row>
    <row r="758" spans="1:9" s="93" customFormat="1" ht="9" customHeight="1" x14ac:dyDescent="0.3">
      <c r="A758" s="91"/>
      <c r="B758" s="70"/>
      <c r="C758" s="70"/>
      <c r="D758" s="70"/>
      <c r="E758" s="70"/>
      <c r="F758" s="70"/>
      <c r="G758" s="70"/>
      <c r="H758" s="131"/>
      <c r="I758" s="3"/>
    </row>
    <row r="759" spans="1:9" s="93" customFormat="1" ht="9" customHeight="1" x14ac:dyDescent="0.3">
      <c r="A759" s="91"/>
      <c r="B759" s="70"/>
      <c r="C759" s="70"/>
      <c r="D759" s="70"/>
      <c r="E759" s="70"/>
      <c r="F759" s="70"/>
      <c r="G759" s="70"/>
      <c r="H759" s="131"/>
      <c r="I759" s="3"/>
    </row>
    <row r="760" spans="1:9" s="93" customFormat="1" ht="9" customHeight="1" x14ac:dyDescent="0.3">
      <c r="A760" s="91"/>
      <c r="B760" s="70"/>
      <c r="C760" s="70"/>
      <c r="D760" s="70"/>
      <c r="E760" s="70"/>
      <c r="F760" s="70"/>
      <c r="G760" s="70"/>
      <c r="H760" s="131"/>
      <c r="I760" s="3"/>
    </row>
    <row r="761" spans="1:9" s="93" customFormat="1" ht="9" customHeight="1" x14ac:dyDescent="0.3">
      <c r="A761" s="91"/>
      <c r="B761" s="70"/>
      <c r="C761" s="70"/>
      <c r="D761" s="70"/>
      <c r="E761" s="70"/>
      <c r="F761" s="70"/>
      <c r="G761" s="70"/>
      <c r="H761" s="131"/>
      <c r="I761" s="3"/>
    </row>
    <row r="762" spans="1:9" s="93" customFormat="1" ht="9" customHeight="1" x14ac:dyDescent="0.3">
      <c r="A762" s="91"/>
      <c r="B762" s="70"/>
      <c r="C762" s="70"/>
      <c r="D762" s="70"/>
      <c r="E762" s="70"/>
      <c r="F762" s="70"/>
      <c r="G762" s="70"/>
      <c r="H762" s="131"/>
      <c r="I762" s="3"/>
    </row>
    <row r="763" spans="1:9" s="93" customFormat="1" ht="9" customHeight="1" x14ac:dyDescent="0.3">
      <c r="A763" s="91"/>
      <c r="B763" s="70"/>
      <c r="C763" s="70"/>
      <c r="D763" s="70"/>
      <c r="E763" s="70"/>
      <c r="F763" s="70"/>
      <c r="G763" s="70"/>
      <c r="H763" s="131"/>
      <c r="I763" s="3"/>
    </row>
    <row r="764" spans="1:9" s="93" customFormat="1" ht="9" customHeight="1" x14ac:dyDescent="0.3">
      <c r="A764" s="91"/>
      <c r="B764" s="70"/>
      <c r="C764" s="70"/>
      <c r="D764" s="70"/>
      <c r="E764" s="70"/>
      <c r="F764" s="70"/>
      <c r="G764" s="70"/>
      <c r="H764" s="131"/>
      <c r="I764" s="3"/>
    </row>
    <row r="765" spans="1:9" s="93" customFormat="1" ht="9" customHeight="1" x14ac:dyDescent="0.3">
      <c r="A765" s="91"/>
      <c r="B765" s="70"/>
      <c r="C765" s="70"/>
      <c r="D765" s="70"/>
      <c r="E765" s="70"/>
      <c r="F765" s="70"/>
      <c r="G765" s="70"/>
      <c r="H765" s="131"/>
      <c r="I765" s="3"/>
    </row>
    <row r="766" spans="1:9" s="93" customFormat="1" ht="9" customHeight="1" x14ac:dyDescent="0.3">
      <c r="A766" s="91"/>
      <c r="B766" s="70"/>
      <c r="C766" s="70"/>
      <c r="D766" s="70"/>
      <c r="E766" s="70"/>
      <c r="F766" s="70"/>
      <c r="G766" s="70"/>
      <c r="H766" s="131"/>
      <c r="I766" s="3"/>
    </row>
    <row r="767" spans="1:9" s="93" customFormat="1" ht="9" customHeight="1" x14ac:dyDescent="0.3">
      <c r="A767" s="91"/>
      <c r="B767" s="70"/>
      <c r="C767" s="70"/>
      <c r="D767" s="70"/>
      <c r="E767" s="70"/>
      <c r="F767" s="70"/>
      <c r="G767" s="70"/>
      <c r="H767" s="131"/>
      <c r="I767" s="3"/>
    </row>
    <row r="768" spans="1:9" s="93" customFormat="1" ht="9" customHeight="1" x14ac:dyDescent="0.3">
      <c r="A768" s="91"/>
      <c r="B768" s="70"/>
      <c r="C768" s="70"/>
      <c r="D768" s="70"/>
      <c r="E768" s="70"/>
      <c r="F768" s="70"/>
      <c r="G768" s="70"/>
      <c r="H768" s="131"/>
      <c r="I768" s="3"/>
    </row>
    <row r="769" spans="1:9" s="93" customFormat="1" ht="9" customHeight="1" x14ac:dyDescent="0.3">
      <c r="A769" s="91"/>
      <c r="B769" s="70"/>
      <c r="C769" s="70"/>
      <c r="D769" s="70"/>
      <c r="E769" s="70"/>
      <c r="F769" s="70"/>
      <c r="G769" s="70"/>
      <c r="H769" s="131"/>
      <c r="I769" s="3"/>
    </row>
    <row r="770" spans="1:9" s="93" customFormat="1" ht="9" customHeight="1" x14ac:dyDescent="0.3">
      <c r="A770" s="91"/>
      <c r="B770" s="70"/>
      <c r="C770" s="70"/>
      <c r="D770" s="70"/>
      <c r="E770" s="70"/>
      <c r="F770" s="70"/>
      <c r="G770" s="70"/>
      <c r="H770" s="131"/>
      <c r="I770" s="3"/>
    </row>
    <row r="771" spans="1:9" s="93" customFormat="1" ht="9" customHeight="1" x14ac:dyDescent="0.3">
      <c r="A771" s="91"/>
      <c r="B771" s="70"/>
      <c r="C771" s="70"/>
      <c r="D771" s="70"/>
      <c r="E771" s="70"/>
      <c r="F771" s="70"/>
      <c r="G771" s="70"/>
      <c r="H771" s="131"/>
      <c r="I771" s="3"/>
    </row>
    <row r="772" spans="1:9" s="93" customFormat="1" ht="9" customHeight="1" x14ac:dyDescent="0.3">
      <c r="A772" s="91"/>
      <c r="B772" s="70"/>
      <c r="C772" s="70"/>
      <c r="D772" s="70"/>
      <c r="E772" s="70"/>
      <c r="F772" s="70"/>
      <c r="G772" s="70"/>
      <c r="H772" s="131"/>
      <c r="I772" s="3"/>
    </row>
    <row r="773" spans="1:9" s="93" customFormat="1" ht="9" customHeight="1" x14ac:dyDescent="0.3">
      <c r="A773" s="91"/>
      <c r="B773" s="70"/>
      <c r="C773" s="70"/>
      <c r="D773" s="70"/>
      <c r="E773" s="70"/>
      <c r="F773" s="70"/>
      <c r="G773" s="70"/>
      <c r="H773" s="131"/>
      <c r="I773" s="3"/>
    </row>
    <row r="774" spans="1:9" s="93" customFormat="1" ht="9" customHeight="1" x14ac:dyDescent="0.3">
      <c r="A774" s="91"/>
      <c r="B774" s="70"/>
      <c r="C774" s="70"/>
      <c r="D774" s="70"/>
      <c r="E774" s="70"/>
      <c r="F774" s="70"/>
      <c r="G774" s="70"/>
      <c r="H774" s="131"/>
      <c r="I774" s="3"/>
    </row>
    <row r="775" spans="1:9" s="93" customFormat="1" ht="9" customHeight="1" x14ac:dyDescent="0.3">
      <c r="A775" s="91"/>
      <c r="B775" s="70"/>
      <c r="C775" s="70"/>
      <c r="D775" s="70"/>
      <c r="E775" s="70"/>
      <c r="F775" s="70"/>
      <c r="G775" s="70"/>
      <c r="H775" s="131"/>
      <c r="I775" s="3"/>
    </row>
    <row r="776" spans="1:9" s="93" customFormat="1" ht="9" customHeight="1" x14ac:dyDescent="0.3">
      <c r="A776" s="91"/>
      <c r="B776" s="70"/>
      <c r="C776" s="70"/>
      <c r="D776" s="70"/>
      <c r="E776" s="70"/>
      <c r="F776" s="70"/>
      <c r="G776" s="70"/>
      <c r="H776" s="131"/>
      <c r="I776" s="3"/>
    </row>
    <row r="777" spans="1:9" s="93" customFormat="1" ht="9" customHeight="1" x14ac:dyDescent="0.3">
      <c r="A777" s="91"/>
      <c r="B777" s="70"/>
      <c r="C777" s="70"/>
      <c r="D777" s="70"/>
      <c r="E777" s="70"/>
      <c r="F777" s="70"/>
      <c r="G777" s="70"/>
      <c r="H777" s="131"/>
      <c r="I777" s="3"/>
    </row>
    <row r="778" spans="1:9" s="93" customFormat="1" ht="9" customHeight="1" x14ac:dyDescent="0.3">
      <c r="A778" s="91"/>
      <c r="B778" s="70"/>
      <c r="C778" s="70"/>
      <c r="D778" s="70"/>
      <c r="E778" s="70"/>
      <c r="F778" s="70"/>
      <c r="G778" s="70"/>
      <c r="H778" s="131"/>
      <c r="I778" s="3"/>
    </row>
    <row r="779" spans="1:9" s="93" customFormat="1" ht="9" customHeight="1" x14ac:dyDescent="0.3">
      <c r="A779" s="91"/>
      <c r="B779" s="70"/>
      <c r="C779" s="70"/>
      <c r="D779" s="70"/>
      <c r="E779" s="70"/>
      <c r="F779" s="70"/>
      <c r="G779" s="70"/>
      <c r="H779" s="131"/>
      <c r="I779" s="3"/>
    </row>
    <row r="780" spans="1:9" s="93" customFormat="1" ht="9" customHeight="1" x14ac:dyDescent="0.3">
      <c r="A780" s="91"/>
      <c r="B780" s="70"/>
      <c r="C780" s="70"/>
      <c r="D780" s="70"/>
      <c r="E780" s="70"/>
      <c r="F780" s="70"/>
      <c r="G780" s="70"/>
      <c r="H780" s="131"/>
      <c r="I780" s="3"/>
    </row>
    <row r="781" spans="1:9" s="93" customFormat="1" ht="9" customHeight="1" x14ac:dyDescent="0.3">
      <c r="A781" s="91"/>
      <c r="B781" s="70"/>
      <c r="C781" s="70"/>
      <c r="D781" s="70"/>
      <c r="E781" s="70"/>
      <c r="F781" s="70"/>
      <c r="G781" s="70"/>
      <c r="H781" s="131"/>
      <c r="I781" s="3"/>
    </row>
    <row r="782" spans="1:9" s="93" customFormat="1" ht="9" customHeight="1" x14ac:dyDescent="0.3">
      <c r="A782" s="91"/>
      <c r="B782" s="70"/>
      <c r="C782" s="70"/>
      <c r="D782" s="70"/>
      <c r="E782" s="70"/>
      <c r="F782" s="70"/>
      <c r="G782" s="70"/>
      <c r="H782" s="131"/>
      <c r="I782" s="3"/>
    </row>
    <row r="783" spans="1:9" s="93" customFormat="1" ht="9" customHeight="1" x14ac:dyDescent="0.3">
      <c r="A783" s="91"/>
      <c r="B783" s="70"/>
      <c r="C783" s="70"/>
      <c r="D783" s="70"/>
      <c r="E783" s="70"/>
      <c r="F783" s="70"/>
      <c r="G783" s="70"/>
      <c r="H783" s="131"/>
      <c r="I783" s="3"/>
    </row>
    <row r="784" spans="1:9" s="93" customFormat="1" ht="9" customHeight="1" x14ac:dyDescent="0.3">
      <c r="A784" s="91"/>
      <c r="B784" s="70"/>
      <c r="C784" s="70"/>
      <c r="D784" s="70"/>
      <c r="E784" s="70"/>
      <c r="F784" s="70"/>
      <c r="G784" s="70"/>
      <c r="H784" s="131"/>
      <c r="I784" s="3"/>
    </row>
    <row r="785" spans="1:9" s="93" customFormat="1" ht="9" customHeight="1" x14ac:dyDescent="0.3">
      <c r="A785" s="91"/>
      <c r="B785" s="70"/>
      <c r="C785" s="70"/>
      <c r="D785" s="70"/>
      <c r="E785" s="70"/>
      <c r="F785" s="70"/>
      <c r="G785" s="70"/>
      <c r="H785" s="131"/>
      <c r="I785" s="3"/>
    </row>
    <row r="786" spans="1:9" s="93" customFormat="1" ht="9" customHeight="1" x14ac:dyDescent="0.3">
      <c r="A786" s="91"/>
      <c r="B786" s="70"/>
      <c r="C786" s="70"/>
      <c r="D786" s="70"/>
      <c r="E786" s="70"/>
      <c r="F786" s="70"/>
      <c r="G786" s="70"/>
      <c r="H786" s="131"/>
      <c r="I786" s="3"/>
    </row>
    <row r="787" spans="1:9" s="93" customFormat="1" ht="9" customHeight="1" x14ac:dyDescent="0.3">
      <c r="A787" s="91"/>
      <c r="B787" s="70"/>
      <c r="C787" s="70"/>
      <c r="D787" s="70"/>
      <c r="E787" s="70"/>
      <c r="F787" s="70"/>
      <c r="G787" s="70"/>
      <c r="H787" s="131"/>
      <c r="I787" s="3"/>
    </row>
    <row r="788" spans="1:9" s="93" customFormat="1" ht="9" customHeight="1" x14ac:dyDescent="0.3">
      <c r="A788" s="91"/>
      <c r="B788" s="70"/>
      <c r="C788" s="70"/>
      <c r="D788" s="70"/>
      <c r="E788" s="70"/>
      <c r="F788" s="70"/>
      <c r="G788" s="70"/>
      <c r="H788" s="131"/>
      <c r="I788" s="3"/>
    </row>
    <row r="789" spans="1:9" s="93" customFormat="1" ht="9" customHeight="1" x14ac:dyDescent="0.3">
      <c r="A789" s="91"/>
      <c r="B789" s="70"/>
      <c r="C789" s="70"/>
      <c r="D789" s="70"/>
      <c r="E789" s="70"/>
      <c r="F789" s="70"/>
      <c r="G789" s="70"/>
      <c r="H789" s="131"/>
      <c r="I789" s="3"/>
    </row>
    <row r="790" spans="1:9" s="93" customFormat="1" ht="9" customHeight="1" x14ac:dyDescent="0.3">
      <c r="A790" s="91"/>
      <c r="B790" s="70"/>
      <c r="C790" s="70"/>
      <c r="D790" s="70"/>
      <c r="E790" s="70"/>
      <c r="F790" s="70"/>
      <c r="G790" s="70"/>
      <c r="H790" s="131"/>
      <c r="I790" s="3"/>
    </row>
    <row r="791" spans="1:9" s="93" customFormat="1" ht="9" customHeight="1" x14ac:dyDescent="0.3">
      <c r="A791" s="91"/>
      <c r="B791" s="70"/>
      <c r="C791" s="70"/>
      <c r="D791" s="70"/>
      <c r="E791" s="70"/>
      <c r="F791" s="70"/>
      <c r="G791" s="70"/>
      <c r="H791" s="131"/>
      <c r="I791" s="3"/>
    </row>
    <row r="792" spans="1:9" s="93" customFormat="1" ht="9" customHeight="1" x14ac:dyDescent="0.3">
      <c r="A792" s="91"/>
      <c r="B792" s="70"/>
      <c r="C792" s="70"/>
      <c r="D792" s="70"/>
      <c r="E792" s="70"/>
      <c r="F792" s="70"/>
      <c r="G792" s="70"/>
      <c r="H792" s="131"/>
      <c r="I792" s="3"/>
    </row>
    <row r="793" spans="1:9" s="93" customFormat="1" ht="9" customHeight="1" x14ac:dyDescent="0.3">
      <c r="A793" s="91"/>
      <c r="B793" s="70"/>
      <c r="C793" s="70"/>
      <c r="D793" s="70"/>
      <c r="E793" s="70"/>
      <c r="F793" s="70"/>
      <c r="G793" s="70"/>
      <c r="H793" s="131"/>
      <c r="I793" s="3"/>
    </row>
    <row r="794" spans="1:9" s="93" customFormat="1" ht="9" customHeight="1" x14ac:dyDescent="0.3">
      <c r="A794" s="91"/>
      <c r="B794" s="70"/>
      <c r="C794" s="70"/>
      <c r="D794" s="70"/>
      <c r="E794" s="70"/>
      <c r="F794" s="70"/>
      <c r="G794" s="70"/>
      <c r="H794" s="131"/>
      <c r="I794" s="3"/>
    </row>
    <row r="795" spans="1:9" s="93" customFormat="1" ht="9" customHeight="1" x14ac:dyDescent="0.3">
      <c r="A795" s="91"/>
      <c r="B795" s="70"/>
      <c r="C795" s="70"/>
      <c r="D795" s="70"/>
      <c r="E795" s="70"/>
      <c r="F795" s="70"/>
      <c r="G795" s="70"/>
      <c r="H795" s="131"/>
      <c r="I795" s="3"/>
    </row>
    <row r="796" spans="1:9" s="93" customFormat="1" ht="9" customHeight="1" x14ac:dyDescent="0.3">
      <c r="A796" s="91"/>
      <c r="B796" s="70"/>
      <c r="C796" s="70"/>
      <c r="D796" s="70"/>
      <c r="E796" s="70"/>
      <c r="F796" s="70"/>
      <c r="G796" s="70"/>
      <c r="H796" s="131"/>
      <c r="I796" s="3"/>
    </row>
    <row r="797" spans="1:9" s="93" customFormat="1" ht="9" customHeight="1" x14ac:dyDescent="0.3">
      <c r="A797" s="91"/>
      <c r="B797" s="70"/>
      <c r="C797" s="70"/>
      <c r="D797" s="70"/>
      <c r="E797" s="70"/>
      <c r="F797" s="70"/>
      <c r="G797" s="70"/>
      <c r="H797" s="131"/>
      <c r="I797" s="3"/>
    </row>
    <row r="798" spans="1:9" s="93" customFormat="1" ht="9" customHeight="1" x14ac:dyDescent="0.3">
      <c r="A798" s="91"/>
      <c r="B798" s="70"/>
      <c r="C798" s="70"/>
      <c r="D798" s="70"/>
      <c r="E798" s="70"/>
      <c r="F798" s="70"/>
      <c r="G798" s="70"/>
      <c r="H798" s="131"/>
      <c r="I798" s="3"/>
    </row>
    <row r="799" spans="1:9" s="93" customFormat="1" ht="9" customHeight="1" x14ac:dyDescent="0.3">
      <c r="A799" s="91"/>
      <c r="B799" s="70"/>
      <c r="C799" s="70"/>
      <c r="D799" s="70"/>
      <c r="E799" s="70"/>
      <c r="F799" s="70"/>
      <c r="G799" s="70"/>
      <c r="H799" s="131"/>
      <c r="I799" s="3"/>
    </row>
    <row r="800" spans="1:9" s="93" customFormat="1" ht="9" customHeight="1" x14ac:dyDescent="0.3">
      <c r="A800" s="91"/>
      <c r="B800" s="70"/>
      <c r="C800" s="70"/>
      <c r="D800" s="70"/>
      <c r="E800" s="70"/>
      <c r="F800" s="70"/>
      <c r="G800" s="70"/>
      <c r="H800" s="131"/>
      <c r="I800" s="3"/>
    </row>
    <row r="801" spans="1:9" s="93" customFormat="1" ht="9" customHeight="1" x14ac:dyDescent="0.3">
      <c r="A801" s="91"/>
      <c r="B801" s="70"/>
      <c r="C801" s="70"/>
      <c r="D801" s="70"/>
      <c r="E801" s="70"/>
      <c r="F801" s="70"/>
      <c r="G801" s="70"/>
      <c r="H801" s="131"/>
      <c r="I801" s="3"/>
    </row>
    <row r="802" spans="1:9" s="93" customFormat="1" ht="9" customHeight="1" x14ac:dyDescent="0.3">
      <c r="A802" s="91"/>
      <c r="B802" s="70"/>
      <c r="C802" s="70"/>
      <c r="D802" s="70"/>
      <c r="E802" s="70"/>
      <c r="F802" s="70"/>
      <c r="G802" s="70"/>
      <c r="H802" s="131"/>
      <c r="I802" s="3"/>
    </row>
    <row r="803" spans="1:9" s="93" customFormat="1" ht="9" customHeight="1" x14ac:dyDescent="0.3">
      <c r="A803" s="91"/>
      <c r="B803" s="70"/>
      <c r="C803" s="70"/>
      <c r="D803" s="70"/>
      <c r="E803" s="70"/>
      <c r="F803" s="70"/>
      <c r="G803" s="70"/>
      <c r="H803" s="131"/>
      <c r="I803" s="3"/>
    </row>
    <row r="804" spans="1:9" s="93" customFormat="1" ht="9" customHeight="1" x14ac:dyDescent="0.3">
      <c r="A804" s="91"/>
      <c r="B804" s="70"/>
      <c r="C804" s="70"/>
      <c r="D804" s="70"/>
      <c r="E804" s="70"/>
      <c r="F804" s="70"/>
      <c r="G804" s="70"/>
      <c r="H804" s="131"/>
      <c r="I804" s="3"/>
    </row>
    <row r="805" spans="1:9" s="93" customFormat="1" ht="9" customHeight="1" x14ac:dyDescent="0.3">
      <c r="A805" s="91"/>
      <c r="B805" s="70"/>
      <c r="C805" s="70"/>
      <c r="D805" s="70"/>
      <c r="E805" s="70"/>
      <c r="F805" s="70"/>
      <c r="G805" s="70"/>
      <c r="H805" s="131"/>
      <c r="I805" s="3"/>
    </row>
    <row r="806" spans="1:9" s="93" customFormat="1" ht="9" customHeight="1" x14ac:dyDescent="0.3">
      <c r="A806" s="91"/>
      <c r="B806" s="70"/>
      <c r="C806" s="70"/>
      <c r="D806" s="70"/>
      <c r="E806" s="70"/>
      <c r="F806" s="70"/>
      <c r="G806" s="70"/>
      <c r="H806" s="131"/>
      <c r="I806" s="3"/>
    </row>
    <row r="807" spans="1:9" s="93" customFormat="1" ht="9" customHeight="1" x14ac:dyDescent="0.3">
      <c r="A807" s="91"/>
      <c r="B807" s="70"/>
      <c r="C807" s="70"/>
      <c r="D807" s="70"/>
      <c r="E807" s="70"/>
      <c r="F807" s="70"/>
      <c r="G807" s="70"/>
      <c r="H807" s="131"/>
      <c r="I807" s="3"/>
    </row>
    <row r="808" spans="1:9" s="93" customFormat="1" ht="9" customHeight="1" x14ac:dyDescent="0.3">
      <c r="A808" s="91"/>
      <c r="B808" s="70"/>
      <c r="C808" s="70"/>
      <c r="D808" s="70"/>
      <c r="E808" s="70"/>
      <c r="F808" s="70"/>
      <c r="G808" s="70"/>
      <c r="H808" s="131"/>
      <c r="I808" s="3"/>
    </row>
    <row r="809" spans="1:9" s="93" customFormat="1" ht="9" customHeight="1" x14ac:dyDescent="0.3">
      <c r="A809" s="91"/>
      <c r="B809" s="70"/>
      <c r="C809" s="70"/>
      <c r="D809" s="70"/>
      <c r="E809" s="70"/>
      <c r="F809" s="70"/>
      <c r="G809" s="70"/>
      <c r="H809" s="131"/>
      <c r="I809" s="3"/>
    </row>
    <row r="810" spans="1:9" s="93" customFormat="1" ht="9" customHeight="1" x14ac:dyDescent="0.3">
      <c r="A810" s="91"/>
      <c r="B810" s="70"/>
      <c r="C810" s="70"/>
      <c r="D810" s="70"/>
      <c r="E810" s="70"/>
      <c r="F810" s="70"/>
      <c r="G810" s="70"/>
      <c r="H810" s="131"/>
      <c r="I810" s="3"/>
    </row>
    <row r="811" spans="1:9" s="93" customFormat="1" ht="9" customHeight="1" x14ac:dyDescent="0.3">
      <c r="A811" s="91"/>
      <c r="B811" s="70"/>
      <c r="C811" s="70"/>
      <c r="D811" s="70"/>
      <c r="E811" s="70"/>
      <c r="F811" s="70"/>
      <c r="G811" s="70"/>
      <c r="H811" s="131"/>
      <c r="I811" s="3"/>
    </row>
    <row r="812" spans="1:9" s="93" customFormat="1" ht="9" customHeight="1" x14ac:dyDescent="0.3">
      <c r="A812" s="91"/>
      <c r="B812" s="70"/>
      <c r="C812" s="70"/>
      <c r="D812" s="70"/>
      <c r="E812" s="70"/>
      <c r="F812" s="70"/>
      <c r="G812" s="70"/>
      <c r="H812" s="131"/>
      <c r="I812" s="3"/>
    </row>
    <row r="813" spans="1:9" s="93" customFormat="1" ht="9" customHeight="1" x14ac:dyDescent="0.3">
      <c r="A813" s="91"/>
      <c r="B813" s="70"/>
      <c r="C813" s="70"/>
      <c r="D813" s="70"/>
      <c r="E813" s="70"/>
      <c r="F813" s="70"/>
      <c r="G813" s="70"/>
      <c r="H813" s="131"/>
      <c r="I813" s="3"/>
    </row>
    <row r="814" spans="1:9" s="93" customFormat="1" ht="9" customHeight="1" x14ac:dyDescent="0.3">
      <c r="A814" s="91"/>
      <c r="B814" s="70"/>
      <c r="C814" s="70"/>
      <c r="D814" s="70"/>
      <c r="E814" s="70"/>
      <c r="F814" s="70"/>
      <c r="G814" s="70"/>
      <c r="H814" s="131"/>
      <c r="I814" s="3"/>
    </row>
    <row r="815" spans="1:9" s="93" customFormat="1" ht="9" customHeight="1" x14ac:dyDescent="0.3">
      <c r="A815" s="91"/>
      <c r="B815" s="70"/>
      <c r="C815" s="70"/>
      <c r="D815" s="70"/>
      <c r="E815" s="70"/>
      <c r="F815" s="70"/>
      <c r="G815" s="70"/>
      <c r="H815" s="131"/>
      <c r="I815" s="3"/>
    </row>
    <row r="816" spans="1:9" s="93" customFormat="1" ht="9" customHeight="1" x14ac:dyDescent="0.3">
      <c r="A816" s="91"/>
      <c r="B816" s="70"/>
      <c r="C816" s="70"/>
      <c r="D816" s="70"/>
      <c r="E816" s="70"/>
      <c r="F816" s="70"/>
      <c r="G816" s="70"/>
      <c r="H816" s="131"/>
      <c r="I816" s="3"/>
    </row>
    <row r="817" spans="1:9" s="93" customFormat="1" ht="9" customHeight="1" x14ac:dyDescent="0.3">
      <c r="A817" s="91"/>
      <c r="B817" s="70"/>
      <c r="C817" s="70"/>
      <c r="D817" s="70"/>
      <c r="E817" s="70"/>
      <c r="F817" s="70"/>
      <c r="G817" s="70"/>
      <c r="H817" s="131"/>
      <c r="I817" s="3"/>
    </row>
    <row r="818" spans="1:9" s="93" customFormat="1" ht="9" customHeight="1" x14ac:dyDescent="0.3">
      <c r="A818" s="91"/>
      <c r="B818" s="70"/>
      <c r="C818" s="70"/>
      <c r="D818" s="70"/>
      <c r="E818" s="70"/>
      <c r="F818" s="70"/>
      <c r="G818" s="70"/>
      <c r="H818" s="131"/>
      <c r="I818" s="3"/>
    </row>
    <row r="819" spans="1:9" s="93" customFormat="1" ht="9" customHeight="1" x14ac:dyDescent="0.3">
      <c r="A819" s="91"/>
      <c r="B819" s="70"/>
      <c r="C819" s="70"/>
      <c r="D819" s="70"/>
      <c r="E819" s="70"/>
      <c r="F819" s="70"/>
      <c r="G819" s="70"/>
      <c r="H819" s="131"/>
      <c r="I819" s="3"/>
    </row>
    <row r="820" spans="1:9" s="93" customFormat="1" ht="9" customHeight="1" x14ac:dyDescent="0.3">
      <c r="A820" s="91"/>
      <c r="B820" s="70"/>
      <c r="C820" s="70"/>
      <c r="D820" s="70"/>
      <c r="E820" s="70"/>
      <c r="F820" s="70"/>
      <c r="G820" s="70"/>
      <c r="H820" s="131"/>
      <c r="I820" s="3"/>
    </row>
    <row r="821" spans="1:9" s="93" customFormat="1" ht="9" customHeight="1" x14ac:dyDescent="0.3">
      <c r="A821" s="91"/>
      <c r="B821" s="70"/>
      <c r="C821" s="70"/>
      <c r="D821" s="70"/>
      <c r="E821" s="70"/>
      <c r="F821" s="70"/>
      <c r="G821" s="70"/>
      <c r="H821" s="131"/>
      <c r="I821" s="3"/>
    </row>
    <row r="822" spans="1:9" s="93" customFormat="1" ht="9" customHeight="1" x14ac:dyDescent="0.3">
      <c r="A822" s="91"/>
      <c r="B822" s="70"/>
      <c r="C822" s="70"/>
      <c r="D822" s="70"/>
      <c r="E822" s="70"/>
      <c r="F822" s="70"/>
      <c r="G822" s="70"/>
      <c r="H822" s="131"/>
      <c r="I822" s="3"/>
    </row>
    <row r="823" spans="1:9" s="93" customFormat="1" ht="9" customHeight="1" x14ac:dyDescent="0.3">
      <c r="A823" s="91"/>
      <c r="B823" s="70"/>
      <c r="C823" s="70"/>
      <c r="D823" s="70"/>
      <c r="E823" s="70"/>
      <c r="F823" s="70"/>
      <c r="G823" s="70"/>
      <c r="H823" s="131"/>
      <c r="I823" s="3"/>
    </row>
    <row r="824" spans="1:9" s="93" customFormat="1" ht="9" customHeight="1" x14ac:dyDescent="0.3">
      <c r="A824" s="91"/>
      <c r="B824" s="70"/>
      <c r="C824" s="70"/>
      <c r="D824" s="70"/>
      <c r="E824" s="70"/>
      <c r="F824" s="70"/>
      <c r="G824" s="70"/>
      <c r="H824" s="131"/>
      <c r="I824" s="3"/>
    </row>
    <row r="825" spans="1:9" s="93" customFormat="1" ht="9" customHeight="1" x14ac:dyDescent="0.3">
      <c r="A825" s="91"/>
      <c r="B825" s="70"/>
      <c r="C825" s="70"/>
      <c r="D825" s="70"/>
      <c r="E825" s="70"/>
      <c r="F825" s="70"/>
      <c r="G825" s="70"/>
      <c r="H825" s="131"/>
      <c r="I825" s="3"/>
    </row>
    <row r="826" spans="1:9" s="93" customFormat="1" ht="9" customHeight="1" x14ac:dyDescent="0.3">
      <c r="A826" s="91"/>
      <c r="B826" s="70"/>
      <c r="C826" s="70"/>
      <c r="D826" s="70"/>
      <c r="E826" s="70"/>
      <c r="F826" s="70"/>
      <c r="G826" s="70"/>
      <c r="H826" s="131"/>
      <c r="I826" s="3"/>
    </row>
    <row r="827" spans="1:9" s="93" customFormat="1" ht="9" customHeight="1" x14ac:dyDescent="0.3">
      <c r="A827" s="91"/>
      <c r="B827" s="70"/>
      <c r="C827" s="70"/>
      <c r="D827" s="70"/>
      <c r="E827" s="70"/>
      <c r="F827" s="70"/>
      <c r="G827" s="70"/>
      <c r="H827" s="131"/>
      <c r="I827" s="3"/>
    </row>
    <row r="828" spans="1:9" s="93" customFormat="1" ht="9" customHeight="1" x14ac:dyDescent="0.3">
      <c r="A828" s="91"/>
      <c r="B828" s="70"/>
      <c r="C828" s="70"/>
      <c r="D828" s="70"/>
      <c r="E828" s="70"/>
      <c r="F828" s="70"/>
      <c r="G828" s="70"/>
      <c r="H828" s="131"/>
      <c r="I828" s="3"/>
    </row>
    <row r="829" spans="1:9" s="93" customFormat="1" ht="9" customHeight="1" x14ac:dyDescent="0.3">
      <c r="A829" s="91"/>
      <c r="B829" s="70"/>
      <c r="C829" s="70"/>
      <c r="D829" s="70"/>
      <c r="E829" s="70"/>
      <c r="F829" s="70"/>
      <c r="G829" s="70"/>
      <c r="H829" s="131"/>
      <c r="I829" s="3"/>
    </row>
    <row r="830" spans="1:9" s="93" customFormat="1" ht="9" customHeight="1" x14ac:dyDescent="0.3">
      <c r="A830" s="91"/>
      <c r="B830" s="70"/>
      <c r="C830" s="70"/>
      <c r="D830" s="70"/>
      <c r="E830" s="70"/>
      <c r="F830" s="70"/>
      <c r="G830" s="70"/>
      <c r="H830" s="131"/>
      <c r="I830" s="3"/>
    </row>
    <row r="831" spans="1:9" s="93" customFormat="1" ht="9" customHeight="1" x14ac:dyDescent="0.3">
      <c r="A831" s="91"/>
      <c r="B831" s="70"/>
      <c r="C831" s="70"/>
      <c r="D831" s="70"/>
      <c r="E831" s="70"/>
      <c r="F831" s="70"/>
      <c r="G831" s="70"/>
      <c r="H831" s="131"/>
      <c r="I831" s="3"/>
    </row>
    <row r="832" spans="1:9" s="93" customFormat="1" ht="9" customHeight="1" x14ac:dyDescent="0.3">
      <c r="A832" s="91"/>
      <c r="B832" s="70"/>
      <c r="C832" s="70"/>
      <c r="D832" s="70"/>
      <c r="E832" s="70"/>
      <c r="F832" s="70"/>
      <c r="G832" s="70"/>
      <c r="H832" s="131"/>
      <c r="I832" s="3"/>
    </row>
    <row r="833" spans="1:9" s="93" customFormat="1" ht="9" customHeight="1" x14ac:dyDescent="0.3">
      <c r="A833" s="91"/>
      <c r="B833" s="70"/>
      <c r="C833" s="70"/>
      <c r="D833" s="70"/>
      <c r="E833" s="70"/>
      <c r="F833" s="70"/>
      <c r="G833" s="70"/>
      <c r="H833" s="131"/>
      <c r="I833" s="3"/>
    </row>
    <row r="834" spans="1:9" s="93" customFormat="1" ht="9" customHeight="1" x14ac:dyDescent="0.3">
      <c r="A834" s="91"/>
      <c r="B834" s="70"/>
      <c r="C834" s="70"/>
      <c r="D834" s="70"/>
      <c r="E834" s="70"/>
      <c r="F834" s="70"/>
      <c r="G834" s="70"/>
      <c r="H834" s="131"/>
      <c r="I834" s="3"/>
    </row>
    <row r="835" spans="1:9" s="93" customFormat="1" ht="9" customHeight="1" x14ac:dyDescent="0.3">
      <c r="A835" s="91"/>
      <c r="B835" s="70"/>
      <c r="C835" s="70"/>
      <c r="D835" s="70"/>
      <c r="E835" s="70"/>
      <c r="F835" s="70"/>
      <c r="G835" s="70"/>
      <c r="H835" s="131"/>
      <c r="I835" s="3"/>
    </row>
    <row r="836" spans="1:9" s="93" customFormat="1" ht="9" customHeight="1" x14ac:dyDescent="0.3">
      <c r="A836" s="91"/>
      <c r="B836" s="70"/>
      <c r="C836" s="70"/>
      <c r="D836" s="70"/>
      <c r="E836" s="70"/>
      <c r="F836" s="70"/>
      <c r="G836" s="70"/>
      <c r="H836" s="131"/>
      <c r="I836" s="3"/>
    </row>
    <row r="837" spans="1:9" s="93" customFormat="1" ht="9" customHeight="1" x14ac:dyDescent="0.3">
      <c r="A837" s="91"/>
      <c r="B837" s="70"/>
      <c r="C837" s="70"/>
      <c r="D837" s="70"/>
      <c r="E837" s="70"/>
      <c r="F837" s="70"/>
      <c r="G837" s="70"/>
      <c r="H837" s="131"/>
      <c r="I837" s="3"/>
    </row>
    <row r="838" spans="1:9" s="93" customFormat="1" ht="9" customHeight="1" x14ac:dyDescent="0.3">
      <c r="A838" s="91"/>
      <c r="B838" s="70"/>
      <c r="C838" s="70"/>
      <c r="D838" s="70"/>
      <c r="E838" s="70"/>
      <c r="F838" s="70"/>
      <c r="G838" s="70"/>
      <c r="H838" s="131"/>
      <c r="I838" s="3"/>
    </row>
    <row r="839" spans="1:9" s="93" customFormat="1" ht="9" customHeight="1" x14ac:dyDescent="0.3">
      <c r="A839" s="91"/>
      <c r="B839" s="70"/>
      <c r="C839" s="70"/>
      <c r="D839" s="70"/>
      <c r="E839" s="70"/>
      <c r="F839" s="70"/>
      <c r="G839" s="70"/>
      <c r="H839" s="131"/>
      <c r="I839" s="3"/>
    </row>
    <row r="840" spans="1:9" s="93" customFormat="1" ht="9" customHeight="1" x14ac:dyDescent="0.3">
      <c r="A840" s="91"/>
      <c r="B840" s="70"/>
      <c r="C840" s="70"/>
      <c r="D840" s="70"/>
      <c r="E840" s="70"/>
      <c r="F840" s="70"/>
      <c r="G840" s="70"/>
      <c r="H840" s="131"/>
      <c r="I840" s="3"/>
    </row>
    <row r="841" spans="1:9" s="93" customFormat="1" ht="9" customHeight="1" x14ac:dyDescent="0.3">
      <c r="A841" s="91"/>
      <c r="B841" s="70"/>
      <c r="C841" s="70"/>
      <c r="D841" s="70"/>
      <c r="E841" s="70"/>
      <c r="F841" s="70"/>
      <c r="G841" s="70"/>
      <c r="H841" s="131"/>
      <c r="I841" s="3"/>
    </row>
    <row r="842" spans="1:9" s="93" customFormat="1" ht="9" customHeight="1" x14ac:dyDescent="0.3">
      <c r="A842" s="91"/>
      <c r="B842" s="70"/>
      <c r="C842" s="70"/>
      <c r="D842" s="70"/>
      <c r="E842" s="70"/>
      <c r="F842" s="70"/>
      <c r="G842" s="70"/>
      <c r="H842" s="131"/>
      <c r="I842" s="3"/>
    </row>
    <row r="843" spans="1:9" s="93" customFormat="1" ht="9" customHeight="1" x14ac:dyDescent="0.3">
      <c r="A843" s="91"/>
      <c r="B843" s="70"/>
      <c r="C843" s="70"/>
      <c r="D843" s="70"/>
      <c r="E843" s="70"/>
      <c r="F843" s="70"/>
      <c r="G843" s="70"/>
      <c r="H843" s="131"/>
      <c r="I843" s="3"/>
    </row>
    <row r="844" spans="1:9" s="93" customFormat="1" ht="9" customHeight="1" x14ac:dyDescent="0.3">
      <c r="A844" s="91"/>
      <c r="B844" s="70"/>
      <c r="C844" s="70"/>
      <c r="D844" s="70"/>
      <c r="E844" s="70"/>
      <c r="F844" s="70"/>
      <c r="G844" s="70"/>
      <c r="H844" s="131"/>
      <c r="I844" s="3"/>
    </row>
    <row r="845" spans="1:9" s="93" customFormat="1" ht="9" customHeight="1" x14ac:dyDescent="0.3">
      <c r="A845" s="91"/>
      <c r="B845" s="70"/>
      <c r="C845" s="70"/>
      <c r="D845" s="70"/>
      <c r="E845" s="70"/>
      <c r="F845" s="70"/>
      <c r="G845" s="70"/>
      <c r="H845" s="131"/>
      <c r="I845" s="3"/>
    </row>
    <row r="846" spans="1:9" s="93" customFormat="1" ht="9" customHeight="1" x14ac:dyDescent="0.3">
      <c r="A846" s="91"/>
      <c r="B846" s="70"/>
      <c r="C846" s="70"/>
      <c r="D846" s="70"/>
      <c r="E846" s="70"/>
      <c r="F846" s="70"/>
      <c r="G846" s="70"/>
      <c r="H846" s="131"/>
      <c r="I846" s="3"/>
    </row>
    <row r="847" spans="1:9" s="93" customFormat="1" ht="9" customHeight="1" x14ac:dyDescent="0.3">
      <c r="A847" s="91"/>
      <c r="B847" s="70"/>
      <c r="C847" s="70"/>
      <c r="D847" s="70"/>
      <c r="E847" s="70"/>
      <c r="F847" s="70"/>
      <c r="G847" s="70"/>
      <c r="H847" s="131"/>
      <c r="I847" s="3"/>
    </row>
    <row r="848" spans="1:9" s="93" customFormat="1" ht="9" customHeight="1" x14ac:dyDescent="0.3">
      <c r="A848" s="91"/>
      <c r="B848" s="70"/>
      <c r="C848" s="70"/>
      <c r="D848" s="70"/>
      <c r="E848" s="70"/>
      <c r="F848" s="70"/>
      <c r="G848" s="70"/>
      <c r="H848" s="131"/>
      <c r="I848" s="3"/>
    </row>
    <row r="849" spans="1:9" s="93" customFormat="1" ht="9" customHeight="1" x14ac:dyDescent="0.3">
      <c r="A849" s="91"/>
      <c r="B849" s="70"/>
      <c r="C849" s="70"/>
      <c r="D849" s="70"/>
      <c r="E849" s="70"/>
      <c r="F849" s="70"/>
      <c r="G849" s="70"/>
      <c r="H849" s="131"/>
      <c r="I849" s="3"/>
    </row>
    <row r="850" spans="1:9" s="93" customFormat="1" ht="9" customHeight="1" x14ac:dyDescent="0.3">
      <c r="A850" s="91"/>
      <c r="B850" s="70"/>
      <c r="C850" s="70"/>
      <c r="D850" s="70"/>
      <c r="E850" s="70"/>
      <c r="F850" s="70"/>
      <c r="G850" s="70"/>
      <c r="H850" s="131"/>
      <c r="I850" s="3"/>
    </row>
    <row r="851" spans="1:9" s="93" customFormat="1" ht="9" customHeight="1" x14ac:dyDescent="0.3">
      <c r="A851" s="91"/>
      <c r="B851" s="70"/>
      <c r="C851" s="70"/>
      <c r="D851" s="70"/>
      <c r="E851" s="70"/>
      <c r="F851" s="70"/>
      <c r="G851" s="70"/>
      <c r="H851" s="131"/>
      <c r="I851" s="3"/>
    </row>
    <row r="852" spans="1:9" s="93" customFormat="1" ht="9" customHeight="1" x14ac:dyDescent="0.3">
      <c r="A852" s="91"/>
      <c r="B852" s="70"/>
      <c r="C852" s="70"/>
      <c r="D852" s="70"/>
      <c r="E852" s="70"/>
      <c r="F852" s="70"/>
      <c r="G852" s="70"/>
      <c r="H852" s="131"/>
      <c r="I852" s="3"/>
    </row>
    <row r="853" spans="1:9" s="93" customFormat="1" ht="9" customHeight="1" x14ac:dyDescent="0.3">
      <c r="A853" s="91"/>
      <c r="B853" s="70"/>
      <c r="C853" s="70"/>
      <c r="D853" s="70"/>
      <c r="E853" s="70"/>
      <c r="F853" s="70"/>
      <c r="G853" s="70"/>
      <c r="H853" s="131"/>
      <c r="I853" s="3"/>
    </row>
    <row r="854" spans="1:9" s="93" customFormat="1" ht="9" customHeight="1" x14ac:dyDescent="0.3">
      <c r="A854" s="91"/>
      <c r="B854" s="70"/>
      <c r="C854" s="70"/>
      <c r="D854" s="70"/>
      <c r="E854" s="70"/>
      <c r="F854" s="70"/>
      <c r="G854" s="70"/>
      <c r="H854" s="131"/>
      <c r="I854" s="3"/>
    </row>
    <row r="855" spans="1:9" s="93" customFormat="1" ht="9" customHeight="1" x14ac:dyDescent="0.3">
      <c r="A855" s="91"/>
      <c r="B855" s="70"/>
      <c r="C855" s="70"/>
      <c r="D855" s="70"/>
      <c r="E855" s="70"/>
      <c r="F855" s="70"/>
      <c r="G855" s="70"/>
      <c r="H855" s="131"/>
      <c r="I855" s="3"/>
    </row>
    <row r="856" spans="1:9" s="93" customFormat="1" ht="9" customHeight="1" x14ac:dyDescent="0.3">
      <c r="A856" s="91"/>
      <c r="B856" s="70"/>
      <c r="C856" s="70"/>
      <c r="D856" s="70"/>
      <c r="E856" s="70"/>
      <c r="F856" s="70"/>
      <c r="G856" s="70"/>
      <c r="H856" s="131"/>
      <c r="I856" s="3"/>
    </row>
    <row r="857" spans="1:9" s="93" customFormat="1" ht="9" customHeight="1" x14ac:dyDescent="0.3">
      <c r="A857" s="91"/>
      <c r="B857" s="70"/>
      <c r="C857" s="70"/>
      <c r="D857" s="70"/>
      <c r="E857" s="70"/>
      <c r="F857" s="70"/>
      <c r="G857" s="70"/>
      <c r="H857" s="131"/>
      <c r="I857" s="3"/>
    </row>
    <row r="858" spans="1:9" s="93" customFormat="1" ht="9" customHeight="1" x14ac:dyDescent="0.3">
      <c r="A858" s="91"/>
      <c r="B858" s="70"/>
      <c r="C858" s="70"/>
      <c r="D858" s="70"/>
      <c r="E858" s="70"/>
      <c r="F858" s="70"/>
      <c r="G858" s="70"/>
      <c r="H858" s="131"/>
      <c r="I858" s="3"/>
    </row>
    <row r="859" spans="1:9" s="93" customFormat="1" ht="9" customHeight="1" x14ac:dyDescent="0.3">
      <c r="A859" s="91"/>
      <c r="B859" s="70"/>
      <c r="C859" s="70"/>
      <c r="D859" s="70"/>
      <c r="E859" s="70"/>
      <c r="F859" s="70"/>
      <c r="G859" s="70"/>
      <c r="H859" s="131"/>
      <c r="I859" s="3"/>
    </row>
    <row r="860" spans="1:9" s="93" customFormat="1" ht="9" customHeight="1" x14ac:dyDescent="0.3">
      <c r="A860" s="91"/>
      <c r="B860" s="70"/>
      <c r="C860" s="70"/>
      <c r="D860" s="70"/>
      <c r="E860" s="70"/>
      <c r="F860" s="70"/>
      <c r="G860" s="70"/>
      <c r="H860" s="131"/>
      <c r="I860" s="3"/>
    </row>
    <row r="861" spans="1:9" s="93" customFormat="1" ht="9" customHeight="1" x14ac:dyDescent="0.3">
      <c r="A861" s="91"/>
      <c r="B861" s="70"/>
      <c r="C861" s="70"/>
      <c r="D861" s="70"/>
      <c r="E861" s="70"/>
      <c r="F861" s="70"/>
      <c r="G861" s="70"/>
      <c r="H861" s="131"/>
      <c r="I861" s="3"/>
    </row>
    <row r="862" spans="1:9" s="93" customFormat="1" ht="9" customHeight="1" x14ac:dyDescent="0.3">
      <c r="A862" s="91"/>
      <c r="B862" s="70"/>
      <c r="C862" s="70"/>
      <c r="D862" s="70"/>
      <c r="E862" s="70"/>
      <c r="F862" s="70"/>
      <c r="G862" s="70"/>
      <c r="H862" s="131"/>
      <c r="I862" s="3"/>
    </row>
    <row r="863" spans="1:9" s="93" customFormat="1" ht="9" customHeight="1" x14ac:dyDescent="0.3">
      <c r="A863" s="91"/>
      <c r="B863" s="70"/>
      <c r="C863" s="70"/>
      <c r="D863" s="70"/>
      <c r="E863" s="70"/>
      <c r="F863" s="70"/>
      <c r="G863" s="70"/>
      <c r="H863" s="131"/>
      <c r="I863" s="3"/>
    </row>
    <row r="864" spans="1:9" s="93" customFormat="1" ht="9" customHeight="1" x14ac:dyDescent="0.3">
      <c r="A864" s="91"/>
      <c r="B864" s="70"/>
      <c r="C864" s="70"/>
      <c r="D864" s="70"/>
      <c r="E864" s="70"/>
      <c r="F864" s="70"/>
      <c r="G864" s="70"/>
      <c r="H864" s="131"/>
      <c r="I864" s="3"/>
    </row>
    <row r="865" spans="1:9" s="93" customFormat="1" ht="9" customHeight="1" x14ac:dyDescent="0.3">
      <c r="A865" s="91"/>
      <c r="B865" s="70"/>
      <c r="C865" s="70"/>
      <c r="D865" s="70"/>
      <c r="E865" s="70"/>
      <c r="F865" s="70"/>
      <c r="G865" s="70"/>
      <c r="H865" s="131"/>
      <c r="I865" s="3"/>
    </row>
    <row r="866" spans="1:9" s="93" customFormat="1" ht="9" customHeight="1" x14ac:dyDescent="0.3">
      <c r="A866" s="91"/>
      <c r="B866" s="70"/>
      <c r="C866" s="70"/>
      <c r="D866" s="70"/>
      <c r="E866" s="70"/>
      <c r="F866" s="70"/>
      <c r="G866" s="70"/>
      <c r="H866" s="131"/>
      <c r="I866" s="3"/>
    </row>
    <row r="867" spans="1:9" s="93" customFormat="1" ht="9" customHeight="1" x14ac:dyDescent="0.3">
      <c r="A867" s="91"/>
      <c r="B867" s="70"/>
      <c r="C867" s="70"/>
      <c r="D867" s="70"/>
      <c r="E867" s="70"/>
      <c r="F867" s="70"/>
      <c r="G867" s="70"/>
      <c r="H867" s="131"/>
      <c r="I867" s="3"/>
    </row>
    <row r="868" spans="1:9" s="93" customFormat="1" ht="9" customHeight="1" x14ac:dyDescent="0.3">
      <c r="A868" s="91"/>
      <c r="B868" s="70"/>
      <c r="C868" s="70"/>
      <c r="D868" s="70"/>
      <c r="E868" s="70"/>
      <c r="F868" s="70"/>
      <c r="G868" s="70"/>
      <c r="H868" s="131"/>
      <c r="I868" s="3"/>
    </row>
    <row r="869" spans="1:9" s="93" customFormat="1" ht="9" customHeight="1" x14ac:dyDescent="0.3">
      <c r="A869" s="91"/>
      <c r="B869" s="70"/>
      <c r="C869" s="70"/>
      <c r="D869" s="70"/>
      <c r="E869" s="70"/>
      <c r="F869" s="70"/>
      <c r="G869" s="70"/>
      <c r="H869" s="131"/>
      <c r="I869" s="3"/>
    </row>
    <row r="870" spans="1:9" s="93" customFormat="1" ht="9" customHeight="1" x14ac:dyDescent="0.3">
      <c r="A870" s="91"/>
      <c r="B870" s="70"/>
      <c r="C870" s="70"/>
      <c r="D870" s="70"/>
      <c r="E870" s="70"/>
      <c r="F870" s="70"/>
      <c r="G870" s="70"/>
      <c r="H870" s="131"/>
      <c r="I870" s="3"/>
    </row>
    <row r="871" spans="1:9" s="93" customFormat="1" ht="9" customHeight="1" x14ac:dyDescent="0.3">
      <c r="A871" s="91"/>
      <c r="B871" s="70"/>
      <c r="C871" s="70"/>
      <c r="D871" s="70"/>
      <c r="E871" s="70"/>
      <c r="F871" s="70"/>
      <c r="G871" s="70"/>
      <c r="H871" s="131"/>
      <c r="I871" s="3"/>
    </row>
    <row r="872" spans="1:9" s="93" customFormat="1" ht="9" customHeight="1" x14ac:dyDescent="0.3">
      <c r="A872" s="91"/>
      <c r="B872" s="70"/>
      <c r="C872" s="70"/>
      <c r="D872" s="70"/>
      <c r="E872" s="70"/>
      <c r="F872" s="70"/>
      <c r="G872" s="70"/>
      <c r="H872" s="131"/>
      <c r="I872" s="3"/>
    </row>
    <row r="873" spans="1:9" s="93" customFormat="1" ht="9" customHeight="1" x14ac:dyDescent="0.3">
      <c r="A873" s="91"/>
      <c r="B873" s="70"/>
      <c r="C873" s="70"/>
      <c r="D873" s="70"/>
      <c r="E873" s="70"/>
      <c r="F873" s="70"/>
      <c r="G873" s="70"/>
      <c r="H873" s="131"/>
      <c r="I873" s="3"/>
    </row>
    <row r="874" spans="1:9" s="93" customFormat="1" ht="9" customHeight="1" x14ac:dyDescent="0.3">
      <c r="A874" s="91"/>
      <c r="B874" s="70"/>
      <c r="C874" s="70"/>
      <c r="D874" s="70"/>
      <c r="E874" s="70"/>
      <c r="F874" s="70"/>
      <c r="G874" s="70"/>
      <c r="H874" s="131"/>
      <c r="I874" s="3"/>
    </row>
    <row r="875" spans="1:9" s="93" customFormat="1" ht="9" customHeight="1" x14ac:dyDescent="0.3">
      <c r="A875" s="91"/>
      <c r="B875" s="70"/>
      <c r="C875" s="70"/>
      <c r="D875" s="70"/>
      <c r="E875" s="70"/>
      <c r="F875" s="70"/>
      <c r="G875" s="70"/>
      <c r="H875" s="131"/>
      <c r="I875" s="3"/>
    </row>
    <row r="876" spans="1:9" s="93" customFormat="1" ht="9" customHeight="1" x14ac:dyDescent="0.3">
      <c r="A876" s="91"/>
      <c r="B876" s="70"/>
      <c r="C876" s="70"/>
      <c r="D876" s="70"/>
      <c r="E876" s="70"/>
      <c r="F876" s="70"/>
      <c r="G876" s="70"/>
      <c r="H876" s="131"/>
      <c r="I876" s="3"/>
    </row>
    <row r="877" spans="1:9" s="93" customFormat="1" ht="9" customHeight="1" x14ac:dyDescent="0.3">
      <c r="A877" s="91"/>
      <c r="B877" s="70"/>
      <c r="C877" s="70"/>
      <c r="D877" s="70"/>
      <c r="E877" s="70"/>
      <c r="F877" s="70"/>
      <c r="G877" s="70"/>
      <c r="H877" s="131"/>
      <c r="I877" s="3"/>
    </row>
    <row r="878" spans="1:9" s="93" customFormat="1" ht="9" customHeight="1" x14ac:dyDescent="0.3">
      <c r="A878" s="91"/>
      <c r="B878" s="70"/>
      <c r="C878" s="70"/>
      <c r="D878" s="70"/>
      <c r="E878" s="70"/>
      <c r="F878" s="70"/>
      <c r="G878" s="70"/>
      <c r="H878" s="131"/>
      <c r="I878" s="3"/>
    </row>
    <row r="879" spans="1:9" s="93" customFormat="1" ht="9" customHeight="1" x14ac:dyDescent="0.3">
      <c r="A879" s="91"/>
      <c r="B879" s="70"/>
      <c r="C879" s="70"/>
      <c r="D879" s="70"/>
      <c r="E879" s="70"/>
      <c r="F879" s="70"/>
      <c r="G879" s="70"/>
      <c r="H879" s="131"/>
      <c r="I879" s="3"/>
    </row>
    <row r="880" spans="1:9" s="93" customFormat="1" ht="9" customHeight="1" x14ac:dyDescent="0.3">
      <c r="A880" s="91"/>
      <c r="B880" s="70"/>
      <c r="C880" s="70"/>
      <c r="D880" s="70"/>
      <c r="E880" s="70"/>
      <c r="F880" s="70"/>
      <c r="G880" s="70"/>
      <c r="H880" s="131"/>
      <c r="I880" s="3"/>
    </row>
    <row r="881" spans="1:9" s="93" customFormat="1" ht="9" customHeight="1" x14ac:dyDescent="0.3">
      <c r="A881" s="91"/>
      <c r="B881" s="70"/>
      <c r="C881" s="70"/>
      <c r="D881" s="70"/>
      <c r="E881" s="70"/>
      <c r="F881" s="70"/>
      <c r="G881" s="70"/>
      <c r="H881" s="131"/>
      <c r="I881" s="3"/>
    </row>
    <row r="882" spans="1:9" s="93" customFormat="1" ht="9" customHeight="1" x14ac:dyDescent="0.3">
      <c r="A882" s="91"/>
      <c r="B882" s="70"/>
      <c r="C882" s="70"/>
      <c r="D882" s="70"/>
      <c r="E882" s="70"/>
      <c r="F882" s="70"/>
      <c r="G882" s="70"/>
      <c r="H882" s="131"/>
      <c r="I882" s="3"/>
    </row>
    <row r="883" spans="1:9" s="93" customFormat="1" ht="9" customHeight="1" x14ac:dyDescent="0.3">
      <c r="A883" s="91"/>
      <c r="B883" s="70"/>
      <c r="C883" s="70"/>
      <c r="D883" s="70"/>
      <c r="E883" s="70"/>
      <c r="F883" s="70"/>
      <c r="G883" s="70"/>
      <c r="H883" s="131"/>
      <c r="I883" s="3"/>
    </row>
    <row r="884" spans="1:9" s="93" customFormat="1" ht="9" customHeight="1" x14ac:dyDescent="0.3">
      <c r="A884" s="91"/>
      <c r="B884" s="70"/>
      <c r="C884" s="70"/>
      <c r="D884" s="70"/>
      <c r="E884" s="70"/>
      <c r="F884" s="70"/>
      <c r="G884" s="70"/>
      <c r="H884" s="131"/>
      <c r="I884" s="3"/>
    </row>
    <row r="885" spans="1:9" s="93" customFormat="1" ht="9" customHeight="1" x14ac:dyDescent="0.3">
      <c r="A885" s="91"/>
      <c r="B885" s="70"/>
      <c r="C885" s="70"/>
      <c r="D885" s="70"/>
      <c r="E885" s="70"/>
      <c r="F885" s="70"/>
      <c r="G885" s="70"/>
      <c r="H885" s="131"/>
      <c r="I885" s="3"/>
    </row>
    <row r="886" spans="1:9" s="93" customFormat="1" ht="9" customHeight="1" x14ac:dyDescent="0.3">
      <c r="A886" s="91"/>
      <c r="B886" s="70"/>
      <c r="C886" s="70"/>
      <c r="D886" s="70"/>
      <c r="E886" s="70"/>
      <c r="F886" s="70"/>
      <c r="G886" s="70"/>
      <c r="H886" s="131"/>
      <c r="I886" s="3"/>
    </row>
    <row r="887" spans="1:9" s="93" customFormat="1" ht="9" customHeight="1" x14ac:dyDescent="0.3">
      <c r="A887" s="91"/>
      <c r="B887" s="70"/>
      <c r="C887" s="70"/>
      <c r="D887" s="70"/>
      <c r="E887" s="70"/>
      <c r="F887" s="70"/>
      <c r="G887" s="70"/>
      <c r="H887" s="131"/>
      <c r="I887" s="3"/>
    </row>
    <row r="888" spans="1:9" s="93" customFormat="1" ht="9" customHeight="1" x14ac:dyDescent="0.3">
      <c r="A888" s="91"/>
      <c r="B888" s="70"/>
      <c r="C888" s="70"/>
      <c r="D888" s="70"/>
      <c r="E888" s="70"/>
      <c r="F888" s="70"/>
      <c r="G888" s="70"/>
      <c r="H888" s="131"/>
      <c r="I888" s="3"/>
    </row>
    <row r="889" spans="1:9" s="93" customFormat="1" ht="9" customHeight="1" x14ac:dyDescent="0.3">
      <c r="A889" s="91"/>
      <c r="B889" s="70"/>
      <c r="C889" s="70"/>
      <c r="D889" s="70"/>
      <c r="E889" s="70"/>
      <c r="F889" s="70"/>
      <c r="G889" s="70"/>
      <c r="H889" s="131"/>
      <c r="I889" s="3"/>
    </row>
    <row r="890" spans="1:9" s="93" customFormat="1" ht="9" customHeight="1" x14ac:dyDescent="0.3">
      <c r="A890" s="91"/>
      <c r="B890" s="70"/>
      <c r="C890" s="70"/>
      <c r="D890" s="70"/>
      <c r="E890" s="70"/>
      <c r="F890" s="70"/>
      <c r="G890" s="70"/>
      <c r="H890" s="131"/>
      <c r="I890" s="3"/>
    </row>
    <row r="891" spans="1:9" s="93" customFormat="1" ht="9" customHeight="1" x14ac:dyDescent="0.3">
      <c r="A891" s="91"/>
      <c r="B891" s="70"/>
      <c r="C891" s="70"/>
      <c r="D891" s="70"/>
      <c r="E891" s="70"/>
      <c r="F891" s="70"/>
      <c r="G891" s="70"/>
      <c r="H891" s="131"/>
      <c r="I891" s="3"/>
    </row>
    <row r="892" spans="1:9" s="93" customFormat="1" ht="9" customHeight="1" x14ac:dyDescent="0.3">
      <c r="A892" s="91"/>
      <c r="B892" s="70"/>
      <c r="C892" s="70"/>
      <c r="D892" s="70"/>
      <c r="E892" s="70"/>
      <c r="F892" s="70"/>
      <c r="G892" s="70"/>
      <c r="H892" s="131"/>
      <c r="I892" s="3"/>
    </row>
    <row r="893" spans="1:9" s="93" customFormat="1" ht="9" customHeight="1" x14ac:dyDescent="0.3">
      <c r="A893" s="91"/>
      <c r="B893" s="70"/>
      <c r="C893" s="70"/>
      <c r="D893" s="70"/>
      <c r="E893" s="70"/>
      <c r="F893" s="70"/>
      <c r="G893" s="70"/>
      <c r="H893" s="131"/>
      <c r="I893" s="3"/>
    </row>
    <row r="894" spans="1:9" s="93" customFormat="1" ht="9" customHeight="1" x14ac:dyDescent="0.3">
      <c r="A894" s="91"/>
      <c r="B894" s="70"/>
      <c r="C894" s="70"/>
      <c r="D894" s="70"/>
      <c r="E894" s="70"/>
      <c r="F894" s="70"/>
      <c r="G894" s="70"/>
      <c r="H894" s="131"/>
      <c r="I894" s="3"/>
    </row>
    <row r="895" spans="1:9" s="93" customFormat="1" ht="9" customHeight="1" x14ac:dyDescent="0.3">
      <c r="A895" s="91"/>
      <c r="B895" s="70"/>
      <c r="C895" s="70"/>
      <c r="D895" s="70"/>
      <c r="E895" s="70"/>
      <c r="F895" s="70"/>
      <c r="G895" s="70"/>
      <c r="H895" s="131"/>
      <c r="I895" s="3"/>
    </row>
    <row r="896" spans="1:9" s="93" customFormat="1" ht="9" customHeight="1" x14ac:dyDescent="0.3">
      <c r="A896" s="91"/>
      <c r="B896" s="70"/>
      <c r="C896" s="70"/>
      <c r="D896" s="70"/>
      <c r="E896" s="70"/>
      <c r="F896" s="70"/>
      <c r="G896" s="70"/>
      <c r="H896" s="131"/>
      <c r="I896" s="3"/>
    </row>
    <row r="897" spans="1:9" s="93" customFormat="1" ht="9" customHeight="1" x14ac:dyDescent="0.3">
      <c r="A897" s="91"/>
      <c r="B897" s="70"/>
      <c r="C897" s="70"/>
      <c r="D897" s="70"/>
      <c r="E897" s="70"/>
      <c r="F897" s="70"/>
      <c r="G897" s="70"/>
      <c r="H897" s="131"/>
      <c r="I897" s="3"/>
    </row>
    <row r="898" spans="1:9" s="93" customFormat="1" ht="9" customHeight="1" x14ac:dyDescent="0.3">
      <c r="A898" s="91"/>
      <c r="B898" s="70"/>
      <c r="C898" s="70"/>
      <c r="D898" s="70"/>
      <c r="E898" s="70"/>
      <c r="F898" s="70"/>
      <c r="G898" s="70"/>
      <c r="H898" s="131"/>
      <c r="I898" s="3"/>
    </row>
    <row r="899" spans="1:9" s="93" customFormat="1" ht="9" customHeight="1" x14ac:dyDescent="0.3">
      <c r="A899" s="91"/>
      <c r="B899" s="70"/>
      <c r="C899" s="70"/>
      <c r="D899" s="70"/>
      <c r="E899" s="70"/>
      <c r="F899" s="70"/>
      <c r="G899" s="70"/>
      <c r="H899" s="131"/>
      <c r="I899" s="3"/>
    </row>
    <row r="900" spans="1:9" s="93" customFormat="1" ht="9" customHeight="1" x14ac:dyDescent="0.3">
      <c r="A900" s="91"/>
      <c r="B900" s="70"/>
      <c r="C900" s="70"/>
      <c r="D900" s="70"/>
      <c r="E900" s="70"/>
      <c r="F900" s="70"/>
      <c r="G900" s="70"/>
      <c r="H900" s="131"/>
      <c r="I900" s="3"/>
    </row>
    <row r="901" spans="1:9" s="93" customFormat="1" ht="9" customHeight="1" x14ac:dyDescent="0.3">
      <c r="A901" s="91"/>
      <c r="B901" s="70"/>
      <c r="C901" s="70"/>
      <c r="D901" s="70"/>
      <c r="E901" s="70"/>
      <c r="F901" s="70"/>
      <c r="G901" s="70"/>
      <c r="H901" s="131"/>
      <c r="I901" s="3"/>
    </row>
    <row r="902" spans="1:9" s="93" customFormat="1" ht="9" customHeight="1" x14ac:dyDescent="0.3">
      <c r="A902" s="91"/>
      <c r="B902" s="70"/>
      <c r="C902" s="70"/>
      <c r="D902" s="70"/>
      <c r="E902" s="70"/>
      <c r="F902" s="70"/>
      <c r="G902" s="70"/>
      <c r="H902" s="131"/>
      <c r="I902" s="3"/>
    </row>
    <row r="903" spans="1:9" s="93" customFormat="1" ht="9" customHeight="1" x14ac:dyDescent="0.3">
      <c r="A903" s="91"/>
      <c r="B903" s="70"/>
      <c r="C903" s="70"/>
      <c r="D903" s="70"/>
      <c r="E903" s="70"/>
      <c r="F903" s="70"/>
      <c r="G903" s="70"/>
      <c r="H903" s="131"/>
      <c r="I903" s="3"/>
    </row>
    <row r="904" spans="1:9" s="93" customFormat="1" ht="9" customHeight="1" x14ac:dyDescent="0.3">
      <c r="A904" s="91"/>
      <c r="B904" s="70"/>
      <c r="C904" s="70"/>
      <c r="D904" s="70"/>
      <c r="E904" s="70"/>
      <c r="F904" s="70"/>
      <c r="G904" s="70"/>
      <c r="H904" s="131"/>
      <c r="I904" s="3"/>
    </row>
    <row r="905" spans="1:9" s="93" customFormat="1" ht="9" customHeight="1" x14ac:dyDescent="0.3">
      <c r="A905" s="91"/>
      <c r="B905" s="70"/>
      <c r="C905" s="70"/>
      <c r="D905" s="70"/>
      <c r="E905" s="70"/>
      <c r="F905" s="70"/>
      <c r="G905" s="70"/>
      <c r="H905" s="131"/>
      <c r="I905" s="3"/>
    </row>
    <row r="906" spans="1:9" s="93" customFormat="1" ht="9" customHeight="1" x14ac:dyDescent="0.3">
      <c r="A906" s="91"/>
      <c r="B906" s="70"/>
      <c r="C906" s="70"/>
      <c r="D906" s="70"/>
      <c r="E906" s="70"/>
      <c r="F906" s="70"/>
      <c r="G906" s="70"/>
      <c r="H906" s="131"/>
      <c r="I906" s="3"/>
    </row>
    <row r="907" spans="1:9" s="93" customFormat="1" ht="9" customHeight="1" x14ac:dyDescent="0.3">
      <c r="A907" s="91"/>
      <c r="B907" s="70"/>
      <c r="C907" s="70"/>
      <c r="D907" s="70"/>
      <c r="E907" s="70"/>
      <c r="F907" s="70"/>
      <c r="G907" s="70"/>
      <c r="H907" s="131"/>
      <c r="I907" s="3"/>
    </row>
    <row r="908" spans="1:9" s="93" customFormat="1" ht="9" customHeight="1" x14ac:dyDescent="0.3">
      <c r="A908" s="91"/>
      <c r="B908" s="70"/>
      <c r="C908" s="70"/>
      <c r="D908" s="70"/>
      <c r="E908" s="70"/>
      <c r="F908" s="70"/>
      <c r="G908" s="70"/>
      <c r="H908" s="131"/>
      <c r="I908" s="3"/>
    </row>
    <row r="909" spans="1:9" s="93" customFormat="1" ht="9" customHeight="1" x14ac:dyDescent="0.3">
      <c r="A909" s="91"/>
      <c r="B909" s="70"/>
      <c r="C909" s="70"/>
      <c r="D909" s="70"/>
      <c r="E909" s="70"/>
      <c r="F909" s="70"/>
      <c r="G909" s="70"/>
      <c r="H909" s="131"/>
      <c r="I909" s="3"/>
    </row>
    <row r="910" spans="1:9" s="93" customFormat="1" ht="9" customHeight="1" x14ac:dyDescent="0.3">
      <c r="A910" s="91"/>
      <c r="B910" s="70"/>
      <c r="C910" s="70"/>
      <c r="D910" s="70"/>
      <c r="E910" s="70"/>
      <c r="F910" s="70"/>
      <c r="G910" s="70"/>
      <c r="H910" s="131"/>
      <c r="I910" s="3"/>
    </row>
    <row r="911" spans="1:9" s="93" customFormat="1" ht="9" customHeight="1" x14ac:dyDescent="0.3">
      <c r="A911" s="91"/>
      <c r="B911" s="70"/>
      <c r="C911" s="70"/>
      <c r="D911" s="70"/>
      <c r="E911" s="70"/>
      <c r="F911" s="70"/>
      <c r="G911" s="70"/>
      <c r="H911" s="131"/>
      <c r="I911" s="3"/>
    </row>
    <row r="912" spans="1:9" s="93" customFormat="1" ht="9" customHeight="1" x14ac:dyDescent="0.3">
      <c r="A912" s="91"/>
      <c r="B912" s="70"/>
      <c r="C912" s="70"/>
      <c r="D912" s="70"/>
      <c r="E912" s="70"/>
      <c r="F912" s="70"/>
      <c r="G912" s="70"/>
      <c r="H912" s="131"/>
      <c r="I912" s="3"/>
    </row>
    <row r="913" spans="1:9" s="93" customFormat="1" ht="9" customHeight="1" x14ac:dyDescent="0.3">
      <c r="A913" s="91"/>
      <c r="B913" s="70"/>
      <c r="C913" s="70"/>
      <c r="D913" s="70"/>
      <c r="E913" s="70"/>
      <c r="F913" s="70"/>
      <c r="G913" s="70"/>
      <c r="H913" s="131"/>
      <c r="I913" s="3"/>
    </row>
    <row r="914" spans="1:9" s="93" customFormat="1" ht="9" customHeight="1" x14ac:dyDescent="0.3">
      <c r="A914" s="91"/>
      <c r="B914" s="70"/>
      <c r="C914" s="70"/>
      <c r="D914" s="70"/>
      <c r="E914" s="70"/>
      <c r="F914" s="70"/>
      <c r="G914" s="70"/>
      <c r="H914" s="131"/>
      <c r="I914" s="3"/>
    </row>
    <row r="915" spans="1:9" s="93" customFormat="1" ht="9" customHeight="1" x14ac:dyDescent="0.3">
      <c r="A915" s="91"/>
      <c r="B915" s="70"/>
      <c r="C915" s="70"/>
      <c r="D915" s="70"/>
      <c r="E915" s="70"/>
      <c r="F915" s="70"/>
      <c r="G915" s="70"/>
      <c r="H915" s="131"/>
      <c r="I915" s="3"/>
    </row>
    <row r="916" spans="1:9" s="93" customFormat="1" ht="9" customHeight="1" x14ac:dyDescent="0.3">
      <c r="A916" s="91"/>
      <c r="B916" s="70"/>
      <c r="C916" s="70"/>
      <c r="D916" s="70"/>
      <c r="E916" s="70"/>
      <c r="F916" s="70"/>
      <c r="G916" s="70"/>
      <c r="H916" s="131"/>
      <c r="I916" s="3"/>
    </row>
    <row r="917" spans="1:9" s="93" customFormat="1" ht="9" customHeight="1" x14ac:dyDescent="0.3">
      <c r="A917" s="91"/>
      <c r="B917" s="70"/>
      <c r="C917" s="70"/>
      <c r="D917" s="70"/>
      <c r="E917" s="70"/>
      <c r="F917" s="70"/>
      <c r="G917" s="70"/>
      <c r="H917" s="131"/>
      <c r="I917" s="3"/>
    </row>
    <row r="918" spans="1:9" s="93" customFormat="1" ht="9" customHeight="1" x14ac:dyDescent="0.3">
      <c r="A918" s="91"/>
      <c r="B918" s="70"/>
      <c r="C918" s="70"/>
      <c r="D918" s="70"/>
      <c r="E918" s="70"/>
      <c r="F918" s="70"/>
      <c r="G918" s="70"/>
      <c r="H918" s="131"/>
      <c r="I918" s="3"/>
    </row>
    <row r="919" spans="1:9" s="93" customFormat="1" ht="9" customHeight="1" x14ac:dyDescent="0.3">
      <c r="A919" s="91"/>
      <c r="B919" s="70"/>
      <c r="C919" s="70"/>
      <c r="D919" s="70"/>
      <c r="E919" s="70"/>
      <c r="F919" s="70"/>
      <c r="G919" s="70"/>
      <c r="H919" s="131"/>
      <c r="I919" s="3"/>
    </row>
    <row r="920" spans="1:9" s="93" customFormat="1" ht="9" customHeight="1" x14ac:dyDescent="0.3">
      <c r="A920" s="91"/>
      <c r="B920" s="70"/>
      <c r="C920" s="70"/>
      <c r="D920" s="70"/>
      <c r="E920" s="70"/>
      <c r="F920" s="70"/>
      <c r="G920" s="70"/>
      <c r="H920" s="131"/>
      <c r="I920" s="3"/>
    </row>
    <row r="921" spans="1:9" s="93" customFormat="1" ht="9" customHeight="1" x14ac:dyDescent="0.3">
      <c r="A921" s="91"/>
      <c r="B921" s="70"/>
      <c r="C921" s="70"/>
      <c r="D921" s="70"/>
      <c r="E921" s="70"/>
      <c r="F921" s="70"/>
      <c r="G921" s="70"/>
      <c r="H921" s="131"/>
      <c r="I921" s="3"/>
    </row>
    <row r="922" spans="1:9" s="93" customFormat="1" ht="9" customHeight="1" x14ac:dyDescent="0.3">
      <c r="A922" s="91"/>
      <c r="B922" s="70"/>
      <c r="C922" s="70"/>
      <c r="D922" s="70"/>
      <c r="E922" s="70"/>
      <c r="F922" s="70"/>
      <c r="G922" s="70"/>
      <c r="H922" s="131"/>
      <c r="I922" s="3"/>
    </row>
    <row r="923" spans="1:9" s="93" customFormat="1" ht="9" customHeight="1" x14ac:dyDescent="0.3">
      <c r="A923" s="91"/>
      <c r="B923" s="70"/>
      <c r="C923" s="70"/>
      <c r="D923" s="70"/>
      <c r="E923" s="70"/>
      <c r="F923" s="70"/>
      <c r="G923" s="70"/>
      <c r="H923" s="131"/>
      <c r="I923" s="3"/>
    </row>
    <row r="924" spans="1:9" s="93" customFormat="1" ht="9" customHeight="1" x14ac:dyDescent="0.3">
      <c r="A924" s="91"/>
      <c r="B924" s="70"/>
      <c r="C924" s="70"/>
      <c r="D924" s="70"/>
      <c r="E924" s="70"/>
      <c r="F924" s="70"/>
      <c r="G924" s="70"/>
      <c r="H924" s="131"/>
      <c r="I924" s="3"/>
    </row>
    <row r="925" spans="1:9" s="93" customFormat="1" ht="9" customHeight="1" x14ac:dyDescent="0.3">
      <c r="A925" s="91"/>
      <c r="B925" s="70"/>
      <c r="C925" s="70"/>
      <c r="D925" s="70"/>
      <c r="E925" s="70"/>
      <c r="F925" s="70"/>
      <c r="G925" s="70"/>
      <c r="H925" s="131"/>
      <c r="I925" s="3"/>
    </row>
    <row r="926" spans="1:9" s="93" customFormat="1" ht="9" customHeight="1" x14ac:dyDescent="0.3">
      <c r="A926" s="91"/>
      <c r="B926" s="70"/>
      <c r="C926" s="70"/>
      <c r="D926" s="70"/>
      <c r="E926" s="70"/>
      <c r="F926" s="70"/>
      <c r="G926" s="70"/>
      <c r="H926" s="131"/>
      <c r="I926" s="3"/>
    </row>
    <row r="927" spans="1:9" s="93" customFormat="1" ht="9" customHeight="1" x14ac:dyDescent="0.3">
      <c r="A927" s="91"/>
      <c r="B927" s="70"/>
      <c r="C927" s="70"/>
      <c r="D927" s="70"/>
      <c r="E927" s="70"/>
      <c r="F927" s="70"/>
      <c r="G927" s="70"/>
      <c r="H927" s="131"/>
      <c r="I927" s="3"/>
    </row>
    <row r="928" spans="1:9" s="93" customFormat="1" ht="9" customHeight="1" x14ac:dyDescent="0.3">
      <c r="A928" s="91"/>
      <c r="B928" s="70"/>
      <c r="C928" s="70"/>
      <c r="D928" s="70"/>
      <c r="E928" s="70"/>
      <c r="F928" s="70"/>
      <c r="G928" s="70"/>
      <c r="H928" s="131"/>
      <c r="I928" s="3"/>
    </row>
    <row r="929" spans="1:9" s="93" customFormat="1" ht="9" customHeight="1" x14ac:dyDescent="0.3">
      <c r="A929" s="91"/>
      <c r="B929" s="70"/>
      <c r="C929" s="70"/>
      <c r="D929" s="70"/>
      <c r="E929" s="70"/>
      <c r="F929" s="70"/>
      <c r="G929" s="70"/>
      <c r="H929" s="131"/>
      <c r="I929" s="3"/>
    </row>
    <row r="930" spans="1:9" s="93" customFormat="1" ht="9" customHeight="1" x14ac:dyDescent="0.3">
      <c r="A930" s="91"/>
      <c r="B930" s="70"/>
      <c r="C930" s="70"/>
      <c r="D930" s="70"/>
      <c r="E930" s="70"/>
      <c r="F930" s="70"/>
      <c r="G930" s="70"/>
      <c r="H930" s="131"/>
      <c r="I930" s="3"/>
    </row>
    <row r="931" spans="1:9" s="93" customFormat="1" ht="9" customHeight="1" x14ac:dyDescent="0.3">
      <c r="A931" s="91"/>
      <c r="B931" s="70"/>
      <c r="C931" s="70"/>
      <c r="D931" s="70"/>
      <c r="E931" s="70"/>
      <c r="F931" s="70"/>
      <c r="G931" s="70"/>
      <c r="H931" s="131"/>
      <c r="I931" s="3"/>
    </row>
    <row r="932" spans="1:9" s="93" customFormat="1" ht="9" customHeight="1" x14ac:dyDescent="0.3">
      <c r="A932" s="91"/>
      <c r="B932" s="70"/>
      <c r="C932" s="70"/>
      <c r="D932" s="70"/>
      <c r="E932" s="70"/>
      <c r="F932" s="70"/>
      <c r="G932" s="70"/>
      <c r="H932" s="131"/>
      <c r="I932" s="3"/>
    </row>
    <row r="933" spans="1:9" s="93" customFormat="1" ht="9" customHeight="1" x14ac:dyDescent="0.3">
      <c r="A933" s="91"/>
      <c r="B933" s="70"/>
      <c r="C933" s="70"/>
      <c r="D933" s="70"/>
      <c r="E933" s="70"/>
      <c r="F933" s="70"/>
      <c r="G933" s="70"/>
      <c r="H933" s="131"/>
      <c r="I933" s="3"/>
    </row>
    <row r="934" spans="1:9" s="93" customFormat="1" ht="9" customHeight="1" x14ac:dyDescent="0.3">
      <c r="A934" s="91"/>
      <c r="B934" s="70"/>
      <c r="C934" s="70"/>
      <c r="D934" s="70"/>
      <c r="E934" s="70"/>
      <c r="F934" s="70"/>
      <c r="G934" s="70"/>
      <c r="H934" s="131"/>
      <c r="I934" s="3"/>
    </row>
    <row r="935" spans="1:9" s="93" customFormat="1" ht="9" customHeight="1" x14ac:dyDescent="0.3">
      <c r="A935" s="91"/>
      <c r="B935" s="70"/>
      <c r="C935" s="70"/>
      <c r="D935" s="70"/>
      <c r="E935" s="70"/>
      <c r="F935" s="70"/>
      <c r="G935" s="70"/>
      <c r="H935" s="131"/>
      <c r="I935" s="3"/>
    </row>
    <row r="936" spans="1:9" s="93" customFormat="1" ht="9" customHeight="1" x14ac:dyDescent="0.3">
      <c r="A936" s="91"/>
      <c r="B936" s="70"/>
      <c r="C936" s="70"/>
      <c r="D936" s="70"/>
      <c r="E936" s="70"/>
      <c r="F936" s="70"/>
      <c r="G936" s="70"/>
      <c r="H936" s="131"/>
      <c r="I936" s="3"/>
    </row>
    <row r="937" spans="1:9" s="93" customFormat="1" ht="9" customHeight="1" x14ac:dyDescent="0.3">
      <c r="A937" s="91"/>
      <c r="B937" s="70"/>
      <c r="C937" s="70"/>
      <c r="D937" s="70"/>
      <c r="E937" s="70"/>
      <c r="F937" s="70"/>
      <c r="G937" s="70"/>
      <c r="H937" s="131"/>
      <c r="I937" s="3"/>
    </row>
    <row r="938" spans="1:9" s="93" customFormat="1" ht="9" customHeight="1" x14ac:dyDescent="0.3">
      <c r="A938" s="91"/>
      <c r="B938" s="70"/>
      <c r="C938" s="70"/>
      <c r="D938" s="70"/>
      <c r="E938" s="70"/>
      <c r="F938" s="70"/>
      <c r="G938" s="70"/>
      <c r="H938" s="131"/>
      <c r="I938" s="3"/>
    </row>
    <row r="939" spans="1:9" s="93" customFormat="1" ht="9" customHeight="1" x14ac:dyDescent="0.3">
      <c r="A939" s="91"/>
      <c r="B939" s="70"/>
      <c r="C939" s="70"/>
      <c r="D939" s="70"/>
      <c r="E939" s="70"/>
      <c r="F939" s="70"/>
      <c r="G939" s="70"/>
      <c r="H939" s="131"/>
      <c r="I939" s="3"/>
    </row>
    <row r="940" spans="1:9" s="93" customFormat="1" ht="9" customHeight="1" x14ac:dyDescent="0.3">
      <c r="A940" s="91"/>
      <c r="B940" s="70"/>
      <c r="C940" s="70"/>
      <c r="D940" s="70"/>
      <c r="E940" s="70"/>
      <c r="F940" s="70"/>
      <c r="G940" s="70"/>
      <c r="H940" s="131"/>
      <c r="I940" s="3"/>
    </row>
    <row r="941" spans="1:9" s="93" customFormat="1" ht="9" customHeight="1" x14ac:dyDescent="0.3">
      <c r="A941" s="91"/>
      <c r="B941" s="70"/>
      <c r="C941" s="70"/>
      <c r="D941" s="70"/>
      <c r="E941" s="70"/>
      <c r="F941" s="70"/>
      <c r="G941" s="70"/>
      <c r="H941" s="131"/>
      <c r="I941" s="3"/>
    </row>
    <row r="942" spans="1:9" s="93" customFormat="1" ht="9" customHeight="1" x14ac:dyDescent="0.3">
      <c r="A942" s="91"/>
      <c r="B942" s="70"/>
      <c r="C942" s="70"/>
      <c r="D942" s="70"/>
      <c r="E942" s="70"/>
      <c r="F942" s="70"/>
      <c r="G942" s="70"/>
      <c r="H942" s="131"/>
      <c r="I942" s="3"/>
    </row>
    <row r="943" spans="1:9" s="93" customFormat="1" ht="9" customHeight="1" x14ac:dyDescent="0.3">
      <c r="A943" s="91"/>
      <c r="B943" s="70"/>
      <c r="C943" s="70"/>
      <c r="D943" s="70"/>
      <c r="E943" s="70"/>
      <c r="F943" s="70"/>
      <c r="G943" s="70"/>
      <c r="H943" s="131"/>
      <c r="I943" s="3"/>
    </row>
    <row r="944" spans="1:9" s="93" customFormat="1" ht="9" customHeight="1" x14ac:dyDescent="0.3">
      <c r="A944" s="91"/>
      <c r="B944" s="70"/>
      <c r="C944" s="70"/>
      <c r="D944" s="70"/>
      <c r="E944" s="70"/>
      <c r="F944" s="70"/>
      <c r="G944" s="70"/>
      <c r="H944" s="131"/>
      <c r="I944" s="3"/>
    </row>
    <row r="945" spans="1:9" s="93" customFormat="1" ht="9" customHeight="1" x14ac:dyDescent="0.3">
      <c r="A945" s="91"/>
      <c r="B945" s="70"/>
      <c r="C945" s="70"/>
      <c r="D945" s="70"/>
      <c r="E945" s="70"/>
      <c r="F945" s="70"/>
      <c r="G945" s="70"/>
      <c r="H945" s="131"/>
      <c r="I945" s="3"/>
    </row>
    <row r="946" spans="1:9" s="93" customFormat="1" ht="9" customHeight="1" x14ac:dyDescent="0.3">
      <c r="A946" s="91"/>
      <c r="B946" s="70"/>
      <c r="C946" s="70"/>
      <c r="D946" s="70"/>
      <c r="E946" s="70"/>
      <c r="F946" s="70"/>
      <c r="G946" s="70"/>
      <c r="H946" s="131"/>
      <c r="I946" s="3"/>
    </row>
    <row r="947" spans="1:9" s="93" customFormat="1" ht="9" customHeight="1" x14ac:dyDescent="0.3">
      <c r="A947" s="91"/>
      <c r="B947" s="70"/>
      <c r="C947" s="70"/>
      <c r="D947" s="70"/>
      <c r="E947" s="70"/>
      <c r="F947" s="70"/>
      <c r="G947" s="70"/>
      <c r="H947" s="131"/>
      <c r="I947" s="3"/>
    </row>
    <row r="948" spans="1:9" s="93" customFormat="1" ht="9" customHeight="1" x14ac:dyDescent="0.3">
      <c r="A948" s="91"/>
      <c r="B948" s="70"/>
      <c r="C948" s="70"/>
      <c r="D948" s="70"/>
      <c r="E948" s="70"/>
      <c r="F948" s="70"/>
      <c r="G948" s="70"/>
      <c r="H948" s="131"/>
      <c r="I948" s="3"/>
    </row>
    <row r="949" spans="1:9" s="93" customFormat="1" ht="9" customHeight="1" x14ac:dyDescent="0.3">
      <c r="A949" s="91"/>
      <c r="B949" s="70"/>
      <c r="C949" s="70"/>
      <c r="D949" s="70"/>
      <c r="E949" s="70"/>
      <c r="F949" s="70"/>
      <c r="G949" s="70"/>
      <c r="H949" s="131"/>
      <c r="I949" s="3"/>
    </row>
    <row r="950" spans="1:9" s="93" customFormat="1" ht="9" customHeight="1" x14ac:dyDescent="0.3">
      <c r="A950" s="91"/>
      <c r="B950" s="70"/>
      <c r="C950" s="70"/>
      <c r="D950" s="70"/>
      <c r="E950" s="70"/>
      <c r="F950" s="70"/>
      <c r="G950" s="70"/>
      <c r="H950" s="131"/>
      <c r="I950" s="3"/>
    </row>
    <row r="951" spans="1:9" s="93" customFormat="1" ht="9" customHeight="1" x14ac:dyDescent="0.3">
      <c r="A951" s="91"/>
      <c r="B951" s="70"/>
      <c r="C951" s="70"/>
      <c r="D951" s="70"/>
      <c r="E951" s="70"/>
      <c r="F951" s="70"/>
      <c r="G951" s="70"/>
      <c r="H951" s="131"/>
      <c r="I951" s="3"/>
    </row>
    <row r="952" spans="1:9" s="93" customFormat="1" ht="9" customHeight="1" x14ac:dyDescent="0.3">
      <c r="A952" s="91"/>
      <c r="B952" s="70"/>
      <c r="C952" s="70"/>
      <c r="D952" s="70"/>
      <c r="E952" s="70"/>
      <c r="F952" s="70"/>
      <c r="G952" s="70"/>
      <c r="H952" s="131"/>
      <c r="I952" s="3"/>
    </row>
    <row r="953" spans="1:9" s="93" customFormat="1" ht="9" customHeight="1" x14ac:dyDescent="0.3">
      <c r="A953" s="91"/>
      <c r="B953" s="70"/>
      <c r="C953" s="70"/>
      <c r="D953" s="70"/>
      <c r="E953" s="70"/>
      <c r="F953" s="70"/>
      <c r="G953" s="70"/>
      <c r="H953" s="131"/>
      <c r="I953" s="3"/>
    </row>
    <row r="954" spans="1:9" s="93" customFormat="1" ht="9" customHeight="1" x14ac:dyDescent="0.3">
      <c r="A954" s="91"/>
      <c r="B954" s="70"/>
      <c r="C954" s="70"/>
      <c r="D954" s="70"/>
      <c r="E954" s="70"/>
      <c r="F954" s="70"/>
      <c r="G954" s="70"/>
      <c r="H954" s="131"/>
      <c r="I954" s="3"/>
    </row>
    <row r="955" spans="1:9" s="93" customFormat="1" ht="9" customHeight="1" x14ac:dyDescent="0.3">
      <c r="A955" s="91"/>
      <c r="B955" s="70"/>
      <c r="C955" s="70"/>
      <c r="D955" s="70"/>
      <c r="E955" s="70"/>
      <c r="F955" s="70"/>
      <c r="G955" s="70"/>
      <c r="H955" s="131"/>
      <c r="I955" s="3"/>
    </row>
    <row r="956" spans="1:9" s="93" customFormat="1" ht="9" customHeight="1" x14ac:dyDescent="0.3">
      <c r="A956" s="91"/>
      <c r="B956" s="70"/>
      <c r="C956" s="70"/>
      <c r="D956" s="70"/>
      <c r="E956" s="70"/>
      <c r="F956" s="70"/>
      <c r="G956" s="70"/>
      <c r="H956" s="131"/>
      <c r="I956" s="3"/>
    </row>
    <row r="957" spans="1:9" s="93" customFormat="1" ht="9" customHeight="1" x14ac:dyDescent="0.3">
      <c r="A957" s="91"/>
      <c r="B957" s="70"/>
      <c r="C957" s="70"/>
      <c r="D957" s="70"/>
      <c r="E957" s="70"/>
      <c r="F957" s="70"/>
      <c r="G957" s="70"/>
      <c r="H957" s="131"/>
      <c r="I957" s="3"/>
    </row>
    <row r="958" spans="1:9" s="93" customFormat="1" ht="9" customHeight="1" x14ac:dyDescent="0.3">
      <c r="A958" s="91"/>
      <c r="B958" s="70"/>
      <c r="C958" s="70"/>
      <c r="D958" s="70"/>
      <c r="E958" s="70"/>
      <c r="F958" s="70"/>
      <c r="G958" s="70"/>
      <c r="H958" s="131"/>
      <c r="I958" s="3"/>
    </row>
    <row r="959" spans="1:9" s="93" customFormat="1" ht="9" customHeight="1" x14ac:dyDescent="0.3">
      <c r="A959" s="91"/>
      <c r="B959" s="70"/>
      <c r="C959" s="70"/>
      <c r="D959" s="70"/>
      <c r="E959" s="70"/>
      <c r="F959" s="70"/>
      <c r="G959" s="70"/>
      <c r="H959" s="131"/>
      <c r="I959" s="3"/>
    </row>
    <row r="960" spans="1:9" s="93" customFormat="1" ht="9" customHeight="1" x14ac:dyDescent="0.3">
      <c r="A960" s="91"/>
      <c r="B960" s="70"/>
      <c r="C960" s="70"/>
      <c r="D960" s="70"/>
      <c r="E960" s="70"/>
      <c r="F960" s="70"/>
      <c r="G960" s="70"/>
      <c r="H960" s="131"/>
      <c r="I960" s="3"/>
    </row>
    <row r="961" spans="1:9" s="93" customFormat="1" ht="9" customHeight="1" x14ac:dyDescent="0.3">
      <c r="A961" s="91"/>
      <c r="B961" s="70"/>
      <c r="C961" s="70"/>
      <c r="D961" s="70"/>
      <c r="E961" s="70"/>
      <c r="F961" s="70"/>
      <c r="G961" s="70"/>
      <c r="H961" s="131"/>
      <c r="I961" s="3"/>
    </row>
    <row r="962" spans="1:9" s="93" customFormat="1" ht="9" customHeight="1" x14ac:dyDescent="0.3">
      <c r="A962" s="91"/>
      <c r="B962" s="70"/>
      <c r="C962" s="70"/>
      <c r="D962" s="70"/>
      <c r="E962" s="70"/>
      <c r="F962" s="70"/>
      <c r="G962" s="70"/>
      <c r="H962" s="131"/>
      <c r="I962" s="3"/>
    </row>
    <row r="963" spans="1:9" s="93" customFormat="1" ht="9" customHeight="1" x14ac:dyDescent="0.3">
      <c r="A963" s="91"/>
      <c r="B963" s="70"/>
      <c r="C963" s="70"/>
      <c r="D963" s="70"/>
      <c r="E963" s="70"/>
      <c r="F963" s="70"/>
      <c r="G963" s="70"/>
      <c r="H963" s="131"/>
      <c r="I963" s="3"/>
    </row>
    <row r="964" spans="1:9" s="93" customFormat="1" ht="9" customHeight="1" x14ac:dyDescent="0.3">
      <c r="A964" s="91"/>
      <c r="B964" s="70"/>
      <c r="C964" s="70"/>
      <c r="D964" s="70"/>
      <c r="E964" s="70"/>
      <c r="F964" s="70"/>
      <c r="G964" s="70"/>
      <c r="H964" s="131"/>
      <c r="I964" s="3"/>
    </row>
    <row r="965" spans="1:9" s="93" customFormat="1" ht="9" customHeight="1" x14ac:dyDescent="0.3">
      <c r="A965" s="91"/>
      <c r="B965" s="70"/>
      <c r="C965" s="70"/>
      <c r="D965" s="70"/>
      <c r="E965" s="70"/>
      <c r="F965" s="70"/>
      <c r="G965" s="70"/>
      <c r="H965" s="131"/>
      <c r="I965" s="3"/>
    </row>
    <row r="966" spans="1:9" s="93" customFormat="1" ht="9" customHeight="1" x14ac:dyDescent="0.3">
      <c r="A966" s="91"/>
      <c r="B966" s="70"/>
      <c r="C966" s="70"/>
      <c r="D966" s="70"/>
      <c r="E966" s="70"/>
      <c r="F966" s="70"/>
      <c r="G966" s="70"/>
      <c r="H966" s="131"/>
      <c r="I966" s="3"/>
    </row>
    <row r="967" spans="1:9" s="93" customFormat="1" ht="9" customHeight="1" x14ac:dyDescent="0.3">
      <c r="A967" s="91"/>
      <c r="B967" s="70"/>
      <c r="C967" s="70"/>
      <c r="D967" s="70"/>
      <c r="E967" s="70"/>
      <c r="F967" s="70"/>
      <c r="G967" s="70"/>
      <c r="H967" s="131"/>
      <c r="I967" s="3"/>
    </row>
    <row r="968" spans="1:9" s="93" customFormat="1" ht="9" customHeight="1" x14ac:dyDescent="0.3">
      <c r="A968" s="91"/>
      <c r="B968" s="70"/>
      <c r="C968" s="70"/>
      <c r="D968" s="70"/>
      <c r="E968" s="70"/>
      <c r="F968" s="70"/>
      <c r="G968" s="70"/>
      <c r="H968" s="131"/>
      <c r="I968" s="3"/>
    </row>
    <row r="969" spans="1:9" s="93" customFormat="1" ht="9" customHeight="1" x14ac:dyDescent="0.3">
      <c r="A969" s="91"/>
      <c r="B969" s="70"/>
      <c r="C969" s="70"/>
      <c r="D969" s="70"/>
      <c r="E969" s="70"/>
      <c r="F969" s="70"/>
      <c r="G969" s="70"/>
      <c r="H969" s="131"/>
      <c r="I969" s="3"/>
    </row>
    <row r="970" spans="1:9" s="93" customFormat="1" ht="9" customHeight="1" x14ac:dyDescent="0.3">
      <c r="A970" s="91"/>
      <c r="B970" s="70"/>
      <c r="C970" s="70"/>
      <c r="D970" s="70"/>
      <c r="E970" s="70"/>
      <c r="F970" s="70"/>
      <c r="G970" s="70"/>
      <c r="H970" s="131"/>
      <c r="I970" s="3"/>
    </row>
    <row r="971" spans="1:9" s="93" customFormat="1" ht="9" customHeight="1" x14ac:dyDescent="0.3">
      <c r="A971" s="91"/>
      <c r="B971" s="70"/>
      <c r="C971" s="70"/>
      <c r="D971" s="70"/>
      <c r="E971" s="70"/>
      <c r="F971" s="70"/>
      <c r="G971" s="70"/>
      <c r="H971" s="131"/>
      <c r="I971" s="3"/>
    </row>
    <row r="972" spans="1:9" s="93" customFormat="1" ht="9" customHeight="1" x14ac:dyDescent="0.3">
      <c r="A972" s="91"/>
      <c r="B972" s="70"/>
      <c r="C972" s="70"/>
      <c r="D972" s="70"/>
      <c r="E972" s="70"/>
      <c r="F972" s="70"/>
      <c r="G972" s="70"/>
      <c r="H972" s="131"/>
      <c r="I972" s="3"/>
    </row>
    <row r="973" spans="1:9" s="93" customFormat="1" ht="9" customHeight="1" x14ac:dyDescent="0.3">
      <c r="A973" s="91"/>
      <c r="B973" s="70"/>
      <c r="C973" s="70"/>
      <c r="D973" s="70"/>
      <c r="E973" s="70"/>
      <c r="F973" s="70"/>
      <c r="G973" s="70"/>
      <c r="H973" s="131"/>
      <c r="I973" s="3"/>
    </row>
    <row r="974" spans="1:9" s="93" customFormat="1" ht="9" customHeight="1" x14ac:dyDescent="0.3">
      <c r="A974" s="91"/>
      <c r="B974" s="70"/>
      <c r="C974" s="70"/>
      <c r="D974" s="70"/>
      <c r="E974" s="70"/>
      <c r="F974" s="70"/>
      <c r="G974" s="70"/>
      <c r="H974" s="131"/>
      <c r="I974" s="3"/>
    </row>
    <row r="975" spans="1:9" s="93" customFormat="1" ht="9" customHeight="1" x14ac:dyDescent="0.3">
      <c r="A975" s="91"/>
      <c r="B975" s="70"/>
      <c r="C975" s="70"/>
      <c r="D975" s="70"/>
      <c r="E975" s="70"/>
      <c r="F975" s="70"/>
      <c r="G975" s="70"/>
      <c r="H975" s="131"/>
      <c r="I975" s="3"/>
    </row>
    <row r="976" spans="1:9" s="93" customFormat="1" ht="9" customHeight="1" x14ac:dyDescent="0.3">
      <c r="A976" s="91"/>
      <c r="B976" s="70"/>
      <c r="C976" s="70"/>
      <c r="D976" s="70"/>
      <c r="E976" s="70"/>
      <c r="F976" s="70"/>
      <c r="G976" s="70"/>
      <c r="H976" s="131"/>
      <c r="I976" s="3"/>
    </row>
    <row r="977" spans="1:9" s="93" customFormat="1" ht="9" customHeight="1" x14ac:dyDescent="0.3">
      <c r="A977" s="91"/>
      <c r="B977" s="70"/>
      <c r="C977" s="70"/>
      <c r="D977" s="70"/>
      <c r="E977" s="70"/>
      <c r="F977" s="70"/>
      <c r="G977" s="70"/>
      <c r="H977" s="131"/>
      <c r="I977" s="3"/>
    </row>
    <row r="978" spans="1:9" s="93" customFormat="1" ht="9" customHeight="1" x14ac:dyDescent="0.3">
      <c r="A978" s="91"/>
      <c r="B978" s="70"/>
      <c r="C978" s="70"/>
      <c r="D978" s="70"/>
      <c r="E978" s="70"/>
      <c r="F978" s="70"/>
      <c r="G978" s="70"/>
      <c r="H978" s="131"/>
      <c r="I978" s="3"/>
    </row>
    <row r="979" spans="1:9" s="93" customFormat="1" ht="9" customHeight="1" x14ac:dyDescent="0.3">
      <c r="A979" s="91"/>
      <c r="B979" s="70"/>
      <c r="C979" s="70"/>
      <c r="D979" s="70"/>
      <c r="E979" s="70"/>
      <c r="F979" s="70"/>
      <c r="G979" s="70"/>
      <c r="H979" s="131"/>
      <c r="I979" s="3"/>
    </row>
    <row r="980" spans="1:9" s="93" customFormat="1" ht="9" customHeight="1" x14ac:dyDescent="0.3">
      <c r="A980" s="91"/>
      <c r="B980" s="70"/>
      <c r="C980" s="70"/>
      <c r="D980" s="70"/>
      <c r="E980" s="70"/>
      <c r="F980" s="70"/>
      <c r="G980" s="70"/>
      <c r="H980" s="131"/>
      <c r="I980" s="3"/>
    </row>
    <row r="981" spans="1:9" s="93" customFormat="1" ht="9" customHeight="1" x14ac:dyDescent="0.3">
      <c r="A981" s="91"/>
      <c r="B981" s="70"/>
      <c r="C981" s="70"/>
      <c r="D981" s="70"/>
      <c r="E981" s="70"/>
      <c r="F981" s="70"/>
      <c r="G981" s="70"/>
      <c r="H981" s="131"/>
      <c r="I981" s="3"/>
    </row>
    <row r="982" spans="1:9" s="93" customFormat="1" ht="9" customHeight="1" x14ac:dyDescent="0.3">
      <c r="A982" s="91"/>
      <c r="B982" s="70"/>
      <c r="C982" s="70"/>
      <c r="D982" s="70"/>
      <c r="E982" s="70"/>
      <c r="F982" s="70"/>
      <c r="G982" s="70"/>
      <c r="H982" s="131"/>
      <c r="I982" s="3"/>
    </row>
    <row r="983" spans="1:9" s="93" customFormat="1" ht="9" customHeight="1" x14ac:dyDescent="0.3">
      <c r="A983" s="91"/>
      <c r="B983" s="70"/>
      <c r="C983" s="70"/>
      <c r="D983" s="70"/>
      <c r="E983" s="70"/>
      <c r="F983" s="70"/>
      <c r="G983" s="70"/>
      <c r="H983" s="131"/>
      <c r="I983" s="3"/>
    </row>
    <row r="984" spans="1:9" s="93" customFormat="1" ht="9" customHeight="1" x14ac:dyDescent="0.3">
      <c r="A984" s="91"/>
      <c r="B984" s="70"/>
      <c r="C984" s="70"/>
      <c r="D984" s="70"/>
      <c r="E984" s="70"/>
      <c r="F984" s="70"/>
      <c r="G984" s="70"/>
      <c r="H984" s="131"/>
      <c r="I984" s="3"/>
    </row>
    <row r="985" spans="1:9" s="93" customFormat="1" ht="9" customHeight="1" x14ac:dyDescent="0.3">
      <c r="A985" s="91"/>
      <c r="B985" s="70"/>
      <c r="C985" s="70"/>
      <c r="D985" s="70"/>
      <c r="E985" s="70"/>
      <c r="F985" s="70"/>
      <c r="G985" s="70"/>
      <c r="H985" s="131"/>
      <c r="I985" s="3"/>
    </row>
    <row r="986" spans="1:9" s="93" customFormat="1" ht="9" customHeight="1" x14ac:dyDescent="0.3">
      <c r="A986" s="91"/>
      <c r="B986" s="70"/>
      <c r="C986" s="70"/>
      <c r="D986" s="70"/>
      <c r="E986" s="70"/>
      <c r="F986" s="70"/>
      <c r="G986" s="70"/>
      <c r="H986" s="131"/>
      <c r="I986" s="3"/>
    </row>
    <row r="987" spans="1:9" s="93" customFormat="1" ht="9" customHeight="1" x14ac:dyDescent="0.3">
      <c r="A987" s="91"/>
      <c r="B987" s="70"/>
      <c r="C987" s="70"/>
      <c r="D987" s="70"/>
      <c r="E987" s="70"/>
      <c r="F987" s="70"/>
      <c r="G987" s="70"/>
      <c r="H987" s="131"/>
      <c r="I987" s="3"/>
    </row>
    <row r="988" spans="1:9" s="93" customFormat="1" ht="9" customHeight="1" x14ac:dyDescent="0.3">
      <c r="A988" s="91"/>
      <c r="B988" s="70"/>
      <c r="C988" s="70"/>
      <c r="D988" s="70"/>
      <c r="E988" s="70"/>
      <c r="F988" s="70"/>
      <c r="G988" s="70"/>
      <c r="H988" s="131"/>
      <c r="I988" s="3"/>
    </row>
    <row r="989" spans="1:9" s="93" customFormat="1" ht="9" customHeight="1" x14ac:dyDescent="0.3">
      <c r="A989" s="91"/>
      <c r="B989" s="70"/>
      <c r="C989" s="70"/>
      <c r="D989" s="70"/>
      <c r="E989" s="70"/>
      <c r="F989" s="70"/>
      <c r="G989" s="70"/>
      <c r="H989" s="131"/>
      <c r="I989" s="3"/>
    </row>
    <row r="990" spans="1:9" s="93" customFormat="1" ht="9" customHeight="1" x14ac:dyDescent="0.3">
      <c r="A990" s="91"/>
      <c r="B990" s="70"/>
      <c r="C990" s="70"/>
      <c r="D990" s="70"/>
      <c r="E990" s="70"/>
      <c r="F990" s="70"/>
      <c r="G990" s="70"/>
      <c r="H990" s="131"/>
      <c r="I990" s="3"/>
    </row>
    <row r="991" spans="1:9" s="93" customFormat="1" ht="9" customHeight="1" x14ac:dyDescent="0.3">
      <c r="A991" s="91"/>
      <c r="B991" s="70"/>
      <c r="C991" s="70"/>
      <c r="D991" s="70"/>
      <c r="E991" s="70"/>
      <c r="F991" s="70"/>
      <c r="G991" s="70"/>
      <c r="H991" s="131"/>
      <c r="I991" s="3"/>
    </row>
    <row r="992" spans="1:9" s="93" customFormat="1" ht="9" customHeight="1" x14ac:dyDescent="0.3">
      <c r="A992" s="91"/>
      <c r="B992" s="70"/>
      <c r="C992" s="70"/>
      <c r="D992" s="70"/>
      <c r="E992" s="70"/>
      <c r="F992" s="70"/>
      <c r="G992" s="70"/>
      <c r="H992" s="131"/>
      <c r="I992" s="3"/>
    </row>
    <row r="993" spans="1:9" s="93" customFormat="1" ht="9" customHeight="1" x14ac:dyDescent="0.3">
      <c r="A993" s="91"/>
      <c r="B993" s="70"/>
      <c r="C993" s="70"/>
      <c r="D993" s="70"/>
      <c r="E993" s="70"/>
      <c r="F993" s="70"/>
      <c r="G993" s="70"/>
      <c r="H993" s="131"/>
      <c r="I993" s="3"/>
    </row>
    <row r="994" spans="1:9" s="93" customFormat="1" ht="9" customHeight="1" x14ac:dyDescent="0.3">
      <c r="A994" s="91"/>
      <c r="B994" s="70"/>
      <c r="C994" s="70"/>
      <c r="D994" s="70"/>
      <c r="E994" s="70"/>
      <c r="F994" s="70"/>
      <c r="G994" s="70"/>
      <c r="H994" s="131"/>
      <c r="I994" s="3"/>
    </row>
    <row r="995" spans="1:9" s="93" customFormat="1" ht="9" customHeight="1" x14ac:dyDescent="0.3">
      <c r="A995" s="91"/>
      <c r="B995" s="70"/>
      <c r="C995" s="70"/>
      <c r="D995" s="70"/>
      <c r="E995" s="70"/>
      <c r="F995" s="70"/>
      <c r="G995" s="70"/>
      <c r="H995" s="131"/>
      <c r="I995" s="3"/>
    </row>
    <row r="996" spans="1:9" s="93" customFormat="1" ht="9" customHeight="1" x14ac:dyDescent="0.3">
      <c r="A996" s="91"/>
      <c r="B996" s="70"/>
      <c r="C996" s="70"/>
      <c r="D996" s="70"/>
      <c r="E996" s="70"/>
      <c r="F996" s="70"/>
      <c r="G996" s="70"/>
      <c r="H996" s="131"/>
      <c r="I996" s="3"/>
    </row>
    <row r="997" spans="1:9" s="93" customFormat="1" ht="9" customHeight="1" x14ac:dyDescent="0.3">
      <c r="A997" s="91"/>
      <c r="B997" s="70"/>
      <c r="C997" s="70"/>
      <c r="D997" s="70"/>
      <c r="E997" s="70"/>
      <c r="F997" s="70"/>
      <c r="G997" s="70"/>
      <c r="H997" s="131"/>
      <c r="I997" s="3"/>
    </row>
    <row r="998" spans="1:9" s="93" customFormat="1" ht="9" customHeight="1" x14ac:dyDescent="0.3">
      <c r="A998" s="91"/>
      <c r="B998" s="70"/>
      <c r="C998" s="70"/>
      <c r="D998" s="70"/>
      <c r="E998" s="70"/>
      <c r="F998" s="70"/>
      <c r="G998" s="70"/>
      <c r="H998" s="131"/>
      <c r="I998" s="3"/>
    </row>
    <row r="999" spans="1:9" s="93" customFormat="1" ht="9" customHeight="1" x14ac:dyDescent="0.3">
      <c r="A999" s="91"/>
      <c r="B999" s="70"/>
      <c r="C999" s="70"/>
      <c r="D999" s="70"/>
      <c r="E999" s="70"/>
      <c r="F999" s="70"/>
      <c r="G999" s="70"/>
      <c r="H999" s="131"/>
      <c r="I999" s="3"/>
    </row>
    <row r="1000" spans="1:9" s="93" customFormat="1" ht="9" customHeight="1" x14ac:dyDescent="0.3">
      <c r="A1000" s="91"/>
      <c r="B1000" s="70"/>
      <c r="C1000" s="70"/>
      <c r="D1000" s="70"/>
      <c r="E1000" s="70"/>
      <c r="F1000" s="70"/>
      <c r="G1000" s="70"/>
      <c r="H1000" s="131"/>
      <c r="I1000" s="3"/>
    </row>
    <row r="1001" spans="1:9" s="93" customFormat="1" ht="9" customHeight="1" x14ac:dyDescent="0.3">
      <c r="A1001" s="91"/>
      <c r="B1001" s="70"/>
      <c r="C1001" s="70"/>
      <c r="D1001" s="70"/>
      <c r="E1001" s="70"/>
      <c r="F1001" s="70"/>
      <c r="G1001" s="70"/>
      <c r="H1001" s="131"/>
      <c r="I1001" s="3"/>
    </row>
    <row r="1002" spans="1:9" s="93" customFormat="1" ht="9" customHeight="1" x14ac:dyDescent="0.3">
      <c r="A1002" s="91"/>
      <c r="B1002" s="70"/>
      <c r="C1002" s="70"/>
      <c r="D1002" s="70"/>
      <c r="E1002" s="70"/>
      <c r="F1002" s="70"/>
      <c r="G1002" s="70"/>
      <c r="H1002" s="131"/>
      <c r="I1002" s="3"/>
    </row>
    <row r="1003" spans="1:9" s="93" customFormat="1" ht="9" customHeight="1" x14ac:dyDescent="0.3">
      <c r="A1003" s="91"/>
      <c r="B1003" s="70"/>
      <c r="C1003" s="70"/>
      <c r="D1003" s="70"/>
      <c r="E1003" s="70"/>
      <c r="F1003" s="70"/>
      <c r="G1003" s="70"/>
      <c r="H1003" s="131"/>
      <c r="I1003" s="3"/>
    </row>
    <row r="1004" spans="1:9" s="93" customFormat="1" ht="9" customHeight="1" x14ac:dyDescent="0.3">
      <c r="A1004" s="91"/>
      <c r="B1004" s="70"/>
      <c r="C1004" s="70"/>
      <c r="D1004" s="70"/>
      <c r="E1004" s="70"/>
      <c r="F1004" s="70"/>
      <c r="G1004" s="70"/>
      <c r="H1004" s="131"/>
      <c r="I1004" s="3"/>
    </row>
    <row r="1005" spans="1:9" s="93" customFormat="1" ht="9" customHeight="1" x14ac:dyDescent="0.3">
      <c r="A1005" s="91"/>
      <c r="B1005" s="70"/>
      <c r="C1005" s="70"/>
      <c r="D1005" s="70"/>
      <c r="E1005" s="70"/>
      <c r="F1005" s="70"/>
      <c r="G1005" s="70"/>
      <c r="H1005" s="131"/>
      <c r="I1005" s="3"/>
    </row>
    <row r="1006" spans="1:9" s="93" customFormat="1" ht="9" customHeight="1" x14ac:dyDescent="0.3">
      <c r="A1006" s="91"/>
      <c r="B1006" s="70"/>
      <c r="C1006" s="70"/>
      <c r="D1006" s="70"/>
      <c r="E1006" s="70"/>
      <c r="F1006" s="70"/>
      <c r="G1006" s="70"/>
      <c r="H1006" s="131"/>
      <c r="I1006" s="3"/>
    </row>
    <row r="1007" spans="1:9" s="93" customFormat="1" ht="9" customHeight="1" x14ac:dyDescent="0.3">
      <c r="A1007" s="91"/>
      <c r="B1007" s="70"/>
      <c r="C1007" s="70"/>
      <c r="D1007" s="70"/>
      <c r="E1007" s="70"/>
      <c r="F1007" s="70"/>
      <c r="G1007" s="70"/>
      <c r="H1007" s="131"/>
      <c r="I1007" s="3"/>
    </row>
    <row r="1008" spans="1:9" s="93" customFormat="1" ht="9" customHeight="1" x14ac:dyDescent="0.3">
      <c r="A1008" s="91"/>
      <c r="B1008" s="70"/>
      <c r="C1008" s="70"/>
      <c r="D1008" s="70"/>
      <c r="E1008" s="70"/>
      <c r="F1008" s="70"/>
      <c r="G1008" s="70"/>
      <c r="H1008" s="131"/>
      <c r="I1008" s="3"/>
    </row>
    <row r="1009" spans="1:9" s="93" customFormat="1" ht="9" customHeight="1" x14ac:dyDescent="0.3">
      <c r="A1009" s="91"/>
      <c r="B1009" s="70"/>
      <c r="C1009" s="70"/>
      <c r="D1009" s="70"/>
      <c r="E1009" s="70"/>
      <c r="F1009" s="70"/>
      <c r="G1009" s="70"/>
      <c r="H1009" s="131"/>
      <c r="I1009" s="3"/>
    </row>
    <row r="1010" spans="1:9" s="93" customFormat="1" ht="9" customHeight="1" x14ac:dyDescent="0.3">
      <c r="A1010" s="91"/>
      <c r="B1010" s="70"/>
      <c r="C1010" s="70"/>
      <c r="D1010" s="70"/>
      <c r="E1010" s="70"/>
      <c r="F1010" s="70"/>
      <c r="G1010" s="70"/>
      <c r="H1010" s="131"/>
      <c r="I1010" s="3"/>
    </row>
    <row r="1011" spans="1:9" s="93" customFormat="1" ht="9" customHeight="1" x14ac:dyDescent="0.3">
      <c r="A1011" s="91"/>
      <c r="B1011" s="70"/>
      <c r="C1011" s="70"/>
      <c r="D1011" s="70"/>
      <c r="E1011" s="70"/>
      <c r="F1011" s="70"/>
      <c r="G1011" s="70"/>
      <c r="H1011" s="131"/>
      <c r="I1011" s="3"/>
    </row>
    <row r="1012" spans="1:9" s="93" customFormat="1" ht="9" customHeight="1" x14ac:dyDescent="0.3">
      <c r="A1012" s="91"/>
      <c r="B1012" s="70"/>
      <c r="C1012" s="70"/>
      <c r="D1012" s="70"/>
      <c r="E1012" s="70"/>
      <c r="F1012" s="70"/>
      <c r="G1012" s="70"/>
      <c r="H1012" s="131"/>
      <c r="I1012" s="3"/>
    </row>
    <row r="1013" spans="1:9" s="93" customFormat="1" ht="9" customHeight="1" x14ac:dyDescent="0.3">
      <c r="A1013" s="91"/>
      <c r="B1013" s="70"/>
      <c r="C1013" s="70"/>
      <c r="D1013" s="70"/>
      <c r="E1013" s="70"/>
      <c r="F1013" s="70"/>
      <c r="G1013" s="70"/>
      <c r="H1013" s="131"/>
      <c r="I1013" s="3"/>
    </row>
    <row r="1014" spans="1:9" s="93" customFormat="1" ht="9" customHeight="1" x14ac:dyDescent="0.3">
      <c r="A1014" s="91"/>
      <c r="B1014" s="70"/>
      <c r="C1014" s="70"/>
      <c r="D1014" s="70"/>
      <c r="E1014" s="70"/>
      <c r="F1014" s="70"/>
      <c r="G1014" s="70"/>
      <c r="H1014" s="131"/>
      <c r="I1014" s="3"/>
    </row>
    <row r="1015" spans="1:9" s="93" customFormat="1" ht="9" customHeight="1" x14ac:dyDescent="0.3">
      <c r="A1015" s="91"/>
      <c r="B1015" s="70"/>
      <c r="C1015" s="70"/>
      <c r="D1015" s="70"/>
      <c r="E1015" s="70"/>
      <c r="F1015" s="70"/>
      <c r="G1015" s="70"/>
      <c r="H1015" s="131"/>
      <c r="I1015" s="3"/>
    </row>
    <row r="1016" spans="1:9" s="93" customFormat="1" ht="9" customHeight="1" x14ac:dyDescent="0.3">
      <c r="A1016" s="91"/>
      <c r="B1016" s="70"/>
      <c r="C1016" s="70"/>
      <c r="D1016" s="70"/>
      <c r="E1016" s="70"/>
      <c r="F1016" s="70"/>
      <c r="G1016" s="70"/>
      <c r="H1016" s="131"/>
      <c r="I1016" s="3"/>
    </row>
    <row r="1017" spans="1:9" s="93" customFormat="1" ht="9" customHeight="1" x14ac:dyDescent="0.3">
      <c r="A1017" s="91"/>
      <c r="B1017" s="70"/>
      <c r="C1017" s="70"/>
      <c r="D1017" s="70"/>
      <c r="E1017" s="70"/>
      <c r="F1017" s="70"/>
      <c r="G1017" s="70"/>
      <c r="H1017" s="131"/>
      <c r="I1017" s="3"/>
    </row>
    <row r="1018" spans="1:9" s="93" customFormat="1" ht="9" customHeight="1" x14ac:dyDescent="0.3">
      <c r="A1018" s="91"/>
      <c r="B1018" s="70"/>
      <c r="C1018" s="70"/>
      <c r="D1018" s="70"/>
      <c r="E1018" s="70"/>
      <c r="F1018" s="70"/>
      <c r="G1018" s="70"/>
      <c r="H1018" s="131"/>
      <c r="I1018" s="3"/>
    </row>
    <row r="1019" spans="1:9" s="93" customFormat="1" ht="9" customHeight="1" x14ac:dyDescent="0.3">
      <c r="A1019" s="91"/>
      <c r="B1019" s="70"/>
      <c r="C1019" s="70"/>
      <c r="D1019" s="70"/>
      <c r="E1019" s="70"/>
      <c r="F1019" s="70"/>
      <c r="G1019" s="70"/>
      <c r="H1019" s="131"/>
      <c r="I1019" s="3"/>
    </row>
    <row r="1020" spans="1:9" s="93" customFormat="1" ht="9" customHeight="1" x14ac:dyDescent="0.3">
      <c r="A1020" s="91"/>
      <c r="B1020" s="70"/>
      <c r="C1020" s="70"/>
      <c r="D1020" s="70"/>
      <c r="E1020" s="70"/>
      <c r="F1020" s="70"/>
      <c r="G1020" s="70"/>
      <c r="H1020" s="131"/>
      <c r="I1020" s="3"/>
    </row>
    <row r="1021" spans="1:9" s="93" customFormat="1" ht="9" customHeight="1" x14ac:dyDescent="0.3">
      <c r="A1021" s="91"/>
      <c r="B1021" s="70"/>
      <c r="C1021" s="70"/>
      <c r="D1021" s="70"/>
      <c r="E1021" s="70"/>
      <c r="F1021" s="70"/>
      <c r="G1021" s="70"/>
      <c r="H1021" s="131"/>
      <c r="I1021" s="3"/>
    </row>
    <row r="1022" spans="1:9" s="93" customFormat="1" ht="9" customHeight="1" x14ac:dyDescent="0.3">
      <c r="A1022" s="91"/>
      <c r="B1022" s="70"/>
      <c r="C1022" s="70"/>
      <c r="D1022" s="70"/>
      <c r="E1022" s="70"/>
      <c r="F1022" s="70"/>
      <c r="G1022" s="70"/>
      <c r="H1022" s="131"/>
      <c r="I1022" s="3"/>
    </row>
    <row r="1023" spans="1:9" s="93" customFormat="1" ht="9" customHeight="1" x14ac:dyDescent="0.3">
      <c r="A1023" s="91"/>
      <c r="B1023" s="70"/>
      <c r="C1023" s="70"/>
      <c r="D1023" s="70"/>
      <c r="E1023" s="70"/>
      <c r="F1023" s="70"/>
      <c r="G1023" s="70"/>
      <c r="H1023" s="131"/>
      <c r="I1023" s="3"/>
    </row>
    <row r="1024" spans="1:9" s="93" customFormat="1" ht="9" customHeight="1" x14ac:dyDescent="0.3">
      <c r="A1024" s="91"/>
      <c r="B1024" s="70"/>
      <c r="C1024" s="70"/>
      <c r="D1024" s="70"/>
      <c r="E1024" s="70"/>
      <c r="F1024" s="70"/>
      <c r="G1024" s="70"/>
      <c r="H1024" s="131"/>
      <c r="I1024" s="3"/>
    </row>
    <row r="1025" spans="1:9" s="93" customFormat="1" ht="9" customHeight="1" x14ac:dyDescent="0.3">
      <c r="A1025" s="91"/>
      <c r="B1025" s="70"/>
      <c r="C1025" s="70"/>
      <c r="D1025" s="70"/>
      <c r="E1025" s="70"/>
      <c r="F1025" s="70"/>
      <c r="G1025" s="70"/>
      <c r="H1025" s="131"/>
      <c r="I1025" s="3"/>
    </row>
    <row r="1026" spans="1:9" s="93" customFormat="1" ht="9" customHeight="1" x14ac:dyDescent="0.3">
      <c r="A1026" s="91"/>
      <c r="B1026" s="70"/>
      <c r="C1026" s="70"/>
      <c r="D1026" s="70"/>
      <c r="E1026" s="70"/>
      <c r="F1026" s="70"/>
      <c r="G1026" s="70"/>
      <c r="H1026" s="131"/>
      <c r="I1026" s="3"/>
    </row>
    <row r="1027" spans="1:9" s="93" customFormat="1" ht="9" customHeight="1" x14ac:dyDescent="0.3">
      <c r="A1027" s="91"/>
      <c r="B1027" s="70"/>
      <c r="C1027" s="70"/>
      <c r="D1027" s="70"/>
      <c r="E1027" s="70"/>
      <c r="F1027" s="70"/>
      <c r="G1027" s="70"/>
      <c r="H1027" s="131"/>
      <c r="I1027" s="3"/>
    </row>
    <row r="1028" spans="1:9" s="93" customFormat="1" ht="9" customHeight="1" x14ac:dyDescent="0.3">
      <c r="A1028" s="91"/>
      <c r="B1028" s="70"/>
      <c r="C1028" s="70"/>
      <c r="D1028" s="70"/>
      <c r="E1028" s="70"/>
      <c r="F1028" s="70"/>
      <c r="G1028" s="70"/>
      <c r="H1028" s="131"/>
      <c r="I1028" s="3"/>
    </row>
    <row r="1029" spans="1:9" s="93" customFormat="1" ht="9" customHeight="1" x14ac:dyDescent="0.3">
      <c r="A1029" s="91"/>
      <c r="B1029" s="70"/>
      <c r="C1029" s="70"/>
      <c r="D1029" s="70"/>
      <c r="E1029" s="70"/>
      <c r="F1029" s="70"/>
      <c r="G1029" s="70"/>
      <c r="H1029" s="131"/>
      <c r="I1029" s="3"/>
    </row>
    <row r="1030" spans="1:9" s="93" customFormat="1" ht="9" customHeight="1" x14ac:dyDescent="0.3">
      <c r="A1030" s="91"/>
      <c r="B1030" s="70"/>
      <c r="C1030" s="70"/>
      <c r="D1030" s="70"/>
      <c r="E1030" s="70"/>
      <c r="F1030" s="70"/>
      <c r="G1030" s="70"/>
      <c r="H1030" s="131"/>
      <c r="I1030" s="3"/>
    </row>
    <row r="1031" spans="1:9" s="93" customFormat="1" ht="9" customHeight="1" x14ac:dyDescent="0.3">
      <c r="A1031" s="91"/>
      <c r="B1031" s="70"/>
      <c r="C1031" s="70"/>
      <c r="D1031" s="70"/>
      <c r="E1031" s="70"/>
      <c r="F1031" s="70"/>
      <c r="G1031" s="70"/>
      <c r="H1031" s="131"/>
      <c r="I1031" s="3"/>
    </row>
    <row r="1032" spans="1:9" s="93" customFormat="1" ht="9" customHeight="1" x14ac:dyDescent="0.3">
      <c r="A1032" s="91"/>
      <c r="B1032" s="70"/>
      <c r="C1032" s="70"/>
      <c r="D1032" s="70"/>
      <c r="E1032" s="70"/>
      <c r="F1032" s="70"/>
      <c r="G1032" s="70"/>
      <c r="H1032" s="131"/>
      <c r="I1032" s="3"/>
    </row>
    <row r="1033" spans="1:9" s="93" customFormat="1" ht="9" customHeight="1" x14ac:dyDescent="0.3">
      <c r="A1033" s="91"/>
      <c r="B1033" s="70"/>
      <c r="C1033" s="70"/>
      <c r="D1033" s="70"/>
      <c r="E1033" s="70"/>
      <c r="F1033" s="70"/>
      <c r="G1033" s="70"/>
      <c r="H1033" s="131"/>
      <c r="I1033" s="3"/>
    </row>
    <row r="1034" spans="1:9" s="93" customFormat="1" ht="9" customHeight="1" x14ac:dyDescent="0.3">
      <c r="A1034" s="91"/>
      <c r="B1034" s="70"/>
      <c r="C1034" s="70"/>
      <c r="D1034" s="70"/>
      <c r="E1034" s="70"/>
      <c r="F1034" s="70"/>
      <c r="G1034" s="70"/>
      <c r="H1034" s="131"/>
      <c r="I1034" s="3"/>
    </row>
    <row r="1035" spans="1:9" s="93" customFormat="1" ht="9" customHeight="1" x14ac:dyDescent="0.3">
      <c r="A1035" s="91"/>
      <c r="B1035" s="70"/>
      <c r="C1035" s="70"/>
      <c r="D1035" s="70"/>
      <c r="E1035" s="70"/>
      <c r="F1035" s="70"/>
      <c r="G1035" s="70"/>
      <c r="H1035" s="131"/>
      <c r="I1035" s="3"/>
    </row>
    <row r="1036" spans="1:9" s="93" customFormat="1" ht="9" customHeight="1" x14ac:dyDescent="0.3">
      <c r="A1036" s="91"/>
      <c r="B1036" s="70"/>
      <c r="C1036" s="70"/>
      <c r="D1036" s="70"/>
      <c r="E1036" s="70"/>
      <c r="F1036" s="70"/>
      <c r="G1036" s="70"/>
      <c r="H1036" s="131"/>
      <c r="I1036" s="3"/>
    </row>
    <row r="1037" spans="1:9" s="93" customFormat="1" ht="9" customHeight="1" x14ac:dyDescent="0.3">
      <c r="A1037" s="91"/>
      <c r="B1037" s="70"/>
      <c r="C1037" s="70"/>
      <c r="D1037" s="70"/>
      <c r="E1037" s="70"/>
      <c r="F1037" s="70"/>
      <c r="G1037" s="70"/>
      <c r="H1037" s="131"/>
      <c r="I1037" s="3"/>
    </row>
    <row r="1038" spans="1:9" s="93" customFormat="1" ht="9" customHeight="1" x14ac:dyDescent="0.3">
      <c r="A1038" s="91"/>
      <c r="B1038" s="70"/>
      <c r="C1038" s="70"/>
      <c r="D1038" s="70"/>
      <c r="E1038" s="70"/>
      <c r="F1038" s="70"/>
      <c r="G1038" s="70"/>
      <c r="H1038" s="131"/>
      <c r="I1038" s="3"/>
    </row>
    <row r="1039" spans="1:9" s="93" customFormat="1" ht="9" customHeight="1" x14ac:dyDescent="0.3">
      <c r="A1039" s="91"/>
      <c r="B1039" s="70"/>
      <c r="C1039" s="70"/>
      <c r="D1039" s="70"/>
      <c r="E1039" s="70"/>
      <c r="F1039" s="70"/>
      <c r="G1039" s="70"/>
      <c r="H1039" s="131"/>
      <c r="I1039" s="3"/>
    </row>
    <row r="1040" spans="1:9" s="93" customFormat="1" ht="9" customHeight="1" x14ac:dyDescent="0.3">
      <c r="A1040" s="91"/>
      <c r="B1040" s="70"/>
      <c r="C1040" s="70"/>
      <c r="D1040" s="70"/>
      <c r="E1040" s="70"/>
      <c r="F1040" s="70"/>
      <c r="G1040" s="70"/>
      <c r="H1040" s="131"/>
      <c r="I1040" s="3"/>
    </row>
    <row r="1041" spans="1:9" s="93" customFormat="1" ht="9" customHeight="1" x14ac:dyDescent="0.3">
      <c r="A1041" s="91"/>
      <c r="B1041" s="70"/>
      <c r="C1041" s="70"/>
      <c r="D1041" s="70"/>
      <c r="E1041" s="70"/>
      <c r="F1041" s="70"/>
      <c r="G1041" s="70"/>
      <c r="H1041" s="131"/>
      <c r="I1041" s="3"/>
    </row>
    <row r="1042" spans="1:9" s="93" customFormat="1" ht="9" customHeight="1" x14ac:dyDescent="0.3">
      <c r="A1042" s="91"/>
      <c r="B1042" s="70"/>
      <c r="C1042" s="70"/>
      <c r="D1042" s="70"/>
      <c r="E1042" s="70"/>
      <c r="F1042" s="70"/>
      <c r="G1042" s="70"/>
      <c r="H1042" s="131"/>
      <c r="I1042" s="3"/>
    </row>
    <row r="1043" spans="1:9" s="93" customFormat="1" ht="9" customHeight="1" x14ac:dyDescent="0.3">
      <c r="A1043" s="91"/>
      <c r="B1043" s="70"/>
      <c r="C1043" s="70"/>
      <c r="D1043" s="70"/>
      <c r="E1043" s="70"/>
      <c r="F1043" s="70"/>
      <c r="G1043" s="70"/>
      <c r="H1043" s="131"/>
      <c r="I1043" s="3"/>
    </row>
    <row r="1044" spans="1:9" s="93" customFormat="1" ht="9" customHeight="1" x14ac:dyDescent="0.3">
      <c r="A1044" s="91"/>
      <c r="B1044" s="70"/>
      <c r="C1044" s="70"/>
      <c r="D1044" s="70"/>
      <c r="E1044" s="70"/>
      <c r="F1044" s="70"/>
      <c r="G1044" s="70"/>
      <c r="H1044" s="131"/>
      <c r="I1044" s="3"/>
    </row>
    <row r="1045" spans="1:9" s="93" customFormat="1" ht="9" customHeight="1" x14ac:dyDescent="0.3">
      <c r="A1045" s="91"/>
      <c r="B1045" s="70"/>
      <c r="C1045" s="70"/>
      <c r="D1045" s="70"/>
      <c r="E1045" s="70"/>
      <c r="F1045" s="70"/>
      <c r="G1045" s="70"/>
      <c r="H1045" s="131"/>
      <c r="I1045" s="3"/>
    </row>
    <row r="1046" spans="1:9" s="93" customFormat="1" ht="9" customHeight="1" x14ac:dyDescent="0.3">
      <c r="A1046" s="91"/>
      <c r="B1046" s="70"/>
      <c r="C1046" s="70"/>
      <c r="D1046" s="70"/>
      <c r="E1046" s="70"/>
      <c r="F1046" s="70"/>
      <c r="G1046" s="70"/>
      <c r="H1046" s="131"/>
      <c r="I1046" s="3"/>
    </row>
    <row r="1047" spans="1:9" s="93" customFormat="1" ht="9" customHeight="1" x14ac:dyDescent="0.3">
      <c r="A1047" s="91"/>
      <c r="B1047" s="70"/>
      <c r="C1047" s="70"/>
      <c r="D1047" s="70"/>
      <c r="E1047" s="70"/>
      <c r="F1047" s="70"/>
      <c r="G1047" s="70"/>
      <c r="H1047" s="131"/>
      <c r="I1047" s="3"/>
    </row>
    <row r="1048" spans="1:9" s="93" customFormat="1" ht="9" customHeight="1" x14ac:dyDescent="0.3">
      <c r="A1048" s="91"/>
      <c r="B1048" s="70"/>
      <c r="C1048" s="70"/>
      <c r="D1048" s="70"/>
      <c r="E1048" s="70"/>
      <c r="F1048" s="70"/>
      <c r="G1048" s="70"/>
      <c r="H1048" s="131"/>
      <c r="I1048" s="3"/>
    </row>
    <row r="1049" spans="1:9" s="93" customFormat="1" ht="9" customHeight="1" x14ac:dyDescent="0.3">
      <c r="A1049" s="91"/>
      <c r="B1049" s="70"/>
      <c r="C1049" s="70"/>
      <c r="D1049" s="70"/>
      <c r="E1049" s="70"/>
      <c r="F1049" s="70"/>
      <c r="G1049" s="70"/>
      <c r="H1049" s="131"/>
      <c r="I1049" s="3"/>
    </row>
    <row r="1050" spans="1:9" s="93" customFormat="1" ht="9" customHeight="1" x14ac:dyDescent="0.3">
      <c r="A1050" s="91"/>
      <c r="B1050" s="70"/>
      <c r="C1050" s="70"/>
      <c r="D1050" s="70"/>
      <c r="E1050" s="70"/>
      <c r="F1050" s="70"/>
      <c r="G1050" s="70"/>
      <c r="H1050" s="131"/>
      <c r="I1050" s="3"/>
    </row>
    <row r="1051" spans="1:9" s="93" customFormat="1" ht="9" customHeight="1" x14ac:dyDescent="0.3">
      <c r="A1051" s="91"/>
      <c r="B1051" s="70"/>
      <c r="C1051" s="70"/>
      <c r="D1051" s="70"/>
      <c r="E1051" s="70"/>
      <c r="F1051" s="70"/>
      <c r="G1051" s="70"/>
      <c r="H1051" s="131"/>
      <c r="I1051" s="3"/>
    </row>
    <row r="1052" spans="1:9" s="93" customFormat="1" ht="9" customHeight="1" x14ac:dyDescent="0.3">
      <c r="A1052" s="91"/>
      <c r="B1052" s="70"/>
      <c r="C1052" s="70"/>
      <c r="D1052" s="70"/>
      <c r="E1052" s="70"/>
      <c r="F1052" s="70"/>
      <c r="G1052" s="70"/>
      <c r="H1052" s="131"/>
      <c r="I1052" s="3"/>
    </row>
    <row r="1053" spans="1:9" s="93" customFormat="1" ht="9" customHeight="1" x14ac:dyDescent="0.3">
      <c r="A1053" s="91"/>
      <c r="B1053" s="70"/>
      <c r="C1053" s="70"/>
      <c r="D1053" s="70"/>
      <c r="E1053" s="70"/>
      <c r="F1053" s="70"/>
      <c r="G1053" s="70"/>
      <c r="H1053" s="131"/>
      <c r="I1053" s="3"/>
    </row>
    <row r="1054" spans="1:9" s="93" customFormat="1" ht="9" customHeight="1" x14ac:dyDescent="0.3">
      <c r="A1054" s="91"/>
      <c r="B1054" s="70"/>
      <c r="C1054" s="70"/>
      <c r="D1054" s="70"/>
      <c r="E1054" s="70"/>
      <c r="F1054" s="70"/>
      <c r="G1054" s="70"/>
      <c r="H1054" s="131"/>
      <c r="I1054" s="3"/>
    </row>
    <row r="1055" spans="1:9" s="93" customFormat="1" ht="9" customHeight="1" x14ac:dyDescent="0.3">
      <c r="A1055" s="91"/>
      <c r="B1055" s="70"/>
      <c r="C1055" s="70"/>
      <c r="D1055" s="70"/>
      <c r="E1055" s="70"/>
      <c r="F1055" s="70"/>
      <c r="G1055" s="70"/>
      <c r="H1055" s="131"/>
      <c r="I1055" s="3"/>
    </row>
    <row r="1056" spans="1:9" s="93" customFormat="1" ht="9" customHeight="1" x14ac:dyDescent="0.3">
      <c r="A1056" s="91"/>
      <c r="B1056" s="70"/>
      <c r="C1056" s="70"/>
      <c r="D1056" s="70"/>
      <c r="E1056" s="70"/>
      <c r="F1056" s="70"/>
      <c r="G1056" s="70"/>
      <c r="H1056" s="131"/>
      <c r="I1056" s="3"/>
    </row>
    <row r="1057" spans="1:9" s="93" customFormat="1" ht="9" customHeight="1" x14ac:dyDescent="0.3">
      <c r="A1057" s="91"/>
      <c r="B1057" s="70"/>
      <c r="C1057" s="70"/>
      <c r="D1057" s="70"/>
      <c r="E1057" s="70"/>
      <c r="F1057" s="70"/>
      <c r="G1057" s="70"/>
      <c r="H1057" s="131"/>
      <c r="I1057" s="3"/>
    </row>
    <row r="1058" spans="1:9" s="93" customFormat="1" ht="9" customHeight="1" x14ac:dyDescent="0.3">
      <c r="A1058" s="91"/>
      <c r="B1058" s="70"/>
      <c r="C1058" s="70"/>
      <c r="D1058" s="70"/>
      <c r="E1058" s="70"/>
      <c r="F1058" s="70"/>
      <c r="G1058" s="70"/>
      <c r="H1058" s="131"/>
      <c r="I1058" s="3"/>
    </row>
    <row r="1059" spans="1:9" s="93" customFormat="1" ht="9" customHeight="1" x14ac:dyDescent="0.3">
      <c r="A1059" s="91"/>
      <c r="B1059" s="70"/>
      <c r="C1059" s="70"/>
      <c r="D1059" s="70"/>
      <c r="E1059" s="70"/>
      <c r="F1059" s="70"/>
      <c r="G1059" s="70"/>
      <c r="H1059" s="131"/>
      <c r="I1059" s="3"/>
    </row>
    <row r="1060" spans="1:9" s="93" customFormat="1" ht="9" customHeight="1" x14ac:dyDescent="0.3">
      <c r="A1060" s="91"/>
      <c r="B1060" s="70"/>
      <c r="C1060" s="70"/>
      <c r="D1060" s="70"/>
      <c r="E1060" s="70"/>
      <c r="F1060" s="70"/>
      <c r="G1060" s="70"/>
      <c r="H1060" s="131"/>
      <c r="I1060" s="3"/>
    </row>
    <row r="1061" spans="1:9" s="93" customFormat="1" ht="9" customHeight="1" x14ac:dyDescent="0.3">
      <c r="A1061" s="91"/>
      <c r="B1061" s="70"/>
      <c r="C1061" s="70"/>
      <c r="D1061" s="70"/>
      <c r="E1061" s="70"/>
      <c r="F1061" s="70"/>
      <c r="G1061" s="70"/>
      <c r="H1061" s="131"/>
      <c r="I1061" s="3"/>
    </row>
    <row r="1062" spans="1:9" s="93" customFormat="1" ht="9" customHeight="1" x14ac:dyDescent="0.3">
      <c r="A1062" s="91"/>
      <c r="B1062" s="70"/>
      <c r="C1062" s="70"/>
      <c r="D1062" s="70"/>
      <c r="E1062" s="70"/>
      <c r="F1062" s="70"/>
      <c r="G1062" s="70"/>
      <c r="H1062" s="131"/>
      <c r="I1062" s="3"/>
    </row>
    <row r="1063" spans="1:9" s="93" customFormat="1" ht="9" customHeight="1" x14ac:dyDescent="0.3">
      <c r="A1063" s="91"/>
      <c r="B1063" s="70"/>
      <c r="C1063" s="70"/>
      <c r="D1063" s="70"/>
      <c r="E1063" s="70"/>
      <c r="F1063" s="70"/>
      <c r="G1063" s="70"/>
      <c r="H1063" s="131"/>
      <c r="I1063" s="3"/>
    </row>
    <row r="1064" spans="1:9" s="93" customFormat="1" ht="9" customHeight="1" x14ac:dyDescent="0.3">
      <c r="A1064" s="91"/>
      <c r="B1064" s="70"/>
      <c r="C1064" s="70"/>
      <c r="D1064" s="70"/>
      <c r="E1064" s="70"/>
      <c r="F1064" s="70"/>
      <c r="G1064" s="70"/>
      <c r="H1064" s="131"/>
      <c r="I1064" s="3"/>
    </row>
    <row r="1065" spans="1:9" s="93" customFormat="1" ht="9" customHeight="1" x14ac:dyDescent="0.3">
      <c r="A1065" s="91"/>
      <c r="B1065" s="70"/>
      <c r="C1065" s="70"/>
      <c r="D1065" s="70"/>
      <c r="E1065" s="70"/>
      <c r="F1065" s="70"/>
      <c r="G1065" s="70"/>
      <c r="H1065" s="131"/>
      <c r="I1065" s="3"/>
    </row>
    <row r="1066" spans="1:9" s="93" customFormat="1" ht="9" customHeight="1" x14ac:dyDescent="0.3">
      <c r="A1066" s="91"/>
      <c r="B1066" s="70"/>
      <c r="C1066" s="70"/>
      <c r="D1066" s="70"/>
      <c r="E1066" s="70"/>
      <c r="F1066" s="70"/>
      <c r="G1066" s="70"/>
      <c r="H1066" s="131"/>
      <c r="I1066" s="3"/>
    </row>
    <row r="1067" spans="1:9" s="93" customFormat="1" ht="9" customHeight="1" x14ac:dyDescent="0.3">
      <c r="A1067" s="91"/>
      <c r="B1067" s="70"/>
      <c r="C1067" s="70"/>
      <c r="D1067" s="70"/>
      <c r="E1067" s="70"/>
      <c r="F1067" s="70"/>
      <c r="G1067" s="70"/>
      <c r="H1067" s="131"/>
      <c r="I1067" s="3"/>
    </row>
    <row r="1068" spans="1:9" s="93" customFormat="1" ht="9" customHeight="1" x14ac:dyDescent="0.3">
      <c r="A1068" s="91"/>
      <c r="B1068" s="70"/>
      <c r="C1068" s="70"/>
      <c r="D1068" s="70"/>
      <c r="E1068" s="70"/>
      <c r="F1068" s="70"/>
      <c r="G1068" s="70"/>
      <c r="H1068" s="131"/>
      <c r="I1068" s="3"/>
    </row>
    <row r="1069" spans="1:9" s="93" customFormat="1" ht="9" customHeight="1" x14ac:dyDescent="0.3">
      <c r="A1069" s="91"/>
      <c r="B1069" s="70"/>
      <c r="C1069" s="70"/>
      <c r="D1069" s="70"/>
      <c r="E1069" s="70"/>
      <c r="F1069" s="70"/>
      <c r="G1069" s="70"/>
      <c r="H1069" s="131"/>
      <c r="I1069" s="3"/>
    </row>
    <row r="1070" spans="1:9" s="93" customFormat="1" ht="9" customHeight="1" x14ac:dyDescent="0.3">
      <c r="A1070" s="91"/>
      <c r="B1070" s="70"/>
      <c r="C1070" s="70"/>
      <c r="D1070" s="70"/>
      <c r="E1070" s="70"/>
      <c r="F1070" s="70"/>
      <c r="G1070" s="70"/>
      <c r="H1070" s="131"/>
      <c r="I1070" s="3"/>
    </row>
    <row r="1071" spans="1:9" s="93" customFormat="1" ht="9" customHeight="1" x14ac:dyDescent="0.3">
      <c r="A1071" s="91"/>
      <c r="B1071" s="70"/>
      <c r="C1071" s="70"/>
      <c r="D1071" s="70"/>
      <c r="E1071" s="70"/>
      <c r="F1071" s="70"/>
      <c r="G1071" s="70"/>
      <c r="H1071" s="131"/>
      <c r="I1071" s="3"/>
    </row>
    <row r="1072" spans="1:9" s="93" customFormat="1" ht="9" customHeight="1" x14ac:dyDescent="0.3">
      <c r="A1072" s="91"/>
      <c r="B1072" s="70"/>
      <c r="C1072" s="70"/>
      <c r="D1072" s="70"/>
      <c r="E1072" s="70"/>
      <c r="F1072" s="70"/>
      <c r="G1072" s="70"/>
      <c r="H1072" s="131"/>
      <c r="I1072" s="3"/>
    </row>
    <row r="1073" spans="1:9" s="93" customFormat="1" ht="9" customHeight="1" x14ac:dyDescent="0.3">
      <c r="A1073" s="91"/>
      <c r="B1073" s="70"/>
      <c r="C1073" s="70"/>
      <c r="D1073" s="70"/>
      <c r="E1073" s="70"/>
      <c r="F1073" s="70"/>
      <c r="G1073" s="70"/>
      <c r="H1073" s="131"/>
      <c r="I1073" s="3"/>
    </row>
    <row r="1074" spans="1:9" s="93" customFormat="1" ht="9" customHeight="1" x14ac:dyDescent="0.3">
      <c r="A1074" s="91"/>
      <c r="B1074" s="70"/>
      <c r="C1074" s="70"/>
      <c r="D1074" s="70"/>
      <c r="E1074" s="70"/>
      <c r="F1074" s="70"/>
      <c r="G1074" s="70"/>
      <c r="H1074" s="131"/>
      <c r="I1074" s="3"/>
    </row>
    <row r="1075" spans="1:9" s="93" customFormat="1" ht="9" customHeight="1" x14ac:dyDescent="0.3">
      <c r="A1075" s="91"/>
      <c r="B1075" s="70"/>
      <c r="C1075" s="70"/>
      <c r="D1075" s="70"/>
      <c r="E1075" s="70"/>
      <c r="F1075" s="70"/>
      <c r="G1075" s="70"/>
      <c r="H1075" s="131"/>
      <c r="I1075" s="3"/>
    </row>
    <row r="1076" spans="1:9" s="93" customFormat="1" ht="9" customHeight="1" x14ac:dyDescent="0.3">
      <c r="A1076" s="91"/>
      <c r="B1076" s="70"/>
      <c r="C1076" s="70"/>
      <c r="D1076" s="70"/>
      <c r="E1076" s="70"/>
      <c r="F1076" s="70"/>
      <c r="G1076" s="70"/>
      <c r="H1076" s="131"/>
      <c r="I1076" s="3"/>
    </row>
    <row r="1077" spans="1:9" s="93" customFormat="1" ht="9" customHeight="1" x14ac:dyDescent="0.3">
      <c r="A1077" s="91"/>
      <c r="B1077" s="70"/>
      <c r="C1077" s="70"/>
      <c r="D1077" s="70"/>
      <c r="E1077" s="70"/>
      <c r="F1077" s="70"/>
      <c r="G1077" s="70"/>
      <c r="H1077" s="131"/>
      <c r="I1077" s="3"/>
    </row>
    <row r="1078" spans="1:9" s="93" customFormat="1" ht="9" customHeight="1" x14ac:dyDescent="0.3">
      <c r="A1078" s="91"/>
      <c r="B1078" s="70"/>
      <c r="C1078" s="70"/>
      <c r="D1078" s="70"/>
      <c r="E1078" s="70"/>
      <c r="F1078" s="70"/>
      <c r="G1078" s="70"/>
      <c r="H1078" s="131"/>
      <c r="I1078" s="3"/>
    </row>
    <row r="1079" spans="1:9" s="93" customFormat="1" ht="9" customHeight="1" x14ac:dyDescent="0.3">
      <c r="A1079" s="91"/>
      <c r="B1079" s="70"/>
      <c r="C1079" s="70"/>
      <c r="D1079" s="70"/>
      <c r="E1079" s="70"/>
      <c r="F1079" s="70"/>
      <c r="G1079" s="70"/>
      <c r="H1079" s="131"/>
      <c r="I1079" s="3"/>
    </row>
    <row r="1080" spans="1:9" s="93" customFormat="1" ht="9" customHeight="1" x14ac:dyDescent="0.3">
      <c r="A1080" s="91"/>
      <c r="B1080" s="70"/>
      <c r="C1080" s="70"/>
      <c r="D1080" s="70"/>
      <c r="E1080" s="70"/>
      <c r="F1080" s="70"/>
      <c r="G1080" s="70"/>
      <c r="H1080" s="131"/>
      <c r="I1080" s="3"/>
    </row>
    <row r="1081" spans="1:9" s="93" customFormat="1" ht="9" customHeight="1" x14ac:dyDescent="0.3">
      <c r="A1081" s="91"/>
      <c r="B1081" s="70"/>
      <c r="C1081" s="70"/>
      <c r="D1081" s="70"/>
      <c r="E1081" s="70"/>
      <c r="F1081" s="70"/>
      <c r="G1081" s="70"/>
      <c r="H1081" s="131"/>
      <c r="I1081" s="3"/>
    </row>
    <row r="1082" spans="1:9" s="93" customFormat="1" ht="9" customHeight="1" x14ac:dyDescent="0.3">
      <c r="A1082" s="91"/>
      <c r="B1082" s="70"/>
      <c r="C1082" s="70"/>
      <c r="D1082" s="70"/>
      <c r="E1082" s="70"/>
      <c r="F1082" s="70"/>
      <c r="G1082" s="70"/>
      <c r="H1082" s="131"/>
      <c r="I1082" s="3"/>
    </row>
    <row r="1083" spans="1:9" s="93" customFormat="1" ht="9" customHeight="1" x14ac:dyDescent="0.3">
      <c r="A1083" s="91"/>
      <c r="B1083" s="70"/>
      <c r="C1083" s="70"/>
      <c r="D1083" s="70"/>
      <c r="E1083" s="70"/>
      <c r="F1083" s="70"/>
      <c r="G1083" s="70"/>
      <c r="H1083" s="131"/>
      <c r="I1083" s="3"/>
    </row>
    <row r="1084" spans="1:9" s="93" customFormat="1" ht="9" customHeight="1" x14ac:dyDescent="0.3">
      <c r="A1084" s="91"/>
      <c r="B1084" s="70"/>
      <c r="C1084" s="70"/>
      <c r="D1084" s="70"/>
      <c r="E1084" s="70"/>
      <c r="F1084" s="70"/>
      <c r="G1084" s="70"/>
      <c r="H1084" s="131"/>
      <c r="I1084" s="3"/>
    </row>
    <row r="1085" spans="1:9" s="93" customFormat="1" ht="9" customHeight="1" x14ac:dyDescent="0.3">
      <c r="A1085" s="91"/>
      <c r="B1085" s="70"/>
      <c r="C1085" s="70"/>
      <c r="D1085" s="70"/>
      <c r="E1085" s="70"/>
      <c r="F1085" s="70"/>
      <c r="G1085" s="70"/>
      <c r="H1085" s="131"/>
      <c r="I1085" s="3"/>
    </row>
    <row r="1086" spans="1:9" s="93" customFormat="1" ht="9" customHeight="1" x14ac:dyDescent="0.3">
      <c r="A1086" s="91"/>
      <c r="B1086" s="70"/>
      <c r="C1086" s="70"/>
      <c r="D1086" s="70"/>
      <c r="E1086" s="70"/>
      <c r="F1086" s="70"/>
      <c r="G1086" s="70"/>
      <c r="H1086" s="131"/>
      <c r="I1086" s="3"/>
    </row>
    <row r="1087" spans="1:9" s="93" customFormat="1" ht="9" customHeight="1" x14ac:dyDescent="0.3">
      <c r="A1087" s="91"/>
      <c r="B1087" s="70"/>
      <c r="C1087" s="70"/>
      <c r="D1087" s="70"/>
      <c r="E1087" s="70"/>
      <c r="F1087" s="70"/>
      <c r="G1087" s="70"/>
      <c r="H1087" s="131"/>
      <c r="I1087" s="3"/>
    </row>
    <row r="1088" spans="1:9" s="93" customFormat="1" ht="9" customHeight="1" x14ac:dyDescent="0.3">
      <c r="A1088" s="91"/>
      <c r="B1088" s="70"/>
      <c r="C1088" s="70"/>
      <c r="D1088" s="70"/>
      <c r="E1088" s="70"/>
      <c r="F1088" s="70"/>
      <c r="G1088" s="70"/>
      <c r="H1088" s="131"/>
      <c r="I1088" s="3"/>
    </row>
    <row r="1089" spans="1:9" s="93" customFormat="1" ht="9" customHeight="1" x14ac:dyDescent="0.3">
      <c r="A1089" s="91"/>
      <c r="B1089" s="70"/>
      <c r="C1089" s="70"/>
      <c r="D1089" s="70"/>
      <c r="E1089" s="70"/>
      <c r="F1089" s="70"/>
      <c r="G1089" s="70"/>
      <c r="H1089" s="131"/>
      <c r="I1089" s="3"/>
    </row>
    <row r="1090" spans="1:9" s="93" customFormat="1" ht="9" customHeight="1" x14ac:dyDescent="0.3">
      <c r="A1090" s="91"/>
      <c r="B1090" s="70"/>
      <c r="C1090" s="70"/>
      <c r="D1090" s="70"/>
      <c r="E1090" s="70"/>
      <c r="F1090" s="70"/>
      <c r="G1090" s="70"/>
      <c r="H1090" s="131"/>
      <c r="I1090" s="3"/>
    </row>
    <row r="1091" spans="1:9" s="93" customFormat="1" ht="9" customHeight="1" x14ac:dyDescent="0.3">
      <c r="A1091" s="91"/>
      <c r="B1091" s="70"/>
      <c r="C1091" s="70"/>
      <c r="D1091" s="70"/>
      <c r="E1091" s="70"/>
      <c r="F1091" s="70"/>
      <c r="G1091" s="70"/>
      <c r="H1091" s="131"/>
      <c r="I1091" s="3"/>
    </row>
    <row r="1092" spans="1:9" s="93" customFormat="1" ht="9" customHeight="1" x14ac:dyDescent="0.3">
      <c r="A1092" s="91"/>
      <c r="B1092" s="70"/>
      <c r="C1092" s="70"/>
      <c r="D1092" s="70"/>
      <c r="E1092" s="70"/>
      <c r="F1092" s="70"/>
      <c r="G1092" s="70"/>
      <c r="H1092" s="131"/>
      <c r="I1092" s="3"/>
    </row>
    <row r="1093" spans="1:9" s="93" customFormat="1" ht="9" customHeight="1" x14ac:dyDescent="0.3">
      <c r="A1093" s="91"/>
      <c r="B1093" s="70"/>
      <c r="C1093" s="70"/>
      <c r="D1093" s="70"/>
      <c r="E1093" s="70"/>
      <c r="F1093" s="70"/>
      <c r="G1093" s="70"/>
      <c r="H1093" s="131"/>
      <c r="I1093" s="3"/>
    </row>
    <row r="1094" spans="1:9" s="93" customFormat="1" ht="9" customHeight="1" x14ac:dyDescent="0.3">
      <c r="A1094" s="91"/>
      <c r="B1094" s="70"/>
      <c r="C1094" s="70"/>
      <c r="D1094" s="70"/>
      <c r="E1094" s="70"/>
      <c r="F1094" s="70"/>
      <c r="G1094" s="70"/>
      <c r="H1094" s="131"/>
      <c r="I1094" s="3"/>
    </row>
    <row r="1095" spans="1:9" s="93" customFormat="1" ht="9" customHeight="1" x14ac:dyDescent="0.3">
      <c r="A1095" s="91"/>
      <c r="B1095" s="70"/>
      <c r="C1095" s="70"/>
      <c r="D1095" s="70"/>
      <c r="E1095" s="70"/>
      <c r="F1095" s="70"/>
      <c r="G1095" s="70"/>
      <c r="H1095" s="131"/>
      <c r="I1095" s="3"/>
    </row>
    <row r="1096" spans="1:9" s="93" customFormat="1" ht="9" customHeight="1" x14ac:dyDescent="0.3">
      <c r="A1096" s="91"/>
      <c r="B1096" s="70"/>
      <c r="C1096" s="70"/>
      <c r="D1096" s="70"/>
      <c r="E1096" s="70"/>
      <c r="F1096" s="70"/>
      <c r="G1096" s="70"/>
      <c r="H1096" s="131"/>
      <c r="I1096" s="3"/>
    </row>
    <row r="1097" spans="1:9" s="93" customFormat="1" ht="9" customHeight="1" x14ac:dyDescent="0.3">
      <c r="A1097" s="91"/>
      <c r="B1097" s="70"/>
      <c r="C1097" s="70"/>
      <c r="D1097" s="70"/>
      <c r="E1097" s="70"/>
      <c r="F1097" s="70"/>
      <c r="G1097" s="70"/>
      <c r="H1097" s="131"/>
      <c r="I1097" s="3"/>
    </row>
    <row r="1098" spans="1:9" s="93" customFormat="1" ht="9" customHeight="1" x14ac:dyDescent="0.3">
      <c r="A1098" s="91"/>
      <c r="B1098" s="70"/>
      <c r="C1098" s="70"/>
      <c r="D1098" s="70"/>
      <c r="E1098" s="70"/>
      <c r="F1098" s="70"/>
      <c r="G1098" s="70"/>
      <c r="H1098" s="131"/>
      <c r="I1098" s="3"/>
    </row>
    <row r="1099" spans="1:9" s="93" customFormat="1" ht="9" customHeight="1" x14ac:dyDescent="0.3">
      <c r="A1099" s="91"/>
      <c r="B1099" s="70"/>
      <c r="C1099" s="70"/>
      <c r="D1099" s="70"/>
      <c r="E1099" s="70"/>
      <c r="F1099" s="70"/>
      <c r="G1099" s="70"/>
      <c r="H1099" s="131"/>
      <c r="I1099" s="3"/>
    </row>
    <row r="1100" spans="1:9" s="93" customFormat="1" ht="9" customHeight="1" x14ac:dyDescent="0.3">
      <c r="A1100" s="91"/>
      <c r="B1100" s="70"/>
      <c r="C1100" s="70"/>
      <c r="D1100" s="70"/>
      <c r="E1100" s="70"/>
      <c r="F1100" s="70"/>
      <c r="G1100" s="70"/>
      <c r="H1100" s="131"/>
      <c r="I1100" s="3"/>
    </row>
    <row r="1101" spans="1:9" s="93" customFormat="1" ht="9" customHeight="1" x14ac:dyDescent="0.3">
      <c r="A1101" s="91"/>
      <c r="B1101" s="70"/>
      <c r="C1101" s="70"/>
      <c r="D1101" s="70"/>
      <c r="E1101" s="70"/>
      <c r="F1101" s="70"/>
      <c r="G1101" s="70"/>
      <c r="H1101" s="131"/>
      <c r="I1101" s="3"/>
    </row>
    <row r="1102" spans="1:9" s="93" customFormat="1" ht="9" customHeight="1" x14ac:dyDescent="0.3">
      <c r="A1102" s="91"/>
      <c r="B1102" s="70"/>
      <c r="C1102" s="70"/>
      <c r="D1102" s="70"/>
      <c r="E1102" s="70"/>
      <c r="F1102" s="70"/>
      <c r="G1102" s="70"/>
      <c r="H1102" s="131"/>
      <c r="I1102" s="3"/>
    </row>
    <row r="1103" spans="1:9" s="93" customFormat="1" ht="9" customHeight="1" x14ac:dyDescent="0.3">
      <c r="A1103" s="91"/>
      <c r="B1103" s="70"/>
      <c r="C1103" s="70"/>
      <c r="D1103" s="70"/>
      <c r="E1103" s="70"/>
      <c r="F1103" s="70"/>
      <c r="G1103" s="70"/>
      <c r="H1103" s="131"/>
      <c r="I1103" s="3"/>
    </row>
    <row r="1104" spans="1:9" s="93" customFormat="1" ht="9" customHeight="1" x14ac:dyDescent="0.3">
      <c r="A1104" s="91"/>
      <c r="B1104" s="70"/>
      <c r="C1104" s="70"/>
      <c r="D1104" s="70"/>
      <c r="E1104" s="70"/>
      <c r="F1104" s="70"/>
      <c r="G1104" s="70"/>
      <c r="H1104" s="131"/>
      <c r="I1104" s="3"/>
    </row>
    <row r="1105" spans="1:9" s="93" customFormat="1" ht="9" customHeight="1" x14ac:dyDescent="0.3">
      <c r="A1105" s="91"/>
      <c r="B1105" s="70"/>
      <c r="C1105" s="70"/>
      <c r="D1105" s="70"/>
      <c r="E1105" s="70"/>
      <c r="F1105" s="70"/>
      <c r="G1105" s="70"/>
      <c r="H1105" s="131"/>
      <c r="I1105" s="3"/>
    </row>
    <row r="1106" spans="1:9" s="93" customFormat="1" ht="9" customHeight="1" x14ac:dyDescent="0.3">
      <c r="A1106" s="91"/>
      <c r="B1106" s="70"/>
      <c r="C1106" s="70"/>
      <c r="D1106" s="70"/>
      <c r="E1106" s="70"/>
      <c r="F1106" s="70"/>
      <c r="G1106" s="70"/>
      <c r="H1106" s="131"/>
      <c r="I1106" s="3"/>
    </row>
    <row r="1107" spans="1:9" s="93" customFormat="1" ht="9" customHeight="1" x14ac:dyDescent="0.3">
      <c r="A1107" s="91"/>
      <c r="B1107" s="70"/>
      <c r="C1107" s="70"/>
      <c r="D1107" s="70"/>
      <c r="E1107" s="70"/>
      <c r="F1107" s="70"/>
      <c r="G1107" s="70"/>
      <c r="H1107" s="131"/>
      <c r="I1107" s="3"/>
    </row>
    <row r="1108" spans="1:9" s="93" customFormat="1" ht="9" customHeight="1" x14ac:dyDescent="0.3">
      <c r="A1108" s="91"/>
      <c r="B1108" s="70"/>
      <c r="C1108" s="70"/>
      <c r="D1108" s="70"/>
      <c r="E1108" s="70"/>
      <c r="F1108" s="70"/>
      <c r="G1108" s="70"/>
      <c r="H1108" s="131"/>
      <c r="I1108" s="3"/>
    </row>
    <row r="1109" spans="1:9" s="93" customFormat="1" ht="9" customHeight="1" x14ac:dyDescent="0.3">
      <c r="A1109" s="91"/>
      <c r="B1109" s="70"/>
      <c r="C1109" s="70"/>
      <c r="D1109" s="70"/>
      <c r="E1109" s="70"/>
      <c r="F1109" s="70"/>
      <c r="G1109" s="70"/>
      <c r="H1109" s="131"/>
      <c r="I1109" s="3"/>
    </row>
    <row r="1110" spans="1:9" s="93" customFormat="1" ht="9" customHeight="1" x14ac:dyDescent="0.3">
      <c r="A1110" s="91"/>
      <c r="B1110" s="70"/>
      <c r="C1110" s="70"/>
      <c r="D1110" s="70"/>
      <c r="E1110" s="70"/>
      <c r="F1110" s="70"/>
      <c r="G1110" s="70"/>
      <c r="H1110" s="131"/>
      <c r="I1110" s="3"/>
    </row>
    <row r="1111" spans="1:9" s="93" customFormat="1" ht="9" customHeight="1" x14ac:dyDescent="0.3">
      <c r="A1111" s="91"/>
      <c r="B1111" s="70"/>
      <c r="C1111" s="70"/>
      <c r="D1111" s="70"/>
      <c r="E1111" s="70"/>
      <c r="F1111" s="70"/>
      <c r="G1111" s="70"/>
      <c r="H1111" s="131"/>
      <c r="I1111" s="3"/>
    </row>
    <row r="1112" spans="1:9" s="93" customFormat="1" ht="9" customHeight="1" x14ac:dyDescent="0.3">
      <c r="A1112" s="91"/>
      <c r="B1112" s="70"/>
      <c r="C1112" s="70"/>
      <c r="D1112" s="70"/>
      <c r="E1112" s="70"/>
      <c r="F1112" s="70"/>
      <c r="G1112" s="70"/>
      <c r="H1112" s="131"/>
      <c r="I1112" s="3"/>
    </row>
    <row r="1113" spans="1:9" s="93" customFormat="1" ht="9" customHeight="1" x14ac:dyDescent="0.3">
      <c r="A1113" s="91"/>
      <c r="B1113" s="70"/>
      <c r="C1113" s="70"/>
      <c r="D1113" s="70"/>
      <c r="E1113" s="70"/>
      <c r="F1113" s="70"/>
      <c r="G1113" s="70"/>
      <c r="H1113" s="131"/>
      <c r="I1113" s="3"/>
    </row>
    <row r="1114" spans="1:9" s="93" customFormat="1" ht="9" customHeight="1" x14ac:dyDescent="0.3">
      <c r="A1114" s="91"/>
      <c r="B1114" s="70"/>
      <c r="C1114" s="70"/>
      <c r="D1114" s="70"/>
      <c r="E1114" s="70"/>
      <c r="F1114" s="70"/>
      <c r="G1114" s="70"/>
      <c r="H1114" s="131"/>
      <c r="I1114" s="3"/>
    </row>
    <row r="1115" spans="1:9" s="93" customFormat="1" ht="9" customHeight="1" x14ac:dyDescent="0.3">
      <c r="A1115" s="91"/>
      <c r="B1115" s="70"/>
      <c r="C1115" s="70"/>
      <c r="D1115" s="70"/>
      <c r="E1115" s="70"/>
      <c r="F1115" s="70"/>
      <c r="G1115" s="70"/>
      <c r="H1115" s="131"/>
      <c r="I1115" s="3"/>
    </row>
    <row r="1116" spans="1:9" s="93" customFormat="1" ht="9" customHeight="1" x14ac:dyDescent="0.3">
      <c r="A1116" s="91"/>
      <c r="B1116" s="70"/>
      <c r="C1116" s="70"/>
      <c r="D1116" s="70"/>
      <c r="E1116" s="70"/>
      <c r="F1116" s="70"/>
      <c r="G1116" s="70"/>
      <c r="H1116" s="131"/>
      <c r="I1116" s="3"/>
    </row>
    <row r="1117" spans="1:9" s="93" customFormat="1" ht="9" customHeight="1" x14ac:dyDescent="0.3">
      <c r="A1117" s="91"/>
      <c r="B1117" s="70"/>
      <c r="C1117" s="70"/>
      <c r="D1117" s="70"/>
      <c r="E1117" s="70"/>
      <c r="F1117" s="70"/>
      <c r="G1117" s="70"/>
      <c r="H1117" s="131"/>
      <c r="I1117" s="3"/>
    </row>
    <row r="1118" spans="1:9" s="93" customFormat="1" ht="9" customHeight="1" x14ac:dyDescent="0.3">
      <c r="A1118" s="91"/>
      <c r="B1118" s="70"/>
      <c r="C1118" s="70"/>
      <c r="D1118" s="70"/>
      <c r="E1118" s="70"/>
      <c r="F1118" s="70"/>
      <c r="G1118" s="70"/>
      <c r="H1118" s="131"/>
      <c r="I1118" s="3"/>
    </row>
    <row r="1119" spans="1:9" s="93" customFormat="1" ht="9" customHeight="1" x14ac:dyDescent="0.3">
      <c r="A1119" s="91"/>
      <c r="B1119" s="70"/>
      <c r="C1119" s="70"/>
      <c r="D1119" s="70"/>
      <c r="E1119" s="70"/>
      <c r="F1119" s="70"/>
      <c r="G1119" s="70"/>
      <c r="H1119" s="131"/>
      <c r="I1119" s="3"/>
    </row>
    <row r="1120" spans="1:9" s="93" customFormat="1" ht="9" customHeight="1" x14ac:dyDescent="0.3">
      <c r="A1120" s="91"/>
      <c r="B1120" s="70"/>
      <c r="C1120" s="70"/>
      <c r="D1120" s="70"/>
      <c r="E1120" s="70"/>
      <c r="F1120" s="70"/>
      <c r="G1120" s="70"/>
      <c r="H1120" s="131"/>
      <c r="I1120" s="3"/>
    </row>
    <row r="1121" spans="1:9" s="93" customFormat="1" ht="9" customHeight="1" x14ac:dyDescent="0.3">
      <c r="A1121" s="91"/>
      <c r="B1121" s="70"/>
      <c r="C1121" s="70"/>
      <c r="D1121" s="70"/>
      <c r="E1121" s="70"/>
      <c r="F1121" s="70"/>
      <c r="G1121" s="70"/>
      <c r="H1121" s="131"/>
      <c r="I1121" s="3"/>
    </row>
    <row r="1122" spans="1:9" s="93" customFormat="1" ht="9" customHeight="1" x14ac:dyDescent="0.3">
      <c r="A1122" s="91"/>
      <c r="B1122" s="70"/>
      <c r="C1122" s="70"/>
      <c r="D1122" s="70"/>
      <c r="E1122" s="70"/>
      <c r="F1122" s="70"/>
      <c r="G1122" s="70"/>
      <c r="H1122" s="131"/>
      <c r="I1122" s="3"/>
    </row>
    <row r="1123" spans="1:9" s="93" customFormat="1" ht="9" customHeight="1" x14ac:dyDescent="0.3">
      <c r="A1123" s="91"/>
      <c r="B1123" s="70"/>
      <c r="C1123" s="70"/>
      <c r="D1123" s="70"/>
      <c r="E1123" s="70"/>
      <c r="F1123" s="70"/>
      <c r="G1123" s="70"/>
      <c r="H1123" s="131"/>
      <c r="I1123" s="3"/>
    </row>
    <row r="1124" spans="1:9" s="93" customFormat="1" ht="9" customHeight="1" x14ac:dyDescent="0.3">
      <c r="A1124" s="91"/>
      <c r="B1124" s="70"/>
      <c r="C1124" s="70"/>
      <c r="D1124" s="70"/>
      <c r="E1124" s="70"/>
      <c r="F1124" s="70"/>
      <c r="G1124" s="70"/>
      <c r="H1124" s="131"/>
      <c r="I1124" s="3"/>
    </row>
    <row r="1125" spans="1:9" s="93" customFormat="1" ht="9" customHeight="1" x14ac:dyDescent="0.3">
      <c r="A1125" s="91"/>
      <c r="B1125" s="70"/>
      <c r="C1125" s="70"/>
      <c r="D1125" s="70"/>
      <c r="E1125" s="70"/>
      <c r="F1125" s="70"/>
      <c r="G1125" s="70"/>
      <c r="H1125" s="131"/>
      <c r="I1125" s="3"/>
    </row>
    <row r="1126" spans="1:9" s="93" customFormat="1" ht="9" customHeight="1" x14ac:dyDescent="0.3">
      <c r="A1126" s="91"/>
      <c r="B1126" s="70"/>
      <c r="C1126" s="70"/>
      <c r="D1126" s="70"/>
      <c r="E1126" s="70"/>
      <c r="F1126" s="70"/>
      <c r="G1126" s="70"/>
      <c r="H1126" s="131"/>
      <c r="I1126" s="3"/>
    </row>
    <row r="1127" spans="1:9" s="93" customFormat="1" ht="9" customHeight="1" x14ac:dyDescent="0.3">
      <c r="A1127" s="91"/>
      <c r="B1127" s="70"/>
      <c r="C1127" s="70"/>
      <c r="D1127" s="70"/>
      <c r="E1127" s="70"/>
      <c r="F1127" s="70"/>
      <c r="G1127" s="70"/>
      <c r="H1127" s="131"/>
      <c r="I1127" s="3"/>
    </row>
    <row r="1128" spans="1:9" s="93" customFormat="1" ht="9" customHeight="1" x14ac:dyDescent="0.3">
      <c r="A1128" s="91"/>
      <c r="B1128" s="70"/>
      <c r="C1128" s="70"/>
      <c r="D1128" s="70"/>
      <c r="E1128" s="70"/>
      <c r="F1128" s="70"/>
      <c r="G1128" s="70"/>
      <c r="H1128" s="131"/>
      <c r="I1128" s="3"/>
    </row>
    <row r="1129" spans="1:9" s="93" customFormat="1" ht="9" customHeight="1" x14ac:dyDescent="0.3">
      <c r="A1129" s="91"/>
      <c r="B1129" s="70"/>
      <c r="C1129" s="70"/>
      <c r="D1129" s="70"/>
      <c r="E1129" s="70"/>
      <c r="F1129" s="70"/>
      <c r="G1129" s="70"/>
      <c r="H1129" s="131"/>
      <c r="I1129" s="3"/>
    </row>
    <row r="1130" spans="1:9" s="93" customFormat="1" ht="9" customHeight="1" x14ac:dyDescent="0.3">
      <c r="A1130" s="91"/>
      <c r="B1130" s="70"/>
      <c r="C1130" s="70"/>
      <c r="D1130" s="70"/>
      <c r="E1130" s="70"/>
      <c r="F1130" s="70"/>
      <c r="G1130" s="70"/>
      <c r="H1130" s="131"/>
      <c r="I1130" s="3"/>
    </row>
    <row r="1131" spans="1:9" s="93" customFormat="1" ht="9" customHeight="1" x14ac:dyDescent="0.3">
      <c r="A1131" s="91"/>
      <c r="B1131" s="70"/>
      <c r="C1131" s="70"/>
      <c r="D1131" s="70"/>
      <c r="E1131" s="70"/>
      <c r="F1131" s="70"/>
      <c r="G1131" s="70"/>
      <c r="H1131" s="131"/>
      <c r="I1131" s="3"/>
    </row>
    <row r="1132" spans="1:9" s="93" customFormat="1" ht="9" customHeight="1" x14ac:dyDescent="0.3">
      <c r="A1132" s="91"/>
      <c r="B1132" s="70"/>
      <c r="C1132" s="70"/>
      <c r="D1132" s="70"/>
      <c r="E1132" s="70"/>
      <c r="F1132" s="70"/>
      <c r="G1132" s="70"/>
      <c r="H1132" s="131"/>
      <c r="I1132" s="3"/>
    </row>
    <row r="1133" spans="1:9" s="93" customFormat="1" ht="9" customHeight="1" x14ac:dyDescent="0.3">
      <c r="A1133" s="91"/>
      <c r="B1133" s="70"/>
      <c r="C1133" s="70"/>
      <c r="D1133" s="70"/>
      <c r="E1133" s="70"/>
      <c r="F1133" s="70"/>
      <c r="G1133" s="70"/>
      <c r="H1133" s="131"/>
      <c r="I1133" s="3"/>
    </row>
    <row r="1134" spans="1:9" s="93" customFormat="1" ht="9" customHeight="1" x14ac:dyDescent="0.3">
      <c r="A1134" s="91"/>
      <c r="B1134" s="70"/>
      <c r="C1134" s="70"/>
      <c r="D1134" s="70"/>
      <c r="E1134" s="70"/>
      <c r="F1134" s="70"/>
      <c r="G1134" s="70"/>
      <c r="H1134" s="131"/>
      <c r="I1134" s="3"/>
    </row>
    <row r="1135" spans="1:9" s="93" customFormat="1" ht="9" customHeight="1" x14ac:dyDescent="0.3">
      <c r="A1135" s="91"/>
      <c r="B1135" s="70"/>
      <c r="C1135" s="70"/>
      <c r="D1135" s="70"/>
      <c r="E1135" s="70"/>
      <c r="F1135" s="70"/>
      <c r="G1135" s="70"/>
      <c r="H1135" s="131"/>
      <c r="I1135" s="3"/>
    </row>
    <row r="1136" spans="1:9" s="93" customFormat="1" ht="9" customHeight="1" x14ac:dyDescent="0.3">
      <c r="A1136" s="91"/>
      <c r="B1136" s="70"/>
      <c r="C1136" s="70"/>
      <c r="D1136" s="70"/>
      <c r="E1136" s="70"/>
      <c r="F1136" s="70"/>
      <c r="G1136" s="70"/>
      <c r="H1136" s="131"/>
      <c r="I1136" s="3"/>
    </row>
    <row r="1137" spans="1:9" s="93" customFormat="1" ht="9" customHeight="1" x14ac:dyDescent="0.3">
      <c r="A1137" s="91"/>
      <c r="B1137" s="70"/>
      <c r="C1137" s="70"/>
      <c r="D1137" s="70"/>
      <c r="E1137" s="70"/>
      <c r="F1137" s="70"/>
      <c r="G1137" s="70"/>
      <c r="H1137" s="131"/>
      <c r="I1137" s="3"/>
    </row>
    <row r="1138" spans="1:9" s="93" customFormat="1" ht="9" customHeight="1" x14ac:dyDescent="0.3">
      <c r="A1138" s="91"/>
      <c r="B1138" s="70"/>
      <c r="C1138" s="70"/>
      <c r="D1138" s="70"/>
      <c r="E1138" s="70"/>
      <c r="F1138" s="70"/>
      <c r="G1138" s="70"/>
      <c r="H1138" s="131"/>
      <c r="I1138" s="3"/>
    </row>
    <row r="1139" spans="1:9" s="93" customFormat="1" ht="9" customHeight="1" x14ac:dyDescent="0.3">
      <c r="A1139" s="91"/>
      <c r="B1139" s="70"/>
      <c r="C1139" s="70"/>
      <c r="D1139" s="70"/>
      <c r="E1139" s="70"/>
      <c r="F1139" s="70"/>
      <c r="G1139" s="70"/>
      <c r="H1139" s="131"/>
      <c r="I1139" s="3"/>
    </row>
    <row r="1140" spans="1:9" s="93" customFormat="1" ht="9" customHeight="1" x14ac:dyDescent="0.3">
      <c r="A1140" s="91"/>
      <c r="B1140" s="70"/>
      <c r="C1140" s="70"/>
      <c r="D1140" s="70"/>
      <c r="E1140" s="70"/>
      <c r="F1140" s="70"/>
      <c r="G1140" s="70"/>
      <c r="H1140" s="131"/>
      <c r="I1140" s="3"/>
    </row>
    <row r="1141" spans="1:9" s="93" customFormat="1" ht="9" customHeight="1" x14ac:dyDescent="0.3">
      <c r="A1141" s="91"/>
      <c r="B1141" s="70"/>
      <c r="C1141" s="70"/>
      <c r="D1141" s="70"/>
      <c r="E1141" s="70"/>
      <c r="F1141" s="70"/>
      <c r="G1141" s="70"/>
      <c r="H1141" s="131"/>
      <c r="I1141" s="3"/>
    </row>
    <row r="1142" spans="1:9" s="93" customFormat="1" ht="9" customHeight="1" x14ac:dyDescent="0.3">
      <c r="A1142" s="91"/>
      <c r="B1142" s="70"/>
      <c r="C1142" s="70"/>
      <c r="D1142" s="70"/>
      <c r="E1142" s="70"/>
      <c r="F1142" s="70"/>
      <c r="G1142" s="70"/>
      <c r="H1142" s="131"/>
      <c r="I1142" s="3"/>
    </row>
    <row r="1143" spans="1:9" s="93" customFormat="1" ht="9" customHeight="1" x14ac:dyDescent="0.3">
      <c r="A1143" s="91"/>
      <c r="B1143" s="70"/>
      <c r="C1143" s="70"/>
      <c r="D1143" s="70"/>
      <c r="E1143" s="70"/>
      <c r="F1143" s="70"/>
      <c r="G1143" s="70"/>
      <c r="H1143" s="131"/>
      <c r="I1143" s="3"/>
    </row>
    <row r="1144" spans="1:9" s="93" customFormat="1" ht="9" customHeight="1" x14ac:dyDescent="0.3">
      <c r="A1144" s="91"/>
      <c r="B1144" s="70"/>
      <c r="C1144" s="70"/>
      <c r="D1144" s="70"/>
      <c r="E1144" s="70"/>
      <c r="F1144" s="70"/>
      <c r="G1144" s="70"/>
      <c r="H1144" s="131"/>
      <c r="I1144" s="3"/>
    </row>
    <row r="1145" spans="1:9" s="93" customFormat="1" ht="9" customHeight="1" x14ac:dyDescent="0.3">
      <c r="A1145" s="91"/>
      <c r="B1145" s="70"/>
      <c r="C1145" s="70"/>
      <c r="D1145" s="70"/>
      <c r="E1145" s="70"/>
      <c r="F1145" s="70"/>
      <c r="G1145" s="70"/>
      <c r="H1145" s="131"/>
      <c r="I1145" s="3"/>
    </row>
    <row r="1146" spans="1:9" s="93" customFormat="1" ht="9" customHeight="1" x14ac:dyDescent="0.3">
      <c r="A1146" s="91"/>
      <c r="B1146" s="70"/>
      <c r="C1146" s="70"/>
      <c r="D1146" s="70"/>
      <c r="E1146" s="70"/>
      <c r="F1146" s="70"/>
      <c r="G1146" s="70"/>
      <c r="H1146" s="131"/>
      <c r="I1146" s="3"/>
    </row>
    <row r="1147" spans="1:9" s="93" customFormat="1" ht="9" customHeight="1" x14ac:dyDescent="0.3">
      <c r="A1147" s="91"/>
      <c r="B1147" s="70"/>
      <c r="C1147" s="70"/>
      <c r="D1147" s="70"/>
      <c r="E1147" s="70"/>
      <c r="F1147" s="70"/>
      <c r="G1147" s="70"/>
      <c r="H1147" s="131"/>
      <c r="I1147" s="3"/>
    </row>
    <row r="1148" spans="1:9" s="93" customFormat="1" ht="9" customHeight="1" x14ac:dyDescent="0.3">
      <c r="A1148" s="91"/>
      <c r="B1148" s="70"/>
      <c r="C1148" s="70"/>
      <c r="D1148" s="70"/>
      <c r="E1148" s="70"/>
      <c r="F1148" s="70"/>
      <c r="G1148" s="70"/>
      <c r="H1148" s="131"/>
      <c r="I1148" s="3"/>
    </row>
    <row r="1149" spans="1:9" s="93" customFormat="1" ht="9" customHeight="1" x14ac:dyDescent="0.3">
      <c r="A1149" s="91"/>
      <c r="B1149" s="70"/>
      <c r="C1149" s="70"/>
      <c r="D1149" s="70"/>
      <c r="E1149" s="70"/>
      <c r="F1149" s="70"/>
      <c r="G1149" s="70"/>
      <c r="H1149" s="131"/>
      <c r="I1149" s="3"/>
    </row>
    <row r="1150" spans="1:9" s="93" customFormat="1" ht="9" customHeight="1" x14ac:dyDescent="0.3">
      <c r="A1150" s="91"/>
      <c r="B1150" s="70"/>
      <c r="C1150" s="70"/>
      <c r="D1150" s="70"/>
      <c r="E1150" s="70"/>
      <c r="F1150" s="70"/>
      <c r="G1150" s="70"/>
      <c r="H1150" s="131"/>
      <c r="I1150" s="3"/>
    </row>
    <row r="1151" spans="1:9" s="93" customFormat="1" ht="9" customHeight="1" x14ac:dyDescent="0.3">
      <c r="A1151" s="91"/>
      <c r="B1151" s="70"/>
      <c r="C1151" s="70"/>
      <c r="D1151" s="70"/>
      <c r="E1151" s="70"/>
      <c r="F1151" s="70"/>
      <c r="G1151" s="70"/>
      <c r="H1151" s="131"/>
      <c r="I1151" s="3"/>
    </row>
    <row r="1152" spans="1:9" s="93" customFormat="1" ht="9" customHeight="1" x14ac:dyDescent="0.3">
      <c r="A1152" s="91"/>
      <c r="B1152" s="70"/>
      <c r="C1152" s="70"/>
      <c r="D1152" s="70"/>
      <c r="E1152" s="70"/>
      <c r="F1152" s="70"/>
      <c r="G1152" s="70"/>
      <c r="H1152" s="131"/>
      <c r="I1152" s="3"/>
    </row>
    <row r="1153" spans="1:9" s="93" customFormat="1" ht="9" customHeight="1" x14ac:dyDescent="0.3">
      <c r="A1153" s="91"/>
      <c r="B1153" s="70"/>
      <c r="C1153" s="70"/>
      <c r="D1153" s="70"/>
      <c r="E1153" s="70"/>
      <c r="F1153" s="70"/>
      <c r="G1153" s="70"/>
      <c r="H1153" s="131"/>
      <c r="I1153" s="3"/>
    </row>
    <row r="1154" spans="1:9" s="93" customFormat="1" ht="9" customHeight="1" x14ac:dyDescent="0.3">
      <c r="A1154" s="91"/>
      <c r="B1154" s="70"/>
      <c r="C1154" s="70"/>
      <c r="D1154" s="70"/>
      <c r="E1154" s="70"/>
      <c r="F1154" s="70"/>
      <c r="G1154" s="70"/>
      <c r="H1154" s="131"/>
      <c r="I1154" s="3"/>
    </row>
    <row r="1155" spans="1:9" s="93" customFormat="1" ht="9" customHeight="1" x14ac:dyDescent="0.3">
      <c r="A1155" s="91"/>
      <c r="B1155" s="70"/>
      <c r="C1155" s="70"/>
      <c r="D1155" s="70"/>
      <c r="E1155" s="70"/>
      <c r="F1155" s="70"/>
      <c r="G1155" s="70"/>
      <c r="H1155" s="131"/>
      <c r="I1155" s="3"/>
    </row>
    <row r="1156" spans="1:9" s="93" customFormat="1" ht="9" customHeight="1" x14ac:dyDescent="0.3">
      <c r="A1156" s="91"/>
      <c r="B1156" s="70"/>
      <c r="C1156" s="70"/>
      <c r="D1156" s="70"/>
      <c r="E1156" s="70"/>
      <c r="F1156" s="70"/>
      <c r="G1156" s="70"/>
      <c r="H1156" s="131"/>
      <c r="I1156" s="3"/>
    </row>
    <row r="1157" spans="1:9" s="93" customFormat="1" ht="9" customHeight="1" x14ac:dyDescent="0.3">
      <c r="A1157" s="91"/>
      <c r="B1157" s="70"/>
      <c r="C1157" s="70"/>
      <c r="D1157" s="70"/>
      <c r="E1157" s="70"/>
      <c r="F1157" s="70"/>
      <c r="G1157" s="70"/>
      <c r="H1157" s="131"/>
      <c r="I1157" s="3"/>
    </row>
    <row r="1158" spans="1:9" s="93" customFormat="1" ht="9" customHeight="1" x14ac:dyDescent="0.3">
      <c r="A1158" s="91"/>
      <c r="B1158" s="70"/>
      <c r="C1158" s="70"/>
      <c r="D1158" s="70"/>
      <c r="E1158" s="70"/>
      <c r="F1158" s="70"/>
      <c r="G1158" s="70"/>
      <c r="H1158" s="131"/>
      <c r="I1158" s="3"/>
    </row>
    <row r="1159" spans="1:9" s="93" customFormat="1" ht="9" customHeight="1" x14ac:dyDescent="0.3">
      <c r="A1159" s="91"/>
      <c r="B1159" s="70"/>
      <c r="C1159" s="70"/>
      <c r="D1159" s="70"/>
      <c r="E1159" s="70"/>
      <c r="F1159" s="70"/>
      <c r="G1159" s="70"/>
      <c r="H1159" s="131"/>
      <c r="I1159" s="3"/>
    </row>
    <row r="1160" spans="1:9" s="93" customFormat="1" ht="9" customHeight="1" x14ac:dyDescent="0.3">
      <c r="A1160" s="91"/>
      <c r="B1160" s="70"/>
      <c r="C1160" s="70"/>
      <c r="D1160" s="70"/>
      <c r="E1160" s="70"/>
      <c r="F1160" s="70"/>
      <c r="G1160" s="70"/>
      <c r="H1160" s="131"/>
      <c r="I1160" s="3"/>
    </row>
    <row r="1161" spans="1:9" s="93" customFormat="1" ht="9" customHeight="1" x14ac:dyDescent="0.3">
      <c r="A1161" s="91"/>
      <c r="B1161" s="70"/>
      <c r="C1161" s="70"/>
      <c r="D1161" s="70"/>
      <c r="E1161" s="70"/>
      <c r="F1161" s="70"/>
      <c r="G1161" s="70"/>
      <c r="H1161" s="131"/>
      <c r="I1161" s="3"/>
    </row>
    <row r="1162" spans="1:9" s="93" customFormat="1" ht="9" customHeight="1" x14ac:dyDescent="0.3">
      <c r="A1162" s="91"/>
      <c r="B1162" s="70"/>
      <c r="C1162" s="70"/>
      <c r="D1162" s="70"/>
      <c r="E1162" s="70"/>
      <c r="F1162" s="70"/>
      <c r="G1162" s="70"/>
      <c r="H1162" s="131"/>
      <c r="I1162" s="3"/>
    </row>
    <row r="1163" spans="1:9" s="93" customFormat="1" ht="9" customHeight="1" x14ac:dyDescent="0.3">
      <c r="A1163" s="91"/>
      <c r="B1163" s="70"/>
      <c r="C1163" s="70"/>
      <c r="D1163" s="70"/>
      <c r="E1163" s="70"/>
      <c r="F1163" s="70"/>
      <c r="G1163" s="70"/>
      <c r="H1163" s="131"/>
      <c r="I1163" s="3"/>
    </row>
    <row r="1164" spans="1:9" s="93" customFormat="1" ht="9" customHeight="1" x14ac:dyDescent="0.3">
      <c r="A1164" s="91"/>
      <c r="B1164" s="70"/>
      <c r="C1164" s="70"/>
      <c r="D1164" s="70"/>
      <c r="E1164" s="70"/>
      <c r="F1164" s="70"/>
      <c r="G1164" s="70"/>
      <c r="H1164" s="131"/>
      <c r="I1164" s="3"/>
    </row>
    <row r="1165" spans="1:9" s="93" customFormat="1" ht="9" customHeight="1" x14ac:dyDescent="0.3">
      <c r="A1165" s="91"/>
      <c r="B1165" s="70"/>
      <c r="C1165" s="70"/>
      <c r="D1165" s="70"/>
      <c r="E1165" s="70"/>
      <c r="F1165" s="70"/>
      <c r="G1165" s="70"/>
      <c r="H1165" s="131"/>
      <c r="I1165" s="3"/>
    </row>
    <row r="1166" spans="1:9" s="93" customFormat="1" ht="9" customHeight="1" x14ac:dyDescent="0.3">
      <c r="A1166" s="91"/>
      <c r="B1166" s="70"/>
      <c r="C1166" s="70"/>
      <c r="D1166" s="70"/>
      <c r="E1166" s="70"/>
      <c r="F1166" s="70"/>
      <c r="G1166" s="70"/>
      <c r="H1166" s="131"/>
      <c r="I1166" s="3"/>
    </row>
    <row r="1167" spans="1:9" s="93" customFormat="1" ht="9" customHeight="1" x14ac:dyDescent="0.3">
      <c r="A1167" s="91"/>
      <c r="B1167" s="70"/>
      <c r="C1167" s="70"/>
      <c r="D1167" s="70"/>
      <c r="E1167" s="70"/>
      <c r="F1167" s="70"/>
      <c r="G1167" s="70"/>
      <c r="H1167" s="131"/>
      <c r="I1167" s="3"/>
    </row>
    <row r="1168" spans="1:9" s="93" customFormat="1" ht="9" customHeight="1" x14ac:dyDescent="0.3">
      <c r="A1168" s="91"/>
      <c r="B1168" s="70"/>
      <c r="C1168" s="70"/>
      <c r="D1168" s="70"/>
      <c r="E1168" s="70"/>
      <c r="F1168" s="70"/>
      <c r="G1168" s="70"/>
      <c r="H1168" s="131"/>
      <c r="I1168" s="3"/>
    </row>
    <row r="1169" spans="1:9" s="93" customFormat="1" ht="9" customHeight="1" x14ac:dyDescent="0.3">
      <c r="A1169" s="91"/>
      <c r="B1169" s="70"/>
      <c r="C1169" s="70"/>
      <c r="D1169" s="70"/>
      <c r="E1169" s="70"/>
      <c r="F1169" s="70"/>
      <c r="G1169" s="70"/>
      <c r="H1169" s="131"/>
      <c r="I1169" s="3"/>
    </row>
    <row r="1170" spans="1:9" s="93" customFormat="1" ht="9" customHeight="1" x14ac:dyDescent="0.3">
      <c r="A1170" s="91"/>
      <c r="B1170" s="70"/>
      <c r="C1170" s="70"/>
      <c r="D1170" s="70"/>
      <c r="E1170" s="70"/>
      <c r="F1170" s="70"/>
      <c r="G1170" s="70"/>
      <c r="H1170" s="131"/>
      <c r="I1170" s="3"/>
    </row>
    <row r="1171" spans="1:9" s="93" customFormat="1" ht="9" customHeight="1" x14ac:dyDescent="0.3">
      <c r="A1171" s="91"/>
      <c r="B1171" s="70"/>
      <c r="C1171" s="70"/>
      <c r="D1171" s="70"/>
      <c r="E1171" s="70"/>
      <c r="F1171" s="70"/>
      <c r="G1171" s="70"/>
      <c r="H1171" s="131"/>
      <c r="I1171" s="3"/>
    </row>
    <row r="1172" spans="1:9" s="93" customFormat="1" ht="9" customHeight="1" x14ac:dyDescent="0.3">
      <c r="A1172" s="91"/>
      <c r="B1172" s="70"/>
      <c r="C1172" s="70"/>
      <c r="D1172" s="70"/>
      <c r="E1172" s="70"/>
      <c r="F1172" s="70"/>
      <c r="G1172" s="70"/>
      <c r="H1172" s="131"/>
      <c r="I1172" s="3"/>
    </row>
    <row r="1173" spans="1:9" s="93" customFormat="1" ht="9" customHeight="1" x14ac:dyDescent="0.3">
      <c r="A1173" s="91"/>
      <c r="B1173" s="70"/>
      <c r="C1173" s="70"/>
      <c r="D1173" s="70"/>
      <c r="E1173" s="70"/>
      <c r="F1173" s="70"/>
      <c r="G1173" s="70"/>
      <c r="H1173" s="131"/>
      <c r="I1173" s="3"/>
    </row>
    <row r="1174" spans="1:9" s="93" customFormat="1" ht="9" customHeight="1" x14ac:dyDescent="0.3">
      <c r="A1174" s="91"/>
      <c r="B1174" s="70"/>
      <c r="C1174" s="70"/>
      <c r="D1174" s="70"/>
      <c r="E1174" s="70"/>
      <c r="F1174" s="70"/>
      <c r="G1174" s="70"/>
      <c r="H1174" s="131"/>
      <c r="I1174" s="3"/>
    </row>
    <row r="1175" spans="1:9" s="93" customFormat="1" ht="9" customHeight="1" x14ac:dyDescent="0.3">
      <c r="A1175" s="91"/>
      <c r="B1175" s="70"/>
      <c r="C1175" s="70"/>
      <c r="D1175" s="70"/>
      <c r="E1175" s="70"/>
      <c r="F1175" s="70"/>
      <c r="G1175" s="70"/>
      <c r="H1175" s="131"/>
      <c r="I1175" s="3"/>
    </row>
    <row r="1176" spans="1:9" s="93" customFormat="1" ht="9" customHeight="1" x14ac:dyDescent="0.3">
      <c r="A1176" s="91"/>
      <c r="B1176" s="70"/>
      <c r="C1176" s="70"/>
      <c r="D1176" s="70"/>
      <c r="E1176" s="70"/>
      <c r="F1176" s="70"/>
      <c r="G1176" s="70"/>
      <c r="H1176" s="131"/>
      <c r="I1176" s="3"/>
    </row>
    <row r="1177" spans="1:9" s="93" customFormat="1" ht="9" customHeight="1" x14ac:dyDescent="0.3">
      <c r="A1177" s="91"/>
      <c r="B1177" s="70"/>
      <c r="C1177" s="70"/>
      <c r="D1177" s="70"/>
      <c r="E1177" s="70"/>
      <c r="F1177" s="70"/>
      <c r="G1177" s="70"/>
      <c r="H1177" s="131"/>
      <c r="I1177" s="3"/>
    </row>
    <row r="1178" spans="1:9" s="93" customFormat="1" ht="9" customHeight="1" x14ac:dyDescent="0.3">
      <c r="A1178" s="91"/>
      <c r="B1178" s="70"/>
      <c r="C1178" s="70"/>
      <c r="D1178" s="70"/>
      <c r="E1178" s="70"/>
      <c r="F1178" s="70"/>
      <c r="G1178" s="70"/>
      <c r="H1178" s="131"/>
      <c r="I1178" s="3"/>
    </row>
    <row r="1179" spans="1:9" s="93" customFormat="1" ht="9" customHeight="1" x14ac:dyDescent="0.3">
      <c r="A1179" s="91"/>
      <c r="B1179" s="70"/>
      <c r="C1179" s="70"/>
      <c r="D1179" s="70"/>
      <c r="E1179" s="70"/>
      <c r="F1179" s="70"/>
      <c r="G1179" s="70"/>
      <c r="H1179" s="131"/>
      <c r="I1179" s="3"/>
    </row>
    <row r="1180" spans="1:9" s="93" customFormat="1" ht="9" customHeight="1" x14ac:dyDescent="0.3">
      <c r="A1180" s="91"/>
      <c r="B1180" s="70"/>
      <c r="C1180" s="70"/>
      <c r="D1180" s="70"/>
      <c r="E1180" s="70"/>
      <c r="F1180" s="70"/>
      <c r="G1180" s="70"/>
      <c r="H1180" s="131"/>
      <c r="I1180" s="3"/>
    </row>
    <row r="1181" spans="1:9" s="93" customFormat="1" ht="9" customHeight="1" x14ac:dyDescent="0.3">
      <c r="A1181" s="91"/>
      <c r="B1181" s="70"/>
      <c r="C1181" s="70"/>
      <c r="D1181" s="70"/>
      <c r="E1181" s="70"/>
      <c r="F1181" s="70"/>
      <c r="G1181" s="70"/>
      <c r="H1181" s="131"/>
      <c r="I1181" s="3"/>
    </row>
    <row r="1182" spans="1:9" s="93" customFormat="1" ht="9" customHeight="1" x14ac:dyDescent="0.3">
      <c r="A1182" s="91"/>
      <c r="B1182" s="70"/>
      <c r="C1182" s="70"/>
      <c r="D1182" s="70"/>
      <c r="E1182" s="70"/>
      <c r="F1182" s="70"/>
      <c r="G1182" s="70"/>
      <c r="H1182" s="131"/>
      <c r="I1182" s="3"/>
    </row>
    <row r="1183" spans="1:9" s="93" customFormat="1" ht="9" customHeight="1" x14ac:dyDescent="0.3">
      <c r="A1183" s="91"/>
      <c r="B1183" s="70"/>
      <c r="C1183" s="70"/>
      <c r="D1183" s="70"/>
      <c r="E1183" s="70"/>
      <c r="F1183" s="70"/>
      <c r="G1183" s="70"/>
      <c r="H1183" s="131"/>
      <c r="I1183" s="3"/>
    </row>
    <row r="1184" spans="1:9" s="93" customFormat="1" ht="9" customHeight="1" x14ac:dyDescent="0.3">
      <c r="A1184" s="91"/>
      <c r="B1184" s="70"/>
      <c r="C1184" s="70"/>
      <c r="D1184" s="70"/>
      <c r="E1184" s="70"/>
      <c r="F1184" s="70"/>
      <c r="G1184" s="70"/>
      <c r="H1184" s="131"/>
      <c r="I1184" s="3"/>
    </row>
    <row r="1185" spans="1:9" s="93" customFormat="1" ht="9" customHeight="1" x14ac:dyDescent="0.3">
      <c r="A1185" s="91"/>
      <c r="B1185" s="70"/>
      <c r="C1185" s="70"/>
      <c r="D1185" s="70"/>
      <c r="E1185" s="70"/>
      <c r="F1185" s="70"/>
      <c r="G1185" s="70"/>
      <c r="H1185" s="131"/>
      <c r="I1185" s="3"/>
    </row>
    <row r="1186" spans="1:9" s="93" customFormat="1" ht="9" customHeight="1" x14ac:dyDescent="0.3">
      <c r="A1186" s="91"/>
      <c r="B1186" s="70"/>
      <c r="C1186" s="70"/>
      <c r="D1186" s="70"/>
      <c r="E1186" s="70"/>
      <c r="F1186" s="70"/>
      <c r="G1186" s="70"/>
      <c r="H1186" s="131"/>
      <c r="I1186" s="3"/>
    </row>
    <row r="1187" spans="1:9" s="93" customFormat="1" ht="9" customHeight="1" x14ac:dyDescent="0.3">
      <c r="A1187" s="91"/>
      <c r="B1187" s="70"/>
      <c r="C1187" s="70"/>
      <c r="D1187" s="70"/>
      <c r="E1187" s="70"/>
      <c r="F1187" s="70"/>
      <c r="G1187" s="70"/>
      <c r="H1187" s="131"/>
      <c r="I1187" s="3"/>
    </row>
    <row r="1188" spans="1:9" s="93" customFormat="1" ht="9" customHeight="1" x14ac:dyDescent="0.3">
      <c r="A1188" s="91"/>
      <c r="B1188" s="70"/>
      <c r="C1188" s="70"/>
      <c r="D1188" s="70"/>
      <c r="E1188" s="70"/>
      <c r="F1188" s="70"/>
      <c r="G1188" s="70"/>
      <c r="H1188" s="131"/>
      <c r="I1188" s="3"/>
    </row>
    <row r="1189" spans="1:9" s="93" customFormat="1" ht="9" customHeight="1" x14ac:dyDescent="0.3">
      <c r="A1189" s="91"/>
      <c r="B1189" s="70"/>
      <c r="C1189" s="70"/>
      <c r="D1189" s="70"/>
      <c r="E1189" s="70"/>
      <c r="F1189" s="70"/>
      <c r="G1189" s="70"/>
      <c r="H1189" s="131"/>
      <c r="I1189" s="3"/>
    </row>
    <row r="1190" spans="1:9" s="93" customFormat="1" ht="9" customHeight="1" x14ac:dyDescent="0.3">
      <c r="A1190" s="91"/>
      <c r="B1190" s="70"/>
      <c r="C1190" s="70"/>
      <c r="D1190" s="70"/>
      <c r="E1190" s="70"/>
      <c r="F1190" s="70"/>
      <c r="G1190" s="70"/>
      <c r="H1190" s="131"/>
      <c r="I1190" s="3"/>
    </row>
    <row r="1191" spans="1:9" s="93" customFormat="1" ht="9" customHeight="1" x14ac:dyDescent="0.3">
      <c r="A1191" s="91"/>
      <c r="B1191" s="70"/>
      <c r="C1191" s="70"/>
      <c r="D1191" s="70"/>
      <c r="E1191" s="70"/>
      <c r="F1191" s="70"/>
      <c r="G1191" s="70"/>
      <c r="H1191" s="131"/>
      <c r="I1191" s="3"/>
    </row>
    <row r="1192" spans="1:9" s="93" customFormat="1" ht="9" customHeight="1" x14ac:dyDescent="0.3">
      <c r="A1192" s="91"/>
      <c r="B1192" s="70"/>
      <c r="C1192" s="70"/>
      <c r="D1192" s="70"/>
      <c r="E1192" s="70"/>
      <c r="F1192" s="70"/>
      <c r="G1192" s="70"/>
      <c r="H1192" s="131"/>
      <c r="I1192" s="3"/>
    </row>
    <row r="1193" spans="1:9" s="93" customFormat="1" ht="9" customHeight="1" x14ac:dyDescent="0.3">
      <c r="A1193" s="91"/>
      <c r="B1193" s="70"/>
      <c r="C1193" s="70"/>
      <c r="D1193" s="70"/>
      <c r="E1193" s="70"/>
      <c r="F1193" s="70"/>
      <c r="G1193" s="70"/>
      <c r="H1193" s="131"/>
      <c r="I1193" s="3"/>
    </row>
    <row r="1194" spans="1:9" s="93" customFormat="1" ht="9" customHeight="1" x14ac:dyDescent="0.3">
      <c r="A1194" s="91"/>
      <c r="B1194" s="70"/>
      <c r="C1194" s="70"/>
      <c r="D1194" s="70"/>
      <c r="E1194" s="70"/>
      <c r="F1194" s="70"/>
      <c r="G1194" s="70"/>
      <c r="H1194" s="131"/>
      <c r="I1194" s="3"/>
    </row>
    <row r="1195" spans="1:9" s="93" customFormat="1" ht="9" customHeight="1" x14ac:dyDescent="0.3">
      <c r="A1195" s="91"/>
      <c r="B1195" s="70"/>
      <c r="C1195" s="70"/>
      <c r="D1195" s="70"/>
      <c r="E1195" s="70"/>
      <c r="F1195" s="70"/>
      <c r="G1195" s="70"/>
      <c r="H1195" s="131"/>
      <c r="I1195" s="3"/>
    </row>
    <row r="1196" spans="1:9" s="93" customFormat="1" ht="9" customHeight="1" x14ac:dyDescent="0.3">
      <c r="A1196" s="91"/>
      <c r="B1196" s="70"/>
      <c r="C1196" s="70"/>
      <c r="D1196" s="70"/>
      <c r="E1196" s="70"/>
      <c r="F1196" s="70"/>
      <c r="G1196" s="70"/>
      <c r="H1196" s="131"/>
      <c r="I1196" s="3"/>
    </row>
    <row r="1197" spans="1:9" s="93" customFormat="1" ht="9" customHeight="1" x14ac:dyDescent="0.3">
      <c r="A1197" s="91"/>
      <c r="B1197" s="70"/>
      <c r="C1197" s="70"/>
      <c r="D1197" s="70"/>
      <c r="E1197" s="70"/>
      <c r="F1197" s="70"/>
      <c r="G1197" s="70"/>
      <c r="H1197" s="131"/>
      <c r="I1197" s="3"/>
    </row>
    <row r="1198" spans="1:9" s="93" customFormat="1" ht="9" customHeight="1" x14ac:dyDescent="0.3">
      <c r="A1198" s="91"/>
      <c r="B1198" s="70"/>
      <c r="C1198" s="70"/>
      <c r="D1198" s="70"/>
      <c r="E1198" s="70"/>
      <c r="F1198" s="70"/>
      <c r="G1198" s="70"/>
      <c r="H1198" s="131"/>
      <c r="I1198" s="3"/>
    </row>
    <row r="1199" spans="1:9" s="93" customFormat="1" ht="9" customHeight="1" x14ac:dyDescent="0.3">
      <c r="A1199" s="91"/>
      <c r="B1199" s="70"/>
      <c r="C1199" s="70"/>
      <c r="D1199" s="70"/>
      <c r="E1199" s="70"/>
      <c r="F1199" s="70"/>
      <c r="G1199" s="70"/>
      <c r="H1199" s="131"/>
      <c r="I1199" s="3"/>
    </row>
    <row r="1200" spans="1:9" s="93" customFormat="1" ht="9" customHeight="1" x14ac:dyDescent="0.3">
      <c r="A1200" s="91"/>
      <c r="B1200" s="70"/>
      <c r="C1200" s="70"/>
      <c r="D1200" s="70"/>
      <c r="E1200" s="70"/>
      <c r="F1200" s="70"/>
      <c r="G1200" s="70"/>
      <c r="H1200" s="131"/>
      <c r="I1200" s="3"/>
    </row>
    <row r="1201" spans="1:9" s="93" customFormat="1" ht="9" customHeight="1" x14ac:dyDescent="0.3">
      <c r="A1201" s="91"/>
      <c r="B1201" s="70"/>
      <c r="C1201" s="70"/>
      <c r="D1201" s="70"/>
      <c r="E1201" s="70"/>
      <c r="F1201" s="70"/>
      <c r="G1201" s="70"/>
      <c r="H1201" s="131"/>
      <c r="I1201" s="3"/>
    </row>
    <row r="1202" spans="1:9" s="93" customFormat="1" ht="9" customHeight="1" x14ac:dyDescent="0.3">
      <c r="A1202" s="91"/>
      <c r="B1202" s="70"/>
      <c r="C1202" s="70"/>
      <c r="D1202" s="70"/>
      <c r="E1202" s="70"/>
      <c r="F1202" s="70"/>
      <c r="G1202" s="70"/>
      <c r="H1202" s="131"/>
      <c r="I1202" s="3"/>
    </row>
    <row r="1203" spans="1:9" s="93" customFormat="1" ht="9" customHeight="1" x14ac:dyDescent="0.3">
      <c r="A1203" s="91"/>
      <c r="B1203" s="70"/>
      <c r="C1203" s="70"/>
      <c r="D1203" s="70"/>
      <c r="E1203" s="70"/>
      <c r="F1203" s="70"/>
      <c r="G1203" s="70"/>
      <c r="H1203" s="131"/>
      <c r="I1203" s="3"/>
    </row>
    <row r="1204" spans="1:9" s="93" customFormat="1" ht="9" customHeight="1" x14ac:dyDescent="0.3">
      <c r="A1204" s="91"/>
      <c r="B1204" s="70"/>
      <c r="C1204" s="70"/>
      <c r="D1204" s="70"/>
      <c r="E1204" s="70"/>
      <c r="F1204" s="70"/>
      <c r="G1204" s="70"/>
      <c r="H1204" s="131"/>
      <c r="I1204" s="3"/>
    </row>
    <row r="1205" spans="1:9" s="93" customFormat="1" ht="9" customHeight="1" x14ac:dyDescent="0.3">
      <c r="A1205" s="91"/>
      <c r="B1205" s="70"/>
      <c r="C1205" s="70"/>
      <c r="D1205" s="70"/>
      <c r="E1205" s="70"/>
      <c r="F1205" s="70"/>
      <c r="G1205" s="70"/>
      <c r="H1205" s="131"/>
      <c r="I1205" s="3"/>
    </row>
    <row r="1206" spans="1:9" s="93" customFormat="1" ht="9" customHeight="1" x14ac:dyDescent="0.3">
      <c r="A1206" s="91"/>
      <c r="B1206" s="70"/>
      <c r="C1206" s="70"/>
      <c r="D1206" s="70"/>
      <c r="E1206" s="70"/>
      <c r="F1206" s="70"/>
      <c r="G1206" s="70"/>
      <c r="H1206" s="131"/>
      <c r="I1206" s="3"/>
    </row>
    <row r="1207" spans="1:9" s="93" customFormat="1" ht="9" customHeight="1" x14ac:dyDescent="0.3">
      <c r="A1207" s="91"/>
      <c r="B1207" s="70"/>
      <c r="C1207" s="70"/>
      <c r="D1207" s="70"/>
      <c r="E1207" s="70"/>
      <c r="F1207" s="70"/>
      <c r="G1207" s="70"/>
      <c r="H1207" s="131"/>
      <c r="I1207" s="3"/>
    </row>
    <row r="1208" spans="1:9" s="93" customFormat="1" ht="9" customHeight="1" x14ac:dyDescent="0.3">
      <c r="A1208" s="91"/>
      <c r="B1208" s="70"/>
      <c r="C1208" s="70"/>
      <c r="D1208" s="70"/>
      <c r="E1208" s="70"/>
      <c r="F1208" s="70"/>
      <c r="G1208" s="70"/>
      <c r="H1208" s="131"/>
      <c r="I1208" s="3"/>
    </row>
    <row r="1209" spans="1:9" s="93" customFormat="1" ht="9" customHeight="1" x14ac:dyDescent="0.3">
      <c r="A1209" s="91"/>
      <c r="B1209" s="70"/>
      <c r="C1209" s="70"/>
      <c r="D1209" s="70"/>
      <c r="E1209" s="70"/>
      <c r="F1209" s="70"/>
      <c r="G1209" s="70"/>
      <c r="H1209" s="131"/>
      <c r="I1209" s="3"/>
    </row>
    <row r="1210" spans="1:9" s="93" customFormat="1" ht="9" customHeight="1" x14ac:dyDescent="0.3">
      <c r="A1210" s="91"/>
      <c r="B1210" s="70"/>
      <c r="C1210" s="70"/>
      <c r="D1210" s="70"/>
      <c r="E1210" s="70"/>
      <c r="F1210" s="70"/>
      <c r="G1210" s="70"/>
      <c r="H1210" s="131"/>
      <c r="I1210" s="3"/>
    </row>
    <row r="1211" spans="1:9" s="93" customFormat="1" ht="9" customHeight="1" x14ac:dyDescent="0.3">
      <c r="A1211" s="91"/>
      <c r="B1211" s="70"/>
      <c r="C1211" s="70"/>
      <c r="D1211" s="70"/>
      <c r="E1211" s="70"/>
      <c r="F1211" s="70"/>
      <c r="G1211" s="70"/>
      <c r="H1211" s="131"/>
      <c r="I1211" s="3"/>
    </row>
    <row r="1212" spans="1:9" s="93" customFormat="1" ht="9" customHeight="1" x14ac:dyDescent="0.3">
      <c r="A1212" s="91"/>
      <c r="B1212" s="70"/>
      <c r="C1212" s="70"/>
      <c r="D1212" s="70"/>
      <c r="E1212" s="70"/>
      <c r="F1212" s="70"/>
      <c r="G1212" s="70"/>
      <c r="H1212" s="131"/>
      <c r="I1212" s="3"/>
    </row>
    <row r="1213" spans="1:9" s="93" customFormat="1" ht="9" customHeight="1" x14ac:dyDescent="0.3">
      <c r="A1213" s="91"/>
      <c r="B1213" s="70"/>
      <c r="C1213" s="70"/>
      <c r="D1213" s="70"/>
      <c r="E1213" s="70"/>
      <c r="F1213" s="70"/>
      <c r="G1213" s="70"/>
      <c r="H1213" s="131"/>
      <c r="I1213" s="3"/>
    </row>
    <row r="1214" spans="1:9" s="93" customFormat="1" ht="9" customHeight="1" x14ac:dyDescent="0.3">
      <c r="A1214" s="91"/>
      <c r="B1214" s="70"/>
      <c r="C1214" s="70"/>
      <c r="D1214" s="70"/>
      <c r="E1214" s="70"/>
      <c r="F1214" s="70"/>
      <c r="G1214" s="70"/>
      <c r="H1214" s="131"/>
      <c r="I1214" s="3"/>
    </row>
    <row r="1215" spans="1:9" s="93" customFormat="1" ht="9" customHeight="1" x14ac:dyDescent="0.3">
      <c r="A1215" s="91"/>
      <c r="B1215" s="70"/>
      <c r="C1215" s="70"/>
      <c r="D1215" s="70"/>
      <c r="E1215" s="70"/>
      <c r="F1215" s="70"/>
      <c r="G1215" s="70"/>
      <c r="H1215" s="131"/>
      <c r="I1215" s="3"/>
    </row>
    <row r="1216" spans="1:9" s="93" customFormat="1" ht="9" customHeight="1" x14ac:dyDescent="0.3">
      <c r="A1216" s="91"/>
      <c r="B1216" s="70"/>
      <c r="C1216" s="70"/>
      <c r="D1216" s="70"/>
      <c r="E1216" s="70"/>
      <c r="F1216" s="70"/>
      <c r="G1216" s="70"/>
      <c r="H1216" s="131"/>
      <c r="I1216" s="3"/>
    </row>
    <row r="1217" spans="1:9" s="93" customFormat="1" ht="9" customHeight="1" x14ac:dyDescent="0.3">
      <c r="A1217" s="91"/>
      <c r="B1217" s="70"/>
      <c r="C1217" s="70"/>
      <c r="D1217" s="70"/>
      <c r="E1217" s="70"/>
      <c r="F1217" s="70"/>
      <c r="G1217" s="70"/>
      <c r="H1217" s="131"/>
      <c r="I1217" s="3"/>
    </row>
    <row r="1218" spans="1:9" s="93" customFormat="1" ht="9" customHeight="1" x14ac:dyDescent="0.3">
      <c r="A1218" s="91"/>
      <c r="B1218" s="70"/>
      <c r="C1218" s="70"/>
      <c r="D1218" s="70"/>
      <c r="E1218" s="70"/>
      <c r="F1218" s="70"/>
      <c r="G1218" s="70"/>
      <c r="H1218" s="131"/>
      <c r="I1218" s="3"/>
    </row>
    <row r="1219" spans="1:9" s="93" customFormat="1" ht="9" customHeight="1" x14ac:dyDescent="0.3">
      <c r="A1219" s="91"/>
      <c r="B1219" s="70"/>
      <c r="C1219" s="70"/>
      <c r="D1219" s="70"/>
      <c r="E1219" s="70"/>
      <c r="F1219" s="70"/>
      <c r="G1219" s="70"/>
      <c r="H1219" s="131"/>
      <c r="I1219" s="3"/>
    </row>
    <row r="1220" spans="1:9" s="93" customFormat="1" ht="9" customHeight="1" x14ac:dyDescent="0.3">
      <c r="A1220" s="91"/>
      <c r="B1220" s="70"/>
      <c r="C1220" s="70"/>
      <c r="D1220" s="70"/>
      <c r="E1220" s="70"/>
      <c r="F1220" s="70"/>
      <c r="G1220" s="70"/>
      <c r="H1220" s="131"/>
      <c r="I1220" s="3"/>
    </row>
    <row r="1221" spans="1:9" s="93" customFormat="1" ht="9" customHeight="1" x14ac:dyDescent="0.3">
      <c r="A1221" s="91"/>
      <c r="B1221" s="70"/>
      <c r="C1221" s="70"/>
      <c r="D1221" s="70"/>
      <c r="E1221" s="70"/>
      <c r="F1221" s="70"/>
      <c r="G1221" s="70"/>
      <c r="H1221" s="131"/>
      <c r="I1221" s="3"/>
    </row>
    <row r="1222" spans="1:9" s="93" customFormat="1" ht="9" customHeight="1" x14ac:dyDescent="0.3">
      <c r="A1222" s="91"/>
      <c r="B1222" s="70"/>
      <c r="C1222" s="70"/>
      <c r="D1222" s="70"/>
      <c r="E1222" s="70"/>
      <c r="F1222" s="70"/>
      <c r="G1222" s="70"/>
      <c r="H1222" s="131"/>
      <c r="I1222" s="3"/>
    </row>
    <row r="1223" spans="1:9" s="93" customFormat="1" ht="9" customHeight="1" x14ac:dyDescent="0.3">
      <c r="A1223" s="91"/>
      <c r="B1223" s="70"/>
      <c r="C1223" s="70"/>
      <c r="D1223" s="70"/>
      <c r="E1223" s="70"/>
      <c r="F1223" s="70"/>
      <c r="G1223" s="70"/>
      <c r="H1223" s="131"/>
      <c r="I1223" s="3"/>
    </row>
    <row r="1224" spans="1:9" s="93" customFormat="1" ht="9" customHeight="1" x14ac:dyDescent="0.3">
      <c r="A1224" s="91"/>
      <c r="B1224" s="70"/>
      <c r="C1224" s="70"/>
      <c r="D1224" s="70"/>
      <c r="E1224" s="70"/>
      <c r="F1224" s="70"/>
      <c r="G1224" s="70"/>
      <c r="H1224" s="131"/>
      <c r="I1224" s="3"/>
    </row>
    <row r="1225" spans="1:9" s="93" customFormat="1" ht="9" customHeight="1" x14ac:dyDescent="0.3">
      <c r="A1225" s="91"/>
      <c r="B1225" s="70"/>
      <c r="C1225" s="70"/>
      <c r="D1225" s="70"/>
      <c r="E1225" s="70"/>
      <c r="F1225" s="70"/>
      <c r="G1225" s="70"/>
      <c r="H1225" s="131"/>
      <c r="I1225" s="3"/>
    </row>
    <row r="1226" spans="1:9" s="93" customFormat="1" ht="9" customHeight="1" x14ac:dyDescent="0.3">
      <c r="A1226" s="91"/>
      <c r="B1226" s="70"/>
      <c r="C1226" s="70"/>
      <c r="D1226" s="70"/>
      <c r="E1226" s="70"/>
      <c r="F1226" s="70"/>
      <c r="G1226" s="70"/>
      <c r="H1226" s="131"/>
      <c r="I1226" s="3"/>
    </row>
    <row r="1227" spans="1:9" s="93" customFormat="1" ht="9" customHeight="1" x14ac:dyDescent="0.3">
      <c r="A1227" s="91"/>
      <c r="B1227" s="70"/>
      <c r="C1227" s="70"/>
      <c r="D1227" s="70"/>
      <c r="E1227" s="70"/>
      <c r="F1227" s="70"/>
      <c r="G1227" s="70"/>
      <c r="H1227" s="131"/>
      <c r="I1227" s="3"/>
    </row>
    <row r="1228" spans="1:9" s="93" customFormat="1" ht="9" customHeight="1" x14ac:dyDescent="0.3">
      <c r="A1228" s="91"/>
      <c r="B1228" s="70"/>
      <c r="C1228" s="70"/>
      <c r="D1228" s="70"/>
      <c r="E1228" s="70"/>
      <c r="F1228" s="70"/>
      <c r="G1228" s="70"/>
      <c r="H1228" s="131"/>
      <c r="I1228" s="3"/>
    </row>
    <row r="1229" spans="1:9" s="93" customFormat="1" ht="9" customHeight="1" x14ac:dyDescent="0.3">
      <c r="A1229" s="91"/>
      <c r="B1229" s="70"/>
      <c r="C1229" s="70"/>
      <c r="D1229" s="70"/>
      <c r="E1229" s="70"/>
      <c r="F1229" s="70"/>
      <c r="G1229" s="70"/>
      <c r="H1229" s="131"/>
      <c r="I1229" s="3"/>
    </row>
    <row r="1230" spans="1:9" s="93" customFormat="1" ht="9" customHeight="1" x14ac:dyDescent="0.3">
      <c r="A1230" s="91"/>
      <c r="B1230" s="70"/>
      <c r="C1230" s="70"/>
      <c r="D1230" s="70"/>
      <c r="E1230" s="70"/>
      <c r="F1230" s="70"/>
      <c r="G1230" s="70"/>
      <c r="H1230" s="131"/>
      <c r="I1230" s="3"/>
    </row>
    <row r="1231" spans="1:9" s="93" customFormat="1" ht="9" customHeight="1" x14ac:dyDescent="0.3">
      <c r="A1231" s="91"/>
      <c r="B1231" s="70"/>
      <c r="C1231" s="70"/>
      <c r="D1231" s="70"/>
      <c r="E1231" s="70"/>
      <c r="F1231" s="70"/>
      <c r="G1231" s="70"/>
      <c r="H1231" s="131"/>
      <c r="I1231" s="3"/>
    </row>
    <row r="1232" spans="1:9" s="93" customFormat="1" ht="9" customHeight="1" x14ac:dyDescent="0.3">
      <c r="A1232" s="91"/>
      <c r="B1232" s="70"/>
      <c r="C1232" s="70"/>
      <c r="D1232" s="70"/>
      <c r="E1232" s="70"/>
      <c r="F1232" s="70"/>
      <c r="G1232" s="70"/>
      <c r="H1232" s="131"/>
      <c r="I1232" s="3"/>
    </row>
    <row r="1233" spans="1:9" s="93" customFormat="1" ht="9" customHeight="1" x14ac:dyDescent="0.3">
      <c r="A1233" s="91"/>
      <c r="B1233" s="70"/>
      <c r="C1233" s="70"/>
      <c r="D1233" s="70"/>
      <c r="E1233" s="70"/>
      <c r="F1233" s="70"/>
      <c r="G1233" s="70"/>
      <c r="H1233" s="131"/>
      <c r="I1233" s="3"/>
    </row>
    <row r="1234" spans="1:9" s="93" customFormat="1" ht="9" customHeight="1" x14ac:dyDescent="0.3">
      <c r="A1234" s="91"/>
      <c r="B1234" s="70"/>
      <c r="C1234" s="70"/>
      <c r="D1234" s="70"/>
      <c r="E1234" s="70"/>
      <c r="F1234" s="70"/>
      <c r="G1234" s="70"/>
      <c r="H1234" s="131"/>
      <c r="I1234" s="3"/>
    </row>
    <row r="1235" spans="1:9" s="93" customFormat="1" ht="9" customHeight="1" x14ac:dyDescent="0.3">
      <c r="A1235" s="91"/>
      <c r="B1235" s="70"/>
      <c r="C1235" s="70"/>
      <c r="D1235" s="70"/>
      <c r="E1235" s="70"/>
      <c r="F1235" s="70"/>
      <c r="G1235" s="70"/>
      <c r="H1235" s="131"/>
      <c r="I1235" s="3"/>
    </row>
    <row r="1236" spans="1:9" s="93" customFormat="1" ht="9" customHeight="1" x14ac:dyDescent="0.3">
      <c r="A1236" s="91"/>
      <c r="B1236" s="70"/>
      <c r="C1236" s="70"/>
      <c r="D1236" s="70"/>
      <c r="E1236" s="70"/>
      <c r="F1236" s="70"/>
      <c r="G1236" s="70"/>
      <c r="H1236" s="131"/>
      <c r="I1236" s="3"/>
    </row>
    <row r="1237" spans="1:9" s="93" customFormat="1" ht="9" customHeight="1" x14ac:dyDescent="0.3">
      <c r="A1237" s="91"/>
      <c r="B1237" s="70"/>
      <c r="C1237" s="70"/>
      <c r="D1237" s="70"/>
      <c r="E1237" s="70"/>
      <c r="F1237" s="70"/>
      <c r="G1237" s="70"/>
      <c r="H1237" s="131"/>
      <c r="I1237" s="3"/>
    </row>
    <row r="1238" spans="1:9" s="93" customFormat="1" ht="9" customHeight="1" x14ac:dyDescent="0.3">
      <c r="A1238" s="91"/>
      <c r="B1238" s="70"/>
      <c r="C1238" s="70"/>
      <c r="D1238" s="70"/>
      <c r="E1238" s="70"/>
      <c r="F1238" s="70"/>
      <c r="G1238" s="70"/>
      <c r="H1238" s="131"/>
      <c r="I1238" s="3"/>
    </row>
    <row r="1239" spans="1:9" s="93" customFormat="1" ht="9" customHeight="1" x14ac:dyDescent="0.3">
      <c r="A1239" s="91"/>
      <c r="B1239" s="70"/>
      <c r="C1239" s="70"/>
      <c r="D1239" s="70"/>
      <c r="E1239" s="70"/>
      <c r="F1239" s="70"/>
      <c r="G1239" s="70"/>
      <c r="H1239" s="131"/>
      <c r="I1239" s="3"/>
    </row>
    <row r="1240" spans="1:9" s="93" customFormat="1" ht="9" customHeight="1" x14ac:dyDescent="0.3">
      <c r="A1240" s="91"/>
      <c r="B1240" s="70"/>
      <c r="C1240" s="70"/>
      <c r="D1240" s="70"/>
      <c r="E1240" s="70"/>
      <c r="F1240" s="70"/>
      <c r="G1240" s="70"/>
      <c r="H1240" s="131"/>
      <c r="I1240" s="3"/>
    </row>
    <row r="1241" spans="1:9" s="93" customFormat="1" ht="9" customHeight="1" x14ac:dyDescent="0.3">
      <c r="A1241" s="91"/>
      <c r="B1241" s="70"/>
      <c r="C1241" s="70"/>
      <c r="D1241" s="70"/>
      <c r="E1241" s="70"/>
      <c r="F1241" s="70"/>
      <c r="G1241" s="70"/>
      <c r="H1241" s="131"/>
      <c r="I1241" s="3"/>
    </row>
    <row r="1242" spans="1:9" s="93" customFormat="1" ht="9" customHeight="1" x14ac:dyDescent="0.3">
      <c r="A1242" s="91"/>
      <c r="B1242" s="70"/>
      <c r="C1242" s="70"/>
      <c r="D1242" s="70"/>
      <c r="E1242" s="70"/>
      <c r="F1242" s="70"/>
      <c r="G1242" s="70"/>
      <c r="H1242" s="131"/>
      <c r="I1242" s="3"/>
    </row>
    <row r="1243" spans="1:9" s="93" customFormat="1" ht="9" customHeight="1" x14ac:dyDescent="0.3">
      <c r="A1243" s="91"/>
      <c r="B1243" s="70"/>
      <c r="C1243" s="70"/>
      <c r="D1243" s="70"/>
      <c r="E1243" s="70"/>
      <c r="F1243" s="70"/>
      <c r="G1243" s="70"/>
      <c r="H1243" s="131"/>
      <c r="I1243" s="3"/>
    </row>
    <row r="1244" spans="1:9" s="93" customFormat="1" ht="9" customHeight="1" x14ac:dyDescent="0.3">
      <c r="A1244" s="91"/>
      <c r="B1244" s="70"/>
      <c r="C1244" s="70"/>
      <c r="D1244" s="70"/>
      <c r="E1244" s="70"/>
      <c r="F1244" s="70"/>
      <c r="G1244" s="70"/>
      <c r="H1244" s="131"/>
      <c r="I1244" s="3"/>
    </row>
    <row r="1245" spans="1:9" s="93" customFormat="1" ht="9" customHeight="1" x14ac:dyDescent="0.3">
      <c r="A1245" s="91"/>
      <c r="B1245" s="70"/>
      <c r="C1245" s="70"/>
      <c r="D1245" s="70"/>
      <c r="E1245" s="70"/>
      <c r="F1245" s="70"/>
      <c r="G1245" s="70"/>
      <c r="H1245" s="131"/>
      <c r="I1245" s="3"/>
    </row>
    <row r="1246" spans="1:9" s="93" customFormat="1" ht="9" customHeight="1" x14ac:dyDescent="0.3">
      <c r="A1246" s="91"/>
      <c r="B1246" s="70"/>
      <c r="C1246" s="70"/>
      <c r="D1246" s="70"/>
      <c r="E1246" s="70"/>
      <c r="F1246" s="70"/>
      <c r="G1246" s="70"/>
      <c r="H1246" s="131"/>
      <c r="I1246" s="3"/>
    </row>
    <row r="1247" spans="1:9" s="93" customFormat="1" ht="9" customHeight="1" x14ac:dyDescent="0.3">
      <c r="A1247" s="91"/>
      <c r="B1247" s="70"/>
      <c r="C1247" s="70"/>
      <c r="D1247" s="70"/>
      <c r="E1247" s="70"/>
      <c r="F1247" s="70"/>
      <c r="G1247" s="70"/>
      <c r="H1247" s="131"/>
      <c r="I1247" s="3"/>
    </row>
    <row r="1248" spans="1:9" s="93" customFormat="1" ht="9" customHeight="1" x14ac:dyDescent="0.3">
      <c r="A1248" s="91"/>
      <c r="B1248" s="70"/>
      <c r="C1248" s="70"/>
      <c r="D1248" s="70"/>
      <c r="E1248" s="70"/>
      <c r="F1248" s="70"/>
      <c r="G1248" s="70"/>
      <c r="H1248" s="131"/>
      <c r="I1248" s="3"/>
    </row>
    <row r="1249" spans="1:9" s="93" customFormat="1" ht="9" customHeight="1" x14ac:dyDescent="0.3">
      <c r="A1249" s="91"/>
      <c r="B1249" s="70"/>
      <c r="C1249" s="70"/>
      <c r="D1249" s="70"/>
      <c r="E1249" s="70"/>
      <c r="F1249" s="70"/>
      <c r="G1249" s="70"/>
      <c r="H1249" s="131"/>
      <c r="I1249" s="3"/>
    </row>
    <row r="1250" spans="1:9" s="93" customFormat="1" ht="9" customHeight="1" x14ac:dyDescent="0.3">
      <c r="A1250" s="91"/>
      <c r="B1250" s="70"/>
      <c r="C1250" s="70"/>
      <c r="D1250" s="70"/>
      <c r="E1250" s="70"/>
      <c r="F1250" s="70"/>
      <c r="G1250" s="70"/>
      <c r="H1250" s="131"/>
      <c r="I1250" s="3"/>
    </row>
    <row r="1251" spans="1:9" s="93" customFormat="1" ht="9" customHeight="1" x14ac:dyDescent="0.3">
      <c r="A1251" s="91"/>
      <c r="B1251" s="70"/>
      <c r="C1251" s="70"/>
      <c r="D1251" s="70"/>
      <c r="E1251" s="70"/>
      <c r="F1251" s="70"/>
      <c r="G1251" s="70"/>
      <c r="H1251" s="131"/>
      <c r="I1251" s="3"/>
    </row>
    <row r="1252" spans="1:9" s="93" customFormat="1" ht="9" customHeight="1" x14ac:dyDescent="0.3">
      <c r="A1252" s="91"/>
      <c r="B1252" s="70"/>
      <c r="C1252" s="70"/>
      <c r="D1252" s="70"/>
      <c r="E1252" s="70"/>
      <c r="F1252" s="70"/>
      <c r="G1252" s="70"/>
      <c r="H1252" s="131"/>
      <c r="I1252" s="3"/>
    </row>
    <row r="1253" spans="1:9" s="93" customFormat="1" ht="9" customHeight="1" x14ac:dyDescent="0.3">
      <c r="A1253" s="91"/>
      <c r="B1253" s="70"/>
      <c r="C1253" s="70"/>
      <c r="D1253" s="70"/>
      <c r="E1253" s="70"/>
      <c r="F1253" s="70"/>
      <c r="G1253" s="70"/>
      <c r="H1253" s="131"/>
      <c r="I1253" s="3"/>
    </row>
    <row r="1254" spans="1:9" s="93" customFormat="1" ht="9" customHeight="1" x14ac:dyDescent="0.3">
      <c r="A1254" s="91"/>
      <c r="B1254" s="70"/>
      <c r="C1254" s="70"/>
      <c r="D1254" s="70"/>
      <c r="E1254" s="70"/>
      <c r="F1254" s="70"/>
      <c r="G1254" s="70"/>
      <c r="H1254" s="131"/>
      <c r="I1254" s="3"/>
    </row>
    <row r="1255" spans="1:9" s="93" customFormat="1" ht="9" customHeight="1" x14ac:dyDescent="0.3">
      <c r="A1255" s="91"/>
      <c r="B1255" s="70"/>
      <c r="C1255" s="70"/>
      <c r="D1255" s="70"/>
      <c r="E1255" s="70"/>
      <c r="F1255" s="70"/>
      <c r="G1255" s="70"/>
      <c r="H1255" s="131"/>
      <c r="I1255" s="3"/>
    </row>
    <row r="1256" spans="1:9" s="93" customFormat="1" ht="9" customHeight="1" x14ac:dyDescent="0.3">
      <c r="A1256" s="91"/>
      <c r="B1256" s="70"/>
      <c r="C1256" s="70"/>
      <c r="D1256" s="70"/>
      <c r="E1256" s="70"/>
      <c r="F1256" s="70"/>
      <c r="G1256" s="70"/>
      <c r="H1256" s="131"/>
      <c r="I1256" s="3"/>
    </row>
    <row r="1257" spans="1:9" s="93" customFormat="1" ht="9" customHeight="1" x14ac:dyDescent="0.3">
      <c r="A1257" s="91"/>
      <c r="B1257" s="70"/>
      <c r="C1257" s="70"/>
      <c r="D1257" s="70"/>
      <c r="E1257" s="70"/>
      <c r="F1257" s="70"/>
      <c r="G1257" s="70"/>
      <c r="H1257" s="131"/>
      <c r="I1257" s="3"/>
    </row>
    <row r="1258" spans="1:9" s="93" customFormat="1" ht="9" customHeight="1" x14ac:dyDescent="0.3">
      <c r="A1258" s="91"/>
      <c r="B1258" s="70"/>
      <c r="C1258" s="70"/>
      <c r="D1258" s="70"/>
      <c r="E1258" s="70"/>
      <c r="F1258" s="70"/>
      <c r="G1258" s="70"/>
      <c r="H1258" s="131"/>
      <c r="I1258" s="3"/>
    </row>
    <row r="1259" spans="1:9" s="93" customFormat="1" ht="9" customHeight="1" x14ac:dyDescent="0.3">
      <c r="A1259" s="91"/>
      <c r="B1259" s="70"/>
      <c r="C1259" s="70"/>
      <c r="D1259" s="70"/>
      <c r="E1259" s="70"/>
      <c r="F1259" s="70"/>
      <c r="G1259" s="70"/>
      <c r="H1259" s="131"/>
      <c r="I1259" s="3"/>
    </row>
    <row r="1260" spans="1:9" s="93" customFormat="1" ht="9" customHeight="1" x14ac:dyDescent="0.3">
      <c r="A1260" s="91"/>
      <c r="B1260" s="70"/>
      <c r="C1260" s="70"/>
      <c r="D1260" s="70"/>
      <c r="E1260" s="70"/>
      <c r="F1260" s="70"/>
      <c r="G1260" s="70"/>
      <c r="H1260" s="131"/>
      <c r="I1260" s="3"/>
    </row>
    <row r="1261" spans="1:9" s="93" customFormat="1" ht="9" customHeight="1" x14ac:dyDescent="0.3">
      <c r="A1261" s="91"/>
      <c r="B1261" s="70"/>
      <c r="C1261" s="70"/>
      <c r="D1261" s="70"/>
      <c r="E1261" s="70"/>
      <c r="F1261" s="70"/>
      <c r="G1261" s="70"/>
      <c r="H1261" s="131"/>
      <c r="I1261" s="3"/>
    </row>
    <row r="1262" spans="1:9" s="93" customFormat="1" ht="9" customHeight="1" x14ac:dyDescent="0.3">
      <c r="A1262" s="91"/>
      <c r="B1262" s="70"/>
      <c r="C1262" s="70"/>
      <c r="D1262" s="70"/>
      <c r="E1262" s="70"/>
      <c r="F1262" s="70"/>
      <c r="G1262" s="70"/>
      <c r="H1262" s="131"/>
      <c r="I1262" s="3"/>
    </row>
    <row r="1263" spans="1:9" s="93" customFormat="1" ht="9" customHeight="1" x14ac:dyDescent="0.3">
      <c r="A1263" s="91"/>
      <c r="B1263" s="70"/>
      <c r="C1263" s="70"/>
      <c r="D1263" s="70"/>
      <c r="E1263" s="70"/>
      <c r="F1263" s="70"/>
      <c r="G1263" s="70"/>
      <c r="H1263" s="131"/>
      <c r="I1263" s="3"/>
    </row>
    <row r="1264" spans="1:9" s="93" customFormat="1" ht="9" customHeight="1" x14ac:dyDescent="0.3">
      <c r="A1264" s="91"/>
      <c r="B1264" s="70"/>
      <c r="C1264" s="70"/>
      <c r="D1264" s="70"/>
      <c r="E1264" s="70"/>
      <c r="F1264" s="70"/>
      <c r="G1264" s="70"/>
      <c r="H1264" s="131"/>
      <c r="I1264" s="3"/>
    </row>
    <row r="1265" spans="1:9" s="93" customFormat="1" ht="9" customHeight="1" x14ac:dyDescent="0.3">
      <c r="A1265" s="91"/>
      <c r="B1265" s="70"/>
      <c r="C1265" s="70"/>
      <c r="D1265" s="70"/>
      <c r="E1265" s="70"/>
      <c r="F1265" s="70"/>
      <c r="G1265" s="70"/>
      <c r="H1265" s="131"/>
      <c r="I1265" s="3"/>
    </row>
    <row r="1266" spans="1:9" s="93" customFormat="1" ht="9" customHeight="1" x14ac:dyDescent="0.3">
      <c r="A1266" s="91"/>
      <c r="B1266" s="70"/>
      <c r="C1266" s="70"/>
      <c r="D1266" s="70"/>
      <c r="E1266" s="70"/>
      <c r="F1266" s="70"/>
      <c r="G1266" s="70"/>
      <c r="H1266" s="131"/>
      <c r="I1266" s="3"/>
    </row>
    <row r="1267" spans="1:9" s="93" customFormat="1" ht="9" customHeight="1" x14ac:dyDescent="0.3">
      <c r="A1267" s="91"/>
      <c r="B1267" s="70"/>
      <c r="C1267" s="70"/>
      <c r="D1267" s="70"/>
      <c r="E1267" s="70"/>
      <c r="F1267" s="70"/>
      <c r="G1267" s="70"/>
      <c r="H1267" s="131"/>
      <c r="I1267" s="3"/>
    </row>
    <row r="1268" spans="1:9" s="93" customFormat="1" ht="9" customHeight="1" x14ac:dyDescent="0.3">
      <c r="A1268" s="91"/>
      <c r="B1268" s="70"/>
      <c r="C1268" s="70"/>
      <c r="D1268" s="70"/>
      <c r="E1268" s="70"/>
      <c r="F1268" s="70"/>
      <c r="G1268" s="70"/>
      <c r="H1268" s="131"/>
      <c r="I1268" s="3"/>
    </row>
    <row r="1269" spans="1:9" s="93" customFormat="1" ht="9" customHeight="1" x14ac:dyDescent="0.3">
      <c r="A1269" s="91"/>
      <c r="B1269" s="70"/>
      <c r="C1269" s="70"/>
      <c r="D1269" s="70"/>
      <c r="E1269" s="70"/>
      <c r="F1269" s="70"/>
      <c r="G1269" s="70"/>
      <c r="H1269" s="131"/>
      <c r="I1269" s="3"/>
    </row>
    <row r="1270" spans="1:9" s="93" customFormat="1" ht="9" customHeight="1" x14ac:dyDescent="0.3">
      <c r="A1270" s="91"/>
      <c r="B1270" s="70"/>
      <c r="C1270" s="70"/>
      <c r="D1270" s="70"/>
      <c r="E1270" s="70"/>
      <c r="F1270" s="70"/>
      <c r="G1270" s="70"/>
      <c r="H1270" s="131"/>
      <c r="I1270" s="3"/>
    </row>
    <row r="1271" spans="1:9" s="93" customFormat="1" ht="9" customHeight="1" x14ac:dyDescent="0.3">
      <c r="A1271" s="91"/>
      <c r="B1271" s="70"/>
      <c r="C1271" s="70"/>
      <c r="D1271" s="70"/>
      <c r="E1271" s="70"/>
      <c r="F1271" s="70"/>
      <c r="G1271" s="70"/>
      <c r="H1271" s="131"/>
      <c r="I1271" s="3"/>
    </row>
    <row r="1272" spans="1:9" s="93" customFormat="1" ht="9" customHeight="1" x14ac:dyDescent="0.3">
      <c r="A1272" s="91"/>
      <c r="B1272" s="70"/>
      <c r="C1272" s="70"/>
      <c r="D1272" s="70"/>
      <c r="E1272" s="70"/>
      <c r="F1272" s="70"/>
      <c r="G1272" s="70"/>
      <c r="H1272" s="131"/>
      <c r="I1272" s="3"/>
    </row>
    <row r="1273" spans="1:9" s="93" customFormat="1" ht="9" customHeight="1" x14ac:dyDescent="0.3">
      <c r="A1273" s="91"/>
      <c r="B1273" s="70"/>
      <c r="C1273" s="70"/>
      <c r="D1273" s="70"/>
      <c r="E1273" s="70"/>
      <c r="F1273" s="70"/>
      <c r="G1273" s="70"/>
      <c r="H1273" s="131"/>
      <c r="I1273" s="3"/>
    </row>
    <row r="1274" spans="1:9" s="93" customFormat="1" ht="9" customHeight="1" x14ac:dyDescent="0.3">
      <c r="A1274" s="91"/>
      <c r="B1274" s="70"/>
      <c r="C1274" s="70"/>
      <c r="D1274" s="70"/>
      <c r="E1274" s="70"/>
      <c r="F1274" s="70"/>
      <c r="G1274" s="70"/>
      <c r="H1274" s="131"/>
      <c r="I1274" s="3"/>
    </row>
    <row r="1275" spans="1:9" s="93" customFormat="1" ht="9" customHeight="1" x14ac:dyDescent="0.3">
      <c r="A1275" s="91"/>
      <c r="B1275" s="70"/>
      <c r="C1275" s="70"/>
      <c r="D1275" s="70"/>
      <c r="E1275" s="70"/>
      <c r="F1275" s="70"/>
      <c r="G1275" s="70"/>
      <c r="H1275" s="131"/>
      <c r="I1275" s="3"/>
    </row>
    <row r="1276" spans="1:9" s="93" customFormat="1" ht="9" customHeight="1" x14ac:dyDescent="0.3">
      <c r="A1276" s="91"/>
      <c r="B1276" s="70"/>
      <c r="C1276" s="70"/>
      <c r="D1276" s="70"/>
      <c r="E1276" s="70"/>
      <c r="F1276" s="70"/>
      <c r="G1276" s="70"/>
      <c r="H1276" s="131"/>
      <c r="I1276" s="3"/>
    </row>
    <row r="1277" spans="1:9" s="93" customFormat="1" ht="9" customHeight="1" x14ac:dyDescent="0.3">
      <c r="A1277" s="91"/>
      <c r="B1277" s="70"/>
      <c r="C1277" s="70"/>
      <c r="D1277" s="70"/>
      <c r="E1277" s="70"/>
      <c r="F1277" s="70"/>
      <c r="G1277" s="70"/>
      <c r="H1277" s="131"/>
      <c r="I1277" s="3"/>
    </row>
    <row r="1278" spans="1:9" s="93" customFormat="1" ht="9" customHeight="1" x14ac:dyDescent="0.3">
      <c r="A1278" s="91"/>
      <c r="B1278" s="70"/>
      <c r="C1278" s="70"/>
      <c r="D1278" s="70"/>
      <c r="E1278" s="70"/>
      <c r="F1278" s="70"/>
      <c r="G1278" s="70"/>
      <c r="H1278" s="131"/>
      <c r="I1278" s="3"/>
    </row>
    <row r="1279" spans="1:9" s="93" customFormat="1" ht="9" customHeight="1" x14ac:dyDescent="0.3">
      <c r="A1279" s="91"/>
      <c r="B1279" s="70"/>
      <c r="C1279" s="70"/>
      <c r="D1279" s="70"/>
      <c r="E1279" s="70"/>
      <c r="F1279" s="70"/>
      <c r="G1279" s="70"/>
      <c r="H1279" s="131"/>
      <c r="I1279" s="3"/>
    </row>
    <row r="1280" spans="1:9" s="93" customFormat="1" ht="9" customHeight="1" x14ac:dyDescent="0.3">
      <c r="A1280" s="91"/>
      <c r="B1280" s="70"/>
      <c r="C1280" s="70"/>
      <c r="D1280" s="70"/>
      <c r="E1280" s="70"/>
      <c r="F1280" s="70"/>
      <c r="G1280" s="70"/>
      <c r="H1280" s="131"/>
      <c r="I1280" s="3"/>
    </row>
    <row r="1281" spans="1:9" s="93" customFormat="1" ht="9" customHeight="1" x14ac:dyDescent="0.3">
      <c r="A1281" s="91"/>
      <c r="B1281" s="70"/>
      <c r="C1281" s="70"/>
      <c r="D1281" s="70"/>
      <c r="E1281" s="70"/>
      <c r="F1281" s="70"/>
      <c r="G1281" s="70"/>
      <c r="H1281" s="131"/>
      <c r="I1281" s="3"/>
    </row>
    <row r="1282" spans="1:9" s="93" customFormat="1" ht="9" customHeight="1" x14ac:dyDescent="0.3">
      <c r="A1282" s="91"/>
      <c r="B1282" s="70"/>
      <c r="C1282" s="70"/>
      <c r="D1282" s="70"/>
      <c r="E1282" s="70"/>
      <c r="F1282" s="70"/>
      <c r="G1282" s="70"/>
      <c r="H1282" s="131"/>
      <c r="I1282" s="3"/>
    </row>
    <row r="1283" spans="1:9" s="93" customFormat="1" ht="9" customHeight="1" x14ac:dyDescent="0.3">
      <c r="A1283" s="91"/>
      <c r="B1283" s="70"/>
      <c r="C1283" s="70"/>
      <c r="D1283" s="70"/>
      <c r="E1283" s="70"/>
      <c r="F1283" s="70"/>
      <c r="G1283" s="70"/>
      <c r="H1283" s="131"/>
      <c r="I1283" s="3"/>
    </row>
    <row r="1284" spans="1:9" s="93" customFormat="1" ht="9" customHeight="1" x14ac:dyDescent="0.3">
      <c r="A1284" s="91"/>
      <c r="B1284" s="70"/>
      <c r="C1284" s="70"/>
      <c r="D1284" s="70"/>
      <c r="E1284" s="70"/>
      <c r="F1284" s="70"/>
      <c r="G1284" s="70"/>
      <c r="H1284" s="131"/>
      <c r="I1284" s="3"/>
    </row>
    <row r="1285" spans="1:9" s="93" customFormat="1" ht="9" customHeight="1" x14ac:dyDescent="0.3">
      <c r="A1285" s="91"/>
      <c r="B1285" s="70"/>
      <c r="C1285" s="70"/>
      <c r="D1285" s="70"/>
      <c r="E1285" s="70"/>
      <c r="F1285" s="70"/>
      <c r="G1285" s="70"/>
      <c r="H1285" s="131"/>
      <c r="I1285" s="3"/>
    </row>
    <row r="1286" spans="1:9" s="93" customFormat="1" ht="9" customHeight="1" x14ac:dyDescent="0.3">
      <c r="A1286" s="91"/>
      <c r="B1286" s="70"/>
      <c r="C1286" s="70"/>
      <c r="D1286" s="70"/>
      <c r="E1286" s="70"/>
      <c r="F1286" s="70"/>
      <c r="G1286" s="70"/>
      <c r="H1286" s="131"/>
      <c r="I1286" s="3"/>
    </row>
    <row r="1287" spans="1:9" s="93" customFormat="1" ht="9" customHeight="1" x14ac:dyDescent="0.3">
      <c r="A1287" s="91"/>
      <c r="B1287" s="70"/>
      <c r="C1287" s="70"/>
      <c r="D1287" s="70"/>
      <c r="E1287" s="70"/>
      <c r="F1287" s="70"/>
      <c r="G1287" s="70"/>
      <c r="H1287" s="131"/>
      <c r="I1287" s="3"/>
    </row>
    <row r="1288" spans="1:9" s="93" customFormat="1" ht="9" customHeight="1" x14ac:dyDescent="0.3">
      <c r="A1288" s="91"/>
      <c r="B1288" s="70"/>
      <c r="C1288" s="70"/>
      <c r="D1288" s="70"/>
      <c r="E1288" s="70"/>
      <c r="F1288" s="70"/>
      <c r="G1288" s="70"/>
      <c r="H1288" s="131"/>
      <c r="I1288" s="3"/>
    </row>
    <row r="1289" spans="1:9" s="93" customFormat="1" ht="9" customHeight="1" x14ac:dyDescent="0.3">
      <c r="A1289" s="91"/>
      <c r="B1289" s="70"/>
      <c r="C1289" s="70"/>
      <c r="D1289" s="70"/>
      <c r="E1289" s="70"/>
      <c r="F1289" s="70"/>
      <c r="G1289" s="70"/>
      <c r="H1289" s="131"/>
      <c r="I1289" s="3"/>
    </row>
    <row r="1290" spans="1:9" s="93" customFormat="1" ht="9" customHeight="1" x14ac:dyDescent="0.3">
      <c r="A1290" s="91"/>
      <c r="B1290" s="70"/>
      <c r="C1290" s="70"/>
      <c r="D1290" s="70"/>
      <c r="E1290" s="70"/>
      <c r="F1290" s="70"/>
      <c r="G1290" s="70"/>
      <c r="H1290" s="131"/>
      <c r="I1290" s="3"/>
    </row>
    <row r="1291" spans="1:9" s="93" customFormat="1" ht="9" customHeight="1" x14ac:dyDescent="0.3">
      <c r="A1291" s="91"/>
      <c r="B1291" s="70"/>
      <c r="C1291" s="70"/>
      <c r="D1291" s="70"/>
      <c r="E1291" s="70"/>
      <c r="F1291" s="70"/>
      <c r="G1291" s="70"/>
      <c r="H1291" s="131"/>
      <c r="I1291" s="3"/>
    </row>
    <row r="1292" spans="1:9" s="93" customFormat="1" ht="9" customHeight="1" x14ac:dyDescent="0.3">
      <c r="A1292" s="91"/>
      <c r="B1292" s="70"/>
      <c r="C1292" s="70"/>
      <c r="D1292" s="70"/>
      <c r="E1292" s="70"/>
      <c r="F1292" s="70"/>
      <c r="G1292" s="70"/>
      <c r="H1292" s="131"/>
      <c r="I1292" s="3"/>
    </row>
    <row r="1293" spans="1:9" s="93" customFormat="1" ht="9" customHeight="1" x14ac:dyDescent="0.3">
      <c r="A1293" s="91"/>
      <c r="B1293" s="70"/>
      <c r="C1293" s="70"/>
      <c r="D1293" s="70"/>
      <c r="E1293" s="70"/>
      <c r="F1293" s="70"/>
      <c r="G1293" s="70"/>
      <c r="H1293" s="131"/>
      <c r="I1293" s="3"/>
    </row>
    <row r="1294" spans="1:9" s="93" customFormat="1" ht="9" customHeight="1" x14ac:dyDescent="0.3">
      <c r="A1294" s="91"/>
      <c r="B1294" s="70"/>
      <c r="C1294" s="70"/>
      <c r="D1294" s="70"/>
      <c r="E1294" s="70"/>
      <c r="F1294" s="70"/>
      <c r="G1294" s="70"/>
      <c r="H1294" s="131"/>
      <c r="I1294" s="3"/>
    </row>
    <row r="1295" spans="1:9" s="93" customFormat="1" ht="9" customHeight="1" x14ac:dyDescent="0.3">
      <c r="A1295" s="91"/>
      <c r="B1295" s="70"/>
      <c r="C1295" s="70"/>
      <c r="D1295" s="70"/>
      <c r="E1295" s="70"/>
      <c r="F1295" s="70"/>
      <c r="G1295" s="70"/>
      <c r="H1295" s="131"/>
      <c r="I1295" s="3"/>
    </row>
    <row r="1296" spans="1:9" s="93" customFormat="1" ht="9" customHeight="1" x14ac:dyDescent="0.3">
      <c r="A1296" s="91"/>
      <c r="B1296" s="70"/>
      <c r="C1296" s="70"/>
      <c r="D1296" s="70"/>
      <c r="E1296" s="70"/>
      <c r="F1296" s="70"/>
      <c r="G1296" s="70"/>
      <c r="H1296" s="131"/>
      <c r="I1296" s="3"/>
    </row>
    <row r="1297" spans="1:9" s="93" customFormat="1" ht="9" customHeight="1" x14ac:dyDescent="0.3">
      <c r="A1297" s="91"/>
      <c r="B1297" s="70"/>
      <c r="C1297" s="70"/>
      <c r="D1297" s="70"/>
      <c r="E1297" s="70"/>
      <c r="F1297" s="70"/>
      <c r="G1297" s="70"/>
      <c r="H1297" s="131"/>
      <c r="I1297" s="3"/>
    </row>
    <row r="1298" spans="1:9" s="93" customFormat="1" ht="9" customHeight="1" x14ac:dyDescent="0.3">
      <c r="A1298" s="91"/>
      <c r="B1298" s="70"/>
      <c r="C1298" s="70"/>
      <c r="D1298" s="70"/>
      <c r="E1298" s="70"/>
      <c r="F1298" s="70"/>
      <c r="G1298" s="70"/>
      <c r="H1298" s="131"/>
      <c r="I1298" s="3"/>
    </row>
    <row r="1299" spans="1:9" s="93" customFormat="1" ht="9" customHeight="1" x14ac:dyDescent="0.3">
      <c r="A1299" s="91"/>
      <c r="B1299" s="70"/>
      <c r="C1299" s="70"/>
      <c r="D1299" s="70"/>
      <c r="E1299" s="70"/>
      <c r="F1299" s="70"/>
      <c r="G1299" s="70"/>
      <c r="H1299" s="131"/>
      <c r="I1299" s="3"/>
    </row>
    <row r="1300" spans="1:9" s="93" customFormat="1" ht="9" customHeight="1" x14ac:dyDescent="0.3">
      <c r="A1300" s="91"/>
      <c r="B1300" s="70"/>
      <c r="C1300" s="70"/>
      <c r="D1300" s="70"/>
      <c r="E1300" s="70"/>
      <c r="F1300" s="70"/>
      <c r="G1300" s="70"/>
      <c r="H1300" s="131"/>
      <c r="I1300" s="3"/>
    </row>
    <row r="1301" spans="1:9" s="93" customFormat="1" ht="9" customHeight="1" x14ac:dyDescent="0.3">
      <c r="A1301" s="91"/>
      <c r="B1301" s="70"/>
      <c r="C1301" s="70"/>
      <c r="D1301" s="70"/>
      <c r="E1301" s="70"/>
      <c r="F1301" s="70"/>
      <c r="G1301" s="70"/>
      <c r="H1301" s="131"/>
      <c r="I1301" s="3"/>
    </row>
    <row r="1302" spans="1:9" s="93" customFormat="1" ht="9" customHeight="1" x14ac:dyDescent="0.3">
      <c r="A1302" s="91"/>
      <c r="B1302" s="70"/>
      <c r="C1302" s="70"/>
      <c r="D1302" s="70"/>
      <c r="E1302" s="70"/>
      <c r="F1302" s="70"/>
      <c r="G1302" s="70"/>
      <c r="H1302" s="131"/>
      <c r="I1302" s="3"/>
    </row>
    <row r="1303" spans="1:9" s="93" customFormat="1" ht="9" customHeight="1" x14ac:dyDescent="0.3">
      <c r="A1303" s="91"/>
      <c r="B1303" s="70"/>
      <c r="C1303" s="70"/>
      <c r="D1303" s="70"/>
      <c r="E1303" s="70"/>
      <c r="F1303" s="70"/>
      <c r="G1303" s="70"/>
      <c r="H1303" s="131"/>
      <c r="I1303" s="3"/>
    </row>
    <row r="1304" spans="1:9" s="93" customFormat="1" ht="9" customHeight="1" x14ac:dyDescent="0.3">
      <c r="A1304" s="91"/>
      <c r="B1304" s="70"/>
      <c r="C1304" s="70"/>
      <c r="D1304" s="70"/>
      <c r="E1304" s="70"/>
      <c r="F1304" s="70"/>
      <c r="G1304" s="70"/>
      <c r="H1304" s="131"/>
      <c r="I1304" s="3"/>
    </row>
    <row r="1305" spans="1:9" s="93" customFormat="1" ht="9" customHeight="1" x14ac:dyDescent="0.3">
      <c r="A1305" s="91"/>
      <c r="B1305" s="70"/>
      <c r="C1305" s="70"/>
      <c r="D1305" s="70"/>
      <c r="E1305" s="70"/>
      <c r="F1305" s="70"/>
      <c r="G1305" s="70"/>
      <c r="H1305" s="131"/>
      <c r="I1305" s="3"/>
    </row>
    <row r="1306" spans="1:9" s="93" customFormat="1" ht="9" customHeight="1" x14ac:dyDescent="0.3">
      <c r="A1306" s="91"/>
      <c r="B1306" s="70"/>
      <c r="C1306" s="70"/>
      <c r="D1306" s="70"/>
      <c r="E1306" s="70"/>
      <c r="F1306" s="70"/>
      <c r="G1306" s="70"/>
      <c r="H1306" s="131"/>
      <c r="I1306" s="3"/>
    </row>
    <row r="1307" spans="1:9" s="93" customFormat="1" ht="9" customHeight="1" x14ac:dyDescent="0.3">
      <c r="A1307" s="91"/>
      <c r="B1307" s="70"/>
      <c r="C1307" s="70"/>
      <c r="D1307" s="70"/>
      <c r="E1307" s="70"/>
      <c r="F1307" s="70"/>
      <c r="G1307" s="70"/>
      <c r="H1307" s="131"/>
      <c r="I1307" s="3"/>
    </row>
    <row r="1308" spans="1:9" s="93" customFormat="1" ht="9" customHeight="1" x14ac:dyDescent="0.3">
      <c r="A1308" s="91"/>
      <c r="B1308" s="70"/>
      <c r="C1308" s="70"/>
      <c r="D1308" s="70"/>
      <c r="E1308" s="70"/>
      <c r="F1308" s="70"/>
      <c r="G1308" s="70"/>
      <c r="H1308" s="131"/>
      <c r="I1308" s="3"/>
    </row>
    <row r="1309" spans="1:9" s="93" customFormat="1" ht="9" customHeight="1" x14ac:dyDescent="0.3">
      <c r="A1309" s="91"/>
      <c r="B1309" s="70"/>
      <c r="C1309" s="70"/>
      <c r="D1309" s="70"/>
      <c r="E1309" s="70"/>
      <c r="F1309" s="70"/>
      <c r="G1309" s="70"/>
      <c r="H1309" s="131"/>
      <c r="I1309" s="3"/>
    </row>
    <row r="1310" spans="1:9" s="93" customFormat="1" ht="9" customHeight="1" x14ac:dyDescent="0.3">
      <c r="A1310" s="91"/>
      <c r="B1310" s="70"/>
      <c r="C1310" s="70"/>
      <c r="D1310" s="70"/>
      <c r="E1310" s="70"/>
      <c r="F1310" s="70"/>
      <c r="G1310" s="70"/>
      <c r="H1310" s="131"/>
      <c r="I1310" s="3"/>
    </row>
    <row r="1311" spans="1:9" s="93" customFormat="1" ht="9" customHeight="1" x14ac:dyDescent="0.3">
      <c r="A1311" s="91"/>
      <c r="B1311" s="70"/>
      <c r="C1311" s="70"/>
      <c r="D1311" s="70"/>
      <c r="E1311" s="70"/>
      <c r="F1311" s="70"/>
      <c r="G1311" s="70"/>
      <c r="H1311" s="131"/>
      <c r="I1311" s="3"/>
    </row>
    <row r="1312" spans="1:9" s="93" customFormat="1" ht="9" customHeight="1" x14ac:dyDescent="0.3">
      <c r="A1312" s="91"/>
      <c r="B1312" s="70"/>
      <c r="C1312" s="70"/>
      <c r="D1312" s="70"/>
      <c r="E1312" s="70"/>
      <c r="F1312" s="70"/>
      <c r="G1312" s="70"/>
      <c r="H1312" s="131"/>
      <c r="I1312" s="3"/>
    </row>
    <row r="1313" spans="1:9" s="93" customFormat="1" ht="9" customHeight="1" x14ac:dyDescent="0.3">
      <c r="A1313" s="91"/>
      <c r="B1313" s="70"/>
      <c r="C1313" s="70"/>
      <c r="D1313" s="70"/>
      <c r="E1313" s="70"/>
      <c r="F1313" s="70"/>
      <c r="G1313" s="70"/>
      <c r="H1313" s="131"/>
      <c r="I1313" s="3"/>
    </row>
    <row r="1314" spans="1:9" s="93" customFormat="1" ht="9" customHeight="1" x14ac:dyDescent="0.3">
      <c r="A1314" s="91"/>
      <c r="B1314" s="70"/>
      <c r="C1314" s="70"/>
      <c r="D1314" s="70"/>
      <c r="E1314" s="70"/>
      <c r="F1314" s="70"/>
      <c r="G1314" s="70"/>
      <c r="H1314" s="131"/>
      <c r="I1314" s="3"/>
    </row>
    <row r="1315" spans="1:9" s="93" customFormat="1" ht="9" customHeight="1" x14ac:dyDescent="0.3">
      <c r="A1315" s="91"/>
      <c r="B1315" s="70"/>
      <c r="C1315" s="70"/>
      <c r="D1315" s="70"/>
      <c r="E1315" s="70"/>
      <c r="F1315" s="70"/>
      <c r="G1315" s="70"/>
      <c r="H1315" s="131"/>
      <c r="I1315" s="3"/>
    </row>
    <row r="1316" spans="1:9" s="93" customFormat="1" ht="9" customHeight="1" x14ac:dyDescent="0.3">
      <c r="A1316" s="91"/>
      <c r="B1316" s="70"/>
      <c r="C1316" s="70"/>
      <c r="D1316" s="70"/>
      <c r="E1316" s="70"/>
      <c r="F1316" s="70"/>
      <c r="G1316" s="70"/>
      <c r="H1316" s="131"/>
      <c r="I1316" s="3"/>
    </row>
    <row r="1317" spans="1:9" s="93" customFormat="1" ht="9" customHeight="1" x14ac:dyDescent="0.3">
      <c r="A1317" s="91"/>
      <c r="B1317" s="70"/>
      <c r="C1317" s="70"/>
      <c r="D1317" s="70"/>
      <c r="E1317" s="70"/>
      <c r="F1317" s="70"/>
      <c r="G1317" s="70"/>
      <c r="H1317" s="131"/>
      <c r="I1317" s="3"/>
    </row>
    <row r="1318" spans="1:9" s="93" customFormat="1" ht="9" customHeight="1" x14ac:dyDescent="0.3">
      <c r="A1318" s="91"/>
      <c r="B1318" s="70"/>
      <c r="C1318" s="70"/>
      <c r="D1318" s="70"/>
      <c r="E1318" s="70"/>
      <c r="F1318" s="70"/>
      <c r="G1318" s="70"/>
      <c r="H1318" s="131"/>
      <c r="I1318" s="3"/>
    </row>
    <row r="1319" spans="1:9" s="93" customFormat="1" ht="9" customHeight="1" x14ac:dyDescent="0.3">
      <c r="A1319" s="91"/>
      <c r="B1319" s="70"/>
      <c r="C1319" s="70"/>
      <c r="D1319" s="70"/>
      <c r="E1319" s="70"/>
      <c r="F1319" s="70"/>
      <c r="G1319" s="70"/>
      <c r="H1319" s="131"/>
      <c r="I1319" s="3"/>
    </row>
    <row r="1320" spans="1:9" s="93" customFormat="1" ht="9" customHeight="1" x14ac:dyDescent="0.3">
      <c r="A1320" s="91"/>
      <c r="B1320" s="70"/>
      <c r="C1320" s="70"/>
      <c r="D1320" s="70"/>
      <c r="E1320" s="70"/>
      <c r="F1320" s="70"/>
      <c r="G1320" s="70"/>
      <c r="H1320" s="131"/>
      <c r="I1320" s="3"/>
    </row>
    <row r="1321" spans="1:9" s="93" customFormat="1" ht="9" customHeight="1" x14ac:dyDescent="0.3">
      <c r="A1321" s="91"/>
      <c r="B1321" s="70"/>
      <c r="C1321" s="70"/>
      <c r="D1321" s="70"/>
      <c r="E1321" s="70"/>
      <c r="F1321" s="70"/>
      <c r="G1321" s="70"/>
      <c r="H1321" s="131"/>
      <c r="I1321" s="3"/>
    </row>
    <row r="1322" spans="1:9" s="93" customFormat="1" ht="9" customHeight="1" x14ac:dyDescent="0.3">
      <c r="A1322" s="91"/>
      <c r="B1322" s="70"/>
      <c r="C1322" s="70"/>
      <c r="D1322" s="70"/>
      <c r="E1322" s="70"/>
      <c r="F1322" s="70"/>
      <c r="G1322" s="70"/>
      <c r="H1322" s="131"/>
      <c r="I1322" s="3"/>
    </row>
    <row r="1323" spans="1:9" s="93" customFormat="1" ht="9" customHeight="1" x14ac:dyDescent="0.3">
      <c r="A1323" s="91"/>
      <c r="B1323" s="70"/>
      <c r="C1323" s="70"/>
      <c r="D1323" s="70"/>
      <c r="E1323" s="70"/>
      <c r="F1323" s="70"/>
      <c r="G1323" s="70"/>
      <c r="H1323" s="131"/>
      <c r="I1323" s="3"/>
    </row>
    <row r="1324" spans="1:9" s="93" customFormat="1" ht="9" customHeight="1" x14ac:dyDescent="0.3">
      <c r="A1324" s="91"/>
      <c r="B1324" s="70"/>
      <c r="C1324" s="70"/>
      <c r="D1324" s="70"/>
      <c r="E1324" s="70"/>
      <c r="F1324" s="70"/>
      <c r="G1324" s="70"/>
      <c r="H1324" s="131"/>
      <c r="I1324" s="3"/>
    </row>
    <row r="1325" spans="1:9" s="93" customFormat="1" ht="9" customHeight="1" x14ac:dyDescent="0.3">
      <c r="A1325" s="91"/>
      <c r="B1325" s="70"/>
      <c r="C1325" s="70"/>
      <c r="D1325" s="70"/>
      <c r="E1325" s="70"/>
      <c r="F1325" s="70"/>
      <c r="G1325" s="70"/>
      <c r="H1325" s="131"/>
      <c r="I1325" s="3"/>
    </row>
    <row r="1326" spans="1:9" s="93" customFormat="1" ht="9" customHeight="1" x14ac:dyDescent="0.3">
      <c r="A1326" s="91"/>
      <c r="B1326" s="70"/>
      <c r="C1326" s="70"/>
      <c r="D1326" s="70"/>
      <c r="E1326" s="70"/>
      <c r="F1326" s="70"/>
      <c r="G1326" s="70"/>
      <c r="H1326" s="131"/>
      <c r="I1326" s="3"/>
    </row>
    <row r="1327" spans="1:9" s="93" customFormat="1" ht="9" customHeight="1" x14ac:dyDescent="0.3">
      <c r="A1327" s="91"/>
      <c r="B1327" s="70"/>
      <c r="C1327" s="70"/>
      <c r="D1327" s="70"/>
      <c r="E1327" s="70"/>
      <c r="F1327" s="70"/>
      <c r="G1327" s="70"/>
      <c r="H1327" s="131"/>
      <c r="I1327" s="3"/>
    </row>
    <row r="1328" spans="1:9" s="93" customFormat="1" ht="9" customHeight="1" x14ac:dyDescent="0.3">
      <c r="A1328" s="91"/>
      <c r="B1328" s="70"/>
      <c r="C1328" s="70"/>
      <c r="D1328" s="70"/>
      <c r="E1328" s="70"/>
      <c r="F1328" s="70"/>
      <c r="G1328" s="70"/>
      <c r="H1328" s="131"/>
      <c r="I1328" s="3"/>
    </row>
    <row r="1329" spans="1:9" s="93" customFormat="1" ht="9" customHeight="1" x14ac:dyDescent="0.3">
      <c r="A1329" s="91"/>
      <c r="B1329" s="70"/>
      <c r="C1329" s="70"/>
      <c r="D1329" s="70"/>
      <c r="E1329" s="70"/>
      <c r="F1329" s="70"/>
      <c r="G1329" s="70"/>
      <c r="H1329" s="131"/>
      <c r="I1329" s="3"/>
    </row>
    <row r="1330" spans="1:9" s="93" customFormat="1" ht="9" customHeight="1" x14ac:dyDescent="0.3">
      <c r="A1330" s="91"/>
      <c r="B1330" s="70"/>
      <c r="C1330" s="70"/>
      <c r="D1330" s="70"/>
      <c r="E1330" s="70"/>
      <c r="F1330" s="70"/>
      <c r="G1330" s="70"/>
      <c r="H1330" s="131"/>
      <c r="I1330" s="3"/>
    </row>
    <row r="1331" spans="1:9" s="93" customFormat="1" ht="9" customHeight="1" x14ac:dyDescent="0.3">
      <c r="A1331" s="91"/>
      <c r="B1331" s="70"/>
      <c r="C1331" s="70"/>
      <c r="D1331" s="70"/>
      <c r="E1331" s="70"/>
      <c r="F1331" s="70"/>
      <c r="G1331" s="70"/>
      <c r="H1331" s="131"/>
      <c r="I1331" s="3"/>
    </row>
    <row r="1332" spans="1:9" s="93" customFormat="1" ht="9" customHeight="1" x14ac:dyDescent="0.3">
      <c r="A1332" s="91"/>
      <c r="B1332" s="70"/>
      <c r="C1332" s="70"/>
      <c r="D1332" s="70"/>
      <c r="E1332" s="70"/>
      <c r="F1332" s="70"/>
      <c r="G1332" s="70"/>
      <c r="H1332" s="131"/>
      <c r="I1332" s="3"/>
    </row>
    <row r="1333" spans="1:9" s="93" customFormat="1" ht="9" customHeight="1" x14ac:dyDescent="0.3">
      <c r="A1333" s="91"/>
      <c r="B1333" s="70"/>
      <c r="C1333" s="70"/>
      <c r="D1333" s="70"/>
      <c r="E1333" s="70"/>
      <c r="F1333" s="70"/>
      <c r="G1333" s="70"/>
      <c r="H1333" s="131"/>
      <c r="I1333" s="3"/>
    </row>
    <row r="1334" spans="1:9" s="93" customFormat="1" ht="9" customHeight="1" x14ac:dyDescent="0.3">
      <c r="A1334" s="91"/>
      <c r="B1334" s="70"/>
      <c r="C1334" s="70"/>
      <c r="D1334" s="70"/>
      <c r="E1334" s="70"/>
      <c r="F1334" s="70"/>
      <c r="G1334" s="70"/>
      <c r="H1334" s="131"/>
      <c r="I1334" s="3"/>
    </row>
    <row r="1335" spans="1:9" s="93" customFormat="1" ht="9" customHeight="1" x14ac:dyDescent="0.3">
      <c r="A1335" s="91"/>
      <c r="B1335" s="70"/>
      <c r="C1335" s="70"/>
      <c r="D1335" s="70"/>
      <c r="E1335" s="70"/>
      <c r="F1335" s="70"/>
      <c r="G1335" s="70"/>
      <c r="H1335" s="131"/>
      <c r="I1335" s="3"/>
    </row>
    <row r="1336" spans="1:9" s="93" customFormat="1" ht="9" customHeight="1" x14ac:dyDescent="0.3">
      <c r="A1336" s="91"/>
      <c r="B1336" s="70"/>
      <c r="C1336" s="70"/>
      <c r="D1336" s="70"/>
      <c r="E1336" s="70"/>
      <c r="F1336" s="70"/>
      <c r="G1336" s="70"/>
      <c r="H1336" s="131"/>
      <c r="I1336" s="3"/>
    </row>
    <row r="1337" spans="1:9" s="93" customFormat="1" ht="9" customHeight="1" x14ac:dyDescent="0.3">
      <c r="A1337" s="91"/>
      <c r="B1337" s="70"/>
      <c r="C1337" s="70"/>
      <c r="D1337" s="70"/>
      <c r="E1337" s="70"/>
      <c r="F1337" s="70"/>
      <c r="G1337" s="70"/>
      <c r="H1337" s="131"/>
      <c r="I1337" s="3"/>
    </row>
    <row r="1338" spans="1:9" s="93" customFormat="1" ht="9" customHeight="1" x14ac:dyDescent="0.3">
      <c r="A1338" s="91"/>
      <c r="B1338" s="70"/>
      <c r="C1338" s="70"/>
      <c r="D1338" s="70"/>
      <c r="E1338" s="70"/>
      <c r="F1338" s="70"/>
      <c r="G1338" s="70"/>
      <c r="H1338" s="131"/>
      <c r="I1338" s="3"/>
    </row>
    <row r="1339" spans="1:9" s="93" customFormat="1" ht="9" customHeight="1" x14ac:dyDescent="0.3">
      <c r="A1339" s="91"/>
      <c r="B1339" s="70"/>
      <c r="C1339" s="70"/>
      <c r="D1339" s="70"/>
      <c r="E1339" s="70"/>
      <c r="F1339" s="70"/>
      <c r="G1339" s="70"/>
      <c r="H1339" s="131"/>
      <c r="I1339" s="3"/>
    </row>
    <row r="1340" spans="1:9" s="93" customFormat="1" ht="9" customHeight="1" x14ac:dyDescent="0.3">
      <c r="A1340" s="91"/>
      <c r="B1340" s="70"/>
      <c r="C1340" s="70"/>
      <c r="D1340" s="70"/>
      <c r="E1340" s="70"/>
      <c r="F1340" s="70"/>
      <c r="G1340" s="70"/>
      <c r="H1340" s="131"/>
      <c r="I1340" s="3"/>
    </row>
    <row r="1341" spans="1:9" s="93" customFormat="1" ht="9" customHeight="1" x14ac:dyDescent="0.3">
      <c r="A1341" s="91"/>
      <c r="B1341" s="70"/>
      <c r="C1341" s="70"/>
      <c r="D1341" s="70"/>
      <c r="E1341" s="70"/>
      <c r="F1341" s="70"/>
      <c r="G1341" s="70"/>
      <c r="H1341" s="131"/>
      <c r="I1341" s="3"/>
    </row>
    <row r="1342" spans="1:9" s="93" customFormat="1" ht="9" customHeight="1" x14ac:dyDescent="0.3">
      <c r="A1342" s="91"/>
      <c r="B1342" s="70"/>
      <c r="C1342" s="70"/>
      <c r="D1342" s="70"/>
      <c r="E1342" s="70"/>
      <c r="F1342" s="70"/>
      <c r="G1342" s="70"/>
      <c r="H1342" s="131"/>
      <c r="I1342" s="3"/>
    </row>
    <row r="1343" spans="1:9" s="93" customFormat="1" ht="9" customHeight="1" x14ac:dyDescent="0.3">
      <c r="A1343" s="91"/>
      <c r="B1343" s="70"/>
      <c r="C1343" s="70"/>
      <c r="D1343" s="70"/>
      <c r="E1343" s="70"/>
      <c r="F1343" s="70"/>
      <c r="G1343" s="70"/>
      <c r="H1343" s="131"/>
      <c r="I1343" s="3"/>
    </row>
    <row r="1344" spans="1:9" s="93" customFormat="1" ht="9" customHeight="1" x14ac:dyDescent="0.3">
      <c r="A1344" s="91"/>
      <c r="B1344" s="70"/>
      <c r="C1344" s="70"/>
      <c r="D1344" s="70"/>
      <c r="E1344" s="70"/>
      <c r="F1344" s="70"/>
      <c r="G1344" s="70"/>
      <c r="H1344" s="131"/>
      <c r="I1344" s="3"/>
    </row>
    <row r="1345" spans="1:9" s="93" customFormat="1" ht="9" customHeight="1" x14ac:dyDescent="0.3">
      <c r="A1345" s="91"/>
      <c r="B1345" s="70"/>
      <c r="C1345" s="70"/>
      <c r="D1345" s="70"/>
      <c r="E1345" s="70"/>
      <c r="F1345" s="70"/>
      <c r="G1345" s="70"/>
      <c r="H1345" s="131"/>
      <c r="I1345" s="3"/>
    </row>
    <row r="1346" spans="1:9" s="93" customFormat="1" ht="9" customHeight="1" x14ac:dyDescent="0.3">
      <c r="A1346" s="91"/>
      <c r="B1346" s="70"/>
      <c r="C1346" s="70"/>
      <c r="D1346" s="70"/>
      <c r="E1346" s="70"/>
      <c r="F1346" s="70"/>
      <c r="G1346" s="70"/>
      <c r="H1346" s="131"/>
      <c r="I1346" s="3"/>
    </row>
    <row r="1347" spans="1:9" s="93" customFormat="1" ht="9" customHeight="1" x14ac:dyDescent="0.3">
      <c r="A1347" s="91"/>
      <c r="B1347" s="70"/>
      <c r="C1347" s="70"/>
      <c r="D1347" s="70"/>
      <c r="E1347" s="70"/>
      <c r="F1347" s="70"/>
      <c r="G1347" s="70"/>
      <c r="H1347" s="131"/>
      <c r="I1347" s="3"/>
    </row>
    <row r="1348" spans="1:9" s="93" customFormat="1" ht="9" customHeight="1" x14ac:dyDescent="0.3">
      <c r="A1348" s="91"/>
      <c r="B1348" s="70"/>
      <c r="C1348" s="70"/>
      <c r="D1348" s="70"/>
      <c r="E1348" s="70"/>
      <c r="F1348" s="70"/>
      <c r="G1348" s="70"/>
      <c r="H1348" s="131"/>
      <c r="I1348" s="3"/>
    </row>
    <row r="1349" spans="1:9" s="93" customFormat="1" ht="9" customHeight="1" x14ac:dyDescent="0.3">
      <c r="A1349" s="91"/>
      <c r="B1349" s="70"/>
      <c r="C1349" s="70"/>
      <c r="D1349" s="70"/>
      <c r="E1349" s="70"/>
      <c r="F1349" s="70"/>
      <c r="G1349" s="70"/>
      <c r="H1349" s="131"/>
      <c r="I1349" s="3"/>
    </row>
    <row r="1350" spans="1:9" s="93" customFormat="1" ht="9" customHeight="1" x14ac:dyDescent="0.3">
      <c r="A1350" s="91"/>
      <c r="B1350" s="70"/>
      <c r="C1350" s="70"/>
      <c r="D1350" s="70"/>
      <c r="E1350" s="70"/>
      <c r="F1350" s="70"/>
      <c r="G1350" s="70"/>
      <c r="H1350" s="131"/>
      <c r="I1350" s="3"/>
    </row>
    <row r="1351" spans="1:9" s="93" customFormat="1" ht="9" customHeight="1" x14ac:dyDescent="0.3">
      <c r="A1351" s="91"/>
      <c r="B1351" s="70"/>
      <c r="C1351" s="70"/>
      <c r="D1351" s="70"/>
      <c r="E1351" s="70"/>
      <c r="F1351" s="70"/>
      <c r="G1351" s="70"/>
      <c r="H1351" s="131"/>
      <c r="I1351" s="3"/>
    </row>
    <row r="1352" spans="1:9" s="93" customFormat="1" ht="9" customHeight="1" x14ac:dyDescent="0.3">
      <c r="A1352" s="91"/>
      <c r="B1352" s="70"/>
      <c r="C1352" s="70"/>
      <c r="D1352" s="70"/>
      <c r="E1352" s="70"/>
      <c r="F1352" s="70"/>
      <c r="G1352" s="70"/>
      <c r="H1352" s="131"/>
      <c r="I1352" s="3"/>
    </row>
    <row r="1353" spans="1:9" s="93" customFormat="1" ht="9" customHeight="1" x14ac:dyDescent="0.3">
      <c r="A1353" s="91"/>
      <c r="B1353" s="70"/>
      <c r="C1353" s="70"/>
      <c r="D1353" s="70"/>
      <c r="E1353" s="70"/>
      <c r="F1353" s="70"/>
      <c r="G1353" s="70"/>
      <c r="H1353" s="131"/>
      <c r="I1353" s="3"/>
    </row>
    <row r="1354" spans="1:9" s="93" customFormat="1" ht="9" customHeight="1" x14ac:dyDescent="0.3">
      <c r="A1354" s="91"/>
      <c r="B1354" s="70"/>
      <c r="C1354" s="70"/>
      <c r="D1354" s="70"/>
      <c r="E1354" s="70"/>
      <c r="F1354" s="70"/>
      <c r="G1354" s="70"/>
      <c r="H1354" s="131"/>
      <c r="I1354" s="3"/>
    </row>
    <row r="1355" spans="1:9" s="93" customFormat="1" ht="9" customHeight="1" x14ac:dyDescent="0.3">
      <c r="A1355" s="91"/>
      <c r="B1355" s="70"/>
      <c r="C1355" s="70"/>
      <c r="D1355" s="70"/>
      <c r="E1355" s="70"/>
      <c r="F1355" s="70"/>
      <c r="G1355" s="70"/>
      <c r="H1355" s="131"/>
      <c r="I1355" s="3"/>
    </row>
    <row r="1356" spans="1:9" s="93" customFormat="1" ht="9" customHeight="1" x14ac:dyDescent="0.3">
      <c r="A1356" s="91"/>
      <c r="B1356" s="70"/>
      <c r="C1356" s="70"/>
      <c r="D1356" s="70"/>
      <c r="E1356" s="70"/>
      <c r="F1356" s="70"/>
      <c r="G1356" s="70"/>
      <c r="H1356" s="131"/>
      <c r="I1356" s="3"/>
    </row>
    <row r="1357" spans="1:9" s="93" customFormat="1" ht="9" customHeight="1" x14ac:dyDescent="0.3">
      <c r="A1357" s="91"/>
      <c r="B1357" s="70"/>
      <c r="C1357" s="70"/>
      <c r="D1357" s="70"/>
      <c r="E1357" s="70"/>
      <c r="F1357" s="70"/>
      <c r="G1357" s="70"/>
      <c r="H1357" s="131"/>
      <c r="I1357" s="3"/>
    </row>
    <row r="1358" spans="1:9" s="93" customFormat="1" ht="9" customHeight="1" x14ac:dyDescent="0.3">
      <c r="A1358" s="91"/>
      <c r="B1358" s="70"/>
      <c r="C1358" s="70"/>
      <c r="D1358" s="70"/>
      <c r="E1358" s="70"/>
      <c r="F1358" s="70"/>
      <c r="G1358" s="70"/>
      <c r="H1358" s="131"/>
      <c r="I1358" s="3"/>
    </row>
    <row r="1359" spans="1:9" s="93" customFormat="1" ht="9" customHeight="1" x14ac:dyDescent="0.3">
      <c r="A1359" s="91"/>
      <c r="B1359" s="70"/>
      <c r="C1359" s="70"/>
      <c r="D1359" s="70"/>
      <c r="E1359" s="70"/>
      <c r="F1359" s="70"/>
      <c r="G1359" s="70"/>
      <c r="H1359" s="131"/>
      <c r="I1359" s="3"/>
    </row>
    <row r="1360" spans="1:9" s="93" customFormat="1" ht="9" customHeight="1" x14ac:dyDescent="0.3">
      <c r="A1360" s="91"/>
      <c r="B1360" s="70"/>
      <c r="C1360" s="70"/>
      <c r="D1360" s="70"/>
      <c r="E1360" s="70"/>
      <c r="F1360" s="70"/>
      <c r="G1360" s="70"/>
      <c r="H1360" s="131"/>
      <c r="I1360" s="3"/>
    </row>
    <row r="1361" spans="1:9" s="93" customFormat="1" ht="9" customHeight="1" x14ac:dyDescent="0.3">
      <c r="A1361" s="91"/>
      <c r="B1361" s="70"/>
      <c r="C1361" s="70"/>
      <c r="D1361" s="70"/>
      <c r="E1361" s="70"/>
      <c r="F1361" s="70"/>
      <c r="G1361" s="70"/>
      <c r="H1361" s="131"/>
      <c r="I1361" s="3"/>
    </row>
    <row r="1362" spans="1:9" s="93" customFormat="1" ht="9" customHeight="1" x14ac:dyDescent="0.3">
      <c r="A1362" s="91"/>
      <c r="B1362" s="70"/>
      <c r="C1362" s="70"/>
      <c r="D1362" s="70"/>
      <c r="E1362" s="70"/>
      <c r="F1362" s="70"/>
      <c r="G1362" s="70"/>
      <c r="H1362" s="131"/>
      <c r="I1362" s="3"/>
    </row>
    <row r="1363" spans="1:9" s="93" customFormat="1" ht="9" customHeight="1" x14ac:dyDescent="0.3">
      <c r="A1363" s="91"/>
      <c r="B1363" s="70"/>
      <c r="C1363" s="70"/>
      <c r="D1363" s="70"/>
      <c r="E1363" s="70"/>
      <c r="F1363" s="70"/>
      <c r="G1363" s="70"/>
      <c r="H1363" s="131"/>
      <c r="I1363" s="3"/>
    </row>
    <row r="1364" spans="1:9" s="93" customFormat="1" ht="9" customHeight="1" x14ac:dyDescent="0.3">
      <c r="A1364" s="91"/>
      <c r="B1364" s="70"/>
      <c r="C1364" s="70"/>
      <c r="D1364" s="70"/>
      <c r="E1364" s="70"/>
      <c r="F1364" s="70"/>
      <c r="G1364" s="70"/>
      <c r="H1364" s="131"/>
      <c r="I1364" s="3"/>
    </row>
    <row r="1365" spans="1:9" s="93" customFormat="1" ht="9" customHeight="1" x14ac:dyDescent="0.3">
      <c r="A1365" s="91"/>
      <c r="B1365" s="70"/>
      <c r="C1365" s="70"/>
      <c r="D1365" s="70"/>
      <c r="E1365" s="70"/>
      <c r="F1365" s="70"/>
      <c r="G1365" s="70"/>
      <c r="H1365" s="131"/>
      <c r="I1365" s="3"/>
    </row>
    <row r="1366" spans="1:9" s="93" customFormat="1" ht="9" customHeight="1" x14ac:dyDescent="0.3">
      <c r="A1366" s="91"/>
      <c r="B1366" s="70"/>
      <c r="C1366" s="70"/>
      <c r="D1366" s="70"/>
      <c r="E1366" s="70"/>
      <c r="F1366" s="70"/>
      <c r="G1366" s="70"/>
      <c r="H1366" s="131"/>
      <c r="I1366" s="3"/>
    </row>
    <row r="1367" spans="1:9" s="93" customFormat="1" ht="9" customHeight="1" x14ac:dyDescent="0.3">
      <c r="A1367" s="91"/>
      <c r="B1367" s="70"/>
      <c r="C1367" s="70"/>
      <c r="D1367" s="70"/>
      <c r="E1367" s="70"/>
      <c r="F1367" s="70"/>
      <c r="G1367" s="70"/>
      <c r="H1367" s="131"/>
      <c r="I1367" s="3"/>
    </row>
    <row r="1368" spans="1:9" s="93" customFormat="1" ht="9" customHeight="1" x14ac:dyDescent="0.3">
      <c r="A1368" s="91"/>
      <c r="B1368" s="70"/>
      <c r="C1368" s="70"/>
      <c r="D1368" s="70"/>
      <c r="E1368" s="70"/>
      <c r="F1368" s="70"/>
      <c r="G1368" s="70"/>
      <c r="H1368" s="131"/>
      <c r="I1368" s="3"/>
    </row>
    <row r="1369" spans="1:9" s="93" customFormat="1" ht="9" customHeight="1" x14ac:dyDescent="0.3">
      <c r="A1369" s="91"/>
      <c r="B1369" s="70"/>
      <c r="C1369" s="70"/>
      <c r="D1369" s="70"/>
      <c r="E1369" s="70"/>
      <c r="F1369" s="70"/>
      <c r="G1369" s="70"/>
      <c r="H1369" s="131"/>
      <c r="I1369" s="3"/>
    </row>
    <row r="1370" spans="1:9" s="93" customFormat="1" ht="9" customHeight="1" x14ac:dyDescent="0.3">
      <c r="A1370" s="91"/>
      <c r="B1370" s="70"/>
      <c r="C1370" s="70"/>
      <c r="D1370" s="70"/>
      <c r="E1370" s="70"/>
      <c r="F1370" s="70"/>
      <c r="G1370" s="70"/>
      <c r="H1370" s="131"/>
      <c r="I1370" s="3"/>
    </row>
    <row r="1371" spans="1:9" s="93" customFormat="1" ht="9" customHeight="1" x14ac:dyDescent="0.3">
      <c r="A1371" s="91"/>
      <c r="B1371" s="70"/>
      <c r="C1371" s="70"/>
      <c r="D1371" s="70"/>
      <c r="E1371" s="70"/>
      <c r="F1371" s="70"/>
      <c r="G1371" s="70"/>
      <c r="H1371" s="131"/>
      <c r="I1371" s="3"/>
    </row>
    <row r="1372" spans="1:9" s="93" customFormat="1" ht="9" customHeight="1" x14ac:dyDescent="0.3">
      <c r="A1372" s="91"/>
      <c r="B1372" s="70"/>
      <c r="C1372" s="70"/>
      <c r="D1372" s="70"/>
      <c r="E1372" s="70"/>
      <c r="F1372" s="70"/>
      <c r="G1372" s="70"/>
      <c r="H1372" s="131"/>
      <c r="I1372" s="3"/>
    </row>
    <row r="1373" spans="1:9" s="93" customFormat="1" ht="9" customHeight="1" x14ac:dyDescent="0.3">
      <c r="A1373" s="91"/>
      <c r="B1373" s="70"/>
      <c r="C1373" s="70"/>
      <c r="D1373" s="70"/>
      <c r="E1373" s="70"/>
      <c r="F1373" s="70"/>
      <c r="G1373" s="70"/>
      <c r="H1373" s="131"/>
      <c r="I1373" s="3"/>
    </row>
    <row r="1374" spans="1:9" s="93" customFormat="1" ht="9" customHeight="1" x14ac:dyDescent="0.3">
      <c r="A1374" s="91"/>
      <c r="B1374" s="70"/>
      <c r="C1374" s="70"/>
      <c r="D1374" s="70"/>
      <c r="E1374" s="70"/>
      <c r="F1374" s="70"/>
      <c r="G1374" s="70"/>
      <c r="H1374" s="131"/>
      <c r="I1374" s="3"/>
    </row>
    <row r="1375" spans="1:9" s="93" customFormat="1" ht="9" customHeight="1" x14ac:dyDescent="0.3">
      <c r="A1375" s="91"/>
      <c r="B1375" s="70"/>
      <c r="C1375" s="70"/>
      <c r="D1375" s="70"/>
      <c r="E1375" s="70"/>
      <c r="F1375" s="70"/>
      <c r="G1375" s="70"/>
      <c r="H1375" s="131"/>
      <c r="I1375" s="3"/>
    </row>
    <row r="1376" spans="1:9" s="93" customFormat="1" ht="9" customHeight="1" x14ac:dyDescent="0.3">
      <c r="A1376" s="91"/>
      <c r="B1376" s="70"/>
      <c r="C1376" s="70"/>
      <c r="D1376" s="70"/>
      <c r="E1376" s="70"/>
      <c r="F1376" s="70"/>
      <c r="G1376" s="70"/>
      <c r="H1376" s="131"/>
      <c r="I1376" s="3"/>
    </row>
    <row r="1377" spans="1:9" s="93" customFormat="1" ht="9" customHeight="1" x14ac:dyDescent="0.3">
      <c r="A1377" s="91"/>
      <c r="B1377" s="70"/>
      <c r="C1377" s="70"/>
      <c r="D1377" s="70"/>
      <c r="E1377" s="70"/>
      <c r="F1377" s="70"/>
      <c r="G1377" s="70"/>
      <c r="H1377" s="131"/>
      <c r="I1377" s="3"/>
    </row>
    <row r="1378" spans="1:9" s="93" customFormat="1" ht="9" customHeight="1" x14ac:dyDescent="0.3">
      <c r="A1378" s="91"/>
      <c r="B1378" s="70"/>
      <c r="C1378" s="70"/>
      <c r="D1378" s="70"/>
      <c r="E1378" s="70"/>
      <c r="F1378" s="70"/>
      <c r="G1378" s="70"/>
      <c r="H1378" s="131"/>
      <c r="I1378" s="3"/>
    </row>
    <row r="1379" spans="1:9" s="93" customFormat="1" ht="9" customHeight="1" x14ac:dyDescent="0.3">
      <c r="A1379" s="91"/>
      <c r="B1379" s="70"/>
      <c r="C1379" s="70"/>
      <c r="D1379" s="70"/>
      <c r="E1379" s="70"/>
      <c r="F1379" s="70"/>
      <c r="G1379" s="70"/>
      <c r="H1379" s="131"/>
      <c r="I1379" s="3"/>
    </row>
    <row r="1380" spans="1:9" s="93" customFormat="1" ht="9" customHeight="1" x14ac:dyDescent="0.3">
      <c r="A1380" s="91"/>
      <c r="B1380" s="70"/>
      <c r="C1380" s="70"/>
      <c r="D1380" s="70"/>
      <c r="E1380" s="70"/>
      <c r="F1380" s="70"/>
      <c r="G1380" s="70"/>
      <c r="H1380" s="131"/>
      <c r="I1380" s="3"/>
    </row>
    <row r="1381" spans="1:9" s="93" customFormat="1" ht="9" customHeight="1" x14ac:dyDescent="0.3">
      <c r="A1381" s="91"/>
      <c r="B1381" s="70"/>
      <c r="C1381" s="70"/>
      <c r="D1381" s="70"/>
      <c r="E1381" s="70"/>
      <c r="F1381" s="70"/>
      <c r="G1381" s="70"/>
      <c r="H1381" s="131"/>
      <c r="I1381" s="3"/>
    </row>
    <row r="1382" spans="1:9" s="93" customFormat="1" ht="9" customHeight="1" x14ac:dyDescent="0.3">
      <c r="A1382" s="91"/>
      <c r="B1382" s="70"/>
      <c r="C1382" s="70"/>
      <c r="D1382" s="70"/>
      <c r="E1382" s="70"/>
      <c r="F1382" s="70"/>
      <c r="G1382" s="70"/>
      <c r="H1382" s="131"/>
      <c r="I1382" s="3"/>
    </row>
    <row r="1383" spans="1:9" s="93" customFormat="1" ht="9" customHeight="1" x14ac:dyDescent="0.3">
      <c r="A1383" s="91"/>
      <c r="B1383" s="70"/>
      <c r="C1383" s="70"/>
      <c r="D1383" s="70"/>
      <c r="E1383" s="70"/>
      <c r="F1383" s="70"/>
      <c r="G1383" s="70"/>
      <c r="H1383" s="131"/>
      <c r="I1383" s="3"/>
    </row>
    <row r="1384" spans="1:9" s="93" customFormat="1" ht="9" customHeight="1" x14ac:dyDescent="0.3">
      <c r="A1384" s="91"/>
      <c r="B1384" s="70"/>
      <c r="C1384" s="70"/>
      <c r="D1384" s="70"/>
      <c r="E1384" s="70"/>
      <c r="F1384" s="70"/>
      <c r="G1384" s="70"/>
      <c r="H1384" s="131"/>
      <c r="I1384" s="3"/>
    </row>
    <row r="1385" spans="1:9" s="93" customFormat="1" ht="9" customHeight="1" x14ac:dyDescent="0.3">
      <c r="A1385" s="91"/>
      <c r="B1385" s="70"/>
      <c r="C1385" s="70"/>
      <c r="D1385" s="70"/>
      <c r="E1385" s="70"/>
      <c r="F1385" s="70"/>
      <c r="G1385" s="70"/>
      <c r="H1385" s="131"/>
      <c r="I1385" s="3"/>
    </row>
    <row r="1386" spans="1:9" s="93" customFormat="1" ht="9" customHeight="1" x14ac:dyDescent="0.3">
      <c r="A1386" s="91"/>
      <c r="B1386" s="70"/>
      <c r="C1386" s="70"/>
      <c r="D1386" s="70"/>
      <c r="E1386" s="70"/>
      <c r="F1386" s="70"/>
      <c r="G1386" s="70"/>
      <c r="H1386" s="131"/>
      <c r="I1386" s="3"/>
    </row>
    <row r="1387" spans="1:9" s="93" customFormat="1" ht="9" customHeight="1" x14ac:dyDescent="0.3">
      <c r="A1387" s="91"/>
      <c r="B1387" s="70"/>
      <c r="C1387" s="70"/>
      <c r="D1387" s="70"/>
      <c r="E1387" s="70"/>
      <c r="F1387" s="70"/>
      <c r="G1387" s="70"/>
      <c r="H1387" s="131"/>
      <c r="I1387" s="3"/>
    </row>
    <row r="1388" spans="1:9" s="93" customFormat="1" ht="9" customHeight="1" x14ac:dyDescent="0.3">
      <c r="A1388" s="91"/>
      <c r="B1388" s="70"/>
      <c r="C1388" s="70"/>
      <c r="D1388" s="70"/>
      <c r="E1388" s="70"/>
      <c r="F1388" s="70"/>
      <c r="G1388" s="70"/>
      <c r="H1388" s="131"/>
      <c r="I1388" s="3"/>
    </row>
    <row r="1389" spans="1:9" s="93" customFormat="1" ht="9" customHeight="1" x14ac:dyDescent="0.3">
      <c r="A1389" s="91"/>
      <c r="B1389" s="70"/>
      <c r="C1389" s="70"/>
      <c r="D1389" s="70"/>
      <c r="E1389" s="70"/>
      <c r="F1389" s="70"/>
      <c r="G1389" s="70"/>
      <c r="H1389" s="131"/>
      <c r="I1389" s="3"/>
    </row>
    <row r="1390" spans="1:9" s="93" customFormat="1" ht="9" customHeight="1" x14ac:dyDescent="0.3">
      <c r="A1390" s="91"/>
      <c r="B1390" s="70"/>
      <c r="C1390" s="70"/>
      <c r="D1390" s="70"/>
      <c r="E1390" s="70"/>
      <c r="F1390" s="70"/>
      <c r="G1390" s="70"/>
      <c r="H1390" s="131"/>
      <c r="I1390" s="3"/>
    </row>
    <row r="1391" spans="1:9" s="93" customFormat="1" ht="9" customHeight="1" x14ac:dyDescent="0.3">
      <c r="A1391" s="91"/>
      <c r="B1391" s="70"/>
      <c r="C1391" s="70"/>
      <c r="D1391" s="70"/>
      <c r="E1391" s="70"/>
      <c r="F1391" s="70"/>
      <c r="G1391" s="70"/>
      <c r="H1391" s="131"/>
      <c r="I1391" s="3"/>
    </row>
    <row r="1392" spans="1:9" s="93" customFormat="1" ht="9" customHeight="1" x14ac:dyDescent="0.3">
      <c r="A1392" s="91"/>
      <c r="B1392" s="70"/>
      <c r="C1392" s="70"/>
      <c r="D1392" s="70"/>
      <c r="E1392" s="70"/>
      <c r="F1392" s="70"/>
      <c r="G1392" s="70"/>
      <c r="H1392" s="131"/>
      <c r="I1392" s="3"/>
    </row>
    <row r="1393" spans="1:9" s="93" customFormat="1" ht="9" customHeight="1" x14ac:dyDescent="0.3">
      <c r="A1393" s="91"/>
      <c r="B1393" s="70"/>
      <c r="C1393" s="70"/>
      <c r="D1393" s="70"/>
      <c r="E1393" s="70"/>
      <c r="F1393" s="70"/>
      <c r="G1393" s="70"/>
      <c r="H1393" s="131"/>
      <c r="I1393" s="3"/>
    </row>
    <row r="1394" spans="1:9" s="93" customFormat="1" ht="9" customHeight="1" x14ac:dyDescent="0.3">
      <c r="A1394" s="91"/>
      <c r="B1394" s="70"/>
      <c r="C1394" s="70"/>
      <c r="D1394" s="70"/>
      <c r="E1394" s="70"/>
      <c r="F1394" s="70"/>
      <c r="G1394" s="70"/>
      <c r="H1394" s="131"/>
      <c r="I1394" s="3"/>
    </row>
    <row r="1395" spans="1:9" s="93" customFormat="1" ht="9" customHeight="1" x14ac:dyDescent="0.3">
      <c r="A1395" s="91"/>
      <c r="B1395" s="70"/>
      <c r="C1395" s="70"/>
      <c r="D1395" s="70"/>
      <c r="E1395" s="70"/>
      <c r="F1395" s="70"/>
      <c r="G1395" s="70"/>
      <c r="H1395" s="131"/>
      <c r="I1395" s="3"/>
    </row>
    <row r="1396" spans="1:9" s="93" customFormat="1" ht="9" customHeight="1" x14ac:dyDescent="0.3">
      <c r="A1396" s="91"/>
      <c r="B1396" s="70"/>
      <c r="C1396" s="70"/>
      <c r="D1396" s="70"/>
      <c r="E1396" s="70"/>
      <c r="F1396" s="70"/>
      <c r="G1396" s="70"/>
      <c r="H1396" s="131"/>
      <c r="I1396" s="3"/>
    </row>
    <row r="1397" spans="1:9" s="93" customFormat="1" ht="9" customHeight="1" x14ac:dyDescent="0.3">
      <c r="A1397" s="91"/>
      <c r="B1397" s="70"/>
      <c r="C1397" s="70"/>
      <c r="D1397" s="70"/>
      <c r="E1397" s="70"/>
      <c r="F1397" s="70"/>
      <c r="G1397" s="70"/>
      <c r="H1397" s="131"/>
      <c r="I1397" s="3"/>
    </row>
    <row r="1398" spans="1:9" s="93" customFormat="1" ht="9" customHeight="1" x14ac:dyDescent="0.3">
      <c r="A1398" s="91"/>
      <c r="B1398" s="70"/>
      <c r="C1398" s="70"/>
      <c r="D1398" s="70"/>
      <c r="E1398" s="70"/>
      <c r="F1398" s="70"/>
      <c r="G1398" s="70"/>
      <c r="H1398" s="131"/>
      <c r="I1398" s="3"/>
    </row>
    <row r="1399" spans="1:9" s="93" customFormat="1" ht="9" customHeight="1" x14ac:dyDescent="0.3">
      <c r="A1399" s="91"/>
      <c r="B1399" s="70"/>
      <c r="C1399" s="70"/>
      <c r="D1399" s="70"/>
      <c r="E1399" s="70"/>
      <c r="F1399" s="70"/>
      <c r="G1399" s="70"/>
      <c r="H1399" s="131"/>
      <c r="I1399" s="3"/>
    </row>
    <row r="1400" spans="1:9" s="93" customFormat="1" ht="9" customHeight="1" x14ac:dyDescent="0.3">
      <c r="A1400" s="91"/>
      <c r="B1400" s="70"/>
      <c r="C1400" s="70"/>
      <c r="D1400" s="70"/>
      <c r="E1400" s="70"/>
      <c r="F1400" s="70"/>
      <c r="G1400" s="70"/>
      <c r="H1400" s="131"/>
      <c r="I1400" s="3"/>
    </row>
    <row r="1401" spans="1:9" s="93" customFormat="1" ht="9" customHeight="1" x14ac:dyDescent="0.3">
      <c r="A1401" s="91"/>
      <c r="B1401" s="70"/>
      <c r="C1401" s="70"/>
      <c r="D1401" s="70"/>
      <c r="E1401" s="70"/>
      <c r="F1401" s="70"/>
      <c r="G1401" s="70"/>
      <c r="H1401" s="131"/>
      <c r="I1401" s="3"/>
    </row>
    <row r="1402" spans="1:9" s="93" customFormat="1" ht="9" customHeight="1" x14ac:dyDescent="0.3">
      <c r="A1402" s="91"/>
      <c r="B1402" s="70"/>
      <c r="C1402" s="70"/>
      <c r="D1402" s="70"/>
      <c r="E1402" s="70"/>
      <c r="F1402" s="70"/>
      <c r="G1402" s="70"/>
      <c r="H1402" s="131"/>
      <c r="I1402" s="3"/>
    </row>
    <row r="1403" spans="1:9" s="93" customFormat="1" ht="9" customHeight="1" x14ac:dyDescent="0.3">
      <c r="A1403" s="91"/>
      <c r="B1403" s="70"/>
      <c r="C1403" s="70"/>
      <c r="D1403" s="70"/>
      <c r="E1403" s="70"/>
      <c r="F1403" s="70"/>
      <c r="G1403" s="70"/>
      <c r="H1403" s="131"/>
      <c r="I1403" s="3"/>
    </row>
    <row r="1404" spans="1:9" s="93" customFormat="1" ht="9" customHeight="1" x14ac:dyDescent="0.3">
      <c r="A1404" s="91"/>
      <c r="B1404" s="70"/>
      <c r="C1404" s="70"/>
      <c r="D1404" s="70"/>
      <c r="E1404" s="70"/>
      <c r="F1404" s="70"/>
      <c r="G1404" s="70"/>
      <c r="H1404" s="131"/>
      <c r="I1404" s="3"/>
    </row>
    <row r="1405" spans="1:9" s="93" customFormat="1" ht="9" customHeight="1" x14ac:dyDescent="0.3">
      <c r="A1405" s="91"/>
      <c r="B1405" s="70"/>
      <c r="C1405" s="70"/>
      <c r="D1405" s="70"/>
      <c r="E1405" s="70"/>
      <c r="F1405" s="70"/>
      <c r="G1405" s="70"/>
      <c r="H1405" s="131"/>
      <c r="I1405" s="3"/>
    </row>
    <row r="1406" spans="1:9" s="93" customFormat="1" ht="9" customHeight="1" x14ac:dyDescent="0.3">
      <c r="A1406" s="91"/>
      <c r="B1406" s="70"/>
      <c r="C1406" s="70"/>
      <c r="D1406" s="70"/>
      <c r="E1406" s="70"/>
      <c r="F1406" s="70"/>
      <c r="G1406" s="70"/>
      <c r="H1406" s="131"/>
      <c r="I1406" s="3"/>
    </row>
    <row r="1407" spans="1:9" s="93" customFormat="1" ht="9" customHeight="1" x14ac:dyDescent="0.3">
      <c r="A1407" s="91"/>
      <c r="B1407" s="70"/>
      <c r="C1407" s="70"/>
      <c r="D1407" s="70"/>
      <c r="E1407" s="70"/>
      <c r="F1407" s="70"/>
      <c r="G1407" s="70"/>
      <c r="H1407" s="131"/>
      <c r="I1407" s="3"/>
    </row>
    <row r="1408" spans="1:9" s="93" customFormat="1" ht="9" customHeight="1" x14ac:dyDescent="0.3">
      <c r="A1408" s="91"/>
      <c r="B1408" s="70"/>
      <c r="C1408" s="70"/>
      <c r="D1408" s="70"/>
      <c r="E1408" s="70"/>
      <c r="F1408" s="70"/>
      <c r="G1408" s="70"/>
      <c r="H1408" s="131"/>
      <c r="I1408" s="3"/>
    </row>
    <row r="1409" spans="1:9" s="93" customFormat="1" ht="9" customHeight="1" x14ac:dyDescent="0.3">
      <c r="A1409" s="91"/>
      <c r="B1409" s="70"/>
      <c r="C1409" s="70"/>
      <c r="D1409" s="70"/>
      <c r="E1409" s="70"/>
      <c r="F1409" s="70"/>
      <c r="G1409" s="70"/>
      <c r="H1409" s="131"/>
      <c r="I1409" s="3"/>
    </row>
    <row r="1410" spans="1:9" s="93" customFormat="1" ht="9" customHeight="1" x14ac:dyDescent="0.3">
      <c r="A1410" s="91"/>
      <c r="B1410" s="70"/>
      <c r="C1410" s="70"/>
      <c r="D1410" s="70"/>
      <c r="E1410" s="70"/>
      <c r="F1410" s="70"/>
      <c r="G1410" s="70"/>
      <c r="H1410" s="131"/>
      <c r="I1410" s="3"/>
    </row>
    <row r="1411" spans="1:9" s="93" customFormat="1" ht="9" customHeight="1" x14ac:dyDescent="0.3">
      <c r="A1411" s="91"/>
      <c r="B1411" s="70"/>
      <c r="C1411" s="70"/>
      <c r="D1411" s="70"/>
      <c r="E1411" s="70"/>
      <c r="F1411" s="70"/>
      <c r="G1411" s="70"/>
      <c r="H1411" s="131"/>
      <c r="I1411" s="3"/>
    </row>
    <row r="1412" spans="1:9" s="93" customFormat="1" ht="9" customHeight="1" x14ac:dyDescent="0.3">
      <c r="A1412" s="91"/>
      <c r="B1412" s="70"/>
      <c r="C1412" s="70"/>
      <c r="D1412" s="70"/>
      <c r="E1412" s="70"/>
      <c r="F1412" s="70"/>
      <c r="G1412" s="70"/>
      <c r="H1412" s="131"/>
      <c r="I1412" s="3"/>
    </row>
    <row r="1413" spans="1:9" s="93" customFormat="1" ht="9" customHeight="1" x14ac:dyDescent="0.3">
      <c r="A1413" s="91"/>
      <c r="B1413" s="70"/>
      <c r="C1413" s="70"/>
      <c r="D1413" s="70"/>
      <c r="E1413" s="70"/>
      <c r="F1413" s="70"/>
      <c r="G1413" s="70"/>
      <c r="H1413" s="131"/>
      <c r="I1413" s="3"/>
    </row>
    <row r="1414" spans="1:9" s="93" customFormat="1" ht="9" customHeight="1" x14ac:dyDescent="0.3">
      <c r="A1414" s="91"/>
      <c r="B1414" s="70"/>
      <c r="C1414" s="70"/>
      <c r="D1414" s="70"/>
      <c r="E1414" s="70"/>
      <c r="F1414" s="70"/>
      <c r="G1414" s="70"/>
      <c r="H1414" s="131"/>
      <c r="I1414" s="3"/>
    </row>
    <row r="1415" spans="1:9" s="93" customFormat="1" ht="9" customHeight="1" x14ac:dyDescent="0.3">
      <c r="A1415" s="91"/>
      <c r="B1415" s="70"/>
      <c r="C1415" s="70"/>
      <c r="D1415" s="70"/>
      <c r="E1415" s="70"/>
      <c r="F1415" s="70"/>
      <c r="G1415" s="70"/>
      <c r="H1415" s="131"/>
      <c r="I1415" s="3"/>
    </row>
    <row r="1416" spans="1:9" s="93" customFormat="1" ht="9" customHeight="1" x14ac:dyDescent="0.3">
      <c r="A1416" s="91"/>
      <c r="B1416" s="70"/>
      <c r="C1416" s="70"/>
      <c r="D1416" s="70"/>
      <c r="E1416" s="70"/>
      <c r="F1416" s="70"/>
      <c r="G1416" s="70"/>
      <c r="H1416" s="131"/>
      <c r="I1416" s="3"/>
    </row>
    <row r="1417" spans="1:9" s="93" customFormat="1" ht="9" customHeight="1" x14ac:dyDescent="0.3">
      <c r="A1417" s="91"/>
      <c r="B1417" s="70"/>
      <c r="C1417" s="70"/>
      <c r="D1417" s="70"/>
      <c r="E1417" s="70"/>
      <c r="F1417" s="70"/>
      <c r="G1417" s="70"/>
      <c r="H1417" s="131"/>
      <c r="I1417" s="3"/>
    </row>
    <row r="1418" spans="1:9" s="93" customFormat="1" ht="9" customHeight="1" x14ac:dyDescent="0.3">
      <c r="A1418" s="91"/>
      <c r="B1418" s="70"/>
      <c r="C1418" s="70"/>
      <c r="D1418" s="70"/>
      <c r="E1418" s="70"/>
      <c r="F1418" s="70"/>
      <c r="G1418" s="70"/>
      <c r="H1418" s="131"/>
      <c r="I1418" s="3"/>
    </row>
    <row r="1419" spans="1:9" s="93" customFormat="1" ht="9" customHeight="1" x14ac:dyDescent="0.3">
      <c r="A1419" s="91"/>
      <c r="B1419" s="70"/>
      <c r="C1419" s="70"/>
      <c r="D1419" s="70"/>
      <c r="E1419" s="70"/>
      <c r="F1419" s="70"/>
      <c r="G1419" s="70"/>
      <c r="H1419" s="131"/>
      <c r="I1419" s="3"/>
    </row>
    <row r="1420" spans="1:9" s="93" customFormat="1" ht="9" customHeight="1" x14ac:dyDescent="0.3">
      <c r="A1420" s="91"/>
      <c r="B1420" s="70"/>
      <c r="C1420" s="70"/>
      <c r="D1420" s="70"/>
      <c r="E1420" s="70"/>
      <c r="F1420" s="70"/>
      <c r="G1420" s="70"/>
      <c r="H1420" s="131"/>
      <c r="I1420" s="3"/>
    </row>
    <row r="1421" spans="1:9" s="93" customFormat="1" ht="9" customHeight="1" x14ac:dyDescent="0.3">
      <c r="A1421" s="91"/>
      <c r="B1421" s="70"/>
      <c r="C1421" s="70"/>
      <c r="D1421" s="70"/>
      <c r="E1421" s="70"/>
      <c r="F1421" s="70"/>
      <c r="G1421" s="70"/>
      <c r="H1421" s="131"/>
      <c r="I1421" s="3"/>
    </row>
    <row r="1422" spans="1:9" s="93" customFormat="1" ht="9" customHeight="1" x14ac:dyDescent="0.3">
      <c r="A1422" s="91"/>
      <c r="B1422" s="70"/>
      <c r="C1422" s="70"/>
      <c r="D1422" s="70"/>
      <c r="E1422" s="70"/>
      <c r="F1422" s="70"/>
      <c r="G1422" s="70"/>
      <c r="H1422" s="131"/>
      <c r="I1422" s="3"/>
    </row>
    <row r="1423" spans="1:9" s="93" customFormat="1" ht="9" customHeight="1" x14ac:dyDescent="0.3">
      <c r="A1423" s="91"/>
      <c r="B1423" s="70"/>
      <c r="C1423" s="70"/>
      <c r="D1423" s="70"/>
      <c r="E1423" s="70"/>
      <c r="F1423" s="70"/>
      <c r="G1423" s="70"/>
      <c r="H1423" s="131"/>
      <c r="I1423" s="3"/>
    </row>
    <row r="1424" spans="1:9" s="93" customFormat="1" ht="9" customHeight="1" x14ac:dyDescent="0.3">
      <c r="A1424" s="91"/>
      <c r="B1424" s="70"/>
      <c r="C1424" s="70"/>
      <c r="D1424" s="70"/>
      <c r="E1424" s="70"/>
      <c r="F1424" s="70"/>
      <c r="G1424" s="70"/>
      <c r="H1424" s="131"/>
      <c r="I1424" s="3"/>
    </row>
    <row r="1425" spans="1:9" s="93" customFormat="1" ht="9" customHeight="1" x14ac:dyDescent="0.3">
      <c r="A1425" s="91"/>
      <c r="B1425" s="70"/>
      <c r="C1425" s="70"/>
      <c r="D1425" s="70"/>
      <c r="E1425" s="70"/>
      <c r="F1425" s="70"/>
      <c r="G1425" s="70"/>
      <c r="H1425" s="131"/>
      <c r="I1425" s="3"/>
    </row>
    <row r="1426" spans="1:9" s="93" customFormat="1" ht="9" customHeight="1" x14ac:dyDescent="0.3">
      <c r="A1426" s="91"/>
      <c r="B1426" s="70"/>
      <c r="C1426" s="70"/>
      <c r="D1426" s="70"/>
      <c r="E1426" s="70"/>
      <c r="F1426" s="70"/>
      <c r="G1426" s="70"/>
      <c r="H1426" s="131"/>
      <c r="I1426" s="3"/>
    </row>
    <row r="1427" spans="1:9" s="93" customFormat="1" ht="9" customHeight="1" x14ac:dyDescent="0.3">
      <c r="A1427" s="91"/>
      <c r="B1427" s="70"/>
      <c r="C1427" s="70"/>
      <c r="D1427" s="70"/>
      <c r="E1427" s="70"/>
      <c r="F1427" s="70"/>
      <c r="G1427" s="70"/>
      <c r="H1427" s="131"/>
      <c r="I1427" s="3"/>
    </row>
    <row r="1428" spans="1:9" s="93" customFormat="1" ht="9" customHeight="1" x14ac:dyDescent="0.3">
      <c r="A1428" s="91"/>
      <c r="B1428" s="70"/>
      <c r="C1428" s="70"/>
      <c r="D1428" s="70"/>
      <c r="E1428" s="70"/>
      <c r="F1428" s="70"/>
      <c r="G1428" s="70"/>
      <c r="H1428" s="131"/>
      <c r="I1428" s="3"/>
    </row>
    <row r="1429" spans="1:9" s="93" customFormat="1" ht="9" customHeight="1" x14ac:dyDescent="0.3">
      <c r="A1429" s="91"/>
      <c r="B1429" s="70"/>
      <c r="C1429" s="70"/>
      <c r="D1429" s="70"/>
      <c r="E1429" s="70"/>
      <c r="F1429" s="70"/>
      <c r="G1429" s="70"/>
      <c r="H1429" s="131"/>
      <c r="I1429" s="3"/>
    </row>
    <row r="1430" spans="1:9" s="93" customFormat="1" ht="9" customHeight="1" x14ac:dyDescent="0.3">
      <c r="A1430" s="91"/>
      <c r="B1430" s="70"/>
      <c r="C1430" s="70"/>
      <c r="D1430" s="70"/>
      <c r="E1430" s="70"/>
      <c r="F1430" s="70"/>
      <c r="G1430" s="70"/>
      <c r="H1430" s="131"/>
      <c r="I1430" s="3"/>
    </row>
    <row r="1431" spans="1:9" s="93" customFormat="1" ht="9" customHeight="1" x14ac:dyDescent="0.3">
      <c r="A1431" s="91"/>
      <c r="B1431" s="70"/>
      <c r="C1431" s="70"/>
      <c r="D1431" s="70"/>
      <c r="E1431" s="70"/>
      <c r="F1431" s="70"/>
      <c r="G1431" s="70"/>
      <c r="H1431" s="131"/>
      <c r="I1431" s="3"/>
    </row>
    <row r="1432" spans="1:9" s="93" customFormat="1" ht="9" customHeight="1" x14ac:dyDescent="0.3">
      <c r="A1432" s="91"/>
      <c r="B1432" s="70"/>
      <c r="C1432" s="70"/>
      <c r="D1432" s="70"/>
      <c r="E1432" s="70"/>
      <c r="F1432" s="70"/>
      <c r="G1432" s="70"/>
      <c r="H1432" s="131"/>
      <c r="I1432" s="3"/>
    </row>
    <row r="1433" spans="1:9" s="93" customFormat="1" ht="9" customHeight="1" x14ac:dyDescent="0.3">
      <c r="A1433" s="91"/>
      <c r="B1433" s="70"/>
      <c r="C1433" s="70"/>
      <c r="D1433" s="70"/>
      <c r="E1433" s="70"/>
      <c r="F1433" s="70"/>
      <c r="G1433" s="70"/>
      <c r="H1433" s="131"/>
      <c r="I1433" s="3"/>
    </row>
    <row r="1434" spans="1:9" s="93" customFormat="1" ht="9" customHeight="1" x14ac:dyDescent="0.3">
      <c r="A1434" s="91"/>
      <c r="B1434" s="70"/>
      <c r="C1434" s="70"/>
      <c r="D1434" s="70"/>
      <c r="E1434" s="70"/>
      <c r="F1434" s="70"/>
      <c r="G1434" s="70"/>
      <c r="H1434" s="131"/>
      <c r="I1434" s="3"/>
    </row>
    <row r="1435" spans="1:9" s="93" customFormat="1" ht="9" customHeight="1" x14ac:dyDescent="0.3">
      <c r="A1435" s="91"/>
      <c r="B1435" s="70"/>
      <c r="C1435" s="70"/>
      <c r="D1435" s="70"/>
      <c r="E1435" s="70"/>
      <c r="F1435" s="70"/>
      <c r="G1435" s="70"/>
      <c r="H1435" s="131"/>
      <c r="I1435" s="3"/>
    </row>
    <row r="1436" spans="1:9" s="93" customFormat="1" ht="9" customHeight="1" x14ac:dyDescent="0.3">
      <c r="A1436" s="91"/>
      <c r="B1436" s="70"/>
      <c r="C1436" s="70"/>
      <c r="D1436" s="70"/>
      <c r="E1436" s="70"/>
      <c r="F1436" s="70"/>
      <c r="G1436" s="70"/>
      <c r="H1436" s="131"/>
      <c r="I1436" s="3"/>
    </row>
    <row r="1437" spans="1:9" s="93" customFormat="1" ht="9" customHeight="1" x14ac:dyDescent="0.3">
      <c r="A1437" s="91"/>
      <c r="B1437" s="70"/>
      <c r="C1437" s="70"/>
      <c r="D1437" s="70"/>
      <c r="E1437" s="70"/>
      <c r="F1437" s="70"/>
      <c r="G1437" s="70"/>
      <c r="H1437" s="131"/>
      <c r="I1437" s="3"/>
    </row>
    <row r="1438" spans="1:9" s="93" customFormat="1" ht="9" customHeight="1" x14ac:dyDescent="0.3">
      <c r="A1438" s="91"/>
      <c r="B1438" s="70"/>
      <c r="C1438" s="70"/>
      <c r="D1438" s="70"/>
      <c r="E1438" s="70"/>
      <c r="F1438" s="70"/>
      <c r="G1438" s="70"/>
      <c r="H1438" s="131"/>
      <c r="I1438" s="3"/>
    </row>
    <row r="1439" spans="1:9" s="93" customFormat="1" ht="9" customHeight="1" x14ac:dyDescent="0.3">
      <c r="A1439" s="91"/>
      <c r="B1439" s="70"/>
      <c r="C1439" s="70"/>
      <c r="D1439" s="70"/>
      <c r="E1439" s="70"/>
      <c r="F1439" s="70"/>
      <c r="G1439" s="70"/>
      <c r="H1439" s="131"/>
      <c r="I1439" s="3"/>
    </row>
    <row r="1440" spans="1:9" s="93" customFormat="1" ht="9" customHeight="1" x14ac:dyDescent="0.3">
      <c r="A1440" s="91"/>
      <c r="B1440" s="70"/>
      <c r="C1440" s="70"/>
      <c r="D1440" s="70"/>
      <c r="E1440" s="70"/>
      <c r="F1440" s="70"/>
      <c r="G1440" s="70"/>
      <c r="H1440" s="131"/>
      <c r="I1440" s="3"/>
    </row>
    <row r="1441" spans="1:9" s="93" customFormat="1" ht="9" customHeight="1" x14ac:dyDescent="0.3">
      <c r="A1441" s="91"/>
      <c r="B1441" s="70"/>
      <c r="C1441" s="70"/>
      <c r="D1441" s="70"/>
      <c r="E1441" s="70"/>
      <c r="F1441" s="70"/>
      <c r="G1441" s="70"/>
      <c r="H1441" s="131"/>
      <c r="I1441" s="3"/>
    </row>
    <row r="1442" spans="1:9" s="93" customFormat="1" ht="9" customHeight="1" x14ac:dyDescent="0.3">
      <c r="A1442" s="91"/>
      <c r="B1442" s="70"/>
      <c r="C1442" s="70"/>
      <c r="D1442" s="70"/>
      <c r="E1442" s="70"/>
      <c r="F1442" s="70"/>
      <c r="G1442" s="70"/>
      <c r="H1442" s="131"/>
      <c r="I1442" s="3"/>
    </row>
    <row r="1443" spans="1:9" s="93" customFormat="1" ht="9" customHeight="1" x14ac:dyDescent="0.3">
      <c r="A1443" s="91"/>
      <c r="B1443" s="70"/>
      <c r="C1443" s="70"/>
      <c r="D1443" s="70"/>
      <c r="E1443" s="70"/>
      <c r="F1443" s="70"/>
      <c r="G1443" s="70"/>
      <c r="H1443" s="131"/>
      <c r="I1443" s="3"/>
    </row>
    <row r="1444" spans="1:9" s="93" customFormat="1" ht="9" customHeight="1" x14ac:dyDescent="0.3">
      <c r="A1444" s="91"/>
      <c r="B1444" s="70"/>
      <c r="C1444" s="70"/>
      <c r="D1444" s="70"/>
      <c r="E1444" s="70"/>
      <c r="F1444" s="70"/>
      <c r="G1444" s="70"/>
      <c r="H1444" s="131"/>
      <c r="I1444" s="3"/>
    </row>
    <row r="1445" spans="1:9" s="93" customFormat="1" ht="9" customHeight="1" x14ac:dyDescent="0.3">
      <c r="A1445" s="91"/>
      <c r="B1445" s="70"/>
      <c r="C1445" s="70"/>
      <c r="D1445" s="70"/>
      <c r="E1445" s="70"/>
      <c r="F1445" s="70"/>
      <c r="G1445" s="70"/>
      <c r="H1445" s="131"/>
      <c r="I1445" s="3"/>
    </row>
    <row r="1446" spans="1:9" s="93" customFormat="1" ht="9" customHeight="1" x14ac:dyDescent="0.3">
      <c r="A1446" s="91"/>
      <c r="B1446" s="70"/>
      <c r="C1446" s="70"/>
      <c r="D1446" s="70"/>
      <c r="E1446" s="70"/>
      <c r="F1446" s="70"/>
      <c r="G1446" s="70"/>
      <c r="H1446" s="131"/>
      <c r="I1446" s="3"/>
    </row>
    <row r="1447" spans="1:9" s="93" customFormat="1" ht="9" customHeight="1" x14ac:dyDescent="0.3">
      <c r="A1447" s="91"/>
      <c r="B1447" s="70"/>
      <c r="C1447" s="70"/>
      <c r="D1447" s="70"/>
      <c r="E1447" s="70"/>
      <c r="F1447" s="70"/>
      <c r="G1447" s="70"/>
      <c r="H1447" s="131"/>
      <c r="I1447" s="3"/>
    </row>
    <row r="1448" spans="1:9" s="93" customFormat="1" ht="9" customHeight="1" x14ac:dyDescent="0.3">
      <c r="A1448" s="91"/>
      <c r="B1448" s="70"/>
      <c r="C1448" s="70"/>
      <c r="D1448" s="70"/>
      <c r="E1448" s="70"/>
      <c r="F1448" s="70"/>
      <c r="G1448" s="70"/>
      <c r="H1448" s="131"/>
      <c r="I1448" s="3"/>
    </row>
    <row r="1449" spans="1:9" s="93" customFormat="1" ht="9" customHeight="1" x14ac:dyDescent="0.3">
      <c r="A1449" s="91"/>
      <c r="B1449" s="70"/>
      <c r="C1449" s="70"/>
      <c r="D1449" s="70"/>
      <c r="E1449" s="70"/>
      <c r="F1449" s="70"/>
      <c r="G1449" s="70"/>
      <c r="H1449" s="131"/>
      <c r="I1449" s="3"/>
    </row>
    <row r="1450" spans="1:9" s="93" customFormat="1" ht="9" customHeight="1" x14ac:dyDescent="0.3">
      <c r="A1450" s="91"/>
      <c r="B1450" s="70"/>
      <c r="C1450" s="70"/>
      <c r="D1450" s="70"/>
      <c r="E1450" s="70"/>
      <c r="F1450" s="70"/>
      <c r="G1450" s="70"/>
      <c r="H1450" s="131"/>
      <c r="I1450" s="3"/>
    </row>
    <row r="1451" spans="1:9" s="93" customFormat="1" ht="9" customHeight="1" x14ac:dyDescent="0.3">
      <c r="A1451" s="91"/>
      <c r="B1451" s="70"/>
      <c r="C1451" s="70"/>
      <c r="D1451" s="70"/>
      <c r="E1451" s="70"/>
      <c r="F1451" s="70"/>
      <c r="G1451" s="70"/>
      <c r="H1451" s="131"/>
      <c r="I1451" s="3"/>
    </row>
    <row r="1452" spans="1:9" s="93" customFormat="1" ht="9" customHeight="1" x14ac:dyDescent="0.3">
      <c r="A1452" s="91"/>
      <c r="B1452" s="70"/>
      <c r="C1452" s="70"/>
      <c r="D1452" s="70"/>
      <c r="E1452" s="70"/>
      <c r="F1452" s="70"/>
      <c r="G1452" s="70"/>
      <c r="H1452" s="131"/>
      <c r="I1452" s="3"/>
    </row>
    <row r="1453" spans="1:9" s="93" customFormat="1" ht="9" customHeight="1" x14ac:dyDescent="0.3">
      <c r="A1453" s="91"/>
      <c r="B1453" s="70"/>
      <c r="C1453" s="70"/>
      <c r="D1453" s="70"/>
      <c r="E1453" s="70"/>
      <c r="F1453" s="70"/>
      <c r="G1453" s="70"/>
      <c r="H1453" s="131"/>
      <c r="I1453" s="3"/>
    </row>
    <row r="1454" spans="1:9" s="93" customFormat="1" ht="9" customHeight="1" x14ac:dyDescent="0.3">
      <c r="A1454" s="91"/>
      <c r="B1454" s="70"/>
      <c r="C1454" s="70"/>
      <c r="D1454" s="70"/>
      <c r="E1454" s="70"/>
      <c r="F1454" s="70"/>
      <c r="G1454" s="70"/>
      <c r="H1454" s="131"/>
      <c r="I1454" s="3"/>
    </row>
    <row r="1455" spans="1:9" s="93" customFormat="1" ht="9" customHeight="1" x14ac:dyDescent="0.3">
      <c r="A1455" s="91"/>
      <c r="B1455" s="70"/>
      <c r="C1455" s="70"/>
      <c r="D1455" s="70"/>
      <c r="E1455" s="70"/>
      <c r="F1455" s="70"/>
      <c r="G1455" s="70"/>
      <c r="H1455" s="131"/>
      <c r="I1455" s="3"/>
    </row>
    <row r="1456" spans="1:9" s="93" customFormat="1" ht="9" customHeight="1" x14ac:dyDescent="0.3">
      <c r="A1456" s="91"/>
      <c r="B1456" s="70"/>
      <c r="C1456" s="70"/>
      <c r="D1456" s="70"/>
      <c r="E1456" s="70"/>
      <c r="F1456" s="70"/>
      <c r="G1456" s="70"/>
      <c r="H1456" s="131"/>
      <c r="I1456" s="3"/>
    </row>
    <row r="1457" spans="1:9" s="93" customFormat="1" ht="9" customHeight="1" x14ac:dyDescent="0.3">
      <c r="A1457" s="91"/>
      <c r="B1457" s="70"/>
      <c r="C1457" s="70"/>
      <c r="D1457" s="70"/>
      <c r="E1457" s="70"/>
      <c r="F1457" s="70"/>
      <c r="G1457" s="70"/>
      <c r="H1457" s="131"/>
      <c r="I1457" s="3"/>
    </row>
    <row r="1458" spans="1:9" s="93" customFormat="1" ht="9" customHeight="1" x14ac:dyDescent="0.3">
      <c r="A1458" s="91"/>
      <c r="B1458" s="70"/>
      <c r="C1458" s="70"/>
      <c r="D1458" s="70"/>
      <c r="E1458" s="70"/>
      <c r="F1458" s="70"/>
      <c r="G1458" s="70"/>
      <c r="H1458" s="131"/>
      <c r="I1458" s="3"/>
    </row>
    <row r="1459" spans="1:9" s="93" customFormat="1" ht="9" customHeight="1" x14ac:dyDescent="0.3">
      <c r="A1459" s="91"/>
      <c r="B1459" s="70"/>
      <c r="C1459" s="70"/>
      <c r="D1459" s="70"/>
      <c r="E1459" s="70"/>
      <c r="F1459" s="70"/>
      <c r="G1459" s="70"/>
      <c r="H1459" s="131"/>
      <c r="I1459" s="3"/>
    </row>
    <row r="1460" spans="1:9" s="93" customFormat="1" ht="9" customHeight="1" x14ac:dyDescent="0.3">
      <c r="A1460" s="91"/>
      <c r="B1460" s="70"/>
      <c r="C1460" s="70"/>
      <c r="D1460" s="70"/>
      <c r="E1460" s="70"/>
      <c r="F1460" s="70"/>
      <c r="G1460" s="70"/>
      <c r="H1460" s="131"/>
      <c r="I1460" s="3"/>
    </row>
    <row r="1461" spans="1:9" s="93" customFormat="1" ht="9" customHeight="1" x14ac:dyDescent="0.3">
      <c r="A1461" s="91"/>
      <c r="B1461" s="70"/>
      <c r="C1461" s="70"/>
      <c r="D1461" s="70"/>
      <c r="E1461" s="70"/>
      <c r="F1461" s="70"/>
      <c r="G1461" s="70"/>
      <c r="H1461" s="131"/>
      <c r="I1461" s="3"/>
    </row>
    <row r="1462" spans="1:9" s="93" customFormat="1" ht="9" customHeight="1" x14ac:dyDescent="0.3">
      <c r="A1462" s="91"/>
      <c r="B1462" s="70"/>
      <c r="C1462" s="70"/>
      <c r="D1462" s="70"/>
      <c r="E1462" s="70"/>
      <c r="F1462" s="70"/>
      <c r="G1462" s="70"/>
      <c r="H1462" s="131"/>
      <c r="I1462" s="3"/>
    </row>
    <row r="1463" spans="1:9" s="93" customFormat="1" ht="9" customHeight="1" x14ac:dyDescent="0.3">
      <c r="A1463" s="91"/>
      <c r="B1463" s="70"/>
      <c r="C1463" s="70"/>
      <c r="D1463" s="70"/>
      <c r="E1463" s="70"/>
      <c r="F1463" s="70"/>
      <c r="G1463" s="70"/>
      <c r="H1463" s="131"/>
      <c r="I1463" s="3"/>
    </row>
    <row r="1464" spans="1:9" s="93" customFormat="1" ht="9" customHeight="1" x14ac:dyDescent="0.3">
      <c r="A1464" s="91"/>
      <c r="B1464" s="70"/>
      <c r="C1464" s="70"/>
      <c r="D1464" s="70"/>
      <c r="E1464" s="70"/>
      <c r="F1464" s="70"/>
      <c r="G1464" s="70"/>
      <c r="H1464" s="131"/>
      <c r="I1464" s="3"/>
    </row>
    <row r="1465" spans="1:9" s="93" customFormat="1" ht="9" customHeight="1" x14ac:dyDescent="0.3">
      <c r="A1465" s="91"/>
      <c r="B1465" s="70"/>
      <c r="C1465" s="70"/>
      <c r="D1465" s="70"/>
      <c r="E1465" s="70"/>
      <c r="F1465" s="70"/>
      <c r="G1465" s="70"/>
      <c r="H1465" s="131"/>
      <c r="I1465" s="3"/>
    </row>
    <row r="1466" spans="1:9" s="93" customFormat="1" ht="9" customHeight="1" x14ac:dyDescent="0.3">
      <c r="A1466" s="91"/>
      <c r="B1466" s="70"/>
      <c r="C1466" s="70"/>
      <c r="D1466" s="70"/>
      <c r="E1466" s="70"/>
      <c r="F1466" s="70"/>
      <c r="G1466" s="70"/>
      <c r="H1466" s="131"/>
      <c r="I1466" s="3"/>
    </row>
    <row r="1467" spans="1:9" s="93" customFormat="1" ht="9" customHeight="1" x14ac:dyDescent="0.3">
      <c r="A1467" s="91"/>
      <c r="B1467" s="70"/>
      <c r="C1467" s="70"/>
      <c r="D1467" s="70"/>
      <c r="E1467" s="70"/>
      <c r="F1467" s="70"/>
      <c r="G1467" s="70"/>
      <c r="H1467" s="131"/>
      <c r="I1467" s="3"/>
    </row>
    <row r="1468" spans="1:9" s="93" customFormat="1" ht="9" customHeight="1" x14ac:dyDescent="0.3">
      <c r="A1468" s="91"/>
      <c r="B1468" s="70"/>
      <c r="C1468" s="70"/>
      <c r="D1468" s="70"/>
      <c r="E1468" s="70"/>
      <c r="F1468" s="70"/>
      <c r="G1468" s="70"/>
      <c r="H1468" s="131"/>
      <c r="I1468" s="3"/>
    </row>
    <row r="1469" spans="1:9" s="93" customFormat="1" ht="9" customHeight="1" x14ac:dyDescent="0.3">
      <c r="A1469" s="91"/>
      <c r="B1469" s="70"/>
      <c r="C1469" s="70"/>
      <c r="D1469" s="70"/>
      <c r="E1469" s="70"/>
      <c r="F1469" s="70"/>
      <c r="G1469" s="70"/>
      <c r="H1469" s="131"/>
      <c r="I1469" s="3"/>
    </row>
    <row r="1470" spans="1:9" s="93" customFormat="1" ht="9" customHeight="1" x14ac:dyDescent="0.3">
      <c r="A1470" s="91"/>
      <c r="B1470" s="70"/>
      <c r="C1470" s="70"/>
      <c r="D1470" s="70"/>
      <c r="E1470" s="70"/>
      <c r="F1470" s="70"/>
      <c r="G1470" s="70"/>
      <c r="H1470" s="131"/>
      <c r="I1470" s="3"/>
    </row>
    <row r="1471" spans="1:9" s="93" customFormat="1" ht="9" customHeight="1" x14ac:dyDescent="0.3">
      <c r="A1471" s="91"/>
      <c r="B1471" s="70"/>
      <c r="C1471" s="70"/>
      <c r="D1471" s="70"/>
      <c r="E1471" s="70"/>
      <c r="F1471" s="70"/>
      <c r="G1471" s="70"/>
      <c r="H1471" s="131"/>
      <c r="I1471" s="3"/>
    </row>
    <row r="1472" spans="1:9" s="93" customFormat="1" ht="9" customHeight="1" x14ac:dyDescent="0.3">
      <c r="A1472" s="91"/>
      <c r="B1472" s="70"/>
      <c r="C1472" s="70"/>
      <c r="D1472" s="70"/>
      <c r="E1472" s="70"/>
      <c r="F1472" s="70"/>
      <c r="G1472" s="70"/>
      <c r="H1472" s="131"/>
      <c r="I1472" s="3"/>
    </row>
    <row r="1473" spans="1:9" s="93" customFormat="1" ht="9" customHeight="1" x14ac:dyDescent="0.3">
      <c r="A1473" s="91"/>
      <c r="B1473" s="70"/>
      <c r="C1473" s="70"/>
      <c r="D1473" s="70"/>
      <c r="E1473" s="70"/>
      <c r="F1473" s="70"/>
      <c r="G1473" s="70"/>
      <c r="H1473" s="131"/>
      <c r="I1473" s="3"/>
    </row>
    <row r="1474" spans="1:9" s="93" customFormat="1" ht="9" customHeight="1" x14ac:dyDescent="0.3">
      <c r="A1474" s="91"/>
      <c r="B1474" s="70"/>
      <c r="C1474" s="70"/>
      <c r="D1474" s="70"/>
      <c r="E1474" s="70"/>
      <c r="F1474" s="70"/>
      <c r="G1474" s="70"/>
      <c r="H1474" s="131"/>
      <c r="I1474" s="3"/>
    </row>
    <row r="1475" spans="1:9" s="93" customFormat="1" ht="9" customHeight="1" x14ac:dyDescent="0.3">
      <c r="A1475" s="91"/>
      <c r="B1475" s="70"/>
      <c r="C1475" s="70"/>
      <c r="D1475" s="70"/>
      <c r="E1475" s="70"/>
      <c r="F1475" s="70"/>
      <c r="G1475" s="70"/>
      <c r="H1475" s="131"/>
      <c r="I1475" s="3"/>
    </row>
    <row r="1476" spans="1:9" s="93" customFormat="1" ht="9" customHeight="1" x14ac:dyDescent="0.3">
      <c r="A1476" s="91"/>
      <c r="B1476" s="70"/>
      <c r="C1476" s="70"/>
      <c r="D1476" s="70"/>
      <c r="E1476" s="70"/>
      <c r="F1476" s="70"/>
      <c r="G1476" s="70"/>
      <c r="H1476" s="131"/>
      <c r="I1476" s="3"/>
    </row>
    <row r="1477" spans="1:9" s="93" customFormat="1" ht="9" customHeight="1" x14ac:dyDescent="0.3">
      <c r="A1477" s="91"/>
      <c r="B1477" s="70"/>
      <c r="C1477" s="70"/>
      <c r="D1477" s="70"/>
      <c r="E1477" s="70"/>
      <c r="F1477" s="70"/>
      <c r="G1477" s="70"/>
      <c r="H1477" s="131"/>
      <c r="I1477" s="3"/>
    </row>
    <row r="1478" spans="1:9" s="93" customFormat="1" ht="9" customHeight="1" x14ac:dyDescent="0.3">
      <c r="A1478" s="91"/>
      <c r="B1478" s="70"/>
      <c r="C1478" s="70"/>
      <c r="D1478" s="70"/>
      <c r="E1478" s="70"/>
      <c r="F1478" s="70"/>
      <c r="G1478" s="70"/>
      <c r="H1478" s="131"/>
      <c r="I1478" s="3"/>
    </row>
    <row r="1479" spans="1:9" s="93" customFormat="1" ht="9" customHeight="1" x14ac:dyDescent="0.3">
      <c r="A1479" s="91"/>
      <c r="B1479" s="70"/>
      <c r="C1479" s="70"/>
      <c r="D1479" s="70"/>
      <c r="E1479" s="70"/>
      <c r="F1479" s="70"/>
      <c r="G1479" s="70"/>
      <c r="H1479" s="131"/>
      <c r="I1479" s="3"/>
    </row>
    <row r="1480" spans="1:9" s="93" customFormat="1" ht="9" customHeight="1" x14ac:dyDescent="0.3">
      <c r="A1480" s="91"/>
      <c r="B1480" s="70"/>
      <c r="C1480" s="70"/>
      <c r="D1480" s="70"/>
      <c r="E1480" s="70"/>
      <c r="F1480" s="70"/>
      <c r="G1480" s="70"/>
      <c r="H1480" s="131"/>
      <c r="I1480" s="3"/>
    </row>
    <row r="1481" spans="1:9" s="93" customFormat="1" ht="9" customHeight="1" x14ac:dyDescent="0.3">
      <c r="A1481" s="91"/>
      <c r="B1481" s="70"/>
      <c r="C1481" s="70"/>
      <c r="D1481" s="70"/>
      <c r="E1481" s="70"/>
      <c r="F1481" s="70"/>
      <c r="G1481" s="70"/>
      <c r="H1481" s="131"/>
      <c r="I1481" s="3"/>
    </row>
    <row r="1482" spans="1:9" s="93" customFormat="1" ht="9" customHeight="1" x14ac:dyDescent="0.3">
      <c r="A1482" s="91"/>
      <c r="B1482" s="70"/>
      <c r="C1482" s="70"/>
      <c r="D1482" s="70"/>
      <c r="E1482" s="70"/>
      <c r="F1482" s="70"/>
      <c r="G1482" s="70"/>
      <c r="H1482" s="131"/>
      <c r="I1482" s="3"/>
    </row>
    <row r="1483" spans="1:9" s="93" customFormat="1" ht="9" customHeight="1" x14ac:dyDescent="0.3">
      <c r="A1483" s="91"/>
      <c r="B1483" s="70"/>
      <c r="C1483" s="70"/>
      <c r="D1483" s="70"/>
      <c r="E1483" s="70"/>
      <c r="F1483" s="70"/>
      <c r="G1483" s="70"/>
      <c r="H1483" s="131"/>
      <c r="I1483" s="3"/>
    </row>
    <row r="1484" spans="1:9" s="93" customFormat="1" ht="9" customHeight="1" x14ac:dyDescent="0.3">
      <c r="A1484" s="91"/>
      <c r="B1484" s="70"/>
      <c r="C1484" s="70"/>
      <c r="D1484" s="70"/>
      <c r="E1484" s="70"/>
      <c r="F1484" s="70"/>
      <c r="G1484" s="70"/>
      <c r="H1484" s="131"/>
      <c r="I1484" s="3"/>
    </row>
    <row r="1485" spans="1:9" s="93" customFormat="1" ht="9" customHeight="1" x14ac:dyDescent="0.3">
      <c r="A1485" s="91"/>
      <c r="B1485" s="70"/>
      <c r="C1485" s="70"/>
      <c r="D1485" s="70"/>
      <c r="E1485" s="70"/>
      <c r="F1485" s="70"/>
      <c r="G1485" s="70"/>
      <c r="H1485" s="131"/>
      <c r="I1485" s="3"/>
    </row>
    <row r="1486" spans="1:9" s="93" customFormat="1" ht="9" customHeight="1" x14ac:dyDescent="0.3">
      <c r="A1486" s="91"/>
      <c r="B1486" s="70"/>
      <c r="C1486" s="70"/>
      <c r="D1486" s="70"/>
      <c r="E1486" s="70"/>
      <c r="F1486" s="70"/>
      <c r="G1486" s="70"/>
      <c r="H1486" s="131"/>
      <c r="I1486" s="3"/>
    </row>
    <row r="1487" spans="1:9" s="93" customFormat="1" ht="9" customHeight="1" x14ac:dyDescent="0.3">
      <c r="A1487" s="91"/>
      <c r="B1487" s="70"/>
      <c r="C1487" s="70"/>
      <c r="D1487" s="70"/>
      <c r="E1487" s="70"/>
      <c r="F1487" s="70"/>
      <c r="G1487" s="70"/>
      <c r="H1487" s="131"/>
      <c r="I1487" s="3"/>
    </row>
    <row r="1488" spans="1:9" s="93" customFormat="1" ht="9" customHeight="1" x14ac:dyDescent="0.3">
      <c r="A1488" s="91"/>
      <c r="B1488" s="70"/>
      <c r="C1488" s="70"/>
      <c r="D1488" s="70"/>
      <c r="E1488" s="70"/>
      <c r="F1488" s="70"/>
      <c r="G1488" s="70"/>
      <c r="H1488" s="131"/>
      <c r="I1488" s="3"/>
    </row>
    <row r="1489" spans="1:9" s="93" customFormat="1" ht="9" customHeight="1" x14ac:dyDescent="0.3">
      <c r="A1489" s="91"/>
      <c r="B1489" s="70"/>
      <c r="C1489" s="70"/>
      <c r="D1489" s="70"/>
      <c r="E1489" s="70"/>
      <c r="F1489" s="70"/>
      <c r="G1489" s="70"/>
      <c r="H1489" s="131"/>
      <c r="I1489" s="3"/>
    </row>
    <row r="1490" spans="1:9" s="93" customFormat="1" ht="9" customHeight="1" x14ac:dyDescent="0.3">
      <c r="A1490" s="91"/>
      <c r="B1490" s="70"/>
      <c r="C1490" s="70"/>
      <c r="D1490" s="70"/>
      <c r="E1490" s="70"/>
      <c r="F1490" s="70"/>
      <c r="G1490" s="70"/>
      <c r="H1490" s="131"/>
      <c r="I1490" s="3"/>
    </row>
    <row r="1491" spans="1:9" s="93" customFormat="1" ht="9" customHeight="1" x14ac:dyDescent="0.3">
      <c r="A1491" s="91"/>
      <c r="B1491" s="70"/>
      <c r="C1491" s="70"/>
      <c r="D1491" s="70"/>
      <c r="E1491" s="70"/>
      <c r="F1491" s="70"/>
      <c r="G1491" s="70"/>
      <c r="H1491" s="131"/>
      <c r="I1491" s="3"/>
    </row>
    <row r="1492" spans="1:9" s="93" customFormat="1" ht="9" customHeight="1" x14ac:dyDescent="0.3">
      <c r="A1492" s="91"/>
      <c r="B1492" s="70"/>
      <c r="C1492" s="70"/>
      <c r="D1492" s="70"/>
      <c r="E1492" s="70"/>
      <c r="F1492" s="70"/>
      <c r="G1492" s="70"/>
      <c r="H1492" s="131"/>
      <c r="I1492" s="3"/>
    </row>
    <row r="1493" spans="1:9" s="93" customFormat="1" ht="9" customHeight="1" x14ac:dyDescent="0.3">
      <c r="A1493" s="91"/>
      <c r="B1493" s="70"/>
      <c r="C1493" s="70"/>
      <c r="D1493" s="70"/>
      <c r="E1493" s="70"/>
      <c r="F1493" s="70"/>
      <c r="G1493" s="70"/>
      <c r="H1493" s="131"/>
      <c r="I1493" s="3"/>
    </row>
    <row r="1494" spans="1:9" s="93" customFormat="1" ht="9" customHeight="1" x14ac:dyDescent="0.3">
      <c r="A1494" s="91"/>
      <c r="B1494" s="70"/>
      <c r="C1494" s="70"/>
      <c r="D1494" s="70"/>
      <c r="E1494" s="70"/>
      <c r="F1494" s="70"/>
      <c r="G1494" s="70"/>
      <c r="H1494" s="131"/>
      <c r="I1494" s="3"/>
    </row>
    <row r="1495" spans="1:9" s="93" customFormat="1" ht="9" customHeight="1" x14ac:dyDescent="0.3">
      <c r="A1495" s="91"/>
      <c r="B1495" s="70"/>
      <c r="C1495" s="70"/>
      <c r="D1495" s="70"/>
      <c r="E1495" s="70"/>
      <c r="F1495" s="70"/>
      <c r="G1495" s="70"/>
      <c r="H1495" s="131"/>
      <c r="I1495" s="3"/>
    </row>
    <row r="1496" spans="1:9" s="93" customFormat="1" ht="9" customHeight="1" x14ac:dyDescent="0.3">
      <c r="A1496" s="91"/>
      <c r="B1496" s="70"/>
      <c r="C1496" s="70"/>
      <c r="D1496" s="70"/>
      <c r="E1496" s="70"/>
      <c r="F1496" s="70"/>
      <c r="G1496" s="70"/>
      <c r="H1496" s="131"/>
      <c r="I1496" s="3"/>
    </row>
    <row r="1497" spans="1:9" s="93" customFormat="1" ht="9" customHeight="1" x14ac:dyDescent="0.3">
      <c r="A1497" s="91"/>
      <c r="B1497" s="70"/>
      <c r="C1497" s="70"/>
      <c r="D1497" s="70"/>
      <c r="E1497" s="70"/>
      <c r="F1497" s="70"/>
      <c r="G1497" s="70"/>
      <c r="H1497" s="131"/>
      <c r="I1497" s="3"/>
    </row>
    <row r="1498" spans="1:9" s="93" customFormat="1" ht="9" customHeight="1" x14ac:dyDescent="0.3">
      <c r="A1498" s="91"/>
      <c r="B1498" s="70"/>
      <c r="C1498" s="70"/>
      <c r="D1498" s="70"/>
      <c r="E1498" s="70"/>
      <c r="F1498" s="70"/>
      <c r="G1498" s="70"/>
      <c r="H1498" s="131"/>
      <c r="I1498" s="3"/>
    </row>
    <row r="1499" spans="1:9" s="93" customFormat="1" ht="9" customHeight="1" x14ac:dyDescent="0.3">
      <c r="A1499" s="91"/>
      <c r="B1499" s="70"/>
      <c r="C1499" s="70"/>
      <c r="D1499" s="70"/>
      <c r="E1499" s="70"/>
      <c r="F1499" s="70"/>
      <c r="G1499" s="70"/>
      <c r="H1499" s="131"/>
      <c r="I1499" s="3"/>
    </row>
    <row r="1500" spans="1:9" s="93" customFormat="1" ht="9" customHeight="1" x14ac:dyDescent="0.3">
      <c r="A1500" s="91"/>
      <c r="B1500" s="70"/>
      <c r="C1500" s="70"/>
      <c r="D1500" s="70"/>
      <c r="E1500" s="70"/>
      <c r="F1500" s="70"/>
      <c r="G1500" s="70"/>
      <c r="H1500" s="131"/>
      <c r="I1500" s="3"/>
    </row>
    <row r="1501" spans="1:9" s="93" customFormat="1" ht="9" customHeight="1" x14ac:dyDescent="0.3">
      <c r="A1501" s="91"/>
      <c r="B1501" s="70"/>
      <c r="C1501" s="70"/>
      <c r="D1501" s="70"/>
      <c r="E1501" s="70"/>
      <c r="F1501" s="70"/>
      <c r="G1501" s="70"/>
      <c r="H1501" s="131"/>
      <c r="I1501" s="3"/>
    </row>
    <row r="1502" spans="1:9" s="93" customFormat="1" ht="9" customHeight="1" x14ac:dyDescent="0.3">
      <c r="A1502" s="91"/>
      <c r="B1502" s="70"/>
      <c r="C1502" s="70"/>
      <c r="D1502" s="70"/>
      <c r="E1502" s="70"/>
      <c r="F1502" s="70"/>
      <c r="G1502" s="70"/>
      <c r="H1502" s="131"/>
      <c r="I1502" s="3"/>
    </row>
    <row r="1503" spans="1:9" s="93" customFormat="1" ht="9" customHeight="1" x14ac:dyDescent="0.3">
      <c r="A1503" s="91"/>
      <c r="B1503" s="70"/>
      <c r="C1503" s="70"/>
      <c r="D1503" s="70"/>
      <c r="E1503" s="70"/>
      <c r="F1503" s="70"/>
      <c r="G1503" s="70"/>
      <c r="H1503" s="131"/>
      <c r="I1503" s="3"/>
    </row>
    <row r="1504" spans="1:9" s="93" customFormat="1" ht="9" customHeight="1" x14ac:dyDescent="0.3">
      <c r="A1504" s="91"/>
      <c r="B1504" s="70"/>
      <c r="C1504" s="70"/>
      <c r="D1504" s="70"/>
      <c r="E1504" s="70"/>
      <c r="F1504" s="70"/>
      <c r="G1504" s="70"/>
      <c r="H1504" s="131"/>
      <c r="I1504" s="3"/>
    </row>
    <row r="1505" spans="1:9" s="93" customFormat="1" ht="9" customHeight="1" x14ac:dyDescent="0.3">
      <c r="A1505" s="91"/>
      <c r="B1505" s="70"/>
      <c r="C1505" s="70"/>
      <c r="D1505" s="70"/>
      <c r="E1505" s="70"/>
      <c r="F1505" s="70"/>
      <c r="G1505" s="70"/>
      <c r="H1505" s="131"/>
      <c r="I1505" s="3"/>
    </row>
    <row r="1506" spans="1:9" s="93" customFormat="1" ht="9" customHeight="1" x14ac:dyDescent="0.3">
      <c r="A1506" s="91"/>
      <c r="B1506" s="70"/>
      <c r="C1506" s="70"/>
      <c r="D1506" s="70"/>
      <c r="E1506" s="70"/>
      <c r="F1506" s="70"/>
      <c r="G1506" s="70"/>
      <c r="H1506" s="131"/>
      <c r="I1506" s="3"/>
    </row>
    <row r="1507" spans="1:9" s="93" customFormat="1" ht="9" customHeight="1" x14ac:dyDescent="0.3">
      <c r="A1507" s="91"/>
      <c r="B1507" s="70"/>
      <c r="C1507" s="70"/>
      <c r="D1507" s="70"/>
      <c r="E1507" s="70"/>
      <c r="F1507" s="70"/>
      <c r="G1507" s="70"/>
      <c r="H1507" s="131"/>
      <c r="I1507" s="3"/>
    </row>
    <row r="1508" spans="1:9" s="93" customFormat="1" ht="9" customHeight="1" x14ac:dyDescent="0.3">
      <c r="A1508" s="91"/>
      <c r="B1508" s="70"/>
      <c r="C1508" s="70"/>
      <c r="D1508" s="70"/>
      <c r="E1508" s="70"/>
      <c r="F1508" s="70"/>
      <c r="G1508" s="70"/>
      <c r="H1508" s="131"/>
      <c r="I1508" s="3"/>
    </row>
    <row r="1509" spans="1:9" s="93" customFormat="1" ht="9" customHeight="1" x14ac:dyDescent="0.3">
      <c r="A1509" s="91"/>
      <c r="B1509" s="70"/>
      <c r="C1509" s="70"/>
      <c r="D1509" s="70"/>
      <c r="E1509" s="70"/>
      <c r="F1509" s="70"/>
      <c r="G1509" s="70"/>
      <c r="H1509" s="131"/>
      <c r="I1509" s="3"/>
    </row>
    <row r="1510" spans="1:9" s="93" customFormat="1" ht="9" customHeight="1" x14ac:dyDescent="0.3">
      <c r="A1510" s="91"/>
      <c r="B1510" s="70"/>
      <c r="C1510" s="70"/>
      <c r="D1510" s="70"/>
      <c r="E1510" s="70"/>
      <c r="F1510" s="70"/>
      <c r="G1510" s="70"/>
      <c r="H1510" s="131"/>
      <c r="I1510" s="3"/>
    </row>
    <row r="1511" spans="1:9" s="93" customFormat="1" ht="9" customHeight="1" x14ac:dyDescent="0.3">
      <c r="A1511" s="91"/>
      <c r="B1511" s="70"/>
      <c r="C1511" s="70"/>
      <c r="D1511" s="70"/>
      <c r="E1511" s="70"/>
      <c r="F1511" s="70"/>
      <c r="G1511" s="70"/>
      <c r="H1511" s="131"/>
      <c r="I1511" s="3"/>
    </row>
    <row r="1512" spans="1:9" s="93" customFormat="1" ht="9" customHeight="1" x14ac:dyDescent="0.3">
      <c r="A1512" s="91"/>
      <c r="B1512" s="70"/>
      <c r="C1512" s="70"/>
      <c r="D1512" s="70"/>
      <c r="E1512" s="70"/>
      <c r="F1512" s="70"/>
      <c r="G1512" s="70"/>
      <c r="H1512" s="131"/>
      <c r="I1512" s="3"/>
    </row>
    <row r="1513" spans="1:9" s="93" customFormat="1" ht="9" customHeight="1" x14ac:dyDescent="0.3">
      <c r="A1513" s="91"/>
      <c r="B1513" s="70"/>
      <c r="C1513" s="70"/>
      <c r="D1513" s="70"/>
      <c r="E1513" s="70"/>
      <c r="F1513" s="70"/>
      <c r="G1513" s="70"/>
      <c r="H1513" s="131"/>
      <c r="I1513" s="3"/>
    </row>
    <row r="1514" spans="1:9" s="93" customFormat="1" ht="9" customHeight="1" x14ac:dyDescent="0.3">
      <c r="A1514" s="91"/>
      <c r="B1514" s="70"/>
      <c r="C1514" s="70"/>
      <c r="D1514" s="70"/>
      <c r="E1514" s="70"/>
      <c r="F1514" s="70"/>
      <c r="G1514" s="70"/>
      <c r="H1514" s="131"/>
      <c r="I1514" s="3"/>
    </row>
    <row r="1515" spans="1:9" s="93" customFormat="1" ht="9" customHeight="1" x14ac:dyDescent="0.3">
      <c r="A1515" s="91"/>
      <c r="B1515" s="70"/>
      <c r="C1515" s="70"/>
      <c r="D1515" s="70"/>
      <c r="E1515" s="70"/>
      <c r="F1515" s="70"/>
      <c r="G1515" s="70"/>
      <c r="H1515" s="131"/>
      <c r="I1515" s="3"/>
    </row>
    <row r="1516" spans="1:9" s="93" customFormat="1" ht="9" customHeight="1" x14ac:dyDescent="0.3">
      <c r="A1516" s="91"/>
      <c r="B1516" s="70"/>
      <c r="C1516" s="70"/>
      <c r="D1516" s="70"/>
      <c r="E1516" s="70"/>
      <c r="F1516" s="70"/>
      <c r="G1516" s="70"/>
      <c r="H1516" s="131"/>
      <c r="I1516" s="3"/>
    </row>
    <row r="1517" spans="1:9" s="93" customFormat="1" ht="9" customHeight="1" x14ac:dyDescent="0.3">
      <c r="A1517" s="91"/>
      <c r="B1517" s="70"/>
      <c r="C1517" s="70"/>
      <c r="D1517" s="70"/>
      <c r="E1517" s="70"/>
      <c r="F1517" s="70"/>
      <c r="G1517" s="70"/>
      <c r="H1517" s="131"/>
      <c r="I1517" s="3"/>
    </row>
    <row r="1518" spans="1:9" s="93" customFormat="1" ht="9" customHeight="1" x14ac:dyDescent="0.3">
      <c r="A1518" s="91"/>
      <c r="B1518" s="70"/>
      <c r="C1518" s="70"/>
      <c r="D1518" s="70"/>
      <c r="E1518" s="70"/>
      <c r="F1518" s="70"/>
      <c r="G1518" s="70"/>
      <c r="H1518" s="131"/>
      <c r="I1518" s="3"/>
    </row>
    <row r="1519" spans="1:9" s="93" customFormat="1" ht="9" customHeight="1" x14ac:dyDescent="0.3">
      <c r="A1519" s="91"/>
      <c r="B1519" s="70"/>
      <c r="C1519" s="70"/>
      <c r="D1519" s="70"/>
      <c r="E1519" s="70"/>
      <c r="F1519" s="70"/>
      <c r="G1519" s="70"/>
      <c r="H1519" s="131"/>
      <c r="I1519" s="3"/>
    </row>
    <row r="1520" spans="1:9" s="93" customFormat="1" ht="9" customHeight="1" x14ac:dyDescent="0.3">
      <c r="A1520" s="91"/>
      <c r="B1520" s="70"/>
      <c r="C1520" s="70"/>
      <c r="D1520" s="70"/>
      <c r="E1520" s="70"/>
      <c r="F1520" s="70"/>
      <c r="G1520" s="70"/>
      <c r="H1520" s="131"/>
      <c r="I1520" s="3"/>
    </row>
    <row r="1521" spans="1:9" s="93" customFormat="1" ht="9" customHeight="1" x14ac:dyDescent="0.3">
      <c r="A1521" s="91"/>
      <c r="B1521" s="70"/>
      <c r="C1521" s="70"/>
      <c r="D1521" s="70"/>
      <c r="E1521" s="70"/>
      <c r="F1521" s="70"/>
      <c r="G1521" s="70"/>
      <c r="H1521" s="131"/>
      <c r="I1521" s="3"/>
    </row>
    <row r="1522" spans="1:9" s="93" customFormat="1" ht="9" customHeight="1" x14ac:dyDescent="0.3">
      <c r="A1522" s="91"/>
      <c r="B1522" s="70"/>
      <c r="C1522" s="70"/>
      <c r="D1522" s="70"/>
      <c r="E1522" s="70"/>
      <c r="F1522" s="70"/>
      <c r="G1522" s="70"/>
      <c r="H1522" s="131"/>
      <c r="I1522" s="3"/>
    </row>
    <row r="1523" spans="1:9" s="93" customFormat="1" ht="9" customHeight="1" x14ac:dyDescent="0.3">
      <c r="A1523" s="91"/>
      <c r="B1523" s="70"/>
      <c r="C1523" s="70"/>
      <c r="D1523" s="70"/>
      <c r="E1523" s="70"/>
      <c r="F1523" s="70"/>
      <c r="G1523" s="70"/>
      <c r="H1523" s="131"/>
      <c r="I1523" s="3"/>
    </row>
    <row r="1524" spans="1:9" s="93" customFormat="1" ht="9" customHeight="1" x14ac:dyDescent="0.3">
      <c r="A1524" s="91"/>
      <c r="B1524" s="70"/>
      <c r="C1524" s="70"/>
      <c r="D1524" s="70"/>
      <c r="E1524" s="70"/>
      <c r="F1524" s="70"/>
      <c r="G1524" s="70"/>
      <c r="H1524" s="131"/>
      <c r="I1524" s="3"/>
    </row>
    <row r="1525" spans="1:9" s="93" customFormat="1" ht="9" customHeight="1" x14ac:dyDescent="0.3">
      <c r="A1525" s="91"/>
      <c r="B1525" s="70"/>
      <c r="C1525" s="70"/>
      <c r="D1525" s="70"/>
      <c r="E1525" s="70"/>
      <c r="F1525" s="70"/>
      <c r="G1525" s="70"/>
      <c r="H1525" s="131"/>
      <c r="I1525" s="3"/>
    </row>
    <row r="1526" spans="1:9" s="93" customFormat="1" ht="9" customHeight="1" x14ac:dyDescent="0.3">
      <c r="A1526" s="91"/>
      <c r="B1526" s="70"/>
      <c r="C1526" s="70"/>
      <c r="D1526" s="70"/>
      <c r="E1526" s="70"/>
      <c r="F1526" s="70"/>
      <c r="G1526" s="70"/>
      <c r="H1526" s="131"/>
      <c r="I1526" s="3"/>
    </row>
    <row r="1527" spans="1:9" s="93" customFormat="1" ht="9" customHeight="1" x14ac:dyDescent="0.3">
      <c r="A1527" s="91"/>
      <c r="B1527" s="70"/>
      <c r="C1527" s="70"/>
      <c r="D1527" s="70"/>
      <c r="E1527" s="70"/>
      <c r="F1527" s="70"/>
      <c r="G1527" s="70"/>
      <c r="H1527" s="131"/>
      <c r="I1527" s="3"/>
    </row>
    <row r="1528" spans="1:9" s="93" customFormat="1" ht="9" customHeight="1" x14ac:dyDescent="0.3">
      <c r="A1528" s="91"/>
      <c r="B1528" s="70"/>
      <c r="C1528" s="70"/>
      <c r="D1528" s="70"/>
      <c r="E1528" s="70"/>
      <c r="F1528" s="70"/>
      <c r="G1528" s="70"/>
      <c r="H1528" s="131"/>
      <c r="I1528" s="3"/>
    </row>
    <row r="1529" spans="1:9" s="93" customFormat="1" ht="9" customHeight="1" x14ac:dyDescent="0.3">
      <c r="A1529" s="91"/>
      <c r="B1529" s="70"/>
      <c r="C1529" s="70"/>
      <c r="D1529" s="70"/>
      <c r="E1529" s="70"/>
      <c r="F1529" s="70"/>
      <c r="G1529" s="70"/>
      <c r="H1529" s="131"/>
      <c r="I1529" s="3"/>
    </row>
    <row r="1530" spans="1:9" s="93" customFormat="1" ht="9" customHeight="1" x14ac:dyDescent="0.3">
      <c r="A1530" s="91"/>
      <c r="B1530" s="70"/>
      <c r="C1530" s="70"/>
      <c r="D1530" s="70"/>
      <c r="E1530" s="70"/>
      <c r="F1530" s="70"/>
      <c r="G1530" s="70"/>
      <c r="H1530" s="131"/>
      <c r="I1530" s="3"/>
    </row>
    <row r="1531" spans="1:9" s="93" customFormat="1" ht="9" customHeight="1" x14ac:dyDescent="0.3">
      <c r="A1531" s="91"/>
      <c r="B1531" s="70"/>
      <c r="C1531" s="70"/>
      <c r="D1531" s="70"/>
      <c r="E1531" s="70"/>
      <c r="F1531" s="70"/>
      <c r="G1531" s="70"/>
      <c r="H1531" s="131"/>
      <c r="I1531" s="3"/>
    </row>
    <row r="1532" spans="1:9" s="93" customFormat="1" ht="9" customHeight="1" x14ac:dyDescent="0.3">
      <c r="A1532" s="91"/>
      <c r="B1532" s="70"/>
      <c r="C1532" s="70"/>
      <c r="D1532" s="70"/>
      <c r="E1532" s="70"/>
      <c r="F1532" s="70"/>
      <c r="G1532" s="70"/>
      <c r="H1532" s="131"/>
      <c r="I1532" s="3"/>
    </row>
    <row r="1533" spans="1:9" s="93" customFormat="1" ht="9" customHeight="1" x14ac:dyDescent="0.3">
      <c r="A1533" s="91"/>
      <c r="B1533" s="70"/>
      <c r="C1533" s="70"/>
      <c r="D1533" s="70"/>
      <c r="E1533" s="70"/>
      <c r="F1533" s="70"/>
      <c r="G1533" s="70"/>
      <c r="H1533" s="131"/>
      <c r="I1533" s="3"/>
    </row>
    <row r="1534" spans="1:9" s="93" customFormat="1" ht="9" customHeight="1" x14ac:dyDescent="0.3">
      <c r="A1534" s="91"/>
      <c r="B1534" s="70"/>
      <c r="C1534" s="70"/>
      <c r="D1534" s="70"/>
      <c r="E1534" s="70"/>
      <c r="F1534" s="70"/>
      <c r="G1534" s="70"/>
      <c r="H1534" s="131"/>
      <c r="I1534" s="3"/>
    </row>
    <row r="1535" spans="1:9" s="93" customFormat="1" ht="9" customHeight="1" x14ac:dyDescent="0.3">
      <c r="A1535" s="91"/>
      <c r="B1535" s="70"/>
      <c r="C1535" s="70"/>
      <c r="D1535" s="70"/>
      <c r="E1535" s="70"/>
      <c r="F1535" s="70"/>
      <c r="G1535" s="70"/>
      <c r="H1535" s="131"/>
      <c r="I1535" s="3"/>
    </row>
    <row r="1536" spans="1:9" s="93" customFormat="1" ht="9" customHeight="1" x14ac:dyDescent="0.3">
      <c r="A1536" s="91"/>
      <c r="B1536" s="70"/>
      <c r="C1536" s="70"/>
      <c r="D1536" s="70"/>
      <c r="E1536" s="70"/>
      <c r="F1536" s="70"/>
      <c r="G1536" s="70"/>
      <c r="H1536" s="131"/>
      <c r="I1536" s="3"/>
    </row>
    <row r="1537" spans="1:9" s="93" customFormat="1" ht="9" customHeight="1" x14ac:dyDescent="0.3">
      <c r="A1537" s="91"/>
      <c r="B1537" s="70"/>
      <c r="C1537" s="70"/>
      <c r="D1537" s="70"/>
      <c r="E1537" s="70"/>
      <c r="F1537" s="70"/>
      <c r="G1537" s="70"/>
      <c r="H1537" s="131"/>
      <c r="I1537" s="3"/>
    </row>
    <row r="1538" spans="1:9" s="93" customFormat="1" ht="9" customHeight="1" x14ac:dyDescent="0.3">
      <c r="A1538" s="91"/>
      <c r="B1538" s="70"/>
      <c r="C1538" s="70"/>
      <c r="D1538" s="70"/>
      <c r="E1538" s="70"/>
      <c r="F1538" s="70"/>
      <c r="G1538" s="70"/>
      <c r="H1538" s="131"/>
      <c r="I1538" s="3"/>
    </row>
    <row r="1539" spans="1:9" s="93" customFormat="1" ht="9" customHeight="1" x14ac:dyDescent="0.3">
      <c r="A1539" s="91"/>
      <c r="B1539" s="70"/>
      <c r="C1539" s="70"/>
      <c r="D1539" s="70"/>
      <c r="E1539" s="70"/>
      <c r="F1539" s="70"/>
      <c r="G1539" s="70"/>
      <c r="H1539" s="131"/>
      <c r="I1539" s="3"/>
    </row>
    <row r="1540" spans="1:9" s="93" customFormat="1" ht="9" customHeight="1" x14ac:dyDescent="0.3">
      <c r="A1540" s="91"/>
      <c r="B1540" s="70"/>
      <c r="C1540" s="70"/>
      <c r="D1540" s="70"/>
      <c r="E1540" s="70"/>
      <c r="F1540" s="70"/>
      <c r="G1540" s="70"/>
      <c r="H1540" s="131"/>
      <c r="I1540" s="3"/>
    </row>
    <row r="1541" spans="1:9" s="93" customFormat="1" ht="9" customHeight="1" x14ac:dyDescent="0.3">
      <c r="A1541" s="91"/>
      <c r="B1541" s="70"/>
      <c r="C1541" s="70"/>
      <c r="D1541" s="70"/>
      <c r="E1541" s="70"/>
      <c r="F1541" s="70"/>
      <c r="G1541" s="70"/>
      <c r="H1541" s="131"/>
      <c r="I1541" s="3"/>
    </row>
    <row r="1542" spans="1:9" s="93" customFormat="1" ht="9" customHeight="1" x14ac:dyDescent="0.3">
      <c r="A1542" s="91"/>
      <c r="B1542" s="70"/>
      <c r="C1542" s="70"/>
      <c r="D1542" s="70"/>
      <c r="E1542" s="70"/>
      <c r="F1542" s="70"/>
      <c r="G1542" s="70"/>
      <c r="H1542" s="131"/>
      <c r="I1542" s="3"/>
    </row>
    <row r="1543" spans="1:9" s="93" customFormat="1" ht="9" customHeight="1" x14ac:dyDescent="0.3">
      <c r="A1543" s="91"/>
      <c r="B1543" s="70"/>
      <c r="C1543" s="70"/>
      <c r="D1543" s="70"/>
      <c r="E1543" s="70"/>
      <c r="F1543" s="70"/>
      <c r="G1543" s="70"/>
      <c r="H1543" s="131"/>
      <c r="I1543" s="3"/>
    </row>
    <row r="1544" spans="1:9" s="93" customFormat="1" ht="9" customHeight="1" x14ac:dyDescent="0.3">
      <c r="A1544" s="91"/>
      <c r="B1544" s="70"/>
      <c r="C1544" s="70"/>
      <c r="D1544" s="70"/>
      <c r="E1544" s="70"/>
      <c r="F1544" s="70"/>
      <c r="G1544" s="70"/>
      <c r="H1544" s="131"/>
      <c r="I1544" s="3"/>
    </row>
    <row r="1545" spans="1:9" s="93" customFormat="1" ht="9" customHeight="1" x14ac:dyDescent="0.3">
      <c r="A1545" s="91"/>
      <c r="B1545" s="70"/>
      <c r="C1545" s="70"/>
      <c r="D1545" s="70"/>
      <c r="E1545" s="70"/>
      <c r="F1545" s="70"/>
      <c r="G1545" s="70"/>
      <c r="H1545" s="131"/>
      <c r="I1545" s="3"/>
    </row>
    <row r="1546" spans="1:9" s="93" customFormat="1" ht="9" customHeight="1" x14ac:dyDescent="0.3">
      <c r="A1546" s="91"/>
      <c r="B1546" s="70"/>
      <c r="C1546" s="70"/>
      <c r="D1546" s="70"/>
      <c r="E1546" s="70"/>
      <c r="F1546" s="70"/>
      <c r="G1546" s="70"/>
      <c r="H1546" s="131"/>
      <c r="I1546" s="3"/>
    </row>
    <row r="1547" spans="1:9" s="93" customFormat="1" ht="9" customHeight="1" x14ac:dyDescent="0.3">
      <c r="A1547" s="91"/>
      <c r="B1547" s="70"/>
      <c r="C1547" s="70"/>
      <c r="D1547" s="70"/>
      <c r="E1547" s="70"/>
      <c r="F1547" s="70"/>
      <c r="G1547" s="70"/>
      <c r="H1547" s="131"/>
      <c r="I1547" s="3"/>
    </row>
    <row r="1548" spans="1:9" s="93" customFormat="1" ht="9" customHeight="1" x14ac:dyDescent="0.3">
      <c r="A1548" s="91"/>
      <c r="B1548" s="70"/>
      <c r="C1548" s="70"/>
      <c r="D1548" s="70"/>
      <c r="E1548" s="70"/>
      <c r="F1548" s="70"/>
      <c r="G1548" s="70"/>
      <c r="H1548" s="131"/>
      <c r="I1548" s="3"/>
    </row>
    <row r="1549" spans="1:9" s="93" customFormat="1" ht="9" customHeight="1" x14ac:dyDescent="0.3">
      <c r="A1549" s="91"/>
      <c r="B1549" s="70"/>
      <c r="C1549" s="70"/>
      <c r="D1549" s="70"/>
      <c r="E1549" s="70"/>
      <c r="F1549" s="70"/>
      <c r="G1549" s="70"/>
      <c r="H1549" s="131"/>
      <c r="I1549" s="3"/>
    </row>
    <row r="1550" spans="1:9" s="93" customFormat="1" ht="9" customHeight="1" x14ac:dyDescent="0.3">
      <c r="A1550" s="91"/>
      <c r="B1550" s="70"/>
      <c r="C1550" s="70"/>
      <c r="D1550" s="70"/>
      <c r="E1550" s="70"/>
      <c r="F1550" s="70"/>
      <c r="G1550" s="70"/>
      <c r="H1550" s="131"/>
      <c r="I1550" s="3"/>
    </row>
    <row r="1551" spans="1:9" s="93" customFormat="1" ht="9" customHeight="1" x14ac:dyDescent="0.3">
      <c r="A1551" s="91"/>
      <c r="B1551" s="70"/>
      <c r="C1551" s="70"/>
      <c r="D1551" s="70"/>
      <c r="E1551" s="70"/>
      <c r="F1551" s="70"/>
      <c r="G1551" s="70"/>
      <c r="H1551" s="131"/>
      <c r="I1551" s="3"/>
    </row>
    <row r="1552" spans="1:9" s="93" customFormat="1" ht="9" customHeight="1" x14ac:dyDescent="0.3">
      <c r="A1552" s="91"/>
      <c r="B1552" s="70"/>
      <c r="C1552" s="70"/>
      <c r="D1552" s="70"/>
      <c r="E1552" s="70"/>
      <c r="F1552" s="70"/>
      <c r="G1552" s="70"/>
      <c r="H1552" s="131"/>
      <c r="I1552" s="3"/>
    </row>
    <row r="1553" spans="1:9" s="93" customFormat="1" ht="9" customHeight="1" x14ac:dyDescent="0.3">
      <c r="A1553" s="91"/>
      <c r="B1553" s="70"/>
      <c r="C1553" s="70"/>
      <c r="D1553" s="70"/>
      <c r="E1553" s="70"/>
      <c r="F1553" s="70"/>
      <c r="G1553" s="70"/>
      <c r="H1553" s="131"/>
      <c r="I1553" s="3"/>
    </row>
    <row r="1554" spans="1:9" s="93" customFormat="1" ht="9" customHeight="1" x14ac:dyDescent="0.3">
      <c r="A1554" s="91"/>
      <c r="B1554" s="70"/>
      <c r="C1554" s="70"/>
      <c r="D1554" s="70"/>
      <c r="E1554" s="70"/>
      <c r="F1554" s="70"/>
      <c r="G1554" s="70"/>
      <c r="H1554" s="131"/>
      <c r="I1554" s="3"/>
    </row>
    <row r="1555" spans="1:9" s="93" customFormat="1" ht="9" customHeight="1" x14ac:dyDescent="0.3">
      <c r="A1555" s="91"/>
      <c r="B1555" s="70"/>
      <c r="C1555" s="70"/>
      <c r="D1555" s="70"/>
      <c r="E1555" s="70"/>
      <c r="F1555" s="70"/>
      <c r="G1555" s="70"/>
      <c r="H1555" s="131"/>
      <c r="I1555" s="3"/>
    </row>
    <row r="1556" spans="1:9" s="93" customFormat="1" ht="9" customHeight="1" x14ac:dyDescent="0.3">
      <c r="A1556" s="91"/>
      <c r="B1556" s="70"/>
      <c r="C1556" s="70"/>
      <c r="D1556" s="70"/>
      <c r="E1556" s="70"/>
      <c r="F1556" s="70"/>
      <c r="G1556" s="70"/>
      <c r="H1556" s="131"/>
      <c r="I1556" s="3"/>
    </row>
    <row r="1557" spans="1:9" s="93" customFormat="1" ht="9" customHeight="1" x14ac:dyDescent="0.3">
      <c r="A1557" s="91"/>
      <c r="B1557" s="70"/>
      <c r="C1557" s="70"/>
      <c r="D1557" s="70"/>
      <c r="E1557" s="70"/>
      <c r="F1557" s="70"/>
      <c r="G1557" s="70"/>
      <c r="H1557" s="131"/>
      <c r="I1557" s="3"/>
    </row>
    <row r="1558" spans="1:9" s="93" customFormat="1" ht="9" customHeight="1" x14ac:dyDescent="0.3">
      <c r="A1558" s="91"/>
      <c r="B1558" s="70"/>
      <c r="C1558" s="70"/>
      <c r="D1558" s="70"/>
      <c r="E1558" s="70"/>
      <c r="F1558" s="70"/>
      <c r="G1558" s="70"/>
      <c r="H1558" s="131"/>
      <c r="I1558" s="3"/>
    </row>
    <row r="1559" spans="1:9" s="93" customFormat="1" ht="9" customHeight="1" x14ac:dyDescent="0.3">
      <c r="A1559" s="91"/>
      <c r="B1559" s="70"/>
      <c r="C1559" s="70"/>
      <c r="D1559" s="70"/>
      <c r="E1559" s="70"/>
      <c r="F1559" s="70"/>
      <c r="G1559" s="70"/>
      <c r="H1559" s="131"/>
      <c r="I1559" s="3"/>
    </row>
    <row r="1560" spans="1:9" s="93" customFormat="1" ht="9" customHeight="1" x14ac:dyDescent="0.3">
      <c r="A1560" s="91"/>
      <c r="B1560" s="70"/>
      <c r="C1560" s="70"/>
      <c r="D1560" s="70"/>
      <c r="E1560" s="70"/>
      <c r="F1560" s="70"/>
      <c r="G1560" s="70"/>
      <c r="H1560" s="131"/>
      <c r="I1560" s="3"/>
    </row>
    <row r="1561" spans="1:9" s="93" customFormat="1" ht="9" customHeight="1" x14ac:dyDescent="0.3">
      <c r="A1561" s="91"/>
      <c r="B1561" s="70"/>
      <c r="C1561" s="70"/>
      <c r="D1561" s="70"/>
      <c r="E1561" s="70"/>
      <c r="F1561" s="70"/>
      <c r="G1561" s="70"/>
      <c r="H1561" s="131"/>
      <c r="I1561" s="3"/>
    </row>
    <row r="1562" spans="1:9" s="93" customFormat="1" ht="9" customHeight="1" x14ac:dyDescent="0.3">
      <c r="A1562" s="91"/>
      <c r="B1562" s="70"/>
      <c r="C1562" s="70"/>
      <c r="D1562" s="70"/>
      <c r="E1562" s="70"/>
      <c r="F1562" s="70"/>
      <c r="G1562" s="70"/>
      <c r="H1562" s="131"/>
      <c r="I1562" s="3"/>
    </row>
    <row r="1563" spans="1:9" s="93" customFormat="1" ht="9" customHeight="1" x14ac:dyDescent="0.3">
      <c r="A1563" s="91"/>
      <c r="B1563" s="70"/>
      <c r="C1563" s="70"/>
      <c r="D1563" s="70"/>
      <c r="E1563" s="70"/>
      <c r="F1563" s="70"/>
      <c r="G1563" s="70"/>
      <c r="H1563" s="131"/>
      <c r="I1563" s="3"/>
    </row>
    <row r="1564" spans="1:9" s="93" customFormat="1" ht="9" customHeight="1" x14ac:dyDescent="0.3">
      <c r="A1564" s="91"/>
      <c r="B1564" s="70"/>
      <c r="C1564" s="70"/>
      <c r="D1564" s="70"/>
      <c r="E1564" s="70"/>
      <c r="F1564" s="70"/>
      <c r="G1564" s="70"/>
      <c r="H1564" s="131"/>
      <c r="I1564" s="3"/>
    </row>
    <row r="1565" spans="1:9" s="93" customFormat="1" ht="9" customHeight="1" x14ac:dyDescent="0.3">
      <c r="A1565" s="91"/>
      <c r="B1565" s="70"/>
      <c r="C1565" s="70"/>
      <c r="D1565" s="70"/>
      <c r="E1565" s="70"/>
      <c r="F1565" s="70"/>
      <c r="G1565" s="70"/>
      <c r="H1565" s="131"/>
      <c r="I1565" s="3"/>
    </row>
    <row r="1566" spans="1:9" s="93" customFormat="1" ht="9" customHeight="1" x14ac:dyDescent="0.3">
      <c r="A1566" s="91"/>
      <c r="B1566" s="70"/>
      <c r="C1566" s="70"/>
      <c r="D1566" s="70"/>
      <c r="E1566" s="70"/>
      <c r="F1566" s="70"/>
      <c r="G1566" s="70"/>
      <c r="H1566" s="131"/>
      <c r="I1566" s="3"/>
    </row>
    <row r="1567" spans="1:9" s="93" customFormat="1" ht="9" customHeight="1" x14ac:dyDescent="0.3">
      <c r="A1567" s="91"/>
      <c r="B1567" s="70"/>
      <c r="C1567" s="70"/>
      <c r="D1567" s="70"/>
      <c r="E1567" s="70"/>
      <c r="F1567" s="70"/>
      <c r="G1567" s="70"/>
      <c r="H1567" s="131"/>
      <c r="I1567" s="3"/>
    </row>
    <row r="1568" spans="1:9" s="93" customFormat="1" ht="9" customHeight="1" x14ac:dyDescent="0.3">
      <c r="A1568" s="91"/>
      <c r="B1568" s="70"/>
      <c r="C1568" s="70"/>
      <c r="D1568" s="70"/>
      <c r="E1568" s="70"/>
      <c r="F1568" s="70"/>
      <c r="G1568" s="70"/>
      <c r="H1568" s="131"/>
      <c r="I1568" s="3"/>
    </row>
    <row r="1569" spans="1:9" s="93" customFormat="1" ht="9" customHeight="1" x14ac:dyDescent="0.3">
      <c r="A1569" s="91"/>
      <c r="B1569" s="70"/>
      <c r="C1569" s="70"/>
      <c r="D1569" s="70"/>
      <c r="E1569" s="70"/>
      <c r="F1569" s="70"/>
      <c r="G1569" s="70"/>
      <c r="H1569" s="131"/>
      <c r="I1569" s="3"/>
    </row>
    <row r="1570" spans="1:9" s="93" customFormat="1" ht="9" customHeight="1" x14ac:dyDescent="0.3">
      <c r="A1570" s="91"/>
      <c r="B1570" s="70"/>
      <c r="C1570" s="70"/>
      <c r="D1570" s="70"/>
      <c r="E1570" s="70"/>
      <c r="F1570" s="70"/>
      <c r="G1570" s="70"/>
      <c r="H1570" s="131"/>
      <c r="I1570" s="3"/>
    </row>
    <row r="1571" spans="1:9" s="93" customFormat="1" ht="9" customHeight="1" x14ac:dyDescent="0.3">
      <c r="A1571" s="91"/>
      <c r="B1571" s="70"/>
      <c r="C1571" s="70"/>
      <c r="D1571" s="70"/>
      <c r="E1571" s="70"/>
      <c r="F1571" s="70"/>
      <c r="G1571" s="70"/>
      <c r="H1571" s="131"/>
      <c r="I1571" s="3"/>
    </row>
    <row r="1572" spans="1:9" s="93" customFormat="1" ht="9" customHeight="1" x14ac:dyDescent="0.3">
      <c r="A1572" s="91"/>
      <c r="B1572" s="70"/>
      <c r="C1572" s="70"/>
      <c r="D1572" s="70"/>
      <c r="E1572" s="70"/>
      <c r="F1572" s="70"/>
      <c r="G1572" s="70"/>
      <c r="H1572" s="131"/>
      <c r="I1572" s="3"/>
    </row>
    <row r="1573" spans="1:9" s="93" customFormat="1" ht="9" customHeight="1" x14ac:dyDescent="0.3">
      <c r="A1573" s="91"/>
      <c r="B1573" s="70"/>
      <c r="C1573" s="70"/>
      <c r="D1573" s="70"/>
      <c r="E1573" s="70"/>
      <c r="F1573" s="70"/>
      <c r="G1573" s="70"/>
      <c r="H1573" s="131"/>
      <c r="I1573" s="3"/>
    </row>
    <row r="1574" spans="1:9" s="93" customFormat="1" ht="9" customHeight="1" x14ac:dyDescent="0.3">
      <c r="A1574" s="91"/>
      <c r="B1574" s="70"/>
      <c r="C1574" s="70"/>
      <c r="D1574" s="70"/>
      <c r="E1574" s="70"/>
      <c r="F1574" s="70"/>
      <c r="G1574" s="70"/>
      <c r="H1574" s="131"/>
      <c r="I1574" s="3"/>
    </row>
    <row r="1575" spans="1:9" s="93" customFormat="1" ht="9" customHeight="1" x14ac:dyDescent="0.3">
      <c r="A1575" s="91"/>
      <c r="B1575" s="70"/>
      <c r="C1575" s="70"/>
      <c r="D1575" s="70"/>
      <c r="E1575" s="70"/>
      <c r="F1575" s="70"/>
      <c r="G1575" s="70"/>
      <c r="H1575" s="131"/>
      <c r="I1575" s="3"/>
    </row>
    <row r="1576" spans="1:9" s="93" customFormat="1" ht="9" customHeight="1" x14ac:dyDescent="0.3">
      <c r="A1576" s="91"/>
      <c r="B1576" s="70"/>
      <c r="C1576" s="70"/>
      <c r="D1576" s="70"/>
      <c r="E1576" s="70"/>
      <c r="F1576" s="70"/>
      <c r="G1576" s="70"/>
      <c r="H1576" s="131"/>
      <c r="I1576" s="3"/>
    </row>
    <row r="1577" spans="1:9" s="93" customFormat="1" ht="9" customHeight="1" x14ac:dyDescent="0.3">
      <c r="A1577" s="91"/>
      <c r="B1577" s="70"/>
      <c r="C1577" s="70"/>
      <c r="D1577" s="70"/>
      <c r="E1577" s="70"/>
      <c r="F1577" s="70"/>
      <c r="G1577" s="70"/>
      <c r="H1577" s="131"/>
      <c r="I1577" s="3"/>
    </row>
    <row r="1578" spans="1:9" s="93" customFormat="1" ht="9" customHeight="1" x14ac:dyDescent="0.3">
      <c r="A1578" s="91"/>
      <c r="B1578" s="70"/>
      <c r="C1578" s="70"/>
      <c r="D1578" s="70"/>
      <c r="E1578" s="70"/>
      <c r="F1578" s="70"/>
      <c r="G1578" s="70"/>
      <c r="H1578" s="131"/>
      <c r="I1578" s="3"/>
    </row>
    <row r="1579" spans="1:9" s="93" customFormat="1" ht="9" customHeight="1" x14ac:dyDescent="0.3">
      <c r="A1579" s="91"/>
      <c r="B1579" s="70"/>
      <c r="C1579" s="70"/>
      <c r="D1579" s="70"/>
      <c r="E1579" s="70"/>
      <c r="F1579" s="70"/>
      <c r="G1579" s="70"/>
      <c r="H1579" s="131"/>
      <c r="I1579" s="3"/>
    </row>
    <row r="1580" spans="1:9" s="93" customFormat="1" ht="9" customHeight="1" x14ac:dyDescent="0.3">
      <c r="A1580" s="91"/>
      <c r="B1580" s="70"/>
      <c r="C1580" s="70"/>
      <c r="D1580" s="70"/>
      <c r="E1580" s="70"/>
      <c r="F1580" s="70"/>
      <c r="G1580" s="70"/>
      <c r="H1580" s="131"/>
      <c r="I1580" s="3"/>
    </row>
    <row r="1581" spans="1:9" s="93" customFormat="1" ht="9" customHeight="1" x14ac:dyDescent="0.3">
      <c r="A1581" s="91"/>
      <c r="B1581" s="70"/>
      <c r="C1581" s="70"/>
      <c r="D1581" s="70"/>
      <c r="E1581" s="70"/>
      <c r="F1581" s="70"/>
      <c r="G1581" s="70"/>
      <c r="H1581" s="131"/>
      <c r="I1581" s="3"/>
    </row>
    <row r="1582" spans="1:9" s="93" customFormat="1" ht="9" customHeight="1" x14ac:dyDescent="0.3">
      <c r="A1582" s="91"/>
      <c r="B1582" s="70"/>
      <c r="C1582" s="70"/>
      <c r="D1582" s="70"/>
      <c r="E1582" s="70"/>
      <c r="F1582" s="70"/>
      <c r="G1582" s="70"/>
      <c r="H1582" s="131"/>
      <c r="I1582" s="3"/>
    </row>
    <row r="1583" spans="1:9" s="93" customFormat="1" ht="9" customHeight="1" x14ac:dyDescent="0.3">
      <c r="A1583" s="91"/>
      <c r="B1583" s="70"/>
      <c r="C1583" s="70"/>
      <c r="D1583" s="70"/>
      <c r="E1583" s="70"/>
      <c r="F1583" s="70"/>
      <c r="G1583" s="70"/>
      <c r="H1583" s="131"/>
      <c r="I1583" s="3"/>
    </row>
    <row r="1584" spans="1:9" s="93" customFormat="1" ht="9" customHeight="1" x14ac:dyDescent="0.3">
      <c r="A1584" s="91"/>
      <c r="B1584" s="70"/>
      <c r="C1584" s="70"/>
      <c r="D1584" s="70"/>
      <c r="E1584" s="70"/>
      <c r="F1584" s="70"/>
      <c r="G1584" s="70"/>
      <c r="H1584" s="131"/>
      <c r="I1584" s="3"/>
    </row>
    <row r="1585" spans="1:9" s="93" customFormat="1" ht="9" customHeight="1" x14ac:dyDescent="0.3">
      <c r="A1585" s="91"/>
      <c r="B1585" s="70"/>
      <c r="C1585" s="70"/>
      <c r="D1585" s="70"/>
      <c r="E1585" s="70"/>
      <c r="F1585" s="70"/>
      <c r="G1585" s="70"/>
      <c r="H1585" s="131"/>
      <c r="I1585" s="3"/>
    </row>
    <row r="1586" spans="1:9" s="93" customFormat="1" ht="9" customHeight="1" x14ac:dyDescent="0.3">
      <c r="A1586" s="91"/>
      <c r="B1586" s="70"/>
      <c r="C1586" s="70"/>
      <c r="D1586" s="70"/>
      <c r="E1586" s="70"/>
      <c r="F1586" s="70"/>
      <c r="G1586" s="70"/>
      <c r="H1586" s="131"/>
      <c r="I1586" s="3"/>
    </row>
    <row r="1587" spans="1:9" s="93" customFormat="1" ht="9" customHeight="1" x14ac:dyDescent="0.3">
      <c r="A1587" s="91"/>
      <c r="B1587" s="70"/>
      <c r="C1587" s="70"/>
      <c r="D1587" s="70"/>
      <c r="E1587" s="70"/>
      <c r="F1587" s="70"/>
      <c r="G1587" s="70"/>
      <c r="H1587" s="131"/>
      <c r="I1587" s="3"/>
    </row>
    <row r="1588" spans="1:9" s="93" customFormat="1" ht="9" customHeight="1" x14ac:dyDescent="0.3">
      <c r="A1588" s="91"/>
      <c r="B1588" s="70"/>
      <c r="C1588" s="70"/>
      <c r="D1588" s="70"/>
      <c r="E1588" s="70"/>
      <c r="F1588" s="70"/>
      <c r="G1588" s="70"/>
      <c r="H1588" s="131"/>
      <c r="I1588" s="3"/>
    </row>
    <row r="1589" spans="1:9" s="93" customFormat="1" ht="9" customHeight="1" x14ac:dyDescent="0.3">
      <c r="A1589" s="91"/>
      <c r="B1589" s="70"/>
      <c r="C1589" s="70"/>
      <c r="D1589" s="70"/>
      <c r="E1589" s="70"/>
      <c r="F1589" s="70"/>
      <c r="G1589" s="70"/>
      <c r="H1589" s="131"/>
      <c r="I1589" s="3"/>
    </row>
    <row r="1590" spans="1:9" s="93" customFormat="1" ht="9" customHeight="1" x14ac:dyDescent="0.3">
      <c r="A1590" s="91"/>
      <c r="B1590" s="70"/>
      <c r="C1590" s="70"/>
      <c r="D1590" s="70"/>
      <c r="E1590" s="70"/>
      <c r="F1590" s="70"/>
      <c r="G1590" s="70"/>
      <c r="H1590" s="131"/>
      <c r="I1590" s="3"/>
    </row>
    <row r="1591" spans="1:9" s="93" customFormat="1" ht="9" customHeight="1" x14ac:dyDescent="0.3">
      <c r="A1591" s="91"/>
      <c r="B1591" s="70"/>
      <c r="C1591" s="70"/>
      <c r="D1591" s="70"/>
      <c r="E1591" s="70"/>
      <c r="F1591" s="70"/>
      <c r="G1591" s="70"/>
      <c r="H1591" s="131"/>
      <c r="I1591" s="3"/>
    </row>
    <row r="1592" spans="1:9" s="93" customFormat="1" ht="9" customHeight="1" x14ac:dyDescent="0.3">
      <c r="A1592" s="91"/>
      <c r="B1592" s="70"/>
      <c r="C1592" s="70"/>
      <c r="D1592" s="70"/>
      <c r="E1592" s="70"/>
      <c r="F1592" s="70"/>
      <c r="G1592" s="70"/>
      <c r="H1592" s="131"/>
      <c r="I1592" s="3"/>
    </row>
    <row r="1593" spans="1:9" s="93" customFormat="1" ht="9" customHeight="1" x14ac:dyDescent="0.3">
      <c r="A1593" s="91"/>
      <c r="B1593" s="70"/>
      <c r="C1593" s="70"/>
      <c r="D1593" s="70"/>
      <c r="E1593" s="70"/>
      <c r="F1593" s="70"/>
      <c r="G1593" s="70"/>
      <c r="H1593" s="131"/>
      <c r="I1593" s="3"/>
    </row>
    <row r="1594" spans="1:9" s="93" customFormat="1" ht="9" customHeight="1" x14ac:dyDescent="0.3">
      <c r="A1594" s="91"/>
      <c r="B1594" s="70"/>
      <c r="C1594" s="70"/>
      <c r="D1594" s="70"/>
      <c r="E1594" s="70"/>
      <c r="F1594" s="70"/>
      <c r="G1594" s="70"/>
      <c r="H1594" s="131"/>
      <c r="I1594" s="3"/>
    </row>
    <row r="1595" spans="1:9" s="93" customFormat="1" ht="9" customHeight="1" x14ac:dyDescent="0.3">
      <c r="A1595" s="91"/>
      <c r="B1595" s="70"/>
      <c r="C1595" s="70"/>
      <c r="D1595" s="70"/>
      <c r="E1595" s="70"/>
      <c r="F1595" s="70"/>
      <c r="G1595" s="70"/>
      <c r="H1595" s="131"/>
      <c r="I1595" s="3"/>
    </row>
    <row r="1596" spans="1:9" s="93" customFormat="1" ht="9" customHeight="1" x14ac:dyDescent="0.3">
      <c r="A1596" s="91"/>
      <c r="B1596" s="70"/>
      <c r="C1596" s="70"/>
      <c r="D1596" s="70"/>
      <c r="E1596" s="70"/>
      <c r="F1596" s="70"/>
      <c r="G1596" s="70"/>
      <c r="H1596" s="131"/>
      <c r="I1596" s="3"/>
    </row>
    <row r="1597" spans="1:9" s="93" customFormat="1" ht="9" customHeight="1" x14ac:dyDescent="0.3">
      <c r="A1597" s="91"/>
      <c r="B1597" s="70"/>
      <c r="C1597" s="70"/>
      <c r="D1597" s="70"/>
      <c r="E1597" s="70"/>
      <c r="F1597" s="70"/>
      <c r="G1597" s="70"/>
      <c r="H1597" s="131"/>
      <c r="I1597" s="3"/>
    </row>
    <row r="1598" spans="1:9" s="93" customFormat="1" ht="9" customHeight="1" x14ac:dyDescent="0.3">
      <c r="A1598" s="91"/>
      <c r="B1598" s="70"/>
      <c r="C1598" s="70"/>
      <c r="D1598" s="70"/>
      <c r="E1598" s="70"/>
      <c r="F1598" s="70"/>
      <c r="G1598" s="70"/>
      <c r="H1598" s="131"/>
      <c r="I1598" s="3"/>
    </row>
    <row r="1599" spans="1:9" s="93" customFormat="1" ht="9" customHeight="1" x14ac:dyDescent="0.3">
      <c r="A1599" s="91"/>
      <c r="B1599" s="70"/>
      <c r="C1599" s="70"/>
      <c r="D1599" s="70"/>
      <c r="E1599" s="70"/>
      <c r="F1599" s="70"/>
      <c r="G1599" s="70"/>
      <c r="H1599" s="131"/>
      <c r="I1599" s="3"/>
    </row>
    <row r="1600" spans="1:9" s="93" customFormat="1" ht="9" customHeight="1" x14ac:dyDescent="0.3">
      <c r="A1600" s="91"/>
      <c r="B1600" s="70"/>
      <c r="C1600" s="70"/>
      <c r="D1600" s="70"/>
      <c r="E1600" s="70"/>
      <c r="F1600" s="70"/>
      <c r="G1600" s="70"/>
      <c r="H1600" s="131"/>
      <c r="I1600" s="3"/>
    </row>
    <row r="1601" spans="1:9" s="93" customFormat="1" ht="9" customHeight="1" x14ac:dyDescent="0.3">
      <c r="A1601" s="91"/>
      <c r="B1601" s="70"/>
      <c r="C1601" s="70"/>
      <c r="D1601" s="70"/>
      <c r="E1601" s="70"/>
      <c r="F1601" s="70"/>
      <c r="G1601" s="70"/>
      <c r="H1601" s="131"/>
      <c r="I1601" s="3"/>
    </row>
    <row r="1602" spans="1:9" s="93" customFormat="1" ht="9" customHeight="1" x14ac:dyDescent="0.3">
      <c r="A1602" s="91"/>
      <c r="B1602" s="70"/>
      <c r="C1602" s="70"/>
      <c r="D1602" s="70"/>
      <c r="E1602" s="70"/>
      <c r="F1602" s="70"/>
      <c r="G1602" s="70"/>
      <c r="H1602" s="131"/>
      <c r="I1602" s="3"/>
    </row>
    <row r="1603" spans="1:9" s="93" customFormat="1" ht="9" customHeight="1" x14ac:dyDescent="0.3">
      <c r="A1603" s="91"/>
      <c r="B1603" s="70"/>
      <c r="C1603" s="70"/>
      <c r="D1603" s="70"/>
      <c r="E1603" s="70"/>
      <c r="F1603" s="70"/>
      <c r="G1603" s="70"/>
      <c r="H1603" s="131"/>
      <c r="I1603" s="3"/>
    </row>
    <row r="1604" spans="1:9" s="93" customFormat="1" ht="9" customHeight="1" x14ac:dyDescent="0.3">
      <c r="A1604" s="91"/>
      <c r="B1604" s="70"/>
      <c r="C1604" s="70"/>
      <c r="D1604" s="70"/>
      <c r="E1604" s="70"/>
      <c r="F1604" s="70"/>
      <c r="G1604" s="70"/>
      <c r="H1604" s="131"/>
      <c r="I1604" s="3"/>
    </row>
    <row r="1605" spans="1:9" s="93" customFormat="1" ht="9" customHeight="1" x14ac:dyDescent="0.3">
      <c r="A1605" s="91"/>
      <c r="B1605" s="70"/>
      <c r="C1605" s="70"/>
      <c r="D1605" s="70"/>
      <c r="E1605" s="70"/>
      <c r="F1605" s="70"/>
      <c r="G1605" s="70"/>
      <c r="H1605" s="131"/>
      <c r="I1605" s="3"/>
    </row>
    <row r="1606" spans="1:9" s="93" customFormat="1" ht="9" customHeight="1" x14ac:dyDescent="0.3">
      <c r="A1606" s="91"/>
      <c r="B1606" s="70"/>
      <c r="C1606" s="70"/>
      <c r="D1606" s="70"/>
      <c r="E1606" s="70"/>
      <c r="F1606" s="70"/>
      <c r="G1606" s="70"/>
      <c r="H1606" s="131"/>
      <c r="I1606" s="3"/>
    </row>
    <row r="1607" spans="1:9" s="93" customFormat="1" ht="9" customHeight="1" x14ac:dyDescent="0.3">
      <c r="A1607" s="91"/>
      <c r="B1607" s="70"/>
      <c r="C1607" s="70"/>
      <c r="D1607" s="70"/>
      <c r="E1607" s="70"/>
      <c r="F1607" s="70"/>
      <c r="G1607" s="70"/>
      <c r="H1607" s="131"/>
      <c r="I1607" s="3"/>
    </row>
    <row r="1608" spans="1:9" s="93" customFormat="1" ht="9" customHeight="1" x14ac:dyDescent="0.3">
      <c r="A1608" s="91"/>
      <c r="B1608" s="70"/>
      <c r="C1608" s="70"/>
      <c r="D1608" s="70"/>
      <c r="E1608" s="70"/>
      <c r="F1608" s="70"/>
      <c r="G1608" s="70"/>
      <c r="H1608" s="131"/>
      <c r="I1608" s="3"/>
    </row>
    <row r="1609" spans="1:9" s="93" customFormat="1" ht="9" customHeight="1" x14ac:dyDescent="0.3">
      <c r="A1609" s="91"/>
      <c r="B1609" s="70"/>
      <c r="C1609" s="70"/>
      <c r="D1609" s="70"/>
      <c r="E1609" s="70"/>
      <c r="F1609" s="70"/>
      <c r="G1609" s="70"/>
      <c r="H1609" s="131"/>
      <c r="I1609" s="3"/>
    </row>
    <row r="1610" spans="1:9" s="93" customFormat="1" ht="9" customHeight="1" x14ac:dyDescent="0.3">
      <c r="A1610" s="91"/>
      <c r="B1610" s="70"/>
      <c r="C1610" s="70"/>
      <c r="D1610" s="70"/>
      <c r="E1610" s="70"/>
      <c r="F1610" s="70"/>
      <c r="G1610" s="70"/>
      <c r="H1610" s="131"/>
      <c r="I1610" s="3"/>
    </row>
    <row r="1611" spans="1:9" s="93" customFormat="1" ht="9" customHeight="1" x14ac:dyDescent="0.3">
      <c r="A1611" s="91"/>
      <c r="B1611" s="70"/>
      <c r="C1611" s="70"/>
      <c r="D1611" s="70"/>
      <c r="E1611" s="70"/>
      <c r="F1611" s="70"/>
      <c r="G1611" s="70"/>
      <c r="H1611" s="131"/>
      <c r="I1611" s="3"/>
    </row>
    <row r="1612" spans="1:9" s="93" customFormat="1" ht="9" customHeight="1" x14ac:dyDescent="0.3">
      <c r="A1612" s="91"/>
      <c r="B1612" s="70"/>
      <c r="C1612" s="70"/>
      <c r="D1612" s="70"/>
      <c r="E1612" s="70"/>
      <c r="F1612" s="70"/>
      <c r="G1612" s="70"/>
      <c r="H1612" s="131"/>
      <c r="I1612" s="3"/>
    </row>
    <row r="1613" spans="1:9" s="93" customFormat="1" ht="9" customHeight="1" x14ac:dyDescent="0.3">
      <c r="A1613" s="91"/>
      <c r="B1613" s="70"/>
      <c r="C1613" s="70"/>
      <c r="D1613" s="70"/>
      <c r="E1613" s="70"/>
      <c r="F1613" s="70"/>
      <c r="G1613" s="70"/>
      <c r="H1613" s="131"/>
      <c r="I1613" s="3"/>
    </row>
    <row r="1614" spans="1:9" s="93" customFormat="1" ht="9" customHeight="1" x14ac:dyDescent="0.3">
      <c r="A1614" s="91"/>
      <c r="B1614" s="70"/>
      <c r="C1614" s="70"/>
      <c r="D1614" s="70"/>
      <c r="E1614" s="70"/>
      <c r="F1614" s="70"/>
      <c r="G1614" s="70"/>
      <c r="H1614" s="131"/>
      <c r="I1614" s="3"/>
    </row>
    <row r="1615" spans="1:9" s="93" customFormat="1" ht="9" customHeight="1" x14ac:dyDescent="0.3">
      <c r="A1615" s="91"/>
      <c r="B1615" s="70"/>
      <c r="C1615" s="70"/>
      <c r="D1615" s="70"/>
      <c r="E1615" s="70"/>
      <c r="F1615" s="70"/>
      <c r="G1615" s="70"/>
      <c r="H1615" s="131"/>
      <c r="I1615" s="3"/>
    </row>
    <row r="1616" spans="1:9" s="93" customFormat="1" ht="9" customHeight="1" x14ac:dyDescent="0.3">
      <c r="A1616" s="91"/>
      <c r="B1616" s="70"/>
      <c r="C1616" s="70"/>
      <c r="D1616" s="70"/>
      <c r="E1616" s="70"/>
      <c r="F1616" s="70"/>
      <c r="G1616" s="70"/>
      <c r="H1616" s="131"/>
      <c r="I1616" s="3"/>
    </row>
    <row r="1617" spans="1:9" s="93" customFormat="1" ht="9" customHeight="1" x14ac:dyDescent="0.3">
      <c r="A1617" s="91"/>
      <c r="B1617" s="70"/>
      <c r="C1617" s="70"/>
      <c r="D1617" s="70"/>
      <c r="E1617" s="70"/>
      <c r="F1617" s="70"/>
      <c r="G1617" s="70"/>
      <c r="H1617" s="131"/>
      <c r="I1617" s="3"/>
    </row>
    <row r="1618" spans="1:9" s="93" customFormat="1" ht="9" customHeight="1" x14ac:dyDescent="0.3">
      <c r="A1618" s="91"/>
      <c r="B1618" s="70"/>
      <c r="C1618" s="70"/>
      <c r="D1618" s="70"/>
      <c r="E1618" s="70"/>
      <c r="F1618" s="70"/>
      <c r="G1618" s="70"/>
      <c r="H1618" s="131"/>
      <c r="I1618" s="3"/>
    </row>
    <row r="1619" spans="1:9" s="93" customFormat="1" ht="9" customHeight="1" x14ac:dyDescent="0.3">
      <c r="A1619" s="91"/>
      <c r="B1619" s="70"/>
      <c r="C1619" s="70"/>
      <c r="D1619" s="70"/>
      <c r="E1619" s="70"/>
      <c r="F1619" s="70"/>
      <c r="G1619" s="70"/>
      <c r="H1619" s="131"/>
      <c r="I1619" s="3"/>
    </row>
    <row r="1620" spans="1:9" s="93" customFormat="1" ht="9" customHeight="1" x14ac:dyDescent="0.3">
      <c r="A1620" s="91"/>
      <c r="B1620" s="70"/>
      <c r="C1620" s="70"/>
      <c r="D1620" s="70"/>
      <c r="E1620" s="70"/>
      <c r="F1620" s="70"/>
      <c r="G1620" s="70"/>
      <c r="H1620" s="131"/>
      <c r="I1620" s="3"/>
    </row>
    <row r="1621" spans="1:9" s="93" customFormat="1" ht="9" customHeight="1" x14ac:dyDescent="0.3">
      <c r="A1621" s="91"/>
      <c r="B1621" s="70"/>
      <c r="C1621" s="70"/>
      <c r="D1621" s="70"/>
      <c r="E1621" s="70"/>
      <c r="F1621" s="70"/>
      <c r="G1621" s="70"/>
      <c r="H1621" s="131"/>
      <c r="I1621" s="3"/>
    </row>
    <row r="1622" spans="1:9" s="93" customFormat="1" ht="9" customHeight="1" x14ac:dyDescent="0.3">
      <c r="A1622" s="91"/>
      <c r="B1622" s="70"/>
      <c r="C1622" s="70"/>
      <c r="D1622" s="70"/>
      <c r="E1622" s="70"/>
      <c r="F1622" s="70"/>
      <c r="G1622" s="70"/>
      <c r="H1622" s="131"/>
      <c r="I1622" s="3"/>
    </row>
    <row r="1623" spans="1:9" s="93" customFormat="1" ht="9" customHeight="1" x14ac:dyDescent="0.3">
      <c r="A1623" s="91"/>
      <c r="B1623" s="70"/>
      <c r="C1623" s="70"/>
      <c r="D1623" s="70"/>
      <c r="E1623" s="70"/>
      <c r="F1623" s="70"/>
      <c r="G1623" s="70"/>
      <c r="H1623" s="131"/>
      <c r="I1623" s="3"/>
    </row>
    <row r="1624" spans="1:9" s="93" customFormat="1" ht="9" customHeight="1" x14ac:dyDescent="0.3">
      <c r="A1624" s="91"/>
      <c r="B1624" s="70"/>
      <c r="C1624" s="70"/>
      <c r="D1624" s="70"/>
      <c r="E1624" s="70"/>
      <c r="F1624" s="70"/>
      <c r="G1624" s="70"/>
      <c r="H1624" s="131"/>
      <c r="I1624" s="3"/>
    </row>
    <row r="1625" spans="1:9" s="93" customFormat="1" ht="9" customHeight="1" x14ac:dyDescent="0.3">
      <c r="A1625" s="91"/>
      <c r="B1625" s="70"/>
      <c r="C1625" s="70"/>
      <c r="D1625" s="70"/>
      <c r="E1625" s="70"/>
      <c r="F1625" s="70"/>
      <c r="G1625" s="70"/>
      <c r="H1625" s="131"/>
      <c r="I1625" s="3"/>
    </row>
    <row r="1626" spans="1:9" s="93" customFormat="1" ht="9" customHeight="1" x14ac:dyDescent="0.3">
      <c r="A1626" s="91"/>
      <c r="B1626" s="70"/>
      <c r="C1626" s="70"/>
      <c r="D1626" s="70"/>
      <c r="E1626" s="70"/>
      <c r="F1626" s="70"/>
      <c r="G1626" s="70"/>
      <c r="H1626" s="131"/>
      <c r="I1626" s="3"/>
    </row>
    <row r="1627" spans="1:9" s="93" customFormat="1" ht="9" customHeight="1" x14ac:dyDescent="0.3">
      <c r="A1627" s="91"/>
      <c r="B1627" s="70"/>
      <c r="C1627" s="70"/>
      <c r="D1627" s="70"/>
      <c r="E1627" s="70"/>
      <c r="F1627" s="70"/>
      <c r="G1627" s="70"/>
      <c r="H1627" s="131"/>
      <c r="I1627" s="3"/>
    </row>
    <row r="1628" spans="1:9" s="93" customFormat="1" ht="9" customHeight="1" x14ac:dyDescent="0.3">
      <c r="A1628" s="91"/>
      <c r="B1628" s="70"/>
      <c r="C1628" s="70"/>
      <c r="D1628" s="70"/>
      <c r="E1628" s="70"/>
      <c r="F1628" s="70"/>
      <c r="G1628" s="70"/>
      <c r="H1628" s="131"/>
      <c r="I1628" s="3"/>
    </row>
    <row r="1629" spans="1:9" s="93" customFormat="1" ht="9" customHeight="1" x14ac:dyDescent="0.3">
      <c r="A1629" s="91"/>
      <c r="B1629" s="70"/>
      <c r="C1629" s="70"/>
      <c r="D1629" s="70"/>
      <c r="E1629" s="70"/>
      <c r="F1629" s="70"/>
      <c r="G1629" s="70"/>
      <c r="H1629" s="131"/>
      <c r="I1629" s="3"/>
    </row>
    <row r="1630" spans="1:9" s="93" customFormat="1" ht="9" customHeight="1" x14ac:dyDescent="0.3">
      <c r="A1630" s="91"/>
      <c r="B1630" s="70"/>
      <c r="C1630" s="70"/>
      <c r="D1630" s="70"/>
      <c r="E1630" s="70"/>
      <c r="F1630" s="70"/>
      <c r="G1630" s="70"/>
      <c r="H1630" s="131"/>
      <c r="I1630" s="3"/>
    </row>
    <row r="1631" spans="1:9" s="93" customFormat="1" ht="9" customHeight="1" x14ac:dyDescent="0.3">
      <c r="A1631" s="91"/>
      <c r="B1631" s="70"/>
      <c r="C1631" s="70"/>
      <c r="D1631" s="70"/>
      <c r="E1631" s="70"/>
      <c r="F1631" s="70"/>
      <c r="G1631" s="70"/>
      <c r="H1631" s="131"/>
      <c r="I1631" s="3"/>
    </row>
    <row r="1632" spans="1:9" s="93" customFormat="1" ht="9" customHeight="1" x14ac:dyDescent="0.3">
      <c r="A1632" s="91"/>
      <c r="B1632" s="70"/>
      <c r="C1632" s="70"/>
      <c r="D1632" s="70"/>
      <c r="E1632" s="70"/>
      <c r="F1632" s="70"/>
      <c r="G1632" s="70"/>
      <c r="H1632" s="131"/>
      <c r="I1632" s="3"/>
    </row>
    <row r="1633" spans="1:9" s="93" customFormat="1" ht="9" customHeight="1" x14ac:dyDescent="0.3">
      <c r="A1633" s="91"/>
      <c r="B1633" s="70"/>
      <c r="C1633" s="70"/>
      <c r="D1633" s="70"/>
      <c r="E1633" s="70"/>
      <c r="F1633" s="70"/>
      <c r="G1633" s="70"/>
      <c r="H1633" s="131"/>
      <c r="I1633" s="3"/>
    </row>
    <row r="1634" spans="1:9" s="93" customFormat="1" ht="9" customHeight="1" x14ac:dyDescent="0.3">
      <c r="A1634" s="91"/>
      <c r="B1634" s="70"/>
      <c r="C1634" s="70"/>
      <c r="D1634" s="70"/>
      <c r="E1634" s="70"/>
      <c r="F1634" s="70"/>
      <c r="G1634" s="70"/>
      <c r="H1634" s="131"/>
      <c r="I1634" s="3"/>
    </row>
    <row r="1635" spans="1:9" s="93" customFormat="1" ht="9" customHeight="1" x14ac:dyDescent="0.3">
      <c r="A1635" s="91"/>
      <c r="B1635" s="70"/>
      <c r="C1635" s="70"/>
      <c r="D1635" s="70"/>
      <c r="E1635" s="70"/>
      <c r="F1635" s="70"/>
      <c r="G1635" s="70"/>
      <c r="H1635" s="131"/>
      <c r="I1635" s="3"/>
    </row>
    <row r="1636" spans="1:9" s="93" customFormat="1" ht="9" customHeight="1" x14ac:dyDescent="0.3">
      <c r="A1636" s="91"/>
      <c r="B1636" s="70"/>
      <c r="C1636" s="70"/>
      <c r="D1636" s="70"/>
      <c r="E1636" s="70"/>
      <c r="F1636" s="70"/>
      <c r="G1636" s="70"/>
      <c r="H1636" s="131"/>
      <c r="I1636" s="3"/>
    </row>
    <row r="1637" spans="1:9" s="93" customFormat="1" ht="9" customHeight="1" x14ac:dyDescent="0.3">
      <c r="A1637" s="91"/>
      <c r="B1637" s="70"/>
      <c r="C1637" s="70"/>
      <c r="D1637" s="70"/>
      <c r="E1637" s="70"/>
      <c r="F1637" s="70"/>
      <c r="G1637" s="70"/>
      <c r="H1637" s="131"/>
      <c r="I1637" s="3"/>
    </row>
    <row r="1638" spans="1:9" s="93" customFormat="1" ht="9" customHeight="1" x14ac:dyDescent="0.3">
      <c r="A1638" s="91"/>
      <c r="B1638" s="70"/>
      <c r="C1638" s="70"/>
      <c r="D1638" s="70"/>
      <c r="E1638" s="70"/>
      <c r="F1638" s="70"/>
      <c r="G1638" s="70"/>
      <c r="H1638" s="131"/>
      <c r="I1638" s="3"/>
    </row>
    <row r="1639" spans="1:9" s="93" customFormat="1" ht="9" customHeight="1" x14ac:dyDescent="0.3">
      <c r="A1639" s="91"/>
      <c r="B1639" s="70"/>
      <c r="C1639" s="70"/>
      <c r="D1639" s="70"/>
      <c r="E1639" s="70"/>
      <c r="F1639" s="70"/>
      <c r="G1639" s="70"/>
      <c r="H1639" s="131"/>
      <c r="I1639" s="3"/>
    </row>
    <row r="1640" spans="1:9" s="93" customFormat="1" ht="9" customHeight="1" x14ac:dyDescent="0.3">
      <c r="A1640" s="91"/>
      <c r="B1640" s="70"/>
      <c r="C1640" s="70"/>
      <c r="D1640" s="70"/>
      <c r="E1640" s="70"/>
      <c r="F1640" s="70"/>
      <c r="G1640" s="70"/>
      <c r="H1640" s="131"/>
      <c r="I1640" s="3"/>
    </row>
    <row r="1641" spans="1:9" s="93" customFormat="1" ht="9" customHeight="1" x14ac:dyDescent="0.3">
      <c r="A1641" s="91"/>
      <c r="B1641" s="70"/>
      <c r="C1641" s="70"/>
      <c r="D1641" s="70"/>
      <c r="E1641" s="70"/>
      <c r="F1641" s="70"/>
      <c r="G1641" s="70"/>
      <c r="H1641" s="131"/>
      <c r="I1641" s="3"/>
    </row>
    <row r="1642" spans="1:9" s="93" customFormat="1" ht="9" customHeight="1" x14ac:dyDescent="0.3">
      <c r="A1642" s="91"/>
      <c r="B1642" s="70"/>
      <c r="C1642" s="70"/>
      <c r="D1642" s="70"/>
      <c r="E1642" s="70"/>
      <c r="F1642" s="70"/>
      <c r="G1642" s="70"/>
      <c r="H1642" s="131"/>
      <c r="I1642" s="3"/>
    </row>
    <row r="1643" spans="1:9" s="93" customFormat="1" ht="9" customHeight="1" x14ac:dyDescent="0.3">
      <c r="A1643" s="91"/>
      <c r="B1643" s="70"/>
      <c r="C1643" s="70"/>
      <c r="D1643" s="70"/>
      <c r="E1643" s="70"/>
      <c r="F1643" s="70"/>
      <c r="G1643" s="70"/>
      <c r="H1643" s="131"/>
      <c r="I1643" s="3"/>
    </row>
    <row r="1644" spans="1:9" s="93" customFormat="1" ht="9" customHeight="1" x14ac:dyDescent="0.3">
      <c r="A1644" s="91"/>
      <c r="B1644" s="70"/>
      <c r="C1644" s="70"/>
      <c r="D1644" s="70"/>
      <c r="E1644" s="70"/>
      <c r="F1644" s="70"/>
      <c r="G1644" s="70"/>
      <c r="H1644" s="131"/>
      <c r="I1644" s="3"/>
    </row>
    <row r="1645" spans="1:9" s="93" customFormat="1" ht="9" customHeight="1" x14ac:dyDescent="0.3">
      <c r="A1645" s="91"/>
      <c r="B1645" s="70"/>
      <c r="C1645" s="70"/>
      <c r="D1645" s="70"/>
      <c r="E1645" s="70"/>
      <c r="F1645" s="70"/>
      <c r="G1645" s="70"/>
      <c r="H1645" s="131"/>
      <c r="I1645" s="3"/>
    </row>
    <row r="1646" spans="1:9" s="93" customFormat="1" ht="9" customHeight="1" x14ac:dyDescent="0.3">
      <c r="A1646" s="91"/>
      <c r="B1646" s="70"/>
      <c r="C1646" s="70"/>
      <c r="D1646" s="70"/>
      <c r="E1646" s="70"/>
      <c r="F1646" s="70"/>
      <c r="G1646" s="70"/>
      <c r="H1646" s="131"/>
      <c r="I1646" s="3"/>
    </row>
    <row r="1647" spans="1:9" s="93" customFormat="1" ht="9" customHeight="1" x14ac:dyDescent="0.3">
      <c r="A1647" s="91"/>
      <c r="B1647" s="70"/>
      <c r="C1647" s="70"/>
      <c r="D1647" s="70"/>
      <c r="E1647" s="70"/>
      <c r="F1647" s="70"/>
      <c r="G1647" s="70"/>
      <c r="H1647" s="131"/>
      <c r="I1647" s="3"/>
    </row>
    <row r="1648" spans="1:9" s="93" customFormat="1" ht="9" customHeight="1" x14ac:dyDescent="0.3">
      <c r="A1648" s="91"/>
      <c r="B1648" s="70"/>
      <c r="C1648" s="70"/>
      <c r="D1648" s="70"/>
      <c r="E1648" s="70"/>
      <c r="F1648" s="70"/>
      <c r="G1648" s="70"/>
      <c r="H1648" s="131"/>
      <c r="I1648" s="3"/>
    </row>
    <row r="1649" spans="1:9" s="93" customFormat="1" ht="9" customHeight="1" x14ac:dyDescent="0.3">
      <c r="A1649" s="91"/>
      <c r="B1649" s="70"/>
      <c r="C1649" s="70"/>
      <c r="D1649" s="70"/>
      <c r="E1649" s="70"/>
      <c r="F1649" s="70"/>
      <c r="G1649" s="70"/>
      <c r="H1649" s="131"/>
      <c r="I1649" s="3"/>
    </row>
    <row r="1650" spans="1:9" s="93" customFormat="1" ht="9" customHeight="1" x14ac:dyDescent="0.3">
      <c r="A1650" s="91"/>
      <c r="B1650" s="70"/>
      <c r="C1650" s="70"/>
      <c r="D1650" s="70"/>
      <c r="E1650" s="70"/>
      <c r="F1650" s="70"/>
      <c r="G1650" s="70"/>
      <c r="H1650" s="131"/>
      <c r="I1650" s="3"/>
    </row>
    <row r="1651" spans="1:9" s="93" customFormat="1" ht="9" customHeight="1" x14ac:dyDescent="0.3">
      <c r="A1651" s="91"/>
      <c r="B1651" s="70"/>
      <c r="C1651" s="70"/>
      <c r="D1651" s="70"/>
      <c r="E1651" s="70"/>
      <c r="F1651" s="70"/>
      <c r="G1651" s="70"/>
      <c r="H1651" s="131"/>
      <c r="I1651" s="3"/>
    </row>
    <row r="1652" spans="1:9" s="93" customFormat="1" ht="9" customHeight="1" x14ac:dyDescent="0.3">
      <c r="A1652" s="91"/>
      <c r="B1652" s="70"/>
      <c r="C1652" s="70"/>
      <c r="D1652" s="70"/>
      <c r="E1652" s="70"/>
      <c r="F1652" s="70"/>
      <c r="G1652" s="70"/>
      <c r="H1652" s="131"/>
      <c r="I1652" s="3"/>
    </row>
    <row r="1653" spans="1:9" s="93" customFormat="1" ht="9" customHeight="1" x14ac:dyDescent="0.3">
      <c r="A1653" s="91"/>
      <c r="B1653" s="70"/>
      <c r="C1653" s="70"/>
      <c r="D1653" s="70"/>
      <c r="E1653" s="70"/>
      <c r="F1653" s="70"/>
      <c r="G1653" s="70"/>
      <c r="H1653" s="131"/>
      <c r="I1653" s="3"/>
    </row>
    <row r="1654" spans="1:9" s="93" customFormat="1" ht="9" customHeight="1" x14ac:dyDescent="0.3">
      <c r="A1654" s="91"/>
      <c r="B1654" s="70"/>
      <c r="C1654" s="70"/>
      <c r="D1654" s="70"/>
      <c r="E1654" s="70"/>
      <c r="F1654" s="70"/>
      <c r="G1654" s="70"/>
      <c r="H1654" s="131"/>
      <c r="I1654" s="3"/>
    </row>
    <row r="1655" spans="1:9" s="93" customFormat="1" ht="9" customHeight="1" x14ac:dyDescent="0.3">
      <c r="A1655" s="91"/>
      <c r="B1655" s="70"/>
      <c r="C1655" s="70"/>
      <c r="D1655" s="70"/>
      <c r="E1655" s="70"/>
      <c r="F1655" s="70"/>
      <c r="G1655" s="70"/>
      <c r="H1655" s="131"/>
      <c r="I1655" s="3"/>
    </row>
    <row r="1656" spans="1:9" s="93" customFormat="1" ht="9" customHeight="1" x14ac:dyDescent="0.3">
      <c r="A1656" s="91"/>
      <c r="B1656" s="70"/>
      <c r="C1656" s="70"/>
      <c r="D1656" s="70"/>
      <c r="E1656" s="70"/>
      <c r="F1656" s="70"/>
      <c r="G1656" s="70"/>
      <c r="H1656" s="131"/>
      <c r="I1656" s="3"/>
    </row>
    <row r="1657" spans="1:9" s="93" customFormat="1" ht="9" customHeight="1" x14ac:dyDescent="0.3">
      <c r="A1657" s="91"/>
      <c r="B1657" s="70"/>
      <c r="C1657" s="70"/>
      <c r="D1657" s="70"/>
      <c r="E1657" s="70"/>
      <c r="F1657" s="70"/>
      <c r="G1657" s="70"/>
      <c r="H1657" s="131"/>
      <c r="I1657" s="3"/>
    </row>
    <row r="1658" spans="1:9" s="93" customFormat="1" ht="9" customHeight="1" x14ac:dyDescent="0.3">
      <c r="A1658" s="91"/>
      <c r="B1658" s="70"/>
      <c r="C1658" s="70"/>
      <c r="D1658" s="70"/>
      <c r="E1658" s="70"/>
      <c r="F1658" s="70"/>
      <c r="G1658" s="70"/>
      <c r="H1658" s="131"/>
      <c r="I1658" s="3"/>
    </row>
    <row r="1659" spans="1:9" s="93" customFormat="1" ht="9" customHeight="1" x14ac:dyDescent="0.3">
      <c r="A1659" s="91"/>
      <c r="B1659" s="70"/>
      <c r="C1659" s="70"/>
      <c r="D1659" s="70"/>
      <c r="E1659" s="70"/>
      <c r="F1659" s="70"/>
      <c r="G1659" s="70"/>
      <c r="H1659" s="131"/>
      <c r="I1659" s="3"/>
    </row>
    <row r="1660" spans="1:9" s="93" customFormat="1" ht="9" customHeight="1" x14ac:dyDescent="0.3">
      <c r="A1660" s="91"/>
      <c r="B1660" s="70"/>
      <c r="C1660" s="70"/>
      <c r="D1660" s="70"/>
      <c r="E1660" s="70"/>
      <c r="F1660" s="70"/>
      <c r="G1660" s="70"/>
      <c r="H1660" s="131"/>
      <c r="I1660" s="3"/>
    </row>
    <row r="1661" spans="1:9" s="93" customFormat="1" ht="9" customHeight="1" x14ac:dyDescent="0.3">
      <c r="A1661" s="91"/>
      <c r="B1661" s="70"/>
      <c r="C1661" s="70"/>
      <c r="D1661" s="70"/>
      <c r="E1661" s="70"/>
      <c r="F1661" s="70"/>
      <c r="G1661" s="70"/>
      <c r="H1661" s="131"/>
      <c r="I1661" s="3"/>
    </row>
    <row r="1662" spans="1:9" s="93" customFormat="1" ht="9" customHeight="1" x14ac:dyDescent="0.3">
      <c r="A1662" s="91"/>
      <c r="B1662" s="70"/>
      <c r="C1662" s="70"/>
      <c r="D1662" s="70"/>
      <c r="E1662" s="70"/>
      <c r="F1662" s="70"/>
      <c r="G1662" s="70"/>
      <c r="H1662" s="131"/>
      <c r="I1662" s="3"/>
    </row>
    <row r="1663" spans="1:9" s="93" customFormat="1" ht="9" customHeight="1" x14ac:dyDescent="0.3">
      <c r="A1663" s="91"/>
      <c r="B1663" s="70"/>
      <c r="C1663" s="70"/>
      <c r="D1663" s="70"/>
      <c r="E1663" s="70"/>
      <c r="F1663" s="70"/>
      <c r="G1663" s="70"/>
      <c r="H1663" s="131"/>
      <c r="I1663" s="3"/>
    </row>
    <row r="1664" spans="1:9" s="93" customFormat="1" ht="9" customHeight="1" x14ac:dyDescent="0.3">
      <c r="A1664" s="91"/>
      <c r="B1664" s="70"/>
      <c r="C1664" s="70"/>
      <c r="D1664" s="70"/>
      <c r="E1664" s="70"/>
      <c r="F1664" s="70"/>
      <c r="G1664" s="70"/>
      <c r="H1664" s="131"/>
      <c r="I1664" s="3"/>
    </row>
    <row r="1665" spans="1:9" s="93" customFormat="1" ht="9" customHeight="1" x14ac:dyDescent="0.3">
      <c r="A1665" s="91"/>
      <c r="B1665" s="70"/>
      <c r="C1665" s="70"/>
      <c r="D1665" s="70"/>
      <c r="E1665" s="70"/>
      <c r="F1665" s="70"/>
      <c r="G1665" s="70"/>
      <c r="H1665" s="131"/>
      <c r="I1665" s="3"/>
    </row>
    <row r="1666" spans="1:9" s="93" customFormat="1" ht="9" customHeight="1" x14ac:dyDescent="0.3">
      <c r="A1666" s="91"/>
      <c r="B1666" s="70"/>
      <c r="C1666" s="70"/>
      <c r="D1666" s="70"/>
      <c r="E1666" s="70"/>
      <c r="F1666" s="70"/>
      <c r="G1666" s="70"/>
      <c r="H1666" s="131"/>
      <c r="I1666" s="3"/>
    </row>
    <row r="1667" spans="1:9" s="93" customFormat="1" ht="9" customHeight="1" x14ac:dyDescent="0.3">
      <c r="A1667" s="91"/>
      <c r="B1667" s="70"/>
      <c r="C1667" s="70"/>
      <c r="D1667" s="70"/>
      <c r="E1667" s="70"/>
      <c r="F1667" s="70"/>
      <c r="G1667" s="70"/>
      <c r="H1667" s="131"/>
      <c r="I1667" s="3"/>
    </row>
    <row r="1668" spans="1:9" s="93" customFormat="1" ht="9" customHeight="1" x14ac:dyDescent="0.3">
      <c r="A1668" s="91"/>
      <c r="B1668" s="70"/>
      <c r="C1668" s="70"/>
      <c r="D1668" s="70"/>
      <c r="E1668" s="70"/>
      <c r="F1668" s="70"/>
      <c r="G1668" s="70"/>
      <c r="H1668" s="131"/>
      <c r="I1668" s="3"/>
    </row>
    <row r="1669" spans="1:9" s="93" customFormat="1" ht="9" customHeight="1" x14ac:dyDescent="0.3">
      <c r="A1669" s="91"/>
      <c r="B1669" s="70"/>
      <c r="C1669" s="70"/>
      <c r="D1669" s="70"/>
      <c r="E1669" s="70"/>
      <c r="F1669" s="70"/>
      <c r="G1669" s="70"/>
      <c r="H1669" s="131"/>
      <c r="I1669" s="3"/>
    </row>
    <row r="1670" spans="1:9" s="93" customFormat="1" ht="9" customHeight="1" x14ac:dyDescent="0.3">
      <c r="A1670" s="91"/>
      <c r="B1670" s="70"/>
      <c r="C1670" s="70"/>
      <c r="D1670" s="70"/>
      <c r="E1670" s="70"/>
      <c r="F1670" s="70"/>
      <c r="G1670" s="70"/>
      <c r="H1670" s="131"/>
      <c r="I1670" s="3"/>
    </row>
    <row r="1671" spans="1:9" s="93" customFormat="1" ht="9" customHeight="1" x14ac:dyDescent="0.3">
      <c r="A1671" s="91"/>
      <c r="B1671" s="70"/>
      <c r="C1671" s="70"/>
      <c r="D1671" s="70"/>
      <c r="E1671" s="70"/>
      <c r="F1671" s="70"/>
      <c r="G1671" s="70"/>
      <c r="H1671" s="131"/>
      <c r="I1671" s="3"/>
    </row>
    <row r="1672" spans="1:9" s="93" customFormat="1" ht="9" customHeight="1" x14ac:dyDescent="0.3">
      <c r="A1672" s="91"/>
      <c r="B1672" s="70"/>
      <c r="C1672" s="70"/>
      <c r="D1672" s="70"/>
      <c r="E1672" s="70"/>
      <c r="F1672" s="70"/>
      <c r="G1672" s="70"/>
      <c r="H1672" s="131"/>
      <c r="I1672" s="3"/>
    </row>
    <row r="1673" spans="1:9" s="93" customFormat="1" ht="9" customHeight="1" x14ac:dyDescent="0.3">
      <c r="A1673" s="91"/>
      <c r="B1673" s="70"/>
      <c r="C1673" s="70"/>
      <c r="D1673" s="70"/>
      <c r="E1673" s="70"/>
      <c r="F1673" s="70"/>
      <c r="G1673" s="70"/>
      <c r="H1673" s="131"/>
      <c r="I1673" s="3"/>
    </row>
    <row r="1674" spans="1:9" s="93" customFormat="1" ht="9" customHeight="1" x14ac:dyDescent="0.3">
      <c r="A1674" s="91"/>
      <c r="B1674" s="70"/>
      <c r="C1674" s="70"/>
      <c r="D1674" s="70"/>
      <c r="E1674" s="70"/>
      <c r="F1674" s="70"/>
      <c r="G1674" s="70"/>
      <c r="H1674" s="131"/>
      <c r="I1674" s="3"/>
    </row>
    <row r="1675" spans="1:9" s="93" customFormat="1" ht="9" customHeight="1" x14ac:dyDescent="0.3">
      <c r="A1675" s="91"/>
      <c r="B1675" s="70"/>
      <c r="C1675" s="70"/>
      <c r="D1675" s="70"/>
      <c r="E1675" s="70"/>
      <c r="F1675" s="70"/>
      <c r="G1675" s="70"/>
      <c r="H1675" s="131"/>
      <c r="I1675" s="3"/>
    </row>
    <row r="1676" spans="1:9" s="93" customFormat="1" ht="9" customHeight="1" x14ac:dyDescent="0.3">
      <c r="A1676" s="91"/>
      <c r="B1676" s="70"/>
      <c r="C1676" s="70"/>
      <c r="D1676" s="70"/>
      <c r="E1676" s="70"/>
      <c r="F1676" s="70"/>
      <c r="G1676" s="70"/>
      <c r="H1676" s="131"/>
      <c r="I1676" s="3"/>
    </row>
    <row r="1677" spans="1:9" s="93" customFormat="1" ht="9" customHeight="1" x14ac:dyDescent="0.3">
      <c r="A1677" s="91"/>
      <c r="B1677" s="70"/>
      <c r="C1677" s="70"/>
      <c r="D1677" s="70"/>
      <c r="E1677" s="70"/>
      <c r="F1677" s="70"/>
      <c r="G1677" s="70"/>
      <c r="H1677" s="131"/>
      <c r="I1677" s="3"/>
    </row>
    <row r="1678" spans="1:9" s="93" customFormat="1" ht="9" customHeight="1" x14ac:dyDescent="0.3">
      <c r="A1678" s="91"/>
      <c r="B1678" s="70"/>
      <c r="C1678" s="70"/>
      <c r="D1678" s="70"/>
      <c r="E1678" s="70"/>
      <c r="F1678" s="70"/>
      <c r="G1678" s="70"/>
      <c r="H1678" s="131"/>
      <c r="I1678" s="3"/>
    </row>
    <row r="1679" spans="1:9" s="93" customFormat="1" ht="9" customHeight="1" x14ac:dyDescent="0.3">
      <c r="A1679" s="91"/>
      <c r="B1679" s="70"/>
      <c r="C1679" s="70"/>
      <c r="D1679" s="70"/>
      <c r="E1679" s="70"/>
      <c r="F1679" s="70"/>
      <c r="G1679" s="70"/>
      <c r="H1679" s="131"/>
      <c r="I1679" s="3"/>
    </row>
    <row r="1680" spans="1:9" s="93" customFormat="1" ht="9" customHeight="1" x14ac:dyDescent="0.3">
      <c r="A1680" s="91"/>
      <c r="B1680" s="70"/>
      <c r="C1680" s="70"/>
      <c r="D1680" s="70"/>
      <c r="E1680" s="70"/>
      <c r="F1680" s="70"/>
      <c r="G1680" s="70"/>
      <c r="H1680" s="131"/>
      <c r="I1680" s="3"/>
    </row>
    <row r="1681" spans="1:9" s="93" customFormat="1" ht="9" customHeight="1" x14ac:dyDescent="0.3">
      <c r="A1681" s="91"/>
      <c r="B1681" s="70"/>
      <c r="C1681" s="70"/>
      <c r="D1681" s="70"/>
      <c r="E1681" s="70"/>
      <c r="F1681" s="70"/>
      <c r="G1681" s="70"/>
      <c r="H1681" s="131"/>
      <c r="I1681" s="3"/>
    </row>
    <row r="1682" spans="1:9" s="93" customFormat="1" ht="9" customHeight="1" x14ac:dyDescent="0.3">
      <c r="A1682" s="91"/>
      <c r="B1682" s="70"/>
      <c r="C1682" s="70"/>
      <c r="D1682" s="70"/>
      <c r="E1682" s="70"/>
      <c r="F1682" s="70"/>
      <c r="G1682" s="70"/>
      <c r="H1682" s="131"/>
      <c r="I1682" s="3"/>
    </row>
    <row r="1683" spans="1:9" s="93" customFormat="1" ht="9" customHeight="1" x14ac:dyDescent="0.3">
      <c r="A1683" s="91"/>
      <c r="B1683" s="70"/>
      <c r="C1683" s="70"/>
      <c r="D1683" s="70"/>
      <c r="E1683" s="70"/>
      <c r="F1683" s="70"/>
      <c r="G1683" s="70"/>
      <c r="H1683" s="131"/>
      <c r="I1683" s="3"/>
    </row>
    <row r="1684" spans="1:9" s="93" customFormat="1" ht="9" customHeight="1" x14ac:dyDescent="0.3">
      <c r="A1684" s="91"/>
      <c r="B1684" s="70"/>
      <c r="C1684" s="70"/>
      <c r="D1684" s="70"/>
      <c r="E1684" s="70"/>
      <c r="F1684" s="70"/>
      <c r="G1684" s="70"/>
      <c r="H1684" s="131"/>
      <c r="I1684" s="3"/>
    </row>
    <row r="1685" spans="1:9" s="93" customFormat="1" ht="9" customHeight="1" x14ac:dyDescent="0.3">
      <c r="A1685" s="91"/>
      <c r="B1685" s="70"/>
      <c r="C1685" s="70"/>
      <c r="D1685" s="70"/>
      <c r="E1685" s="70"/>
      <c r="F1685" s="70"/>
      <c r="G1685" s="70"/>
      <c r="H1685" s="131"/>
      <c r="I1685" s="3"/>
    </row>
    <row r="1686" spans="1:9" s="93" customFormat="1" ht="9" customHeight="1" x14ac:dyDescent="0.3">
      <c r="A1686" s="91"/>
      <c r="B1686" s="70"/>
      <c r="C1686" s="70"/>
      <c r="D1686" s="70"/>
      <c r="E1686" s="70"/>
      <c r="F1686" s="70"/>
      <c r="G1686" s="70"/>
      <c r="H1686" s="131"/>
      <c r="I1686" s="3"/>
    </row>
    <row r="1687" spans="1:9" s="93" customFormat="1" ht="9" customHeight="1" x14ac:dyDescent="0.3">
      <c r="A1687" s="91"/>
      <c r="B1687" s="70"/>
      <c r="C1687" s="70"/>
      <c r="D1687" s="70"/>
      <c r="E1687" s="70"/>
      <c r="F1687" s="70"/>
      <c r="G1687" s="70"/>
      <c r="H1687" s="131"/>
      <c r="I1687" s="3"/>
    </row>
    <row r="1688" spans="1:9" s="93" customFormat="1" ht="9" customHeight="1" x14ac:dyDescent="0.3">
      <c r="A1688" s="91"/>
      <c r="B1688" s="70"/>
      <c r="C1688" s="70"/>
      <c r="D1688" s="70"/>
      <c r="E1688" s="70"/>
      <c r="F1688" s="70"/>
      <c r="G1688" s="70"/>
      <c r="H1688" s="131"/>
      <c r="I1688" s="3"/>
    </row>
    <row r="1689" spans="1:9" s="93" customFormat="1" ht="9" customHeight="1" x14ac:dyDescent="0.3">
      <c r="A1689" s="91"/>
      <c r="B1689" s="70"/>
      <c r="C1689" s="70"/>
      <c r="D1689" s="70"/>
      <c r="E1689" s="70"/>
      <c r="F1689" s="70"/>
      <c r="G1689" s="70"/>
      <c r="H1689" s="131"/>
      <c r="I1689" s="3"/>
    </row>
    <row r="1690" spans="1:9" s="93" customFormat="1" ht="9" customHeight="1" x14ac:dyDescent="0.3">
      <c r="A1690" s="91"/>
      <c r="B1690" s="70"/>
      <c r="C1690" s="70"/>
      <c r="D1690" s="70"/>
      <c r="E1690" s="70"/>
      <c r="F1690" s="70"/>
      <c r="G1690" s="70"/>
      <c r="H1690" s="131"/>
      <c r="I1690" s="3"/>
    </row>
    <row r="1691" spans="1:9" s="93" customFormat="1" ht="9" customHeight="1" x14ac:dyDescent="0.3">
      <c r="A1691" s="91"/>
      <c r="B1691" s="70"/>
      <c r="C1691" s="70"/>
      <c r="D1691" s="70"/>
      <c r="E1691" s="70"/>
      <c r="F1691" s="70"/>
      <c r="G1691" s="70"/>
      <c r="H1691" s="131"/>
      <c r="I1691" s="3"/>
    </row>
    <row r="1692" spans="1:9" s="93" customFormat="1" ht="9" customHeight="1" x14ac:dyDescent="0.3">
      <c r="A1692" s="91"/>
      <c r="B1692" s="70"/>
      <c r="C1692" s="70"/>
      <c r="D1692" s="70"/>
      <c r="E1692" s="70"/>
      <c r="F1692" s="70"/>
      <c r="G1692" s="70"/>
      <c r="H1692" s="131"/>
      <c r="I1692" s="3"/>
    </row>
    <row r="1693" spans="1:9" s="93" customFormat="1" ht="9" customHeight="1" x14ac:dyDescent="0.3">
      <c r="A1693" s="91"/>
      <c r="B1693" s="70"/>
      <c r="C1693" s="70"/>
      <c r="D1693" s="70"/>
      <c r="E1693" s="70"/>
      <c r="F1693" s="70"/>
      <c r="G1693" s="70"/>
      <c r="H1693" s="131"/>
      <c r="I1693" s="3"/>
    </row>
    <row r="1694" spans="1:9" s="93" customFormat="1" ht="9" customHeight="1" x14ac:dyDescent="0.3">
      <c r="A1694" s="91"/>
      <c r="B1694" s="70"/>
      <c r="C1694" s="70"/>
      <c r="D1694" s="70"/>
      <c r="E1694" s="70"/>
      <c r="F1694" s="70"/>
      <c r="G1694" s="70"/>
      <c r="H1694" s="131"/>
      <c r="I1694" s="3"/>
    </row>
    <row r="1695" spans="1:9" s="93" customFormat="1" ht="9" customHeight="1" x14ac:dyDescent="0.3">
      <c r="A1695" s="91"/>
      <c r="B1695" s="70"/>
      <c r="C1695" s="70"/>
      <c r="D1695" s="70"/>
      <c r="E1695" s="70"/>
      <c r="F1695" s="70"/>
      <c r="G1695" s="70"/>
      <c r="H1695" s="131"/>
      <c r="I1695" s="3"/>
    </row>
    <row r="1696" spans="1:9" s="93" customFormat="1" ht="9" customHeight="1" x14ac:dyDescent="0.3">
      <c r="A1696" s="91"/>
      <c r="B1696" s="70"/>
      <c r="C1696" s="70"/>
      <c r="D1696" s="70"/>
      <c r="E1696" s="70"/>
      <c r="F1696" s="70"/>
      <c r="G1696" s="70"/>
      <c r="H1696" s="131"/>
      <c r="I1696" s="3"/>
    </row>
    <row r="1697" spans="1:9" s="93" customFormat="1" ht="9" customHeight="1" x14ac:dyDescent="0.3">
      <c r="A1697" s="91"/>
      <c r="B1697" s="70"/>
      <c r="C1697" s="70"/>
      <c r="D1697" s="70"/>
      <c r="E1697" s="70"/>
      <c r="F1697" s="70"/>
      <c r="G1697" s="70"/>
      <c r="H1697" s="131"/>
      <c r="I1697" s="3"/>
    </row>
    <row r="1698" spans="1:9" s="93" customFormat="1" ht="9" customHeight="1" x14ac:dyDescent="0.3">
      <c r="A1698" s="91"/>
      <c r="B1698" s="70"/>
      <c r="C1698" s="70"/>
      <c r="D1698" s="70"/>
      <c r="E1698" s="70"/>
      <c r="F1698" s="70"/>
      <c r="G1698" s="70"/>
      <c r="H1698" s="131"/>
      <c r="I1698" s="3"/>
    </row>
    <row r="1699" spans="1:9" s="93" customFormat="1" ht="9" customHeight="1" x14ac:dyDescent="0.3">
      <c r="A1699" s="91"/>
      <c r="B1699" s="70"/>
      <c r="C1699" s="70"/>
      <c r="D1699" s="70"/>
      <c r="E1699" s="70"/>
      <c r="F1699" s="70"/>
      <c r="G1699" s="70"/>
      <c r="H1699" s="131"/>
      <c r="I1699" s="3"/>
    </row>
    <row r="1700" spans="1:9" s="93" customFormat="1" ht="9" customHeight="1" x14ac:dyDescent="0.3">
      <c r="A1700" s="91"/>
      <c r="B1700" s="70"/>
      <c r="C1700" s="70"/>
      <c r="D1700" s="70"/>
      <c r="E1700" s="70"/>
      <c r="F1700" s="70"/>
      <c r="G1700" s="70"/>
      <c r="H1700" s="131"/>
      <c r="I1700" s="3"/>
    </row>
    <row r="1701" spans="1:9" s="93" customFormat="1" ht="9" customHeight="1" x14ac:dyDescent="0.3">
      <c r="A1701" s="91"/>
      <c r="B1701" s="70"/>
      <c r="C1701" s="70"/>
      <c r="D1701" s="70"/>
      <c r="E1701" s="70"/>
      <c r="F1701" s="70"/>
      <c r="G1701" s="70"/>
      <c r="H1701" s="131"/>
      <c r="I1701" s="3"/>
    </row>
    <row r="1702" spans="1:9" s="93" customFormat="1" ht="9" customHeight="1" x14ac:dyDescent="0.3">
      <c r="A1702" s="91"/>
      <c r="B1702" s="70"/>
      <c r="C1702" s="70"/>
      <c r="D1702" s="70"/>
      <c r="E1702" s="70"/>
      <c r="F1702" s="70"/>
      <c r="G1702" s="70"/>
      <c r="H1702" s="131"/>
      <c r="I1702" s="3"/>
    </row>
    <row r="1703" spans="1:9" s="93" customFormat="1" ht="9" customHeight="1" x14ac:dyDescent="0.3">
      <c r="A1703" s="91"/>
      <c r="B1703" s="70"/>
      <c r="C1703" s="70"/>
      <c r="D1703" s="70"/>
      <c r="E1703" s="70"/>
      <c r="F1703" s="70"/>
      <c r="G1703" s="70"/>
      <c r="H1703" s="131"/>
      <c r="I1703" s="3"/>
    </row>
    <row r="1704" spans="1:9" s="93" customFormat="1" ht="9" customHeight="1" x14ac:dyDescent="0.3">
      <c r="A1704" s="91"/>
      <c r="B1704" s="70"/>
      <c r="C1704" s="70"/>
      <c r="D1704" s="70"/>
      <c r="E1704" s="70"/>
      <c r="F1704" s="70"/>
      <c r="G1704" s="70"/>
      <c r="H1704" s="131"/>
      <c r="I1704" s="3"/>
    </row>
    <row r="1705" spans="1:9" s="93" customFormat="1" ht="9" customHeight="1" x14ac:dyDescent="0.3">
      <c r="A1705" s="91"/>
      <c r="B1705" s="70"/>
      <c r="C1705" s="70"/>
      <c r="D1705" s="70"/>
      <c r="E1705" s="70"/>
      <c r="F1705" s="70"/>
      <c r="G1705" s="70"/>
      <c r="H1705" s="131"/>
      <c r="I1705" s="3"/>
    </row>
    <row r="1706" spans="1:9" s="93" customFormat="1" ht="9" customHeight="1" x14ac:dyDescent="0.3">
      <c r="A1706" s="91"/>
      <c r="B1706" s="70"/>
      <c r="C1706" s="70"/>
      <c r="D1706" s="70"/>
      <c r="E1706" s="70"/>
      <c r="F1706" s="70"/>
      <c r="G1706" s="70"/>
      <c r="H1706" s="131"/>
      <c r="I1706" s="3"/>
    </row>
    <row r="1707" spans="1:9" s="93" customFormat="1" ht="9" customHeight="1" x14ac:dyDescent="0.3">
      <c r="A1707" s="91"/>
      <c r="B1707" s="70"/>
      <c r="C1707" s="70"/>
      <c r="D1707" s="70"/>
      <c r="E1707" s="70"/>
      <c r="F1707" s="70"/>
      <c r="G1707" s="70"/>
      <c r="H1707" s="131"/>
      <c r="I1707" s="3"/>
    </row>
    <row r="1708" spans="1:9" s="93" customFormat="1" ht="9" customHeight="1" x14ac:dyDescent="0.3">
      <c r="A1708" s="91"/>
      <c r="B1708" s="70"/>
      <c r="C1708" s="70"/>
      <c r="D1708" s="70"/>
      <c r="E1708" s="70"/>
      <c r="F1708" s="70"/>
      <c r="G1708" s="70"/>
      <c r="H1708" s="131"/>
      <c r="I1708" s="3"/>
    </row>
    <row r="1709" spans="1:9" s="93" customFormat="1" ht="9" customHeight="1" x14ac:dyDescent="0.3">
      <c r="A1709" s="91"/>
      <c r="B1709" s="70"/>
      <c r="C1709" s="70"/>
      <c r="D1709" s="70"/>
      <c r="E1709" s="70"/>
      <c r="F1709" s="70"/>
      <c r="G1709" s="70"/>
      <c r="H1709" s="131"/>
      <c r="I1709" s="3"/>
    </row>
    <row r="1710" spans="1:9" s="93" customFormat="1" ht="9" customHeight="1" x14ac:dyDescent="0.3">
      <c r="A1710" s="91"/>
      <c r="B1710" s="70"/>
      <c r="C1710" s="70"/>
      <c r="D1710" s="70"/>
      <c r="E1710" s="70"/>
      <c r="F1710" s="70"/>
      <c r="G1710" s="70"/>
      <c r="H1710" s="131"/>
      <c r="I1710" s="3"/>
    </row>
    <row r="1711" spans="1:9" s="93" customFormat="1" ht="9" customHeight="1" x14ac:dyDescent="0.3">
      <c r="A1711" s="91"/>
      <c r="B1711" s="70"/>
      <c r="C1711" s="70"/>
      <c r="D1711" s="70"/>
      <c r="E1711" s="70"/>
      <c r="F1711" s="70"/>
      <c r="G1711" s="70"/>
      <c r="H1711" s="131"/>
      <c r="I1711" s="3"/>
    </row>
    <row r="1712" spans="1:9" s="93" customFormat="1" ht="9" customHeight="1" x14ac:dyDescent="0.3">
      <c r="A1712" s="91"/>
      <c r="B1712" s="70"/>
      <c r="C1712" s="70"/>
      <c r="D1712" s="70"/>
      <c r="E1712" s="70"/>
      <c r="F1712" s="70"/>
      <c r="G1712" s="70"/>
      <c r="H1712" s="131"/>
      <c r="I1712" s="3"/>
    </row>
    <row r="1713" spans="1:9" s="93" customFormat="1" ht="9" customHeight="1" x14ac:dyDescent="0.3">
      <c r="A1713" s="91"/>
      <c r="B1713" s="70"/>
      <c r="C1713" s="70"/>
      <c r="D1713" s="70"/>
      <c r="E1713" s="70"/>
      <c r="F1713" s="70"/>
      <c r="G1713" s="70"/>
      <c r="H1713" s="131"/>
      <c r="I1713" s="3"/>
    </row>
    <row r="1714" spans="1:9" s="93" customFormat="1" ht="9" customHeight="1" x14ac:dyDescent="0.3">
      <c r="A1714" s="91"/>
      <c r="B1714" s="70"/>
      <c r="C1714" s="70"/>
      <c r="D1714" s="70"/>
      <c r="E1714" s="70"/>
      <c r="F1714" s="70"/>
      <c r="G1714" s="70"/>
      <c r="H1714" s="131"/>
      <c r="I1714" s="3"/>
    </row>
    <row r="1715" spans="1:9" s="93" customFormat="1" ht="9" customHeight="1" x14ac:dyDescent="0.3">
      <c r="A1715" s="91"/>
      <c r="B1715" s="70"/>
      <c r="C1715" s="70"/>
      <c r="D1715" s="70"/>
      <c r="E1715" s="70"/>
      <c r="F1715" s="70"/>
      <c r="G1715" s="70"/>
      <c r="H1715" s="131"/>
      <c r="I1715" s="3"/>
    </row>
    <row r="1716" spans="1:9" s="93" customFormat="1" ht="9" customHeight="1" x14ac:dyDescent="0.3">
      <c r="A1716" s="91"/>
      <c r="B1716" s="70"/>
      <c r="C1716" s="70"/>
      <c r="D1716" s="70"/>
      <c r="E1716" s="70"/>
      <c r="F1716" s="70"/>
      <c r="G1716" s="70"/>
      <c r="H1716" s="131"/>
      <c r="I1716" s="3"/>
    </row>
    <row r="1717" spans="1:9" s="93" customFormat="1" ht="9" customHeight="1" x14ac:dyDescent="0.3">
      <c r="A1717" s="91"/>
      <c r="B1717" s="70"/>
      <c r="C1717" s="70"/>
      <c r="D1717" s="70"/>
      <c r="E1717" s="70"/>
      <c r="F1717" s="70"/>
      <c r="G1717" s="70"/>
      <c r="H1717" s="131"/>
      <c r="I1717" s="3"/>
    </row>
    <row r="1718" spans="1:9" s="93" customFormat="1" ht="9" customHeight="1" x14ac:dyDescent="0.3">
      <c r="A1718" s="91"/>
      <c r="B1718" s="70"/>
      <c r="C1718" s="70"/>
      <c r="D1718" s="70"/>
      <c r="E1718" s="70"/>
      <c r="F1718" s="70"/>
      <c r="G1718" s="70"/>
      <c r="H1718" s="131"/>
      <c r="I1718" s="3"/>
    </row>
    <row r="1719" spans="1:9" s="93" customFormat="1" ht="9" customHeight="1" x14ac:dyDescent="0.3">
      <c r="A1719" s="91"/>
      <c r="B1719" s="70"/>
      <c r="C1719" s="70"/>
      <c r="D1719" s="70"/>
      <c r="E1719" s="70"/>
      <c r="F1719" s="70"/>
      <c r="G1719" s="70"/>
      <c r="H1719" s="131"/>
      <c r="I1719" s="3"/>
    </row>
    <row r="1720" spans="1:9" s="93" customFormat="1" ht="9" customHeight="1" x14ac:dyDescent="0.3">
      <c r="A1720" s="91"/>
      <c r="B1720" s="70"/>
      <c r="C1720" s="70"/>
      <c r="D1720" s="70"/>
      <c r="E1720" s="70"/>
      <c r="F1720" s="70"/>
      <c r="G1720" s="70"/>
      <c r="H1720" s="131"/>
      <c r="I1720" s="3"/>
    </row>
    <row r="1721" spans="1:9" s="93" customFormat="1" ht="9" customHeight="1" x14ac:dyDescent="0.3">
      <c r="A1721" s="91"/>
      <c r="B1721" s="70"/>
      <c r="C1721" s="70"/>
      <c r="D1721" s="70"/>
      <c r="E1721" s="70"/>
      <c r="F1721" s="70"/>
      <c r="G1721" s="70"/>
      <c r="H1721" s="131"/>
      <c r="I1721" s="3"/>
    </row>
    <row r="1722" spans="1:9" s="93" customFormat="1" ht="9" customHeight="1" x14ac:dyDescent="0.3">
      <c r="A1722" s="91"/>
      <c r="B1722" s="70"/>
      <c r="C1722" s="70"/>
      <c r="D1722" s="70"/>
      <c r="E1722" s="70"/>
      <c r="F1722" s="70"/>
      <c r="G1722" s="70"/>
      <c r="H1722" s="131"/>
      <c r="I1722" s="3"/>
    </row>
    <row r="1723" spans="1:9" s="93" customFormat="1" ht="9" customHeight="1" x14ac:dyDescent="0.3">
      <c r="A1723" s="91"/>
      <c r="B1723" s="70"/>
      <c r="C1723" s="70"/>
      <c r="D1723" s="70"/>
      <c r="E1723" s="70"/>
      <c r="F1723" s="70"/>
      <c r="G1723" s="70"/>
      <c r="H1723" s="131"/>
      <c r="I1723" s="3"/>
    </row>
    <row r="1724" spans="1:9" s="93" customFormat="1" ht="9" customHeight="1" x14ac:dyDescent="0.3">
      <c r="A1724" s="91"/>
      <c r="B1724" s="70"/>
      <c r="C1724" s="70"/>
      <c r="D1724" s="70"/>
      <c r="E1724" s="70"/>
      <c r="F1724" s="70"/>
      <c r="G1724" s="70"/>
      <c r="H1724" s="131"/>
      <c r="I1724" s="3"/>
    </row>
    <row r="1725" spans="1:9" s="93" customFormat="1" ht="9" customHeight="1" x14ac:dyDescent="0.3">
      <c r="A1725" s="91"/>
      <c r="B1725" s="70"/>
      <c r="C1725" s="70"/>
      <c r="D1725" s="70"/>
      <c r="E1725" s="70"/>
      <c r="F1725" s="70"/>
      <c r="G1725" s="70"/>
      <c r="H1725" s="131"/>
      <c r="I1725" s="3"/>
    </row>
    <row r="1726" spans="1:9" s="93" customFormat="1" ht="9" customHeight="1" x14ac:dyDescent="0.3">
      <c r="A1726" s="91"/>
      <c r="B1726" s="70"/>
      <c r="C1726" s="70"/>
      <c r="D1726" s="70"/>
      <c r="E1726" s="70"/>
      <c r="F1726" s="70"/>
      <c r="G1726" s="70"/>
      <c r="H1726" s="131"/>
      <c r="I1726" s="3"/>
    </row>
    <row r="1727" spans="1:9" s="93" customFormat="1" ht="9" customHeight="1" x14ac:dyDescent="0.3">
      <c r="A1727" s="91"/>
      <c r="B1727" s="70"/>
      <c r="C1727" s="70"/>
      <c r="D1727" s="70"/>
      <c r="E1727" s="70"/>
      <c r="F1727" s="70"/>
      <c r="G1727" s="70"/>
      <c r="H1727" s="131"/>
      <c r="I1727" s="3"/>
    </row>
    <row r="1728" spans="1:9" s="93" customFormat="1" ht="9" customHeight="1" x14ac:dyDescent="0.3">
      <c r="A1728" s="91"/>
      <c r="B1728" s="70"/>
      <c r="C1728" s="70"/>
      <c r="D1728" s="70"/>
      <c r="E1728" s="70"/>
      <c r="F1728" s="70"/>
      <c r="G1728" s="70"/>
      <c r="H1728" s="131"/>
      <c r="I1728" s="3"/>
    </row>
    <row r="1729" spans="1:9" s="93" customFormat="1" ht="9" customHeight="1" x14ac:dyDescent="0.3">
      <c r="A1729" s="91"/>
      <c r="B1729" s="70"/>
      <c r="C1729" s="70"/>
      <c r="D1729" s="70"/>
      <c r="E1729" s="70"/>
      <c r="F1729" s="70"/>
      <c r="G1729" s="70"/>
      <c r="H1729" s="131"/>
      <c r="I1729" s="3"/>
    </row>
    <row r="1730" spans="1:9" s="93" customFormat="1" ht="9" customHeight="1" x14ac:dyDescent="0.3">
      <c r="A1730" s="91"/>
      <c r="B1730" s="70"/>
      <c r="C1730" s="70"/>
      <c r="D1730" s="70"/>
      <c r="E1730" s="70"/>
      <c r="F1730" s="70"/>
      <c r="G1730" s="70"/>
      <c r="H1730" s="131"/>
      <c r="I1730" s="3"/>
    </row>
    <row r="1731" spans="1:9" s="93" customFormat="1" ht="9" customHeight="1" x14ac:dyDescent="0.3">
      <c r="A1731" s="91"/>
      <c r="B1731" s="70"/>
      <c r="C1731" s="70"/>
      <c r="D1731" s="70"/>
      <c r="E1731" s="70"/>
      <c r="F1731" s="70"/>
      <c r="G1731" s="70"/>
      <c r="H1731" s="131"/>
      <c r="I1731" s="3"/>
    </row>
    <row r="1732" spans="1:9" s="93" customFormat="1" ht="9" customHeight="1" x14ac:dyDescent="0.3">
      <c r="A1732" s="91"/>
      <c r="B1732" s="70"/>
      <c r="C1732" s="70"/>
      <c r="D1732" s="70"/>
      <c r="E1732" s="70"/>
      <c r="F1732" s="70"/>
      <c r="G1732" s="70"/>
      <c r="H1732" s="131"/>
      <c r="I1732" s="3"/>
    </row>
    <row r="1733" spans="1:9" s="93" customFormat="1" ht="9" customHeight="1" x14ac:dyDescent="0.3">
      <c r="A1733" s="91"/>
      <c r="B1733" s="70"/>
      <c r="C1733" s="70"/>
      <c r="D1733" s="70"/>
      <c r="E1733" s="70"/>
      <c r="F1733" s="70"/>
      <c r="G1733" s="70"/>
      <c r="H1733" s="131"/>
      <c r="I1733" s="3"/>
    </row>
    <row r="1734" spans="1:9" s="93" customFormat="1" ht="9" customHeight="1" x14ac:dyDescent="0.3">
      <c r="A1734" s="91"/>
      <c r="B1734" s="70"/>
      <c r="C1734" s="70"/>
      <c r="D1734" s="70"/>
      <c r="E1734" s="70"/>
      <c r="F1734" s="70"/>
      <c r="G1734" s="70"/>
      <c r="H1734" s="131"/>
      <c r="I1734" s="3"/>
    </row>
    <row r="1735" spans="1:9" s="93" customFormat="1" ht="9" customHeight="1" x14ac:dyDescent="0.3">
      <c r="A1735" s="91"/>
      <c r="B1735" s="70"/>
      <c r="C1735" s="70"/>
      <c r="D1735" s="70"/>
      <c r="E1735" s="70"/>
      <c r="F1735" s="70"/>
      <c r="G1735" s="70"/>
      <c r="H1735" s="131"/>
      <c r="I1735" s="3"/>
    </row>
    <row r="1736" spans="1:9" s="93" customFormat="1" ht="9" customHeight="1" x14ac:dyDescent="0.3">
      <c r="A1736" s="91"/>
      <c r="B1736" s="70"/>
      <c r="C1736" s="70"/>
      <c r="D1736" s="70"/>
      <c r="E1736" s="70"/>
      <c r="F1736" s="70"/>
      <c r="G1736" s="70"/>
      <c r="H1736" s="131"/>
      <c r="I1736" s="3"/>
    </row>
    <row r="1737" spans="1:9" s="93" customFormat="1" ht="9" customHeight="1" x14ac:dyDescent="0.3">
      <c r="A1737" s="91"/>
      <c r="B1737" s="70"/>
      <c r="C1737" s="70"/>
      <c r="D1737" s="70"/>
      <c r="E1737" s="70"/>
      <c r="F1737" s="70"/>
      <c r="G1737" s="70"/>
      <c r="H1737" s="131"/>
      <c r="I1737" s="3"/>
    </row>
    <row r="1738" spans="1:9" s="93" customFormat="1" ht="9" customHeight="1" x14ac:dyDescent="0.3">
      <c r="A1738" s="91"/>
      <c r="B1738" s="70"/>
      <c r="C1738" s="70"/>
      <c r="D1738" s="70"/>
      <c r="E1738" s="70"/>
      <c r="F1738" s="70"/>
      <c r="G1738" s="70"/>
      <c r="H1738" s="131"/>
      <c r="I1738" s="3"/>
    </row>
    <row r="1739" spans="1:9" s="93" customFormat="1" ht="9" customHeight="1" x14ac:dyDescent="0.3">
      <c r="A1739" s="91"/>
      <c r="B1739" s="70"/>
      <c r="C1739" s="70"/>
      <c r="D1739" s="70"/>
      <c r="E1739" s="70"/>
      <c r="F1739" s="70"/>
      <c r="G1739" s="70"/>
      <c r="H1739" s="131"/>
      <c r="I1739" s="3"/>
    </row>
    <row r="1740" spans="1:9" s="93" customFormat="1" ht="9" customHeight="1" x14ac:dyDescent="0.3">
      <c r="A1740" s="91"/>
      <c r="B1740" s="70"/>
      <c r="C1740" s="70"/>
      <c r="D1740" s="70"/>
      <c r="E1740" s="70"/>
      <c r="F1740" s="70"/>
      <c r="G1740" s="70"/>
      <c r="H1740" s="131"/>
      <c r="I1740" s="3"/>
    </row>
    <row r="1741" spans="1:9" s="93" customFormat="1" ht="9" customHeight="1" x14ac:dyDescent="0.3">
      <c r="A1741" s="91"/>
      <c r="B1741" s="70"/>
      <c r="C1741" s="70"/>
      <c r="D1741" s="70"/>
      <c r="E1741" s="70"/>
      <c r="F1741" s="70"/>
      <c r="G1741" s="70"/>
      <c r="H1741" s="131"/>
      <c r="I1741" s="3"/>
    </row>
    <row r="1742" spans="1:9" s="93" customFormat="1" ht="9" customHeight="1" x14ac:dyDescent="0.3">
      <c r="A1742" s="91"/>
      <c r="B1742" s="70"/>
      <c r="C1742" s="70"/>
      <c r="D1742" s="70"/>
      <c r="E1742" s="70"/>
      <c r="F1742" s="70"/>
      <c r="G1742" s="70"/>
      <c r="H1742" s="131"/>
      <c r="I1742" s="3"/>
    </row>
    <row r="1743" spans="1:9" s="93" customFormat="1" ht="9" customHeight="1" x14ac:dyDescent="0.3">
      <c r="A1743" s="91"/>
      <c r="B1743" s="70"/>
      <c r="C1743" s="70"/>
      <c r="D1743" s="70"/>
      <c r="E1743" s="70"/>
      <c r="F1743" s="70"/>
      <c r="G1743" s="70"/>
      <c r="H1743" s="131"/>
      <c r="I1743" s="3"/>
    </row>
    <row r="1744" spans="1:9" s="93" customFormat="1" ht="9" customHeight="1" x14ac:dyDescent="0.3">
      <c r="A1744" s="91"/>
      <c r="B1744" s="70"/>
      <c r="C1744" s="70"/>
      <c r="D1744" s="70"/>
      <c r="E1744" s="70"/>
      <c r="F1744" s="70"/>
      <c r="G1744" s="70"/>
      <c r="H1744" s="131"/>
      <c r="I1744" s="3"/>
    </row>
    <row r="1745" spans="1:9" s="93" customFormat="1" ht="9" customHeight="1" x14ac:dyDescent="0.3">
      <c r="A1745" s="91"/>
      <c r="B1745" s="70"/>
      <c r="C1745" s="70"/>
      <c r="D1745" s="70"/>
      <c r="E1745" s="70"/>
      <c r="F1745" s="70"/>
      <c r="G1745" s="70"/>
      <c r="H1745" s="131"/>
      <c r="I1745" s="3"/>
    </row>
    <row r="1746" spans="1:9" s="93" customFormat="1" ht="9" customHeight="1" x14ac:dyDescent="0.3">
      <c r="A1746" s="91"/>
      <c r="B1746" s="70"/>
      <c r="C1746" s="70"/>
      <c r="D1746" s="70"/>
      <c r="E1746" s="70"/>
      <c r="F1746" s="70"/>
      <c r="G1746" s="70"/>
      <c r="H1746" s="131"/>
      <c r="I1746" s="3"/>
    </row>
    <row r="1747" spans="1:9" s="93" customFormat="1" ht="9" customHeight="1" x14ac:dyDescent="0.3">
      <c r="A1747" s="91"/>
      <c r="B1747" s="70"/>
      <c r="C1747" s="70"/>
      <c r="D1747" s="70"/>
      <c r="E1747" s="70"/>
      <c r="F1747" s="70"/>
      <c r="G1747" s="70"/>
      <c r="H1747" s="131"/>
      <c r="I1747" s="3"/>
    </row>
    <row r="1748" spans="1:9" s="93" customFormat="1" ht="9" customHeight="1" x14ac:dyDescent="0.3">
      <c r="A1748" s="91"/>
      <c r="B1748" s="70"/>
      <c r="C1748" s="70"/>
      <c r="D1748" s="70"/>
      <c r="E1748" s="70"/>
      <c r="F1748" s="70"/>
      <c r="G1748" s="70"/>
      <c r="H1748" s="131"/>
      <c r="I1748" s="3"/>
    </row>
    <row r="1749" spans="1:9" s="93" customFormat="1" ht="9" customHeight="1" x14ac:dyDescent="0.3">
      <c r="A1749" s="91"/>
      <c r="B1749" s="70"/>
      <c r="C1749" s="70"/>
      <c r="D1749" s="70"/>
      <c r="E1749" s="70"/>
      <c r="F1749" s="70"/>
      <c r="G1749" s="70"/>
      <c r="H1749" s="131"/>
      <c r="I1749" s="3"/>
    </row>
    <row r="1750" spans="1:9" s="93" customFormat="1" ht="9" customHeight="1" x14ac:dyDescent="0.3">
      <c r="A1750" s="91"/>
      <c r="B1750" s="70"/>
      <c r="C1750" s="70"/>
      <c r="D1750" s="70"/>
      <c r="E1750" s="70"/>
      <c r="F1750" s="70"/>
      <c r="G1750" s="70"/>
      <c r="H1750" s="131"/>
      <c r="I1750" s="3"/>
    </row>
    <row r="1751" spans="1:9" s="93" customFormat="1" ht="9" customHeight="1" x14ac:dyDescent="0.3">
      <c r="A1751" s="91"/>
      <c r="B1751" s="70"/>
      <c r="C1751" s="70"/>
      <c r="D1751" s="70"/>
      <c r="E1751" s="70"/>
      <c r="F1751" s="70"/>
      <c r="G1751" s="70"/>
      <c r="H1751" s="131"/>
      <c r="I1751" s="3"/>
    </row>
    <row r="1752" spans="1:9" s="93" customFormat="1" ht="9" customHeight="1" x14ac:dyDescent="0.3">
      <c r="A1752" s="91"/>
      <c r="B1752" s="70"/>
      <c r="C1752" s="70"/>
      <c r="D1752" s="70"/>
      <c r="E1752" s="70"/>
      <c r="F1752" s="70"/>
      <c r="G1752" s="70"/>
      <c r="H1752" s="131"/>
      <c r="I1752" s="3"/>
    </row>
    <row r="1753" spans="1:9" s="93" customFormat="1" ht="9" customHeight="1" x14ac:dyDescent="0.3">
      <c r="A1753" s="91"/>
      <c r="B1753" s="70"/>
      <c r="C1753" s="70"/>
      <c r="D1753" s="70"/>
      <c r="E1753" s="70"/>
      <c r="F1753" s="70"/>
      <c r="G1753" s="70"/>
      <c r="H1753" s="131"/>
      <c r="I1753" s="3"/>
    </row>
    <row r="1754" spans="1:9" s="93" customFormat="1" ht="9" customHeight="1" x14ac:dyDescent="0.3">
      <c r="A1754" s="91"/>
      <c r="B1754" s="70"/>
      <c r="C1754" s="70"/>
      <c r="D1754" s="70"/>
      <c r="E1754" s="70"/>
      <c r="F1754" s="70"/>
      <c r="G1754" s="70"/>
      <c r="H1754" s="131"/>
      <c r="I1754" s="3"/>
    </row>
    <row r="1755" spans="1:9" s="93" customFormat="1" ht="9" customHeight="1" x14ac:dyDescent="0.3">
      <c r="A1755" s="91"/>
      <c r="B1755" s="70"/>
      <c r="C1755" s="70"/>
      <c r="D1755" s="70"/>
      <c r="E1755" s="70"/>
      <c r="F1755" s="70"/>
      <c r="G1755" s="70"/>
      <c r="H1755" s="131"/>
      <c r="I1755" s="3"/>
    </row>
    <row r="1756" spans="1:9" s="93" customFormat="1" ht="9" customHeight="1" x14ac:dyDescent="0.3">
      <c r="A1756" s="91"/>
      <c r="B1756" s="70"/>
      <c r="C1756" s="70"/>
      <c r="D1756" s="70"/>
      <c r="E1756" s="70"/>
      <c r="F1756" s="70"/>
      <c r="G1756" s="70"/>
      <c r="H1756" s="131"/>
      <c r="I1756" s="3"/>
    </row>
    <row r="1757" spans="1:9" s="93" customFormat="1" ht="9" customHeight="1" x14ac:dyDescent="0.3">
      <c r="A1757" s="91"/>
      <c r="B1757" s="70"/>
      <c r="C1757" s="70"/>
      <c r="D1757" s="70"/>
      <c r="E1757" s="70"/>
      <c r="F1757" s="70"/>
      <c r="G1757" s="70"/>
      <c r="H1757" s="131"/>
      <c r="I1757" s="3"/>
    </row>
    <row r="1758" spans="1:9" s="93" customFormat="1" ht="9" customHeight="1" x14ac:dyDescent="0.3">
      <c r="A1758" s="91"/>
      <c r="B1758" s="70"/>
      <c r="C1758" s="70"/>
      <c r="D1758" s="70"/>
      <c r="E1758" s="70"/>
      <c r="F1758" s="70"/>
      <c r="G1758" s="70"/>
      <c r="H1758" s="131"/>
      <c r="I1758" s="3"/>
    </row>
    <row r="1759" spans="1:9" s="93" customFormat="1" ht="9" customHeight="1" x14ac:dyDescent="0.3">
      <c r="A1759" s="91"/>
      <c r="B1759" s="70"/>
      <c r="C1759" s="70"/>
      <c r="D1759" s="70"/>
      <c r="E1759" s="70"/>
      <c r="F1759" s="70"/>
      <c r="G1759" s="70"/>
      <c r="H1759" s="131"/>
      <c r="I1759" s="3"/>
    </row>
    <row r="1760" spans="1:9" s="93" customFormat="1" ht="9" customHeight="1" x14ac:dyDescent="0.3">
      <c r="A1760" s="91"/>
      <c r="B1760" s="70"/>
      <c r="C1760" s="70"/>
      <c r="D1760" s="70"/>
      <c r="E1760" s="70"/>
      <c r="F1760" s="70"/>
      <c r="G1760" s="70"/>
      <c r="H1760" s="131"/>
      <c r="I1760" s="3"/>
    </row>
    <row r="1761" spans="1:9" s="93" customFormat="1" ht="9" customHeight="1" x14ac:dyDescent="0.3">
      <c r="A1761" s="91"/>
      <c r="B1761" s="70"/>
      <c r="C1761" s="70"/>
      <c r="D1761" s="70"/>
      <c r="E1761" s="70"/>
      <c r="F1761" s="70"/>
      <c r="G1761" s="70"/>
      <c r="H1761" s="131"/>
      <c r="I1761" s="3"/>
    </row>
    <row r="1762" spans="1:9" s="93" customFormat="1" ht="9" customHeight="1" x14ac:dyDescent="0.3">
      <c r="A1762" s="91"/>
      <c r="B1762" s="70"/>
      <c r="C1762" s="70"/>
      <c r="D1762" s="70"/>
      <c r="E1762" s="70"/>
      <c r="F1762" s="70"/>
      <c r="G1762" s="70"/>
      <c r="H1762" s="131"/>
      <c r="I1762" s="3"/>
    </row>
    <row r="1763" spans="1:9" s="93" customFormat="1" ht="9" customHeight="1" x14ac:dyDescent="0.3">
      <c r="A1763" s="91"/>
      <c r="B1763" s="70"/>
      <c r="C1763" s="70"/>
      <c r="D1763" s="70"/>
      <c r="E1763" s="70"/>
      <c r="F1763" s="70"/>
      <c r="G1763" s="70"/>
      <c r="H1763" s="131"/>
      <c r="I1763" s="3"/>
    </row>
    <row r="1764" spans="1:9" s="93" customFormat="1" ht="9" customHeight="1" x14ac:dyDescent="0.3">
      <c r="A1764" s="91"/>
      <c r="B1764" s="70"/>
      <c r="C1764" s="70"/>
      <c r="D1764" s="70"/>
      <c r="E1764" s="70"/>
      <c r="F1764" s="70"/>
      <c r="G1764" s="70"/>
      <c r="H1764" s="131"/>
      <c r="I1764" s="3"/>
    </row>
    <row r="1765" spans="1:9" s="93" customFormat="1" ht="9" customHeight="1" x14ac:dyDescent="0.3">
      <c r="A1765" s="91"/>
      <c r="B1765" s="70"/>
      <c r="C1765" s="70"/>
      <c r="D1765" s="70"/>
      <c r="E1765" s="70"/>
      <c r="F1765" s="70"/>
      <c r="G1765" s="70"/>
      <c r="H1765" s="131"/>
      <c r="I1765" s="3"/>
    </row>
    <row r="1766" spans="1:9" s="93" customFormat="1" ht="9" customHeight="1" x14ac:dyDescent="0.3">
      <c r="A1766" s="91"/>
      <c r="B1766" s="70"/>
      <c r="C1766" s="70"/>
      <c r="D1766" s="70"/>
      <c r="E1766" s="70"/>
      <c r="F1766" s="70"/>
      <c r="G1766" s="70"/>
      <c r="H1766" s="131"/>
      <c r="I1766" s="3"/>
    </row>
    <row r="1767" spans="1:9" s="93" customFormat="1" ht="9" customHeight="1" x14ac:dyDescent="0.3">
      <c r="A1767" s="91"/>
      <c r="B1767" s="70"/>
      <c r="C1767" s="70"/>
      <c r="D1767" s="70"/>
      <c r="E1767" s="70"/>
      <c r="F1767" s="70"/>
      <c r="G1767" s="70"/>
      <c r="H1767" s="131"/>
      <c r="I1767" s="3"/>
    </row>
    <row r="1768" spans="1:9" s="93" customFormat="1" ht="9" customHeight="1" x14ac:dyDescent="0.3">
      <c r="A1768" s="91"/>
      <c r="B1768" s="70"/>
      <c r="C1768" s="70"/>
      <c r="D1768" s="70"/>
      <c r="E1768" s="70"/>
      <c r="F1768" s="70"/>
      <c r="G1768" s="70"/>
      <c r="H1768" s="131"/>
      <c r="I1768" s="3"/>
    </row>
    <row r="1769" spans="1:9" s="93" customFormat="1" ht="9" customHeight="1" x14ac:dyDescent="0.3">
      <c r="A1769" s="91"/>
      <c r="B1769" s="70"/>
      <c r="C1769" s="70"/>
      <c r="D1769" s="70"/>
      <c r="E1769" s="70"/>
      <c r="F1769" s="70"/>
      <c r="G1769" s="70"/>
      <c r="H1769" s="131"/>
      <c r="I1769" s="3"/>
    </row>
    <row r="1770" spans="1:9" s="93" customFormat="1" ht="9" customHeight="1" x14ac:dyDescent="0.3">
      <c r="A1770" s="91"/>
      <c r="B1770" s="70"/>
      <c r="C1770" s="70"/>
      <c r="D1770" s="70"/>
      <c r="E1770" s="70"/>
      <c r="F1770" s="70"/>
      <c r="G1770" s="70"/>
      <c r="H1770" s="131"/>
      <c r="I1770" s="3"/>
    </row>
    <row r="1771" spans="1:9" s="93" customFormat="1" ht="9" customHeight="1" x14ac:dyDescent="0.3">
      <c r="A1771" s="91"/>
      <c r="B1771" s="70"/>
      <c r="C1771" s="70"/>
      <c r="D1771" s="70"/>
      <c r="E1771" s="70"/>
      <c r="F1771" s="70"/>
      <c r="G1771" s="70"/>
      <c r="H1771" s="131"/>
      <c r="I1771" s="3"/>
    </row>
    <row r="1772" spans="1:9" s="93" customFormat="1" ht="9" customHeight="1" x14ac:dyDescent="0.3">
      <c r="A1772" s="91"/>
      <c r="B1772" s="70"/>
      <c r="C1772" s="70"/>
      <c r="D1772" s="70"/>
      <c r="E1772" s="70"/>
      <c r="F1772" s="70"/>
      <c r="G1772" s="70"/>
      <c r="H1772" s="131"/>
      <c r="I1772" s="3"/>
    </row>
    <row r="1773" spans="1:9" s="93" customFormat="1" ht="9" customHeight="1" x14ac:dyDescent="0.3">
      <c r="A1773" s="91"/>
      <c r="B1773" s="70"/>
      <c r="C1773" s="70"/>
      <c r="D1773" s="70"/>
      <c r="E1773" s="70"/>
      <c r="F1773" s="70"/>
      <c r="G1773" s="70"/>
      <c r="H1773" s="131"/>
      <c r="I1773" s="3"/>
    </row>
    <row r="1774" spans="1:9" s="93" customFormat="1" ht="9" customHeight="1" x14ac:dyDescent="0.3">
      <c r="A1774" s="91"/>
      <c r="B1774" s="70"/>
      <c r="C1774" s="70"/>
      <c r="D1774" s="70"/>
      <c r="E1774" s="70"/>
      <c r="F1774" s="70"/>
      <c r="G1774" s="70"/>
      <c r="H1774" s="131"/>
      <c r="I1774" s="3"/>
    </row>
    <row r="1775" spans="1:9" s="93" customFormat="1" ht="9" customHeight="1" x14ac:dyDescent="0.3">
      <c r="A1775" s="91"/>
      <c r="B1775" s="70"/>
      <c r="C1775" s="70"/>
      <c r="D1775" s="70"/>
      <c r="E1775" s="70"/>
      <c r="F1775" s="70"/>
      <c r="G1775" s="70"/>
      <c r="H1775" s="131"/>
      <c r="I1775" s="3"/>
    </row>
    <row r="1776" spans="1:9" s="93" customFormat="1" ht="9" customHeight="1" x14ac:dyDescent="0.3">
      <c r="A1776" s="91"/>
      <c r="B1776" s="70"/>
      <c r="C1776" s="70"/>
      <c r="D1776" s="70"/>
      <c r="E1776" s="70"/>
      <c r="F1776" s="70"/>
      <c r="G1776" s="70"/>
      <c r="H1776" s="131"/>
      <c r="I1776" s="3"/>
    </row>
    <row r="1777" spans="1:9" s="93" customFormat="1" ht="9" customHeight="1" x14ac:dyDescent="0.3">
      <c r="A1777" s="91"/>
      <c r="B1777" s="70"/>
      <c r="C1777" s="70"/>
      <c r="D1777" s="70"/>
      <c r="E1777" s="70"/>
      <c r="F1777" s="70"/>
      <c r="G1777" s="70"/>
      <c r="H1777" s="131"/>
      <c r="I1777" s="3"/>
    </row>
    <row r="1778" spans="1:9" s="93" customFormat="1" ht="9" customHeight="1" x14ac:dyDescent="0.3">
      <c r="A1778" s="91"/>
      <c r="B1778" s="70"/>
      <c r="C1778" s="70"/>
      <c r="D1778" s="70"/>
      <c r="E1778" s="70"/>
      <c r="F1778" s="70"/>
      <c r="G1778" s="70"/>
      <c r="H1778" s="131"/>
      <c r="I1778" s="3"/>
    </row>
    <row r="1779" spans="1:9" s="93" customFormat="1" ht="9" customHeight="1" x14ac:dyDescent="0.3">
      <c r="A1779" s="91"/>
      <c r="B1779" s="70"/>
      <c r="C1779" s="70"/>
      <c r="D1779" s="70"/>
      <c r="E1779" s="70"/>
      <c r="F1779" s="70"/>
      <c r="G1779" s="70"/>
      <c r="H1779" s="131"/>
      <c r="I1779" s="3"/>
    </row>
    <row r="1780" spans="1:9" s="93" customFormat="1" ht="9" customHeight="1" x14ac:dyDescent="0.3">
      <c r="A1780" s="91"/>
      <c r="B1780" s="70"/>
      <c r="C1780" s="70"/>
      <c r="D1780" s="70"/>
      <c r="E1780" s="70"/>
      <c r="F1780" s="70"/>
      <c r="G1780" s="70"/>
      <c r="H1780" s="131"/>
      <c r="I1780" s="3"/>
    </row>
    <row r="1781" spans="1:9" s="93" customFormat="1" ht="9" customHeight="1" x14ac:dyDescent="0.3">
      <c r="A1781" s="91"/>
      <c r="B1781" s="70"/>
      <c r="C1781" s="70"/>
      <c r="D1781" s="70"/>
      <c r="E1781" s="70"/>
      <c r="F1781" s="70"/>
      <c r="G1781" s="70"/>
      <c r="H1781" s="131"/>
      <c r="I1781" s="3"/>
    </row>
    <row r="1782" spans="1:9" s="93" customFormat="1" ht="9" customHeight="1" x14ac:dyDescent="0.3">
      <c r="A1782" s="91"/>
      <c r="B1782" s="70"/>
      <c r="C1782" s="70"/>
      <c r="D1782" s="70"/>
      <c r="E1782" s="70"/>
      <c r="F1782" s="70"/>
      <c r="G1782" s="70"/>
      <c r="H1782" s="131"/>
      <c r="I1782" s="3"/>
    </row>
    <row r="1783" spans="1:9" s="93" customFormat="1" ht="9" customHeight="1" x14ac:dyDescent="0.3">
      <c r="A1783" s="91"/>
      <c r="B1783" s="70"/>
      <c r="C1783" s="70"/>
      <c r="D1783" s="70"/>
      <c r="E1783" s="70"/>
      <c r="F1783" s="70"/>
      <c r="G1783" s="70"/>
      <c r="H1783" s="131"/>
      <c r="I1783" s="3"/>
    </row>
    <row r="1784" spans="1:9" s="93" customFormat="1" ht="9" customHeight="1" x14ac:dyDescent="0.3">
      <c r="A1784" s="91"/>
      <c r="B1784" s="70"/>
      <c r="C1784" s="70"/>
      <c r="D1784" s="70"/>
      <c r="E1784" s="70"/>
      <c r="F1784" s="70"/>
      <c r="G1784" s="70"/>
      <c r="H1784" s="131"/>
      <c r="I1784" s="3"/>
    </row>
    <row r="1785" spans="1:9" s="93" customFormat="1" ht="9" customHeight="1" x14ac:dyDescent="0.3">
      <c r="A1785" s="91"/>
      <c r="B1785" s="70"/>
      <c r="C1785" s="70"/>
      <c r="D1785" s="70"/>
      <c r="E1785" s="70"/>
      <c r="F1785" s="70"/>
      <c r="G1785" s="70"/>
      <c r="H1785" s="131"/>
      <c r="I1785" s="3"/>
    </row>
    <row r="1786" spans="1:9" s="93" customFormat="1" ht="9" customHeight="1" x14ac:dyDescent="0.3">
      <c r="A1786" s="91"/>
      <c r="B1786" s="70"/>
      <c r="C1786" s="70"/>
      <c r="D1786" s="70"/>
      <c r="E1786" s="70"/>
      <c r="F1786" s="70"/>
      <c r="G1786" s="70"/>
      <c r="H1786" s="131"/>
      <c r="I1786" s="3"/>
    </row>
    <row r="1787" spans="1:9" s="93" customFormat="1" ht="9" customHeight="1" x14ac:dyDescent="0.3">
      <c r="A1787" s="91"/>
      <c r="B1787" s="70"/>
      <c r="C1787" s="70"/>
      <c r="D1787" s="70"/>
      <c r="E1787" s="70"/>
      <c r="F1787" s="70"/>
      <c r="G1787" s="70"/>
      <c r="H1787" s="131"/>
      <c r="I1787" s="3"/>
    </row>
    <row r="1788" spans="1:9" s="93" customFormat="1" ht="9" customHeight="1" x14ac:dyDescent="0.3">
      <c r="A1788" s="91"/>
      <c r="B1788" s="70"/>
      <c r="C1788" s="70"/>
      <c r="D1788" s="70"/>
      <c r="E1788" s="70"/>
      <c r="F1788" s="70"/>
      <c r="G1788" s="70"/>
      <c r="H1788" s="131"/>
      <c r="I1788" s="3"/>
    </row>
    <row r="1789" spans="1:9" s="93" customFormat="1" ht="9" customHeight="1" x14ac:dyDescent="0.3">
      <c r="A1789" s="91"/>
      <c r="B1789" s="70"/>
      <c r="C1789" s="70"/>
      <c r="D1789" s="70"/>
      <c r="E1789" s="70"/>
      <c r="F1789" s="70"/>
      <c r="G1789" s="70"/>
      <c r="H1789" s="131"/>
      <c r="I1789" s="3"/>
    </row>
    <row r="1790" spans="1:9" s="93" customFormat="1" ht="9" customHeight="1" x14ac:dyDescent="0.3">
      <c r="A1790" s="91"/>
      <c r="B1790" s="70"/>
      <c r="C1790" s="70"/>
      <c r="D1790" s="70"/>
      <c r="E1790" s="70"/>
      <c r="F1790" s="70"/>
      <c r="G1790" s="70"/>
      <c r="H1790" s="131"/>
      <c r="I1790" s="3"/>
    </row>
    <row r="1791" spans="1:9" s="93" customFormat="1" ht="9" customHeight="1" x14ac:dyDescent="0.3">
      <c r="A1791" s="91"/>
      <c r="B1791" s="70"/>
      <c r="C1791" s="70"/>
      <c r="D1791" s="70"/>
      <c r="E1791" s="70"/>
      <c r="F1791" s="70"/>
      <c r="G1791" s="70"/>
      <c r="H1791" s="131"/>
      <c r="I1791" s="3"/>
    </row>
    <row r="1792" spans="1:9" s="93" customFormat="1" ht="9" customHeight="1" x14ac:dyDescent="0.3">
      <c r="A1792" s="91"/>
      <c r="B1792" s="70"/>
      <c r="C1792" s="70"/>
      <c r="D1792" s="70"/>
      <c r="E1792" s="70"/>
      <c r="F1792" s="70"/>
      <c r="G1792" s="70"/>
      <c r="H1792" s="131"/>
      <c r="I1792" s="3"/>
    </row>
    <row r="1793" spans="1:9" s="93" customFormat="1" ht="9" customHeight="1" x14ac:dyDescent="0.3">
      <c r="A1793" s="91"/>
      <c r="B1793" s="70"/>
      <c r="C1793" s="70"/>
      <c r="D1793" s="70"/>
      <c r="E1793" s="70"/>
      <c r="F1793" s="70"/>
      <c r="G1793" s="70"/>
      <c r="H1793" s="131"/>
      <c r="I1793" s="3"/>
    </row>
    <row r="1794" spans="1:9" s="93" customFormat="1" ht="9" customHeight="1" x14ac:dyDescent="0.3">
      <c r="A1794" s="91"/>
      <c r="B1794" s="70"/>
      <c r="C1794" s="70"/>
      <c r="D1794" s="70"/>
      <c r="E1794" s="70"/>
      <c r="F1794" s="70"/>
      <c r="G1794" s="70"/>
      <c r="H1794" s="131"/>
      <c r="I1794" s="3"/>
    </row>
    <row r="1795" spans="1:9" s="93" customFormat="1" ht="9" customHeight="1" x14ac:dyDescent="0.3">
      <c r="A1795" s="91"/>
      <c r="B1795" s="70"/>
      <c r="C1795" s="70"/>
      <c r="D1795" s="70"/>
      <c r="E1795" s="70"/>
      <c r="F1795" s="70"/>
      <c r="G1795" s="70"/>
      <c r="H1795" s="131"/>
      <c r="I1795" s="3"/>
    </row>
    <row r="1796" spans="1:9" s="93" customFormat="1" ht="9" customHeight="1" x14ac:dyDescent="0.3">
      <c r="A1796" s="91"/>
      <c r="B1796" s="70"/>
      <c r="C1796" s="70"/>
      <c r="D1796" s="70"/>
      <c r="E1796" s="70"/>
      <c r="F1796" s="70"/>
      <c r="G1796" s="70"/>
      <c r="H1796" s="131"/>
      <c r="I1796" s="3"/>
    </row>
    <row r="1797" spans="1:9" s="93" customFormat="1" ht="9" customHeight="1" x14ac:dyDescent="0.3">
      <c r="A1797" s="91"/>
      <c r="B1797" s="70"/>
      <c r="C1797" s="70"/>
      <c r="D1797" s="70"/>
      <c r="E1797" s="70"/>
      <c r="F1797" s="70"/>
      <c r="G1797" s="70"/>
      <c r="H1797" s="131"/>
      <c r="I1797" s="3"/>
    </row>
    <row r="1798" spans="1:9" s="93" customFormat="1" ht="9" customHeight="1" x14ac:dyDescent="0.3">
      <c r="A1798" s="91"/>
      <c r="B1798" s="70"/>
      <c r="C1798" s="70"/>
      <c r="D1798" s="70"/>
      <c r="E1798" s="70"/>
      <c r="F1798" s="70"/>
      <c r="G1798" s="70"/>
      <c r="H1798" s="131"/>
      <c r="I1798" s="3"/>
    </row>
    <row r="1799" spans="1:9" s="93" customFormat="1" ht="9" customHeight="1" x14ac:dyDescent="0.3">
      <c r="A1799" s="91"/>
      <c r="B1799" s="70"/>
      <c r="C1799" s="70"/>
      <c r="D1799" s="70"/>
      <c r="E1799" s="70"/>
      <c r="F1799" s="70"/>
      <c r="G1799" s="70"/>
      <c r="H1799" s="131"/>
      <c r="I1799" s="3"/>
    </row>
    <row r="1800" spans="1:9" s="93" customFormat="1" ht="9" customHeight="1" x14ac:dyDescent="0.3">
      <c r="A1800" s="91"/>
      <c r="B1800" s="70"/>
      <c r="C1800" s="70"/>
      <c r="D1800" s="70"/>
      <c r="E1800" s="70"/>
      <c r="F1800" s="70"/>
      <c r="G1800" s="70"/>
      <c r="H1800" s="131"/>
      <c r="I1800" s="3"/>
    </row>
    <row r="1801" spans="1:9" s="93" customFormat="1" ht="9" customHeight="1" x14ac:dyDescent="0.3">
      <c r="A1801" s="91"/>
      <c r="B1801" s="70"/>
      <c r="C1801" s="70"/>
      <c r="D1801" s="70"/>
      <c r="E1801" s="70"/>
      <c r="F1801" s="70"/>
      <c r="G1801" s="70"/>
      <c r="H1801" s="131"/>
      <c r="I1801" s="3"/>
    </row>
    <row r="1802" spans="1:9" s="93" customFormat="1" ht="9" customHeight="1" x14ac:dyDescent="0.3">
      <c r="A1802" s="91"/>
      <c r="B1802" s="70"/>
      <c r="C1802" s="70"/>
      <c r="D1802" s="70"/>
      <c r="E1802" s="70"/>
      <c r="F1802" s="70"/>
      <c r="G1802" s="70"/>
      <c r="H1802" s="131"/>
      <c r="I1802" s="3"/>
    </row>
    <row r="1803" spans="1:9" s="93" customFormat="1" ht="9" customHeight="1" x14ac:dyDescent="0.3">
      <c r="A1803" s="91"/>
      <c r="B1803" s="70"/>
      <c r="C1803" s="70"/>
      <c r="D1803" s="70"/>
      <c r="E1803" s="70"/>
      <c r="F1803" s="70"/>
      <c r="G1803" s="70"/>
      <c r="H1803" s="131"/>
      <c r="I1803" s="3"/>
    </row>
    <row r="1804" spans="1:9" s="93" customFormat="1" ht="9" customHeight="1" x14ac:dyDescent="0.3">
      <c r="A1804" s="91"/>
      <c r="B1804" s="70"/>
      <c r="C1804" s="70"/>
      <c r="D1804" s="70"/>
      <c r="E1804" s="70"/>
      <c r="F1804" s="70"/>
      <c r="G1804" s="70"/>
      <c r="H1804" s="131"/>
      <c r="I1804" s="3"/>
    </row>
    <row r="1805" spans="1:9" s="93" customFormat="1" ht="9" customHeight="1" x14ac:dyDescent="0.3">
      <c r="A1805" s="91"/>
      <c r="B1805" s="70"/>
      <c r="C1805" s="70"/>
      <c r="D1805" s="70"/>
      <c r="E1805" s="70"/>
      <c r="F1805" s="70"/>
      <c r="G1805" s="70"/>
      <c r="H1805" s="131"/>
      <c r="I1805" s="3"/>
    </row>
    <row r="1806" spans="1:9" s="93" customFormat="1" ht="9" customHeight="1" x14ac:dyDescent="0.3">
      <c r="A1806" s="91"/>
      <c r="B1806" s="70"/>
      <c r="C1806" s="70"/>
      <c r="D1806" s="70"/>
      <c r="E1806" s="70"/>
      <c r="F1806" s="70"/>
      <c r="G1806" s="70"/>
      <c r="H1806" s="131"/>
      <c r="I1806" s="3"/>
    </row>
    <row r="1807" spans="1:9" s="93" customFormat="1" ht="9" customHeight="1" x14ac:dyDescent="0.3">
      <c r="A1807" s="91"/>
      <c r="B1807" s="70"/>
      <c r="C1807" s="70"/>
      <c r="D1807" s="70"/>
      <c r="E1807" s="70"/>
      <c r="F1807" s="70"/>
      <c r="G1807" s="70"/>
      <c r="H1807" s="131"/>
      <c r="I1807" s="3"/>
    </row>
    <row r="1808" spans="1:9" s="93" customFormat="1" ht="9" customHeight="1" x14ac:dyDescent="0.3">
      <c r="A1808" s="91"/>
      <c r="B1808" s="70"/>
      <c r="C1808" s="70"/>
      <c r="D1808" s="70"/>
      <c r="E1808" s="70"/>
      <c r="F1808" s="70"/>
      <c r="G1808" s="70"/>
      <c r="H1808" s="131"/>
      <c r="I1808" s="3"/>
    </row>
    <row r="1809" spans="1:9" s="93" customFormat="1" ht="9" customHeight="1" x14ac:dyDescent="0.3">
      <c r="A1809" s="91"/>
      <c r="B1809" s="70"/>
      <c r="C1809" s="70"/>
      <c r="D1809" s="70"/>
      <c r="E1809" s="70"/>
      <c r="F1809" s="70"/>
      <c r="G1809" s="70"/>
      <c r="H1809" s="131"/>
      <c r="I1809" s="3"/>
    </row>
    <row r="1810" spans="1:9" s="93" customFormat="1" ht="9" customHeight="1" x14ac:dyDescent="0.3">
      <c r="A1810" s="91"/>
      <c r="B1810" s="70"/>
      <c r="C1810" s="70"/>
      <c r="D1810" s="70"/>
      <c r="E1810" s="70"/>
      <c r="F1810" s="70"/>
      <c r="G1810" s="70"/>
      <c r="H1810" s="131"/>
      <c r="I1810" s="3"/>
    </row>
    <row r="1811" spans="1:9" s="93" customFormat="1" ht="9" customHeight="1" x14ac:dyDescent="0.3">
      <c r="A1811" s="91"/>
      <c r="B1811" s="70"/>
      <c r="C1811" s="70"/>
      <c r="D1811" s="70"/>
      <c r="E1811" s="70"/>
      <c r="F1811" s="70"/>
      <c r="G1811" s="70"/>
      <c r="H1811" s="131"/>
      <c r="I1811" s="3"/>
    </row>
    <row r="1812" spans="1:9" s="93" customFormat="1" ht="9" customHeight="1" x14ac:dyDescent="0.3">
      <c r="A1812" s="91"/>
      <c r="B1812" s="70"/>
      <c r="C1812" s="70"/>
      <c r="D1812" s="70"/>
      <c r="E1812" s="70"/>
      <c r="F1812" s="70"/>
      <c r="G1812" s="70"/>
      <c r="H1812" s="131"/>
      <c r="I1812" s="3"/>
    </row>
    <row r="1813" spans="1:9" s="93" customFormat="1" ht="9" customHeight="1" x14ac:dyDescent="0.3">
      <c r="A1813" s="91"/>
      <c r="B1813" s="70"/>
      <c r="C1813" s="70"/>
      <c r="D1813" s="70"/>
      <c r="E1813" s="70"/>
      <c r="F1813" s="70"/>
      <c r="G1813" s="70"/>
      <c r="H1813" s="131"/>
      <c r="I1813" s="3"/>
    </row>
    <row r="1814" spans="1:9" s="93" customFormat="1" ht="9" customHeight="1" x14ac:dyDescent="0.3">
      <c r="A1814" s="91"/>
      <c r="B1814" s="70"/>
      <c r="C1814" s="70"/>
      <c r="D1814" s="70"/>
      <c r="E1814" s="70"/>
      <c r="F1814" s="70"/>
      <c r="G1814" s="70"/>
      <c r="H1814" s="131"/>
      <c r="I1814" s="3"/>
    </row>
    <row r="1815" spans="1:9" s="93" customFormat="1" ht="9" customHeight="1" x14ac:dyDescent="0.3">
      <c r="A1815" s="91"/>
      <c r="B1815" s="70"/>
      <c r="C1815" s="70"/>
      <c r="D1815" s="70"/>
      <c r="E1815" s="70"/>
      <c r="F1815" s="70"/>
      <c r="G1815" s="70"/>
      <c r="H1815" s="131"/>
      <c r="I1815" s="3"/>
    </row>
    <row r="1816" spans="1:9" s="93" customFormat="1" ht="9" customHeight="1" x14ac:dyDescent="0.3">
      <c r="A1816" s="91"/>
      <c r="B1816" s="70"/>
      <c r="C1816" s="70"/>
      <c r="D1816" s="70"/>
      <c r="E1816" s="70"/>
      <c r="F1816" s="70"/>
      <c r="G1816" s="70"/>
      <c r="H1816" s="131"/>
      <c r="I1816" s="3"/>
    </row>
    <row r="1817" spans="1:9" s="93" customFormat="1" ht="9" customHeight="1" x14ac:dyDescent="0.3">
      <c r="A1817" s="91"/>
      <c r="B1817" s="70"/>
      <c r="C1817" s="70"/>
      <c r="D1817" s="70"/>
      <c r="E1817" s="70"/>
      <c r="F1817" s="70"/>
      <c r="G1817" s="70"/>
      <c r="H1817" s="131"/>
      <c r="I1817" s="3"/>
    </row>
    <row r="1818" spans="1:9" s="93" customFormat="1" ht="9" customHeight="1" x14ac:dyDescent="0.3">
      <c r="A1818" s="91"/>
      <c r="B1818" s="70"/>
      <c r="C1818" s="70"/>
      <c r="D1818" s="70"/>
      <c r="E1818" s="70"/>
      <c r="F1818" s="70"/>
      <c r="G1818" s="70"/>
      <c r="H1818" s="131"/>
      <c r="I1818" s="3"/>
    </row>
    <row r="1819" spans="1:9" s="93" customFormat="1" ht="9" customHeight="1" x14ac:dyDescent="0.3">
      <c r="A1819" s="91"/>
      <c r="B1819" s="70"/>
      <c r="C1819" s="70"/>
      <c r="D1819" s="70"/>
      <c r="E1819" s="70"/>
      <c r="F1819" s="70"/>
      <c r="G1819" s="70"/>
      <c r="H1819" s="131"/>
      <c r="I1819" s="3"/>
    </row>
    <row r="1820" spans="1:9" s="93" customFormat="1" ht="9" customHeight="1" x14ac:dyDescent="0.3">
      <c r="A1820" s="91"/>
      <c r="B1820" s="70"/>
      <c r="C1820" s="70"/>
      <c r="D1820" s="70"/>
      <c r="E1820" s="70"/>
      <c r="F1820" s="70"/>
      <c r="G1820" s="70"/>
      <c r="H1820" s="131"/>
      <c r="I1820" s="3"/>
    </row>
    <row r="1821" spans="1:9" s="93" customFormat="1" ht="9" customHeight="1" x14ac:dyDescent="0.3">
      <c r="A1821" s="91"/>
      <c r="B1821" s="70"/>
      <c r="C1821" s="70"/>
      <c r="D1821" s="70"/>
      <c r="E1821" s="70"/>
      <c r="F1821" s="70"/>
      <c r="G1821" s="70"/>
      <c r="H1821" s="131"/>
      <c r="I1821" s="3"/>
    </row>
    <row r="1822" spans="1:9" s="93" customFormat="1" ht="9" customHeight="1" x14ac:dyDescent="0.3">
      <c r="A1822" s="91"/>
      <c r="B1822" s="70"/>
      <c r="C1822" s="70"/>
      <c r="D1822" s="70"/>
      <c r="E1822" s="70"/>
      <c r="F1822" s="70"/>
      <c r="G1822" s="70"/>
      <c r="H1822" s="131"/>
      <c r="I1822" s="3"/>
    </row>
    <row r="1823" spans="1:9" s="93" customFormat="1" ht="9" customHeight="1" x14ac:dyDescent="0.3">
      <c r="A1823" s="91"/>
      <c r="B1823" s="70"/>
      <c r="C1823" s="70"/>
      <c r="D1823" s="70"/>
      <c r="E1823" s="70"/>
      <c r="F1823" s="70"/>
      <c r="G1823" s="70"/>
      <c r="H1823" s="131"/>
      <c r="I1823" s="3"/>
    </row>
    <row r="1824" spans="1:9" s="93" customFormat="1" ht="9" customHeight="1" x14ac:dyDescent="0.3">
      <c r="A1824" s="91"/>
      <c r="B1824" s="70"/>
      <c r="C1824" s="70"/>
      <c r="D1824" s="70"/>
      <c r="E1824" s="70"/>
      <c r="F1824" s="70"/>
      <c r="G1824" s="70"/>
      <c r="H1824" s="131"/>
      <c r="I1824" s="3"/>
    </row>
    <row r="1825" spans="1:9" s="93" customFormat="1" ht="9" customHeight="1" x14ac:dyDescent="0.3">
      <c r="A1825" s="91"/>
      <c r="B1825" s="70"/>
      <c r="C1825" s="70"/>
      <c r="D1825" s="70"/>
      <c r="E1825" s="70"/>
      <c r="F1825" s="70"/>
      <c r="G1825" s="70"/>
      <c r="H1825" s="131"/>
      <c r="I1825" s="3"/>
    </row>
    <row r="1826" spans="1:9" s="93" customFormat="1" ht="9" customHeight="1" x14ac:dyDescent="0.3">
      <c r="A1826" s="91"/>
      <c r="B1826" s="70"/>
      <c r="C1826" s="70"/>
      <c r="D1826" s="70"/>
      <c r="E1826" s="70"/>
      <c r="F1826" s="70"/>
      <c r="G1826" s="70"/>
      <c r="H1826" s="131"/>
      <c r="I1826" s="3"/>
    </row>
    <row r="1827" spans="1:9" s="93" customFormat="1" ht="9" customHeight="1" x14ac:dyDescent="0.3">
      <c r="A1827" s="91"/>
      <c r="B1827" s="70"/>
      <c r="C1827" s="70"/>
      <c r="D1827" s="70"/>
      <c r="E1827" s="70"/>
      <c r="F1827" s="70"/>
      <c r="G1827" s="70"/>
      <c r="H1827" s="131"/>
      <c r="I1827" s="3"/>
    </row>
    <row r="1828" spans="1:9" s="93" customFormat="1" ht="9" customHeight="1" x14ac:dyDescent="0.3">
      <c r="A1828" s="91"/>
      <c r="B1828" s="70"/>
      <c r="C1828" s="70"/>
      <c r="D1828" s="70"/>
      <c r="E1828" s="70"/>
      <c r="F1828" s="70"/>
      <c r="G1828" s="70"/>
      <c r="H1828" s="131"/>
      <c r="I1828" s="3"/>
    </row>
    <row r="1829" spans="1:9" s="93" customFormat="1" ht="9" customHeight="1" x14ac:dyDescent="0.3">
      <c r="A1829" s="91"/>
      <c r="B1829" s="70"/>
      <c r="C1829" s="70"/>
      <c r="D1829" s="70"/>
      <c r="E1829" s="70"/>
      <c r="F1829" s="70"/>
      <c r="G1829" s="70"/>
      <c r="H1829" s="131"/>
      <c r="I1829" s="3"/>
    </row>
    <row r="1830" spans="1:9" s="93" customFormat="1" ht="9" customHeight="1" x14ac:dyDescent="0.3">
      <c r="A1830" s="91"/>
      <c r="B1830" s="70"/>
      <c r="C1830" s="70"/>
      <c r="D1830" s="70"/>
      <c r="E1830" s="70"/>
      <c r="F1830" s="70"/>
      <c r="G1830" s="70"/>
      <c r="H1830" s="131"/>
      <c r="I1830" s="3"/>
    </row>
    <row r="1831" spans="1:9" s="93" customFormat="1" ht="9" customHeight="1" x14ac:dyDescent="0.3">
      <c r="A1831" s="91"/>
      <c r="B1831" s="70"/>
      <c r="C1831" s="70"/>
      <c r="D1831" s="70"/>
      <c r="E1831" s="70"/>
      <c r="F1831" s="70"/>
      <c r="G1831" s="70"/>
      <c r="H1831" s="131"/>
      <c r="I1831" s="3"/>
    </row>
    <row r="1832" spans="1:9" s="93" customFormat="1" ht="9" customHeight="1" x14ac:dyDescent="0.3">
      <c r="A1832" s="91"/>
      <c r="B1832" s="70"/>
      <c r="C1832" s="70"/>
      <c r="D1832" s="70"/>
      <c r="E1832" s="70"/>
      <c r="F1832" s="70"/>
      <c r="G1832" s="70"/>
      <c r="H1832" s="131"/>
      <c r="I1832" s="3"/>
    </row>
    <row r="1833" spans="1:9" s="93" customFormat="1" ht="9" customHeight="1" x14ac:dyDescent="0.3">
      <c r="A1833" s="91"/>
      <c r="B1833" s="70"/>
      <c r="C1833" s="70"/>
      <c r="D1833" s="70"/>
      <c r="E1833" s="70"/>
      <c r="F1833" s="70"/>
      <c r="G1833" s="70"/>
      <c r="H1833" s="131"/>
      <c r="I1833" s="3"/>
    </row>
    <row r="1834" spans="1:9" s="93" customFormat="1" ht="9" customHeight="1" x14ac:dyDescent="0.3">
      <c r="A1834" s="91"/>
      <c r="B1834" s="70"/>
      <c r="C1834" s="70"/>
      <c r="D1834" s="70"/>
      <c r="E1834" s="70"/>
      <c r="F1834" s="70"/>
      <c r="G1834" s="70"/>
      <c r="H1834" s="131"/>
      <c r="I1834" s="3"/>
    </row>
    <row r="1835" spans="1:9" s="93" customFormat="1" ht="9" customHeight="1" x14ac:dyDescent="0.3">
      <c r="A1835" s="91"/>
      <c r="B1835" s="70"/>
      <c r="C1835" s="70"/>
      <c r="D1835" s="70"/>
      <c r="E1835" s="70"/>
      <c r="F1835" s="70"/>
      <c r="G1835" s="70"/>
      <c r="H1835" s="131"/>
      <c r="I1835" s="3"/>
    </row>
    <row r="1836" spans="1:9" s="93" customFormat="1" ht="9" customHeight="1" x14ac:dyDescent="0.3">
      <c r="A1836" s="91"/>
      <c r="B1836" s="70"/>
      <c r="C1836" s="70"/>
      <c r="D1836" s="70"/>
      <c r="E1836" s="70"/>
      <c r="F1836" s="70"/>
      <c r="G1836" s="70"/>
      <c r="H1836" s="131"/>
      <c r="I1836" s="3"/>
    </row>
    <row r="1837" spans="1:9" s="93" customFormat="1" ht="9" customHeight="1" x14ac:dyDescent="0.3">
      <c r="A1837" s="91"/>
      <c r="B1837" s="70"/>
      <c r="C1837" s="70"/>
      <c r="D1837" s="70"/>
      <c r="E1837" s="70"/>
      <c r="F1837" s="70"/>
      <c r="G1837" s="70"/>
      <c r="H1837" s="131"/>
      <c r="I1837" s="3"/>
    </row>
    <row r="1838" spans="1:9" s="93" customFormat="1" ht="9" customHeight="1" x14ac:dyDescent="0.3">
      <c r="A1838" s="91"/>
      <c r="B1838" s="70"/>
      <c r="C1838" s="70"/>
      <c r="D1838" s="70"/>
      <c r="E1838" s="70"/>
      <c r="F1838" s="70"/>
      <c r="G1838" s="70"/>
      <c r="H1838" s="131"/>
      <c r="I1838" s="3"/>
    </row>
    <row r="1839" spans="1:9" s="93" customFormat="1" ht="9" customHeight="1" x14ac:dyDescent="0.3">
      <c r="A1839" s="91"/>
      <c r="B1839" s="70"/>
      <c r="C1839" s="70"/>
      <c r="D1839" s="70"/>
      <c r="E1839" s="70"/>
      <c r="F1839" s="70"/>
      <c r="G1839" s="70"/>
      <c r="H1839" s="131"/>
      <c r="I1839" s="3"/>
    </row>
    <row r="1840" spans="1:9" s="93" customFormat="1" ht="9" customHeight="1" x14ac:dyDescent="0.3">
      <c r="A1840" s="91"/>
      <c r="B1840" s="70"/>
      <c r="C1840" s="70"/>
      <c r="D1840" s="70"/>
      <c r="E1840" s="70"/>
      <c r="F1840" s="70"/>
      <c r="G1840" s="70"/>
      <c r="H1840" s="131"/>
      <c r="I1840" s="3"/>
    </row>
    <row r="1841" spans="1:9" s="93" customFormat="1" ht="9" customHeight="1" x14ac:dyDescent="0.3">
      <c r="A1841" s="91"/>
      <c r="B1841" s="70"/>
      <c r="C1841" s="70"/>
      <c r="D1841" s="70"/>
      <c r="E1841" s="70"/>
      <c r="F1841" s="70"/>
      <c r="G1841" s="70"/>
      <c r="H1841" s="131"/>
      <c r="I1841" s="3"/>
    </row>
    <row r="1842" spans="1:9" s="93" customFormat="1" ht="9" customHeight="1" x14ac:dyDescent="0.3">
      <c r="A1842" s="91"/>
      <c r="B1842" s="70"/>
      <c r="C1842" s="70"/>
      <c r="D1842" s="70"/>
      <c r="E1842" s="70"/>
      <c r="F1842" s="70"/>
      <c r="G1842" s="70"/>
      <c r="H1842" s="131"/>
      <c r="I1842" s="3"/>
    </row>
    <row r="1843" spans="1:9" s="93" customFormat="1" ht="9" customHeight="1" x14ac:dyDescent="0.3">
      <c r="A1843" s="91"/>
      <c r="B1843" s="70"/>
      <c r="C1843" s="70"/>
      <c r="D1843" s="70"/>
      <c r="E1843" s="70"/>
      <c r="F1843" s="70"/>
      <c r="G1843" s="70"/>
      <c r="H1843" s="131"/>
      <c r="I1843" s="3"/>
    </row>
    <row r="1844" spans="1:9" s="93" customFormat="1" ht="9" customHeight="1" x14ac:dyDescent="0.3">
      <c r="A1844" s="91"/>
      <c r="B1844" s="70"/>
      <c r="C1844" s="70"/>
      <c r="D1844" s="70"/>
      <c r="E1844" s="70"/>
      <c r="F1844" s="70"/>
      <c r="G1844" s="70"/>
      <c r="H1844" s="131"/>
      <c r="I1844" s="3"/>
    </row>
    <row r="1845" spans="1:9" s="93" customFormat="1" ht="9" customHeight="1" x14ac:dyDescent="0.3">
      <c r="A1845" s="91"/>
      <c r="B1845" s="70"/>
      <c r="C1845" s="70"/>
      <c r="D1845" s="70"/>
      <c r="E1845" s="70"/>
      <c r="F1845" s="70"/>
      <c r="G1845" s="70"/>
      <c r="H1845" s="131"/>
      <c r="I1845" s="3"/>
    </row>
    <row r="1846" spans="1:9" s="93" customFormat="1" ht="9" customHeight="1" x14ac:dyDescent="0.3">
      <c r="A1846" s="91"/>
      <c r="B1846" s="70"/>
      <c r="C1846" s="70"/>
      <c r="D1846" s="70"/>
      <c r="E1846" s="70"/>
      <c r="F1846" s="70"/>
      <c r="G1846" s="70"/>
      <c r="H1846" s="131"/>
      <c r="I1846" s="3"/>
    </row>
    <row r="1847" spans="1:9" s="93" customFormat="1" ht="9" customHeight="1" x14ac:dyDescent="0.3">
      <c r="A1847" s="91"/>
      <c r="B1847" s="70"/>
      <c r="C1847" s="70"/>
      <c r="D1847" s="70"/>
      <c r="E1847" s="70"/>
      <c r="F1847" s="70"/>
      <c r="G1847" s="70"/>
      <c r="H1847" s="131"/>
      <c r="I1847" s="3"/>
    </row>
    <row r="1848" spans="1:9" s="93" customFormat="1" ht="9" customHeight="1" x14ac:dyDescent="0.3">
      <c r="A1848" s="91"/>
      <c r="B1848" s="70"/>
      <c r="C1848" s="70"/>
      <c r="D1848" s="70"/>
      <c r="E1848" s="70"/>
      <c r="F1848" s="70"/>
      <c r="G1848" s="70"/>
      <c r="H1848" s="131"/>
      <c r="I1848" s="3"/>
    </row>
    <row r="1849" spans="1:9" s="93" customFormat="1" ht="9" customHeight="1" x14ac:dyDescent="0.3">
      <c r="A1849" s="91"/>
      <c r="B1849" s="70"/>
      <c r="C1849" s="70"/>
      <c r="D1849" s="70"/>
      <c r="E1849" s="70"/>
      <c r="F1849" s="70"/>
      <c r="G1849" s="70"/>
      <c r="H1849" s="131"/>
      <c r="I1849" s="3"/>
    </row>
    <row r="1850" spans="1:9" s="93" customFormat="1" ht="9" customHeight="1" x14ac:dyDescent="0.3">
      <c r="A1850" s="91"/>
      <c r="B1850" s="70"/>
      <c r="C1850" s="70"/>
      <c r="D1850" s="70"/>
      <c r="E1850" s="70"/>
      <c r="F1850" s="70"/>
      <c r="G1850" s="70"/>
      <c r="H1850" s="131"/>
      <c r="I1850" s="3"/>
    </row>
    <row r="1851" spans="1:9" s="93" customFormat="1" ht="9" customHeight="1" x14ac:dyDescent="0.3">
      <c r="A1851" s="91"/>
      <c r="B1851" s="70"/>
      <c r="C1851" s="70"/>
      <c r="D1851" s="70"/>
      <c r="E1851" s="70"/>
      <c r="F1851" s="70"/>
      <c r="G1851" s="70"/>
      <c r="H1851" s="131"/>
      <c r="I1851" s="3"/>
    </row>
    <row r="1852" spans="1:9" s="93" customFormat="1" ht="9" customHeight="1" x14ac:dyDescent="0.3">
      <c r="A1852" s="91"/>
      <c r="B1852" s="70"/>
      <c r="C1852" s="70"/>
      <c r="D1852" s="70"/>
      <c r="E1852" s="70"/>
      <c r="F1852" s="70"/>
      <c r="G1852" s="70"/>
      <c r="H1852" s="131"/>
      <c r="I1852" s="3"/>
    </row>
    <row r="1853" spans="1:9" s="93" customFormat="1" ht="9" customHeight="1" x14ac:dyDescent="0.3">
      <c r="A1853" s="91"/>
      <c r="B1853" s="70"/>
      <c r="C1853" s="70"/>
      <c r="D1853" s="70"/>
      <c r="E1853" s="70"/>
      <c r="F1853" s="70"/>
      <c r="G1853" s="70"/>
      <c r="H1853" s="131"/>
      <c r="I1853" s="3"/>
    </row>
    <row r="1854" spans="1:9" s="93" customFormat="1" ht="9" customHeight="1" x14ac:dyDescent="0.3">
      <c r="A1854" s="91"/>
      <c r="B1854" s="70"/>
      <c r="C1854" s="70"/>
      <c r="D1854" s="70"/>
      <c r="E1854" s="70"/>
      <c r="F1854" s="70"/>
      <c r="G1854" s="70"/>
      <c r="H1854" s="131"/>
      <c r="I1854" s="3"/>
    </row>
    <row r="1855" spans="1:9" s="93" customFormat="1" ht="9" customHeight="1" x14ac:dyDescent="0.3">
      <c r="A1855" s="91"/>
      <c r="B1855" s="70"/>
      <c r="C1855" s="70"/>
      <c r="D1855" s="70"/>
      <c r="E1855" s="70"/>
      <c r="F1855" s="70"/>
      <c r="G1855" s="70"/>
      <c r="H1855" s="131"/>
      <c r="I1855" s="3"/>
    </row>
    <row r="1856" spans="1:9" s="93" customFormat="1" ht="9" customHeight="1" x14ac:dyDescent="0.3">
      <c r="A1856" s="91"/>
      <c r="B1856" s="70"/>
      <c r="C1856" s="70"/>
      <c r="D1856" s="70"/>
      <c r="E1856" s="70"/>
      <c r="F1856" s="70"/>
      <c r="G1856" s="70"/>
      <c r="H1856" s="131"/>
      <c r="I1856" s="3"/>
    </row>
    <row r="1857" spans="1:9" s="93" customFormat="1" ht="9" customHeight="1" x14ac:dyDescent="0.3">
      <c r="A1857" s="91"/>
      <c r="B1857" s="70"/>
      <c r="C1857" s="70"/>
      <c r="D1857" s="70"/>
      <c r="E1857" s="70"/>
      <c r="F1857" s="70"/>
      <c r="G1857" s="70"/>
      <c r="H1857" s="131"/>
      <c r="I1857" s="3"/>
    </row>
    <row r="1858" spans="1:9" s="93" customFormat="1" ht="9" customHeight="1" x14ac:dyDescent="0.3">
      <c r="A1858" s="91"/>
      <c r="B1858" s="70"/>
      <c r="C1858" s="70"/>
      <c r="D1858" s="70"/>
      <c r="E1858" s="70"/>
      <c r="F1858" s="70"/>
      <c r="G1858" s="70"/>
      <c r="H1858" s="131"/>
      <c r="I1858" s="3"/>
    </row>
    <row r="1859" spans="1:9" s="93" customFormat="1" ht="9" customHeight="1" x14ac:dyDescent="0.3">
      <c r="A1859" s="91"/>
      <c r="B1859" s="70"/>
      <c r="C1859" s="70"/>
      <c r="D1859" s="70"/>
      <c r="E1859" s="70"/>
      <c r="F1859" s="70"/>
      <c r="G1859" s="70"/>
      <c r="H1859" s="131"/>
      <c r="I1859" s="3"/>
    </row>
    <row r="1860" spans="1:9" s="93" customFormat="1" ht="9" customHeight="1" x14ac:dyDescent="0.3">
      <c r="A1860" s="91"/>
      <c r="B1860" s="70"/>
      <c r="C1860" s="70"/>
      <c r="D1860" s="70"/>
      <c r="E1860" s="70"/>
      <c r="F1860" s="70"/>
      <c r="G1860" s="70"/>
      <c r="H1860" s="131"/>
      <c r="I1860" s="3"/>
    </row>
    <row r="1861" spans="1:9" s="93" customFormat="1" ht="9" customHeight="1" x14ac:dyDescent="0.3">
      <c r="A1861" s="91"/>
      <c r="B1861" s="70"/>
      <c r="C1861" s="70"/>
      <c r="D1861" s="70"/>
      <c r="E1861" s="70"/>
      <c r="F1861" s="70"/>
      <c r="G1861" s="70"/>
      <c r="H1861" s="131"/>
      <c r="I1861" s="3"/>
    </row>
    <row r="1862" spans="1:9" s="93" customFormat="1" ht="9" customHeight="1" x14ac:dyDescent="0.3">
      <c r="A1862" s="91"/>
      <c r="B1862" s="70"/>
      <c r="C1862" s="70"/>
      <c r="D1862" s="70"/>
      <c r="E1862" s="70"/>
      <c r="F1862" s="70"/>
      <c r="G1862" s="70"/>
      <c r="H1862" s="131"/>
      <c r="I1862" s="3"/>
    </row>
    <row r="1863" spans="1:9" s="93" customFormat="1" ht="9" customHeight="1" x14ac:dyDescent="0.3">
      <c r="A1863" s="91"/>
      <c r="B1863" s="70"/>
      <c r="C1863" s="70"/>
      <c r="D1863" s="70"/>
      <c r="E1863" s="70"/>
      <c r="F1863" s="70"/>
      <c r="G1863" s="70"/>
      <c r="H1863" s="131"/>
      <c r="I1863" s="3"/>
    </row>
    <row r="1864" spans="1:9" s="93" customFormat="1" ht="9" customHeight="1" x14ac:dyDescent="0.3">
      <c r="A1864" s="91"/>
      <c r="B1864" s="70"/>
      <c r="C1864" s="70"/>
      <c r="D1864" s="70"/>
      <c r="E1864" s="70"/>
      <c r="F1864" s="70"/>
      <c r="G1864" s="70"/>
      <c r="H1864" s="131"/>
      <c r="I1864" s="3"/>
    </row>
    <row r="1865" spans="1:9" s="93" customFormat="1" ht="9" customHeight="1" x14ac:dyDescent="0.3">
      <c r="A1865" s="91"/>
      <c r="B1865" s="70"/>
      <c r="C1865" s="70"/>
      <c r="D1865" s="70"/>
      <c r="E1865" s="70"/>
      <c r="F1865" s="70"/>
      <c r="G1865" s="70"/>
      <c r="H1865" s="131"/>
      <c r="I1865" s="3"/>
    </row>
    <row r="1866" spans="1:9" s="93" customFormat="1" ht="9" customHeight="1" x14ac:dyDescent="0.3">
      <c r="A1866" s="91"/>
      <c r="B1866" s="70"/>
      <c r="C1866" s="70"/>
      <c r="D1866" s="70"/>
      <c r="E1866" s="70"/>
      <c r="F1866" s="70"/>
      <c r="G1866" s="70"/>
      <c r="H1866" s="131"/>
      <c r="I1866" s="3"/>
    </row>
    <row r="1867" spans="1:9" s="93" customFormat="1" ht="9" customHeight="1" x14ac:dyDescent="0.3">
      <c r="A1867" s="91"/>
      <c r="B1867" s="70"/>
      <c r="C1867" s="70"/>
      <c r="D1867" s="70"/>
      <c r="E1867" s="70"/>
      <c r="F1867" s="70"/>
      <c r="G1867" s="70"/>
      <c r="H1867" s="131"/>
      <c r="I1867" s="3"/>
    </row>
    <row r="1868" spans="1:9" s="93" customFormat="1" ht="9" customHeight="1" x14ac:dyDescent="0.3">
      <c r="A1868" s="91"/>
      <c r="B1868" s="70"/>
      <c r="C1868" s="70"/>
      <c r="D1868" s="70"/>
      <c r="E1868" s="70"/>
      <c r="F1868" s="70"/>
      <c r="G1868" s="70"/>
      <c r="H1868" s="131"/>
      <c r="I1868" s="3"/>
    </row>
    <row r="1869" spans="1:9" s="93" customFormat="1" ht="9" customHeight="1" x14ac:dyDescent="0.3">
      <c r="A1869" s="91"/>
      <c r="B1869" s="70"/>
      <c r="C1869" s="70"/>
      <c r="D1869" s="70"/>
      <c r="E1869" s="70"/>
      <c r="F1869" s="70"/>
      <c r="G1869" s="70"/>
      <c r="H1869" s="131"/>
      <c r="I1869" s="3"/>
    </row>
    <row r="1870" spans="1:9" s="93" customFormat="1" ht="9" customHeight="1" x14ac:dyDescent="0.3">
      <c r="A1870" s="91"/>
      <c r="B1870" s="70"/>
      <c r="C1870" s="70"/>
      <c r="D1870" s="70"/>
      <c r="E1870" s="70"/>
      <c r="F1870" s="70"/>
      <c r="G1870" s="70"/>
      <c r="H1870" s="131"/>
      <c r="I1870" s="3"/>
    </row>
    <row r="1871" spans="1:9" s="93" customFormat="1" ht="9" customHeight="1" x14ac:dyDescent="0.3">
      <c r="A1871" s="91"/>
      <c r="B1871" s="70"/>
      <c r="C1871" s="70"/>
      <c r="D1871" s="70"/>
      <c r="E1871" s="70"/>
      <c r="F1871" s="70"/>
      <c r="G1871" s="70"/>
      <c r="H1871" s="131"/>
      <c r="I1871" s="3"/>
    </row>
    <row r="1872" spans="1:9" s="93" customFormat="1" ht="9" customHeight="1" x14ac:dyDescent="0.3">
      <c r="A1872" s="91"/>
      <c r="B1872" s="70"/>
      <c r="C1872" s="70"/>
      <c r="D1872" s="70"/>
      <c r="E1872" s="70"/>
      <c r="F1872" s="70"/>
      <c r="G1872" s="70"/>
      <c r="H1872" s="131"/>
      <c r="I1872" s="3"/>
    </row>
    <row r="1873" spans="1:9" s="93" customFormat="1" ht="9" customHeight="1" x14ac:dyDescent="0.3">
      <c r="A1873" s="91"/>
      <c r="B1873" s="70"/>
      <c r="C1873" s="70"/>
      <c r="D1873" s="70"/>
      <c r="E1873" s="70"/>
      <c r="F1873" s="70"/>
      <c r="G1873" s="70"/>
      <c r="H1873" s="131"/>
      <c r="I1873" s="3"/>
    </row>
    <row r="1874" spans="1:9" s="93" customFormat="1" ht="9" customHeight="1" x14ac:dyDescent="0.3">
      <c r="A1874" s="91"/>
      <c r="B1874" s="70"/>
      <c r="C1874" s="70"/>
      <c r="D1874" s="70"/>
      <c r="E1874" s="70"/>
      <c r="F1874" s="70"/>
      <c r="G1874" s="70"/>
      <c r="H1874" s="131"/>
      <c r="I1874" s="3"/>
    </row>
    <row r="1875" spans="1:9" s="93" customFormat="1" ht="9" customHeight="1" x14ac:dyDescent="0.3">
      <c r="A1875" s="91"/>
      <c r="B1875" s="70"/>
      <c r="C1875" s="70"/>
      <c r="D1875" s="70"/>
      <c r="E1875" s="70"/>
      <c r="F1875" s="70"/>
      <c r="G1875" s="70"/>
      <c r="H1875" s="131"/>
      <c r="I1875" s="3"/>
    </row>
    <row r="1876" spans="1:9" s="93" customFormat="1" ht="9" customHeight="1" x14ac:dyDescent="0.3">
      <c r="A1876" s="91"/>
      <c r="B1876" s="70"/>
      <c r="C1876" s="70"/>
      <c r="D1876" s="70"/>
      <c r="E1876" s="70"/>
      <c r="F1876" s="70"/>
      <c r="G1876" s="70"/>
      <c r="H1876" s="131"/>
      <c r="I1876" s="3"/>
    </row>
    <row r="1877" spans="1:9" s="93" customFormat="1" ht="9" customHeight="1" x14ac:dyDescent="0.3">
      <c r="A1877" s="91"/>
      <c r="B1877" s="70"/>
      <c r="C1877" s="70"/>
      <c r="D1877" s="70"/>
      <c r="E1877" s="70"/>
      <c r="F1877" s="70"/>
      <c r="G1877" s="70"/>
      <c r="H1877" s="131"/>
      <c r="I1877" s="3"/>
    </row>
    <row r="1878" spans="1:9" s="93" customFormat="1" ht="9" customHeight="1" x14ac:dyDescent="0.3">
      <c r="A1878" s="91"/>
      <c r="B1878" s="70"/>
      <c r="C1878" s="70"/>
      <c r="D1878" s="70"/>
      <c r="E1878" s="70"/>
      <c r="F1878" s="70"/>
      <c r="G1878" s="70"/>
      <c r="H1878" s="131"/>
      <c r="I1878" s="3"/>
    </row>
    <row r="1879" spans="1:9" s="93" customFormat="1" ht="9" customHeight="1" x14ac:dyDescent="0.3">
      <c r="A1879" s="91"/>
      <c r="B1879" s="70"/>
      <c r="C1879" s="70"/>
      <c r="D1879" s="70"/>
      <c r="E1879" s="70"/>
      <c r="F1879" s="70"/>
      <c r="G1879" s="70"/>
      <c r="H1879" s="131"/>
      <c r="I1879" s="3"/>
    </row>
    <row r="1880" spans="1:9" s="93" customFormat="1" ht="9" customHeight="1" x14ac:dyDescent="0.3">
      <c r="A1880" s="91"/>
      <c r="B1880" s="70"/>
      <c r="C1880" s="70"/>
      <c r="D1880" s="70"/>
      <c r="E1880" s="70"/>
      <c r="F1880" s="70"/>
      <c r="G1880" s="70"/>
      <c r="H1880" s="131"/>
      <c r="I1880" s="3"/>
    </row>
    <row r="1881" spans="1:9" s="93" customFormat="1" ht="9" customHeight="1" x14ac:dyDescent="0.3">
      <c r="A1881" s="91"/>
      <c r="B1881" s="70"/>
      <c r="C1881" s="70"/>
      <c r="D1881" s="70"/>
      <c r="E1881" s="70"/>
      <c r="F1881" s="70"/>
      <c r="G1881" s="70"/>
      <c r="H1881" s="131"/>
      <c r="I1881" s="3"/>
    </row>
    <row r="1882" spans="1:9" s="93" customFormat="1" ht="9" customHeight="1" x14ac:dyDescent="0.3">
      <c r="A1882" s="91"/>
      <c r="B1882" s="70"/>
      <c r="C1882" s="70"/>
      <c r="D1882" s="70"/>
      <c r="E1882" s="70"/>
      <c r="F1882" s="70"/>
      <c r="G1882" s="70"/>
      <c r="H1882" s="131"/>
      <c r="I1882" s="3"/>
    </row>
    <row r="1883" spans="1:9" s="93" customFormat="1" ht="9" customHeight="1" x14ac:dyDescent="0.3">
      <c r="A1883" s="91"/>
      <c r="B1883" s="70"/>
      <c r="C1883" s="70"/>
      <c r="D1883" s="70"/>
      <c r="E1883" s="70"/>
      <c r="F1883" s="70"/>
      <c r="G1883" s="70"/>
      <c r="H1883" s="131"/>
      <c r="I1883" s="3"/>
    </row>
    <row r="1884" spans="1:9" s="93" customFormat="1" ht="9" customHeight="1" x14ac:dyDescent="0.3">
      <c r="A1884" s="91"/>
      <c r="B1884" s="70"/>
      <c r="C1884" s="70"/>
      <c r="D1884" s="70"/>
      <c r="E1884" s="70"/>
      <c r="F1884" s="70"/>
      <c r="G1884" s="70"/>
      <c r="H1884" s="131"/>
      <c r="I1884" s="3"/>
    </row>
    <row r="1885" spans="1:9" s="93" customFormat="1" ht="9" customHeight="1" x14ac:dyDescent="0.3">
      <c r="A1885" s="91"/>
      <c r="B1885" s="70"/>
      <c r="C1885" s="70"/>
      <c r="D1885" s="70"/>
      <c r="E1885" s="70"/>
      <c r="F1885" s="70"/>
      <c r="G1885" s="70"/>
      <c r="H1885" s="131"/>
      <c r="I1885" s="3"/>
    </row>
    <row r="1886" spans="1:9" s="93" customFormat="1" ht="9" customHeight="1" x14ac:dyDescent="0.3">
      <c r="A1886" s="91"/>
      <c r="B1886" s="70"/>
      <c r="C1886" s="70"/>
      <c r="D1886" s="70"/>
      <c r="E1886" s="70"/>
      <c r="F1886" s="70"/>
      <c r="G1886" s="70"/>
      <c r="H1886" s="131"/>
      <c r="I1886" s="3"/>
    </row>
    <row r="1887" spans="1:9" s="93" customFormat="1" ht="9" customHeight="1" x14ac:dyDescent="0.3">
      <c r="A1887" s="91"/>
      <c r="B1887" s="70"/>
      <c r="C1887" s="70"/>
      <c r="D1887" s="70"/>
      <c r="E1887" s="70"/>
      <c r="F1887" s="70"/>
      <c r="G1887" s="70"/>
      <c r="H1887" s="131"/>
      <c r="I1887" s="3"/>
    </row>
    <row r="1888" spans="1:9" s="93" customFormat="1" ht="9" customHeight="1" x14ac:dyDescent="0.3">
      <c r="A1888" s="91"/>
      <c r="B1888" s="70"/>
      <c r="C1888" s="70"/>
      <c r="D1888" s="70"/>
      <c r="E1888" s="70"/>
      <c r="F1888" s="70"/>
      <c r="G1888" s="70"/>
      <c r="H1888" s="131"/>
      <c r="I1888" s="3"/>
    </row>
    <row r="1889" spans="1:9" s="93" customFormat="1" ht="9" customHeight="1" x14ac:dyDescent="0.3">
      <c r="A1889" s="91"/>
      <c r="B1889" s="70"/>
      <c r="C1889" s="70"/>
      <c r="D1889" s="70"/>
      <c r="E1889" s="70"/>
      <c r="F1889" s="70"/>
      <c r="G1889" s="70"/>
      <c r="H1889" s="131"/>
      <c r="I1889" s="3"/>
    </row>
    <row r="1890" spans="1:9" s="93" customFormat="1" ht="9" customHeight="1" x14ac:dyDescent="0.3">
      <c r="A1890" s="91"/>
      <c r="B1890" s="70"/>
      <c r="C1890" s="70"/>
      <c r="D1890" s="70"/>
      <c r="E1890" s="70"/>
      <c r="F1890" s="70"/>
      <c r="G1890" s="70"/>
      <c r="H1890" s="131"/>
      <c r="I1890" s="3"/>
    </row>
    <row r="1891" spans="1:9" s="93" customFormat="1" ht="9" customHeight="1" x14ac:dyDescent="0.3">
      <c r="A1891" s="91"/>
      <c r="B1891" s="70"/>
      <c r="C1891" s="70"/>
      <c r="D1891" s="70"/>
      <c r="E1891" s="70"/>
      <c r="F1891" s="70"/>
      <c r="G1891" s="70"/>
      <c r="H1891" s="131"/>
      <c r="I1891" s="3"/>
    </row>
    <row r="1892" spans="1:9" s="93" customFormat="1" ht="9" customHeight="1" x14ac:dyDescent="0.3">
      <c r="A1892" s="91"/>
      <c r="B1892" s="70"/>
      <c r="C1892" s="70"/>
      <c r="D1892" s="70"/>
      <c r="E1892" s="70"/>
      <c r="F1892" s="70"/>
      <c r="G1892" s="70"/>
      <c r="H1892" s="131"/>
      <c r="I1892" s="3"/>
    </row>
    <row r="1893" spans="1:9" s="93" customFormat="1" ht="9" customHeight="1" x14ac:dyDescent="0.3">
      <c r="A1893" s="91"/>
      <c r="B1893" s="70"/>
      <c r="C1893" s="70"/>
      <c r="D1893" s="70"/>
      <c r="E1893" s="70"/>
      <c r="F1893" s="70"/>
      <c r="G1893" s="70"/>
      <c r="H1893" s="131"/>
      <c r="I1893" s="3"/>
    </row>
    <row r="1894" spans="1:9" s="93" customFormat="1" ht="9" customHeight="1" x14ac:dyDescent="0.3">
      <c r="A1894" s="91"/>
      <c r="B1894" s="70"/>
      <c r="C1894" s="70"/>
      <c r="D1894" s="70"/>
      <c r="E1894" s="70"/>
      <c r="F1894" s="70"/>
      <c r="G1894" s="70"/>
      <c r="H1894" s="131"/>
      <c r="I1894" s="3"/>
    </row>
    <row r="1895" spans="1:9" s="93" customFormat="1" ht="9" customHeight="1" x14ac:dyDescent="0.3">
      <c r="A1895" s="91"/>
      <c r="B1895" s="70"/>
      <c r="C1895" s="70"/>
      <c r="D1895" s="70"/>
      <c r="E1895" s="70"/>
      <c r="F1895" s="70"/>
      <c r="G1895" s="70"/>
      <c r="H1895" s="131"/>
      <c r="I1895" s="3"/>
    </row>
    <row r="1896" spans="1:9" s="93" customFormat="1" ht="9" customHeight="1" x14ac:dyDescent="0.3">
      <c r="A1896" s="91"/>
      <c r="B1896" s="70"/>
      <c r="C1896" s="70"/>
      <c r="D1896" s="70"/>
      <c r="E1896" s="70"/>
      <c r="F1896" s="70"/>
      <c r="G1896" s="70"/>
      <c r="H1896" s="131"/>
      <c r="I1896" s="3"/>
    </row>
    <row r="1897" spans="1:9" s="93" customFormat="1" ht="9" customHeight="1" x14ac:dyDescent="0.3">
      <c r="A1897" s="91"/>
      <c r="B1897" s="70"/>
      <c r="C1897" s="70"/>
      <c r="D1897" s="70"/>
      <c r="E1897" s="70"/>
      <c r="F1897" s="70"/>
      <c r="G1897" s="70"/>
      <c r="H1897" s="131"/>
      <c r="I1897" s="3"/>
    </row>
    <row r="1898" spans="1:9" s="93" customFormat="1" ht="9" customHeight="1" x14ac:dyDescent="0.3">
      <c r="A1898" s="91"/>
      <c r="B1898" s="70"/>
      <c r="C1898" s="70"/>
      <c r="D1898" s="70"/>
      <c r="E1898" s="70"/>
      <c r="F1898" s="70"/>
      <c r="G1898" s="70"/>
      <c r="H1898" s="131"/>
      <c r="I1898" s="3"/>
    </row>
    <row r="1899" spans="1:9" s="93" customFormat="1" ht="9" customHeight="1" x14ac:dyDescent="0.3">
      <c r="A1899" s="91"/>
      <c r="B1899" s="70"/>
      <c r="C1899" s="70"/>
      <c r="D1899" s="70"/>
      <c r="E1899" s="70"/>
      <c r="F1899" s="70"/>
      <c r="G1899" s="70"/>
      <c r="H1899" s="131"/>
      <c r="I1899" s="3"/>
    </row>
    <row r="1900" spans="1:9" s="93" customFormat="1" ht="9" customHeight="1" x14ac:dyDescent="0.3">
      <c r="A1900" s="91"/>
      <c r="B1900" s="70"/>
      <c r="C1900" s="70"/>
      <c r="D1900" s="70"/>
      <c r="E1900" s="70"/>
      <c r="F1900" s="70"/>
      <c r="G1900" s="70"/>
      <c r="H1900" s="131"/>
      <c r="I1900" s="3"/>
    </row>
    <row r="1901" spans="1:9" s="93" customFormat="1" ht="9" customHeight="1" x14ac:dyDescent="0.3">
      <c r="A1901" s="91"/>
      <c r="B1901" s="70"/>
      <c r="C1901" s="70"/>
      <c r="D1901" s="70"/>
      <c r="E1901" s="70"/>
      <c r="F1901" s="70"/>
      <c r="G1901" s="70"/>
      <c r="H1901" s="131"/>
      <c r="I1901" s="3"/>
    </row>
    <row r="1902" spans="1:9" s="93" customFormat="1" ht="9" customHeight="1" x14ac:dyDescent="0.3">
      <c r="A1902" s="91"/>
      <c r="B1902" s="70"/>
      <c r="C1902" s="70"/>
      <c r="D1902" s="70"/>
      <c r="E1902" s="70"/>
      <c r="F1902" s="70"/>
      <c r="G1902" s="70"/>
      <c r="H1902" s="131"/>
      <c r="I1902" s="3"/>
    </row>
    <row r="1903" spans="1:9" s="93" customFormat="1" ht="9" customHeight="1" x14ac:dyDescent="0.3">
      <c r="A1903" s="91"/>
      <c r="B1903" s="70"/>
      <c r="C1903" s="70"/>
      <c r="D1903" s="70"/>
      <c r="E1903" s="70"/>
      <c r="F1903" s="70"/>
      <c r="G1903" s="70"/>
      <c r="H1903" s="131"/>
      <c r="I1903" s="3"/>
    </row>
    <row r="1904" spans="1:9" s="93" customFormat="1" ht="9" customHeight="1" x14ac:dyDescent="0.3">
      <c r="A1904" s="91"/>
      <c r="B1904" s="70"/>
      <c r="C1904" s="70"/>
      <c r="D1904" s="70"/>
      <c r="E1904" s="70"/>
      <c r="F1904" s="70"/>
      <c r="G1904" s="70"/>
      <c r="H1904" s="131"/>
      <c r="I1904" s="3"/>
    </row>
    <row r="1905" spans="1:9" s="93" customFormat="1" ht="9" customHeight="1" x14ac:dyDescent="0.3">
      <c r="A1905" s="91"/>
      <c r="B1905" s="70"/>
      <c r="C1905" s="70"/>
      <c r="D1905" s="70"/>
      <c r="E1905" s="70"/>
      <c r="F1905" s="70"/>
      <c r="G1905" s="70"/>
      <c r="H1905" s="131"/>
      <c r="I1905" s="3"/>
    </row>
    <row r="1906" spans="1:9" s="93" customFormat="1" ht="9" customHeight="1" x14ac:dyDescent="0.3">
      <c r="A1906" s="91"/>
      <c r="B1906" s="70"/>
      <c r="C1906" s="70"/>
      <c r="D1906" s="70"/>
      <c r="E1906" s="70"/>
      <c r="F1906" s="70"/>
      <c r="G1906" s="70"/>
      <c r="H1906" s="131"/>
      <c r="I1906" s="3"/>
    </row>
    <row r="1907" spans="1:9" s="93" customFormat="1" ht="9" customHeight="1" x14ac:dyDescent="0.3">
      <c r="A1907" s="91"/>
      <c r="B1907" s="70"/>
      <c r="C1907" s="70"/>
      <c r="D1907" s="70"/>
      <c r="E1907" s="70"/>
      <c r="F1907" s="70"/>
      <c r="G1907" s="70"/>
      <c r="H1907" s="131"/>
      <c r="I1907" s="3"/>
    </row>
    <row r="1908" spans="1:9" s="93" customFormat="1" ht="9" customHeight="1" x14ac:dyDescent="0.3">
      <c r="A1908" s="91"/>
      <c r="B1908" s="70"/>
      <c r="C1908" s="70"/>
      <c r="D1908" s="70"/>
      <c r="E1908" s="70"/>
      <c r="F1908" s="70"/>
      <c r="G1908" s="70"/>
      <c r="H1908" s="131"/>
      <c r="I1908" s="3"/>
    </row>
    <row r="1909" spans="1:9" s="93" customFormat="1" ht="9" customHeight="1" x14ac:dyDescent="0.3">
      <c r="A1909" s="91"/>
      <c r="B1909" s="70"/>
      <c r="C1909" s="70"/>
      <c r="D1909" s="70"/>
      <c r="E1909" s="70"/>
      <c r="F1909" s="70"/>
      <c r="G1909" s="70"/>
      <c r="H1909" s="131"/>
      <c r="I1909" s="3"/>
    </row>
    <row r="1910" spans="1:9" s="93" customFormat="1" ht="9" customHeight="1" x14ac:dyDescent="0.3">
      <c r="A1910" s="91"/>
      <c r="B1910" s="70"/>
      <c r="C1910" s="70"/>
      <c r="D1910" s="70"/>
      <c r="E1910" s="70"/>
      <c r="F1910" s="70"/>
      <c r="G1910" s="70"/>
      <c r="H1910" s="131"/>
      <c r="I1910" s="3"/>
    </row>
    <row r="1911" spans="1:9" s="93" customFormat="1" ht="9" customHeight="1" x14ac:dyDescent="0.3">
      <c r="A1911" s="91"/>
      <c r="B1911" s="70"/>
      <c r="C1911" s="70"/>
      <c r="D1911" s="70"/>
      <c r="E1911" s="70"/>
      <c r="F1911" s="70"/>
      <c r="G1911" s="70"/>
      <c r="H1911" s="131"/>
      <c r="I1911" s="3"/>
    </row>
    <row r="1912" spans="1:9" s="93" customFormat="1" ht="9" customHeight="1" x14ac:dyDescent="0.3">
      <c r="A1912" s="91"/>
      <c r="B1912" s="70"/>
      <c r="C1912" s="70"/>
      <c r="D1912" s="70"/>
      <c r="E1912" s="70"/>
      <c r="F1912" s="70"/>
      <c r="G1912" s="70"/>
      <c r="H1912" s="131"/>
      <c r="I1912" s="3"/>
    </row>
    <row r="1913" spans="1:9" s="93" customFormat="1" ht="9" customHeight="1" x14ac:dyDescent="0.3">
      <c r="A1913" s="91"/>
      <c r="B1913" s="70"/>
      <c r="C1913" s="70"/>
      <c r="D1913" s="70"/>
      <c r="E1913" s="70"/>
      <c r="F1913" s="70"/>
      <c r="G1913" s="70"/>
      <c r="H1913" s="131"/>
      <c r="I1913" s="3"/>
    </row>
    <row r="1914" spans="1:9" s="93" customFormat="1" ht="9" customHeight="1" x14ac:dyDescent="0.3">
      <c r="A1914" s="91"/>
      <c r="B1914" s="70"/>
      <c r="C1914" s="70"/>
      <c r="D1914" s="70"/>
      <c r="E1914" s="70"/>
      <c r="F1914" s="70"/>
      <c r="G1914" s="70"/>
      <c r="H1914" s="131"/>
      <c r="I1914" s="3"/>
    </row>
    <row r="1915" spans="1:9" s="93" customFormat="1" ht="9" customHeight="1" x14ac:dyDescent="0.3">
      <c r="A1915" s="91"/>
      <c r="B1915" s="70"/>
      <c r="C1915" s="70"/>
      <c r="D1915" s="70"/>
      <c r="E1915" s="70"/>
      <c r="F1915" s="70"/>
      <c r="G1915" s="70"/>
      <c r="H1915" s="131"/>
      <c r="I1915" s="3"/>
    </row>
    <row r="1916" spans="1:9" s="93" customFormat="1" ht="9" customHeight="1" x14ac:dyDescent="0.3">
      <c r="A1916" s="91"/>
      <c r="B1916" s="70"/>
      <c r="C1916" s="70"/>
      <c r="D1916" s="70"/>
      <c r="E1916" s="70"/>
      <c r="F1916" s="70"/>
      <c r="G1916" s="70"/>
      <c r="H1916" s="131"/>
      <c r="I1916" s="3"/>
    </row>
    <row r="1917" spans="1:9" s="93" customFormat="1" ht="9" customHeight="1" x14ac:dyDescent="0.3">
      <c r="A1917" s="91"/>
      <c r="B1917" s="70"/>
      <c r="C1917" s="70"/>
      <c r="D1917" s="70"/>
      <c r="E1917" s="70"/>
      <c r="F1917" s="70"/>
      <c r="G1917" s="70"/>
      <c r="H1917" s="131"/>
      <c r="I1917" s="3"/>
    </row>
    <row r="1918" spans="1:9" s="93" customFormat="1" ht="9" customHeight="1" x14ac:dyDescent="0.3">
      <c r="A1918" s="91"/>
      <c r="B1918" s="70"/>
      <c r="C1918" s="70"/>
      <c r="D1918" s="70"/>
      <c r="E1918" s="70"/>
      <c r="F1918" s="70"/>
      <c r="G1918" s="70"/>
      <c r="H1918" s="131"/>
      <c r="I1918" s="3"/>
    </row>
    <row r="1919" spans="1:9" s="93" customFormat="1" ht="9" customHeight="1" x14ac:dyDescent="0.3">
      <c r="A1919" s="91"/>
      <c r="B1919" s="70"/>
      <c r="C1919" s="70"/>
      <c r="D1919" s="70"/>
      <c r="E1919" s="70"/>
      <c r="F1919" s="70"/>
      <c r="G1919" s="70"/>
      <c r="H1919" s="131"/>
      <c r="I1919" s="3"/>
    </row>
    <row r="1920" spans="1:9" s="93" customFormat="1" ht="9" customHeight="1" x14ac:dyDescent="0.3">
      <c r="A1920" s="91"/>
      <c r="B1920" s="70"/>
      <c r="C1920" s="70"/>
      <c r="D1920" s="70"/>
      <c r="E1920" s="70"/>
      <c r="F1920" s="70"/>
      <c r="G1920" s="70"/>
      <c r="H1920" s="131"/>
      <c r="I1920" s="3"/>
    </row>
    <row r="1921" spans="1:9" s="93" customFormat="1" ht="9" customHeight="1" x14ac:dyDescent="0.3">
      <c r="A1921" s="91"/>
      <c r="B1921" s="70"/>
      <c r="C1921" s="70"/>
      <c r="D1921" s="70"/>
      <c r="E1921" s="70"/>
      <c r="F1921" s="70"/>
      <c r="G1921" s="70"/>
      <c r="H1921" s="131"/>
      <c r="I1921" s="3"/>
    </row>
    <row r="1922" spans="1:9" s="93" customFormat="1" ht="9" customHeight="1" x14ac:dyDescent="0.3">
      <c r="A1922" s="91"/>
      <c r="B1922" s="70"/>
      <c r="C1922" s="70"/>
      <c r="D1922" s="70"/>
      <c r="E1922" s="70"/>
      <c r="F1922" s="70"/>
      <c r="G1922" s="70"/>
      <c r="H1922" s="131"/>
      <c r="I1922" s="3"/>
    </row>
    <row r="1923" spans="1:9" s="93" customFormat="1" ht="9" customHeight="1" x14ac:dyDescent="0.3">
      <c r="A1923" s="91"/>
      <c r="B1923" s="70"/>
      <c r="C1923" s="70"/>
      <c r="D1923" s="70"/>
      <c r="E1923" s="70"/>
      <c r="F1923" s="70"/>
      <c r="G1923" s="70"/>
      <c r="H1923" s="131"/>
      <c r="I1923" s="3"/>
    </row>
    <row r="1924" spans="1:9" s="93" customFormat="1" ht="9" customHeight="1" x14ac:dyDescent="0.3">
      <c r="A1924" s="91"/>
      <c r="B1924" s="70"/>
      <c r="C1924" s="70"/>
      <c r="D1924" s="70"/>
      <c r="E1924" s="70"/>
      <c r="F1924" s="70"/>
      <c r="G1924" s="70"/>
      <c r="H1924" s="131"/>
      <c r="I1924" s="3"/>
    </row>
    <row r="1925" spans="1:9" s="93" customFormat="1" ht="9" customHeight="1" x14ac:dyDescent="0.3">
      <c r="A1925" s="91"/>
      <c r="B1925" s="70"/>
      <c r="C1925" s="70"/>
      <c r="D1925" s="70"/>
      <c r="E1925" s="70"/>
      <c r="F1925" s="70"/>
      <c r="G1925" s="70"/>
      <c r="H1925" s="131"/>
      <c r="I1925" s="3"/>
    </row>
    <row r="1926" spans="1:9" s="93" customFormat="1" ht="9" customHeight="1" x14ac:dyDescent="0.3">
      <c r="A1926" s="91"/>
      <c r="B1926" s="70"/>
      <c r="C1926" s="70"/>
      <c r="D1926" s="70"/>
      <c r="E1926" s="70"/>
      <c r="F1926" s="70"/>
      <c r="G1926" s="70"/>
      <c r="H1926" s="131"/>
      <c r="I1926" s="3"/>
    </row>
    <row r="1927" spans="1:9" s="93" customFormat="1" ht="9" customHeight="1" x14ac:dyDescent="0.3">
      <c r="A1927" s="91"/>
      <c r="B1927" s="70"/>
      <c r="C1927" s="70"/>
      <c r="D1927" s="70"/>
      <c r="E1927" s="70"/>
      <c r="F1927" s="70"/>
      <c r="G1927" s="70"/>
      <c r="H1927" s="131"/>
      <c r="I1927" s="3"/>
    </row>
    <row r="1928" spans="1:9" s="93" customFormat="1" ht="9" customHeight="1" x14ac:dyDescent="0.3">
      <c r="A1928" s="91"/>
      <c r="B1928" s="70"/>
      <c r="C1928" s="70"/>
      <c r="D1928" s="70"/>
      <c r="E1928" s="70"/>
      <c r="F1928" s="70"/>
      <c r="G1928" s="70"/>
      <c r="H1928" s="131"/>
      <c r="I1928" s="3"/>
    </row>
    <row r="1929" spans="1:9" s="93" customFormat="1" ht="9" customHeight="1" x14ac:dyDescent="0.3">
      <c r="A1929" s="91"/>
      <c r="B1929" s="70"/>
      <c r="C1929" s="70"/>
      <c r="D1929" s="70"/>
      <c r="E1929" s="70"/>
      <c r="F1929" s="70"/>
      <c r="G1929" s="70"/>
      <c r="H1929" s="131"/>
      <c r="I1929" s="3"/>
    </row>
    <row r="1930" spans="1:9" s="93" customFormat="1" ht="9" customHeight="1" x14ac:dyDescent="0.3">
      <c r="A1930" s="91"/>
      <c r="B1930" s="70"/>
      <c r="C1930" s="70"/>
      <c r="D1930" s="70"/>
      <c r="E1930" s="70"/>
      <c r="F1930" s="70"/>
      <c r="G1930" s="70"/>
      <c r="H1930" s="131"/>
      <c r="I1930" s="3"/>
    </row>
    <row r="1931" spans="1:9" s="93" customFormat="1" ht="9" customHeight="1" x14ac:dyDescent="0.3">
      <c r="A1931" s="91"/>
      <c r="B1931" s="70"/>
      <c r="C1931" s="70"/>
      <c r="D1931" s="70"/>
      <c r="E1931" s="70"/>
      <c r="F1931" s="70"/>
      <c r="G1931" s="70"/>
      <c r="H1931" s="131"/>
      <c r="I1931" s="3"/>
    </row>
    <row r="1932" spans="1:9" s="93" customFormat="1" ht="9" customHeight="1" x14ac:dyDescent="0.3">
      <c r="A1932" s="91"/>
      <c r="B1932" s="70"/>
      <c r="C1932" s="70"/>
      <c r="D1932" s="70"/>
      <c r="E1932" s="70"/>
      <c r="F1932" s="70"/>
      <c r="G1932" s="70"/>
      <c r="H1932" s="131"/>
      <c r="I1932" s="3"/>
    </row>
    <row r="1933" spans="1:9" s="93" customFormat="1" ht="9" customHeight="1" x14ac:dyDescent="0.3">
      <c r="A1933" s="91"/>
      <c r="B1933" s="70"/>
      <c r="C1933" s="70"/>
      <c r="D1933" s="70"/>
      <c r="E1933" s="70"/>
      <c r="F1933" s="70"/>
      <c r="G1933" s="70"/>
      <c r="H1933" s="131"/>
      <c r="I1933" s="3"/>
    </row>
    <row r="1934" spans="1:9" s="93" customFormat="1" ht="9" customHeight="1" x14ac:dyDescent="0.3">
      <c r="A1934" s="91"/>
      <c r="B1934" s="70"/>
      <c r="C1934" s="70"/>
      <c r="D1934" s="70"/>
      <c r="E1934" s="70"/>
      <c r="F1934" s="70"/>
      <c r="G1934" s="70"/>
      <c r="H1934" s="131"/>
      <c r="I1934" s="3"/>
    </row>
    <row r="1935" spans="1:9" s="93" customFormat="1" ht="9" customHeight="1" x14ac:dyDescent="0.3">
      <c r="A1935" s="91"/>
      <c r="B1935" s="70"/>
      <c r="C1935" s="70"/>
      <c r="D1935" s="70"/>
      <c r="E1935" s="70"/>
      <c r="F1935" s="70"/>
      <c r="G1935" s="70"/>
      <c r="H1935" s="131"/>
      <c r="I1935" s="3"/>
    </row>
    <row r="1936" spans="1:9" s="93" customFormat="1" ht="9" customHeight="1" x14ac:dyDescent="0.3">
      <c r="A1936" s="91"/>
      <c r="B1936" s="70"/>
      <c r="C1936" s="70"/>
      <c r="D1936" s="70"/>
      <c r="E1936" s="70"/>
      <c r="F1936" s="70"/>
      <c r="G1936" s="70"/>
      <c r="H1936" s="131"/>
      <c r="I1936" s="3"/>
    </row>
    <row r="1937" spans="1:9" s="93" customFormat="1" ht="9" customHeight="1" x14ac:dyDescent="0.3">
      <c r="A1937" s="91"/>
      <c r="B1937" s="70"/>
      <c r="C1937" s="70"/>
      <c r="D1937" s="70"/>
      <c r="E1937" s="70"/>
      <c r="F1937" s="70"/>
      <c r="G1937" s="70"/>
      <c r="H1937" s="131"/>
      <c r="I1937" s="3"/>
    </row>
    <row r="1938" spans="1:9" s="93" customFormat="1" ht="9" customHeight="1" x14ac:dyDescent="0.3">
      <c r="A1938" s="91"/>
      <c r="B1938" s="70"/>
      <c r="C1938" s="70"/>
      <c r="D1938" s="70"/>
      <c r="E1938" s="70"/>
      <c r="F1938" s="70"/>
      <c r="G1938" s="70"/>
      <c r="H1938" s="131"/>
      <c r="I1938" s="3"/>
    </row>
    <row r="1939" spans="1:9" s="93" customFormat="1" ht="9" customHeight="1" x14ac:dyDescent="0.3">
      <c r="A1939" s="91"/>
      <c r="B1939" s="70"/>
      <c r="C1939" s="70"/>
      <c r="D1939" s="70"/>
      <c r="E1939" s="70"/>
      <c r="F1939" s="70"/>
      <c r="G1939" s="70"/>
      <c r="H1939" s="131"/>
      <c r="I1939" s="3"/>
    </row>
    <row r="1940" spans="1:9" s="93" customFormat="1" ht="9" customHeight="1" x14ac:dyDescent="0.3">
      <c r="A1940" s="91"/>
      <c r="B1940" s="70"/>
      <c r="C1940" s="70"/>
      <c r="D1940" s="70"/>
      <c r="E1940" s="70"/>
      <c r="F1940" s="70"/>
      <c r="G1940" s="70"/>
      <c r="H1940" s="131"/>
      <c r="I1940" s="3"/>
    </row>
    <row r="1941" spans="1:9" s="93" customFormat="1" ht="9" customHeight="1" x14ac:dyDescent="0.3">
      <c r="A1941" s="91"/>
      <c r="B1941" s="70"/>
      <c r="C1941" s="70"/>
      <c r="D1941" s="70"/>
      <c r="E1941" s="70"/>
      <c r="F1941" s="70"/>
      <c r="G1941" s="70"/>
      <c r="H1941" s="131"/>
      <c r="I1941" s="3"/>
    </row>
    <row r="1942" spans="1:9" s="93" customFormat="1" ht="9" customHeight="1" x14ac:dyDescent="0.3">
      <c r="A1942" s="91"/>
      <c r="B1942" s="70"/>
      <c r="C1942" s="70"/>
      <c r="D1942" s="70"/>
      <c r="E1942" s="70"/>
      <c r="F1942" s="70"/>
      <c r="G1942" s="70"/>
      <c r="H1942" s="131"/>
      <c r="I1942" s="3"/>
    </row>
    <row r="1943" spans="1:9" s="93" customFormat="1" ht="9" customHeight="1" x14ac:dyDescent="0.3">
      <c r="A1943" s="91"/>
      <c r="B1943" s="70"/>
      <c r="C1943" s="70"/>
      <c r="D1943" s="70"/>
      <c r="E1943" s="70"/>
      <c r="F1943" s="70"/>
      <c r="G1943" s="70"/>
      <c r="H1943" s="131"/>
      <c r="I1943" s="3"/>
    </row>
    <row r="1944" spans="1:9" s="93" customFormat="1" ht="9" customHeight="1" x14ac:dyDescent="0.3">
      <c r="A1944" s="91"/>
      <c r="B1944" s="70"/>
      <c r="C1944" s="70"/>
      <c r="D1944" s="70"/>
      <c r="E1944" s="70"/>
      <c r="F1944" s="70"/>
      <c r="G1944" s="70"/>
      <c r="H1944" s="131"/>
      <c r="I1944" s="3"/>
    </row>
    <row r="1945" spans="1:9" s="93" customFormat="1" ht="9" customHeight="1" x14ac:dyDescent="0.3">
      <c r="A1945" s="91"/>
      <c r="B1945" s="70"/>
      <c r="C1945" s="70"/>
      <c r="D1945" s="70"/>
      <c r="E1945" s="70"/>
      <c r="F1945" s="70"/>
      <c r="G1945" s="70"/>
      <c r="H1945" s="131"/>
      <c r="I1945" s="3"/>
    </row>
    <row r="1946" spans="1:9" s="93" customFormat="1" ht="9" customHeight="1" x14ac:dyDescent="0.3">
      <c r="A1946" s="91"/>
      <c r="B1946" s="70"/>
      <c r="C1946" s="70"/>
      <c r="D1946" s="70"/>
      <c r="E1946" s="70"/>
      <c r="F1946" s="70"/>
      <c r="G1946" s="70"/>
      <c r="H1946" s="131"/>
      <c r="I1946" s="3"/>
    </row>
    <row r="1947" spans="1:9" s="93" customFormat="1" ht="9" customHeight="1" x14ac:dyDescent="0.3">
      <c r="A1947" s="91"/>
      <c r="B1947" s="70"/>
      <c r="C1947" s="70"/>
      <c r="D1947" s="70"/>
      <c r="E1947" s="70"/>
      <c r="F1947" s="70"/>
      <c r="G1947" s="70"/>
      <c r="H1947" s="131"/>
      <c r="I1947" s="3"/>
    </row>
    <row r="1948" spans="1:9" s="93" customFormat="1" ht="9" customHeight="1" x14ac:dyDescent="0.3">
      <c r="A1948" s="91"/>
      <c r="B1948" s="70"/>
      <c r="C1948" s="70"/>
      <c r="D1948" s="70"/>
      <c r="E1948" s="70"/>
      <c r="F1948" s="70"/>
      <c r="G1948" s="70"/>
      <c r="H1948" s="131"/>
      <c r="I1948" s="3"/>
    </row>
    <row r="1949" spans="1:9" s="93" customFormat="1" ht="9" customHeight="1" x14ac:dyDescent="0.3">
      <c r="A1949" s="91"/>
      <c r="B1949" s="70"/>
      <c r="C1949" s="70"/>
      <c r="D1949" s="70"/>
      <c r="E1949" s="70"/>
      <c r="F1949" s="70"/>
      <c r="G1949" s="70"/>
      <c r="H1949" s="131"/>
      <c r="I1949" s="3"/>
    </row>
    <row r="1950" spans="1:9" s="93" customFormat="1" ht="9" customHeight="1" x14ac:dyDescent="0.3">
      <c r="A1950" s="91"/>
      <c r="B1950" s="70"/>
      <c r="C1950" s="70"/>
      <c r="D1950" s="70"/>
      <c r="E1950" s="70"/>
      <c r="F1950" s="70"/>
      <c r="G1950" s="70"/>
      <c r="H1950" s="131"/>
      <c r="I1950" s="3"/>
    </row>
    <row r="1951" spans="1:9" s="93" customFormat="1" ht="9" customHeight="1" x14ac:dyDescent="0.3">
      <c r="A1951" s="91"/>
      <c r="B1951" s="70"/>
      <c r="C1951" s="70"/>
      <c r="D1951" s="70"/>
      <c r="E1951" s="70"/>
      <c r="F1951" s="70"/>
      <c r="G1951" s="70"/>
      <c r="H1951" s="131"/>
      <c r="I1951" s="3"/>
    </row>
    <row r="1952" spans="1:9" s="93" customFormat="1" ht="9" customHeight="1" x14ac:dyDescent="0.3">
      <c r="A1952" s="91"/>
      <c r="B1952" s="70"/>
      <c r="C1952" s="70"/>
      <c r="D1952" s="70"/>
      <c r="E1952" s="70"/>
      <c r="F1952" s="70"/>
      <c r="G1952" s="70"/>
      <c r="H1952" s="131"/>
      <c r="I1952" s="3"/>
    </row>
    <row r="1953" spans="1:9" s="93" customFormat="1" ht="9" customHeight="1" x14ac:dyDescent="0.3">
      <c r="A1953" s="91"/>
      <c r="B1953" s="70"/>
      <c r="C1953" s="70"/>
      <c r="D1953" s="70"/>
      <c r="E1953" s="70"/>
      <c r="F1953" s="70"/>
      <c r="G1953" s="70"/>
      <c r="H1953" s="131"/>
      <c r="I1953" s="3"/>
    </row>
    <row r="1954" spans="1:9" s="93" customFormat="1" ht="9" customHeight="1" x14ac:dyDescent="0.3">
      <c r="A1954" s="91"/>
      <c r="B1954" s="70"/>
      <c r="C1954" s="70"/>
      <c r="D1954" s="70"/>
      <c r="E1954" s="70"/>
      <c r="F1954" s="70"/>
      <c r="G1954" s="70"/>
      <c r="H1954" s="131"/>
      <c r="I1954" s="3"/>
    </row>
    <row r="1955" spans="1:9" s="93" customFormat="1" ht="9" customHeight="1" x14ac:dyDescent="0.3">
      <c r="A1955" s="91"/>
      <c r="B1955" s="70"/>
      <c r="C1955" s="70"/>
      <c r="D1955" s="70"/>
      <c r="E1955" s="70"/>
      <c r="F1955" s="70"/>
      <c r="G1955" s="70"/>
      <c r="H1955" s="131"/>
      <c r="I1955" s="3"/>
    </row>
    <row r="1956" spans="1:9" s="93" customFormat="1" ht="9" customHeight="1" x14ac:dyDescent="0.3">
      <c r="A1956" s="91"/>
      <c r="B1956" s="70"/>
      <c r="C1956" s="70"/>
      <c r="D1956" s="70"/>
      <c r="E1956" s="70"/>
      <c r="F1956" s="70"/>
      <c r="G1956" s="70"/>
      <c r="H1956" s="131"/>
      <c r="I1956" s="3"/>
    </row>
    <row r="1957" spans="1:9" s="93" customFormat="1" ht="9" customHeight="1" x14ac:dyDescent="0.3">
      <c r="A1957" s="91"/>
      <c r="B1957" s="70"/>
      <c r="C1957" s="70"/>
      <c r="D1957" s="70"/>
      <c r="E1957" s="70"/>
      <c r="F1957" s="70"/>
      <c r="G1957" s="70"/>
      <c r="H1957" s="131"/>
      <c r="I1957" s="3"/>
    </row>
    <row r="1958" spans="1:9" s="93" customFormat="1" ht="9" customHeight="1" x14ac:dyDescent="0.3">
      <c r="A1958" s="91"/>
      <c r="B1958" s="70"/>
      <c r="C1958" s="70"/>
      <c r="D1958" s="70"/>
      <c r="E1958" s="70"/>
      <c r="F1958" s="70"/>
      <c r="G1958" s="70"/>
      <c r="H1958" s="131"/>
      <c r="I1958" s="3"/>
    </row>
    <row r="1959" spans="1:9" s="93" customFormat="1" ht="9" customHeight="1" x14ac:dyDescent="0.3">
      <c r="A1959" s="91"/>
      <c r="B1959" s="70"/>
      <c r="C1959" s="70"/>
      <c r="D1959" s="70"/>
      <c r="E1959" s="70"/>
      <c r="F1959" s="70"/>
      <c r="G1959" s="70"/>
      <c r="H1959" s="131"/>
      <c r="I1959" s="3"/>
    </row>
    <row r="1960" spans="1:9" s="93" customFormat="1" ht="9" customHeight="1" x14ac:dyDescent="0.3">
      <c r="A1960" s="91"/>
      <c r="B1960" s="70"/>
      <c r="C1960" s="70"/>
      <c r="D1960" s="70"/>
      <c r="E1960" s="70"/>
      <c r="F1960" s="70"/>
      <c r="G1960" s="70"/>
      <c r="H1960" s="131"/>
      <c r="I1960" s="3"/>
    </row>
    <row r="1961" spans="1:9" s="93" customFormat="1" ht="9" customHeight="1" x14ac:dyDescent="0.3">
      <c r="A1961" s="91"/>
      <c r="B1961" s="70"/>
      <c r="C1961" s="70"/>
      <c r="D1961" s="70"/>
      <c r="E1961" s="70"/>
      <c r="F1961" s="70"/>
      <c r="G1961" s="70"/>
      <c r="H1961" s="131"/>
      <c r="I1961" s="3"/>
    </row>
    <row r="1962" spans="1:9" s="93" customFormat="1" ht="9" customHeight="1" x14ac:dyDescent="0.3">
      <c r="A1962" s="91"/>
      <c r="B1962" s="70"/>
      <c r="C1962" s="70"/>
      <c r="D1962" s="70"/>
      <c r="E1962" s="70"/>
      <c r="F1962" s="70"/>
      <c r="G1962" s="70"/>
      <c r="H1962" s="131"/>
      <c r="I1962" s="3"/>
    </row>
    <row r="1963" spans="1:9" s="93" customFormat="1" ht="9" customHeight="1" x14ac:dyDescent="0.3">
      <c r="A1963" s="91"/>
      <c r="B1963" s="70"/>
      <c r="C1963" s="70"/>
      <c r="D1963" s="70"/>
      <c r="E1963" s="70"/>
      <c r="F1963" s="70"/>
      <c r="G1963" s="70"/>
      <c r="H1963" s="131"/>
      <c r="I1963" s="3"/>
    </row>
    <row r="1964" spans="1:9" s="93" customFormat="1" ht="9" customHeight="1" x14ac:dyDescent="0.3">
      <c r="A1964" s="91"/>
      <c r="B1964" s="70"/>
      <c r="C1964" s="70"/>
      <c r="D1964" s="70"/>
      <c r="E1964" s="70"/>
      <c r="F1964" s="70"/>
      <c r="G1964" s="70"/>
      <c r="H1964" s="131"/>
      <c r="I1964" s="3"/>
    </row>
    <row r="1965" spans="1:9" s="93" customFormat="1" ht="9" customHeight="1" x14ac:dyDescent="0.3">
      <c r="A1965" s="91"/>
      <c r="B1965" s="70"/>
      <c r="C1965" s="70"/>
      <c r="D1965" s="70"/>
      <c r="E1965" s="70"/>
      <c r="F1965" s="70"/>
      <c r="G1965" s="70"/>
      <c r="H1965" s="131"/>
      <c r="I1965" s="3"/>
    </row>
    <row r="1966" spans="1:9" s="93" customFormat="1" ht="9" customHeight="1" x14ac:dyDescent="0.3">
      <c r="A1966" s="91"/>
      <c r="B1966" s="70"/>
      <c r="C1966" s="70"/>
      <c r="D1966" s="70"/>
      <c r="E1966" s="70"/>
      <c r="F1966" s="70"/>
      <c r="G1966" s="70"/>
      <c r="H1966" s="131"/>
      <c r="I1966" s="3"/>
    </row>
    <row r="1967" spans="1:9" s="93" customFormat="1" ht="9" customHeight="1" x14ac:dyDescent="0.3">
      <c r="A1967" s="91"/>
      <c r="B1967" s="70"/>
      <c r="C1967" s="70"/>
      <c r="D1967" s="70"/>
      <c r="E1967" s="70"/>
      <c r="F1967" s="70"/>
      <c r="G1967" s="70"/>
      <c r="H1967" s="131"/>
      <c r="I1967" s="3"/>
    </row>
    <row r="1968" spans="1:9" s="93" customFormat="1" ht="9" customHeight="1" x14ac:dyDescent="0.3">
      <c r="A1968" s="91"/>
      <c r="B1968" s="70"/>
      <c r="C1968" s="70"/>
      <c r="D1968" s="70"/>
      <c r="E1968" s="70"/>
      <c r="F1968" s="70"/>
      <c r="G1968" s="70"/>
      <c r="H1968" s="131"/>
      <c r="I1968" s="3"/>
    </row>
    <row r="1969" spans="1:9" s="93" customFormat="1" ht="9" customHeight="1" x14ac:dyDescent="0.3">
      <c r="A1969" s="91"/>
      <c r="B1969" s="70"/>
      <c r="C1969" s="70"/>
      <c r="D1969" s="70"/>
      <c r="E1969" s="70"/>
      <c r="F1969" s="70"/>
      <c r="G1969" s="70"/>
      <c r="H1969" s="131"/>
      <c r="I1969" s="3"/>
    </row>
    <row r="1970" spans="1:9" s="93" customFormat="1" ht="9" customHeight="1" x14ac:dyDescent="0.3">
      <c r="A1970" s="91"/>
      <c r="B1970" s="70"/>
      <c r="C1970" s="70"/>
      <c r="D1970" s="70"/>
      <c r="E1970" s="70"/>
      <c r="F1970" s="70"/>
      <c r="G1970" s="70"/>
      <c r="H1970" s="131"/>
      <c r="I1970" s="3"/>
    </row>
    <row r="1971" spans="1:9" s="93" customFormat="1" ht="9" customHeight="1" x14ac:dyDescent="0.3">
      <c r="A1971" s="91"/>
      <c r="B1971" s="70"/>
      <c r="C1971" s="70"/>
      <c r="D1971" s="70"/>
      <c r="E1971" s="70"/>
      <c r="F1971" s="70"/>
      <c r="G1971" s="70"/>
      <c r="H1971" s="131"/>
      <c r="I1971" s="3"/>
    </row>
    <row r="1972" spans="1:9" s="93" customFormat="1" ht="9" customHeight="1" x14ac:dyDescent="0.3">
      <c r="A1972" s="91"/>
      <c r="B1972" s="70"/>
      <c r="C1972" s="70"/>
      <c r="D1972" s="70"/>
      <c r="E1972" s="70"/>
      <c r="F1972" s="70"/>
      <c r="G1972" s="70"/>
      <c r="H1972" s="131"/>
      <c r="I1972" s="3"/>
    </row>
    <row r="1973" spans="1:9" s="93" customFormat="1" ht="9" customHeight="1" x14ac:dyDescent="0.3">
      <c r="A1973" s="91"/>
      <c r="B1973" s="70"/>
      <c r="C1973" s="70"/>
      <c r="D1973" s="70"/>
      <c r="E1973" s="70"/>
      <c r="F1973" s="70"/>
      <c r="G1973" s="70"/>
      <c r="H1973" s="131"/>
      <c r="I1973" s="3"/>
    </row>
    <row r="1974" spans="1:9" s="93" customFormat="1" ht="9" customHeight="1" x14ac:dyDescent="0.3">
      <c r="A1974" s="91"/>
      <c r="B1974" s="70"/>
      <c r="C1974" s="70"/>
      <c r="D1974" s="70"/>
      <c r="E1974" s="70"/>
      <c r="F1974" s="70"/>
      <c r="G1974" s="70"/>
      <c r="H1974" s="131"/>
      <c r="I1974" s="3"/>
    </row>
    <row r="1975" spans="1:9" s="93" customFormat="1" ht="9" customHeight="1" x14ac:dyDescent="0.3">
      <c r="A1975" s="91"/>
      <c r="B1975" s="70"/>
      <c r="C1975" s="70"/>
      <c r="D1975" s="70"/>
      <c r="E1975" s="70"/>
      <c r="F1975" s="70"/>
      <c r="G1975" s="70"/>
      <c r="H1975" s="131"/>
      <c r="I1975" s="3"/>
    </row>
    <row r="1976" spans="1:9" s="93" customFormat="1" ht="9" customHeight="1" x14ac:dyDescent="0.3">
      <c r="A1976" s="91"/>
      <c r="B1976" s="70"/>
      <c r="C1976" s="70"/>
      <c r="D1976" s="70"/>
      <c r="E1976" s="70"/>
      <c r="F1976" s="70"/>
      <c r="G1976" s="70"/>
      <c r="H1976" s="131"/>
      <c r="I1976" s="3"/>
    </row>
    <row r="1977" spans="1:9" s="93" customFormat="1" ht="9" customHeight="1" x14ac:dyDescent="0.3">
      <c r="A1977" s="91"/>
      <c r="B1977" s="70"/>
      <c r="C1977" s="70"/>
      <c r="D1977" s="70"/>
      <c r="E1977" s="70"/>
      <c r="F1977" s="70"/>
      <c r="G1977" s="70"/>
      <c r="H1977" s="131"/>
      <c r="I1977" s="3"/>
    </row>
    <row r="1978" spans="1:9" s="93" customFormat="1" ht="9" customHeight="1" x14ac:dyDescent="0.3">
      <c r="A1978" s="91"/>
      <c r="B1978" s="70"/>
      <c r="C1978" s="70"/>
      <c r="D1978" s="70"/>
      <c r="E1978" s="70"/>
      <c r="F1978" s="70"/>
      <c r="G1978" s="70"/>
      <c r="H1978" s="131"/>
      <c r="I1978" s="3"/>
    </row>
    <row r="1979" spans="1:9" s="93" customFormat="1" ht="9" customHeight="1" x14ac:dyDescent="0.3">
      <c r="A1979" s="91"/>
      <c r="B1979" s="70"/>
      <c r="C1979" s="70"/>
      <c r="D1979" s="70"/>
      <c r="E1979" s="70"/>
      <c r="F1979" s="70"/>
      <c r="G1979" s="70"/>
      <c r="H1979" s="131"/>
      <c r="I1979" s="3"/>
    </row>
    <row r="1980" spans="1:9" s="93" customFormat="1" ht="9" customHeight="1" x14ac:dyDescent="0.3">
      <c r="A1980" s="91"/>
      <c r="B1980" s="70"/>
      <c r="C1980" s="70"/>
      <c r="D1980" s="70"/>
      <c r="E1980" s="70"/>
      <c r="F1980" s="70"/>
      <c r="G1980" s="70"/>
      <c r="H1980" s="131"/>
      <c r="I1980" s="3"/>
    </row>
    <row r="1981" spans="1:9" s="93" customFormat="1" ht="9" customHeight="1" x14ac:dyDescent="0.3">
      <c r="A1981" s="91"/>
      <c r="B1981" s="70"/>
      <c r="C1981" s="70"/>
      <c r="D1981" s="70"/>
      <c r="E1981" s="70"/>
      <c r="F1981" s="70"/>
      <c r="G1981" s="70"/>
      <c r="H1981" s="131"/>
      <c r="I1981" s="3"/>
    </row>
    <row r="1982" spans="1:9" s="93" customFormat="1" ht="9" customHeight="1" x14ac:dyDescent="0.3">
      <c r="A1982" s="91"/>
      <c r="B1982" s="70"/>
      <c r="C1982" s="70"/>
      <c r="D1982" s="70"/>
      <c r="E1982" s="70"/>
      <c r="F1982" s="70"/>
      <c r="G1982" s="70"/>
      <c r="H1982" s="131"/>
      <c r="I1982" s="3"/>
    </row>
    <row r="1983" spans="1:9" s="93" customFormat="1" ht="9" customHeight="1" x14ac:dyDescent="0.3">
      <c r="A1983" s="91"/>
      <c r="B1983" s="70"/>
      <c r="C1983" s="70"/>
      <c r="D1983" s="70"/>
      <c r="E1983" s="70"/>
      <c r="F1983" s="70"/>
      <c r="G1983" s="70"/>
      <c r="H1983" s="131"/>
      <c r="I1983" s="3"/>
    </row>
    <row r="1984" spans="1:9" s="93" customFormat="1" ht="9" customHeight="1" x14ac:dyDescent="0.3">
      <c r="A1984" s="91"/>
      <c r="B1984" s="70"/>
      <c r="C1984" s="70"/>
      <c r="D1984" s="70"/>
      <c r="E1984" s="70"/>
      <c r="F1984" s="70"/>
      <c r="G1984" s="70"/>
      <c r="H1984" s="131"/>
      <c r="I1984" s="3"/>
    </row>
    <row r="1985" spans="1:9" s="93" customFormat="1" ht="9" customHeight="1" x14ac:dyDescent="0.3">
      <c r="A1985" s="91"/>
      <c r="B1985" s="70"/>
      <c r="C1985" s="70"/>
      <c r="D1985" s="70"/>
      <c r="E1985" s="70"/>
      <c r="F1985" s="70"/>
      <c r="G1985" s="70"/>
      <c r="H1985" s="131"/>
      <c r="I1985" s="3"/>
    </row>
    <row r="1986" spans="1:9" s="93" customFormat="1" ht="9" customHeight="1" x14ac:dyDescent="0.3">
      <c r="A1986" s="91"/>
      <c r="B1986" s="70"/>
      <c r="C1986" s="70"/>
      <c r="D1986" s="70"/>
      <c r="E1986" s="70"/>
      <c r="F1986" s="70"/>
      <c r="G1986" s="70"/>
      <c r="H1986" s="131"/>
      <c r="I1986" s="3"/>
    </row>
    <row r="1987" spans="1:9" s="93" customFormat="1" ht="9" customHeight="1" x14ac:dyDescent="0.3">
      <c r="A1987" s="91"/>
      <c r="B1987" s="70"/>
      <c r="C1987" s="70"/>
      <c r="D1987" s="70"/>
      <c r="E1987" s="70"/>
      <c r="F1987" s="70"/>
      <c r="G1987" s="70"/>
      <c r="H1987" s="131"/>
      <c r="I1987" s="3"/>
    </row>
    <row r="1988" spans="1:9" s="93" customFormat="1" ht="9" customHeight="1" x14ac:dyDescent="0.3">
      <c r="A1988" s="91"/>
      <c r="B1988" s="70"/>
      <c r="C1988" s="70"/>
      <c r="D1988" s="70"/>
      <c r="E1988" s="70"/>
      <c r="F1988" s="70"/>
      <c r="G1988" s="70"/>
      <c r="H1988" s="131"/>
      <c r="I1988" s="3"/>
    </row>
    <row r="1989" spans="1:9" s="93" customFormat="1" ht="9" customHeight="1" x14ac:dyDescent="0.3">
      <c r="A1989" s="91"/>
      <c r="B1989" s="70"/>
      <c r="C1989" s="70"/>
      <c r="D1989" s="70"/>
      <c r="E1989" s="70"/>
      <c r="F1989" s="70"/>
      <c r="G1989" s="70"/>
      <c r="H1989" s="131"/>
      <c r="I1989" s="3"/>
    </row>
    <row r="1990" spans="1:9" s="93" customFormat="1" ht="9" customHeight="1" x14ac:dyDescent="0.3">
      <c r="A1990" s="91"/>
      <c r="B1990" s="70"/>
      <c r="C1990" s="70"/>
      <c r="D1990" s="70"/>
      <c r="E1990" s="70"/>
      <c r="F1990" s="70"/>
      <c r="G1990" s="70"/>
      <c r="H1990" s="131"/>
      <c r="I1990" s="3"/>
    </row>
    <row r="1991" spans="1:9" s="93" customFormat="1" ht="9" customHeight="1" x14ac:dyDescent="0.3">
      <c r="A1991" s="91"/>
      <c r="B1991" s="70"/>
      <c r="C1991" s="70"/>
      <c r="D1991" s="70"/>
      <c r="E1991" s="70"/>
      <c r="F1991" s="70"/>
      <c r="G1991" s="70"/>
      <c r="H1991" s="131"/>
      <c r="I1991" s="3"/>
    </row>
    <row r="1992" spans="1:9" s="93" customFormat="1" ht="9" customHeight="1" x14ac:dyDescent="0.3">
      <c r="A1992" s="91"/>
      <c r="B1992" s="70"/>
      <c r="C1992" s="70"/>
      <c r="D1992" s="70"/>
      <c r="E1992" s="70"/>
      <c r="F1992" s="70"/>
      <c r="G1992" s="70"/>
      <c r="H1992" s="131"/>
      <c r="I1992" s="3"/>
    </row>
    <row r="1993" spans="1:9" s="93" customFormat="1" ht="9" customHeight="1" x14ac:dyDescent="0.3">
      <c r="A1993" s="91"/>
      <c r="B1993" s="70"/>
      <c r="C1993" s="70"/>
      <c r="D1993" s="70"/>
      <c r="E1993" s="70"/>
      <c r="F1993" s="70"/>
      <c r="G1993" s="70"/>
      <c r="H1993" s="131"/>
      <c r="I1993" s="3"/>
    </row>
    <row r="1994" spans="1:9" s="93" customFormat="1" ht="9" customHeight="1" x14ac:dyDescent="0.3">
      <c r="A1994" s="91"/>
      <c r="B1994" s="70"/>
      <c r="C1994" s="70"/>
      <c r="D1994" s="70"/>
      <c r="E1994" s="70"/>
      <c r="F1994" s="70"/>
      <c r="G1994" s="70"/>
      <c r="H1994" s="131"/>
      <c r="I1994" s="3"/>
    </row>
    <row r="1995" spans="1:9" s="93" customFormat="1" ht="9" customHeight="1" x14ac:dyDescent="0.3">
      <c r="A1995" s="91"/>
      <c r="B1995" s="70"/>
      <c r="C1995" s="70"/>
      <c r="D1995" s="70"/>
      <c r="E1995" s="70"/>
      <c r="F1995" s="70"/>
      <c r="G1995" s="70"/>
      <c r="H1995" s="131"/>
      <c r="I1995" s="3"/>
    </row>
    <row r="1996" spans="1:9" s="93" customFormat="1" ht="9" customHeight="1" x14ac:dyDescent="0.3">
      <c r="A1996" s="91"/>
      <c r="B1996" s="70"/>
      <c r="C1996" s="70"/>
      <c r="D1996" s="70"/>
      <c r="E1996" s="70"/>
      <c r="F1996" s="70"/>
      <c r="G1996" s="70"/>
      <c r="H1996" s="131"/>
      <c r="I1996" s="3"/>
    </row>
    <row r="1997" spans="1:9" s="93" customFormat="1" ht="9" customHeight="1" x14ac:dyDescent="0.3">
      <c r="A1997" s="91"/>
      <c r="B1997" s="70"/>
      <c r="C1997" s="70"/>
      <c r="D1997" s="70"/>
      <c r="E1997" s="70"/>
      <c r="F1997" s="70"/>
      <c r="G1997" s="70"/>
      <c r="H1997" s="131"/>
      <c r="I1997" s="3"/>
    </row>
    <row r="1998" spans="1:9" s="93" customFormat="1" ht="9" customHeight="1" x14ac:dyDescent="0.3">
      <c r="A1998" s="91"/>
      <c r="B1998" s="70"/>
      <c r="C1998" s="70"/>
      <c r="D1998" s="70"/>
      <c r="E1998" s="70"/>
      <c r="F1998" s="70"/>
      <c r="G1998" s="70"/>
      <c r="H1998" s="131"/>
      <c r="I1998" s="3"/>
    </row>
    <row r="1999" spans="1:9" s="93" customFormat="1" ht="9" customHeight="1" x14ac:dyDescent="0.3">
      <c r="A1999" s="91"/>
      <c r="B1999" s="70"/>
      <c r="C1999" s="70"/>
      <c r="D1999" s="70"/>
      <c r="E1999" s="70"/>
      <c r="F1999" s="70"/>
      <c r="G1999" s="70"/>
      <c r="H1999" s="131"/>
      <c r="I1999" s="3"/>
    </row>
    <row r="2000" spans="1:9" s="93" customFormat="1" ht="9" customHeight="1" x14ac:dyDescent="0.3">
      <c r="A2000" s="91"/>
      <c r="B2000" s="70"/>
      <c r="C2000" s="70"/>
      <c r="D2000" s="70"/>
      <c r="E2000" s="70"/>
      <c r="F2000" s="70"/>
      <c r="G2000" s="70"/>
      <c r="H2000" s="131"/>
      <c r="I2000" s="3"/>
    </row>
    <row r="2001" spans="1:9" s="93" customFormat="1" ht="9" customHeight="1" x14ac:dyDescent="0.3">
      <c r="A2001" s="91"/>
      <c r="B2001" s="70"/>
      <c r="C2001" s="70"/>
      <c r="D2001" s="70"/>
      <c r="E2001" s="70"/>
      <c r="F2001" s="70"/>
      <c r="G2001" s="70"/>
      <c r="H2001" s="131"/>
      <c r="I2001" s="3"/>
    </row>
    <row r="2002" spans="1:9" s="93" customFormat="1" ht="9" customHeight="1" x14ac:dyDescent="0.3">
      <c r="A2002" s="91"/>
      <c r="B2002" s="70"/>
      <c r="C2002" s="70"/>
      <c r="D2002" s="70"/>
      <c r="E2002" s="70"/>
      <c r="F2002" s="70"/>
      <c r="G2002" s="70"/>
      <c r="H2002" s="131"/>
      <c r="I2002" s="3"/>
    </row>
    <row r="2003" spans="1:9" s="93" customFormat="1" ht="9" customHeight="1" x14ac:dyDescent="0.3">
      <c r="A2003" s="91"/>
      <c r="B2003" s="70"/>
      <c r="C2003" s="70"/>
      <c r="D2003" s="70"/>
      <c r="E2003" s="70"/>
      <c r="F2003" s="70"/>
      <c r="G2003" s="70"/>
      <c r="H2003" s="131"/>
      <c r="I2003" s="3"/>
    </row>
    <row r="2004" spans="1:9" s="93" customFormat="1" ht="9" customHeight="1" x14ac:dyDescent="0.3">
      <c r="A2004" s="91"/>
      <c r="B2004" s="70"/>
      <c r="C2004" s="70"/>
      <c r="D2004" s="70"/>
      <c r="E2004" s="70"/>
      <c r="F2004" s="70"/>
      <c r="G2004" s="70"/>
      <c r="H2004" s="131"/>
      <c r="I2004" s="3"/>
    </row>
    <row r="2005" spans="1:9" s="93" customFormat="1" ht="9" customHeight="1" x14ac:dyDescent="0.3">
      <c r="A2005" s="91"/>
      <c r="B2005" s="70"/>
      <c r="C2005" s="70"/>
      <c r="D2005" s="70"/>
      <c r="E2005" s="70"/>
      <c r="F2005" s="70"/>
      <c r="G2005" s="70"/>
      <c r="H2005" s="131"/>
      <c r="I2005" s="3"/>
    </row>
    <row r="2006" spans="1:9" s="93" customFormat="1" ht="9" customHeight="1" x14ac:dyDescent="0.3">
      <c r="A2006" s="91"/>
      <c r="B2006" s="70"/>
      <c r="C2006" s="70"/>
      <c r="D2006" s="70"/>
      <c r="E2006" s="70"/>
      <c r="F2006" s="70"/>
      <c r="G2006" s="70"/>
      <c r="H2006" s="131"/>
      <c r="I2006" s="3"/>
    </row>
    <row r="2007" spans="1:9" s="93" customFormat="1" ht="9" customHeight="1" x14ac:dyDescent="0.3">
      <c r="A2007" s="91"/>
      <c r="B2007" s="70"/>
      <c r="C2007" s="70"/>
      <c r="D2007" s="70"/>
      <c r="E2007" s="70"/>
      <c r="F2007" s="70"/>
      <c r="G2007" s="70"/>
      <c r="H2007" s="131"/>
      <c r="I2007" s="3"/>
    </row>
    <row r="2008" spans="1:9" s="93" customFormat="1" ht="9" customHeight="1" x14ac:dyDescent="0.3">
      <c r="A2008" s="91"/>
      <c r="B2008" s="70"/>
      <c r="C2008" s="70"/>
      <c r="D2008" s="70"/>
      <c r="E2008" s="70"/>
      <c r="F2008" s="70"/>
      <c r="G2008" s="70"/>
      <c r="H2008" s="131"/>
      <c r="I2008" s="3"/>
    </row>
    <row r="2009" spans="1:9" s="93" customFormat="1" ht="9" customHeight="1" x14ac:dyDescent="0.3">
      <c r="A2009" s="91"/>
      <c r="B2009" s="70"/>
      <c r="C2009" s="70"/>
      <c r="D2009" s="70"/>
      <c r="E2009" s="70"/>
      <c r="F2009" s="70"/>
      <c r="G2009" s="70"/>
      <c r="H2009" s="131"/>
      <c r="I2009" s="3"/>
    </row>
    <row r="2010" spans="1:9" s="93" customFormat="1" ht="9" customHeight="1" x14ac:dyDescent="0.3">
      <c r="A2010" s="91"/>
      <c r="B2010" s="70"/>
      <c r="C2010" s="70"/>
      <c r="D2010" s="70"/>
      <c r="E2010" s="70"/>
      <c r="F2010" s="70"/>
      <c r="G2010" s="70"/>
      <c r="H2010" s="131"/>
      <c r="I2010" s="3"/>
    </row>
    <row r="2011" spans="1:9" s="93" customFormat="1" ht="9" customHeight="1" x14ac:dyDescent="0.3">
      <c r="A2011" s="91"/>
      <c r="B2011" s="70"/>
      <c r="C2011" s="70"/>
      <c r="D2011" s="70"/>
      <c r="E2011" s="70"/>
      <c r="F2011" s="70"/>
      <c r="G2011" s="70"/>
      <c r="H2011" s="131"/>
      <c r="I2011" s="3"/>
    </row>
    <row r="2012" spans="1:9" s="93" customFormat="1" ht="9" customHeight="1" x14ac:dyDescent="0.3">
      <c r="A2012" s="91"/>
      <c r="B2012" s="70"/>
      <c r="C2012" s="70"/>
      <c r="D2012" s="70"/>
      <c r="E2012" s="70"/>
      <c r="F2012" s="70"/>
      <c r="G2012" s="70"/>
      <c r="H2012" s="131"/>
      <c r="I2012" s="3"/>
    </row>
    <row r="2013" spans="1:9" s="93" customFormat="1" ht="9" customHeight="1" x14ac:dyDescent="0.3">
      <c r="A2013" s="91"/>
      <c r="B2013" s="70"/>
      <c r="C2013" s="70"/>
      <c r="D2013" s="70"/>
      <c r="E2013" s="70"/>
      <c r="F2013" s="70"/>
      <c r="G2013" s="70"/>
      <c r="H2013" s="131"/>
      <c r="I2013" s="3"/>
    </row>
    <row r="2014" spans="1:9" s="93" customFormat="1" ht="9" customHeight="1" x14ac:dyDescent="0.3">
      <c r="A2014" s="91"/>
      <c r="B2014" s="70"/>
      <c r="C2014" s="70"/>
      <c r="D2014" s="70"/>
      <c r="E2014" s="70"/>
      <c r="F2014" s="70"/>
      <c r="G2014" s="70"/>
      <c r="H2014" s="131"/>
      <c r="I2014" s="3"/>
    </row>
    <row r="2015" spans="1:9" s="93" customFormat="1" ht="9" customHeight="1" x14ac:dyDescent="0.3">
      <c r="A2015" s="91"/>
      <c r="B2015" s="70"/>
      <c r="C2015" s="70"/>
      <c r="D2015" s="70"/>
      <c r="E2015" s="70"/>
      <c r="F2015" s="70"/>
      <c r="G2015" s="70"/>
      <c r="H2015" s="131"/>
      <c r="I2015" s="3"/>
    </row>
    <row r="2016" spans="1:9" s="93" customFormat="1" ht="9" customHeight="1" x14ac:dyDescent="0.3">
      <c r="A2016" s="91"/>
      <c r="B2016" s="70"/>
      <c r="C2016" s="70"/>
      <c r="D2016" s="70"/>
      <c r="E2016" s="70"/>
      <c r="F2016" s="70"/>
      <c r="G2016" s="70"/>
      <c r="H2016" s="131"/>
      <c r="I2016" s="3"/>
    </row>
    <row r="2017" spans="1:9" s="93" customFormat="1" ht="9" customHeight="1" x14ac:dyDescent="0.3">
      <c r="A2017" s="91"/>
      <c r="B2017" s="70"/>
      <c r="C2017" s="70"/>
      <c r="D2017" s="70"/>
      <c r="E2017" s="70"/>
      <c r="F2017" s="70"/>
      <c r="G2017" s="70"/>
      <c r="H2017" s="131"/>
      <c r="I2017" s="3"/>
    </row>
    <row r="2018" spans="1:9" s="93" customFormat="1" ht="9" customHeight="1" x14ac:dyDescent="0.3">
      <c r="A2018" s="91"/>
      <c r="B2018" s="70"/>
      <c r="C2018" s="70"/>
      <c r="D2018" s="70"/>
      <c r="E2018" s="70"/>
      <c r="F2018" s="70"/>
      <c r="G2018" s="70"/>
      <c r="H2018" s="131"/>
      <c r="I2018" s="3"/>
    </row>
    <row r="2019" spans="1:9" s="93" customFormat="1" ht="9" customHeight="1" x14ac:dyDescent="0.3">
      <c r="A2019" s="91"/>
      <c r="B2019" s="70"/>
      <c r="C2019" s="70"/>
      <c r="D2019" s="70"/>
      <c r="E2019" s="70"/>
      <c r="F2019" s="70"/>
      <c r="G2019" s="70"/>
      <c r="H2019" s="131"/>
      <c r="I2019" s="3"/>
    </row>
    <row r="2020" spans="1:9" s="93" customFormat="1" ht="9" customHeight="1" x14ac:dyDescent="0.3">
      <c r="A2020" s="91"/>
      <c r="B2020" s="70"/>
      <c r="C2020" s="70"/>
      <c r="D2020" s="70"/>
      <c r="E2020" s="70"/>
      <c r="F2020" s="70"/>
      <c r="G2020" s="70"/>
      <c r="H2020" s="131"/>
      <c r="I2020" s="3"/>
    </row>
    <row r="2021" spans="1:9" s="93" customFormat="1" ht="9" customHeight="1" x14ac:dyDescent="0.3">
      <c r="A2021" s="91"/>
      <c r="B2021" s="70"/>
      <c r="C2021" s="70"/>
      <c r="D2021" s="70"/>
      <c r="E2021" s="70"/>
      <c r="F2021" s="70"/>
      <c r="G2021" s="70"/>
      <c r="H2021" s="131"/>
      <c r="I2021" s="3"/>
    </row>
    <row r="2022" spans="1:9" s="93" customFormat="1" ht="9" customHeight="1" x14ac:dyDescent="0.3">
      <c r="A2022" s="91"/>
      <c r="B2022" s="70"/>
      <c r="C2022" s="70"/>
      <c r="D2022" s="70"/>
      <c r="E2022" s="70"/>
      <c r="F2022" s="70"/>
      <c r="G2022" s="70"/>
      <c r="H2022" s="131"/>
      <c r="I2022" s="3"/>
    </row>
    <row r="2023" spans="1:9" s="93" customFormat="1" ht="9" customHeight="1" x14ac:dyDescent="0.3">
      <c r="A2023" s="91"/>
      <c r="B2023" s="70"/>
      <c r="C2023" s="70"/>
      <c r="D2023" s="70"/>
      <c r="E2023" s="70"/>
      <c r="F2023" s="70"/>
      <c r="G2023" s="70"/>
      <c r="H2023" s="131"/>
      <c r="I2023" s="3"/>
    </row>
    <row r="2024" spans="1:9" s="93" customFormat="1" ht="9" customHeight="1" x14ac:dyDescent="0.3">
      <c r="A2024" s="91"/>
      <c r="B2024" s="70"/>
      <c r="C2024" s="70"/>
      <c r="D2024" s="70"/>
      <c r="E2024" s="70"/>
      <c r="F2024" s="70"/>
      <c r="G2024" s="70"/>
      <c r="H2024" s="131"/>
      <c r="I2024" s="3"/>
    </row>
    <row r="2025" spans="1:9" s="93" customFormat="1" ht="9" customHeight="1" x14ac:dyDescent="0.3">
      <c r="A2025" s="91"/>
      <c r="B2025" s="70"/>
      <c r="C2025" s="70"/>
      <c r="D2025" s="70"/>
      <c r="E2025" s="70"/>
      <c r="F2025" s="70"/>
      <c r="G2025" s="70"/>
      <c r="H2025" s="131"/>
      <c r="I2025" s="3"/>
    </row>
    <row r="2026" spans="1:9" s="93" customFormat="1" ht="9" customHeight="1" x14ac:dyDescent="0.3">
      <c r="A2026" s="91"/>
      <c r="B2026" s="70"/>
      <c r="C2026" s="70"/>
      <c r="D2026" s="70"/>
      <c r="E2026" s="70"/>
      <c r="F2026" s="70"/>
      <c r="G2026" s="70"/>
      <c r="H2026" s="131"/>
      <c r="I2026" s="3"/>
    </row>
    <row r="2027" spans="1:9" s="93" customFormat="1" ht="9" customHeight="1" x14ac:dyDescent="0.3">
      <c r="A2027" s="91"/>
      <c r="B2027" s="70"/>
      <c r="C2027" s="70"/>
      <c r="D2027" s="70"/>
      <c r="E2027" s="70"/>
      <c r="F2027" s="70"/>
      <c r="G2027" s="70"/>
      <c r="H2027" s="131"/>
      <c r="I2027" s="3"/>
    </row>
    <row r="2028" spans="1:9" s="93" customFormat="1" ht="9" customHeight="1" x14ac:dyDescent="0.3">
      <c r="A2028" s="91"/>
      <c r="B2028" s="70"/>
      <c r="C2028" s="70"/>
      <c r="D2028" s="70"/>
      <c r="E2028" s="70"/>
      <c r="F2028" s="70"/>
      <c r="G2028" s="70"/>
      <c r="H2028" s="131"/>
      <c r="I2028" s="3"/>
    </row>
    <row r="2029" spans="1:9" s="93" customFormat="1" ht="9" customHeight="1" x14ac:dyDescent="0.3">
      <c r="A2029" s="91"/>
      <c r="B2029" s="70"/>
      <c r="C2029" s="70"/>
      <c r="D2029" s="70"/>
      <c r="E2029" s="70"/>
      <c r="F2029" s="70"/>
      <c r="G2029" s="70"/>
      <c r="H2029" s="131"/>
      <c r="I2029" s="3"/>
    </row>
    <row r="2030" spans="1:9" s="93" customFormat="1" ht="9" customHeight="1" x14ac:dyDescent="0.3">
      <c r="A2030" s="91"/>
      <c r="B2030" s="70"/>
      <c r="C2030" s="70"/>
      <c r="D2030" s="70"/>
      <c r="E2030" s="70"/>
      <c r="F2030" s="70"/>
      <c r="G2030" s="70"/>
      <c r="H2030" s="131"/>
      <c r="I2030" s="3"/>
    </row>
    <row r="2031" spans="1:9" s="93" customFormat="1" ht="9" customHeight="1" x14ac:dyDescent="0.3">
      <c r="A2031" s="91"/>
      <c r="B2031" s="70"/>
      <c r="C2031" s="70"/>
      <c r="D2031" s="70"/>
      <c r="E2031" s="70"/>
      <c r="F2031" s="70"/>
      <c r="G2031" s="70"/>
      <c r="H2031" s="131"/>
      <c r="I2031" s="3"/>
    </row>
    <row r="2032" spans="1:9" s="93" customFormat="1" ht="9" customHeight="1" x14ac:dyDescent="0.3">
      <c r="A2032" s="91"/>
      <c r="B2032" s="70"/>
      <c r="C2032" s="70"/>
      <c r="D2032" s="70"/>
      <c r="E2032" s="70"/>
      <c r="F2032" s="70"/>
      <c r="G2032" s="70"/>
      <c r="H2032" s="131"/>
      <c r="I2032" s="3"/>
    </row>
    <row r="2033" spans="1:9" s="93" customFormat="1" ht="9" customHeight="1" x14ac:dyDescent="0.3">
      <c r="A2033" s="91"/>
      <c r="B2033" s="70"/>
      <c r="C2033" s="70"/>
      <c r="D2033" s="70"/>
      <c r="E2033" s="70"/>
      <c r="F2033" s="70"/>
      <c r="G2033" s="70"/>
      <c r="H2033" s="131"/>
      <c r="I2033" s="3"/>
    </row>
    <row r="2034" spans="1:9" s="93" customFormat="1" ht="9" customHeight="1" x14ac:dyDescent="0.3">
      <c r="A2034" s="91"/>
      <c r="B2034" s="70"/>
      <c r="C2034" s="70"/>
      <c r="D2034" s="70"/>
      <c r="E2034" s="70"/>
      <c r="F2034" s="70"/>
      <c r="G2034" s="70"/>
      <c r="H2034" s="131"/>
      <c r="I2034" s="3"/>
    </row>
    <row r="2035" spans="1:9" s="93" customFormat="1" ht="9" customHeight="1" x14ac:dyDescent="0.3">
      <c r="A2035" s="91"/>
      <c r="B2035" s="70"/>
      <c r="C2035" s="70"/>
      <c r="D2035" s="70"/>
      <c r="E2035" s="70"/>
      <c r="F2035" s="70"/>
      <c r="G2035" s="70"/>
      <c r="H2035" s="131"/>
      <c r="I2035" s="3"/>
    </row>
    <row r="2036" spans="1:9" s="93" customFormat="1" ht="9" customHeight="1" x14ac:dyDescent="0.3">
      <c r="A2036" s="91"/>
      <c r="B2036" s="70"/>
      <c r="C2036" s="70"/>
      <c r="D2036" s="70"/>
      <c r="E2036" s="70"/>
      <c r="F2036" s="70"/>
      <c r="G2036" s="70"/>
      <c r="H2036" s="131"/>
      <c r="I2036" s="3"/>
    </row>
    <row r="2037" spans="1:9" s="93" customFormat="1" ht="9" customHeight="1" x14ac:dyDescent="0.3">
      <c r="A2037" s="91"/>
      <c r="B2037" s="70"/>
      <c r="C2037" s="70"/>
      <c r="D2037" s="70"/>
      <c r="E2037" s="70"/>
      <c r="F2037" s="70"/>
      <c r="G2037" s="70"/>
      <c r="H2037" s="131"/>
      <c r="I2037" s="3"/>
    </row>
    <row r="2038" spans="1:9" s="93" customFormat="1" ht="9" customHeight="1" x14ac:dyDescent="0.3">
      <c r="A2038" s="91"/>
      <c r="B2038" s="70"/>
      <c r="C2038" s="70"/>
      <c r="D2038" s="70"/>
      <c r="E2038" s="70"/>
      <c r="F2038" s="70"/>
      <c r="G2038" s="70"/>
      <c r="H2038" s="131"/>
      <c r="I2038" s="3"/>
    </row>
    <row r="2039" spans="1:9" s="93" customFormat="1" ht="9" customHeight="1" x14ac:dyDescent="0.3">
      <c r="A2039" s="91"/>
      <c r="B2039" s="70"/>
      <c r="C2039" s="70"/>
      <c r="D2039" s="70"/>
      <c r="E2039" s="70"/>
      <c r="F2039" s="70"/>
      <c r="G2039" s="70"/>
      <c r="H2039" s="131"/>
      <c r="I2039" s="3"/>
    </row>
    <row r="2040" spans="1:9" s="93" customFormat="1" ht="9" customHeight="1" x14ac:dyDescent="0.3">
      <c r="A2040" s="91"/>
      <c r="B2040" s="70"/>
      <c r="C2040" s="70"/>
      <c r="D2040" s="70"/>
      <c r="E2040" s="70"/>
      <c r="F2040" s="70"/>
      <c r="G2040" s="70"/>
      <c r="H2040" s="131"/>
      <c r="I2040" s="3"/>
    </row>
    <row r="2041" spans="1:9" s="93" customFormat="1" ht="9" customHeight="1" x14ac:dyDescent="0.3">
      <c r="A2041" s="91"/>
      <c r="B2041" s="70"/>
      <c r="C2041" s="70"/>
      <c r="D2041" s="70"/>
      <c r="E2041" s="70"/>
      <c r="F2041" s="70"/>
      <c r="G2041" s="70"/>
      <c r="H2041" s="131"/>
      <c r="I2041" s="3"/>
    </row>
    <row r="2042" spans="1:9" s="93" customFormat="1" ht="9" customHeight="1" x14ac:dyDescent="0.3">
      <c r="A2042" s="91"/>
      <c r="B2042" s="70"/>
      <c r="C2042" s="70"/>
      <c r="D2042" s="70"/>
      <c r="E2042" s="70"/>
      <c r="F2042" s="70"/>
      <c r="G2042" s="70"/>
      <c r="H2042" s="131"/>
      <c r="I2042" s="3"/>
    </row>
    <row r="2043" spans="1:9" s="93" customFormat="1" ht="9" customHeight="1" x14ac:dyDescent="0.3">
      <c r="A2043" s="91"/>
      <c r="B2043" s="70"/>
      <c r="C2043" s="70"/>
      <c r="D2043" s="70"/>
      <c r="E2043" s="70"/>
      <c r="F2043" s="70"/>
      <c r="G2043" s="70"/>
      <c r="H2043" s="131"/>
      <c r="I2043" s="3"/>
    </row>
    <row r="2044" spans="1:9" s="93" customFormat="1" ht="9" customHeight="1" x14ac:dyDescent="0.3">
      <c r="A2044" s="91"/>
      <c r="B2044" s="70"/>
      <c r="C2044" s="70"/>
      <c r="D2044" s="70"/>
      <c r="E2044" s="70"/>
      <c r="F2044" s="70"/>
      <c r="G2044" s="70"/>
      <c r="H2044" s="131"/>
      <c r="I2044" s="3"/>
    </row>
    <row r="2045" spans="1:9" s="93" customFormat="1" ht="9" customHeight="1" x14ac:dyDescent="0.3">
      <c r="A2045" s="91"/>
      <c r="B2045" s="70"/>
      <c r="C2045" s="70"/>
      <c r="D2045" s="70"/>
      <c r="E2045" s="70"/>
      <c r="F2045" s="70"/>
      <c r="G2045" s="70"/>
      <c r="H2045" s="131"/>
      <c r="I2045" s="3"/>
    </row>
    <row r="2046" spans="1:9" s="93" customFormat="1" ht="9" customHeight="1" x14ac:dyDescent="0.3">
      <c r="A2046" s="91"/>
      <c r="B2046" s="70"/>
      <c r="C2046" s="70"/>
      <c r="D2046" s="70"/>
      <c r="E2046" s="70"/>
      <c r="F2046" s="70"/>
      <c r="G2046" s="70"/>
      <c r="H2046" s="131"/>
      <c r="I2046" s="3"/>
    </row>
    <row r="2047" spans="1:9" s="93" customFormat="1" ht="9" customHeight="1" x14ac:dyDescent="0.3">
      <c r="A2047" s="91"/>
      <c r="B2047" s="70"/>
      <c r="C2047" s="70"/>
      <c r="D2047" s="70"/>
      <c r="E2047" s="70"/>
      <c r="F2047" s="70"/>
      <c r="G2047" s="70"/>
      <c r="H2047" s="131"/>
      <c r="I2047" s="3"/>
    </row>
    <row r="2048" spans="1:9" s="93" customFormat="1" ht="9" customHeight="1" x14ac:dyDescent="0.3">
      <c r="A2048" s="91"/>
      <c r="B2048" s="70"/>
      <c r="C2048" s="70"/>
      <c r="D2048" s="70"/>
      <c r="E2048" s="70"/>
      <c r="F2048" s="70"/>
      <c r="G2048" s="70"/>
      <c r="H2048" s="131"/>
      <c r="I2048" s="3"/>
    </row>
    <row r="2049" spans="1:9" s="93" customFormat="1" ht="9" customHeight="1" x14ac:dyDescent="0.3">
      <c r="A2049" s="91"/>
      <c r="B2049" s="70"/>
      <c r="C2049" s="70"/>
      <c r="D2049" s="70"/>
      <c r="E2049" s="70"/>
      <c r="F2049" s="70"/>
      <c r="G2049" s="70"/>
      <c r="H2049" s="131"/>
      <c r="I2049" s="3"/>
    </row>
    <row r="2050" spans="1:9" s="93" customFormat="1" ht="9" customHeight="1" x14ac:dyDescent="0.3">
      <c r="A2050" s="91"/>
      <c r="B2050" s="70"/>
      <c r="C2050" s="70"/>
      <c r="D2050" s="70"/>
      <c r="E2050" s="70"/>
      <c r="F2050" s="70"/>
      <c r="G2050" s="70"/>
      <c r="H2050" s="131"/>
      <c r="I2050" s="3"/>
    </row>
    <row r="2051" spans="1:9" s="93" customFormat="1" ht="9" customHeight="1" x14ac:dyDescent="0.3">
      <c r="A2051" s="91"/>
      <c r="B2051" s="70"/>
      <c r="C2051" s="70"/>
      <c r="D2051" s="70"/>
      <c r="E2051" s="70"/>
      <c r="F2051" s="70"/>
      <c r="G2051" s="70"/>
      <c r="H2051" s="131"/>
      <c r="I2051" s="3"/>
    </row>
    <row r="2052" spans="1:9" s="93" customFormat="1" ht="9" customHeight="1" x14ac:dyDescent="0.3">
      <c r="A2052" s="91"/>
      <c r="B2052" s="70"/>
      <c r="C2052" s="70"/>
      <c r="D2052" s="70"/>
      <c r="E2052" s="70"/>
      <c r="F2052" s="70"/>
      <c r="G2052" s="70"/>
      <c r="H2052" s="131"/>
      <c r="I2052" s="3"/>
    </row>
    <row r="2053" spans="1:9" s="93" customFormat="1" ht="9" customHeight="1" x14ac:dyDescent="0.3">
      <c r="A2053" s="91"/>
      <c r="B2053" s="70"/>
      <c r="C2053" s="70"/>
      <c r="D2053" s="70"/>
      <c r="E2053" s="70"/>
      <c r="F2053" s="70"/>
      <c r="G2053" s="70"/>
      <c r="H2053" s="131"/>
      <c r="I2053" s="3"/>
    </row>
    <row r="2054" spans="1:9" s="93" customFormat="1" ht="9" customHeight="1" x14ac:dyDescent="0.3">
      <c r="A2054" s="91"/>
      <c r="B2054" s="70"/>
      <c r="C2054" s="70"/>
      <c r="D2054" s="70"/>
      <c r="E2054" s="70"/>
      <c r="F2054" s="70"/>
      <c r="G2054" s="70"/>
      <c r="H2054" s="131"/>
      <c r="I2054" s="3"/>
    </row>
    <row r="2055" spans="1:9" s="93" customFormat="1" ht="9" customHeight="1" x14ac:dyDescent="0.3">
      <c r="A2055" s="91"/>
      <c r="B2055" s="70"/>
      <c r="C2055" s="70"/>
      <c r="D2055" s="70"/>
      <c r="E2055" s="70"/>
      <c r="F2055" s="70"/>
      <c r="G2055" s="70"/>
      <c r="H2055" s="131"/>
      <c r="I2055" s="3"/>
    </row>
    <row r="2056" spans="1:9" s="93" customFormat="1" ht="9" customHeight="1" x14ac:dyDescent="0.3">
      <c r="A2056" s="91"/>
      <c r="B2056" s="70"/>
      <c r="C2056" s="70"/>
      <c r="D2056" s="70"/>
      <c r="E2056" s="70"/>
      <c r="F2056" s="70"/>
      <c r="G2056" s="70"/>
      <c r="H2056" s="131"/>
      <c r="I2056" s="3"/>
    </row>
    <row r="2057" spans="1:9" s="93" customFormat="1" ht="9" customHeight="1" x14ac:dyDescent="0.3">
      <c r="A2057" s="91"/>
      <c r="B2057" s="70"/>
      <c r="C2057" s="70"/>
      <c r="D2057" s="70"/>
      <c r="E2057" s="70"/>
      <c r="F2057" s="70"/>
      <c r="G2057" s="70"/>
      <c r="H2057" s="131"/>
      <c r="I2057" s="3"/>
    </row>
    <row r="2058" spans="1:9" s="93" customFormat="1" ht="9" customHeight="1" x14ac:dyDescent="0.3">
      <c r="A2058" s="91"/>
      <c r="B2058" s="70"/>
      <c r="C2058" s="70"/>
      <c r="D2058" s="70"/>
      <c r="E2058" s="70"/>
      <c r="F2058" s="70"/>
      <c r="G2058" s="70"/>
      <c r="H2058" s="131"/>
      <c r="I2058" s="3"/>
    </row>
    <row r="2059" spans="1:9" s="93" customFormat="1" ht="9" customHeight="1" x14ac:dyDescent="0.3">
      <c r="A2059" s="91"/>
      <c r="B2059" s="70"/>
      <c r="C2059" s="70"/>
      <c r="D2059" s="70"/>
      <c r="E2059" s="70"/>
      <c r="F2059" s="70"/>
      <c r="G2059" s="70"/>
      <c r="H2059" s="131"/>
      <c r="I2059" s="3"/>
    </row>
    <row r="2060" spans="1:9" s="93" customFormat="1" ht="9" customHeight="1" x14ac:dyDescent="0.3">
      <c r="A2060" s="91"/>
      <c r="B2060" s="70"/>
      <c r="C2060" s="70"/>
      <c r="D2060" s="70"/>
      <c r="E2060" s="70"/>
      <c r="F2060" s="70"/>
      <c r="G2060" s="70"/>
      <c r="H2060" s="131"/>
      <c r="I2060" s="3"/>
    </row>
    <row r="2061" spans="1:9" s="93" customFormat="1" ht="9" customHeight="1" x14ac:dyDescent="0.3">
      <c r="A2061" s="91"/>
      <c r="B2061" s="70"/>
      <c r="C2061" s="70"/>
      <c r="D2061" s="70"/>
      <c r="E2061" s="70"/>
      <c r="F2061" s="70"/>
      <c r="G2061" s="70"/>
      <c r="H2061" s="131"/>
      <c r="I2061" s="3"/>
    </row>
    <row r="2062" spans="1:9" s="93" customFormat="1" ht="9" customHeight="1" x14ac:dyDescent="0.3">
      <c r="A2062" s="91"/>
      <c r="B2062" s="70"/>
      <c r="C2062" s="70"/>
      <c r="D2062" s="70"/>
      <c r="E2062" s="70"/>
      <c r="F2062" s="70"/>
      <c r="G2062" s="70"/>
      <c r="H2062" s="131"/>
      <c r="I2062" s="3"/>
    </row>
    <row r="2063" spans="1:9" s="93" customFormat="1" ht="9" customHeight="1" x14ac:dyDescent="0.3">
      <c r="A2063" s="91"/>
      <c r="B2063" s="70"/>
      <c r="C2063" s="70"/>
      <c r="D2063" s="70"/>
      <c r="E2063" s="70"/>
      <c r="F2063" s="70"/>
      <c r="G2063" s="70"/>
      <c r="H2063" s="131"/>
      <c r="I2063" s="3"/>
    </row>
    <row r="2064" spans="1:9" s="93" customFormat="1" ht="9" customHeight="1" x14ac:dyDescent="0.3">
      <c r="A2064" s="91"/>
      <c r="B2064" s="70"/>
      <c r="C2064" s="70"/>
      <c r="D2064" s="70"/>
      <c r="E2064" s="70"/>
      <c r="F2064" s="70"/>
      <c r="G2064" s="70"/>
      <c r="H2064" s="131"/>
      <c r="I2064" s="3"/>
    </row>
    <row r="2065" spans="1:9" s="93" customFormat="1" ht="9" customHeight="1" x14ac:dyDescent="0.3">
      <c r="A2065" s="91"/>
      <c r="B2065" s="70"/>
      <c r="C2065" s="70"/>
      <c r="D2065" s="70"/>
      <c r="E2065" s="70"/>
      <c r="F2065" s="70"/>
      <c r="G2065" s="70"/>
      <c r="H2065" s="131"/>
      <c r="I2065" s="3"/>
    </row>
    <row r="2066" spans="1:9" s="93" customFormat="1" ht="9" customHeight="1" x14ac:dyDescent="0.3">
      <c r="A2066" s="91"/>
      <c r="B2066" s="70"/>
      <c r="C2066" s="70"/>
      <c r="D2066" s="70"/>
      <c r="E2066" s="70"/>
      <c r="F2066" s="70"/>
      <c r="G2066" s="70"/>
      <c r="H2066" s="131"/>
      <c r="I2066" s="3"/>
    </row>
    <row r="2067" spans="1:9" s="93" customFormat="1" ht="9" customHeight="1" x14ac:dyDescent="0.3">
      <c r="A2067" s="91"/>
      <c r="B2067" s="70"/>
      <c r="C2067" s="70"/>
      <c r="D2067" s="70"/>
      <c r="E2067" s="70"/>
      <c r="F2067" s="70"/>
      <c r="G2067" s="70"/>
      <c r="H2067" s="131"/>
      <c r="I2067" s="3"/>
    </row>
    <row r="2068" spans="1:9" s="93" customFormat="1" ht="9" customHeight="1" x14ac:dyDescent="0.3">
      <c r="A2068" s="91"/>
      <c r="B2068" s="70"/>
      <c r="C2068" s="70"/>
      <c r="D2068" s="70"/>
      <c r="E2068" s="70"/>
      <c r="F2068" s="70"/>
      <c r="G2068" s="70"/>
      <c r="H2068" s="131"/>
      <c r="I2068" s="3"/>
    </row>
    <row r="2069" spans="1:9" s="93" customFormat="1" ht="9" customHeight="1" x14ac:dyDescent="0.3">
      <c r="A2069" s="91"/>
      <c r="B2069" s="70"/>
      <c r="C2069" s="70"/>
      <c r="D2069" s="70"/>
      <c r="E2069" s="70"/>
      <c r="F2069" s="70"/>
      <c r="G2069" s="70"/>
      <c r="H2069" s="131"/>
      <c r="I2069" s="3"/>
    </row>
    <row r="2070" spans="1:9" s="93" customFormat="1" ht="9" customHeight="1" x14ac:dyDescent="0.3">
      <c r="A2070" s="91"/>
      <c r="B2070" s="70"/>
      <c r="C2070" s="70"/>
      <c r="D2070" s="70"/>
      <c r="E2070" s="70"/>
      <c r="F2070" s="70"/>
      <c r="G2070" s="70"/>
      <c r="H2070" s="131"/>
      <c r="I2070" s="3"/>
    </row>
    <row r="2071" spans="1:9" s="93" customFormat="1" ht="9" customHeight="1" x14ac:dyDescent="0.3">
      <c r="A2071" s="91"/>
      <c r="B2071" s="70"/>
      <c r="C2071" s="70"/>
      <c r="D2071" s="70"/>
      <c r="E2071" s="70"/>
      <c r="F2071" s="70"/>
      <c r="G2071" s="70"/>
      <c r="H2071" s="131"/>
      <c r="I2071" s="3"/>
    </row>
    <row r="2072" spans="1:9" s="93" customFormat="1" ht="9" customHeight="1" x14ac:dyDescent="0.3">
      <c r="A2072" s="91"/>
      <c r="B2072" s="70"/>
      <c r="C2072" s="70"/>
      <c r="D2072" s="70"/>
      <c r="E2072" s="70"/>
      <c r="F2072" s="70"/>
      <c r="G2072" s="70"/>
      <c r="H2072" s="131"/>
      <c r="I2072" s="3"/>
    </row>
    <row r="2073" spans="1:9" s="93" customFormat="1" ht="9" customHeight="1" x14ac:dyDescent="0.3">
      <c r="A2073" s="91"/>
      <c r="B2073" s="70"/>
      <c r="C2073" s="70"/>
      <c r="D2073" s="70"/>
      <c r="E2073" s="70"/>
      <c r="F2073" s="70"/>
      <c r="G2073" s="70"/>
      <c r="H2073" s="131"/>
      <c r="I2073" s="3"/>
    </row>
    <row r="2074" spans="1:9" s="93" customFormat="1" ht="9" customHeight="1" x14ac:dyDescent="0.3">
      <c r="A2074" s="91"/>
      <c r="B2074" s="70"/>
      <c r="C2074" s="70"/>
      <c r="D2074" s="70"/>
      <c r="E2074" s="70"/>
      <c r="F2074" s="70"/>
      <c r="G2074" s="70"/>
      <c r="H2074" s="131"/>
      <c r="I2074" s="3"/>
    </row>
    <row r="2075" spans="1:9" s="93" customFormat="1" ht="9" customHeight="1" x14ac:dyDescent="0.3">
      <c r="A2075" s="91"/>
      <c r="B2075" s="70"/>
      <c r="C2075" s="70"/>
      <c r="D2075" s="70"/>
      <c r="E2075" s="70"/>
      <c r="F2075" s="70"/>
      <c r="G2075" s="70"/>
      <c r="H2075" s="131"/>
      <c r="I2075" s="3"/>
    </row>
    <row r="2076" spans="1:9" s="93" customFormat="1" ht="9" customHeight="1" x14ac:dyDescent="0.3">
      <c r="A2076" s="91"/>
      <c r="B2076" s="70"/>
      <c r="C2076" s="70"/>
      <c r="D2076" s="70"/>
      <c r="E2076" s="70"/>
      <c r="F2076" s="70"/>
      <c r="G2076" s="70"/>
      <c r="H2076" s="131"/>
      <c r="I2076" s="3"/>
    </row>
    <row r="2077" spans="1:9" s="93" customFormat="1" ht="9" customHeight="1" x14ac:dyDescent="0.3">
      <c r="A2077" s="91"/>
      <c r="B2077" s="70"/>
      <c r="C2077" s="70"/>
      <c r="D2077" s="70"/>
      <c r="E2077" s="70"/>
      <c r="F2077" s="70"/>
      <c r="G2077" s="70"/>
      <c r="H2077" s="131"/>
      <c r="I2077" s="3"/>
    </row>
    <row r="2078" spans="1:9" s="93" customFormat="1" ht="9" customHeight="1" x14ac:dyDescent="0.3">
      <c r="A2078" s="91"/>
      <c r="B2078" s="70"/>
      <c r="C2078" s="70"/>
      <c r="D2078" s="70"/>
      <c r="E2078" s="70"/>
      <c r="F2078" s="70"/>
      <c r="G2078" s="70"/>
      <c r="H2078" s="131"/>
      <c r="I2078" s="3"/>
    </row>
    <row r="2079" spans="1:9" s="93" customFormat="1" ht="9" customHeight="1" x14ac:dyDescent="0.3">
      <c r="A2079" s="91"/>
      <c r="B2079" s="70"/>
      <c r="C2079" s="70"/>
      <c r="D2079" s="70"/>
      <c r="E2079" s="70"/>
      <c r="F2079" s="70"/>
      <c r="G2079" s="70"/>
      <c r="H2079" s="131"/>
      <c r="I2079" s="3"/>
    </row>
    <row r="2080" spans="1:9" s="93" customFormat="1" ht="9" customHeight="1" x14ac:dyDescent="0.3">
      <c r="A2080" s="91"/>
      <c r="B2080" s="70"/>
      <c r="C2080" s="70"/>
      <c r="D2080" s="70"/>
      <c r="E2080" s="70"/>
      <c r="F2080" s="70"/>
      <c r="G2080" s="70"/>
      <c r="H2080" s="131"/>
      <c r="I2080" s="3"/>
    </row>
    <row r="2081" spans="1:9" s="93" customFormat="1" ht="9" customHeight="1" x14ac:dyDescent="0.3">
      <c r="A2081" s="91"/>
      <c r="B2081" s="70"/>
      <c r="C2081" s="70"/>
      <c r="D2081" s="70"/>
      <c r="E2081" s="70"/>
      <c r="F2081" s="70"/>
      <c r="G2081" s="70"/>
      <c r="H2081" s="131"/>
      <c r="I2081" s="3"/>
    </row>
    <row r="2082" spans="1:9" s="93" customFormat="1" ht="9" customHeight="1" x14ac:dyDescent="0.3">
      <c r="A2082" s="91"/>
      <c r="B2082" s="70"/>
      <c r="C2082" s="70"/>
      <c r="D2082" s="70"/>
      <c r="E2082" s="70"/>
      <c r="F2082" s="70"/>
      <c r="G2082" s="70"/>
      <c r="H2082" s="131"/>
      <c r="I2082" s="3"/>
    </row>
    <row r="2083" spans="1:9" s="93" customFormat="1" ht="9" customHeight="1" x14ac:dyDescent="0.3">
      <c r="A2083" s="91"/>
      <c r="B2083" s="70"/>
      <c r="C2083" s="70"/>
      <c r="D2083" s="70"/>
      <c r="E2083" s="70"/>
      <c r="F2083" s="70"/>
      <c r="G2083" s="70"/>
      <c r="H2083" s="131"/>
      <c r="I2083" s="3"/>
    </row>
    <row r="2084" spans="1:9" s="93" customFormat="1" ht="9" customHeight="1" x14ac:dyDescent="0.3">
      <c r="A2084" s="91"/>
      <c r="B2084" s="70"/>
      <c r="C2084" s="70"/>
      <c r="D2084" s="70"/>
      <c r="E2084" s="70"/>
      <c r="F2084" s="70"/>
      <c r="G2084" s="70"/>
      <c r="H2084" s="131"/>
      <c r="I2084" s="3"/>
    </row>
    <row r="2085" spans="1:9" s="93" customFormat="1" ht="9" customHeight="1" x14ac:dyDescent="0.3">
      <c r="A2085" s="91"/>
      <c r="B2085" s="70"/>
      <c r="C2085" s="70"/>
      <c r="D2085" s="70"/>
      <c r="E2085" s="70"/>
      <c r="F2085" s="70"/>
      <c r="G2085" s="70"/>
      <c r="H2085" s="131"/>
      <c r="I2085" s="3"/>
    </row>
    <row r="2086" spans="1:9" s="93" customFormat="1" ht="9" customHeight="1" x14ac:dyDescent="0.3">
      <c r="A2086" s="91"/>
      <c r="B2086" s="70"/>
      <c r="C2086" s="70"/>
      <c r="D2086" s="70"/>
      <c r="E2086" s="70"/>
      <c r="F2086" s="70"/>
      <c r="G2086" s="70"/>
      <c r="H2086" s="131"/>
      <c r="I2086" s="3"/>
    </row>
    <row r="2087" spans="1:9" s="93" customFormat="1" ht="9" customHeight="1" x14ac:dyDescent="0.3">
      <c r="A2087" s="91"/>
      <c r="B2087" s="70"/>
      <c r="C2087" s="70"/>
      <c r="D2087" s="70"/>
      <c r="E2087" s="70"/>
      <c r="F2087" s="70"/>
      <c r="G2087" s="70"/>
      <c r="H2087" s="131"/>
      <c r="I2087" s="3"/>
    </row>
    <row r="2088" spans="1:9" s="93" customFormat="1" ht="9" customHeight="1" x14ac:dyDescent="0.3">
      <c r="A2088" s="91"/>
      <c r="B2088" s="70"/>
      <c r="C2088" s="70"/>
      <c r="D2088" s="70"/>
      <c r="E2088" s="70"/>
      <c r="F2088" s="70"/>
      <c r="G2088" s="70"/>
      <c r="H2088" s="131"/>
      <c r="I2088" s="3"/>
    </row>
    <row r="2089" spans="1:9" s="93" customFormat="1" ht="9" customHeight="1" x14ac:dyDescent="0.3">
      <c r="A2089" s="91"/>
      <c r="B2089" s="70"/>
      <c r="C2089" s="70"/>
      <c r="D2089" s="70"/>
      <c r="E2089" s="70"/>
      <c r="F2089" s="70"/>
      <c r="G2089" s="70"/>
      <c r="H2089" s="131"/>
      <c r="I2089" s="3"/>
    </row>
    <row r="2090" spans="1:9" s="93" customFormat="1" ht="9" customHeight="1" x14ac:dyDescent="0.3">
      <c r="A2090" s="91"/>
      <c r="B2090" s="70"/>
      <c r="C2090" s="70"/>
      <c r="D2090" s="70"/>
      <c r="E2090" s="70"/>
      <c r="F2090" s="70"/>
      <c r="G2090" s="70"/>
      <c r="H2090" s="131"/>
      <c r="I2090" s="3"/>
    </row>
    <row r="2091" spans="1:9" s="93" customFormat="1" ht="9" customHeight="1" x14ac:dyDescent="0.3">
      <c r="A2091" s="91"/>
      <c r="B2091" s="70"/>
      <c r="C2091" s="70"/>
      <c r="D2091" s="70"/>
      <c r="E2091" s="70"/>
      <c r="F2091" s="70"/>
      <c r="G2091" s="70"/>
      <c r="H2091" s="131"/>
      <c r="I2091" s="3"/>
    </row>
    <row r="2092" spans="1:9" s="93" customFormat="1" ht="9" customHeight="1" x14ac:dyDescent="0.3">
      <c r="A2092" s="91"/>
      <c r="B2092" s="70"/>
      <c r="C2092" s="70"/>
      <c r="D2092" s="70"/>
      <c r="E2092" s="70"/>
      <c r="F2092" s="70"/>
      <c r="G2092" s="70"/>
      <c r="H2092" s="131"/>
      <c r="I2092" s="3"/>
    </row>
    <row r="2093" spans="1:9" s="93" customFormat="1" ht="9" customHeight="1" x14ac:dyDescent="0.3">
      <c r="A2093" s="91"/>
      <c r="B2093" s="70"/>
      <c r="C2093" s="70"/>
      <c r="D2093" s="70"/>
      <c r="E2093" s="70"/>
      <c r="F2093" s="70"/>
      <c r="G2093" s="70"/>
      <c r="H2093" s="131"/>
      <c r="I2093" s="3"/>
    </row>
    <row r="2094" spans="1:9" s="93" customFormat="1" ht="9" customHeight="1" x14ac:dyDescent="0.3">
      <c r="A2094" s="91"/>
      <c r="B2094" s="70"/>
      <c r="C2094" s="70"/>
      <c r="D2094" s="70"/>
      <c r="E2094" s="70"/>
      <c r="F2094" s="70"/>
      <c r="G2094" s="70"/>
      <c r="H2094" s="131"/>
      <c r="I2094" s="3"/>
    </row>
    <row r="2095" spans="1:9" s="93" customFormat="1" ht="9" customHeight="1" x14ac:dyDescent="0.3">
      <c r="A2095" s="91"/>
      <c r="B2095" s="70"/>
      <c r="C2095" s="70"/>
      <c r="D2095" s="70"/>
      <c r="E2095" s="70"/>
      <c r="F2095" s="70"/>
      <c r="G2095" s="70"/>
      <c r="H2095" s="131"/>
      <c r="I2095" s="3"/>
    </row>
    <row r="2096" spans="1:9" s="93" customFormat="1" ht="9" customHeight="1" x14ac:dyDescent="0.3">
      <c r="A2096" s="91"/>
      <c r="B2096" s="70"/>
      <c r="C2096" s="70"/>
      <c r="D2096" s="70"/>
      <c r="E2096" s="70"/>
      <c r="F2096" s="70"/>
      <c r="G2096" s="70"/>
      <c r="H2096" s="131"/>
      <c r="I2096" s="3"/>
    </row>
    <row r="2097" spans="1:9" s="93" customFormat="1" ht="9" customHeight="1" x14ac:dyDescent="0.3">
      <c r="A2097" s="91"/>
      <c r="B2097" s="70"/>
      <c r="C2097" s="70"/>
      <c r="D2097" s="70"/>
      <c r="E2097" s="70"/>
      <c r="F2097" s="70"/>
      <c r="G2097" s="70"/>
      <c r="H2097" s="131"/>
      <c r="I2097" s="3"/>
    </row>
    <row r="2098" spans="1:9" s="93" customFormat="1" ht="9" customHeight="1" x14ac:dyDescent="0.3">
      <c r="A2098" s="91"/>
      <c r="B2098" s="70"/>
      <c r="C2098" s="70"/>
      <c r="D2098" s="70"/>
      <c r="E2098" s="70"/>
      <c r="F2098" s="70"/>
      <c r="G2098" s="70"/>
      <c r="H2098" s="131"/>
      <c r="I2098" s="3"/>
    </row>
    <row r="2099" spans="1:9" s="93" customFormat="1" ht="9" customHeight="1" x14ac:dyDescent="0.3">
      <c r="A2099" s="91"/>
      <c r="B2099" s="70"/>
      <c r="C2099" s="70"/>
      <c r="D2099" s="70"/>
      <c r="E2099" s="70"/>
      <c r="F2099" s="70"/>
      <c r="G2099" s="70"/>
      <c r="H2099" s="131"/>
      <c r="I2099" s="3"/>
    </row>
    <row r="2100" spans="1:9" s="93" customFormat="1" ht="9" customHeight="1" x14ac:dyDescent="0.3">
      <c r="A2100" s="91"/>
      <c r="B2100" s="70"/>
      <c r="C2100" s="70"/>
      <c r="D2100" s="70"/>
      <c r="E2100" s="70"/>
      <c r="F2100" s="70"/>
      <c r="G2100" s="70"/>
      <c r="H2100" s="131"/>
      <c r="I2100" s="3"/>
    </row>
    <row r="2101" spans="1:9" s="93" customFormat="1" ht="9" customHeight="1" x14ac:dyDescent="0.3">
      <c r="A2101" s="91"/>
      <c r="B2101" s="70"/>
      <c r="C2101" s="70"/>
      <c r="D2101" s="70"/>
      <c r="E2101" s="70"/>
      <c r="F2101" s="70"/>
      <c r="G2101" s="70"/>
      <c r="H2101" s="131"/>
      <c r="I2101" s="3"/>
    </row>
    <row r="2102" spans="1:9" s="93" customFormat="1" ht="9" customHeight="1" x14ac:dyDescent="0.3">
      <c r="A2102" s="91"/>
      <c r="B2102" s="70"/>
      <c r="C2102" s="70"/>
      <c r="D2102" s="70"/>
      <c r="E2102" s="70"/>
      <c r="F2102" s="70"/>
      <c r="G2102" s="70"/>
      <c r="H2102" s="131"/>
      <c r="I2102" s="3"/>
    </row>
    <row r="2103" spans="1:9" s="93" customFormat="1" ht="9" customHeight="1" x14ac:dyDescent="0.3">
      <c r="A2103" s="91"/>
      <c r="B2103" s="70"/>
      <c r="C2103" s="70"/>
      <c r="D2103" s="70"/>
      <c r="E2103" s="70"/>
      <c r="F2103" s="70"/>
      <c r="G2103" s="70"/>
      <c r="H2103" s="131"/>
      <c r="I2103" s="3"/>
    </row>
    <row r="2104" spans="1:9" s="93" customFormat="1" ht="9" customHeight="1" x14ac:dyDescent="0.3">
      <c r="A2104" s="91"/>
      <c r="B2104" s="70"/>
      <c r="C2104" s="70"/>
      <c r="D2104" s="70"/>
      <c r="E2104" s="70"/>
      <c r="F2104" s="70"/>
      <c r="G2104" s="70"/>
      <c r="H2104" s="131"/>
      <c r="I2104" s="3"/>
    </row>
    <row r="2105" spans="1:9" s="93" customFormat="1" ht="9" customHeight="1" x14ac:dyDescent="0.3">
      <c r="A2105" s="91"/>
      <c r="B2105" s="70"/>
      <c r="C2105" s="70"/>
      <c r="D2105" s="70"/>
      <c r="E2105" s="70"/>
      <c r="F2105" s="70"/>
      <c r="G2105" s="70"/>
      <c r="H2105" s="131"/>
      <c r="I2105" s="3"/>
    </row>
    <row r="2106" spans="1:9" s="93" customFormat="1" ht="9" customHeight="1" x14ac:dyDescent="0.3">
      <c r="A2106" s="91"/>
      <c r="B2106" s="70"/>
      <c r="C2106" s="70"/>
      <c r="D2106" s="70"/>
      <c r="E2106" s="70"/>
      <c r="F2106" s="70"/>
      <c r="G2106" s="70"/>
      <c r="H2106" s="131"/>
      <c r="I2106" s="3"/>
    </row>
    <row r="2107" spans="1:9" s="93" customFormat="1" ht="9" customHeight="1" x14ac:dyDescent="0.3">
      <c r="A2107" s="91"/>
      <c r="B2107" s="70"/>
      <c r="C2107" s="70"/>
      <c r="D2107" s="70"/>
      <c r="E2107" s="70"/>
      <c r="F2107" s="70"/>
      <c r="G2107" s="70"/>
      <c r="H2107" s="131"/>
      <c r="I2107" s="3"/>
    </row>
    <row r="2108" spans="1:9" s="93" customFormat="1" ht="9" customHeight="1" x14ac:dyDescent="0.3">
      <c r="A2108" s="91"/>
      <c r="B2108" s="70"/>
      <c r="C2108" s="70"/>
      <c r="D2108" s="70"/>
      <c r="E2108" s="70"/>
      <c r="F2108" s="70"/>
      <c r="G2108" s="70"/>
      <c r="H2108" s="131"/>
      <c r="I2108" s="3"/>
    </row>
    <row r="2109" spans="1:9" s="93" customFormat="1" ht="9" customHeight="1" x14ac:dyDescent="0.3">
      <c r="A2109" s="91"/>
      <c r="B2109" s="70"/>
      <c r="C2109" s="70"/>
      <c r="D2109" s="70"/>
      <c r="E2109" s="70"/>
      <c r="F2109" s="70"/>
      <c r="G2109" s="70"/>
      <c r="H2109" s="131"/>
      <c r="I2109" s="3"/>
    </row>
    <row r="2110" spans="1:9" s="93" customFormat="1" ht="9" customHeight="1" x14ac:dyDescent="0.3">
      <c r="A2110" s="91"/>
      <c r="B2110" s="70"/>
      <c r="C2110" s="70"/>
      <c r="D2110" s="70"/>
      <c r="E2110" s="70"/>
      <c r="F2110" s="70"/>
      <c r="G2110" s="70"/>
      <c r="H2110" s="131"/>
      <c r="I2110" s="3"/>
    </row>
    <row r="2111" spans="1:9" s="93" customFormat="1" ht="9" customHeight="1" x14ac:dyDescent="0.3">
      <c r="A2111" s="91"/>
      <c r="B2111" s="70"/>
      <c r="C2111" s="70"/>
      <c r="D2111" s="70"/>
      <c r="E2111" s="70"/>
      <c r="F2111" s="70"/>
      <c r="G2111" s="70"/>
      <c r="H2111" s="131"/>
      <c r="I2111" s="3"/>
    </row>
    <row r="2112" spans="1:9" s="93" customFormat="1" ht="9" customHeight="1" x14ac:dyDescent="0.3">
      <c r="A2112" s="91"/>
      <c r="B2112" s="70"/>
      <c r="C2112" s="70"/>
      <c r="D2112" s="70"/>
      <c r="E2112" s="70"/>
      <c r="F2112" s="70"/>
      <c r="G2112" s="70"/>
      <c r="H2112" s="131"/>
      <c r="I2112" s="3"/>
    </row>
    <row r="2113" spans="1:9" s="93" customFormat="1" ht="9" customHeight="1" x14ac:dyDescent="0.3">
      <c r="A2113" s="91"/>
      <c r="B2113" s="70"/>
      <c r="C2113" s="70"/>
      <c r="D2113" s="70"/>
      <c r="E2113" s="70"/>
      <c r="F2113" s="70"/>
      <c r="G2113" s="70"/>
      <c r="H2113" s="131"/>
      <c r="I2113" s="3"/>
    </row>
    <row r="2114" spans="1:9" s="93" customFormat="1" ht="9" customHeight="1" x14ac:dyDescent="0.3">
      <c r="A2114" s="91"/>
      <c r="B2114" s="70"/>
      <c r="C2114" s="70"/>
      <c r="D2114" s="70"/>
      <c r="E2114" s="70"/>
      <c r="F2114" s="70"/>
      <c r="G2114" s="70"/>
      <c r="H2114" s="131"/>
      <c r="I2114" s="3"/>
    </row>
    <row r="2115" spans="1:9" s="93" customFormat="1" ht="9" customHeight="1" x14ac:dyDescent="0.3">
      <c r="A2115" s="91"/>
      <c r="B2115" s="70"/>
      <c r="C2115" s="70"/>
      <c r="D2115" s="70"/>
      <c r="E2115" s="70"/>
      <c r="F2115" s="70"/>
      <c r="G2115" s="70"/>
      <c r="H2115" s="131"/>
      <c r="I2115" s="3"/>
    </row>
    <row r="2116" spans="1:9" s="93" customFormat="1" ht="9" customHeight="1" x14ac:dyDescent="0.3">
      <c r="A2116" s="91"/>
      <c r="B2116" s="70"/>
      <c r="C2116" s="70"/>
      <c r="D2116" s="70"/>
      <c r="E2116" s="70"/>
      <c r="F2116" s="70"/>
      <c r="G2116" s="70"/>
      <c r="H2116" s="131"/>
      <c r="I2116" s="3"/>
    </row>
    <row r="2117" spans="1:9" s="93" customFormat="1" ht="9" customHeight="1" x14ac:dyDescent="0.3">
      <c r="A2117" s="91"/>
      <c r="B2117" s="70"/>
      <c r="C2117" s="70"/>
      <c r="D2117" s="70"/>
      <c r="E2117" s="70"/>
      <c r="F2117" s="70"/>
      <c r="G2117" s="70"/>
      <c r="H2117" s="131"/>
      <c r="I2117" s="3"/>
    </row>
    <row r="2118" spans="1:9" s="93" customFormat="1" ht="9" customHeight="1" x14ac:dyDescent="0.3">
      <c r="A2118" s="91"/>
      <c r="B2118" s="70"/>
      <c r="C2118" s="70"/>
      <c r="D2118" s="70"/>
      <c r="E2118" s="70"/>
      <c r="F2118" s="70"/>
      <c r="G2118" s="70"/>
      <c r="H2118" s="131"/>
      <c r="I2118" s="3"/>
    </row>
    <row r="2119" spans="1:9" s="93" customFormat="1" ht="9" customHeight="1" x14ac:dyDescent="0.3">
      <c r="A2119" s="91"/>
      <c r="B2119" s="70"/>
      <c r="C2119" s="70"/>
      <c r="D2119" s="70"/>
      <c r="E2119" s="70"/>
      <c r="F2119" s="70"/>
      <c r="G2119" s="70"/>
      <c r="H2119" s="131"/>
      <c r="I2119" s="3"/>
    </row>
    <row r="2120" spans="1:9" s="93" customFormat="1" ht="9" customHeight="1" x14ac:dyDescent="0.3">
      <c r="A2120" s="91"/>
      <c r="B2120" s="70"/>
      <c r="C2120" s="70"/>
      <c r="D2120" s="70"/>
      <c r="E2120" s="70"/>
      <c r="F2120" s="70"/>
      <c r="G2120" s="70"/>
      <c r="H2120" s="131"/>
      <c r="I2120" s="3"/>
    </row>
    <row r="2121" spans="1:9" s="93" customFormat="1" ht="9" customHeight="1" x14ac:dyDescent="0.3">
      <c r="A2121" s="91"/>
      <c r="B2121" s="70"/>
      <c r="C2121" s="70"/>
      <c r="D2121" s="70"/>
      <c r="E2121" s="70"/>
      <c r="F2121" s="70"/>
      <c r="G2121" s="70"/>
      <c r="H2121" s="131"/>
      <c r="I2121" s="3"/>
    </row>
    <row r="2122" spans="1:9" s="93" customFormat="1" ht="9" customHeight="1" x14ac:dyDescent="0.3">
      <c r="A2122" s="91"/>
      <c r="B2122" s="70"/>
      <c r="C2122" s="70"/>
      <c r="D2122" s="70"/>
      <c r="E2122" s="70"/>
      <c r="F2122" s="70"/>
      <c r="G2122" s="70"/>
      <c r="H2122" s="131"/>
      <c r="I2122" s="3"/>
    </row>
    <row r="2123" spans="1:9" s="93" customFormat="1" ht="9" customHeight="1" x14ac:dyDescent="0.3">
      <c r="A2123" s="91"/>
      <c r="B2123" s="70"/>
      <c r="C2123" s="70"/>
      <c r="D2123" s="70"/>
      <c r="E2123" s="70"/>
      <c r="F2123" s="70"/>
      <c r="G2123" s="70"/>
      <c r="H2123" s="131"/>
      <c r="I2123" s="3"/>
    </row>
    <row r="2124" spans="1:9" s="93" customFormat="1" ht="9" customHeight="1" x14ac:dyDescent="0.3">
      <c r="A2124" s="91"/>
      <c r="B2124" s="70"/>
      <c r="C2124" s="70"/>
      <c r="D2124" s="70"/>
      <c r="E2124" s="70"/>
      <c r="F2124" s="70"/>
      <c r="G2124" s="70"/>
      <c r="H2124" s="131"/>
      <c r="I2124" s="3"/>
    </row>
    <row r="2125" spans="1:9" s="93" customFormat="1" ht="9" customHeight="1" x14ac:dyDescent="0.3">
      <c r="A2125" s="91"/>
      <c r="B2125" s="70"/>
      <c r="C2125" s="70"/>
      <c r="D2125" s="70"/>
      <c r="E2125" s="70"/>
      <c r="F2125" s="70"/>
      <c r="G2125" s="70"/>
      <c r="H2125" s="131"/>
      <c r="I2125" s="3"/>
    </row>
    <row r="2126" spans="1:9" s="93" customFormat="1" ht="9" customHeight="1" x14ac:dyDescent="0.3">
      <c r="A2126" s="91"/>
      <c r="B2126" s="70"/>
      <c r="C2126" s="70"/>
      <c r="D2126" s="70"/>
      <c r="E2126" s="70"/>
      <c r="F2126" s="70"/>
      <c r="G2126" s="70"/>
      <c r="H2126" s="131"/>
      <c r="I2126" s="3"/>
    </row>
    <row r="2127" spans="1:9" s="93" customFormat="1" ht="9" customHeight="1" x14ac:dyDescent="0.3">
      <c r="A2127" s="91"/>
      <c r="B2127" s="70"/>
      <c r="C2127" s="70"/>
      <c r="D2127" s="70"/>
      <c r="E2127" s="70"/>
      <c r="F2127" s="70"/>
      <c r="G2127" s="70"/>
      <c r="H2127" s="131"/>
      <c r="I2127" s="3"/>
    </row>
    <row r="2128" spans="1:9" s="93" customFormat="1" ht="9" customHeight="1" x14ac:dyDescent="0.3">
      <c r="A2128" s="91"/>
      <c r="B2128" s="70"/>
      <c r="C2128" s="70"/>
      <c r="D2128" s="70"/>
      <c r="E2128" s="70"/>
      <c r="F2128" s="70"/>
      <c r="G2128" s="70"/>
      <c r="H2128" s="131"/>
      <c r="I2128" s="3"/>
    </row>
    <row r="2129" spans="1:9" s="93" customFormat="1" ht="9" customHeight="1" x14ac:dyDescent="0.3">
      <c r="A2129" s="91"/>
      <c r="B2129" s="70"/>
      <c r="C2129" s="70"/>
      <c r="D2129" s="70"/>
      <c r="E2129" s="70"/>
      <c r="F2129" s="70"/>
      <c r="G2129" s="70"/>
      <c r="H2129" s="131"/>
      <c r="I2129" s="3"/>
    </row>
    <row r="2130" spans="1:9" s="93" customFormat="1" ht="9" customHeight="1" x14ac:dyDescent="0.3">
      <c r="A2130" s="91"/>
      <c r="B2130" s="70"/>
      <c r="C2130" s="70"/>
      <c r="D2130" s="70"/>
      <c r="E2130" s="70"/>
      <c r="F2130" s="70"/>
      <c r="G2130" s="70"/>
      <c r="H2130" s="131"/>
      <c r="I2130" s="3"/>
    </row>
    <row r="2131" spans="1:9" s="93" customFormat="1" ht="9" customHeight="1" x14ac:dyDescent="0.3">
      <c r="A2131" s="91"/>
      <c r="B2131" s="70"/>
      <c r="C2131" s="70"/>
      <c r="D2131" s="70"/>
      <c r="E2131" s="70"/>
      <c r="F2131" s="70"/>
      <c r="G2131" s="70"/>
      <c r="H2131" s="131"/>
      <c r="I2131" s="3"/>
    </row>
    <row r="2132" spans="1:9" s="93" customFormat="1" ht="9" customHeight="1" x14ac:dyDescent="0.3">
      <c r="A2132" s="91"/>
      <c r="B2132" s="70"/>
      <c r="C2132" s="70"/>
      <c r="D2132" s="70"/>
      <c r="E2132" s="70"/>
      <c r="F2132" s="70"/>
      <c r="G2132" s="70"/>
      <c r="H2132" s="131"/>
      <c r="I2132" s="3"/>
    </row>
    <row r="2133" spans="1:9" s="93" customFormat="1" ht="9" customHeight="1" x14ac:dyDescent="0.3">
      <c r="A2133" s="91"/>
      <c r="B2133" s="70"/>
      <c r="C2133" s="70"/>
      <c r="D2133" s="70"/>
      <c r="E2133" s="70"/>
      <c r="F2133" s="70"/>
      <c r="G2133" s="70"/>
      <c r="H2133" s="131"/>
      <c r="I2133" s="3"/>
    </row>
    <row r="2134" spans="1:9" s="93" customFormat="1" ht="9" customHeight="1" x14ac:dyDescent="0.3">
      <c r="A2134" s="91"/>
      <c r="B2134" s="70"/>
      <c r="C2134" s="70"/>
      <c r="D2134" s="70"/>
      <c r="E2134" s="70"/>
      <c r="F2134" s="70"/>
      <c r="G2134" s="70"/>
      <c r="H2134" s="131"/>
      <c r="I2134" s="3"/>
    </row>
    <row r="2135" spans="1:9" s="93" customFormat="1" ht="9" customHeight="1" x14ac:dyDescent="0.3">
      <c r="A2135" s="91"/>
      <c r="B2135" s="70"/>
      <c r="C2135" s="70"/>
      <c r="D2135" s="70"/>
      <c r="E2135" s="70"/>
      <c r="F2135" s="70"/>
      <c r="G2135" s="70"/>
      <c r="H2135" s="131"/>
      <c r="I2135" s="3"/>
    </row>
    <row r="2136" spans="1:9" s="93" customFormat="1" ht="9" customHeight="1" x14ac:dyDescent="0.3">
      <c r="A2136" s="91"/>
      <c r="B2136" s="70"/>
      <c r="C2136" s="70"/>
      <c r="D2136" s="70"/>
      <c r="E2136" s="70"/>
      <c r="F2136" s="70"/>
      <c r="G2136" s="70"/>
      <c r="H2136" s="131"/>
      <c r="I2136" s="3"/>
    </row>
    <row r="2137" spans="1:9" s="93" customFormat="1" ht="9" customHeight="1" x14ac:dyDescent="0.3">
      <c r="A2137" s="91"/>
      <c r="B2137" s="70"/>
      <c r="C2137" s="70"/>
      <c r="D2137" s="70"/>
      <c r="E2137" s="70"/>
      <c r="F2137" s="70"/>
      <c r="G2137" s="70"/>
      <c r="H2137" s="131"/>
      <c r="I2137" s="3"/>
    </row>
    <row r="2138" spans="1:9" s="93" customFormat="1" ht="9" customHeight="1" x14ac:dyDescent="0.3">
      <c r="A2138" s="91"/>
      <c r="B2138" s="70"/>
      <c r="C2138" s="70"/>
      <c r="D2138" s="70"/>
      <c r="E2138" s="70"/>
      <c r="F2138" s="70"/>
      <c r="G2138" s="70"/>
      <c r="H2138" s="131"/>
      <c r="I2138" s="3"/>
    </row>
    <row r="2139" spans="1:9" s="93" customFormat="1" ht="9" customHeight="1" x14ac:dyDescent="0.3">
      <c r="A2139" s="91"/>
      <c r="B2139" s="70"/>
      <c r="C2139" s="70"/>
      <c r="D2139" s="70"/>
      <c r="E2139" s="70"/>
      <c r="F2139" s="70"/>
      <c r="G2139" s="70"/>
      <c r="H2139" s="131"/>
      <c r="I2139" s="3"/>
    </row>
    <row r="2140" spans="1:9" s="93" customFormat="1" ht="9" customHeight="1" x14ac:dyDescent="0.3">
      <c r="A2140" s="91"/>
      <c r="B2140" s="70"/>
      <c r="C2140" s="70"/>
      <c r="D2140" s="70"/>
      <c r="E2140" s="70"/>
      <c r="F2140" s="70"/>
      <c r="G2140" s="70"/>
      <c r="H2140" s="131"/>
      <c r="I2140" s="3"/>
    </row>
    <row r="2141" spans="1:9" s="93" customFormat="1" ht="9" customHeight="1" x14ac:dyDescent="0.3">
      <c r="A2141" s="91"/>
      <c r="B2141" s="70"/>
      <c r="C2141" s="70"/>
      <c r="D2141" s="70"/>
      <c r="E2141" s="70"/>
      <c r="F2141" s="70"/>
      <c r="G2141" s="70"/>
      <c r="H2141" s="131"/>
      <c r="I2141" s="3"/>
    </row>
    <row r="2142" spans="1:9" s="93" customFormat="1" ht="9" customHeight="1" x14ac:dyDescent="0.3">
      <c r="A2142" s="91"/>
      <c r="B2142" s="70"/>
      <c r="C2142" s="70"/>
      <c r="D2142" s="70"/>
      <c r="E2142" s="70"/>
      <c r="F2142" s="70"/>
      <c r="G2142" s="70"/>
      <c r="H2142" s="131"/>
      <c r="I2142" s="3"/>
    </row>
    <row r="2143" spans="1:9" s="93" customFormat="1" ht="9" customHeight="1" x14ac:dyDescent="0.3">
      <c r="A2143" s="91"/>
      <c r="B2143" s="70"/>
      <c r="C2143" s="70"/>
      <c r="D2143" s="70"/>
      <c r="E2143" s="70"/>
      <c r="F2143" s="70"/>
      <c r="G2143" s="70"/>
      <c r="H2143" s="131"/>
      <c r="I2143" s="3"/>
    </row>
    <row r="2144" spans="1:9" s="93" customFormat="1" ht="9" customHeight="1" x14ac:dyDescent="0.3">
      <c r="A2144" s="91"/>
      <c r="B2144" s="70"/>
      <c r="C2144" s="70"/>
      <c r="D2144" s="70"/>
      <c r="E2144" s="70"/>
      <c r="F2144" s="70"/>
      <c r="G2144" s="70"/>
      <c r="H2144" s="131"/>
      <c r="I2144" s="3"/>
    </row>
    <row r="2145" spans="1:9" s="93" customFormat="1" ht="9" customHeight="1" x14ac:dyDescent="0.3">
      <c r="A2145" s="91"/>
      <c r="B2145" s="70"/>
      <c r="C2145" s="70"/>
      <c r="D2145" s="70"/>
      <c r="E2145" s="70"/>
      <c r="F2145" s="70"/>
      <c r="G2145" s="70"/>
      <c r="H2145" s="131"/>
      <c r="I2145" s="3"/>
    </row>
    <row r="2146" spans="1:9" s="93" customFormat="1" ht="9" customHeight="1" x14ac:dyDescent="0.3">
      <c r="A2146" s="91"/>
      <c r="B2146" s="70"/>
      <c r="C2146" s="70"/>
      <c r="D2146" s="70"/>
      <c r="E2146" s="70"/>
      <c r="F2146" s="70"/>
      <c r="G2146" s="70"/>
      <c r="H2146" s="131"/>
      <c r="I2146" s="3"/>
    </row>
    <row r="2147" spans="1:9" s="93" customFormat="1" ht="9" customHeight="1" x14ac:dyDescent="0.3">
      <c r="A2147" s="91"/>
      <c r="B2147" s="70"/>
      <c r="C2147" s="70"/>
      <c r="D2147" s="70"/>
      <c r="E2147" s="70"/>
      <c r="F2147" s="70"/>
      <c r="G2147" s="70"/>
      <c r="H2147" s="131"/>
      <c r="I2147" s="3"/>
    </row>
    <row r="2148" spans="1:9" s="93" customFormat="1" ht="9" customHeight="1" x14ac:dyDescent="0.3">
      <c r="A2148" s="91"/>
      <c r="B2148" s="70"/>
      <c r="C2148" s="70"/>
      <c r="D2148" s="70"/>
      <c r="E2148" s="70"/>
      <c r="F2148" s="70"/>
      <c r="G2148" s="70"/>
      <c r="H2148" s="131"/>
      <c r="I2148" s="3"/>
    </row>
    <row r="2149" spans="1:9" s="93" customFormat="1" ht="9" customHeight="1" x14ac:dyDescent="0.3">
      <c r="A2149" s="91"/>
      <c r="B2149" s="70"/>
      <c r="C2149" s="70"/>
      <c r="D2149" s="70"/>
      <c r="E2149" s="70"/>
      <c r="F2149" s="70"/>
      <c r="G2149" s="70"/>
      <c r="H2149" s="131"/>
      <c r="I2149" s="3"/>
    </row>
    <row r="2150" spans="1:9" s="93" customFormat="1" ht="9" customHeight="1" x14ac:dyDescent="0.3">
      <c r="A2150" s="91"/>
      <c r="B2150" s="70"/>
      <c r="C2150" s="70"/>
      <c r="D2150" s="70"/>
      <c r="E2150" s="70"/>
      <c r="F2150" s="70"/>
      <c r="G2150" s="70"/>
      <c r="H2150" s="131"/>
      <c r="I2150" s="3"/>
    </row>
    <row r="2151" spans="1:9" s="93" customFormat="1" ht="9" customHeight="1" x14ac:dyDescent="0.3">
      <c r="A2151" s="91"/>
      <c r="B2151" s="70"/>
      <c r="C2151" s="70"/>
      <c r="D2151" s="70"/>
      <c r="E2151" s="70"/>
      <c r="F2151" s="70"/>
      <c r="G2151" s="70"/>
      <c r="H2151" s="131"/>
      <c r="I2151" s="3"/>
    </row>
    <row r="2152" spans="1:9" s="93" customFormat="1" ht="9" customHeight="1" x14ac:dyDescent="0.3">
      <c r="A2152" s="91"/>
      <c r="B2152" s="70"/>
      <c r="C2152" s="70"/>
      <c r="D2152" s="70"/>
      <c r="E2152" s="70"/>
      <c r="F2152" s="70"/>
      <c r="G2152" s="70"/>
      <c r="H2152" s="131"/>
      <c r="I2152" s="3"/>
    </row>
    <row r="2153" spans="1:9" s="93" customFormat="1" ht="9" customHeight="1" x14ac:dyDescent="0.3">
      <c r="A2153" s="91"/>
      <c r="B2153" s="70"/>
      <c r="C2153" s="70"/>
      <c r="D2153" s="70"/>
      <c r="E2153" s="70"/>
      <c r="F2153" s="70"/>
      <c r="G2153" s="70"/>
      <c r="H2153" s="131"/>
      <c r="I2153" s="3"/>
    </row>
    <row r="2154" spans="1:9" s="93" customFormat="1" ht="9" customHeight="1" x14ac:dyDescent="0.3">
      <c r="A2154" s="91"/>
      <c r="B2154" s="70"/>
      <c r="C2154" s="70"/>
      <c r="D2154" s="70"/>
      <c r="E2154" s="70"/>
      <c r="F2154" s="70"/>
      <c r="G2154" s="70"/>
      <c r="H2154" s="131"/>
      <c r="I2154" s="3"/>
    </row>
    <row r="2155" spans="1:9" s="93" customFormat="1" ht="9" customHeight="1" x14ac:dyDescent="0.3">
      <c r="A2155" s="91"/>
      <c r="B2155" s="70"/>
      <c r="C2155" s="70"/>
      <c r="D2155" s="70"/>
      <c r="E2155" s="70"/>
      <c r="F2155" s="70"/>
      <c r="G2155" s="70"/>
      <c r="H2155" s="131"/>
      <c r="I2155" s="3"/>
    </row>
    <row r="2156" spans="1:9" s="93" customFormat="1" ht="9" customHeight="1" x14ac:dyDescent="0.3">
      <c r="A2156" s="91"/>
      <c r="B2156" s="70"/>
      <c r="C2156" s="70"/>
      <c r="D2156" s="70"/>
      <c r="E2156" s="70"/>
      <c r="F2156" s="70"/>
      <c r="G2156" s="70"/>
      <c r="H2156" s="131"/>
      <c r="I2156" s="3"/>
    </row>
    <row r="2157" spans="1:9" s="93" customFormat="1" ht="9" customHeight="1" x14ac:dyDescent="0.3">
      <c r="A2157" s="91"/>
      <c r="B2157" s="70"/>
      <c r="C2157" s="70"/>
      <c r="D2157" s="70"/>
      <c r="E2157" s="70"/>
      <c r="F2157" s="70"/>
      <c r="G2157" s="70"/>
      <c r="H2157" s="131"/>
      <c r="I2157" s="3"/>
    </row>
    <row r="2158" spans="1:9" s="93" customFormat="1" ht="9" customHeight="1" x14ac:dyDescent="0.3">
      <c r="A2158" s="91"/>
      <c r="B2158" s="70"/>
      <c r="C2158" s="70"/>
      <c r="D2158" s="70"/>
      <c r="E2158" s="70"/>
      <c r="F2158" s="70"/>
      <c r="G2158" s="70"/>
      <c r="H2158" s="131"/>
      <c r="I2158" s="3"/>
    </row>
    <row r="2159" spans="1:9" s="93" customFormat="1" ht="9" customHeight="1" x14ac:dyDescent="0.3">
      <c r="A2159" s="91"/>
      <c r="B2159" s="70"/>
      <c r="C2159" s="70"/>
      <c r="D2159" s="70"/>
      <c r="E2159" s="70"/>
      <c r="F2159" s="70"/>
      <c r="G2159" s="70"/>
      <c r="H2159" s="131"/>
      <c r="I2159" s="3"/>
    </row>
    <row r="2160" spans="1:9" s="93" customFormat="1" ht="9" customHeight="1" x14ac:dyDescent="0.3">
      <c r="A2160" s="91"/>
      <c r="B2160" s="70"/>
      <c r="C2160" s="70"/>
      <c r="D2160" s="70"/>
      <c r="E2160" s="70"/>
      <c r="F2160" s="70"/>
      <c r="G2160" s="70"/>
      <c r="H2160" s="131"/>
      <c r="I2160" s="3"/>
    </row>
    <row r="2161" spans="1:9" s="93" customFormat="1" ht="9" customHeight="1" x14ac:dyDescent="0.3">
      <c r="A2161" s="91"/>
      <c r="B2161" s="70"/>
      <c r="C2161" s="70"/>
      <c r="D2161" s="70"/>
      <c r="E2161" s="70"/>
      <c r="F2161" s="70"/>
      <c r="G2161" s="70"/>
      <c r="H2161" s="131"/>
      <c r="I2161" s="3"/>
    </row>
    <row r="2162" spans="1:9" s="93" customFormat="1" ht="9" customHeight="1" x14ac:dyDescent="0.3">
      <c r="A2162" s="91"/>
      <c r="B2162" s="70"/>
      <c r="C2162" s="70"/>
      <c r="D2162" s="70"/>
      <c r="E2162" s="70"/>
      <c r="F2162" s="70"/>
      <c r="G2162" s="70"/>
      <c r="H2162" s="131"/>
      <c r="I2162" s="3"/>
    </row>
    <row r="2163" spans="1:9" s="93" customFormat="1" ht="9" customHeight="1" x14ac:dyDescent="0.3">
      <c r="A2163" s="91"/>
      <c r="B2163" s="70"/>
      <c r="C2163" s="70"/>
      <c r="D2163" s="70"/>
      <c r="E2163" s="70"/>
      <c r="F2163" s="70"/>
      <c r="G2163" s="70"/>
      <c r="H2163" s="131"/>
      <c r="I2163" s="3"/>
    </row>
    <row r="2164" spans="1:9" s="93" customFormat="1" ht="9" customHeight="1" x14ac:dyDescent="0.3">
      <c r="A2164" s="91"/>
      <c r="B2164" s="70"/>
      <c r="C2164" s="70"/>
      <c r="D2164" s="70"/>
      <c r="E2164" s="70"/>
      <c r="F2164" s="70"/>
      <c r="G2164" s="70"/>
      <c r="H2164" s="131"/>
      <c r="I2164" s="3"/>
    </row>
    <row r="2165" spans="1:9" s="93" customFormat="1" ht="9" customHeight="1" x14ac:dyDescent="0.3">
      <c r="A2165" s="91"/>
      <c r="B2165" s="70"/>
      <c r="C2165" s="70"/>
      <c r="D2165" s="70"/>
      <c r="E2165" s="70"/>
      <c r="F2165" s="70"/>
      <c r="G2165" s="70"/>
      <c r="H2165" s="131"/>
      <c r="I2165" s="3"/>
    </row>
    <row r="2166" spans="1:9" s="93" customFormat="1" ht="9" customHeight="1" x14ac:dyDescent="0.3">
      <c r="A2166" s="91"/>
      <c r="B2166" s="70"/>
      <c r="C2166" s="70"/>
      <c r="D2166" s="70"/>
      <c r="E2166" s="70"/>
      <c r="F2166" s="70"/>
      <c r="G2166" s="70"/>
      <c r="H2166" s="131"/>
      <c r="I2166" s="3"/>
    </row>
    <row r="2167" spans="1:9" s="93" customFormat="1" ht="9" customHeight="1" x14ac:dyDescent="0.3">
      <c r="A2167" s="91"/>
      <c r="B2167" s="70"/>
      <c r="C2167" s="70"/>
      <c r="D2167" s="70"/>
      <c r="E2167" s="70"/>
      <c r="F2167" s="70"/>
      <c r="G2167" s="70"/>
      <c r="H2167" s="131"/>
      <c r="I2167" s="3"/>
    </row>
    <row r="2168" spans="1:9" s="93" customFormat="1" ht="9" customHeight="1" x14ac:dyDescent="0.3">
      <c r="A2168" s="91"/>
      <c r="B2168" s="70"/>
      <c r="C2168" s="70"/>
      <c r="D2168" s="70"/>
      <c r="E2168" s="70"/>
      <c r="F2168" s="70"/>
      <c r="G2168" s="70"/>
      <c r="H2168" s="131"/>
      <c r="I2168" s="3"/>
    </row>
    <row r="2169" spans="1:9" s="93" customFormat="1" ht="9" customHeight="1" x14ac:dyDescent="0.3">
      <c r="A2169" s="91"/>
      <c r="B2169" s="70"/>
      <c r="C2169" s="70"/>
      <c r="D2169" s="70"/>
      <c r="E2169" s="70"/>
      <c r="F2169" s="70"/>
      <c r="G2169" s="70"/>
      <c r="H2169" s="131"/>
      <c r="I2169" s="3"/>
    </row>
    <row r="2170" spans="1:9" s="93" customFormat="1" ht="9" customHeight="1" x14ac:dyDescent="0.3">
      <c r="A2170" s="91"/>
      <c r="B2170" s="70"/>
      <c r="C2170" s="70"/>
      <c r="D2170" s="70"/>
      <c r="E2170" s="70"/>
      <c r="F2170" s="70"/>
      <c r="G2170" s="70"/>
      <c r="H2170" s="131"/>
      <c r="I2170" s="3"/>
    </row>
    <row r="2171" spans="1:9" s="93" customFormat="1" ht="9" customHeight="1" x14ac:dyDescent="0.3">
      <c r="A2171" s="91"/>
      <c r="B2171" s="70"/>
      <c r="C2171" s="70"/>
      <c r="D2171" s="70"/>
      <c r="E2171" s="70"/>
      <c r="F2171" s="70"/>
      <c r="G2171" s="70"/>
      <c r="H2171" s="131"/>
      <c r="I2171" s="3"/>
    </row>
    <row r="2172" spans="1:9" s="93" customFormat="1" ht="9" customHeight="1" x14ac:dyDescent="0.3">
      <c r="A2172" s="91"/>
      <c r="B2172" s="70"/>
      <c r="C2172" s="70"/>
      <c r="D2172" s="70"/>
      <c r="E2172" s="70"/>
      <c r="F2172" s="70"/>
      <c r="G2172" s="70"/>
      <c r="H2172" s="131"/>
      <c r="I2172" s="3"/>
    </row>
    <row r="2173" spans="1:9" s="93" customFormat="1" ht="9" customHeight="1" x14ac:dyDescent="0.3">
      <c r="A2173" s="91"/>
      <c r="B2173" s="70"/>
      <c r="C2173" s="70"/>
      <c r="D2173" s="70"/>
      <c r="E2173" s="70"/>
      <c r="F2173" s="70"/>
      <c r="G2173" s="70"/>
      <c r="H2173" s="131"/>
      <c r="I2173" s="3"/>
    </row>
    <row r="2174" spans="1:9" s="93" customFormat="1" ht="9" customHeight="1" x14ac:dyDescent="0.3">
      <c r="A2174" s="91"/>
      <c r="B2174" s="70"/>
      <c r="C2174" s="70"/>
      <c r="D2174" s="70"/>
      <c r="E2174" s="70"/>
      <c r="F2174" s="70"/>
      <c r="G2174" s="70"/>
      <c r="H2174" s="131"/>
      <c r="I2174" s="3"/>
    </row>
    <row r="2175" spans="1:9" s="93" customFormat="1" ht="9" customHeight="1" x14ac:dyDescent="0.3">
      <c r="A2175" s="91"/>
      <c r="B2175" s="70"/>
      <c r="C2175" s="70"/>
      <c r="D2175" s="70"/>
      <c r="E2175" s="70"/>
      <c r="F2175" s="70"/>
      <c r="G2175" s="70"/>
      <c r="H2175" s="131"/>
      <c r="I2175" s="3"/>
    </row>
    <row r="2176" spans="1:9" s="93" customFormat="1" ht="9" customHeight="1" x14ac:dyDescent="0.3">
      <c r="A2176" s="91"/>
      <c r="B2176" s="70"/>
      <c r="C2176" s="70"/>
      <c r="D2176" s="70"/>
      <c r="E2176" s="70"/>
      <c r="F2176" s="70"/>
      <c r="G2176" s="70"/>
      <c r="H2176" s="131"/>
      <c r="I2176" s="3"/>
    </row>
    <row r="2177" spans="1:9" s="93" customFormat="1" ht="9" customHeight="1" x14ac:dyDescent="0.3">
      <c r="A2177" s="91"/>
      <c r="B2177" s="70"/>
      <c r="C2177" s="70"/>
      <c r="D2177" s="70"/>
      <c r="E2177" s="70"/>
      <c r="F2177" s="70"/>
      <c r="G2177" s="70"/>
      <c r="H2177" s="131"/>
      <c r="I2177" s="3"/>
    </row>
    <row r="2178" spans="1:9" s="93" customFormat="1" ht="9" customHeight="1" x14ac:dyDescent="0.3">
      <c r="A2178" s="91"/>
      <c r="B2178" s="70"/>
      <c r="C2178" s="70"/>
      <c r="D2178" s="70"/>
      <c r="E2178" s="70"/>
      <c r="F2178" s="70"/>
      <c r="G2178" s="70"/>
      <c r="H2178" s="131"/>
      <c r="I2178" s="3"/>
    </row>
    <row r="2179" spans="1:9" s="93" customFormat="1" ht="9" customHeight="1" x14ac:dyDescent="0.3">
      <c r="A2179" s="91"/>
      <c r="B2179" s="70"/>
      <c r="C2179" s="70"/>
      <c r="D2179" s="70"/>
      <c r="E2179" s="70"/>
      <c r="F2179" s="70"/>
      <c r="G2179" s="70"/>
      <c r="H2179" s="131"/>
      <c r="I2179" s="3"/>
    </row>
    <row r="2180" spans="1:9" s="93" customFormat="1" ht="9" customHeight="1" x14ac:dyDescent="0.3">
      <c r="A2180" s="91"/>
      <c r="B2180" s="70"/>
      <c r="C2180" s="70"/>
      <c r="D2180" s="70"/>
      <c r="E2180" s="70"/>
      <c r="F2180" s="70"/>
      <c r="G2180" s="70"/>
      <c r="H2180" s="131"/>
      <c r="I2180" s="3"/>
    </row>
    <row r="2181" spans="1:9" s="93" customFormat="1" ht="9" customHeight="1" x14ac:dyDescent="0.3">
      <c r="A2181" s="91"/>
      <c r="B2181" s="70"/>
      <c r="C2181" s="70"/>
      <c r="D2181" s="70"/>
      <c r="E2181" s="70"/>
      <c r="F2181" s="70"/>
      <c r="G2181" s="70"/>
      <c r="H2181" s="131"/>
      <c r="I2181" s="3"/>
    </row>
    <row r="2182" spans="1:9" s="93" customFormat="1" ht="9" customHeight="1" x14ac:dyDescent="0.3">
      <c r="A2182" s="91"/>
      <c r="B2182" s="70"/>
      <c r="C2182" s="70"/>
      <c r="D2182" s="70"/>
      <c r="E2182" s="70"/>
      <c r="F2182" s="70"/>
      <c r="G2182" s="70"/>
      <c r="H2182" s="131"/>
      <c r="I2182" s="3"/>
    </row>
    <row r="2183" spans="1:9" s="93" customFormat="1" ht="9" customHeight="1" x14ac:dyDescent="0.3">
      <c r="A2183" s="91"/>
      <c r="B2183" s="70"/>
      <c r="C2183" s="70"/>
      <c r="D2183" s="70"/>
      <c r="E2183" s="70"/>
      <c r="F2183" s="70"/>
      <c r="G2183" s="70"/>
      <c r="H2183" s="131"/>
      <c r="I2183" s="3"/>
    </row>
    <row r="2184" spans="1:9" s="93" customFormat="1" ht="9" customHeight="1" x14ac:dyDescent="0.3">
      <c r="A2184" s="91"/>
      <c r="B2184" s="70"/>
      <c r="C2184" s="70"/>
      <c r="D2184" s="70"/>
      <c r="E2184" s="70"/>
      <c r="F2184" s="70"/>
      <c r="G2184" s="70"/>
      <c r="H2184" s="131"/>
      <c r="I2184" s="3"/>
    </row>
    <row r="2185" spans="1:9" s="93" customFormat="1" ht="9" customHeight="1" x14ac:dyDescent="0.3">
      <c r="A2185" s="91"/>
      <c r="B2185" s="70"/>
      <c r="C2185" s="70"/>
      <c r="D2185" s="70"/>
      <c r="E2185" s="70"/>
      <c r="F2185" s="70"/>
      <c r="G2185" s="70"/>
      <c r="H2185" s="131"/>
      <c r="I2185" s="3"/>
    </row>
    <row r="2186" spans="1:9" s="93" customFormat="1" ht="9" customHeight="1" x14ac:dyDescent="0.3">
      <c r="A2186" s="91"/>
      <c r="B2186" s="70"/>
      <c r="C2186" s="70"/>
      <c r="D2186" s="70"/>
      <c r="E2186" s="70"/>
      <c r="F2186" s="70"/>
      <c r="G2186" s="70"/>
      <c r="H2186" s="131"/>
      <c r="I2186" s="3"/>
    </row>
    <row r="2187" spans="1:9" s="93" customFormat="1" ht="9" customHeight="1" x14ac:dyDescent="0.3">
      <c r="A2187" s="91"/>
      <c r="B2187" s="70"/>
      <c r="C2187" s="70"/>
      <c r="D2187" s="70"/>
      <c r="E2187" s="70"/>
      <c r="F2187" s="70"/>
      <c r="G2187" s="70"/>
      <c r="H2187" s="131"/>
      <c r="I2187" s="3"/>
    </row>
    <row r="2188" spans="1:9" s="93" customFormat="1" ht="9" customHeight="1" x14ac:dyDescent="0.3">
      <c r="A2188" s="91"/>
      <c r="B2188" s="70"/>
      <c r="C2188" s="70"/>
      <c r="D2188" s="70"/>
      <c r="E2188" s="70"/>
      <c r="F2188" s="70"/>
      <c r="G2188" s="70"/>
      <c r="H2188" s="131"/>
      <c r="I2188" s="3"/>
    </row>
    <row r="2189" spans="1:9" s="93" customFormat="1" ht="9" customHeight="1" x14ac:dyDescent="0.3">
      <c r="A2189" s="91"/>
      <c r="B2189" s="70"/>
      <c r="C2189" s="70"/>
      <c r="D2189" s="70"/>
      <c r="E2189" s="70"/>
      <c r="F2189" s="70"/>
      <c r="G2189" s="70"/>
      <c r="H2189" s="131"/>
      <c r="I2189" s="3"/>
    </row>
    <row r="2190" spans="1:9" s="93" customFormat="1" ht="9" customHeight="1" x14ac:dyDescent="0.3">
      <c r="A2190" s="91"/>
      <c r="B2190" s="70"/>
      <c r="C2190" s="70"/>
      <c r="D2190" s="70"/>
      <c r="E2190" s="70"/>
      <c r="F2190" s="70"/>
      <c r="G2190" s="70"/>
      <c r="H2190" s="131"/>
      <c r="I2190" s="3"/>
    </row>
    <row r="2191" spans="1:9" s="93" customFormat="1" ht="9" customHeight="1" x14ac:dyDescent="0.3">
      <c r="A2191" s="91"/>
      <c r="B2191" s="70"/>
      <c r="C2191" s="70"/>
      <c r="D2191" s="70"/>
      <c r="E2191" s="70"/>
      <c r="F2191" s="70"/>
      <c r="G2191" s="70"/>
      <c r="H2191" s="131"/>
      <c r="I2191" s="3"/>
    </row>
    <row r="2192" spans="1:9" s="93" customFormat="1" ht="9" customHeight="1" x14ac:dyDescent="0.3">
      <c r="A2192" s="91"/>
      <c r="B2192" s="70"/>
      <c r="C2192" s="70"/>
      <c r="D2192" s="70"/>
      <c r="E2192" s="70"/>
      <c r="F2192" s="70"/>
      <c r="G2192" s="70"/>
      <c r="H2192" s="131"/>
      <c r="I2192" s="3"/>
    </row>
    <row r="2193" spans="1:9" s="93" customFormat="1" ht="9" customHeight="1" x14ac:dyDescent="0.3">
      <c r="A2193" s="91"/>
      <c r="B2193" s="70"/>
      <c r="C2193" s="70"/>
      <c r="D2193" s="70"/>
      <c r="E2193" s="70"/>
      <c r="F2193" s="70"/>
      <c r="G2193" s="70"/>
      <c r="H2193" s="131"/>
      <c r="I2193" s="3"/>
    </row>
    <row r="2194" spans="1:9" s="93" customFormat="1" ht="9" customHeight="1" x14ac:dyDescent="0.3">
      <c r="A2194" s="91"/>
      <c r="B2194" s="70"/>
      <c r="C2194" s="70"/>
      <c r="D2194" s="70"/>
      <c r="E2194" s="70"/>
      <c r="F2194" s="70"/>
      <c r="G2194" s="70"/>
      <c r="H2194" s="131"/>
      <c r="I2194" s="3"/>
    </row>
    <row r="2195" spans="1:9" s="93" customFormat="1" ht="9" customHeight="1" x14ac:dyDescent="0.3">
      <c r="A2195" s="91"/>
      <c r="B2195" s="70"/>
      <c r="C2195" s="70"/>
      <c r="D2195" s="70"/>
      <c r="E2195" s="70"/>
      <c r="F2195" s="70"/>
      <c r="G2195" s="70"/>
      <c r="H2195" s="131"/>
      <c r="I2195" s="3"/>
    </row>
    <row r="2196" spans="1:9" s="93" customFormat="1" ht="9" customHeight="1" x14ac:dyDescent="0.3">
      <c r="A2196" s="91"/>
      <c r="B2196" s="70"/>
      <c r="C2196" s="70"/>
      <c r="D2196" s="70"/>
      <c r="E2196" s="70"/>
      <c r="F2196" s="70"/>
      <c r="G2196" s="70"/>
      <c r="H2196" s="131"/>
      <c r="I2196" s="3"/>
    </row>
    <row r="2197" spans="1:9" s="93" customFormat="1" ht="9" customHeight="1" x14ac:dyDescent="0.3">
      <c r="A2197" s="91"/>
      <c r="B2197" s="70"/>
      <c r="C2197" s="70"/>
      <c r="D2197" s="70"/>
      <c r="E2197" s="70"/>
      <c r="F2197" s="70"/>
      <c r="G2197" s="70"/>
      <c r="H2197" s="131"/>
      <c r="I2197" s="3"/>
    </row>
    <row r="2198" spans="1:9" s="93" customFormat="1" ht="9" customHeight="1" x14ac:dyDescent="0.3">
      <c r="A2198" s="91"/>
      <c r="B2198" s="70"/>
      <c r="C2198" s="70"/>
      <c r="D2198" s="70"/>
      <c r="E2198" s="70"/>
      <c r="F2198" s="70"/>
      <c r="G2198" s="70"/>
      <c r="H2198" s="131"/>
      <c r="I2198" s="3"/>
    </row>
    <row r="2199" spans="1:9" s="93" customFormat="1" ht="9" customHeight="1" x14ac:dyDescent="0.3">
      <c r="A2199" s="91"/>
      <c r="B2199" s="70"/>
      <c r="C2199" s="70"/>
      <c r="D2199" s="70"/>
      <c r="E2199" s="70"/>
      <c r="F2199" s="70"/>
      <c r="G2199" s="70"/>
      <c r="H2199" s="131"/>
      <c r="I2199" s="3"/>
    </row>
    <row r="2200" spans="1:9" s="93" customFormat="1" ht="9" customHeight="1" x14ac:dyDescent="0.3">
      <c r="A2200" s="91"/>
      <c r="B2200" s="70"/>
      <c r="C2200" s="70"/>
      <c r="D2200" s="70"/>
      <c r="E2200" s="70"/>
      <c r="F2200" s="70"/>
      <c r="G2200" s="70"/>
      <c r="H2200" s="131"/>
      <c r="I2200" s="3"/>
    </row>
    <row r="2201" spans="1:9" s="93" customFormat="1" ht="9" customHeight="1" x14ac:dyDescent="0.3">
      <c r="A2201" s="91"/>
      <c r="B2201" s="70"/>
      <c r="C2201" s="70"/>
      <c r="D2201" s="70"/>
      <c r="E2201" s="70"/>
      <c r="F2201" s="70"/>
      <c r="G2201" s="70"/>
      <c r="H2201" s="131"/>
      <c r="I2201" s="3"/>
    </row>
    <row r="2202" spans="1:9" s="93" customFormat="1" ht="9" customHeight="1" x14ac:dyDescent="0.3">
      <c r="A2202" s="91"/>
      <c r="B2202" s="70"/>
      <c r="C2202" s="70"/>
      <c r="D2202" s="70"/>
      <c r="E2202" s="70"/>
      <c r="F2202" s="70"/>
      <c r="G2202" s="70"/>
      <c r="H2202" s="131"/>
      <c r="I2202" s="3"/>
    </row>
    <row r="2203" spans="1:9" s="93" customFormat="1" ht="9" customHeight="1" x14ac:dyDescent="0.3">
      <c r="A2203" s="91"/>
      <c r="B2203" s="70"/>
      <c r="C2203" s="70"/>
      <c r="D2203" s="70"/>
      <c r="E2203" s="70"/>
      <c r="F2203" s="70"/>
      <c r="G2203" s="70"/>
      <c r="H2203" s="131"/>
      <c r="I2203" s="3"/>
    </row>
    <row r="2204" spans="1:9" s="93" customFormat="1" ht="9" customHeight="1" x14ac:dyDescent="0.3">
      <c r="A2204" s="91"/>
      <c r="B2204" s="70"/>
      <c r="C2204" s="70"/>
      <c r="D2204" s="70"/>
      <c r="E2204" s="70"/>
      <c r="F2204" s="70"/>
      <c r="G2204" s="70"/>
      <c r="H2204" s="131"/>
      <c r="I2204" s="3"/>
    </row>
    <row r="2205" spans="1:9" s="93" customFormat="1" ht="9" customHeight="1" x14ac:dyDescent="0.3">
      <c r="A2205" s="91"/>
      <c r="B2205" s="70"/>
      <c r="C2205" s="70"/>
      <c r="D2205" s="70"/>
      <c r="E2205" s="70"/>
      <c r="F2205" s="70"/>
      <c r="G2205" s="70"/>
      <c r="H2205" s="131"/>
      <c r="I2205" s="3"/>
    </row>
    <row r="2206" spans="1:9" s="93" customFormat="1" ht="9" customHeight="1" x14ac:dyDescent="0.3">
      <c r="A2206" s="91"/>
      <c r="B2206" s="70"/>
      <c r="C2206" s="70"/>
      <c r="D2206" s="70"/>
      <c r="E2206" s="70"/>
      <c r="F2206" s="70"/>
      <c r="G2206" s="70"/>
      <c r="H2206" s="131"/>
      <c r="I2206" s="3"/>
    </row>
    <row r="2207" spans="1:9" s="93" customFormat="1" ht="9" customHeight="1" x14ac:dyDescent="0.3">
      <c r="A2207" s="91"/>
      <c r="B2207" s="70"/>
      <c r="C2207" s="70"/>
      <c r="D2207" s="70"/>
      <c r="E2207" s="70"/>
      <c r="F2207" s="70"/>
      <c r="G2207" s="70"/>
      <c r="H2207" s="131"/>
      <c r="I2207" s="3"/>
    </row>
    <row r="2208" spans="1:9" s="93" customFormat="1" ht="9" customHeight="1" x14ac:dyDescent="0.3">
      <c r="A2208" s="91"/>
      <c r="B2208" s="70"/>
      <c r="C2208" s="70"/>
      <c r="D2208" s="70"/>
      <c r="E2208" s="70"/>
      <c r="F2208" s="70"/>
      <c r="G2208" s="70"/>
      <c r="H2208" s="131"/>
      <c r="I2208" s="3"/>
    </row>
    <row r="2209" spans="1:9" s="93" customFormat="1" ht="9" customHeight="1" x14ac:dyDescent="0.3">
      <c r="A2209" s="91"/>
      <c r="B2209" s="70"/>
      <c r="C2209" s="70"/>
      <c r="D2209" s="70"/>
      <c r="E2209" s="70"/>
      <c r="F2209" s="70"/>
      <c r="G2209" s="70"/>
      <c r="H2209" s="131"/>
      <c r="I2209" s="3"/>
    </row>
    <row r="2210" spans="1:9" s="93" customFormat="1" ht="9" customHeight="1" x14ac:dyDescent="0.3">
      <c r="A2210" s="91"/>
      <c r="B2210" s="70"/>
      <c r="C2210" s="70"/>
      <c r="D2210" s="70"/>
      <c r="E2210" s="70"/>
      <c r="F2210" s="70"/>
      <c r="G2210" s="70"/>
      <c r="H2210" s="131"/>
      <c r="I2210" s="3"/>
    </row>
    <row r="2211" spans="1:9" s="93" customFormat="1" ht="9" customHeight="1" x14ac:dyDescent="0.3">
      <c r="A2211" s="91"/>
      <c r="B2211" s="70"/>
      <c r="C2211" s="70"/>
      <c r="D2211" s="70"/>
      <c r="E2211" s="70"/>
      <c r="F2211" s="70"/>
      <c r="G2211" s="70"/>
      <c r="H2211" s="131"/>
      <c r="I2211" s="3"/>
    </row>
    <row r="2212" spans="1:9" s="93" customFormat="1" ht="9" customHeight="1" x14ac:dyDescent="0.3">
      <c r="A2212" s="91"/>
      <c r="B2212" s="70"/>
      <c r="C2212" s="70"/>
      <c r="D2212" s="70"/>
      <c r="E2212" s="70"/>
      <c r="F2212" s="70"/>
      <c r="G2212" s="70"/>
      <c r="H2212" s="131"/>
      <c r="I2212" s="3"/>
    </row>
    <row r="2213" spans="1:9" s="93" customFormat="1" ht="9" customHeight="1" x14ac:dyDescent="0.3">
      <c r="A2213" s="91"/>
      <c r="B2213" s="70"/>
      <c r="C2213" s="70"/>
      <c r="D2213" s="70"/>
      <c r="E2213" s="70"/>
      <c r="F2213" s="70"/>
      <c r="G2213" s="70"/>
      <c r="H2213" s="131"/>
      <c r="I2213" s="3"/>
    </row>
    <row r="2214" spans="1:9" s="93" customFormat="1" ht="9" customHeight="1" x14ac:dyDescent="0.3">
      <c r="A2214" s="91"/>
      <c r="B2214" s="70"/>
      <c r="C2214" s="70"/>
      <c r="D2214" s="70"/>
      <c r="E2214" s="70"/>
      <c r="F2214" s="70"/>
      <c r="G2214" s="70"/>
      <c r="H2214" s="131"/>
      <c r="I2214" s="3"/>
    </row>
    <row r="2215" spans="1:9" s="93" customFormat="1" ht="9" customHeight="1" x14ac:dyDescent="0.3">
      <c r="A2215" s="91"/>
      <c r="B2215" s="70"/>
      <c r="C2215" s="70"/>
      <c r="D2215" s="70"/>
      <c r="E2215" s="70"/>
      <c r="F2215" s="70"/>
      <c r="G2215" s="70"/>
      <c r="H2215" s="131"/>
      <c r="I2215" s="3"/>
    </row>
    <row r="2216" spans="1:9" s="93" customFormat="1" ht="9" customHeight="1" x14ac:dyDescent="0.3">
      <c r="A2216" s="91"/>
      <c r="B2216" s="70"/>
      <c r="C2216" s="70"/>
      <c r="D2216" s="70"/>
      <c r="E2216" s="70"/>
      <c r="F2216" s="70"/>
      <c r="G2216" s="70"/>
      <c r="H2216" s="131"/>
      <c r="I2216" s="3"/>
    </row>
    <row r="2217" spans="1:9" s="93" customFormat="1" ht="9" customHeight="1" x14ac:dyDescent="0.3">
      <c r="A2217" s="91"/>
      <c r="B2217" s="70"/>
      <c r="C2217" s="70"/>
      <c r="D2217" s="70"/>
      <c r="E2217" s="70"/>
      <c r="F2217" s="70"/>
      <c r="G2217" s="70"/>
      <c r="H2217" s="131"/>
      <c r="I2217" s="3"/>
    </row>
    <row r="2218" spans="1:9" s="93" customFormat="1" ht="9" customHeight="1" x14ac:dyDescent="0.3">
      <c r="A2218" s="91"/>
      <c r="B2218" s="70"/>
      <c r="C2218" s="70"/>
      <c r="D2218" s="70"/>
      <c r="E2218" s="70"/>
      <c r="F2218" s="70"/>
      <c r="G2218" s="70"/>
      <c r="H2218" s="131"/>
      <c r="I2218" s="3"/>
    </row>
    <row r="2219" spans="1:9" s="93" customFormat="1" ht="9" customHeight="1" x14ac:dyDescent="0.3">
      <c r="A2219" s="91"/>
      <c r="B2219" s="70"/>
      <c r="C2219" s="70"/>
      <c r="D2219" s="70"/>
      <c r="E2219" s="70"/>
      <c r="F2219" s="70"/>
      <c r="G2219" s="70"/>
      <c r="H2219" s="131"/>
      <c r="I2219" s="3"/>
    </row>
    <row r="2220" spans="1:9" s="93" customFormat="1" ht="9" customHeight="1" x14ac:dyDescent="0.3">
      <c r="A2220" s="91"/>
      <c r="B2220" s="70"/>
      <c r="C2220" s="70"/>
      <c r="D2220" s="70"/>
      <c r="E2220" s="70"/>
      <c r="F2220" s="70"/>
      <c r="G2220" s="70"/>
      <c r="H2220" s="131"/>
      <c r="I2220" s="3"/>
    </row>
    <row r="2221" spans="1:9" s="93" customFormat="1" ht="9" customHeight="1" x14ac:dyDescent="0.3">
      <c r="A2221" s="91"/>
      <c r="B2221" s="70"/>
      <c r="C2221" s="70"/>
      <c r="D2221" s="70"/>
      <c r="E2221" s="70"/>
      <c r="F2221" s="70"/>
      <c r="G2221" s="70"/>
      <c r="H2221" s="131"/>
      <c r="I2221" s="3"/>
    </row>
    <row r="2222" spans="1:9" s="93" customFormat="1" ht="9" customHeight="1" x14ac:dyDescent="0.3">
      <c r="A2222" s="91"/>
      <c r="B2222" s="70"/>
      <c r="C2222" s="70"/>
      <c r="D2222" s="70"/>
      <c r="E2222" s="70"/>
      <c r="F2222" s="70"/>
      <c r="G2222" s="70"/>
      <c r="H2222" s="131"/>
      <c r="I2222" s="3"/>
    </row>
    <row r="2223" spans="1:9" s="93" customFormat="1" ht="9" customHeight="1" x14ac:dyDescent="0.3">
      <c r="A2223" s="91"/>
      <c r="B2223" s="70"/>
      <c r="C2223" s="70"/>
      <c r="D2223" s="70"/>
      <c r="E2223" s="70"/>
      <c r="F2223" s="70"/>
      <c r="G2223" s="70"/>
      <c r="H2223" s="131"/>
      <c r="I2223" s="3"/>
    </row>
    <row r="2224" spans="1:9" s="93" customFormat="1" ht="9" customHeight="1" x14ac:dyDescent="0.3">
      <c r="A2224" s="91"/>
      <c r="B2224" s="70"/>
      <c r="C2224" s="70"/>
      <c r="D2224" s="70"/>
      <c r="E2224" s="70"/>
      <c r="F2224" s="70"/>
      <c r="G2224" s="70"/>
      <c r="H2224" s="131"/>
      <c r="I2224" s="3"/>
    </row>
    <row r="2225" spans="1:9" s="93" customFormat="1" ht="9" customHeight="1" x14ac:dyDescent="0.3">
      <c r="A2225" s="91"/>
      <c r="B2225" s="70"/>
      <c r="C2225" s="70"/>
      <c r="D2225" s="70"/>
      <c r="E2225" s="70"/>
      <c r="F2225" s="70"/>
      <c r="G2225" s="70"/>
      <c r="H2225" s="131"/>
      <c r="I2225" s="3"/>
    </row>
    <row r="2226" spans="1:9" s="93" customFormat="1" ht="9" customHeight="1" x14ac:dyDescent="0.3">
      <c r="A2226" s="91"/>
      <c r="B2226" s="70"/>
      <c r="C2226" s="70"/>
      <c r="D2226" s="70"/>
      <c r="E2226" s="70"/>
      <c r="F2226" s="70"/>
      <c r="G2226" s="70"/>
      <c r="H2226" s="131"/>
      <c r="I2226" s="3"/>
    </row>
    <row r="2227" spans="1:9" s="93" customFormat="1" ht="9" customHeight="1" x14ac:dyDescent="0.3">
      <c r="A2227" s="91"/>
      <c r="B2227" s="70"/>
      <c r="C2227" s="70"/>
      <c r="D2227" s="70"/>
      <c r="E2227" s="70"/>
      <c r="F2227" s="70"/>
      <c r="G2227" s="70"/>
      <c r="H2227" s="131"/>
      <c r="I2227" s="3"/>
    </row>
    <row r="2228" spans="1:9" s="93" customFormat="1" ht="9" customHeight="1" x14ac:dyDescent="0.3">
      <c r="A2228" s="91"/>
      <c r="B2228" s="70"/>
      <c r="C2228" s="70"/>
      <c r="D2228" s="70"/>
      <c r="E2228" s="70"/>
      <c r="F2228" s="70"/>
      <c r="G2228" s="70"/>
      <c r="H2228" s="131"/>
      <c r="I2228" s="3"/>
    </row>
    <row r="2229" spans="1:9" s="93" customFormat="1" ht="9" customHeight="1" x14ac:dyDescent="0.3">
      <c r="A2229" s="91"/>
      <c r="B2229" s="70"/>
      <c r="C2229" s="70"/>
      <c r="D2229" s="70"/>
      <c r="E2229" s="70"/>
      <c r="F2229" s="70"/>
      <c r="G2229" s="70"/>
      <c r="H2229" s="131"/>
      <c r="I2229" s="3"/>
    </row>
    <row r="2230" spans="1:9" s="93" customFormat="1" ht="9" customHeight="1" x14ac:dyDescent="0.3">
      <c r="A2230" s="91"/>
      <c r="B2230" s="70"/>
      <c r="C2230" s="70"/>
      <c r="D2230" s="70"/>
      <c r="E2230" s="70"/>
      <c r="F2230" s="70"/>
      <c r="G2230" s="70"/>
      <c r="H2230" s="131"/>
      <c r="I2230" s="3"/>
    </row>
    <row r="2231" spans="1:9" s="93" customFormat="1" ht="9" customHeight="1" x14ac:dyDescent="0.3">
      <c r="A2231" s="91"/>
      <c r="B2231" s="70"/>
      <c r="C2231" s="70"/>
      <c r="D2231" s="70"/>
      <c r="E2231" s="70"/>
      <c r="F2231" s="70"/>
      <c r="G2231" s="70"/>
      <c r="H2231" s="131"/>
      <c r="I2231" s="3"/>
    </row>
    <row r="2232" spans="1:9" s="93" customFormat="1" ht="9" customHeight="1" x14ac:dyDescent="0.3">
      <c r="A2232" s="91"/>
      <c r="B2232" s="70"/>
      <c r="C2232" s="70"/>
      <c r="D2232" s="70"/>
      <c r="E2232" s="70"/>
      <c r="F2232" s="70"/>
      <c r="G2232" s="70"/>
      <c r="H2232" s="131"/>
      <c r="I2232" s="3"/>
    </row>
    <row r="2233" spans="1:9" s="93" customFormat="1" ht="9" customHeight="1" x14ac:dyDescent="0.3">
      <c r="A2233" s="91"/>
      <c r="B2233" s="70"/>
      <c r="C2233" s="70"/>
      <c r="D2233" s="70"/>
      <c r="E2233" s="70"/>
      <c r="F2233" s="70"/>
      <c r="G2233" s="70"/>
      <c r="H2233" s="131"/>
      <c r="I2233" s="3"/>
    </row>
    <row r="2234" spans="1:9" s="93" customFormat="1" ht="9" customHeight="1" x14ac:dyDescent="0.3">
      <c r="A2234" s="91"/>
      <c r="B2234" s="70"/>
      <c r="C2234" s="70"/>
      <c r="D2234" s="70"/>
      <c r="E2234" s="70"/>
      <c r="F2234" s="70"/>
      <c r="G2234" s="70"/>
      <c r="H2234" s="131"/>
      <c r="I2234" s="3"/>
    </row>
    <row r="2235" spans="1:9" s="93" customFormat="1" ht="9" customHeight="1" x14ac:dyDescent="0.3">
      <c r="A2235" s="91"/>
      <c r="B2235" s="70"/>
      <c r="C2235" s="70"/>
      <c r="D2235" s="70"/>
      <c r="E2235" s="70"/>
      <c r="F2235" s="70"/>
      <c r="G2235" s="70"/>
      <c r="H2235" s="131"/>
      <c r="I2235" s="3"/>
    </row>
    <row r="2236" spans="1:9" s="93" customFormat="1" ht="9" customHeight="1" x14ac:dyDescent="0.3">
      <c r="A2236" s="91"/>
      <c r="B2236" s="70"/>
      <c r="C2236" s="70"/>
      <c r="D2236" s="70"/>
      <c r="E2236" s="70"/>
      <c r="F2236" s="70"/>
      <c r="G2236" s="70"/>
      <c r="H2236" s="131"/>
      <c r="I2236" s="3"/>
    </row>
    <row r="2237" spans="1:9" s="93" customFormat="1" ht="9" customHeight="1" x14ac:dyDescent="0.3">
      <c r="A2237" s="91"/>
      <c r="B2237" s="70"/>
      <c r="C2237" s="70"/>
      <c r="D2237" s="70"/>
      <c r="E2237" s="70"/>
      <c r="F2237" s="70"/>
      <c r="G2237" s="70"/>
      <c r="H2237" s="131"/>
      <c r="I2237" s="3"/>
    </row>
    <row r="2238" spans="1:9" s="93" customFormat="1" ht="9" customHeight="1" x14ac:dyDescent="0.3">
      <c r="A2238" s="91"/>
      <c r="B2238" s="70"/>
      <c r="C2238" s="70"/>
      <c r="D2238" s="70"/>
      <c r="E2238" s="70"/>
      <c r="F2238" s="70"/>
      <c r="G2238" s="70"/>
      <c r="H2238" s="131"/>
      <c r="I2238" s="3"/>
    </row>
    <row r="2239" spans="1:9" s="93" customFormat="1" ht="9" customHeight="1" x14ac:dyDescent="0.3">
      <c r="A2239" s="91"/>
      <c r="B2239" s="70"/>
      <c r="C2239" s="70"/>
      <c r="D2239" s="70"/>
      <c r="E2239" s="70"/>
      <c r="F2239" s="70"/>
      <c r="G2239" s="70"/>
      <c r="H2239" s="131"/>
      <c r="I2239" s="3"/>
    </row>
    <row r="2240" spans="1:9" s="93" customFormat="1" ht="9" customHeight="1" x14ac:dyDescent="0.3">
      <c r="A2240" s="91"/>
      <c r="B2240" s="70"/>
      <c r="C2240" s="70"/>
      <c r="D2240" s="70"/>
      <c r="E2240" s="70"/>
      <c r="F2240" s="70"/>
      <c r="G2240" s="70"/>
      <c r="H2240" s="131"/>
      <c r="I2240" s="3"/>
    </row>
    <row r="2241" spans="1:9" s="93" customFormat="1" ht="9" customHeight="1" x14ac:dyDescent="0.3">
      <c r="A2241" s="91"/>
      <c r="B2241" s="70"/>
      <c r="C2241" s="70"/>
      <c r="D2241" s="70"/>
      <c r="E2241" s="70"/>
      <c r="F2241" s="70"/>
      <c r="G2241" s="70"/>
      <c r="H2241" s="131"/>
      <c r="I2241" s="3"/>
    </row>
    <row r="2242" spans="1:9" s="93" customFormat="1" ht="9" customHeight="1" x14ac:dyDescent="0.3">
      <c r="A2242" s="91"/>
      <c r="B2242" s="70"/>
      <c r="C2242" s="70"/>
      <c r="D2242" s="70"/>
      <c r="E2242" s="70"/>
      <c r="F2242" s="70"/>
      <c r="G2242" s="70"/>
      <c r="H2242" s="131"/>
      <c r="I2242" s="3"/>
    </row>
    <row r="2243" spans="1:9" s="93" customFormat="1" ht="9" customHeight="1" x14ac:dyDescent="0.3">
      <c r="A2243" s="91"/>
      <c r="B2243" s="70"/>
      <c r="C2243" s="70"/>
      <c r="D2243" s="70"/>
      <c r="E2243" s="70"/>
      <c r="F2243" s="70"/>
      <c r="G2243" s="70"/>
      <c r="H2243" s="131"/>
      <c r="I2243" s="3"/>
    </row>
    <row r="2244" spans="1:9" s="93" customFormat="1" ht="9" customHeight="1" x14ac:dyDescent="0.3">
      <c r="A2244" s="91"/>
      <c r="B2244" s="70"/>
      <c r="C2244" s="70"/>
      <c r="D2244" s="70"/>
      <c r="E2244" s="70"/>
      <c r="F2244" s="70"/>
      <c r="G2244" s="70"/>
      <c r="H2244" s="131"/>
      <c r="I2244" s="3"/>
    </row>
    <row r="2245" spans="1:9" s="93" customFormat="1" ht="9" customHeight="1" x14ac:dyDescent="0.3">
      <c r="A2245" s="91"/>
      <c r="B2245" s="70"/>
      <c r="C2245" s="70"/>
      <c r="D2245" s="70"/>
      <c r="E2245" s="70"/>
      <c r="F2245" s="70"/>
      <c r="G2245" s="70"/>
      <c r="H2245" s="131"/>
      <c r="I2245" s="3"/>
    </row>
    <row r="2246" spans="1:9" s="93" customFormat="1" ht="9" customHeight="1" x14ac:dyDescent="0.3">
      <c r="A2246" s="91"/>
      <c r="B2246" s="70"/>
      <c r="C2246" s="70"/>
      <c r="D2246" s="70"/>
      <c r="E2246" s="70"/>
      <c r="F2246" s="70"/>
      <c r="G2246" s="70"/>
      <c r="H2246" s="131"/>
      <c r="I2246" s="3"/>
    </row>
    <row r="2247" spans="1:9" s="93" customFormat="1" ht="9" customHeight="1" x14ac:dyDescent="0.3">
      <c r="A2247" s="91"/>
      <c r="B2247" s="70"/>
      <c r="C2247" s="70"/>
      <c r="D2247" s="70"/>
      <c r="E2247" s="70"/>
      <c r="F2247" s="70"/>
      <c r="G2247" s="70"/>
      <c r="H2247" s="131"/>
      <c r="I2247" s="3"/>
    </row>
    <row r="2248" spans="1:9" s="93" customFormat="1" ht="9" customHeight="1" x14ac:dyDescent="0.3">
      <c r="A2248" s="91"/>
      <c r="B2248" s="70"/>
      <c r="C2248" s="70"/>
      <c r="D2248" s="70"/>
      <c r="E2248" s="70"/>
      <c r="F2248" s="70"/>
      <c r="G2248" s="70"/>
      <c r="H2248" s="131"/>
      <c r="I2248" s="3"/>
    </row>
    <row r="2249" spans="1:9" s="93" customFormat="1" ht="9" customHeight="1" x14ac:dyDescent="0.3">
      <c r="A2249" s="91"/>
      <c r="B2249" s="70"/>
      <c r="C2249" s="70"/>
      <c r="D2249" s="70"/>
      <c r="E2249" s="70"/>
      <c r="F2249" s="70"/>
      <c r="G2249" s="70"/>
      <c r="H2249" s="131"/>
      <c r="I2249" s="3"/>
    </row>
    <row r="2250" spans="1:9" s="93" customFormat="1" ht="9" customHeight="1" x14ac:dyDescent="0.3">
      <c r="A2250" s="91"/>
      <c r="B2250" s="70"/>
      <c r="C2250" s="70"/>
      <c r="D2250" s="70"/>
      <c r="E2250" s="70"/>
      <c r="F2250" s="70"/>
      <c r="G2250" s="70"/>
      <c r="H2250" s="131"/>
      <c r="I2250" s="3"/>
    </row>
    <row r="2251" spans="1:9" s="93" customFormat="1" ht="9" customHeight="1" x14ac:dyDescent="0.3">
      <c r="A2251" s="91"/>
      <c r="B2251" s="70"/>
      <c r="C2251" s="70"/>
      <c r="D2251" s="70"/>
      <c r="E2251" s="70"/>
      <c r="F2251" s="70"/>
      <c r="G2251" s="70"/>
      <c r="H2251" s="131"/>
      <c r="I2251" s="3"/>
    </row>
    <row r="2252" spans="1:9" s="93" customFormat="1" ht="9" customHeight="1" x14ac:dyDescent="0.3">
      <c r="A2252" s="91"/>
      <c r="B2252" s="70"/>
      <c r="C2252" s="70"/>
      <c r="D2252" s="70"/>
      <c r="E2252" s="70"/>
      <c r="F2252" s="70"/>
      <c r="G2252" s="70"/>
      <c r="H2252" s="131"/>
      <c r="I2252" s="3"/>
    </row>
    <row r="2253" spans="1:9" s="93" customFormat="1" ht="9" customHeight="1" x14ac:dyDescent="0.3">
      <c r="A2253" s="91"/>
      <c r="B2253" s="70"/>
      <c r="C2253" s="70"/>
      <c r="D2253" s="70"/>
      <c r="E2253" s="70"/>
      <c r="F2253" s="70"/>
      <c r="G2253" s="70"/>
      <c r="H2253" s="131"/>
      <c r="I2253" s="3"/>
    </row>
    <row r="2254" spans="1:9" s="93" customFormat="1" ht="9" customHeight="1" x14ac:dyDescent="0.3">
      <c r="A2254" s="91"/>
      <c r="B2254" s="70"/>
      <c r="C2254" s="70"/>
      <c r="D2254" s="70"/>
      <c r="E2254" s="70"/>
      <c r="F2254" s="70"/>
      <c r="G2254" s="70"/>
      <c r="H2254" s="131"/>
      <c r="I2254" s="3"/>
    </row>
    <row r="2255" spans="1:9" s="93" customFormat="1" ht="9" customHeight="1" x14ac:dyDescent="0.3">
      <c r="A2255" s="91"/>
      <c r="B2255" s="70"/>
      <c r="C2255" s="70"/>
      <c r="D2255" s="70"/>
      <c r="E2255" s="70"/>
      <c r="F2255" s="70"/>
      <c r="G2255" s="70"/>
      <c r="H2255" s="131"/>
      <c r="I2255" s="3"/>
    </row>
    <row r="2256" spans="1:9" s="93" customFormat="1" ht="9" customHeight="1" x14ac:dyDescent="0.3">
      <c r="A2256" s="91"/>
      <c r="B2256" s="70"/>
      <c r="C2256" s="70"/>
      <c r="D2256" s="70"/>
      <c r="E2256" s="70"/>
      <c r="F2256" s="70"/>
      <c r="G2256" s="70"/>
      <c r="H2256" s="131"/>
      <c r="I2256" s="3"/>
    </row>
    <row r="2257" spans="1:9" s="93" customFormat="1" ht="9" customHeight="1" x14ac:dyDescent="0.3">
      <c r="A2257" s="91"/>
      <c r="B2257" s="70"/>
      <c r="C2257" s="70"/>
      <c r="D2257" s="70"/>
      <c r="E2257" s="70"/>
      <c r="F2257" s="70"/>
      <c r="G2257" s="70"/>
      <c r="H2257" s="131"/>
      <c r="I2257" s="3"/>
    </row>
    <row r="2258" spans="1:9" s="93" customFormat="1" ht="9" customHeight="1" x14ac:dyDescent="0.3">
      <c r="A2258" s="91"/>
      <c r="B2258" s="70"/>
      <c r="C2258" s="70"/>
      <c r="D2258" s="70"/>
      <c r="E2258" s="70"/>
      <c r="F2258" s="70"/>
      <c r="G2258" s="70"/>
      <c r="H2258" s="131"/>
      <c r="I2258" s="3"/>
    </row>
    <row r="2259" spans="1:9" s="93" customFormat="1" ht="9" customHeight="1" x14ac:dyDescent="0.3">
      <c r="A2259" s="91"/>
      <c r="B2259" s="70"/>
      <c r="C2259" s="70"/>
      <c r="D2259" s="70"/>
      <c r="E2259" s="70"/>
      <c r="F2259" s="70"/>
      <c r="G2259" s="70"/>
      <c r="H2259" s="131"/>
      <c r="I2259" s="3"/>
    </row>
    <row r="2260" spans="1:9" s="93" customFormat="1" ht="9" customHeight="1" x14ac:dyDescent="0.3">
      <c r="A2260" s="91"/>
      <c r="B2260" s="70"/>
      <c r="C2260" s="70"/>
      <c r="D2260" s="70"/>
      <c r="E2260" s="70"/>
      <c r="F2260" s="70"/>
      <c r="G2260" s="70"/>
      <c r="H2260" s="131"/>
      <c r="I2260" s="3"/>
    </row>
    <row r="2261" spans="1:9" s="93" customFormat="1" ht="9" customHeight="1" x14ac:dyDescent="0.3">
      <c r="A2261" s="91"/>
      <c r="B2261" s="70"/>
      <c r="C2261" s="70"/>
      <c r="D2261" s="70"/>
      <c r="E2261" s="70"/>
      <c r="F2261" s="70"/>
      <c r="G2261" s="70"/>
      <c r="H2261" s="131"/>
      <c r="I2261" s="3"/>
    </row>
    <row r="2262" spans="1:9" s="93" customFormat="1" ht="9" customHeight="1" x14ac:dyDescent="0.3">
      <c r="A2262" s="91"/>
      <c r="B2262" s="70"/>
      <c r="C2262" s="70"/>
      <c r="D2262" s="70"/>
      <c r="E2262" s="70"/>
      <c r="F2262" s="70"/>
      <c r="G2262" s="70"/>
      <c r="H2262" s="131"/>
      <c r="I2262" s="3"/>
    </row>
    <row r="2263" spans="1:9" s="93" customFormat="1" ht="9" customHeight="1" x14ac:dyDescent="0.3">
      <c r="A2263" s="91"/>
      <c r="B2263" s="70"/>
      <c r="C2263" s="70"/>
      <c r="D2263" s="70"/>
      <c r="E2263" s="70"/>
      <c r="F2263" s="70"/>
      <c r="G2263" s="70"/>
      <c r="H2263" s="131"/>
      <c r="I2263" s="3"/>
    </row>
    <row r="2264" spans="1:9" s="93" customFormat="1" ht="9" customHeight="1" x14ac:dyDescent="0.3">
      <c r="A2264" s="91"/>
      <c r="B2264" s="70"/>
      <c r="C2264" s="70"/>
      <c r="D2264" s="70"/>
      <c r="E2264" s="70"/>
      <c r="F2264" s="70"/>
      <c r="G2264" s="70"/>
      <c r="H2264" s="131"/>
      <c r="I2264" s="3"/>
    </row>
    <row r="2265" spans="1:9" s="93" customFormat="1" ht="9" customHeight="1" x14ac:dyDescent="0.3">
      <c r="A2265" s="91"/>
      <c r="B2265" s="70"/>
      <c r="C2265" s="70"/>
      <c r="D2265" s="70"/>
      <c r="E2265" s="70"/>
      <c r="F2265" s="70"/>
      <c r="G2265" s="70"/>
      <c r="H2265" s="131"/>
      <c r="I2265" s="3"/>
    </row>
    <row r="2266" spans="1:9" s="93" customFormat="1" ht="9" customHeight="1" x14ac:dyDescent="0.3">
      <c r="A2266" s="91"/>
      <c r="B2266" s="70"/>
      <c r="C2266" s="70"/>
      <c r="D2266" s="70"/>
      <c r="E2266" s="70"/>
      <c r="F2266" s="70"/>
      <c r="G2266" s="70"/>
      <c r="H2266" s="131"/>
      <c r="I2266" s="3"/>
    </row>
    <row r="2267" spans="1:9" s="93" customFormat="1" ht="9" customHeight="1" x14ac:dyDescent="0.3">
      <c r="A2267" s="91"/>
      <c r="B2267" s="70"/>
      <c r="C2267" s="70"/>
      <c r="D2267" s="70"/>
      <c r="E2267" s="70"/>
      <c r="F2267" s="70"/>
      <c r="G2267" s="70"/>
      <c r="H2267" s="131"/>
      <c r="I2267" s="3"/>
    </row>
    <row r="2268" spans="1:9" s="93" customFormat="1" ht="9" customHeight="1" x14ac:dyDescent="0.3">
      <c r="A2268" s="91"/>
      <c r="B2268" s="70"/>
      <c r="C2268" s="70"/>
      <c r="D2268" s="70"/>
      <c r="E2268" s="70"/>
      <c r="F2268" s="70"/>
      <c r="G2268" s="70"/>
      <c r="H2268" s="131"/>
      <c r="I2268" s="3"/>
    </row>
    <row r="2269" spans="1:9" s="93" customFormat="1" ht="9" customHeight="1" x14ac:dyDescent="0.3">
      <c r="A2269" s="91"/>
      <c r="B2269" s="70"/>
      <c r="C2269" s="70"/>
      <c r="D2269" s="70"/>
      <c r="E2269" s="70"/>
      <c r="F2269" s="70"/>
      <c r="G2269" s="70"/>
      <c r="H2269" s="131"/>
      <c r="I2269" s="3"/>
    </row>
    <row r="2270" spans="1:9" s="93" customFormat="1" ht="9" customHeight="1" x14ac:dyDescent="0.3">
      <c r="A2270" s="91"/>
      <c r="B2270" s="70"/>
      <c r="C2270" s="70"/>
      <c r="D2270" s="70"/>
      <c r="E2270" s="70"/>
      <c r="F2270" s="70"/>
      <c r="G2270" s="70"/>
      <c r="H2270" s="131"/>
      <c r="I2270" s="3"/>
    </row>
    <row r="2271" spans="1:9" s="93" customFormat="1" ht="9" customHeight="1" x14ac:dyDescent="0.3">
      <c r="A2271" s="91"/>
      <c r="B2271" s="70"/>
      <c r="C2271" s="70"/>
      <c r="D2271" s="70"/>
      <c r="E2271" s="70"/>
      <c r="F2271" s="70"/>
      <c r="G2271" s="70"/>
      <c r="H2271" s="131"/>
      <c r="I2271" s="3"/>
    </row>
    <row r="2272" spans="1:9" s="93" customFormat="1" ht="9" customHeight="1" x14ac:dyDescent="0.3">
      <c r="A2272" s="91"/>
      <c r="B2272" s="70"/>
      <c r="C2272" s="70"/>
      <c r="D2272" s="70"/>
      <c r="E2272" s="70"/>
      <c r="F2272" s="70"/>
      <c r="G2272" s="70"/>
      <c r="H2272" s="131"/>
      <c r="I2272" s="3"/>
    </row>
    <row r="2273" spans="1:9" s="93" customFormat="1" ht="9" customHeight="1" x14ac:dyDescent="0.3">
      <c r="A2273" s="91"/>
      <c r="B2273" s="70"/>
      <c r="C2273" s="70"/>
      <c r="D2273" s="70"/>
      <c r="E2273" s="70"/>
      <c r="F2273" s="70"/>
      <c r="G2273" s="70"/>
      <c r="H2273" s="131"/>
      <c r="I2273" s="3"/>
    </row>
    <row r="2274" spans="1:9" s="93" customFormat="1" ht="9" customHeight="1" x14ac:dyDescent="0.3">
      <c r="A2274" s="91"/>
      <c r="B2274" s="70"/>
      <c r="C2274" s="70"/>
      <c r="D2274" s="70"/>
      <c r="E2274" s="70"/>
      <c r="F2274" s="70"/>
      <c r="G2274" s="70"/>
      <c r="H2274" s="131"/>
      <c r="I2274" s="3"/>
    </row>
    <row r="2275" spans="1:9" s="93" customFormat="1" ht="9" customHeight="1" x14ac:dyDescent="0.3">
      <c r="A2275" s="91"/>
      <c r="B2275" s="70"/>
      <c r="C2275" s="70"/>
      <c r="D2275" s="70"/>
      <c r="E2275" s="70"/>
      <c r="F2275" s="70"/>
      <c r="G2275" s="70"/>
      <c r="H2275" s="131"/>
      <c r="I2275" s="3"/>
    </row>
    <row r="2276" spans="1:9" s="93" customFormat="1" ht="9" customHeight="1" x14ac:dyDescent="0.3">
      <c r="A2276" s="91"/>
      <c r="B2276" s="70"/>
      <c r="C2276" s="70"/>
      <c r="D2276" s="70"/>
      <c r="E2276" s="70"/>
      <c r="F2276" s="70"/>
      <c r="G2276" s="70"/>
      <c r="H2276" s="131"/>
      <c r="I2276" s="3"/>
    </row>
    <row r="2277" spans="1:9" s="93" customFormat="1" ht="9" customHeight="1" x14ac:dyDescent="0.3">
      <c r="A2277" s="91"/>
      <c r="B2277" s="70"/>
      <c r="C2277" s="70"/>
      <c r="D2277" s="70"/>
      <c r="E2277" s="70"/>
      <c r="F2277" s="70"/>
      <c r="G2277" s="70"/>
      <c r="H2277" s="131"/>
      <c r="I2277" s="3"/>
    </row>
    <row r="2278" spans="1:9" s="93" customFormat="1" ht="9" customHeight="1" x14ac:dyDescent="0.3">
      <c r="A2278" s="91"/>
      <c r="B2278" s="70"/>
      <c r="C2278" s="70"/>
      <c r="D2278" s="70"/>
      <c r="E2278" s="70"/>
      <c r="F2278" s="70"/>
      <c r="G2278" s="70"/>
      <c r="H2278" s="131"/>
      <c r="I2278" s="3"/>
    </row>
    <row r="2279" spans="1:9" s="93" customFormat="1" ht="9" customHeight="1" x14ac:dyDescent="0.3">
      <c r="A2279" s="91"/>
      <c r="B2279" s="70"/>
      <c r="C2279" s="70"/>
      <c r="D2279" s="70"/>
      <c r="E2279" s="70"/>
      <c r="F2279" s="70"/>
      <c r="G2279" s="70"/>
      <c r="H2279" s="131"/>
      <c r="I2279" s="3"/>
    </row>
    <row r="2280" spans="1:9" s="93" customFormat="1" ht="9" customHeight="1" x14ac:dyDescent="0.3">
      <c r="A2280" s="91"/>
      <c r="B2280" s="70"/>
      <c r="C2280" s="70"/>
      <c r="D2280" s="70"/>
      <c r="E2280" s="70"/>
      <c r="F2280" s="70"/>
      <c r="G2280" s="70"/>
      <c r="H2280" s="131"/>
      <c r="I2280" s="3"/>
    </row>
    <row r="2281" spans="1:9" s="93" customFormat="1" ht="9" customHeight="1" x14ac:dyDescent="0.3">
      <c r="A2281" s="91"/>
      <c r="B2281" s="70"/>
      <c r="C2281" s="70"/>
      <c r="D2281" s="70"/>
      <c r="E2281" s="70"/>
      <c r="F2281" s="70"/>
      <c r="G2281" s="70"/>
      <c r="H2281" s="131"/>
      <c r="I2281" s="3"/>
    </row>
    <row r="2282" spans="1:9" s="93" customFormat="1" ht="9" customHeight="1" x14ac:dyDescent="0.3">
      <c r="A2282" s="91"/>
      <c r="B2282" s="70"/>
      <c r="C2282" s="70"/>
      <c r="D2282" s="70"/>
      <c r="E2282" s="70"/>
      <c r="F2282" s="70"/>
      <c r="G2282" s="70"/>
      <c r="H2282" s="131"/>
      <c r="I2282" s="3"/>
    </row>
    <row r="2283" spans="1:9" s="93" customFormat="1" ht="9" customHeight="1" x14ac:dyDescent="0.3">
      <c r="A2283" s="91"/>
      <c r="B2283" s="70"/>
      <c r="C2283" s="70"/>
      <c r="D2283" s="70"/>
      <c r="E2283" s="70"/>
      <c r="F2283" s="70"/>
      <c r="G2283" s="70"/>
      <c r="H2283" s="131"/>
      <c r="I2283" s="3"/>
    </row>
    <row r="2284" spans="1:9" s="93" customFormat="1" ht="9" customHeight="1" x14ac:dyDescent="0.3">
      <c r="A2284" s="91"/>
      <c r="B2284" s="70"/>
      <c r="C2284" s="70"/>
      <c r="D2284" s="70"/>
      <c r="E2284" s="70"/>
      <c r="F2284" s="70"/>
      <c r="G2284" s="70"/>
      <c r="H2284" s="131"/>
      <c r="I2284" s="3"/>
    </row>
    <row r="2285" spans="1:9" s="93" customFormat="1" ht="9" customHeight="1" x14ac:dyDescent="0.3">
      <c r="A2285" s="91"/>
      <c r="B2285" s="70"/>
      <c r="C2285" s="70"/>
      <c r="D2285" s="70"/>
      <c r="E2285" s="70"/>
      <c r="F2285" s="70"/>
      <c r="G2285" s="70"/>
      <c r="H2285" s="131"/>
      <c r="I2285" s="3"/>
    </row>
    <row r="2286" spans="1:9" s="93" customFormat="1" ht="9" customHeight="1" x14ac:dyDescent="0.3">
      <c r="A2286" s="91"/>
      <c r="B2286" s="70"/>
      <c r="C2286" s="70"/>
      <c r="D2286" s="70"/>
      <c r="E2286" s="70"/>
      <c r="F2286" s="70"/>
      <c r="G2286" s="70"/>
      <c r="H2286" s="131"/>
      <c r="I2286" s="3"/>
    </row>
    <row r="2287" spans="1:9" s="93" customFormat="1" ht="9" customHeight="1" x14ac:dyDescent="0.3">
      <c r="A2287" s="91"/>
      <c r="B2287" s="70"/>
      <c r="C2287" s="70"/>
      <c r="D2287" s="70"/>
      <c r="E2287" s="70"/>
      <c r="F2287" s="70"/>
      <c r="G2287" s="70"/>
      <c r="H2287" s="131"/>
      <c r="I2287" s="3"/>
    </row>
    <row r="2288" spans="1:9" s="93" customFormat="1" ht="9" customHeight="1" x14ac:dyDescent="0.3">
      <c r="A2288" s="91"/>
      <c r="B2288" s="70"/>
      <c r="C2288" s="70"/>
      <c r="D2288" s="70"/>
      <c r="E2288" s="70"/>
      <c r="F2288" s="70"/>
      <c r="G2288" s="70"/>
      <c r="H2288" s="131"/>
      <c r="I2288" s="3"/>
    </row>
    <row r="2289" spans="1:9" s="93" customFormat="1" ht="9" customHeight="1" x14ac:dyDescent="0.3">
      <c r="A2289" s="91"/>
      <c r="B2289" s="70"/>
      <c r="C2289" s="70"/>
      <c r="D2289" s="70"/>
      <c r="E2289" s="70"/>
      <c r="F2289" s="70"/>
      <c r="G2289" s="70"/>
      <c r="H2289" s="131"/>
      <c r="I2289" s="3"/>
    </row>
    <row r="2290" spans="1:9" s="93" customFormat="1" ht="9" customHeight="1" x14ac:dyDescent="0.3">
      <c r="A2290" s="91"/>
      <c r="B2290" s="70"/>
      <c r="C2290" s="70"/>
      <c r="D2290" s="70"/>
      <c r="E2290" s="70"/>
      <c r="F2290" s="70"/>
      <c r="G2290" s="70"/>
      <c r="H2290" s="131"/>
      <c r="I2290" s="3"/>
    </row>
    <row r="2291" spans="1:9" s="93" customFormat="1" ht="9" customHeight="1" x14ac:dyDescent="0.3">
      <c r="A2291" s="91"/>
      <c r="B2291" s="70"/>
      <c r="C2291" s="70"/>
      <c r="D2291" s="70"/>
      <c r="E2291" s="70"/>
      <c r="F2291" s="70"/>
      <c r="G2291" s="70"/>
      <c r="H2291" s="131"/>
      <c r="I2291" s="3"/>
    </row>
    <row r="2292" spans="1:9" s="93" customFormat="1" ht="9" customHeight="1" x14ac:dyDescent="0.3">
      <c r="A2292" s="91"/>
      <c r="B2292" s="70"/>
      <c r="C2292" s="70"/>
      <c r="D2292" s="70"/>
      <c r="E2292" s="70"/>
      <c r="F2292" s="70"/>
      <c r="G2292" s="70"/>
      <c r="H2292" s="131"/>
      <c r="I2292" s="3"/>
    </row>
    <row r="2293" spans="1:9" s="93" customFormat="1" ht="9" customHeight="1" x14ac:dyDescent="0.3">
      <c r="A2293" s="91"/>
      <c r="B2293" s="70"/>
      <c r="C2293" s="70"/>
      <c r="D2293" s="70"/>
      <c r="E2293" s="70"/>
      <c r="F2293" s="70"/>
      <c r="G2293" s="70"/>
      <c r="H2293" s="131"/>
      <c r="I2293" s="3"/>
    </row>
    <row r="2294" spans="1:9" s="93" customFormat="1" ht="9" customHeight="1" x14ac:dyDescent="0.3">
      <c r="A2294" s="91"/>
      <c r="B2294" s="70"/>
      <c r="C2294" s="70"/>
      <c r="D2294" s="70"/>
      <c r="E2294" s="70"/>
      <c r="F2294" s="70"/>
      <c r="G2294" s="70"/>
      <c r="H2294" s="131"/>
      <c r="I2294" s="3"/>
    </row>
    <row r="2295" spans="1:9" s="93" customFormat="1" ht="9" customHeight="1" x14ac:dyDescent="0.3">
      <c r="A2295" s="91"/>
      <c r="B2295" s="70"/>
      <c r="C2295" s="70"/>
      <c r="D2295" s="70"/>
      <c r="E2295" s="70"/>
      <c r="F2295" s="70"/>
      <c r="G2295" s="70"/>
      <c r="H2295" s="131"/>
      <c r="I2295" s="3"/>
    </row>
    <row r="2296" spans="1:9" s="93" customFormat="1" ht="9" customHeight="1" x14ac:dyDescent="0.3">
      <c r="A2296" s="91"/>
      <c r="B2296" s="70"/>
      <c r="C2296" s="70"/>
      <c r="D2296" s="70"/>
      <c r="E2296" s="70"/>
      <c r="F2296" s="70"/>
      <c r="G2296" s="70"/>
      <c r="H2296" s="131"/>
      <c r="I2296" s="3"/>
    </row>
    <row r="2297" spans="1:9" s="93" customFormat="1" ht="9" customHeight="1" x14ac:dyDescent="0.3">
      <c r="A2297" s="91"/>
      <c r="B2297" s="70"/>
      <c r="C2297" s="70"/>
      <c r="D2297" s="70"/>
      <c r="E2297" s="70"/>
      <c r="F2297" s="70"/>
      <c r="G2297" s="70"/>
      <c r="H2297" s="131"/>
      <c r="I2297" s="3"/>
    </row>
    <row r="2298" spans="1:9" s="93" customFormat="1" ht="9" customHeight="1" x14ac:dyDescent="0.3">
      <c r="A2298" s="91"/>
      <c r="B2298" s="70"/>
      <c r="C2298" s="70"/>
      <c r="D2298" s="70"/>
      <c r="E2298" s="70"/>
      <c r="F2298" s="70"/>
      <c r="G2298" s="70"/>
      <c r="H2298" s="131"/>
      <c r="I2298" s="3"/>
    </row>
    <row r="2299" spans="1:9" s="93" customFormat="1" ht="9" customHeight="1" x14ac:dyDescent="0.3">
      <c r="A2299" s="91"/>
      <c r="B2299" s="70"/>
      <c r="C2299" s="70"/>
      <c r="D2299" s="70"/>
      <c r="E2299" s="70"/>
      <c r="F2299" s="70"/>
      <c r="G2299" s="70"/>
      <c r="H2299" s="131"/>
      <c r="I2299" s="3"/>
    </row>
    <row r="2300" spans="1:9" s="93" customFormat="1" ht="9" customHeight="1" x14ac:dyDescent="0.3">
      <c r="A2300" s="91"/>
      <c r="B2300" s="70"/>
      <c r="C2300" s="70"/>
      <c r="D2300" s="70"/>
      <c r="E2300" s="70"/>
      <c r="F2300" s="70"/>
      <c r="G2300" s="70"/>
      <c r="H2300" s="131"/>
      <c r="I2300" s="3"/>
    </row>
    <row r="2301" spans="1:9" s="93" customFormat="1" ht="9" customHeight="1" x14ac:dyDescent="0.3">
      <c r="A2301" s="91"/>
      <c r="B2301" s="70"/>
      <c r="C2301" s="70"/>
      <c r="D2301" s="70"/>
      <c r="E2301" s="70"/>
      <c r="F2301" s="70"/>
      <c r="G2301" s="70"/>
      <c r="H2301" s="131"/>
      <c r="I2301" s="3"/>
    </row>
    <row r="2302" spans="1:9" s="93" customFormat="1" ht="9" customHeight="1" x14ac:dyDescent="0.3">
      <c r="A2302" s="91"/>
      <c r="B2302" s="70"/>
      <c r="C2302" s="70"/>
      <c r="D2302" s="70"/>
      <c r="E2302" s="70"/>
      <c r="F2302" s="70"/>
      <c r="G2302" s="70"/>
      <c r="H2302" s="131"/>
      <c r="I2302" s="3"/>
    </row>
    <row r="2303" spans="1:9" s="93" customFormat="1" ht="9" customHeight="1" x14ac:dyDescent="0.3">
      <c r="A2303" s="91"/>
      <c r="B2303" s="70"/>
      <c r="C2303" s="70"/>
      <c r="D2303" s="70"/>
      <c r="E2303" s="70"/>
      <c r="F2303" s="70"/>
      <c r="G2303" s="70"/>
      <c r="H2303" s="131"/>
      <c r="I2303" s="3"/>
    </row>
    <row r="2304" spans="1:9" s="93" customFormat="1" ht="9" customHeight="1" x14ac:dyDescent="0.3">
      <c r="A2304" s="91"/>
      <c r="B2304" s="70"/>
      <c r="C2304" s="70"/>
      <c r="D2304" s="70"/>
      <c r="E2304" s="70"/>
      <c r="F2304" s="70"/>
      <c r="G2304" s="70"/>
      <c r="H2304" s="131"/>
      <c r="I2304" s="3"/>
    </row>
    <row r="2305" spans="1:9" s="93" customFormat="1" ht="9" customHeight="1" x14ac:dyDescent="0.3">
      <c r="A2305" s="91"/>
      <c r="B2305" s="70"/>
      <c r="C2305" s="70"/>
      <c r="D2305" s="70"/>
      <c r="E2305" s="70"/>
      <c r="F2305" s="70"/>
      <c r="G2305" s="70"/>
      <c r="H2305" s="131"/>
      <c r="I2305" s="3"/>
    </row>
    <row r="2306" spans="1:9" s="93" customFormat="1" ht="9" customHeight="1" x14ac:dyDescent="0.3">
      <c r="A2306" s="91"/>
      <c r="B2306" s="70"/>
      <c r="C2306" s="70"/>
      <c r="D2306" s="70"/>
      <c r="E2306" s="70"/>
      <c r="F2306" s="70"/>
      <c r="G2306" s="70"/>
      <c r="H2306" s="131"/>
      <c r="I2306" s="3"/>
    </row>
    <row r="2307" spans="1:9" s="93" customFormat="1" ht="9" customHeight="1" x14ac:dyDescent="0.3">
      <c r="A2307" s="91"/>
      <c r="B2307" s="70"/>
      <c r="C2307" s="70"/>
      <c r="D2307" s="70"/>
      <c r="E2307" s="70"/>
      <c r="F2307" s="70"/>
      <c r="G2307" s="70"/>
      <c r="H2307" s="131"/>
      <c r="I2307" s="3"/>
    </row>
    <row r="2308" spans="1:9" s="93" customFormat="1" ht="9" customHeight="1" x14ac:dyDescent="0.3">
      <c r="A2308" s="91"/>
      <c r="B2308" s="70"/>
      <c r="C2308" s="70"/>
      <c r="D2308" s="70"/>
      <c r="E2308" s="70"/>
      <c r="F2308" s="70"/>
      <c r="G2308" s="70"/>
      <c r="H2308" s="131"/>
      <c r="I2308" s="3"/>
    </row>
    <row r="2309" spans="1:9" s="93" customFormat="1" ht="9" customHeight="1" x14ac:dyDescent="0.3">
      <c r="A2309" s="91"/>
      <c r="B2309" s="70"/>
      <c r="C2309" s="70"/>
      <c r="D2309" s="70"/>
      <c r="E2309" s="70"/>
      <c r="F2309" s="70"/>
      <c r="G2309" s="70"/>
      <c r="H2309" s="131"/>
      <c r="I2309" s="3"/>
    </row>
    <row r="2310" spans="1:9" s="93" customFormat="1" ht="9" customHeight="1" x14ac:dyDescent="0.3">
      <c r="A2310" s="91"/>
      <c r="B2310" s="70"/>
      <c r="C2310" s="70"/>
      <c r="D2310" s="70"/>
      <c r="E2310" s="70"/>
      <c r="F2310" s="70"/>
      <c r="G2310" s="70"/>
      <c r="H2310" s="131"/>
      <c r="I2310" s="3"/>
    </row>
    <row r="2311" spans="1:9" s="93" customFormat="1" ht="9" customHeight="1" x14ac:dyDescent="0.3">
      <c r="A2311" s="91"/>
      <c r="B2311" s="70"/>
      <c r="C2311" s="70"/>
      <c r="D2311" s="70"/>
      <c r="E2311" s="70"/>
      <c r="F2311" s="70"/>
      <c r="G2311" s="70"/>
      <c r="H2311" s="131"/>
      <c r="I2311" s="3"/>
    </row>
    <row r="2312" spans="1:9" s="93" customFormat="1" ht="9" customHeight="1" x14ac:dyDescent="0.3">
      <c r="A2312" s="91"/>
      <c r="B2312" s="70"/>
      <c r="C2312" s="70"/>
      <c r="D2312" s="70"/>
      <c r="E2312" s="70"/>
      <c r="F2312" s="70"/>
      <c r="G2312" s="70"/>
      <c r="H2312" s="131"/>
      <c r="I2312" s="3"/>
    </row>
    <row r="2313" spans="1:9" s="93" customFormat="1" ht="9" customHeight="1" x14ac:dyDescent="0.3">
      <c r="A2313" s="91"/>
      <c r="B2313" s="70"/>
      <c r="C2313" s="70"/>
      <c r="D2313" s="70"/>
      <c r="E2313" s="70"/>
      <c r="F2313" s="70"/>
      <c r="G2313" s="70"/>
      <c r="H2313" s="131"/>
      <c r="I2313" s="3"/>
    </row>
    <row r="2314" spans="1:9" s="93" customFormat="1" ht="9" customHeight="1" x14ac:dyDescent="0.3">
      <c r="A2314" s="91"/>
      <c r="B2314" s="70"/>
      <c r="C2314" s="70"/>
      <c r="D2314" s="70"/>
      <c r="E2314" s="70"/>
      <c r="F2314" s="70"/>
      <c r="G2314" s="70"/>
      <c r="H2314" s="131"/>
      <c r="I2314" s="3"/>
    </row>
    <row r="2315" spans="1:9" s="93" customFormat="1" ht="9" customHeight="1" x14ac:dyDescent="0.3">
      <c r="A2315" s="91"/>
      <c r="B2315" s="70"/>
      <c r="C2315" s="70"/>
      <c r="D2315" s="70"/>
      <c r="E2315" s="70"/>
      <c r="F2315" s="70"/>
      <c r="G2315" s="70"/>
      <c r="H2315" s="131"/>
      <c r="I2315" s="3"/>
    </row>
    <row r="2316" spans="1:9" s="93" customFormat="1" ht="9" customHeight="1" x14ac:dyDescent="0.3">
      <c r="A2316" s="91"/>
      <c r="B2316" s="70"/>
      <c r="C2316" s="70"/>
      <c r="D2316" s="70"/>
      <c r="E2316" s="70"/>
      <c r="F2316" s="70"/>
      <c r="G2316" s="70"/>
      <c r="H2316" s="131"/>
      <c r="I2316" s="3"/>
    </row>
    <row r="2317" spans="1:9" s="93" customFormat="1" ht="9" customHeight="1" x14ac:dyDescent="0.3">
      <c r="A2317" s="91"/>
      <c r="B2317" s="70"/>
      <c r="C2317" s="70"/>
      <c r="D2317" s="70"/>
      <c r="E2317" s="70"/>
      <c r="F2317" s="70"/>
      <c r="G2317" s="70"/>
      <c r="H2317" s="131"/>
      <c r="I2317" s="3"/>
    </row>
    <row r="2318" spans="1:9" s="93" customFormat="1" ht="9" customHeight="1" x14ac:dyDescent="0.3">
      <c r="A2318" s="91"/>
      <c r="B2318" s="70"/>
      <c r="C2318" s="70"/>
      <c r="D2318" s="70"/>
      <c r="E2318" s="70"/>
      <c r="F2318" s="70"/>
      <c r="G2318" s="70"/>
      <c r="H2318" s="131"/>
      <c r="I2318" s="3"/>
    </row>
    <row r="2319" spans="1:9" s="93" customFormat="1" ht="9" customHeight="1" x14ac:dyDescent="0.3">
      <c r="A2319" s="91"/>
      <c r="B2319" s="70"/>
      <c r="C2319" s="70"/>
      <c r="D2319" s="70"/>
      <c r="E2319" s="70"/>
      <c r="F2319" s="70"/>
      <c r="G2319" s="70"/>
      <c r="H2319" s="131"/>
      <c r="I2319" s="3"/>
    </row>
    <row r="2320" spans="1:9" s="93" customFormat="1" ht="9" customHeight="1" x14ac:dyDescent="0.3">
      <c r="A2320" s="91"/>
      <c r="B2320" s="70"/>
      <c r="C2320" s="70"/>
      <c r="D2320" s="70"/>
      <c r="E2320" s="70"/>
      <c r="F2320" s="70"/>
      <c r="G2320" s="70"/>
      <c r="H2320" s="131"/>
      <c r="I2320" s="3"/>
    </row>
    <row r="2321" spans="1:9" s="93" customFormat="1" ht="9" customHeight="1" x14ac:dyDescent="0.3">
      <c r="A2321" s="91"/>
      <c r="B2321" s="70"/>
      <c r="C2321" s="70"/>
      <c r="D2321" s="70"/>
      <c r="E2321" s="70"/>
      <c r="F2321" s="70"/>
      <c r="G2321" s="70"/>
      <c r="H2321" s="131"/>
      <c r="I2321" s="3"/>
    </row>
    <row r="2322" spans="1:9" s="93" customFormat="1" ht="9" customHeight="1" x14ac:dyDescent="0.3">
      <c r="A2322" s="91"/>
      <c r="B2322" s="70"/>
      <c r="C2322" s="70"/>
      <c r="D2322" s="70"/>
      <c r="E2322" s="70"/>
      <c r="F2322" s="70"/>
      <c r="G2322" s="70"/>
      <c r="H2322" s="131"/>
      <c r="I2322" s="3"/>
    </row>
    <row r="2323" spans="1:9" s="93" customFormat="1" ht="9" customHeight="1" x14ac:dyDescent="0.3">
      <c r="A2323" s="91"/>
      <c r="B2323" s="70"/>
      <c r="C2323" s="70"/>
      <c r="D2323" s="70"/>
      <c r="E2323" s="70"/>
      <c r="F2323" s="70"/>
      <c r="G2323" s="70"/>
      <c r="H2323" s="131"/>
      <c r="I2323" s="3"/>
    </row>
    <row r="2324" spans="1:9" s="93" customFormat="1" ht="9" customHeight="1" x14ac:dyDescent="0.3">
      <c r="A2324" s="91"/>
      <c r="B2324" s="70"/>
      <c r="C2324" s="70"/>
      <c r="D2324" s="70"/>
      <c r="E2324" s="70"/>
      <c r="F2324" s="70"/>
      <c r="G2324" s="70"/>
      <c r="H2324" s="131"/>
      <c r="I2324" s="3"/>
    </row>
    <row r="2325" spans="1:9" s="93" customFormat="1" ht="9" customHeight="1" x14ac:dyDescent="0.3">
      <c r="A2325" s="91"/>
      <c r="B2325" s="70"/>
      <c r="C2325" s="70"/>
      <c r="D2325" s="70"/>
      <c r="E2325" s="70"/>
      <c r="F2325" s="70"/>
      <c r="G2325" s="70"/>
      <c r="H2325" s="131"/>
      <c r="I2325" s="3"/>
    </row>
    <row r="2326" spans="1:9" s="93" customFormat="1" ht="9" customHeight="1" x14ac:dyDescent="0.3">
      <c r="A2326" s="91"/>
      <c r="B2326" s="70"/>
      <c r="C2326" s="70"/>
      <c r="D2326" s="70"/>
      <c r="E2326" s="70"/>
      <c r="F2326" s="70"/>
      <c r="G2326" s="70"/>
      <c r="H2326" s="131"/>
      <c r="I2326" s="3"/>
    </row>
    <row r="2327" spans="1:9" s="93" customFormat="1" ht="9" customHeight="1" x14ac:dyDescent="0.3">
      <c r="A2327" s="91"/>
      <c r="B2327" s="70"/>
      <c r="C2327" s="70"/>
      <c r="D2327" s="70"/>
      <c r="E2327" s="70"/>
      <c r="F2327" s="70"/>
      <c r="G2327" s="70"/>
      <c r="H2327" s="131"/>
      <c r="I2327" s="3"/>
    </row>
    <row r="2328" spans="1:9" s="93" customFormat="1" ht="9" customHeight="1" x14ac:dyDescent="0.3">
      <c r="A2328" s="91"/>
      <c r="B2328" s="70"/>
      <c r="C2328" s="70"/>
      <c r="D2328" s="70"/>
      <c r="E2328" s="70"/>
      <c r="F2328" s="70"/>
      <c r="G2328" s="70"/>
      <c r="H2328" s="131"/>
      <c r="I2328" s="3"/>
    </row>
    <row r="2329" spans="1:9" s="93" customFormat="1" ht="9" customHeight="1" x14ac:dyDescent="0.3">
      <c r="A2329" s="91"/>
      <c r="B2329" s="70"/>
      <c r="C2329" s="70"/>
      <c r="D2329" s="70"/>
      <c r="E2329" s="70"/>
      <c r="F2329" s="70"/>
      <c r="G2329" s="70"/>
      <c r="H2329" s="131"/>
      <c r="I2329" s="3"/>
    </row>
    <row r="2330" spans="1:9" s="93" customFormat="1" ht="9" customHeight="1" x14ac:dyDescent="0.3">
      <c r="A2330" s="91"/>
      <c r="B2330" s="70"/>
      <c r="C2330" s="70"/>
      <c r="D2330" s="70"/>
      <c r="E2330" s="70"/>
      <c r="F2330" s="70"/>
      <c r="G2330" s="70"/>
      <c r="H2330" s="131"/>
      <c r="I2330" s="3"/>
    </row>
    <row r="2331" spans="1:9" s="93" customFormat="1" ht="9" customHeight="1" x14ac:dyDescent="0.3">
      <c r="A2331" s="91"/>
      <c r="B2331" s="70"/>
      <c r="C2331" s="70"/>
      <c r="D2331" s="70"/>
      <c r="E2331" s="70"/>
      <c r="F2331" s="70"/>
      <c r="G2331" s="70"/>
      <c r="H2331" s="131"/>
      <c r="I2331" s="3"/>
    </row>
    <row r="2332" spans="1:9" s="93" customFormat="1" ht="9" customHeight="1" x14ac:dyDescent="0.3">
      <c r="A2332" s="91"/>
      <c r="B2332" s="70"/>
      <c r="C2332" s="70"/>
      <c r="D2332" s="70"/>
      <c r="E2332" s="70"/>
      <c r="F2332" s="70"/>
      <c r="G2332" s="70"/>
      <c r="H2332" s="131"/>
      <c r="I2332" s="3"/>
    </row>
    <row r="2333" spans="1:9" s="93" customFormat="1" ht="9" customHeight="1" x14ac:dyDescent="0.3">
      <c r="A2333" s="91"/>
      <c r="B2333" s="70"/>
      <c r="C2333" s="70"/>
      <c r="D2333" s="70"/>
      <c r="E2333" s="70"/>
      <c r="F2333" s="70"/>
      <c r="G2333" s="70"/>
      <c r="H2333" s="131"/>
      <c r="I2333" s="3"/>
    </row>
    <row r="2334" spans="1:9" s="93" customFormat="1" ht="9" customHeight="1" x14ac:dyDescent="0.3">
      <c r="A2334" s="91"/>
      <c r="B2334" s="70"/>
      <c r="C2334" s="70"/>
      <c r="D2334" s="70"/>
      <c r="E2334" s="70"/>
      <c r="F2334" s="70"/>
      <c r="G2334" s="70"/>
      <c r="H2334" s="131"/>
      <c r="I2334" s="3"/>
    </row>
    <row r="2335" spans="1:9" s="93" customFormat="1" ht="9" customHeight="1" x14ac:dyDescent="0.3">
      <c r="A2335" s="91"/>
      <c r="B2335" s="70"/>
      <c r="C2335" s="70"/>
      <c r="D2335" s="70"/>
      <c r="E2335" s="70"/>
      <c r="F2335" s="70"/>
      <c r="G2335" s="70"/>
      <c r="H2335" s="131"/>
      <c r="I2335" s="3"/>
    </row>
    <row r="2336" spans="1:9" s="93" customFormat="1" ht="9" customHeight="1" x14ac:dyDescent="0.3">
      <c r="A2336" s="91"/>
      <c r="B2336" s="70"/>
      <c r="C2336" s="70"/>
      <c r="D2336" s="70"/>
      <c r="E2336" s="70"/>
      <c r="F2336" s="70"/>
      <c r="G2336" s="70"/>
      <c r="H2336" s="131"/>
      <c r="I2336" s="3"/>
    </row>
    <row r="2337" spans="1:9" s="93" customFormat="1" ht="9" customHeight="1" x14ac:dyDescent="0.3">
      <c r="A2337" s="91"/>
      <c r="B2337" s="70"/>
      <c r="C2337" s="70"/>
      <c r="D2337" s="70"/>
      <c r="E2337" s="70"/>
      <c r="F2337" s="70"/>
      <c r="G2337" s="70"/>
      <c r="H2337" s="131"/>
      <c r="I2337" s="3"/>
    </row>
    <row r="2338" spans="1:9" s="93" customFormat="1" ht="9" customHeight="1" x14ac:dyDescent="0.3">
      <c r="A2338" s="91"/>
      <c r="B2338" s="70"/>
      <c r="C2338" s="70"/>
      <c r="D2338" s="70"/>
      <c r="E2338" s="70"/>
      <c r="F2338" s="70"/>
      <c r="G2338" s="70"/>
      <c r="H2338" s="131"/>
      <c r="I2338" s="3"/>
    </row>
    <row r="2339" spans="1:9" s="93" customFormat="1" ht="9" customHeight="1" x14ac:dyDescent="0.3">
      <c r="A2339" s="91"/>
      <c r="B2339" s="70"/>
      <c r="C2339" s="70"/>
      <c r="D2339" s="70"/>
      <c r="E2339" s="70"/>
      <c r="F2339" s="70"/>
      <c r="G2339" s="70"/>
      <c r="H2339" s="131"/>
      <c r="I2339" s="3"/>
    </row>
    <row r="2340" spans="1:9" s="93" customFormat="1" ht="9" customHeight="1" x14ac:dyDescent="0.3">
      <c r="A2340" s="91"/>
      <c r="B2340" s="70"/>
      <c r="C2340" s="70"/>
      <c r="D2340" s="70"/>
      <c r="E2340" s="70"/>
      <c r="F2340" s="70"/>
      <c r="G2340" s="70"/>
      <c r="H2340" s="131"/>
      <c r="I2340" s="3"/>
    </row>
    <row r="2341" spans="1:9" s="93" customFormat="1" ht="9" customHeight="1" x14ac:dyDescent="0.3">
      <c r="A2341" s="91"/>
      <c r="B2341" s="70"/>
      <c r="C2341" s="70"/>
      <c r="D2341" s="70"/>
      <c r="E2341" s="70"/>
      <c r="F2341" s="70"/>
      <c r="G2341" s="70"/>
      <c r="H2341" s="131"/>
      <c r="I2341" s="3"/>
    </row>
    <row r="2342" spans="1:9" s="93" customFormat="1" ht="9" customHeight="1" x14ac:dyDescent="0.3">
      <c r="A2342" s="91"/>
      <c r="B2342" s="70"/>
      <c r="C2342" s="70"/>
      <c r="D2342" s="70"/>
      <c r="E2342" s="70"/>
      <c r="F2342" s="70"/>
      <c r="G2342" s="70"/>
      <c r="H2342" s="131"/>
      <c r="I2342" s="3"/>
    </row>
    <row r="2343" spans="1:9" s="93" customFormat="1" ht="9" customHeight="1" x14ac:dyDescent="0.3">
      <c r="A2343" s="91"/>
      <c r="B2343" s="70"/>
      <c r="C2343" s="70"/>
      <c r="D2343" s="70"/>
      <c r="E2343" s="70"/>
      <c r="F2343" s="70"/>
      <c r="G2343" s="70"/>
      <c r="H2343" s="131"/>
      <c r="I2343" s="3"/>
    </row>
    <row r="2344" spans="1:9" s="93" customFormat="1" ht="9" customHeight="1" x14ac:dyDescent="0.3">
      <c r="A2344" s="91"/>
      <c r="B2344" s="70"/>
      <c r="C2344" s="70"/>
      <c r="D2344" s="70"/>
      <c r="E2344" s="70"/>
      <c r="F2344" s="70"/>
      <c r="G2344" s="70"/>
      <c r="H2344" s="131"/>
      <c r="I2344" s="3"/>
    </row>
    <row r="2345" spans="1:9" s="93" customFormat="1" ht="9" customHeight="1" x14ac:dyDescent="0.3">
      <c r="A2345" s="91"/>
      <c r="B2345" s="70"/>
      <c r="C2345" s="70"/>
      <c r="D2345" s="70"/>
      <c r="E2345" s="70"/>
      <c r="F2345" s="70"/>
      <c r="G2345" s="70"/>
      <c r="H2345" s="131"/>
      <c r="I2345" s="3"/>
    </row>
    <row r="2346" spans="1:9" s="93" customFormat="1" ht="9" customHeight="1" x14ac:dyDescent="0.3">
      <c r="A2346" s="91"/>
      <c r="B2346" s="70"/>
      <c r="C2346" s="70"/>
      <c r="D2346" s="70"/>
      <c r="E2346" s="70"/>
      <c r="F2346" s="70"/>
      <c r="G2346" s="70"/>
      <c r="H2346" s="131"/>
      <c r="I2346" s="3"/>
    </row>
    <row r="2347" spans="1:9" s="93" customFormat="1" ht="9" customHeight="1" x14ac:dyDescent="0.3">
      <c r="A2347" s="91"/>
      <c r="B2347" s="70"/>
      <c r="C2347" s="70"/>
      <c r="D2347" s="70"/>
      <c r="E2347" s="70"/>
      <c r="F2347" s="70"/>
      <c r="G2347" s="70"/>
      <c r="H2347" s="131"/>
      <c r="I2347" s="3"/>
    </row>
    <row r="2348" spans="1:9" s="93" customFormat="1" ht="9" customHeight="1" x14ac:dyDescent="0.3">
      <c r="A2348" s="91"/>
      <c r="B2348" s="70"/>
      <c r="C2348" s="70"/>
      <c r="D2348" s="70"/>
      <c r="E2348" s="70"/>
      <c r="F2348" s="70"/>
      <c r="G2348" s="70"/>
      <c r="H2348" s="131"/>
      <c r="I2348" s="3"/>
    </row>
    <row r="2349" spans="1:9" s="93" customFormat="1" ht="9" customHeight="1" x14ac:dyDescent="0.3">
      <c r="A2349" s="91"/>
      <c r="B2349" s="70"/>
      <c r="C2349" s="70"/>
      <c r="D2349" s="70"/>
      <c r="E2349" s="70"/>
      <c r="F2349" s="70"/>
      <c r="G2349" s="70"/>
      <c r="H2349" s="131"/>
      <c r="I2349" s="3"/>
    </row>
    <row r="2350" spans="1:9" s="93" customFormat="1" ht="9" customHeight="1" x14ac:dyDescent="0.3">
      <c r="A2350" s="91"/>
      <c r="B2350" s="70"/>
      <c r="C2350" s="70"/>
      <c r="D2350" s="70"/>
      <c r="E2350" s="70"/>
      <c r="F2350" s="70"/>
      <c r="G2350" s="70"/>
      <c r="H2350" s="131"/>
      <c r="I2350" s="3"/>
    </row>
    <row r="2351" spans="1:9" s="93" customFormat="1" ht="9" customHeight="1" x14ac:dyDescent="0.3">
      <c r="A2351" s="91"/>
      <c r="B2351" s="70"/>
      <c r="C2351" s="70"/>
      <c r="D2351" s="70"/>
      <c r="E2351" s="70"/>
      <c r="F2351" s="70"/>
      <c r="G2351" s="70"/>
      <c r="H2351" s="131"/>
      <c r="I2351" s="3"/>
    </row>
    <row r="2352" spans="1:9" s="93" customFormat="1" ht="9" customHeight="1" x14ac:dyDescent="0.3">
      <c r="A2352" s="91"/>
      <c r="B2352" s="70"/>
      <c r="C2352" s="70"/>
      <c r="D2352" s="70"/>
      <c r="E2352" s="70"/>
      <c r="F2352" s="70"/>
      <c r="G2352" s="70"/>
      <c r="H2352" s="131"/>
      <c r="I2352" s="3"/>
    </row>
    <row r="2353" spans="1:9" s="93" customFormat="1" ht="9" customHeight="1" x14ac:dyDescent="0.3">
      <c r="A2353" s="91"/>
      <c r="B2353" s="70"/>
      <c r="C2353" s="70"/>
      <c r="D2353" s="70"/>
      <c r="E2353" s="70"/>
      <c r="F2353" s="70"/>
      <c r="G2353" s="70"/>
      <c r="H2353" s="131"/>
      <c r="I2353" s="3"/>
    </row>
    <row r="2354" spans="1:9" s="93" customFormat="1" ht="9" customHeight="1" x14ac:dyDescent="0.3">
      <c r="A2354" s="91"/>
      <c r="B2354" s="70"/>
      <c r="C2354" s="70"/>
      <c r="D2354" s="70"/>
      <c r="E2354" s="70"/>
      <c r="F2354" s="70"/>
      <c r="G2354" s="70"/>
      <c r="H2354" s="131"/>
      <c r="I2354" s="3"/>
    </row>
    <row r="2355" spans="1:9" s="93" customFormat="1" ht="9" customHeight="1" x14ac:dyDescent="0.3">
      <c r="A2355" s="91"/>
      <c r="B2355" s="70"/>
      <c r="C2355" s="70"/>
      <c r="D2355" s="70"/>
      <c r="E2355" s="70"/>
      <c r="F2355" s="70"/>
      <c r="G2355" s="70"/>
      <c r="H2355" s="131"/>
      <c r="I2355" s="3"/>
    </row>
    <row r="2356" spans="1:9" s="93" customFormat="1" ht="9" customHeight="1" x14ac:dyDescent="0.3">
      <c r="A2356" s="91"/>
      <c r="B2356" s="70"/>
      <c r="C2356" s="70"/>
      <c r="D2356" s="70"/>
      <c r="E2356" s="70"/>
      <c r="F2356" s="70"/>
      <c r="G2356" s="70"/>
      <c r="H2356" s="131"/>
      <c r="I2356" s="3"/>
    </row>
    <row r="2357" spans="1:9" s="93" customFormat="1" ht="9" customHeight="1" x14ac:dyDescent="0.3">
      <c r="A2357" s="91"/>
      <c r="B2357" s="70"/>
      <c r="C2357" s="70"/>
      <c r="D2357" s="70"/>
      <c r="E2357" s="70"/>
      <c r="F2357" s="70"/>
      <c r="G2357" s="70"/>
      <c r="H2357" s="131"/>
      <c r="I2357" s="3"/>
    </row>
    <row r="2358" spans="1:9" s="93" customFormat="1" ht="9" customHeight="1" x14ac:dyDescent="0.3">
      <c r="A2358" s="91"/>
      <c r="B2358" s="70"/>
      <c r="C2358" s="70"/>
      <c r="D2358" s="70"/>
      <c r="E2358" s="70"/>
      <c r="F2358" s="70"/>
      <c r="G2358" s="70"/>
      <c r="H2358" s="131"/>
      <c r="I2358" s="3"/>
    </row>
    <row r="2359" spans="1:9" s="93" customFormat="1" ht="9" customHeight="1" x14ac:dyDescent="0.3">
      <c r="A2359" s="91"/>
      <c r="B2359" s="70"/>
      <c r="C2359" s="70"/>
      <c r="D2359" s="70"/>
      <c r="E2359" s="70"/>
      <c r="F2359" s="70"/>
      <c r="G2359" s="70"/>
      <c r="H2359" s="131"/>
      <c r="I2359" s="3"/>
    </row>
    <row r="2360" spans="1:9" s="93" customFormat="1" ht="9" customHeight="1" x14ac:dyDescent="0.3">
      <c r="A2360" s="91"/>
      <c r="B2360" s="70"/>
      <c r="C2360" s="70"/>
      <c r="D2360" s="70"/>
      <c r="E2360" s="70"/>
      <c r="F2360" s="70"/>
      <c r="G2360" s="70"/>
      <c r="H2360" s="131"/>
      <c r="I2360" s="3"/>
    </row>
    <row r="2361" spans="1:9" s="93" customFormat="1" ht="9" customHeight="1" x14ac:dyDescent="0.3">
      <c r="A2361" s="91"/>
      <c r="B2361" s="70"/>
      <c r="C2361" s="70"/>
      <c r="D2361" s="70"/>
      <c r="E2361" s="70"/>
      <c r="F2361" s="70"/>
      <c r="G2361" s="70"/>
      <c r="H2361" s="131"/>
      <c r="I2361" s="3"/>
    </row>
    <row r="2362" spans="1:9" s="93" customFormat="1" ht="9" customHeight="1" x14ac:dyDescent="0.3">
      <c r="A2362" s="91"/>
      <c r="B2362" s="70"/>
      <c r="C2362" s="70"/>
      <c r="D2362" s="70"/>
      <c r="E2362" s="70"/>
      <c r="F2362" s="70"/>
      <c r="G2362" s="70"/>
      <c r="H2362" s="131"/>
      <c r="I2362" s="3"/>
    </row>
    <row r="2363" spans="1:9" s="93" customFormat="1" ht="9" customHeight="1" x14ac:dyDescent="0.3">
      <c r="A2363" s="91"/>
      <c r="B2363" s="70"/>
      <c r="C2363" s="70"/>
      <c r="D2363" s="70"/>
      <c r="E2363" s="70"/>
      <c r="F2363" s="70"/>
      <c r="G2363" s="70"/>
      <c r="H2363" s="131"/>
      <c r="I2363" s="3"/>
    </row>
    <row r="2364" spans="1:9" s="93" customFormat="1" ht="9" customHeight="1" x14ac:dyDescent="0.3">
      <c r="A2364" s="91"/>
      <c r="B2364" s="70"/>
      <c r="C2364" s="70"/>
      <c r="D2364" s="70"/>
      <c r="E2364" s="70"/>
      <c r="F2364" s="70"/>
      <c r="G2364" s="70"/>
      <c r="H2364" s="131"/>
      <c r="I2364" s="3"/>
    </row>
    <row r="2365" spans="1:9" s="93" customFormat="1" ht="9" customHeight="1" x14ac:dyDescent="0.3">
      <c r="A2365" s="91"/>
      <c r="B2365" s="70"/>
      <c r="C2365" s="70"/>
      <c r="D2365" s="70"/>
      <c r="E2365" s="70"/>
      <c r="F2365" s="70"/>
      <c r="G2365" s="70"/>
      <c r="H2365" s="131"/>
      <c r="I2365" s="3"/>
    </row>
    <row r="2366" spans="1:9" s="93" customFormat="1" ht="9" customHeight="1" x14ac:dyDescent="0.3">
      <c r="A2366" s="91"/>
      <c r="B2366" s="70"/>
      <c r="C2366" s="70"/>
      <c r="D2366" s="70"/>
      <c r="E2366" s="70"/>
      <c r="F2366" s="70"/>
      <c r="G2366" s="70"/>
      <c r="H2366" s="131"/>
      <c r="I2366" s="3"/>
    </row>
    <row r="2367" spans="1:9" s="93" customFormat="1" ht="9" customHeight="1" x14ac:dyDescent="0.3">
      <c r="A2367" s="91"/>
      <c r="B2367" s="70"/>
      <c r="C2367" s="70"/>
      <c r="D2367" s="70"/>
      <c r="E2367" s="70"/>
      <c r="F2367" s="70"/>
      <c r="G2367" s="70"/>
      <c r="H2367" s="131"/>
      <c r="I2367" s="3"/>
    </row>
    <row r="2368" spans="1:9" s="93" customFormat="1" ht="9" customHeight="1" x14ac:dyDescent="0.3">
      <c r="A2368" s="91"/>
      <c r="B2368" s="70"/>
      <c r="C2368" s="70"/>
      <c r="D2368" s="70"/>
      <c r="E2368" s="70"/>
      <c r="F2368" s="70"/>
      <c r="G2368" s="70"/>
      <c r="H2368" s="131"/>
      <c r="I2368" s="3"/>
    </row>
    <row r="2369" spans="1:9" s="93" customFormat="1" ht="9" customHeight="1" x14ac:dyDescent="0.3">
      <c r="A2369" s="91"/>
      <c r="B2369" s="70"/>
      <c r="C2369" s="70"/>
      <c r="D2369" s="70"/>
      <c r="E2369" s="70"/>
      <c r="F2369" s="70"/>
      <c r="G2369" s="70"/>
      <c r="H2369" s="131"/>
      <c r="I2369" s="3"/>
    </row>
    <row r="2370" spans="1:9" s="93" customFormat="1" ht="9" customHeight="1" x14ac:dyDescent="0.3">
      <c r="A2370" s="91"/>
      <c r="B2370" s="70"/>
      <c r="C2370" s="70"/>
      <c r="D2370" s="70"/>
      <c r="E2370" s="70"/>
      <c r="F2370" s="70"/>
      <c r="G2370" s="70"/>
      <c r="H2370" s="131"/>
      <c r="I2370" s="3"/>
    </row>
    <row r="2371" spans="1:9" s="93" customFormat="1" ht="9" customHeight="1" x14ac:dyDescent="0.3">
      <c r="A2371" s="91"/>
      <c r="B2371" s="70"/>
      <c r="C2371" s="70"/>
      <c r="D2371" s="70"/>
      <c r="E2371" s="70"/>
      <c r="F2371" s="70"/>
      <c r="G2371" s="70"/>
      <c r="H2371" s="131"/>
      <c r="I2371" s="3"/>
    </row>
    <row r="2372" spans="1:9" s="93" customFormat="1" ht="9" customHeight="1" x14ac:dyDescent="0.3">
      <c r="A2372" s="91"/>
      <c r="B2372" s="70"/>
      <c r="C2372" s="70"/>
      <c r="D2372" s="70"/>
      <c r="E2372" s="70"/>
      <c r="F2372" s="70"/>
      <c r="G2372" s="70"/>
      <c r="H2372" s="131"/>
      <c r="I2372" s="3"/>
    </row>
    <row r="2373" spans="1:9" s="93" customFormat="1" ht="9" customHeight="1" x14ac:dyDescent="0.3">
      <c r="A2373" s="91"/>
      <c r="B2373" s="70"/>
      <c r="C2373" s="70"/>
      <c r="D2373" s="70"/>
      <c r="E2373" s="70"/>
      <c r="F2373" s="70"/>
      <c r="G2373" s="70"/>
      <c r="H2373" s="131"/>
      <c r="I2373" s="3"/>
    </row>
    <row r="2374" spans="1:9" s="93" customFormat="1" ht="9" customHeight="1" x14ac:dyDescent="0.3">
      <c r="A2374" s="91"/>
      <c r="B2374" s="70"/>
      <c r="C2374" s="70"/>
      <c r="D2374" s="70"/>
      <c r="E2374" s="70"/>
      <c r="F2374" s="70"/>
      <c r="G2374" s="70"/>
      <c r="H2374" s="131"/>
      <c r="I2374" s="3"/>
    </row>
    <row r="2375" spans="1:9" s="93" customFormat="1" ht="9" customHeight="1" x14ac:dyDescent="0.3">
      <c r="A2375" s="91"/>
      <c r="B2375" s="70"/>
      <c r="C2375" s="70"/>
      <c r="D2375" s="70"/>
      <c r="E2375" s="70"/>
      <c r="F2375" s="70"/>
      <c r="G2375" s="70"/>
      <c r="H2375" s="131"/>
      <c r="I2375" s="3"/>
    </row>
    <row r="2376" spans="1:9" s="93" customFormat="1" ht="9" customHeight="1" x14ac:dyDescent="0.3">
      <c r="A2376" s="91"/>
      <c r="B2376" s="70"/>
      <c r="C2376" s="70"/>
      <c r="D2376" s="70"/>
      <c r="E2376" s="70"/>
      <c r="F2376" s="70"/>
      <c r="G2376" s="70"/>
      <c r="H2376" s="131"/>
      <c r="I2376" s="3"/>
    </row>
    <row r="2377" spans="1:9" s="93" customFormat="1" ht="9" customHeight="1" x14ac:dyDescent="0.3">
      <c r="A2377" s="91"/>
      <c r="B2377" s="70"/>
      <c r="C2377" s="70"/>
      <c r="D2377" s="70"/>
      <c r="E2377" s="70"/>
      <c r="F2377" s="70"/>
      <c r="G2377" s="70"/>
      <c r="H2377" s="131"/>
      <c r="I2377" s="3"/>
    </row>
    <row r="2378" spans="1:9" s="93" customFormat="1" ht="9" customHeight="1" x14ac:dyDescent="0.3">
      <c r="A2378" s="91"/>
      <c r="B2378" s="70"/>
      <c r="C2378" s="70"/>
      <c r="D2378" s="70"/>
      <c r="E2378" s="70"/>
      <c r="F2378" s="70"/>
      <c r="G2378" s="70"/>
      <c r="H2378" s="131"/>
      <c r="I2378" s="3"/>
    </row>
    <row r="2379" spans="1:9" s="93" customFormat="1" ht="9" customHeight="1" x14ac:dyDescent="0.3">
      <c r="A2379" s="91"/>
      <c r="B2379" s="70"/>
      <c r="C2379" s="70"/>
      <c r="D2379" s="70"/>
      <c r="E2379" s="70"/>
      <c r="F2379" s="70"/>
      <c r="G2379" s="70"/>
      <c r="H2379" s="131"/>
      <c r="I2379" s="3"/>
    </row>
    <row r="2380" spans="1:9" s="93" customFormat="1" ht="9" customHeight="1" x14ac:dyDescent="0.3">
      <c r="A2380" s="91"/>
      <c r="B2380" s="70"/>
      <c r="C2380" s="70"/>
      <c r="D2380" s="70"/>
      <c r="E2380" s="70"/>
      <c r="F2380" s="70"/>
      <c r="G2380" s="70"/>
      <c r="H2380" s="131"/>
      <c r="I2380" s="3"/>
    </row>
    <row r="2381" spans="1:9" s="93" customFormat="1" ht="9" customHeight="1" x14ac:dyDescent="0.3">
      <c r="A2381" s="91"/>
      <c r="B2381" s="70"/>
      <c r="C2381" s="70"/>
      <c r="D2381" s="70"/>
      <c r="E2381" s="70"/>
      <c r="F2381" s="70"/>
      <c r="G2381" s="70"/>
      <c r="H2381" s="131"/>
      <c r="I2381" s="3"/>
    </row>
    <row r="2382" spans="1:9" s="93" customFormat="1" ht="9" customHeight="1" x14ac:dyDescent="0.3">
      <c r="A2382" s="91"/>
      <c r="B2382" s="70"/>
      <c r="C2382" s="70"/>
      <c r="D2382" s="70"/>
      <c r="E2382" s="70"/>
      <c r="F2382" s="70"/>
      <c r="G2382" s="70"/>
      <c r="H2382" s="131"/>
      <c r="I2382" s="3"/>
    </row>
    <row r="2383" spans="1:9" s="93" customFormat="1" ht="9" customHeight="1" x14ac:dyDescent="0.3">
      <c r="A2383" s="91"/>
      <c r="B2383" s="70"/>
      <c r="C2383" s="70"/>
      <c r="D2383" s="70"/>
      <c r="E2383" s="70"/>
      <c r="F2383" s="70"/>
      <c r="G2383" s="70"/>
      <c r="H2383" s="131"/>
      <c r="I2383" s="3"/>
    </row>
    <row r="2384" spans="1:9" s="93" customFormat="1" ht="9" customHeight="1" x14ac:dyDescent="0.3">
      <c r="A2384" s="91"/>
      <c r="B2384" s="70"/>
      <c r="C2384" s="70"/>
      <c r="D2384" s="70"/>
      <c r="E2384" s="70"/>
      <c r="F2384" s="70"/>
      <c r="G2384" s="70"/>
      <c r="H2384" s="131"/>
      <c r="I2384" s="3"/>
    </row>
    <row r="2385" spans="1:9" s="93" customFormat="1" ht="9" customHeight="1" x14ac:dyDescent="0.3">
      <c r="A2385" s="91"/>
      <c r="B2385" s="70"/>
      <c r="C2385" s="70"/>
      <c r="D2385" s="70"/>
      <c r="E2385" s="70"/>
      <c r="F2385" s="70"/>
      <c r="G2385" s="70"/>
      <c r="H2385" s="131"/>
      <c r="I2385" s="3"/>
    </row>
    <row r="2386" spans="1:9" s="93" customFormat="1" ht="9" customHeight="1" x14ac:dyDescent="0.3">
      <c r="A2386" s="91"/>
      <c r="B2386" s="70"/>
      <c r="C2386" s="70"/>
      <c r="D2386" s="70"/>
      <c r="E2386" s="70"/>
      <c r="F2386" s="70"/>
      <c r="G2386" s="70"/>
      <c r="H2386" s="131"/>
      <c r="I2386" s="3"/>
    </row>
    <row r="2387" spans="1:9" s="93" customFormat="1" ht="9" customHeight="1" x14ac:dyDescent="0.3">
      <c r="A2387" s="91"/>
      <c r="B2387" s="70"/>
      <c r="C2387" s="70"/>
      <c r="D2387" s="70"/>
      <c r="E2387" s="70"/>
      <c r="F2387" s="70"/>
      <c r="G2387" s="70"/>
      <c r="H2387" s="131"/>
      <c r="I2387" s="3"/>
    </row>
    <row r="2388" spans="1:9" s="93" customFormat="1" ht="9" customHeight="1" x14ac:dyDescent="0.3">
      <c r="A2388" s="91"/>
      <c r="B2388" s="70"/>
      <c r="C2388" s="70"/>
      <c r="D2388" s="70"/>
      <c r="E2388" s="70"/>
      <c r="F2388" s="70"/>
      <c r="G2388" s="70"/>
      <c r="H2388" s="131"/>
      <c r="I2388" s="3"/>
    </row>
    <row r="2389" spans="1:9" s="93" customFormat="1" ht="9" customHeight="1" x14ac:dyDescent="0.3">
      <c r="A2389" s="91"/>
      <c r="B2389" s="70"/>
      <c r="C2389" s="70"/>
      <c r="D2389" s="70"/>
      <c r="E2389" s="70"/>
      <c r="F2389" s="70"/>
      <c r="G2389" s="70"/>
      <c r="H2389" s="131"/>
      <c r="I2389" s="3"/>
    </row>
    <row r="2390" spans="1:9" s="93" customFormat="1" ht="9" customHeight="1" x14ac:dyDescent="0.3">
      <c r="A2390" s="91"/>
      <c r="B2390" s="70"/>
      <c r="C2390" s="70"/>
      <c r="D2390" s="70"/>
      <c r="E2390" s="70"/>
      <c r="F2390" s="70"/>
      <c r="G2390" s="70"/>
      <c r="H2390" s="131"/>
      <c r="I2390" s="3"/>
    </row>
    <row r="2391" spans="1:9" s="93" customFormat="1" ht="9" customHeight="1" x14ac:dyDescent="0.3">
      <c r="A2391" s="91"/>
      <c r="B2391" s="70"/>
      <c r="C2391" s="70"/>
      <c r="D2391" s="70"/>
      <c r="E2391" s="70"/>
      <c r="F2391" s="70"/>
      <c r="G2391" s="70"/>
      <c r="H2391" s="131"/>
      <c r="I2391" s="3"/>
    </row>
    <row r="2392" spans="1:9" s="93" customFormat="1" ht="9" customHeight="1" x14ac:dyDescent="0.3">
      <c r="A2392" s="91"/>
      <c r="B2392" s="70"/>
      <c r="C2392" s="70"/>
      <c r="D2392" s="70"/>
      <c r="E2392" s="70"/>
      <c r="F2392" s="70"/>
      <c r="G2392" s="70"/>
      <c r="H2392" s="131"/>
      <c r="I2392" s="3"/>
    </row>
    <row r="2393" spans="1:9" s="93" customFormat="1" ht="9" customHeight="1" x14ac:dyDescent="0.3">
      <c r="A2393" s="91"/>
      <c r="B2393" s="70"/>
      <c r="C2393" s="70"/>
      <c r="D2393" s="70"/>
      <c r="E2393" s="70"/>
      <c r="F2393" s="70"/>
      <c r="G2393" s="70"/>
      <c r="H2393" s="131"/>
      <c r="I2393" s="3"/>
    </row>
    <row r="2394" spans="1:9" s="93" customFormat="1" ht="9" customHeight="1" x14ac:dyDescent="0.3">
      <c r="A2394" s="91"/>
      <c r="B2394" s="70"/>
      <c r="C2394" s="70"/>
      <c r="D2394" s="70"/>
      <c r="E2394" s="70"/>
      <c r="F2394" s="70"/>
      <c r="G2394" s="70"/>
      <c r="H2394" s="131"/>
      <c r="I2394" s="3"/>
    </row>
    <row r="2395" spans="1:9" s="93" customFormat="1" ht="9" customHeight="1" x14ac:dyDescent="0.3">
      <c r="A2395" s="91"/>
      <c r="B2395" s="70"/>
      <c r="C2395" s="70"/>
      <c r="D2395" s="70"/>
      <c r="E2395" s="70"/>
      <c r="F2395" s="70"/>
      <c r="G2395" s="70"/>
      <c r="H2395" s="131"/>
      <c r="I2395" s="3"/>
    </row>
    <row r="2396" spans="1:9" s="93" customFormat="1" ht="9" customHeight="1" x14ac:dyDescent="0.3">
      <c r="A2396" s="91"/>
      <c r="B2396" s="70"/>
      <c r="C2396" s="70"/>
      <c r="D2396" s="70"/>
      <c r="E2396" s="70"/>
      <c r="F2396" s="70"/>
      <c r="G2396" s="70"/>
      <c r="H2396" s="131"/>
      <c r="I2396" s="3"/>
    </row>
    <row r="2397" spans="1:9" s="93" customFormat="1" ht="9" customHeight="1" x14ac:dyDescent="0.3">
      <c r="A2397" s="91"/>
      <c r="B2397" s="70"/>
      <c r="C2397" s="70"/>
      <c r="D2397" s="70"/>
      <c r="E2397" s="70"/>
      <c r="F2397" s="70"/>
      <c r="G2397" s="70"/>
      <c r="H2397" s="131"/>
      <c r="I2397" s="3"/>
    </row>
    <row r="2398" spans="1:9" s="93" customFormat="1" ht="9" customHeight="1" x14ac:dyDescent="0.3">
      <c r="A2398" s="91"/>
      <c r="B2398" s="70"/>
      <c r="C2398" s="70"/>
      <c r="D2398" s="70"/>
      <c r="E2398" s="70"/>
      <c r="F2398" s="70"/>
      <c r="G2398" s="70"/>
      <c r="H2398" s="131"/>
      <c r="I2398" s="3"/>
    </row>
    <row r="2399" spans="1:9" s="93" customFormat="1" ht="9" customHeight="1" x14ac:dyDescent="0.3">
      <c r="A2399" s="91"/>
      <c r="B2399" s="70"/>
      <c r="C2399" s="70"/>
      <c r="D2399" s="70"/>
      <c r="E2399" s="70"/>
      <c r="F2399" s="70"/>
      <c r="G2399" s="70"/>
      <c r="H2399" s="131"/>
      <c r="I2399" s="3"/>
    </row>
    <row r="2400" spans="1:9" s="93" customFormat="1" ht="9" customHeight="1" x14ac:dyDescent="0.3">
      <c r="A2400" s="91"/>
      <c r="B2400" s="70"/>
      <c r="C2400" s="70"/>
      <c r="D2400" s="70"/>
      <c r="E2400" s="70"/>
      <c r="F2400" s="70"/>
      <c r="G2400" s="70"/>
      <c r="H2400" s="131"/>
      <c r="I2400" s="3"/>
    </row>
    <row r="2401" spans="1:9" s="93" customFormat="1" ht="9" customHeight="1" x14ac:dyDescent="0.3">
      <c r="A2401" s="91"/>
      <c r="B2401" s="70"/>
      <c r="C2401" s="70"/>
      <c r="D2401" s="70"/>
      <c r="E2401" s="70"/>
      <c r="F2401" s="70"/>
      <c r="G2401" s="70"/>
      <c r="H2401" s="131"/>
      <c r="I2401" s="3"/>
    </row>
    <row r="2402" spans="1:9" s="93" customFormat="1" ht="9" customHeight="1" x14ac:dyDescent="0.3">
      <c r="A2402" s="91"/>
      <c r="B2402" s="70"/>
      <c r="C2402" s="70"/>
      <c r="D2402" s="70"/>
      <c r="E2402" s="70"/>
      <c r="F2402" s="70"/>
      <c r="G2402" s="70"/>
      <c r="H2402" s="131"/>
      <c r="I2402" s="3"/>
    </row>
    <row r="2403" spans="1:9" s="93" customFormat="1" ht="9" customHeight="1" x14ac:dyDescent="0.3">
      <c r="A2403" s="91"/>
      <c r="B2403" s="70"/>
      <c r="C2403" s="70"/>
      <c r="D2403" s="70"/>
      <c r="E2403" s="70"/>
      <c r="F2403" s="70"/>
      <c r="G2403" s="70"/>
      <c r="H2403" s="131"/>
      <c r="I2403" s="3"/>
    </row>
    <row r="2404" spans="1:9" s="93" customFormat="1" ht="9" customHeight="1" x14ac:dyDescent="0.3">
      <c r="A2404" s="91"/>
      <c r="B2404" s="70"/>
      <c r="C2404" s="70"/>
      <c r="D2404" s="70"/>
      <c r="E2404" s="70"/>
      <c r="F2404" s="70"/>
      <c r="G2404" s="70"/>
      <c r="H2404" s="131"/>
      <c r="I2404" s="3"/>
    </row>
    <row r="2405" spans="1:9" s="93" customFormat="1" ht="9" customHeight="1" x14ac:dyDescent="0.3">
      <c r="A2405" s="91"/>
      <c r="B2405" s="70"/>
      <c r="C2405" s="70"/>
      <c r="D2405" s="70"/>
      <c r="E2405" s="70"/>
      <c r="F2405" s="70"/>
      <c r="G2405" s="70"/>
      <c r="H2405" s="131"/>
      <c r="I2405" s="3"/>
    </row>
    <row r="2406" spans="1:9" s="93" customFormat="1" ht="9" customHeight="1" x14ac:dyDescent="0.3">
      <c r="A2406" s="91"/>
      <c r="B2406" s="70"/>
      <c r="C2406" s="70"/>
      <c r="D2406" s="70"/>
      <c r="E2406" s="70"/>
      <c r="F2406" s="70"/>
      <c r="G2406" s="70"/>
      <c r="H2406" s="131"/>
      <c r="I2406" s="3"/>
    </row>
    <row r="2407" spans="1:9" s="93" customFormat="1" ht="9" customHeight="1" x14ac:dyDescent="0.3">
      <c r="A2407" s="91"/>
      <c r="B2407" s="70"/>
      <c r="C2407" s="70"/>
      <c r="D2407" s="70"/>
      <c r="E2407" s="70"/>
      <c r="F2407" s="70"/>
      <c r="G2407" s="70"/>
      <c r="H2407" s="131"/>
      <c r="I2407" s="3"/>
    </row>
    <row r="2408" spans="1:9" s="93" customFormat="1" ht="9" customHeight="1" x14ac:dyDescent="0.3">
      <c r="A2408" s="91"/>
      <c r="B2408" s="70"/>
      <c r="C2408" s="70"/>
      <c r="D2408" s="70"/>
      <c r="E2408" s="70"/>
      <c r="F2408" s="70"/>
      <c r="G2408" s="70"/>
      <c r="H2408" s="131"/>
      <c r="I2408" s="3"/>
    </row>
    <row r="2409" spans="1:9" s="93" customFormat="1" ht="9" customHeight="1" x14ac:dyDescent="0.3">
      <c r="A2409" s="91"/>
      <c r="B2409" s="70"/>
      <c r="C2409" s="70"/>
      <c r="D2409" s="70"/>
      <c r="E2409" s="70"/>
      <c r="F2409" s="70"/>
      <c r="G2409" s="70"/>
      <c r="H2409" s="131"/>
      <c r="I2409" s="3"/>
    </row>
    <row r="2410" spans="1:9" s="93" customFormat="1" ht="9" customHeight="1" x14ac:dyDescent="0.3">
      <c r="A2410" s="91"/>
      <c r="B2410" s="70"/>
      <c r="C2410" s="70"/>
      <c r="D2410" s="70"/>
      <c r="E2410" s="70"/>
      <c r="F2410" s="70"/>
      <c r="G2410" s="70"/>
      <c r="H2410" s="131"/>
      <c r="I2410" s="3"/>
    </row>
    <row r="2411" spans="1:9" s="93" customFormat="1" ht="9" customHeight="1" x14ac:dyDescent="0.3">
      <c r="A2411" s="91"/>
      <c r="B2411" s="70"/>
      <c r="C2411" s="70"/>
      <c r="D2411" s="70"/>
      <c r="E2411" s="70"/>
      <c r="F2411" s="70"/>
      <c r="G2411" s="70"/>
      <c r="H2411" s="131"/>
      <c r="I2411" s="3"/>
    </row>
    <row r="2412" spans="1:9" s="93" customFormat="1" ht="9" customHeight="1" x14ac:dyDescent="0.3">
      <c r="A2412" s="91"/>
      <c r="B2412" s="70"/>
      <c r="C2412" s="70"/>
      <c r="D2412" s="70"/>
      <c r="E2412" s="70"/>
      <c r="F2412" s="70"/>
      <c r="G2412" s="70"/>
      <c r="H2412" s="131"/>
      <c r="I2412" s="3"/>
    </row>
    <row r="2413" spans="1:9" s="93" customFormat="1" ht="9" customHeight="1" x14ac:dyDescent="0.3">
      <c r="A2413" s="91"/>
      <c r="B2413" s="70"/>
      <c r="C2413" s="70"/>
      <c r="D2413" s="70"/>
      <c r="E2413" s="70"/>
      <c r="F2413" s="70"/>
      <c r="G2413" s="70"/>
      <c r="H2413" s="131"/>
      <c r="I2413" s="3"/>
    </row>
    <row r="2414" spans="1:9" s="93" customFormat="1" ht="9" customHeight="1" x14ac:dyDescent="0.3">
      <c r="A2414" s="91"/>
      <c r="B2414" s="70"/>
      <c r="C2414" s="70"/>
      <c r="D2414" s="70"/>
      <c r="E2414" s="70"/>
      <c r="F2414" s="70"/>
      <c r="G2414" s="70"/>
      <c r="H2414" s="131"/>
      <c r="I2414" s="3"/>
    </row>
    <row r="2415" spans="1:9" s="93" customFormat="1" ht="9" customHeight="1" x14ac:dyDescent="0.3">
      <c r="A2415" s="91"/>
      <c r="B2415" s="70"/>
      <c r="C2415" s="70"/>
      <c r="D2415" s="70"/>
      <c r="E2415" s="70"/>
      <c r="F2415" s="70"/>
      <c r="G2415" s="70"/>
      <c r="H2415" s="131"/>
      <c r="I2415" s="3"/>
    </row>
    <row r="2416" spans="1:9" s="93" customFormat="1" ht="9" customHeight="1" x14ac:dyDescent="0.3">
      <c r="A2416" s="91"/>
      <c r="B2416" s="70"/>
      <c r="C2416" s="70"/>
      <c r="D2416" s="70"/>
      <c r="E2416" s="70"/>
      <c r="F2416" s="70"/>
      <c r="G2416" s="70"/>
      <c r="H2416" s="131"/>
      <c r="I2416" s="3"/>
    </row>
    <row r="2417" spans="1:9" s="93" customFormat="1" ht="9" customHeight="1" x14ac:dyDescent="0.3">
      <c r="A2417" s="91"/>
      <c r="B2417" s="70"/>
      <c r="C2417" s="70"/>
      <c r="D2417" s="70"/>
      <c r="E2417" s="70"/>
      <c r="F2417" s="70"/>
      <c r="G2417" s="70"/>
      <c r="H2417" s="131"/>
      <c r="I2417" s="3"/>
    </row>
    <row r="2418" spans="1:9" s="93" customFormat="1" ht="9" customHeight="1" x14ac:dyDescent="0.3">
      <c r="A2418" s="91"/>
      <c r="B2418" s="70"/>
      <c r="C2418" s="70"/>
      <c r="D2418" s="70"/>
      <c r="E2418" s="70"/>
      <c r="F2418" s="70"/>
      <c r="G2418" s="70"/>
      <c r="H2418" s="131"/>
      <c r="I2418" s="3"/>
    </row>
    <row r="2419" spans="1:9" s="93" customFormat="1" ht="9" customHeight="1" x14ac:dyDescent="0.3">
      <c r="A2419" s="91"/>
      <c r="B2419" s="70"/>
      <c r="C2419" s="70"/>
      <c r="D2419" s="70"/>
      <c r="E2419" s="70"/>
      <c r="F2419" s="70"/>
      <c r="G2419" s="70"/>
      <c r="H2419" s="131"/>
      <c r="I2419" s="3"/>
    </row>
    <row r="2420" spans="1:9" s="93" customFormat="1" ht="9" customHeight="1" x14ac:dyDescent="0.3">
      <c r="A2420" s="91"/>
      <c r="B2420" s="70"/>
      <c r="C2420" s="70"/>
      <c r="D2420" s="70"/>
      <c r="E2420" s="70"/>
      <c r="F2420" s="70"/>
      <c r="G2420" s="70"/>
      <c r="H2420" s="131"/>
      <c r="I2420" s="3"/>
    </row>
    <row r="2421" spans="1:9" s="93" customFormat="1" ht="9" customHeight="1" x14ac:dyDescent="0.3">
      <c r="A2421" s="91"/>
      <c r="B2421" s="70"/>
      <c r="C2421" s="70"/>
      <c r="D2421" s="70"/>
      <c r="E2421" s="70"/>
      <c r="F2421" s="70"/>
      <c r="G2421" s="70"/>
      <c r="H2421" s="131"/>
      <c r="I2421" s="3"/>
    </row>
    <row r="2422" spans="1:9" s="93" customFormat="1" ht="9" customHeight="1" x14ac:dyDescent="0.3">
      <c r="A2422" s="91"/>
      <c r="B2422" s="70"/>
      <c r="C2422" s="70"/>
      <c r="D2422" s="70"/>
      <c r="E2422" s="70"/>
      <c r="F2422" s="70"/>
      <c r="G2422" s="70"/>
      <c r="H2422" s="131"/>
      <c r="I2422" s="3"/>
    </row>
    <row r="2423" spans="1:9" s="93" customFormat="1" ht="9" customHeight="1" x14ac:dyDescent="0.3">
      <c r="A2423" s="91"/>
      <c r="B2423" s="70"/>
      <c r="C2423" s="70"/>
      <c r="D2423" s="70"/>
      <c r="E2423" s="70"/>
      <c r="F2423" s="70"/>
      <c r="G2423" s="70"/>
      <c r="H2423" s="131"/>
      <c r="I2423" s="3"/>
    </row>
    <row r="2424" spans="1:9" s="93" customFormat="1" ht="9" customHeight="1" x14ac:dyDescent="0.3">
      <c r="A2424" s="91"/>
      <c r="B2424" s="70"/>
      <c r="C2424" s="70"/>
      <c r="D2424" s="70"/>
      <c r="E2424" s="70"/>
      <c r="F2424" s="70"/>
      <c r="G2424" s="70"/>
      <c r="H2424" s="131"/>
      <c r="I2424" s="3"/>
    </row>
    <row r="2425" spans="1:9" s="93" customFormat="1" ht="9" customHeight="1" x14ac:dyDescent="0.3">
      <c r="A2425" s="91"/>
      <c r="B2425" s="70"/>
      <c r="C2425" s="70"/>
      <c r="D2425" s="70"/>
      <c r="E2425" s="70"/>
      <c r="F2425" s="70"/>
      <c r="G2425" s="70"/>
      <c r="H2425" s="131"/>
      <c r="I2425" s="3"/>
    </row>
    <row r="2426" spans="1:9" s="93" customFormat="1" ht="9" customHeight="1" x14ac:dyDescent="0.3">
      <c r="A2426" s="91"/>
      <c r="B2426" s="70"/>
      <c r="C2426" s="70"/>
      <c r="D2426" s="70"/>
      <c r="E2426" s="70"/>
      <c r="F2426" s="70"/>
      <c r="G2426" s="70"/>
      <c r="H2426" s="131"/>
      <c r="I2426" s="3"/>
    </row>
    <row r="2427" spans="1:9" s="93" customFormat="1" ht="9" customHeight="1" x14ac:dyDescent="0.3">
      <c r="A2427" s="91"/>
      <c r="B2427" s="70"/>
      <c r="C2427" s="70"/>
      <c r="D2427" s="70"/>
      <c r="E2427" s="70"/>
      <c r="F2427" s="70"/>
      <c r="G2427" s="70"/>
      <c r="H2427" s="131"/>
      <c r="I2427" s="3"/>
    </row>
    <row r="2428" spans="1:9" s="93" customFormat="1" ht="9" customHeight="1" x14ac:dyDescent="0.3">
      <c r="A2428" s="91"/>
      <c r="B2428" s="70"/>
      <c r="C2428" s="70"/>
      <c r="D2428" s="70"/>
      <c r="E2428" s="70"/>
      <c r="F2428" s="70"/>
      <c r="G2428" s="70"/>
      <c r="H2428" s="131"/>
      <c r="I2428" s="3"/>
    </row>
    <row r="2429" spans="1:9" s="93" customFormat="1" ht="9" customHeight="1" x14ac:dyDescent="0.3">
      <c r="A2429" s="91"/>
      <c r="B2429" s="70"/>
      <c r="C2429" s="70"/>
      <c r="D2429" s="70"/>
      <c r="E2429" s="70"/>
      <c r="F2429" s="70"/>
      <c r="G2429" s="70"/>
      <c r="H2429" s="131"/>
      <c r="I2429" s="3"/>
    </row>
    <row r="2430" spans="1:9" s="93" customFormat="1" ht="9" customHeight="1" x14ac:dyDescent="0.3">
      <c r="A2430" s="91"/>
      <c r="B2430" s="70"/>
      <c r="C2430" s="70"/>
      <c r="D2430" s="70"/>
      <c r="E2430" s="70"/>
      <c r="F2430" s="70"/>
      <c r="G2430" s="70"/>
      <c r="H2430" s="131"/>
      <c r="I2430" s="3"/>
    </row>
    <row r="2431" spans="1:9" s="93" customFormat="1" ht="9" customHeight="1" x14ac:dyDescent="0.3">
      <c r="A2431" s="91"/>
      <c r="B2431" s="70"/>
      <c r="C2431" s="70"/>
      <c r="D2431" s="70"/>
      <c r="E2431" s="70"/>
      <c r="F2431" s="70"/>
      <c r="G2431" s="70"/>
      <c r="H2431" s="131"/>
      <c r="I2431" s="3"/>
    </row>
    <row r="2432" spans="1:9" s="93" customFormat="1" ht="9" customHeight="1" x14ac:dyDescent="0.3">
      <c r="A2432" s="91"/>
      <c r="B2432" s="70"/>
      <c r="C2432" s="70"/>
      <c r="D2432" s="70"/>
      <c r="E2432" s="70"/>
      <c r="F2432" s="70"/>
      <c r="G2432" s="70"/>
      <c r="H2432" s="131"/>
      <c r="I2432" s="3"/>
    </row>
    <row r="2433" spans="1:9" s="93" customFormat="1" ht="9" customHeight="1" x14ac:dyDescent="0.3">
      <c r="A2433" s="91"/>
      <c r="B2433" s="70"/>
      <c r="C2433" s="70"/>
      <c r="D2433" s="70"/>
      <c r="E2433" s="70"/>
      <c r="F2433" s="70"/>
      <c r="G2433" s="70"/>
      <c r="H2433" s="131"/>
      <c r="I2433" s="3"/>
    </row>
    <row r="2434" spans="1:9" s="93" customFormat="1" ht="9" customHeight="1" x14ac:dyDescent="0.3">
      <c r="A2434" s="91"/>
      <c r="B2434" s="70"/>
      <c r="C2434" s="70"/>
      <c r="D2434" s="70"/>
      <c r="E2434" s="70"/>
      <c r="F2434" s="70"/>
      <c r="G2434" s="70"/>
      <c r="H2434" s="131"/>
      <c r="I2434" s="3"/>
    </row>
    <row r="2435" spans="1:9" s="93" customFormat="1" ht="9" customHeight="1" x14ac:dyDescent="0.3">
      <c r="A2435" s="91"/>
      <c r="B2435" s="70"/>
      <c r="C2435" s="70"/>
      <c r="D2435" s="70"/>
      <c r="E2435" s="70"/>
      <c r="F2435" s="70"/>
      <c r="G2435" s="70"/>
      <c r="H2435" s="131"/>
      <c r="I2435" s="3"/>
    </row>
    <row r="2436" spans="1:9" s="93" customFormat="1" ht="9" customHeight="1" x14ac:dyDescent="0.3">
      <c r="A2436" s="91"/>
      <c r="B2436" s="70"/>
      <c r="C2436" s="70"/>
      <c r="D2436" s="70"/>
      <c r="E2436" s="70"/>
      <c r="F2436" s="70"/>
      <c r="G2436" s="70"/>
      <c r="H2436" s="131"/>
      <c r="I2436" s="3"/>
    </row>
    <row r="2437" spans="1:9" s="93" customFormat="1" ht="9" customHeight="1" x14ac:dyDescent="0.3">
      <c r="A2437" s="91"/>
      <c r="B2437" s="70"/>
      <c r="C2437" s="70"/>
      <c r="D2437" s="70"/>
      <c r="E2437" s="70"/>
      <c r="F2437" s="70"/>
      <c r="G2437" s="70"/>
      <c r="H2437" s="131"/>
      <c r="I2437" s="3"/>
    </row>
    <row r="2438" spans="1:9" s="93" customFormat="1" ht="9" customHeight="1" x14ac:dyDescent="0.3">
      <c r="A2438" s="91"/>
      <c r="B2438" s="70"/>
      <c r="C2438" s="70"/>
      <c r="D2438" s="70"/>
      <c r="E2438" s="70"/>
      <c r="F2438" s="70"/>
      <c r="G2438" s="70"/>
      <c r="H2438" s="131"/>
      <c r="I2438" s="3"/>
    </row>
    <row r="2439" spans="1:9" s="93" customFormat="1" ht="9" customHeight="1" x14ac:dyDescent="0.3">
      <c r="A2439" s="91"/>
      <c r="B2439" s="70"/>
      <c r="C2439" s="70"/>
      <c r="D2439" s="70"/>
      <c r="E2439" s="70"/>
      <c r="F2439" s="70"/>
      <c r="G2439" s="70"/>
      <c r="H2439" s="131"/>
      <c r="I2439" s="3"/>
    </row>
    <row r="2440" spans="1:9" s="93" customFormat="1" ht="9" customHeight="1" x14ac:dyDescent="0.3">
      <c r="A2440" s="91"/>
      <c r="B2440" s="70"/>
      <c r="C2440" s="70"/>
      <c r="D2440" s="70"/>
      <c r="E2440" s="70"/>
      <c r="F2440" s="70"/>
      <c r="G2440" s="70"/>
      <c r="H2440" s="131"/>
      <c r="I2440" s="3"/>
    </row>
    <row r="2441" spans="1:9" s="93" customFormat="1" ht="9" customHeight="1" x14ac:dyDescent="0.3">
      <c r="A2441" s="91"/>
      <c r="B2441" s="70"/>
      <c r="C2441" s="70"/>
      <c r="D2441" s="70"/>
      <c r="E2441" s="70"/>
      <c r="F2441" s="70"/>
      <c r="G2441" s="70"/>
      <c r="H2441" s="131"/>
      <c r="I2441" s="3"/>
    </row>
    <row r="2442" spans="1:9" s="93" customFormat="1" ht="9" customHeight="1" x14ac:dyDescent="0.3">
      <c r="A2442" s="91"/>
      <c r="B2442" s="70"/>
      <c r="C2442" s="70"/>
      <c r="D2442" s="70"/>
      <c r="E2442" s="70"/>
      <c r="F2442" s="70"/>
      <c r="G2442" s="70"/>
      <c r="H2442" s="131"/>
      <c r="I2442" s="3"/>
    </row>
    <row r="2443" spans="1:9" s="93" customFormat="1" ht="9" customHeight="1" x14ac:dyDescent="0.3">
      <c r="A2443" s="91"/>
      <c r="B2443" s="70"/>
      <c r="C2443" s="70"/>
      <c r="D2443" s="70"/>
      <c r="E2443" s="70"/>
      <c r="F2443" s="70"/>
      <c r="G2443" s="70"/>
      <c r="H2443" s="131"/>
      <c r="I2443" s="3"/>
    </row>
    <row r="2444" spans="1:9" s="93" customFormat="1" ht="9" customHeight="1" x14ac:dyDescent="0.3">
      <c r="A2444" s="91"/>
      <c r="B2444" s="70"/>
      <c r="C2444" s="70"/>
      <c r="D2444" s="70"/>
      <c r="E2444" s="70"/>
      <c r="F2444" s="70"/>
      <c r="G2444" s="70"/>
      <c r="H2444" s="131"/>
      <c r="I2444" s="3"/>
    </row>
    <row r="2445" spans="1:9" s="93" customFormat="1" ht="9" customHeight="1" x14ac:dyDescent="0.3">
      <c r="A2445" s="91"/>
      <c r="B2445" s="70"/>
      <c r="C2445" s="70"/>
      <c r="D2445" s="70"/>
      <c r="E2445" s="70"/>
      <c r="F2445" s="70"/>
      <c r="G2445" s="70"/>
      <c r="H2445" s="131"/>
      <c r="I2445" s="3"/>
    </row>
    <row r="2446" spans="1:9" s="93" customFormat="1" ht="9" customHeight="1" x14ac:dyDescent="0.3">
      <c r="A2446" s="91"/>
      <c r="B2446" s="70"/>
      <c r="C2446" s="70"/>
      <c r="D2446" s="70"/>
      <c r="E2446" s="70"/>
      <c r="F2446" s="70"/>
      <c r="G2446" s="70"/>
      <c r="H2446" s="131"/>
      <c r="I2446" s="3"/>
    </row>
    <row r="2447" spans="1:9" s="93" customFormat="1" ht="9" customHeight="1" x14ac:dyDescent="0.3">
      <c r="A2447" s="91"/>
      <c r="B2447" s="70"/>
      <c r="C2447" s="70"/>
      <c r="D2447" s="70"/>
      <c r="E2447" s="70"/>
      <c r="F2447" s="70"/>
      <c r="G2447" s="70"/>
      <c r="H2447" s="131"/>
      <c r="I2447" s="3"/>
    </row>
    <row r="2448" spans="1:9" s="93" customFormat="1" ht="9" customHeight="1" x14ac:dyDescent="0.3">
      <c r="A2448" s="91"/>
      <c r="B2448" s="70"/>
      <c r="C2448" s="70"/>
      <c r="D2448" s="70"/>
      <c r="E2448" s="70"/>
      <c r="F2448" s="70"/>
      <c r="G2448" s="70"/>
      <c r="H2448" s="131"/>
      <c r="I2448" s="3"/>
    </row>
    <row r="2449" spans="1:9" s="93" customFormat="1" ht="9" customHeight="1" x14ac:dyDescent="0.3">
      <c r="A2449" s="91"/>
      <c r="B2449" s="70"/>
      <c r="C2449" s="70"/>
      <c r="D2449" s="70"/>
      <c r="E2449" s="70"/>
      <c r="F2449" s="70"/>
      <c r="G2449" s="70"/>
      <c r="H2449" s="131"/>
      <c r="I2449" s="3"/>
    </row>
    <row r="2450" spans="1:9" s="93" customFormat="1" ht="9" customHeight="1" x14ac:dyDescent="0.3">
      <c r="A2450" s="91"/>
      <c r="B2450" s="70"/>
      <c r="C2450" s="70"/>
      <c r="D2450" s="70"/>
      <c r="E2450" s="70"/>
      <c r="F2450" s="70"/>
      <c r="G2450" s="70"/>
      <c r="H2450" s="131"/>
      <c r="I2450" s="3"/>
    </row>
    <row r="2451" spans="1:9" s="93" customFormat="1" ht="9" customHeight="1" x14ac:dyDescent="0.3">
      <c r="A2451" s="91"/>
      <c r="B2451" s="70"/>
      <c r="C2451" s="70"/>
      <c r="D2451" s="70"/>
      <c r="E2451" s="70"/>
      <c r="F2451" s="70"/>
      <c r="G2451" s="70"/>
      <c r="H2451" s="131"/>
      <c r="I2451" s="3"/>
    </row>
    <row r="2452" spans="1:9" s="93" customFormat="1" ht="9" customHeight="1" x14ac:dyDescent="0.3">
      <c r="A2452" s="91"/>
      <c r="B2452" s="70"/>
      <c r="C2452" s="70"/>
      <c r="D2452" s="70"/>
      <c r="E2452" s="70"/>
      <c r="F2452" s="70"/>
      <c r="G2452" s="70"/>
      <c r="H2452" s="131"/>
      <c r="I2452" s="3"/>
    </row>
    <row r="2453" spans="1:9" s="93" customFormat="1" ht="9" customHeight="1" x14ac:dyDescent="0.3">
      <c r="A2453" s="91"/>
      <c r="B2453" s="70"/>
      <c r="C2453" s="70"/>
      <c r="D2453" s="70"/>
      <c r="E2453" s="70"/>
      <c r="F2453" s="70"/>
      <c r="G2453" s="70"/>
      <c r="H2453" s="131"/>
      <c r="I2453" s="3"/>
    </row>
    <row r="2454" spans="1:9" s="93" customFormat="1" ht="9" customHeight="1" x14ac:dyDescent="0.3">
      <c r="A2454" s="91"/>
      <c r="B2454" s="70"/>
      <c r="C2454" s="70"/>
      <c r="D2454" s="70"/>
      <c r="E2454" s="70"/>
      <c r="F2454" s="70"/>
      <c r="G2454" s="70"/>
      <c r="H2454" s="131"/>
      <c r="I2454" s="3"/>
    </row>
    <row r="2455" spans="1:9" s="93" customFormat="1" ht="9" customHeight="1" x14ac:dyDescent="0.3">
      <c r="A2455" s="91"/>
      <c r="B2455" s="70"/>
      <c r="C2455" s="70"/>
      <c r="D2455" s="70"/>
      <c r="E2455" s="70"/>
      <c r="F2455" s="70"/>
      <c r="G2455" s="70"/>
      <c r="H2455" s="131"/>
      <c r="I2455" s="3"/>
    </row>
    <row r="2456" spans="1:9" s="93" customFormat="1" ht="9" customHeight="1" x14ac:dyDescent="0.3">
      <c r="A2456" s="91"/>
      <c r="B2456" s="70"/>
      <c r="C2456" s="70"/>
      <c r="D2456" s="70"/>
      <c r="E2456" s="70"/>
      <c r="F2456" s="70"/>
      <c r="G2456" s="70"/>
      <c r="H2456" s="131"/>
      <c r="I2456" s="3"/>
    </row>
    <row r="2457" spans="1:9" s="93" customFormat="1" ht="9" customHeight="1" x14ac:dyDescent="0.3">
      <c r="A2457" s="91"/>
      <c r="B2457" s="70"/>
      <c r="C2457" s="70"/>
      <c r="D2457" s="70"/>
      <c r="E2457" s="70"/>
      <c r="F2457" s="70"/>
      <c r="G2457" s="70"/>
      <c r="H2457" s="131"/>
      <c r="I2457" s="3"/>
    </row>
    <row r="2458" spans="1:9" s="93" customFormat="1" ht="9" customHeight="1" x14ac:dyDescent="0.3">
      <c r="A2458" s="91"/>
      <c r="B2458" s="70"/>
      <c r="C2458" s="70"/>
      <c r="D2458" s="70"/>
      <c r="E2458" s="70"/>
      <c r="F2458" s="70"/>
      <c r="G2458" s="70"/>
      <c r="H2458" s="131"/>
      <c r="I2458" s="3"/>
    </row>
    <row r="2459" spans="1:9" s="93" customFormat="1" ht="9" customHeight="1" x14ac:dyDescent="0.3">
      <c r="A2459" s="91"/>
      <c r="B2459" s="70"/>
      <c r="C2459" s="70"/>
      <c r="D2459" s="70"/>
      <c r="E2459" s="70"/>
      <c r="F2459" s="70"/>
      <c r="G2459" s="70"/>
      <c r="H2459" s="131"/>
      <c r="I2459" s="3"/>
    </row>
    <row r="2460" spans="1:9" s="93" customFormat="1" ht="9" customHeight="1" x14ac:dyDescent="0.3">
      <c r="A2460" s="91"/>
      <c r="B2460" s="70"/>
      <c r="C2460" s="70"/>
      <c r="D2460" s="70"/>
      <c r="E2460" s="70"/>
      <c r="F2460" s="70"/>
      <c r="G2460" s="70"/>
      <c r="H2460" s="131"/>
      <c r="I2460" s="3"/>
    </row>
    <row r="2461" spans="1:9" s="93" customFormat="1" ht="9" customHeight="1" x14ac:dyDescent="0.3">
      <c r="A2461" s="91"/>
      <c r="B2461" s="70"/>
      <c r="C2461" s="70"/>
      <c r="D2461" s="70"/>
      <c r="E2461" s="70"/>
      <c r="F2461" s="70"/>
      <c r="G2461" s="70"/>
      <c r="H2461" s="131"/>
      <c r="I2461" s="3"/>
    </row>
    <row r="2462" spans="1:9" s="93" customFormat="1" ht="9" customHeight="1" x14ac:dyDescent="0.3">
      <c r="A2462" s="91"/>
      <c r="B2462" s="70"/>
      <c r="C2462" s="70"/>
      <c r="D2462" s="70"/>
      <c r="E2462" s="70"/>
      <c r="F2462" s="70"/>
      <c r="G2462" s="70"/>
      <c r="H2462" s="131"/>
      <c r="I2462" s="3"/>
    </row>
    <row r="2463" spans="1:9" s="93" customFormat="1" ht="9" customHeight="1" x14ac:dyDescent="0.3">
      <c r="A2463" s="91"/>
      <c r="B2463" s="70"/>
      <c r="C2463" s="70"/>
      <c r="D2463" s="70"/>
      <c r="E2463" s="70"/>
      <c r="F2463" s="70"/>
      <c r="G2463" s="70"/>
      <c r="H2463" s="131"/>
      <c r="I2463" s="3"/>
    </row>
    <row r="2464" spans="1:9" s="93" customFormat="1" ht="9" customHeight="1" x14ac:dyDescent="0.3">
      <c r="A2464" s="91"/>
      <c r="B2464" s="70"/>
      <c r="C2464" s="70"/>
      <c r="D2464" s="70"/>
      <c r="E2464" s="70"/>
      <c r="F2464" s="70"/>
      <c r="G2464" s="70"/>
      <c r="H2464" s="131"/>
      <c r="I2464" s="3"/>
    </row>
    <row r="2465" spans="1:9" s="93" customFormat="1" ht="9" customHeight="1" x14ac:dyDescent="0.3">
      <c r="A2465" s="91"/>
      <c r="B2465" s="70"/>
      <c r="C2465" s="70"/>
      <c r="D2465" s="70"/>
      <c r="E2465" s="70"/>
      <c r="F2465" s="70"/>
      <c r="G2465" s="70"/>
      <c r="H2465" s="131"/>
      <c r="I2465" s="3"/>
    </row>
    <row r="2466" spans="1:9" s="93" customFormat="1" ht="9" customHeight="1" x14ac:dyDescent="0.3">
      <c r="A2466" s="91"/>
      <c r="B2466" s="70"/>
      <c r="C2466" s="70"/>
      <c r="D2466" s="70"/>
      <c r="E2466" s="70"/>
      <c r="F2466" s="70"/>
      <c r="G2466" s="70"/>
      <c r="H2466" s="131"/>
      <c r="I2466" s="3"/>
    </row>
    <row r="2467" spans="1:9" s="93" customFormat="1" ht="9" customHeight="1" x14ac:dyDescent="0.3">
      <c r="A2467" s="91"/>
      <c r="B2467" s="70"/>
      <c r="C2467" s="70"/>
      <c r="D2467" s="70"/>
      <c r="E2467" s="70"/>
      <c r="F2467" s="70"/>
      <c r="G2467" s="70"/>
      <c r="H2467" s="131"/>
      <c r="I2467" s="3"/>
    </row>
    <row r="2468" spans="1:9" s="93" customFormat="1" ht="9" customHeight="1" x14ac:dyDescent="0.3">
      <c r="A2468" s="91"/>
      <c r="B2468" s="70"/>
      <c r="C2468" s="70"/>
      <c r="D2468" s="70"/>
      <c r="E2468" s="70"/>
      <c r="F2468" s="70"/>
      <c r="G2468" s="70"/>
      <c r="H2468" s="131"/>
      <c r="I2468" s="3"/>
    </row>
    <row r="2469" spans="1:9" s="93" customFormat="1" ht="9" customHeight="1" x14ac:dyDescent="0.3">
      <c r="A2469" s="91"/>
      <c r="B2469" s="70"/>
      <c r="C2469" s="70"/>
      <c r="D2469" s="70"/>
      <c r="E2469" s="70"/>
      <c r="F2469" s="70"/>
      <c r="G2469" s="70"/>
      <c r="H2469" s="131"/>
      <c r="I2469" s="3"/>
    </row>
    <row r="2470" spans="1:9" s="93" customFormat="1" ht="9" customHeight="1" x14ac:dyDescent="0.3">
      <c r="A2470" s="91"/>
      <c r="B2470" s="70"/>
      <c r="C2470" s="70"/>
      <c r="D2470" s="70"/>
      <c r="E2470" s="70"/>
      <c r="F2470" s="70"/>
      <c r="G2470" s="70"/>
      <c r="H2470" s="131"/>
      <c r="I2470" s="3"/>
    </row>
    <row r="2471" spans="1:9" s="93" customFormat="1" ht="9" customHeight="1" x14ac:dyDescent="0.3">
      <c r="A2471" s="91"/>
      <c r="B2471" s="70"/>
      <c r="C2471" s="70"/>
      <c r="D2471" s="70"/>
      <c r="E2471" s="70"/>
      <c r="F2471" s="70"/>
      <c r="G2471" s="70"/>
      <c r="H2471" s="131"/>
      <c r="I2471" s="3"/>
    </row>
    <row r="2472" spans="1:9" s="93" customFormat="1" ht="9" customHeight="1" x14ac:dyDescent="0.3">
      <c r="A2472" s="91"/>
      <c r="B2472" s="70"/>
      <c r="C2472" s="70"/>
      <c r="D2472" s="70"/>
      <c r="E2472" s="70"/>
      <c r="F2472" s="70"/>
      <c r="G2472" s="70"/>
      <c r="H2472" s="131"/>
      <c r="I2472" s="3"/>
    </row>
    <row r="2473" spans="1:9" s="93" customFormat="1" ht="9" customHeight="1" x14ac:dyDescent="0.3">
      <c r="A2473" s="91"/>
      <c r="B2473" s="70"/>
      <c r="C2473" s="70"/>
      <c r="D2473" s="70"/>
      <c r="E2473" s="70"/>
      <c r="F2473" s="70"/>
      <c r="G2473" s="70"/>
      <c r="H2473" s="131"/>
      <c r="I2473" s="3"/>
    </row>
    <row r="2474" spans="1:9" s="93" customFormat="1" ht="9" customHeight="1" x14ac:dyDescent="0.3">
      <c r="A2474" s="91"/>
      <c r="B2474" s="70"/>
      <c r="C2474" s="70"/>
      <c r="D2474" s="70"/>
      <c r="E2474" s="70"/>
      <c r="F2474" s="70"/>
      <c r="G2474" s="70"/>
      <c r="H2474" s="131"/>
      <c r="I2474" s="3"/>
    </row>
    <row r="2475" spans="1:9" s="93" customFormat="1" ht="9" customHeight="1" x14ac:dyDescent="0.3">
      <c r="A2475" s="91"/>
      <c r="B2475" s="70"/>
      <c r="C2475" s="70"/>
      <c r="D2475" s="70"/>
      <c r="E2475" s="70"/>
      <c r="F2475" s="70"/>
      <c r="G2475" s="70"/>
      <c r="H2475" s="131"/>
      <c r="I2475" s="3"/>
    </row>
    <row r="2476" spans="1:9" s="93" customFormat="1" ht="9" customHeight="1" x14ac:dyDescent="0.3">
      <c r="A2476" s="91"/>
      <c r="B2476" s="70"/>
      <c r="C2476" s="70"/>
      <c r="D2476" s="70"/>
      <c r="E2476" s="70"/>
      <c r="F2476" s="70"/>
      <c r="G2476" s="70"/>
      <c r="H2476" s="131"/>
      <c r="I2476" s="3"/>
    </row>
    <row r="2477" spans="1:9" s="93" customFormat="1" ht="9" customHeight="1" x14ac:dyDescent="0.3">
      <c r="A2477" s="91"/>
      <c r="B2477" s="70"/>
      <c r="C2477" s="70"/>
      <c r="D2477" s="70"/>
      <c r="E2477" s="70"/>
      <c r="F2477" s="70"/>
      <c r="G2477" s="70"/>
      <c r="H2477" s="131"/>
      <c r="I2477" s="3"/>
    </row>
    <row r="2478" spans="1:9" s="93" customFormat="1" ht="9" customHeight="1" x14ac:dyDescent="0.3">
      <c r="A2478" s="91"/>
      <c r="B2478" s="70"/>
      <c r="C2478" s="70"/>
      <c r="D2478" s="70"/>
      <c r="E2478" s="70"/>
      <c r="F2478" s="70"/>
      <c r="G2478" s="70"/>
      <c r="H2478" s="131"/>
      <c r="I2478" s="3"/>
    </row>
    <row r="2479" spans="1:9" s="93" customFormat="1" ht="9" customHeight="1" x14ac:dyDescent="0.3">
      <c r="A2479" s="91"/>
      <c r="B2479" s="70"/>
      <c r="C2479" s="70"/>
      <c r="D2479" s="70"/>
      <c r="E2479" s="70"/>
      <c r="F2479" s="70"/>
      <c r="G2479" s="70"/>
      <c r="H2479" s="131"/>
      <c r="I2479" s="3"/>
    </row>
    <row r="2480" spans="1:9" s="93" customFormat="1" ht="9" customHeight="1" x14ac:dyDescent="0.3">
      <c r="A2480" s="91"/>
      <c r="B2480" s="70"/>
      <c r="C2480" s="70"/>
      <c r="D2480" s="70"/>
      <c r="E2480" s="70"/>
      <c r="F2480" s="70"/>
      <c r="G2480" s="70"/>
      <c r="H2480" s="131"/>
      <c r="I2480" s="3"/>
    </row>
    <row r="2481" spans="1:9" s="93" customFormat="1" ht="9" customHeight="1" x14ac:dyDescent="0.3">
      <c r="A2481" s="91"/>
      <c r="B2481" s="70"/>
      <c r="C2481" s="70"/>
      <c r="D2481" s="70"/>
      <c r="E2481" s="70"/>
      <c r="F2481" s="70"/>
      <c r="G2481" s="70"/>
      <c r="H2481" s="131"/>
      <c r="I2481" s="3"/>
    </row>
    <row r="2482" spans="1:9" s="93" customFormat="1" ht="9" customHeight="1" x14ac:dyDescent="0.3">
      <c r="A2482" s="91"/>
      <c r="B2482" s="70"/>
      <c r="C2482" s="70"/>
      <c r="D2482" s="70"/>
      <c r="E2482" s="70"/>
      <c r="F2482" s="70"/>
      <c r="G2482" s="70"/>
      <c r="H2482" s="131"/>
      <c r="I2482" s="3"/>
    </row>
    <row r="2483" spans="1:9" s="93" customFormat="1" ht="9" customHeight="1" x14ac:dyDescent="0.3">
      <c r="A2483" s="91"/>
      <c r="B2483" s="70"/>
      <c r="C2483" s="70"/>
      <c r="D2483" s="70"/>
      <c r="E2483" s="70"/>
      <c r="F2483" s="70"/>
      <c r="G2483" s="70"/>
      <c r="H2483" s="131"/>
      <c r="I2483" s="3"/>
    </row>
    <row r="2484" spans="1:9" s="93" customFormat="1" ht="9" customHeight="1" x14ac:dyDescent="0.3">
      <c r="A2484" s="91"/>
      <c r="B2484" s="70"/>
      <c r="C2484" s="70"/>
      <c r="D2484" s="70"/>
      <c r="E2484" s="70"/>
      <c r="F2484" s="70"/>
      <c r="G2484" s="70"/>
      <c r="H2484" s="131"/>
      <c r="I2484" s="3"/>
    </row>
    <row r="2485" spans="1:9" s="93" customFormat="1" ht="9" customHeight="1" x14ac:dyDescent="0.3">
      <c r="A2485" s="91"/>
      <c r="B2485" s="70"/>
      <c r="C2485" s="70"/>
      <c r="D2485" s="70"/>
      <c r="E2485" s="70"/>
      <c r="F2485" s="70"/>
      <c r="G2485" s="70"/>
      <c r="H2485" s="131"/>
      <c r="I2485" s="3"/>
    </row>
    <row r="2486" spans="1:9" s="93" customFormat="1" ht="9" customHeight="1" x14ac:dyDescent="0.3">
      <c r="A2486" s="91"/>
      <c r="B2486" s="70"/>
      <c r="C2486" s="70"/>
      <c r="D2486" s="70"/>
      <c r="E2486" s="70"/>
      <c r="F2486" s="70"/>
      <c r="G2486" s="70"/>
      <c r="H2486" s="131"/>
      <c r="I2486" s="3"/>
    </row>
    <row r="2487" spans="1:9" s="93" customFormat="1" ht="9" customHeight="1" x14ac:dyDescent="0.3">
      <c r="A2487" s="91"/>
      <c r="B2487" s="70"/>
      <c r="C2487" s="70"/>
      <c r="D2487" s="70"/>
      <c r="E2487" s="70"/>
      <c r="F2487" s="70"/>
      <c r="G2487" s="70"/>
      <c r="H2487" s="131"/>
      <c r="I2487" s="3"/>
    </row>
    <row r="2488" spans="1:9" s="93" customFormat="1" ht="9" customHeight="1" x14ac:dyDescent="0.3">
      <c r="A2488" s="91"/>
      <c r="B2488" s="70"/>
      <c r="C2488" s="70"/>
      <c r="D2488" s="70"/>
      <c r="E2488" s="70"/>
      <c r="F2488" s="70"/>
      <c r="G2488" s="70"/>
      <c r="H2488" s="131"/>
      <c r="I2488" s="3"/>
    </row>
    <row r="2489" spans="1:9" s="93" customFormat="1" ht="9" customHeight="1" x14ac:dyDescent="0.3">
      <c r="A2489" s="91"/>
      <c r="B2489" s="70"/>
      <c r="C2489" s="70"/>
      <c r="D2489" s="70"/>
      <c r="E2489" s="70"/>
      <c r="F2489" s="70"/>
      <c r="G2489" s="70"/>
      <c r="H2489" s="131"/>
      <c r="I2489" s="3"/>
    </row>
    <row r="2490" spans="1:9" s="93" customFormat="1" ht="9" customHeight="1" x14ac:dyDescent="0.3">
      <c r="A2490" s="91"/>
      <c r="B2490" s="70"/>
      <c r="C2490" s="70"/>
      <c r="D2490" s="70"/>
      <c r="E2490" s="70"/>
      <c r="F2490" s="70"/>
      <c r="G2490" s="70"/>
      <c r="H2490" s="131"/>
      <c r="I2490" s="3"/>
    </row>
    <row r="2491" spans="1:9" s="93" customFormat="1" ht="9" customHeight="1" x14ac:dyDescent="0.3">
      <c r="A2491" s="91"/>
      <c r="B2491" s="70"/>
      <c r="C2491" s="70"/>
      <c r="D2491" s="70"/>
      <c r="E2491" s="70"/>
      <c r="F2491" s="70"/>
      <c r="G2491" s="70"/>
      <c r="H2491" s="131"/>
      <c r="I2491" s="3"/>
    </row>
    <row r="2492" spans="1:9" s="93" customFormat="1" ht="9" customHeight="1" x14ac:dyDescent="0.3">
      <c r="A2492" s="91"/>
      <c r="B2492" s="70"/>
      <c r="C2492" s="70"/>
      <c r="D2492" s="70"/>
      <c r="E2492" s="70"/>
      <c r="F2492" s="70"/>
      <c r="G2492" s="70"/>
      <c r="H2492" s="131"/>
      <c r="I2492" s="3"/>
    </row>
    <row r="2493" spans="1:9" s="93" customFormat="1" ht="9" customHeight="1" x14ac:dyDescent="0.3">
      <c r="A2493" s="91"/>
      <c r="B2493" s="70"/>
      <c r="C2493" s="70"/>
      <c r="D2493" s="70"/>
      <c r="E2493" s="70"/>
      <c r="F2493" s="70"/>
      <c r="G2493" s="70"/>
      <c r="H2493" s="131"/>
      <c r="I2493" s="3"/>
    </row>
    <row r="2494" spans="1:9" s="93" customFormat="1" ht="9" customHeight="1" x14ac:dyDescent="0.3">
      <c r="A2494" s="91"/>
      <c r="B2494" s="70"/>
      <c r="C2494" s="70"/>
      <c r="D2494" s="70"/>
      <c r="E2494" s="70"/>
      <c r="F2494" s="70"/>
      <c r="G2494" s="70"/>
      <c r="H2494" s="131"/>
      <c r="I2494" s="3"/>
    </row>
    <row r="2495" spans="1:9" s="93" customFormat="1" ht="9" customHeight="1" x14ac:dyDescent="0.3">
      <c r="A2495" s="91"/>
      <c r="B2495" s="70"/>
      <c r="C2495" s="70"/>
      <c r="D2495" s="70"/>
      <c r="E2495" s="70"/>
      <c r="F2495" s="70"/>
      <c r="G2495" s="70"/>
      <c r="H2495" s="131"/>
      <c r="I2495" s="3"/>
    </row>
    <row r="2496" spans="1:9" s="93" customFormat="1" ht="9" customHeight="1" x14ac:dyDescent="0.3">
      <c r="A2496" s="91"/>
      <c r="B2496" s="70"/>
      <c r="C2496" s="70"/>
      <c r="D2496" s="70"/>
      <c r="E2496" s="70"/>
      <c r="F2496" s="70"/>
      <c r="G2496" s="70"/>
      <c r="H2496" s="131"/>
      <c r="I2496" s="3"/>
    </row>
    <row r="2497" spans="1:9" s="93" customFormat="1" ht="9" customHeight="1" x14ac:dyDescent="0.3">
      <c r="A2497" s="91"/>
      <c r="B2497" s="70"/>
      <c r="C2497" s="70"/>
      <c r="D2497" s="70"/>
      <c r="E2497" s="70"/>
      <c r="F2497" s="70"/>
      <c r="G2497" s="70"/>
      <c r="H2497" s="131"/>
      <c r="I2497" s="3"/>
    </row>
    <row r="2498" spans="1:9" s="93" customFormat="1" ht="9" customHeight="1" x14ac:dyDescent="0.3">
      <c r="A2498" s="91"/>
      <c r="B2498" s="70"/>
      <c r="C2498" s="70"/>
      <c r="D2498" s="70"/>
      <c r="E2498" s="70"/>
      <c r="F2498" s="70"/>
      <c r="G2498" s="70"/>
      <c r="H2498" s="131"/>
      <c r="I2498" s="3"/>
    </row>
    <row r="2499" spans="1:9" s="93" customFormat="1" ht="9" customHeight="1" x14ac:dyDescent="0.3">
      <c r="A2499" s="91"/>
      <c r="B2499" s="70"/>
      <c r="C2499" s="70"/>
      <c r="D2499" s="70"/>
      <c r="E2499" s="70"/>
      <c r="F2499" s="70"/>
      <c r="G2499" s="70"/>
      <c r="H2499" s="131"/>
      <c r="I2499" s="3"/>
    </row>
    <row r="2500" spans="1:9" s="93" customFormat="1" ht="9" customHeight="1" x14ac:dyDescent="0.3">
      <c r="A2500" s="91"/>
      <c r="B2500" s="70"/>
      <c r="C2500" s="70"/>
      <c r="D2500" s="70"/>
      <c r="E2500" s="70"/>
      <c r="F2500" s="70"/>
      <c r="G2500" s="70"/>
      <c r="H2500" s="131"/>
      <c r="I2500" s="3"/>
    </row>
    <row r="2501" spans="1:9" s="93" customFormat="1" ht="9" customHeight="1" x14ac:dyDescent="0.3">
      <c r="A2501" s="91"/>
      <c r="B2501" s="70"/>
      <c r="C2501" s="70"/>
      <c r="D2501" s="70"/>
      <c r="E2501" s="70"/>
      <c r="F2501" s="70"/>
      <c r="G2501" s="70"/>
      <c r="H2501" s="131"/>
      <c r="I2501" s="3"/>
    </row>
    <row r="2502" spans="1:9" s="93" customFormat="1" ht="9" customHeight="1" x14ac:dyDescent="0.3">
      <c r="A2502" s="91"/>
      <c r="B2502" s="70"/>
      <c r="C2502" s="70"/>
      <c r="D2502" s="70"/>
      <c r="E2502" s="70"/>
      <c r="F2502" s="70"/>
      <c r="G2502" s="70"/>
      <c r="H2502" s="131"/>
      <c r="I2502" s="3"/>
    </row>
    <row r="2503" spans="1:9" s="93" customFormat="1" ht="9" customHeight="1" x14ac:dyDescent="0.3">
      <c r="A2503" s="91"/>
      <c r="B2503" s="70"/>
      <c r="C2503" s="70"/>
      <c r="D2503" s="70"/>
      <c r="E2503" s="70"/>
      <c r="F2503" s="70"/>
      <c r="G2503" s="70"/>
      <c r="H2503" s="131"/>
      <c r="I2503" s="3"/>
    </row>
    <row r="2504" spans="1:9" s="93" customFormat="1" ht="9" customHeight="1" x14ac:dyDescent="0.3">
      <c r="A2504" s="91"/>
      <c r="B2504" s="70"/>
      <c r="C2504" s="70"/>
      <c r="D2504" s="70"/>
      <c r="E2504" s="70"/>
      <c r="F2504" s="70"/>
      <c r="G2504" s="70"/>
      <c r="H2504" s="131"/>
      <c r="I2504" s="3"/>
    </row>
    <row r="2505" spans="1:9" s="93" customFormat="1" ht="9" customHeight="1" x14ac:dyDescent="0.3">
      <c r="A2505" s="91"/>
      <c r="B2505" s="70"/>
      <c r="C2505" s="70"/>
      <c r="D2505" s="70"/>
      <c r="E2505" s="70"/>
      <c r="F2505" s="70"/>
      <c r="G2505" s="70"/>
      <c r="H2505" s="131"/>
      <c r="I2505" s="3"/>
    </row>
    <row r="2506" spans="1:9" s="93" customFormat="1" ht="9" customHeight="1" x14ac:dyDescent="0.3">
      <c r="A2506" s="91"/>
      <c r="B2506" s="70"/>
      <c r="C2506" s="70"/>
      <c r="D2506" s="70"/>
      <c r="E2506" s="70"/>
      <c r="F2506" s="70"/>
      <c r="G2506" s="70"/>
      <c r="H2506" s="131"/>
      <c r="I2506" s="3"/>
    </row>
    <row r="2507" spans="1:9" s="93" customFormat="1" ht="9" customHeight="1" x14ac:dyDescent="0.3">
      <c r="A2507" s="91"/>
      <c r="B2507" s="70"/>
      <c r="C2507" s="70"/>
      <c r="D2507" s="70"/>
      <c r="E2507" s="70"/>
      <c r="F2507" s="70"/>
      <c r="G2507" s="70"/>
      <c r="H2507" s="131"/>
      <c r="I2507" s="3"/>
    </row>
    <row r="2508" spans="1:9" s="93" customFormat="1" ht="9" customHeight="1" x14ac:dyDescent="0.3">
      <c r="A2508" s="91"/>
      <c r="B2508" s="70"/>
      <c r="C2508" s="70"/>
      <c r="D2508" s="70"/>
      <c r="E2508" s="70"/>
      <c r="F2508" s="70"/>
      <c r="G2508" s="70"/>
      <c r="H2508" s="131"/>
      <c r="I2508" s="3"/>
    </row>
    <row r="2509" spans="1:9" s="93" customFormat="1" ht="9" customHeight="1" x14ac:dyDescent="0.3">
      <c r="A2509" s="91"/>
      <c r="B2509" s="70"/>
      <c r="C2509" s="70"/>
      <c r="D2509" s="70"/>
      <c r="E2509" s="70"/>
      <c r="F2509" s="70"/>
      <c r="G2509" s="70"/>
      <c r="H2509" s="131"/>
      <c r="I2509" s="3"/>
    </row>
    <row r="2510" spans="1:9" s="93" customFormat="1" ht="9" customHeight="1" x14ac:dyDescent="0.3">
      <c r="A2510" s="91"/>
      <c r="B2510" s="70"/>
      <c r="C2510" s="70"/>
      <c r="D2510" s="70"/>
      <c r="E2510" s="70"/>
      <c r="F2510" s="70"/>
      <c r="G2510" s="70"/>
      <c r="H2510" s="131"/>
      <c r="I2510" s="3"/>
    </row>
    <row r="2511" spans="1:9" s="93" customFormat="1" ht="9" customHeight="1" x14ac:dyDescent="0.3">
      <c r="A2511" s="91"/>
      <c r="B2511" s="70"/>
      <c r="C2511" s="70"/>
      <c r="D2511" s="70"/>
      <c r="E2511" s="70"/>
      <c r="F2511" s="70"/>
      <c r="G2511" s="70"/>
      <c r="H2511" s="131"/>
      <c r="I2511" s="3"/>
    </row>
    <row r="2512" spans="1:9" s="93" customFormat="1" ht="9" customHeight="1" x14ac:dyDescent="0.3">
      <c r="A2512" s="91"/>
      <c r="B2512" s="70"/>
      <c r="C2512" s="70"/>
      <c r="D2512" s="70"/>
      <c r="E2512" s="70"/>
      <c r="F2512" s="70"/>
      <c r="G2512" s="70"/>
      <c r="H2512" s="131"/>
      <c r="I2512" s="3"/>
    </row>
    <row r="2513" spans="1:9" s="93" customFormat="1" ht="9" customHeight="1" x14ac:dyDescent="0.3">
      <c r="A2513" s="91"/>
      <c r="B2513" s="70"/>
      <c r="C2513" s="70"/>
      <c r="D2513" s="70"/>
      <c r="E2513" s="70"/>
      <c r="F2513" s="70"/>
      <c r="G2513" s="70"/>
      <c r="H2513" s="131"/>
      <c r="I2513" s="3"/>
    </row>
    <row r="2514" spans="1:9" s="93" customFormat="1" ht="9" customHeight="1" x14ac:dyDescent="0.3">
      <c r="A2514" s="91"/>
      <c r="B2514" s="70"/>
      <c r="C2514" s="70"/>
      <c r="D2514" s="70"/>
      <c r="E2514" s="70"/>
      <c r="F2514" s="70"/>
      <c r="G2514" s="70"/>
      <c r="H2514" s="131"/>
      <c r="I2514" s="3"/>
    </row>
    <row r="2515" spans="1:9" s="93" customFormat="1" ht="9" customHeight="1" x14ac:dyDescent="0.3">
      <c r="A2515" s="91"/>
      <c r="B2515" s="70"/>
      <c r="C2515" s="70"/>
      <c r="D2515" s="70"/>
      <c r="E2515" s="70"/>
      <c r="F2515" s="70"/>
      <c r="G2515" s="70"/>
      <c r="H2515" s="131"/>
      <c r="I2515" s="3"/>
    </row>
    <row r="2516" spans="1:9" s="93" customFormat="1" ht="9" customHeight="1" x14ac:dyDescent="0.3">
      <c r="A2516" s="91"/>
      <c r="B2516" s="70"/>
      <c r="C2516" s="70"/>
      <c r="D2516" s="70"/>
      <c r="E2516" s="70"/>
      <c r="F2516" s="70"/>
      <c r="G2516" s="70"/>
      <c r="H2516" s="131"/>
      <c r="I2516" s="3"/>
    </row>
    <row r="2517" spans="1:9" s="93" customFormat="1" ht="9" customHeight="1" x14ac:dyDescent="0.3">
      <c r="A2517" s="91"/>
      <c r="B2517" s="70"/>
      <c r="C2517" s="70"/>
      <c r="D2517" s="70"/>
      <c r="E2517" s="70"/>
      <c r="F2517" s="70"/>
      <c r="G2517" s="70"/>
      <c r="H2517" s="131"/>
      <c r="I2517" s="3"/>
    </row>
    <row r="2518" spans="1:9" s="93" customFormat="1" ht="9" customHeight="1" x14ac:dyDescent="0.3">
      <c r="A2518" s="91"/>
      <c r="B2518" s="70"/>
      <c r="C2518" s="70"/>
      <c r="D2518" s="70"/>
      <c r="E2518" s="70"/>
      <c r="F2518" s="70"/>
      <c r="G2518" s="70"/>
      <c r="H2518" s="131"/>
      <c r="I2518" s="3"/>
    </row>
    <row r="2519" spans="1:9" s="93" customFormat="1" ht="9" customHeight="1" x14ac:dyDescent="0.3">
      <c r="A2519" s="91"/>
      <c r="B2519" s="70"/>
      <c r="C2519" s="70"/>
      <c r="D2519" s="70"/>
      <c r="E2519" s="70"/>
      <c r="F2519" s="70"/>
      <c r="G2519" s="70"/>
      <c r="H2519" s="131"/>
      <c r="I2519" s="3"/>
    </row>
    <row r="2520" spans="1:9" s="93" customFormat="1" ht="9" customHeight="1" x14ac:dyDescent="0.3">
      <c r="A2520" s="91"/>
      <c r="B2520" s="70"/>
      <c r="C2520" s="70"/>
      <c r="D2520" s="70"/>
      <c r="E2520" s="70"/>
      <c r="F2520" s="70"/>
      <c r="G2520" s="70"/>
      <c r="H2520" s="131"/>
      <c r="I2520" s="3"/>
    </row>
    <row r="2521" spans="1:9" s="93" customFormat="1" ht="9" customHeight="1" x14ac:dyDescent="0.3">
      <c r="A2521" s="91"/>
      <c r="B2521" s="70"/>
      <c r="C2521" s="70"/>
      <c r="D2521" s="70"/>
      <c r="E2521" s="70"/>
      <c r="F2521" s="70"/>
      <c r="G2521" s="70"/>
      <c r="H2521" s="131"/>
      <c r="I2521" s="3"/>
    </row>
    <row r="2522" spans="1:9" s="93" customFormat="1" ht="9" customHeight="1" x14ac:dyDescent="0.3">
      <c r="A2522" s="91"/>
      <c r="B2522" s="70"/>
      <c r="C2522" s="70"/>
      <c r="D2522" s="70"/>
      <c r="E2522" s="70"/>
      <c r="F2522" s="70"/>
      <c r="G2522" s="70"/>
      <c r="H2522" s="131"/>
      <c r="I2522" s="3"/>
    </row>
    <row r="2523" spans="1:9" s="93" customFormat="1" ht="9" customHeight="1" x14ac:dyDescent="0.3">
      <c r="A2523" s="91"/>
      <c r="B2523" s="70"/>
      <c r="C2523" s="70"/>
      <c r="D2523" s="70"/>
      <c r="E2523" s="70"/>
      <c r="F2523" s="70"/>
      <c r="G2523" s="70"/>
      <c r="H2523" s="131"/>
      <c r="I2523" s="3"/>
    </row>
    <row r="2524" spans="1:9" s="93" customFormat="1" ht="9" customHeight="1" x14ac:dyDescent="0.3">
      <c r="A2524" s="91"/>
      <c r="B2524" s="70"/>
      <c r="C2524" s="70"/>
      <c r="D2524" s="70"/>
      <c r="E2524" s="70"/>
      <c r="F2524" s="70"/>
      <c r="G2524" s="70"/>
      <c r="H2524" s="131"/>
      <c r="I2524" s="3"/>
    </row>
    <row r="2525" spans="1:9" s="93" customFormat="1" ht="9" customHeight="1" x14ac:dyDescent="0.3">
      <c r="A2525" s="91"/>
      <c r="B2525" s="70"/>
      <c r="C2525" s="70"/>
      <c r="D2525" s="70"/>
      <c r="E2525" s="70"/>
      <c r="F2525" s="70"/>
      <c r="G2525" s="70"/>
      <c r="H2525" s="131"/>
      <c r="I2525" s="3"/>
    </row>
    <row r="2526" spans="1:9" s="93" customFormat="1" ht="9" customHeight="1" x14ac:dyDescent="0.3">
      <c r="A2526" s="91"/>
      <c r="B2526" s="70"/>
      <c r="C2526" s="70"/>
      <c r="D2526" s="70"/>
      <c r="E2526" s="70"/>
      <c r="F2526" s="70"/>
      <c r="G2526" s="70"/>
      <c r="H2526" s="131"/>
      <c r="I2526" s="3"/>
    </row>
    <row r="2527" spans="1:9" s="93" customFormat="1" ht="9" customHeight="1" x14ac:dyDescent="0.3">
      <c r="A2527" s="91"/>
      <c r="B2527" s="70"/>
      <c r="C2527" s="70"/>
      <c r="D2527" s="70"/>
      <c r="E2527" s="70"/>
      <c r="F2527" s="70"/>
      <c r="G2527" s="70"/>
      <c r="H2527" s="131"/>
      <c r="I2527" s="3"/>
    </row>
    <row r="2528" spans="1:9" s="93" customFormat="1" ht="9" customHeight="1" x14ac:dyDescent="0.3">
      <c r="A2528" s="91"/>
      <c r="B2528" s="70"/>
      <c r="C2528" s="70"/>
      <c r="D2528" s="70"/>
      <c r="E2528" s="70"/>
      <c r="F2528" s="70"/>
      <c r="G2528" s="70"/>
      <c r="H2528" s="131"/>
      <c r="I2528" s="3"/>
    </row>
    <row r="2529" spans="1:9" s="93" customFormat="1" ht="9" customHeight="1" x14ac:dyDescent="0.3">
      <c r="A2529" s="91"/>
      <c r="B2529" s="70"/>
      <c r="C2529" s="70"/>
      <c r="D2529" s="70"/>
      <c r="E2529" s="70"/>
      <c r="F2529" s="70"/>
      <c r="G2529" s="70"/>
      <c r="H2529" s="131"/>
      <c r="I2529" s="3"/>
    </row>
    <row r="2530" spans="1:9" s="93" customFormat="1" ht="9" customHeight="1" x14ac:dyDescent="0.3">
      <c r="A2530" s="91"/>
      <c r="B2530" s="70"/>
      <c r="C2530" s="70"/>
      <c r="D2530" s="70"/>
      <c r="E2530" s="70"/>
      <c r="F2530" s="70"/>
      <c r="G2530" s="70"/>
      <c r="H2530" s="131"/>
      <c r="I2530" s="3"/>
    </row>
    <row r="2531" spans="1:9" s="93" customFormat="1" ht="9" customHeight="1" x14ac:dyDescent="0.3">
      <c r="A2531" s="91"/>
      <c r="B2531" s="70"/>
      <c r="C2531" s="70"/>
      <c r="D2531" s="70"/>
      <c r="E2531" s="70"/>
      <c r="F2531" s="70"/>
      <c r="G2531" s="70"/>
      <c r="H2531" s="131"/>
      <c r="I2531" s="3"/>
    </row>
    <row r="2532" spans="1:9" s="93" customFormat="1" ht="9" customHeight="1" x14ac:dyDescent="0.3">
      <c r="A2532" s="91"/>
      <c r="B2532" s="70"/>
      <c r="C2532" s="70"/>
      <c r="D2532" s="70"/>
      <c r="E2532" s="70"/>
      <c r="F2532" s="70"/>
      <c r="G2532" s="70"/>
      <c r="H2532" s="131"/>
      <c r="I2532" s="3"/>
    </row>
    <row r="2533" spans="1:9" s="93" customFormat="1" ht="9" customHeight="1" x14ac:dyDescent="0.3">
      <c r="A2533" s="91"/>
      <c r="B2533" s="70"/>
      <c r="C2533" s="70"/>
      <c r="D2533" s="70"/>
      <c r="E2533" s="70"/>
      <c r="F2533" s="70"/>
      <c r="G2533" s="70"/>
      <c r="H2533" s="131"/>
      <c r="I2533" s="3"/>
    </row>
    <row r="2534" spans="1:9" s="93" customFormat="1" ht="9" customHeight="1" x14ac:dyDescent="0.3">
      <c r="A2534" s="91"/>
      <c r="B2534" s="70"/>
      <c r="C2534" s="70"/>
      <c r="D2534" s="70"/>
      <c r="E2534" s="70"/>
      <c r="F2534" s="70"/>
      <c r="G2534" s="70"/>
      <c r="H2534" s="131"/>
      <c r="I2534" s="3"/>
    </row>
    <row r="2535" spans="1:9" s="93" customFormat="1" ht="9" customHeight="1" x14ac:dyDescent="0.3">
      <c r="A2535" s="91"/>
      <c r="B2535" s="70"/>
      <c r="C2535" s="70"/>
      <c r="D2535" s="70"/>
      <c r="E2535" s="70"/>
      <c r="F2535" s="70"/>
      <c r="G2535" s="70"/>
      <c r="H2535" s="131"/>
      <c r="I2535" s="3"/>
    </row>
    <row r="2536" spans="1:9" s="93" customFormat="1" ht="9" customHeight="1" x14ac:dyDescent="0.3">
      <c r="A2536" s="91"/>
      <c r="B2536" s="70"/>
      <c r="C2536" s="70"/>
      <c r="D2536" s="70"/>
      <c r="E2536" s="70"/>
      <c r="F2536" s="70"/>
      <c r="G2536" s="70"/>
      <c r="H2536" s="131"/>
      <c r="I2536" s="3"/>
    </row>
    <row r="2537" spans="1:9" s="93" customFormat="1" ht="9" customHeight="1" x14ac:dyDescent="0.3">
      <c r="A2537" s="91"/>
      <c r="B2537" s="70"/>
      <c r="C2537" s="70"/>
      <c r="D2537" s="70"/>
      <c r="E2537" s="70"/>
      <c r="F2537" s="70"/>
      <c r="G2537" s="70"/>
      <c r="H2537" s="131"/>
      <c r="I2537" s="3"/>
    </row>
    <row r="2538" spans="1:9" s="93" customFormat="1" ht="9" customHeight="1" x14ac:dyDescent="0.3">
      <c r="A2538" s="91"/>
      <c r="B2538" s="70"/>
      <c r="C2538" s="70"/>
      <c r="D2538" s="70"/>
      <c r="E2538" s="70"/>
      <c r="F2538" s="70"/>
      <c r="G2538" s="70"/>
      <c r="H2538" s="131"/>
      <c r="I2538" s="3"/>
    </row>
    <row r="2539" spans="1:9" s="93" customFormat="1" ht="9" customHeight="1" x14ac:dyDescent="0.3">
      <c r="A2539" s="91"/>
      <c r="B2539" s="70"/>
      <c r="C2539" s="70"/>
      <c r="D2539" s="70"/>
      <c r="E2539" s="70"/>
      <c r="F2539" s="70"/>
      <c r="G2539" s="70"/>
      <c r="H2539" s="131"/>
      <c r="I2539" s="3"/>
    </row>
    <row r="2540" spans="1:9" s="93" customFormat="1" ht="9" customHeight="1" x14ac:dyDescent="0.3">
      <c r="A2540" s="91"/>
      <c r="B2540" s="70"/>
      <c r="C2540" s="70"/>
      <c r="D2540" s="70"/>
      <c r="E2540" s="70"/>
      <c r="F2540" s="70"/>
      <c r="G2540" s="70"/>
      <c r="H2540" s="131"/>
      <c r="I2540" s="3"/>
    </row>
    <row r="2541" spans="1:9" s="93" customFormat="1" ht="9" customHeight="1" x14ac:dyDescent="0.3">
      <c r="A2541" s="91"/>
      <c r="B2541" s="70"/>
      <c r="C2541" s="70"/>
      <c r="D2541" s="70"/>
      <c r="E2541" s="70"/>
      <c r="F2541" s="70"/>
      <c r="G2541" s="70"/>
      <c r="H2541" s="131"/>
      <c r="I2541" s="3"/>
    </row>
    <row r="2542" spans="1:9" s="93" customFormat="1" ht="9" customHeight="1" x14ac:dyDescent="0.3">
      <c r="A2542" s="91"/>
      <c r="B2542" s="70"/>
      <c r="C2542" s="70"/>
      <c r="D2542" s="70"/>
      <c r="E2542" s="70"/>
      <c r="F2542" s="70"/>
      <c r="G2542" s="70"/>
      <c r="H2542" s="131"/>
      <c r="I2542" s="3"/>
    </row>
    <row r="2543" spans="1:9" s="93" customFormat="1" ht="9" customHeight="1" x14ac:dyDescent="0.3">
      <c r="A2543" s="91"/>
      <c r="B2543" s="70"/>
      <c r="C2543" s="70"/>
      <c r="D2543" s="70"/>
      <c r="E2543" s="70"/>
      <c r="F2543" s="70"/>
      <c r="G2543" s="70"/>
      <c r="H2543" s="131"/>
      <c r="I2543" s="3"/>
    </row>
    <row r="2544" spans="1:9" s="93" customFormat="1" ht="9" customHeight="1" x14ac:dyDescent="0.3">
      <c r="A2544" s="91"/>
      <c r="B2544" s="70"/>
      <c r="C2544" s="70"/>
      <c r="D2544" s="70"/>
      <c r="E2544" s="70"/>
      <c r="F2544" s="70"/>
      <c r="G2544" s="70"/>
      <c r="H2544" s="131"/>
      <c r="I2544" s="3"/>
    </row>
    <row r="2545" spans="1:9" s="93" customFormat="1" ht="9" customHeight="1" x14ac:dyDescent="0.3">
      <c r="A2545" s="91"/>
      <c r="B2545" s="70"/>
      <c r="C2545" s="70"/>
      <c r="D2545" s="70"/>
      <c r="E2545" s="70"/>
      <c r="F2545" s="70"/>
      <c r="G2545" s="70"/>
      <c r="H2545" s="131"/>
      <c r="I2545" s="3"/>
    </row>
    <row r="2546" spans="1:9" s="93" customFormat="1" ht="9" customHeight="1" x14ac:dyDescent="0.3">
      <c r="A2546" s="91"/>
      <c r="B2546" s="70"/>
      <c r="C2546" s="70"/>
      <c r="D2546" s="70"/>
      <c r="E2546" s="70"/>
      <c r="F2546" s="70"/>
      <c r="G2546" s="70"/>
      <c r="H2546" s="131"/>
      <c r="I2546" s="3"/>
    </row>
    <row r="2547" spans="1:9" s="93" customFormat="1" ht="9" customHeight="1" x14ac:dyDescent="0.3">
      <c r="A2547" s="91"/>
      <c r="B2547" s="70"/>
      <c r="C2547" s="70"/>
      <c r="D2547" s="70"/>
      <c r="E2547" s="70"/>
      <c r="F2547" s="70"/>
      <c r="G2547" s="70"/>
      <c r="H2547" s="131"/>
      <c r="I2547" s="3"/>
    </row>
    <row r="2548" spans="1:9" s="93" customFormat="1" ht="9" customHeight="1" x14ac:dyDescent="0.3">
      <c r="A2548" s="91"/>
      <c r="B2548" s="70"/>
      <c r="C2548" s="70"/>
      <c r="D2548" s="70"/>
      <c r="E2548" s="70"/>
      <c r="F2548" s="70"/>
      <c r="G2548" s="70"/>
      <c r="H2548" s="131"/>
      <c r="I2548" s="3"/>
    </row>
    <row r="2549" spans="1:9" s="93" customFormat="1" ht="9" customHeight="1" x14ac:dyDescent="0.3">
      <c r="A2549" s="91"/>
      <c r="B2549" s="70"/>
      <c r="C2549" s="70"/>
      <c r="D2549" s="70"/>
      <c r="E2549" s="70"/>
      <c r="F2549" s="70"/>
      <c r="G2549" s="70"/>
      <c r="H2549" s="131"/>
      <c r="I2549" s="3"/>
    </row>
    <row r="2550" spans="1:9" s="93" customFormat="1" ht="9" customHeight="1" x14ac:dyDescent="0.3">
      <c r="A2550" s="91"/>
      <c r="B2550" s="70"/>
      <c r="C2550" s="70"/>
      <c r="D2550" s="70"/>
      <c r="E2550" s="70"/>
      <c r="F2550" s="70"/>
      <c r="G2550" s="70"/>
      <c r="H2550" s="131"/>
      <c r="I2550" s="3"/>
    </row>
    <row r="2551" spans="1:9" s="93" customFormat="1" ht="9" customHeight="1" x14ac:dyDescent="0.3">
      <c r="A2551" s="91"/>
      <c r="B2551" s="70"/>
      <c r="C2551" s="70"/>
      <c r="D2551" s="70"/>
      <c r="E2551" s="70"/>
      <c r="F2551" s="70"/>
      <c r="G2551" s="70"/>
      <c r="H2551" s="131"/>
      <c r="I2551" s="3"/>
    </row>
    <row r="2552" spans="1:9" s="93" customFormat="1" ht="9" customHeight="1" x14ac:dyDescent="0.3">
      <c r="A2552" s="91"/>
      <c r="B2552" s="70"/>
      <c r="C2552" s="70"/>
      <c r="D2552" s="70"/>
      <c r="E2552" s="70"/>
      <c r="F2552" s="70"/>
      <c r="G2552" s="70"/>
      <c r="H2552" s="131"/>
      <c r="I2552" s="3"/>
    </row>
    <row r="2553" spans="1:9" s="93" customFormat="1" ht="9" customHeight="1" x14ac:dyDescent="0.3">
      <c r="A2553" s="91"/>
      <c r="B2553" s="70"/>
      <c r="C2553" s="70"/>
      <c r="D2553" s="70"/>
      <c r="E2553" s="70"/>
      <c r="F2553" s="70"/>
      <c r="G2553" s="70"/>
      <c r="H2553" s="131"/>
      <c r="I2553" s="3"/>
    </row>
    <row r="2554" spans="1:9" s="93" customFormat="1" ht="9" customHeight="1" x14ac:dyDescent="0.3">
      <c r="A2554" s="91"/>
      <c r="B2554" s="70"/>
      <c r="C2554" s="70"/>
      <c r="D2554" s="70"/>
      <c r="E2554" s="70"/>
      <c r="F2554" s="70"/>
      <c r="G2554" s="70"/>
      <c r="H2554" s="131"/>
      <c r="I2554" s="3"/>
    </row>
    <row r="2555" spans="1:9" s="93" customFormat="1" ht="9" customHeight="1" x14ac:dyDescent="0.3">
      <c r="A2555" s="91"/>
      <c r="B2555" s="70"/>
      <c r="C2555" s="70"/>
      <c r="D2555" s="70"/>
      <c r="E2555" s="70"/>
      <c r="F2555" s="70"/>
      <c r="G2555" s="70"/>
      <c r="H2555" s="131"/>
      <c r="I2555" s="3"/>
    </row>
    <row r="2556" spans="1:9" s="93" customFormat="1" ht="9" customHeight="1" x14ac:dyDescent="0.3">
      <c r="A2556" s="91"/>
      <c r="B2556" s="70"/>
      <c r="C2556" s="70"/>
      <c r="D2556" s="70"/>
      <c r="E2556" s="70"/>
      <c r="F2556" s="70"/>
      <c r="G2556" s="70"/>
      <c r="H2556" s="131"/>
      <c r="I2556" s="3"/>
    </row>
    <row r="2557" spans="1:9" s="93" customFormat="1" ht="9" customHeight="1" x14ac:dyDescent="0.3">
      <c r="A2557" s="91"/>
      <c r="B2557" s="70"/>
      <c r="C2557" s="70"/>
      <c r="D2557" s="70"/>
      <c r="E2557" s="70"/>
      <c r="F2557" s="70"/>
      <c r="G2557" s="70"/>
      <c r="H2557" s="131"/>
      <c r="I2557" s="3"/>
    </row>
    <row r="2558" spans="1:9" s="93" customFormat="1" ht="9" customHeight="1" x14ac:dyDescent="0.3">
      <c r="A2558" s="91"/>
      <c r="B2558" s="70"/>
      <c r="C2558" s="70"/>
      <c r="D2558" s="70"/>
      <c r="E2558" s="70"/>
      <c r="F2558" s="70"/>
      <c r="G2558" s="70"/>
      <c r="H2558" s="131"/>
      <c r="I2558" s="3"/>
    </row>
    <row r="2559" spans="1:9" s="93" customFormat="1" ht="9" customHeight="1" x14ac:dyDescent="0.3">
      <c r="A2559" s="91"/>
      <c r="B2559" s="70"/>
      <c r="C2559" s="70"/>
      <c r="D2559" s="70"/>
      <c r="E2559" s="70"/>
      <c r="F2559" s="70"/>
      <c r="G2559" s="70"/>
      <c r="H2559" s="131"/>
      <c r="I2559" s="3"/>
    </row>
    <row r="2560" spans="1:9" s="93" customFormat="1" ht="9" customHeight="1" x14ac:dyDescent="0.3">
      <c r="A2560" s="91"/>
      <c r="B2560" s="70"/>
      <c r="C2560" s="70"/>
      <c r="D2560" s="70"/>
      <c r="E2560" s="70"/>
      <c r="F2560" s="70"/>
      <c r="G2560" s="70"/>
      <c r="H2560" s="131"/>
      <c r="I2560" s="3"/>
    </row>
    <row r="2561" spans="1:9" s="93" customFormat="1" ht="9" customHeight="1" x14ac:dyDescent="0.3">
      <c r="A2561" s="91"/>
      <c r="B2561" s="70"/>
      <c r="C2561" s="70"/>
      <c r="D2561" s="70"/>
      <c r="E2561" s="70"/>
      <c r="F2561" s="70"/>
      <c r="G2561" s="70"/>
      <c r="H2561" s="131"/>
      <c r="I2561" s="3"/>
    </row>
    <row r="2562" spans="1:9" s="93" customFormat="1" ht="9" customHeight="1" x14ac:dyDescent="0.3">
      <c r="A2562" s="91"/>
      <c r="B2562" s="70"/>
      <c r="C2562" s="70"/>
      <c r="D2562" s="70"/>
      <c r="E2562" s="70"/>
      <c r="F2562" s="70"/>
      <c r="G2562" s="70"/>
      <c r="H2562" s="131"/>
      <c r="I2562" s="3"/>
    </row>
    <row r="2563" spans="1:9" s="93" customFormat="1" ht="9" customHeight="1" x14ac:dyDescent="0.3">
      <c r="A2563" s="91"/>
      <c r="B2563" s="70"/>
      <c r="C2563" s="70"/>
      <c r="D2563" s="70"/>
      <c r="E2563" s="70"/>
      <c r="F2563" s="70"/>
      <c r="G2563" s="70"/>
      <c r="H2563" s="131"/>
      <c r="I2563" s="3"/>
    </row>
    <row r="2564" spans="1:9" s="93" customFormat="1" ht="9" customHeight="1" x14ac:dyDescent="0.3">
      <c r="A2564" s="91"/>
      <c r="B2564" s="70"/>
      <c r="C2564" s="70"/>
      <c r="D2564" s="70"/>
      <c r="E2564" s="70"/>
      <c r="F2564" s="70"/>
      <c r="G2564" s="70"/>
      <c r="H2564" s="131"/>
      <c r="I2564" s="3"/>
    </row>
    <row r="2565" spans="1:9" s="93" customFormat="1" ht="9" customHeight="1" x14ac:dyDescent="0.3">
      <c r="A2565" s="91"/>
      <c r="B2565" s="70"/>
      <c r="C2565" s="70"/>
      <c r="D2565" s="70"/>
      <c r="E2565" s="70"/>
      <c r="F2565" s="70"/>
      <c r="G2565" s="70"/>
      <c r="H2565" s="131"/>
      <c r="I2565" s="3"/>
    </row>
    <row r="2566" spans="1:9" s="93" customFormat="1" ht="9" customHeight="1" x14ac:dyDescent="0.3">
      <c r="A2566" s="91"/>
      <c r="B2566" s="70"/>
      <c r="C2566" s="70"/>
      <c r="D2566" s="70"/>
      <c r="E2566" s="70"/>
      <c r="F2566" s="70"/>
      <c r="G2566" s="70"/>
      <c r="H2566" s="131"/>
      <c r="I2566" s="3"/>
    </row>
    <row r="2567" spans="1:9" s="93" customFormat="1" ht="9" customHeight="1" x14ac:dyDescent="0.3">
      <c r="A2567" s="91"/>
      <c r="B2567" s="70"/>
      <c r="C2567" s="70"/>
      <c r="D2567" s="70"/>
      <c r="E2567" s="70"/>
      <c r="F2567" s="70"/>
      <c r="G2567" s="70"/>
      <c r="H2567" s="131"/>
      <c r="I2567" s="3"/>
    </row>
    <row r="2568" spans="1:9" s="93" customFormat="1" ht="9" customHeight="1" x14ac:dyDescent="0.3">
      <c r="A2568" s="91"/>
      <c r="B2568" s="70"/>
      <c r="C2568" s="70"/>
      <c r="D2568" s="70"/>
      <c r="E2568" s="70"/>
      <c r="F2568" s="70"/>
      <c r="G2568" s="70"/>
      <c r="H2568" s="131"/>
      <c r="I2568" s="3"/>
    </row>
    <row r="2569" spans="1:9" s="93" customFormat="1" ht="9" customHeight="1" x14ac:dyDescent="0.3">
      <c r="A2569" s="91"/>
      <c r="B2569" s="70"/>
      <c r="C2569" s="70"/>
      <c r="D2569" s="70"/>
      <c r="E2569" s="70"/>
      <c r="F2569" s="70"/>
      <c r="G2569" s="70"/>
      <c r="H2569" s="131"/>
      <c r="I2569" s="3"/>
    </row>
    <row r="2570" spans="1:9" s="93" customFormat="1" ht="9" customHeight="1" x14ac:dyDescent="0.3">
      <c r="A2570" s="91"/>
      <c r="B2570" s="70"/>
      <c r="C2570" s="70"/>
      <c r="D2570" s="70"/>
      <c r="E2570" s="70"/>
      <c r="F2570" s="70"/>
      <c r="G2570" s="70"/>
      <c r="H2570" s="131"/>
      <c r="I2570" s="3"/>
    </row>
    <row r="2571" spans="1:9" s="93" customFormat="1" ht="9" customHeight="1" x14ac:dyDescent="0.3">
      <c r="A2571" s="91"/>
      <c r="B2571" s="70"/>
      <c r="C2571" s="70"/>
      <c r="D2571" s="70"/>
      <c r="E2571" s="70"/>
      <c r="F2571" s="70"/>
      <c r="G2571" s="70"/>
      <c r="H2571" s="131"/>
      <c r="I2571" s="3"/>
    </row>
    <row r="2572" spans="1:9" s="93" customFormat="1" ht="9" customHeight="1" x14ac:dyDescent="0.3">
      <c r="A2572" s="91"/>
      <c r="B2572" s="70"/>
      <c r="C2572" s="70"/>
      <c r="D2572" s="70"/>
      <c r="E2572" s="70"/>
      <c r="F2572" s="70"/>
      <c r="G2572" s="70"/>
      <c r="H2572" s="131"/>
      <c r="I2572" s="3"/>
    </row>
    <row r="2573" spans="1:9" s="93" customFormat="1" ht="9" customHeight="1" x14ac:dyDescent="0.3">
      <c r="A2573" s="91"/>
      <c r="B2573" s="70"/>
      <c r="C2573" s="70"/>
      <c r="D2573" s="70"/>
      <c r="E2573" s="70"/>
      <c r="F2573" s="70"/>
      <c r="G2573" s="70"/>
      <c r="H2573" s="131"/>
      <c r="I2573" s="3"/>
    </row>
    <row r="2574" spans="1:9" s="93" customFormat="1" ht="9" customHeight="1" x14ac:dyDescent="0.3">
      <c r="A2574" s="91"/>
      <c r="B2574" s="70"/>
      <c r="C2574" s="70"/>
      <c r="D2574" s="70"/>
      <c r="E2574" s="70"/>
      <c r="F2574" s="70"/>
      <c r="G2574" s="70"/>
      <c r="H2574" s="131"/>
      <c r="I2574" s="3"/>
    </row>
    <row r="2575" spans="1:9" s="93" customFormat="1" ht="9" customHeight="1" x14ac:dyDescent="0.3">
      <c r="A2575" s="91"/>
      <c r="B2575" s="70"/>
      <c r="C2575" s="70"/>
      <c r="D2575" s="70"/>
      <c r="E2575" s="70"/>
      <c r="F2575" s="70"/>
      <c r="G2575" s="70"/>
      <c r="H2575" s="131"/>
      <c r="I2575" s="3"/>
    </row>
    <row r="2576" spans="1:9" s="93" customFormat="1" ht="9" customHeight="1" x14ac:dyDescent="0.3">
      <c r="A2576" s="91"/>
      <c r="B2576" s="70"/>
      <c r="C2576" s="70"/>
      <c r="D2576" s="70"/>
      <c r="E2576" s="70"/>
      <c r="F2576" s="70"/>
      <c r="G2576" s="70"/>
      <c r="H2576" s="131"/>
      <c r="I2576" s="3"/>
    </row>
    <row r="2577" spans="1:9" s="93" customFormat="1" ht="9" customHeight="1" x14ac:dyDescent="0.3">
      <c r="A2577" s="91"/>
      <c r="B2577" s="70"/>
      <c r="C2577" s="70"/>
      <c r="D2577" s="70"/>
      <c r="E2577" s="70"/>
      <c r="F2577" s="70"/>
      <c r="G2577" s="70"/>
      <c r="H2577" s="131"/>
      <c r="I2577" s="3"/>
    </row>
    <row r="2578" spans="1:9" s="93" customFormat="1" ht="9" customHeight="1" x14ac:dyDescent="0.3">
      <c r="A2578" s="91"/>
      <c r="B2578" s="70"/>
      <c r="C2578" s="70"/>
      <c r="D2578" s="70"/>
      <c r="E2578" s="70"/>
      <c r="F2578" s="70"/>
      <c r="G2578" s="70"/>
      <c r="H2578" s="131"/>
      <c r="I2578" s="3"/>
    </row>
    <row r="2579" spans="1:9" s="93" customFormat="1" ht="9" customHeight="1" x14ac:dyDescent="0.3">
      <c r="A2579" s="91"/>
      <c r="B2579" s="70"/>
      <c r="C2579" s="70"/>
      <c r="D2579" s="70"/>
      <c r="E2579" s="70"/>
      <c r="F2579" s="70"/>
      <c r="G2579" s="70"/>
      <c r="H2579" s="131"/>
      <c r="I2579" s="3"/>
    </row>
    <row r="2580" spans="1:9" s="93" customFormat="1" ht="9" customHeight="1" x14ac:dyDescent="0.3">
      <c r="A2580" s="91"/>
      <c r="B2580" s="70"/>
      <c r="C2580" s="70"/>
      <c r="D2580" s="70"/>
      <c r="E2580" s="70"/>
      <c r="F2580" s="70"/>
      <c r="G2580" s="70"/>
      <c r="H2580" s="131"/>
      <c r="I2580" s="3"/>
    </row>
    <row r="2581" spans="1:9" s="93" customFormat="1" ht="9" customHeight="1" x14ac:dyDescent="0.3">
      <c r="A2581" s="91"/>
      <c r="B2581" s="70"/>
      <c r="C2581" s="70"/>
      <c r="D2581" s="70"/>
      <c r="E2581" s="70"/>
      <c r="F2581" s="70"/>
      <c r="G2581" s="70"/>
      <c r="H2581" s="131"/>
      <c r="I2581" s="3"/>
    </row>
    <row r="2582" spans="1:9" s="93" customFormat="1" ht="9" customHeight="1" x14ac:dyDescent="0.3">
      <c r="A2582" s="91"/>
      <c r="B2582" s="70"/>
      <c r="C2582" s="70"/>
      <c r="D2582" s="70"/>
      <c r="E2582" s="70"/>
      <c r="F2582" s="70"/>
      <c r="G2582" s="70"/>
      <c r="H2582" s="131"/>
      <c r="I2582" s="3"/>
    </row>
    <row r="2583" spans="1:9" s="93" customFormat="1" ht="9" customHeight="1" x14ac:dyDescent="0.3">
      <c r="A2583" s="91"/>
      <c r="B2583" s="70"/>
      <c r="C2583" s="70"/>
      <c r="D2583" s="70"/>
      <c r="E2583" s="70"/>
      <c r="F2583" s="70"/>
      <c r="G2583" s="70"/>
      <c r="H2583" s="131"/>
      <c r="I2583" s="3"/>
    </row>
    <row r="2584" spans="1:9" s="93" customFormat="1" ht="9" customHeight="1" x14ac:dyDescent="0.3">
      <c r="A2584" s="91"/>
      <c r="B2584" s="70"/>
      <c r="C2584" s="70"/>
      <c r="D2584" s="70"/>
      <c r="E2584" s="70"/>
      <c r="F2584" s="70"/>
      <c r="G2584" s="70"/>
      <c r="H2584" s="131"/>
      <c r="I2584" s="3"/>
    </row>
    <row r="2585" spans="1:9" s="93" customFormat="1" ht="9" customHeight="1" x14ac:dyDescent="0.3">
      <c r="A2585" s="91"/>
      <c r="B2585" s="70"/>
      <c r="C2585" s="70"/>
      <c r="D2585" s="70"/>
      <c r="E2585" s="70"/>
      <c r="F2585" s="70"/>
      <c r="G2585" s="70"/>
      <c r="H2585" s="131"/>
      <c r="I2585" s="3"/>
    </row>
    <row r="2586" spans="1:9" s="93" customFormat="1" ht="9" customHeight="1" x14ac:dyDescent="0.3">
      <c r="A2586" s="91"/>
      <c r="B2586" s="70"/>
      <c r="C2586" s="70"/>
      <c r="D2586" s="70"/>
      <c r="E2586" s="70"/>
      <c r="F2586" s="70"/>
      <c r="G2586" s="70"/>
      <c r="H2586" s="131"/>
      <c r="I2586" s="3"/>
    </row>
    <row r="2587" spans="1:9" s="93" customFormat="1" ht="9" customHeight="1" x14ac:dyDescent="0.3">
      <c r="A2587" s="91"/>
      <c r="B2587" s="70"/>
      <c r="C2587" s="70"/>
      <c r="D2587" s="70"/>
      <c r="E2587" s="70"/>
      <c r="F2587" s="70"/>
      <c r="G2587" s="70"/>
      <c r="H2587" s="131"/>
      <c r="I2587" s="3"/>
    </row>
    <row r="2588" spans="1:9" s="93" customFormat="1" ht="9" customHeight="1" x14ac:dyDescent="0.3">
      <c r="A2588" s="91"/>
      <c r="B2588" s="70"/>
      <c r="C2588" s="70"/>
      <c r="D2588" s="70"/>
      <c r="E2588" s="70"/>
      <c r="F2588" s="70"/>
      <c r="G2588" s="70"/>
      <c r="H2588" s="131"/>
      <c r="I2588" s="3"/>
    </row>
    <row r="2589" spans="1:9" s="93" customFormat="1" ht="9" customHeight="1" x14ac:dyDescent="0.3">
      <c r="A2589" s="91"/>
      <c r="B2589" s="70"/>
      <c r="C2589" s="70"/>
      <c r="D2589" s="70"/>
      <c r="E2589" s="70"/>
      <c r="F2589" s="70"/>
      <c r="G2589" s="70"/>
      <c r="H2589" s="131"/>
      <c r="I2589" s="3"/>
    </row>
    <row r="2590" spans="1:9" s="93" customFormat="1" ht="9" customHeight="1" x14ac:dyDescent="0.3">
      <c r="A2590" s="91"/>
      <c r="B2590" s="70"/>
      <c r="C2590" s="70"/>
      <c r="D2590" s="70"/>
      <c r="E2590" s="70"/>
      <c r="F2590" s="70"/>
      <c r="G2590" s="70"/>
      <c r="H2590" s="131"/>
      <c r="I2590" s="3"/>
    </row>
    <row r="2591" spans="1:9" s="93" customFormat="1" ht="9" customHeight="1" x14ac:dyDescent="0.3">
      <c r="A2591" s="91"/>
      <c r="B2591" s="70"/>
      <c r="C2591" s="70"/>
      <c r="D2591" s="70"/>
      <c r="E2591" s="70"/>
      <c r="F2591" s="70"/>
      <c r="G2591" s="70"/>
      <c r="H2591" s="131"/>
      <c r="I2591" s="3"/>
    </row>
    <row r="2592" spans="1:9" s="93" customFormat="1" ht="9" customHeight="1" x14ac:dyDescent="0.3">
      <c r="A2592" s="91"/>
      <c r="B2592" s="70"/>
      <c r="C2592" s="70"/>
      <c r="D2592" s="70"/>
      <c r="E2592" s="70"/>
      <c r="F2592" s="70"/>
      <c r="G2592" s="70"/>
      <c r="H2592" s="131"/>
      <c r="I2592" s="3"/>
    </row>
    <row r="2593" spans="1:9" s="93" customFormat="1" ht="9" customHeight="1" x14ac:dyDescent="0.3">
      <c r="A2593" s="91"/>
      <c r="B2593" s="70"/>
      <c r="C2593" s="70"/>
      <c r="D2593" s="70"/>
      <c r="E2593" s="70"/>
      <c r="F2593" s="70"/>
      <c r="G2593" s="70"/>
      <c r="H2593" s="131"/>
      <c r="I2593" s="3"/>
    </row>
    <row r="2594" spans="1:9" s="93" customFormat="1" ht="9" customHeight="1" x14ac:dyDescent="0.3">
      <c r="A2594" s="91"/>
      <c r="B2594" s="70"/>
      <c r="C2594" s="70"/>
      <c r="D2594" s="70"/>
      <c r="E2594" s="70"/>
      <c r="F2594" s="70"/>
      <c r="G2594" s="70"/>
      <c r="H2594" s="131"/>
      <c r="I2594" s="3"/>
    </row>
    <row r="2595" spans="1:9" s="93" customFormat="1" ht="9" customHeight="1" x14ac:dyDescent="0.3">
      <c r="A2595" s="91"/>
      <c r="B2595" s="70"/>
      <c r="C2595" s="70"/>
      <c r="D2595" s="70"/>
      <c r="E2595" s="70"/>
      <c r="F2595" s="70"/>
      <c r="G2595" s="70"/>
      <c r="H2595" s="131"/>
      <c r="I2595" s="3"/>
    </row>
    <row r="2596" spans="1:9" s="93" customFormat="1" ht="9" customHeight="1" x14ac:dyDescent="0.3">
      <c r="A2596" s="91"/>
      <c r="B2596" s="70"/>
      <c r="C2596" s="70"/>
      <c r="D2596" s="70"/>
      <c r="E2596" s="70"/>
      <c r="F2596" s="70"/>
      <c r="G2596" s="70"/>
      <c r="H2596" s="131"/>
      <c r="I2596" s="3"/>
    </row>
    <row r="2597" spans="1:9" s="93" customFormat="1" ht="9" customHeight="1" x14ac:dyDescent="0.3">
      <c r="A2597" s="91"/>
      <c r="B2597" s="70"/>
      <c r="C2597" s="70"/>
      <c r="D2597" s="70"/>
      <c r="E2597" s="70"/>
      <c r="F2597" s="70"/>
      <c r="G2597" s="70"/>
      <c r="H2597" s="131"/>
      <c r="I2597" s="3"/>
    </row>
    <row r="2598" spans="1:9" s="93" customFormat="1" ht="9" customHeight="1" x14ac:dyDescent="0.3">
      <c r="A2598" s="91"/>
      <c r="B2598" s="70"/>
      <c r="C2598" s="70"/>
      <c r="D2598" s="70"/>
      <c r="E2598" s="70"/>
      <c r="F2598" s="70"/>
      <c r="G2598" s="70"/>
      <c r="H2598" s="131"/>
      <c r="I2598" s="3"/>
    </row>
    <row r="2599" spans="1:9" s="93" customFormat="1" ht="9" customHeight="1" x14ac:dyDescent="0.3">
      <c r="A2599" s="91"/>
      <c r="B2599" s="70"/>
      <c r="C2599" s="70"/>
      <c r="D2599" s="70"/>
      <c r="E2599" s="70"/>
      <c r="F2599" s="70"/>
      <c r="G2599" s="70"/>
      <c r="H2599" s="131"/>
      <c r="I2599" s="3"/>
    </row>
    <row r="2600" spans="1:9" s="93" customFormat="1" ht="9" customHeight="1" x14ac:dyDescent="0.3">
      <c r="A2600" s="91"/>
      <c r="B2600" s="70"/>
      <c r="C2600" s="70"/>
      <c r="D2600" s="70"/>
      <c r="E2600" s="70"/>
      <c r="F2600" s="70"/>
      <c r="G2600" s="70"/>
      <c r="H2600" s="131"/>
      <c r="I2600" s="3"/>
    </row>
    <row r="2601" spans="1:9" s="93" customFormat="1" ht="9" customHeight="1" x14ac:dyDescent="0.3">
      <c r="A2601" s="91"/>
      <c r="B2601" s="70"/>
      <c r="C2601" s="70"/>
      <c r="D2601" s="70"/>
      <c r="E2601" s="70"/>
      <c r="F2601" s="70"/>
      <c r="G2601" s="70"/>
      <c r="H2601" s="131"/>
      <c r="I2601" s="3"/>
    </row>
    <row r="2602" spans="1:9" s="93" customFormat="1" ht="9" customHeight="1" x14ac:dyDescent="0.3">
      <c r="A2602" s="91"/>
      <c r="B2602" s="70"/>
      <c r="C2602" s="70"/>
      <c r="D2602" s="70"/>
      <c r="E2602" s="70"/>
      <c r="F2602" s="70"/>
      <c r="G2602" s="70"/>
      <c r="H2602" s="131"/>
      <c r="I2602" s="3"/>
    </row>
    <row r="2603" spans="1:9" s="93" customFormat="1" ht="9" customHeight="1" x14ac:dyDescent="0.3">
      <c r="A2603" s="91"/>
      <c r="B2603" s="70"/>
      <c r="C2603" s="70"/>
      <c r="D2603" s="70"/>
      <c r="E2603" s="70"/>
      <c r="F2603" s="70"/>
      <c r="G2603" s="70"/>
      <c r="H2603" s="131"/>
      <c r="I2603" s="3"/>
    </row>
    <row r="2604" spans="1:9" s="93" customFormat="1" ht="9" customHeight="1" x14ac:dyDescent="0.3">
      <c r="A2604" s="91"/>
      <c r="B2604" s="70"/>
      <c r="C2604" s="70"/>
      <c r="D2604" s="70"/>
      <c r="E2604" s="70"/>
      <c r="F2604" s="70"/>
      <c r="G2604" s="70"/>
      <c r="H2604" s="131"/>
      <c r="I2604" s="3"/>
    </row>
    <row r="2605" spans="1:9" s="93" customFormat="1" ht="9" customHeight="1" x14ac:dyDescent="0.3">
      <c r="A2605" s="91"/>
      <c r="B2605" s="70"/>
      <c r="C2605" s="70"/>
      <c r="D2605" s="70"/>
      <c r="E2605" s="70"/>
      <c r="F2605" s="70"/>
      <c r="G2605" s="70"/>
      <c r="H2605" s="131"/>
      <c r="I2605" s="3"/>
    </row>
    <row r="2606" spans="1:9" s="93" customFormat="1" ht="9" customHeight="1" x14ac:dyDescent="0.3">
      <c r="A2606" s="91"/>
      <c r="B2606" s="70"/>
      <c r="C2606" s="70"/>
      <c r="D2606" s="70"/>
      <c r="E2606" s="70"/>
      <c r="F2606" s="70"/>
      <c r="G2606" s="70"/>
      <c r="H2606" s="131"/>
      <c r="I2606" s="3"/>
    </row>
    <row r="2607" spans="1:9" s="93" customFormat="1" ht="9" customHeight="1" x14ac:dyDescent="0.3">
      <c r="A2607" s="91"/>
      <c r="B2607" s="70"/>
      <c r="C2607" s="70"/>
      <c r="D2607" s="70"/>
      <c r="E2607" s="70"/>
      <c r="F2607" s="70"/>
      <c r="G2607" s="70"/>
      <c r="H2607" s="131"/>
      <c r="I2607" s="3"/>
    </row>
    <row r="2608" spans="1:9" s="93" customFormat="1" ht="9" customHeight="1" x14ac:dyDescent="0.3">
      <c r="A2608" s="91"/>
      <c r="B2608" s="70"/>
      <c r="C2608" s="70"/>
      <c r="D2608" s="70"/>
      <c r="E2608" s="70"/>
      <c r="F2608" s="70"/>
      <c r="G2608" s="70"/>
      <c r="H2608" s="131"/>
      <c r="I2608" s="3"/>
    </row>
    <row r="2609" spans="1:9" s="93" customFormat="1" ht="9" customHeight="1" x14ac:dyDescent="0.3">
      <c r="A2609" s="91"/>
      <c r="B2609" s="70"/>
      <c r="C2609" s="70"/>
      <c r="D2609" s="70"/>
      <c r="E2609" s="70"/>
      <c r="F2609" s="70"/>
      <c r="G2609" s="70"/>
      <c r="H2609" s="131"/>
      <c r="I2609" s="3"/>
    </row>
    <row r="2610" spans="1:9" s="93" customFormat="1" ht="9" customHeight="1" x14ac:dyDescent="0.3">
      <c r="A2610" s="91"/>
      <c r="B2610" s="70"/>
      <c r="C2610" s="70"/>
      <c r="D2610" s="70"/>
      <c r="E2610" s="70"/>
      <c r="F2610" s="70"/>
      <c r="G2610" s="70"/>
      <c r="H2610" s="131"/>
      <c r="I2610" s="3"/>
    </row>
    <row r="2611" spans="1:9" s="93" customFormat="1" ht="9" customHeight="1" x14ac:dyDescent="0.3">
      <c r="A2611" s="91"/>
      <c r="B2611" s="70"/>
      <c r="C2611" s="70"/>
      <c r="D2611" s="70"/>
      <c r="E2611" s="70"/>
      <c r="F2611" s="70"/>
      <c r="G2611" s="70"/>
      <c r="H2611" s="131"/>
      <c r="I2611" s="3"/>
    </row>
    <row r="2612" spans="1:9" s="93" customFormat="1" ht="9" customHeight="1" x14ac:dyDescent="0.3">
      <c r="A2612" s="91"/>
      <c r="B2612" s="70"/>
      <c r="C2612" s="70"/>
      <c r="D2612" s="70"/>
      <c r="E2612" s="70"/>
      <c r="F2612" s="70"/>
      <c r="G2612" s="70"/>
      <c r="H2612" s="131"/>
      <c r="I2612" s="3"/>
    </row>
    <row r="2613" spans="1:9" s="93" customFormat="1" ht="9" customHeight="1" x14ac:dyDescent="0.3">
      <c r="A2613" s="91"/>
      <c r="B2613" s="70"/>
      <c r="C2613" s="70"/>
      <c r="D2613" s="70"/>
      <c r="E2613" s="70"/>
      <c r="F2613" s="70"/>
      <c r="G2613" s="70"/>
      <c r="H2613" s="131"/>
      <c r="I2613" s="3"/>
    </row>
    <row r="2614" spans="1:9" s="93" customFormat="1" ht="9" customHeight="1" x14ac:dyDescent="0.3">
      <c r="A2614" s="91"/>
      <c r="B2614" s="70"/>
      <c r="C2614" s="70"/>
      <c r="D2614" s="70"/>
      <c r="E2614" s="70"/>
      <c r="F2614" s="70"/>
      <c r="G2614" s="70"/>
      <c r="H2614" s="131"/>
      <c r="I2614" s="3"/>
    </row>
    <row r="2615" spans="1:9" s="93" customFormat="1" ht="9" customHeight="1" x14ac:dyDescent="0.3">
      <c r="A2615" s="91"/>
      <c r="B2615" s="70"/>
      <c r="C2615" s="70"/>
      <c r="D2615" s="70"/>
      <c r="E2615" s="70"/>
      <c r="F2615" s="70"/>
      <c r="G2615" s="70"/>
      <c r="H2615" s="131"/>
      <c r="I2615" s="3"/>
    </row>
    <row r="2616" spans="1:9" s="93" customFormat="1" ht="9" customHeight="1" x14ac:dyDescent="0.3">
      <c r="A2616" s="91"/>
      <c r="B2616" s="70"/>
      <c r="C2616" s="70"/>
      <c r="D2616" s="70"/>
      <c r="E2616" s="70"/>
      <c r="F2616" s="70"/>
      <c r="G2616" s="70"/>
      <c r="H2616" s="131"/>
      <c r="I2616" s="3"/>
    </row>
    <row r="2617" spans="1:9" s="93" customFormat="1" ht="9" customHeight="1" x14ac:dyDescent="0.3">
      <c r="A2617" s="91"/>
      <c r="B2617" s="70"/>
      <c r="C2617" s="70"/>
      <c r="D2617" s="70"/>
      <c r="E2617" s="70"/>
      <c r="F2617" s="70"/>
      <c r="G2617" s="70"/>
      <c r="H2617" s="131"/>
      <c r="I2617" s="3"/>
    </row>
    <row r="2618" spans="1:9" s="93" customFormat="1" ht="9" customHeight="1" x14ac:dyDescent="0.3">
      <c r="A2618" s="91"/>
      <c r="B2618" s="70"/>
      <c r="C2618" s="70"/>
      <c r="D2618" s="70"/>
      <c r="E2618" s="70"/>
      <c r="F2618" s="70"/>
      <c r="G2618" s="70"/>
      <c r="H2618" s="131"/>
      <c r="I2618" s="3"/>
    </row>
    <row r="2619" spans="1:9" s="93" customFormat="1" ht="9" customHeight="1" x14ac:dyDescent="0.3">
      <c r="A2619" s="91"/>
      <c r="B2619" s="70"/>
      <c r="C2619" s="70"/>
      <c r="D2619" s="70"/>
      <c r="E2619" s="70"/>
      <c r="F2619" s="70"/>
      <c r="G2619" s="70"/>
      <c r="H2619" s="131"/>
      <c r="I2619" s="3"/>
    </row>
    <row r="2620" spans="1:9" s="93" customFormat="1" ht="9" customHeight="1" x14ac:dyDescent="0.3">
      <c r="A2620" s="91"/>
      <c r="B2620" s="70"/>
      <c r="C2620" s="70"/>
      <c r="D2620" s="70"/>
      <c r="E2620" s="70"/>
      <c r="F2620" s="70"/>
      <c r="G2620" s="70"/>
      <c r="H2620" s="131"/>
      <c r="I2620" s="3"/>
    </row>
    <row r="2621" spans="1:9" s="93" customFormat="1" ht="9" customHeight="1" x14ac:dyDescent="0.3">
      <c r="A2621" s="91"/>
      <c r="B2621" s="70"/>
      <c r="C2621" s="70"/>
      <c r="D2621" s="70"/>
      <c r="E2621" s="70"/>
      <c r="F2621" s="70"/>
      <c r="G2621" s="70"/>
      <c r="H2621" s="131"/>
      <c r="I2621" s="3"/>
    </row>
    <row r="2622" spans="1:9" s="93" customFormat="1" ht="9" customHeight="1" x14ac:dyDescent="0.3">
      <c r="A2622" s="91"/>
      <c r="B2622" s="70"/>
      <c r="C2622" s="70"/>
      <c r="D2622" s="70"/>
      <c r="E2622" s="70"/>
      <c r="F2622" s="70"/>
      <c r="G2622" s="70"/>
      <c r="H2622" s="131"/>
      <c r="I2622" s="3"/>
    </row>
    <row r="2623" spans="1:9" s="93" customFormat="1" ht="9" customHeight="1" x14ac:dyDescent="0.3">
      <c r="A2623" s="91"/>
      <c r="B2623" s="70"/>
      <c r="C2623" s="70"/>
      <c r="D2623" s="70"/>
      <c r="E2623" s="70"/>
      <c r="F2623" s="70"/>
      <c r="G2623" s="70"/>
      <c r="H2623" s="131"/>
      <c r="I2623" s="3"/>
    </row>
    <row r="2624" spans="1:9" s="93" customFormat="1" ht="9" customHeight="1" x14ac:dyDescent="0.3">
      <c r="A2624" s="91"/>
      <c r="B2624" s="70"/>
      <c r="C2624" s="70"/>
      <c r="D2624" s="70"/>
      <c r="E2624" s="70"/>
      <c r="F2624" s="70"/>
      <c r="G2624" s="70"/>
      <c r="H2624" s="131"/>
      <c r="I2624" s="3"/>
    </row>
    <row r="2625" spans="1:9" s="93" customFormat="1" ht="9" customHeight="1" x14ac:dyDescent="0.3">
      <c r="A2625" s="91"/>
      <c r="B2625" s="70"/>
      <c r="C2625" s="70"/>
      <c r="D2625" s="70"/>
      <c r="E2625" s="70"/>
      <c r="F2625" s="70"/>
      <c r="G2625" s="70"/>
      <c r="H2625" s="131"/>
      <c r="I2625" s="3"/>
    </row>
    <row r="2626" spans="1:9" s="93" customFormat="1" ht="9" customHeight="1" x14ac:dyDescent="0.3">
      <c r="A2626" s="91"/>
      <c r="B2626" s="70"/>
      <c r="C2626" s="70"/>
      <c r="D2626" s="70"/>
      <c r="E2626" s="70"/>
      <c r="F2626" s="70"/>
      <c r="G2626" s="70"/>
      <c r="H2626" s="131"/>
      <c r="I2626" s="3"/>
    </row>
    <row r="2627" spans="1:9" s="93" customFormat="1" ht="9" customHeight="1" x14ac:dyDescent="0.3">
      <c r="A2627" s="91"/>
      <c r="B2627" s="70"/>
      <c r="C2627" s="70"/>
      <c r="D2627" s="70"/>
      <c r="E2627" s="70"/>
      <c r="F2627" s="70"/>
      <c r="G2627" s="70"/>
      <c r="H2627" s="131"/>
      <c r="I2627" s="3"/>
    </row>
    <row r="2628" spans="1:9" s="93" customFormat="1" ht="9" customHeight="1" x14ac:dyDescent="0.3">
      <c r="A2628" s="91"/>
      <c r="B2628" s="70"/>
      <c r="C2628" s="70"/>
      <c r="D2628" s="70"/>
      <c r="E2628" s="70"/>
      <c r="F2628" s="70"/>
      <c r="G2628" s="70"/>
      <c r="H2628" s="131"/>
      <c r="I2628" s="3"/>
    </row>
    <row r="2629" spans="1:9" s="93" customFormat="1" ht="9" customHeight="1" x14ac:dyDescent="0.3">
      <c r="A2629" s="91"/>
      <c r="B2629" s="70"/>
      <c r="C2629" s="70"/>
      <c r="D2629" s="70"/>
      <c r="E2629" s="70"/>
      <c r="F2629" s="70"/>
      <c r="G2629" s="70"/>
      <c r="H2629" s="131"/>
      <c r="I2629" s="3"/>
    </row>
    <row r="2630" spans="1:9" s="93" customFormat="1" ht="9" customHeight="1" x14ac:dyDescent="0.3">
      <c r="A2630" s="91"/>
      <c r="B2630" s="70"/>
      <c r="C2630" s="70"/>
      <c r="D2630" s="70"/>
      <c r="E2630" s="70"/>
      <c r="F2630" s="70"/>
      <c r="G2630" s="70"/>
      <c r="H2630" s="131"/>
      <c r="I2630" s="3"/>
    </row>
    <row r="2631" spans="1:9" s="93" customFormat="1" ht="9" customHeight="1" x14ac:dyDescent="0.3">
      <c r="A2631" s="91"/>
      <c r="B2631" s="70"/>
      <c r="C2631" s="70"/>
      <c r="D2631" s="70"/>
      <c r="E2631" s="70"/>
      <c r="F2631" s="70"/>
      <c r="G2631" s="70"/>
      <c r="H2631" s="131"/>
      <c r="I2631" s="3"/>
    </row>
    <row r="2632" spans="1:9" s="93" customFormat="1" ht="9" customHeight="1" x14ac:dyDescent="0.3">
      <c r="A2632" s="91"/>
      <c r="B2632" s="70"/>
      <c r="C2632" s="70"/>
      <c r="D2632" s="70"/>
      <c r="E2632" s="70"/>
      <c r="F2632" s="70"/>
      <c r="G2632" s="70"/>
      <c r="H2632" s="131"/>
      <c r="I2632" s="3"/>
    </row>
    <row r="2633" spans="1:9" s="93" customFormat="1" ht="9" customHeight="1" x14ac:dyDescent="0.3">
      <c r="A2633" s="91"/>
      <c r="B2633" s="70"/>
      <c r="C2633" s="70"/>
      <c r="D2633" s="70"/>
      <c r="E2633" s="70"/>
      <c r="F2633" s="70"/>
      <c r="G2633" s="70"/>
      <c r="H2633" s="131"/>
      <c r="I2633" s="3"/>
    </row>
    <row r="2634" spans="1:9" s="93" customFormat="1" ht="9" customHeight="1" x14ac:dyDescent="0.3">
      <c r="A2634" s="91"/>
      <c r="B2634" s="70"/>
      <c r="C2634" s="70"/>
      <c r="D2634" s="70"/>
      <c r="E2634" s="70"/>
      <c r="F2634" s="70"/>
      <c r="G2634" s="70"/>
      <c r="H2634" s="131"/>
      <c r="I2634" s="3"/>
    </row>
    <row r="2635" spans="1:9" s="93" customFormat="1" ht="9" customHeight="1" x14ac:dyDescent="0.3">
      <c r="A2635" s="91"/>
      <c r="B2635" s="70"/>
      <c r="C2635" s="70"/>
      <c r="D2635" s="70"/>
      <c r="E2635" s="70"/>
      <c r="F2635" s="70"/>
      <c r="G2635" s="70"/>
      <c r="H2635" s="131"/>
      <c r="I2635" s="3"/>
    </row>
    <row r="2636" spans="1:9" s="93" customFormat="1" ht="9" customHeight="1" x14ac:dyDescent="0.3">
      <c r="A2636" s="91"/>
      <c r="B2636" s="70"/>
      <c r="C2636" s="70"/>
      <c r="D2636" s="70"/>
      <c r="E2636" s="70"/>
      <c r="F2636" s="70"/>
      <c r="G2636" s="70"/>
      <c r="H2636" s="131"/>
      <c r="I2636" s="3"/>
    </row>
    <row r="2637" spans="1:9" s="93" customFormat="1" ht="9" customHeight="1" x14ac:dyDescent="0.3">
      <c r="A2637" s="91"/>
      <c r="B2637" s="70"/>
      <c r="C2637" s="70"/>
      <c r="D2637" s="70"/>
      <c r="E2637" s="70"/>
      <c r="F2637" s="70"/>
      <c r="G2637" s="70"/>
      <c r="H2637" s="131"/>
      <c r="I2637" s="3"/>
    </row>
    <row r="2638" spans="1:9" s="93" customFormat="1" ht="9" customHeight="1" x14ac:dyDescent="0.3">
      <c r="A2638" s="91"/>
      <c r="B2638" s="70"/>
      <c r="C2638" s="70"/>
      <c r="D2638" s="70"/>
      <c r="E2638" s="70"/>
      <c r="F2638" s="70"/>
      <c r="G2638" s="70"/>
      <c r="H2638" s="131"/>
      <c r="I2638" s="3"/>
    </row>
    <row r="2639" spans="1:9" s="93" customFormat="1" ht="9" customHeight="1" x14ac:dyDescent="0.3">
      <c r="A2639" s="91"/>
      <c r="B2639" s="70"/>
      <c r="C2639" s="70"/>
      <c r="D2639" s="70"/>
      <c r="E2639" s="70"/>
      <c r="F2639" s="70"/>
      <c r="G2639" s="70"/>
      <c r="H2639" s="131"/>
      <c r="I2639" s="3"/>
    </row>
    <row r="2640" spans="1:9" s="93" customFormat="1" ht="9" customHeight="1" x14ac:dyDescent="0.3">
      <c r="A2640" s="91"/>
      <c r="B2640" s="70"/>
      <c r="C2640" s="70"/>
      <c r="D2640" s="70"/>
      <c r="E2640" s="70"/>
      <c r="F2640" s="70"/>
      <c r="G2640" s="70"/>
      <c r="H2640" s="131"/>
      <c r="I2640" s="3"/>
    </row>
    <row r="2641" spans="1:9" s="93" customFormat="1" ht="9" customHeight="1" x14ac:dyDescent="0.3">
      <c r="A2641" s="91"/>
      <c r="B2641" s="70"/>
      <c r="C2641" s="70"/>
      <c r="D2641" s="70"/>
      <c r="E2641" s="70"/>
      <c r="F2641" s="70"/>
      <c r="G2641" s="70"/>
      <c r="H2641" s="131"/>
      <c r="I2641" s="3"/>
    </row>
    <row r="2642" spans="1:9" s="93" customFormat="1" ht="9" customHeight="1" x14ac:dyDescent="0.3">
      <c r="A2642" s="91"/>
      <c r="B2642" s="70"/>
      <c r="C2642" s="70"/>
      <c r="D2642" s="70"/>
      <c r="E2642" s="70"/>
      <c r="F2642" s="70"/>
      <c r="G2642" s="70"/>
      <c r="H2642" s="131"/>
      <c r="I2642" s="3"/>
    </row>
    <row r="2643" spans="1:9" s="93" customFormat="1" ht="9" customHeight="1" x14ac:dyDescent="0.3">
      <c r="A2643" s="91"/>
      <c r="B2643" s="70"/>
      <c r="C2643" s="70"/>
      <c r="D2643" s="70"/>
      <c r="E2643" s="70"/>
      <c r="F2643" s="70"/>
      <c r="G2643" s="70"/>
      <c r="H2643" s="131"/>
      <c r="I2643" s="3"/>
    </row>
    <row r="2644" spans="1:9" s="93" customFormat="1" ht="9" customHeight="1" x14ac:dyDescent="0.3">
      <c r="A2644" s="91"/>
      <c r="B2644" s="70"/>
      <c r="C2644" s="70"/>
      <c r="D2644" s="70"/>
      <c r="E2644" s="70"/>
      <c r="F2644" s="70"/>
      <c r="G2644" s="70"/>
      <c r="H2644" s="131"/>
      <c r="I2644" s="3"/>
    </row>
    <row r="2645" spans="1:9" s="93" customFormat="1" ht="9" customHeight="1" x14ac:dyDescent="0.3">
      <c r="A2645" s="91"/>
      <c r="B2645" s="70"/>
      <c r="C2645" s="70"/>
      <c r="D2645" s="70"/>
      <c r="E2645" s="70"/>
      <c r="F2645" s="70"/>
      <c r="G2645" s="70"/>
      <c r="H2645" s="131"/>
      <c r="I2645" s="3"/>
    </row>
    <row r="2646" spans="1:9" s="93" customFormat="1" ht="9" customHeight="1" x14ac:dyDescent="0.3">
      <c r="A2646" s="91"/>
      <c r="B2646" s="70"/>
      <c r="C2646" s="70"/>
      <c r="D2646" s="70"/>
      <c r="E2646" s="70"/>
      <c r="F2646" s="70"/>
      <c r="G2646" s="70"/>
      <c r="H2646" s="131"/>
      <c r="I2646" s="3"/>
    </row>
    <row r="2647" spans="1:9" s="93" customFormat="1" ht="9" customHeight="1" x14ac:dyDescent="0.3">
      <c r="A2647" s="91"/>
      <c r="B2647" s="70"/>
      <c r="C2647" s="70"/>
      <c r="D2647" s="70"/>
      <c r="E2647" s="70"/>
      <c r="F2647" s="70"/>
      <c r="G2647" s="70"/>
      <c r="H2647" s="131"/>
      <c r="I2647" s="3"/>
    </row>
    <row r="2648" spans="1:9" s="93" customFormat="1" ht="9" customHeight="1" x14ac:dyDescent="0.3">
      <c r="A2648" s="91"/>
      <c r="B2648" s="70"/>
      <c r="C2648" s="70"/>
      <c r="D2648" s="70"/>
      <c r="E2648" s="70"/>
      <c r="F2648" s="70"/>
      <c r="G2648" s="70"/>
      <c r="H2648" s="131"/>
      <c r="I2648" s="3"/>
    </row>
    <row r="2649" spans="1:9" s="93" customFormat="1" ht="9" customHeight="1" x14ac:dyDescent="0.3">
      <c r="A2649" s="91"/>
      <c r="B2649" s="70"/>
      <c r="C2649" s="70"/>
      <c r="D2649" s="70"/>
      <c r="E2649" s="70"/>
      <c r="F2649" s="70"/>
      <c r="G2649" s="70"/>
      <c r="H2649" s="131"/>
      <c r="I2649" s="3"/>
    </row>
    <row r="2650" spans="1:9" s="93" customFormat="1" ht="9" customHeight="1" x14ac:dyDescent="0.3">
      <c r="A2650" s="91"/>
      <c r="B2650" s="70"/>
      <c r="C2650" s="70"/>
      <c r="D2650" s="70"/>
      <c r="E2650" s="70"/>
      <c r="F2650" s="70"/>
      <c r="G2650" s="70"/>
      <c r="H2650" s="131"/>
      <c r="I2650" s="3"/>
    </row>
    <row r="2651" spans="1:9" s="93" customFormat="1" ht="9" customHeight="1" x14ac:dyDescent="0.3">
      <c r="A2651" s="91"/>
      <c r="B2651" s="70"/>
      <c r="C2651" s="70"/>
      <c r="D2651" s="70"/>
      <c r="E2651" s="70"/>
      <c r="F2651" s="70"/>
      <c r="G2651" s="70"/>
      <c r="H2651" s="131"/>
      <c r="I2651" s="3"/>
    </row>
    <row r="2652" spans="1:9" s="93" customFormat="1" ht="9" customHeight="1" x14ac:dyDescent="0.3">
      <c r="A2652" s="91"/>
      <c r="B2652" s="70"/>
      <c r="C2652" s="70"/>
      <c r="D2652" s="70"/>
      <c r="E2652" s="70"/>
      <c r="F2652" s="70"/>
      <c r="G2652" s="70"/>
      <c r="H2652" s="131"/>
      <c r="I2652" s="3"/>
    </row>
    <row r="2653" spans="1:9" s="93" customFormat="1" ht="9" customHeight="1" x14ac:dyDescent="0.3">
      <c r="A2653" s="91"/>
      <c r="B2653" s="70"/>
      <c r="C2653" s="70"/>
      <c r="D2653" s="70"/>
      <c r="E2653" s="70"/>
      <c r="F2653" s="70"/>
      <c r="G2653" s="70"/>
      <c r="H2653" s="131"/>
      <c r="I2653" s="3"/>
    </row>
    <row r="2654" spans="1:9" s="93" customFormat="1" ht="9" customHeight="1" x14ac:dyDescent="0.3">
      <c r="A2654" s="91"/>
      <c r="B2654" s="70"/>
      <c r="C2654" s="70"/>
      <c r="D2654" s="70"/>
      <c r="E2654" s="70"/>
      <c r="F2654" s="70"/>
      <c r="G2654" s="70"/>
      <c r="H2654" s="131"/>
      <c r="I2654" s="3"/>
    </row>
    <row r="2655" spans="1:9" s="93" customFormat="1" ht="9" customHeight="1" x14ac:dyDescent="0.3">
      <c r="A2655" s="91"/>
      <c r="B2655" s="70"/>
      <c r="C2655" s="70"/>
      <c r="D2655" s="70"/>
      <c r="E2655" s="70"/>
      <c r="F2655" s="70"/>
      <c r="G2655" s="70"/>
      <c r="H2655" s="131"/>
      <c r="I2655" s="3"/>
    </row>
    <row r="2656" spans="1:9" s="93" customFormat="1" ht="9" customHeight="1" x14ac:dyDescent="0.3">
      <c r="A2656" s="91"/>
      <c r="B2656" s="70"/>
      <c r="C2656" s="70"/>
      <c r="D2656" s="70"/>
      <c r="E2656" s="70"/>
      <c r="F2656" s="70"/>
      <c r="G2656" s="70"/>
      <c r="H2656" s="131"/>
      <c r="I2656" s="3"/>
    </row>
    <row r="2657" spans="1:9" s="93" customFormat="1" ht="9" customHeight="1" x14ac:dyDescent="0.3">
      <c r="A2657" s="91"/>
      <c r="B2657" s="70"/>
      <c r="C2657" s="70"/>
      <c r="D2657" s="70"/>
      <c r="E2657" s="70"/>
      <c r="F2657" s="70"/>
      <c r="G2657" s="70"/>
      <c r="H2657" s="131"/>
      <c r="I2657" s="3"/>
    </row>
    <row r="2658" spans="1:9" s="93" customFormat="1" ht="9" customHeight="1" x14ac:dyDescent="0.3">
      <c r="A2658" s="91"/>
      <c r="B2658" s="70"/>
      <c r="C2658" s="70"/>
      <c r="D2658" s="70"/>
      <c r="E2658" s="70"/>
      <c r="F2658" s="70"/>
      <c r="G2658" s="70"/>
      <c r="H2658" s="131"/>
      <c r="I2658" s="3"/>
    </row>
    <row r="2659" spans="1:9" s="93" customFormat="1" ht="9" customHeight="1" x14ac:dyDescent="0.3">
      <c r="A2659" s="91"/>
      <c r="B2659" s="70"/>
      <c r="C2659" s="70"/>
      <c r="D2659" s="70"/>
      <c r="E2659" s="70"/>
      <c r="F2659" s="70"/>
      <c r="G2659" s="70"/>
      <c r="H2659" s="131"/>
      <c r="I2659" s="3"/>
    </row>
    <row r="2660" spans="1:9" s="93" customFormat="1" ht="9" customHeight="1" x14ac:dyDescent="0.3">
      <c r="A2660" s="91"/>
      <c r="B2660" s="70"/>
      <c r="C2660" s="70"/>
      <c r="D2660" s="70"/>
      <c r="E2660" s="70"/>
      <c r="F2660" s="70"/>
      <c r="G2660" s="70"/>
      <c r="H2660" s="131"/>
      <c r="I2660" s="3"/>
    </row>
    <row r="2661" spans="1:9" s="93" customFormat="1" ht="9" customHeight="1" x14ac:dyDescent="0.3">
      <c r="A2661" s="91"/>
      <c r="B2661" s="70"/>
      <c r="C2661" s="70"/>
      <c r="D2661" s="70"/>
      <c r="E2661" s="70"/>
      <c r="F2661" s="70"/>
      <c r="G2661" s="70"/>
      <c r="H2661" s="131"/>
      <c r="I2661" s="3"/>
    </row>
    <row r="2662" spans="1:9" s="93" customFormat="1" ht="9" customHeight="1" x14ac:dyDescent="0.3">
      <c r="A2662" s="91"/>
      <c r="B2662" s="70"/>
      <c r="C2662" s="70"/>
      <c r="D2662" s="70"/>
      <c r="E2662" s="70"/>
      <c r="F2662" s="70"/>
      <c r="G2662" s="70"/>
      <c r="H2662" s="131"/>
      <c r="I2662" s="3"/>
    </row>
    <row r="2663" spans="1:9" s="93" customFormat="1" ht="9" customHeight="1" x14ac:dyDescent="0.3">
      <c r="A2663" s="91"/>
      <c r="B2663" s="70"/>
      <c r="C2663" s="70"/>
      <c r="D2663" s="70"/>
      <c r="E2663" s="70"/>
      <c r="F2663" s="70"/>
      <c r="G2663" s="70"/>
      <c r="H2663" s="131"/>
      <c r="I2663" s="3"/>
    </row>
    <row r="2664" spans="1:9" s="93" customFormat="1" ht="9" customHeight="1" x14ac:dyDescent="0.3">
      <c r="A2664" s="91"/>
      <c r="B2664" s="70"/>
      <c r="C2664" s="70"/>
      <c r="D2664" s="70"/>
      <c r="E2664" s="70"/>
      <c r="F2664" s="70"/>
      <c r="G2664" s="70"/>
      <c r="H2664" s="131"/>
      <c r="I2664" s="3"/>
    </row>
    <row r="2665" spans="1:9" s="93" customFormat="1" ht="9" customHeight="1" x14ac:dyDescent="0.3">
      <c r="A2665" s="91"/>
      <c r="B2665" s="70"/>
      <c r="C2665" s="70"/>
      <c r="D2665" s="70"/>
      <c r="E2665" s="70"/>
      <c r="F2665" s="70"/>
      <c r="G2665" s="70"/>
      <c r="H2665" s="131"/>
      <c r="I2665" s="3"/>
    </row>
    <row r="2666" spans="1:9" s="93" customFormat="1" ht="9" customHeight="1" x14ac:dyDescent="0.3">
      <c r="A2666" s="91"/>
      <c r="B2666" s="70"/>
      <c r="C2666" s="70"/>
      <c r="D2666" s="70"/>
      <c r="E2666" s="70"/>
      <c r="F2666" s="70"/>
      <c r="G2666" s="70"/>
      <c r="H2666" s="131"/>
      <c r="I2666" s="3"/>
    </row>
    <row r="2667" spans="1:9" s="93" customFormat="1" ht="9" customHeight="1" x14ac:dyDescent="0.3">
      <c r="A2667" s="91"/>
      <c r="B2667" s="70"/>
      <c r="C2667" s="70"/>
      <c r="D2667" s="70"/>
      <c r="E2667" s="70"/>
      <c r="F2667" s="70"/>
      <c r="G2667" s="70"/>
      <c r="H2667" s="131"/>
      <c r="I2667" s="3"/>
    </row>
    <row r="2668" spans="1:9" s="93" customFormat="1" ht="9" customHeight="1" x14ac:dyDescent="0.3">
      <c r="A2668" s="91"/>
      <c r="B2668" s="70"/>
      <c r="C2668" s="70"/>
      <c r="D2668" s="70"/>
      <c r="E2668" s="70"/>
      <c r="F2668" s="70"/>
      <c r="G2668" s="70"/>
      <c r="H2668" s="131"/>
      <c r="I2668" s="3"/>
    </row>
    <row r="2669" spans="1:9" s="93" customFormat="1" ht="9" customHeight="1" x14ac:dyDescent="0.3">
      <c r="A2669" s="91"/>
      <c r="B2669" s="70"/>
      <c r="C2669" s="70"/>
      <c r="D2669" s="70"/>
      <c r="E2669" s="70"/>
      <c r="F2669" s="70"/>
      <c r="G2669" s="70"/>
      <c r="H2669" s="131"/>
      <c r="I2669" s="3"/>
    </row>
    <row r="2670" spans="1:9" s="93" customFormat="1" ht="9" customHeight="1" x14ac:dyDescent="0.3">
      <c r="A2670" s="91"/>
      <c r="B2670" s="70"/>
      <c r="C2670" s="70"/>
      <c r="D2670" s="70"/>
      <c r="E2670" s="70"/>
      <c r="F2670" s="70"/>
      <c r="G2670" s="70"/>
      <c r="H2670" s="131"/>
      <c r="I2670" s="3"/>
    </row>
    <row r="2671" spans="1:9" s="93" customFormat="1" ht="9" customHeight="1" x14ac:dyDescent="0.3">
      <c r="A2671" s="91"/>
      <c r="B2671" s="70"/>
      <c r="C2671" s="70"/>
      <c r="D2671" s="70"/>
      <c r="E2671" s="70"/>
      <c r="F2671" s="70"/>
      <c r="G2671" s="70"/>
      <c r="H2671" s="131"/>
      <c r="I2671" s="3"/>
    </row>
    <row r="2672" spans="1:9" s="93" customFormat="1" ht="9" customHeight="1" x14ac:dyDescent="0.3">
      <c r="A2672" s="91"/>
      <c r="B2672" s="70"/>
      <c r="C2672" s="70"/>
      <c r="D2672" s="70"/>
      <c r="E2672" s="70"/>
      <c r="F2672" s="70"/>
      <c r="G2672" s="70"/>
      <c r="H2672" s="131"/>
      <c r="I2672" s="3"/>
    </row>
    <row r="2673" spans="1:9" s="93" customFormat="1" ht="9" customHeight="1" x14ac:dyDescent="0.3">
      <c r="A2673" s="91"/>
      <c r="B2673" s="70"/>
      <c r="C2673" s="70"/>
      <c r="D2673" s="70"/>
      <c r="E2673" s="70"/>
      <c r="F2673" s="70"/>
      <c r="G2673" s="70"/>
      <c r="H2673" s="131"/>
      <c r="I2673" s="3"/>
    </row>
    <row r="2674" spans="1:9" s="93" customFormat="1" ht="9" customHeight="1" x14ac:dyDescent="0.3">
      <c r="A2674" s="91"/>
      <c r="B2674" s="70"/>
      <c r="C2674" s="70"/>
      <c r="D2674" s="70"/>
      <c r="E2674" s="70"/>
      <c r="F2674" s="70"/>
      <c r="G2674" s="70"/>
      <c r="H2674" s="131"/>
      <c r="I2674" s="3"/>
    </row>
    <row r="2675" spans="1:9" s="93" customFormat="1" ht="9" customHeight="1" x14ac:dyDescent="0.3">
      <c r="A2675" s="91"/>
      <c r="B2675" s="70"/>
      <c r="C2675" s="70"/>
      <c r="D2675" s="70"/>
      <c r="E2675" s="70"/>
      <c r="F2675" s="70"/>
      <c r="G2675" s="70"/>
      <c r="H2675" s="131"/>
      <c r="I2675" s="3"/>
    </row>
    <row r="2676" spans="1:9" s="93" customFormat="1" ht="9" customHeight="1" x14ac:dyDescent="0.3">
      <c r="A2676" s="91"/>
      <c r="B2676" s="70"/>
      <c r="C2676" s="70"/>
      <c r="D2676" s="70"/>
      <c r="E2676" s="70"/>
      <c r="F2676" s="70"/>
      <c r="G2676" s="70"/>
      <c r="H2676" s="131"/>
      <c r="I2676" s="3"/>
    </row>
    <row r="2677" spans="1:9" s="93" customFormat="1" ht="9" customHeight="1" x14ac:dyDescent="0.3">
      <c r="A2677" s="91"/>
      <c r="B2677" s="70"/>
      <c r="C2677" s="70"/>
      <c r="D2677" s="70"/>
      <c r="E2677" s="70"/>
      <c r="F2677" s="70"/>
      <c r="G2677" s="70"/>
      <c r="H2677" s="131"/>
      <c r="I2677" s="3"/>
    </row>
    <row r="2678" spans="1:9" s="93" customFormat="1" ht="9" customHeight="1" x14ac:dyDescent="0.3">
      <c r="A2678" s="91"/>
      <c r="B2678" s="70"/>
      <c r="C2678" s="70"/>
      <c r="D2678" s="70"/>
      <c r="E2678" s="70"/>
      <c r="F2678" s="70"/>
      <c r="G2678" s="70"/>
      <c r="H2678" s="131"/>
      <c r="I2678" s="3"/>
    </row>
    <row r="2679" spans="1:9" s="93" customFormat="1" ht="9" customHeight="1" x14ac:dyDescent="0.3">
      <c r="A2679" s="91"/>
      <c r="B2679" s="70"/>
      <c r="C2679" s="70"/>
      <c r="D2679" s="70"/>
      <c r="E2679" s="70"/>
      <c r="F2679" s="70"/>
      <c r="G2679" s="70"/>
      <c r="H2679" s="131"/>
      <c r="I2679" s="3"/>
    </row>
    <row r="2680" spans="1:9" s="93" customFormat="1" ht="9" customHeight="1" x14ac:dyDescent="0.3">
      <c r="A2680" s="91"/>
      <c r="B2680" s="70"/>
      <c r="C2680" s="70"/>
      <c r="D2680" s="70"/>
      <c r="E2680" s="70"/>
      <c r="F2680" s="70"/>
      <c r="G2680" s="70"/>
      <c r="H2680" s="131"/>
      <c r="I2680" s="3"/>
    </row>
    <row r="2681" spans="1:9" s="93" customFormat="1" ht="9" customHeight="1" x14ac:dyDescent="0.3">
      <c r="A2681" s="91"/>
      <c r="B2681" s="70"/>
      <c r="C2681" s="70"/>
      <c r="D2681" s="70"/>
      <c r="E2681" s="70"/>
      <c r="F2681" s="70"/>
      <c r="G2681" s="70"/>
      <c r="H2681" s="131"/>
      <c r="I2681" s="3"/>
    </row>
    <row r="2682" spans="1:9" s="93" customFormat="1" ht="9" customHeight="1" x14ac:dyDescent="0.3">
      <c r="A2682" s="91"/>
      <c r="B2682" s="70"/>
      <c r="C2682" s="70"/>
      <c r="D2682" s="70"/>
      <c r="E2682" s="70"/>
      <c r="F2682" s="70"/>
      <c r="G2682" s="70"/>
      <c r="H2682" s="131"/>
      <c r="I2682" s="3"/>
    </row>
    <row r="2683" spans="1:9" s="93" customFormat="1" ht="9" customHeight="1" x14ac:dyDescent="0.3">
      <c r="A2683" s="91"/>
      <c r="B2683" s="70"/>
      <c r="C2683" s="70"/>
      <c r="D2683" s="70"/>
      <c r="E2683" s="70"/>
      <c r="F2683" s="70"/>
      <c r="G2683" s="70"/>
      <c r="H2683" s="131"/>
      <c r="I2683" s="3"/>
    </row>
    <row r="2684" spans="1:9" s="93" customFormat="1" ht="9" customHeight="1" x14ac:dyDescent="0.3">
      <c r="A2684" s="91"/>
      <c r="B2684" s="70"/>
      <c r="C2684" s="70"/>
      <c r="D2684" s="70"/>
      <c r="E2684" s="70"/>
      <c r="F2684" s="70"/>
      <c r="G2684" s="70"/>
      <c r="H2684" s="131"/>
      <c r="I2684" s="3"/>
    </row>
    <row r="2685" spans="1:9" s="93" customFormat="1" ht="9" customHeight="1" x14ac:dyDescent="0.3">
      <c r="A2685" s="91"/>
      <c r="B2685" s="70"/>
      <c r="C2685" s="70"/>
      <c r="D2685" s="70"/>
      <c r="E2685" s="70"/>
      <c r="F2685" s="70"/>
      <c r="G2685" s="70"/>
      <c r="H2685" s="131"/>
      <c r="I2685" s="3"/>
    </row>
    <row r="2686" spans="1:9" s="93" customFormat="1" ht="9" customHeight="1" x14ac:dyDescent="0.3">
      <c r="A2686" s="91"/>
      <c r="B2686" s="70"/>
      <c r="C2686" s="70"/>
      <c r="D2686" s="70"/>
      <c r="E2686" s="70"/>
      <c r="F2686" s="70"/>
      <c r="G2686" s="70"/>
      <c r="H2686" s="131"/>
      <c r="I2686" s="3"/>
    </row>
    <row r="2687" spans="1:9" s="93" customFormat="1" ht="9" customHeight="1" x14ac:dyDescent="0.3">
      <c r="A2687" s="91"/>
      <c r="B2687" s="70"/>
      <c r="C2687" s="70"/>
      <c r="D2687" s="70"/>
      <c r="E2687" s="70"/>
      <c r="F2687" s="70"/>
      <c r="G2687" s="70"/>
      <c r="H2687" s="131"/>
      <c r="I2687" s="3"/>
    </row>
    <row r="2688" spans="1:9" s="93" customFormat="1" ht="9" customHeight="1" x14ac:dyDescent="0.3">
      <c r="A2688" s="91"/>
      <c r="B2688" s="70"/>
      <c r="C2688" s="70"/>
      <c r="D2688" s="70"/>
      <c r="E2688" s="70"/>
      <c r="F2688" s="70"/>
      <c r="G2688" s="70"/>
      <c r="H2688" s="131"/>
      <c r="I2688" s="3"/>
    </row>
    <row r="2689" spans="1:9" s="93" customFormat="1" ht="9" customHeight="1" x14ac:dyDescent="0.3">
      <c r="A2689" s="91"/>
      <c r="B2689" s="70"/>
      <c r="C2689" s="70"/>
      <c r="D2689" s="70"/>
      <c r="E2689" s="70"/>
      <c r="F2689" s="70"/>
      <c r="G2689" s="70"/>
      <c r="H2689" s="131"/>
      <c r="I2689" s="3"/>
    </row>
    <row r="2690" spans="1:9" s="93" customFormat="1" ht="9" customHeight="1" x14ac:dyDescent="0.3">
      <c r="A2690" s="91"/>
      <c r="B2690" s="70"/>
      <c r="C2690" s="70"/>
      <c r="D2690" s="70"/>
      <c r="E2690" s="70"/>
      <c r="F2690" s="70"/>
      <c r="G2690" s="70"/>
      <c r="H2690" s="131"/>
      <c r="I2690" s="3"/>
    </row>
    <row r="2691" spans="1:9" s="93" customFormat="1" ht="9" customHeight="1" x14ac:dyDescent="0.3">
      <c r="A2691" s="91"/>
      <c r="B2691" s="70"/>
      <c r="C2691" s="70"/>
      <c r="D2691" s="70"/>
      <c r="E2691" s="70"/>
      <c r="F2691" s="70"/>
      <c r="G2691" s="70"/>
      <c r="H2691" s="131"/>
      <c r="I2691" s="3"/>
    </row>
    <row r="2692" spans="1:9" s="93" customFormat="1" ht="9" customHeight="1" x14ac:dyDescent="0.3">
      <c r="A2692" s="91"/>
      <c r="B2692" s="70"/>
      <c r="C2692" s="70"/>
      <c r="D2692" s="70"/>
      <c r="E2692" s="70"/>
      <c r="F2692" s="70"/>
      <c r="G2692" s="70"/>
      <c r="H2692" s="131"/>
      <c r="I2692" s="3"/>
    </row>
    <row r="2693" spans="1:9" s="93" customFormat="1" ht="9" customHeight="1" x14ac:dyDescent="0.3">
      <c r="A2693" s="91"/>
      <c r="B2693" s="70"/>
      <c r="C2693" s="70"/>
      <c r="D2693" s="70"/>
      <c r="E2693" s="70"/>
      <c r="F2693" s="70"/>
      <c r="G2693" s="70"/>
      <c r="H2693" s="131"/>
      <c r="I2693" s="3"/>
    </row>
    <row r="2694" spans="1:9" s="93" customFormat="1" ht="9" customHeight="1" x14ac:dyDescent="0.3">
      <c r="A2694" s="91"/>
      <c r="B2694" s="70"/>
      <c r="C2694" s="70"/>
      <c r="D2694" s="70"/>
      <c r="E2694" s="70"/>
      <c r="F2694" s="70"/>
      <c r="G2694" s="70"/>
      <c r="H2694" s="131"/>
      <c r="I2694" s="3"/>
    </row>
    <row r="2695" spans="1:9" s="93" customFormat="1" ht="9" customHeight="1" x14ac:dyDescent="0.3">
      <c r="A2695" s="91"/>
      <c r="B2695" s="70"/>
      <c r="C2695" s="70"/>
      <c r="D2695" s="70"/>
      <c r="E2695" s="70"/>
      <c r="F2695" s="70"/>
      <c r="G2695" s="70"/>
      <c r="H2695" s="131"/>
      <c r="I2695" s="3"/>
    </row>
    <row r="2696" spans="1:9" s="93" customFormat="1" ht="9" customHeight="1" x14ac:dyDescent="0.3">
      <c r="A2696" s="91"/>
      <c r="B2696" s="70"/>
      <c r="C2696" s="70"/>
      <c r="D2696" s="70"/>
      <c r="E2696" s="70"/>
      <c r="F2696" s="70"/>
      <c r="G2696" s="70"/>
      <c r="H2696" s="131"/>
      <c r="I2696" s="3"/>
    </row>
    <row r="2697" spans="1:9" s="93" customFormat="1" ht="9" customHeight="1" x14ac:dyDescent="0.3">
      <c r="A2697" s="91"/>
      <c r="B2697" s="70"/>
      <c r="C2697" s="70"/>
      <c r="D2697" s="70"/>
      <c r="E2697" s="70"/>
      <c r="F2697" s="70"/>
      <c r="G2697" s="70"/>
      <c r="H2697" s="131"/>
      <c r="I2697" s="3"/>
    </row>
    <row r="2698" spans="1:9" s="93" customFormat="1" ht="9" customHeight="1" x14ac:dyDescent="0.3">
      <c r="A2698" s="91"/>
      <c r="B2698" s="70"/>
      <c r="C2698" s="70"/>
      <c r="D2698" s="70"/>
      <c r="E2698" s="70"/>
      <c r="F2698" s="70"/>
      <c r="G2698" s="70"/>
      <c r="H2698" s="131"/>
      <c r="I2698" s="3"/>
    </row>
    <row r="2699" spans="1:9" s="93" customFormat="1" ht="9" customHeight="1" x14ac:dyDescent="0.3">
      <c r="A2699" s="91"/>
      <c r="B2699" s="70"/>
      <c r="C2699" s="70"/>
      <c r="D2699" s="70"/>
      <c r="E2699" s="70"/>
      <c r="F2699" s="70"/>
      <c r="G2699" s="70"/>
      <c r="H2699" s="131"/>
      <c r="I2699" s="3"/>
    </row>
    <row r="2700" spans="1:9" s="93" customFormat="1" ht="9" customHeight="1" x14ac:dyDescent="0.3">
      <c r="A2700" s="91"/>
      <c r="B2700" s="70"/>
      <c r="C2700" s="70"/>
      <c r="D2700" s="70"/>
      <c r="E2700" s="70"/>
      <c r="F2700" s="70"/>
      <c r="G2700" s="70"/>
      <c r="H2700" s="131"/>
      <c r="I2700" s="3"/>
    </row>
    <row r="2701" spans="1:9" s="93" customFormat="1" ht="9" customHeight="1" x14ac:dyDescent="0.3">
      <c r="A2701" s="91"/>
      <c r="B2701" s="70"/>
      <c r="C2701" s="70"/>
      <c r="D2701" s="70"/>
      <c r="E2701" s="70"/>
      <c r="F2701" s="70"/>
      <c r="G2701" s="70"/>
      <c r="H2701" s="131"/>
      <c r="I2701" s="3"/>
    </row>
    <row r="2702" spans="1:9" s="93" customFormat="1" ht="9" customHeight="1" x14ac:dyDescent="0.3">
      <c r="A2702" s="91"/>
      <c r="B2702" s="70"/>
      <c r="C2702" s="70"/>
      <c r="D2702" s="70"/>
      <c r="E2702" s="70"/>
      <c r="F2702" s="70"/>
      <c r="G2702" s="70"/>
      <c r="H2702" s="131"/>
      <c r="I2702" s="3"/>
    </row>
    <row r="2703" spans="1:9" s="93" customFormat="1" ht="9" customHeight="1" x14ac:dyDescent="0.3">
      <c r="A2703" s="91"/>
      <c r="B2703" s="70"/>
      <c r="C2703" s="70"/>
      <c r="D2703" s="70"/>
      <c r="E2703" s="70"/>
      <c r="F2703" s="70"/>
      <c r="G2703" s="70"/>
      <c r="H2703" s="131"/>
      <c r="I2703" s="3"/>
    </row>
    <row r="2704" spans="1:9" s="93" customFormat="1" ht="9" customHeight="1" x14ac:dyDescent="0.3">
      <c r="A2704" s="91"/>
      <c r="B2704" s="70"/>
      <c r="C2704" s="70"/>
      <c r="D2704" s="70"/>
      <c r="E2704" s="70"/>
      <c r="F2704" s="70"/>
      <c r="G2704" s="70"/>
      <c r="H2704" s="131"/>
      <c r="I2704" s="3"/>
    </row>
    <row r="2705" spans="1:9" s="93" customFormat="1" ht="9" customHeight="1" x14ac:dyDescent="0.3">
      <c r="A2705" s="91"/>
      <c r="B2705" s="70"/>
      <c r="C2705" s="70"/>
      <c r="D2705" s="70"/>
      <c r="E2705" s="70"/>
      <c r="F2705" s="70"/>
      <c r="G2705" s="70"/>
      <c r="H2705" s="131"/>
      <c r="I2705" s="3"/>
    </row>
    <row r="2706" spans="1:9" s="93" customFormat="1" ht="9" customHeight="1" x14ac:dyDescent="0.3">
      <c r="A2706" s="91"/>
      <c r="B2706" s="70"/>
      <c r="C2706" s="70"/>
      <c r="D2706" s="70"/>
      <c r="E2706" s="70"/>
      <c r="F2706" s="70"/>
      <c r="G2706" s="70"/>
      <c r="H2706" s="131"/>
      <c r="I2706" s="3"/>
    </row>
    <row r="2707" spans="1:9" s="93" customFormat="1" ht="9" customHeight="1" x14ac:dyDescent="0.3">
      <c r="A2707" s="91"/>
      <c r="B2707" s="70"/>
      <c r="C2707" s="70"/>
      <c r="D2707" s="70"/>
      <c r="E2707" s="70"/>
      <c r="F2707" s="70"/>
      <c r="G2707" s="70"/>
      <c r="H2707" s="131"/>
      <c r="I2707" s="3"/>
    </row>
    <row r="2708" spans="1:9" s="93" customFormat="1" ht="9" customHeight="1" x14ac:dyDescent="0.3">
      <c r="A2708" s="91"/>
      <c r="B2708" s="70"/>
      <c r="C2708" s="70"/>
      <c r="D2708" s="70"/>
      <c r="E2708" s="70"/>
      <c r="F2708" s="70"/>
      <c r="G2708" s="70"/>
      <c r="H2708" s="131"/>
      <c r="I2708" s="3"/>
    </row>
    <row r="2709" spans="1:9" s="93" customFormat="1" ht="9" customHeight="1" x14ac:dyDescent="0.3">
      <c r="A2709" s="91"/>
      <c r="B2709" s="70"/>
      <c r="C2709" s="70"/>
      <c r="D2709" s="70"/>
      <c r="E2709" s="70"/>
      <c r="F2709" s="70"/>
      <c r="G2709" s="70"/>
      <c r="H2709" s="131"/>
      <c r="I2709" s="3"/>
    </row>
    <row r="2710" spans="1:9" s="93" customFormat="1" ht="9" customHeight="1" x14ac:dyDescent="0.3">
      <c r="A2710" s="91"/>
      <c r="B2710" s="70"/>
      <c r="C2710" s="70"/>
      <c r="D2710" s="70"/>
      <c r="E2710" s="70"/>
      <c r="F2710" s="70"/>
      <c r="G2710" s="70"/>
      <c r="H2710" s="131"/>
      <c r="I2710" s="3"/>
    </row>
    <row r="2711" spans="1:9" s="93" customFormat="1" ht="9" customHeight="1" x14ac:dyDescent="0.3">
      <c r="A2711" s="91"/>
      <c r="B2711" s="70"/>
      <c r="C2711" s="70"/>
      <c r="D2711" s="70"/>
      <c r="E2711" s="70"/>
      <c r="F2711" s="70"/>
      <c r="G2711" s="70"/>
      <c r="H2711" s="131"/>
      <c r="I2711" s="3"/>
    </row>
    <row r="2712" spans="1:9" s="93" customFormat="1" ht="9" customHeight="1" x14ac:dyDescent="0.3">
      <c r="A2712" s="91"/>
      <c r="B2712" s="70"/>
      <c r="C2712" s="70"/>
      <c r="D2712" s="70"/>
      <c r="E2712" s="70"/>
      <c r="F2712" s="70"/>
      <c r="G2712" s="70"/>
      <c r="H2712" s="131"/>
      <c r="I2712" s="3"/>
    </row>
    <row r="2713" spans="1:9" s="93" customFormat="1" ht="9" customHeight="1" x14ac:dyDescent="0.3">
      <c r="A2713" s="91"/>
      <c r="B2713" s="70"/>
      <c r="C2713" s="70"/>
      <c r="D2713" s="70"/>
      <c r="E2713" s="70"/>
      <c r="F2713" s="70"/>
      <c r="G2713" s="70"/>
      <c r="H2713" s="131"/>
      <c r="I2713" s="3"/>
    </row>
    <row r="2714" spans="1:9" s="93" customFormat="1" ht="9" customHeight="1" x14ac:dyDescent="0.3">
      <c r="A2714" s="91"/>
      <c r="B2714" s="70"/>
      <c r="C2714" s="70"/>
      <c r="D2714" s="70"/>
      <c r="E2714" s="70"/>
      <c r="F2714" s="70"/>
      <c r="G2714" s="70"/>
      <c r="H2714" s="131"/>
      <c r="I2714" s="3"/>
    </row>
    <row r="2715" spans="1:9" s="93" customFormat="1" ht="9" customHeight="1" x14ac:dyDescent="0.3">
      <c r="A2715" s="91"/>
      <c r="B2715" s="70"/>
      <c r="C2715" s="70"/>
      <c r="D2715" s="70"/>
      <c r="E2715" s="70"/>
      <c r="F2715" s="70"/>
      <c r="G2715" s="70"/>
      <c r="H2715" s="131"/>
      <c r="I2715" s="3"/>
    </row>
    <row r="2716" spans="1:9" s="93" customFormat="1" ht="9" customHeight="1" x14ac:dyDescent="0.3">
      <c r="A2716" s="91"/>
      <c r="B2716" s="70"/>
      <c r="C2716" s="70"/>
      <c r="D2716" s="70"/>
      <c r="E2716" s="70"/>
      <c r="F2716" s="70"/>
      <c r="G2716" s="70"/>
      <c r="H2716" s="131"/>
      <c r="I2716" s="3"/>
    </row>
    <row r="2717" spans="1:9" s="93" customFormat="1" ht="9" customHeight="1" x14ac:dyDescent="0.3">
      <c r="A2717" s="91"/>
      <c r="B2717" s="70"/>
      <c r="C2717" s="70"/>
      <c r="D2717" s="70"/>
      <c r="E2717" s="70"/>
      <c r="F2717" s="70"/>
      <c r="G2717" s="70"/>
      <c r="H2717" s="131"/>
      <c r="I2717" s="3"/>
    </row>
    <row r="2718" spans="1:9" s="93" customFormat="1" ht="9" customHeight="1" x14ac:dyDescent="0.3">
      <c r="A2718" s="91"/>
      <c r="B2718" s="70"/>
      <c r="C2718" s="70"/>
      <c r="D2718" s="70"/>
      <c r="E2718" s="70"/>
      <c r="F2718" s="70"/>
      <c r="G2718" s="70"/>
      <c r="H2718" s="131"/>
      <c r="I2718" s="3"/>
    </row>
    <row r="2719" spans="1:9" s="93" customFormat="1" ht="9" customHeight="1" x14ac:dyDescent="0.3">
      <c r="A2719" s="91"/>
      <c r="B2719" s="70"/>
      <c r="C2719" s="70"/>
      <c r="D2719" s="70"/>
      <c r="E2719" s="70"/>
      <c r="F2719" s="70"/>
      <c r="G2719" s="70"/>
      <c r="H2719" s="131"/>
      <c r="I2719" s="3"/>
    </row>
    <row r="2720" spans="1:9" s="93" customFormat="1" ht="9" customHeight="1" x14ac:dyDescent="0.3">
      <c r="A2720" s="91"/>
      <c r="B2720" s="70"/>
      <c r="C2720" s="70"/>
      <c r="D2720" s="70"/>
      <c r="E2720" s="70"/>
      <c r="F2720" s="70"/>
      <c r="G2720" s="70"/>
      <c r="H2720" s="131"/>
      <c r="I2720" s="3"/>
    </row>
    <row r="2721" spans="1:9" s="93" customFormat="1" ht="9" customHeight="1" x14ac:dyDescent="0.3">
      <c r="A2721" s="91"/>
      <c r="B2721" s="70"/>
      <c r="C2721" s="70"/>
      <c r="D2721" s="70"/>
      <c r="E2721" s="70"/>
      <c r="F2721" s="70"/>
      <c r="G2721" s="70"/>
      <c r="H2721" s="131"/>
      <c r="I2721" s="3"/>
    </row>
    <row r="2722" spans="1:9" s="93" customFormat="1" ht="9" customHeight="1" x14ac:dyDescent="0.3">
      <c r="A2722" s="91"/>
      <c r="B2722" s="70"/>
      <c r="C2722" s="70"/>
      <c r="D2722" s="70"/>
      <c r="E2722" s="70"/>
      <c r="F2722" s="70"/>
      <c r="G2722" s="70"/>
      <c r="H2722" s="131"/>
      <c r="I2722" s="3"/>
    </row>
    <row r="2723" spans="1:9" s="93" customFormat="1" ht="9" customHeight="1" x14ac:dyDescent="0.3">
      <c r="A2723" s="91"/>
      <c r="B2723" s="70"/>
      <c r="C2723" s="70"/>
      <c r="D2723" s="70"/>
      <c r="E2723" s="70"/>
      <c r="F2723" s="70"/>
      <c r="G2723" s="70"/>
      <c r="H2723" s="131"/>
      <c r="I2723" s="3"/>
    </row>
    <row r="2724" spans="1:9" s="93" customFormat="1" ht="9" customHeight="1" x14ac:dyDescent="0.3">
      <c r="A2724" s="91"/>
      <c r="B2724" s="70"/>
      <c r="C2724" s="70"/>
      <c r="D2724" s="70"/>
      <c r="E2724" s="70"/>
      <c r="F2724" s="70"/>
      <c r="G2724" s="70"/>
      <c r="H2724" s="131"/>
      <c r="I2724" s="3"/>
    </row>
    <row r="2725" spans="1:9" s="93" customFormat="1" ht="9" customHeight="1" x14ac:dyDescent="0.3">
      <c r="A2725" s="91"/>
      <c r="B2725" s="70"/>
      <c r="C2725" s="70"/>
      <c r="D2725" s="70"/>
      <c r="E2725" s="70"/>
      <c r="F2725" s="70"/>
      <c r="G2725" s="70"/>
      <c r="H2725" s="131"/>
      <c r="I2725" s="3"/>
    </row>
    <row r="2726" spans="1:9" s="93" customFormat="1" ht="9" customHeight="1" x14ac:dyDescent="0.3">
      <c r="A2726" s="91"/>
      <c r="B2726" s="70"/>
      <c r="C2726" s="70"/>
      <c r="D2726" s="70"/>
      <c r="E2726" s="70"/>
      <c r="F2726" s="70"/>
      <c r="G2726" s="70"/>
      <c r="H2726" s="131"/>
      <c r="I2726" s="3"/>
    </row>
    <row r="2727" spans="1:9" s="93" customFormat="1" ht="9" customHeight="1" x14ac:dyDescent="0.3">
      <c r="A2727" s="91"/>
      <c r="B2727" s="70"/>
      <c r="C2727" s="70"/>
      <c r="D2727" s="70"/>
      <c r="E2727" s="70"/>
      <c r="F2727" s="70"/>
      <c r="G2727" s="70"/>
      <c r="H2727" s="131"/>
      <c r="I2727" s="3"/>
    </row>
    <row r="2728" spans="1:9" s="93" customFormat="1" ht="9" customHeight="1" x14ac:dyDescent="0.3">
      <c r="A2728" s="91"/>
      <c r="B2728" s="70"/>
      <c r="C2728" s="70"/>
      <c r="D2728" s="70"/>
      <c r="E2728" s="70"/>
      <c r="F2728" s="70"/>
      <c r="G2728" s="70"/>
      <c r="H2728" s="131"/>
      <c r="I2728" s="3"/>
    </row>
    <row r="2729" spans="1:9" s="93" customFormat="1" ht="9" customHeight="1" x14ac:dyDescent="0.3">
      <c r="A2729" s="91"/>
      <c r="B2729" s="70"/>
      <c r="C2729" s="70"/>
      <c r="D2729" s="70"/>
      <c r="E2729" s="70"/>
      <c r="F2729" s="70"/>
      <c r="G2729" s="70"/>
      <c r="H2729" s="131"/>
      <c r="I2729" s="3"/>
    </row>
    <row r="2730" spans="1:9" s="93" customFormat="1" ht="9" customHeight="1" x14ac:dyDescent="0.3">
      <c r="A2730" s="91"/>
      <c r="B2730" s="70"/>
      <c r="C2730" s="70"/>
      <c r="D2730" s="70"/>
      <c r="E2730" s="70"/>
      <c r="F2730" s="70"/>
      <c r="G2730" s="70"/>
      <c r="H2730" s="131"/>
      <c r="I2730" s="3"/>
    </row>
    <row r="2731" spans="1:9" s="93" customFormat="1" ht="9" customHeight="1" x14ac:dyDescent="0.3">
      <c r="A2731" s="91"/>
      <c r="B2731" s="70"/>
      <c r="C2731" s="70"/>
      <c r="D2731" s="70"/>
      <c r="E2731" s="70"/>
      <c r="F2731" s="70"/>
      <c r="G2731" s="70"/>
      <c r="H2731" s="131"/>
      <c r="I2731" s="3"/>
    </row>
    <row r="2732" spans="1:9" s="93" customFormat="1" ht="9" customHeight="1" x14ac:dyDescent="0.3">
      <c r="A2732" s="91"/>
      <c r="B2732" s="70"/>
      <c r="C2732" s="70"/>
      <c r="D2732" s="70"/>
      <c r="E2732" s="70"/>
      <c r="F2732" s="70"/>
      <c r="G2732" s="70"/>
      <c r="H2732" s="131"/>
      <c r="I2732" s="3"/>
    </row>
    <row r="2733" spans="1:9" s="93" customFormat="1" ht="9" customHeight="1" x14ac:dyDescent="0.3">
      <c r="A2733" s="91"/>
      <c r="B2733" s="70"/>
      <c r="C2733" s="70"/>
      <c r="D2733" s="70"/>
      <c r="E2733" s="70"/>
      <c r="F2733" s="70"/>
      <c r="G2733" s="70"/>
      <c r="H2733" s="131"/>
      <c r="I2733" s="3"/>
    </row>
    <row r="2734" spans="1:9" s="93" customFormat="1" ht="9" customHeight="1" x14ac:dyDescent="0.3">
      <c r="A2734" s="91"/>
      <c r="B2734" s="70"/>
      <c r="C2734" s="70"/>
      <c r="D2734" s="70"/>
      <c r="E2734" s="70"/>
      <c r="F2734" s="70"/>
      <c r="G2734" s="70"/>
      <c r="H2734" s="131"/>
      <c r="I2734" s="3"/>
    </row>
    <row r="2735" spans="1:9" s="93" customFormat="1" ht="9" customHeight="1" x14ac:dyDescent="0.3">
      <c r="A2735" s="91"/>
      <c r="B2735" s="70"/>
      <c r="C2735" s="70"/>
      <c r="D2735" s="70"/>
      <c r="E2735" s="70"/>
      <c r="F2735" s="70"/>
      <c r="G2735" s="70"/>
      <c r="H2735" s="131"/>
      <c r="I2735" s="3"/>
    </row>
    <row r="2736" spans="1:9" s="93" customFormat="1" ht="9" customHeight="1" x14ac:dyDescent="0.3">
      <c r="A2736" s="91"/>
      <c r="B2736" s="70"/>
      <c r="C2736" s="70"/>
      <c r="D2736" s="70"/>
      <c r="E2736" s="70"/>
      <c r="F2736" s="70"/>
      <c r="G2736" s="70"/>
      <c r="H2736" s="131"/>
      <c r="I2736" s="3"/>
    </row>
    <row r="2737" spans="1:9" s="93" customFormat="1" ht="9" customHeight="1" x14ac:dyDescent="0.3">
      <c r="A2737" s="91"/>
      <c r="B2737" s="70"/>
      <c r="C2737" s="70"/>
      <c r="D2737" s="70"/>
      <c r="E2737" s="70"/>
      <c r="F2737" s="70"/>
      <c r="G2737" s="70"/>
      <c r="H2737" s="131"/>
      <c r="I2737" s="3"/>
    </row>
    <row r="2738" spans="1:9" s="93" customFormat="1" ht="9" customHeight="1" x14ac:dyDescent="0.3">
      <c r="A2738" s="91"/>
      <c r="B2738" s="70"/>
      <c r="C2738" s="70"/>
      <c r="D2738" s="70"/>
      <c r="E2738" s="70"/>
      <c r="F2738" s="70"/>
      <c r="G2738" s="70"/>
      <c r="H2738" s="131"/>
      <c r="I2738" s="3"/>
    </row>
    <row r="2739" spans="1:9" s="93" customFormat="1" ht="9" customHeight="1" x14ac:dyDescent="0.3">
      <c r="A2739" s="91"/>
      <c r="B2739" s="70"/>
      <c r="C2739" s="70"/>
      <c r="D2739" s="70"/>
      <c r="E2739" s="70"/>
      <c r="F2739" s="70"/>
      <c r="G2739" s="70"/>
      <c r="H2739" s="131"/>
      <c r="I2739" s="3"/>
    </row>
    <row r="2740" spans="1:9" s="93" customFormat="1" ht="9" customHeight="1" x14ac:dyDescent="0.3">
      <c r="A2740" s="91"/>
      <c r="B2740" s="70"/>
      <c r="C2740" s="70"/>
      <c r="D2740" s="70"/>
      <c r="E2740" s="70"/>
      <c r="F2740" s="70"/>
      <c r="G2740" s="70"/>
      <c r="H2740" s="131"/>
      <c r="I2740" s="3"/>
    </row>
    <row r="2741" spans="1:9" s="93" customFormat="1" ht="9" customHeight="1" x14ac:dyDescent="0.3">
      <c r="A2741" s="91"/>
      <c r="B2741" s="70"/>
      <c r="C2741" s="70"/>
      <c r="D2741" s="70"/>
      <c r="E2741" s="70"/>
      <c r="F2741" s="70"/>
      <c r="G2741" s="70"/>
      <c r="H2741" s="131"/>
      <c r="I2741" s="3"/>
    </row>
    <row r="2742" spans="1:9" s="93" customFormat="1" ht="9" customHeight="1" x14ac:dyDescent="0.3">
      <c r="A2742" s="91"/>
      <c r="B2742" s="70"/>
      <c r="C2742" s="70"/>
      <c r="D2742" s="70"/>
      <c r="E2742" s="70"/>
      <c r="F2742" s="70"/>
      <c r="G2742" s="70"/>
      <c r="H2742" s="131"/>
      <c r="I2742" s="3"/>
    </row>
    <row r="2743" spans="1:9" s="93" customFormat="1" ht="9" customHeight="1" x14ac:dyDescent="0.3">
      <c r="A2743" s="91"/>
      <c r="B2743" s="70"/>
      <c r="C2743" s="70"/>
      <c r="D2743" s="70"/>
      <c r="E2743" s="70"/>
      <c r="F2743" s="70"/>
      <c r="G2743" s="70"/>
      <c r="H2743" s="131"/>
      <c r="I2743" s="3"/>
    </row>
    <row r="2744" spans="1:9" s="93" customFormat="1" ht="9" customHeight="1" x14ac:dyDescent="0.3">
      <c r="A2744" s="91"/>
      <c r="B2744" s="70"/>
      <c r="C2744" s="70"/>
      <c r="D2744" s="70"/>
      <c r="E2744" s="70"/>
      <c r="F2744" s="70"/>
      <c r="G2744" s="70"/>
      <c r="H2744" s="131"/>
      <c r="I2744" s="3"/>
    </row>
    <row r="2745" spans="1:9" s="93" customFormat="1" ht="9" customHeight="1" x14ac:dyDescent="0.3">
      <c r="A2745" s="91"/>
      <c r="B2745" s="70"/>
      <c r="C2745" s="70"/>
      <c r="D2745" s="70"/>
      <c r="E2745" s="70"/>
      <c r="F2745" s="70"/>
      <c r="G2745" s="70"/>
      <c r="H2745" s="131"/>
      <c r="I2745" s="3"/>
    </row>
    <row r="2746" spans="1:9" s="93" customFormat="1" ht="9" customHeight="1" x14ac:dyDescent="0.3">
      <c r="A2746" s="91"/>
      <c r="B2746" s="70"/>
      <c r="C2746" s="70"/>
      <c r="D2746" s="70"/>
      <c r="E2746" s="70"/>
      <c r="F2746" s="70"/>
      <c r="G2746" s="70"/>
      <c r="H2746" s="131"/>
      <c r="I2746" s="3"/>
    </row>
    <row r="2747" spans="1:9" s="93" customFormat="1" ht="9" customHeight="1" x14ac:dyDescent="0.3">
      <c r="A2747" s="91"/>
      <c r="B2747" s="70"/>
      <c r="C2747" s="70"/>
      <c r="D2747" s="70"/>
      <c r="E2747" s="70"/>
      <c r="F2747" s="70"/>
      <c r="G2747" s="70"/>
      <c r="H2747" s="131"/>
      <c r="I2747" s="3"/>
    </row>
    <row r="2748" spans="1:9" s="93" customFormat="1" ht="9" customHeight="1" x14ac:dyDescent="0.3">
      <c r="A2748" s="91"/>
      <c r="B2748" s="70"/>
      <c r="C2748" s="70"/>
      <c r="D2748" s="70"/>
      <c r="E2748" s="70"/>
      <c r="F2748" s="70"/>
      <c r="G2748" s="70"/>
      <c r="H2748" s="131"/>
      <c r="I2748" s="3"/>
    </row>
    <row r="2749" spans="1:9" s="93" customFormat="1" ht="9" customHeight="1" x14ac:dyDescent="0.3">
      <c r="A2749" s="91"/>
      <c r="B2749" s="70"/>
      <c r="C2749" s="70"/>
      <c r="D2749" s="70"/>
      <c r="E2749" s="70"/>
      <c r="F2749" s="70"/>
      <c r="G2749" s="70"/>
      <c r="H2749" s="131"/>
      <c r="I2749" s="3"/>
    </row>
    <row r="2750" spans="1:9" s="93" customFormat="1" ht="9" customHeight="1" x14ac:dyDescent="0.3">
      <c r="A2750" s="91"/>
      <c r="B2750" s="70"/>
      <c r="C2750" s="70"/>
      <c r="D2750" s="70"/>
      <c r="E2750" s="70"/>
      <c r="F2750" s="70"/>
      <c r="G2750" s="70"/>
      <c r="H2750" s="131"/>
      <c r="I2750" s="3"/>
    </row>
    <row r="2751" spans="1:9" s="93" customFormat="1" ht="9" customHeight="1" x14ac:dyDescent="0.3">
      <c r="A2751" s="91"/>
      <c r="B2751" s="70"/>
      <c r="C2751" s="70"/>
      <c r="D2751" s="70"/>
      <c r="E2751" s="70"/>
      <c r="F2751" s="70"/>
      <c r="G2751" s="70"/>
      <c r="H2751" s="131"/>
      <c r="I2751" s="3"/>
    </row>
    <row r="2752" spans="1:9" s="93" customFormat="1" ht="9" customHeight="1" x14ac:dyDescent="0.3">
      <c r="A2752" s="91"/>
      <c r="B2752" s="70"/>
      <c r="C2752" s="70"/>
      <c r="D2752" s="70"/>
      <c r="E2752" s="70"/>
      <c r="F2752" s="70"/>
      <c r="G2752" s="70"/>
      <c r="H2752" s="131"/>
      <c r="I2752" s="3"/>
    </row>
    <row r="2753" spans="1:9" s="93" customFormat="1" ht="9" customHeight="1" x14ac:dyDescent="0.3">
      <c r="A2753" s="91"/>
      <c r="B2753" s="70"/>
      <c r="C2753" s="70"/>
      <c r="D2753" s="70"/>
      <c r="E2753" s="70"/>
      <c r="F2753" s="70"/>
      <c r="G2753" s="70"/>
      <c r="H2753" s="131"/>
      <c r="I2753" s="3"/>
    </row>
    <row r="2754" spans="1:9" s="93" customFormat="1" ht="9" customHeight="1" x14ac:dyDescent="0.3">
      <c r="A2754" s="91"/>
      <c r="B2754" s="70"/>
      <c r="C2754" s="70"/>
      <c r="D2754" s="70"/>
      <c r="E2754" s="70"/>
      <c r="F2754" s="70"/>
      <c r="G2754" s="70"/>
      <c r="H2754" s="131"/>
      <c r="I2754" s="3"/>
    </row>
    <row r="2755" spans="1:9" s="93" customFormat="1" ht="9" customHeight="1" x14ac:dyDescent="0.3">
      <c r="A2755" s="91"/>
      <c r="B2755" s="70"/>
      <c r="C2755" s="70"/>
      <c r="D2755" s="70"/>
      <c r="E2755" s="70"/>
      <c r="F2755" s="70"/>
      <c r="G2755" s="70"/>
      <c r="H2755" s="131"/>
      <c r="I2755" s="3"/>
    </row>
    <row r="2756" spans="1:9" s="93" customFormat="1" ht="9" customHeight="1" x14ac:dyDescent="0.3">
      <c r="A2756" s="91"/>
      <c r="B2756" s="70"/>
      <c r="C2756" s="70"/>
      <c r="D2756" s="70"/>
      <c r="E2756" s="70"/>
      <c r="F2756" s="70"/>
      <c r="G2756" s="70"/>
      <c r="H2756" s="131"/>
      <c r="I2756" s="3"/>
    </row>
    <row r="2757" spans="1:9" s="93" customFormat="1" ht="9" customHeight="1" x14ac:dyDescent="0.3">
      <c r="A2757" s="91"/>
      <c r="B2757" s="70"/>
      <c r="C2757" s="70"/>
      <c r="D2757" s="70"/>
      <c r="E2757" s="70"/>
      <c r="F2757" s="70"/>
      <c r="G2757" s="70"/>
      <c r="H2757" s="131"/>
      <c r="I2757" s="3"/>
    </row>
    <row r="2758" spans="1:9" s="93" customFormat="1" ht="9" customHeight="1" x14ac:dyDescent="0.3">
      <c r="A2758" s="91"/>
      <c r="B2758" s="70"/>
      <c r="C2758" s="70"/>
      <c r="D2758" s="70"/>
      <c r="E2758" s="70"/>
      <c r="F2758" s="70"/>
      <c r="G2758" s="70"/>
      <c r="H2758" s="131"/>
      <c r="I2758" s="3"/>
    </row>
    <row r="2759" spans="1:9" s="93" customFormat="1" ht="9" customHeight="1" x14ac:dyDescent="0.3">
      <c r="A2759" s="91"/>
      <c r="B2759" s="70"/>
      <c r="C2759" s="70"/>
      <c r="D2759" s="70"/>
      <c r="E2759" s="70"/>
      <c r="F2759" s="70"/>
      <c r="G2759" s="70"/>
      <c r="H2759" s="131"/>
      <c r="I2759" s="3"/>
    </row>
    <row r="2760" spans="1:9" s="93" customFormat="1" ht="9" customHeight="1" x14ac:dyDescent="0.3">
      <c r="A2760" s="91"/>
      <c r="B2760" s="70"/>
      <c r="C2760" s="70"/>
      <c r="D2760" s="70"/>
      <c r="E2760" s="70"/>
      <c r="F2760" s="70"/>
      <c r="G2760" s="70"/>
      <c r="H2760" s="131"/>
      <c r="I2760" s="3"/>
    </row>
    <row r="2761" spans="1:9" s="93" customFormat="1" ht="9" customHeight="1" x14ac:dyDescent="0.3">
      <c r="A2761" s="91"/>
      <c r="B2761" s="70"/>
      <c r="C2761" s="70"/>
      <c r="D2761" s="70"/>
      <c r="E2761" s="70"/>
      <c r="F2761" s="70"/>
      <c r="G2761" s="70"/>
      <c r="H2761" s="131"/>
      <c r="I2761" s="3"/>
    </row>
    <row r="2762" spans="1:9" s="93" customFormat="1" ht="9" customHeight="1" x14ac:dyDescent="0.3">
      <c r="A2762" s="91"/>
      <c r="B2762" s="70"/>
      <c r="C2762" s="70"/>
      <c r="D2762" s="70"/>
      <c r="E2762" s="70"/>
      <c r="F2762" s="70"/>
      <c r="G2762" s="70"/>
      <c r="H2762" s="131"/>
      <c r="I2762" s="3"/>
    </row>
    <row r="2763" spans="1:9" s="93" customFormat="1" ht="9" customHeight="1" x14ac:dyDescent="0.3">
      <c r="A2763" s="91"/>
      <c r="B2763" s="70"/>
      <c r="C2763" s="70"/>
      <c r="D2763" s="70"/>
      <c r="E2763" s="70"/>
      <c r="F2763" s="70"/>
      <c r="G2763" s="70"/>
      <c r="H2763" s="131"/>
      <c r="I2763" s="3"/>
    </row>
    <row r="2764" spans="1:9" s="93" customFormat="1" ht="9" customHeight="1" x14ac:dyDescent="0.3">
      <c r="A2764" s="91"/>
      <c r="B2764" s="70"/>
      <c r="C2764" s="70"/>
      <c r="D2764" s="70"/>
      <c r="E2764" s="70"/>
      <c r="F2764" s="70"/>
      <c r="G2764" s="70"/>
      <c r="H2764" s="131"/>
      <c r="I2764" s="3"/>
    </row>
    <row r="2765" spans="1:9" s="93" customFormat="1" ht="9" customHeight="1" x14ac:dyDescent="0.3">
      <c r="A2765" s="91"/>
      <c r="B2765" s="70"/>
      <c r="C2765" s="70"/>
      <c r="D2765" s="70"/>
      <c r="E2765" s="70"/>
      <c r="F2765" s="70"/>
      <c r="G2765" s="70"/>
      <c r="H2765" s="131"/>
      <c r="I2765" s="3"/>
    </row>
    <row r="2766" spans="1:9" s="93" customFormat="1" ht="9" customHeight="1" x14ac:dyDescent="0.3">
      <c r="A2766" s="91"/>
      <c r="B2766" s="70"/>
      <c r="C2766" s="70"/>
      <c r="D2766" s="70"/>
      <c r="E2766" s="70"/>
      <c r="F2766" s="70"/>
      <c r="G2766" s="70"/>
      <c r="H2766" s="131"/>
      <c r="I2766" s="3"/>
    </row>
    <row r="2767" spans="1:9" s="93" customFormat="1" ht="9" customHeight="1" x14ac:dyDescent="0.3">
      <c r="A2767" s="91"/>
      <c r="B2767" s="70"/>
      <c r="C2767" s="70"/>
      <c r="D2767" s="70"/>
      <c r="E2767" s="70"/>
      <c r="F2767" s="70"/>
      <c r="G2767" s="70"/>
      <c r="H2767" s="131"/>
      <c r="I2767" s="3"/>
    </row>
    <row r="2768" spans="1:9" s="93" customFormat="1" ht="9" customHeight="1" x14ac:dyDescent="0.3">
      <c r="A2768" s="91"/>
      <c r="B2768" s="70"/>
      <c r="C2768" s="70"/>
      <c r="D2768" s="70"/>
      <c r="E2768" s="70"/>
      <c r="F2768" s="70"/>
      <c r="G2768" s="70"/>
      <c r="H2768" s="131"/>
      <c r="I2768" s="3"/>
    </row>
    <row r="2769" spans="1:9" s="93" customFormat="1" ht="9" customHeight="1" x14ac:dyDescent="0.3">
      <c r="A2769" s="91"/>
      <c r="B2769" s="70"/>
      <c r="C2769" s="70"/>
      <c r="D2769" s="70"/>
      <c r="E2769" s="70"/>
      <c r="F2769" s="70"/>
      <c r="G2769" s="70"/>
      <c r="H2769" s="131"/>
      <c r="I2769" s="3"/>
    </row>
    <row r="2770" spans="1:9" s="93" customFormat="1" ht="9" customHeight="1" x14ac:dyDescent="0.3">
      <c r="A2770" s="91"/>
      <c r="B2770" s="70"/>
      <c r="C2770" s="70"/>
      <c r="D2770" s="70"/>
      <c r="E2770" s="70"/>
      <c r="F2770" s="70"/>
      <c r="G2770" s="70"/>
      <c r="H2770" s="131"/>
      <c r="I2770" s="3"/>
    </row>
    <row r="2771" spans="1:9" s="93" customFormat="1" ht="9" customHeight="1" x14ac:dyDescent="0.3">
      <c r="A2771" s="91"/>
      <c r="B2771" s="70"/>
      <c r="C2771" s="70"/>
      <c r="D2771" s="70"/>
      <c r="E2771" s="70"/>
      <c r="F2771" s="70"/>
      <c r="G2771" s="70"/>
      <c r="H2771" s="131"/>
      <c r="I2771" s="3"/>
    </row>
    <row r="2772" spans="1:9" s="93" customFormat="1" ht="9" customHeight="1" x14ac:dyDescent="0.3">
      <c r="A2772" s="91"/>
      <c r="B2772" s="70"/>
      <c r="C2772" s="70"/>
      <c r="D2772" s="70"/>
      <c r="E2772" s="70"/>
      <c r="F2772" s="70"/>
      <c r="G2772" s="70"/>
      <c r="H2772" s="131"/>
      <c r="I2772" s="3"/>
    </row>
    <row r="2773" spans="1:9" s="93" customFormat="1" ht="9" customHeight="1" x14ac:dyDescent="0.3">
      <c r="A2773" s="91"/>
      <c r="B2773" s="70"/>
      <c r="C2773" s="70"/>
      <c r="D2773" s="70"/>
      <c r="E2773" s="70"/>
      <c r="F2773" s="70"/>
      <c r="G2773" s="70"/>
      <c r="H2773" s="131"/>
      <c r="I2773" s="3"/>
    </row>
    <row r="2774" spans="1:9" s="93" customFormat="1" ht="9" customHeight="1" x14ac:dyDescent="0.3">
      <c r="A2774" s="91"/>
      <c r="B2774" s="70"/>
      <c r="C2774" s="70"/>
      <c r="D2774" s="70"/>
      <c r="E2774" s="70"/>
      <c r="F2774" s="70"/>
      <c r="G2774" s="70"/>
      <c r="H2774" s="131"/>
      <c r="I2774" s="3"/>
    </row>
    <row r="2775" spans="1:9" s="93" customFormat="1" ht="9" customHeight="1" x14ac:dyDescent="0.3">
      <c r="A2775" s="91"/>
      <c r="B2775" s="70"/>
      <c r="C2775" s="70"/>
      <c r="D2775" s="70"/>
      <c r="E2775" s="70"/>
      <c r="F2775" s="70"/>
      <c r="G2775" s="70"/>
      <c r="H2775" s="131"/>
      <c r="I2775" s="3"/>
    </row>
    <row r="2776" spans="1:9" s="93" customFormat="1" ht="9" customHeight="1" x14ac:dyDescent="0.3">
      <c r="A2776" s="91"/>
      <c r="B2776" s="70"/>
      <c r="C2776" s="70"/>
      <c r="D2776" s="70"/>
      <c r="E2776" s="70"/>
      <c r="F2776" s="70"/>
      <c r="G2776" s="70"/>
      <c r="H2776" s="131"/>
      <c r="I2776" s="3"/>
    </row>
    <row r="2777" spans="1:9" s="93" customFormat="1" ht="9" customHeight="1" x14ac:dyDescent="0.3">
      <c r="A2777" s="91"/>
      <c r="B2777" s="70"/>
      <c r="C2777" s="70"/>
      <c r="D2777" s="70"/>
      <c r="E2777" s="70"/>
      <c r="F2777" s="70"/>
      <c r="G2777" s="70"/>
      <c r="H2777" s="131"/>
      <c r="I2777" s="3"/>
    </row>
    <row r="2778" spans="1:9" s="93" customFormat="1" ht="9" customHeight="1" x14ac:dyDescent="0.3">
      <c r="A2778" s="91"/>
      <c r="B2778" s="70"/>
      <c r="C2778" s="70"/>
      <c r="D2778" s="70"/>
      <c r="E2778" s="70"/>
      <c r="F2778" s="70"/>
      <c r="G2778" s="70"/>
      <c r="H2778" s="131"/>
      <c r="I2778" s="3"/>
    </row>
    <row r="2779" spans="1:9" s="93" customFormat="1" ht="9" customHeight="1" x14ac:dyDescent="0.3">
      <c r="A2779" s="91"/>
      <c r="B2779" s="70"/>
      <c r="C2779" s="70"/>
      <c r="D2779" s="70"/>
      <c r="E2779" s="70"/>
      <c r="F2779" s="70"/>
      <c r="G2779" s="70"/>
      <c r="H2779" s="131"/>
      <c r="I2779" s="3"/>
    </row>
    <row r="2780" spans="1:9" s="93" customFormat="1" ht="9" customHeight="1" x14ac:dyDescent="0.3">
      <c r="A2780" s="91"/>
      <c r="B2780" s="70"/>
      <c r="C2780" s="70"/>
      <c r="D2780" s="70"/>
      <c r="E2780" s="70"/>
      <c r="F2780" s="70"/>
      <c r="G2780" s="70"/>
      <c r="H2780" s="131"/>
      <c r="I2780" s="3"/>
    </row>
    <row r="2781" spans="1:9" s="93" customFormat="1" ht="9" customHeight="1" x14ac:dyDescent="0.3">
      <c r="A2781" s="91"/>
      <c r="B2781" s="70"/>
      <c r="C2781" s="70"/>
      <c r="D2781" s="70"/>
      <c r="E2781" s="70"/>
      <c r="F2781" s="70"/>
      <c r="G2781" s="70"/>
      <c r="H2781" s="131"/>
      <c r="I2781" s="3"/>
    </row>
    <row r="2782" spans="1:9" s="93" customFormat="1" ht="9" customHeight="1" x14ac:dyDescent="0.3">
      <c r="A2782" s="91"/>
      <c r="B2782" s="70"/>
      <c r="C2782" s="70"/>
      <c r="D2782" s="70"/>
      <c r="E2782" s="70"/>
      <c r="F2782" s="70"/>
      <c r="G2782" s="70"/>
      <c r="H2782" s="131"/>
      <c r="I2782" s="3"/>
    </row>
    <row r="2783" spans="1:9" s="93" customFormat="1" ht="9" customHeight="1" x14ac:dyDescent="0.3">
      <c r="A2783" s="91"/>
      <c r="B2783" s="70"/>
      <c r="C2783" s="70"/>
      <c r="D2783" s="70"/>
      <c r="E2783" s="70"/>
      <c r="F2783" s="70"/>
      <c r="G2783" s="70"/>
      <c r="H2783" s="131"/>
      <c r="I2783" s="3"/>
    </row>
    <row r="2784" spans="1:9" s="93" customFormat="1" ht="9" customHeight="1" x14ac:dyDescent="0.3">
      <c r="A2784" s="91"/>
      <c r="B2784" s="70"/>
      <c r="C2784" s="70"/>
      <c r="D2784" s="70"/>
      <c r="E2784" s="70"/>
      <c r="F2784" s="70"/>
      <c r="G2784" s="70"/>
      <c r="H2784" s="131"/>
      <c r="I2784" s="3"/>
    </row>
    <row r="2785" spans="1:9" s="93" customFormat="1" ht="9" customHeight="1" x14ac:dyDescent="0.3">
      <c r="A2785" s="91"/>
      <c r="B2785" s="70"/>
      <c r="C2785" s="70"/>
      <c r="D2785" s="70"/>
      <c r="E2785" s="70"/>
      <c r="F2785" s="70"/>
      <c r="G2785" s="70"/>
      <c r="H2785" s="131"/>
      <c r="I2785" s="3"/>
    </row>
    <row r="2786" spans="1:9" s="93" customFormat="1" ht="9" customHeight="1" x14ac:dyDescent="0.3">
      <c r="A2786" s="91"/>
      <c r="B2786" s="70"/>
      <c r="C2786" s="70"/>
      <c r="D2786" s="70"/>
      <c r="E2786" s="70"/>
      <c r="F2786" s="70"/>
      <c r="G2786" s="70"/>
      <c r="H2786" s="131"/>
      <c r="I2786" s="3"/>
    </row>
    <row r="2787" spans="1:9" s="93" customFormat="1" ht="9" customHeight="1" x14ac:dyDescent="0.3">
      <c r="A2787" s="91"/>
      <c r="B2787" s="70"/>
      <c r="C2787" s="70"/>
      <c r="D2787" s="70"/>
      <c r="E2787" s="70"/>
      <c r="F2787" s="70"/>
      <c r="G2787" s="70"/>
      <c r="H2787" s="131"/>
      <c r="I2787" s="3"/>
    </row>
    <row r="2788" spans="1:9" s="93" customFormat="1" ht="9" customHeight="1" x14ac:dyDescent="0.3">
      <c r="A2788" s="91"/>
      <c r="B2788" s="70"/>
      <c r="C2788" s="70"/>
      <c r="D2788" s="70"/>
      <c r="E2788" s="70"/>
      <c r="F2788" s="70"/>
      <c r="G2788" s="70"/>
      <c r="H2788" s="131"/>
      <c r="I2788" s="3"/>
    </row>
    <row r="2789" spans="1:9" s="93" customFormat="1" ht="9" customHeight="1" x14ac:dyDescent="0.3">
      <c r="A2789" s="91"/>
      <c r="B2789" s="70"/>
      <c r="C2789" s="70"/>
      <c r="D2789" s="70"/>
      <c r="E2789" s="70"/>
      <c r="F2789" s="70"/>
      <c r="G2789" s="70"/>
      <c r="H2789" s="131"/>
      <c r="I2789" s="3"/>
    </row>
    <row r="2790" spans="1:9" s="93" customFormat="1" ht="9" customHeight="1" x14ac:dyDescent="0.3">
      <c r="A2790" s="91"/>
      <c r="B2790" s="70"/>
      <c r="C2790" s="70"/>
      <c r="D2790" s="70"/>
      <c r="E2790" s="70"/>
      <c r="F2790" s="70"/>
      <c r="G2790" s="70"/>
      <c r="H2790" s="131"/>
      <c r="I2790" s="3"/>
    </row>
    <row r="2791" spans="1:9" s="93" customFormat="1" ht="9" customHeight="1" x14ac:dyDescent="0.3">
      <c r="A2791" s="91"/>
      <c r="B2791" s="70"/>
      <c r="C2791" s="70"/>
      <c r="D2791" s="70"/>
      <c r="E2791" s="70"/>
      <c r="F2791" s="70"/>
      <c r="G2791" s="70"/>
      <c r="H2791" s="131"/>
      <c r="I2791" s="3"/>
    </row>
    <row r="2792" spans="1:9" s="93" customFormat="1" ht="9" customHeight="1" x14ac:dyDescent="0.3">
      <c r="A2792" s="91"/>
      <c r="B2792" s="70"/>
      <c r="C2792" s="70"/>
      <c r="D2792" s="70"/>
      <c r="E2792" s="70"/>
      <c r="F2792" s="70"/>
      <c r="G2792" s="70"/>
      <c r="H2792" s="131"/>
      <c r="I2792" s="3"/>
    </row>
    <row r="2793" spans="1:9" s="93" customFormat="1" ht="9" customHeight="1" x14ac:dyDescent="0.3">
      <c r="A2793" s="91"/>
      <c r="B2793" s="70"/>
      <c r="C2793" s="70"/>
      <c r="D2793" s="70"/>
      <c r="E2793" s="70"/>
      <c r="F2793" s="70"/>
      <c r="G2793" s="70"/>
      <c r="H2793" s="131"/>
      <c r="I2793" s="3"/>
    </row>
    <row r="2794" spans="1:9" s="93" customFormat="1" ht="9" customHeight="1" x14ac:dyDescent="0.3">
      <c r="A2794" s="91"/>
      <c r="B2794" s="70"/>
      <c r="C2794" s="70"/>
      <c r="D2794" s="70"/>
      <c r="E2794" s="70"/>
      <c r="F2794" s="70"/>
      <c r="G2794" s="70"/>
      <c r="H2794" s="131"/>
      <c r="I2794" s="3"/>
    </row>
    <row r="2795" spans="1:9" s="93" customFormat="1" ht="9" customHeight="1" x14ac:dyDescent="0.3">
      <c r="A2795" s="91"/>
      <c r="B2795" s="70"/>
      <c r="C2795" s="70"/>
      <c r="D2795" s="70"/>
      <c r="E2795" s="70"/>
      <c r="F2795" s="70"/>
      <c r="G2795" s="70"/>
      <c r="H2795" s="131"/>
      <c r="I2795" s="3"/>
    </row>
    <row r="2796" spans="1:9" s="93" customFormat="1" ht="9" customHeight="1" x14ac:dyDescent="0.3">
      <c r="A2796" s="91"/>
      <c r="B2796" s="70"/>
      <c r="C2796" s="70"/>
      <c r="D2796" s="70"/>
      <c r="E2796" s="70"/>
      <c r="F2796" s="70"/>
      <c r="G2796" s="70"/>
      <c r="H2796" s="131"/>
      <c r="I2796" s="3"/>
    </row>
    <row r="2797" spans="1:9" s="93" customFormat="1" ht="9" customHeight="1" x14ac:dyDescent="0.3">
      <c r="A2797" s="91"/>
      <c r="B2797" s="70"/>
      <c r="C2797" s="70"/>
      <c r="D2797" s="70"/>
      <c r="E2797" s="70"/>
      <c r="F2797" s="70"/>
      <c r="G2797" s="70"/>
      <c r="H2797" s="131"/>
      <c r="I2797" s="3"/>
    </row>
    <row r="2798" spans="1:9" s="93" customFormat="1" ht="9" customHeight="1" x14ac:dyDescent="0.3">
      <c r="A2798" s="91"/>
      <c r="B2798" s="70"/>
      <c r="C2798" s="70"/>
      <c r="D2798" s="70"/>
      <c r="E2798" s="70"/>
      <c r="F2798" s="70"/>
      <c r="G2798" s="70"/>
      <c r="H2798" s="131"/>
      <c r="I2798" s="3"/>
    </row>
    <row r="2799" spans="1:9" s="93" customFormat="1" ht="9" customHeight="1" x14ac:dyDescent="0.3">
      <c r="A2799" s="91"/>
      <c r="B2799" s="70"/>
      <c r="C2799" s="70"/>
      <c r="D2799" s="70"/>
      <c r="E2799" s="70"/>
      <c r="F2799" s="70"/>
      <c r="G2799" s="70"/>
      <c r="H2799" s="131"/>
      <c r="I2799" s="3"/>
    </row>
    <row r="2800" spans="1:9" s="93" customFormat="1" ht="9" customHeight="1" x14ac:dyDescent="0.3">
      <c r="A2800" s="91"/>
      <c r="B2800" s="70"/>
      <c r="C2800" s="70"/>
      <c r="D2800" s="70"/>
      <c r="E2800" s="70"/>
      <c r="F2800" s="70"/>
      <c r="G2800" s="70"/>
      <c r="H2800" s="131"/>
      <c r="I2800" s="3"/>
    </row>
    <row r="2801" spans="1:9" s="93" customFormat="1" ht="9" customHeight="1" x14ac:dyDescent="0.3">
      <c r="A2801" s="91"/>
      <c r="B2801" s="70"/>
      <c r="C2801" s="70"/>
      <c r="D2801" s="70"/>
      <c r="E2801" s="70"/>
      <c r="F2801" s="70"/>
      <c r="G2801" s="70"/>
      <c r="H2801" s="131"/>
      <c r="I2801" s="3"/>
    </row>
    <row r="2802" spans="1:9" s="93" customFormat="1" ht="9" customHeight="1" x14ac:dyDescent="0.3">
      <c r="A2802" s="91"/>
      <c r="B2802" s="70"/>
      <c r="C2802" s="70"/>
      <c r="D2802" s="70"/>
      <c r="E2802" s="70"/>
      <c r="F2802" s="70"/>
      <c r="G2802" s="70"/>
      <c r="H2802" s="131"/>
      <c r="I2802" s="3"/>
    </row>
    <row r="2803" spans="1:9" s="93" customFormat="1" ht="9" customHeight="1" x14ac:dyDescent="0.3">
      <c r="A2803" s="91"/>
      <c r="B2803" s="70"/>
      <c r="C2803" s="70"/>
      <c r="D2803" s="70"/>
      <c r="E2803" s="70"/>
      <c r="F2803" s="70"/>
      <c r="G2803" s="70"/>
      <c r="H2803" s="131"/>
      <c r="I2803" s="3"/>
    </row>
    <row r="2804" spans="1:9" s="93" customFormat="1" ht="9" customHeight="1" x14ac:dyDescent="0.3">
      <c r="A2804" s="91"/>
      <c r="B2804" s="70"/>
      <c r="C2804" s="70"/>
      <c r="D2804" s="70"/>
      <c r="E2804" s="70"/>
      <c r="F2804" s="70"/>
      <c r="G2804" s="70"/>
      <c r="H2804" s="131"/>
      <c r="I2804" s="3"/>
    </row>
    <row r="2805" spans="1:9" s="93" customFormat="1" ht="9" customHeight="1" x14ac:dyDescent="0.3">
      <c r="A2805" s="91"/>
      <c r="B2805" s="70"/>
      <c r="C2805" s="70"/>
      <c r="D2805" s="70"/>
      <c r="E2805" s="70"/>
      <c r="F2805" s="70"/>
      <c r="G2805" s="70"/>
      <c r="H2805" s="131"/>
      <c r="I2805" s="3"/>
    </row>
    <row r="2806" spans="1:9" s="93" customFormat="1" ht="9" customHeight="1" x14ac:dyDescent="0.3">
      <c r="A2806" s="91"/>
      <c r="B2806" s="70"/>
      <c r="C2806" s="70"/>
      <c r="D2806" s="70"/>
      <c r="E2806" s="70"/>
      <c r="F2806" s="70"/>
      <c r="G2806" s="70"/>
      <c r="H2806" s="131"/>
      <c r="I2806" s="3"/>
    </row>
    <row r="2807" spans="1:9" s="93" customFormat="1" ht="9" customHeight="1" x14ac:dyDescent="0.3">
      <c r="A2807" s="91"/>
      <c r="B2807" s="70"/>
      <c r="C2807" s="70"/>
      <c r="D2807" s="70"/>
      <c r="E2807" s="70"/>
      <c r="F2807" s="70"/>
      <c r="G2807" s="70"/>
      <c r="H2807" s="131"/>
      <c r="I2807" s="3"/>
    </row>
    <row r="2808" spans="1:9" s="93" customFormat="1" ht="9" customHeight="1" x14ac:dyDescent="0.3">
      <c r="A2808" s="91"/>
      <c r="B2808" s="70"/>
      <c r="C2808" s="70"/>
      <c r="D2808" s="70"/>
      <c r="E2808" s="70"/>
      <c r="F2808" s="70"/>
      <c r="G2808" s="70"/>
      <c r="H2808" s="131"/>
      <c r="I2808" s="3"/>
    </row>
    <row r="2809" spans="1:9" s="93" customFormat="1" ht="9" customHeight="1" x14ac:dyDescent="0.3">
      <c r="A2809" s="91"/>
      <c r="B2809" s="70"/>
      <c r="C2809" s="70"/>
      <c r="D2809" s="70"/>
      <c r="E2809" s="70"/>
      <c r="F2809" s="70"/>
      <c r="G2809" s="70"/>
      <c r="H2809" s="131"/>
      <c r="I2809" s="3"/>
    </row>
    <row r="2810" spans="1:9" s="93" customFormat="1" ht="9" customHeight="1" x14ac:dyDescent="0.3">
      <c r="A2810" s="91"/>
      <c r="B2810" s="70"/>
      <c r="C2810" s="70"/>
      <c r="D2810" s="70"/>
      <c r="E2810" s="70"/>
      <c r="F2810" s="70"/>
      <c r="G2810" s="70"/>
      <c r="H2810" s="131"/>
      <c r="I2810" s="3"/>
    </row>
    <row r="2811" spans="1:9" s="93" customFormat="1" ht="9" customHeight="1" x14ac:dyDescent="0.3">
      <c r="A2811" s="91"/>
      <c r="B2811" s="70"/>
      <c r="C2811" s="70"/>
      <c r="D2811" s="70"/>
      <c r="E2811" s="70"/>
      <c r="F2811" s="70"/>
      <c r="G2811" s="70"/>
      <c r="H2811" s="131"/>
      <c r="I2811" s="3"/>
    </row>
    <row r="2812" spans="1:9" s="93" customFormat="1" ht="9" customHeight="1" x14ac:dyDescent="0.3">
      <c r="A2812" s="91"/>
      <c r="B2812" s="70"/>
      <c r="C2812" s="70"/>
      <c r="D2812" s="70"/>
      <c r="E2812" s="70"/>
      <c r="F2812" s="70"/>
      <c r="G2812" s="70"/>
      <c r="H2812" s="131"/>
      <c r="I2812" s="3"/>
    </row>
    <row r="2813" spans="1:9" s="93" customFormat="1" ht="9" customHeight="1" x14ac:dyDescent="0.3">
      <c r="A2813" s="91"/>
      <c r="B2813" s="70"/>
      <c r="C2813" s="70"/>
      <c r="D2813" s="70"/>
      <c r="E2813" s="70"/>
      <c r="F2813" s="70"/>
      <c r="G2813" s="70"/>
      <c r="H2813" s="131"/>
      <c r="I2813" s="3"/>
    </row>
    <row r="2814" spans="1:9" s="93" customFormat="1" ht="9" customHeight="1" x14ac:dyDescent="0.3">
      <c r="A2814" s="91"/>
      <c r="B2814" s="70"/>
      <c r="C2814" s="70"/>
      <c r="D2814" s="70"/>
      <c r="E2814" s="70"/>
      <c r="F2814" s="70"/>
      <c r="G2814" s="70"/>
      <c r="H2814" s="131"/>
      <c r="I2814" s="3"/>
    </row>
    <row r="2815" spans="1:9" s="93" customFormat="1" ht="9" customHeight="1" x14ac:dyDescent="0.3">
      <c r="A2815" s="91"/>
      <c r="B2815" s="70"/>
      <c r="C2815" s="70"/>
      <c r="D2815" s="70"/>
      <c r="E2815" s="70"/>
      <c r="F2815" s="70"/>
      <c r="G2815" s="70"/>
      <c r="H2815" s="131"/>
      <c r="I2815" s="3"/>
    </row>
    <row r="2816" spans="1:9" s="93" customFormat="1" ht="9" customHeight="1" x14ac:dyDescent="0.3">
      <c r="A2816" s="91"/>
      <c r="B2816" s="70"/>
      <c r="C2816" s="70"/>
      <c r="D2816" s="70"/>
      <c r="E2816" s="70"/>
      <c r="F2816" s="70"/>
      <c r="G2816" s="70"/>
      <c r="H2816" s="131"/>
      <c r="I2816" s="3"/>
    </row>
    <row r="2817" spans="1:9" s="93" customFormat="1" ht="9" customHeight="1" x14ac:dyDescent="0.3">
      <c r="A2817" s="91"/>
      <c r="B2817" s="70"/>
      <c r="C2817" s="70"/>
      <c r="D2817" s="70"/>
      <c r="E2817" s="70"/>
      <c r="F2817" s="70"/>
      <c r="G2817" s="70"/>
      <c r="H2817" s="131"/>
      <c r="I2817" s="3"/>
    </row>
    <row r="2818" spans="1:9" s="93" customFormat="1" ht="9" customHeight="1" x14ac:dyDescent="0.3">
      <c r="A2818" s="91"/>
      <c r="B2818" s="70"/>
      <c r="C2818" s="70"/>
      <c r="D2818" s="70"/>
      <c r="E2818" s="70"/>
      <c r="F2818" s="70"/>
      <c r="G2818" s="70"/>
      <c r="H2818" s="131"/>
      <c r="I2818" s="3"/>
    </row>
    <row r="2819" spans="1:9" s="93" customFormat="1" ht="9" customHeight="1" x14ac:dyDescent="0.3">
      <c r="A2819" s="91"/>
      <c r="B2819" s="70"/>
      <c r="C2819" s="70"/>
      <c r="D2819" s="70"/>
      <c r="E2819" s="70"/>
      <c r="F2819" s="70"/>
      <c r="G2819" s="70"/>
      <c r="H2819" s="131"/>
      <c r="I2819" s="3"/>
    </row>
    <row r="2820" spans="1:9" s="93" customFormat="1" ht="9" customHeight="1" x14ac:dyDescent="0.3">
      <c r="A2820" s="91"/>
      <c r="B2820" s="70"/>
      <c r="C2820" s="70"/>
      <c r="D2820" s="70"/>
      <c r="E2820" s="70"/>
      <c r="F2820" s="70"/>
      <c r="G2820" s="70"/>
      <c r="H2820" s="131"/>
      <c r="I2820" s="3"/>
    </row>
    <row r="2821" spans="1:9" s="93" customFormat="1" ht="9" customHeight="1" x14ac:dyDescent="0.3">
      <c r="A2821" s="91"/>
      <c r="B2821" s="70"/>
      <c r="C2821" s="70"/>
      <c r="D2821" s="70"/>
      <c r="E2821" s="70"/>
      <c r="F2821" s="70"/>
      <c r="G2821" s="70"/>
      <c r="H2821" s="131"/>
      <c r="I2821" s="3"/>
    </row>
    <row r="2822" spans="1:9" s="93" customFormat="1" ht="9" customHeight="1" x14ac:dyDescent="0.3">
      <c r="A2822" s="91"/>
      <c r="B2822" s="70"/>
      <c r="C2822" s="70"/>
      <c r="D2822" s="70"/>
      <c r="E2822" s="70"/>
      <c r="F2822" s="70"/>
      <c r="G2822" s="70"/>
      <c r="H2822" s="131"/>
      <c r="I2822" s="3"/>
    </row>
    <row r="2823" spans="1:9" s="93" customFormat="1" ht="9" customHeight="1" x14ac:dyDescent="0.3">
      <c r="A2823" s="91"/>
      <c r="B2823" s="70"/>
      <c r="C2823" s="70"/>
      <c r="D2823" s="70"/>
      <c r="E2823" s="70"/>
      <c r="F2823" s="70"/>
      <c r="G2823" s="70"/>
      <c r="H2823" s="131"/>
      <c r="I2823" s="3"/>
    </row>
    <row r="2824" spans="1:9" s="93" customFormat="1" ht="9" customHeight="1" x14ac:dyDescent="0.3">
      <c r="A2824" s="91"/>
      <c r="B2824" s="70"/>
      <c r="C2824" s="70"/>
      <c r="D2824" s="70"/>
      <c r="E2824" s="70"/>
      <c r="F2824" s="70"/>
      <c r="G2824" s="70"/>
      <c r="H2824" s="131"/>
      <c r="I2824" s="3"/>
    </row>
    <row r="2825" spans="1:9" s="93" customFormat="1" ht="9" customHeight="1" x14ac:dyDescent="0.3">
      <c r="A2825" s="91"/>
      <c r="B2825" s="70"/>
      <c r="C2825" s="70"/>
      <c r="D2825" s="70"/>
      <c r="E2825" s="70"/>
      <c r="F2825" s="70"/>
      <c r="G2825" s="70"/>
      <c r="H2825" s="131"/>
      <c r="I2825" s="3"/>
    </row>
    <row r="2826" spans="1:9" s="93" customFormat="1" ht="9" customHeight="1" x14ac:dyDescent="0.3">
      <c r="A2826" s="91"/>
      <c r="B2826" s="70"/>
      <c r="C2826" s="70"/>
      <c r="D2826" s="70"/>
      <c r="E2826" s="70"/>
      <c r="F2826" s="70"/>
      <c r="G2826" s="70"/>
      <c r="H2826" s="131"/>
      <c r="I2826" s="3"/>
    </row>
    <row r="2827" spans="1:9" s="93" customFormat="1" ht="9" customHeight="1" x14ac:dyDescent="0.3">
      <c r="A2827" s="91"/>
      <c r="B2827" s="70"/>
      <c r="C2827" s="70"/>
      <c r="D2827" s="70"/>
      <c r="E2827" s="70"/>
      <c r="F2827" s="70"/>
      <c r="G2827" s="70"/>
      <c r="H2827" s="131"/>
      <c r="I2827" s="3"/>
    </row>
    <row r="2828" spans="1:9" s="93" customFormat="1" ht="9" customHeight="1" x14ac:dyDescent="0.3">
      <c r="A2828" s="91"/>
      <c r="B2828" s="70"/>
      <c r="C2828" s="70"/>
      <c r="D2828" s="70"/>
      <c r="E2828" s="70"/>
      <c r="F2828" s="70"/>
      <c r="G2828" s="70"/>
      <c r="H2828" s="131"/>
      <c r="I2828" s="3"/>
    </row>
    <row r="2829" spans="1:9" s="93" customFormat="1" ht="9" customHeight="1" x14ac:dyDescent="0.3">
      <c r="A2829" s="91"/>
      <c r="B2829" s="70"/>
      <c r="C2829" s="70"/>
      <c r="D2829" s="70"/>
      <c r="E2829" s="70"/>
      <c r="F2829" s="70"/>
      <c r="G2829" s="70"/>
      <c r="H2829" s="131"/>
      <c r="I2829" s="3"/>
    </row>
    <row r="2830" spans="1:9" s="93" customFormat="1" ht="9" customHeight="1" x14ac:dyDescent="0.3">
      <c r="A2830" s="91"/>
      <c r="B2830" s="70"/>
      <c r="C2830" s="70"/>
      <c r="D2830" s="70"/>
      <c r="E2830" s="70"/>
      <c r="F2830" s="70"/>
      <c r="G2830" s="70"/>
      <c r="H2830" s="131"/>
      <c r="I2830" s="3"/>
    </row>
    <row r="2831" spans="1:9" s="93" customFormat="1" ht="9" customHeight="1" x14ac:dyDescent="0.3">
      <c r="A2831" s="91"/>
      <c r="B2831" s="70"/>
      <c r="C2831" s="70"/>
      <c r="D2831" s="70"/>
      <c r="E2831" s="70"/>
      <c r="F2831" s="70"/>
      <c r="G2831" s="70"/>
      <c r="H2831" s="131"/>
      <c r="I2831" s="3"/>
    </row>
    <row r="2832" spans="1:9" s="93" customFormat="1" ht="9" customHeight="1" x14ac:dyDescent="0.3">
      <c r="A2832" s="91"/>
      <c r="B2832" s="70"/>
      <c r="C2832" s="70"/>
      <c r="D2832" s="70"/>
      <c r="E2832" s="70"/>
      <c r="F2832" s="70"/>
      <c r="G2832" s="70"/>
      <c r="H2832" s="131"/>
      <c r="I2832" s="3"/>
    </row>
    <row r="2833" spans="1:9" s="93" customFormat="1" ht="9" customHeight="1" x14ac:dyDescent="0.3">
      <c r="A2833" s="91"/>
      <c r="B2833" s="70"/>
      <c r="C2833" s="70"/>
      <c r="D2833" s="70"/>
      <c r="E2833" s="70"/>
      <c r="F2833" s="70"/>
      <c r="G2833" s="70"/>
      <c r="H2833" s="131"/>
      <c r="I2833" s="3"/>
    </row>
    <row r="2834" spans="1:9" s="93" customFormat="1" ht="9" customHeight="1" x14ac:dyDescent="0.3">
      <c r="A2834" s="91"/>
      <c r="B2834" s="70"/>
      <c r="C2834" s="70"/>
      <c r="D2834" s="70"/>
      <c r="E2834" s="70"/>
      <c r="F2834" s="70"/>
      <c r="G2834" s="70"/>
      <c r="H2834" s="131"/>
      <c r="I2834" s="3"/>
    </row>
    <row r="2835" spans="1:9" s="93" customFormat="1" ht="9" customHeight="1" x14ac:dyDescent="0.3">
      <c r="A2835" s="91"/>
      <c r="B2835" s="70"/>
      <c r="C2835" s="70"/>
      <c r="D2835" s="70"/>
      <c r="E2835" s="70"/>
      <c r="F2835" s="70"/>
      <c r="G2835" s="70"/>
      <c r="H2835" s="131"/>
      <c r="I2835" s="3"/>
    </row>
    <row r="2836" spans="1:9" s="93" customFormat="1" ht="9" customHeight="1" x14ac:dyDescent="0.3">
      <c r="A2836" s="91"/>
      <c r="B2836" s="70"/>
      <c r="C2836" s="70"/>
      <c r="D2836" s="70"/>
      <c r="E2836" s="70"/>
      <c r="F2836" s="70"/>
      <c r="G2836" s="70"/>
      <c r="H2836" s="131"/>
      <c r="I2836" s="3"/>
    </row>
    <row r="2837" spans="1:9" s="93" customFormat="1" ht="9" customHeight="1" x14ac:dyDescent="0.3">
      <c r="A2837" s="91"/>
      <c r="B2837" s="70"/>
      <c r="C2837" s="70"/>
      <c r="D2837" s="70"/>
      <c r="E2837" s="70"/>
      <c r="F2837" s="70"/>
      <c r="G2837" s="70"/>
      <c r="H2837" s="131"/>
      <c r="I2837" s="3"/>
    </row>
    <row r="2838" spans="1:9" s="93" customFormat="1" ht="9" customHeight="1" x14ac:dyDescent="0.3">
      <c r="A2838" s="91"/>
      <c r="B2838" s="70"/>
      <c r="C2838" s="70"/>
      <c r="D2838" s="70"/>
      <c r="E2838" s="70"/>
      <c r="F2838" s="70"/>
      <c r="G2838" s="70"/>
      <c r="H2838" s="131"/>
      <c r="I2838" s="3"/>
    </row>
    <row r="2839" spans="1:9" s="93" customFormat="1" ht="9" customHeight="1" x14ac:dyDescent="0.3">
      <c r="A2839" s="91"/>
      <c r="B2839" s="70"/>
      <c r="C2839" s="70"/>
      <c r="D2839" s="70"/>
      <c r="E2839" s="70"/>
      <c r="F2839" s="70"/>
      <c r="G2839" s="70"/>
      <c r="H2839" s="131"/>
      <c r="I2839" s="3"/>
    </row>
    <row r="2840" spans="1:9" s="93" customFormat="1" ht="9" customHeight="1" x14ac:dyDescent="0.3">
      <c r="A2840" s="91"/>
      <c r="B2840" s="70"/>
      <c r="C2840" s="70"/>
      <c r="D2840" s="70"/>
      <c r="E2840" s="70"/>
      <c r="F2840" s="70"/>
      <c r="G2840" s="70"/>
      <c r="H2840" s="131"/>
      <c r="I2840" s="3"/>
    </row>
    <row r="2841" spans="1:9" s="93" customFormat="1" ht="9" customHeight="1" x14ac:dyDescent="0.3">
      <c r="A2841" s="91"/>
      <c r="B2841" s="70"/>
      <c r="C2841" s="70"/>
      <c r="D2841" s="70"/>
      <c r="E2841" s="70"/>
      <c r="F2841" s="70"/>
      <c r="G2841" s="70"/>
      <c r="H2841" s="131"/>
      <c r="I2841" s="3"/>
    </row>
    <row r="2842" spans="1:9" s="93" customFormat="1" ht="9" customHeight="1" x14ac:dyDescent="0.3">
      <c r="A2842" s="91"/>
      <c r="B2842" s="70"/>
      <c r="C2842" s="70"/>
      <c r="D2842" s="70"/>
      <c r="E2842" s="70"/>
      <c r="F2842" s="70"/>
      <c r="G2842" s="70"/>
      <c r="H2842" s="131"/>
      <c r="I2842" s="3"/>
    </row>
    <row r="2843" spans="1:9" s="93" customFormat="1" ht="9" customHeight="1" x14ac:dyDescent="0.3">
      <c r="A2843" s="91"/>
      <c r="B2843" s="70"/>
      <c r="C2843" s="70"/>
      <c r="D2843" s="70"/>
      <c r="E2843" s="70"/>
      <c r="F2843" s="70"/>
      <c r="G2843" s="70"/>
      <c r="H2843" s="131"/>
      <c r="I2843" s="3"/>
    </row>
    <row r="2844" spans="1:9" s="93" customFormat="1" ht="9" customHeight="1" x14ac:dyDescent="0.3">
      <c r="A2844" s="91"/>
      <c r="B2844" s="70"/>
      <c r="C2844" s="70"/>
      <c r="D2844" s="70"/>
      <c r="E2844" s="70"/>
      <c r="F2844" s="70"/>
      <c r="G2844" s="70"/>
      <c r="H2844" s="131"/>
      <c r="I2844" s="3"/>
    </row>
    <row r="2845" spans="1:9" s="93" customFormat="1" ht="9" customHeight="1" x14ac:dyDescent="0.3">
      <c r="A2845" s="91"/>
      <c r="B2845" s="70"/>
      <c r="C2845" s="70"/>
      <c r="D2845" s="70"/>
      <c r="E2845" s="70"/>
      <c r="F2845" s="70"/>
      <c r="G2845" s="70"/>
      <c r="H2845" s="131"/>
      <c r="I2845" s="3"/>
    </row>
    <row r="2846" spans="1:9" s="93" customFormat="1" ht="9" customHeight="1" x14ac:dyDescent="0.3">
      <c r="A2846" s="91"/>
      <c r="B2846" s="70"/>
      <c r="C2846" s="70"/>
      <c r="D2846" s="70"/>
      <c r="E2846" s="70"/>
      <c r="F2846" s="70"/>
      <c r="G2846" s="70"/>
      <c r="H2846" s="131"/>
      <c r="I2846" s="3"/>
    </row>
    <row r="2847" spans="1:9" s="93" customFormat="1" ht="9" customHeight="1" x14ac:dyDescent="0.3">
      <c r="A2847" s="91"/>
      <c r="B2847" s="70"/>
      <c r="C2847" s="70"/>
      <c r="D2847" s="70"/>
      <c r="E2847" s="70"/>
      <c r="F2847" s="70"/>
      <c r="G2847" s="70"/>
      <c r="H2847" s="131"/>
      <c r="I2847" s="3"/>
    </row>
    <row r="2848" spans="1:9" s="93" customFormat="1" ht="9" customHeight="1" x14ac:dyDescent="0.3">
      <c r="A2848" s="91"/>
      <c r="B2848" s="70"/>
      <c r="C2848" s="70"/>
      <c r="D2848" s="70"/>
      <c r="E2848" s="70"/>
      <c r="F2848" s="70"/>
      <c r="G2848" s="70"/>
      <c r="H2848" s="131"/>
      <c r="I2848" s="3"/>
    </row>
    <row r="2849" spans="1:9" s="93" customFormat="1" ht="9" customHeight="1" x14ac:dyDescent="0.3">
      <c r="A2849" s="91"/>
      <c r="B2849" s="70"/>
      <c r="C2849" s="70"/>
      <c r="D2849" s="70"/>
      <c r="E2849" s="70"/>
      <c r="F2849" s="70"/>
      <c r="G2849" s="70"/>
      <c r="H2849" s="131"/>
      <c r="I2849" s="3"/>
    </row>
    <row r="2850" spans="1:9" s="93" customFormat="1" ht="9" customHeight="1" x14ac:dyDescent="0.3">
      <c r="A2850" s="91"/>
      <c r="B2850" s="70"/>
      <c r="C2850" s="70"/>
      <c r="D2850" s="70"/>
      <c r="E2850" s="70"/>
      <c r="F2850" s="70"/>
      <c r="G2850" s="70"/>
      <c r="H2850" s="131"/>
      <c r="I2850" s="3"/>
    </row>
    <row r="2851" spans="1:9" s="93" customFormat="1" ht="9" customHeight="1" x14ac:dyDescent="0.3">
      <c r="A2851" s="91"/>
      <c r="B2851" s="70"/>
      <c r="C2851" s="70"/>
      <c r="D2851" s="70"/>
      <c r="E2851" s="70"/>
      <c r="F2851" s="70"/>
      <c r="G2851" s="70"/>
      <c r="H2851" s="131"/>
      <c r="I2851" s="3"/>
    </row>
    <row r="2852" spans="1:9" s="93" customFormat="1" ht="9" customHeight="1" x14ac:dyDescent="0.3">
      <c r="A2852" s="91"/>
      <c r="B2852" s="70"/>
      <c r="C2852" s="70"/>
      <c r="D2852" s="70"/>
      <c r="E2852" s="70"/>
      <c r="F2852" s="70"/>
      <c r="G2852" s="70"/>
      <c r="H2852" s="131"/>
      <c r="I2852" s="3"/>
    </row>
    <row r="2853" spans="1:9" s="93" customFormat="1" ht="9" customHeight="1" x14ac:dyDescent="0.3">
      <c r="A2853" s="91"/>
      <c r="B2853" s="70"/>
      <c r="C2853" s="70"/>
      <c r="D2853" s="70"/>
      <c r="E2853" s="70"/>
      <c r="F2853" s="70"/>
      <c r="G2853" s="70"/>
      <c r="H2853" s="131"/>
      <c r="I2853" s="3"/>
    </row>
    <row r="2854" spans="1:9" s="93" customFormat="1" ht="9" customHeight="1" x14ac:dyDescent="0.3">
      <c r="A2854" s="91"/>
      <c r="B2854" s="70"/>
      <c r="C2854" s="70"/>
      <c r="D2854" s="70"/>
      <c r="E2854" s="70"/>
      <c r="F2854" s="70"/>
      <c r="G2854" s="70"/>
      <c r="H2854" s="131"/>
      <c r="I2854" s="3"/>
    </row>
    <row r="2855" spans="1:9" s="93" customFormat="1" ht="9" customHeight="1" x14ac:dyDescent="0.3">
      <c r="A2855" s="91"/>
      <c r="B2855" s="70"/>
      <c r="C2855" s="70"/>
      <c r="D2855" s="70"/>
      <c r="E2855" s="70"/>
      <c r="F2855" s="70"/>
      <c r="G2855" s="70"/>
      <c r="H2855" s="131"/>
      <c r="I2855" s="3"/>
    </row>
    <row r="2856" spans="1:9" s="93" customFormat="1" ht="9" customHeight="1" x14ac:dyDescent="0.3">
      <c r="A2856" s="91"/>
      <c r="B2856" s="70"/>
      <c r="C2856" s="70"/>
      <c r="D2856" s="70"/>
      <c r="E2856" s="70"/>
      <c r="F2856" s="70"/>
      <c r="G2856" s="70"/>
      <c r="H2856" s="131"/>
      <c r="I2856" s="3"/>
    </row>
    <row r="2857" spans="1:9" s="93" customFormat="1" ht="9" customHeight="1" x14ac:dyDescent="0.3">
      <c r="A2857" s="91"/>
      <c r="B2857" s="70"/>
      <c r="C2857" s="70"/>
      <c r="D2857" s="70"/>
      <c r="E2857" s="70"/>
      <c r="F2857" s="70"/>
      <c r="G2857" s="70"/>
      <c r="H2857" s="131"/>
      <c r="I2857" s="3"/>
    </row>
    <row r="2858" spans="1:9" s="93" customFormat="1" ht="9" customHeight="1" x14ac:dyDescent="0.3">
      <c r="A2858" s="91"/>
      <c r="B2858" s="70"/>
      <c r="C2858" s="70"/>
      <c r="D2858" s="70"/>
      <c r="E2858" s="70"/>
      <c r="F2858" s="70"/>
      <c r="G2858" s="70"/>
      <c r="H2858" s="131"/>
      <c r="I2858" s="3"/>
    </row>
    <row r="2859" spans="1:9" s="93" customFormat="1" ht="9" customHeight="1" x14ac:dyDescent="0.3">
      <c r="A2859" s="91"/>
      <c r="B2859" s="70"/>
      <c r="C2859" s="70"/>
      <c r="D2859" s="70"/>
      <c r="E2859" s="70"/>
      <c r="F2859" s="70"/>
      <c r="G2859" s="70"/>
      <c r="H2859" s="131"/>
      <c r="I2859" s="3"/>
    </row>
    <row r="2860" spans="1:9" s="93" customFormat="1" ht="9" customHeight="1" x14ac:dyDescent="0.3">
      <c r="A2860" s="91"/>
      <c r="B2860" s="70"/>
      <c r="C2860" s="70"/>
      <c r="D2860" s="70"/>
      <c r="E2860" s="70"/>
      <c r="F2860" s="70"/>
      <c r="G2860" s="70"/>
      <c r="H2860" s="131"/>
      <c r="I2860" s="3"/>
    </row>
    <row r="2861" spans="1:9" s="93" customFormat="1" ht="9" customHeight="1" x14ac:dyDescent="0.3">
      <c r="A2861" s="91"/>
      <c r="B2861" s="70"/>
      <c r="C2861" s="70"/>
      <c r="D2861" s="70"/>
      <c r="E2861" s="70"/>
      <c r="F2861" s="70"/>
      <c r="G2861" s="70"/>
      <c r="H2861" s="131"/>
      <c r="I2861" s="3"/>
    </row>
    <row r="2862" spans="1:9" s="93" customFormat="1" ht="9" customHeight="1" x14ac:dyDescent="0.3">
      <c r="A2862" s="91"/>
      <c r="B2862" s="70"/>
      <c r="C2862" s="70"/>
      <c r="D2862" s="70"/>
      <c r="E2862" s="70"/>
      <c r="F2862" s="70"/>
      <c r="G2862" s="70"/>
      <c r="H2862" s="131"/>
      <c r="I2862" s="3"/>
    </row>
    <row r="2863" spans="1:9" s="93" customFormat="1" ht="9" customHeight="1" x14ac:dyDescent="0.3">
      <c r="A2863" s="91"/>
      <c r="B2863" s="70"/>
      <c r="C2863" s="70"/>
      <c r="D2863" s="70"/>
      <c r="E2863" s="70"/>
      <c r="F2863" s="70"/>
      <c r="G2863" s="70"/>
      <c r="H2863" s="131"/>
      <c r="I2863" s="3"/>
    </row>
    <row r="2864" spans="1:9" s="93" customFormat="1" ht="9" customHeight="1" x14ac:dyDescent="0.3">
      <c r="A2864" s="91"/>
      <c r="B2864" s="70"/>
      <c r="C2864" s="70"/>
      <c r="D2864" s="70"/>
      <c r="E2864" s="70"/>
      <c r="F2864" s="70"/>
      <c r="G2864" s="70"/>
      <c r="H2864" s="131"/>
      <c r="I2864" s="3"/>
    </row>
    <row r="2865" spans="1:9" s="93" customFormat="1" ht="9" customHeight="1" x14ac:dyDescent="0.3">
      <c r="A2865" s="91"/>
      <c r="B2865" s="70"/>
      <c r="C2865" s="70"/>
      <c r="D2865" s="70"/>
      <c r="E2865" s="70"/>
      <c r="F2865" s="70"/>
      <c r="G2865" s="70"/>
      <c r="H2865" s="131"/>
      <c r="I2865" s="3"/>
    </row>
    <row r="2866" spans="1:9" s="93" customFormat="1" ht="9" customHeight="1" x14ac:dyDescent="0.3">
      <c r="A2866" s="91"/>
      <c r="B2866" s="70"/>
      <c r="C2866" s="70"/>
      <c r="D2866" s="70"/>
      <c r="E2866" s="70"/>
      <c r="F2866" s="70"/>
      <c r="G2866" s="70"/>
      <c r="H2866" s="131"/>
      <c r="I2866" s="3"/>
    </row>
    <row r="2867" spans="1:9" s="93" customFormat="1" ht="9" customHeight="1" x14ac:dyDescent="0.3">
      <c r="A2867" s="91"/>
      <c r="B2867" s="70"/>
      <c r="C2867" s="70"/>
      <c r="D2867" s="70"/>
      <c r="E2867" s="70"/>
      <c r="F2867" s="70"/>
      <c r="G2867" s="70"/>
      <c r="H2867" s="131"/>
      <c r="I2867" s="3"/>
    </row>
    <row r="2868" spans="1:9" s="93" customFormat="1" ht="9" customHeight="1" x14ac:dyDescent="0.3">
      <c r="A2868" s="91"/>
      <c r="B2868" s="70"/>
      <c r="C2868" s="70"/>
      <c r="D2868" s="70"/>
      <c r="E2868" s="70"/>
      <c r="F2868" s="70"/>
      <c r="G2868" s="70"/>
      <c r="H2868" s="131"/>
      <c r="I2868" s="3"/>
    </row>
    <row r="2869" spans="1:9" s="93" customFormat="1" ht="9" customHeight="1" x14ac:dyDescent="0.3">
      <c r="A2869" s="91"/>
      <c r="B2869" s="70"/>
      <c r="C2869" s="70"/>
      <c r="D2869" s="70"/>
      <c r="E2869" s="70"/>
      <c r="F2869" s="70"/>
      <c r="G2869" s="70"/>
      <c r="H2869" s="131"/>
      <c r="I2869" s="3"/>
    </row>
    <row r="2870" spans="1:9" s="93" customFormat="1" ht="9" customHeight="1" x14ac:dyDescent="0.3">
      <c r="A2870" s="91"/>
      <c r="B2870" s="70"/>
      <c r="C2870" s="70"/>
      <c r="D2870" s="70"/>
      <c r="E2870" s="70"/>
      <c r="F2870" s="70"/>
      <c r="G2870" s="70"/>
      <c r="H2870" s="131"/>
      <c r="I2870" s="3"/>
    </row>
    <row r="2871" spans="1:9" s="93" customFormat="1" ht="9" customHeight="1" x14ac:dyDescent="0.3">
      <c r="A2871" s="91"/>
      <c r="B2871" s="70"/>
      <c r="C2871" s="70"/>
      <c r="D2871" s="70"/>
      <c r="E2871" s="70"/>
      <c r="F2871" s="70"/>
      <c r="G2871" s="70"/>
      <c r="H2871" s="131"/>
      <c r="I2871" s="3"/>
    </row>
    <row r="2872" spans="1:9" s="93" customFormat="1" ht="9" customHeight="1" x14ac:dyDescent="0.3">
      <c r="A2872" s="91"/>
      <c r="B2872" s="70"/>
      <c r="C2872" s="70"/>
      <c r="D2872" s="70"/>
      <c r="E2872" s="70"/>
      <c r="F2872" s="70"/>
      <c r="G2872" s="70"/>
      <c r="H2872" s="131"/>
      <c r="I2872" s="3"/>
    </row>
    <row r="2873" spans="1:9" s="93" customFormat="1" ht="9" customHeight="1" x14ac:dyDescent="0.3">
      <c r="A2873" s="91"/>
      <c r="B2873" s="70"/>
      <c r="C2873" s="70"/>
      <c r="D2873" s="70"/>
      <c r="E2873" s="70"/>
      <c r="F2873" s="70"/>
      <c r="G2873" s="70"/>
      <c r="H2873" s="131"/>
      <c r="I2873" s="3"/>
    </row>
    <row r="2874" spans="1:9" s="93" customFormat="1" ht="9" customHeight="1" x14ac:dyDescent="0.3">
      <c r="A2874" s="91"/>
      <c r="B2874" s="70"/>
      <c r="C2874" s="70"/>
      <c r="D2874" s="70"/>
      <c r="E2874" s="70"/>
      <c r="F2874" s="70"/>
      <c r="G2874" s="70"/>
      <c r="H2874" s="131"/>
      <c r="I2874" s="3"/>
    </row>
    <row r="2875" spans="1:9" s="93" customFormat="1" ht="9" customHeight="1" x14ac:dyDescent="0.3">
      <c r="A2875" s="91"/>
      <c r="B2875" s="70"/>
      <c r="C2875" s="70"/>
      <c r="D2875" s="70"/>
      <c r="E2875" s="70"/>
      <c r="F2875" s="70"/>
      <c r="G2875" s="70"/>
      <c r="H2875" s="131"/>
      <c r="I2875" s="3"/>
    </row>
    <row r="2876" spans="1:9" s="93" customFormat="1" ht="9" customHeight="1" x14ac:dyDescent="0.3">
      <c r="A2876" s="91"/>
      <c r="B2876" s="70"/>
      <c r="C2876" s="70"/>
      <c r="D2876" s="70"/>
      <c r="E2876" s="70"/>
      <c r="F2876" s="70"/>
      <c r="G2876" s="70"/>
      <c r="H2876" s="131"/>
      <c r="I2876" s="3"/>
    </row>
    <row r="2877" spans="1:9" s="93" customFormat="1" ht="9" customHeight="1" x14ac:dyDescent="0.3">
      <c r="A2877" s="91"/>
      <c r="B2877" s="70"/>
      <c r="C2877" s="70"/>
      <c r="D2877" s="70"/>
      <c r="E2877" s="70"/>
      <c r="F2877" s="70"/>
      <c r="G2877" s="70"/>
      <c r="H2877" s="131"/>
      <c r="I2877" s="3"/>
    </row>
    <row r="2878" spans="1:9" s="93" customFormat="1" ht="9" customHeight="1" x14ac:dyDescent="0.3">
      <c r="A2878" s="91"/>
      <c r="B2878" s="70"/>
      <c r="C2878" s="70"/>
      <c r="D2878" s="70"/>
      <c r="E2878" s="70"/>
      <c r="F2878" s="70"/>
      <c r="G2878" s="70"/>
      <c r="H2878" s="131"/>
      <c r="I2878" s="3"/>
    </row>
    <row r="2879" spans="1:9" s="93" customFormat="1" ht="9" customHeight="1" x14ac:dyDescent="0.3">
      <c r="A2879" s="91"/>
      <c r="B2879" s="70"/>
      <c r="C2879" s="70"/>
      <c r="D2879" s="70"/>
      <c r="E2879" s="70"/>
      <c r="F2879" s="70"/>
      <c r="G2879" s="70"/>
      <c r="H2879" s="131"/>
      <c r="I2879" s="3"/>
    </row>
    <row r="2880" spans="1:9" s="93" customFormat="1" ht="9" customHeight="1" x14ac:dyDescent="0.3">
      <c r="A2880" s="91"/>
      <c r="B2880" s="70"/>
      <c r="C2880" s="70"/>
      <c r="D2880" s="70"/>
      <c r="E2880" s="70"/>
      <c r="F2880" s="70"/>
      <c r="G2880" s="70"/>
      <c r="H2880" s="131"/>
      <c r="I2880" s="3"/>
    </row>
    <row r="2881" spans="1:9" s="93" customFormat="1" ht="9" customHeight="1" x14ac:dyDescent="0.3">
      <c r="A2881" s="91"/>
      <c r="B2881" s="70"/>
      <c r="C2881" s="70"/>
      <c r="D2881" s="70"/>
      <c r="E2881" s="70"/>
      <c r="F2881" s="70"/>
      <c r="G2881" s="70"/>
      <c r="H2881" s="131"/>
      <c r="I2881" s="3"/>
    </row>
    <row r="2882" spans="1:9" s="93" customFormat="1" ht="9" customHeight="1" x14ac:dyDescent="0.3">
      <c r="A2882" s="91"/>
      <c r="B2882" s="70"/>
      <c r="C2882" s="70"/>
      <c r="D2882" s="70"/>
      <c r="E2882" s="70"/>
      <c r="F2882" s="70"/>
      <c r="G2882" s="70"/>
      <c r="H2882" s="131"/>
      <c r="I2882" s="3"/>
    </row>
    <row r="2883" spans="1:9" s="93" customFormat="1" ht="9" customHeight="1" x14ac:dyDescent="0.3">
      <c r="A2883" s="91"/>
      <c r="B2883" s="70"/>
      <c r="C2883" s="70"/>
      <c r="D2883" s="70"/>
      <c r="E2883" s="70"/>
      <c r="F2883" s="70"/>
      <c r="G2883" s="70"/>
      <c r="H2883" s="131"/>
      <c r="I2883" s="3"/>
    </row>
    <row r="2884" spans="1:9" s="93" customFormat="1" ht="9" customHeight="1" x14ac:dyDescent="0.3">
      <c r="A2884" s="91"/>
      <c r="B2884" s="70"/>
      <c r="C2884" s="70"/>
      <c r="D2884" s="70"/>
      <c r="E2884" s="70"/>
      <c r="F2884" s="70"/>
      <c r="G2884" s="70"/>
      <c r="H2884" s="131"/>
      <c r="I2884" s="3"/>
    </row>
    <row r="2885" spans="1:9" s="93" customFormat="1" ht="9" customHeight="1" x14ac:dyDescent="0.3">
      <c r="A2885" s="91"/>
      <c r="B2885" s="70"/>
      <c r="C2885" s="70"/>
      <c r="D2885" s="70"/>
      <c r="E2885" s="70"/>
      <c r="F2885" s="70"/>
      <c r="G2885" s="70"/>
      <c r="H2885" s="131"/>
      <c r="I2885" s="3"/>
    </row>
    <row r="2886" spans="1:9" s="93" customFormat="1" ht="9" customHeight="1" x14ac:dyDescent="0.3">
      <c r="A2886" s="91"/>
      <c r="B2886" s="70"/>
      <c r="C2886" s="70"/>
      <c r="D2886" s="70"/>
      <c r="E2886" s="70"/>
      <c r="F2886" s="70"/>
      <c r="G2886" s="70"/>
      <c r="H2886" s="131"/>
      <c r="I2886" s="3"/>
    </row>
    <row r="2887" spans="1:9" s="93" customFormat="1" ht="9" customHeight="1" x14ac:dyDescent="0.3">
      <c r="A2887" s="91"/>
      <c r="B2887" s="70"/>
      <c r="C2887" s="70"/>
      <c r="D2887" s="70"/>
      <c r="E2887" s="70"/>
      <c r="F2887" s="70"/>
      <c r="G2887" s="70"/>
      <c r="H2887" s="131"/>
      <c r="I2887" s="3"/>
    </row>
    <row r="2888" spans="1:9" s="93" customFormat="1" ht="9" customHeight="1" x14ac:dyDescent="0.3">
      <c r="A2888" s="91"/>
      <c r="B2888" s="70"/>
      <c r="C2888" s="70"/>
      <c r="D2888" s="70"/>
      <c r="E2888" s="70"/>
      <c r="F2888" s="70"/>
      <c r="G2888" s="70"/>
      <c r="H2888" s="131"/>
      <c r="I2888" s="3"/>
    </row>
    <row r="2889" spans="1:9" s="93" customFormat="1" ht="9" customHeight="1" x14ac:dyDescent="0.3">
      <c r="A2889" s="91"/>
      <c r="B2889" s="70"/>
      <c r="C2889" s="70"/>
      <c r="D2889" s="70"/>
      <c r="E2889" s="70"/>
      <c r="F2889" s="70"/>
      <c r="G2889" s="70"/>
      <c r="H2889" s="131"/>
      <c r="I2889" s="3"/>
    </row>
    <row r="2890" spans="1:9" s="93" customFormat="1" ht="9" customHeight="1" x14ac:dyDescent="0.3">
      <c r="A2890" s="91"/>
      <c r="B2890" s="70"/>
      <c r="C2890" s="70"/>
      <c r="D2890" s="70"/>
      <c r="E2890" s="70"/>
      <c r="F2890" s="70"/>
      <c r="G2890" s="70"/>
      <c r="H2890" s="131"/>
      <c r="I2890" s="3"/>
    </row>
    <row r="2891" spans="1:9" s="93" customFormat="1" ht="9" customHeight="1" x14ac:dyDescent="0.3">
      <c r="A2891" s="91"/>
      <c r="B2891" s="70"/>
      <c r="C2891" s="70"/>
      <c r="D2891" s="70"/>
      <c r="E2891" s="70"/>
      <c r="F2891" s="70"/>
      <c r="G2891" s="70"/>
      <c r="H2891" s="131"/>
      <c r="I2891" s="3"/>
    </row>
    <row r="2892" spans="1:9" s="93" customFormat="1" ht="9" customHeight="1" x14ac:dyDescent="0.3">
      <c r="A2892" s="91"/>
      <c r="B2892" s="70"/>
      <c r="C2892" s="70"/>
      <c r="D2892" s="70"/>
      <c r="E2892" s="70"/>
      <c r="F2892" s="70"/>
      <c r="G2892" s="70"/>
      <c r="H2892" s="131"/>
      <c r="I2892" s="3"/>
    </row>
    <row r="2893" spans="1:9" s="93" customFormat="1" ht="9" customHeight="1" x14ac:dyDescent="0.3">
      <c r="A2893" s="91"/>
      <c r="B2893" s="70"/>
      <c r="C2893" s="70"/>
      <c r="D2893" s="70"/>
      <c r="E2893" s="70"/>
      <c r="F2893" s="70"/>
      <c r="G2893" s="70"/>
      <c r="H2893" s="131"/>
      <c r="I2893" s="3"/>
    </row>
    <row r="2894" spans="1:9" s="93" customFormat="1" ht="9" customHeight="1" x14ac:dyDescent="0.3">
      <c r="A2894" s="91"/>
      <c r="B2894" s="70"/>
      <c r="C2894" s="70"/>
      <c r="D2894" s="70"/>
      <c r="E2894" s="70"/>
      <c r="F2894" s="70"/>
      <c r="G2894" s="70"/>
      <c r="H2894" s="131"/>
      <c r="I2894" s="3"/>
    </row>
    <row r="2895" spans="1:9" s="93" customFormat="1" ht="9" customHeight="1" x14ac:dyDescent="0.3">
      <c r="A2895" s="91"/>
      <c r="B2895" s="70"/>
      <c r="C2895" s="70"/>
      <c r="D2895" s="70"/>
      <c r="E2895" s="70"/>
      <c r="F2895" s="70"/>
      <c r="G2895" s="70"/>
      <c r="H2895" s="131"/>
      <c r="I2895" s="3"/>
    </row>
    <row r="2896" spans="1:9" s="93" customFormat="1" ht="9" customHeight="1" x14ac:dyDescent="0.3">
      <c r="A2896" s="91"/>
      <c r="B2896" s="70"/>
      <c r="C2896" s="70"/>
      <c r="D2896" s="70"/>
      <c r="E2896" s="70"/>
      <c r="F2896" s="70"/>
      <c r="G2896" s="70"/>
      <c r="H2896" s="131"/>
      <c r="I2896" s="3"/>
    </row>
    <row r="2897" spans="1:9" s="93" customFormat="1" ht="9" customHeight="1" x14ac:dyDescent="0.3">
      <c r="A2897" s="91"/>
      <c r="B2897" s="70"/>
      <c r="C2897" s="70"/>
      <c r="D2897" s="70"/>
      <c r="E2897" s="70"/>
      <c r="F2897" s="70"/>
      <c r="G2897" s="70"/>
      <c r="H2897" s="131"/>
      <c r="I2897" s="3"/>
    </row>
    <row r="2898" spans="1:9" s="93" customFormat="1" ht="9" customHeight="1" x14ac:dyDescent="0.3">
      <c r="A2898" s="91"/>
      <c r="B2898" s="70"/>
      <c r="C2898" s="70"/>
      <c r="D2898" s="70"/>
      <c r="E2898" s="70"/>
      <c r="F2898" s="70"/>
      <c r="G2898" s="70"/>
      <c r="H2898" s="131"/>
      <c r="I2898" s="3"/>
    </row>
    <row r="2899" spans="1:9" s="93" customFormat="1" ht="9" customHeight="1" x14ac:dyDescent="0.3">
      <c r="A2899" s="91"/>
      <c r="B2899" s="70"/>
      <c r="C2899" s="70"/>
      <c r="D2899" s="70"/>
      <c r="E2899" s="70"/>
      <c r="F2899" s="70"/>
      <c r="G2899" s="70"/>
      <c r="H2899" s="131"/>
      <c r="I2899" s="3"/>
    </row>
    <row r="2900" spans="1:9" s="93" customFormat="1" ht="9" customHeight="1" x14ac:dyDescent="0.3">
      <c r="A2900" s="91"/>
      <c r="B2900" s="70"/>
      <c r="C2900" s="70"/>
      <c r="D2900" s="70"/>
      <c r="E2900" s="70"/>
      <c r="F2900" s="70"/>
      <c r="G2900" s="70"/>
      <c r="H2900" s="131"/>
      <c r="I2900" s="3"/>
    </row>
    <row r="2901" spans="1:9" s="93" customFormat="1" ht="9" customHeight="1" x14ac:dyDescent="0.3">
      <c r="A2901" s="91"/>
      <c r="B2901" s="70"/>
      <c r="C2901" s="70"/>
      <c r="D2901" s="70"/>
      <c r="E2901" s="70"/>
      <c r="F2901" s="70"/>
      <c r="G2901" s="70"/>
      <c r="H2901" s="131"/>
      <c r="I2901" s="3"/>
    </row>
    <row r="2902" spans="1:9" s="93" customFormat="1" ht="9" customHeight="1" x14ac:dyDescent="0.3">
      <c r="A2902" s="91"/>
      <c r="B2902" s="70"/>
      <c r="C2902" s="70"/>
      <c r="D2902" s="70"/>
      <c r="E2902" s="70"/>
      <c r="F2902" s="70"/>
      <c r="G2902" s="70"/>
      <c r="H2902" s="131"/>
      <c r="I2902" s="3"/>
    </row>
    <row r="2903" spans="1:9" s="93" customFormat="1" ht="9" customHeight="1" x14ac:dyDescent="0.3">
      <c r="A2903" s="91"/>
      <c r="B2903" s="70"/>
      <c r="C2903" s="70"/>
      <c r="D2903" s="70"/>
      <c r="E2903" s="70"/>
      <c r="F2903" s="70"/>
      <c r="G2903" s="70"/>
      <c r="H2903" s="131"/>
      <c r="I2903" s="3"/>
    </row>
    <row r="2904" spans="1:9" s="93" customFormat="1" ht="9" customHeight="1" x14ac:dyDescent="0.3">
      <c r="A2904" s="91"/>
      <c r="B2904" s="70"/>
      <c r="C2904" s="70"/>
      <c r="D2904" s="70"/>
      <c r="E2904" s="70"/>
      <c r="F2904" s="70"/>
      <c r="G2904" s="70"/>
      <c r="H2904" s="131"/>
      <c r="I2904" s="3"/>
    </row>
    <row r="2905" spans="1:9" s="93" customFormat="1" ht="9" customHeight="1" x14ac:dyDescent="0.3">
      <c r="A2905" s="91"/>
      <c r="B2905" s="70"/>
      <c r="C2905" s="70"/>
      <c r="D2905" s="70"/>
      <c r="E2905" s="70"/>
      <c r="F2905" s="70"/>
      <c r="G2905" s="70"/>
      <c r="H2905" s="131"/>
      <c r="I2905" s="3"/>
    </row>
    <row r="2906" spans="1:9" s="93" customFormat="1" ht="9" customHeight="1" x14ac:dyDescent="0.3">
      <c r="A2906" s="91"/>
      <c r="B2906" s="70"/>
      <c r="C2906" s="70"/>
      <c r="D2906" s="70"/>
      <c r="E2906" s="70"/>
      <c r="F2906" s="70"/>
      <c r="G2906" s="70"/>
      <c r="H2906" s="131"/>
      <c r="I2906" s="3"/>
    </row>
    <row r="2907" spans="1:9" s="93" customFormat="1" ht="9" customHeight="1" x14ac:dyDescent="0.3">
      <c r="A2907" s="91"/>
      <c r="B2907" s="70"/>
      <c r="C2907" s="70"/>
      <c r="D2907" s="70"/>
      <c r="E2907" s="70"/>
      <c r="F2907" s="70"/>
      <c r="G2907" s="70"/>
      <c r="H2907" s="131"/>
      <c r="I2907" s="3"/>
    </row>
    <row r="2908" spans="1:9" s="93" customFormat="1" ht="9" customHeight="1" x14ac:dyDescent="0.3">
      <c r="A2908" s="91"/>
      <c r="B2908" s="70"/>
      <c r="C2908" s="70"/>
      <c r="D2908" s="70"/>
      <c r="E2908" s="70"/>
      <c r="F2908" s="70"/>
      <c r="G2908" s="70"/>
      <c r="H2908" s="131"/>
      <c r="I2908" s="3"/>
    </row>
    <row r="2909" spans="1:9" s="93" customFormat="1" ht="9" customHeight="1" x14ac:dyDescent="0.3">
      <c r="A2909" s="91"/>
      <c r="B2909" s="70"/>
      <c r="C2909" s="70"/>
      <c r="D2909" s="70"/>
      <c r="E2909" s="70"/>
      <c r="F2909" s="70"/>
      <c r="G2909" s="70"/>
      <c r="H2909" s="131"/>
      <c r="I2909" s="3"/>
    </row>
    <row r="2910" spans="1:9" s="93" customFormat="1" ht="9" customHeight="1" x14ac:dyDescent="0.3">
      <c r="A2910" s="91"/>
      <c r="B2910" s="70"/>
      <c r="C2910" s="70"/>
      <c r="D2910" s="70"/>
      <c r="E2910" s="70"/>
      <c r="F2910" s="70"/>
      <c r="G2910" s="70"/>
      <c r="H2910" s="131"/>
      <c r="I2910" s="3"/>
    </row>
    <row r="2911" spans="1:9" s="93" customFormat="1" ht="9" customHeight="1" x14ac:dyDescent="0.3">
      <c r="A2911" s="91"/>
      <c r="B2911" s="70"/>
      <c r="C2911" s="70"/>
      <c r="D2911" s="70"/>
      <c r="E2911" s="70"/>
      <c r="F2911" s="70"/>
      <c r="G2911" s="70"/>
      <c r="H2911" s="131"/>
      <c r="I2911" s="3"/>
    </row>
    <row r="2912" spans="1:9" s="93" customFormat="1" ht="9" customHeight="1" x14ac:dyDescent="0.3">
      <c r="A2912" s="91"/>
      <c r="B2912" s="70"/>
      <c r="C2912" s="70"/>
      <c r="D2912" s="70"/>
      <c r="E2912" s="70"/>
      <c r="F2912" s="70"/>
      <c r="G2912" s="70"/>
      <c r="H2912" s="131"/>
      <c r="I2912" s="3"/>
    </row>
    <row r="2913" spans="1:9" s="93" customFormat="1" ht="9" customHeight="1" x14ac:dyDescent="0.3">
      <c r="A2913" s="91"/>
      <c r="B2913" s="70"/>
      <c r="C2913" s="70"/>
      <c r="D2913" s="70"/>
      <c r="E2913" s="70"/>
      <c r="F2913" s="70"/>
      <c r="G2913" s="70"/>
      <c r="H2913" s="131"/>
      <c r="I2913" s="3"/>
    </row>
    <row r="2914" spans="1:9" s="93" customFormat="1" ht="9" customHeight="1" x14ac:dyDescent="0.3">
      <c r="A2914" s="91"/>
      <c r="B2914" s="70"/>
      <c r="C2914" s="70"/>
      <c r="D2914" s="70"/>
      <c r="E2914" s="70"/>
      <c r="F2914" s="70"/>
      <c r="G2914" s="70"/>
      <c r="H2914" s="131"/>
      <c r="I2914" s="3"/>
    </row>
    <row r="2915" spans="1:9" s="93" customFormat="1" ht="9" customHeight="1" x14ac:dyDescent="0.3">
      <c r="A2915" s="91"/>
      <c r="B2915" s="70"/>
      <c r="C2915" s="70"/>
      <c r="D2915" s="70"/>
      <c r="E2915" s="70"/>
      <c r="F2915" s="70"/>
      <c r="G2915" s="70"/>
      <c r="H2915" s="131"/>
      <c r="I2915" s="3"/>
    </row>
    <row r="2916" spans="1:9" s="93" customFormat="1" ht="9" customHeight="1" x14ac:dyDescent="0.3">
      <c r="A2916" s="91"/>
      <c r="B2916" s="70"/>
      <c r="C2916" s="70"/>
      <c r="D2916" s="70"/>
      <c r="E2916" s="70"/>
      <c r="F2916" s="70"/>
      <c r="G2916" s="70"/>
      <c r="H2916" s="131"/>
      <c r="I2916" s="3"/>
    </row>
    <row r="2917" spans="1:9" s="93" customFormat="1" ht="9" customHeight="1" x14ac:dyDescent="0.3">
      <c r="A2917" s="91"/>
      <c r="B2917" s="70"/>
      <c r="C2917" s="70"/>
      <c r="D2917" s="70"/>
      <c r="E2917" s="70"/>
      <c r="F2917" s="70"/>
      <c r="G2917" s="70"/>
      <c r="H2917" s="131"/>
      <c r="I2917" s="3"/>
    </row>
    <row r="2918" spans="1:9" s="93" customFormat="1" ht="9" customHeight="1" x14ac:dyDescent="0.3">
      <c r="A2918" s="91"/>
      <c r="B2918" s="70"/>
      <c r="C2918" s="70"/>
      <c r="D2918" s="70"/>
      <c r="E2918" s="70"/>
      <c r="F2918" s="70"/>
      <c r="G2918" s="70"/>
      <c r="H2918" s="131"/>
      <c r="I2918" s="3"/>
    </row>
    <row r="2919" spans="1:9" s="93" customFormat="1" ht="9" customHeight="1" x14ac:dyDescent="0.3">
      <c r="A2919" s="91"/>
      <c r="B2919" s="70"/>
      <c r="C2919" s="70"/>
      <c r="D2919" s="70"/>
      <c r="E2919" s="70"/>
      <c r="F2919" s="70"/>
      <c r="G2919" s="70"/>
      <c r="H2919" s="131"/>
      <c r="I2919" s="3"/>
    </row>
    <row r="2920" spans="1:9" s="93" customFormat="1" ht="9" customHeight="1" x14ac:dyDescent="0.3">
      <c r="A2920" s="91"/>
      <c r="B2920" s="70"/>
      <c r="C2920" s="70"/>
      <c r="D2920" s="70"/>
      <c r="E2920" s="70"/>
      <c r="F2920" s="70"/>
      <c r="G2920" s="70"/>
      <c r="H2920" s="131"/>
      <c r="I2920" s="3"/>
    </row>
    <row r="2921" spans="1:9" s="93" customFormat="1" ht="9" customHeight="1" x14ac:dyDescent="0.3">
      <c r="A2921" s="91"/>
      <c r="B2921" s="70"/>
      <c r="C2921" s="70"/>
      <c r="D2921" s="70"/>
      <c r="E2921" s="70"/>
      <c r="F2921" s="70"/>
      <c r="G2921" s="70"/>
      <c r="H2921" s="131"/>
      <c r="I2921" s="3"/>
    </row>
    <row r="2922" spans="1:9" s="93" customFormat="1" ht="9" customHeight="1" x14ac:dyDescent="0.3">
      <c r="A2922" s="91"/>
      <c r="B2922" s="70"/>
      <c r="C2922" s="70"/>
      <c r="D2922" s="70"/>
      <c r="E2922" s="70"/>
      <c r="F2922" s="70"/>
      <c r="G2922" s="70"/>
      <c r="H2922" s="131"/>
      <c r="I2922" s="3"/>
    </row>
    <row r="2923" spans="1:9" s="93" customFormat="1" ht="9" customHeight="1" x14ac:dyDescent="0.3">
      <c r="A2923" s="91"/>
      <c r="B2923" s="70"/>
      <c r="C2923" s="70"/>
      <c r="D2923" s="70"/>
      <c r="E2923" s="70"/>
      <c r="F2923" s="70"/>
      <c r="G2923" s="70"/>
      <c r="H2923" s="131"/>
      <c r="I2923" s="3"/>
    </row>
    <row r="2924" spans="1:9" s="93" customFormat="1" ht="9" customHeight="1" x14ac:dyDescent="0.3">
      <c r="A2924" s="91"/>
      <c r="B2924" s="70"/>
      <c r="C2924" s="70"/>
      <c r="D2924" s="70"/>
      <c r="E2924" s="70"/>
      <c r="F2924" s="70"/>
      <c r="G2924" s="70"/>
      <c r="H2924" s="131"/>
      <c r="I2924" s="3"/>
    </row>
    <row r="2925" spans="1:9" s="93" customFormat="1" ht="9" customHeight="1" x14ac:dyDescent="0.3">
      <c r="A2925" s="91"/>
      <c r="B2925" s="70"/>
      <c r="C2925" s="70"/>
      <c r="D2925" s="70"/>
      <c r="E2925" s="70"/>
      <c r="F2925" s="70"/>
      <c r="G2925" s="70"/>
      <c r="H2925" s="131"/>
      <c r="I2925" s="3"/>
    </row>
    <row r="2926" spans="1:9" s="93" customFormat="1" ht="9" customHeight="1" x14ac:dyDescent="0.3">
      <c r="A2926" s="91"/>
      <c r="B2926" s="70"/>
      <c r="C2926" s="70"/>
      <c r="D2926" s="70"/>
      <c r="E2926" s="70"/>
      <c r="F2926" s="70"/>
      <c r="G2926" s="70"/>
      <c r="H2926" s="131"/>
      <c r="I2926" s="3"/>
    </row>
    <row r="2927" spans="1:9" s="93" customFormat="1" ht="9" customHeight="1" x14ac:dyDescent="0.3">
      <c r="A2927" s="91"/>
      <c r="B2927" s="70"/>
      <c r="C2927" s="70"/>
      <c r="D2927" s="70"/>
      <c r="E2927" s="70"/>
      <c r="F2927" s="70"/>
      <c r="G2927" s="70"/>
      <c r="H2927" s="131"/>
      <c r="I2927" s="3"/>
    </row>
    <row r="2928" spans="1:9" s="93" customFormat="1" ht="9" customHeight="1" x14ac:dyDescent="0.3">
      <c r="A2928" s="91"/>
      <c r="B2928" s="70"/>
      <c r="C2928" s="70"/>
      <c r="D2928" s="70"/>
      <c r="E2928" s="70"/>
      <c r="F2928" s="70"/>
      <c r="G2928" s="70"/>
      <c r="H2928" s="131"/>
      <c r="I2928" s="3"/>
    </row>
    <row r="2929" spans="1:9" s="93" customFormat="1" ht="9" customHeight="1" x14ac:dyDescent="0.3">
      <c r="A2929" s="91"/>
      <c r="B2929" s="70"/>
      <c r="C2929" s="70"/>
      <c r="D2929" s="70"/>
      <c r="E2929" s="70"/>
      <c r="F2929" s="70"/>
      <c r="G2929" s="70"/>
      <c r="H2929" s="131"/>
      <c r="I2929" s="3"/>
    </row>
    <row r="2930" spans="1:9" s="93" customFormat="1" ht="9" customHeight="1" x14ac:dyDescent="0.3">
      <c r="A2930" s="91"/>
      <c r="B2930" s="70"/>
      <c r="C2930" s="70"/>
      <c r="D2930" s="70"/>
      <c r="E2930" s="70"/>
      <c r="F2930" s="70"/>
      <c r="G2930" s="70"/>
      <c r="H2930" s="131"/>
      <c r="I2930" s="3"/>
    </row>
    <row r="2931" spans="1:9" s="93" customFormat="1" ht="9" customHeight="1" x14ac:dyDescent="0.3">
      <c r="A2931" s="91"/>
      <c r="B2931" s="70"/>
      <c r="C2931" s="70"/>
      <c r="D2931" s="70"/>
      <c r="E2931" s="70"/>
      <c r="F2931" s="70"/>
      <c r="G2931" s="70"/>
      <c r="H2931" s="131"/>
      <c r="I2931" s="3"/>
    </row>
    <row r="2932" spans="1:9" s="93" customFormat="1" ht="9" customHeight="1" x14ac:dyDescent="0.3">
      <c r="A2932" s="91"/>
      <c r="B2932" s="70"/>
      <c r="C2932" s="70"/>
      <c r="D2932" s="70"/>
      <c r="E2932" s="70"/>
      <c r="F2932" s="70"/>
      <c r="G2932" s="70"/>
      <c r="H2932" s="131"/>
      <c r="I2932" s="3"/>
    </row>
    <row r="2933" spans="1:9" s="93" customFormat="1" ht="9" customHeight="1" x14ac:dyDescent="0.3">
      <c r="A2933" s="91"/>
      <c r="B2933" s="70"/>
      <c r="C2933" s="70"/>
      <c r="D2933" s="70"/>
      <c r="E2933" s="70"/>
      <c r="F2933" s="70"/>
      <c r="G2933" s="70"/>
      <c r="H2933" s="131"/>
      <c r="I2933" s="3"/>
    </row>
    <row r="2934" spans="1:9" s="93" customFormat="1" ht="9" customHeight="1" x14ac:dyDescent="0.3">
      <c r="A2934" s="91"/>
      <c r="B2934" s="70"/>
      <c r="C2934" s="70"/>
      <c r="D2934" s="70"/>
      <c r="E2934" s="70"/>
      <c r="F2934" s="70"/>
      <c r="G2934" s="70"/>
      <c r="H2934" s="131"/>
      <c r="I2934" s="3"/>
    </row>
    <row r="2935" spans="1:9" s="93" customFormat="1" ht="9" customHeight="1" x14ac:dyDescent="0.3">
      <c r="A2935" s="91"/>
      <c r="B2935" s="70"/>
      <c r="C2935" s="70"/>
      <c r="D2935" s="70"/>
      <c r="E2935" s="70"/>
      <c r="F2935" s="70"/>
      <c r="G2935" s="70"/>
      <c r="H2935" s="131"/>
      <c r="I2935" s="3"/>
    </row>
    <row r="2936" spans="1:9" s="93" customFormat="1" ht="9" customHeight="1" x14ac:dyDescent="0.3">
      <c r="A2936" s="91"/>
      <c r="B2936" s="70"/>
      <c r="C2936" s="70"/>
      <c r="D2936" s="70"/>
      <c r="E2936" s="70"/>
      <c r="F2936" s="70"/>
      <c r="G2936" s="70"/>
      <c r="H2936" s="131"/>
      <c r="I2936" s="3"/>
    </row>
    <row r="2937" spans="1:9" s="93" customFormat="1" ht="9" customHeight="1" x14ac:dyDescent="0.3">
      <c r="A2937" s="91"/>
      <c r="B2937" s="70"/>
      <c r="C2937" s="70"/>
      <c r="D2937" s="70"/>
      <c r="E2937" s="70"/>
      <c r="F2937" s="70"/>
      <c r="G2937" s="70"/>
      <c r="H2937" s="131"/>
      <c r="I2937" s="3"/>
    </row>
    <row r="2938" spans="1:9" s="93" customFormat="1" ht="9" customHeight="1" x14ac:dyDescent="0.3">
      <c r="A2938" s="91"/>
      <c r="B2938" s="70"/>
      <c r="C2938" s="70"/>
      <c r="D2938" s="70"/>
      <c r="E2938" s="70"/>
      <c r="F2938" s="70"/>
      <c r="G2938" s="70"/>
      <c r="H2938" s="131"/>
      <c r="I2938" s="3"/>
    </row>
    <row r="2939" spans="1:9" s="93" customFormat="1" ht="9" customHeight="1" x14ac:dyDescent="0.3">
      <c r="A2939" s="91"/>
      <c r="B2939" s="70"/>
      <c r="C2939" s="70"/>
      <c r="D2939" s="70"/>
      <c r="E2939" s="70"/>
      <c r="F2939" s="70"/>
      <c r="G2939" s="70"/>
      <c r="H2939" s="131"/>
      <c r="I2939" s="3"/>
    </row>
    <row r="2940" spans="1:9" s="93" customFormat="1" ht="9" customHeight="1" x14ac:dyDescent="0.3">
      <c r="A2940" s="91"/>
      <c r="B2940" s="70"/>
      <c r="C2940" s="70"/>
      <c r="D2940" s="70"/>
      <c r="E2940" s="70"/>
      <c r="F2940" s="70"/>
      <c r="G2940" s="70"/>
      <c r="H2940" s="131"/>
      <c r="I2940" s="3"/>
    </row>
    <row r="2941" spans="1:9" s="93" customFormat="1" ht="9" customHeight="1" x14ac:dyDescent="0.3">
      <c r="A2941" s="91"/>
      <c r="B2941" s="70"/>
      <c r="C2941" s="70"/>
      <c r="D2941" s="70"/>
      <c r="E2941" s="70"/>
      <c r="F2941" s="70"/>
      <c r="G2941" s="70"/>
      <c r="H2941" s="131"/>
      <c r="I2941" s="3"/>
    </row>
    <row r="2942" spans="1:9" s="93" customFormat="1" ht="9" customHeight="1" x14ac:dyDescent="0.3">
      <c r="A2942" s="91"/>
      <c r="B2942" s="70"/>
      <c r="C2942" s="70"/>
      <c r="D2942" s="70"/>
      <c r="E2942" s="70"/>
      <c r="F2942" s="70"/>
      <c r="G2942" s="70"/>
      <c r="H2942" s="131"/>
      <c r="I2942" s="3"/>
    </row>
    <row r="2943" spans="1:9" s="93" customFormat="1" ht="9" customHeight="1" x14ac:dyDescent="0.3">
      <c r="A2943" s="91"/>
      <c r="B2943" s="70"/>
      <c r="C2943" s="70"/>
      <c r="D2943" s="70"/>
      <c r="E2943" s="70"/>
      <c r="F2943" s="70"/>
      <c r="G2943" s="70"/>
      <c r="H2943" s="131"/>
      <c r="I2943" s="3"/>
    </row>
    <row r="2944" spans="1:9" s="93" customFormat="1" ht="9" customHeight="1" x14ac:dyDescent="0.3">
      <c r="A2944" s="91"/>
      <c r="B2944" s="70"/>
      <c r="C2944" s="70"/>
      <c r="D2944" s="70"/>
      <c r="E2944" s="70"/>
      <c r="F2944" s="70"/>
      <c r="G2944" s="70"/>
      <c r="H2944" s="131"/>
      <c r="I2944" s="3"/>
    </row>
    <row r="2945" spans="1:9" s="93" customFormat="1" ht="9" customHeight="1" x14ac:dyDescent="0.3">
      <c r="A2945" s="91"/>
      <c r="B2945" s="70"/>
      <c r="C2945" s="70"/>
      <c r="D2945" s="70"/>
      <c r="E2945" s="70"/>
      <c r="F2945" s="70"/>
      <c r="G2945" s="70"/>
      <c r="H2945" s="131"/>
      <c r="I2945" s="3"/>
    </row>
    <row r="2946" spans="1:9" s="93" customFormat="1" ht="9" customHeight="1" x14ac:dyDescent="0.3">
      <c r="A2946" s="91"/>
      <c r="B2946" s="70"/>
      <c r="C2946" s="70"/>
      <c r="D2946" s="70"/>
      <c r="E2946" s="70"/>
      <c r="F2946" s="70"/>
      <c r="G2946" s="70"/>
      <c r="H2946" s="131"/>
      <c r="I2946" s="3"/>
    </row>
    <row r="2947" spans="1:9" s="93" customFormat="1" ht="9" customHeight="1" x14ac:dyDescent="0.3">
      <c r="A2947" s="91"/>
      <c r="B2947" s="70"/>
      <c r="C2947" s="70"/>
      <c r="D2947" s="70"/>
      <c r="E2947" s="70"/>
      <c r="F2947" s="70"/>
      <c r="G2947" s="70"/>
      <c r="H2947" s="131"/>
      <c r="I2947" s="3"/>
    </row>
    <row r="2948" spans="1:9" s="93" customFormat="1" ht="9" customHeight="1" x14ac:dyDescent="0.3">
      <c r="A2948" s="91"/>
      <c r="B2948" s="70"/>
      <c r="C2948" s="70"/>
      <c r="D2948" s="70"/>
      <c r="E2948" s="70"/>
      <c r="F2948" s="70"/>
      <c r="G2948" s="70"/>
      <c r="H2948" s="131"/>
      <c r="I2948" s="3"/>
    </row>
    <row r="2949" spans="1:9" s="93" customFormat="1" ht="9" customHeight="1" x14ac:dyDescent="0.3">
      <c r="A2949" s="91"/>
      <c r="B2949" s="70"/>
      <c r="C2949" s="70"/>
      <c r="D2949" s="70"/>
      <c r="E2949" s="70"/>
      <c r="F2949" s="70"/>
      <c r="G2949" s="70"/>
      <c r="H2949" s="131"/>
      <c r="I2949" s="3"/>
    </row>
    <row r="2950" spans="1:9" s="93" customFormat="1" ht="9" customHeight="1" x14ac:dyDescent="0.3">
      <c r="A2950" s="91"/>
      <c r="B2950" s="70"/>
      <c r="C2950" s="70"/>
      <c r="D2950" s="70"/>
      <c r="E2950" s="70"/>
      <c r="F2950" s="70"/>
      <c r="G2950" s="70"/>
      <c r="H2950" s="131"/>
      <c r="I2950" s="3"/>
    </row>
    <row r="2951" spans="1:9" s="93" customFormat="1" ht="9" customHeight="1" x14ac:dyDescent="0.3">
      <c r="A2951" s="91"/>
      <c r="B2951" s="70"/>
      <c r="C2951" s="70"/>
      <c r="D2951" s="70"/>
      <c r="E2951" s="70"/>
      <c r="F2951" s="70"/>
      <c r="G2951" s="70"/>
      <c r="H2951" s="131"/>
      <c r="I2951" s="3"/>
    </row>
    <row r="2952" spans="1:9" s="93" customFormat="1" ht="9" customHeight="1" x14ac:dyDescent="0.3">
      <c r="A2952" s="91"/>
      <c r="B2952" s="70"/>
      <c r="C2952" s="70"/>
      <c r="D2952" s="70"/>
      <c r="E2952" s="70"/>
      <c r="F2952" s="70"/>
      <c r="G2952" s="70"/>
      <c r="H2952" s="131"/>
      <c r="I2952" s="3"/>
    </row>
    <row r="2953" spans="1:9" s="93" customFormat="1" ht="9" customHeight="1" x14ac:dyDescent="0.3">
      <c r="A2953" s="91"/>
      <c r="B2953" s="70"/>
      <c r="C2953" s="70"/>
      <c r="D2953" s="70"/>
      <c r="E2953" s="70"/>
      <c r="F2953" s="70"/>
      <c r="G2953" s="70"/>
      <c r="H2953" s="131"/>
      <c r="I2953" s="3"/>
    </row>
    <row r="2954" spans="1:9" s="93" customFormat="1" ht="9" customHeight="1" x14ac:dyDescent="0.3">
      <c r="A2954" s="91"/>
      <c r="B2954" s="70"/>
      <c r="C2954" s="70"/>
      <c r="D2954" s="70"/>
      <c r="E2954" s="70"/>
      <c r="F2954" s="70"/>
      <c r="G2954" s="70"/>
      <c r="H2954" s="131"/>
      <c r="I2954" s="3"/>
    </row>
    <row r="2955" spans="1:9" s="93" customFormat="1" ht="9" customHeight="1" x14ac:dyDescent="0.3">
      <c r="A2955" s="91"/>
      <c r="B2955" s="70"/>
      <c r="C2955" s="70"/>
      <c r="D2955" s="70"/>
      <c r="E2955" s="70"/>
      <c r="F2955" s="70"/>
      <c r="G2955" s="70"/>
      <c r="H2955" s="131"/>
      <c r="I2955" s="3"/>
    </row>
    <row r="2956" spans="1:9" s="93" customFormat="1" ht="9" customHeight="1" x14ac:dyDescent="0.3">
      <c r="A2956" s="91"/>
      <c r="B2956" s="70"/>
      <c r="C2956" s="70"/>
      <c r="D2956" s="70"/>
      <c r="E2956" s="70"/>
      <c r="F2956" s="70"/>
      <c r="G2956" s="70"/>
      <c r="H2956" s="131"/>
      <c r="I2956" s="3"/>
    </row>
    <row r="2957" spans="1:9" s="93" customFormat="1" ht="9" customHeight="1" x14ac:dyDescent="0.3">
      <c r="A2957" s="91"/>
      <c r="B2957" s="70"/>
      <c r="C2957" s="70"/>
      <c r="D2957" s="70"/>
      <c r="E2957" s="70"/>
      <c r="F2957" s="70"/>
      <c r="G2957" s="70"/>
      <c r="H2957" s="131"/>
      <c r="I2957" s="3"/>
    </row>
    <row r="2958" spans="1:9" s="93" customFormat="1" ht="9" customHeight="1" x14ac:dyDescent="0.3">
      <c r="A2958" s="91"/>
      <c r="B2958" s="70"/>
      <c r="C2958" s="70"/>
      <c r="D2958" s="70"/>
      <c r="E2958" s="70"/>
      <c r="F2958" s="70"/>
      <c r="G2958" s="70"/>
      <c r="H2958" s="131"/>
      <c r="I2958" s="3"/>
    </row>
    <row r="2959" spans="1:9" s="93" customFormat="1" ht="9" customHeight="1" x14ac:dyDescent="0.3">
      <c r="A2959" s="91"/>
      <c r="B2959" s="70"/>
      <c r="C2959" s="70"/>
      <c r="D2959" s="70"/>
      <c r="E2959" s="70"/>
      <c r="F2959" s="70"/>
      <c r="G2959" s="70"/>
      <c r="H2959" s="131"/>
      <c r="I2959" s="3"/>
    </row>
    <row r="2960" spans="1:9" s="93" customFormat="1" ht="9" customHeight="1" x14ac:dyDescent="0.3">
      <c r="A2960" s="91"/>
      <c r="B2960" s="70"/>
      <c r="C2960" s="70"/>
      <c r="D2960" s="70"/>
      <c r="E2960" s="70"/>
      <c r="F2960" s="70"/>
      <c r="G2960" s="70"/>
      <c r="H2960" s="131"/>
      <c r="I2960" s="3"/>
    </row>
    <row r="2961" spans="1:9" s="93" customFormat="1" ht="9" customHeight="1" x14ac:dyDescent="0.3">
      <c r="A2961" s="91"/>
      <c r="B2961" s="70"/>
      <c r="C2961" s="70"/>
      <c r="D2961" s="70"/>
      <c r="E2961" s="70"/>
      <c r="F2961" s="70"/>
      <c r="G2961" s="70"/>
      <c r="H2961" s="131"/>
      <c r="I2961" s="3"/>
    </row>
    <row r="2962" spans="1:9" s="93" customFormat="1" ht="9" customHeight="1" x14ac:dyDescent="0.3">
      <c r="A2962" s="91"/>
      <c r="B2962" s="70"/>
      <c r="C2962" s="70"/>
      <c r="D2962" s="70"/>
      <c r="E2962" s="70"/>
      <c r="F2962" s="70"/>
      <c r="G2962" s="70"/>
      <c r="H2962" s="131"/>
      <c r="I2962" s="3"/>
    </row>
    <row r="2963" spans="1:9" s="93" customFormat="1" ht="9" customHeight="1" x14ac:dyDescent="0.3">
      <c r="A2963" s="91"/>
      <c r="B2963" s="70"/>
      <c r="C2963" s="70"/>
      <c r="D2963" s="70"/>
      <c r="E2963" s="70"/>
      <c r="F2963" s="70"/>
      <c r="G2963" s="70"/>
      <c r="H2963" s="131"/>
      <c r="I2963" s="3"/>
    </row>
    <row r="2964" spans="1:9" s="93" customFormat="1" ht="9" customHeight="1" x14ac:dyDescent="0.3">
      <c r="A2964" s="91"/>
      <c r="B2964" s="70"/>
      <c r="C2964" s="70"/>
      <c r="D2964" s="70"/>
      <c r="E2964" s="70"/>
      <c r="F2964" s="70"/>
      <c r="G2964" s="70"/>
      <c r="H2964" s="131"/>
      <c r="I2964" s="3"/>
    </row>
    <row r="2965" spans="1:9" s="93" customFormat="1" ht="9" customHeight="1" x14ac:dyDescent="0.3">
      <c r="A2965" s="91"/>
      <c r="B2965" s="70"/>
      <c r="C2965" s="70"/>
      <c r="D2965" s="70"/>
      <c r="E2965" s="70"/>
      <c r="F2965" s="70"/>
      <c r="G2965" s="70"/>
      <c r="H2965" s="131"/>
      <c r="I2965" s="3"/>
    </row>
    <row r="2966" spans="1:9" s="93" customFormat="1" ht="9" customHeight="1" x14ac:dyDescent="0.3">
      <c r="A2966" s="91"/>
      <c r="B2966" s="70"/>
      <c r="C2966" s="70"/>
      <c r="D2966" s="70"/>
      <c r="E2966" s="70"/>
      <c r="F2966" s="70"/>
      <c r="G2966" s="70"/>
      <c r="H2966" s="131"/>
      <c r="I2966" s="3"/>
    </row>
    <row r="2967" spans="1:9" s="93" customFormat="1" ht="9" customHeight="1" x14ac:dyDescent="0.3">
      <c r="A2967" s="91"/>
      <c r="B2967" s="70"/>
      <c r="C2967" s="70"/>
      <c r="D2967" s="70"/>
      <c r="E2967" s="70"/>
      <c r="F2967" s="70"/>
      <c r="G2967" s="70"/>
      <c r="H2967" s="131"/>
      <c r="I2967" s="3"/>
    </row>
    <row r="2968" spans="1:9" s="93" customFormat="1" ht="9" customHeight="1" x14ac:dyDescent="0.3">
      <c r="A2968" s="91"/>
      <c r="B2968" s="70"/>
      <c r="C2968" s="70"/>
      <c r="D2968" s="70"/>
      <c r="E2968" s="70"/>
      <c r="F2968" s="70"/>
      <c r="G2968" s="70"/>
      <c r="H2968" s="131"/>
      <c r="I2968" s="3"/>
    </row>
    <row r="2969" spans="1:9" s="93" customFormat="1" ht="9" customHeight="1" x14ac:dyDescent="0.3">
      <c r="A2969" s="91"/>
      <c r="B2969" s="70"/>
      <c r="C2969" s="70"/>
      <c r="D2969" s="70"/>
      <c r="E2969" s="70"/>
      <c r="F2969" s="70"/>
      <c r="G2969" s="70"/>
      <c r="H2969" s="131"/>
      <c r="I2969" s="3"/>
    </row>
    <row r="2970" spans="1:9" s="93" customFormat="1" ht="9" customHeight="1" x14ac:dyDescent="0.3">
      <c r="A2970" s="91"/>
      <c r="B2970" s="70"/>
      <c r="C2970" s="70"/>
      <c r="D2970" s="70"/>
      <c r="E2970" s="70"/>
      <c r="F2970" s="70"/>
      <c r="G2970" s="70"/>
      <c r="H2970" s="131"/>
      <c r="I2970" s="3"/>
    </row>
    <row r="2971" spans="1:9" s="93" customFormat="1" ht="9" customHeight="1" x14ac:dyDescent="0.3">
      <c r="A2971" s="91"/>
      <c r="B2971" s="70"/>
      <c r="C2971" s="70"/>
      <c r="D2971" s="70"/>
      <c r="E2971" s="70"/>
      <c r="F2971" s="70"/>
      <c r="G2971" s="70"/>
      <c r="H2971" s="131"/>
      <c r="I2971" s="3"/>
    </row>
    <row r="2972" spans="1:9" s="93" customFormat="1" ht="9" customHeight="1" x14ac:dyDescent="0.3">
      <c r="A2972" s="91"/>
      <c r="B2972" s="70"/>
      <c r="C2972" s="70"/>
      <c r="D2972" s="70"/>
      <c r="E2972" s="70"/>
      <c r="F2972" s="70"/>
      <c r="G2972" s="70"/>
      <c r="H2972" s="131"/>
      <c r="I2972" s="3"/>
    </row>
    <row r="2973" spans="1:9" s="93" customFormat="1" ht="9" customHeight="1" x14ac:dyDescent="0.3">
      <c r="A2973" s="91"/>
      <c r="B2973" s="70"/>
      <c r="C2973" s="70"/>
      <c r="D2973" s="70"/>
      <c r="E2973" s="70"/>
      <c r="F2973" s="70"/>
      <c r="G2973" s="70"/>
      <c r="H2973" s="131"/>
      <c r="I2973" s="3"/>
    </row>
    <row r="2974" spans="1:9" s="93" customFormat="1" ht="9" customHeight="1" x14ac:dyDescent="0.3">
      <c r="A2974" s="91"/>
      <c r="B2974" s="70"/>
      <c r="C2974" s="70"/>
      <c r="D2974" s="70"/>
      <c r="E2974" s="70"/>
      <c r="F2974" s="70"/>
      <c r="G2974" s="70"/>
      <c r="H2974" s="131"/>
      <c r="I2974" s="3"/>
    </row>
    <row r="2975" spans="1:9" s="93" customFormat="1" ht="9" customHeight="1" x14ac:dyDescent="0.3">
      <c r="A2975" s="91"/>
      <c r="B2975" s="70"/>
      <c r="C2975" s="70"/>
      <c r="D2975" s="70"/>
      <c r="E2975" s="70"/>
      <c r="F2975" s="70"/>
      <c r="G2975" s="70"/>
      <c r="H2975" s="131"/>
      <c r="I2975" s="3"/>
    </row>
    <row r="2976" spans="1:9" s="93" customFormat="1" ht="9" customHeight="1" x14ac:dyDescent="0.3">
      <c r="A2976" s="91"/>
      <c r="B2976" s="70"/>
      <c r="C2976" s="70"/>
      <c r="D2976" s="70"/>
      <c r="E2976" s="70"/>
      <c r="F2976" s="70"/>
      <c r="G2976" s="70"/>
      <c r="H2976" s="131"/>
      <c r="I2976" s="3"/>
    </row>
    <row r="2977" spans="1:9" s="93" customFormat="1" ht="9" customHeight="1" x14ac:dyDescent="0.3">
      <c r="A2977" s="91"/>
      <c r="B2977" s="70"/>
      <c r="C2977" s="70"/>
      <c r="D2977" s="70"/>
      <c r="E2977" s="70"/>
      <c r="F2977" s="70"/>
      <c r="G2977" s="70"/>
      <c r="H2977" s="131"/>
      <c r="I2977" s="3"/>
    </row>
    <row r="2978" spans="1:9" s="93" customFormat="1" ht="9" customHeight="1" x14ac:dyDescent="0.3">
      <c r="A2978" s="91"/>
      <c r="B2978" s="70"/>
      <c r="C2978" s="70"/>
      <c r="D2978" s="70"/>
      <c r="E2978" s="70"/>
      <c r="F2978" s="70"/>
      <c r="G2978" s="70"/>
      <c r="H2978" s="131"/>
      <c r="I2978" s="3"/>
    </row>
    <row r="2979" spans="1:9" s="93" customFormat="1" ht="9" customHeight="1" x14ac:dyDescent="0.3">
      <c r="A2979" s="91"/>
      <c r="B2979" s="70"/>
      <c r="C2979" s="70"/>
      <c r="D2979" s="70"/>
      <c r="E2979" s="70"/>
      <c r="F2979" s="70"/>
      <c r="G2979" s="70"/>
      <c r="H2979" s="131"/>
      <c r="I2979" s="3"/>
    </row>
    <row r="2980" spans="1:9" s="93" customFormat="1" ht="9" customHeight="1" x14ac:dyDescent="0.3">
      <c r="A2980" s="91"/>
      <c r="B2980" s="70"/>
      <c r="C2980" s="70"/>
      <c r="D2980" s="70"/>
      <c r="E2980" s="70"/>
      <c r="F2980" s="70"/>
      <c r="G2980" s="70"/>
      <c r="H2980" s="131"/>
      <c r="I2980" s="3"/>
    </row>
    <row r="2981" spans="1:9" s="93" customFormat="1" ht="9" customHeight="1" x14ac:dyDescent="0.3">
      <c r="A2981" s="91"/>
      <c r="B2981" s="70"/>
      <c r="C2981" s="70"/>
      <c r="D2981" s="70"/>
      <c r="E2981" s="70"/>
      <c r="F2981" s="70"/>
      <c r="G2981" s="70"/>
      <c r="H2981" s="131"/>
      <c r="I2981" s="3"/>
    </row>
    <row r="2982" spans="1:9" s="93" customFormat="1" ht="9" customHeight="1" x14ac:dyDescent="0.3">
      <c r="A2982" s="91"/>
      <c r="B2982" s="70"/>
      <c r="C2982" s="70"/>
      <c r="D2982" s="70"/>
      <c r="E2982" s="70"/>
      <c r="F2982" s="70"/>
      <c r="G2982" s="70"/>
      <c r="H2982" s="131"/>
      <c r="I2982" s="3"/>
    </row>
    <row r="2983" spans="1:9" s="93" customFormat="1" ht="9" customHeight="1" x14ac:dyDescent="0.3">
      <c r="A2983" s="91"/>
      <c r="B2983" s="70"/>
      <c r="C2983" s="70"/>
      <c r="D2983" s="70"/>
      <c r="E2983" s="70"/>
      <c r="F2983" s="70"/>
      <c r="G2983" s="70"/>
      <c r="H2983" s="131"/>
      <c r="I2983" s="3"/>
    </row>
    <row r="2984" spans="1:9" s="93" customFormat="1" ht="9" customHeight="1" x14ac:dyDescent="0.3">
      <c r="A2984" s="91"/>
      <c r="B2984" s="70"/>
      <c r="C2984" s="70"/>
      <c r="D2984" s="70"/>
      <c r="E2984" s="70"/>
      <c r="F2984" s="70"/>
      <c r="G2984" s="70"/>
      <c r="H2984" s="131"/>
      <c r="I2984" s="3"/>
    </row>
    <row r="2985" spans="1:9" s="93" customFormat="1" ht="9" customHeight="1" x14ac:dyDescent="0.3">
      <c r="A2985" s="91"/>
      <c r="B2985" s="70"/>
      <c r="C2985" s="70"/>
      <c r="D2985" s="70"/>
      <c r="E2985" s="70"/>
      <c r="F2985" s="70"/>
      <c r="G2985" s="70"/>
      <c r="H2985" s="131"/>
      <c r="I2985" s="3"/>
    </row>
    <row r="2986" spans="1:9" s="93" customFormat="1" ht="9" customHeight="1" x14ac:dyDescent="0.3">
      <c r="A2986" s="91"/>
      <c r="B2986" s="70"/>
      <c r="C2986" s="70"/>
      <c r="D2986" s="70"/>
      <c r="E2986" s="70"/>
      <c r="F2986" s="70"/>
      <c r="G2986" s="70"/>
      <c r="H2986" s="131"/>
      <c r="I2986" s="3"/>
    </row>
    <row r="2987" spans="1:9" s="93" customFormat="1" ht="9" customHeight="1" x14ac:dyDescent="0.3">
      <c r="A2987" s="91"/>
      <c r="B2987" s="70"/>
      <c r="C2987" s="70"/>
      <c r="D2987" s="70"/>
      <c r="E2987" s="70"/>
      <c r="F2987" s="70"/>
      <c r="G2987" s="70"/>
      <c r="H2987" s="131"/>
      <c r="I2987" s="3"/>
    </row>
    <row r="2988" spans="1:9" s="93" customFormat="1" ht="9" customHeight="1" x14ac:dyDescent="0.3">
      <c r="A2988" s="91"/>
      <c r="B2988" s="70"/>
      <c r="C2988" s="70"/>
      <c r="D2988" s="70"/>
      <c r="E2988" s="70"/>
      <c r="F2988" s="70"/>
      <c r="G2988" s="70"/>
      <c r="H2988" s="131"/>
      <c r="I2988" s="3"/>
    </row>
    <row r="2989" spans="1:9" s="93" customFormat="1" ht="9" customHeight="1" x14ac:dyDescent="0.3">
      <c r="A2989" s="91"/>
      <c r="B2989" s="70"/>
      <c r="C2989" s="70"/>
      <c r="D2989" s="70"/>
      <c r="E2989" s="70"/>
      <c r="F2989" s="70"/>
      <c r="G2989" s="70"/>
      <c r="H2989" s="131"/>
      <c r="I2989" s="3"/>
    </row>
    <row r="2990" spans="1:9" s="93" customFormat="1" ht="9" customHeight="1" x14ac:dyDescent="0.3">
      <c r="A2990" s="91"/>
      <c r="B2990" s="70"/>
      <c r="C2990" s="70"/>
      <c r="D2990" s="70"/>
      <c r="E2990" s="70"/>
      <c r="F2990" s="70"/>
      <c r="G2990" s="70"/>
      <c r="H2990" s="131"/>
      <c r="I2990" s="3"/>
    </row>
    <row r="2991" spans="1:9" s="93" customFormat="1" ht="9" customHeight="1" x14ac:dyDescent="0.3">
      <c r="A2991" s="91"/>
      <c r="B2991" s="70"/>
      <c r="C2991" s="70"/>
      <c r="D2991" s="70"/>
      <c r="E2991" s="70"/>
      <c r="F2991" s="70"/>
      <c r="G2991" s="70"/>
      <c r="H2991" s="131"/>
      <c r="I2991" s="3"/>
    </row>
    <row r="2992" spans="1:9" s="93" customFormat="1" ht="9" customHeight="1" x14ac:dyDescent="0.3">
      <c r="A2992" s="91"/>
      <c r="B2992" s="70"/>
      <c r="C2992" s="70"/>
      <c r="D2992" s="70"/>
      <c r="E2992" s="70"/>
      <c r="F2992" s="70"/>
      <c r="G2992" s="70"/>
      <c r="H2992" s="131"/>
      <c r="I2992" s="3"/>
    </row>
    <row r="2993" spans="1:9" s="93" customFormat="1" ht="9" customHeight="1" x14ac:dyDescent="0.3">
      <c r="A2993" s="91"/>
      <c r="B2993" s="70"/>
      <c r="C2993" s="70"/>
      <c r="D2993" s="70"/>
      <c r="E2993" s="70"/>
      <c r="F2993" s="70"/>
      <c r="G2993" s="70"/>
      <c r="H2993" s="131"/>
      <c r="I2993" s="3"/>
    </row>
    <row r="2994" spans="1:9" s="93" customFormat="1" ht="9" customHeight="1" x14ac:dyDescent="0.3">
      <c r="A2994" s="91"/>
      <c r="B2994" s="70"/>
      <c r="C2994" s="70"/>
      <c r="D2994" s="70"/>
      <c r="E2994" s="70"/>
      <c r="F2994" s="70"/>
      <c r="G2994" s="70"/>
      <c r="H2994" s="131"/>
      <c r="I2994" s="3"/>
    </row>
    <row r="2995" spans="1:9" s="93" customFormat="1" ht="9" customHeight="1" x14ac:dyDescent="0.3">
      <c r="A2995" s="91"/>
      <c r="B2995" s="70"/>
      <c r="C2995" s="70"/>
      <c r="D2995" s="70"/>
      <c r="E2995" s="70"/>
      <c r="F2995" s="70"/>
      <c r="G2995" s="70"/>
      <c r="H2995" s="131"/>
      <c r="I2995" s="3"/>
    </row>
    <row r="2996" spans="1:9" s="93" customFormat="1" ht="9" customHeight="1" x14ac:dyDescent="0.3">
      <c r="A2996" s="91"/>
      <c r="B2996" s="70"/>
      <c r="C2996" s="70"/>
      <c r="D2996" s="70"/>
      <c r="E2996" s="70"/>
      <c r="F2996" s="70"/>
      <c r="G2996" s="70"/>
      <c r="H2996" s="131"/>
      <c r="I2996" s="3"/>
    </row>
    <row r="2997" spans="1:9" s="93" customFormat="1" ht="9" customHeight="1" x14ac:dyDescent="0.3">
      <c r="A2997" s="91"/>
      <c r="B2997" s="70"/>
      <c r="C2997" s="70"/>
      <c r="D2997" s="70"/>
      <c r="E2997" s="70"/>
      <c r="F2997" s="70"/>
      <c r="G2997" s="70"/>
      <c r="H2997" s="131"/>
      <c r="I2997" s="3"/>
    </row>
    <row r="2998" spans="1:9" s="93" customFormat="1" ht="9" customHeight="1" x14ac:dyDescent="0.3">
      <c r="A2998" s="91"/>
      <c r="B2998" s="70"/>
      <c r="C2998" s="70"/>
      <c r="D2998" s="70"/>
      <c r="E2998" s="70"/>
      <c r="F2998" s="70"/>
      <c r="G2998" s="70"/>
      <c r="H2998" s="131"/>
      <c r="I2998" s="3"/>
    </row>
    <row r="2999" spans="1:9" s="93" customFormat="1" ht="9" customHeight="1" x14ac:dyDescent="0.3">
      <c r="A2999" s="91"/>
      <c r="B2999" s="70"/>
      <c r="C2999" s="70"/>
      <c r="D2999" s="70"/>
      <c r="E2999" s="70"/>
      <c r="F2999" s="70"/>
      <c r="G2999" s="70"/>
      <c r="H2999" s="131"/>
      <c r="I2999" s="3"/>
    </row>
    <row r="3000" spans="1:9" s="93" customFormat="1" ht="9" customHeight="1" x14ac:dyDescent="0.3">
      <c r="A3000" s="91"/>
      <c r="B3000" s="70"/>
      <c r="C3000" s="70"/>
      <c r="D3000" s="70"/>
      <c r="E3000" s="70"/>
      <c r="F3000" s="70"/>
      <c r="G3000" s="70"/>
      <c r="H3000" s="131"/>
      <c r="I3000" s="3"/>
    </row>
    <row r="3001" spans="1:9" s="93" customFormat="1" ht="9" customHeight="1" x14ac:dyDescent="0.3">
      <c r="A3001" s="91"/>
      <c r="B3001" s="70"/>
      <c r="C3001" s="70"/>
      <c r="D3001" s="70"/>
      <c r="E3001" s="70"/>
      <c r="F3001" s="70"/>
      <c r="G3001" s="70"/>
      <c r="H3001" s="131"/>
      <c r="I3001" s="3"/>
    </row>
    <row r="3002" spans="1:9" s="93" customFormat="1" ht="9" customHeight="1" x14ac:dyDescent="0.3">
      <c r="A3002" s="91"/>
      <c r="B3002" s="70"/>
      <c r="C3002" s="70"/>
      <c r="D3002" s="70"/>
      <c r="E3002" s="70"/>
      <c r="F3002" s="70"/>
      <c r="G3002" s="70"/>
      <c r="H3002" s="131"/>
      <c r="I3002" s="3"/>
    </row>
    <row r="3003" spans="1:9" s="93" customFormat="1" ht="9" customHeight="1" x14ac:dyDescent="0.3">
      <c r="A3003" s="91"/>
      <c r="B3003" s="70"/>
      <c r="C3003" s="70"/>
      <c r="D3003" s="70"/>
      <c r="E3003" s="70"/>
      <c r="F3003" s="70"/>
      <c r="G3003" s="70"/>
      <c r="H3003" s="131"/>
      <c r="I3003" s="3"/>
    </row>
    <row r="3004" spans="1:9" s="93" customFormat="1" ht="9" customHeight="1" x14ac:dyDescent="0.3">
      <c r="A3004" s="91"/>
      <c r="B3004" s="70"/>
      <c r="C3004" s="70"/>
      <c r="D3004" s="70"/>
      <c r="E3004" s="70"/>
      <c r="F3004" s="70"/>
      <c r="G3004" s="70"/>
      <c r="H3004" s="131"/>
      <c r="I3004" s="3"/>
    </row>
    <row r="3005" spans="1:9" s="93" customFormat="1" ht="9" customHeight="1" x14ac:dyDescent="0.3">
      <c r="A3005" s="91"/>
      <c r="B3005" s="70"/>
      <c r="C3005" s="70"/>
      <c r="D3005" s="70"/>
      <c r="E3005" s="70"/>
      <c r="F3005" s="70"/>
      <c r="G3005" s="70"/>
      <c r="H3005" s="131"/>
      <c r="I3005" s="3"/>
    </row>
    <row r="3006" spans="1:9" s="93" customFormat="1" ht="9" customHeight="1" x14ac:dyDescent="0.3">
      <c r="A3006" s="91"/>
      <c r="B3006" s="70"/>
      <c r="C3006" s="70"/>
      <c r="D3006" s="70"/>
      <c r="E3006" s="70"/>
      <c r="F3006" s="70"/>
      <c r="G3006" s="70"/>
      <c r="H3006" s="131"/>
      <c r="I3006" s="3"/>
    </row>
    <row r="3007" spans="1:9" s="93" customFormat="1" ht="9" customHeight="1" x14ac:dyDescent="0.3">
      <c r="A3007" s="91"/>
      <c r="B3007" s="70"/>
      <c r="C3007" s="70"/>
      <c r="D3007" s="70"/>
      <c r="E3007" s="70"/>
      <c r="F3007" s="70"/>
      <c r="G3007" s="70"/>
      <c r="H3007" s="131"/>
      <c r="I3007" s="3"/>
    </row>
    <row r="3008" spans="1:9" s="93" customFormat="1" ht="9" customHeight="1" x14ac:dyDescent="0.3">
      <c r="A3008" s="91"/>
      <c r="B3008" s="70"/>
      <c r="C3008" s="70"/>
      <c r="D3008" s="70"/>
      <c r="E3008" s="70"/>
      <c r="F3008" s="70"/>
      <c r="G3008" s="70"/>
      <c r="H3008" s="131"/>
      <c r="I3008" s="3"/>
    </row>
    <row r="3009" spans="1:9" s="93" customFormat="1" ht="9" customHeight="1" x14ac:dyDescent="0.3">
      <c r="A3009" s="91"/>
      <c r="B3009" s="70"/>
      <c r="C3009" s="70"/>
      <c r="D3009" s="70"/>
      <c r="E3009" s="70"/>
      <c r="F3009" s="70"/>
      <c r="G3009" s="70"/>
      <c r="H3009" s="131"/>
      <c r="I3009" s="3"/>
    </row>
    <row r="3010" spans="1:9" s="93" customFormat="1" ht="9" customHeight="1" x14ac:dyDescent="0.3">
      <c r="A3010" s="91"/>
      <c r="B3010" s="70"/>
      <c r="C3010" s="70"/>
      <c r="D3010" s="70"/>
      <c r="E3010" s="70"/>
      <c r="F3010" s="70"/>
      <c r="G3010" s="70"/>
      <c r="H3010" s="131"/>
      <c r="I3010" s="3"/>
    </row>
    <row r="3011" spans="1:9" s="93" customFormat="1" ht="9" customHeight="1" x14ac:dyDescent="0.3">
      <c r="A3011" s="91"/>
      <c r="B3011" s="70"/>
      <c r="C3011" s="70"/>
      <c r="D3011" s="70"/>
      <c r="E3011" s="70"/>
      <c r="F3011" s="70"/>
      <c r="G3011" s="70"/>
      <c r="H3011" s="131"/>
      <c r="I3011" s="3"/>
    </row>
    <row r="3012" spans="1:9" s="93" customFormat="1" ht="9" customHeight="1" x14ac:dyDescent="0.3">
      <c r="A3012" s="91"/>
      <c r="B3012" s="70"/>
      <c r="C3012" s="70"/>
      <c r="D3012" s="70"/>
      <c r="E3012" s="70"/>
      <c r="F3012" s="70"/>
      <c r="G3012" s="70"/>
      <c r="H3012" s="131"/>
      <c r="I3012" s="3"/>
    </row>
    <row r="3013" spans="1:9" s="93" customFormat="1" ht="9" customHeight="1" x14ac:dyDescent="0.3">
      <c r="A3013" s="91"/>
      <c r="B3013" s="70"/>
      <c r="C3013" s="70"/>
      <c r="D3013" s="70"/>
      <c r="E3013" s="70"/>
      <c r="F3013" s="70"/>
      <c r="G3013" s="70"/>
      <c r="H3013" s="131"/>
      <c r="I3013" s="3"/>
    </row>
    <row r="3014" spans="1:9" s="93" customFormat="1" ht="9" customHeight="1" x14ac:dyDescent="0.3">
      <c r="A3014" s="91"/>
      <c r="B3014" s="70"/>
      <c r="C3014" s="70"/>
      <c r="D3014" s="70"/>
      <c r="E3014" s="70"/>
      <c r="F3014" s="70"/>
      <c r="G3014" s="70"/>
      <c r="H3014" s="131"/>
      <c r="I3014" s="3"/>
    </row>
    <row r="3015" spans="1:9" s="93" customFormat="1" ht="9" customHeight="1" x14ac:dyDescent="0.3">
      <c r="A3015" s="91"/>
      <c r="B3015" s="70"/>
      <c r="C3015" s="70"/>
      <c r="D3015" s="70"/>
      <c r="E3015" s="70"/>
      <c r="F3015" s="70"/>
      <c r="G3015" s="70"/>
      <c r="H3015" s="131"/>
      <c r="I3015" s="3"/>
    </row>
    <row r="3016" spans="1:9" s="93" customFormat="1" ht="9" customHeight="1" x14ac:dyDescent="0.3">
      <c r="A3016" s="91"/>
      <c r="B3016" s="70"/>
      <c r="C3016" s="70"/>
      <c r="D3016" s="70"/>
      <c r="E3016" s="70"/>
      <c r="F3016" s="70"/>
      <c r="G3016" s="70"/>
      <c r="H3016" s="131"/>
      <c r="I3016" s="3"/>
    </row>
    <row r="3017" spans="1:9" s="93" customFormat="1" ht="9" customHeight="1" x14ac:dyDescent="0.3">
      <c r="A3017" s="91"/>
      <c r="B3017" s="70"/>
      <c r="C3017" s="70"/>
      <c r="D3017" s="70"/>
      <c r="E3017" s="70"/>
      <c r="F3017" s="70"/>
      <c r="G3017" s="70"/>
      <c r="H3017" s="131"/>
      <c r="I3017" s="3"/>
    </row>
    <row r="3018" spans="1:9" s="93" customFormat="1" ht="9" customHeight="1" x14ac:dyDescent="0.3">
      <c r="A3018" s="91"/>
      <c r="B3018" s="70"/>
      <c r="C3018" s="70"/>
      <c r="D3018" s="70"/>
      <c r="E3018" s="70"/>
      <c r="F3018" s="70"/>
      <c r="G3018" s="70"/>
      <c r="H3018" s="131"/>
      <c r="I3018" s="3"/>
    </row>
    <row r="3019" spans="1:9" s="93" customFormat="1" ht="9" customHeight="1" x14ac:dyDescent="0.3">
      <c r="A3019" s="91"/>
      <c r="B3019" s="70"/>
      <c r="C3019" s="70"/>
      <c r="D3019" s="70"/>
      <c r="E3019" s="70"/>
      <c r="F3019" s="70"/>
      <c r="G3019" s="70"/>
      <c r="H3019" s="131"/>
      <c r="I3019" s="3"/>
    </row>
    <row r="3020" spans="1:9" s="93" customFormat="1" ht="9" customHeight="1" x14ac:dyDescent="0.3">
      <c r="A3020" s="91"/>
      <c r="B3020" s="70"/>
      <c r="C3020" s="70"/>
      <c r="D3020" s="70"/>
      <c r="E3020" s="70"/>
      <c r="F3020" s="70"/>
      <c r="G3020" s="70"/>
      <c r="H3020" s="131"/>
      <c r="I3020" s="3"/>
    </row>
    <row r="3021" spans="1:9" s="93" customFormat="1" ht="9" customHeight="1" x14ac:dyDescent="0.3">
      <c r="A3021" s="91"/>
      <c r="B3021" s="70"/>
      <c r="C3021" s="70"/>
      <c r="D3021" s="70"/>
      <c r="E3021" s="70"/>
      <c r="F3021" s="70"/>
      <c r="G3021" s="70"/>
      <c r="H3021" s="131"/>
      <c r="I3021" s="3"/>
    </row>
    <row r="3022" spans="1:9" s="93" customFormat="1" ht="9" customHeight="1" x14ac:dyDescent="0.3">
      <c r="A3022" s="91"/>
      <c r="B3022" s="70"/>
      <c r="C3022" s="70"/>
      <c r="D3022" s="70"/>
      <c r="E3022" s="70"/>
      <c r="F3022" s="70"/>
      <c r="G3022" s="70"/>
      <c r="H3022" s="131"/>
      <c r="I3022" s="3"/>
    </row>
    <row r="3023" spans="1:9" s="93" customFormat="1" ht="9" customHeight="1" x14ac:dyDescent="0.3">
      <c r="A3023" s="91"/>
      <c r="B3023" s="70"/>
      <c r="C3023" s="70"/>
      <c r="D3023" s="70"/>
      <c r="E3023" s="70"/>
      <c r="F3023" s="70"/>
      <c r="G3023" s="70"/>
      <c r="H3023" s="131"/>
      <c r="I3023" s="3"/>
    </row>
    <row r="3024" spans="1:9" s="93" customFormat="1" ht="9" customHeight="1" x14ac:dyDescent="0.3">
      <c r="A3024" s="91"/>
      <c r="B3024" s="70"/>
      <c r="C3024" s="70"/>
      <c r="D3024" s="70"/>
      <c r="E3024" s="70"/>
      <c r="F3024" s="70"/>
      <c r="G3024" s="70"/>
      <c r="H3024" s="131"/>
      <c r="I3024" s="3"/>
    </row>
    <row r="3025" spans="1:9" s="93" customFormat="1" ht="9" customHeight="1" x14ac:dyDescent="0.3">
      <c r="A3025" s="91"/>
      <c r="B3025" s="70"/>
      <c r="C3025" s="70"/>
      <c r="D3025" s="70"/>
      <c r="E3025" s="70"/>
      <c r="F3025" s="70"/>
      <c r="G3025" s="70"/>
      <c r="H3025" s="131"/>
      <c r="I3025" s="3"/>
    </row>
    <row r="3026" spans="1:9" s="93" customFormat="1" ht="9" customHeight="1" x14ac:dyDescent="0.3">
      <c r="A3026" s="91"/>
      <c r="B3026" s="70"/>
      <c r="C3026" s="70"/>
      <c r="D3026" s="70"/>
      <c r="E3026" s="70"/>
      <c r="F3026" s="70"/>
      <c r="G3026" s="70"/>
      <c r="H3026" s="131"/>
      <c r="I3026" s="3"/>
    </row>
    <row r="3027" spans="1:9" s="93" customFormat="1" ht="9" customHeight="1" x14ac:dyDescent="0.3">
      <c r="A3027" s="91"/>
      <c r="B3027" s="70"/>
      <c r="C3027" s="70"/>
      <c r="D3027" s="70"/>
      <c r="E3027" s="70"/>
      <c r="F3027" s="70"/>
      <c r="G3027" s="70"/>
      <c r="H3027" s="131"/>
      <c r="I3027" s="3"/>
    </row>
    <row r="3028" spans="1:9" s="93" customFormat="1" ht="9" customHeight="1" x14ac:dyDescent="0.3">
      <c r="A3028" s="91"/>
      <c r="B3028" s="70"/>
      <c r="C3028" s="70"/>
      <c r="D3028" s="70"/>
      <c r="E3028" s="70"/>
      <c r="F3028" s="70"/>
      <c r="G3028" s="70"/>
      <c r="H3028" s="131"/>
      <c r="I3028" s="3"/>
    </row>
    <row r="3029" spans="1:9" s="93" customFormat="1" ht="9" customHeight="1" x14ac:dyDescent="0.3">
      <c r="A3029" s="91"/>
      <c r="B3029" s="70"/>
      <c r="C3029" s="70"/>
      <c r="D3029" s="70"/>
      <c r="E3029" s="70"/>
      <c r="F3029" s="70"/>
      <c r="G3029" s="70"/>
      <c r="H3029" s="131"/>
      <c r="I3029" s="3"/>
    </row>
    <row r="3030" spans="1:9" s="93" customFormat="1" ht="9" customHeight="1" x14ac:dyDescent="0.3">
      <c r="A3030" s="91"/>
      <c r="B3030" s="70"/>
      <c r="C3030" s="70"/>
      <c r="D3030" s="70"/>
      <c r="E3030" s="70"/>
      <c r="F3030" s="70"/>
      <c r="G3030" s="70"/>
      <c r="H3030" s="131"/>
      <c r="I3030" s="3"/>
    </row>
    <row r="3031" spans="1:9" s="93" customFormat="1" ht="9" customHeight="1" x14ac:dyDescent="0.3">
      <c r="A3031" s="91"/>
      <c r="B3031" s="70"/>
      <c r="C3031" s="70"/>
      <c r="D3031" s="70"/>
      <c r="E3031" s="70"/>
      <c r="F3031" s="70"/>
      <c r="G3031" s="70"/>
      <c r="H3031" s="131"/>
      <c r="I3031" s="3"/>
    </row>
    <row r="3032" spans="1:9" s="93" customFormat="1" ht="9" customHeight="1" x14ac:dyDescent="0.3">
      <c r="A3032" s="91"/>
      <c r="B3032" s="70"/>
      <c r="C3032" s="70"/>
      <c r="D3032" s="70"/>
      <c r="E3032" s="70"/>
      <c r="F3032" s="70"/>
      <c r="G3032" s="70"/>
      <c r="H3032" s="131"/>
      <c r="I3032" s="3"/>
    </row>
    <row r="3033" spans="1:9" s="93" customFormat="1" ht="9" customHeight="1" x14ac:dyDescent="0.3">
      <c r="A3033" s="91"/>
      <c r="B3033" s="70"/>
      <c r="C3033" s="70"/>
      <c r="D3033" s="70"/>
      <c r="E3033" s="70"/>
      <c r="F3033" s="70"/>
      <c r="G3033" s="70"/>
      <c r="H3033" s="131"/>
      <c r="I3033" s="3"/>
    </row>
    <row r="3034" spans="1:9" s="93" customFormat="1" ht="9" customHeight="1" x14ac:dyDescent="0.3">
      <c r="A3034" s="91"/>
      <c r="B3034" s="70"/>
      <c r="C3034" s="70"/>
      <c r="D3034" s="70"/>
      <c r="E3034" s="70"/>
      <c r="F3034" s="70"/>
      <c r="G3034" s="70"/>
      <c r="H3034" s="131"/>
      <c r="I3034" s="3"/>
    </row>
    <row r="3035" spans="1:9" s="93" customFormat="1" ht="9" customHeight="1" x14ac:dyDescent="0.3">
      <c r="A3035" s="91"/>
      <c r="B3035" s="70"/>
      <c r="C3035" s="70"/>
      <c r="D3035" s="70"/>
      <c r="E3035" s="70"/>
      <c r="F3035" s="70"/>
      <c r="G3035" s="70"/>
      <c r="H3035" s="131"/>
      <c r="I3035" s="3"/>
    </row>
    <row r="3036" spans="1:9" s="93" customFormat="1" ht="9" customHeight="1" x14ac:dyDescent="0.3">
      <c r="A3036" s="91"/>
      <c r="B3036" s="70"/>
      <c r="C3036" s="70"/>
      <c r="D3036" s="70"/>
      <c r="E3036" s="70"/>
      <c r="F3036" s="70"/>
      <c r="G3036" s="70"/>
      <c r="H3036" s="131"/>
      <c r="I3036" s="3"/>
    </row>
    <row r="3037" spans="1:9" s="93" customFormat="1" ht="9" customHeight="1" x14ac:dyDescent="0.3">
      <c r="A3037" s="91"/>
      <c r="B3037" s="70"/>
      <c r="C3037" s="70"/>
      <c r="D3037" s="70"/>
      <c r="E3037" s="70"/>
      <c r="F3037" s="70"/>
      <c r="G3037" s="70"/>
      <c r="H3037" s="131"/>
      <c r="I3037" s="3"/>
    </row>
    <row r="3038" spans="1:9" s="93" customFormat="1" ht="9" customHeight="1" x14ac:dyDescent="0.3">
      <c r="A3038" s="91"/>
      <c r="B3038" s="70"/>
      <c r="C3038" s="70"/>
      <c r="D3038" s="70"/>
      <c r="E3038" s="70"/>
      <c r="F3038" s="70"/>
      <c r="G3038" s="70"/>
      <c r="H3038" s="131"/>
      <c r="I3038" s="3"/>
    </row>
    <row r="3039" spans="1:9" s="93" customFormat="1" ht="9" customHeight="1" x14ac:dyDescent="0.3">
      <c r="A3039" s="91"/>
      <c r="B3039" s="70"/>
      <c r="C3039" s="70"/>
      <c r="D3039" s="70"/>
      <c r="E3039" s="70"/>
      <c r="F3039" s="70"/>
      <c r="G3039" s="70"/>
      <c r="H3039" s="131"/>
      <c r="I3039" s="3"/>
    </row>
    <row r="3040" spans="1:9" s="93" customFormat="1" ht="9" customHeight="1" x14ac:dyDescent="0.3">
      <c r="A3040" s="91"/>
      <c r="B3040" s="70"/>
      <c r="C3040" s="70"/>
      <c r="D3040" s="70"/>
      <c r="E3040" s="70"/>
      <c r="F3040" s="70"/>
      <c r="G3040" s="70"/>
      <c r="H3040" s="131"/>
      <c r="I3040" s="3"/>
    </row>
    <row r="3041" spans="1:9" s="93" customFormat="1" ht="9" customHeight="1" x14ac:dyDescent="0.3">
      <c r="A3041" s="91"/>
      <c r="B3041" s="70"/>
      <c r="C3041" s="70"/>
      <c r="D3041" s="70"/>
      <c r="E3041" s="70"/>
      <c r="F3041" s="70"/>
      <c r="G3041" s="70"/>
      <c r="H3041" s="131"/>
      <c r="I3041" s="3"/>
    </row>
    <row r="3042" spans="1:9" s="93" customFormat="1" ht="9" customHeight="1" x14ac:dyDescent="0.3">
      <c r="A3042" s="91"/>
      <c r="B3042" s="70"/>
      <c r="C3042" s="70"/>
      <c r="D3042" s="70"/>
      <c r="E3042" s="70"/>
      <c r="F3042" s="70"/>
      <c r="G3042" s="70"/>
      <c r="H3042" s="131"/>
      <c r="I3042" s="3"/>
    </row>
    <row r="3043" spans="1:9" s="93" customFormat="1" ht="9" customHeight="1" x14ac:dyDescent="0.3">
      <c r="A3043" s="91"/>
      <c r="B3043" s="70"/>
      <c r="C3043" s="70"/>
      <c r="D3043" s="70"/>
      <c r="E3043" s="70"/>
      <c r="F3043" s="70"/>
      <c r="G3043" s="70"/>
      <c r="H3043" s="131"/>
      <c r="I3043" s="3"/>
    </row>
    <row r="3044" spans="1:9" s="93" customFormat="1" ht="9" customHeight="1" x14ac:dyDescent="0.3">
      <c r="A3044" s="91"/>
      <c r="B3044" s="70"/>
      <c r="C3044" s="70"/>
      <c r="D3044" s="70"/>
      <c r="E3044" s="70"/>
      <c r="F3044" s="70"/>
      <c r="G3044" s="70"/>
      <c r="H3044" s="131"/>
      <c r="I3044" s="3"/>
    </row>
    <row r="3045" spans="1:9" s="93" customFormat="1" ht="9" customHeight="1" x14ac:dyDescent="0.3">
      <c r="A3045" s="91"/>
      <c r="B3045" s="70"/>
      <c r="C3045" s="70"/>
      <c r="D3045" s="70"/>
      <c r="E3045" s="70"/>
      <c r="F3045" s="70"/>
      <c r="G3045" s="70"/>
      <c r="H3045" s="131"/>
      <c r="I3045" s="3"/>
    </row>
    <row r="3046" spans="1:9" s="93" customFormat="1" ht="9" customHeight="1" x14ac:dyDescent="0.3">
      <c r="A3046" s="91"/>
      <c r="B3046" s="70"/>
      <c r="C3046" s="70"/>
      <c r="D3046" s="70"/>
      <c r="E3046" s="70"/>
      <c r="F3046" s="70"/>
      <c r="G3046" s="70"/>
      <c r="H3046" s="131"/>
      <c r="I3046" s="3"/>
    </row>
    <row r="3047" spans="1:9" s="93" customFormat="1" ht="9" customHeight="1" x14ac:dyDescent="0.3">
      <c r="A3047" s="91"/>
      <c r="B3047" s="70"/>
      <c r="C3047" s="70"/>
      <c r="D3047" s="70"/>
      <c r="E3047" s="70"/>
      <c r="F3047" s="70"/>
      <c r="G3047" s="70"/>
      <c r="H3047" s="131"/>
      <c r="I3047" s="3"/>
    </row>
    <row r="3048" spans="1:9" s="93" customFormat="1" ht="9" customHeight="1" x14ac:dyDescent="0.3">
      <c r="A3048" s="91"/>
      <c r="B3048" s="70"/>
      <c r="C3048" s="70"/>
      <c r="D3048" s="70"/>
      <c r="E3048" s="70"/>
      <c r="F3048" s="70"/>
      <c r="G3048" s="70"/>
      <c r="H3048" s="131"/>
      <c r="I3048" s="3"/>
    </row>
    <row r="3049" spans="1:9" s="93" customFormat="1" ht="9" customHeight="1" x14ac:dyDescent="0.3">
      <c r="A3049" s="91"/>
      <c r="B3049" s="70"/>
      <c r="C3049" s="70"/>
      <c r="D3049" s="70"/>
      <c r="E3049" s="70"/>
      <c r="F3049" s="70"/>
      <c r="G3049" s="70"/>
      <c r="H3049" s="131"/>
      <c r="I3049" s="3"/>
    </row>
    <row r="3050" spans="1:9" s="93" customFormat="1" ht="9" customHeight="1" x14ac:dyDescent="0.3">
      <c r="A3050" s="91"/>
      <c r="B3050" s="70"/>
      <c r="C3050" s="70"/>
      <c r="D3050" s="70"/>
      <c r="E3050" s="70"/>
      <c r="F3050" s="70"/>
      <c r="G3050" s="70"/>
      <c r="H3050" s="131"/>
      <c r="I3050" s="3"/>
    </row>
    <row r="3051" spans="1:9" s="93" customFormat="1" ht="9" customHeight="1" x14ac:dyDescent="0.3">
      <c r="A3051" s="91"/>
      <c r="B3051" s="70"/>
      <c r="C3051" s="70"/>
      <c r="D3051" s="70"/>
      <c r="E3051" s="70"/>
      <c r="F3051" s="70"/>
      <c r="G3051" s="70"/>
      <c r="H3051" s="131"/>
      <c r="I3051" s="3"/>
    </row>
    <row r="3052" spans="1:9" s="93" customFormat="1" ht="9" customHeight="1" x14ac:dyDescent="0.3">
      <c r="A3052" s="91"/>
      <c r="B3052" s="70"/>
      <c r="C3052" s="70"/>
      <c r="D3052" s="70"/>
      <c r="E3052" s="70"/>
      <c r="F3052" s="70"/>
      <c r="G3052" s="70"/>
      <c r="H3052" s="131"/>
      <c r="I3052" s="3"/>
    </row>
    <row r="3053" spans="1:9" s="93" customFormat="1" ht="9" customHeight="1" x14ac:dyDescent="0.3">
      <c r="A3053" s="91"/>
      <c r="B3053" s="70"/>
      <c r="C3053" s="70"/>
      <c r="D3053" s="70"/>
      <c r="E3053" s="70"/>
      <c r="F3053" s="70"/>
      <c r="G3053" s="70"/>
      <c r="H3053" s="131"/>
      <c r="I3053" s="3"/>
    </row>
    <row r="3054" spans="1:9" s="93" customFormat="1" ht="9" customHeight="1" x14ac:dyDescent="0.3">
      <c r="A3054" s="91"/>
      <c r="B3054" s="70"/>
      <c r="C3054" s="70"/>
      <c r="D3054" s="70"/>
      <c r="E3054" s="70"/>
      <c r="F3054" s="70"/>
      <c r="G3054" s="70"/>
      <c r="H3054" s="131"/>
      <c r="I3054" s="3"/>
    </row>
    <row r="3055" spans="1:9" s="93" customFormat="1" ht="9" customHeight="1" x14ac:dyDescent="0.3">
      <c r="A3055" s="91"/>
      <c r="B3055" s="70"/>
      <c r="C3055" s="70"/>
      <c r="D3055" s="70"/>
      <c r="E3055" s="70"/>
      <c r="F3055" s="70"/>
      <c r="G3055" s="70"/>
      <c r="H3055" s="131"/>
      <c r="I3055" s="3"/>
    </row>
    <row r="3056" spans="1:9" s="93" customFormat="1" ht="9" customHeight="1" x14ac:dyDescent="0.3">
      <c r="A3056" s="91"/>
      <c r="B3056" s="70"/>
      <c r="C3056" s="70"/>
      <c r="D3056" s="70"/>
      <c r="E3056" s="70"/>
      <c r="F3056" s="70"/>
      <c r="G3056" s="70"/>
      <c r="H3056" s="131"/>
      <c r="I3056" s="3"/>
    </row>
    <row r="3057" spans="1:9" s="93" customFormat="1" ht="9" customHeight="1" x14ac:dyDescent="0.3">
      <c r="A3057" s="91"/>
      <c r="B3057" s="70"/>
      <c r="C3057" s="70"/>
      <c r="D3057" s="70"/>
      <c r="E3057" s="70"/>
      <c r="F3057" s="70"/>
      <c r="G3057" s="70"/>
      <c r="H3057" s="131"/>
      <c r="I3057" s="3"/>
    </row>
    <row r="3058" spans="1:9" s="93" customFormat="1" ht="9" customHeight="1" x14ac:dyDescent="0.3">
      <c r="A3058" s="91"/>
      <c r="B3058" s="70"/>
      <c r="C3058" s="70"/>
      <c r="D3058" s="70"/>
      <c r="E3058" s="70"/>
      <c r="F3058" s="70"/>
      <c r="G3058" s="70"/>
      <c r="H3058" s="131"/>
      <c r="I3058" s="3"/>
    </row>
    <row r="3059" spans="1:9" s="93" customFormat="1" ht="9" customHeight="1" x14ac:dyDescent="0.3">
      <c r="A3059" s="91"/>
      <c r="B3059" s="70"/>
      <c r="C3059" s="70"/>
      <c r="D3059" s="70"/>
      <c r="E3059" s="70"/>
      <c r="F3059" s="70"/>
      <c r="G3059" s="70"/>
      <c r="H3059" s="131"/>
      <c r="I3059" s="3"/>
    </row>
    <row r="3060" spans="1:9" s="93" customFormat="1" ht="9" customHeight="1" x14ac:dyDescent="0.3">
      <c r="A3060" s="91"/>
      <c r="B3060" s="70"/>
      <c r="C3060" s="70"/>
      <c r="D3060" s="70"/>
      <c r="E3060" s="70"/>
      <c r="F3060" s="70"/>
      <c r="G3060" s="70"/>
      <c r="H3060" s="131"/>
      <c r="I3060" s="3"/>
    </row>
    <row r="3061" spans="1:9" s="93" customFormat="1" ht="9" customHeight="1" x14ac:dyDescent="0.3">
      <c r="A3061" s="91"/>
      <c r="B3061" s="70"/>
      <c r="C3061" s="70"/>
      <c r="D3061" s="70"/>
      <c r="E3061" s="70"/>
      <c r="F3061" s="70"/>
      <c r="G3061" s="70"/>
      <c r="H3061" s="131"/>
      <c r="I3061" s="3"/>
    </row>
    <row r="3062" spans="1:9" s="93" customFormat="1" ht="9" customHeight="1" x14ac:dyDescent="0.3">
      <c r="A3062" s="91"/>
      <c r="B3062" s="70"/>
      <c r="C3062" s="70"/>
      <c r="D3062" s="70"/>
      <c r="E3062" s="70"/>
      <c r="F3062" s="70"/>
      <c r="G3062" s="70"/>
      <c r="H3062" s="131"/>
      <c r="I3062" s="3"/>
    </row>
    <row r="3063" spans="1:9" s="93" customFormat="1" ht="9" customHeight="1" x14ac:dyDescent="0.3">
      <c r="A3063" s="91"/>
      <c r="B3063" s="70"/>
      <c r="C3063" s="70"/>
      <c r="D3063" s="70"/>
      <c r="E3063" s="70"/>
      <c r="F3063" s="70"/>
      <c r="G3063" s="70"/>
      <c r="H3063" s="131"/>
      <c r="I3063" s="3"/>
    </row>
    <row r="3064" spans="1:9" s="93" customFormat="1" ht="9" customHeight="1" x14ac:dyDescent="0.3">
      <c r="A3064" s="91"/>
      <c r="B3064" s="70"/>
      <c r="C3064" s="70"/>
      <c r="D3064" s="70"/>
      <c r="E3064" s="70"/>
      <c r="F3064" s="70"/>
      <c r="G3064" s="70"/>
      <c r="H3064" s="131"/>
      <c r="I3064" s="3"/>
    </row>
    <row r="3065" spans="1:9" s="93" customFormat="1" ht="9" customHeight="1" x14ac:dyDescent="0.3">
      <c r="A3065" s="91"/>
      <c r="B3065" s="70"/>
      <c r="C3065" s="70"/>
      <c r="D3065" s="70"/>
      <c r="E3065" s="70"/>
      <c r="F3065" s="70"/>
      <c r="G3065" s="70"/>
      <c r="H3065" s="131"/>
      <c r="I3065" s="3"/>
    </row>
    <row r="3066" spans="1:9" s="93" customFormat="1" ht="9" customHeight="1" x14ac:dyDescent="0.3">
      <c r="A3066" s="91"/>
      <c r="B3066" s="70"/>
      <c r="C3066" s="70"/>
      <c r="D3066" s="70"/>
      <c r="E3066" s="70"/>
      <c r="F3066" s="70"/>
      <c r="G3066" s="70"/>
      <c r="H3066" s="131"/>
      <c r="I3066" s="3"/>
    </row>
    <row r="3067" spans="1:9" s="93" customFormat="1" ht="9" customHeight="1" x14ac:dyDescent="0.3">
      <c r="A3067" s="91"/>
      <c r="B3067" s="70"/>
      <c r="C3067" s="70"/>
      <c r="D3067" s="70"/>
      <c r="E3067" s="70"/>
      <c r="F3067" s="70"/>
      <c r="G3067" s="70"/>
      <c r="H3067" s="131"/>
      <c r="I3067" s="3"/>
    </row>
    <row r="3068" spans="1:9" s="93" customFormat="1" ht="9" customHeight="1" x14ac:dyDescent="0.3">
      <c r="A3068" s="91"/>
      <c r="B3068" s="70"/>
      <c r="C3068" s="70"/>
      <c r="D3068" s="70"/>
      <c r="E3068" s="70"/>
      <c r="F3068" s="70"/>
      <c r="G3068" s="70"/>
      <c r="H3068" s="131"/>
      <c r="I3068" s="3"/>
    </row>
    <row r="3069" spans="1:9" s="93" customFormat="1" ht="9" customHeight="1" x14ac:dyDescent="0.3">
      <c r="A3069" s="91"/>
      <c r="B3069" s="70"/>
      <c r="C3069" s="70"/>
      <c r="D3069" s="70"/>
      <c r="E3069" s="70"/>
      <c r="F3069" s="70"/>
      <c r="G3069" s="70"/>
      <c r="H3069" s="131"/>
      <c r="I3069" s="3"/>
    </row>
    <row r="3070" spans="1:9" s="93" customFormat="1" ht="9" customHeight="1" x14ac:dyDescent="0.3">
      <c r="A3070" s="91"/>
      <c r="B3070" s="70"/>
      <c r="C3070" s="70"/>
      <c r="D3070" s="70"/>
      <c r="E3070" s="70"/>
      <c r="F3070" s="70"/>
      <c r="G3070" s="70"/>
      <c r="H3070" s="131"/>
      <c r="I3070" s="3"/>
    </row>
    <row r="3071" spans="1:9" s="93" customFormat="1" ht="9" customHeight="1" x14ac:dyDescent="0.3">
      <c r="A3071" s="91"/>
      <c r="B3071" s="70"/>
      <c r="C3071" s="70"/>
      <c r="D3071" s="70"/>
      <c r="E3071" s="70"/>
      <c r="F3071" s="70"/>
      <c r="G3071" s="70"/>
      <c r="H3071" s="131"/>
      <c r="I3071" s="3"/>
    </row>
    <row r="3072" spans="1:9" s="93" customFormat="1" ht="9" customHeight="1" x14ac:dyDescent="0.3">
      <c r="A3072" s="91"/>
      <c r="B3072" s="70"/>
      <c r="C3072" s="70"/>
      <c r="D3072" s="70"/>
      <c r="E3072" s="70"/>
      <c r="F3072" s="70"/>
      <c r="G3072" s="70"/>
      <c r="H3072" s="131"/>
      <c r="I3072" s="3"/>
    </row>
    <row r="3073" spans="1:9" s="93" customFormat="1" ht="9" customHeight="1" x14ac:dyDescent="0.3">
      <c r="A3073" s="91"/>
      <c r="B3073" s="70"/>
      <c r="C3073" s="70"/>
      <c r="D3073" s="70"/>
      <c r="E3073" s="70"/>
      <c r="F3073" s="70"/>
      <c r="G3073" s="70"/>
      <c r="H3073" s="131"/>
      <c r="I3073" s="3"/>
    </row>
    <row r="3074" spans="1:9" s="93" customFormat="1" ht="9" customHeight="1" x14ac:dyDescent="0.3">
      <c r="A3074" s="91"/>
      <c r="B3074" s="70"/>
      <c r="C3074" s="70"/>
      <c r="D3074" s="70"/>
      <c r="E3074" s="70"/>
      <c r="F3074" s="70"/>
      <c r="G3074" s="70"/>
      <c r="H3074" s="131"/>
      <c r="I3074" s="3"/>
    </row>
    <row r="3075" spans="1:9" s="93" customFormat="1" ht="9" customHeight="1" x14ac:dyDescent="0.3">
      <c r="A3075" s="91"/>
      <c r="B3075" s="70"/>
      <c r="C3075" s="70"/>
      <c r="D3075" s="70"/>
      <c r="E3075" s="70"/>
      <c r="F3075" s="70"/>
      <c r="G3075" s="70"/>
      <c r="H3075" s="131"/>
      <c r="I3075" s="3"/>
    </row>
    <row r="3076" spans="1:9" s="93" customFormat="1" ht="9" customHeight="1" x14ac:dyDescent="0.3">
      <c r="A3076" s="91"/>
      <c r="B3076" s="70"/>
      <c r="C3076" s="70"/>
      <c r="D3076" s="70"/>
      <c r="E3076" s="70"/>
      <c r="F3076" s="70"/>
      <c r="G3076" s="70"/>
      <c r="H3076" s="131"/>
      <c r="I3076" s="3"/>
    </row>
    <row r="3077" spans="1:9" s="93" customFormat="1" ht="9" customHeight="1" x14ac:dyDescent="0.3">
      <c r="A3077" s="91"/>
      <c r="B3077" s="70"/>
      <c r="C3077" s="70"/>
      <c r="D3077" s="70"/>
      <c r="E3077" s="70"/>
      <c r="F3077" s="70"/>
      <c r="G3077" s="70"/>
      <c r="H3077" s="131"/>
      <c r="I3077" s="3"/>
    </row>
    <row r="3078" spans="1:9" s="93" customFormat="1" ht="9" customHeight="1" x14ac:dyDescent="0.3">
      <c r="A3078" s="91"/>
      <c r="B3078" s="70"/>
      <c r="C3078" s="70"/>
      <c r="D3078" s="70"/>
      <c r="E3078" s="70"/>
      <c r="F3078" s="70"/>
      <c r="G3078" s="70"/>
      <c r="H3078" s="131"/>
      <c r="I3078" s="3"/>
    </row>
    <row r="3079" spans="1:9" s="93" customFormat="1" ht="9" customHeight="1" x14ac:dyDescent="0.3">
      <c r="A3079" s="91"/>
      <c r="B3079" s="70"/>
      <c r="C3079" s="70"/>
      <c r="D3079" s="70"/>
      <c r="E3079" s="70"/>
      <c r="F3079" s="70"/>
      <c r="G3079" s="70"/>
      <c r="H3079" s="131"/>
      <c r="I3079" s="3"/>
    </row>
    <row r="3080" spans="1:9" s="93" customFormat="1" ht="9" customHeight="1" x14ac:dyDescent="0.3">
      <c r="A3080" s="91"/>
      <c r="B3080" s="70"/>
      <c r="C3080" s="70"/>
      <c r="D3080" s="70"/>
      <c r="E3080" s="70"/>
      <c r="F3080" s="70"/>
      <c r="G3080" s="70"/>
      <c r="H3080" s="131"/>
      <c r="I3080" s="3"/>
    </row>
    <row r="3081" spans="1:9" s="93" customFormat="1" ht="9" customHeight="1" x14ac:dyDescent="0.3">
      <c r="A3081" s="91"/>
      <c r="B3081" s="70"/>
      <c r="C3081" s="70"/>
      <c r="D3081" s="70"/>
      <c r="E3081" s="70"/>
      <c r="F3081" s="70"/>
      <c r="G3081" s="70"/>
      <c r="H3081" s="131"/>
      <c r="I3081" s="3"/>
    </row>
    <row r="3082" spans="1:9" s="93" customFormat="1" ht="9" customHeight="1" x14ac:dyDescent="0.3">
      <c r="A3082" s="91"/>
      <c r="B3082" s="70"/>
      <c r="C3082" s="70"/>
      <c r="D3082" s="70"/>
      <c r="E3082" s="70"/>
      <c r="F3082" s="70"/>
      <c r="G3082" s="70"/>
      <c r="H3082" s="131"/>
      <c r="I3082" s="3"/>
    </row>
    <row r="3083" spans="1:9" s="93" customFormat="1" ht="9" customHeight="1" x14ac:dyDescent="0.3">
      <c r="A3083" s="91"/>
      <c r="B3083" s="70"/>
      <c r="C3083" s="70"/>
      <c r="D3083" s="70"/>
      <c r="E3083" s="70"/>
      <c r="F3083" s="70"/>
      <c r="G3083" s="70"/>
      <c r="H3083" s="131"/>
      <c r="I3083" s="3"/>
    </row>
    <row r="3084" spans="1:9" s="93" customFormat="1" ht="9" customHeight="1" x14ac:dyDescent="0.3">
      <c r="A3084" s="91"/>
      <c r="B3084" s="70"/>
      <c r="C3084" s="70"/>
      <c r="D3084" s="70"/>
      <c r="E3084" s="70"/>
      <c r="F3084" s="70"/>
      <c r="G3084" s="70"/>
      <c r="H3084" s="131"/>
      <c r="I3084" s="3"/>
    </row>
    <row r="3085" spans="1:9" s="93" customFormat="1" ht="9" customHeight="1" x14ac:dyDescent="0.3">
      <c r="A3085" s="91"/>
      <c r="B3085" s="70"/>
      <c r="C3085" s="70"/>
      <c r="D3085" s="70"/>
      <c r="E3085" s="70"/>
      <c r="F3085" s="70"/>
      <c r="G3085" s="70"/>
      <c r="H3085" s="131"/>
      <c r="I3085" s="3"/>
    </row>
    <row r="3086" spans="1:9" s="93" customFormat="1" ht="9" customHeight="1" x14ac:dyDescent="0.3">
      <c r="A3086" s="91"/>
      <c r="B3086" s="70"/>
      <c r="C3086" s="70"/>
      <c r="D3086" s="70"/>
      <c r="E3086" s="70"/>
      <c r="F3086" s="70"/>
      <c r="G3086" s="70"/>
      <c r="H3086" s="131"/>
      <c r="I3086" s="3"/>
    </row>
    <row r="3087" spans="1:9" s="93" customFormat="1" ht="9" customHeight="1" x14ac:dyDescent="0.3">
      <c r="A3087" s="91"/>
      <c r="B3087" s="70"/>
      <c r="C3087" s="70"/>
      <c r="D3087" s="70"/>
      <c r="E3087" s="70"/>
      <c r="F3087" s="70"/>
      <c r="G3087" s="70"/>
      <c r="H3087" s="131"/>
      <c r="I3087" s="3"/>
    </row>
    <row r="3088" spans="1:9" s="93" customFormat="1" ht="9" customHeight="1" x14ac:dyDescent="0.3">
      <c r="A3088" s="91"/>
      <c r="B3088" s="70"/>
      <c r="C3088" s="70"/>
      <c r="D3088" s="70"/>
      <c r="E3088" s="70"/>
      <c r="F3088" s="70"/>
      <c r="G3088" s="70"/>
      <c r="H3088" s="131"/>
      <c r="I3088" s="3"/>
    </row>
    <row r="3089" spans="1:9" s="93" customFormat="1" ht="9" customHeight="1" x14ac:dyDescent="0.3">
      <c r="A3089" s="91"/>
      <c r="B3089" s="70"/>
      <c r="C3089" s="70"/>
      <c r="D3089" s="70"/>
      <c r="E3089" s="70"/>
      <c r="F3089" s="70"/>
      <c r="G3089" s="70"/>
      <c r="H3089" s="131"/>
      <c r="I3089" s="3"/>
    </row>
    <row r="3090" spans="1:9" s="93" customFormat="1" ht="9" customHeight="1" x14ac:dyDescent="0.3">
      <c r="A3090" s="91"/>
      <c r="B3090" s="70"/>
      <c r="C3090" s="70"/>
      <c r="D3090" s="70"/>
      <c r="E3090" s="70"/>
      <c r="F3090" s="70"/>
      <c r="G3090" s="70"/>
      <c r="H3090" s="131"/>
      <c r="I3090" s="3"/>
    </row>
    <row r="3091" spans="1:9" s="93" customFormat="1" ht="9" customHeight="1" x14ac:dyDescent="0.3">
      <c r="A3091" s="91"/>
      <c r="B3091" s="70"/>
      <c r="C3091" s="70"/>
      <c r="D3091" s="70"/>
      <c r="E3091" s="70"/>
      <c r="F3091" s="70"/>
      <c r="G3091" s="70"/>
      <c r="H3091" s="131"/>
      <c r="I3091" s="3"/>
    </row>
    <row r="3092" spans="1:9" s="93" customFormat="1" ht="9" customHeight="1" x14ac:dyDescent="0.3">
      <c r="A3092" s="91"/>
      <c r="B3092" s="70"/>
      <c r="C3092" s="70"/>
      <c r="D3092" s="70"/>
      <c r="E3092" s="70"/>
      <c r="F3092" s="70"/>
      <c r="G3092" s="70"/>
      <c r="H3092" s="131"/>
      <c r="I3092" s="3"/>
    </row>
    <row r="3093" spans="1:9" s="93" customFormat="1" ht="9" customHeight="1" x14ac:dyDescent="0.3">
      <c r="A3093" s="91"/>
      <c r="B3093" s="70"/>
      <c r="C3093" s="70"/>
      <c r="D3093" s="70"/>
      <c r="E3093" s="70"/>
      <c r="F3093" s="70"/>
      <c r="G3093" s="70"/>
      <c r="H3093" s="131"/>
      <c r="I3093" s="3"/>
    </row>
    <row r="3094" spans="1:9" s="93" customFormat="1" ht="9" customHeight="1" x14ac:dyDescent="0.3">
      <c r="A3094" s="91"/>
      <c r="B3094" s="70"/>
      <c r="C3094" s="70"/>
      <c r="D3094" s="70"/>
      <c r="E3094" s="70"/>
      <c r="F3094" s="70"/>
      <c r="G3094" s="70"/>
      <c r="H3094" s="131"/>
      <c r="I3094" s="3"/>
    </row>
    <row r="3095" spans="1:9" s="93" customFormat="1" ht="9" customHeight="1" x14ac:dyDescent="0.3">
      <c r="A3095" s="91"/>
      <c r="B3095" s="70"/>
      <c r="C3095" s="70"/>
      <c r="D3095" s="70"/>
      <c r="E3095" s="70"/>
      <c r="F3095" s="70"/>
      <c r="G3095" s="70"/>
      <c r="H3095" s="131"/>
      <c r="I3095" s="3"/>
    </row>
    <row r="3096" spans="1:9" s="93" customFormat="1" ht="9" customHeight="1" x14ac:dyDescent="0.3">
      <c r="A3096" s="91"/>
      <c r="B3096" s="70"/>
      <c r="C3096" s="70"/>
      <c r="D3096" s="70"/>
      <c r="E3096" s="70"/>
      <c r="F3096" s="70"/>
      <c r="G3096" s="70"/>
      <c r="H3096" s="131"/>
      <c r="I3096" s="3"/>
    </row>
    <row r="3097" spans="1:9" s="93" customFormat="1" ht="9" customHeight="1" x14ac:dyDescent="0.3">
      <c r="A3097" s="91"/>
      <c r="B3097" s="70"/>
      <c r="C3097" s="70"/>
      <c r="D3097" s="70"/>
      <c r="E3097" s="70"/>
      <c r="F3097" s="70"/>
      <c r="G3097" s="70"/>
      <c r="H3097" s="131"/>
      <c r="I3097" s="3"/>
    </row>
    <row r="3098" spans="1:9" s="93" customFormat="1" ht="9" customHeight="1" x14ac:dyDescent="0.3">
      <c r="A3098" s="91"/>
      <c r="B3098" s="70"/>
      <c r="C3098" s="70"/>
      <c r="D3098" s="70"/>
      <c r="E3098" s="70"/>
      <c r="F3098" s="70"/>
      <c r="G3098" s="70"/>
      <c r="H3098" s="131"/>
      <c r="I3098" s="3"/>
    </row>
    <row r="3099" spans="1:9" s="93" customFormat="1" ht="9" customHeight="1" x14ac:dyDescent="0.3">
      <c r="A3099" s="91"/>
      <c r="B3099" s="70"/>
      <c r="C3099" s="70"/>
      <c r="D3099" s="70"/>
      <c r="E3099" s="70"/>
      <c r="F3099" s="70"/>
      <c r="G3099" s="70"/>
      <c r="H3099" s="131"/>
      <c r="I3099" s="3"/>
    </row>
    <row r="3100" spans="1:9" s="93" customFormat="1" ht="9" customHeight="1" x14ac:dyDescent="0.3">
      <c r="A3100" s="91"/>
      <c r="B3100" s="70"/>
      <c r="C3100" s="70"/>
      <c r="D3100" s="70"/>
      <c r="E3100" s="70"/>
      <c r="F3100" s="70"/>
      <c r="G3100" s="70"/>
      <c r="H3100" s="131"/>
      <c r="I3100" s="3"/>
    </row>
    <row r="3101" spans="1:9" s="93" customFormat="1" ht="9" customHeight="1" x14ac:dyDescent="0.3">
      <c r="A3101" s="91"/>
      <c r="B3101" s="70"/>
      <c r="C3101" s="70"/>
      <c r="D3101" s="70"/>
      <c r="E3101" s="70"/>
      <c r="F3101" s="70"/>
      <c r="G3101" s="70"/>
      <c r="H3101" s="131"/>
      <c r="I3101" s="3"/>
    </row>
    <row r="3102" spans="1:9" s="93" customFormat="1" ht="9" customHeight="1" x14ac:dyDescent="0.3">
      <c r="A3102" s="91"/>
      <c r="B3102" s="70"/>
      <c r="C3102" s="70"/>
      <c r="D3102" s="70"/>
      <c r="E3102" s="70"/>
      <c r="F3102" s="70"/>
      <c r="G3102" s="70"/>
      <c r="H3102" s="131"/>
      <c r="I3102" s="3"/>
    </row>
    <row r="3103" spans="1:9" s="93" customFormat="1" ht="9" customHeight="1" x14ac:dyDescent="0.3">
      <c r="A3103" s="91"/>
      <c r="B3103" s="70"/>
      <c r="C3103" s="70"/>
      <c r="D3103" s="70"/>
      <c r="E3103" s="70"/>
      <c r="F3103" s="70"/>
      <c r="G3103" s="70"/>
      <c r="H3103" s="131"/>
      <c r="I3103" s="3"/>
    </row>
    <row r="3104" spans="1:9" s="93" customFormat="1" ht="9" customHeight="1" x14ac:dyDescent="0.3">
      <c r="A3104" s="91"/>
      <c r="B3104" s="70"/>
      <c r="C3104" s="70"/>
      <c r="D3104" s="70"/>
      <c r="E3104" s="70"/>
      <c r="F3104" s="70"/>
      <c r="G3104" s="70"/>
      <c r="H3104" s="131"/>
      <c r="I3104" s="3"/>
    </row>
    <row r="3105" spans="1:9" s="93" customFormat="1" ht="9" customHeight="1" x14ac:dyDescent="0.3">
      <c r="A3105" s="91"/>
      <c r="B3105" s="70"/>
      <c r="C3105" s="70"/>
      <c r="D3105" s="70"/>
      <c r="E3105" s="70"/>
      <c r="F3105" s="70"/>
      <c r="G3105" s="70"/>
      <c r="H3105" s="131"/>
      <c r="I3105" s="3"/>
    </row>
    <row r="3106" spans="1:9" s="93" customFormat="1" ht="9" customHeight="1" x14ac:dyDescent="0.3">
      <c r="A3106" s="91"/>
      <c r="B3106" s="70"/>
      <c r="C3106" s="70"/>
      <c r="D3106" s="70"/>
      <c r="E3106" s="70"/>
      <c r="F3106" s="70"/>
      <c r="G3106" s="70"/>
      <c r="H3106" s="131"/>
      <c r="I3106" s="3"/>
    </row>
    <row r="3107" spans="1:9" s="93" customFormat="1" ht="9" customHeight="1" x14ac:dyDescent="0.3">
      <c r="A3107" s="91"/>
      <c r="B3107" s="70"/>
      <c r="C3107" s="70"/>
      <c r="D3107" s="70"/>
      <c r="E3107" s="70"/>
      <c r="F3107" s="70"/>
      <c r="G3107" s="70"/>
      <c r="H3107" s="131"/>
      <c r="I3107" s="3"/>
    </row>
    <row r="3108" spans="1:9" s="93" customFormat="1" ht="9" customHeight="1" x14ac:dyDescent="0.3">
      <c r="A3108" s="91"/>
      <c r="B3108" s="70"/>
      <c r="C3108" s="70"/>
      <c r="D3108" s="70"/>
      <c r="E3108" s="70"/>
      <c r="F3108" s="70"/>
      <c r="G3108" s="70"/>
      <c r="H3108" s="131"/>
      <c r="I3108" s="3"/>
    </row>
    <row r="3109" spans="1:9" s="93" customFormat="1" ht="9" customHeight="1" x14ac:dyDescent="0.3">
      <c r="A3109" s="91"/>
      <c r="B3109" s="70"/>
      <c r="C3109" s="70"/>
      <c r="D3109" s="70"/>
      <c r="E3109" s="70"/>
      <c r="F3109" s="70"/>
      <c r="G3109" s="70"/>
      <c r="H3109" s="131"/>
      <c r="I3109" s="3"/>
    </row>
    <row r="3110" spans="1:9" s="93" customFormat="1" ht="9" customHeight="1" x14ac:dyDescent="0.3">
      <c r="A3110" s="91"/>
      <c r="B3110" s="70"/>
      <c r="C3110" s="70"/>
      <c r="D3110" s="70"/>
      <c r="E3110" s="70"/>
      <c r="F3110" s="70"/>
      <c r="G3110" s="70"/>
      <c r="H3110" s="131"/>
      <c r="I3110" s="3"/>
    </row>
    <row r="3111" spans="1:9" s="93" customFormat="1" ht="9" customHeight="1" x14ac:dyDescent="0.3">
      <c r="A3111" s="91"/>
      <c r="B3111" s="70"/>
      <c r="C3111" s="70"/>
      <c r="D3111" s="70"/>
      <c r="E3111" s="70"/>
      <c r="F3111" s="70"/>
      <c r="G3111" s="70"/>
      <c r="H3111" s="131"/>
      <c r="I3111" s="3"/>
    </row>
    <row r="3112" spans="1:9" s="93" customFormat="1" ht="9" customHeight="1" x14ac:dyDescent="0.3">
      <c r="A3112" s="91"/>
      <c r="B3112" s="70"/>
      <c r="C3112" s="70"/>
      <c r="D3112" s="70"/>
      <c r="E3112" s="70"/>
      <c r="F3112" s="70"/>
      <c r="G3112" s="70"/>
      <c r="H3112" s="131"/>
      <c r="I3112" s="3"/>
    </row>
    <row r="3113" spans="1:9" s="93" customFormat="1" ht="9" customHeight="1" x14ac:dyDescent="0.3">
      <c r="A3113" s="91"/>
      <c r="B3113" s="70"/>
      <c r="C3113" s="70"/>
      <c r="D3113" s="70"/>
      <c r="E3113" s="70"/>
      <c r="F3113" s="70"/>
      <c r="G3113" s="70"/>
      <c r="H3113" s="131"/>
      <c r="I3113" s="3"/>
    </row>
    <row r="3114" spans="1:9" s="93" customFormat="1" ht="9" customHeight="1" x14ac:dyDescent="0.3">
      <c r="A3114" s="91"/>
      <c r="B3114" s="70"/>
      <c r="C3114" s="70"/>
      <c r="D3114" s="70"/>
      <c r="E3114" s="70"/>
      <c r="F3114" s="70"/>
      <c r="G3114" s="70"/>
      <c r="H3114" s="131"/>
      <c r="I3114" s="3"/>
    </row>
    <row r="3115" spans="1:9" s="93" customFormat="1" ht="9" customHeight="1" x14ac:dyDescent="0.3">
      <c r="A3115" s="91"/>
      <c r="B3115" s="70"/>
      <c r="C3115" s="70"/>
      <c r="D3115" s="70"/>
      <c r="E3115" s="70"/>
      <c r="F3115" s="70"/>
      <c r="G3115" s="70"/>
      <c r="H3115" s="131"/>
      <c r="I3115" s="3"/>
    </row>
    <row r="3116" spans="1:9" s="93" customFormat="1" ht="9" customHeight="1" x14ac:dyDescent="0.3">
      <c r="A3116" s="91"/>
      <c r="B3116" s="70"/>
      <c r="C3116" s="70"/>
      <c r="D3116" s="70"/>
      <c r="E3116" s="70"/>
      <c r="F3116" s="70"/>
      <c r="G3116" s="70"/>
      <c r="H3116" s="131"/>
      <c r="I3116" s="3"/>
    </row>
    <row r="3117" spans="1:9" s="93" customFormat="1" ht="9" customHeight="1" x14ac:dyDescent="0.3">
      <c r="A3117" s="91"/>
      <c r="B3117" s="70"/>
      <c r="C3117" s="70"/>
      <c r="D3117" s="70"/>
      <c r="E3117" s="70"/>
      <c r="F3117" s="70"/>
      <c r="G3117" s="70"/>
      <c r="H3117" s="131"/>
      <c r="I3117" s="3"/>
    </row>
    <row r="3118" spans="1:9" s="93" customFormat="1" ht="9" customHeight="1" x14ac:dyDescent="0.3">
      <c r="A3118" s="91"/>
      <c r="B3118" s="70"/>
      <c r="C3118" s="70"/>
      <c r="D3118" s="70"/>
      <c r="E3118" s="70"/>
      <c r="F3118" s="70"/>
      <c r="G3118" s="70"/>
      <c r="H3118" s="131"/>
      <c r="I3118" s="3"/>
    </row>
    <row r="3119" spans="1:9" s="93" customFormat="1" ht="9" customHeight="1" x14ac:dyDescent="0.3">
      <c r="A3119" s="91"/>
      <c r="B3119" s="70"/>
      <c r="C3119" s="70"/>
      <c r="D3119" s="70"/>
      <c r="E3119" s="70"/>
      <c r="F3119" s="70"/>
      <c r="G3119" s="70"/>
      <c r="H3119" s="131"/>
      <c r="I3119" s="3"/>
    </row>
    <row r="3120" spans="1:9" s="93" customFormat="1" ht="9" customHeight="1" x14ac:dyDescent="0.3">
      <c r="A3120" s="91"/>
      <c r="B3120" s="70"/>
      <c r="C3120" s="70"/>
      <c r="D3120" s="70"/>
      <c r="E3120" s="70"/>
      <c r="F3120" s="70"/>
      <c r="G3120" s="70"/>
      <c r="H3120" s="131"/>
      <c r="I3120" s="3"/>
    </row>
    <row r="3121" spans="1:9" s="93" customFormat="1" ht="9" customHeight="1" x14ac:dyDescent="0.3">
      <c r="A3121" s="91"/>
      <c r="B3121" s="70"/>
      <c r="C3121" s="70"/>
      <c r="D3121" s="70"/>
      <c r="E3121" s="70"/>
      <c r="F3121" s="70"/>
      <c r="G3121" s="70"/>
      <c r="H3121" s="131"/>
      <c r="I3121" s="3"/>
    </row>
    <row r="3122" spans="1:9" s="93" customFormat="1" ht="9" customHeight="1" x14ac:dyDescent="0.3">
      <c r="A3122" s="91"/>
      <c r="B3122" s="70"/>
      <c r="C3122" s="70"/>
      <c r="D3122" s="70"/>
      <c r="E3122" s="70"/>
      <c r="F3122" s="70"/>
      <c r="G3122" s="70"/>
      <c r="H3122" s="131"/>
      <c r="I3122" s="3"/>
    </row>
    <row r="3123" spans="1:9" s="93" customFormat="1" ht="9" customHeight="1" x14ac:dyDescent="0.3">
      <c r="A3123" s="91"/>
      <c r="B3123" s="70"/>
      <c r="C3123" s="70"/>
      <c r="D3123" s="70"/>
      <c r="E3123" s="70"/>
      <c r="F3123" s="70"/>
      <c r="G3123" s="70"/>
      <c r="H3123" s="131"/>
      <c r="I3123" s="3"/>
    </row>
    <row r="3124" spans="1:9" s="93" customFormat="1" ht="9" customHeight="1" x14ac:dyDescent="0.3">
      <c r="A3124" s="91"/>
      <c r="B3124" s="70"/>
      <c r="C3124" s="70"/>
      <c r="D3124" s="70"/>
      <c r="E3124" s="70"/>
      <c r="F3124" s="70"/>
      <c r="G3124" s="70"/>
      <c r="H3124" s="131"/>
      <c r="I3124" s="3"/>
    </row>
    <row r="3125" spans="1:9" s="93" customFormat="1" ht="9" customHeight="1" x14ac:dyDescent="0.3">
      <c r="A3125" s="91"/>
      <c r="B3125" s="70"/>
      <c r="C3125" s="70"/>
      <c r="D3125" s="70"/>
      <c r="E3125" s="70"/>
      <c r="F3125" s="70"/>
      <c r="G3125" s="70"/>
      <c r="H3125" s="131"/>
      <c r="I3125" s="3"/>
    </row>
    <row r="3126" spans="1:9" s="93" customFormat="1" ht="9" customHeight="1" x14ac:dyDescent="0.3">
      <c r="A3126" s="91"/>
      <c r="B3126" s="70"/>
      <c r="C3126" s="70"/>
      <c r="D3126" s="70"/>
      <c r="E3126" s="70"/>
      <c r="F3126" s="70"/>
      <c r="G3126" s="70"/>
      <c r="H3126" s="131"/>
      <c r="I3126" s="3"/>
    </row>
    <row r="3127" spans="1:9" s="93" customFormat="1" ht="9" customHeight="1" x14ac:dyDescent="0.3">
      <c r="A3127" s="91"/>
      <c r="B3127" s="70"/>
      <c r="C3127" s="70"/>
      <c r="D3127" s="70"/>
      <c r="E3127" s="70"/>
      <c r="F3127" s="70"/>
      <c r="G3127" s="70"/>
      <c r="H3127" s="131"/>
      <c r="I3127" s="3"/>
    </row>
    <row r="3128" spans="1:9" s="93" customFormat="1" ht="9" customHeight="1" x14ac:dyDescent="0.3">
      <c r="A3128" s="91"/>
      <c r="B3128" s="70"/>
      <c r="C3128" s="70"/>
      <c r="D3128" s="70"/>
      <c r="E3128" s="70"/>
      <c r="F3128" s="70"/>
      <c r="G3128" s="70"/>
      <c r="H3128" s="131"/>
      <c r="I3128" s="3"/>
    </row>
    <row r="3129" spans="1:9" s="93" customFormat="1" ht="9" customHeight="1" x14ac:dyDescent="0.3">
      <c r="A3129" s="91"/>
      <c r="B3129" s="70"/>
      <c r="C3129" s="70"/>
      <c r="D3129" s="70"/>
      <c r="E3129" s="70"/>
      <c r="F3129" s="70"/>
      <c r="G3129" s="70"/>
      <c r="H3129" s="131"/>
      <c r="I3129" s="3"/>
    </row>
    <row r="3130" spans="1:9" s="93" customFormat="1" ht="9" customHeight="1" x14ac:dyDescent="0.3">
      <c r="A3130" s="91"/>
      <c r="B3130" s="70"/>
      <c r="C3130" s="70"/>
      <c r="D3130" s="70"/>
      <c r="E3130" s="70"/>
      <c r="F3130" s="70"/>
      <c r="G3130" s="70"/>
      <c r="H3130" s="131"/>
      <c r="I3130" s="3"/>
    </row>
    <row r="3131" spans="1:9" s="93" customFormat="1" ht="9" customHeight="1" x14ac:dyDescent="0.3">
      <c r="A3131" s="91"/>
      <c r="B3131" s="70"/>
      <c r="C3131" s="70"/>
      <c r="D3131" s="70"/>
      <c r="E3131" s="70"/>
      <c r="F3131" s="70"/>
      <c r="G3131" s="70"/>
      <c r="H3131" s="131"/>
      <c r="I3131" s="3"/>
    </row>
    <row r="3132" spans="1:9" s="93" customFormat="1" ht="9" customHeight="1" x14ac:dyDescent="0.3">
      <c r="A3132" s="91"/>
      <c r="B3132" s="70"/>
      <c r="C3132" s="70"/>
      <c r="D3132" s="70"/>
      <c r="E3132" s="70"/>
      <c r="F3132" s="70"/>
      <c r="G3132" s="70"/>
      <c r="H3132" s="131"/>
      <c r="I3132" s="3"/>
    </row>
    <row r="3133" spans="1:9" s="93" customFormat="1" ht="9" customHeight="1" x14ac:dyDescent="0.3">
      <c r="A3133" s="91"/>
      <c r="B3133" s="70"/>
      <c r="C3133" s="70"/>
      <c r="D3133" s="70"/>
      <c r="E3133" s="70"/>
      <c r="F3133" s="70"/>
      <c r="G3133" s="70"/>
      <c r="H3133" s="131"/>
      <c r="I3133" s="3"/>
    </row>
    <row r="3134" spans="1:9" s="93" customFormat="1" ht="9" customHeight="1" x14ac:dyDescent="0.3">
      <c r="A3134" s="91"/>
      <c r="B3134" s="70"/>
      <c r="C3134" s="70"/>
      <c r="D3134" s="70"/>
      <c r="E3134" s="70"/>
      <c r="F3134" s="70"/>
      <c r="G3134" s="70"/>
      <c r="H3134" s="131"/>
      <c r="I3134" s="3"/>
    </row>
    <row r="3135" spans="1:9" s="93" customFormat="1" ht="9" customHeight="1" x14ac:dyDescent="0.3">
      <c r="A3135" s="91"/>
      <c r="B3135" s="70"/>
      <c r="C3135" s="70"/>
      <c r="D3135" s="70"/>
      <c r="E3135" s="70"/>
      <c r="F3135" s="70"/>
      <c r="G3135" s="70"/>
      <c r="H3135" s="131"/>
      <c r="I3135" s="3"/>
    </row>
    <row r="3136" spans="1:9" s="93" customFormat="1" ht="9" customHeight="1" x14ac:dyDescent="0.3">
      <c r="A3136" s="91"/>
      <c r="B3136" s="70"/>
      <c r="C3136" s="70"/>
      <c r="D3136" s="70"/>
      <c r="E3136" s="70"/>
      <c r="F3136" s="70"/>
      <c r="G3136" s="70"/>
      <c r="H3136" s="131"/>
      <c r="I3136" s="3"/>
    </row>
    <row r="3137" spans="1:9" s="93" customFormat="1" ht="9" customHeight="1" x14ac:dyDescent="0.3">
      <c r="A3137" s="91"/>
      <c r="B3137" s="70"/>
      <c r="C3137" s="70"/>
      <c r="D3137" s="70"/>
      <c r="E3137" s="70"/>
      <c r="F3137" s="70"/>
      <c r="G3137" s="70"/>
      <c r="H3137" s="131"/>
      <c r="I3137" s="3"/>
    </row>
    <row r="3138" spans="1:9" s="93" customFormat="1" ht="9" customHeight="1" x14ac:dyDescent="0.3">
      <c r="A3138" s="91"/>
      <c r="B3138" s="70"/>
      <c r="C3138" s="70"/>
      <c r="D3138" s="70"/>
      <c r="E3138" s="70"/>
      <c r="F3138" s="70"/>
      <c r="G3138" s="70"/>
      <c r="H3138" s="131"/>
      <c r="I3138" s="3"/>
    </row>
    <row r="3139" spans="1:9" s="93" customFormat="1" ht="9" customHeight="1" x14ac:dyDescent="0.3">
      <c r="A3139" s="91"/>
      <c r="B3139" s="70"/>
      <c r="C3139" s="70"/>
      <c r="D3139" s="70"/>
      <c r="E3139" s="70"/>
      <c r="F3139" s="70"/>
      <c r="G3139" s="70"/>
      <c r="H3139" s="131"/>
      <c r="I3139" s="3"/>
    </row>
    <row r="3140" spans="1:9" s="93" customFormat="1" ht="9" customHeight="1" x14ac:dyDescent="0.3">
      <c r="A3140" s="91"/>
      <c r="B3140" s="70"/>
      <c r="C3140" s="70"/>
      <c r="D3140" s="70"/>
      <c r="E3140" s="70"/>
      <c r="F3140" s="70"/>
      <c r="G3140" s="70"/>
      <c r="H3140" s="131"/>
      <c r="I3140" s="3"/>
    </row>
    <row r="3141" spans="1:9" s="93" customFormat="1" ht="9" customHeight="1" x14ac:dyDescent="0.3">
      <c r="A3141" s="91"/>
      <c r="B3141" s="70"/>
      <c r="C3141" s="70"/>
      <c r="D3141" s="70"/>
      <c r="E3141" s="70"/>
      <c r="F3141" s="70"/>
      <c r="G3141" s="70"/>
      <c r="H3141" s="131"/>
      <c r="I3141" s="3"/>
    </row>
    <row r="3142" spans="1:9" s="93" customFormat="1" ht="9" customHeight="1" x14ac:dyDescent="0.3">
      <c r="A3142" s="91"/>
      <c r="B3142" s="70"/>
      <c r="C3142" s="70"/>
      <c r="D3142" s="70"/>
      <c r="E3142" s="70"/>
      <c r="F3142" s="70"/>
      <c r="G3142" s="70"/>
      <c r="H3142" s="131"/>
      <c r="I3142" s="3"/>
    </row>
    <row r="3143" spans="1:9" s="93" customFormat="1" ht="9" customHeight="1" x14ac:dyDescent="0.3">
      <c r="A3143" s="91"/>
      <c r="B3143" s="70"/>
      <c r="C3143" s="70"/>
      <c r="D3143" s="70"/>
      <c r="E3143" s="70"/>
      <c r="F3143" s="70"/>
      <c r="G3143" s="70"/>
      <c r="H3143" s="131"/>
      <c r="I3143" s="3"/>
    </row>
    <row r="3144" spans="1:9" s="93" customFormat="1" ht="9" customHeight="1" x14ac:dyDescent="0.3">
      <c r="A3144" s="91"/>
      <c r="B3144" s="70"/>
      <c r="C3144" s="70"/>
      <c r="D3144" s="70"/>
      <c r="E3144" s="70"/>
      <c r="F3144" s="70"/>
      <c r="G3144" s="70"/>
      <c r="H3144" s="131"/>
      <c r="I3144" s="3"/>
    </row>
    <row r="3145" spans="1:9" s="93" customFormat="1" ht="9" customHeight="1" x14ac:dyDescent="0.3">
      <c r="A3145" s="91"/>
      <c r="B3145" s="70"/>
      <c r="C3145" s="70"/>
      <c r="D3145" s="70"/>
      <c r="E3145" s="70"/>
      <c r="F3145" s="70"/>
      <c r="G3145" s="70"/>
      <c r="H3145" s="131"/>
      <c r="I3145" s="3"/>
    </row>
    <row r="3146" spans="1:9" s="93" customFormat="1" ht="9" customHeight="1" x14ac:dyDescent="0.3">
      <c r="A3146" s="91"/>
      <c r="B3146" s="70"/>
      <c r="C3146" s="70"/>
      <c r="D3146" s="70"/>
      <c r="E3146" s="70"/>
      <c r="F3146" s="70"/>
      <c r="G3146" s="70"/>
      <c r="H3146" s="131"/>
      <c r="I3146" s="3"/>
    </row>
    <row r="3147" spans="1:9" s="93" customFormat="1" ht="9" customHeight="1" x14ac:dyDescent="0.3">
      <c r="A3147" s="91"/>
      <c r="B3147" s="70"/>
      <c r="C3147" s="70"/>
      <c r="D3147" s="70"/>
      <c r="E3147" s="70"/>
      <c r="F3147" s="70"/>
      <c r="G3147" s="70"/>
      <c r="H3147" s="131"/>
      <c r="I3147" s="3"/>
    </row>
    <row r="3148" spans="1:9" s="93" customFormat="1" ht="9" customHeight="1" x14ac:dyDescent="0.3">
      <c r="A3148" s="91"/>
      <c r="B3148" s="70"/>
      <c r="C3148" s="70"/>
      <c r="D3148" s="70"/>
      <c r="E3148" s="70"/>
      <c r="F3148" s="70"/>
      <c r="G3148" s="70"/>
      <c r="H3148" s="131"/>
      <c r="I3148" s="3"/>
    </row>
    <row r="3149" spans="1:9" s="93" customFormat="1" ht="9" customHeight="1" x14ac:dyDescent="0.3">
      <c r="A3149" s="91"/>
      <c r="B3149" s="70"/>
      <c r="C3149" s="70"/>
      <c r="D3149" s="70"/>
      <c r="E3149" s="70"/>
      <c r="F3149" s="70"/>
      <c r="G3149" s="70"/>
      <c r="H3149" s="131"/>
      <c r="I3149" s="3"/>
    </row>
    <row r="3150" spans="1:9" s="93" customFormat="1" ht="9" customHeight="1" x14ac:dyDescent="0.3">
      <c r="A3150" s="91"/>
      <c r="B3150" s="70"/>
      <c r="C3150" s="70"/>
      <c r="D3150" s="70"/>
      <c r="E3150" s="70"/>
      <c r="F3150" s="70"/>
      <c r="G3150" s="70"/>
      <c r="H3150" s="131"/>
      <c r="I3150" s="3"/>
    </row>
    <row r="3151" spans="1:9" s="93" customFormat="1" ht="9" customHeight="1" x14ac:dyDescent="0.3">
      <c r="A3151" s="91"/>
      <c r="B3151" s="70"/>
      <c r="C3151" s="70"/>
      <c r="D3151" s="70"/>
      <c r="E3151" s="70"/>
      <c r="F3151" s="70"/>
      <c r="G3151" s="70"/>
      <c r="H3151" s="131"/>
      <c r="I3151" s="3"/>
    </row>
    <row r="3152" spans="1:9" s="93" customFormat="1" ht="9" customHeight="1" x14ac:dyDescent="0.3">
      <c r="A3152" s="91"/>
      <c r="B3152" s="70"/>
      <c r="C3152" s="70"/>
      <c r="D3152" s="70"/>
      <c r="E3152" s="70"/>
      <c r="F3152" s="70"/>
      <c r="G3152" s="70"/>
      <c r="H3152" s="131"/>
      <c r="I3152" s="3"/>
    </row>
    <row r="3153" spans="1:9" s="93" customFormat="1" ht="9" customHeight="1" x14ac:dyDescent="0.3">
      <c r="A3153" s="91"/>
      <c r="B3153" s="70"/>
      <c r="C3153" s="70"/>
      <c r="D3153" s="70"/>
      <c r="E3153" s="70"/>
      <c r="F3153" s="70"/>
      <c r="G3153" s="70"/>
      <c r="H3153" s="131"/>
      <c r="I3153" s="3"/>
    </row>
    <row r="3154" spans="1:9" s="93" customFormat="1" ht="9" customHeight="1" x14ac:dyDescent="0.3">
      <c r="A3154" s="91"/>
      <c r="B3154" s="70"/>
      <c r="C3154" s="70"/>
      <c r="D3154" s="70"/>
      <c r="E3154" s="70"/>
      <c r="F3154" s="70"/>
      <c r="G3154" s="70"/>
      <c r="H3154" s="131"/>
      <c r="I3154" s="3"/>
    </row>
    <row r="3155" spans="1:9" s="93" customFormat="1" ht="9" customHeight="1" x14ac:dyDescent="0.3">
      <c r="A3155" s="91"/>
      <c r="B3155" s="70"/>
      <c r="C3155" s="70"/>
      <c r="D3155" s="70"/>
      <c r="E3155" s="70"/>
      <c r="F3155" s="70"/>
      <c r="G3155" s="70"/>
      <c r="H3155" s="131"/>
      <c r="I3155" s="3"/>
    </row>
    <row r="3156" spans="1:9" s="93" customFormat="1" ht="9" customHeight="1" x14ac:dyDescent="0.3">
      <c r="A3156" s="91"/>
      <c r="B3156" s="70"/>
      <c r="C3156" s="70"/>
      <c r="D3156" s="70"/>
      <c r="E3156" s="70"/>
      <c r="F3156" s="70"/>
      <c r="G3156" s="70"/>
      <c r="H3156" s="131"/>
      <c r="I3156" s="3"/>
    </row>
    <row r="3157" spans="1:9" s="93" customFormat="1" ht="9" customHeight="1" x14ac:dyDescent="0.3">
      <c r="A3157" s="91"/>
      <c r="B3157" s="70"/>
      <c r="C3157" s="70"/>
      <c r="D3157" s="70"/>
      <c r="E3157" s="70"/>
      <c r="F3157" s="70"/>
      <c r="G3157" s="70"/>
      <c r="H3157" s="131"/>
      <c r="I3157" s="3"/>
    </row>
    <row r="3158" spans="1:9" s="93" customFormat="1" ht="9" customHeight="1" x14ac:dyDescent="0.3">
      <c r="A3158" s="91"/>
      <c r="B3158" s="70"/>
      <c r="C3158" s="70"/>
      <c r="D3158" s="70"/>
      <c r="E3158" s="70"/>
      <c r="F3158" s="70"/>
      <c r="G3158" s="70"/>
      <c r="H3158" s="131"/>
      <c r="I3158" s="3"/>
    </row>
    <row r="3159" spans="1:9" s="93" customFormat="1" ht="9" customHeight="1" x14ac:dyDescent="0.3">
      <c r="A3159" s="91"/>
      <c r="B3159" s="70"/>
      <c r="C3159" s="70"/>
      <c r="D3159" s="70"/>
      <c r="E3159" s="70"/>
      <c r="F3159" s="70"/>
      <c r="G3159" s="70"/>
      <c r="H3159" s="131"/>
      <c r="I3159" s="3"/>
    </row>
    <row r="3160" spans="1:9" s="93" customFormat="1" ht="9" customHeight="1" x14ac:dyDescent="0.3">
      <c r="A3160" s="91"/>
      <c r="B3160" s="70"/>
      <c r="C3160" s="70"/>
      <c r="D3160" s="70"/>
      <c r="E3160" s="70"/>
      <c r="F3160" s="70"/>
      <c r="G3160" s="70"/>
      <c r="H3160" s="131"/>
      <c r="I3160" s="3"/>
    </row>
    <row r="3161" spans="1:9" s="93" customFormat="1" ht="9" customHeight="1" x14ac:dyDescent="0.3">
      <c r="A3161" s="91"/>
      <c r="B3161" s="70"/>
      <c r="C3161" s="70"/>
      <c r="D3161" s="70"/>
      <c r="E3161" s="70"/>
      <c r="F3161" s="70"/>
      <c r="G3161" s="70"/>
      <c r="H3161" s="131"/>
      <c r="I3161" s="3"/>
    </row>
    <row r="3162" spans="1:9" s="93" customFormat="1" ht="9" customHeight="1" x14ac:dyDescent="0.3">
      <c r="A3162" s="91"/>
      <c r="B3162" s="70"/>
      <c r="C3162" s="70"/>
      <c r="D3162" s="70"/>
      <c r="E3162" s="70"/>
      <c r="F3162" s="70"/>
      <c r="G3162" s="70"/>
      <c r="H3162" s="131"/>
      <c r="I3162" s="3"/>
    </row>
    <row r="3163" spans="1:9" s="93" customFormat="1" ht="9" customHeight="1" x14ac:dyDescent="0.3">
      <c r="A3163" s="91"/>
      <c r="B3163" s="70"/>
      <c r="C3163" s="70"/>
      <c r="D3163" s="70"/>
      <c r="E3163" s="70"/>
      <c r="F3163" s="70"/>
      <c r="G3163" s="70"/>
      <c r="H3163" s="131"/>
      <c r="I3163" s="3"/>
    </row>
    <row r="3164" spans="1:9" s="93" customFormat="1" ht="9" customHeight="1" x14ac:dyDescent="0.3">
      <c r="A3164" s="91"/>
      <c r="B3164" s="70"/>
      <c r="C3164" s="70"/>
      <c r="D3164" s="70"/>
      <c r="E3164" s="70"/>
      <c r="F3164" s="70"/>
      <c r="G3164" s="70"/>
      <c r="H3164" s="131"/>
      <c r="I3164" s="3"/>
    </row>
    <row r="3165" spans="1:9" s="93" customFormat="1" ht="9" customHeight="1" x14ac:dyDescent="0.3">
      <c r="A3165" s="91"/>
      <c r="B3165" s="70"/>
      <c r="C3165" s="70"/>
      <c r="D3165" s="70"/>
      <c r="E3165" s="70"/>
      <c r="F3165" s="70"/>
      <c r="G3165" s="70"/>
      <c r="H3165" s="131"/>
      <c r="I3165" s="3"/>
    </row>
    <row r="3166" spans="1:9" s="93" customFormat="1" ht="9" customHeight="1" x14ac:dyDescent="0.3">
      <c r="A3166" s="91"/>
      <c r="B3166" s="70"/>
      <c r="C3166" s="70"/>
      <c r="D3166" s="70"/>
      <c r="E3166" s="70"/>
      <c r="F3166" s="70"/>
      <c r="G3166" s="70"/>
      <c r="H3166" s="131"/>
      <c r="I3166" s="3"/>
    </row>
    <row r="3167" spans="1:9" s="93" customFormat="1" ht="9" customHeight="1" x14ac:dyDescent="0.3">
      <c r="A3167" s="91"/>
      <c r="B3167" s="70"/>
      <c r="C3167" s="70"/>
      <c r="D3167" s="70"/>
      <c r="E3167" s="70"/>
      <c r="F3167" s="70"/>
      <c r="G3167" s="70"/>
      <c r="H3167" s="131"/>
      <c r="I3167" s="3"/>
    </row>
    <row r="3168" spans="1:9" s="93" customFormat="1" ht="9" customHeight="1" x14ac:dyDescent="0.3">
      <c r="A3168" s="91"/>
      <c r="B3168" s="70"/>
      <c r="C3168" s="70"/>
      <c r="D3168" s="70"/>
      <c r="E3168" s="70"/>
      <c r="F3168" s="70"/>
      <c r="G3168" s="70"/>
      <c r="H3168" s="131"/>
      <c r="I3168" s="3"/>
    </row>
    <row r="3169" spans="1:9" s="93" customFormat="1" ht="9" customHeight="1" x14ac:dyDescent="0.3">
      <c r="A3169" s="91"/>
      <c r="B3169" s="70"/>
      <c r="C3169" s="70"/>
      <c r="D3169" s="70"/>
      <c r="E3169" s="70"/>
      <c r="F3169" s="70"/>
      <c r="G3169" s="70"/>
      <c r="H3169" s="131"/>
      <c r="I3169" s="3"/>
    </row>
    <row r="3170" spans="1:9" s="93" customFormat="1" ht="9" customHeight="1" x14ac:dyDescent="0.3">
      <c r="A3170" s="91"/>
      <c r="B3170" s="70"/>
      <c r="C3170" s="70"/>
      <c r="D3170" s="70"/>
      <c r="E3170" s="70"/>
      <c r="F3170" s="70"/>
      <c r="G3170" s="70"/>
      <c r="H3170" s="131"/>
      <c r="I3170" s="3"/>
    </row>
    <row r="3171" spans="1:9" s="93" customFormat="1" ht="9" customHeight="1" x14ac:dyDescent="0.3">
      <c r="A3171" s="91"/>
      <c r="B3171" s="70"/>
      <c r="C3171" s="70"/>
      <c r="D3171" s="70"/>
      <c r="E3171" s="70"/>
      <c r="F3171" s="70"/>
      <c r="G3171" s="70"/>
      <c r="H3171" s="131"/>
      <c r="I3171" s="3"/>
    </row>
    <row r="3172" spans="1:9" s="93" customFormat="1" ht="9" customHeight="1" x14ac:dyDescent="0.3">
      <c r="A3172" s="91"/>
      <c r="B3172" s="70"/>
      <c r="C3172" s="70"/>
      <c r="D3172" s="70"/>
      <c r="E3172" s="70"/>
      <c r="F3172" s="70"/>
      <c r="G3172" s="70"/>
      <c r="H3172" s="131"/>
      <c r="I3172" s="3"/>
    </row>
    <row r="3173" spans="1:9" s="93" customFormat="1" ht="9" customHeight="1" x14ac:dyDescent="0.3">
      <c r="A3173" s="91"/>
      <c r="B3173" s="70"/>
      <c r="C3173" s="70"/>
      <c r="D3173" s="70"/>
      <c r="E3173" s="70"/>
      <c r="F3173" s="70"/>
      <c r="G3173" s="70"/>
      <c r="H3173" s="131"/>
      <c r="I3173" s="3"/>
    </row>
    <row r="3174" spans="1:9" s="93" customFormat="1" ht="9" customHeight="1" x14ac:dyDescent="0.3">
      <c r="A3174" s="91"/>
      <c r="B3174" s="70"/>
      <c r="C3174" s="70"/>
      <c r="D3174" s="70"/>
      <c r="E3174" s="70"/>
      <c r="F3174" s="70"/>
      <c r="G3174" s="70"/>
      <c r="H3174" s="131"/>
      <c r="I3174" s="3"/>
    </row>
    <row r="3175" spans="1:9" s="93" customFormat="1" ht="9" customHeight="1" x14ac:dyDescent="0.3">
      <c r="A3175" s="91"/>
      <c r="B3175" s="70"/>
      <c r="C3175" s="70"/>
      <c r="D3175" s="70"/>
      <c r="E3175" s="70"/>
      <c r="F3175" s="70"/>
      <c r="G3175" s="70"/>
      <c r="H3175" s="131"/>
      <c r="I3175" s="3"/>
    </row>
    <row r="3176" spans="1:9" s="93" customFormat="1" ht="9" customHeight="1" x14ac:dyDescent="0.3">
      <c r="A3176" s="91"/>
      <c r="B3176" s="70"/>
      <c r="C3176" s="70"/>
      <c r="D3176" s="70"/>
      <c r="E3176" s="70"/>
      <c r="F3176" s="70"/>
      <c r="G3176" s="70"/>
      <c r="H3176" s="131"/>
      <c r="I3176" s="3"/>
    </row>
    <row r="3177" spans="1:9" s="93" customFormat="1" ht="9" customHeight="1" x14ac:dyDescent="0.3">
      <c r="A3177" s="91"/>
      <c r="B3177" s="70"/>
      <c r="C3177" s="70"/>
      <c r="D3177" s="70"/>
      <c r="E3177" s="70"/>
      <c r="F3177" s="70"/>
      <c r="G3177" s="70"/>
      <c r="H3177" s="131"/>
      <c r="I3177" s="3"/>
    </row>
    <row r="3178" spans="1:9" s="93" customFormat="1" ht="9" customHeight="1" x14ac:dyDescent="0.3">
      <c r="A3178" s="91"/>
      <c r="B3178" s="70"/>
      <c r="C3178" s="70"/>
      <c r="D3178" s="70"/>
      <c r="E3178" s="70"/>
      <c r="F3178" s="70"/>
      <c r="G3178" s="70"/>
      <c r="H3178" s="131"/>
      <c r="I3178" s="3"/>
    </row>
    <row r="3179" spans="1:9" s="93" customFormat="1" ht="9" customHeight="1" x14ac:dyDescent="0.3">
      <c r="A3179" s="91"/>
      <c r="B3179" s="70"/>
      <c r="C3179" s="70"/>
      <c r="D3179" s="70"/>
      <c r="E3179" s="70"/>
      <c r="F3179" s="70"/>
      <c r="G3179" s="70"/>
      <c r="H3179" s="131"/>
      <c r="I3179" s="3"/>
    </row>
    <row r="3180" spans="1:9" s="93" customFormat="1" ht="9" customHeight="1" x14ac:dyDescent="0.3">
      <c r="A3180" s="91"/>
      <c r="B3180" s="70"/>
      <c r="C3180" s="70"/>
      <c r="D3180" s="70"/>
      <c r="E3180" s="70"/>
      <c r="F3180" s="70"/>
      <c r="G3180" s="70"/>
      <c r="H3180" s="131"/>
      <c r="I3180" s="3"/>
    </row>
    <row r="3181" spans="1:9" s="93" customFormat="1" ht="9" customHeight="1" x14ac:dyDescent="0.3">
      <c r="A3181" s="91"/>
      <c r="B3181" s="70"/>
      <c r="C3181" s="70"/>
      <c r="D3181" s="70"/>
      <c r="E3181" s="70"/>
      <c r="F3181" s="70"/>
      <c r="G3181" s="70"/>
      <c r="H3181" s="131"/>
      <c r="I3181" s="3"/>
    </row>
    <row r="3182" spans="1:9" s="93" customFormat="1" ht="9" customHeight="1" x14ac:dyDescent="0.3">
      <c r="A3182" s="91"/>
      <c r="B3182" s="70"/>
      <c r="C3182" s="70"/>
      <c r="D3182" s="70"/>
      <c r="E3182" s="70"/>
      <c r="F3182" s="70"/>
      <c r="G3182" s="70"/>
      <c r="H3182" s="131"/>
      <c r="I3182" s="3"/>
    </row>
    <row r="3183" spans="1:9" s="93" customFormat="1" ht="9" customHeight="1" x14ac:dyDescent="0.3">
      <c r="A3183" s="91"/>
      <c r="B3183" s="70"/>
      <c r="C3183" s="70"/>
      <c r="D3183" s="70"/>
      <c r="E3183" s="70"/>
      <c r="F3183" s="70"/>
      <c r="G3183" s="70"/>
      <c r="H3183" s="131"/>
      <c r="I3183" s="3"/>
    </row>
    <row r="3184" spans="1:9" s="93" customFormat="1" ht="9" customHeight="1" x14ac:dyDescent="0.3">
      <c r="A3184" s="91"/>
      <c r="B3184" s="70"/>
      <c r="C3184" s="70"/>
      <c r="D3184" s="70"/>
      <c r="E3184" s="70"/>
      <c r="F3184" s="70"/>
      <c r="G3184" s="70"/>
      <c r="H3184" s="131"/>
      <c r="I3184" s="3"/>
    </row>
    <row r="3185" spans="1:9" s="93" customFormat="1" ht="9" customHeight="1" x14ac:dyDescent="0.3">
      <c r="A3185" s="91"/>
      <c r="B3185" s="70"/>
      <c r="C3185" s="70"/>
      <c r="D3185" s="70"/>
      <c r="E3185" s="70"/>
      <c r="F3185" s="70"/>
      <c r="G3185" s="70"/>
      <c r="H3185" s="131"/>
      <c r="I3185" s="3"/>
    </row>
    <row r="3186" spans="1:9" s="93" customFormat="1" ht="9" customHeight="1" x14ac:dyDescent="0.3">
      <c r="A3186" s="91"/>
      <c r="B3186" s="70"/>
      <c r="C3186" s="70"/>
      <c r="D3186" s="70"/>
      <c r="E3186" s="70"/>
      <c r="F3186" s="70"/>
      <c r="G3186" s="70"/>
      <c r="H3186" s="131"/>
      <c r="I3186" s="3"/>
    </row>
    <row r="3187" spans="1:9" s="93" customFormat="1" ht="9" customHeight="1" x14ac:dyDescent="0.3">
      <c r="A3187" s="91"/>
      <c r="B3187" s="70"/>
      <c r="C3187" s="70"/>
      <c r="D3187" s="70"/>
      <c r="E3187" s="70"/>
      <c r="F3187" s="70"/>
      <c r="G3187" s="70"/>
      <c r="H3187" s="131"/>
      <c r="I3187" s="3"/>
    </row>
    <row r="3188" spans="1:9" s="93" customFormat="1" ht="9" customHeight="1" x14ac:dyDescent="0.3">
      <c r="A3188" s="91"/>
      <c r="B3188" s="70"/>
      <c r="C3188" s="70"/>
      <c r="D3188" s="70"/>
      <c r="E3188" s="70"/>
      <c r="F3188" s="70"/>
      <c r="G3188" s="70"/>
      <c r="H3188" s="131"/>
      <c r="I3188" s="3"/>
    </row>
    <row r="3189" spans="1:9" s="93" customFormat="1" ht="9" customHeight="1" x14ac:dyDescent="0.3">
      <c r="A3189" s="91"/>
      <c r="B3189" s="70"/>
      <c r="C3189" s="70"/>
      <c r="D3189" s="70"/>
      <c r="E3189" s="70"/>
      <c r="F3189" s="70"/>
      <c r="G3189" s="70"/>
      <c r="H3189" s="131"/>
      <c r="I3189" s="3"/>
    </row>
    <row r="3190" spans="1:9" s="93" customFormat="1" ht="9" customHeight="1" x14ac:dyDescent="0.3">
      <c r="A3190" s="91"/>
      <c r="B3190" s="70"/>
      <c r="C3190" s="70"/>
      <c r="D3190" s="70"/>
      <c r="E3190" s="70"/>
      <c r="F3190" s="70"/>
      <c r="G3190" s="70"/>
      <c r="H3190" s="131"/>
      <c r="I3190" s="3"/>
    </row>
    <row r="3191" spans="1:9" s="93" customFormat="1" ht="9" customHeight="1" x14ac:dyDescent="0.3">
      <c r="A3191" s="91"/>
      <c r="B3191" s="70"/>
      <c r="C3191" s="70"/>
      <c r="D3191" s="70"/>
      <c r="E3191" s="70"/>
      <c r="F3191" s="70"/>
      <c r="G3191" s="70"/>
      <c r="H3191" s="131"/>
      <c r="I3191" s="3"/>
    </row>
    <row r="3192" spans="1:9" s="93" customFormat="1" ht="9" customHeight="1" x14ac:dyDescent="0.3">
      <c r="A3192" s="91"/>
      <c r="B3192" s="70"/>
      <c r="C3192" s="70"/>
      <c r="D3192" s="70"/>
      <c r="E3192" s="70"/>
      <c r="F3192" s="70"/>
      <c r="G3192" s="70"/>
      <c r="H3192" s="131"/>
      <c r="I3192" s="3"/>
    </row>
    <row r="3193" spans="1:9" s="93" customFormat="1" ht="9" customHeight="1" x14ac:dyDescent="0.3">
      <c r="A3193" s="91"/>
      <c r="B3193" s="70"/>
      <c r="C3193" s="70"/>
      <c r="D3193" s="70"/>
      <c r="E3193" s="70"/>
      <c r="F3193" s="70"/>
      <c r="G3193" s="70"/>
      <c r="H3193" s="131"/>
      <c r="I3193" s="3"/>
    </row>
    <row r="3194" spans="1:9" s="93" customFormat="1" ht="9" customHeight="1" x14ac:dyDescent="0.3">
      <c r="A3194" s="91"/>
      <c r="B3194" s="70"/>
      <c r="C3194" s="70"/>
      <c r="D3194" s="70"/>
      <c r="E3194" s="70"/>
      <c r="F3194" s="70"/>
      <c r="G3194" s="70"/>
      <c r="H3194" s="131"/>
      <c r="I3194" s="3"/>
    </row>
    <row r="3195" spans="1:9" s="93" customFormat="1" ht="9" customHeight="1" x14ac:dyDescent="0.3">
      <c r="A3195" s="91"/>
      <c r="B3195" s="70"/>
      <c r="C3195" s="70"/>
      <c r="D3195" s="70"/>
      <c r="E3195" s="70"/>
      <c r="F3195" s="70"/>
      <c r="G3195" s="70"/>
      <c r="H3195" s="131"/>
      <c r="I3195" s="3"/>
    </row>
    <row r="3196" spans="1:9" s="93" customFormat="1" ht="9" customHeight="1" x14ac:dyDescent="0.3">
      <c r="A3196" s="91"/>
      <c r="B3196" s="70"/>
      <c r="C3196" s="70"/>
      <c r="D3196" s="70"/>
      <c r="E3196" s="70"/>
      <c r="F3196" s="70"/>
      <c r="G3196" s="70"/>
      <c r="H3196" s="131"/>
      <c r="I3196" s="3"/>
    </row>
    <row r="3197" spans="1:9" s="93" customFormat="1" ht="9" customHeight="1" x14ac:dyDescent="0.3">
      <c r="A3197" s="91"/>
      <c r="B3197" s="70"/>
      <c r="C3197" s="70"/>
      <c r="D3197" s="70"/>
      <c r="E3197" s="70"/>
      <c r="F3197" s="70"/>
      <c r="G3197" s="70"/>
      <c r="H3197" s="131"/>
      <c r="I3197" s="3"/>
    </row>
    <row r="3198" spans="1:9" s="93" customFormat="1" ht="9" customHeight="1" x14ac:dyDescent="0.3">
      <c r="A3198" s="91"/>
      <c r="B3198" s="70"/>
      <c r="C3198" s="70"/>
      <c r="D3198" s="70"/>
      <c r="E3198" s="70"/>
      <c r="F3198" s="70"/>
      <c r="G3198" s="70"/>
      <c r="H3198" s="131"/>
      <c r="I3198" s="3"/>
    </row>
    <row r="3199" spans="1:9" s="93" customFormat="1" ht="9" customHeight="1" x14ac:dyDescent="0.3">
      <c r="A3199" s="91"/>
      <c r="B3199" s="70"/>
      <c r="C3199" s="70"/>
      <c r="D3199" s="70"/>
      <c r="E3199" s="70"/>
      <c r="F3199" s="70"/>
      <c r="G3199" s="70"/>
      <c r="H3199" s="131"/>
      <c r="I3199" s="3"/>
    </row>
    <row r="3200" spans="1:9" s="93" customFormat="1" ht="9" customHeight="1" x14ac:dyDescent="0.3">
      <c r="A3200" s="91"/>
      <c r="B3200" s="70"/>
      <c r="C3200" s="70"/>
      <c r="D3200" s="70"/>
      <c r="E3200" s="70"/>
      <c r="F3200" s="70"/>
      <c r="G3200" s="70"/>
      <c r="H3200" s="131"/>
      <c r="I3200" s="3"/>
    </row>
    <row r="3201" spans="1:9" s="93" customFormat="1" ht="9" customHeight="1" x14ac:dyDescent="0.3">
      <c r="A3201" s="91"/>
      <c r="B3201" s="70"/>
      <c r="C3201" s="70"/>
      <c r="D3201" s="70"/>
      <c r="E3201" s="70"/>
      <c r="F3201" s="70"/>
      <c r="G3201" s="70"/>
      <c r="H3201" s="131"/>
      <c r="I3201" s="3"/>
    </row>
    <row r="3202" spans="1:9" s="93" customFormat="1" ht="9" customHeight="1" x14ac:dyDescent="0.3">
      <c r="A3202" s="91"/>
      <c r="B3202" s="70"/>
      <c r="C3202" s="70"/>
      <c r="D3202" s="70"/>
      <c r="E3202" s="70"/>
      <c r="F3202" s="70"/>
      <c r="G3202" s="70"/>
      <c r="H3202" s="131"/>
      <c r="I3202" s="3"/>
    </row>
    <row r="3203" spans="1:9" s="93" customFormat="1" ht="9" customHeight="1" x14ac:dyDescent="0.3">
      <c r="A3203" s="91"/>
      <c r="B3203" s="70"/>
      <c r="C3203" s="70"/>
      <c r="D3203" s="70"/>
      <c r="E3203" s="70"/>
      <c r="F3203" s="70"/>
      <c r="G3203" s="70"/>
      <c r="H3203" s="131"/>
      <c r="I3203" s="3"/>
    </row>
    <row r="3204" spans="1:9" s="93" customFormat="1" ht="9" customHeight="1" x14ac:dyDescent="0.3">
      <c r="A3204" s="91"/>
      <c r="B3204" s="70"/>
      <c r="C3204" s="70"/>
      <c r="D3204" s="70"/>
      <c r="E3204" s="70"/>
      <c r="F3204" s="70"/>
      <c r="G3204" s="70"/>
      <c r="H3204" s="131"/>
      <c r="I3204" s="3"/>
    </row>
    <row r="3205" spans="1:9" s="93" customFormat="1" ht="9" customHeight="1" x14ac:dyDescent="0.3">
      <c r="A3205" s="91"/>
      <c r="B3205" s="70"/>
      <c r="C3205" s="70"/>
      <c r="D3205" s="70"/>
      <c r="E3205" s="70"/>
      <c r="F3205" s="70"/>
      <c r="G3205" s="70"/>
      <c r="H3205" s="131"/>
      <c r="I3205" s="3"/>
    </row>
    <row r="3206" spans="1:9" s="93" customFormat="1" ht="9" customHeight="1" x14ac:dyDescent="0.3">
      <c r="A3206" s="91"/>
      <c r="B3206" s="70"/>
      <c r="C3206" s="70"/>
      <c r="D3206" s="70"/>
      <c r="E3206" s="70"/>
      <c r="F3206" s="70"/>
      <c r="G3206" s="70"/>
      <c r="H3206" s="131"/>
      <c r="I3206" s="3"/>
    </row>
    <row r="3207" spans="1:9" s="93" customFormat="1" ht="9" customHeight="1" x14ac:dyDescent="0.3">
      <c r="A3207" s="91"/>
      <c r="B3207" s="70"/>
      <c r="C3207" s="70"/>
      <c r="D3207" s="70"/>
      <c r="E3207" s="70"/>
      <c r="F3207" s="70"/>
      <c r="G3207" s="70"/>
      <c r="H3207" s="131"/>
      <c r="I3207" s="3"/>
    </row>
    <row r="3208" spans="1:9" s="93" customFormat="1" ht="9" customHeight="1" x14ac:dyDescent="0.3">
      <c r="A3208" s="91"/>
      <c r="B3208" s="70"/>
      <c r="C3208" s="70"/>
      <c r="D3208" s="70"/>
      <c r="E3208" s="70"/>
      <c r="F3208" s="70"/>
      <c r="G3208" s="70"/>
      <c r="H3208" s="131"/>
      <c r="I3208" s="3"/>
    </row>
    <row r="3209" spans="1:9" s="93" customFormat="1" ht="9" customHeight="1" x14ac:dyDescent="0.3">
      <c r="A3209" s="91"/>
      <c r="B3209" s="70"/>
      <c r="C3209" s="70"/>
      <c r="D3209" s="70"/>
      <c r="E3209" s="70"/>
      <c r="F3209" s="70"/>
      <c r="G3209" s="70"/>
      <c r="H3209" s="131"/>
      <c r="I3209" s="3"/>
    </row>
    <row r="3210" spans="1:9" s="93" customFormat="1" ht="9" customHeight="1" x14ac:dyDescent="0.3">
      <c r="A3210" s="91"/>
      <c r="B3210" s="70"/>
      <c r="C3210" s="70"/>
      <c r="D3210" s="70"/>
      <c r="E3210" s="70"/>
      <c r="F3210" s="70"/>
      <c r="G3210" s="70"/>
      <c r="H3210" s="131"/>
      <c r="I3210" s="3"/>
    </row>
    <row r="3211" spans="1:9" s="93" customFormat="1" ht="9" customHeight="1" x14ac:dyDescent="0.3">
      <c r="A3211" s="91"/>
      <c r="B3211" s="70"/>
      <c r="C3211" s="70"/>
      <c r="D3211" s="70"/>
      <c r="E3211" s="70"/>
      <c r="F3211" s="70"/>
      <c r="G3211" s="70"/>
      <c r="H3211" s="131"/>
      <c r="I3211" s="3"/>
    </row>
    <row r="3212" spans="1:9" s="93" customFormat="1" ht="9" customHeight="1" x14ac:dyDescent="0.3">
      <c r="A3212" s="91"/>
      <c r="B3212" s="70"/>
      <c r="C3212" s="70"/>
      <c r="D3212" s="70"/>
      <c r="E3212" s="70"/>
      <c r="F3212" s="70"/>
      <c r="G3212" s="70"/>
      <c r="H3212" s="131"/>
      <c r="I3212" s="3"/>
    </row>
    <row r="3213" spans="1:9" s="93" customFormat="1" ht="9" customHeight="1" x14ac:dyDescent="0.3">
      <c r="A3213" s="91"/>
      <c r="B3213" s="70"/>
      <c r="C3213" s="70"/>
      <c r="D3213" s="70"/>
      <c r="E3213" s="70"/>
      <c r="F3213" s="70"/>
      <c r="G3213" s="70"/>
      <c r="H3213" s="131"/>
      <c r="I3213" s="3"/>
    </row>
    <row r="3214" spans="1:9" s="93" customFormat="1" ht="9" customHeight="1" x14ac:dyDescent="0.3">
      <c r="A3214" s="91"/>
      <c r="B3214" s="70"/>
      <c r="C3214" s="70"/>
      <c r="D3214" s="70"/>
      <c r="E3214" s="70"/>
      <c r="F3214" s="70"/>
      <c r="G3214" s="70"/>
      <c r="H3214" s="131"/>
      <c r="I3214" s="3"/>
    </row>
    <row r="3215" spans="1:9" s="93" customFormat="1" ht="9" customHeight="1" x14ac:dyDescent="0.3">
      <c r="A3215" s="91"/>
      <c r="B3215" s="70"/>
      <c r="C3215" s="70"/>
      <c r="D3215" s="70"/>
      <c r="E3215" s="70"/>
      <c r="F3215" s="70"/>
      <c r="G3215" s="70"/>
      <c r="H3215" s="131"/>
      <c r="I3215" s="3"/>
    </row>
    <row r="3216" spans="1:9" s="93" customFormat="1" ht="9" customHeight="1" x14ac:dyDescent="0.3">
      <c r="A3216" s="91"/>
      <c r="B3216" s="70"/>
      <c r="C3216" s="70"/>
      <c r="D3216" s="70"/>
      <c r="E3216" s="70"/>
      <c r="F3216" s="70"/>
      <c r="G3216" s="70"/>
      <c r="H3216" s="131"/>
      <c r="I3216" s="3"/>
    </row>
    <row r="3217" spans="1:9" s="93" customFormat="1" ht="9" customHeight="1" x14ac:dyDescent="0.3">
      <c r="A3217" s="91"/>
      <c r="B3217" s="70"/>
      <c r="C3217" s="70"/>
      <c r="D3217" s="70"/>
      <c r="E3217" s="70"/>
      <c r="F3217" s="70"/>
      <c r="G3217" s="70"/>
      <c r="H3217" s="131"/>
      <c r="I3217" s="3"/>
    </row>
    <row r="3218" spans="1:9" s="93" customFormat="1" ht="9" customHeight="1" x14ac:dyDescent="0.3">
      <c r="A3218" s="91"/>
      <c r="B3218" s="70"/>
      <c r="C3218" s="70"/>
      <c r="D3218" s="70"/>
      <c r="E3218" s="70"/>
      <c r="F3218" s="70"/>
      <c r="G3218" s="70"/>
      <c r="H3218" s="131"/>
      <c r="I3218" s="3"/>
    </row>
    <row r="3219" spans="1:9" s="93" customFormat="1" ht="9" customHeight="1" x14ac:dyDescent="0.3">
      <c r="A3219" s="91"/>
      <c r="B3219" s="70"/>
      <c r="C3219" s="70"/>
      <c r="D3219" s="70"/>
      <c r="E3219" s="70"/>
      <c r="F3219" s="70"/>
      <c r="G3219" s="70"/>
      <c r="H3219" s="131"/>
      <c r="I3219" s="3"/>
    </row>
    <row r="3220" spans="1:9" s="93" customFormat="1" ht="9" customHeight="1" x14ac:dyDescent="0.3">
      <c r="A3220" s="91"/>
      <c r="B3220" s="70"/>
      <c r="C3220" s="70"/>
      <c r="D3220" s="70"/>
      <c r="E3220" s="70"/>
      <c r="F3220" s="70"/>
      <c r="G3220" s="70"/>
      <c r="H3220" s="131"/>
      <c r="I3220" s="3"/>
    </row>
    <row r="3221" spans="1:9" s="93" customFormat="1" ht="9" customHeight="1" x14ac:dyDescent="0.3">
      <c r="A3221" s="91"/>
      <c r="B3221" s="70"/>
      <c r="C3221" s="70"/>
      <c r="D3221" s="70"/>
      <c r="E3221" s="70"/>
      <c r="F3221" s="70"/>
      <c r="G3221" s="70"/>
      <c r="H3221" s="131"/>
      <c r="I3221" s="3"/>
    </row>
    <row r="3222" spans="1:9" s="93" customFormat="1" ht="9" customHeight="1" x14ac:dyDescent="0.3">
      <c r="A3222" s="91"/>
      <c r="B3222" s="70"/>
      <c r="C3222" s="70"/>
      <c r="D3222" s="70"/>
      <c r="E3222" s="70"/>
      <c r="F3222" s="70"/>
      <c r="G3222" s="70"/>
      <c r="H3222" s="131"/>
      <c r="I3222" s="3"/>
    </row>
    <row r="3223" spans="1:9" s="93" customFormat="1" ht="9" customHeight="1" x14ac:dyDescent="0.3">
      <c r="A3223" s="91"/>
      <c r="B3223" s="70"/>
      <c r="C3223" s="70"/>
      <c r="D3223" s="70"/>
      <c r="E3223" s="70"/>
      <c r="F3223" s="70"/>
      <c r="G3223" s="70"/>
      <c r="H3223" s="131"/>
      <c r="I3223" s="3"/>
    </row>
    <row r="3224" spans="1:9" s="93" customFormat="1" ht="9" customHeight="1" x14ac:dyDescent="0.3">
      <c r="A3224" s="91"/>
      <c r="B3224" s="70"/>
      <c r="C3224" s="70"/>
      <c r="D3224" s="70"/>
      <c r="E3224" s="70"/>
      <c r="F3224" s="70"/>
      <c r="G3224" s="70"/>
      <c r="H3224" s="131"/>
      <c r="I3224" s="3"/>
    </row>
    <row r="3225" spans="1:9" s="93" customFormat="1" ht="9" customHeight="1" x14ac:dyDescent="0.3">
      <c r="A3225" s="91"/>
      <c r="B3225" s="70"/>
      <c r="C3225" s="70"/>
      <c r="D3225" s="70"/>
      <c r="E3225" s="70"/>
      <c r="F3225" s="70"/>
      <c r="G3225" s="70"/>
      <c r="H3225" s="131"/>
      <c r="I3225" s="3"/>
    </row>
    <row r="3226" spans="1:9" s="93" customFormat="1" ht="9" customHeight="1" x14ac:dyDescent="0.3">
      <c r="A3226" s="91"/>
      <c r="B3226" s="70"/>
      <c r="C3226" s="70"/>
      <c r="D3226" s="70"/>
      <c r="E3226" s="70"/>
      <c r="F3226" s="70"/>
      <c r="G3226" s="70"/>
      <c r="H3226" s="131"/>
      <c r="I3226" s="3"/>
    </row>
    <row r="3227" spans="1:9" s="93" customFormat="1" ht="9" customHeight="1" x14ac:dyDescent="0.3">
      <c r="A3227" s="91"/>
      <c r="B3227" s="70"/>
      <c r="C3227" s="70"/>
      <c r="D3227" s="70"/>
      <c r="E3227" s="70"/>
      <c r="F3227" s="70"/>
      <c r="G3227" s="70"/>
      <c r="H3227" s="131"/>
      <c r="I3227" s="3"/>
    </row>
    <row r="3228" spans="1:9" s="93" customFormat="1" ht="9" customHeight="1" x14ac:dyDescent="0.3">
      <c r="A3228" s="91"/>
      <c r="B3228" s="70"/>
      <c r="C3228" s="70"/>
      <c r="D3228" s="70"/>
      <c r="E3228" s="70"/>
      <c r="F3228" s="70"/>
      <c r="G3228" s="70"/>
      <c r="H3228" s="131"/>
      <c r="I3228" s="3"/>
    </row>
    <row r="3229" spans="1:9" s="93" customFormat="1" ht="9" customHeight="1" x14ac:dyDescent="0.3">
      <c r="A3229" s="91"/>
      <c r="B3229" s="70"/>
      <c r="C3229" s="70"/>
      <c r="D3229" s="70"/>
      <c r="E3229" s="70"/>
      <c r="F3229" s="70"/>
      <c r="G3229" s="70"/>
      <c r="H3229" s="131"/>
      <c r="I3229" s="3"/>
    </row>
    <row r="3230" spans="1:9" s="93" customFormat="1" ht="9" customHeight="1" x14ac:dyDescent="0.3">
      <c r="A3230" s="91"/>
      <c r="B3230" s="70"/>
      <c r="C3230" s="70"/>
      <c r="D3230" s="70"/>
      <c r="E3230" s="70"/>
      <c r="F3230" s="70"/>
      <c r="G3230" s="70"/>
      <c r="H3230" s="131"/>
      <c r="I3230" s="3"/>
    </row>
    <row r="3231" spans="1:9" s="93" customFormat="1" ht="9" customHeight="1" x14ac:dyDescent="0.3">
      <c r="A3231" s="91"/>
      <c r="B3231" s="70"/>
      <c r="C3231" s="70"/>
      <c r="D3231" s="70"/>
      <c r="E3231" s="70"/>
      <c r="F3231" s="70"/>
      <c r="G3231" s="70"/>
      <c r="H3231" s="131"/>
      <c r="I3231" s="3"/>
    </row>
    <row r="3232" spans="1:9" s="93" customFormat="1" ht="9" customHeight="1" x14ac:dyDescent="0.3">
      <c r="A3232" s="91"/>
      <c r="B3232" s="70"/>
      <c r="C3232" s="70"/>
      <c r="D3232" s="70"/>
      <c r="E3232" s="70"/>
      <c r="F3232" s="70"/>
      <c r="G3232" s="70"/>
      <c r="H3232" s="131"/>
      <c r="I3232" s="3"/>
    </row>
    <row r="3233" spans="1:9" s="93" customFormat="1" ht="9" customHeight="1" x14ac:dyDescent="0.3">
      <c r="A3233" s="91"/>
      <c r="B3233" s="70"/>
      <c r="C3233" s="70"/>
      <c r="D3233" s="70"/>
      <c r="E3233" s="70"/>
      <c r="F3233" s="70"/>
      <c r="G3233" s="70"/>
      <c r="H3233" s="131"/>
      <c r="I3233" s="3"/>
    </row>
    <row r="3234" spans="1:9" s="93" customFormat="1" ht="9" customHeight="1" x14ac:dyDescent="0.3">
      <c r="A3234" s="91"/>
      <c r="B3234" s="70"/>
      <c r="C3234" s="70"/>
      <c r="D3234" s="70"/>
      <c r="E3234" s="70"/>
      <c r="F3234" s="70"/>
      <c r="G3234" s="70"/>
      <c r="H3234" s="131"/>
      <c r="I3234" s="3"/>
    </row>
    <row r="3235" spans="1:9" s="93" customFormat="1" ht="9" customHeight="1" x14ac:dyDescent="0.3">
      <c r="A3235" s="91"/>
      <c r="B3235" s="70"/>
      <c r="C3235" s="70"/>
      <c r="D3235" s="70"/>
      <c r="E3235" s="70"/>
      <c r="F3235" s="70"/>
      <c r="G3235" s="70"/>
      <c r="H3235" s="131"/>
      <c r="I3235" s="3"/>
    </row>
    <row r="3236" spans="1:9" s="93" customFormat="1" ht="9" customHeight="1" x14ac:dyDescent="0.3">
      <c r="A3236" s="91"/>
      <c r="B3236" s="70"/>
      <c r="C3236" s="70"/>
      <c r="D3236" s="70"/>
      <c r="E3236" s="70"/>
      <c r="F3236" s="70"/>
      <c r="G3236" s="70"/>
      <c r="H3236" s="131"/>
      <c r="I3236" s="3"/>
    </row>
    <row r="3237" spans="1:9" s="93" customFormat="1" ht="9" customHeight="1" x14ac:dyDescent="0.3">
      <c r="A3237" s="91"/>
      <c r="B3237" s="70"/>
      <c r="C3237" s="70"/>
      <c r="D3237" s="70"/>
      <c r="E3237" s="70"/>
      <c r="F3237" s="70"/>
      <c r="G3237" s="70"/>
      <c r="H3237" s="131"/>
      <c r="I3237" s="3"/>
    </row>
    <row r="3238" spans="1:9" s="93" customFormat="1" ht="9" customHeight="1" x14ac:dyDescent="0.3">
      <c r="A3238" s="91"/>
      <c r="B3238" s="70"/>
      <c r="C3238" s="70"/>
      <c r="D3238" s="70"/>
      <c r="E3238" s="70"/>
      <c r="F3238" s="70"/>
      <c r="G3238" s="70"/>
      <c r="H3238" s="131"/>
      <c r="I3238" s="3"/>
    </row>
    <row r="3239" spans="1:9" s="93" customFormat="1" ht="9" customHeight="1" x14ac:dyDescent="0.3">
      <c r="A3239" s="91"/>
      <c r="B3239" s="70"/>
      <c r="C3239" s="70"/>
      <c r="D3239" s="70"/>
      <c r="E3239" s="70"/>
      <c r="F3239" s="70"/>
      <c r="G3239" s="70"/>
      <c r="H3239" s="131"/>
      <c r="I3239" s="3"/>
    </row>
    <row r="3240" spans="1:9" s="93" customFormat="1" ht="9" customHeight="1" x14ac:dyDescent="0.3">
      <c r="A3240" s="91"/>
      <c r="B3240" s="70"/>
      <c r="C3240" s="70"/>
      <c r="D3240" s="70"/>
      <c r="E3240" s="70"/>
      <c r="F3240" s="70"/>
      <c r="G3240" s="70"/>
      <c r="H3240" s="131"/>
      <c r="I3240" s="3"/>
    </row>
    <row r="3241" spans="1:9" s="93" customFormat="1" ht="9" customHeight="1" x14ac:dyDescent="0.3">
      <c r="A3241" s="91"/>
      <c r="B3241" s="70"/>
      <c r="C3241" s="70"/>
      <c r="D3241" s="70"/>
      <c r="E3241" s="70"/>
      <c r="F3241" s="70"/>
      <c r="G3241" s="70"/>
      <c r="H3241" s="131"/>
      <c r="I3241" s="3"/>
    </row>
    <row r="3242" spans="1:9" s="93" customFormat="1" ht="9" customHeight="1" x14ac:dyDescent="0.3">
      <c r="A3242" s="91"/>
      <c r="B3242" s="70"/>
      <c r="C3242" s="70"/>
      <c r="D3242" s="70"/>
      <c r="E3242" s="70"/>
      <c r="F3242" s="70"/>
      <c r="G3242" s="70"/>
      <c r="H3242" s="131"/>
      <c r="I3242" s="3"/>
    </row>
    <row r="3243" spans="1:9" s="93" customFormat="1" ht="9" customHeight="1" x14ac:dyDescent="0.3">
      <c r="A3243" s="91"/>
      <c r="B3243" s="70"/>
      <c r="C3243" s="70"/>
      <c r="D3243" s="70"/>
      <c r="E3243" s="70"/>
      <c r="F3243" s="70"/>
      <c r="G3243" s="70"/>
      <c r="H3243" s="131"/>
      <c r="I3243" s="3"/>
    </row>
    <row r="3244" spans="1:9" s="93" customFormat="1" ht="9" customHeight="1" x14ac:dyDescent="0.3">
      <c r="A3244" s="91"/>
      <c r="B3244" s="70"/>
      <c r="C3244" s="70"/>
      <c r="D3244" s="70"/>
      <c r="E3244" s="70"/>
      <c r="F3244" s="70"/>
      <c r="G3244" s="70"/>
      <c r="H3244" s="131"/>
      <c r="I3244" s="3"/>
    </row>
    <row r="3245" spans="1:9" s="93" customFormat="1" ht="9" customHeight="1" x14ac:dyDescent="0.3">
      <c r="A3245" s="91"/>
      <c r="B3245" s="70"/>
      <c r="C3245" s="70"/>
      <c r="D3245" s="70"/>
      <c r="E3245" s="70"/>
      <c r="F3245" s="70"/>
      <c r="G3245" s="70"/>
      <c r="H3245" s="131"/>
      <c r="I3245" s="3"/>
    </row>
    <row r="3246" spans="1:9" s="93" customFormat="1" ht="9" customHeight="1" x14ac:dyDescent="0.3">
      <c r="A3246" s="91"/>
      <c r="B3246" s="70"/>
      <c r="C3246" s="70"/>
      <c r="D3246" s="70"/>
      <c r="E3246" s="70"/>
      <c r="F3246" s="70"/>
      <c r="G3246" s="70"/>
      <c r="H3246" s="131"/>
      <c r="I3246" s="3"/>
    </row>
    <row r="3247" spans="1:9" s="93" customFormat="1" ht="9" customHeight="1" x14ac:dyDescent="0.3">
      <c r="A3247" s="91"/>
      <c r="B3247" s="70"/>
      <c r="C3247" s="70"/>
      <c r="D3247" s="70"/>
      <c r="E3247" s="70"/>
      <c r="F3247" s="70"/>
      <c r="G3247" s="70"/>
      <c r="H3247" s="131"/>
      <c r="I3247" s="3"/>
    </row>
    <row r="3248" spans="1:9" s="93" customFormat="1" ht="9" customHeight="1" x14ac:dyDescent="0.3">
      <c r="A3248" s="91"/>
      <c r="B3248" s="70"/>
      <c r="C3248" s="70"/>
      <c r="D3248" s="70"/>
      <c r="E3248" s="70"/>
      <c r="F3248" s="70"/>
      <c r="G3248" s="70"/>
      <c r="H3248" s="131"/>
      <c r="I3248" s="3"/>
    </row>
    <row r="3249" spans="1:9" s="93" customFormat="1" ht="9" customHeight="1" x14ac:dyDescent="0.3">
      <c r="A3249" s="91"/>
      <c r="B3249" s="70"/>
      <c r="C3249" s="70"/>
      <c r="D3249" s="70"/>
      <c r="E3249" s="70"/>
      <c r="F3249" s="70"/>
      <c r="G3249" s="70"/>
      <c r="H3249" s="131"/>
      <c r="I3249" s="3"/>
    </row>
    <row r="3250" spans="1:9" s="93" customFormat="1" ht="9" customHeight="1" x14ac:dyDescent="0.3">
      <c r="A3250" s="91"/>
      <c r="B3250" s="70"/>
      <c r="C3250" s="70"/>
      <c r="D3250" s="70"/>
      <c r="E3250" s="70"/>
      <c r="F3250" s="70"/>
      <c r="G3250" s="70"/>
      <c r="H3250" s="131"/>
      <c r="I3250" s="3"/>
    </row>
    <row r="3251" spans="1:9" s="93" customFormat="1" ht="9" customHeight="1" x14ac:dyDescent="0.3">
      <c r="A3251" s="91"/>
      <c r="B3251" s="70"/>
      <c r="C3251" s="70"/>
      <c r="D3251" s="70"/>
      <c r="E3251" s="70"/>
      <c r="F3251" s="70"/>
      <c r="G3251" s="70"/>
      <c r="H3251" s="131"/>
      <c r="I3251" s="3"/>
    </row>
    <row r="3252" spans="1:9" s="93" customFormat="1" ht="9" customHeight="1" x14ac:dyDescent="0.3">
      <c r="A3252" s="91"/>
      <c r="B3252" s="70"/>
      <c r="C3252" s="70"/>
      <c r="D3252" s="70"/>
      <c r="E3252" s="70"/>
      <c r="F3252" s="70"/>
      <c r="G3252" s="70"/>
      <c r="H3252" s="131"/>
      <c r="I3252" s="3"/>
    </row>
    <row r="3253" spans="1:9" s="93" customFormat="1" ht="9" customHeight="1" x14ac:dyDescent="0.3">
      <c r="A3253" s="91"/>
      <c r="B3253" s="70"/>
      <c r="C3253" s="70"/>
      <c r="D3253" s="70"/>
      <c r="E3253" s="70"/>
      <c r="F3253" s="70"/>
      <c r="G3253" s="70"/>
      <c r="H3253" s="131"/>
      <c r="I3253" s="3"/>
    </row>
    <row r="3254" spans="1:9" s="93" customFormat="1" ht="9" customHeight="1" x14ac:dyDescent="0.3">
      <c r="A3254" s="91"/>
      <c r="B3254" s="70"/>
      <c r="C3254" s="70"/>
      <c r="D3254" s="70"/>
      <c r="E3254" s="70"/>
      <c r="F3254" s="70"/>
      <c r="G3254" s="70"/>
      <c r="H3254" s="131"/>
      <c r="I3254" s="3"/>
    </row>
    <row r="3255" spans="1:9" s="93" customFormat="1" ht="9" customHeight="1" x14ac:dyDescent="0.3">
      <c r="A3255" s="91"/>
      <c r="B3255" s="70"/>
      <c r="C3255" s="70"/>
      <c r="D3255" s="70"/>
      <c r="E3255" s="70"/>
      <c r="F3255" s="70"/>
      <c r="G3255" s="70"/>
      <c r="H3255" s="131"/>
      <c r="I3255" s="3"/>
    </row>
    <row r="3256" spans="1:9" s="93" customFormat="1" ht="9" customHeight="1" x14ac:dyDescent="0.3">
      <c r="A3256" s="91"/>
      <c r="B3256" s="70"/>
      <c r="C3256" s="70"/>
      <c r="D3256" s="70"/>
      <c r="E3256" s="70"/>
      <c r="F3256" s="70"/>
      <c r="G3256" s="70"/>
      <c r="H3256" s="131"/>
      <c r="I3256" s="3"/>
    </row>
    <row r="3257" spans="1:9" s="93" customFormat="1" ht="9" customHeight="1" x14ac:dyDescent="0.3">
      <c r="A3257" s="91"/>
      <c r="B3257" s="70"/>
      <c r="C3257" s="70"/>
      <c r="D3257" s="70"/>
      <c r="E3257" s="70"/>
      <c r="F3257" s="70"/>
      <c r="G3257" s="70"/>
      <c r="H3257" s="131"/>
      <c r="I3257" s="3"/>
    </row>
    <row r="3258" spans="1:9" s="93" customFormat="1" ht="9" customHeight="1" x14ac:dyDescent="0.3">
      <c r="A3258" s="91"/>
      <c r="B3258" s="70"/>
      <c r="C3258" s="70"/>
      <c r="D3258" s="70"/>
      <c r="E3258" s="70"/>
      <c r="F3258" s="70"/>
      <c r="G3258" s="70"/>
      <c r="H3258" s="131"/>
      <c r="I3258" s="3"/>
    </row>
    <row r="3259" spans="1:9" s="93" customFormat="1" ht="9" customHeight="1" x14ac:dyDescent="0.3">
      <c r="A3259" s="91"/>
      <c r="B3259" s="70"/>
      <c r="C3259" s="70"/>
      <c r="D3259" s="70"/>
      <c r="E3259" s="70"/>
      <c r="F3259" s="70"/>
      <c r="G3259" s="70"/>
      <c r="H3259" s="131"/>
      <c r="I3259" s="3"/>
    </row>
    <row r="3260" spans="1:9" s="93" customFormat="1" ht="9" customHeight="1" x14ac:dyDescent="0.3">
      <c r="A3260" s="91"/>
      <c r="B3260" s="70"/>
      <c r="C3260" s="70"/>
      <c r="D3260" s="70"/>
      <c r="E3260" s="70"/>
      <c r="F3260" s="70"/>
      <c r="G3260" s="70"/>
      <c r="H3260" s="131"/>
      <c r="I3260" s="3"/>
    </row>
    <row r="3261" spans="1:9" s="93" customFormat="1" ht="9" customHeight="1" x14ac:dyDescent="0.3">
      <c r="A3261" s="91"/>
      <c r="B3261" s="70"/>
      <c r="C3261" s="70"/>
      <c r="D3261" s="70"/>
      <c r="E3261" s="70"/>
      <c r="F3261" s="70"/>
      <c r="G3261" s="70"/>
      <c r="H3261" s="131"/>
      <c r="I3261" s="3"/>
    </row>
    <row r="3262" spans="1:9" s="93" customFormat="1" ht="9" customHeight="1" x14ac:dyDescent="0.3">
      <c r="A3262" s="91"/>
      <c r="B3262" s="70"/>
      <c r="C3262" s="70"/>
      <c r="D3262" s="70"/>
      <c r="E3262" s="70"/>
      <c r="F3262" s="70"/>
      <c r="G3262" s="70"/>
      <c r="H3262" s="131"/>
      <c r="I3262" s="3"/>
    </row>
    <row r="3263" spans="1:9" s="93" customFormat="1" ht="9" customHeight="1" x14ac:dyDescent="0.3">
      <c r="A3263" s="91"/>
      <c r="B3263" s="70"/>
      <c r="C3263" s="70"/>
      <c r="D3263" s="70"/>
      <c r="E3263" s="70"/>
      <c r="F3263" s="70"/>
      <c r="G3263" s="70"/>
      <c r="H3263" s="131"/>
      <c r="I3263" s="3"/>
    </row>
    <row r="3264" spans="1:9" s="93" customFormat="1" ht="9" customHeight="1" x14ac:dyDescent="0.3">
      <c r="A3264" s="91"/>
      <c r="B3264" s="70"/>
      <c r="C3264" s="70"/>
      <c r="D3264" s="70"/>
      <c r="E3264" s="70"/>
      <c r="F3264" s="70"/>
      <c r="G3264" s="70"/>
      <c r="H3264" s="131"/>
      <c r="I3264" s="3"/>
    </row>
    <row r="3265" spans="1:9" s="93" customFormat="1" ht="9" customHeight="1" x14ac:dyDescent="0.3">
      <c r="A3265" s="91"/>
      <c r="B3265" s="70"/>
      <c r="C3265" s="70"/>
      <c r="D3265" s="70"/>
      <c r="E3265" s="70"/>
      <c r="F3265" s="70"/>
      <c r="G3265" s="70"/>
      <c r="H3265" s="131"/>
      <c r="I3265" s="3"/>
    </row>
    <row r="3266" spans="1:9" s="93" customFormat="1" ht="9" customHeight="1" x14ac:dyDescent="0.3">
      <c r="A3266" s="91"/>
      <c r="B3266" s="70"/>
      <c r="C3266" s="70"/>
      <c r="D3266" s="70"/>
      <c r="E3266" s="70"/>
      <c r="F3266" s="70"/>
      <c r="G3266" s="70"/>
      <c r="H3266" s="131"/>
      <c r="I3266" s="3"/>
    </row>
    <row r="3267" spans="1:9" s="93" customFormat="1" ht="9" customHeight="1" x14ac:dyDescent="0.3">
      <c r="A3267" s="91"/>
      <c r="B3267" s="70"/>
      <c r="C3267" s="70"/>
      <c r="D3267" s="70"/>
      <c r="E3267" s="70"/>
      <c r="F3267" s="70"/>
      <c r="G3267" s="70"/>
      <c r="H3267" s="131"/>
      <c r="I3267" s="3"/>
    </row>
    <row r="3268" spans="1:9" s="93" customFormat="1" ht="9" customHeight="1" x14ac:dyDescent="0.3">
      <c r="A3268" s="91"/>
      <c r="B3268" s="70"/>
      <c r="C3268" s="70"/>
      <c r="D3268" s="70"/>
      <c r="E3268" s="70"/>
      <c r="F3268" s="70"/>
      <c r="G3268" s="70"/>
      <c r="H3268" s="131"/>
      <c r="I3268" s="3"/>
    </row>
    <row r="3269" spans="1:9" s="93" customFormat="1" ht="9" customHeight="1" x14ac:dyDescent="0.3">
      <c r="A3269" s="91"/>
      <c r="B3269" s="70"/>
      <c r="C3269" s="70"/>
      <c r="D3269" s="70"/>
      <c r="E3269" s="70"/>
      <c r="F3269" s="70"/>
      <c r="G3269" s="70"/>
      <c r="H3269" s="131"/>
      <c r="I3269" s="3"/>
    </row>
    <row r="3270" spans="1:9" s="93" customFormat="1" ht="9" customHeight="1" x14ac:dyDescent="0.3">
      <c r="A3270" s="91"/>
      <c r="B3270" s="70"/>
      <c r="C3270" s="70"/>
      <c r="D3270" s="70"/>
      <c r="E3270" s="70"/>
      <c r="F3270" s="70"/>
      <c r="G3270" s="70"/>
      <c r="H3270" s="131"/>
      <c r="I3270" s="3"/>
    </row>
    <row r="3271" spans="1:9" s="93" customFormat="1" ht="9" customHeight="1" x14ac:dyDescent="0.3">
      <c r="A3271" s="91"/>
      <c r="B3271" s="70"/>
      <c r="C3271" s="70"/>
      <c r="D3271" s="70"/>
      <c r="E3271" s="70"/>
      <c r="F3271" s="70"/>
      <c r="G3271" s="70"/>
      <c r="H3271" s="131"/>
      <c r="I3271" s="3"/>
    </row>
    <row r="3272" spans="1:9" s="93" customFormat="1" ht="9" customHeight="1" x14ac:dyDescent="0.3">
      <c r="A3272" s="91"/>
      <c r="B3272" s="70"/>
      <c r="C3272" s="70"/>
      <c r="D3272" s="70"/>
      <c r="E3272" s="70"/>
      <c r="F3272" s="70"/>
      <c r="G3272" s="70"/>
      <c r="H3272" s="131"/>
      <c r="I3272" s="3"/>
    </row>
    <row r="3273" spans="1:9" s="93" customFormat="1" ht="9" customHeight="1" x14ac:dyDescent="0.3">
      <c r="A3273" s="91"/>
      <c r="B3273" s="70"/>
      <c r="C3273" s="70"/>
      <c r="D3273" s="70"/>
      <c r="E3273" s="70"/>
      <c r="F3273" s="70"/>
      <c r="G3273" s="70"/>
      <c r="H3273" s="131"/>
      <c r="I3273" s="3"/>
    </row>
    <row r="3274" spans="1:9" s="93" customFormat="1" ht="9" customHeight="1" x14ac:dyDescent="0.3">
      <c r="A3274" s="91"/>
      <c r="B3274" s="70"/>
      <c r="C3274" s="70"/>
      <c r="D3274" s="70"/>
      <c r="E3274" s="70"/>
      <c r="F3274" s="70"/>
      <c r="G3274" s="70"/>
      <c r="H3274" s="131"/>
      <c r="I3274" s="3"/>
    </row>
    <row r="3275" spans="1:9" s="93" customFormat="1" ht="9" customHeight="1" x14ac:dyDescent="0.3">
      <c r="A3275" s="91"/>
      <c r="B3275" s="70"/>
      <c r="C3275" s="70"/>
      <c r="D3275" s="70"/>
      <c r="E3275" s="70"/>
      <c r="F3275" s="70"/>
      <c r="G3275" s="70"/>
      <c r="H3275" s="131"/>
      <c r="I3275" s="3"/>
    </row>
    <row r="3276" spans="1:9" s="93" customFormat="1" ht="9" customHeight="1" x14ac:dyDescent="0.3">
      <c r="A3276" s="91"/>
      <c r="B3276" s="70"/>
      <c r="C3276" s="70"/>
      <c r="D3276" s="70"/>
      <c r="E3276" s="70"/>
      <c r="F3276" s="70"/>
      <c r="G3276" s="70"/>
      <c r="H3276" s="131"/>
      <c r="I3276" s="3"/>
    </row>
    <row r="3277" spans="1:9" s="93" customFormat="1" ht="9" customHeight="1" x14ac:dyDescent="0.3">
      <c r="A3277" s="91"/>
      <c r="B3277" s="70"/>
      <c r="C3277" s="70"/>
      <c r="D3277" s="70"/>
      <c r="E3277" s="70"/>
      <c r="F3277" s="70"/>
      <c r="G3277" s="70"/>
      <c r="H3277" s="131"/>
      <c r="I3277" s="3"/>
    </row>
    <row r="3278" spans="1:9" s="93" customFormat="1" ht="9" customHeight="1" x14ac:dyDescent="0.3">
      <c r="A3278" s="91"/>
      <c r="B3278" s="70"/>
      <c r="C3278" s="70"/>
      <c r="D3278" s="70"/>
      <c r="E3278" s="70"/>
      <c r="F3278" s="70"/>
      <c r="G3278" s="70"/>
      <c r="H3278" s="131"/>
      <c r="I3278" s="3"/>
    </row>
    <row r="3279" spans="1:9" s="93" customFormat="1" ht="9" customHeight="1" x14ac:dyDescent="0.3">
      <c r="A3279" s="91"/>
      <c r="B3279" s="70"/>
      <c r="C3279" s="70"/>
      <c r="D3279" s="70"/>
      <c r="E3279" s="70"/>
      <c r="F3279" s="70"/>
      <c r="G3279" s="70"/>
      <c r="H3279" s="131"/>
      <c r="I3279" s="3"/>
    </row>
    <row r="3280" spans="1:9" s="93" customFormat="1" ht="9" customHeight="1" x14ac:dyDescent="0.3">
      <c r="A3280" s="91"/>
      <c r="B3280" s="70"/>
      <c r="C3280" s="70"/>
      <c r="D3280" s="70"/>
      <c r="E3280" s="70"/>
      <c r="F3280" s="70"/>
      <c r="G3280" s="70"/>
      <c r="H3280" s="131"/>
      <c r="I3280" s="3"/>
    </row>
    <row r="3281" spans="1:9" s="93" customFormat="1" ht="9" customHeight="1" x14ac:dyDescent="0.3">
      <c r="A3281" s="91"/>
      <c r="B3281" s="70"/>
      <c r="C3281" s="70"/>
      <c r="D3281" s="70"/>
      <c r="E3281" s="70"/>
      <c r="F3281" s="70"/>
      <c r="G3281" s="70"/>
      <c r="H3281" s="131"/>
      <c r="I3281" s="3"/>
    </row>
    <row r="3282" spans="1:9" s="93" customFormat="1" ht="9" customHeight="1" x14ac:dyDescent="0.3">
      <c r="A3282" s="91"/>
      <c r="B3282" s="70"/>
      <c r="C3282" s="70"/>
      <c r="D3282" s="70"/>
      <c r="E3282" s="70"/>
      <c r="F3282" s="70"/>
      <c r="G3282" s="70"/>
      <c r="H3282" s="131"/>
      <c r="I3282" s="3"/>
    </row>
    <row r="3283" spans="1:9" s="93" customFormat="1" ht="9" customHeight="1" x14ac:dyDescent="0.3">
      <c r="A3283" s="91"/>
      <c r="B3283" s="70"/>
      <c r="C3283" s="70"/>
      <c r="D3283" s="70"/>
      <c r="E3283" s="70"/>
      <c r="F3283" s="70"/>
      <c r="G3283" s="70"/>
      <c r="H3283" s="131"/>
      <c r="I3283" s="3"/>
    </row>
    <row r="3284" spans="1:9" s="93" customFormat="1" ht="9" customHeight="1" x14ac:dyDescent="0.3">
      <c r="A3284" s="91"/>
      <c r="B3284" s="70"/>
      <c r="C3284" s="70"/>
      <c r="D3284" s="70"/>
      <c r="E3284" s="70"/>
      <c r="F3284" s="70"/>
      <c r="G3284" s="70"/>
      <c r="H3284" s="131"/>
      <c r="I3284" s="3"/>
    </row>
    <row r="3285" spans="1:9" s="93" customFormat="1" ht="9" customHeight="1" x14ac:dyDescent="0.3">
      <c r="A3285" s="91"/>
      <c r="B3285" s="70"/>
      <c r="C3285" s="70"/>
      <c r="D3285" s="70"/>
      <c r="E3285" s="70"/>
      <c r="F3285" s="70"/>
      <c r="G3285" s="70"/>
      <c r="H3285" s="131"/>
      <c r="I3285" s="3"/>
    </row>
    <row r="3286" spans="1:9" s="93" customFormat="1" ht="9" customHeight="1" x14ac:dyDescent="0.3">
      <c r="A3286" s="91"/>
      <c r="B3286" s="70"/>
      <c r="C3286" s="70"/>
      <c r="D3286" s="70"/>
      <c r="E3286" s="70"/>
      <c r="F3286" s="70"/>
      <c r="G3286" s="70"/>
      <c r="H3286" s="131"/>
      <c r="I3286" s="3"/>
    </row>
    <row r="3287" spans="1:9" s="93" customFormat="1" ht="9" customHeight="1" x14ac:dyDescent="0.3">
      <c r="A3287" s="91"/>
      <c r="B3287" s="70"/>
      <c r="C3287" s="70"/>
      <c r="D3287" s="70"/>
      <c r="E3287" s="70"/>
      <c r="F3287" s="70"/>
      <c r="G3287" s="70"/>
      <c r="H3287" s="131"/>
      <c r="I3287" s="3"/>
    </row>
    <row r="3288" spans="1:9" s="93" customFormat="1" ht="9" customHeight="1" x14ac:dyDescent="0.3">
      <c r="A3288" s="91"/>
      <c r="B3288" s="70"/>
      <c r="C3288" s="70"/>
      <c r="D3288" s="70"/>
      <c r="E3288" s="70"/>
      <c r="F3288" s="70"/>
      <c r="G3288" s="70"/>
      <c r="H3288" s="131"/>
      <c r="I3288" s="3"/>
    </row>
    <row r="3289" spans="1:9" s="93" customFormat="1" ht="9" customHeight="1" x14ac:dyDescent="0.3">
      <c r="A3289" s="91"/>
      <c r="B3289" s="70"/>
      <c r="C3289" s="70"/>
      <c r="D3289" s="70"/>
      <c r="E3289" s="70"/>
      <c r="F3289" s="70"/>
      <c r="G3289" s="70"/>
      <c r="H3289" s="131"/>
      <c r="I3289" s="3"/>
    </row>
    <row r="3290" spans="1:9" s="93" customFormat="1" ht="9" customHeight="1" x14ac:dyDescent="0.3">
      <c r="A3290" s="91"/>
      <c r="B3290" s="70"/>
      <c r="C3290" s="70"/>
      <c r="D3290" s="70"/>
      <c r="E3290" s="70"/>
      <c r="F3290" s="70"/>
      <c r="G3290" s="70"/>
      <c r="H3290" s="131"/>
      <c r="I3290" s="3"/>
    </row>
    <row r="3291" spans="1:9" s="93" customFormat="1" ht="9" customHeight="1" x14ac:dyDescent="0.3">
      <c r="A3291" s="91"/>
      <c r="B3291" s="70"/>
      <c r="C3291" s="70"/>
      <c r="D3291" s="70"/>
      <c r="E3291" s="70"/>
      <c r="F3291" s="70"/>
      <c r="G3291" s="70"/>
      <c r="H3291" s="131"/>
      <c r="I3291" s="3"/>
    </row>
    <row r="3292" spans="1:9" s="93" customFormat="1" ht="9" customHeight="1" x14ac:dyDescent="0.3">
      <c r="A3292" s="91"/>
      <c r="B3292" s="70"/>
      <c r="C3292" s="70"/>
      <c r="D3292" s="70"/>
      <c r="E3292" s="70"/>
      <c r="F3292" s="70"/>
      <c r="G3292" s="70"/>
      <c r="H3292" s="131"/>
      <c r="I3292" s="3"/>
    </row>
    <row r="3293" spans="1:9" s="93" customFormat="1" ht="9" customHeight="1" x14ac:dyDescent="0.3">
      <c r="A3293" s="91"/>
      <c r="B3293" s="70"/>
      <c r="C3293" s="70"/>
      <c r="D3293" s="70"/>
      <c r="E3293" s="70"/>
      <c r="F3293" s="70"/>
      <c r="G3293" s="70"/>
      <c r="H3293" s="131"/>
      <c r="I3293" s="3"/>
    </row>
    <row r="3294" spans="1:9" s="93" customFormat="1" ht="9" customHeight="1" x14ac:dyDescent="0.3">
      <c r="A3294" s="91"/>
      <c r="B3294" s="70"/>
      <c r="C3294" s="70"/>
      <c r="D3294" s="70"/>
      <c r="E3294" s="70"/>
      <c r="F3294" s="70"/>
      <c r="G3294" s="70"/>
      <c r="H3294" s="131"/>
      <c r="I3294" s="3"/>
    </row>
    <row r="3295" spans="1:9" s="93" customFormat="1" ht="9" customHeight="1" x14ac:dyDescent="0.3">
      <c r="A3295" s="91"/>
      <c r="B3295" s="70"/>
      <c r="C3295" s="70"/>
      <c r="D3295" s="70"/>
      <c r="E3295" s="70"/>
      <c r="F3295" s="70"/>
      <c r="G3295" s="70"/>
      <c r="H3295" s="131"/>
      <c r="I3295" s="3"/>
    </row>
    <row r="3296" spans="1:9" s="93" customFormat="1" ht="9" customHeight="1" x14ac:dyDescent="0.3">
      <c r="A3296" s="91"/>
      <c r="B3296" s="70"/>
      <c r="C3296" s="70"/>
      <c r="D3296" s="70"/>
      <c r="E3296" s="70"/>
      <c r="F3296" s="70"/>
      <c r="G3296" s="70"/>
      <c r="H3296" s="131"/>
      <c r="I3296" s="3"/>
    </row>
    <row r="3297" spans="1:9" s="93" customFormat="1" ht="9" customHeight="1" x14ac:dyDescent="0.3">
      <c r="A3297" s="91"/>
      <c r="B3297" s="70"/>
      <c r="C3297" s="70"/>
      <c r="D3297" s="70"/>
      <c r="E3297" s="70"/>
      <c r="F3297" s="70"/>
      <c r="G3297" s="70"/>
      <c r="H3297" s="131"/>
      <c r="I3297" s="3"/>
    </row>
    <row r="3298" spans="1:9" s="93" customFormat="1" ht="9" customHeight="1" x14ac:dyDescent="0.3">
      <c r="A3298" s="91"/>
      <c r="B3298" s="70"/>
      <c r="C3298" s="70"/>
      <c r="D3298" s="70"/>
      <c r="E3298" s="70"/>
      <c r="F3298" s="70"/>
      <c r="G3298" s="70"/>
      <c r="H3298" s="131"/>
      <c r="I3298" s="3"/>
    </row>
    <row r="3299" spans="1:9" s="93" customFormat="1" ht="9" customHeight="1" x14ac:dyDescent="0.3">
      <c r="A3299" s="91"/>
      <c r="B3299" s="70"/>
      <c r="C3299" s="70"/>
      <c r="D3299" s="70"/>
      <c r="E3299" s="70"/>
      <c r="F3299" s="70"/>
      <c r="G3299" s="70"/>
      <c r="H3299" s="131"/>
      <c r="I3299" s="3"/>
    </row>
    <row r="3300" spans="1:9" s="93" customFormat="1" ht="9" customHeight="1" x14ac:dyDescent="0.3">
      <c r="A3300" s="91"/>
      <c r="B3300" s="70"/>
      <c r="C3300" s="70"/>
      <c r="D3300" s="70"/>
      <c r="E3300" s="70"/>
      <c r="F3300" s="70"/>
      <c r="G3300" s="70"/>
      <c r="H3300" s="131"/>
      <c r="I3300" s="3"/>
    </row>
    <row r="3301" spans="1:9" s="93" customFormat="1" ht="9" customHeight="1" x14ac:dyDescent="0.3">
      <c r="A3301" s="91"/>
      <c r="B3301" s="70"/>
      <c r="C3301" s="70"/>
      <c r="D3301" s="70"/>
      <c r="E3301" s="70"/>
      <c r="F3301" s="70"/>
      <c r="G3301" s="70"/>
      <c r="H3301" s="131"/>
      <c r="I3301" s="3"/>
    </row>
    <row r="3302" spans="1:9" s="93" customFormat="1" ht="9" customHeight="1" x14ac:dyDescent="0.3">
      <c r="A3302" s="91"/>
      <c r="B3302" s="70"/>
      <c r="C3302" s="70"/>
      <c r="D3302" s="70"/>
      <c r="E3302" s="70"/>
      <c r="F3302" s="70"/>
      <c r="G3302" s="70"/>
      <c r="H3302" s="131"/>
      <c r="I3302" s="3"/>
    </row>
    <row r="3303" spans="1:9" s="93" customFormat="1" ht="9" customHeight="1" x14ac:dyDescent="0.3">
      <c r="A3303" s="91"/>
      <c r="B3303" s="70"/>
      <c r="C3303" s="70"/>
      <c r="D3303" s="70"/>
      <c r="E3303" s="70"/>
      <c r="F3303" s="70"/>
      <c r="G3303" s="70"/>
      <c r="H3303" s="131"/>
      <c r="I3303" s="3"/>
    </row>
    <row r="3304" spans="1:9" s="93" customFormat="1" ht="9" customHeight="1" x14ac:dyDescent="0.3">
      <c r="A3304" s="91"/>
      <c r="B3304" s="70"/>
      <c r="C3304" s="70"/>
      <c r="D3304" s="70"/>
      <c r="E3304" s="70"/>
      <c r="F3304" s="70"/>
      <c r="G3304" s="70"/>
      <c r="H3304" s="131"/>
      <c r="I3304" s="3"/>
    </row>
    <row r="3305" spans="1:9" s="93" customFormat="1" ht="9" customHeight="1" x14ac:dyDescent="0.3">
      <c r="A3305" s="91"/>
      <c r="B3305" s="70"/>
      <c r="C3305" s="70"/>
      <c r="D3305" s="70"/>
      <c r="E3305" s="70"/>
      <c r="F3305" s="70"/>
      <c r="G3305" s="70"/>
      <c r="H3305" s="131"/>
      <c r="I3305" s="3"/>
    </row>
    <row r="3306" spans="1:9" s="93" customFormat="1" ht="9" customHeight="1" x14ac:dyDescent="0.3">
      <c r="A3306" s="91"/>
      <c r="B3306" s="70"/>
      <c r="C3306" s="70"/>
      <c r="D3306" s="70"/>
      <c r="E3306" s="70"/>
      <c r="F3306" s="70"/>
      <c r="G3306" s="70"/>
      <c r="H3306" s="131"/>
      <c r="I3306" s="3"/>
    </row>
    <row r="3307" spans="1:9" s="93" customFormat="1" ht="9" customHeight="1" x14ac:dyDescent="0.3">
      <c r="A3307" s="91"/>
      <c r="B3307" s="70"/>
      <c r="C3307" s="70"/>
      <c r="D3307" s="70"/>
      <c r="E3307" s="70"/>
      <c r="F3307" s="70"/>
      <c r="G3307" s="70"/>
      <c r="H3307" s="131"/>
      <c r="I3307" s="3"/>
    </row>
    <row r="3308" spans="1:9" s="93" customFormat="1" ht="9" customHeight="1" x14ac:dyDescent="0.3">
      <c r="A3308" s="91"/>
      <c r="B3308" s="70"/>
      <c r="C3308" s="70"/>
      <c r="D3308" s="70"/>
      <c r="E3308" s="70"/>
      <c r="F3308" s="70"/>
      <c r="G3308" s="70"/>
      <c r="H3308" s="131"/>
      <c r="I3308" s="3"/>
    </row>
    <row r="3309" spans="1:9" s="93" customFormat="1" ht="9" customHeight="1" x14ac:dyDescent="0.3">
      <c r="A3309" s="91"/>
      <c r="B3309" s="70"/>
      <c r="C3309" s="70"/>
      <c r="D3309" s="70"/>
      <c r="E3309" s="70"/>
      <c r="F3309" s="70"/>
      <c r="G3309" s="70"/>
      <c r="H3309" s="131"/>
      <c r="I3309" s="3"/>
    </row>
    <row r="3310" spans="1:9" s="93" customFormat="1" ht="9" customHeight="1" x14ac:dyDescent="0.3">
      <c r="A3310" s="91"/>
      <c r="B3310" s="70"/>
      <c r="C3310" s="70"/>
      <c r="D3310" s="70"/>
      <c r="E3310" s="70"/>
      <c r="F3310" s="70"/>
      <c r="G3310" s="70"/>
      <c r="H3310" s="131"/>
      <c r="I3310" s="3"/>
    </row>
    <row r="3311" spans="1:9" s="93" customFormat="1" ht="9" customHeight="1" x14ac:dyDescent="0.3">
      <c r="A3311" s="91"/>
      <c r="B3311" s="70"/>
      <c r="C3311" s="70"/>
      <c r="D3311" s="70"/>
      <c r="E3311" s="70"/>
      <c r="F3311" s="70"/>
      <c r="G3311" s="70"/>
      <c r="H3311" s="131"/>
      <c r="I3311" s="3"/>
    </row>
    <row r="3312" spans="1:9" s="93" customFormat="1" ht="9" customHeight="1" x14ac:dyDescent="0.3">
      <c r="A3312" s="91"/>
      <c r="B3312" s="70"/>
      <c r="C3312" s="70"/>
      <c r="D3312" s="70"/>
      <c r="E3312" s="70"/>
      <c r="F3312" s="70"/>
      <c r="G3312" s="70"/>
      <c r="H3312" s="131"/>
      <c r="I3312" s="3"/>
    </row>
    <row r="3313" spans="1:9" s="93" customFormat="1" ht="9" customHeight="1" x14ac:dyDescent="0.3">
      <c r="A3313" s="91"/>
      <c r="B3313" s="70"/>
      <c r="C3313" s="70"/>
      <c r="D3313" s="70"/>
      <c r="E3313" s="70"/>
      <c r="F3313" s="70"/>
      <c r="G3313" s="70"/>
      <c r="H3313" s="131"/>
      <c r="I3313" s="3"/>
    </row>
    <row r="3314" spans="1:9" s="93" customFormat="1" ht="9" customHeight="1" x14ac:dyDescent="0.3">
      <c r="A3314" s="91"/>
      <c r="B3314" s="70"/>
      <c r="C3314" s="70"/>
      <c r="D3314" s="70"/>
      <c r="E3314" s="70"/>
      <c r="F3314" s="70"/>
      <c r="G3314" s="70"/>
      <c r="H3314" s="131"/>
      <c r="I3314" s="3"/>
    </row>
    <row r="3315" spans="1:9" s="93" customFormat="1" ht="9" customHeight="1" x14ac:dyDescent="0.3">
      <c r="A3315" s="91"/>
      <c r="B3315" s="70"/>
      <c r="C3315" s="70"/>
      <c r="D3315" s="70"/>
      <c r="E3315" s="70"/>
      <c r="F3315" s="70"/>
      <c r="G3315" s="70"/>
      <c r="H3315" s="131"/>
      <c r="I3315" s="3"/>
    </row>
    <row r="3316" spans="1:9" s="93" customFormat="1" ht="9" customHeight="1" x14ac:dyDescent="0.3">
      <c r="A3316" s="91"/>
      <c r="B3316" s="70"/>
      <c r="C3316" s="70"/>
      <c r="D3316" s="70"/>
      <c r="E3316" s="70"/>
      <c r="F3316" s="70"/>
      <c r="G3316" s="70"/>
      <c r="H3316" s="131"/>
      <c r="I3316" s="3"/>
    </row>
    <row r="3317" spans="1:9" s="93" customFormat="1" ht="9" customHeight="1" x14ac:dyDescent="0.3">
      <c r="A3317" s="91"/>
      <c r="B3317" s="70"/>
      <c r="C3317" s="70"/>
      <c r="D3317" s="70"/>
      <c r="E3317" s="70"/>
      <c r="F3317" s="70"/>
      <c r="G3317" s="70"/>
      <c r="H3317" s="131"/>
      <c r="I3317" s="3"/>
    </row>
    <row r="3318" spans="1:9" s="93" customFormat="1" ht="9" customHeight="1" x14ac:dyDescent="0.3">
      <c r="A3318" s="91"/>
      <c r="B3318" s="70"/>
      <c r="C3318" s="70"/>
      <c r="D3318" s="70"/>
      <c r="E3318" s="70"/>
      <c r="F3318" s="70"/>
      <c r="G3318" s="70"/>
      <c r="H3318" s="131"/>
      <c r="I3318" s="3"/>
    </row>
    <row r="3319" spans="1:9" s="93" customFormat="1" ht="9" customHeight="1" x14ac:dyDescent="0.3">
      <c r="A3319" s="91"/>
      <c r="B3319" s="70"/>
      <c r="C3319" s="70"/>
      <c r="D3319" s="70"/>
      <c r="E3319" s="70"/>
      <c r="F3319" s="70"/>
      <c r="G3319" s="70"/>
      <c r="H3319" s="131"/>
      <c r="I3319" s="3"/>
    </row>
    <row r="3320" spans="1:9" s="93" customFormat="1" ht="9" customHeight="1" x14ac:dyDescent="0.3">
      <c r="A3320" s="91"/>
      <c r="B3320" s="70"/>
      <c r="C3320" s="70"/>
      <c r="D3320" s="70"/>
      <c r="E3320" s="70"/>
      <c r="F3320" s="70"/>
      <c r="G3320" s="70"/>
      <c r="H3320" s="131"/>
      <c r="I3320" s="3"/>
    </row>
    <row r="3321" spans="1:9" s="93" customFormat="1" ht="9" customHeight="1" x14ac:dyDescent="0.3">
      <c r="A3321" s="91"/>
      <c r="B3321" s="70"/>
      <c r="C3321" s="70"/>
      <c r="D3321" s="70"/>
      <c r="E3321" s="70"/>
      <c r="F3321" s="70"/>
      <c r="G3321" s="70"/>
      <c r="H3321" s="131"/>
      <c r="I3321" s="3"/>
    </row>
    <row r="3322" spans="1:9" s="93" customFormat="1" ht="9" customHeight="1" x14ac:dyDescent="0.3">
      <c r="A3322" s="91"/>
      <c r="B3322" s="70"/>
      <c r="C3322" s="70"/>
      <c r="D3322" s="70"/>
      <c r="E3322" s="70"/>
      <c r="F3322" s="70"/>
      <c r="G3322" s="70"/>
      <c r="H3322" s="131"/>
      <c r="I3322" s="3"/>
    </row>
    <row r="3323" spans="1:9" s="93" customFormat="1" ht="9" customHeight="1" x14ac:dyDescent="0.3">
      <c r="A3323" s="91"/>
      <c r="B3323" s="70"/>
      <c r="C3323" s="70"/>
      <c r="D3323" s="70"/>
      <c r="E3323" s="70"/>
      <c r="F3323" s="70"/>
      <c r="G3323" s="70"/>
      <c r="H3323" s="131"/>
      <c r="I3323" s="3"/>
    </row>
    <row r="3324" spans="1:9" s="93" customFormat="1" ht="9" customHeight="1" x14ac:dyDescent="0.3">
      <c r="A3324" s="91"/>
      <c r="B3324" s="70"/>
      <c r="C3324" s="70"/>
      <c r="D3324" s="70"/>
      <c r="E3324" s="70"/>
      <c r="F3324" s="70"/>
      <c r="G3324" s="70"/>
      <c r="H3324" s="131"/>
      <c r="I3324" s="3"/>
    </row>
    <row r="3325" spans="1:9" s="93" customFormat="1" ht="9" customHeight="1" x14ac:dyDescent="0.3">
      <c r="A3325" s="91"/>
      <c r="B3325" s="70"/>
      <c r="C3325" s="70"/>
      <c r="D3325" s="70"/>
      <c r="E3325" s="70"/>
      <c r="F3325" s="70"/>
      <c r="G3325" s="70"/>
      <c r="H3325" s="131"/>
      <c r="I3325" s="3"/>
    </row>
    <row r="3326" spans="1:9" s="93" customFormat="1" ht="9" customHeight="1" x14ac:dyDescent="0.3">
      <c r="A3326" s="91"/>
      <c r="B3326" s="70"/>
      <c r="C3326" s="70"/>
      <c r="D3326" s="70"/>
      <c r="E3326" s="70"/>
      <c r="F3326" s="70"/>
      <c r="G3326" s="70"/>
      <c r="H3326" s="131"/>
      <c r="I3326" s="3"/>
    </row>
    <row r="3327" spans="1:9" s="93" customFormat="1" ht="9" customHeight="1" x14ac:dyDescent="0.3">
      <c r="A3327" s="91"/>
      <c r="B3327" s="70"/>
      <c r="C3327" s="70"/>
      <c r="D3327" s="70"/>
      <c r="E3327" s="70"/>
      <c r="F3327" s="70"/>
      <c r="G3327" s="70"/>
      <c r="H3327" s="131"/>
      <c r="I3327" s="3"/>
    </row>
    <row r="3328" spans="1:9" s="93" customFormat="1" ht="9" customHeight="1" x14ac:dyDescent="0.3">
      <c r="A3328" s="91"/>
      <c r="B3328" s="70"/>
      <c r="C3328" s="70"/>
      <c r="D3328" s="70"/>
      <c r="E3328" s="70"/>
      <c r="F3328" s="70"/>
      <c r="G3328" s="70"/>
      <c r="H3328" s="131"/>
      <c r="I3328" s="3"/>
    </row>
    <row r="3329" spans="1:9" s="93" customFormat="1" ht="9" customHeight="1" x14ac:dyDescent="0.3">
      <c r="A3329" s="91"/>
      <c r="B3329" s="70"/>
      <c r="C3329" s="70"/>
      <c r="D3329" s="70"/>
      <c r="E3329" s="70"/>
      <c r="F3329" s="70"/>
      <c r="G3329" s="70"/>
      <c r="H3329" s="131"/>
      <c r="I3329" s="3"/>
    </row>
    <row r="3330" spans="1:9" s="93" customFormat="1" ht="9" customHeight="1" x14ac:dyDescent="0.3">
      <c r="A3330" s="91"/>
      <c r="B3330" s="70"/>
      <c r="C3330" s="70"/>
      <c r="D3330" s="70"/>
      <c r="E3330" s="70"/>
      <c r="F3330" s="70"/>
      <c r="G3330" s="70"/>
      <c r="H3330" s="131"/>
      <c r="I3330" s="3"/>
    </row>
    <row r="3331" spans="1:9" s="93" customFormat="1" ht="9" customHeight="1" x14ac:dyDescent="0.3">
      <c r="A3331" s="91"/>
      <c r="B3331" s="70"/>
      <c r="C3331" s="70"/>
      <c r="D3331" s="70"/>
      <c r="E3331" s="70"/>
      <c r="F3331" s="70"/>
      <c r="G3331" s="70"/>
      <c r="H3331" s="131"/>
      <c r="I3331" s="3"/>
    </row>
    <row r="3332" spans="1:9" s="93" customFormat="1" ht="9" customHeight="1" x14ac:dyDescent="0.3">
      <c r="A3332" s="91"/>
      <c r="B3332" s="70"/>
      <c r="C3332" s="70"/>
      <c r="D3332" s="70"/>
      <c r="E3332" s="70"/>
      <c r="F3332" s="70"/>
      <c r="G3332" s="70"/>
      <c r="H3332" s="131"/>
      <c r="I3332" s="3"/>
    </row>
    <row r="3333" spans="1:9" s="93" customFormat="1" ht="9" customHeight="1" x14ac:dyDescent="0.3">
      <c r="A3333" s="91"/>
      <c r="B3333" s="70"/>
      <c r="C3333" s="70"/>
      <c r="D3333" s="70"/>
      <c r="E3333" s="70"/>
      <c r="F3333" s="70"/>
      <c r="G3333" s="70"/>
      <c r="H3333" s="131"/>
      <c r="I3333" s="3"/>
    </row>
    <row r="3334" spans="1:9" s="93" customFormat="1" ht="9" customHeight="1" x14ac:dyDescent="0.3">
      <c r="A3334" s="91"/>
      <c r="B3334" s="70"/>
      <c r="C3334" s="70"/>
      <c r="D3334" s="70"/>
      <c r="E3334" s="70"/>
      <c r="F3334" s="70"/>
      <c r="G3334" s="70"/>
      <c r="H3334" s="131"/>
      <c r="I3334" s="3"/>
    </row>
    <row r="3335" spans="1:9" s="93" customFormat="1" ht="9" customHeight="1" x14ac:dyDescent="0.3">
      <c r="A3335" s="91"/>
      <c r="B3335" s="70"/>
      <c r="C3335" s="70"/>
      <c r="D3335" s="70"/>
      <c r="E3335" s="70"/>
      <c r="F3335" s="70"/>
      <c r="G3335" s="70"/>
      <c r="H3335" s="131"/>
      <c r="I3335" s="3"/>
    </row>
    <row r="3336" spans="1:9" s="93" customFormat="1" ht="9" customHeight="1" x14ac:dyDescent="0.3">
      <c r="A3336" s="91"/>
      <c r="B3336" s="70"/>
      <c r="C3336" s="70"/>
      <c r="D3336" s="70"/>
      <c r="E3336" s="70"/>
      <c r="F3336" s="70"/>
      <c r="G3336" s="70"/>
      <c r="H3336" s="131"/>
      <c r="I3336" s="3"/>
    </row>
    <row r="3337" spans="1:9" s="93" customFormat="1" ht="9" customHeight="1" x14ac:dyDescent="0.3">
      <c r="A3337" s="91"/>
      <c r="B3337" s="70"/>
      <c r="C3337" s="70"/>
      <c r="D3337" s="70"/>
      <c r="E3337" s="70"/>
      <c r="F3337" s="70"/>
      <c r="G3337" s="70"/>
      <c r="H3337" s="131"/>
      <c r="I3337" s="3"/>
    </row>
    <row r="3338" spans="1:9" s="93" customFormat="1" ht="9" customHeight="1" x14ac:dyDescent="0.3">
      <c r="A3338" s="91"/>
      <c r="B3338" s="70"/>
      <c r="C3338" s="70"/>
      <c r="D3338" s="70"/>
      <c r="E3338" s="70"/>
      <c r="F3338" s="70"/>
      <c r="G3338" s="70"/>
      <c r="H3338" s="131"/>
      <c r="I3338" s="3"/>
    </row>
    <row r="3339" spans="1:9" s="93" customFormat="1" ht="9" customHeight="1" x14ac:dyDescent="0.3">
      <c r="A3339" s="91"/>
      <c r="B3339" s="70"/>
      <c r="C3339" s="70"/>
      <c r="D3339" s="70"/>
      <c r="E3339" s="70"/>
      <c r="F3339" s="70"/>
      <c r="G3339" s="70"/>
      <c r="H3339" s="131"/>
      <c r="I3339" s="3"/>
    </row>
    <row r="3340" spans="1:9" s="93" customFormat="1" ht="9" customHeight="1" x14ac:dyDescent="0.3">
      <c r="A3340" s="91"/>
      <c r="B3340" s="70"/>
      <c r="C3340" s="70"/>
      <c r="D3340" s="70"/>
      <c r="E3340" s="70"/>
      <c r="F3340" s="70"/>
      <c r="G3340" s="70"/>
      <c r="H3340" s="131"/>
      <c r="I3340" s="3"/>
    </row>
    <row r="3341" spans="1:9" s="93" customFormat="1" ht="9" customHeight="1" x14ac:dyDescent="0.3">
      <c r="A3341" s="91"/>
      <c r="B3341" s="70"/>
      <c r="C3341" s="70"/>
      <c r="D3341" s="70"/>
      <c r="E3341" s="70"/>
      <c r="F3341" s="70"/>
      <c r="G3341" s="70"/>
      <c r="H3341" s="131"/>
      <c r="I3341" s="3"/>
    </row>
    <row r="3342" spans="1:9" s="93" customFormat="1" ht="9" customHeight="1" x14ac:dyDescent="0.3">
      <c r="A3342" s="91"/>
      <c r="B3342" s="70"/>
      <c r="C3342" s="70"/>
      <c r="D3342" s="70"/>
      <c r="E3342" s="70"/>
      <c r="F3342" s="70"/>
      <c r="G3342" s="70"/>
      <c r="H3342" s="131"/>
      <c r="I3342" s="3"/>
    </row>
    <row r="3343" spans="1:9" s="93" customFormat="1" ht="9" customHeight="1" x14ac:dyDescent="0.3">
      <c r="A3343" s="91"/>
      <c r="B3343" s="70"/>
      <c r="C3343" s="70"/>
      <c r="D3343" s="70"/>
      <c r="E3343" s="70"/>
      <c r="F3343" s="70"/>
      <c r="G3343" s="70"/>
      <c r="H3343" s="131"/>
      <c r="I3343" s="3"/>
    </row>
    <row r="3344" spans="1:9" s="93" customFormat="1" ht="9" customHeight="1" x14ac:dyDescent="0.3">
      <c r="A3344" s="91"/>
      <c r="B3344" s="70"/>
      <c r="C3344" s="70"/>
      <c r="D3344" s="70"/>
      <c r="E3344" s="70"/>
      <c r="F3344" s="70"/>
      <c r="G3344" s="70"/>
      <c r="H3344" s="131"/>
      <c r="I3344" s="3"/>
    </row>
    <row r="3345" spans="1:9" s="93" customFormat="1" ht="9" customHeight="1" x14ac:dyDescent="0.3">
      <c r="A3345" s="91"/>
      <c r="B3345" s="70"/>
      <c r="C3345" s="70"/>
      <c r="D3345" s="70"/>
      <c r="E3345" s="70"/>
      <c r="F3345" s="70"/>
      <c r="G3345" s="70"/>
      <c r="H3345" s="131"/>
      <c r="I3345" s="3"/>
    </row>
    <row r="3346" spans="1:9" s="93" customFormat="1" ht="9" customHeight="1" x14ac:dyDescent="0.3">
      <c r="A3346" s="91"/>
      <c r="B3346" s="70"/>
      <c r="C3346" s="70"/>
      <c r="D3346" s="70"/>
      <c r="E3346" s="70"/>
      <c r="F3346" s="70"/>
      <c r="G3346" s="70"/>
      <c r="H3346" s="131"/>
      <c r="I3346" s="3"/>
    </row>
    <row r="3347" spans="1:9" s="93" customFormat="1" ht="9" customHeight="1" x14ac:dyDescent="0.3">
      <c r="A3347" s="91"/>
      <c r="B3347" s="70"/>
      <c r="C3347" s="70"/>
      <c r="D3347" s="70"/>
      <c r="E3347" s="70"/>
      <c r="F3347" s="70"/>
      <c r="G3347" s="70"/>
      <c r="H3347" s="131"/>
      <c r="I3347" s="3"/>
    </row>
    <row r="3348" spans="1:9" s="93" customFormat="1" ht="9" customHeight="1" x14ac:dyDescent="0.3">
      <c r="A3348" s="91"/>
      <c r="B3348" s="70"/>
      <c r="C3348" s="70"/>
      <c r="D3348" s="70"/>
      <c r="E3348" s="70"/>
      <c r="F3348" s="70"/>
      <c r="G3348" s="70"/>
      <c r="H3348" s="131"/>
      <c r="I3348" s="3"/>
    </row>
    <row r="3349" spans="1:9" s="93" customFormat="1" ht="9" customHeight="1" x14ac:dyDescent="0.3">
      <c r="A3349" s="91"/>
      <c r="B3349" s="70"/>
      <c r="C3349" s="70"/>
      <c r="D3349" s="70"/>
      <c r="E3349" s="70"/>
      <c r="F3349" s="70"/>
      <c r="G3349" s="70"/>
      <c r="H3349" s="131"/>
      <c r="I3349" s="3"/>
    </row>
    <row r="3350" spans="1:9" s="93" customFormat="1" ht="9" customHeight="1" x14ac:dyDescent="0.3">
      <c r="A3350" s="91"/>
      <c r="B3350" s="70"/>
      <c r="C3350" s="70"/>
      <c r="D3350" s="70"/>
      <c r="E3350" s="70"/>
      <c r="F3350" s="70"/>
      <c r="G3350" s="70"/>
      <c r="H3350" s="131"/>
      <c r="I3350" s="3"/>
    </row>
    <row r="3351" spans="1:9" s="93" customFormat="1" ht="9" customHeight="1" x14ac:dyDescent="0.3">
      <c r="A3351" s="91"/>
      <c r="B3351" s="70"/>
      <c r="C3351" s="70"/>
      <c r="D3351" s="70"/>
      <c r="E3351" s="70"/>
      <c r="F3351" s="70"/>
      <c r="G3351" s="70"/>
      <c r="H3351" s="131"/>
      <c r="I3351" s="3"/>
    </row>
    <row r="3352" spans="1:9" s="93" customFormat="1" ht="9" customHeight="1" x14ac:dyDescent="0.3">
      <c r="A3352" s="91"/>
      <c r="B3352" s="70"/>
      <c r="C3352" s="70"/>
      <c r="D3352" s="70"/>
      <c r="E3352" s="70"/>
      <c r="F3352" s="70"/>
      <c r="G3352" s="70"/>
      <c r="H3352" s="131"/>
      <c r="I3352" s="3"/>
    </row>
    <row r="3353" spans="1:9" s="93" customFormat="1" ht="9" customHeight="1" x14ac:dyDescent="0.3">
      <c r="A3353" s="91"/>
      <c r="B3353" s="70"/>
      <c r="C3353" s="70"/>
      <c r="D3353" s="70"/>
      <c r="E3353" s="70"/>
      <c r="F3353" s="70"/>
      <c r="G3353" s="70"/>
      <c r="H3353" s="131"/>
      <c r="I3353" s="3"/>
    </row>
    <row r="3354" spans="1:9" s="93" customFormat="1" ht="9" customHeight="1" x14ac:dyDescent="0.3">
      <c r="A3354" s="91"/>
      <c r="B3354" s="70"/>
      <c r="C3354" s="70"/>
      <c r="D3354" s="70"/>
      <c r="E3354" s="70"/>
      <c r="F3354" s="70"/>
      <c r="G3354" s="70"/>
      <c r="H3354" s="131"/>
      <c r="I3354" s="3"/>
    </row>
    <row r="3355" spans="1:9" s="93" customFormat="1" ht="9" customHeight="1" x14ac:dyDescent="0.3">
      <c r="A3355" s="91"/>
      <c r="B3355" s="70"/>
      <c r="C3355" s="70"/>
      <c r="D3355" s="70"/>
      <c r="E3355" s="70"/>
      <c r="F3355" s="70"/>
      <c r="G3355" s="70"/>
      <c r="H3355" s="131"/>
      <c r="I3355" s="3"/>
    </row>
    <row r="3356" spans="1:9" s="93" customFormat="1" ht="9" customHeight="1" x14ac:dyDescent="0.3">
      <c r="A3356" s="91"/>
      <c r="B3356" s="70"/>
      <c r="C3356" s="70"/>
      <c r="D3356" s="70"/>
      <c r="E3356" s="70"/>
      <c r="F3356" s="70"/>
      <c r="G3356" s="70"/>
      <c r="H3356" s="131"/>
      <c r="I3356" s="3"/>
    </row>
    <row r="3357" spans="1:9" s="93" customFormat="1" ht="9" customHeight="1" x14ac:dyDescent="0.3">
      <c r="A3357" s="91"/>
      <c r="B3357" s="70"/>
      <c r="C3357" s="70"/>
      <c r="D3357" s="70"/>
      <c r="E3357" s="70"/>
      <c r="F3357" s="70"/>
      <c r="G3357" s="70"/>
      <c r="H3357" s="131"/>
      <c r="I3357" s="3"/>
    </row>
    <row r="3358" spans="1:9" s="93" customFormat="1" ht="9" customHeight="1" x14ac:dyDescent="0.3">
      <c r="A3358" s="91"/>
      <c r="B3358" s="70"/>
      <c r="C3358" s="70"/>
      <c r="D3358" s="70"/>
      <c r="E3358" s="70"/>
      <c r="F3358" s="70"/>
      <c r="G3358" s="70"/>
      <c r="H3358" s="131"/>
      <c r="I3358" s="3"/>
    </row>
    <row r="3359" spans="1:9" s="93" customFormat="1" ht="9" customHeight="1" x14ac:dyDescent="0.3">
      <c r="A3359" s="91"/>
      <c r="B3359" s="70"/>
      <c r="C3359" s="70"/>
      <c r="D3359" s="70"/>
      <c r="E3359" s="70"/>
      <c r="F3359" s="70"/>
      <c r="G3359" s="70"/>
      <c r="H3359" s="131"/>
      <c r="I3359" s="3"/>
    </row>
    <row r="3360" spans="1:9" s="93" customFormat="1" ht="9" customHeight="1" x14ac:dyDescent="0.3">
      <c r="A3360" s="91"/>
      <c r="B3360" s="70"/>
      <c r="C3360" s="70"/>
      <c r="D3360" s="70"/>
      <c r="E3360" s="70"/>
      <c r="F3360" s="70"/>
      <c r="G3360" s="70"/>
      <c r="H3360" s="131"/>
      <c r="I3360" s="3"/>
    </row>
    <row r="3361" spans="1:9" s="93" customFormat="1" ht="9" customHeight="1" x14ac:dyDescent="0.3">
      <c r="A3361" s="91"/>
      <c r="B3361" s="70"/>
      <c r="C3361" s="70"/>
      <c r="D3361" s="70"/>
      <c r="E3361" s="70"/>
      <c r="F3361" s="70"/>
      <c r="G3361" s="70"/>
      <c r="H3361" s="131"/>
      <c r="I3361" s="3"/>
    </row>
    <row r="3362" spans="1:9" s="93" customFormat="1" ht="9" customHeight="1" x14ac:dyDescent="0.3">
      <c r="A3362" s="91"/>
      <c r="B3362" s="70"/>
      <c r="C3362" s="70"/>
      <c r="D3362" s="70"/>
      <c r="E3362" s="70"/>
      <c r="F3362" s="70"/>
      <c r="G3362" s="70"/>
      <c r="H3362" s="131"/>
      <c r="I3362" s="3"/>
    </row>
    <row r="3363" spans="1:9" s="93" customFormat="1" ht="9" customHeight="1" x14ac:dyDescent="0.3">
      <c r="A3363" s="91"/>
      <c r="B3363" s="70"/>
      <c r="C3363" s="70"/>
      <c r="D3363" s="70"/>
      <c r="E3363" s="70"/>
      <c r="F3363" s="70"/>
      <c r="G3363" s="70"/>
      <c r="H3363" s="131"/>
      <c r="I3363" s="3"/>
    </row>
    <row r="3364" spans="1:9" s="93" customFormat="1" ht="9" customHeight="1" x14ac:dyDescent="0.3">
      <c r="A3364" s="91"/>
      <c r="B3364" s="70"/>
      <c r="C3364" s="70"/>
      <c r="D3364" s="70"/>
      <c r="E3364" s="70"/>
      <c r="F3364" s="70"/>
      <c r="G3364" s="70"/>
      <c r="H3364" s="131"/>
      <c r="I3364" s="3"/>
    </row>
    <row r="3365" spans="1:9" s="93" customFormat="1" ht="9" customHeight="1" x14ac:dyDescent="0.3">
      <c r="A3365" s="91"/>
      <c r="B3365" s="70"/>
      <c r="C3365" s="70"/>
      <c r="D3365" s="70"/>
      <c r="E3365" s="70"/>
      <c r="F3365" s="70"/>
      <c r="G3365" s="70"/>
      <c r="H3365" s="131"/>
      <c r="I3365" s="3"/>
    </row>
    <row r="3366" spans="1:9" s="93" customFormat="1" ht="9" customHeight="1" x14ac:dyDescent="0.3">
      <c r="A3366" s="91"/>
      <c r="B3366" s="70"/>
      <c r="C3366" s="70"/>
      <c r="D3366" s="70"/>
      <c r="E3366" s="70"/>
      <c r="F3366" s="70"/>
      <c r="G3366" s="70"/>
      <c r="H3366" s="131"/>
      <c r="I3366" s="3"/>
    </row>
    <row r="3367" spans="1:9" s="93" customFormat="1" ht="9" customHeight="1" x14ac:dyDescent="0.3">
      <c r="A3367" s="91"/>
      <c r="B3367" s="70"/>
      <c r="C3367" s="70"/>
      <c r="D3367" s="70"/>
      <c r="E3367" s="70"/>
      <c r="F3367" s="70"/>
      <c r="G3367" s="70"/>
      <c r="H3367" s="131"/>
      <c r="I3367" s="3"/>
    </row>
    <row r="3368" spans="1:9" s="93" customFormat="1" ht="9" customHeight="1" x14ac:dyDescent="0.3">
      <c r="A3368" s="91"/>
      <c r="B3368" s="70"/>
      <c r="C3368" s="70"/>
      <c r="D3368" s="70"/>
      <c r="E3368" s="70"/>
      <c r="F3368" s="70"/>
      <c r="G3368" s="70"/>
      <c r="H3368" s="131"/>
      <c r="I3368" s="3"/>
    </row>
    <row r="3369" spans="1:9" s="93" customFormat="1" ht="9" customHeight="1" x14ac:dyDescent="0.3">
      <c r="A3369" s="91"/>
      <c r="B3369" s="70"/>
      <c r="C3369" s="70"/>
      <c r="D3369" s="70"/>
      <c r="E3369" s="70"/>
      <c r="F3369" s="70"/>
      <c r="G3369" s="70"/>
      <c r="H3369" s="131"/>
      <c r="I3369" s="3"/>
    </row>
    <row r="3370" spans="1:9" s="93" customFormat="1" ht="9" customHeight="1" x14ac:dyDescent="0.3">
      <c r="A3370" s="91"/>
      <c r="B3370" s="70"/>
      <c r="C3370" s="70"/>
      <c r="D3370" s="70"/>
      <c r="E3370" s="70"/>
      <c r="F3370" s="70"/>
      <c r="G3370" s="70"/>
      <c r="H3370" s="131"/>
      <c r="I3370" s="3"/>
    </row>
    <row r="3371" spans="1:9" s="93" customFormat="1" ht="9" customHeight="1" x14ac:dyDescent="0.3">
      <c r="A3371" s="91"/>
      <c r="B3371" s="70"/>
      <c r="C3371" s="70"/>
      <c r="D3371" s="70"/>
      <c r="E3371" s="70"/>
      <c r="F3371" s="70"/>
      <c r="G3371" s="70"/>
      <c r="H3371" s="131"/>
      <c r="I3371" s="3"/>
    </row>
    <row r="3372" spans="1:9" s="93" customFormat="1" ht="9" customHeight="1" x14ac:dyDescent="0.3">
      <c r="A3372" s="91"/>
      <c r="B3372" s="70"/>
      <c r="C3372" s="70"/>
      <c r="D3372" s="70"/>
      <c r="E3372" s="70"/>
      <c r="F3372" s="70"/>
      <c r="G3372" s="70"/>
      <c r="H3372" s="131"/>
      <c r="I3372" s="3"/>
    </row>
    <row r="3373" spans="1:9" s="93" customFormat="1" ht="9" customHeight="1" x14ac:dyDescent="0.3">
      <c r="A3373" s="91"/>
      <c r="B3373" s="70"/>
      <c r="C3373" s="70"/>
      <c r="D3373" s="70"/>
      <c r="E3373" s="70"/>
      <c r="F3373" s="70"/>
      <c r="G3373" s="70"/>
      <c r="H3373" s="131"/>
      <c r="I3373" s="3"/>
    </row>
    <row r="3374" spans="1:9" s="93" customFormat="1" ht="9" customHeight="1" x14ac:dyDescent="0.3">
      <c r="A3374" s="91"/>
      <c r="B3374" s="70"/>
      <c r="C3374" s="70"/>
      <c r="D3374" s="70"/>
      <c r="E3374" s="70"/>
      <c r="F3374" s="70"/>
      <c r="G3374" s="70"/>
      <c r="H3374" s="131"/>
      <c r="I3374" s="3"/>
    </row>
    <row r="3375" spans="1:9" s="93" customFormat="1" ht="9" customHeight="1" x14ac:dyDescent="0.3">
      <c r="A3375" s="91"/>
      <c r="B3375" s="70"/>
      <c r="C3375" s="70"/>
      <c r="D3375" s="70"/>
      <c r="E3375" s="70"/>
      <c r="F3375" s="70"/>
      <c r="G3375" s="70"/>
      <c r="H3375" s="131"/>
      <c r="I3375" s="3"/>
    </row>
    <row r="3376" spans="1:9" s="93" customFormat="1" ht="9" customHeight="1" x14ac:dyDescent="0.3">
      <c r="A3376" s="91"/>
      <c r="B3376" s="70"/>
      <c r="C3376" s="70"/>
      <c r="D3376" s="70"/>
      <c r="E3376" s="70"/>
      <c r="F3376" s="70"/>
      <c r="G3376" s="70"/>
      <c r="H3376" s="131"/>
      <c r="I3376" s="3"/>
    </row>
    <row r="3377" spans="1:9" s="93" customFormat="1" ht="9" customHeight="1" x14ac:dyDescent="0.3">
      <c r="A3377" s="91"/>
      <c r="B3377" s="70"/>
      <c r="C3377" s="70"/>
      <c r="D3377" s="70"/>
      <c r="E3377" s="70"/>
      <c r="F3377" s="70"/>
      <c r="G3377" s="70"/>
      <c r="H3377" s="131"/>
      <c r="I3377" s="3"/>
    </row>
    <row r="3378" spans="1:9" s="93" customFormat="1" ht="9" customHeight="1" x14ac:dyDescent="0.3">
      <c r="A3378" s="91"/>
      <c r="B3378" s="70"/>
      <c r="C3378" s="70"/>
      <c r="D3378" s="70"/>
      <c r="E3378" s="70"/>
      <c r="F3378" s="70"/>
      <c r="G3378" s="70"/>
      <c r="H3378" s="131"/>
      <c r="I3378" s="3"/>
    </row>
    <row r="3379" spans="1:9" s="93" customFormat="1" ht="9" customHeight="1" x14ac:dyDescent="0.3">
      <c r="A3379" s="91"/>
      <c r="B3379" s="70"/>
      <c r="C3379" s="70"/>
      <c r="D3379" s="70"/>
      <c r="E3379" s="70"/>
      <c r="F3379" s="70"/>
      <c r="G3379" s="70"/>
      <c r="H3379" s="131"/>
      <c r="I3379" s="3"/>
    </row>
    <row r="3380" spans="1:9" s="93" customFormat="1" ht="9" customHeight="1" x14ac:dyDescent="0.3">
      <c r="A3380" s="91"/>
      <c r="B3380" s="70"/>
      <c r="C3380" s="70"/>
      <c r="D3380" s="70"/>
      <c r="E3380" s="70"/>
      <c r="F3380" s="70"/>
      <c r="G3380" s="70"/>
      <c r="H3380" s="131"/>
      <c r="I3380" s="3"/>
    </row>
    <row r="3381" spans="1:9" s="93" customFormat="1" ht="9" customHeight="1" x14ac:dyDescent="0.3">
      <c r="A3381" s="91"/>
      <c r="B3381" s="70"/>
      <c r="C3381" s="70"/>
      <c r="D3381" s="70"/>
      <c r="E3381" s="70"/>
      <c r="F3381" s="70"/>
      <c r="G3381" s="70"/>
      <c r="H3381" s="131"/>
      <c r="I3381" s="3"/>
    </row>
    <row r="3382" spans="1:9" s="93" customFormat="1" ht="9" customHeight="1" x14ac:dyDescent="0.3">
      <c r="A3382" s="91"/>
      <c r="B3382" s="70"/>
      <c r="C3382" s="70"/>
      <c r="D3382" s="70"/>
      <c r="E3382" s="70"/>
      <c r="F3382" s="70"/>
      <c r="G3382" s="70"/>
      <c r="H3382" s="131"/>
      <c r="I3382" s="3"/>
    </row>
    <row r="3383" spans="1:9" s="93" customFormat="1" ht="9" customHeight="1" x14ac:dyDescent="0.3">
      <c r="A3383" s="91"/>
      <c r="B3383" s="70"/>
      <c r="C3383" s="70"/>
      <c r="D3383" s="70"/>
      <c r="E3383" s="70"/>
      <c r="F3383" s="70"/>
      <c r="G3383" s="70"/>
      <c r="H3383" s="131"/>
      <c r="I3383" s="3"/>
    </row>
    <row r="3384" spans="1:9" s="93" customFormat="1" ht="9" customHeight="1" x14ac:dyDescent="0.3">
      <c r="A3384" s="91"/>
      <c r="B3384" s="70"/>
      <c r="C3384" s="70"/>
      <c r="D3384" s="70"/>
      <c r="E3384" s="70"/>
      <c r="F3384" s="70"/>
      <c r="G3384" s="70"/>
      <c r="H3384" s="131"/>
      <c r="I3384" s="3"/>
    </row>
    <row r="3385" spans="1:9" s="93" customFormat="1" ht="9" customHeight="1" x14ac:dyDescent="0.3">
      <c r="A3385" s="91"/>
      <c r="B3385" s="70"/>
      <c r="C3385" s="70"/>
      <c r="D3385" s="70"/>
      <c r="E3385" s="70"/>
      <c r="F3385" s="70"/>
      <c r="G3385" s="70"/>
      <c r="H3385" s="131"/>
      <c r="I3385" s="3"/>
    </row>
    <row r="3386" spans="1:9" s="93" customFormat="1" ht="9" customHeight="1" x14ac:dyDescent="0.3">
      <c r="A3386" s="91"/>
      <c r="B3386" s="70"/>
      <c r="C3386" s="70"/>
      <c r="D3386" s="70"/>
      <c r="E3386" s="70"/>
      <c r="F3386" s="70"/>
      <c r="G3386" s="70"/>
      <c r="H3386" s="131"/>
      <c r="I3386" s="3"/>
    </row>
    <row r="3387" spans="1:9" s="93" customFormat="1" ht="9" customHeight="1" x14ac:dyDescent="0.3">
      <c r="A3387" s="91"/>
      <c r="B3387" s="70"/>
      <c r="C3387" s="70"/>
      <c r="D3387" s="70"/>
      <c r="E3387" s="70"/>
      <c r="F3387" s="70"/>
      <c r="G3387" s="70"/>
      <c r="H3387" s="131"/>
      <c r="I3387" s="3"/>
    </row>
    <row r="3388" spans="1:9" s="93" customFormat="1" ht="9" customHeight="1" x14ac:dyDescent="0.3">
      <c r="A3388" s="91"/>
      <c r="B3388" s="70"/>
      <c r="C3388" s="70"/>
      <c r="D3388" s="70"/>
      <c r="E3388" s="70"/>
      <c r="F3388" s="70"/>
      <c r="G3388" s="70"/>
      <c r="H3388" s="131"/>
      <c r="I3388" s="3"/>
    </row>
    <row r="3389" spans="1:9" s="93" customFormat="1" ht="9" customHeight="1" x14ac:dyDescent="0.3">
      <c r="A3389" s="91"/>
      <c r="B3389" s="70"/>
      <c r="C3389" s="70"/>
      <c r="D3389" s="70"/>
      <c r="E3389" s="70"/>
      <c r="F3389" s="70"/>
      <c r="G3389" s="70"/>
      <c r="H3389" s="131"/>
      <c r="I3389" s="3"/>
    </row>
    <row r="3390" spans="1:9" s="93" customFormat="1" ht="9" customHeight="1" x14ac:dyDescent="0.3">
      <c r="A3390" s="91"/>
      <c r="B3390" s="70"/>
      <c r="C3390" s="70"/>
      <c r="D3390" s="70"/>
      <c r="E3390" s="70"/>
      <c r="F3390" s="70"/>
      <c r="G3390" s="70"/>
      <c r="H3390" s="131"/>
      <c r="I3390" s="3"/>
    </row>
    <row r="3391" spans="1:9" s="93" customFormat="1" ht="9" customHeight="1" x14ac:dyDescent="0.3">
      <c r="A3391" s="91"/>
      <c r="B3391" s="70"/>
      <c r="C3391" s="70"/>
      <c r="D3391" s="70"/>
      <c r="E3391" s="70"/>
      <c r="F3391" s="70"/>
      <c r="G3391" s="70"/>
      <c r="H3391" s="131"/>
      <c r="I3391" s="3"/>
    </row>
    <row r="3392" spans="1:9" s="93" customFormat="1" ht="9" customHeight="1" x14ac:dyDescent="0.3">
      <c r="A3392" s="91"/>
      <c r="B3392" s="70"/>
      <c r="C3392" s="70"/>
      <c r="D3392" s="70"/>
      <c r="E3392" s="70"/>
      <c r="F3392" s="70"/>
      <c r="G3392" s="70"/>
      <c r="H3392" s="131"/>
      <c r="I3392" s="3"/>
    </row>
    <row r="3393" spans="1:9" s="93" customFormat="1" ht="9" customHeight="1" x14ac:dyDescent="0.3">
      <c r="A3393" s="91"/>
      <c r="B3393" s="70"/>
      <c r="C3393" s="70"/>
      <c r="D3393" s="70"/>
      <c r="E3393" s="70"/>
      <c r="F3393" s="70"/>
      <c r="G3393" s="70"/>
      <c r="H3393" s="131"/>
      <c r="I3393" s="3"/>
    </row>
    <row r="3394" spans="1:9" s="93" customFormat="1" ht="9" customHeight="1" x14ac:dyDescent="0.3">
      <c r="A3394" s="91"/>
      <c r="B3394" s="70"/>
      <c r="C3394" s="70"/>
      <c r="D3394" s="70"/>
      <c r="E3394" s="70"/>
      <c r="F3394" s="70"/>
      <c r="G3394" s="70"/>
      <c r="H3394" s="131"/>
      <c r="I3394" s="3"/>
    </row>
    <row r="3395" spans="1:9" s="93" customFormat="1" ht="9" customHeight="1" x14ac:dyDescent="0.3">
      <c r="A3395" s="91"/>
      <c r="B3395" s="70"/>
      <c r="C3395" s="70"/>
      <c r="D3395" s="70"/>
      <c r="E3395" s="70"/>
      <c r="F3395" s="70"/>
      <c r="G3395" s="70"/>
      <c r="H3395" s="131"/>
      <c r="I3395" s="3"/>
    </row>
    <row r="3396" spans="1:9" s="93" customFormat="1" ht="9" customHeight="1" x14ac:dyDescent="0.3">
      <c r="A3396" s="91"/>
      <c r="B3396" s="70"/>
      <c r="C3396" s="70"/>
      <c r="D3396" s="70"/>
      <c r="E3396" s="70"/>
      <c r="F3396" s="70"/>
      <c r="G3396" s="70"/>
      <c r="H3396" s="131"/>
      <c r="I3396" s="3"/>
    </row>
    <row r="3397" spans="1:9" s="93" customFormat="1" ht="9" customHeight="1" x14ac:dyDescent="0.3">
      <c r="A3397" s="91"/>
      <c r="B3397" s="70"/>
      <c r="C3397" s="70"/>
      <c r="D3397" s="70"/>
      <c r="E3397" s="70"/>
      <c r="F3397" s="70"/>
      <c r="G3397" s="70"/>
      <c r="H3397" s="131"/>
      <c r="I3397" s="3"/>
    </row>
    <row r="3398" spans="1:9" s="93" customFormat="1" ht="9" customHeight="1" x14ac:dyDescent="0.3">
      <c r="A3398" s="91"/>
      <c r="B3398" s="70"/>
      <c r="C3398" s="70"/>
      <c r="D3398" s="70"/>
      <c r="E3398" s="70"/>
      <c r="F3398" s="70"/>
      <c r="G3398" s="70"/>
      <c r="H3398" s="131"/>
      <c r="I3398" s="3"/>
    </row>
    <row r="3399" spans="1:9" s="93" customFormat="1" ht="9" customHeight="1" x14ac:dyDescent="0.3">
      <c r="A3399" s="91"/>
      <c r="B3399" s="70"/>
      <c r="C3399" s="70"/>
      <c r="D3399" s="70"/>
      <c r="E3399" s="70"/>
      <c r="F3399" s="70"/>
      <c r="G3399" s="70"/>
      <c r="H3399" s="131"/>
      <c r="I3399" s="3"/>
    </row>
    <row r="3400" spans="1:9" s="93" customFormat="1" ht="9" customHeight="1" x14ac:dyDescent="0.3">
      <c r="A3400" s="91"/>
      <c r="B3400" s="70"/>
      <c r="C3400" s="70"/>
      <c r="D3400" s="70"/>
      <c r="E3400" s="70"/>
      <c r="F3400" s="70"/>
      <c r="G3400" s="70"/>
      <c r="H3400" s="131"/>
      <c r="I3400" s="3"/>
    </row>
    <row r="3401" spans="1:9" s="93" customFormat="1" ht="9" customHeight="1" x14ac:dyDescent="0.3">
      <c r="A3401" s="91"/>
      <c r="B3401" s="70"/>
      <c r="C3401" s="70"/>
      <c r="D3401" s="70"/>
      <c r="E3401" s="70"/>
      <c r="F3401" s="70"/>
      <c r="G3401" s="70"/>
      <c r="H3401" s="131"/>
      <c r="I3401" s="3"/>
    </row>
    <row r="3402" spans="1:9" s="93" customFormat="1" ht="9" customHeight="1" x14ac:dyDescent="0.3">
      <c r="A3402" s="91"/>
      <c r="B3402" s="70"/>
      <c r="C3402" s="70"/>
      <c r="D3402" s="70"/>
      <c r="E3402" s="70"/>
      <c r="F3402" s="70"/>
      <c r="G3402" s="70"/>
      <c r="H3402" s="131"/>
      <c r="I3402" s="3"/>
    </row>
    <row r="3403" spans="1:9" s="93" customFormat="1" ht="9" customHeight="1" x14ac:dyDescent="0.3">
      <c r="A3403" s="91"/>
      <c r="B3403" s="70"/>
      <c r="C3403" s="70"/>
      <c r="D3403" s="70"/>
      <c r="E3403" s="70"/>
      <c r="F3403" s="70"/>
      <c r="G3403" s="70"/>
      <c r="H3403" s="131"/>
      <c r="I3403" s="3"/>
    </row>
    <row r="3404" spans="1:9" s="93" customFormat="1" ht="9" customHeight="1" x14ac:dyDescent="0.3">
      <c r="A3404" s="91"/>
      <c r="B3404" s="70"/>
      <c r="C3404" s="70"/>
      <c r="D3404" s="70"/>
      <c r="E3404" s="70"/>
      <c r="F3404" s="70"/>
      <c r="G3404" s="70"/>
      <c r="H3404" s="131"/>
      <c r="I3404" s="3"/>
    </row>
    <row r="3405" spans="1:9" s="93" customFormat="1" ht="9" customHeight="1" x14ac:dyDescent="0.3">
      <c r="A3405" s="91"/>
      <c r="B3405" s="70"/>
      <c r="C3405" s="70"/>
      <c r="D3405" s="70"/>
      <c r="E3405" s="70"/>
      <c r="F3405" s="70"/>
      <c r="G3405" s="70"/>
      <c r="H3405" s="131"/>
      <c r="I3405" s="3"/>
    </row>
    <row r="3406" spans="1:9" s="93" customFormat="1" ht="9" customHeight="1" x14ac:dyDescent="0.3">
      <c r="A3406" s="91"/>
      <c r="B3406" s="70"/>
      <c r="C3406" s="70"/>
      <c r="D3406" s="70"/>
      <c r="E3406" s="70"/>
      <c r="F3406" s="70"/>
      <c r="G3406" s="70"/>
      <c r="H3406" s="131"/>
      <c r="I3406" s="3"/>
    </row>
    <row r="3407" spans="1:9" s="93" customFormat="1" ht="9" customHeight="1" x14ac:dyDescent="0.3">
      <c r="A3407" s="91"/>
      <c r="B3407" s="70"/>
      <c r="C3407" s="70"/>
      <c r="D3407" s="70"/>
      <c r="E3407" s="70"/>
      <c r="F3407" s="70"/>
      <c r="G3407" s="70"/>
      <c r="H3407" s="131"/>
      <c r="I3407" s="3"/>
    </row>
    <row r="3408" spans="1:9" s="93" customFormat="1" ht="9" customHeight="1" x14ac:dyDescent="0.3">
      <c r="A3408" s="91"/>
      <c r="B3408" s="70"/>
      <c r="C3408" s="70"/>
      <c r="D3408" s="70"/>
      <c r="E3408" s="70"/>
      <c r="F3408" s="70"/>
      <c r="G3408" s="70"/>
      <c r="H3408" s="131"/>
      <c r="I3408" s="3"/>
    </row>
    <row r="3409" spans="1:9" s="93" customFormat="1" ht="9" customHeight="1" x14ac:dyDescent="0.3">
      <c r="A3409" s="91"/>
      <c r="B3409" s="70"/>
      <c r="C3409" s="70"/>
      <c r="D3409" s="70"/>
      <c r="E3409" s="70"/>
      <c r="F3409" s="70"/>
      <c r="G3409" s="70"/>
      <c r="H3409" s="131"/>
      <c r="I3409" s="3"/>
    </row>
    <row r="3410" spans="1:9" s="93" customFormat="1" ht="9" customHeight="1" x14ac:dyDescent="0.3">
      <c r="A3410" s="91"/>
      <c r="B3410" s="70"/>
      <c r="C3410" s="70"/>
      <c r="D3410" s="70"/>
      <c r="E3410" s="70"/>
      <c r="F3410" s="70"/>
      <c r="G3410" s="70"/>
      <c r="H3410" s="131"/>
      <c r="I3410" s="3"/>
    </row>
    <row r="3411" spans="1:9" s="93" customFormat="1" ht="9" customHeight="1" x14ac:dyDescent="0.3">
      <c r="A3411" s="91"/>
      <c r="B3411" s="70"/>
      <c r="C3411" s="70"/>
      <c r="D3411" s="70"/>
      <c r="E3411" s="70"/>
      <c r="F3411" s="70"/>
      <c r="G3411" s="70"/>
      <c r="H3411" s="131"/>
      <c r="I3411" s="3"/>
    </row>
    <row r="3412" spans="1:9" s="93" customFormat="1" ht="9" customHeight="1" x14ac:dyDescent="0.3">
      <c r="A3412" s="91"/>
      <c r="B3412" s="70"/>
      <c r="C3412" s="70"/>
      <c r="D3412" s="70"/>
      <c r="E3412" s="70"/>
      <c r="F3412" s="70"/>
      <c r="G3412" s="70"/>
      <c r="H3412" s="131"/>
      <c r="I3412" s="3"/>
    </row>
    <row r="3413" spans="1:9" s="93" customFormat="1" ht="9" customHeight="1" x14ac:dyDescent="0.3">
      <c r="A3413" s="91"/>
      <c r="B3413" s="70"/>
      <c r="C3413" s="70"/>
      <c r="D3413" s="70"/>
      <c r="E3413" s="70"/>
      <c r="F3413" s="70"/>
      <c r="G3413" s="70"/>
      <c r="H3413" s="131"/>
      <c r="I3413" s="3"/>
    </row>
    <row r="3414" spans="1:9" s="93" customFormat="1" ht="9" customHeight="1" x14ac:dyDescent="0.3">
      <c r="A3414" s="91"/>
      <c r="B3414" s="70"/>
      <c r="C3414" s="70"/>
      <c r="D3414" s="70"/>
      <c r="E3414" s="70"/>
      <c r="F3414" s="70"/>
      <c r="G3414" s="70"/>
      <c r="H3414" s="131"/>
      <c r="I3414" s="3"/>
    </row>
    <row r="3415" spans="1:9" s="93" customFormat="1" ht="9" customHeight="1" x14ac:dyDescent="0.3">
      <c r="A3415" s="91"/>
      <c r="B3415" s="70"/>
      <c r="C3415" s="70"/>
      <c r="D3415" s="70"/>
      <c r="E3415" s="70"/>
      <c r="F3415" s="70"/>
      <c r="G3415" s="70"/>
      <c r="H3415" s="131"/>
      <c r="I3415" s="3"/>
    </row>
    <row r="3416" spans="1:9" s="93" customFormat="1" ht="9" customHeight="1" x14ac:dyDescent="0.3">
      <c r="A3416" s="91"/>
      <c r="B3416" s="70"/>
      <c r="C3416" s="70"/>
      <c r="D3416" s="70"/>
      <c r="E3416" s="70"/>
      <c r="F3416" s="70"/>
      <c r="G3416" s="70"/>
      <c r="H3416" s="131"/>
      <c r="I3416" s="3"/>
    </row>
    <row r="3417" spans="1:9" s="93" customFormat="1" ht="9" customHeight="1" x14ac:dyDescent="0.3">
      <c r="A3417" s="91"/>
      <c r="B3417" s="70"/>
      <c r="C3417" s="70"/>
      <c r="D3417" s="70"/>
      <c r="E3417" s="70"/>
      <c r="F3417" s="70"/>
      <c r="G3417" s="70"/>
      <c r="H3417" s="131"/>
      <c r="I3417" s="3"/>
    </row>
    <row r="3418" spans="1:9" s="93" customFormat="1" ht="9" customHeight="1" x14ac:dyDescent="0.3">
      <c r="A3418" s="91"/>
      <c r="B3418" s="70"/>
      <c r="C3418" s="70"/>
      <c r="D3418" s="70"/>
      <c r="E3418" s="70"/>
      <c r="F3418" s="70"/>
      <c r="G3418" s="70"/>
      <c r="H3418" s="131"/>
      <c r="I3418" s="3"/>
    </row>
    <row r="3419" spans="1:9" s="93" customFormat="1" ht="9" customHeight="1" x14ac:dyDescent="0.3">
      <c r="A3419" s="91"/>
      <c r="B3419" s="70"/>
      <c r="C3419" s="70"/>
      <c r="D3419" s="70"/>
      <c r="E3419" s="70"/>
      <c r="F3419" s="70"/>
      <c r="G3419" s="70"/>
      <c r="H3419" s="131"/>
      <c r="I3419" s="3"/>
    </row>
    <row r="3420" spans="1:9" s="93" customFormat="1" ht="9" customHeight="1" x14ac:dyDescent="0.3">
      <c r="A3420" s="91"/>
      <c r="B3420" s="70"/>
      <c r="C3420" s="70"/>
      <c r="D3420" s="70"/>
      <c r="E3420" s="70"/>
      <c r="F3420" s="70"/>
      <c r="G3420" s="70"/>
      <c r="H3420" s="131"/>
      <c r="I3420" s="3"/>
    </row>
    <row r="3421" spans="1:9" s="93" customFormat="1" ht="9" customHeight="1" x14ac:dyDescent="0.3">
      <c r="A3421" s="91"/>
      <c r="B3421" s="70"/>
      <c r="C3421" s="70"/>
      <c r="D3421" s="70"/>
      <c r="E3421" s="70"/>
      <c r="F3421" s="70"/>
      <c r="G3421" s="70"/>
      <c r="H3421" s="131"/>
      <c r="I3421" s="3"/>
    </row>
    <row r="3422" spans="1:9" s="93" customFormat="1" ht="9" customHeight="1" x14ac:dyDescent="0.3">
      <c r="A3422" s="91"/>
      <c r="B3422" s="70"/>
      <c r="C3422" s="70"/>
      <c r="D3422" s="70"/>
      <c r="E3422" s="70"/>
      <c r="F3422" s="70"/>
      <c r="G3422" s="70"/>
      <c r="H3422" s="131"/>
      <c r="I3422" s="3"/>
    </row>
    <row r="3423" spans="1:9" s="93" customFormat="1" ht="9" customHeight="1" x14ac:dyDescent="0.3">
      <c r="A3423" s="91"/>
      <c r="B3423" s="70"/>
      <c r="C3423" s="70"/>
      <c r="D3423" s="70"/>
      <c r="E3423" s="70"/>
      <c r="F3423" s="70"/>
      <c r="G3423" s="70"/>
      <c r="H3423" s="131"/>
      <c r="I3423" s="3"/>
    </row>
    <row r="3424" spans="1:9" s="93" customFormat="1" ht="9" customHeight="1" x14ac:dyDescent="0.3">
      <c r="A3424" s="91"/>
      <c r="B3424" s="70"/>
      <c r="C3424" s="70"/>
      <c r="D3424" s="70"/>
      <c r="E3424" s="70"/>
      <c r="F3424" s="70"/>
      <c r="G3424" s="70"/>
      <c r="H3424" s="131"/>
      <c r="I3424" s="3"/>
    </row>
    <row r="3425" spans="1:9" s="93" customFormat="1" ht="9" customHeight="1" x14ac:dyDescent="0.3">
      <c r="A3425" s="91"/>
      <c r="B3425" s="70"/>
      <c r="C3425" s="70"/>
      <c r="D3425" s="70"/>
      <c r="E3425" s="70"/>
      <c r="F3425" s="70"/>
      <c r="G3425" s="70"/>
      <c r="H3425" s="131"/>
      <c r="I3425" s="3"/>
    </row>
    <row r="3426" spans="1:9" s="93" customFormat="1" ht="9" customHeight="1" x14ac:dyDescent="0.3">
      <c r="A3426" s="91"/>
      <c r="B3426" s="70"/>
      <c r="C3426" s="70"/>
      <c r="D3426" s="70"/>
      <c r="E3426" s="70"/>
      <c r="F3426" s="70"/>
      <c r="G3426" s="70"/>
      <c r="H3426" s="131"/>
      <c r="I3426" s="3"/>
    </row>
    <row r="3427" spans="1:9" s="93" customFormat="1" ht="9" customHeight="1" x14ac:dyDescent="0.3">
      <c r="A3427" s="91"/>
      <c r="B3427" s="70"/>
      <c r="C3427" s="70"/>
      <c r="D3427" s="70"/>
      <c r="E3427" s="70"/>
      <c r="F3427" s="70"/>
      <c r="G3427" s="70"/>
      <c r="H3427" s="131"/>
      <c r="I3427" s="3"/>
    </row>
    <row r="3428" spans="1:9" s="93" customFormat="1" ht="9" customHeight="1" x14ac:dyDescent="0.3">
      <c r="A3428" s="91"/>
      <c r="B3428" s="70"/>
      <c r="C3428" s="70"/>
      <c r="D3428" s="70"/>
      <c r="E3428" s="70"/>
      <c r="F3428" s="70"/>
      <c r="G3428" s="70"/>
      <c r="H3428" s="131"/>
      <c r="I3428" s="3"/>
    </row>
    <row r="3429" spans="1:9" s="93" customFormat="1" ht="9" customHeight="1" x14ac:dyDescent="0.3">
      <c r="A3429" s="91"/>
      <c r="B3429" s="70"/>
      <c r="C3429" s="70"/>
      <c r="D3429" s="70"/>
      <c r="E3429" s="70"/>
      <c r="F3429" s="70"/>
      <c r="G3429" s="70"/>
      <c r="H3429" s="131"/>
      <c r="I3429" s="3"/>
    </row>
    <row r="3430" spans="1:9" s="93" customFormat="1" ht="9" customHeight="1" x14ac:dyDescent="0.3">
      <c r="A3430" s="91"/>
      <c r="B3430" s="70"/>
      <c r="C3430" s="70"/>
      <c r="D3430" s="70"/>
      <c r="E3430" s="70"/>
      <c r="F3430" s="70"/>
      <c r="G3430" s="70"/>
      <c r="H3430" s="131"/>
      <c r="I3430" s="3"/>
    </row>
    <row r="3431" spans="1:9" s="93" customFormat="1" ht="9" customHeight="1" x14ac:dyDescent="0.3">
      <c r="A3431" s="91"/>
      <c r="B3431" s="70"/>
      <c r="C3431" s="70"/>
      <c r="D3431" s="70"/>
      <c r="E3431" s="70"/>
      <c r="F3431" s="70"/>
      <c r="G3431" s="70"/>
      <c r="H3431" s="131"/>
      <c r="I3431" s="3"/>
    </row>
    <row r="3432" spans="1:9" s="93" customFormat="1" ht="9" customHeight="1" x14ac:dyDescent="0.3">
      <c r="A3432" s="91"/>
      <c r="B3432" s="70"/>
      <c r="C3432" s="70"/>
      <c r="D3432" s="70"/>
      <c r="E3432" s="70"/>
      <c r="F3432" s="70"/>
      <c r="G3432" s="70"/>
      <c r="H3432" s="131"/>
      <c r="I3432" s="3"/>
    </row>
    <row r="3433" spans="1:9" s="93" customFormat="1" ht="9" customHeight="1" x14ac:dyDescent="0.3">
      <c r="A3433" s="91"/>
      <c r="B3433" s="70"/>
      <c r="C3433" s="70"/>
      <c r="D3433" s="70"/>
      <c r="E3433" s="70"/>
      <c r="F3433" s="70"/>
      <c r="G3433" s="70"/>
      <c r="H3433" s="131"/>
      <c r="I3433" s="3"/>
    </row>
    <row r="3434" spans="1:9" s="93" customFormat="1" ht="9" customHeight="1" x14ac:dyDescent="0.3">
      <c r="A3434" s="91"/>
      <c r="B3434" s="70"/>
      <c r="C3434" s="70"/>
      <c r="D3434" s="70"/>
      <c r="E3434" s="70"/>
      <c r="F3434" s="70"/>
      <c r="G3434" s="70"/>
      <c r="H3434" s="131"/>
      <c r="I3434" s="3"/>
    </row>
    <row r="3435" spans="1:9" s="93" customFormat="1" ht="9" customHeight="1" x14ac:dyDescent="0.3">
      <c r="A3435" s="91"/>
      <c r="B3435" s="70"/>
      <c r="C3435" s="70"/>
      <c r="D3435" s="70"/>
      <c r="E3435" s="70"/>
      <c r="F3435" s="70"/>
      <c r="G3435" s="70"/>
      <c r="H3435" s="131"/>
      <c r="I3435" s="3"/>
    </row>
    <row r="3436" spans="1:9" s="93" customFormat="1" ht="9" customHeight="1" x14ac:dyDescent="0.3">
      <c r="A3436" s="91"/>
      <c r="B3436" s="70"/>
      <c r="C3436" s="70"/>
      <c r="D3436" s="70"/>
      <c r="E3436" s="70"/>
      <c r="F3436" s="70"/>
      <c r="G3436" s="70"/>
      <c r="H3436" s="131"/>
      <c r="I3436" s="3"/>
    </row>
    <row r="3437" spans="1:9" s="93" customFormat="1" ht="9" customHeight="1" x14ac:dyDescent="0.3">
      <c r="A3437" s="91"/>
      <c r="B3437" s="70"/>
      <c r="C3437" s="70"/>
      <c r="D3437" s="70"/>
      <c r="E3437" s="70"/>
      <c r="F3437" s="70"/>
      <c r="G3437" s="70"/>
      <c r="H3437" s="131"/>
      <c r="I3437" s="3"/>
    </row>
    <row r="3438" spans="1:9" s="93" customFormat="1" ht="9" customHeight="1" x14ac:dyDescent="0.3">
      <c r="A3438" s="91"/>
      <c r="B3438" s="70"/>
      <c r="C3438" s="70"/>
      <c r="D3438" s="70"/>
      <c r="E3438" s="70"/>
      <c r="F3438" s="70"/>
      <c r="G3438" s="70"/>
      <c r="H3438" s="131"/>
      <c r="I3438" s="3"/>
    </row>
    <row r="3439" spans="1:9" s="93" customFormat="1" ht="9" customHeight="1" x14ac:dyDescent="0.3">
      <c r="A3439" s="91"/>
      <c r="B3439" s="70"/>
      <c r="C3439" s="70"/>
      <c r="D3439" s="70"/>
      <c r="E3439" s="70"/>
      <c r="F3439" s="70"/>
      <c r="G3439" s="70"/>
      <c r="H3439" s="131"/>
      <c r="I3439" s="3"/>
    </row>
    <row r="3440" spans="1:9" s="93" customFormat="1" ht="9" customHeight="1" x14ac:dyDescent="0.3">
      <c r="A3440" s="91"/>
      <c r="B3440" s="70"/>
      <c r="C3440" s="70"/>
      <c r="D3440" s="70"/>
      <c r="E3440" s="70"/>
      <c r="F3440" s="70"/>
      <c r="G3440" s="70"/>
      <c r="H3440" s="131"/>
      <c r="I3440" s="3"/>
    </row>
    <row r="3441" spans="1:9" s="93" customFormat="1" ht="9" customHeight="1" x14ac:dyDescent="0.3">
      <c r="A3441" s="91"/>
      <c r="B3441" s="70"/>
      <c r="C3441" s="70"/>
      <c r="D3441" s="70"/>
      <c r="E3441" s="70"/>
      <c r="F3441" s="70"/>
      <c r="G3441" s="70"/>
      <c r="H3441" s="131"/>
      <c r="I3441" s="3"/>
    </row>
    <row r="3442" spans="1:9" s="93" customFormat="1" ht="9" customHeight="1" x14ac:dyDescent="0.3">
      <c r="A3442" s="91"/>
      <c r="B3442" s="70"/>
      <c r="C3442" s="70"/>
      <c r="D3442" s="70"/>
      <c r="E3442" s="70"/>
      <c r="F3442" s="70"/>
      <c r="G3442" s="70"/>
      <c r="H3442" s="131"/>
      <c r="I3442" s="3"/>
    </row>
    <row r="3443" spans="1:9" s="93" customFormat="1" ht="9" customHeight="1" x14ac:dyDescent="0.3">
      <c r="A3443" s="91"/>
      <c r="B3443" s="70"/>
      <c r="C3443" s="70"/>
      <c r="D3443" s="70"/>
      <c r="E3443" s="70"/>
      <c r="F3443" s="70"/>
      <c r="G3443" s="70"/>
      <c r="H3443" s="131"/>
      <c r="I3443" s="3"/>
    </row>
    <row r="3444" spans="1:9" s="93" customFormat="1" ht="9" customHeight="1" x14ac:dyDescent="0.3">
      <c r="A3444" s="91"/>
      <c r="B3444" s="70"/>
      <c r="C3444" s="70"/>
      <c r="D3444" s="70"/>
      <c r="E3444" s="70"/>
      <c r="F3444" s="70"/>
      <c r="G3444" s="70"/>
      <c r="H3444" s="131"/>
      <c r="I3444" s="3"/>
    </row>
    <row r="3445" spans="1:9" s="93" customFormat="1" ht="9" customHeight="1" x14ac:dyDescent="0.3">
      <c r="A3445" s="91"/>
      <c r="B3445" s="70"/>
      <c r="C3445" s="70"/>
      <c r="D3445" s="70"/>
      <c r="E3445" s="70"/>
      <c r="F3445" s="70"/>
      <c r="G3445" s="70"/>
      <c r="H3445" s="131"/>
      <c r="I3445" s="3"/>
    </row>
    <row r="3446" spans="1:9" s="93" customFormat="1" ht="9" customHeight="1" x14ac:dyDescent="0.3">
      <c r="A3446" s="91"/>
      <c r="B3446" s="70"/>
      <c r="C3446" s="70"/>
      <c r="D3446" s="70"/>
      <c r="E3446" s="70"/>
      <c r="F3446" s="70"/>
      <c r="G3446" s="70"/>
      <c r="H3446" s="131"/>
      <c r="I3446" s="3"/>
    </row>
    <row r="3447" spans="1:9" s="93" customFormat="1" ht="9" customHeight="1" x14ac:dyDescent="0.3">
      <c r="A3447" s="91"/>
      <c r="B3447" s="70"/>
      <c r="C3447" s="70"/>
      <c r="D3447" s="70"/>
      <c r="E3447" s="70"/>
      <c r="F3447" s="70"/>
      <c r="G3447" s="70"/>
      <c r="H3447" s="131"/>
      <c r="I3447" s="3"/>
    </row>
    <row r="3448" spans="1:9" s="93" customFormat="1" ht="9" customHeight="1" x14ac:dyDescent="0.3">
      <c r="A3448" s="91"/>
      <c r="B3448" s="70"/>
      <c r="C3448" s="70"/>
      <c r="D3448" s="70"/>
      <c r="E3448" s="70"/>
      <c r="F3448" s="70"/>
      <c r="G3448" s="70"/>
      <c r="H3448" s="131"/>
      <c r="I3448" s="3"/>
    </row>
    <row r="3449" spans="1:9" s="93" customFormat="1" ht="9" customHeight="1" x14ac:dyDescent="0.3">
      <c r="A3449" s="91"/>
      <c r="B3449" s="70"/>
      <c r="C3449" s="70"/>
      <c r="D3449" s="70"/>
      <c r="E3449" s="70"/>
      <c r="F3449" s="70"/>
      <c r="G3449" s="70"/>
      <c r="H3449" s="131"/>
      <c r="I3449" s="3"/>
    </row>
    <row r="3450" spans="1:9" s="93" customFormat="1" ht="9" customHeight="1" x14ac:dyDescent="0.3">
      <c r="A3450" s="91"/>
      <c r="B3450" s="70"/>
      <c r="C3450" s="70"/>
      <c r="D3450" s="70"/>
      <c r="E3450" s="70"/>
      <c r="F3450" s="70"/>
      <c r="G3450" s="70"/>
      <c r="H3450" s="131"/>
      <c r="I3450" s="3"/>
    </row>
    <row r="3451" spans="1:9" s="93" customFormat="1" ht="9" customHeight="1" x14ac:dyDescent="0.3">
      <c r="A3451" s="91"/>
      <c r="B3451" s="70"/>
      <c r="C3451" s="70"/>
      <c r="D3451" s="70"/>
      <c r="E3451" s="70"/>
      <c r="F3451" s="70"/>
      <c r="G3451" s="70"/>
      <c r="H3451" s="131"/>
      <c r="I3451" s="3"/>
    </row>
    <row r="3452" spans="1:9" s="93" customFormat="1" ht="9" customHeight="1" x14ac:dyDescent="0.3">
      <c r="A3452" s="91"/>
      <c r="B3452" s="70"/>
      <c r="C3452" s="70"/>
      <c r="D3452" s="70"/>
      <c r="E3452" s="70"/>
      <c r="F3452" s="70"/>
      <c r="G3452" s="70"/>
      <c r="H3452" s="131"/>
      <c r="I3452" s="3"/>
    </row>
    <row r="3453" spans="1:9" s="93" customFormat="1" ht="9" customHeight="1" x14ac:dyDescent="0.3">
      <c r="A3453" s="91"/>
      <c r="B3453" s="70"/>
      <c r="C3453" s="70"/>
      <c r="D3453" s="70"/>
      <c r="E3453" s="70"/>
      <c r="F3453" s="70"/>
      <c r="G3453" s="70"/>
      <c r="H3453" s="131"/>
      <c r="I3453" s="3"/>
    </row>
    <row r="3454" spans="1:9" s="93" customFormat="1" ht="9" customHeight="1" x14ac:dyDescent="0.3">
      <c r="A3454" s="91"/>
      <c r="B3454" s="70"/>
      <c r="C3454" s="70"/>
      <c r="D3454" s="70"/>
      <c r="E3454" s="70"/>
      <c r="F3454" s="70"/>
      <c r="G3454" s="70"/>
      <c r="H3454" s="131"/>
      <c r="I3454" s="3"/>
    </row>
    <row r="3455" spans="1:9" s="93" customFormat="1" ht="9" customHeight="1" x14ac:dyDescent="0.3">
      <c r="A3455" s="91"/>
      <c r="B3455" s="70"/>
      <c r="C3455" s="70"/>
      <c r="D3455" s="70"/>
      <c r="E3455" s="70"/>
      <c r="F3455" s="70"/>
      <c r="G3455" s="70"/>
      <c r="H3455" s="131"/>
      <c r="I3455" s="3"/>
    </row>
    <row r="3456" spans="1:9" s="93" customFormat="1" ht="9" customHeight="1" x14ac:dyDescent="0.3">
      <c r="A3456" s="91"/>
      <c r="B3456" s="70"/>
      <c r="C3456" s="70"/>
      <c r="D3456" s="70"/>
      <c r="E3456" s="70"/>
      <c r="F3456" s="70"/>
      <c r="G3456" s="70"/>
      <c r="H3456" s="131"/>
      <c r="I3456" s="3"/>
    </row>
    <row r="3457" spans="1:9" s="93" customFormat="1" ht="9" customHeight="1" x14ac:dyDescent="0.3">
      <c r="A3457" s="91"/>
      <c r="B3457" s="70"/>
      <c r="C3457" s="70"/>
      <c r="D3457" s="70"/>
      <c r="E3457" s="70"/>
      <c r="F3457" s="70"/>
      <c r="G3457" s="70"/>
      <c r="H3457" s="131"/>
      <c r="I3457" s="3"/>
    </row>
    <row r="3458" spans="1:9" s="93" customFormat="1" ht="9" customHeight="1" x14ac:dyDescent="0.3">
      <c r="A3458" s="91"/>
      <c r="B3458" s="70"/>
      <c r="C3458" s="70"/>
      <c r="D3458" s="70"/>
      <c r="E3458" s="70"/>
      <c r="F3458" s="70"/>
      <c r="G3458" s="70"/>
      <c r="H3458" s="131"/>
      <c r="I3458" s="3"/>
    </row>
    <row r="3459" spans="1:9" s="93" customFormat="1" ht="9" customHeight="1" x14ac:dyDescent="0.3">
      <c r="A3459" s="91"/>
      <c r="B3459" s="70"/>
      <c r="C3459" s="70"/>
      <c r="D3459" s="70"/>
      <c r="E3459" s="70"/>
      <c r="F3459" s="70"/>
      <c r="G3459" s="70"/>
      <c r="H3459" s="131"/>
      <c r="I3459" s="3"/>
    </row>
    <row r="3460" spans="1:9" s="93" customFormat="1" ht="9" customHeight="1" x14ac:dyDescent="0.3">
      <c r="A3460" s="91"/>
      <c r="B3460" s="70"/>
      <c r="C3460" s="70"/>
      <c r="D3460" s="70"/>
      <c r="E3460" s="70"/>
      <c r="F3460" s="70"/>
      <c r="G3460" s="70"/>
      <c r="H3460" s="131"/>
      <c r="I3460" s="3"/>
    </row>
    <row r="3461" spans="1:9" s="93" customFormat="1" ht="9" customHeight="1" x14ac:dyDescent="0.3">
      <c r="A3461" s="91"/>
      <c r="B3461" s="70"/>
      <c r="C3461" s="70"/>
      <c r="D3461" s="70"/>
      <c r="E3461" s="70"/>
      <c r="F3461" s="70"/>
      <c r="G3461" s="70"/>
      <c r="H3461" s="131"/>
      <c r="I3461" s="3"/>
    </row>
    <row r="3462" spans="1:9" s="93" customFormat="1" ht="9" customHeight="1" x14ac:dyDescent="0.3">
      <c r="A3462" s="91"/>
      <c r="B3462" s="70"/>
      <c r="C3462" s="70"/>
      <c r="D3462" s="70"/>
      <c r="E3462" s="70"/>
      <c r="F3462" s="70"/>
      <c r="G3462" s="70"/>
      <c r="H3462" s="131"/>
      <c r="I3462" s="3"/>
    </row>
    <row r="3463" spans="1:9" s="93" customFormat="1" ht="9" customHeight="1" x14ac:dyDescent="0.3">
      <c r="A3463" s="91"/>
      <c r="B3463" s="70"/>
      <c r="C3463" s="70"/>
      <c r="D3463" s="70"/>
      <c r="E3463" s="70"/>
      <c r="F3463" s="70"/>
      <c r="G3463" s="70"/>
      <c r="H3463" s="131"/>
      <c r="I3463" s="3"/>
    </row>
    <row r="3464" spans="1:9" s="93" customFormat="1" ht="9" customHeight="1" x14ac:dyDescent="0.3">
      <c r="A3464" s="91"/>
      <c r="B3464" s="70"/>
      <c r="C3464" s="70"/>
      <c r="D3464" s="70"/>
      <c r="E3464" s="70"/>
      <c r="F3464" s="70"/>
      <c r="G3464" s="70"/>
      <c r="H3464" s="131"/>
      <c r="I3464" s="3"/>
    </row>
    <row r="3465" spans="1:9" s="93" customFormat="1" ht="9" customHeight="1" x14ac:dyDescent="0.3">
      <c r="A3465" s="91"/>
      <c r="B3465" s="70"/>
      <c r="C3465" s="70"/>
      <c r="D3465" s="70"/>
      <c r="E3465" s="70"/>
      <c r="F3465" s="70"/>
      <c r="G3465" s="70"/>
      <c r="H3465" s="131"/>
      <c r="I3465" s="3"/>
    </row>
    <row r="3466" spans="1:9" s="93" customFormat="1" ht="9" customHeight="1" x14ac:dyDescent="0.3">
      <c r="A3466" s="91"/>
      <c r="B3466" s="70"/>
      <c r="C3466" s="70"/>
      <c r="D3466" s="70"/>
      <c r="E3466" s="70"/>
      <c r="F3466" s="70"/>
      <c r="G3466" s="70"/>
      <c r="H3466" s="131"/>
      <c r="I3466" s="3"/>
    </row>
    <row r="3467" spans="1:9" s="93" customFormat="1" ht="9" customHeight="1" x14ac:dyDescent="0.3">
      <c r="A3467" s="91"/>
      <c r="B3467" s="70"/>
      <c r="C3467" s="70"/>
      <c r="D3467" s="70"/>
      <c r="E3467" s="70"/>
      <c r="F3467" s="70"/>
      <c r="G3467" s="70"/>
      <c r="H3467" s="131"/>
      <c r="I3467" s="3"/>
    </row>
    <row r="3468" spans="1:9" s="93" customFormat="1" ht="9" customHeight="1" x14ac:dyDescent="0.3">
      <c r="A3468" s="91"/>
      <c r="B3468" s="70"/>
      <c r="C3468" s="70"/>
      <c r="D3468" s="70"/>
      <c r="E3468" s="70"/>
      <c r="F3468" s="70"/>
      <c r="G3468" s="70"/>
      <c r="H3468" s="131"/>
      <c r="I3468" s="3"/>
    </row>
    <row r="3469" spans="1:9" s="93" customFormat="1" ht="9" customHeight="1" x14ac:dyDescent="0.3">
      <c r="A3469" s="91"/>
      <c r="B3469" s="70"/>
      <c r="C3469" s="70"/>
      <c r="D3469" s="70"/>
      <c r="E3469" s="70"/>
      <c r="F3469" s="70"/>
      <c r="G3469" s="70"/>
      <c r="H3469" s="131"/>
      <c r="I3469" s="3"/>
    </row>
    <row r="3470" spans="1:9" s="93" customFormat="1" ht="9" customHeight="1" x14ac:dyDescent="0.3">
      <c r="A3470" s="91"/>
      <c r="B3470" s="70"/>
      <c r="C3470" s="70"/>
      <c r="D3470" s="70"/>
      <c r="E3470" s="70"/>
      <c r="F3470" s="70"/>
      <c r="G3470" s="70"/>
      <c r="H3470" s="131"/>
      <c r="I3470" s="3"/>
    </row>
    <row r="3471" spans="1:9" s="93" customFormat="1" ht="9" customHeight="1" x14ac:dyDescent="0.3">
      <c r="A3471" s="91"/>
      <c r="B3471" s="70"/>
      <c r="C3471" s="70"/>
      <c r="D3471" s="70"/>
      <c r="E3471" s="70"/>
      <c r="F3471" s="70"/>
      <c r="G3471" s="70"/>
      <c r="H3471" s="131"/>
      <c r="I3471" s="3"/>
    </row>
    <row r="3472" spans="1:9" s="93" customFormat="1" ht="9" customHeight="1" x14ac:dyDescent="0.3">
      <c r="A3472" s="91"/>
      <c r="B3472" s="70"/>
      <c r="C3472" s="70"/>
      <c r="D3472" s="70"/>
      <c r="E3472" s="70"/>
      <c r="F3472" s="70"/>
      <c r="G3472" s="70"/>
      <c r="H3472" s="131"/>
      <c r="I3472" s="3"/>
    </row>
    <row r="3473" spans="1:9" s="93" customFormat="1" ht="9" customHeight="1" x14ac:dyDescent="0.3">
      <c r="A3473" s="91"/>
      <c r="B3473" s="70"/>
      <c r="C3473" s="70"/>
      <c r="D3473" s="70"/>
      <c r="E3473" s="70"/>
      <c r="F3473" s="70"/>
      <c r="G3473" s="70"/>
      <c r="H3473" s="131"/>
      <c r="I3473" s="3"/>
    </row>
    <row r="3474" spans="1:9" s="93" customFormat="1" ht="9" customHeight="1" x14ac:dyDescent="0.3">
      <c r="A3474" s="91"/>
      <c r="B3474" s="70"/>
      <c r="C3474" s="70"/>
      <c r="D3474" s="70"/>
      <c r="E3474" s="70"/>
      <c r="F3474" s="70"/>
      <c r="G3474" s="70"/>
      <c r="H3474" s="131"/>
      <c r="I3474" s="3"/>
    </row>
    <row r="3475" spans="1:9" s="93" customFormat="1" ht="9" customHeight="1" x14ac:dyDescent="0.3">
      <c r="A3475" s="91"/>
      <c r="B3475" s="70"/>
      <c r="C3475" s="70"/>
      <c r="D3475" s="70"/>
      <c r="E3475" s="70"/>
      <c r="F3475" s="70"/>
      <c r="G3475" s="70"/>
      <c r="H3475" s="131"/>
      <c r="I3475" s="3"/>
    </row>
    <row r="3476" spans="1:9" s="93" customFormat="1" ht="9" customHeight="1" x14ac:dyDescent="0.3">
      <c r="A3476" s="91"/>
      <c r="B3476" s="70"/>
      <c r="C3476" s="70"/>
      <c r="D3476" s="70"/>
      <c r="E3476" s="70"/>
      <c r="F3476" s="70"/>
      <c r="G3476" s="70"/>
      <c r="H3476" s="131"/>
      <c r="I3476" s="3"/>
    </row>
    <row r="3477" spans="1:9" s="93" customFormat="1" ht="9" customHeight="1" x14ac:dyDescent="0.3">
      <c r="A3477" s="91"/>
      <c r="B3477" s="70"/>
      <c r="C3477" s="70"/>
      <c r="D3477" s="70"/>
      <c r="E3477" s="70"/>
      <c r="F3477" s="70"/>
      <c r="G3477" s="70"/>
      <c r="H3477" s="131"/>
      <c r="I3477" s="3"/>
    </row>
    <row r="3478" spans="1:9" s="93" customFormat="1" ht="9" customHeight="1" x14ac:dyDescent="0.3">
      <c r="A3478" s="91"/>
      <c r="B3478" s="70"/>
      <c r="C3478" s="70"/>
      <c r="D3478" s="70"/>
      <c r="E3478" s="70"/>
      <c r="F3478" s="70"/>
      <c r="G3478" s="70"/>
      <c r="H3478" s="131"/>
      <c r="I3478" s="3"/>
    </row>
    <row r="3479" spans="1:9" s="93" customFormat="1" ht="9" customHeight="1" x14ac:dyDescent="0.3">
      <c r="A3479" s="91"/>
      <c r="B3479" s="70"/>
      <c r="C3479" s="70"/>
      <c r="D3479" s="70"/>
      <c r="E3479" s="70"/>
      <c r="F3479" s="70"/>
      <c r="G3479" s="70"/>
      <c r="H3479" s="131"/>
      <c r="I3479" s="3"/>
    </row>
    <row r="3480" spans="1:9" s="93" customFormat="1" ht="9" customHeight="1" x14ac:dyDescent="0.3">
      <c r="A3480" s="91"/>
      <c r="B3480" s="70"/>
      <c r="C3480" s="70"/>
      <c r="D3480" s="70"/>
      <c r="E3480" s="70"/>
      <c r="F3480" s="70"/>
      <c r="G3480" s="70"/>
      <c r="H3480" s="131"/>
      <c r="I3480" s="3"/>
    </row>
    <row r="3481" spans="1:9" s="93" customFormat="1" ht="9" customHeight="1" x14ac:dyDescent="0.3">
      <c r="A3481" s="91"/>
      <c r="B3481" s="70"/>
      <c r="C3481" s="70"/>
      <c r="D3481" s="70"/>
      <c r="E3481" s="70"/>
      <c r="F3481" s="70"/>
      <c r="G3481" s="70"/>
      <c r="H3481" s="131"/>
      <c r="I3481" s="3"/>
    </row>
    <row r="3482" spans="1:9" s="93" customFormat="1" ht="9" customHeight="1" x14ac:dyDescent="0.3">
      <c r="A3482" s="91"/>
      <c r="B3482" s="70"/>
      <c r="C3482" s="70"/>
      <c r="D3482" s="70"/>
      <c r="E3482" s="70"/>
      <c r="F3482" s="70"/>
      <c r="G3482" s="70"/>
      <c r="H3482" s="131"/>
      <c r="I3482" s="3"/>
    </row>
    <row r="3483" spans="1:9" s="93" customFormat="1" ht="9" customHeight="1" x14ac:dyDescent="0.3">
      <c r="A3483" s="91"/>
      <c r="B3483" s="70"/>
      <c r="C3483" s="70"/>
      <c r="D3483" s="70"/>
      <c r="E3483" s="70"/>
      <c r="F3483" s="70"/>
      <c r="G3483" s="70"/>
      <c r="H3483" s="131"/>
      <c r="I3483" s="3"/>
    </row>
    <row r="3484" spans="1:9" s="93" customFormat="1" ht="9" customHeight="1" x14ac:dyDescent="0.3">
      <c r="A3484" s="91"/>
      <c r="B3484" s="70"/>
      <c r="C3484" s="70"/>
      <c r="D3484" s="70"/>
      <c r="E3484" s="70"/>
      <c r="F3484" s="70"/>
      <c r="G3484" s="70"/>
      <c r="H3484" s="131"/>
      <c r="I3484" s="3"/>
    </row>
    <row r="3485" spans="1:9" s="93" customFormat="1" ht="9" customHeight="1" x14ac:dyDescent="0.3">
      <c r="A3485" s="91"/>
      <c r="B3485" s="70"/>
      <c r="C3485" s="70"/>
      <c r="D3485" s="70"/>
      <c r="E3485" s="70"/>
      <c r="F3485" s="70"/>
      <c r="G3485" s="70"/>
      <c r="H3485" s="131"/>
      <c r="I3485" s="3"/>
    </row>
    <row r="3486" spans="1:9" s="93" customFormat="1" ht="9" customHeight="1" x14ac:dyDescent="0.3">
      <c r="A3486" s="91"/>
      <c r="B3486" s="70"/>
      <c r="C3486" s="70"/>
      <c r="D3486" s="70"/>
      <c r="E3486" s="70"/>
      <c r="F3486" s="70"/>
      <c r="G3486" s="70"/>
      <c r="H3486" s="131"/>
      <c r="I3486" s="3"/>
    </row>
    <row r="3487" spans="1:9" s="93" customFormat="1" ht="9" customHeight="1" x14ac:dyDescent="0.3">
      <c r="A3487" s="91"/>
      <c r="B3487" s="70"/>
      <c r="C3487" s="70"/>
      <c r="D3487" s="70"/>
      <c r="E3487" s="70"/>
      <c r="F3487" s="70"/>
      <c r="G3487" s="70"/>
      <c r="H3487" s="131"/>
      <c r="I3487" s="3"/>
    </row>
    <row r="3488" spans="1:9" s="93" customFormat="1" ht="9" customHeight="1" x14ac:dyDescent="0.3">
      <c r="A3488" s="91"/>
      <c r="B3488" s="70"/>
      <c r="C3488" s="70"/>
      <c r="D3488" s="70"/>
      <c r="E3488" s="70"/>
      <c r="F3488" s="70"/>
      <c r="G3488" s="70"/>
      <c r="H3488" s="131"/>
      <c r="I3488" s="3"/>
    </row>
    <row r="3489" spans="1:9" s="93" customFormat="1" ht="9" customHeight="1" x14ac:dyDescent="0.3">
      <c r="A3489" s="91"/>
      <c r="B3489" s="70"/>
      <c r="C3489" s="70"/>
      <c r="D3489" s="70"/>
      <c r="E3489" s="70"/>
      <c r="F3489" s="70"/>
      <c r="G3489" s="70"/>
      <c r="H3489" s="131"/>
      <c r="I3489" s="3"/>
    </row>
    <row r="3490" spans="1:9" s="93" customFormat="1" ht="9" customHeight="1" x14ac:dyDescent="0.3">
      <c r="A3490" s="91"/>
      <c r="B3490" s="70"/>
      <c r="C3490" s="70"/>
      <c r="D3490" s="70"/>
      <c r="E3490" s="70"/>
      <c r="F3490" s="70"/>
      <c r="G3490" s="70"/>
      <c r="H3490" s="131"/>
      <c r="I3490" s="3"/>
    </row>
    <row r="3491" spans="1:9" s="93" customFormat="1" ht="9" customHeight="1" x14ac:dyDescent="0.3">
      <c r="A3491" s="91"/>
      <c r="B3491" s="70"/>
      <c r="C3491" s="70"/>
      <c r="D3491" s="70"/>
      <c r="E3491" s="70"/>
      <c r="F3491" s="70"/>
      <c r="G3491" s="70"/>
      <c r="H3491" s="131"/>
      <c r="I3491" s="3"/>
    </row>
    <row r="3492" spans="1:9" s="93" customFormat="1" ht="9" customHeight="1" x14ac:dyDescent="0.3">
      <c r="A3492" s="91"/>
      <c r="B3492" s="70"/>
      <c r="C3492" s="70"/>
      <c r="D3492" s="70"/>
      <c r="E3492" s="70"/>
      <c r="F3492" s="70"/>
      <c r="G3492" s="70"/>
      <c r="H3492" s="131"/>
      <c r="I3492" s="3"/>
    </row>
    <row r="3493" spans="1:9" s="93" customFormat="1" ht="9" customHeight="1" x14ac:dyDescent="0.3">
      <c r="A3493" s="91"/>
      <c r="B3493" s="70"/>
      <c r="C3493" s="70"/>
      <c r="D3493" s="70"/>
      <c r="E3493" s="70"/>
      <c r="F3493" s="70"/>
      <c r="G3493" s="70"/>
      <c r="H3493" s="131"/>
      <c r="I3493" s="3"/>
    </row>
    <row r="3494" spans="1:9" s="93" customFormat="1" ht="9" customHeight="1" x14ac:dyDescent="0.3">
      <c r="A3494" s="91"/>
      <c r="B3494" s="70"/>
      <c r="C3494" s="70"/>
      <c r="D3494" s="70"/>
      <c r="E3494" s="70"/>
      <c r="F3494" s="70"/>
      <c r="G3494" s="70"/>
      <c r="H3494" s="131"/>
      <c r="I3494" s="3"/>
    </row>
    <row r="3495" spans="1:9" s="93" customFormat="1" ht="9" customHeight="1" x14ac:dyDescent="0.3">
      <c r="A3495" s="91"/>
      <c r="B3495" s="70"/>
      <c r="C3495" s="70"/>
      <c r="D3495" s="70"/>
      <c r="E3495" s="70"/>
      <c r="F3495" s="70"/>
      <c r="G3495" s="70"/>
      <c r="H3495" s="131"/>
      <c r="I3495" s="3"/>
    </row>
    <row r="3496" spans="1:9" s="93" customFormat="1" ht="9" customHeight="1" x14ac:dyDescent="0.3">
      <c r="A3496" s="91"/>
      <c r="B3496" s="70"/>
      <c r="C3496" s="70"/>
      <c r="D3496" s="70"/>
      <c r="E3496" s="70"/>
      <c r="F3496" s="70"/>
      <c r="G3496" s="70"/>
      <c r="H3496" s="131"/>
      <c r="I3496" s="3"/>
    </row>
    <row r="3497" spans="1:9" s="93" customFormat="1" ht="9" customHeight="1" x14ac:dyDescent="0.3">
      <c r="A3497" s="91"/>
      <c r="B3497" s="70"/>
      <c r="C3497" s="70"/>
      <c r="D3497" s="70"/>
      <c r="E3497" s="70"/>
      <c r="F3497" s="70"/>
      <c r="G3497" s="70"/>
      <c r="H3497" s="131"/>
      <c r="I3497" s="3"/>
    </row>
    <row r="3498" spans="1:9" s="93" customFormat="1" ht="9" customHeight="1" x14ac:dyDescent="0.3">
      <c r="A3498" s="91"/>
      <c r="B3498" s="70"/>
      <c r="C3498" s="70"/>
      <c r="D3498" s="70"/>
      <c r="E3498" s="70"/>
      <c r="F3498" s="70"/>
      <c r="G3498" s="70"/>
      <c r="H3498" s="131"/>
      <c r="I3498" s="3"/>
    </row>
    <row r="3499" spans="1:9" s="93" customFormat="1" ht="9" customHeight="1" x14ac:dyDescent="0.3">
      <c r="A3499" s="91"/>
      <c r="B3499" s="70"/>
      <c r="C3499" s="70"/>
      <c r="D3499" s="70"/>
      <c r="E3499" s="70"/>
      <c r="F3499" s="70"/>
      <c r="G3499" s="70"/>
      <c r="H3499" s="131"/>
      <c r="I3499" s="3"/>
    </row>
    <row r="3500" spans="1:9" s="93" customFormat="1" ht="9" customHeight="1" x14ac:dyDescent="0.3">
      <c r="A3500" s="91"/>
      <c r="B3500" s="70"/>
      <c r="C3500" s="70"/>
      <c r="D3500" s="70"/>
      <c r="E3500" s="70"/>
      <c r="F3500" s="70"/>
      <c r="G3500" s="70"/>
      <c r="H3500" s="131"/>
      <c r="I3500" s="3"/>
    </row>
    <row r="3501" spans="1:9" s="93" customFormat="1" ht="9" customHeight="1" x14ac:dyDescent="0.3">
      <c r="A3501" s="91"/>
      <c r="B3501" s="70"/>
      <c r="C3501" s="70"/>
      <c r="D3501" s="70"/>
      <c r="E3501" s="70"/>
      <c r="F3501" s="70"/>
      <c r="G3501" s="70"/>
      <c r="H3501" s="131"/>
      <c r="I3501" s="3"/>
    </row>
    <row r="3502" spans="1:9" s="93" customFormat="1" ht="9" customHeight="1" x14ac:dyDescent="0.3">
      <c r="A3502" s="91"/>
      <c r="B3502" s="70"/>
      <c r="C3502" s="70"/>
      <c r="D3502" s="70"/>
      <c r="E3502" s="70"/>
      <c r="F3502" s="70"/>
      <c r="G3502" s="70"/>
      <c r="H3502" s="131"/>
      <c r="I3502" s="3"/>
    </row>
    <row r="3503" spans="1:9" s="93" customFormat="1" ht="9" customHeight="1" x14ac:dyDescent="0.3">
      <c r="A3503" s="91"/>
      <c r="B3503" s="70"/>
      <c r="C3503" s="70"/>
      <c r="D3503" s="70"/>
      <c r="E3503" s="70"/>
      <c r="F3503" s="70"/>
      <c r="G3503" s="70"/>
      <c r="H3503" s="131"/>
      <c r="I3503" s="3"/>
    </row>
    <row r="3504" spans="1:9" s="93" customFormat="1" ht="9" customHeight="1" x14ac:dyDescent="0.3">
      <c r="A3504" s="91"/>
      <c r="B3504" s="70"/>
      <c r="C3504" s="70"/>
      <c r="D3504" s="70"/>
      <c r="E3504" s="70"/>
      <c r="F3504" s="70"/>
      <c r="G3504" s="70"/>
      <c r="H3504" s="131"/>
      <c r="I3504" s="3"/>
    </row>
    <row r="3505" spans="1:9" s="93" customFormat="1" ht="9" customHeight="1" x14ac:dyDescent="0.3">
      <c r="A3505" s="91"/>
      <c r="B3505" s="70"/>
      <c r="C3505" s="70"/>
      <c r="D3505" s="70"/>
      <c r="E3505" s="70"/>
      <c r="F3505" s="70"/>
      <c r="G3505" s="70"/>
      <c r="H3505" s="131"/>
      <c r="I3505" s="3"/>
    </row>
    <row r="3506" spans="1:9" s="93" customFormat="1" ht="9" customHeight="1" x14ac:dyDescent="0.3">
      <c r="A3506" s="91"/>
      <c r="B3506" s="70"/>
      <c r="C3506" s="70"/>
      <c r="D3506" s="70"/>
      <c r="E3506" s="70"/>
      <c r="F3506" s="70"/>
      <c r="G3506" s="70"/>
      <c r="H3506" s="131"/>
      <c r="I3506" s="3"/>
    </row>
    <row r="3507" spans="1:9" s="93" customFormat="1" ht="9" customHeight="1" x14ac:dyDescent="0.3">
      <c r="A3507" s="91"/>
      <c r="B3507" s="70"/>
      <c r="C3507" s="70"/>
      <c r="D3507" s="70"/>
      <c r="E3507" s="70"/>
      <c r="F3507" s="70"/>
      <c r="G3507" s="70"/>
      <c r="H3507" s="131"/>
      <c r="I3507" s="3"/>
    </row>
    <row r="3508" spans="1:9" s="93" customFormat="1" ht="9" customHeight="1" x14ac:dyDescent="0.3">
      <c r="A3508" s="91"/>
      <c r="B3508" s="70"/>
      <c r="C3508" s="70"/>
      <c r="D3508" s="70"/>
      <c r="E3508" s="70"/>
      <c r="F3508" s="70"/>
      <c r="G3508" s="70"/>
      <c r="H3508" s="131"/>
      <c r="I3508" s="3"/>
    </row>
    <row r="3509" spans="1:9" s="93" customFormat="1" ht="9" customHeight="1" x14ac:dyDescent="0.3">
      <c r="A3509" s="91"/>
      <c r="B3509" s="70"/>
      <c r="C3509" s="70"/>
      <c r="D3509" s="70"/>
      <c r="E3509" s="70"/>
      <c r="F3509" s="70"/>
      <c r="G3509" s="70"/>
      <c r="H3509" s="131"/>
      <c r="I3509" s="3"/>
    </row>
    <row r="3510" spans="1:9" s="93" customFormat="1" ht="9" customHeight="1" x14ac:dyDescent="0.3">
      <c r="A3510" s="91"/>
      <c r="B3510" s="70"/>
      <c r="C3510" s="70"/>
      <c r="D3510" s="70"/>
      <c r="E3510" s="70"/>
      <c r="F3510" s="70"/>
      <c r="G3510" s="70"/>
      <c r="H3510" s="131"/>
      <c r="I3510" s="3"/>
    </row>
    <row r="3511" spans="1:9" s="93" customFormat="1" ht="9" customHeight="1" x14ac:dyDescent="0.3">
      <c r="A3511" s="91"/>
      <c r="B3511" s="70"/>
      <c r="C3511" s="70"/>
      <c r="D3511" s="70"/>
      <c r="E3511" s="70"/>
      <c r="F3511" s="70"/>
      <c r="G3511" s="70"/>
      <c r="H3511" s="131"/>
      <c r="I3511" s="3"/>
    </row>
    <row r="3512" spans="1:9" s="93" customFormat="1" ht="9" customHeight="1" x14ac:dyDescent="0.3">
      <c r="A3512" s="91"/>
      <c r="B3512" s="70"/>
      <c r="C3512" s="70"/>
      <c r="D3512" s="70"/>
      <c r="E3512" s="70"/>
      <c r="F3512" s="70"/>
      <c r="G3512" s="70"/>
      <c r="H3512" s="131"/>
      <c r="I3512" s="3"/>
    </row>
    <row r="3513" spans="1:9" s="93" customFormat="1" ht="9" customHeight="1" x14ac:dyDescent="0.3">
      <c r="A3513" s="91"/>
      <c r="B3513" s="70"/>
      <c r="C3513" s="70"/>
      <c r="D3513" s="70"/>
      <c r="E3513" s="70"/>
      <c r="F3513" s="70"/>
      <c r="G3513" s="70"/>
      <c r="H3513" s="131"/>
      <c r="I3513" s="3"/>
    </row>
    <row r="3514" spans="1:9" s="93" customFormat="1" ht="9" customHeight="1" x14ac:dyDescent="0.3">
      <c r="A3514" s="91"/>
      <c r="B3514" s="70"/>
      <c r="C3514" s="70"/>
      <c r="D3514" s="70"/>
      <c r="E3514" s="70"/>
      <c r="F3514" s="70"/>
      <c r="G3514" s="70"/>
      <c r="H3514" s="131"/>
      <c r="I3514" s="3"/>
    </row>
    <row r="3515" spans="1:9" s="93" customFormat="1" ht="9" customHeight="1" x14ac:dyDescent="0.3">
      <c r="A3515" s="91"/>
      <c r="B3515" s="70"/>
      <c r="C3515" s="70"/>
      <c r="D3515" s="70"/>
      <c r="E3515" s="70"/>
      <c r="F3515" s="70"/>
      <c r="G3515" s="70"/>
      <c r="H3515" s="131"/>
      <c r="I3515" s="3"/>
    </row>
    <row r="3516" spans="1:9" s="93" customFormat="1" ht="9" customHeight="1" x14ac:dyDescent="0.3">
      <c r="A3516" s="91"/>
      <c r="B3516" s="70"/>
      <c r="C3516" s="70"/>
      <c r="D3516" s="70"/>
      <c r="E3516" s="70"/>
      <c r="F3516" s="70"/>
      <c r="G3516" s="70"/>
      <c r="H3516" s="131"/>
      <c r="I3516" s="3"/>
    </row>
    <row r="3517" spans="1:9" s="93" customFormat="1" ht="9" customHeight="1" x14ac:dyDescent="0.3">
      <c r="A3517" s="91"/>
      <c r="B3517" s="70"/>
      <c r="C3517" s="70"/>
      <c r="D3517" s="70"/>
      <c r="E3517" s="70"/>
      <c r="F3517" s="70"/>
      <c r="G3517" s="70"/>
      <c r="H3517" s="131"/>
      <c r="I3517" s="3"/>
    </row>
    <row r="3518" spans="1:9" s="93" customFormat="1" ht="9" customHeight="1" x14ac:dyDescent="0.3">
      <c r="A3518" s="91"/>
      <c r="B3518" s="70"/>
      <c r="C3518" s="70"/>
      <c r="D3518" s="70"/>
      <c r="E3518" s="70"/>
      <c r="F3518" s="70"/>
      <c r="G3518" s="70"/>
      <c r="H3518" s="131"/>
      <c r="I3518" s="3"/>
    </row>
    <row r="3519" spans="1:9" s="93" customFormat="1" ht="9" customHeight="1" x14ac:dyDescent="0.3">
      <c r="A3519" s="91"/>
      <c r="B3519" s="70"/>
      <c r="C3519" s="70"/>
      <c r="D3519" s="70"/>
      <c r="E3519" s="70"/>
      <c r="F3519" s="70"/>
      <c r="G3519" s="70"/>
      <c r="H3519" s="131"/>
      <c r="I3519" s="3"/>
    </row>
    <row r="3520" spans="1:9" s="93" customFormat="1" ht="9" customHeight="1" x14ac:dyDescent="0.3">
      <c r="A3520" s="91"/>
      <c r="B3520" s="70"/>
      <c r="C3520" s="70"/>
      <c r="D3520" s="70"/>
      <c r="E3520" s="70"/>
      <c r="F3520" s="70"/>
      <c r="G3520" s="70"/>
      <c r="H3520" s="131"/>
      <c r="I3520" s="3"/>
    </row>
    <row r="3521" spans="1:9" s="93" customFormat="1" ht="9" customHeight="1" x14ac:dyDescent="0.3">
      <c r="A3521" s="91"/>
      <c r="B3521" s="70"/>
      <c r="C3521" s="70"/>
      <c r="D3521" s="70"/>
      <c r="E3521" s="70"/>
      <c r="F3521" s="70"/>
      <c r="G3521" s="70"/>
      <c r="H3521" s="131"/>
      <c r="I3521" s="3"/>
    </row>
    <row r="3522" spans="1:9" s="93" customFormat="1" ht="9" customHeight="1" x14ac:dyDescent="0.3">
      <c r="A3522" s="91"/>
      <c r="B3522" s="70"/>
      <c r="C3522" s="70"/>
      <c r="D3522" s="70"/>
      <c r="E3522" s="70"/>
      <c r="F3522" s="70"/>
      <c r="G3522" s="70"/>
      <c r="H3522" s="131"/>
      <c r="I3522" s="3"/>
    </row>
    <row r="3523" spans="1:9" s="93" customFormat="1" ht="9" customHeight="1" x14ac:dyDescent="0.3">
      <c r="A3523" s="91"/>
      <c r="B3523" s="70"/>
      <c r="C3523" s="70"/>
      <c r="D3523" s="70"/>
      <c r="E3523" s="70"/>
      <c r="F3523" s="70"/>
      <c r="G3523" s="70"/>
      <c r="H3523" s="131"/>
      <c r="I3523" s="3"/>
    </row>
    <row r="3524" spans="1:9" s="93" customFormat="1" ht="9" customHeight="1" x14ac:dyDescent="0.3">
      <c r="A3524" s="91"/>
      <c r="B3524" s="70"/>
      <c r="C3524" s="70"/>
      <c r="D3524" s="70"/>
      <c r="E3524" s="70"/>
      <c r="F3524" s="70"/>
      <c r="G3524" s="70"/>
      <c r="H3524" s="131"/>
      <c r="I3524" s="3"/>
    </row>
    <row r="3525" spans="1:9" s="93" customFormat="1" ht="9" customHeight="1" x14ac:dyDescent="0.3">
      <c r="A3525" s="91"/>
      <c r="B3525" s="70"/>
      <c r="C3525" s="70"/>
      <c r="D3525" s="70"/>
      <c r="E3525" s="70"/>
      <c r="F3525" s="70"/>
      <c r="G3525" s="70"/>
      <c r="H3525" s="131"/>
      <c r="I3525" s="3"/>
    </row>
    <row r="3526" spans="1:9" s="93" customFormat="1" ht="9" customHeight="1" x14ac:dyDescent="0.3">
      <c r="A3526" s="91"/>
      <c r="B3526" s="70"/>
      <c r="C3526" s="70"/>
      <c r="D3526" s="70"/>
      <c r="E3526" s="70"/>
      <c r="F3526" s="70"/>
      <c r="G3526" s="70"/>
      <c r="H3526" s="131"/>
      <c r="I3526" s="3"/>
    </row>
    <row r="3527" spans="1:9" s="93" customFormat="1" ht="9" customHeight="1" x14ac:dyDescent="0.3">
      <c r="A3527" s="91"/>
      <c r="B3527" s="70"/>
      <c r="C3527" s="70"/>
      <c r="D3527" s="70"/>
      <c r="E3527" s="70"/>
      <c r="F3527" s="70"/>
      <c r="G3527" s="70"/>
      <c r="H3527" s="131"/>
      <c r="I3527" s="3"/>
    </row>
    <row r="3528" spans="1:9" s="93" customFormat="1" ht="9" customHeight="1" x14ac:dyDescent="0.3">
      <c r="A3528" s="91"/>
      <c r="B3528" s="70"/>
      <c r="C3528" s="70"/>
      <c r="D3528" s="70"/>
      <c r="E3528" s="70"/>
      <c r="F3528" s="70"/>
      <c r="G3528" s="70"/>
      <c r="H3528" s="131"/>
      <c r="I3528" s="3"/>
    </row>
    <row r="3529" spans="1:9" s="93" customFormat="1" ht="9" customHeight="1" x14ac:dyDescent="0.3">
      <c r="A3529" s="91"/>
      <c r="B3529" s="70"/>
      <c r="C3529" s="70"/>
      <c r="D3529" s="70"/>
      <c r="E3529" s="70"/>
      <c r="F3529" s="70"/>
      <c r="G3529" s="70"/>
      <c r="H3529" s="131"/>
      <c r="I3529" s="3"/>
    </row>
    <row r="3530" spans="1:9" s="93" customFormat="1" ht="9" customHeight="1" x14ac:dyDescent="0.3">
      <c r="A3530" s="91"/>
      <c r="B3530" s="70"/>
      <c r="C3530" s="70"/>
      <c r="D3530" s="70"/>
      <c r="E3530" s="70"/>
      <c r="F3530" s="70"/>
      <c r="G3530" s="70"/>
      <c r="H3530" s="131"/>
      <c r="I3530" s="3"/>
    </row>
    <row r="3531" spans="1:9" s="93" customFormat="1" ht="9" customHeight="1" x14ac:dyDescent="0.3">
      <c r="A3531" s="91"/>
      <c r="B3531" s="70"/>
      <c r="C3531" s="70"/>
      <c r="D3531" s="70"/>
      <c r="E3531" s="70"/>
      <c r="F3531" s="70"/>
      <c r="G3531" s="70"/>
      <c r="H3531" s="131"/>
      <c r="I3531" s="3"/>
    </row>
    <row r="3532" spans="1:9" s="93" customFormat="1" ht="9" customHeight="1" x14ac:dyDescent="0.3">
      <c r="A3532" s="91"/>
      <c r="B3532" s="70"/>
      <c r="C3532" s="70"/>
      <c r="D3532" s="70"/>
      <c r="E3532" s="70"/>
      <c r="F3532" s="70"/>
      <c r="G3532" s="70"/>
      <c r="H3532" s="131"/>
      <c r="I3532" s="3"/>
    </row>
    <row r="3533" spans="1:9" s="93" customFormat="1" ht="9" customHeight="1" x14ac:dyDescent="0.3">
      <c r="A3533" s="91"/>
      <c r="B3533" s="70"/>
      <c r="C3533" s="70"/>
      <c r="D3533" s="70"/>
      <c r="E3533" s="70"/>
      <c r="F3533" s="70"/>
      <c r="G3533" s="70"/>
      <c r="H3533" s="131"/>
      <c r="I3533" s="3"/>
    </row>
    <row r="3534" spans="1:9" s="93" customFormat="1" ht="9" customHeight="1" x14ac:dyDescent="0.3">
      <c r="A3534" s="91"/>
      <c r="B3534" s="70"/>
      <c r="C3534" s="70"/>
      <c r="D3534" s="70"/>
      <c r="E3534" s="70"/>
      <c r="F3534" s="70"/>
      <c r="G3534" s="70"/>
      <c r="H3534" s="131"/>
      <c r="I3534" s="3"/>
    </row>
    <row r="3535" spans="1:9" s="93" customFormat="1" ht="9" customHeight="1" x14ac:dyDescent="0.3">
      <c r="A3535" s="91"/>
      <c r="B3535" s="70"/>
      <c r="C3535" s="70"/>
      <c r="D3535" s="70"/>
      <c r="E3535" s="70"/>
      <c r="F3535" s="70"/>
      <c r="G3535" s="70"/>
      <c r="H3535" s="131"/>
      <c r="I3535" s="3"/>
    </row>
    <row r="3536" spans="1:9" s="93" customFormat="1" ht="9" customHeight="1" x14ac:dyDescent="0.3">
      <c r="A3536" s="91"/>
      <c r="B3536" s="70"/>
      <c r="C3536" s="70"/>
      <c r="D3536" s="70"/>
      <c r="E3536" s="70"/>
      <c r="F3536" s="70"/>
      <c r="G3536" s="70"/>
      <c r="H3536" s="131"/>
      <c r="I3536" s="3"/>
    </row>
    <row r="3537" spans="1:9" s="93" customFormat="1" ht="9" customHeight="1" x14ac:dyDescent="0.3">
      <c r="A3537" s="91"/>
      <c r="B3537" s="70"/>
      <c r="C3537" s="70"/>
      <c r="D3537" s="70"/>
      <c r="E3537" s="70"/>
      <c r="F3537" s="70"/>
      <c r="G3537" s="70"/>
      <c r="H3537" s="131"/>
      <c r="I3537" s="3"/>
    </row>
    <row r="3538" spans="1:9" s="93" customFormat="1" ht="9" customHeight="1" x14ac:dyDescent="0.3">
      <c r="A3538" s="91"/>
      <c r="B3538" s="70"/>
      <c r="C3538" s="70"/>
      <c r="D3538" s="70"/>
      <c r="E3538" s="70"/>
      <c r="F3538" s="70"/>
      <c r="G3538" s="70"/>
      <c r="H3538" s="131"/>
      <c r="I3538" s="3"/>
    </row>
    <row r="3539" spans="1:9" s="93" customFormat="1" ht="9" customHeight="1" x14ac:dyDescent="0.3">
      <c r="A3539" s="91"/>
      <c r="B3539" s="70"/>
      <c r="C3539" s="70"/>
      <c r="D3539" s="70"/>
      <c r="E3539" s="70"/>
      <c r="F3539" s="70"/>
      <c r="G3539" s="70"/>
      <c r="H3539" s="131"/>
      <c r="I3539" s="3"/>
    </row>
    <row r="3540" spans="1:9" s="93" customFormat="1" ht="9" customHeight="1" x14ac:dyDescent="0.3">
      <c r="A3540" s="91"/>
      <c r="B3540" s="70"/>
      <c r="C3540" s="70"/>
      <c r="D3540" s="70"/>
      <c r="E3540" s="70"/>
      <c r="F3540" s="70"/>
      <c r="G3540" s="70"/>
      <c r="H3540" s="131"/>
      <c r="I3540" s="3"/>
    </row>
    <row r="3541" spans="1:9" s="93" customFormat="1" ht="9" customHeight="1" x14ac:dyDescent="0.3">
      <c r="A3541" s="91"/>
      <c r="B3541" s="70"/>
      <c r="C3541" s="70"/>
      <c r="D3541" s="70"/>
      <c r="E3541" s="70"/>
      <c r="F3541" s="70"/>
      <c r="G3541" s="70"/>
      <c r="H3541" s="131"/>
      <c r="I3541" s="3"/>
    </row>
    <row r="3542" spans="1:9" s="93" customFormat="1" ht="9" customHeight="1" x14ac:dyDescent="0.3">
      <c r="A3542" s="91"/>
      <c r="B3542" s="70"/>
      <c r="C3542" s="70"/>
      <c r="D3542" s="70"/>
      <c r="E3542" s="70"/>
      <c r="F3542" s="70"/>
      <c r="G3542" s="70"/>
      <c r="H3542" s="131"/>
      <c r="I3542" s="3"/>
    </row>
    <row r="3543" spans="1:9" s="93" customFormat="1" ht="9" customHeight="1" x14ac:dyDescent="0.3">
      <c r="A3543" s="91"/>
      <c r="B3543" s="70"/>
      <c r="C3543" s="70"/>
      <c r="D3543" s="70"/>
      <c r="E3543" s="70"/>
      <c r="F3543" s="70"/>
      <c r="G3543" s="70"/>
      <c r="H3543" s="131"/>
      <c r="I3543" s="3"/>
    </row>
    <row r="3544" spans="1:9" s="93" customFormat="1" ht="9" customHeight="1" x14ac:dyDescent="0.3">
      <c r="A3544" s="91"/>
      <c r="B3544" s="70"/>
      <c r="C3544" s="70"/>
      <c r="D3544" s="70"/>
      <c r="E3544" s="70"/>
      <c r="F3544" s="70"/>
      <c r="G3544" s="70"/>
      <c r="H3544" s="131"/>
      <c r="I3544" s="3"/>
    </row>
    <row r="3545" spans="1:9" s="93" customFormat="1" ht="9" customHeight="1" x14ac:dyDescent="0.3">
      <c r="A3545" s="91"/>
      <c r="B3545" s="70"/>
      <c r="C3545" s="70"/>
      <c r="D3545" s="70"/>
      <c r="E3545" s="70"/>
      <c r="F3545" s="70"/>
      <c r="G3545" s="70"/>
      <c r="H3545" s="131"/>
      <c r="I3545" s="3"/>
    </row>
    <row r="3546" spans="1:9" s="93" customFormat="1" ht="9" customHeight="1" x14ac:dyDescent="0.3">
      <c r="A3546" s="91"/>
      <c r="B3546" s="70"/>
      <c r="C3546" s="70"/>
      <c r="D3546" s="70"/>
      <c r="E3546" s="70"/>
      <c r="F3546" s="70"/>
      <c r="G3546" s="70"/>
      <c r="H3546" s="131"/>
      <c r="I3546" s="3"/>
    </row>
    <row r="3547" spans="1:9" s="93" customFormat="1" ht="9" customHeight="1" x14ac:dyDescent="0.3">
      <c r="A3547" s="91"/>
      <c r="B3547" s="70"/>
      <c r="C3547" s="70"/>
      <c r="D3547" s="70"/>
      <c r="E3547" s="70"/>
      <c r="F3547" s="70"/>
      <c r="G3547" s="70"/>
      <c r="H3547" s="131"/>
      <c r="I3547" s="3"/>
    </row>
    <row r="3548" spans="1:9" s="93" customFormat="1" ht="9" customHeight="1" x14ac:dyDescent="0.3">
      <c r="A3548" s="91"/>
      <c r="B3548" s="70"/>
      <c r="C3548" s="70"/>
      <c r="D3548" s="70"/>
      <c r="E3548" s="70"/>
      <c r="F3548" s="70"/>
      <c r="G3548" s="70"/>
      <c r="H3548" s="131"/>
      <c r="I3548" s="3"/>
    </row>
    <row r="3549" spans="1:9" s="93" customFormat="1" ht="9" customHeight="1" x14ac:dyDescent="0.3">
      <c r="A3549" s="91"/>
      <c r="B3549" s="70"/>
      <c r="C3549" s="70"/>
      <c r="D3549" s="70"/>
      <c r="E3549" s="70"/>
      <c r="F3549" s="70"/>
      <c r="G3549" s="70"/>
      <c r="H3549" s="131"/>
      <c r="I3549" s="3"/>
    </row>
    <row r="3550" spans="1:9" s="93" customFormat="1" ht="9" customHeight="1" x14ac:dyDescent="0.3">
      <c r="A3550" s="91"/>
      <c r="B3550" s="70"/>
      <c r="C3550" s="70"/>
      <c r="D3550" s="70"/>
      <c r="E3550" s="70"/>
      <c r="F3550" s="70"/>
      <c r="G3550" s="70"/>
      <c r="H3550" s="131"/>
      <c r="I3550" s="3"/>
    </row>
    <row r="3551" spans="1:9" s="93" customFormat="1" ht="9" customHeight="1" x14ac:dyDescent="0.3">
      <c r="A3551" s="91"/>
      <c r="B3551" s="70"/>
      <c r="C3551" s="70"/>
      <c r="D3551" s="70"/>
      <c r="E3551" s="70"/>
      <c r="F3551" s="70"/>
      <c r="G3551" s="70"/>
      <c r="H3551" s="131"/>
      <c r="I3551" s="3"/>
    </row>
    <row r="3552" spans="1:9" s="93" customFormat="1" ht="9" customHeight="1" x14ac:dyDescent="0.3">
      <c r="A3552" s="91"/>
      <c r="B3552" s="70"/>
      <c r="C3552" s="70"/>
      <c r="D3552" s="70"/>
      <c r="E3552" s="70"/>
      <c r="F3552" s="70"/>
      <c r="G3552" s="70"/>
      <c r="H3552" s="131"/>
      <c r="I3552" s="3"/>
    </row>
    <row r="3553" spans="1:9" s="93" customFormat="1" ht="9" customHeight="1" x14ac:dyDescent="0.3">
      <c r="A3553" s="91"/>
      <c r="B3553" s="70"/>
      <c r="C3553" s="70"/>
      <c r="D3553" s="70"/>
      <c r="E3553" s="70"/>
      <c r="F3553" s="70"/>
      <c r="G3553" s="70"/>
      <c r="H3553" s="131"/>
      <c r="I3553" s="3"/>
    </row>
    <row r="3554" spans="1:9" s="93" customFormat="1" ht="9" customHeight="1" x14ac:dyDescent="0.3">
      <c r="A3554" s="91"/>
      <c r="B3554" s="70"/>
      <c r="C3554" s="70"/>
      <c r="D3554" s="70"/>
      <c r="E3554" s="70"/>
      <c r="F3554" s="70"/>
      <c r="G3554" s="70"/>
      <c r="H3554" s="131"/>
      <c r="I3554" s="3"/>
    </row>
    <row r="3555" spans="1:9" s="93" customFormat="1" ht="9" customHeight="1" x14ac:dyDescent="0.3">
      <c r="A3555" s="91"/>
      <c r="B3555" s="70"/>
      <c r="C3555" s="70"/>
      <c r="D3555" s="70"/>
      <c r="E3555" s="70"/>
      <c r="F3555" s="70"/>
      <c r="G3555" s="70"/>
      <c r="H3555" s="131"/>
      <c r="I3555" s="3"/>
    </row>
    <row r="3556" spans="1:9" s="93" customFormat="1" ht="9" customHeight="1" x14ac:dyDescent="0.3">
      <c r="A3556" s="91"/>
      <c r="B3556" s="70"/>
      <c r="C3556" s="70"/>
      <c r="D3556" s="70"/>
      <c r="E3556" s="70"/>
      <c r="F3556" s="70"/>
      <c r="G3556" s="70"/>
      <c r="H3556" s="131"/>
      <c r="I3556" s="3"/>
    </row>
    <row r="3557" spans="1:9" s="93" customFormat="1" ht="9" customHeight="1" x14ac:dyDescent="0.3">
      <c r="A3557" s="91"/>
      <c r="B3557" s="70"/>
      <c r="C3557" s="70"/>
      <c r="D3557" s="70"/>
      <c r="E3557" s="70"/>
      <c r="F3557" s="70"/>
      <c r="G3557" s="70"/>
      <c r="H3557" s="131"/>
      <c r="I3557" s="3"/>
    </row>
    <row r="3558" spans="1:9" s="93" customFormat="1" ht="9" customHeight="1" x14ac:dyDescent="0.3">
      <c r="A3558" s="91"/>
      <c r="B3558" s="70"/>
      <c r="C3558" s="70"/>
      <c r="D3558" s="70"/>
      <c r="E3558" s="70"/>
      <c r="F3558" s="70"/>
      <c r="G3558" s="70"/>
      <c r="H3558" s="131"/>
      <c r="I3558" s="3"/>
    </row>
    <row r="3559" spans="1:9" s="93" customFormat="1" ht="9" customHeight="1" x14ac:dyDescent="0.3">
      <c r="A3559" s="91"/>
      <c r="B3559" s="70"/>
      <c r="C3559" s="70"/>
      <c r="D3559" s="70"/>
      <c r="E3559" s="70"/>
      <c r="F3559" s="70"/>
      <c r="G3559" s="70"/>
      <c r="H3559" s="131"/>
      <c r="I3559" s="3"/>
    </row>
    <row r="3560" spans="1:9" s="93" customFormat="1" ht="9" customHeight="1" x14ac:dyDescent="0.3">
      <c r="A3560" s="91"/>
      <c r="B3560" s="70"/>
      <c r="C3560" s="70"/>
      <c r="D3560" s="70"/>
      <c r="E3560" s="70"/>
      <c r="F3560" s="70"/>
      <c r="G3560" s="70"/>
      <c r="H3560" s="131"/>
      <c r="I3560" s="3"/>
    </row>
    <row r="3561" spans="1:9" s="93" customFormat="1" ht="9" customHeight="1" x14ac:dyDescent="0.3">
      <c r="A3561" s="91"/>
      <c r="B3561" s="70"/>
      <c r="C3561" s="70"/>
      <c r="D3561" s="70"/>
      <c r="E3561" s="70"/>
      <c r="F3561" s="70"/>
      <c r="G3561" s="70"/>
      <c r="H3561" s="131"/>
      <c r="I3561" s="3"/>
    </row>
    <row r="3562" spans="1:9" s="93" customFormat="1" ht="9" customHeight="1" x14ac:dyDescent="0.3">
      <c r="A3562" s="91"/>
      <c r="B3562" s="70"/>
      <c r="C3562" s="70"/>
      <c r="D3562" s="70"/>
      <c r="E3562" s="70"/>
      <c r="F3562" s="70"/>
      <c r="G3562" s="70"/>
      <c r="H3562" s="131"/>
      <c r="I3562" s="3"/>
    </row>
    <row r="3563" spans="1:9" s="93" customFormat="1" ht="9" customHeight="1" x14ac:dyDescent="0.3">
      <c r="A3563" s="91"/>
      <c r="B3563" s="70"/>
      <c r="C3563" s="70"/>
      <c r="D3563" s="70"/>
      <c r="E3563" s="70"/>
      <c r="F3563" s="70"/>
      <c r="G3563" s="70"/>
      <c r="H3563" s="131"/>
      <c r="I3563" s="3"/>
    </row>
    <row r="3564" spans="1:9" s="93" customFormat="1" ht="9" customHeight="1" x14ac:dyDescent="0.3">
      <c r="A3564" s="91"/>
      <c r="B3564" s="70"/>
      <c r="C3564" s="70"/>
      <c r="D3564" s="70"/>
      <c r="E3564" s="70"/>
      <c r="F3564" s="70"/>
      <c r="G3564" s="70"/>
      <c r="H3564" s="131"/>
      <c r="I3564" s="3"/>
    </row>
    <row r="3565" spans="1:9" s="93" customFormat="1" ht="9" customHeight="1" x14ac:dyDescent="0.3">
      <c r="A3565" s="91"/>
      <c r="B3565" s="70"/>
      <c r="C3565" s="70"/>
      <c r="D3565" s="70"/>
      <c r="E3565" s="70"/>
      <c r="F3565" s="70"/>
      <c r="G3565" s="70"/>
      <c r="H3565" s="131"/>
      <c r="I3565" s="3"/>
    </row>
    <row r="3566" spans="1:9" s="93" customFormat="1" ht="9" customHeight="1" x14ac:dyDescent="0.3">
      <c r="A3566" s="91"/>
      <c r="B3566" s="70"/>
      <c r="C3566" s="70"/>
      <c r="D3566" s="70"/>
      <c r="E3566" s="70"/>
      <c r="F3566" s="70"/>
      <c r="G3566" s="70"/>
      <c r="H3566" s="131"/>
      <c r="I3566" s="3"/>
    </row>
    <row r="3567" spans="1:9" s="93" customFormat="1" ht="9" customHeight="1" x14ac:dyDescent="0.3">
      <c r="A3567" s="91"/>
      <c r="B3567" s="70"/>
      <c r="C3567" s="70"/>
      <c r="D3567" s="70"/>
      <c r="E3567" s="70"/>
      <c r="F3567" s="70"/>
      <c r="G3567" s="70"/>
      <c r="H3567" s="131"/>
      <c r="I3567" s="3"/>
    </row>
    <row r="3568" spans="1:9" s="93" customFormat="1" ht="9" customHeight="1" x14ac:dyDescent="0.3">
      <c r="A3568" s="91"/>
      <c r="B3568" s="70"/>
      <c r="C3568" s="70"/>
      <c r="D3568" s="70"/>
      <c r="E3568" s="70"/>
      <c r="F3568" s="70"/>
      <c r="G3568" s="70"/>
      <c r="H3568" s="131"/>
      <c r="I3568" s="3"/>
    </row>
    <row r="3569" spans="1:9" s="93" customFormat="1" ht="9" customHeight="1" x14ac:dyDescent="0.3">
      <c r="A3569" s="91"/>
      <c r="B3569" s="70"/>
      <c r="C3569" s="70"/>
      <c r="D3569" s="70"/>
      <c r="E3569" s="70"/>
      <c r="F3569" s="70"/>
      <c r="G3569" s="70"/>
      <c r="H3569" s="131"/>
      <c r="I3569" s="3"/>
    </row>
    <row r="3570" spans="1:9" s="93" customFormat="1" ht="9" customHeight="1" x14ac:dyDescent="0.3">
      <c r="A3570" s="91"/>
      <c r="B3570" s="70"/>
      <c r="C3570" s="70"/>
      <c r="D3570" s="70"/>
      <c r="E3570" s="70"/>
      <c r="F3570" s="70"/>
      <c r="G3570" s="70"/>
      <c r="H3570" s="131"/>
      <c r="I3570" s="3"/>
    </row>
    <row r="3571" spans="1:9" s="93" customFormat="1" ht="9" customHeight="1" x14ac:dyDescent="0.3">
      <c r="A3571" s="91"/>
      <c r="B3571" s="70"/>
      <c r="C3571" s="70"/>
      <c r="D3571" s="70"/>
      <c r="E3571" s="70"/>
      <c r="F3571" s="70"/>
      <c r="G3571" s="70"/>
      <c r="H3571" s="131"/>
      <c r="I3571" s="3"/>
    </row>
    <row r="3572" spans="1:9" s="93" customFormat="1" ht="9" customHeight="1" x14ac:dyDescent="0.3">
      <c r="A3572" s="91"/>
      <c r="B3572" s="70"/>
      <c r="C3572" s="70"/>
      <c r="D3572" s="70"/>
      <c r="E3572" s="70"/>
      <c r="F3572" s="70"/>
      <c r="G3572" s="70"/>
      <c r="H3572" s="131"/>
      <c r="I3572" s="3"/>
    </row>
    <row r="3573" spans="1:9" s="93" customFormat="1" ht="9" customHeight="1" x14ac:dyDescent="0.3">
      <c r="A3573" s="91"/>
      <c r="B3573" s="70"/>
      <c r="C3573" s="70"/>
      <c r="D3573" s="70"/>
      <c r="E3573" s="70"/>
      <c r="F3573" s="70"/>
      <c r="G3573" s="70"/>
      <c r="H3573" s="131"/>
      <c r="I3573" s="3"/>
    </row>
    <row r="3574" spans="1:9" s="93" customFormat="1" ht="9" customHeight="1" x14ac:dyDescent="0.3">
      <c r="A3574" s="91"/>
      <c r="B3574" s="70"/>
      <c r="C3574" s="70"/>
      <c r="D3574" s="70"/>
      <c r="E3574" s="70"/>
      <c r="F3574" s="70"/>
      <c r="G3574" s="70"/>
      <c r="H3574" s="131"/>
      <c r="I3574" s="3"/>
    </row>
    <row r="3575" spans="1:9" s="93" customFormat="1" ht="9" customHeight="1" x14ac:dyDescent="0.3">
      <c r="A3575" s="91"/>
      <c r="B3575" s="70"/>
      <c r="C3575" s="70"/>
      <c r="D3575" s="70"/>
      <c r="E3575" s="70"/>
      <c r="F3575" s="70"/>
      <c r="G3575" s="70"/>
      <c r="H3575" s="131"/>
      <c r="I3575" s="3"/>
    </row>
    <row r="3576" spans="1:9" s="93" customFormat="1" ht="9" customHeight="1" x14ac:dyDescent="0.3">
      <c r="A3576" s="91"/>
      <c r="B3576" s="70"/>
      <c r="C3576" s="70"/>
      <c r="D3576" s="70"/>
      <c r="E3576" s="70"/>
      <c r="F3576" s="70"/>
      <c r="G3576" s="70"/>
      <c r="H3576" s="131"/>
      <c r="I3576" s="3"/>
    </row>
    <row r="3577" spans="1:9" s="93" customFormat="1" ht="9" customHeight="1" x14ac:dyDescent="0.3">
      <c r="A3577" s="91"/>
      <c r="B3577" s="70"/>
      <c r="C3577" s="70"/>
      <c r="D3577" s="70"/>
      <c r="E3577" s="70"/>
      <c r="F3577" s="70"/>
      <c r="G3577" s="70"/>
      <c r="H3577" s="131"/>
      <c r="I3577" s="3"/>
    </row>
    <row r="3578" spans="1:9" s="93" customFormat="1" ht="9" customHeight="1" x14ac:dyDescent="0.3">
      <c r="A3578" s="91"/>
      <c r="B3578" s="70"/>
      <c r="C3578" s="70"/>
      <c r="D3578" s="70"/>
      <c r="E3578" s="70"/>
      <c r="F3578" s="70"/>
      <c r="G3578" s="70"/>
      <c r="H3578" s="131"/>
      <c r="I3578" s="3"/>
    </row>
    <row r="3579" spans="1:9" s="93" customFormat="1" ht="9" customHeight="1" x14ac:dyDescent="0.3">
      <c r="A3579" s="91"/>
      <c r="B3579" s="70"/>
      <c r="C3579" s="70"/>
      <c r="D3579" s="70"/>
      <c r="E3579" s="70"/>
      <c r="F3579" s="70"/>
      <c r="G3579" s="70"/>
      <c r="H3579" s="131"/>
      <c r="I3579" s="3"/>
    </row>
    <row r="3580" spans="1:9" s="93" customFormat="1" ht="9" customHeight="1" x14ac:dyDescent="0.3">
      <c r="A3580" s="91"/>
      <c r="B3580" s="70"/>
      <c r="C3580" s="70"/>
      <c r="D3580" s="70"/>
      <c r="E3580" s="70"/>
      <c r="F3580" s="70"/>
      <c r="G3580" s="70"/>
      <c r="H3580" s="131"/>
      <c r="I3580" s="3"/>
    </row>
    <row r="3581" spans="1:9" s="93" customFormat="1" ht="9" customHeight="1" x14ac:dyDescent="0.3">
      <c r="A3581" s="91"/>
      <c r="B3581" s="70"/>
      <c r="C3581" s="70"/>
      <c r="D3581" s="70"/>
      <c r="E3581" s="70"/>
      <c r="F3581" s="70"/>
      <c r="G3581" s="70"/>
      <c r="H3581" s="131"/>
      <c r="I3581" s="3"/>
    </row>
    <row r="3582" spans="1:9" s="93" customFormat="1" ht="9" customHeight="1" x14ac:dyDescent="0.3">
      <c r="A3582" s="91"/>
      <c r="B3582" s="70"/>
      <c r="C3582" s="70"/>
      <c r="D3582" s="70"/>
      <c r="E3582" s="70"/>
      <c r="F3582" s="70"/>
      <c r="G3582" s="70"/>
      <c r="H3582" s="131"/>
      <c r="I3582" s="3"/>
    </row>
    <row r="3583" spans="1:9" s="93" customFormat="1" ht="9" customHeight="1" x14ac:dyDescent="0.3">
      <c r="A3583" s="91"/>
      <c r="B3583" s="70"/>
      <c r="C3583" s="70"/>
      <c r="D3583" s="70"/>
      <c r="E3583" s="70"/>
      <c r="F3583" s="70"/>
      <c r="G3583" s="70"/>
      <c r="H3583" s="131"/>
      <c r="I3583" s="3"/>
    </row>
    <row r="3584" spans="1:9" s="93" customFormat="1" ht="9" customHeight="1" x14ac:dyDescent="0.3">
      <c r="A3584" s="91"/>
      <c r="B3584" s="70"/>
      <c r="C3584" s="70"/>
      <c r="D3584" s="70"/>
      <c r="E3584" s="70"/>
      <c r="F3584" s="70"/>
      <c r="G3584" s="70"/>
      <c r="H3584" s="131"/>
      <c r="I3584" s="3"/>
    </row>
    <row r="3585" spans="1:9" s="93" customFormat="1" ht="9" customHeight="1" x14ac:dyDescent="0.3">
      <c r="A3585" s="91"/>
      <c r="B3585" s="70"/>
      <c r="C3585" s="70"/>
      <c r="D3585" s="70"/>
      <c r="E3585" s="70"/>
      <c r="F3585" s="70"/>
      <c r="G3585" s="70"/>
      <c r="H3585" s="131"/>
      <c r="I3585" s="3"/>
    </row>
    <row r="3586" spans="1:9" s="93" customFormat="1" ht="9" customHeight="1" x14ac:dyDescent="0.3">
      <c r="A3586" s="91"/>
      <c r="B3586" s="70"/>
      <c r="C3586" s="70"/>
      <c r="D3586" s="70"/>
      <c r="E3586" s="70"/>
      <c r="F3586" s="70"/>
      <c r="G3586" s="70"/>
      <c r="H3586" s="131"/>
      <c r="I3586" s="3"/>
    </row>
    <row r="3587" spans="1:9" s="93" customFormat="1" ht="9" customHeight="1" x14ac:dyDescent="0.3">
      <c r="A3587" s="91"/>
      <c r="B3587" s="70"/>
      <c r="C3587" s="70"/>
      <c r="D3587" s="70"/>
      <c r="E3587" s="70"/>
      <c r="F3587" s="70"/>
      <c r="G3587" s="70"/>
      <c r="H3587" s="131"/>
      <c r="I3587" s="3"/>
    </row>
    <row r="3588" spans="1:9" s="93" customFormat="1" ht="9" customHeight="1" x14ac:dyDescent="0.3">
      <c r="A3588" s="91"/>
      <c r="B3588" s="70"/>
      <c r="C3588" s="70"/>
      <c r="D3588" s="70"/>
      <c r="E3588" s="70"/>
      <c r="F3588" s="70"/>
      <c r="G3588" s="70"/>
      <c r="H3588" s="131"/>
      <c r="I3588" s="3"/>
    </row>
    <row r="3589" spans="1:9" s="93" customFormat="1" ht="9" customHeight="1" x14ac:dyDescent="0.3">
      <c r="A3589" s="91"/>
      <c r="B3589" s="70"/>
      <c r="C3589" s="70"/>
      <c r="D3589" s="70"/>
      <c r="E3589" s="70"/>
      <c r="F3589" s="70"/>
      <c r="G3589" s="70"/>
      <c r="H3589" s="131"/>
      <c r="I3589" s="3"/>
    </row>
    <row r="3590" spans="1:9" s="93" customFormat="1" ht="9" customHeight="1" x14ac:dyDescent="0.3">
      <c r="A3590" s="91"/>
      <c r="B3590" s="70"/>
      <c r="C3590" s="70"/>
      <c r="D3590" s="70"/>
      <c r="E3590" s="70"/>
      <c r="F3590" s="70"/>
      <c r="G3590" s="70"/>
      <c r="H3590" s="131"/>
      <c r="I3590" s="3"/>
    </row>
    <row r="3591" spans="1:9" s="93" customFormat="1" ht="9" customHeight="1" x14ac:dyDescent="0.3">
      <c r="A3591" s="91"/>
      <c r="B3591" s="70"/>
      <c r="C3591" s="70"/>
      <c r="D3591" s="70"/>
      <c r="E3591" s="70"/>
      <c r="F3591" s="70"/>
      <c r="G3591" s="70"/>
      <c r="H3591" s="131"/>
      <c r="I3591" s="3"/>
    </row>
    <row r="3592" spans="1:9" s="93" customFormat="1" ht="9" customHeight="1" x14ac:dyDescent="0.3">
      <c r="A3592" s="91"/>
      <c r="B3592" s="70"/>
      <c r="C3592" s="70"/>
      <c r="D3592" s="70"/>
      <c r="E3592" s="70"/>
      <c r="F3592" s="70"/>
      <c r="G3592" s="70"/>
      <c r="H3592" s="131"/>
      <c r="I3592" s="3"/>
    </row>
    <row r="3593" spans="1:9" s="93" customFormat="1" ht="9" customHeight="1" x14ac:dyDescent="0.3">
      <c r="A3593" s="91"/>
      <c r="B3593" s="70"/>
      <c r="C3593" s="70"/>
      <c r="D3593" s="70"/>
      <c r="E3593" s="70"/>
      <c r="F3593" s="70"/>
      <c r="G3593" s="70"/>
      <c r="H3593" s="131"/>
      <c r="I3593" s="3"/>
    </row>
    <row r="3594" spans="1:9" s="93" customFormat="1" ht="9" customHeight="1" x14ac:dyDescent="0.3">
      <c r="A3594" s="91"/>
      <c r="B3594" s="70"/>
      <c r="C3594" s="70"/>
      <c r="D3594" s="70"/>
      <c r="E3594" s="70"/>
      <c r="F3594" s="70"/>
      <c r="G3594" s="70"/>
      <c r="H3594" s="131"/>
      <c r="I3594" s="3"/>
    </row>
    <row r="3595" spans="1:9" s="93" customFormat="1" ht="9" customHeight="1" x14ac:dyDescent="0.3">
      <c r="A3595" s="91"/>
      <c r="B3595" s="70"/>
      <c r="C3595" s="70"/>
      <c r="D3595" s="70"/>
      <c r="E3595" s="70"/>
      <c r="F3595" s="70"/>
      <c r="G3595" s="70"/>
      <c r="H3595" s="131"/>
      <c r="I3595" s="3"/>
    </row>
    <row r="3596" spans="1:9" s="93" customFormat="1" ht="9" customHeight="1" x14ac:dyDescent="0.3">
      <c r="A3596" s="91"/>
      <c r="B3596" s="70"/>
      <c r="C3596" s="70"/>
      <c r="D3596" s="70"/>
      <c r="E3596" s="70"/>
      <c r="F3596" s="70"/>
      <c r="G3596" s="70"/>
      <c r="H3596" s="131"/>
      <c r="I3596" s="3"/>
    </row>
    <row r="3597" spans="1:9" s="93" customFormat="1" ht="9" customHeight="1" x14ac:dyDescent="0.3">
      <c r="A3597" s="91"/>
      <c r="B3597" s="70"/>
      <c r="C3597" s="70"/>
      <c r="D3597" s="70"/>
      <c r="E3597" s="70"/>
      <c r="F3597" s="70"/>
      <c r="G3597" s="70"/>
      <c r="H3597" s="131"/>
      <c r="I3597" s="3"/>
    </row>
    <row r="3598" spans="1:9" s="93" customFormat="1" ht="9" customHeight="1" x14ac:dyDescent="0.3">
      <c r="A3598" s="91"/>
      <c r="B3598" s="70"/>
      <c r="C3598" s="70"/>
      <c r="D3598" s="70"/>
      <c r="E3598" s="70"/>
      <c r="F3598" s="70"/>
      <c r="G3598" s="70"/>
      <c r="H3598" s="131"/>
      <c r="I3598" s="3"/>
    </row>
    <row r="3599" spans="1:9" s="93" customFormat="1" ht="9" customHeight="1" x14ac:dyDescent="0.3">
      <c r="A3599" s="91"/>
      <c r="B3599" s="70"/>
      <c r="C3599" s="70"/>
      <c r="D3599" s="70"/>
      <c r="E3599" s="70"/>
      <c r="F3599" s="70"/>
      <c r="G3599" s="70"/>
      <c r="H3599" s="131"/>
      <c r="I3599" s="3"/>
    </row>
    <row r="3600" spans="1:9" s="93" customFormat="1" ht="9" customHeight="1" x14ac:dyDescent="0.3">
      <c r="A3600" s="91"/>
      <c r="B3600" s="70"/>
      <c r="C3600" s="70"/>
      <c r="D3600" s="70"/>
      <c r="E3600" s="70"/>
      <c r="F3600" s="70"/>
      <c r="G3600" s="70"/>
      <c r="H3600" s="131"/>
      <c r="I3600" s="3"/>
    </row>
    <row r="3601" spans="1:9" s="93" customFormat="1" ht="9" customHeight="1" x14ac:dyDescent="0.3">
      <c r="A3601" s="91"/>
      <c r="B3601" s="70"/>
      <c r="C3601" s="70"/>
      <c r="D3601" s="70"/>
      <c r="E3601" s="70"/>
      <c r="F3601" s="70"/>
      <c r="G3601" s="70"/>
      <c r="H3601" s="131"/>
      <c r="I3601" s="3"/>
    </row>
    <row r="3602" spans="1:9" s="93" customFormat="1" ht="9" customHeight="1" x14ac:dyDescent="0.3">
      <c r="A3602" s="91"/>
      <c r="B3602" s="70"/>
      <c r="C3602" s="70"/>
      <c r="D3602" s="70"/>
      <c r="E3602" s="70"/>
      <c r="F3602" s="70"/>
      <c r="G3602" s="70"/>
      <c r="H3602" s="131"/>
      <c r="I3602" s="3"/>
    </row>
    <row r="3603" spans="1:9" s="93" customFormat="1" ht="9" customHeight="1" x14ac:dyDescent="0.3">
      <c r="A3603" s="91"/>
      <c r="B3603" s="70"/>
      <c r="C3603" s="70"/>
      <c r="D3603" s="70"/>
      <c r="E3603" s="70"/>
      <c r="F3603" s="70"/>
      <c r="G3603" s="70"/>
      <c r="H3603" s="131"/>
      <c r="I3603" s="3"/>
    </row>
    <row r="3604" spans="1:9" s="93" customFormat="1" ht="9" customHeight="1" x14ac:dyDescent="0.3">
      <c r="A3604" s="91"/>
      <c r="B3604" s="70"/>
      <c r="C3604" s="70"/>
      <c r="D3604" s="70"/>
      <c r="E3604" s="70"/>
      <c r="F3604" s="70"/>
      <c r="G3604" s="70"/>
      <c r="H3604" s="131"/>
      <c r="I3604" s="3"/>
    </row>
    <row r="3605" spans="1:9" s="93" customFormat="1" ht="9" customHeight="1" x14ac:dyDescent="0.3">
      <c r="A3605" s="91"/>
      <c r="B3605" s="70"/>
      <c r="C3605" s="70"/>
      <c r="D3605" s="70"/>
      <c r="E3605" s="70"/>
      <c r="F3605" s="70"/>
      <c r="G3605" s="70"/>
      <c r="H3605" s="131"/>
      <c r="I3605" s="3"/>
    </row>
    <row r="3606" spans="1:9" s="93" customFormat="1" ht="9" customHeight="1" x14ac:dyDescent="0.3">
      <c r="A3606" s="91"/>
      <c r="B3606" s="70"/>
      <c r="C3606" s="70"/>
      <c r="D3606" s="70"/>
      <c r="E3606" s="70"/>
      <c r="F3606" s="70"/>
      <c r="G3606" s="70"/>
      <c r="H3606" s="131"/>
      <c r="I3606" s="3"/>
    </row>
    <row r="3607" spans="1:9" s="93" customFormat="1" ht="9" customHeight="1" x14ac:dyDescent="0.3">
      <c r="A3607" s="91"/>
      <c r="B3607" s="70"/>
      <c r="C3607" s="70"/>
      <c r="D3607" s="70"/>
      <c r="E3607" s="70"/>
      <c r="F3607" s="70"/>
      <c r="G3607" s="70"/>
      <c r="H3607" s="131"/>
      <c r="I3607" s="3"/>
    </row>
    <row r="3608" spans="1:9" s="93" customFormat="1" ht="9" customHeight="1" x14ac:dyDescent="0.3">
      <c r="A3608" s="91"/>
      <c r="B3608" s="70"/>
      <c r="C3608" s="70"/>
      <c r="D3608" s="70"/>
      <c r="E3608" s="70"/>
      <c r="F3608" s="70"/>
      <c r="G3608" s="70"/>
      <c r="H3608" s="131"/>
      <c r="I3608" s="3"/>
    </row>
    <row r="3609" spans="1:9" s="93" customFormat="1" ht="9" customHeight="1" x14ac:dyDescent="0.3">
      <c r="A3609" s="91"/>
      <c r="B3609" s="70"/>
      <c r="C3609" s="70"/>
      <c r="D3609" s="70"/>
      <c r="E3609" s="70"/>
      <c r="F3609" s="70"/>
      <c r="G3609" s="70"/>
      <c r="H3609" s="131"/>
      <c r="I3609" s="3"/>
    </row>
    <row r="3610" spans="1:9" s="93" customFormat="1" ht="9" customHeight="1" x14ac:dyDescent="0.3">
      <c r="A3610" s="91"/>
      <c r="B3610" s="70"/>
      <c r="C3610" s="70"/>
      <c r="D3610" s="70"/>
      <c r="E3610" s="70"/>
      <c r="F3610" s="70"/>
      <c r="G3610" s="70"/>
      <c r="H3610" s="131"/>
      <c r="I3610" s="3"/>
    </row>
    <row r="3611" spans="1:9" s="93" customFormat="1" ht="9" customHeight="1" x14ac:dyDescent="0.3">
      <c r="A3611" s="91"/>
      <c r="B3611" s="70"/>
      <c r="C3611" s="70"/>
      <c r="D3611" s="70"/>
      <c r="E3611" s="70"/>
      <c r="F3611" s="70"/>
      <c r="G3611" s="70"/>
      <c r="H3611" s="131"/>
      <c r="I3611" s="3"/>
    </row>
    <row r="3612" spans="1:9" s="93" customFormat="1" ht="9" customHeight="1" x14ac:dyDescent="0.3">
      <c r="A3612" s="91"/>
      <c r="B3612" s="70"/>
      <c r="C3612" s="70"/>
      <c r="D3612" s="70"/>
      <c r="E3612" s="70"/>
      <c r="F3612" s="70"/>
      <c r="G3612" s="70"/>
      <c r="H3612" s="131"/>
      <c r="I3612" s="3"/>
    </row>
    <row r="3613" spans="1:9" s="93" customFormat="1" ht="9" customHeight="1" x14ac:dyDescent="0.3">
      <c r="A3613" s="91"/>
      <c r="B3613" s="70"/>
      <c r="C3613" s="70"/>
      <c r="D3613" s="70"/>
      <c r="E3613" s="70"/>
      <c r="F3613" s="70"/>
      <c r="G3613" s="70"/>
      <c r="H3613" s="131"/>
      <c r="I3613" s="3"/>
    </row>
    <row r="3614" spans="1:9" s="93" customFormat="1" ht="9" customHeight="1" x14ac:dyDescent="0.3">
      <c r="A3614" s="91"/>
      <c r="B3614" s="70"/>
      <c r="C3614" s="70"/>
      <c r="D3614" s="70"/>
      <c r="E3614" s="70"/>
      <c r="F3614" s="70"/>
      <c r="G3614" s="70"/>
      <c r="H3614" s="131"/>
      <c r="I3614" s="3"/>
    </row>
    <row r="3615" spans="1:9" s="93" customFormat="1" ht="9" customHeight="1" x14ac:dyDescent="0.3">
      <c r="A3615" s="91"/>
      <c r="B3615" s="70"/>
      <c r="C3615" s="70"/>
      <c r="D3615" s="70"/>
      <c r="E3615" s="70"/>
      <c r="F3615" s="70"/>
      <c r="G3615" s="70"/>
      <c r="H3615" s="131"/>
      <c r="I3615" s="3"/>
    </row>
    <row r="3616" spans="1:9" s="93" customFormat="1" ht="9" customHeight="1" x14ac:dyDescent="0.3">
      <c r="A3616" s="91"/>
      <c r="B3616" s="70"/>
      <c r="C3616" s="70"/>
      <c r="D3616" s="70"/>
      <c r="E3616" s="70"/>
      <c r="F3616" s="70"/>
      <c r="G3616" s="70"/>
      <c r="H3616" s="131"/>
      <c r="I3616" s="3"/>
    </row>
    <row r="3617" spans="1:9" s="93" customFormat="1" ht="9" customHeight="1" x14ac:dyDescent="0.3">
      <c r="A3617" s="91"/>
      <c r="B3617" s="70"/>
      <c r="C3617" s="70"/>
      <c r="D3617" s="70"/>
      <c r="E3617" s="70"/>
      <c r="F3617" s="70"/>
      <c r="G3617" s="70"/>
      <c r="H3617" s="131"/>
      <c r="I3617" s="3"/>
    </row>
    <row r="3618" spans="1:9" s="93" customFormat="1" ht="9" customHeight="1" x14ac:dyDescent="0.3">
      <c r="A3618" s="91"/>
      <c r="B3618" s="70"/>
      <c r="C3618" s="70"/>
      <c r="D3618" s="70"/>
      <c r="E3618" s="70"/>
      <c r="F3618" s="70"/>
      <c r="G3618" s="70"/>
      <c r="H3618" s="131"/>
      <c r="I3618" s="3"/>
    </row>
    <row r="3619" spans="1:9" s="93" customFormat="1" ht="9" customHeight="1" x14ac:dyDescent="0.3">
      <c r="A3619" s="91"/>
      <c r="B3619" s="70"/>
      <c r="C3619" s="70"/>
      <c r="D3619" s="70"/>
      <c r="E3619" s="70"/>
      <c r="F3619" s="70"/>
      <c r="G3619" s="70"/>
      <c r="H3619" s="131"/>
      <c r="I3619" s="3"/>
    </row>
    <row r="3620" spans="1:9" s="93" customFormat="1" ht="9" customHeight="1" x14ac:dyDescent="0.3">
      <c r="A3620" s="91"/>
      <c r="B3620" s="70"/>
      <c r="C3620" s="70"/>
      <c r="D3620" s="70"/>
      <c r="E3620" s="70"/>
      <c r="F3620" s="70"/>
      <c r="G3620" s="70"/>
      <c r="H3620" s="131"/>
      <c r="I3620" s="3"/>
    </row>
    <row r="3621" spans="1:9" s="93" customFormat="1" ht="9" customHeight="1" x14ac:dyDescent="0.3">
      <c r="A3621" s="91"/>
      <c r="B3621" s="70"/>
      <c r="C3621" s="70"/>
      <c r="D3621" s="70"/>
      <c r="E3621" s="70"/>
      <c r="F3621" s="70"/>
      <c r="G3621" s="70"/>
      <c r="H3621" s="131"/>
      <c r="I3621" s="3"/>
    </row>
    <row r="3622" spans="1:9" s="93" customFormat="1" ht="9" customHeight="1" x14ac:dyDescent="0.3">
      <c r="A3622" s="91"/>
      <c r="B3622" s="70"/>
      <c r="C3622" s="70"/>
      <c r="D3622" s="70"/>
      <c r="E3622" s="70"/>
      <c r="F3622" s="70"/>
      <c r="G3622" s="70"/>
      <c r="H3622" s="131"/>
      <c r="I3622" s="3"/>
    </row>
    <row r="3623" spans="1:9" s="93" customFormat="1" ht="9" customHeight="1" x14ac:dyDescent="0.3">
      <c r="A3623" s="91"/>
      <c r="B3623" s="70"/>
      <c r="C3623" s="70"/>
      <c r="D3623" s="70"/>
      <c r="E3623" s="70"/>
      <c r="F3623" s="70"/>
      <c r="G3623" s="70"/>
      <c r="H3623" s="131"/>
      <c r="I3623" s="3"/>
    </row>
    <row r="3624" spans="1:9" s="93" customFormat="1" ht="9" customHeight="1" x14ac:dyDescent="0.3">
      <c r="A3624" s="91"/>
      <c r="B3624" s="70"/>
      <c r="C3624" s="70"/>
      <c r="D3624" s="70"/>
      <c r="E3624" s="70"/>
      <c r="F3624" s="70"/>
      <c r="G3624" s="70"/>
      <c r="H3624" s="131"/>
      <c r="I3624" s="3"/>
    </row>
    <row r="3625" spans="1:9" s="93" customFormat="1" ht="9" customHeight="1" x14ac:dyDescent="0.3">
      <c r="A3625" s="91"/>
      <c r="B3625" s="70"/>
      <c r="C3625" s="70"/>
      <c r="D3625" s="70"/>
      <c r="E3625" s="70"/>
      <c r="F3625" s="70"/>
      <c r="G3625" s="70"/>
      <c r="H3625" s="131"/>
      <c r="I3625" s="3"/>
    </row>
    <row r="3626" spans="1:9" s="93" customFormat="1" ht="9" customHeight="1" x14ac:dyDescent="0.3">
      <c r="A3626" s="91"/>
      <c r="B3626" s="70"/>
      <c r="C3626" s="70"/>
      <c r="D3626" s="70"/>
      <c r="E3626" s="70"/>
      <c r="F3626" s="70"/>
      <c r="G3626" s="70"/>
      <c r="H3626" s="131"/>
      <c r="I3626" s="3"/>
    </row>
    <row r="3627" spans="1:9" s="93" customFormat="1" ht="9" customHeight="1" x14ac:dyDescent="0.3">
      <c r="A3627" s="91"/>
      <c r="B3627" s="70"/>
      <c r="C3627" s="70"/>
      <c r="D3627" s="70"/>
      <c r="E3627" s="70"/>
      <c r="F3627" s="70"/>
      <c r="G3627" s="70"/>
      <c r="H3627" s="131"/>
      <c r="I3627" s="3"/>
    </row>
    <row r="3628" spans="1:9" s="93" customFormat="1" ht="9" customHeight="1" x14ac:dyDescent="0.3">
      <c r="A3628" s="91"/>
      <c r="B3628" s="70"/>
      <c r="C3628" s="70"/>
      <c r="D3628" s="70"/>
      <c r="E3628" s="70"/>
      <c r="F3628" s="70"/>
      <c r="G3628" s="70"/>
      <c r="H3628" s="131"/>
      <c r="I3628" s="3"/>
    </row>
    <row r="3629" spans="1:9" s="93" customFormat="1" ht="9" customHeight="1" x14ac:dyDescent="0.3">
      <c r="A3629" s="91"/>
      <c r="B3629" s="70"/>
      <c r="C3629" s="70"/>
      <c r="D3629" s="70"/>
      <c r="E3629" s="70"/>
      <c r="F3629" s="70"/>
      <c r="G3629" s="70"/>
      <c r="H3629" s="131"/>
      <c r="I3629" s="3"/>
    </row>
    <row r="3630" spans="1:9" s="93" customFormat="1" ht="9" customHeight="1" x14ac:dyDescent="0.3">
      <c r="A3630" s="91"/>
      <c r="B3630" s="70"/>
      <c r="C3630" s="70"/>
      <c r="D3630" s="70"/>
      <c r="E3630" s="70"/>
      <c r="F3630" s="70"/>
      <c r="G3630" s="70"/>
      <c r="H3630" s="131"/>
      <c r="I3630" s="3"/>
    </row>
    <row r="3631" spans="1:9" s="93" customFormat="1" ht="9" customHeight="1" x14ac:dyDescent="0.3">
      <c r="A3631" s="91"/>
      <c r="B3631" s="70"/>
      <c r="C3631" s="70"/>
      <c r="D3631" s="70"/>
      <c r="E3631" s="70"/>
      <c r="F3631" s="70"/>
      <c r="G3631" s="70"/>
      <c r="H3631" s="131"/>
      <c r="I3631" s="3"/>
    </row>
    <row r="3632" spans="1:9" s="93" customFormat="1" ht="9" customHeight="1" x14ac:dyDescent="0.3">
      <c r="A3632" s="91"/>
      <c r="B3632" s="70"/>
      <c r="C3632" s="70"/>
      <c r="D3632" s="70"/>
      <c r="E3632" s="70"/>
      <c r="F3632" s="70"/>
      <c r="G3632" s="70"/>
      <c r="H3632" s="131"/>
      <c r="I3632" s="3"/>
    </row>
    <row r="3633" spans="1:9" s="93" customFormat="1" ht="9" customHeight="1" x14ac:dyDescent="0.3">
      <c r="A3633" s="91"/>
      <c r="B3633" s="70"/>
      <c r="C3633" s="70"/>
      <c r="D3633" s="70"/>
      <c r="E3633" s="70"/>
      <c r="F3633" s="70"/>
      <c r="G3633" s="70"/>
      <c r="H3633" s="131"/>
      <c r="I3633" s="3"/>
    </row>
    <row r="3634" spans="1:9" s="93" customFormat="1" ht="9" customHeight="1" x14ac:dyDescent="0.3">
      <c r="A3634" s="91"/>
      <c r="B3634" s="70"/>
      <c r="C3634" s="70"/>
      <c r="D3634" s="70"/>
      <c r="E3634" s="70"/>
      <c r="F3634" s="70"/>
      <c r="G3634" s="70"/>
      <c r="H3634" s="131"/>
      <c r="I3634" s="3"/>
    </row>
    <row r="3635" spans="1:9" s="93" customFormat="1" ht="9" customHeight="1" x14ac:dyDescent="0.3">
      <c r="A3635" s="91"/>
      <c r="B3635" s="70"/>
      <c r="C3635" s="70"/>
      <c r="D3635" s="70"/>
      <c r="E3635" s="70"/>
      <c r="F3635" s="70"/>
      <c r="G3635" s="70"/>
      <c r="H3635" s="131"/>
      <c r="I3635" s="3"/>
    </row>
    <row r="3636" spans="1:9" s="93" customFormat="1" ht="9" customHeight="1" x14ac:dyDescent="0.3">
      <c r="A3636" s="91"/>
      <c r="B3636" s="70"/>
      <c r="C3636" s="70"/>
      <c r="D3636" s="70"/>
      <c r="E3636" s="70"/>
      <c r="F3636" s="70"/>
      <c r="G3636" s="70"/>
      <c r="H3636" s="131"/>
      <c r="I3636" s="3"/>
    </row>
    <row r="3637" spans="1:9" s="93" customFormat="1" ht="9" customHeight="1" x14ac:dyDescent="0.3">
      <c r="A3637" s="91"/>
      <c r="B3637" s="70"/>
      <c r="C3637" s="70"/>
      <c r="D3637" s="70"/>
      <c r="E3637" s="70"/>
      <c r="F3637" s="70"/>
      <c r="G3637" s="70"/>
      <c r="H3637" s="131"/>
      <c r="I3637" s="3"/>
    </row>
    <row r="3638" spans="1:9" s="93" customFormat="1" ht="9" customHeight="1" x14ac:dyDescent="0.3">
      <c r="A3638" s="91"/>
      <c r="B3638" s="70"/>
      <c r="C3638" s="70"/>
      <c r="D3638" s="70"/>
      <c r="E3638" s="70"/>
      <c r="F3638" s="70"/>
      <c r="G3638" s="70"/>
      <c r="H3638" s="131"/>
      <c r="I3638" s="3"/>
    </row>
    <row r="3639" spans="1:9" s="93" customFormat="1" ht="9" customHeight="1" x14ac:dyDescent="0.3">
      <c r="A3639" s="91"/>
      <c r="B3639" s="70"/>
      <c r="C3639" s="70"/>
      <c r="D3639" s="70"/>
      <c r="E3639" s="70"/>
      <c r="F3639" s="70"/>
      <c r="G3639" s="70"/>
      <c r="H3639" s="131"/>
      <c r="I3639" s="3"/>
    </row>
    <row r="3640" spans="1:9" s="93" customFormat="1" ht="9" customHeight="1" x14ac:dyDescent="0.3">
      <c r="A3640" s="91"/>
      <c r="B3640" s="70"/>
      <c r="C3640" s="70"/>
      <c r="D3640" s="70"/>
      <c r="E3640" s="70"/>
      <c r="F3640" s="70"/>
      <c r="G3640" s="70"/>
      <c r="H3640" s="131"/>
      <c r="I3640" s="3"/>
    </row>
    <row r="3641" spans="1:9" s="93" customFormat="1" ht="9" customHeight="1" x14ac:dyDescent="0.3">
      <c r="A3641" s="91"/>
      <c r="B3641" s="70"/>
      <c r="C3641" s="70"/>
      <c r="D3641" s="70"/>
      <c r="E3641" s="70"/>
      <c r="F3641" s="70"/>
      <c r="G3641" s="70"/>
      <c r="H3641" s="131"/>
      <c r="I3641" s="3"/>
    </row>
    <row r="3642" spans="1:9" s="93" customFormat="1" ht="9" customHeight="1" x14ac:dyDescent="0.3">
      <c r="A3642" s="91"/>
      <c r="B3642" s="70"/>
      <c r="C3642" s="70"/>
      <c r="D3642" s="70"/>
      <c r="E3642" s="70"/>
      <c r="F3642" s="70"/>
      <c r="G3642" s="70"/>
      <c r="H3642" s="131"/>
      <c r="I3642" s="3"/>
    </row>
    <row r="3643" spans="1:9" s="93" customFormat="1" ht="9" customHeight="1" x14ac:dyDescent="0.3">
      <c r="A3643" s="91"/>
      <c r="B3643" s="70"/>
      <c r="C3643" s="70"/>
      <c r="D3643" s="70"/>
      <c r="E3643" s="70"/>
      <c r="F3643" s="70"/>
      <c r="G3643" s="70"/>
      <c r="H3643" s="131"/>
      <c r="I3643" s="3"/>
    </row>
    <row r="3644" spans="1:9" s="93" customFormat="1" ht="9" customHeight="1" x14ac:dyDescent="0.3">
      <c r="A3644" s="91"/>
      <c r="B3644" s="70"/>
      <c r="C3644" s="70"/>
      <c r="D3644" s="70"/>
      <c r="E3644" s="70"/>
      <c r="F3644" s="70"/>
      <c r="G3644" s="70"/>
      <c r="H3644" s="131"/>
      <c r="I3644" s="3"/>
    </row>
    <row r="3645" spans="1:9" s="93" customFormat="1" ht="9" customHeight="1" x14ac:dyDescent="0.3">
      <c r="A3645" s="91"/>
      <c r="B3645" s="70"/>
      <c r="C3645" s="70"/>
      <c r="D3645" s="70"/>
      <c r="E3645" s="70"/>
      <c r="F3645" s="70"/>
      <c r="G3645" s="70"/>
      <c r="H3645" s="131"/>
      <c r="I3645" s="3"/>
    </row>
    <row r="3646" spans="1:9" s="93" customFormat="1" ht="9" customHeight="1" x14ac:dyDescent="0.3">
      <c r="A3646" s="91"/>
      <c r="B3646" s="70"/>
      <c r="C3646" s="70"/>
      <c r="D3646" s="70"/>
      <c r="E3646" s="70"/>
      <c r="F3646" s="70"/>
      <c r="G3646" s="70"/>
      <c r="H3646" s="131"/>
      <c r="I3646" s="3"/>
    </row>
    <row r="3647" spans="1:9" s="93" customFormat="1" ht="9" customHeight="1" x14ac:dyDescent="0.3">
      <c r="A3647" s="91"/>
      <c r="B3647" s="70"/>
      <c r="C3647" s="70"/>
      <c r="D3647" s="70"/>
      <c r="E3647" s="70"/>
      <c r="F3647" s="70"/>
      <c r="G3647" s="70"/>
      <c r="H3647" s="131"/>
      <c r="I3647" s="3"/>
    </row>
    <row r="3648" spans="1:9" s="93" customFormat="1" ht="9" customHeight="1" x14ac:dyDescent="0.3">
      <c r="A3648" s="91"/>
      <c r="B3648" s="70"/>
      <c r="C3648" s="70"/>
      <c r="D3648" s="70"/>
      <c r="E3648" s="70"/>
      <c r="F3648" s="70"/>
      <c r="G3648" s="70"/>
      <c r="H3648" s="131"/>
      <c r="I3648" s="3"/>
    </row>
    <row r="3649" spans="1:9" s="93" customFormat="1" ht="9" customHeight="1" x14ac:dyDescent="0.3">
      <c r="A3649" s="91"/>
      <c r="B3649" s="70"/>
      <c r="C3649" s="70"/>
      <c r="D3649" s="70"/>
      <c r="E3649" s="70"/>
      <c r="F3649" s="70"/>
      <c r="G3649" s="70"/>
      <c r="H3649" s="131"/>
      <c r="I3649" s="3"/>
    </row>
    <row r="3650" spans="1:9" s="93" customFormat="1" ht="9" customHeight="1" x14ac:dyDescent="0.3">
      <c r="A3650" s="91"/>
      <c r="B3650" s="70"/>
      <c r="C3650" s="70"/>
      <c r="D3650" s="70"/>
      <c r="E3650" s="70"/>
      <c r="F3650" s="70"/>
      <c r="G3650" s="70"/>
      <c r="H3650" s="131"/>
      <c r="I3650" s="3"/>
    </row>
    <row r="3651" spans="1:9" s="93" customFormat="1" ht="9" customHeight="1" x14ac:dyDescent="0.3">
      <c r="A3651" s="91"/>
      <c r="B3651" s="70"/>
      <c r="C3651" s="70"/>
      <c r="D3651" s="70"/>
      <c r="E3651" s="70"/>
      <c r="F3651" s="70"/>
      <c r="G3651" s="70"/>
      <c r="H3651" s="131"/>
      <c r="I3651" s="3"/>
    </row>
    <row r="3652" spans="1:9" s="93" customFormat="1" ht="9" customHeight="1" x14ac:dyDescent="0.3">
      <c r="A3652" s="91"/>
      <c r="B3652" s="70"/>
      <c r="C3652" s="70"/>
      <c r="D3652" s="70"/>
      <c r="E3652" s="70"/>
      <c r="F3652" s="70"/>
      <c r="G3652" s="70"/>
      <c r="H3652" s="131"/>
      <c r="I3652" s="3"/>
    </row>
    <row r="3653" spans="1:9" s="93" customFormat="1" ht="9" customHeight="1" x14ac:dyDescent="0.3">
      <c r="A3653" s="91"/>
      <c r="B3653" s="70"/>
      <c r="C3653" s="70"/>
      <c r="D3653" s="70"/>
      <c r="E3653" s="70"/>
      <c r="F3653" s="70"/>
      <c r="G3653" s="70"/>
      <c r="H3653" s="131"/>
      <c r="I3653" s="3"/>
    </row>
    <row r="3654" spans="1:9" s="93" customFormat="1" ht="9" customHeight="1" x14ac:dyDescent="0.3">
      <c r="A3654" s="91"/>
      <c r="B3654" s="70"/>
      <c r="C3654" s="70"/>
      <c r="D3654" s="70"/>
      <c r="E3654" s="70"/>
      <c r="F3654" s="70"/>
      <c r="G3654" s="70"/>
      <c r="H3654" s="131"/>
      <c r="I3654" s="3"/>
    </row>
    <row r="3655" spans="1:9" s="93" customFormat="1" ht="9" customHeight="1" x14ac:dyDescent="0.3">
      <c r="A3655" s="91"/>
      <c r="B3655" s="70"/>
      <c r="C3655" s="70"/>
      <c r="D3655" s="70"/>
      <c r="E3655" s="70"/>
      <c r="F3655" s="70"/>
      <c r="G3655" s="70"/>
      <c r="H3655" s="131"/>
      <c r="I3655" s="3"/>
    </row>
    <row r="3656" spans="1:9" s="93" customFormat="1" ht="9" customHeight="1" x14ac:dyDescent="0.3">
      <c r="A3656" s="91"/>
      <c r="B3656" s="70"/>
      <c r="C3656" s="70"/>
      <c r="D3656" s="70"/>
      <c r="E3656" s="70"/>
      <c r="F3656" s="70"/>
      <c r="G3656" s="70"/>
      <c r="H3656" s="131"/>
      <c r="I3656" s="3"/>
    </row>
    <row r="3657" spans="1:9" s="93" customFormat="1" ht="9" customHeight="1" x14ac:dyDescent="0.3">
      <c r="A3657" s="91"/>
      <c r="B3657" s="70"/>
      <c r="C3657" s="70"/>
      <c r="D3657" s="70"/>
      <c r="E3657" s="70"/>
      <c r="F3657" s="70"/>
      <c r="G3657" s="70"/>
      <c r="H3657" s="131"/>
      <c r="I3657" s="3"/>
    </row>
    <row r="3658" spans="1:9" s="93" customFormat="1" ht="9" customHeight="1" x14ac:dyDescent="0.3">
      <c r="A3658" s="91"/>
      <c r="B3658" s="70"/>
      <c r="C3658" s="70"/>
      <c r="D3658" s="70"/>
      <c r="E3658" s="70"/>
      <c r="F3658" s="70"/>
      <c r="G3658" s="70"/>
      <c r="H3658" s="131"/>
      <c r="I3658" s="3"/>
    </row>
    <row r="3659" spans="1:9" s="93" customFormat="1" ht="9" customHeight="1" x14ac:dyDescent="0.3">
      <c r="A3659" s="91"/>
      <c r="B3659" s="70"/>
      <c r="C3659" s="70"/>
      <c r="D3659" s="70"/>
      <c r="E3659" s="70"/>
      <c r="F3659" s="70"/>
      <c r="G3659" s="70"/>
      <c r="H3659" s="131"/>
      <c r="I3659" s="3"/>
    </row>
    <row r="3660" spans="1:9" s="93" customFormat="1" ht="9" customHeight="1" x14ac:dyDescent="0.3">
      <c r="A3660" s="91"/>
      <c r="B3660" s="70"/>
      <c r="C3660" s="70"/>
      <c r="D3660" s="70"/>
      <c r="E3660" s="70"/>
      <c r="F3660" s="70"/>
      <c r="G3660" s="70"/>
      <c r="H3660" s="131"/>
      <c r="I3660" s="3"/>
    </row>
    <row r="3661" spans="1:9" s="93" customFormat="1" ht="9" customHeight="1" x14ac:dyDescent="0.3">
      <c r="A3661" s="91"/>
      <c r="B3661" s="70"/>
      <c r="C3661" s="70"/>
      <c r="D3661" s="70"/>
      <c r="E3661" s="70"/>
      <c r="F3661" s="70"/>
      <c r="G3661" s="70"/>
      <c r="H3661" s="131"/>
      <c r="I3661" s="3"/>
    </row>
    <row r="3662" spans="1:9" s="93" customFormat="1" ht="9" customHeight="1" x14ac:dyDescent="0.3">
      <c r="A3662" s="91"/>
      <c r="B3662" s="70"/>
      <c r="C3662" s="70"/>
      <c r="D3662" s="70"/>
      <c r="E3662" s="70"/>
      <c r="F3662" s="70"/>
      <c r="G3662" s="70"/>
      <c r="H3662" s="131"/>
      <c r="I3662" s="3"/>
    </row>
    <row r="3663" spans="1:9" s="93" customFormat="1" ht="9" customHeight="1" x14ac:dyDescent="0.3">
      <c r="A3663" s="91"/>
      <c r="B3663" s="70"/>
      <c r="C3663" s="70"/>
      <c r="D3663" s="70"/>
      <c r="E3663" s="70"/>
      <c r="F3663" s="70"/>
      <c r="G3663" s="70"/>
      <c r="H3663" s="131"/>
      <c r="I3663" s="3"/>
    </row>
    <row r="3664" spans="1:9" s="93" customFormat="1" ht="9" customHeight="1" x14ac:dyDescent="0.3">
      <c r="A3664" s="91"/>
      <c r="B3664" s="70"/>
      <c r="C3664" s="70"/>
      <c r="D3664" s="70"/>
      <c r="E3664" s="70"/>
      <c r="F3664" s="70"/>
      <c r="G3664" s="70"/>
      <c r="H3664" s="131"/>
      <c r="I3664" s="3"/>
    </row>
    <row r="3665" spans="1:9" s="93" customFormat="1" ht="9" customHeight="1" x14ac:dyDescent="0.3">
      <c r="A3665" s="91"/>
      <c r="B3665" s="70"/>
      <c r="C3665" s="70"/>
      <c r="D3665" s="70"/>
      <c r="E3665" s="70"/>
      <c r="F3665" s="70"/>
      <c r="G3665" s="70"/>
      <c r="H3665" s="131"/>
      <c r="I3665" s="3"/>
    </row>
    <row r="3666" spans="1:9" s="93" customFormat="1" ht="9" customHeight="1" x14ac:dyDescent="0.3">
      <c r="A3666" s="91"/>
      <c r="B3666" s="70"/>
      <c r="C3666" s="70"/>
      <c r="D3666" s="70"/>
      <c r="E3666" s="70"/>
      <c r="F3666" s="70"/>
      <c r="G3666" s="70"/>
      <c r="H3666" s="131"/>
      <c r="I3666" s="3"/>
    </row>
    <row r="3667" spans="1:9" s="93" customFormat="1" ht="9" customHeight="1" x14ac:dyDescent="0.3">
      <c r="A3667" s="91"/>
      <c r="B3667" s="70"/>
      <c r="C3667" s="70"/>
      <c r="D3667" s="70"/>
      <c r="E3667" s="70"/>
      <c r="F3667" s="70"/>
      <c r="G3667" s="70"/>
      <c r="H3667" s="131"/>
      <c r="I3667" s="3"/>
    </row>
    <row r="3668" spans="1:9" s="93" customFormat="1" ht="9" customHeight="1" x14ac:dyDescent="0.3">
      <c r="A3668" s="91"/>
      <c r="B3668" s="70"/>
      <c r="C3668" s="70"/>
      <c r="D3668" s="70"/>
      <c r="E3668" s="70"/>
      <c r="F3668" s="70"/>
      <c r="G3668" s="70"/>
      <c r="H3668" s="131"/>
      <c r="I3668" s="3"/>
    </row>
    <row r="3669" spans="1:9" s="93" customFormat="1" ht="9" customHeight="1" x14ac:dyDescent="0.3">
      <c r="A3669" s="91"/>
      <c r="B3669" s="70"/>
      <c r="C3669" s="70"/>
      <c r="D3669" s="70"/>
      <c r="E3669" s="70"/>
      <c r="F3669" s="70"/>
      <c r="G3669" s="70"/>
      <c r="H3669" s="131"/>
      <c r="I3669" s="3"/>
    </row>
    <row r="3670" spans="1:9" s="93" customFormat="1" ht="9" customHeight="1" x14ac:dyDescent="0.3">
      <c r="A3670" s="91"/>
      <c r="B3670" s="70"/>
      <c r="C3670" s="70"/>
      <c r="D3670" s="70"/>
      <c r="E3670" s="70"/>
      <c r="F3670" s="70"/>
      <c r="G3670" s="70"/>
      <c r="H3670" s="131"/>
      <c r="I3670" s="3"/>
    </row>
    <row r="3671" spans="1:9" s="93" customFormat="1" ht="9" customHeight="1" x14ac:dyDescent="0.3">
      <c r="A3671" s="91"/>
      <c r="B3671" s="70"/>
      <c r="C3671" s="70"/>
      <c r="D3671" s="70"/>
      <c r="E3671" s="70"/>
      <c r="F3671" s="70"/>
      <c r="G3671" s="70"/>
      <c r="H3671" s="131"/>
      <c r="I3671" s="3"/>
    </row>
    <row r="3672" spans="1:9" s="93" customFormat="1" ht="9" customHeight="1" x14ac:dyDescent="0.3">
      <c r="A3672" s="91"/>
      <c r="B3672" s="70"/>
      <c r="C3672" s="70"/>
      <c r="D3672" s="70"/>
      <c r="E3672" s="70"/>
      <c r="F3672" s="70"/>
      <c r="G3672" s="70"/>
      <c r="H3672" s="131"/>
      <c r="I3672" s="3"/>
    </row>
    <row r="3673" spans="1:9" s="93" customFormat="1" ht="9" customHeight="1" x14ac:dyDescent="0.3">
      <c r="A3673" s="91"/>
      <c r="B3673" s="70"/>
      <c r="C3673" s="70"/>
      <c r="D3673" s="70"/>
      <c r="E3673" s="70"/>
      <c r="F3673" s="70"/>
      <c r="G3673" s="70"/>
      <c r="H3673" s="131"/>
      <c r="I3673" s="3"/>
    </row>
    <row r="3674" spans="1:9" s="93" customFormat="1" ht="9" customHeight="1" x14ac:dyDescent="0.3">
      <c r="A3674" s="91"/>
      <c r="B3674" s="70"/>
      <c r="C3674" s="70"/>
      <c r="D3674" s="70"/>
      <c r="E3674" s="70"/>
      <c r="F3674" s="70"/>
      <c r="G3674" s="70"/>
      <c r="H3674" s="131"/>
      <c r="I3674" s="3"/>
    </row>
    <row r="3675" spans="1:9" s="93" customFormat="1" ht="9" customHeight="1" x14ac:dyDescent="0.3">
      <c r="A3675" s="91"/>
      <c r="B3675" s="70"/>
      <c r="C3675" s="70"/>
      <c r="D3675" s="70"/>
      <c r="E3675" s="70"/>
      <c r="F3675" s="70"/>
      <c r="G3675" s="70"/>
      <c r="H3675" s="131"/>
      <c r="I3675" s="3"/>
    </row>
    <row r="3676" spans="1:9" s="93" customFormat="1" ht="9" customHeight="1" x14ac:dyDescent="0.3">
      <c r="A3676" s="91"/>
      <c r="B3676" s="70"/>
      <c r="C3676" s="70"/>
      <c r="D3676" s="70"/>
      <c r="E3676" s="70"/>
      <c r="F3676" s="70"/>
      <c r="G3676" s="70"/>
      <c r="H3676" s="131"/>
      <c r="I3676" s="3"/>
    </row>
    <row r="3677" spans="1:9" s="93" customFormat="1" ht="9" customHeight="1" x14ac:dyDescent="0.3">
      <c r="A3677" s="91"/>
      <c r="B3677" s="70"/>
      <c r="C3677" s="70"/>
      <c r="D3677" s="70"/>
      <c r="E3677" s="70"/>
      <c r="F3677" s="70"/>
      <c r="G3677" s="70"/>
      <c r="H3677" s="131"/>
      <c r="I3677" s="3"/>
    </row>
    <row r="3678" spans="1:9" s="93" customFormat="1" ht="9" customHeight="1" x14ac:dyDescent="0.3">
      <c r="A3678" s="91"/>
      <c r="B3678" s="70"/>
      <c r="C3678" s="70"/>
      <c r="D3678" s="70"/>
      <c r="E3678" s="70"/>
      <c r="F3678" s="70"/>
      <c r="G3678" s="70"/>
      <c r="H3678" s="131"/>
      <c r="I3678" s="3"/>
    </row>
    <row r="3679" spans="1:9" s="93" customFormat="1" ht="9" customHeight="1" x14ac:dyDescent="0.3">
      <c r="A3679" s="91"/>
      <c r="B3679" s="70"/>
      <c r="C3679" s="70"/>
      <c r="D3679" s="70"/>
      <c r="E3679" s="70"/>
      <c r="F3679" s="70"/>
      <c r="G3679" s="70"/>
      <c r="H3679" s="131"/>
      <c r="I3679" s="3"/>
    </row>
    <row r="3680" spans="1:9" s="93" customFormat="1" ht="9" customHeight="1" x14ac:dyDescent="0.3">
      <c r="A3680" s="91"/>
      <c r="B3680" s="70"/>
      <c r="C3680" s="70"/>
      <c r="D3680" s="70"/>
      <c r="E3680" s="70"/>
      <c r="F3680" s="70"/>
      <c r="G3680" s="70"/>
      <c r="H3680" s="131"/>
      <c r="I3680" s="3"/>
    </row>
    <row r="3681" spans="1:9" s="93" customFormat="1" ht="9" customHeight="1" x14ac:dyDescent="0.3">
      <c r="A3681" s="91"/>
      <c r="B3681" s="70"/>
      <c r="C3681" s="70"/>
      <c r="D3681" s="70"/>
      <c r="E3681" s="70"/>
      <c r="F3681" s="70"/>
      <c r="G3681" s="70"/>
      <c r="H3681" s="131"/>
      <c r="I3681" s="3"/>
    </row>
    <row r="3682" spans="1:9" s="93" customFormat="1" ht="9" customHeight="1" x14ac:dyDescent="0.3">
      <c r="A3682" s="91"/>
      <c r="B3682" s="70"/>
      <c r="C3682" s="70"/>
      <c r="D3682" s="70"/>
      <c r="E3682" s="70"/>
      <c r="F3682" s="70"/>
      <c r="G3682" s="70"/>
      <c r="H3682" s="131"/>
      <c r="I3682" s="3"/>
    </row>
    <row r="3683" spans="1:9" s="93" customFormat="1" ht="9" customHeight="1" x14ac:dyDescent="0.3">
      <c r="A3683" s="91"/>
      <c r="B3683" s="70"/>
      <c r="C3683" s="70"/>
      <c r="D3683" s="70"/>
      <c r="E3683" s="70"/>
      <c r="F3683" s="70"/>
      <c r="G3683" s="70"/>
      <c r="H3683" s="131"/>
      <c r="I3683" s="3"/>
    </row>
    <row r="3684" spans="1:9" s="93" customFormat="1" ht="9" customHeight="1" x14ac:dyDescent="0.3">
      <c r="A3684" s="91"/>
      <c r="B3684" s="70"/>
      <c r="C3684" s="70"/>
      <c r="D3684" s="70"/>
      <c r="E3684" s="70"/>
      <c r="F3684" s="70"/>
      <c r="G3684" s="70"/>
      <c r="H3684" s="131"/>
      <c r="I3684" s="3"/>
    </row>
    <row r="3685" spans="1:9" s="93" customFormat="1" ht="9" customHeight="1" x14ac:dyDescent="0.3">
      <c r="A3685" s="91"/>
      <c r="B3685" s="70"/>
      <c r="C3685" s="70"/>
      <c r="D3685" s="70"/>
      <c r="E3685" s="70"/>
      <c r="F3685" s="70"/>
      <c r="G3685" s="70"/>
      <c r="H3685" s="131"/>
      <c r="I3685" s="3"/>
    </row>
    <row r="3686" spans="1:9" s="93" customFormat="1" ht="9" customHeight="1" x14ac:dyDescent="0.3">
      <c r="A3686" s="91"/>
      <c r="B3686" s="70"/>
      <c r="C3686" s="70"/>
      <c r="D3686" s="70"/>
      <c r="E3686" s="70"/>
      <c r="F3686" s="70"/>
      <c r="G3686" s="70"/>
      <c r="H3686" s="131"/>
      <c r="I3686" s="3"/>
    </row>
    <row r="3687" spans="1:9" s="93" customFormat="1" ht="9" customHeight="1" x14ac:dyDescent="0.3">
      <c r="A3687" s="91"/>
      <c r="B3687" s="70"/>
      <c r="C3687" s="70"/>
      <c r="D3687" s="70"/>
      <c r="E3687" s="70"/>
      <c r="F3687" s="70"/>
      <c r="G3687" s="70"/>
      <c r="H3687" s="131"/>
      <c r="I3687" s="3"/>
    </row>
    <row r="3688" spans="1:9" s="93" customFormat="1" ht="9" customHeight="1" x14ac:dyDescent="0.3">
      <c r="A3688" s="91"/>
      <c r="B3688" s="70"/>
      <c r="C3688" s="70"/>
      <c r="D3688" s="70"/>
      <c r="E3688" s="70"/>
      <c r="F3688" s="70"/>
      <c r="G3688" s="70"/>
      <c r="H3688" s="131"/>
      <c r="I3688" s="3"/>
    </row>
    <row r="3689" spans="1:9" s="93" customFormat="1" ht="9" customHeight="1" x14ac:dyDescent="0.3">
      <c r="A3689" s="91"/>
      <c r="B3689" s="70"/>
      <c r="C3689" s="70"/>
      <c r="D3689" s="70"/>
      <c r="E3689" s="70"/>
      <c r="F3689" s="70"/>
      <c r="G3689" s="70"/>
      <c r="H3689" s="131"/>
      <c r="I3689" s="3"/>
    </row>
    <row r="3690" spans="1:9" s="93" customFormat="1" ht="9" customHeight="1" x14ac:dyDescent="0.3">
      <c r="A3690" s="91"/>
      <c r="B3690" s="70"/>
      <c r="C3690" s="70"/>
      <c r="D3690" s="70"/>
      <c r="E3690" s="70"/>
      <c r="F3690" s="70"/>
      <c r="G3690" s="70"/>
      <c r="H3690" s="131"/>
      <c r="I3690" s="3"/>
    </row>
    <row r="3691" spans="1:9" s="93" customFormat="1" ht="9" customHeight="1" x14ac:dyDescent="0.3">
      <c r="A3691" s="91"/>
      <c r="B3691" s="70"/>
      <c r="C3691" s="70"/>
      <c r="D3691" s="70"/>
      <c r="E3691" s="70"/>
      <c r="F3691" s="70"/>
      <c r="G3691" s="70"/>
      <c r="H3691" s="131"/>
      <c r="I3691" s="3"/>
    </row>
    <row r="3692" spans="1:9" s="93" customFormat="1" ht="9" customHeight="1" x14ac:dyDescent="0.3">
      <c r="A3692" s="91"/>
      <c r="B3692" s="70"/>
      <c r="C3692" s="70"/>
      <c r="D3692" s="70"/>
      <c r="E3692" s="70"/>
      <c r="F3692" s="70"/>
      <c r="G3692" s="70"/>
      <c r="H3692" s="131"/>
      <c r="I3692" s="3"/>
    </row>
    <row r="3693" spans="1:9" s="93" customFormat="1" ht="9" customHeight="1" x14ac:dyDescent="0.3">
      <c r="A3693" s="91"/>
      <c r="B3693" s="70"/>
      <c r="C3693" s="70"/>
      <c r="D3693" s="70"/>
      <c r="E3693" s="70"/>
      <c r="F3693" s="70"/>
      <c r="G3693" s="70"/>
      <c r="H3693" s="131"/>
      <c r="I3693" s="3"/>
    </row>
    <row r="3694" spans="1:9" s="93" customFormat="1" ht="9" customHeight="1" x14ac:dyDescent="0.3">
      <c r="A3694" s="91"/>
      <c r="B3694" s="70"/>
      <c r="C3694" s="70"/>
      <c r="D3694" s="70"/>
      <c r="E3694" s="70"/>
      <c r="F3694" s="70"/>
      <c r="G3694" s="70"/>
      <c r="H3694" s="131"/>
      <c r="I3694" s="3"/>
    </row>
    <row r="3695" spans="1:9" s="93" customFormat="1" ht="9" customHeight="1" x14ac:dyDescent="0.3">
      <c r="A3695" s="91"/>
      <c r="B3695" s="70"/>
      <c r="C3695" s="70"/>
      <c r="D3695" s="70"/>
      <c r="E3695" s="70"/>
      <c r="F3695" s="70"/>
      <c r="G3695" s="70"/>
      <c r="H3695" s="131"/>
      <c r="I3695" s="3"/>
    </row>
    <row r="3696" spans="1:9" s="93" customFormat="1" ht="9" customHeight="1" x14ac:dyDescent="0.3">
      <c r="A3696" s="91"/>
      <c r="B3696" s="70"/>
      <c r="C3696" s="70"/>
      <c r="D3696" s="70"/>
      <c r="E3696" s="70"/>
      <c r="F3696" s="70"/>
      <c r="G3696" s="70"/>
      <c r="H3696" s="131"/>
      <c r="I3696" s="3"/>
    </row>
    <row r="3697" spans="1:9" s="93" customFormat="1" ht="9" customHeight="1" x14ac:dyDescent="0.3">
      <c r="A3697" s="91"/>
      <c r="B3697" s="70"/>
      <c r="C3697" s="70"/>
      <c r="D3697" s="70"/>
      <c r="E3697" s="70"/>
      <c r="F3697" s="70"/>
      <c r="G3697" s="70"/>
      <c r="H3697" s="131"/>
      <c r="I3697" s="3"/>
    </row>
    <row r="3698" spans="1:9" s="93" customFormat="1" ht="9" customHeight="1" x14ac:dyDescent="0.3">
      <c r="A3698" s="91"/>
      <c r="B3698" s="70"/>
      <c r="C3698" s="70"/>
      <c r="D3698" s="70"/>
      <c r="E3698" s="70"/>
      <c r="F3698" s="70"/>
      <c r="G3698" s="70"/>
      <c r="H3698" s="131"/>
      <c r="I3698" s="3"/>
    </row>
    <row r="3699" spans="1:9" s="93" customFormat="1" ht="9" customHeight="1" x14ac:dyDescent="0.3">
      <c r="A3699" s="91"/>
      <c r="B3699" s="70"/>
      <c r="C3699" s="70"/>
      <c r="D3699" s="70"/>
      <c r="E3699" s="70"/>
      <c r="F3699" s="70"/>
      <c r="G3699" s="70"/>
      <c r="H3699" s="131"/>
      <c r="I3699" s="3"/>
    </row>
    <row r="3700" spans="1:9" s="93" customFormat="1" ht="9" customHeight="1" x14ac:dyDescent="0.3">
      <c r="A3700" s="91"/>
      <c r="B3700" s="70"/>
      <c r="C3700" s="70"/>
      <c r="D3700" s="70"/>
      <c r="E3700" s="70"/>
      <c r="F3700" s="70"/>
      <c r="G3700" s="70"/>
      <c r="H3700" s="131"/>
      <c r="I3700" s="3"/>
    </row>
    <row r="3701" spans="1:9" s="93" customFormat="1" ht="9" customHeight="1" x14ac:dyDescent="0.3">
      <c r="A3701" s="91"/>
      <c r="B3701" s="70"/>
      <c r="C3701" s="70"/>
      <c r="D3701" s="70"/>
      <c r="E3701" s="70"/>
      <c r="F3701" s="70"/>
      <c r="G3701" s="70"/>
      <c r="H3701" s="131"/>
      <c r="I3701" s="3"/>
    </row>
    <row r="3702" spans="1:9" s="93" customFormat="1" ht="9" customHeight="1" x14ac:dyDescent="0.3">
      <c r="A3702" s="91"/>
      <c r="B3702" s="70"/>
      <c r="C3702" s="70"/>
      <c r="D3702" s="70"/>
      <c r="E3702" s="70"/>
      <c r="F3702" s="70"/>
      <c r="G3702" s="70"/>
      <c r="H3702" s="131"/>
      <c r="I3702" s="3"/>
    </row>
    <row r="3703" spans="1:9" s="93" customFormat="1" ht="9" customHeight="1" x14ac:dyDescent="0.3">
      <c r="A3703" s="91"/>
      <c r="B3703" s="70"/>
      <c r="C3703" s="70"/>
      <c r="D3703" s="70"/>
      <c r="E3703" s="70"/>
      <c r="F3703" s="70"/>
      <c r="G3703" s="70"/>
      <c r="H3703" s="131"/>
      <c r="I3703" s="3"/>
    </row>
    <row r="3704" spans="1:9" s="93" customFormat="1" ht="9" customHeight="1" x14ac:dyDescent="0.3">
      <c r="A3704" s="91"/>
      <c r="B3704" s="70"/>
      <c r="C3704" s="70"/>
      <c r="D3704" s="70"/>
      <c r="E3704" s="70"/>
      <c r="F3704" s="70"/>
      <c r="G3704" s="70"/>
      <c r="H3704" s="131"/>
      <c r="I3704" s="3"/>
    </row>
    <row r="3705" spans="1:9" s="93" customFormat="1" ht="9" customHeight="1" x14ac:dyDescent="0.3">
      <c r="A3705" s="91"/>
      <c r="B3705" s="70"/>
      <c r="C3705" s="70"/>
      <c r="D3705" s="70"/>
      <c r="E3705" s="70"/>
      <c r="F3705" s="70"/>
      <c r="G3705" s="70"/>
      <c r="H3705" s="131"/>
      <c r="I3705" s="3"/>
    </row>
    <row r="3706" spans="1:9" s="93" customFormat="1" ht="9" customHeight="1" x14ac:dyDescent="0.3">
      <c r="A3706" s="91"/>
      <c r="B3706" s="70"/>
      <c r="C3706" s="70"/>
      <c r="D3706" s="70"/>
      <c r="E3706" s="70"/>
      <c r="F3706" s="70"/>
      <c r="G3706" s="70"/>
      <c r="H3706" s="131"/>
      <c r="I3706" s="3"/>
    </row>
    <row r="3707" spans="1:9" s="93" customFormat="1" ht="9" customHeight="1" x14ac:dyDescent="0.3">
      <c r="A3707" s="91"/>
      <c r="B3707" s="70"/>
      <c r="C3707" s="70"/>
      <c r="D3707" s="70"/>
      <c r="E3707" s="70"/>
      <c r="F3707" s="70"/>
      <c r="G3707" s="70"/>
      <c r="H3707" s="131"/>
      <c r="I3707" s="3"/>
    </row>
    <row r="3708" spans="1:9" s="93" customFormat="1" ht="9" customHeight="1" x14ac:dyDescent="0.3">
      <c r="A3708" s="91"/>
      <c r="B3708" s="70"/>
      <c r="C3708" s="70"/>
      <c r="D3708" s="70"/>
      <c r="E3708" s="70"/>
      <c r="F3708" s="70"/>
      <c r="G3708" s="70"/>
      <c r="H3708" s="131"/>
      <c r="I3708" s="3"/>
    </row>
    <row r="3709" spans="1:9" s="93" customFormat="1" ht="9" customHeight="1" x14ac:dyDescent="0.3">
      <c r="A3709" s="91"/>
      <c r="B3709" s="70"/>
      <c r="C3709" s="70"/>
      <c r="D3709" s="70"/>
      <c r="E3709" s="70"/>
      <c r="F3709" s="70"/>
      <c r="G3709" s="70"/>
      <c r="H3709" s="131"/>
      <c r="I3709" s="3"/>
    </row>
    <row r="3710" spans="1:9" s="93" customFormat="1" ht="9" customHeight="1" x14ac:dyDescent="0.3">
      <c r="A3710" s="91"/>
      <c r="B3710" s="70"/>
      <c r="C3710" s="70"/>
      <c r="D3710" s="70"/>
      <c r="E3710" s="70"/>
      <c r="F3710" s="70"/>
      <c r="G3710" s="70"/>
      <c r="H3710" s="131"/>
      <c r="I3710" s="3"/>
    </row>
    <row r="3711" spans="1:9" s="93" customFormat="1" ht="9" customHeight="1" x14ac:dyDescent="0.3">
      <c r="A3711" s="91"/>
      <c r="B3711" s="70"/>
      <c r="C3711" s="70"/>
      <c r="D3711" s="70"/>
      <c r="E3711" s="70"/>
      <c r="F3711" s="70"/>
      <c r="G3711" s="70"/>
      <c r="H3711" s="131"/>
      <c r="I3711" s="3"/>
    </row>
    <row r="3712" spans="1:9" s="93" customFormat="1" ht="9" customHeight="1" x14ac:dyDescent="0.3">
      <c r="A3712" s="91"/>
      <c r="B3712" s="70"/>
      <c r="C3712" s="70"/>
      <c r="D3712" s="70"/>
      <c r="E3712" s="70"/>
      <c r="F3712" s="70"/>
      <c r="G3712" s="70"/>
      <c r="H3712" s="131"/>
      <c r="I3712" s="3"/>
    </row>
    <row r="3713" spans="1:9" s="93" customFormat="1" ht="9" customHeight="1" x14ac:dyDescent="0.3">
      <c r="A3713" s="91"/>
      <c r="B3713" s="70"/>
      <c r="C3713" s="70"/>
      <c r="D3713" s="70"/>
      <c r="E3713" s="70"/>
      <c r="F3713" s="70"/>
      <c r="G3713" s="70"/>
      <c r="H3713" s="131"/>
      <c r="I3713" s="3"/>
    </row>
    <row r="3714" spans="1:9" s="93" customFormat="1" ht="9" customHeight="1" x14ac:dyDescent="0.3">
      <c r="A3714" s="91"/>
      <c r="B3714" s="70"/>
      <c r="C3714" s="70"/>
      <c r="D3714" s="70"/>
      <c r="E3714" s="70"/>
      <c r="F3714" s="70"/>
      <c r="G3714" s="70"/>
      <c r="H3714" s="131"/>
      <c r="I3714" s="3"/>
    </row>
    <row r="3715" spans="1:9" s="93" customFormat="1" ht="9" customHeight="1" x14ac:dyDescent="0.3">
      <c r="A3715" s="91"/>
      <c r="B3715" s="70"/>
      <c r="C3715" s="70"/>
      <c r="D3715" s="70"/>
      <c r="E3715" s="70"/>
      <c r="F3715" s="70"/>
      <c r="G3715" s="70"/>
      <c r="H3715" s="131"/>
      <c r="I3715" s="3"/>
    </row>
    <row r="3716" spans="1:9" s="93" customFormat="1" ht="9" customHeight="1" x14ac:dyDescent="0.3">
      <c r="A3716" s="91"/>
      <c r="B3716" s="70"/>
      <c r="C3716" s="70"/>
      <c r="D3716" s="70"/>
      <c r="E3716" s="70"/>
      <c r="F3716" s="70"/>
      <c r="G3716" s="70"/>
      <c r="H3716" s="131"/>
      <c r="I3716" s="3"/>
    </row>
    <row r="3717" spans="1:9" s="93" customFormat="1" ht="9" customHeight="1" x14ac:dyDescent="0.3">
      <c r="A3717" s="91"/>
      <c r="B3717" s="70"/>
      <c r="C3717" s="70"/>
      <c r="D3717" s="70"/>
      <c r="E3717" s="70"/>
      <c r="F3717" s="70"/>
      <c r="G3717" s="70"/>
      <c r="H3717" s="131"/>
      <c r="I3717" s="3"/>
    </row>
    <row r="3718" spans="1:9" s="93" customFormat="1" ht="9" customHeight="1" x14ac:dyDescent="0.3">
      <c r="A3718" s="91"/>
      <c r="B3718" s="70"/>
      <c r="C3718" s="70"/>
      <c r="D3718" s="70"/>
      <c r="E3718" s="70"/>
      <c r="F3718" s="70"/>
      <c r="G3718" s="70"/>
      <c r="H3718" s="131"/>
      <c r="I3718" s="3"/>
    </row>
    <row r="3719" spans="1:9" s="93" customFormat="1" ht="9" customHeight="1" x14ac:dyDescent="0.3">
      <c r="A3719" s="91"/>
      <c r="B3719" s="70"/>
      <c r="C3719" s="70"/>
      <c r="D3719" s="70"/>
      <c r="E3719" s="70"/>
      <c r="F3719" s="70"/>
      <c r="G3719" s="70"/>
      <c r="H3719" s="131"/>
      <c r="I3719" s="3"/>
    </row>
    <row r="3720" spans="1:9" s="93" customFormat="1" ht="9" customHeight="1" x14ac:dyDescent="0.3">
      <c r="A3720" s="91"/>
      <c r="B3720" s="70"/>
      <c r="C3720" s="70"/>
      <c r="D3720" s="70"/>
      <c r="E3720" s="70"/>
      <c r="F3720" s="70"/>
      <c r="G3720" s="70"/>
      <c r="H3720" s="131"/>
      <c r="I3720" s="3"/>
    </row>
    <row r="3721" spans="1:9" s="93" customFormat="1" ht="9" customHeight="1" x14ac:dyDescent="0.3">
      <c r="A3721" s="91"/>
      <c r="B3721" s="70"/>
      <c r="C3721" s="70"/>
      <c r="D3721" s="70"/>
      <c r="E3721" s="70"/>
      <c r="F3721" s="70"/>
      <c r="G3721" s="70"/>
      <c r="H3721" s="131"/>
      <c r="I3721" s="3"/>
    </row>
    <row r="3722" spans="1:9" s="93" customFormat="1" ht="9" customHeight="1" x14ac:dyDescent="0.3">
      <c r="A3722" s="91"/>
      <c r="B3722" s="70"/>
      <c r="C3722" s="70"/>
      <c r="D3722" s="70"/>
      <c r="E3722" s="70"/>
      <c r="F3722" s="70"/>
      <c r="G3722" s="70"/>
      <c r="H3722" s="131"/>
      <c r="I3722" s="3"/>
    </row>
    <row r="3723" spans="1:9" s="93" customFormat="1" ht="9" customHeight="1" x14ac:dyDescent="0.3">
      <c r="A3723" s="91"/>
      <c r="B3723" s="70"/>
      <c r="C3723" s="70"/>
      <c r="D3723" s="70"/>
      <c r="E3723" s="70"/>
      <c r="F3723" s="70"/>
      <c r="G3723" s="70"/>
      <c r="H3723" s="131"/>
      <c r="I3723" s="3"/>
    </row>
    <row r="3724" spans="1:9" s="93" customFormat="1" ht="9" customHeight="1" x14ac:dyDescent="0.3">
      <c r="A3724" s="91"/>
      <c r="B3724" s="70"/>
      <c r="C3724" s="70"/>
      <c r="D3724" s="70"/>
      <c r="E3724" s="70"/>
      <c r="F3724" s="70"/>
      <c r="G3724" s="70"/>
      <c r="H3724" s="131"/>
      <c r="I3724" s="3"/>
    </row>
    <row r="3725" spans="1:9" s="93" customFormat="1" ht="9" customHeight="1" x14ac:dyDescent="0.3">
      <c r="A3725" s="91"/>
      <c r="B3725" s="70"/>
      <c r="C3725" s="70"/>
      <c r="D3725" s="70"/>
      <c r="E3725" s="70"/>
      <c r="F3725" s="70"/>
      <c r="G3725" s="70"/>
      <c r="H3725" s="131"/>
      <c r="I3725" s="3"/>
    </row>
    <row r="3726" spans="1:9" s="93" customFormat="1" ht="9" customHeight="1" x14ac:dyDescent="0.3">
      <c r="A3726" s="91"/>
      <c r="B3726" s="70"/>
      <c r="C3726" s="70"/>
      <c r="D3726" s="70"/>
      <c r="E3726" s="70"/>
      <c r="F3726" s="70"/>
      <c r="G3726" s="70"/>
      <c r="H3726" s="131"/>
      <c r="I3726" s="3"/>
    </row>
    <row r="3727" spans="1:9" s="93" customFormat="1" ht="9" customHeight="1" x14ac:dyDescent="0.3">
      <c r="A3727" s="91"/>
      <c r="B3727" s="70"/>
      <c r="C3727" s="70"/>
      <c r="D3727" s="70"/>
      <c r="E3727" s="70"/>
      <c r="F3727" s="70"/>
      <c r="G3727" s="70"/>
      <c r="H3727" s="131"/>
      <c r="I3727" s="3"/>
    </row>
    <row r="3728" spans="1:9" s="93" customFormat="1" ht="9" customHeight="1" x14ac:dyDescent="0.3">
      <c r="A3728" s="91"/>
      <c r="B3728" s="70"/>
      <c r="C3728" s="70"/>
      <c r="D3728" s="70"/>
      <c r="E3728" s="70"/>
      <c r="F3728" s="70"/>
      <c r="G3728" s="70"/>
      <c r="H3728" s="131"/>
      <c r="I3728" s="3"/>
    </row>
    <row r="3729" spans="1:9" s="93" customFormat="1" ht="9" customHeight="1" x14ac:dyDescent="0.3">
      <c r="A3729" s="91"/>
      <c r="B3729" s="70"/>
      <c r="C3729" s="70"/>
      <c r="D3729" s="70"/>
      <c r="E3729" s="70"/>
      <c r="F3729" s="70"/>
      <c r="G3729" s="70"/>
      <c r="H3729" s="131"/>
      <c r="I3729" s="3"/>
    </row>
    <row r="3730" spans="1:9" s="93" customFormat="1" ht="9" customHeight="1" x14ac:dyDescent="0.3">
      <c r="A3730" s="91"/>
      <c r="B3730" s="70"/>
      <c r="C3730" s="70"/>
      <c r="D3730" s="70"/>
      <c r="E3730" s="70"/>
      <c r="F3730" s="70"/>
      <c r="G3730" s="70"/>
      <c r="H3730" s="131"/>
      <c r="I3730" s="3"/>
    </row>
    <row r="3731" spans="1:9" s="93" customFormat="1" ht="9" customHeight="1" x14ac:dyDescent="0.3">
      <c r="A3731" s="91"/>
      <c r="B3731" s="70"/>
      <c r="C3731" s="70"/>
      <c r="D3731" s="70"/>
      <c r="E3731" s="70"/>
      <c r="F3731" s="70"/>
      <c r="G3731" s="70"/>
      <c r="H3731" s="131"/>
      <c r="I3731" s="3"/>
    </row>
    <row r="3732" spans="1:9" s="93" customFormat="1" ht="9" customHeight="1" x14ac:dyDescent="0.3">
      <c r="A3732" s="91"/>
      <c r="B3732" s="70"/>
      <c r="C3732" s="70"/>
      <c r="D3732" s="70"/>
      <c r="E3732" s="70"/>
      <c r="F3732" s="70"/>
      <c r="G3732" s="70"/>
      <c r="H3732" s="131"/>
      <c r="I3732" s="3"/>
    </row>
    <row r="3733" spans="1:9" s="93" customFormat="1" ht="9" customHeight="1" x14ac:dyDescent="0.3">
      <c r="A3733" s="91"/>
      <c r="B3733" s="70"/>
      <c r="C3733" s="70"/>
      <c r="D3733" s="70"/>
      <c r="E3733" s="70"/>
      <c r="F3733" s="70"/>
      <c r="G3733" s="70"/>
      <c r="H3733" s="131"/>
      <c r="I3733" s="3"/>
    </row>
    <row r="3734" spans="1:9" s="93" customFormat="1" ht="9" customHeight="1" x14ac:dyDescent="0.3">
      <c r="A3734" s="91"/>
      <c r="B3734" s="70"/>
      <c r="C3734" s="70"/>
      <c r="D3734" s="70"/>
      <c r="E3734" s="70"/>
      <c r="F3734" s="70"/>
      <c r="G3734" s="70"/>
      <c r="H3734" s="131"/>
      <c r="I3734" s="3"/>
    </row>
    <row r="3735" spans="1:9" s="93" customFormat="1" ht="9" customHeight="1" x14ac:dyDescent="0.3">
      <c r="A3735" s="91"/>
      <c r="B3735" s="70"/>
      <c r="C3735" s="70"/>
      <c r="D3735" s="70"/>
      <c r="E3735" s="70"/>
      <c r="F3735" s="70"/>
      <c r="G3735" s="70"/>
      <c r="H3735" s="131"/>
      <c r="I3735" s="3"/>
    </row>
    <row r="3736" spans="1:9" s="93" customFormat="1" ht="9" customHeight="1" x14ac:dyDescent="0.3">
      <c r="A3736" s="91"/>
      <c r="B3736" s="70"/>
      <c r="C3736" s="70"/>
      <c r="D3736" s="70"/>
      <c r="E3736" s="70"/>
      <c r="F3736" s="70"/>
      <c r="G3736" s="70"/>
      <c r="H3736" s="131"/>
      <c r="I3736" s="3"/>
    </row>
    <row r="3737" spans="1:9" s="93" customFormat="1" ht="9" customHeight="1" x14ac:dyDescent="0.3">
      <c r="A3737" s="91"/>
      <c r="B3737" s="70"/>
      <c r="C3737" s="70"/>
      <c r="D3737" s="70"/>
      <c r="E3737" s="70"/>
      <c r="F3737" s="70"/>
      <c r="G3737" s="70"/>
      <c r="H3737" s="131"/>
      <c r="I3737" s="3"/>
    </row>
    <row r="3738" spans="1:9" s="93" customFormat="1" ht="9" customHeight="1" x14ac:dyDescent="0.3">
      <c r="A3738" s="91"/>
      <c r="B3738" s="70"/>
      <c r="C3738" s="70"/>
      <c r="D3738" s="70"/>
      <c r="E3738" s="70"/>
      <c r="F3738" s="70"/>
      <c r="G3738" s="70"/>
      <c r="H3738" s="131"/>
      <c r="I3738" s="3"/>
    </row>
    <row r="3739" spans="1:9" s="93" customFormat="1" ht="9" customHeight="1" x14ac:dyDescent="0.3">
      <c r="A3739" s="91"/>
      <c r="B3739" s="70"/>
      <c r="C3739" s="70"/>
      <c r="D3739" s="70"/>
      <c r="E3739" s="70"/>
      <c r="F3739" s="70"/>
      <c r="G3739" s="70"/>
      <c r="H3739" s="131"/>
      <c r="I3739" s="3"/>
    </row>
    <row r="3740" spans="1:9" s="93" customFormat="1" ht="9" customHeight="1" x14ac:dyDescent="0.3">
      <c r="A3740" s="91"/>
      <c r="B3740" s="70"/>
      <c r="C3740" s="70"/>
      <c r="D3740" s="70"/>
      <c r="E3740" s="70"/>
      <c r="F3740" s="70"/>
      <c r="G3740" s="70"/>
      <c r="H3740" s="131"/>
      <c r="I3740" s="3"/>
    </row>
    <row r="3741" spans="1:9" s="93" customFormat="1" ht="9" customHeight="1" x14ac:dyDescent="0.3">
      <c r="A3741" s="91"/>
      <c r="B3741" s="70"/>
      <c r="C3741" s="70"/>
      <c r="D3741" s="70"/>
      <c r="E3741" s="70"/>
      <c r="F3741" s="70"/>
      <c r="G3741" s="70"/>
      <c r="H3741" s="131"/>
      <c r="I3741" s="3"/>
    </row>
    <row r="3742" spans="1:9" s="93" customFormat="1" ht="9" customHeight="1" x14ac:dyDescent="0.3">
      <c r="A3742" s="91"/>
      <c r="B3742" s="70"/>
      <c r="C3742" s="70"/>
      <c r="D3742" s="70"/>
      <c r="E3742" s="70"/>
      <c r="F3742" s="70"/>
      <c r="G3742" s="70"/>
      <c r="H3742" s="131"/>
      <c r="I3742" s="3"/>
    </row>
    <row r="3743" spans="1:9" s="93" customFormat="1" ht="9" customHeight="1" x14ac:dyDescent="0.3">
      <c r="A3743" s="91"/>
      <c r="B3743" s="70"/>
      <c r="C3743" s="70"/>
      <c r="D3743" s="70"/>
      <c r="E3743" s="70"/>
      <c r="F3743" s="70"/>
      <c r="G3743" s="70"/>
      <c r="H3743" s="131"/>
      <c r="I3743" s="3"/>
    </row>
    <row r="3744" spans="1:9" s="93" customFormat="1" ht="9" customHeight="1" x14ac:dyDescent="0.3">
      <c r="A3744" s="91"/>
      <c r="B3744" s="70"/>
      <c r="C3744" s="70"/>
      <c r="D3744" s="70"/>
      <c r="E3744" s="70"/>
      <c r="F3744" s="70"/>
      <c r="G3744" s="70"/>
      <c r="H3744" s="131"/>
      <c r="I3744" s="3"/>
    </row>
    <row r="3745" spans="1:9" s="93" customFormat="1" ht="9" customHeight="1" x14ac:dyDescent="0.3">
      <c r="A3745" s="91"/>
      <c r="B3745" s="70"/>
      <c r="C3745" s="70"/>
      <c r="D3745" s="70"/>
      <c r="E3745" s="70"/>
      <c r="F3745" s="70"/>
      <c r="G3745" s="70"/>
      <c r="H3745" s="131"/>
      <c r="I3745" s="3"/>
    </row>
    <row r="3746" spans="1:9" s="93" customFormat="1" ht="9" customHeight="1" x14ac:dyDescent="0.3">
      <c r="A3746" s="91"/>
      <c r="B3746" s="70"/>
      <c r="C3746" s="70"/>
      <c r="D3746" s="70"/>
      <c r="E3746" s="70"/>
      <c r="F3746" s="70"/>
      <c r="G3746" s="70"/>
      <c r="H3746" s="131"/>
      <c r="I3746" s="3"/>
    </row>
    <row r="3747" spans="1:9" s="93" customFormat="1" ht="9" customHeight="1" x14ac:dyDescent="0.3">
      <c r="A3747" s="91"/>
      <c r="B3747" s="70"/>
      <c r="C3747" s="70"/>
      <c r="D3747" s="70"/>
      <c r="E3747" s="70"/>
      <c r="F3747" s="70"/>
      <c r="G3747" s="70"/>
      <c r="H3747" s="131"/>
      <c r="I3747" s="3"/>
    </row>
    <row r="3748" spans="1:9" s="93" customFormat="1" ht="9" customHeight="1" x14ac:dyDescent="0.3">
      <c r="A3748" s="91"/>
      <c r="B3748" s="70"/>
      <c r="C3748" s="70"/>
      <c r="D3748" s="70"/>
      <c r="E3748" s="70"/>
      <c r="F3748" s="70"/>
      <c r="G3748" s="70"/>
      <c r="H3748" s="131"/>
      <c r="I3748" s="3"/>
    </row>
    <row r="3749" spans="1:9" s="93" customFormat="1" ht="9" customHeight="1" x14ac:dyDescent="0.3">
      <c r="A3749" s="91"/>
      <c r="B3749" s="70"/>
      <c r="C3749" s="70"/>
      <c r="D3749" s="70"/>
      <c r="E3749" s="70"/>
      <c r="F3749" s="70"/>
      <c r="G3749" s="70"/>
      <c r="H3749" s="131"/>
      <c r="I3749" s="3"/>
    </row>
    <row r="3750" spans="1:9" s="93" customFormat="1" ht="9" customHeight="1" x14ac:dyDescent="0.3">
      <c r="A3750" s="91"/>
      <c r="B3750" s="70"/>
      <c r="C3750" s="70"/>
      <c r="D3750" s="70"/>
      <c r="E3750" s="70"/>
      <c r="F3750" s="70"/>
      <c r="G3750" s="70"/>
      <c r="H3750" s="131"/>
      <c r="I3750" s="3"/>
    </row>
    <row r="3751" spans="1:9" s="93" customFormat="1" ht="9" customHeight="1" x14ac:dyDescent="0.3">
      <c r="A3751" s="91"/>
      <c r="B3751" s="70"/>
      <c r="C3751" s="70"/>
      <c r="D3751" s="70"/>
      <c r="E3751" s="70"/>
      <c r="F3751" s="70"/>
      <c r="G3751" s="70"/>
      <c r="H3751" s="131"/>
      <c r="I3751" s="3"/>
    </row>
    <row r="3752" spans="1:9" s="93" customFormat="1" ht="9" customHeight="1" x14ac:dyDescent="0.3">
      <c r="A3752" s="91"/>
      <c r="B3752" s="70"/>
      <c r="C3752" s="70"/>
      <c r="D3752" s="70"/>
      <c r="E3752" s="70"/>
      <c r="F3752" s="70"/>
      <c r="G3752" s="70"/>
      <c r="H3752" s="131"/>
      <c r="I3752" s="3"/>
    </row>
    <row r="3753" spans="1:9" s="93" customFormat="1" ht="9" customHeight="1" x14ac:dyDescent="0.3">
      <c r="A3753" s="91"/>
      <c r="B3753" s="70"/>
      <c r="C3753" s="70"/>
      <c r="D3753" s="70"/>
      <c r="E3753" s="70"/>
      <c r="F3753" s="70"/>
      <c r="G3753" s="70"/>
      <c r="H3753" s="131"/>
      <c r="I3753" s="3"/>
    </row>
    <row r="3754" spans="1:9" s="93" customFormat="1" ht="9" customHeight="1" x14ac:dyDescent="0.3">
      <c r="A3754" s="91"/>
      <c r="B3754" s="70"/>
      <c r="C3754" s="70"/>
      <c r="D3754" s="70"/>
      <c r="E3754" s="70"/>
      <c r="F3754" s="70"/>
      <c r="G3754" s="70"/>
      <c r="H3754" s="131"/>
      <c r="I3754" s="3"/>
    </row>
    <row r="3755" spans="1:9" s="93" customFormat="1" ht="9" customHeight="1" x14ac:dyDescent="0.3">
      <c r="A3755" s="91"/>
      <c r="B3755" s="70"/>
      <c r="C3755" s="70"/>
      <c r="D3755" s="70"/>
      <c r="E3755" s="70"/>
      <c r="F3755" s="70"/>
      <c r="G3755" s="70"/>
      <c r="H3755" s="131"/>
      <c r="I3755" s="3"/>
    </row>
    <row r="3756" spans="1:9" s="93" customFormat="1" ht="9" customHeight="1" x14ac:dyDescent="0.3">
      <c r="A3756" s="91"/>
      <c r="B3756" s="70"/>
      <c r="C3756" s="70"/>
      <c r="D3756" s="70"/>
      <c r="E3756" s="70"/>
      <c r="F3756" s="70"/>
      <c r="G3756" s="70"/>
      <c r="H3756" s="131"/>
      <c r="I3756" s="3"/>
    </row>
    <row r="3757" spans="1:9" s="93" customFormat="1" ht="9" customHeight="1" x14ac:dyDescent="0.3">
      <c r="A3757" s="91"/>
      <c r="B3757" s="70"/>
      <c r="C3757" s="70"/>
      <c r="D3757" s="70"/>
      <c r="E3757" s="70"/>
      <c r="F3757" s="70"/>
      <c r="G3757" s="70"/>
      <c r="H3757" s="131"/>
      <c r="I3757" s="3"/>
    </row>
    <row r="3758" spans="1:9" s="93" customFormat="1" ht="9" customHeight="1" x14ac:dyDescent="0.3">
      <c r="A3758" s="91"/>
      <c r="B3758" s="70"/>
      <c r="C3758" s="70"/>
      <c r="D3758" s="70"/>
      <c r="E3758" s="70"/>
      <c r="F3758" s="70"/>
      <c r="G3758" s="70"/>
      <c r="H3758" s="131"/>
      <c r="I3758" s="3"/>
    </row>
    <row r="3759" spans="1:9" s="93" customFormat="1" ht="9" customHeight="1" x14ac:dyDescent="0.3">
      <c r="A3759" s="91"/>
      <c r="B3759" s="70"/>
      <c r="C3759" s="70"/>
      <c r="D3759" s="70"/>
      <c r="E3759" s="70"/>
      <c r="F3759" s="70"/>
      <c r="G3759" s="70"/>
      <c r="H3759" s="131"/>
      <c r="I3759" s="3"/>
    </row>
    <row r="3760" spans="1:9" s="93" customFormat="1" ht="9" customHeight="1" x14ac:dyDescent="0.3">
      <c r="A3760" s="91"/>
      <c r="B3760" s="70"/>
      <c r="C3760" s="70"/>
      <c r="D3760" s="70"/>
      <c r="E3760" s="70"/>
      <c r="F3760" s="70"/>
      <c r="G3760" s="70"/>
      <c r="H3760" s="131"/>
      <c r="I3760" s="3"/>
    </row>
    <row r="3761" spans="1:9" s="93" customFormat="1" ht="9" customHeight="1" x14ac:dyDescent="0.3">
      <c r="A3761" s="91"/>
      <c r="B3761" s="70"/>
      <c r="C3761" s="70"/>
      <c r="D3761" s="70"/>
      <c r="E3761" s="70"/>
      <c r="F3761" s="70"/>
      <c r="G3761" s="70"/>
      <c r="H3761" s="131"/>
      <c r="I3761" s="3"/>
    </row>
    <row r="3762" spans="1:9" s="93" customFormat="1" ht="9" customHeight="1" x14ac:dyDescent="0.3">
      <c r="A3762" s="91"/>
      <c r="B3762" s="70"/>
      <c r="C3762" s="70"/>
      <c r="D3762" s="70"/>
      <c r="E3762" s="70"/>
      <c r="F3762" s="70"/>
      <c r="G3762" s="70"/>
      <c r="H3762" s="131"/>
      <c r="I3762" s="3"/>
    </row>
    <row r="3763" spans="1:9" s="93" customFormat="1" ht="9" customHeight="1" x14ac:dyDescent="0.3">
      <c r="A3763" s="91"/>
      <c r="B3763" s="70"/>
      <c r="C3763" s="70"/>
      <c r="D3763" s="70"/>
      <c r="E3763" s="70"/>
      <c r="F3763" s="70"/>
      <c r="G3763" s="70"/>
      <c r="H3763" s="131"/>
      <c r="I3763" s="3"/>
    </row>
    <row r="3764" spans="1:9" s="93" customFormat="1" ht="9" customHeight="1" x14ac:dyDescent="0.3">
      <c r="A3764" s="91"/>
      <c r="B3764" s="70"/>
      <c r="C3764" s="70"/>
      <c r="D3764" s="70"/>
      <c r="E3764" s="70"/>
      <c r="F3764" s="70"/>
      <c r="G3764" s="70"/>
      <c r="H3764" s="131"/>
      <c r="I3764" s="3"/>
    </row>
    <row r="3765" spans="1:9" s="93" customFormat="1" ht="9" customHeight="1" x14ac:dyDescent="0.3">
      <c r="A3765" s="91"/>
      <c r="B3765" s="70"/>
      <c r="C3765" s="70"/>
      <c r="D3765" s="70"/>
      <c r="E3765" s="70"/>
      <c r="F3765" s="70"/>
      <c r="G3765" s="70"/>
      <c r="H3765" s="131"/>
      <c r="I3765" s="3"/>
    </row>
    <row r="3766" spans="1:9" s="93" customFormat="1" ht="9" customHeight="1" x14ac:dyDescent="0.3">
      <c r="A3766" s="91"/>
      <c r="B3766" s="70"/>
      <c r="C3766" s="70"/>
      <c r="D3766" s="70"/>
      <c r="E3766" s="70"/>
      <c r="F3766" s="70"/>
      <c r="G3766" s="70"/>
      <c r="H3766" s="131"/>
      <c r="I3766" s="3"/>
    </row>
    <row r="3767" spans="1:9" s="93" customFormat="1" ht="9" customHeight="1" x14ac:dyDescent="0.3">
      <c r="A3767" s="91"/>
      <c r="B3767" s="70"/>
      <c r="C3767" s="70"/>
      <c r="D3767" s="70"/>
      <c r="E3767" s="70"/>
      <c r="F3767" s="70"/>
      <c r="G3767" s="70"/>
      <c r="H3767" s="131"/>
      <c r="I3767" s="3"/>
    </row>
    <row r="3768" spans="1:9" s="93" customFormat="1" ht="9" customHeight="1" x14ac:dyDescent="0.3">
      <c r="A3768" s="91"/>
      <c r="B3768" s="70"/>
      <c r="C3768" s="70"/>
      <c r="D3768" s="70"/>
      <c r="E3768" s="70"/>
      <c r="F3768" s="70"/>
      <c r="G3768" s="70"/>
      <c r="H3768" s="131"/>
      <c r="I3768" s="3"/>
    </row>
    <row r="3769" spans="1:9" s="93" customFormat="1" ht="9" customHeight="1" x14ac:dyDescent="0.3">
      <c r="A3769" s="91"/>
      <c r="B3769" s="70"/>
      <c r="C3769" s="70"/>
      <c r="D3769" s="70"/>
      <c r="E3769" s="70"/>
      <c r="F3769" s="70"/>
      <c r="G3769" s="70"/>
      <c r="H3769" s="131"/>
      <c r="I3769" s="3"/>
    </row>
    <row r="3770" spans="1:9" s="93" customFormat="1" ht="9" customHeight="1" x14ac:dyDescent="0.3">
      <c r="A3770" s="91"/>
      <c r="B3770" s="70"/>
      <c r="C3770" s="70"/>
      <c r="D3770" s="70"/>
      <c r="E3770" s="70"/>
      <c r="F3770" s="70"/>
      <c r="G3770" s="70"/>
      <c r="H3770" s="131"/>
      <c r="I3770" s="3"/>
    </row>
    <row r="3771" spans="1:9" s="93" customFormat="1" ht="9" customHeight="1" x14ac:dyDescent="0.3">
      <c r="A3771" s="91"/>
      <c r="B3771" s="70"/>
      <c r="C3771" s="70"/>
      <c r="D3771" s="70"/>
      <c r="E3771" s="70"/>
      <c r="F3771" s="70"/>
      <c r="G3771" s="70"/>
      <c r="H3771" s="131"/>
      <c r="I3771" s="3"/>
    </row>
    <row r="3772" spans="1:9" s="93" customFormat="1" ht="9" customHeight="1" x14ac:dyDescent="0.3">
      <c r="A3772" s="91"/>
      <c r="B3772" s="70"/>
      <c r="C3772" s="70"/>
      <c r="D3772" s="70"/>
      <c r="E3772" s="70"/>
      <c r="F3772" s="70"/>
      <c r="G3772" s="70"/>
      <c r="H3772" s="131"/>
      <c r="I3772" s="3"/>
    </row>
    <row r="3773" spans="1:9" s="93" customFormat="1" ht="9" customHeight="1" x14ac:dyDescent="0.3">
      <c r="A3773" s="91"/>
      <c r="B3773" s="70"/>
      <c r="C3773" s="70"/>
      <c r="D3773" s="70"/>
      <c r="E3773" s="70"/>
      <c r="F3773" s="70"/>
      <c r="G3773" s="70"/>
      <c r="H3773" s="131"/>
      <c r="I3773" s="3"/>
    </row>
    <row r="3774" spans="1:9" s="93" customFormat="1" ht="9" customHeight="1" x14ac:dyDescent="0.3">
      <c r="A3774" s="91"/>
      <c r="B3774" s="70"/>
      <c r="C3774" s="70"/>
      <c r="D3774" s="70"/>
      <c r="E3774" s="70"/>
      <c r="F3774" s="70"/>
      <c r="G3774" s="70"/>
      <c r="H3774" s="131"/>
      <c r="I3774" s="3"/>
    </row>
    <row r="3775" spans="1:9" s="93" customFormat="1" ht="9" customHeight="1" x14ac:dyDescent="0.3">
      <c r="A3775" s="91"/>
      <c r="B3775" s="70"/>
      <c r="C3775" s="70"/>
      <c r="D3775" s="70"/>
      <c r="E3775" s="70"/>
      <c r="F3775" s="70"/>
      <c r="G3775" s="70"/>
      <c r="H3775" s="131"/>
      <c r="I3775" s="3"/>
    </row>
    <row r="3776" spans="1:9" s="93" customFormat="1" ht="9" customHeight="1" x14ac:dyDescent="0.3">
      <c r="A3776" s="91"/>
      <c r="B3776" s="70"/>
      <c r="C3776" s="70"/>
      <c r="D3776" s="70"/>
      <c r="E3776" s="70"/>
      <c r="F3776" s="70"/>
      <c r="G3776" s="70"/>
      <c r="H3776" s="131"/>
      <c r="I3776" s="3"/>
    </row>
    <row r="3777" spans="1:9" s="93" customFormat="1" ht="9" customHeight="1" x14ac:dyDescent="0.3">
      <c r="A3777" s="91"/>
      <c r="B3777" s="70"/>
      <c r="C3777" s="70"/>
      <c r="D3777" s="70"/>
      <c r="E3777" s="70"/>
      <c r="F3777" s="70"/>
      <c r="G3777" s="70"/>
      <c r="H3777" s="131"/>
      <c r="I3777" s="3"/>
    </row>
    <row r="3778" spans="1:9" s="93" customFormat="1" ht="9" customHeight="1" x14ac:dyDescent="0.3">
      <c r="A3778" s="91"/>
      <c r="B3778" s="70"/>
      <c r="C3778" s="70"/>
      <c r="D3778" s="70"/>
      <c r="E3778" s="70"/>
      <c r="F3778" s="70"/>
      <c r="G3778" s="70"/>
      <c r="H3778" s="131"/>
      <c r="I3778" s="3"/>
    </row>
    <row r="3779" spans="1:9" s="93" customFormat="1" ht="9" customHeight="1" x14ac:dyDescent="0.3">
      <c r="A3779" s="91"/>
      <c r="B3779" s="70"/>
      <c r="C3779" s="70"/>
      <c r="D3779" s="70"/>
      <c r="E3779" s="70"/>
      <c r="F3779" s="70"/>
      <c r="G3779" s="70"/>
      <c r="H3779" s="131"/>
      <c r="I3779" s="3"/>
    </row>
    <row r="3780" spans="1:9" s="93" customFormat="1" ht="9" customHeight="1" x14ac:dyDescent="0.3">
      <c r="A3780" s="91"/>
      <c r="B3780" s="70"/>
      <c r="C3780" s="70"/>
      <c r="D3780" s="70"/>
      <c r="E3780" s="70"/>
      <c r="F3780" s="70"/>
      <c r="G3780" s="70"/>
      <c r="H3780" s="131"/>
      <c r="I3780" s="3"/>
    </row>
    <row r="3781" spans="1:9" s="93" customFormat="1" ht="9" customHeight="1" x14ac:dyDescent="0.3">
      <c r="A3781" s="91"/>
      <c r="B3781" s="70"/>
      <c r="C3781" s="70"/>
      <c r="D3781" s="70"/>
      <c r="E3781" s="70"/>
      <c r="F3781" s="70"/>
      <c r="G3781" s="70"/>
      <c r="H3781" s="131"/>
      <c r="I3781" s="3"/>
    </row>
    <row r="3782" spans="1:9" s="93" customFormat="1" ht="9" customHeight="1" x14ac:dyDescent="0.3">
      <c r="A3782" s="91"/>
      <c r="B3782" s="70"/>
      <c r="C3782" s="70"/>
      <c r="D3782" s="70"/>
      <c r="E3782" s="70"/>
      <c r="F3782" s="70"/>
      <c r="G3782" s="70"/>
      <c r="H3782" s="131"/>
      <c r="I3782" s="3"/>
    </row>
    <row r="3783" spans="1:9" s="93" customFormat="1" ht="9" customHeight="1" x14ac:dyDescent="0.3">
      <c r="A3783" s="91"/>
      <c r="B3783" s="70"/>
      <c r="C3783" s="70"/>
      <c r="D3783" s="70"/>
      <c r="E3783" s="70"/>
      <c r="F3783" s="70"/>
      <c r="G3783" s="70"/>
      <c r="H3783" s="131"/>
      <c r="I3783" s="3"/>
    </row>
    <row r="3784" spans="1:9" s="93" customFormat="1" ht="9" customHeight="1" x14ac:dyDescent="0.3">
      <c r="A3784" s="91"/>
      <c r="B3784" s="70"/>
      <c r="C3784" s="70"/>
      <c r="D3784" s="70"/>
      <c r="E3784" s="70"/>
      <c r="F3784" s="70"/>
      <c r="G3784" s="70"/>
      <c r="H3784" s="131"/>
      <c r="I3784" s="3"/>
    </row>
    <row r="3785" spans="1:9" s="93" customFormat="1" ht="9" customHeight="1" x14ac:dyDescent="0.3">
      <c r="A3785" s="91"/>
      <c r="B3785" s="70"/>
      <c r="C3785" s="70"/>
      <c r="D3785" s="70"/>
      <c r="E3785" s="70"/>
      <c r="F3785" s="70"/>
      <c r="G3785" s="70"/>
      <c r="H3785" s="131"/>
      <c r="I3785" s="3"/>
    </row>
    <row r="3786" spans="1:9" s="93" customFormat="1" ht="9" customHeight="1" x14ac:dyDescent="0.3">
      <c r="A3786" s="91"/>
      <c r="B3786" s="70"/>
      <c r="C3786" s="70"/>
      <c r="D3786" s="70"/>
      <c r="E3786" s="70"/>
      <c r="F3786" s="70"/>
      <c r="G3786" s="70"/>
      <c r="H3786" s="131"/>
      <c r="I3786" s="3"/>
    </row>
    <row r="3787" spans="1:9" s="93" customFormat="1" ht="9" customHeight="1" x14ac:dyDescent="0.3">
      <c r="A3787" s="91"/>
      <c r="B3787" s="70"/>
      <c r="C3787" s="70"/>
      <c r="D3787" s="70"/>
      <c r="E3787" s="70"/>
      <c r="F3787" s="70"/>
      <c r="G3787" s="70"/>
      <c r="H3787" s="131"/>
      <c r="I3787" s="3"/>
    </row>
    <row r="3788" spans="1:9" s="93" customFormat="1" ht="9" customHeight="1" x14ac:dyDescent="0.3">
      <c r="A3788" s="91"/>
      <c r="B3788" s="70"/>
      <c r="C3788" s="70"/>
      <c r="D3788" s="70"/>
      <c r="E3788" s="70"/>
      <c r="F3788" s="70"/>
      <c r="G3788" s="70"/>
      <c r="H3788" s="131"/>
      <c r="I3788" s="3"/>
    </row>
    <row r="3789" spans="1:9" s="93" customFormat="1" ht="9" customHeight="1" x14ac:dyDescent="0.3">
      <c r="A3789" s="91"/>
      <c r="B3789" s="70"/>
      <c r="C3789" s="70"/>
      <c r="D3789" s="70"/>
      <c r="E3789" s="70"/>
      <c r="F3789" s="70"/>
      <c r="G3789" s="70"/>
      <c r="H3789" s="131"/>
      <c r="I3789" s="3"/>
    </row>
    <row r="3790" spans="1:9" s="93" customFormat="1" ht="9" customHeight="1" x14ac:dyDescent="0.3">
      <c r="A3790" s="91"/>
      <c r="B3790" s="70"/>
      <c r="C3790" s="70"/>
      <c r="D3790" s="70"/>
      <c r="E3790" s="70"/>
      <c r="F3790" s="70"/>
      <c r="G3790" s="70"/>
      <c r="H3790" s="131"/>
      <c r="I3790" s="3"/>
    </row>
    <row r="3791" spans="1:9" s="93" customFormat="1" ht="9" customHeight="1" x14ac:dyDescent="0.3">
      <c r="A3791" s="91"/>
      <c r="B3791" s="70"/>
      <c r="C3791" s="70"/>
      <c r="D3791" s="70"/>
      <c r="E3791" s="70"/>
      <c r="F3791" s="70"/>
      <c r="G3791" s="70"/>
      <c r="H3791" s="131"/>
      <c r="I3791" s="3"/>
    </row>
    <row r="3792" spans="1:9" s="93" customFormat="1" ht="9" customHeight="1" x14ac:dyDescent="0.3">
      <c r="A3792" s="91"/>
      <c r="B3792" s="70"/>
      <c r="C3792" s="70"/>
      <c r="D3792" s="70"/>
      <c r="E3792" s="70"/>
      <c r="F3792" s="70"/>
      <c r="G3792" s="70"/>
      <c r="H3792" s="131"/>
      <c r="I3792" s="3"/>
    </row>
    <row r="3793" spans="1:9" s="93" customFormat="1" ht="9" customHeight="1" x14ac:dyDescent="0.3">
      <c r="A3793" s="91"/>
      <c r="B3793" s="70"/>
      <c r="C3793" s="70"/>
      <c r="D3793" s="70"/>
      <c r="E3793" s="70"/>
      <c r="F3793" s="70"/>
      <c r="G3793" s="70"/>
      <c r="H3793" s="131"/>
      <c r="I3793" s="3"/>
    </row>
    <row r="3794" spans="1:9" s="93" customFormat="1" ht="9" customHeight="1" x14ac:dyDescent="0.3">
      <c r="A3794" s="91"/>
      <c r="B3794" s="70"/>
      <c r="C3794" s="70"/>
      <c r="D3794" s="70"/>
      <c r="E3794" s="70"/>
      <c r="F3794" s="70"/>
      <c r="G3794" s="70"/>
      <c r="H3794" s="131"/>
      <c r="I3794" s="3"/>
    </row>
    <row r="3795" spans="1:9" s="93" customFormat="1" ht="9" customHeight="1" x14ac:dyDescent="0.3">
      <c r="A3795" s="91"/>
      <c r="B3795" s="70"/>
      <c r="C3795" s="70"/>
      <c r="D3795" s="70"/>
      <c r="E3795" s="70"/>
      <c r="F3795" s="70"/>
      <c r="G3795" s="70"/>
      <c r="H3795" s="131"/>
      <c r="I3795" s="3"/>
    </row>
    <row r="3796" spans="1:9" s="93" customFormat="1" ht="9" customHeight="1" x14ac:dyDescent="0.3">
      <c r="A3796" s="91"/>
      <c r="B3796" s="70"/>
      <c r="C3796" s="70"/>
      <c r="D3796" s="70"/>
      <c r="E3796" s="70"/>
      <c r="F3796" s="70"/>
      <c r="G3796" s="70"/>
      <c r="H3796" s="131"/>
      <c r="I3796" s="3"/>
    </row>
    <row r="3797" spans="1:9" s="93" customFormat="1" ht="9" customHeight="1" x14ac:dyDescent="0.3">
      <c r="A3797" s="91"/>
      <c r="B3797" s="70"/>
      <c r="C3797" s="70"/>
      <c r="D3797" s="70"/>
      <c r="E3797" s="70"/>
      <c r="F3797" s="70"/>
      <c r="G3797" s="70"/>
      <c r="H3797" s="131"/>
      <c r="I3797" s="3"/>
    </row>
    <row r="3798" spans="1:9" s="93" customFormat="1" ht="9" customHeight="1" x14ac:dyDescent="0.3">
      <c r="A3798" s="91"/>
      <c r="B3798" s="70"/>
      <c r="C3798" s="70"/>
      <c r="D3798" s="70"/>
      <c r="E3798" s="70"/>
      <c r="F3798" s="70"/>
      <c r="G3798" s="70"/>
      <c r="H3798" s="131"/>
      <c r="I3798" s="3"/>
    </row>
    <row r="3799" spans="1:9" s="93" customFormat="1" ht="9" customHeight="1" x14ac:dyDescent="0.3">
      <c r="A3799" s="91"/>
      <c r="B3799" s="70"/>
      <c r="C3799" s="70"/>
      <c r="D3799" s="70"/>
      <c r="E3799" s="70"/>
      <c r="F3799" s="70"/>
      <c r="G3799" s="70"/>
      <c r="H3799" s="131"/>
      <c r="I3799" s="3"/>
    </row>
    <row r="3800" spans="1:9" s="93" customFormat="1" ht="9" customHeight="1" x14ac:dyDescent="0.3">
      <c r="A3800" s="91"/>
      <c r="B3800" s="70"/>
      <c r="C3800" s="70"/>
      <c r="D3800" s="70"/>
      <c r="E3800" s="70"/>
      <c r="F3800" s="70"/>
      <c r="G3800" s="70"/>
      <c r="H3800" s="131"/>
      <c r="I3800" s="3"/>
    </row>
    <row r="3801" spans="1:9" s="93" customFormat="1" ht="9" customHeight="1" x14ac:dyDescent="0.3">
      <c r="A3801" s="91"/>
      <c r="B3801" s="70"/>
      <c r="C3801" s="70"/>
      <c r="D3801" s="70"/>
      <c r="E3801" s="70"/>
      <c r="F3801" s="70"/>
      <c r="G3801" s="70"/>
      <c r="H3801" s="131"/>
      <c r="I3801" s="3"/>
    </row>
    <row r="3802" spans="1:9" s="93" customFormat="1" ht="9" customHeight="1" x14ac:dyDescent="0.3">
      <c r="A3802" s="91"/>
      <c r="B3802" s="70"/>
      <c r="C3802" s="70"/>
      <c r="D3802" s="70"/>
      <c r="E3802" s="70"/>
      <c r="F3802" s="70"/>
      <c r="G3802" s="70"/>
      <c r="H3802" s="131"/>
      <c r="I3802" s="3"/>
    </row>
    <row r="3803" spans="1:9" s="93" customFormat="1" ht="9" customHeight="1" x14ac:dyDescent="0.3">
      <c r="A3803" s="91"/>
      <c r="B3803" s="70"/>
      <c r="C3803" s="70"/>
      <c r="D3803" s="70"/>
      <c r="E3803" s="70"/>
      <c r="F3803" s="70"/>
      <c r="G3803" s="70"/>
      <c r="H3803" s="131"/>
      <c r="I3803" s="3"/>
    </row>
    <row r="3804" spans="1:9" s="93" customFormat="1" ht="9" customHeight="1" x14ac:dyDescent="0.3">
      <c r="A3804" s="91"/>
      <c r="B3804" s="70"/>
      <c r="C3804" s="70"/>
      <c r="D3804" s="70"/>
      <c r="E3804" s="70"/>
      <c r="F3804" s="70"/>
      <c r="G3804" s="70"/>
      <c r="H3804" s="131"/>
      <c r="I3804" s="3"/>
    </row>
    <row r="3805" spans="1:9" s="93" customFormat="1" ht="9" customHeight="1" x14ac:dyDescent="0.3">
      <c r="A3805" s="91"/>
      <c r="B3805" s="70"/>
      <c r="C3805" s="70"/>
      <c r="D3805" s="70"/>
      <c r="E3805" s="70"/>
      <c r="F3805" s="70"/>
      <c r="G3805" s="70"/>
      <c r="H3805" s="131"/>
      <c r="I3805" s="3"/>
    </row>
    <row r="3806" spans="1:9" s="93" customFormat="1" ht="9" customHeight="1" x14ac:dyDescent="0.3">
      <c r="A3806" s="91"/>
      <c r="B3806" s="70"/>
      <c r="C3806" s="70"/>
      <c r="D3806" s="70"/>
      <c r="E3806" s="70"/>
      <c r="F3806" s="70"/>
      <c r="G3806" s="70"/>
      <c r="H3806" s="131"/>
      <c r="I3806" s="3"/>
    </row>
    <row r="3807" spans="1:9" s="93" customFormat="1" ht="9" customHeight="1" x14ac:dyDescent="0.3">
      <c r="A3807" s="91"/>
      <c r="B3807" s="70"/>
      <c r="C3807" s="70"/>
      <c r="D3807" s="70"/>
      <c r="E3807" s="70"/>
      <c r="F3807" s="70"/>
      <c r="G3807" s="70"/>
      <c r="H3807" s="131"/>
      <c r="I3807" s="3"/>
    </row>
    <row r="3808" spans="1:9" s="93" customFormat="1" ht="9" customHeight="1" x14ac:dyDescent="0.3">
      <c r="A3808" s="91"/>
      <c r="B3808" s="70"/>
      <c r="C3808" s="70"/>
      <c r="D3808" s="70"/>
      <c r="E3808" s="70"/>
      <c r="F3808" s="70"/>
      <c r="G3808" s="70"/>
      <c r="H3808" s="131"/>
      <c r="I3808" s="3"/>
    </row>
    <row r="3809" spans="1:9" s="93" customFormat="1" ht="9" customHeight="1" x14ac:dyDescent="0.3">
      <c r="A3809" s="91"/>
      <c r="B3809" s="70"/>
      <c r="C3809" s="70"/>
      <c r="D3809" s="70"/>
      <c r="E3809" s="70"/>
      <c r="F3809" s="70"/>
      <c r="G3809" s="70"/>
      <c r="H3809" s="131"/>
      <c r="I3809" s="3"/>
    </row>
    <row r="3810" spans="1:9" s="93" customFormat="1" ht="9" customHeight="1" x14ac:dyDescent="0.3">
      <c r="A3810" s="91"/>
      <c r="B3810" s="70"/>
      <c r="C3810" s="70"/>
      <c r="D3810" s="70"/>
      <c r="E3810" s="70"/>
      <c r="F3810" s="70"/>
      <c r="G3810" s="70"/>
      <c r="H3810" s="131"/>
      <c r="I3810" s="3"/>
    </row>
    <row r="3811" spans="1:9" s="93" customFormat="1" ht="9" customHeight="1" x14ac:dyDescent="0.3">
      <c r="A3811" s="91"/>
      <c r="B3811" s="70"/>
      <c r="C3811" s="70"/>
      <c r="D3811" s="70"/>
      <c r="E3811" s="70"/>
      <c r="F3811" s="70"/>
      <c r="G3811" s="70"/>
      <c r="H3811" s="131"/>
      <c r="I3811" s="3"/>
    </row>
    <row r="3812" spans="1:9" s="93" customFormat="1" ht="9" customHeight="1" x14ac:dyDescent="0.3">
      <c r="A3812" s="91"/>
      <c r="B3812" s="70"/>
      <c r="C3812" s="70"/>
      <c r="D3812" s="70"/>
      <c r="E3812" s="70"/>
      <c r="F3812" s="70"/>
      <c r="G3812" s="70"/>
      <c r="H3812" s="131"/>
      <c r="I3812" s="3"/>
    </row>
    <row r="3813" spans="1:9" s="93" customFormat="1" ht="9" customHeight="1" x14ac:dyDescent="0.3">
      <c r="A3813" s="91"/>
      <c r="B3813" s="70"/>
      <c r="C3813" s="70"/>
      <c r="D3813" s="70"/>
      <c r="E3813" s="70"/>
      <c r="F3813" s="70"/>
      <c r="G3813" s="70"/>
      <c r="H3813" s="131"/>
      <c r="I3813" s="3"/>
    </row>
    <row r="3814" spans="1:9" s="93" customFormat="1" ht="9" customHeight="1" x14ac:dyDescent="0.3">
      <c r="A3814" s="91"/>
      <c r="B3814" s="70"/>
      <c r="C3814" s="70"/>
      <c r="D3814" s="70"/>
      <c r="E3814" s="70"/>
      <c r="F3814" s="70"/>
      <c r="G3814" s="70"/>
      <c r="H3814" s="131"/>
      <c r="I3814" s="3"/>
    </row>
    <row r="3815" spans="1:9" s="93" customFormat="1" ht="9" customHeight="1" x14ac:dyDescent="0.3">
      <c r="A3815" s="91"/>
      <c r="B3815" s="70"/>
      <c r="C3815" s="70"/>
      <c r="D3815" s="70"/>
      <c r="E3815" s="70"/>
      <c r="F3815" s="70"/>
      <c r="G3815" s="70"/>
      <c r="H3815" s="131"/>
      <c r="I3815" s="3"/>
    </row>
    <row r="3816" spans="1:9" s="93" customFormat="1" ht="9" customHeight="1" x14ac:dyDescent="0.3">
      <c r="A3816" s="91"/>
      <c r="B3816" s="70"/>
      <c r="C3816" s="70"/>
      <c r="D3816" s="70"/>
      <c r="E3816" s="70"/>
      <c r="F3816" s="70"/>
      <c r="G3816" s="70"/>
      <c r="H3816" s="131"/>
      <c r="I3816" s="3"/>
    </row>
    <row r="3817" spans="1:9" s="93" customFormat="1" ht="9" customHeight="1" x14ac:dyDescent="0.3">
      <c r="A3817" s="91"/>
      <c r="B3817" s="70"/>
      <c r="C3817" s="70"/>
      <c r="D3817" s="70"/>
      <c r="E3817" s="70"/>
      <c r="F3817" s="70"/>
      <c r="G3817" s="70"/>
      <c r="H3817" s="131"/>
      <c r="I3817" s="3"/>
    </row>
    <row r="3818" spans="1:9" s="93" customFormat="1" ht="9" customHeight="1" x14ac:dyDescent="0.3">
      <c r="A3818" s="91"/>
      <c r="B3818" s="70"/>
      <c r="C3818" s="70"/>
      <c r="D3818" s="70"/>
      <c r="E3818" s="70"/>
      <c r="F3818" s="70"/>
      <c r="G3818" s="70"/>
      <c r="H3818" s="131"/>
      <c r="I3818" s="3"/>
    </row>
    <row r="3819" spans="1:9" s="93" customFormat="1" ht="9" customHeight="1" x14ac:dyDescent="0.3">
      <c r="A3819" s="91"/>
      <c r="B3819" s="70"/>
      <c r="C3819" s="70"/>
      <c r="D3819" s="70"/>
      <c r="E3819" s="70"/>
      <c r="F3819" s="70"/>
      <c r="G3819" s="70"/>
      <c r="H3819" s="131"/>
      <c r="I3819" s="3"/>
    </row>
    <row r="3820" spans="1:9" s="93" customFormat="1" ht="9" customHeight="1" x14ac:dyDescent="0.3">
      <c r="A3820" s="91"/>
      <c r="B3820" s="70"/>
      <c r="C3820" s="70"/>
      <c r="D3820" s="70"/>
      <c r="E3820" s="70"/>
      <c r="F3820" s="70"/>
      <c r="G3820" s="70"/>
      <c r="H3820" s="131"/>
      <c r="I3820" s="3"/>
    </row>
    <row r="3821" spans="1:9" s="93" customFormat="1" ht="9" customHeight="1" x14ac:dyDescent="0.3">
      <c r="A3821" s="91"/>
      <c r="B3821" s="70"/>
      <c r="C3821" s="70"/>
      <c r="D3821" s="70"/>
      <c r="E3821" s="70"/>
      <c r="F3821" s="70"/>
      <c r="G3821" s="70"/>
      <c r="H3821" s="131"/>
      <c r="I3821" s="3"/>
    </row>
    <row r="3822" spans="1:9" s="93" customFormat="1" ht="9" customHeight="1" x14ac:dyDescent="0.3">
      <c r="A3822" s="91"/>
      <c r="B3822" s="70"/>
      <c r="C3822" s="70"/>
      <c r="D3822" s="70"/>
      <c r="E3822" s="70"/>
      <c r="F3822" s="70"/>
      <c r="G3822" s="70"/>
      <c r="H3822" s="131"/>
      <c r="I3822" s="3"/>
    </row>
    <row r="3823" spans="1:9" s="93" customFormat="1" ht="9" customHeight="1" x14ac:dyDescent="0.3">
      <c r="A3823" s="91"/>
      <c r="B3823" s="70"/>
      <c r="C3823" s="70"/>
      <c r="D3823" s="70"/>
      <c r="E3823" s="70"/>
      <c r="F3823" s="70"/>
      <c r="G3823" s="70"/>
      <c r="H3823" s="131"/>
      <c r="I3823" s="3"/>
    </row>
    <row r="3824" spans="1:9" s="93" customFormat="1" ht="9" customHeight="1" x14ac:dyDescent="0.3">
      <c r="A3824" s="91"/>
      <c r="B3824" s="70"/>
      <c r="C3824" s="70"/>
      <c r="D3824" s="70"/>
      <c r="E3824" s="70"/>
      <c r="F3824" s="70"/>
      <c r="G3824" s="70"/>
      <c r="H3824" s="131"/>
      <c r="I3824" s="3"/>
    </row>
    <row r="3825" spans="1:9" s="93" customFormat="1" ht="9" customHeight="1" x14ac:dyDescent="0.3">
      <c r="A3825" s="91"/>
      <c r="B3825" s="70"/>
      <c r="C3825" s="70"/>
      <c r="D3825" s="70"/>
      <c r="E3825" s="70"/>
      <c r="F3825" s="70"/>
      <c r="G3825" s="70"/>
      <c r="H3825" s="131"/>
      <c r="I3825" s="3"/>
    </row>
    <row r="3826" spans="1:9" s="93" customFormat="1" ht="9" customHeight="1" x14ac:dyDescent="0.3">
      <c r="A3826" s="91"/>
      <c r="B3826" s="70"/>
      <c r="C3826" s="70"/>
      <c r="D3826" s="70"/>
      <c r="E3826" s="70"/>
      <c r="F3826" s="70"/>
      <c r="G3826" s="70"/>
      <c r="H3826" s="131"/>
      <c r="I3826" s="3"/>
    </row>
    <row r="3827" spans="1:9" s="93" customFormat="1" ht="9" customHeight="1" x14ac:dyDescent="0.3">
      <c r="A3827" s="91"/>
      <c r="B3827" s="70"/>
      <c r="C3827" s="70"/>
      <c r="D3827" s="70"/>
      <c r="E3827" s="70"/>
      <c r="F3827" s="70"/>
      <c r="G3827" s="70"/>
      <c r="H3827" s="131"/>
      <c r="I3827" s="3"/>
    </row>
    <row r="3828" spans="1:9" s="93" customFormat="1" ht="9" customHeight="1" x14ac:dyDescent="0.3">
      <c r="A3828" s="91"/>
      <c r="B3828" s="70"/>
      <c r="C3828" s="70"/>
      <c r="D3828" s="70"/>
      <c r="E3828" s="70"/>
      <c r="F3828" s="70"/>
      <c r="G3828" s="70"/>
      <c r="H3828" s="131"/>
      <c r="I3828" s="3"/>
    </row>
    <row r="3829" spans="1:9" s="93" customFormat="1" ht="9" customHeight="1" x14ac:dyDescent="0.3">
      <c r="A3829" s="91"/>
      <c r="B3829" s="70"/>
      <c r="C3829" s="70"/>
      <c r="D3829" s="70"/>
      <c r="E3829" s="70"/>
      <c r="F3829" s="70"/>
      <c r="G3829" s="70"/>
      <c r="H3829" s="131"/>
      <c r="I3829" s="3"/>
    </row>
    <row r="3830" spans="1:9" s="93" customFormat="1" ht="9" customHeight="1" x14ac:dyDescent="0.3">
      <c r="A3830" s="91"/>
      <c r="B3830" s="70"/>
      <c r="C3830" s="70"/>
      <c r="D3830" s="70"/>
      <c r="E3830" s="70"/>
      <c r="F3830" s="70"/>
      <c r="G3830" s="70"/>
      <c r="H3830" s="131"/>
      <c r="I3830" s="3"/>
    </row>
    <row r="3831" spans="1:9" s="93" customFormat="1" ht="9" customHeight="1" x14ac:dyDescent="0.3">
      <c r="A3831" s="91"/>
      <c r="B3831" s="70"/>
      <c r="C3831" s="70"/>
      <c r="D3831" s="70"/>
      <c r="E3831" s="70"/>
      <c r="F3831" s="70"/>
      <c r="G3831" s="70"/>
      <c r="H3831" s="131"/>
      <c r="I3831" s="3"/>
    </row>
    <row r="3832" spans="1:9" s="93" customFormat="1" ht="9" customHeight="1" x14ac:dyDescent="0.3">
      <c r="A3832" s="91"/>
      <c r="B3832" s="70"/>
      <c r="C3832" s="70"/>
      <c r="D3832" s="70"/>
      <c r="E3832" s="70"/>
      <c r="F3832" s="70"/>
      <c r="G3832" s="70"/>
      <c r="H3832" s="131"/>
      <c r="I3832" s="3"/>
    </row>
    <row r="3833" spans="1:9" s="93" customFormat="1" ht="9" customHeight="1" x14ac:dyDescent="0.3">
      <c r="A3833" s="91"/>
      <c r="B3833" s="70"/>
      <c r="C3833" s="70"/>
      <c r="D3833" s="70"/>
      <c r="E3833" s="70"/>
      <c r="F3833" s="70"/>
      <c r="G3833" s="70"/>
      <c r="H3833" s="131"/>
      <c r="I3833" s="3"/>
    </row>
    <row r="3834" spans="1:9" s="93" customFormat="1" ht="9" customHeight="1" x14ac:dyDescent="0.3">
      <c r="A3834" s="91"/>
      <c r="B3834" s="70"/>
      <c r="C3834" s="70"/>
      <c r="D3834" s="70"/>
      <c r="E3834" s="70"/>
      <c r="F3834" s="70"/>
      <c r="G3834" s="70"/>
      <c r="H3834" s="131"/>
      <c r="I3834" s="3"/>
    </row>
    <row r="3835" spans="1:9" s="93" customFormat="1" ht="9" customHeight="1" x14ac:dyDescent="0.3">
      <c r="A3835" s="91"/>
      <c r="B3835" s="70"/>
      <c r="C3835" s="70"/>
      <c r="D3835" s="70"/>
      <c r="E3835" s="70"/>
      <c r="F3835" s="70"/>
      <c r="G3835" s="70"/>
      <c r="H3835" s="131"/>
      <c r="I3835" s="3"/>
    </row>
    <row r="3836" spans="1:9" s="93" customFormat="1" ht="9" customHeight="1" x14ac:dyDescent="0.3">
      <c r="A3836" s="91"/>
      <c r="B3836" s="70"/>
      <c r="C3836" s="70"/>
      <c r="D3836" s="70"/>
      <c r="E3836" s="70"/>
      <c r="F3836" s="70"/>
      <c r="G3836" s="70"/>
      <c r="H3836" s="131"/>
      <c r="I3836" s="3"/>
    </row>
    <row r="3837" spans="1:9" s="93" customFormat="1" ht="9" customHeight="1" x14ac:dyDescent="0.3">
      <c r="A3837" s="91"/>
      <c r="B3837" s="70"/>
      <c r="C3837" s="70"/>
      <c r="D3837" s="70"/>
      <c r="E3837" s="70"/>
      <c r="F3837" s="70"/>
      <c r="G3837" s="70"/>
      <c r="H3837" s="131"/>
      <c r="I3837" s="3"/>
    </row>
    <row r="3838" spans="1:9" s="93" customFormat="1" ht="9" customHeight="1" x14ac:dyDescent="0.3">
      <c r="A3838" s="91"/>
      <c r="B3838" s="70"/>
      <c r="C3838" s="70"/>
      <c r="D3838" s="70"/>
      <c r="E3838" s="70"/>
      <c r="F3838" s="70"/>
      <c r="G3838" s="70"/>
      <c r="H3838" s="131"/>
      <c r="I3838" s="3"/>
    </row>
    <row r="3839" spans="1:9" s="93" customFormat="1" ht="9" customHeight="1" x14ac:dyDescent="0.3">
      <c r="A3839" s="91"/>
      <c r="B3839" s="70"/>
      <c r="C3839" s="70"/>
      <c r="D3839" s="70"/>
      <c r="E3839" s="70"/>
      <c r="F3839" s="70"/>
      <c r="G3839" s="70"/>
      <c r="H3839" s="131"/>
      <c r="I3839" s="3"/>
    </row>
    <row r="3840" spans="1:9" s="93" customFormat="1" ht="9" customHeight="1" x14ac:dyDescent="0.3">
      <c r="A3840" s="91"/>
      <c r="B3840" s="70"/>
      <c r="C3840" s="70"/>
      <c r="D3840" s="70"/>
      <c r="E3840" s="70"/>
      <c r="F3840" s="70"/>
      <c r="G3840" s="70"/>
      <c r="H3840" s="131"/>
      <c r="I3840" s="3"/>
    </row>
    <row r="3841" spans="1:9" s="93" customFormat="1" ht="9" customHeight="1" x14ac:dyDescent="0.3">
      <c r="A3841" s="91"/>
      <c r="B3841" s="70"/>
      <c r="C3841" s="70"/>
      <c r="D3841" s="70"/>
      <c r="E3841" s="70"/>
      <c r="F3841" s="70"/>
      <c r="G3841" s="70"/>
      <c r="H3841" s="131"/>
      <c r="I3841" s="3"/>
    </row>
    <row r="3842" spans="1:9" s="93" customFormat="1" ht="9" customHeight="1" x14ac:dyDescent="0.3">
      <c r="A3842" s="91"/>
      <c r="B3842" s="70"/>
      <c r="C3842" s="70"/>
      <c r="D3842" s="70"/>
      <c r="E3842" s="70"/>
      <c r="F3842" s="70"/>
      <c r="G3842" s="70"/>
      <c r="H3842" s="131"/>
      <c r="I3842" s="3"/>
    </row>
    <row r="3843" spans="1:9" s="93" customFormat="1" ht="9" customHeight="1" x14ac:dyDescent="0.3">
      <c r="A3843" s="91"/>
      <c r="B3843" s="70"/>
      <c r="C3843" s="70"/>
      <c r="D3843" s="70"/>
      <c r="E3843" s="70"/>
      <c r="F3843" s="70"/>
      <c r="G3843" s="70"/>
      <c r="H3843" s="131"/>
      <c r="I3843" s="3"/>
    </row>
    <row r="3844" spans="1:9" s="93" customFormat="1" ht="9" customHeight="1" x14ac:dyDescent="0.3">
      <c r="A3844" s="91"/>
      <c r="B3844" s="70"/>
      <c r="C3844" s="70"/>
      <c r="D3844" s="70"/>
      <c r="E3844" s="70"/>
      <c r="F3844" s="70"/>
      <c r="G3844" s="70"/>
      <c r="H3844" s="131"/>
      <c r="I3844" s="3"/>
    </row>
    <row r="3845" spans="1:9" s="93" customFormat="1" ht="9" customHeight="1" x14ac:dyDescent="0.3">
      <c r="A3845" s="91"/>
      <c r="B3845" s="70"/>
      <c r="C3845" s="70"/>
      <c r="D3845" s="70"/>
      <c r="E3845" s="70"/>
      <c r="F3845" s="70"/>
      <c r="G3845" s="70"/>
      <c r="H3845" s="131"/>
      <c r="I3845" s="3"/>
    </row>
    <row r="3846" spans="1:9" s="93" customFormat="1" ht="9" customHeight="1" x14ac:dyDescent="0.3">
      <c r="A3846" s="91"/>
      <c r="B3846" s="70"/>
      <c r="C3846" s="70"/>
      <c r="D3846" s="70"/>
      <c r="E3846" s="70"/>
      <c r="F3846" s="70"/>
      <c r="G3846" s="70"/>
      <c r="H3846" s="131"/>
      <c r="I3846" s="3"/>
    </row>
    <row r="3847" spans="1:9" s="93" customFormat="1" ht="9" customHeight="1" x14ac:dyDescent="0.3">
      <c r="A3847" s="91"/>
      <c r="B3847" s="70"/>
      <c r="C3847" s="70"/>
      <c r="D3847" s="70"/>
      <c r="E3847" s="70"/>
      <c r="F3847" s="70"/>
      <c r="G3847" s="70"/>
      <c r="H3847" s="131"/>
      <c r="I3847" s="3"/>
    </row>
    <row r="3848" spans="1:9" s="93" customFormat="1" ht="9" customHeight="1" x14ac:dyDescent="0.3">
      <c r="A3848" s="91"/>
      <c r="B3848" s="70"/>
      <c r="C3848" s="70"/>
      <c r="D3848" s="70"/>
      <c r="E3848" s="70"/>
      <c r="F3848" s="70"/>
      <c r="G3848" s="70"/>
      <c r="H3848" s="131"/>
      <c r="I3848" s="3"/>
    </row>
    <row r="3849" spans="1:9" s="93" customFormat="1" ht="9" customHeight="1" x14ac:dyDescent="0.3">
      <c r="A3849" s="91"/>
      <c r="B3849" s="70"/>
      <c r="C3849" s="70"/>
      <c r="D3849" s="70"/>
      <c r="E3849" s="70"/>
      <c r="F3849" s="70"/>
      <c r="G3849" s="70"/>
      <c r="H3849" s="131"/>
      <c r="I3849" s="3"/>
    </row>
    <row r="3850" spans="1:9" s="93" customFormat="1" ht="9" customHeight="1" x14ac:dyDescent="0.3">
      <c r="A3850" s="91"/>
      <c r="B3850" s="70"/>
      <c r="C3850" s="70"/>
      <c r="D3850" s="70"/>
      <c r="E3850" s="70"/>
      <c r="F3850" s="70"/>
      <c r="G3850" s="70"/>
      <c r="H3850" s="131"/>
      <c r="I3850" s="3"/>
    </row>
    <row r="3851" spans="1:9" s="93" customFormat="1" ht="9" customHeight="1" x14ac:dyDescent="0.3">
      <c r="A3851" s="91"/>
      <c r="B3851" s="70"/>
      <c r="C3851" s="70"/>
      <c r="D3851" s="70"/>
      <c r="E3851" s="70"/>
      <c r="F3851" s="70"/>
      <c r="G3851" s="70"/>
      <c r="H3851" s="131"/>
      <c r="I3851" s="3"/>
    </row>
    <row r="3852" spans="1:9" s="93" customFormat="1" ht="9" customHeight="1" x14ac:dyDescent="0.3">
      <c r="A3852" s="91"/>
      <c r="B3852" s="70"/>
      <c r="C3852" s="70"/>
      <c r="D3852" s="70"/>
      <c r="E3852" s="70"/>
      <c r="F3852" s="70"/>
      <c r="G3852" s="70"/>
      <c r="H3852" s="131"/>
      <c r="I3852" s="3"/>
    </row>
    <row r="3853" spans="1:9" s="93" customFormat="1" ht="9" customHeight="1" x14ac:dyDescent="0.3">
      <c r="A3853" s="91"/>
      <c r="B3853" s="70"/>
      <c r="C3853" s="70"/>
      <c r="D3853" s="70"/>
      <c r="E3853" s="70"/>
      <c r="F3853" s="70"/>
      <c r="G3853" s="70"/>
      <c r="H3853" s="131"/>
      <c r="I3853" s="3"/>
    </row>
    <row r="3854" spans="1:9" s="93" customFormat="1" ht="9" customHeight="1" x14ac:dyDescent="0.3">
      <c r="A3854" s="91"/>
      <c r="B3854" s="70"/>
      <c r="C3854" s="70"/>
      <c r="D3854" s="70"/>
      <c r="E3854" s="70"/>
      <c r="F3854" s="70"/>
      <c r="G3854" s="70"/>
      <c r="H3854" s="131"/>
      <c r="I3854" s="3"/>
    </row>
    <row r="3855" spans="1:9" s="93" customFormat="1" ht="9" customHeight="1" x14ac:dyDescent="0.3">
      <c r="A3855" s="91"/>
      <c r="B3855" s="70"/>
      <c r="C3855" s="70"/>
      <c r="D3855" s="70"/>
      <c r="E3855" s="70"/>
      <c r="F3855" s="70"/>
      <c r="G3855" s="70"/>
      <c r="H3855" s="131"/>
      <c r="I3855" s="3"/>
    </row>
    <row r="3856" spans="1:9" s="93" customFormat="1" ht="9" customHeight="1" x14ac:dyDescent="0.3">
      <c r="A3856" s="91"/>
      <c r="B3856" s="70"/>
      <c r="C3856" s="70"/>
      <c r="D3856" s="70"/>
      <c r="E3856" s="70"/>
      <c r="F3856" s="70"/>
      <c r="G3856" s="70"/>
      <c r="H3856" s="131"/>
      <c r="I3856" s="3"/>
    </row>
    <row r="3857" spans="1:9" s="93" customFormat="1" ht="9" customHeight="1" x14ac:dyDescent="0.3">
      <c r="A3857" s="91"/>
      <c r="B3857" s="70"/>
      <c r="C3857" s="70"/>
      <c r="D3857" s="70"/>
      <c r="E3857" s="70"/>
      <c r="F3857" s="70"/>
      <c r="G3857" s="70"/>
      <c r="H3857" s="131"/>
      <c r="I3857" s="3"/>
    </row>
    <row r="3858" spans="1:9" s="93" customFormat="1" ht="9" customHeight="1" x14ac:dyDescent="0.3">
      <c r="A3858" s="91"/>
      <c r="B3858" s="70"/>
      <c r="C3858" s="70"/>
      <c r="D3858" s="70"/>
      <c r="E3858" s="70"/>
      <c r="F3858" s="70"/>
      <c r="G3858" s="70"/>
      <c r="H3858" s="131"/>
      <c r="I3858" s="3"/>
    </row>
    <row r="3859" spans="1:9" s="93" customFormat="1" ht="9" customHeight="1" x14ac:dyDescent="0.3">
      <c r="A3859" s="91"/>
      <c r="B3859" s="70"/>
      <c r="C3859" s="70"/>
      <c r="D3859" s="70"/>
      <c r="E3859" s="70"/>
      <c r="F3859" s="70"/>
      <c r="G3859" s="70"/>
      <c r="H3859" s="131"/>
      <c r="I3859" s="3"/>
    </row>
    <row r="3860" spans="1:9" s="93" customFormat="1" ht="9" customHeight="1" x14ac:dyDescent="0.3">
      <c r="A3860" s="91"/>
      <c r="B3860" s="70"/>
      <c r="C3860" s="70"/>
      <c r="D3860" s="70"/>
      <c r="E3860" s="70"/>
      <c r="F3860" s="70"/>
      <c r="G3860" s="70"/>
      <c r="H3860" s="131"/>
      <c r="I3860" s="3"/>
    </row>
    <row r="3861" spans="1:9" s="93" customFormat="1" ht="9" customHeight="1" x14ac:dyDescent="0.3">
      <c r="A3861" s="91"/>
      <c r="B3861" s="70"/>
      <c r="C3861" s="70"/>
      <c r="D3861" s="70"/>
      <c r="E3861" s="70"/>
      <c r="F3861" s="70"/>
      <c r="G3861" s="70"/>
      <c r="H3861" s="131"/>
      <c r="I3861" s="3"/>
    </row>
    <row r="3862" spans="1:9" s="93" customFormat="1" ht="9" customHeight="1" x14ac:dyDescent="0.3">
      <c r="A3862" s="91"/>
      <c r="B3862" s="70"/>
      <c r="C3862" s="70"/>
      <c r="D3862" s="70"/>
      <c r="E3862" s="70"/>
      <c r="F3862" s="70"/>
      <c r="G3862" s="70"/>
      <c r="H3862" s="131"/>
      <c r="I3862" s="3"/>
    </row>
    <row r="3863" spans="1:9" s="93" customFormat="1" ht="9" customHeight="1" x14ac:dyDescent="0.3">
      <c r="A3863" s="91"/>
      <c r="B3863" s="70"/>
      <c r="C3863" s="70"/>
      <c r="D3863" s="70"/>
      <c r="E3863" s="70"/>
      <c r="F3863" s="70"/>
      <c r="G3863" s="70"/>
      <c r="H3863" s="131"/>
      <c r="I3863" s="3"/>
    </row>
    <row r="3864" spans="1:9" s="93" customFormat="1" ht="9" customHeight="1" x14ac:dyDescent="0.3">
      <c r="A3864" s="91"/>
      <c r="B3864" s="70"/>
      <c r="C3864" s="70"/>
      <c r="D3864" s="70"/>
      <c r="E3864" s="70"/>
      <c r="F3864" s="70"/>
      <c r="G3864" s="70"/>
      <c r="H3864" s="131"/>
      <c r="I3864" s="3"/>
    </row>
    <row r="3865" spans="1:9" s="93" customFormat="1" ht="9" customHeight="1" x14ac:dyDescent="0.3">
      <c r="A3865" s="91"/>
      <c r="B3865" s="70"/>
      <c r="C3865" s="70"/>
      <c r="D3865" s="70"/>
      <c r="E3865" s="70"/>
      <c r="F3865" s="70"/>
      <c r="G3865" s="70"/>
      <c r="H3865" s="131"/>
      <c r="I3865" s="3"/>
    </row>
    <row r="3866" spans="1:9" s="93" customFormat="1" ht="9" customHeight="1" x14ac:dyDescent="0.3">
      <c r="A3866" s="91"/>
      <c r="B3866" s="70"/>
      <c r="C3866" s="70"/>
      <c r="D3866" s="70"/>
      <c r="E3866" s="70"/>
      <c r="F3866" s="70"/>
      <c r="G3866" s="70"/>
      <c r="H3866" s="131"/>
      <c r="I3866" s="3"/>
    </row>
    <row r="3867" spans="1:9" s="93" customFormat="1" ht="9" customHeight="1" x14ac:dyDescent="0.3">
      <c r="A3867" s="91"/>
      <c r="B3867" s="70"/>
      <c r="C3867" s="70"/>
      <c r="D3867" s="70"/>
      <c r="E3867" s="70"/>
      <c r="F3867" s="70"/>
      <c r="G3867" s="70"/>
      <c r="H3867" s="131"/>
      <c r="I3867" s="3"/>
    </row>
    <row r="3868" spans="1:9" s="93" customFormat="1" ht="9" customHeight="1" x14ac:dyDescent="0.3">
      <c r="A3868" s="91"/>
      <c r="B3868" s="70"/>
      <c r="C3868" s="70"/>
      <c r="D3868" s="70"/>
      <c r="E3868" s="70"/>
      <c r="F3868" s="70"/>
      <c r="G3868" s="70"/>
      <c r="H3868" s="131"/>
      <c r="I3868" s="3"/>
    </row>
    <row r="3869" spans="1:9" s="93" customFormat="1" ht="9" customHeight="1" x14ac:dyDescent="0.3">
      <c r="A3869" s="91"/>
      <c r="B3869" s="70"/>
      <c r="C3869" s="70"/>
      <c r="D3869" s="70"/>
      <c r="E3869" s="70"/>
      <c r="F3869" s="70"/>
      <c r="G3869" s="70"/>
      <c r="H3869" s="131"/>
      <c r="I3869" s="3"/>
    </row>
    <row r="3870" spans="1:9" s="93" customFormat="1" ht="9" customHeight="1" x14ac:dyDescent="0.3">
      <c r="A3870" s="91"/>
      <c r="B3870" s="70"/>
      <c r="C3870" s="70"/>
      <c r="D3870" s="70"/>
      <c r="E3870" s="70"/>
      <c r="F3870" s="70"/>
      <c r="G3870" s="70"/>
      <c r="H3870" s="131"/>
      <c r="I3870" s="3"/>
    </row>
    <row r="3871" spans="1:9" s="93" customFormat="1" ht="9" customHeight="1" x14ac:dyDescent="0.3">
      <c r="A3871" s="91"/>
      <c r="B3871" s="70"/>
      <c r="C3871" s="70"/>
      <c r="D3871" s="70"/>
      <c r="E3871" s="70"/>
      <c r="F3871" s="70"/>
      <c r="G3871" s="70"/>
      <c r="H3871" s="131"/>
      <c r="I3871" s="3"/>
    </row>
    <row r="3872" spans="1:9" s="93" customFormat="1" ht="9" customHeight="1" x14ac:dyDescent="0.3">
      <c r="A3872" s="91"/>
      <c r="B3872" s="70"/>
      <c r="C3872" s="70"/>
      <c r="D3872" s="70"/>
      <c r="E3872" s="70"/>
      <c r="F3872" s="70"/>
      <c r="G3872" s="70"/>
      <c r="H3872" s="131"/>
      <c r="I3872" s="3"/>
    </row>
    <row r="3873" spans="1:9" s="93" customFormat="1" ht="9" customHeight="1" x14ac:dyDescent="0.3">
      <c r="A3873" s="91"/>
      <c r="B3873" s="70"/>
      <c r="C3873" s="70"/>
      <c r="D3873" s="70"/>
      <c r="E3873" s="70"/>
      <c r="F3873" s="70"/>
      <c r="G3873" s="70"/>
      <c r="H3873" s="131"/>
      <c r="I3873" s="3"/>
    </row>
    <row r="3874" spans="1:9" s="93" customFormat="1" ht="9" customHeight="1" x14ac:dyDescent="0.3">
      <c r="A3874" s="91"/>
      <c r="B3874" s="70"/>
      <c r="C3874" s="70"/>
      <c r="D3874" s="70"/>
      <c r="E3874" s="70"/>
      <c r="F3874" s="70"/>
      <c r="G3874" s="70"/>
      <c r="H3874" s="131"/>
      <c r="I3874" s="3"/>
    </row>
    <row r="3875" spans="1:9" s="93" customFormat="1" ht="9" customHeight="1" x14ac:dyDescent="0.3">
      <c r="A3875" s="91"/>
      <c r="B3875" s="70"/>
      <c r="C3875" s="70"/>
      <c r="D3875" s="70"/>
      <c r="E3875" s="70"/>
      <c r="F3875" s="70"/>
      <c r="G3875" s="70"/>
      <c r="H3875" s="131"/>
      <c r="I3875" s="3"/>
    </row>
    <row r="3876" spans="1:9" s="93" customFormat="1" ht="9" customHeight="1" x14ac:dyDescent="0.3">
      <c r="A3876" s="91"/>
      <c r="B3876" s="70"/>
      <c r="C3876" s="70"/>
      <c r="D3876" s="70"/>
      <c r="E3876" s="70"/>
      <c r="F3876" s="70"/>
      <c r="G3876" s="70"/>
      <c r="H3876" s="131"/>
      <c r="I3876" s="3"/>
    </row>
    <row r="3877" spans="1:9" s="93" customFormat="1" ht="9" customHeight="1" x14ac:dyDescent="0.3">
      <c r="A3877" s="91"/>
      <c r="B3877" s="70"/>
      <c r="C3877" s="70"/>
      <c r="D3877" s="70"/>
      <c r="E3877" s="70"/>
      <c r="F3877" s="70"/>
      <c r="G3877" s="70"/>
      <c r="H3877" s="131"/>
      <c r="I3877" s="3"/>
    </row>
    <row r="3878" spans="1:9" s="93" customFormat="1" ht="9" customHeight="1" x14ac:dyDescent="0.3">
      <c r="A3878" s="91"/>
      <c r="B3878" s="70"/>
      <c r="C3878" s="70"/>
      <c r="D3878" s="70"/>
      <c r="E3878" s="70"/>
      <c r="F3878" s="70"/>
      <c r="G3878" s="70"/>
      <c r="H3878" s="131"/>
      <c r="I3878" s="3"/>
    </row>
    <row r="3879" spans="1:9" s="93" customFormat="1" ht="9" customHeight="1" x14ac:dyDescent="0.3">
      <c r="A3879" s="91"/>
      <c r="B3879" s="70"/>
      <c r="C3879" s="70"/>
      <c r="D3879" s="70"/>
      <c r="E3879" s="70"/>
      <c r="F3879" s="70"/>
      <c r="G3879" s="70"/>
      <c r="H3879" s="131"/>
      <c r="I3879" s="3"/>
    </row>
    <row r="3880" spans="1:9" s="93" customFormat="1" ht="9" customHeight="1" x14ac:dyDescent="0.3">
      <c r="A3880" s="91"/>
      <c r="B3880" s="70"/>
      <c r="C3880" s="70"/>
      <c r="D3880" s="70"/>
      <c r="E3880" s="70"/>
      <c r="F3880" s="70"/>
      <c r="G3880" s="70"/>
      <c r="H3880" s="131"/>
      <c r="I3880" s="3"/>
    </row>
    <row r="3881" spans="1:9" s="93" customFormat="1" ht="9" customHeight="1" x14ac:dyDescent="0.3">
      <c r="A3881" s="91"/>
      <c r="B3881" s="70"/>
      <c r="C3881" s="70"/>
      <c r="D3881" s="70"/>
      <c r="E3881" s="70"/>
      <c r="F3881" s="70"/>
      <c r="G3881" s="70"/>
      <c r="H3881" s="131"/>
      <c r="I3881" s="3"/>
    </row>
    <row r="3882" spans="1:9" s="93" customFormat="1" ht="9" customHeight="1" x14ac:dyDescent="0.3">
      <c r="A3882" s="91"/>
      <c r="B3882" s="70"/>
      <c r="C3882" s="70"/>
      <c r="D3882" s="70"/>
      <c r="E3882" s="70"/>
      <c r="F3882" s="70"/>
      <c r="G3882" s="70"/>
      <c r="H3882" s="131"/>
      <c r="I3882" s="3"/>
    </row>
    <row r="3883" spans="1:9" s="93" customFormat="1" ht="9" customHeight="1" x14ac:dyDescent="0.3">
      <c r="A3883" s="91"/>
      <c r="B3883" s="70"/>
      <c r="C3883" s="70"/>
      <c r="D3883" s="70"/>
      <c r="E3883" s="70"/>
      <c r="F3883" s="70"/>
      <c r="G3883" s="70"/>
      <c r="H3883" s="131"/>
      <c r="I3883" s="3"/>
    </row>
    <row r="3884" spans="1:9" s="93" customFormat="1" ht="9" customHeight="1" x14ac:dyDescent="0.3">
      <c r="A3884" s="91"/>
      <c r="B3884" s="70"/>
      <c r="C3884" s="70"/>
      <c r="D3884" s="70"/>
      <c r="E3884" s="70"/>
      <c r="F3884" s="70"/>
      <c r="G3884" s="70"/>
      <c r="H3884" s="131"/>
      <c r="I3884" s="3"/>
    </row>
    <row r="3885" spans="1:9" s="93" customFormat="1" ht="9" customHeight="1" x14ac:dyDescent="0.3">
      <c r="A3885" s="91"/>
      <c r="B3885" s="70"/>
      <c r="C3885" s="70"/>
      <c r="D3885" s="70"/>
      <c r="E3885" s="70"/>
      <c r="F3885" s="70"/>
      <c r="G3885" s="70"/>
      <c r="H3885" s="131"/>
      <c r="I3885" s="3"/>
    </row>
    <row r="3886" spans="1:9" s="93" customFormat="1" ht="9" customHeight="1" x14ac:dyDescent="0.3">
      <c r="A3886" s="91"/>
      <c r="B3886" s="70"/>
      <c r="C3886" s="70"/>
      <c r="D3886" s="70"/>
      <c r="E3886" s="70"/>
      <c r="F3886" s="70"/>
      <c r="G3886" s="70"/>
      <c r="H3886" s="131"/>
      <c r="I3886" s="3"/>
    </row>
    <row r="3887" spans="1:9" s="93" customFormat="1" ht="9" customHeight="1" x14ac:dyDescent="0.3">
      <c r="A3887" s="91"/>
      <c r="B3887" s="70"/>
      <c r="C3887" s="70"/>
      <c r="D3887" s="70"/>
      <c r="E3887" s="70"/>
      <c r="F3887" s="70"/>
      <c r="G3887" s="70"/>
      <c r="H3887" s="131"/>
      <c r="I3887" s="3"/>
    </row>
    <row r="3888" spans="1:9" s="93" customFormat="1" ht="9" customHeight="1" x14ac:dyDescent="0.3">
      <c r="A3888" s="91"/>
      <c r="B3888" s="70"/>
      <c r="C3888" s="70"/>
      <c r="D3888" s="70"/>
      <c r="E3888" s="70"/>
      <c r="F3888" s="70"/>
      <c r="G3888" s="70"/>
      <c r="H3888" s="131"/>
      <c r="I3888" s="3"/>
    </row>
    <row r="3889" spans="1:9" s="93" customFormat="1" ht="9" customHeight="1" x14ac:dyDescent="0.3">
      <c r="A3889" s="91"/>
      <c r="B3889" s="70"/>
      <c r="C3889" s="70"/>
      <c r="D3889" s="70"/>
      <c r="E3889" s="70"/>
      <c r="F3889" s="70"/>
      <c r="G3889" s="70"/>
      <c r="H3889" s="131"/>
      <c r="I3889" s="3"/>
    </row>
    <row r="3890" spans="1:9" s="93" customFormat="1" ht="9" customHeight="1" x14ac:dyDescent="0.3">
      <c r="A3890" s="91"/>
      <c r="B3890" s="70"/>
      <c r="C3890" s="70"/>
      <c r="D3890" s="70"/>
      <c r="E3890" s="70"/>
      <c r="F3890" s="70"/>
      <c r="G3890" s="70"/>
      <c r="H3890" s="131"/>
      <c r="I3890" s="3"/>
    </row>
    <row r="3891" spans="1:9" s="93" customFormat="1" ht="9" customHeight="1" x14ac:dyDescent="0.3">
      <c r="A3891" s="91"/>
      <c r="B3891" s="70"/>
      <c r="C3891" s="70"/>
      <c r="D3891" s="70"/>
      <c r="E3891" s="70"/>
      <c r="F3891" s="70"/>
      <c r="G3891" s="70"/>
      <c r="H3891" s="131"/>
      <c r="I3891" s="3"/>
    </row>
    <row r="3892" spans="1:9" s="93" customFormat="1" ht="9" customHeight="1" x14ac:dyDescent="0.3">
      <c r="A3892" s="91"/>
      <c r="B3892" s="70"/>
      <c r="C3892" s="70"/>
      <c r="D3892" s="70"/>
      <c r="E3892" s="70"/>
      <c r="F3892" s="70"/>
      <c r="G3892" s="70"/>
      <c r="H3892" s="131"/>
      <c r="I3892" s="3"/>
    </row>
    <row r="3893" spans="1:9" s="93" customFormat="1" ht="9" customHeight="1" x14ac:dyDescent="0.3">
      <c r="A3893" s="91"/>
      <c r="B3893" s="70"/>
      <c r="C3893" s="70"/>
      <c r="D3893" s="70"/>
      <c r="E3893" s="70"/>
      <c r="F3893" s="70"/>
      <c r="G3893" s="70"/>
      <c r="H3893" s="131"/>
      <c r="I3893" s="3"/>
    </row>
    <row r="3894" spans="1:9" s="93" customFormat="1" ht="9" customHeight="1" x14ac:dyDescent="0.3">
      <c r="A3894" s="91"/>
      <c r="B3894" s="70"/>
      <c r="C3894" s="70"/>
      <c r="D3894" s="70"/>
      <c r="E3894" s="70"/>
      <c r="F3894" s="70"/>
      <c r="G3894" s="70"/>
      <c r="H3894" s="131"/>
      <c r="I3894" s="3"/>
    </row>
    <row r="3895" spans="1:9" s="93" customFormat="1" ht="9" customHeight="1" x14ac:dyDescent="0.3">
      <c r="A3895" s="91"/>
      <c r="B3895" s="70"/>
      <c r="C3895" s="70"/>
      <c r="D3895" s="70"/>
      <c r="E3895" s="70"/>
      <c r="F3895" s="70"/>
      <c r="G3895" s="70"/>
      <c r="H3895" s="131"/>
      <c r="I3895" s="3"/>
    </row>
    <row r="3896" spans="1:9" s="93" customFormat="1" ht="9" customHeight="1" x14ac:dyDescent="0.3">
      <c r="A3896" s="91"/>
      <c r="B3896" s="70"/>
      <c r="C3896" s="70"/>
      <c r="D3896" s="70"/>
      <c r="E3896" s="70"/>
      <c r="F3896" s="70"/>
      <c r="G3896" s="70"/>
      <c r="H3896" s="131"/>
      <c r="I3896" s="3"/>
    </row>
    <row r="3897" spans="1:9" s="93" customFormat="1" ht="9" customHeight="1" x14ac:dyDescent="0.3">
      <c r="A3897" s="91"/>
      <c r="B3897" s="70"/>
      <c r="C3897" s="70"/>
      <c r="D3897" s="70"/>
      <c r="E3897" s="70"/>
      <c r="F3897" s="70"/>
      <c r="G3897" s="70"/>
      <c r="H3897" s="131"/>
      <c r="I3897" s="3"/>
    </row>
    <row r="3898" spans="1:9" s="93" customFormat="1" ht="9" customHeight="1" x14ac:dyDescent="0.3">
      <c r="A3898" s="91"/>
      <c r="B3898" s="70"/>
      <c r="C3898" s="70"/>
      <c r="D3898" s="70"/>
      <c r="E3898" s="70"/>
      <c r="F3898" s="70"/>
      <c r="G3898" s="70"/>
      <c r="H3898" s="131"/>
      <c r="I3898" s="3"/>
    </row>
    <row r="3899" spans="1:9" s="93" customFormat="1" ht="9" customHeight="1" x14ac:dyDescent="0.3">
      <c r="A3899" s="91"/>
      <c r="B3899" s="70"/>
      <c r="C3899" s="70"/>
      <c r="D3899" s="70"/>
      <c r="E3899" s="70"/>
      <c r="F3899" s="70"/>
      <c r="G3899" s="70"/>
      <c r="H3899" s="131"/>
      <c r="I3899" s="3"/>
    </row>
    <row r="3900" spans="1:9" s="93" customFormat="1" ht="9" customHeight="1" x14ac:dyDescent="0.3">
      <c r="A3900" s="91"/>
      <c r="B3900" s="70"/>
      <c r="C3900" s="70"/>
      <c r="D3900" s="70"/>
      <c r="E3900" s="70"/>
      <c r="F3900" s="70"/>
      <c r="G3900" s="70"/>
      <c r="H3900" s="131"/>
      <c r="I3900" s="3"/>
    </row>
    <row r="3901" spans="1:9" s="93" customFormat="1" ht="9" customHeight="1" x14ac:dyDescent="0.3">
      <c r="A3901" s="91"/>
      <c r="B3901" s="70"/>
      <c r="C3901" s="70"/>
      <c r="D3901" s="70"/>
      <c r="E3901" s="70"/>
      <c r="F3901" s="70"/>
      <c r="G3901" s="70"/>
      <c r="H3901" s="131"/>
      <c r="I3901" s="3"/>
    </row>
    <row r="3902" spans="1:9" s="93" customFormat="1" ht="9" customHeight="1" x14ac:dyDescent="0.3">
      <c r="A3902" s="91"/>
      <c r="B3902" s="70"/>
      <c r="C3902" s="70"/>
      <c r="D3902" s="70"/>
      <c r="E3902" s="70"/>
      <c r="F3902" s="70"/>
      <c r="G3902" s="70"/>
      <c r="H3902" s="131"/>
      <c r="I3902" s="3"/>
    </row>
    <row r="3903" spans="1:9" s="93" customFormat="1" ht="9" customHeight="1" x14ac:dyDescent="0.3">
      <c r="A3903" s="91"/>
      <c r="B3903" s="70"/>
      <c r="C3903" s="70"/>
      <c r="D3903" s="70"/>
      <c r="E3903" s="70"/>
      <c r="F3903" s="70"/>
      <c r="G3903" s="70"/>
      <c r="H3903" s="131"/>
      <c r="I3903" s="3"/>
    </row>
    <row r="3904" spans="1:9" s="93" customFormat="1" ht="9" customHeight="1" x14ac:dyDescent="0.3">
      <c r="A3904" s="91"/>
      <c r="B3904" s="70"/>
      <c r="C3904" s="70"/>
      <c r="D3904" s="70"/>
      <c r="E3904" s="70"/>
      <c r="F3904" s="70"/>
      <c r="G3904" s="70"/>
      <c r="H3904" s="131"/>
      <c r="I3904" s="3"/>
    </row>
    <row r="3905" spans="1:9" s="93" customFormat="1" ht="9" customHeight="1" x14ac:dyDescent="0.3">
      <c r="A3905" s="91"/>
      <c r="B3905" s="70"/>
      <c r="C3905" s="70"/>
      <c r="D3905" s="70"/>
      <c r="E3905" s="70"/>
      <c r="F3905" s="70"/>
      <c r="G3905" s="70"/>
      <c r="H3905" s="131"/>
      <c r="I3905" s="3"/>
    </row>
    <row r="3906" spans="1:9" s="93" customFormat="1" ht="9" customHeight="1" x14ac:dyDescent="0.3">
      <c r="A3906" s="91"/>
      <c r="B3906" s="70"/>
      <c r="C3906" s="70"/>
      <c r="D3906" s="70"/>
      <c r="E3906" s="70"/>
      <c r="F3906" s="70"/>
      <c r="G3906" s="70"/>
      <c r="H3906" s="131"/>
      <c r="I3906" s="3"/>
    </row>
    <row r="3907" spans="1:9" s="93" customFormat="1" ht="9" customHeight="1" x14ac:dyDescent="0.3">
      <c r="A3907" s="91"/>
      <c r="B3907" s="70"/>
      <c r="C3907" s="70"/>
      <c r="D3907" s="70"/>
      <c r="E3907" s="70"/>
      <c r="F3907" s="70"/>
      <c r="G3907" s="70"/>
      <c r="H3907" s="131"/>
      <c r="I3907" s="3"/>
    </row>
    <row r="3908" spans="1:9" s="93" customFormat="1" ht="9" customHeight="1" x14ac:dyDescent="0.3">
      <c r="A3908" s="91"/>
      <c r="B3908" s="70"/>
      <c r="C3908" s="70"/>
      <c r="D3908" s="70"/>
      <c r="E3908" s="70"/>
      <c r="F3908" s="70"/>
      <c r="G3908" s="70"/>
      <c r="H3908" s="131"/>
      <c r="I3908" s="3"/>
    </row>
    <row r="3909" spans="1:9" s="93" customFormat="1" ht="9" customHeight="1" x14ac:dyDescent="0.3">
      <c r="A3909" s="91"/>
      <c r="B3909" s="70"/>
      <c r="C3909" s="70"/>
      <c r="D3909" s="70"/>
      <c r="E3909" s="70"/>
      <c r="F3909" s="70"/>
      <c r="G3909" s="70"/>
      <c r="H3909" s="131"/>
      <c r="I3909" s="3"/>
    </row>
    <row r="3910" spans="1:9" s="93" customFormat="1" ht="9" customHeight="1" x14ac:dyDescent="0.3">
      <c r="A3910" s="91"/>
      <c r="B3910" s="70"/>
      <c r="C3910" s="70"/>
      <c r="D3910" s="70"/>
      <c r="E3910" s="70"/>
      <c r="F3910" s="70"/>
      <c r="G3910" s="70"/>
      <c r="H3910" s="131"/>
      <c r="I3910" s="3"/>
    </row>
    <row r="3911" spans="1:9" s="93" customFormat="1" ht="9" customHeight="1" x14ac:dyDescent="0.3">
      <c r="A3911" s="91"/>
      <c r="B3911" s="70"/>
      <c r="C3911" s="70"/>
      <c r="D3911" s="70"/>
      <c r="E3911" s="70"/>
      <c r="F3911" s="70"/>
      <c r="G3911" s="70"/>
      <c r="H3911" s="131"/>
      <c r="I3911" s="3"/>
    </row>
    <row r="3912" spans="1:9" s="93" customFormat="1" ht="9" customHeight="1" x14ac:dyDescent="0.3">
      <c r="A3912" s="91"/>
      <c r="B3912" s="70"/>
      <c r="C3912" s="70"/>
      <c r="D3912" s="70"/>
      <c r="E3912" s="70"/>
      <c r="F3912" s="70"/>
      <c r="G3912" s="70"/>
      <c r="H3912" s="131"/>
      <c r="I3912" s="3"/>
    </row>
    <row r="3913" spans="1:9" s="93" customFormat="1" ht="9" customHeight="1" x14ac:dyDescent="0.3">
      <c r="A3913" s="91"/>
      <c r="B3913" s="70"/>
      <c r="C3913" s="70"/>
      <c r="D3913" s="70"/>
      <c r="E3913" s="70"/>
      <c r="F3913" s="70"/>
      <c r="G3913" s="70"/>
      <c r="H3913" s="131"/>
      <c r="I3913" s="3"/>
    </row>
    <row r="3914" spans="1:9" s="93" customFormat="1" ht="9" customHeight="1" x14ac:dyDescent="0.3">
      <c r="A3914" s="91"/>
      <c r="B3914" s="70"/>
      <c r="C3914" s="70"/>
      <c r="D3914" s="70"/>
      <c r="E3914" s="70"/>
      <c r="F3914" s="70"/>
      <c r="G3914" s="70"/>
      <c r="H3914" s="131"/>
      <c r="I3914" s="3"/>
    </row>
    <row r="3915" spans="1:9" s="93" customFormat="1" ht="9" customHeight="1" x14ac:dyDescent="0.3">
      <c r="A3915" s="91"/>
      <c r="B3915" s="70"/>
      <c r="C3915" s="70"/>
      <c r="D3915" s="70"/>
      <c r="E3915" s="70"/>
      <c r="F3915" s="70"/>
      <c r="G3915" s="70"/>
      <c r="H3915" s="131"/>
      <c r="I3915" s="3"/>
    </row>
    <row r="3916" spans="1:9" s="93" customFormat="1" ht="9" customHeight="1" x14ac:dyDescent="0.3">
      <c r="A3916" s="91"/>
      <c r="B3916" s="70"/>
      <c r="C3916" s="70"/>
      <c r="D3916" s="70"/>
      <c r="E3916" s="70"/>
      <c r="F3916" s="70"/>
      <c r="G3916" s="70"/>
      <c r="H3916" s="131"/>
      <c r="I3916" s="3"/>
    </row>
    <row r="3917" spans="1:9" s="93" customFormat="1" ht="9" customHeight="1" x14ac:dyDescent="0.3">
      <c r="A3917" s="91"/>
      <c r="B3917" s="70"/>
      <c r="C3917" s="70"/>
      <c r="D3917" s="70"/>
      <c r="E3917" s="70"/>
      <c r="F3917" s="70"/>
      <c r="G3917" s="70"/>
      <c r="H3917" s="131"/>
      <c r="I3917" s="3"/>
    </row>
    <row r="3918" spans="1:9" s="93" customFormat="1" ht="9" customHeight="1" x14ac:dyDescent="0.3">
      <c r="A3918" s="91"/>
      <c r="B3918" s="70"/>
      <c r="C3918" s="70"/>
      <c r="D3918" s="70"/>
      <c r="E3918" s="70"/>
      <c r="F3918" s="70"/>
      <c r="G3918" s="70"/>
      <c r="H3918" s="131"/>
      <c r="I3918" s="3"/>
    </row>
    <row r="3919" spans="1:9" s="93" customFormat="1" ht="9" customHeight="1" x14ac:dyDescent="0.3">
      <c r="A3919" s="91"/>
      <c r="B3919" s="70"/>
      <c r="C3919" s="70"/>
      <c r="D3919" s="70"/>
      <c r="E3919" s="70"/>
      <c r="F3919" s="70"/>
      <c r="G3919" s="70"/>
      <c r="H3919" s="131"/>
      <c r="I3919" s="3"/>
    </row>
    <row r="3920" spans="1:9" s="93" customFormat="1" ht="9" customHeight="1" x14ac:dyDescent="0.3">
      <c r="A3920" s="91"/>
      <c r="B3920" s="70"/>
      <c r="C3920" s="70"/>
      <c r="D3920" s="70"/>
      <c r="E3920" s="70"/>
      <c r="F3920" s="70"/>
      <c r="G3920" s="70"/>
      <c r="H3920" s="131"/>
      <c r="I3920" s="3"/>
    </row>
    <row r="3921" spans="1:9" s="93" customFormat="1" ht="9" customHeight="1" x14ac:dyDescent="0.3">
      <c r="A3921" s="91"/>
      <c r="B3921" s="70"/>
      <c r="C3921" s="70"/>
      <c r="D3921" s="70"/>
      <c r="E3921" s="70"/>
      <c r="F3921" s="70"/>
      <c r="G3921" s="70"/>
      <c r="H3921" s="131"/>
      <c r="I3921" s="3"/>
    </row>
    <row r="3922" spans="1:9" s="93" customFormat="1" ht="9" customHeight="1" x14ac:dyDescent="0.3">
      <c r="A3922" s="91"/>
      <c r="B3922" s="70"/>
      <c r="C3922" s="70"/>
      <c r="D3922" s="70"/>
      <c r="E3922" s="70"/>
      <c r="F3922" s="70"/>
      <c r="G3922" s="70"/>
      <c r="H3922" s="131"/>
      <c r="I3922" s="3"/>
    </row>
    <row r="3923" spans="1:9" s="93" customFormat="1" ht="9" customHeight="1" x14ac:dyDescent="0.3">
      <c r="A3923" s="91"/>
      <c r="B3923" s="70"/>
      <c r="C3923" s="70"/>
      <c r="D3923" s="70"/>
      <c r="E3923" s="70"/>
      <c r="F3923" s="70"/>
      <c r="G3923" s="70"/>
      <c r="H3923" s="131"/>
      <c r="I3923" s="3"/>
    </row>
    <row r="3924" spans="1:9" s="93" customFormat="1" ht="9" customHeight="1" x14ac:dyDescent="0.3">
      <c r="A3924" s="91"/>
      <c r="B3924" s="70"/>
      <c r="C3924" s="70"/>
      <c r="D3924" s="70"/>
      <c r="E3924" s="70"/>
      <c r="F3924" s="70"/>
      <c r="G3924" s="70"/>
      <c r="H3924" s="131"/>
      <c r="I3924" s="3"/>
    </row>
    <row r="3925" spans="1:9" s="93" customFormat="1" ht="9" customHeight="1" x14ac:dyDescent="0.3">
      <c r="A3925" s="91"/>
      <c r="B3925" s="70"/>
      <c r="C3925" s="70"/>
      <c r="D3925" s="70"/>
      <c r="E3925" s="70"/>
      <c r="F3925" s="70"/>
      <c r="G3925" s="70"/>
      <c r="H3925" s="131"/>
      <c r="I3925" s="3"/>
    </row>
    <row r="3926" spans="1:9" s="93" customFormat="1" ht="9" customHeight="1" x14ac:dyDescent="0.3">
      <c r="A3926" s="91"/>
      <c r="B3926" s="70"/>
      <c r="C3926" s="70"/>
      <c r="D3926" s="70"/>
      <c r="E3926" s="70"/>
      <c r="F3926" s="70"/>
      <c r="G3926" s="70"/>
      <c r="H3926" s="131"/>
      <c r="I3926" s="3"/>
    </row>
    <row r="3927" spans="1:9" s="93" customFormat="1" ht="9" customHeight="1" x14ac:dyDescent="0.3">
      <c r="A3927" s="91"/>
      <c r="B3927" s="70"/>
      <c r="C3927" s="70"/>
      <c r="D3927" s="70"/>
      <c r="E3927" s="70"/>
      <c r="F3927" s="70"/>
      <c r="G3927" s="70"/>
      <c r="H3927" s="131"/>
      <c r="I3927" s="3"/>
    </row>
    <row r="3928" spans="1:9" s="93" customFormat="1" ht="9" customHeight="1" x14ac:dyDescent="0.3">
      <c r="A3928" s="91"/>
      <c r="B3928" s="70"/>
      <c r="C3928" s="70"/>
      <c r="D3928" s="70"/>
      <c r="E3928" s="70"/>
      <c r="F3928" s="70"/>
      <c r="G3928" s="70"/>
      <c r="H3928" s="131"/>
      <c r="I3928" s="3"/>
    </row>
    <row r="3929" spans="1:9" s="93" customFormat="1" ht="9" customHeight="1" x14ac:dyDescent="0.3">
      <c r="A3929" s="91"/>
      <c r="B3929" s="70"/>
      <c r="C3929" s="70"/>
      <c r="D3929" s="70"/>
      <c r="E3929" s="70"/>
      <c r="F3929" s="70"/>
      <c r="G3929" s="70"/>
      <c r="H3929" s="131"/>
      <c r="I3929" s="3"/>
    </row>
    <row r="3930" spans="1:9" s="93" customFormat="1" ht="9" customHeight="1" x14ac:dyDescent="0.3">
      <c r="A3930" s="91"/>
      <c r="B3930" s="70"/>
      <c r="C3930" s="70"/>
      <c r="D3930" s="70"/>
      <c r="E3930" s="70"/>
      <c r="F3930" s="70"/>
      <c r="G3930" s="70"/>
      <c r="H3930" s="131"/>
      <c r="I3930" s="3"/>
    </row>
    <row r="3931" spans="1:9" s="93" customFormat="1" ht="9" customHeight="1" x14ac:dyDescent="0.3">
      <c r="A3931" s="91"/>
      <c r="B3931" s="70"/>
      <c r="C3931" s="70"/>
      <c r="D3931" s="70"/>
      <c r="E3931" s="70"/>
      <c r="F3931" s="70"/>
      <c r="G3931" s="70"/>
      <c r="H3931" s="131"/>
      <c r="I3931" s="3"/>
    </row>
    <row r="3932" spans="1:9" s="93" customFormat="1" ht="9" customHeight="1" x14ac:dyDescent="0.3">
      <c r="A3932" s="91"/>
      <c r="B3932" s="70"/>
      <c r="C3932" s="70"/>
      <c r="D3932" s="70"/>
      <c r="E3932" s="70"/>
      <c r="F3932" s="70"/>
      <c r="G3932" s="70"/>
      <c r="H3932" s="131"/>
      <c r="I3932" s="3"/>
    </row>
    <row r="3933" spans="1:9" s="93" customFormat="1" ht="9" customHeight="1" x14ac:dyDescent="0.3">
      <c r="A3933" s="91"/>
      <c r="B3933" s="70"/>
      <c r="C3933" s="70"/>
      <c r="D3933" s="70"/>
      <c r="E3933" s="70"/>
      <c r="F3933" s="70"/>
      <c r="G3933" s="70"/>
      <c r="H3933" s="131"/>
      <c r="I3933" s="3"/>
    </row>
    <row r="3934" spans="1:9" s="93" customFormat="1" ht="9" customHeight="1" x14ac:dyDescent="0.3">
      <c r="A3934" s="91"/>
      <c r="B3934" s="70"/>
      <c r="C3934" s="70"/>
      <c r="D3934" s="70"/>
      <c r="E3934" s="70"/>
      <c r="F3934" s="70"/>
      <c r="G3934" s="70"/>
      <c r="H3934" s="131"/>
      <c r="I3934" s="3"/>
    </row>
    <row r="3935" spans="1:9" s="93" customFormat="1" ht="9" customHeight="1" x14ac:dyDescent="0.3">
      <c r="A3935" s="91"/>
      <c r="B3935" s="70"/>
      <c r="C3935" s="70"/>
      <c r="D3935" s="70"/>
      <c r="E3935" s="70"/>
      <c r="F3935" s="70"/>
      <c r="G3935" s="70"/>
      <c r="H3935" s="131"/>
      <c r="I3935" s="3"/>
    </row>
    <row r="3936" spans="1:9" s="93" customFormat="1" ht="9" customHeight="1" x14ac:dyDescent="0.3">
      <c r="A3936" s="91"/>
      <c r="B3936" s="70"/>
      <c r="C3936" s="70"/>
      <c r="D3936" s="70"/>
      <c r="E3936" s="70"/>
      <c r="F3936" s="70"/>
      <c r="G3936" s="70"/>
      <c r="H3936" s="131"/>
      <c r="I3936" s="3"/>
    </row>
    <row r="3937" spans="1:9" s="93" customFormat="1" ht="9" customHeight="1" x14ac:dyDescent="0.3">
      <c r="A3937" s="91"/>
      <c r="B3937" s="70"/>
      <c r="C3937" s="70"/>
      <c r="D3937" s="70"/>
      <c r="E3937" s="70"/>
      <c r="F3937" s="70"/>
      <c r="G3937" s="70"/>
      <c r="H3937" s="131"/>
      <c r="I3937" s="3"/>
    </row>
    <row r="3938" spans="1:9" s="93" customFormat="1" ht="9" customHeight="1" x14ac:dyDescent="0.3">
      <c r="A3938" s="91"/>
      <c r="B3938" s="70"/>
      <c r="C3938" s="70"/>
      <c r="D3938" s="70"/>
      <c r="E3938" s="70"/>
      <c r="F3938" s="70"/>
      <c r="G3938" s="70"/>
      <c r="H3938" s="131"/>
      <c r="I3938" s="3"/>
    </row>
    <row r="3939" spans="1:9" s="93" customFormat="1" ht="9" customHeight="1" x14ac:dyDescent="0.3">
      <c r="A3939" s="91"/>
      <c r="B3939" s="70"/>
      <c r="C3939" s="70"/>
      <c r="D3939" s="70"/>
      <c r="E3939" s="70"/>
      <c r="F3939" s="70"/>
      <c r="G3939" s="70"/>
      <c r="H3939" s="131"/>
      <c r="I3939" s="3"/>
    </row>
    <row r="3940" spans="1:9" s="93" customFormat="1" ht="9" customHeight="1" x14ac:dyDescent="0.3">
      <c r="A3940" s="91"/>
      <c r="B3940" s="70"/>
      <c r="C3940" s="70"/>
      <c r="D3940" s="70"/>
      <c r="E3940" s="70"/>
      <c r="F3940" s="70"/>
      <c r="G3940" s="70"/>
      <c r="H3940" s="131"/>
      <c r="I3940" s="3"/>
    </row>
    <row r="3941" spans="1:9" s="93" customFormat="1" ht="9" customHeight="1" x14ac:dyDescent="0.3">
      <c r="A3941" s="91"/>
      <c r="B3941" s="70"/>
      <c r="C3941" s="70"/>
      <c r="D3941" s="70"/>
      <c r="E3941" s="70"/>
      <c r="F3941" s="70"/>
      <c r="G3941" s="70"/>
      <c r="H3941" s="131"/>
      <c r="I3941" s="3"/>
    </row>
    <row r="3942" spans="1:9" s="93" customFormat="1" ht="9" customHeight="1" x14ac:dyDescent="0.3">
      <c r="A3942" s="91"/>
      <c r="B3942" s="70"/>
      <c r="C3942" s="70"/>
      <c r="D3942" s="70"/>
      <c r="E3942" s="70"/>
      <c r="F3942" s="70"/>
      <c r="G3942" s="70"/>
      <c r="H3942" s="131"/>
      <c r="I3942" s="3"/>
    </row>
    <row r="3943" spans="1:9" s="93" customFormat="1" ht="9" customHeight="1" x14ac:dyDescent="0.3">
      <c r="A3943" s="91"/>
      <c r="B3943" s="70"/>
      <c r="C3943" s="70"/>
      <c r="D3943" s="70"/>
      <c r="E3943" s="70"/>
      <c r="F3943" s="70"/>
      <c r="G3943" s="70"/>
      <c r="H3943" s="131"/>
      <c r="I3943" s="3"/>
    </row>
    <row r="3944" spans="1:9" s="93" customFormat="1" ht="9" customHeight="1" x14ac:dyDescent="0.3">
      <c r="A3944" s="91"/>
      <c r="B3944" s="70"/>
      <c r="C3944" s="70"/>
      <c r="D3944" s="70"/>
      <c r="E3944" s="70"/>
      <c r="F3944" s="70"/>
      <c r="G3944" s="70"/>
      <c r="H3944" s="131"/>
      <c r="I3944" s="3"/>
    </row>
    <row r="3945" spans="1:9" s="93" customFormat="1" ht="9" customHeight="1" x14ac:dyDescent="0.3">
      <c r="A3945" s="91"/>
      <c r="B3945" s="70"/>
      <c r="C3945" s="70"/>
      <c r="D3945" s="70"/>
      <c r="E3945" s="70"/>
      <c r="F3945" s="70"/>
      <c r="G3945" s="70"/>
      <c r="H3945" s="131"/>
      <c r="I3945" s="3"/>
    </row>
    <row r="3946" spans="1:9" s="93" customFormat="1" ht="9" customHeight="1" x14ac:dyDescent="0.3">
      <c r="A3946" s="91"/>
      <c r="B3946" s="70"/>
      <c r="C3946" s="70"/>
      <c r="D3946" s="70"/>
      <c r="E3946" s="70"/>
      <c r="F3946" s="70"/>
      <c r="G3946" s="70"/>
      <c r="H3946" s="131"/>
      <c r="I3946" s="3"/>
    </row>
    <row r="3947" spans="1:9" s="93" customFormat="1" ht="9" customHeight="1" x14ac:dyDescent="0.3">
      <c r="A3947" s="91"/>
      <c r="B3947" s="70"/>
      <c r="C3947" s="70"/>
      <c r="D3947" s="70"/>
      <c r="E3947" s="70"/>
      <c r="F3947" s="70"/>
      <c r="G3947" s="70"/>
      <c r="H3947" s="131"/>
      <c r="I3947" s="3"/>
    </row>
    <row r="3948" spans="1:9" s="93" customFormat="1" ht="9" customHeight="1" x14ac:dyDescent="0.3">
      <c r="A3948" s="91"/>
      <c r="B3948" s="70"/>
      <c r="C3948" s="70"/>
      <c r="D3948" s="70"/>
      <c r="E3948" s="70"/>
      <c r="F3948" s="70"/>
      <c r="G3948" s="70"/>
      <c r="H3948" s="131"/>
      <c r="I3948" s="3"/>
    </row>
    <row r="3949" spans="1:9" s="93" customFormat="1" ht="9" customHeight="1" x14ac:dyDescent="0.3">
      <c r="A3949" s="91"/>
      <c r="B3949" s="70"/>
      <c r="C3949" s="70"/>
      <c r="D3949" s="70"/>
      <c r="E3949" s="70"/>
      <c r="F3949" s="70"/>
      <c r="G3949" s="70"/>
      <c r="H3949" s="131"/>
      <c r="I3949" s="3"/>
    </row>
    <row r="3950" spans="1:9" s="93" customFormat="1" ht="9" customHeight="1" x14ac:dyDescent="0.3">
      <c r="A3950" s="91"/>
      <c r="B3950" s="70"/>
      <c r="C3950" s="70"/>
      <c r="D3950" s="70"/>
      <c r="E3950" s="70"/>
      <c r="F3950" s="70"/>
      <c r="G3950" s="70"/>
      <c r="H3950" s="131"/>
      <c r="I3950" s="3"/>
    </row>
    <row r="3951" spans="1:9" s="93" customFormat="1" ht="9" customHeight="1" x14ac:dyDescent="0.3">
      <c r="A3951" s="91"/>
      <c r="B3951" s="70"/>
      <c r="C3951" s="70"/>
      <c r="D3951" s="70"/>
      <c r="E3951" s="70"/>
      <c r="F3951" s="70"/>
      <c r="G3951" s="70"/>
      <c r="H3951" s="131"/>
      <c r="I3951" s="3"/>
    </row>
    <row r="3952" spans="1:9" s="93" customFormat="1" ht="9" customHeight="1" x14ac:dyDescent="0.3">
      <c r="A3952" s="91"/>
      <c r="B3952" s="70"/>
      <c r="C3952" s="70"/>
      <c r="D3952" s="70"/>
      <c r="E3952" s="70"/>
      <c r="F3952" s="70"/>
      <c r="G3952" s="70"/>
      <c r="H3952" s="131"/>
      <c r="I3952" s="3"/>
    </row>
    <row r="3953" spans="1:9" s="93" customFormat="1" ht="9" customHeight="1" x14ac:dyDescent="0.3">
      <c r="A3953" s="91"/>
      <c r="B3953" s="70"/>
      <c r="C3953" s="70"/>
      <c r="D3953" s="70"/>
      <c r="E3953" s="70"/>
      <c r="F3953" s="70"/>
      <c r="G3953" s="70"/>
      <c r="H3953" s="131"/>
      <c r="I3953" s="3"/>
    </row>
    <row r="3954" spans="1:9" s="93" customFormat="1" ht="9" customHeight="1" x14ac:dyDescent="0.3">
      <c r="A3954" s="91"/>
      <c r="B3954" s="70"/>
      <c r="C3954" s="70"/>
      <c r="D3954" s="70"/>
      <c r="E3954" s="70"/>
      <c r="F3954" s="70"/>
      <c r="G3954" s="70"/>
      <c r="H3954" s="131"/>
      <c r="I3954" s="3"/>
    </row>
    <row r="3955" spans="1:9" s="93" customFormat="1" ht="9" customHeight="1" x14ac:dyDescent="0.3">
      <c r="A3955" s="91"/>
      <c r="B3955" s="70"/>
      <c r="C3955" s="70"/>
      <c r="D3955" s="70"/>
      <c r="E3955" s="70"/>
      <c r="F3955" s="70"/>
      <c r="G3955" s="70"/>
      <c r="H3955" s="131"/>
      <c r="I3955" s="3"/>
    </row>
    <row r="3956" spans="1:9" s="93" customFormat="1" ht="9" customHeight="1" x14ac:dyDescent="0.3">
      <c r="A3956" s="91"/>
      <c r="B3956" s="70"/>
      <c r="C3956" s="70"/>
      <c r="D3956" s="70"/>
      <c r="E3956" s="70"/>
      <c r="F3956" s="70"/>
      <c r="G3956" s="70"/>
      <c r="H3956" s="131"/>
      <c r="I3956" s="3"/>
    </row>
    <row r="3957" spans="1:9" s="93" customFormat="1" ht="9" customHeight="1" x14ac:dyDescent="0.3">
      <c r="A3957" s="91"/>
      <c r="B3957" s="70"/>
      <c r="C3957" s="70"/>
      <c r="D3957" s="70"/>
      <c r="E3957" s="70"/>
      <c r="F3957" s="70"/>
      <c r="G3957" s="70"/>
      <c r="H3957" s="131"/>
      <c r="I3957" s="3"/>
    </row>
    <row r="3958" spans="1:9" s="93" customFormat="1" ht="9" customHeight="1" x14ac:dyDescent="0.3">
      <c r="A3958" s="91"/>
      <c r="B3958" s="70"/>
      <c r="C3958" s="70"/>
      <c r="D3958" s="70"/>
      <c r="E3958" s="70"/>
      <c r="F3958" s="70"/>
      <c r="G3958" s="70"/>
      <c r="H3958" s="131"/>
      <c r="I3958" s="3"/>
    </row>
    <row r="3959" spans="1:9" s="93" customFormat="1" ht="9" customHeight="1" x14ac:dyDescent="0.3">
      <c r="A3959" s="91"/>
      <c r="B3959" s="70"/>
      <c r="C3959" s="70"/>
      <c r="D3959" s="70"/>
      <c r="E3959" s="70"/>
      <c r="F3959" s="70"/>
      <c r="G3959" s="70"/>
      <c r="H3959" s="131"/>
      <c r="I3959" s="3"/>
    </row>
    <row r="3960" spans="1:9" s="93" customFormat="1" ht="9" customHeight="1" x14ac:dyDescent="0.3">
      <c r="A3960" s="91"/>
      <c r="B3960" s="70"/>
      <c r="C3960" s="70"/>
      <c r="D3960" s="70"/>
      <c r="E3960" s="70"/>
      <c r="F3960" s="70"/>
      <c r="G3960" s="70"/>
      <c r="H3960" s="131"/>
      <c r="I3960" s="3"/>
    </row>
    <row r="3961" spans="1:9" s="93" customFormat="1" ht="9" customHeight="1" x14ac:dyDescent="0.3">
      <c r="A3961" s="91"/>
      <c r="B3961" s="70"/>
      <c r="C3961" s="70"/>
      <c r="D3961" s="70"/>
      <c r="E3961" s="70"/>
      <c r="F3961" s="70"/>
      <c r="G3961" s="70"/>
      <c r="H3961" s="131"/>
      <c r="I3961" s="3"/>
    </row>
    <row r="3962" spans="1:9" s="93" customFormat="1" ht="9" customHeight="1" x14ac:dyDescent="0.3">
      <c r="A3962" s="91"/>
      <c r="B3962" s="70"/>
      <c r="C3962" s="70"/>
      <c r="D3962" s="70"/>
      <c r="E3962" s="70"/>
      <c r="F3962" s="70"/>
      <c r="G3962" s="70"/>
      <c r="H3962" s="131"/>
      <c r="I3962" s="3"/>
    </row>
    <row r="3963" spans="1:9" s="93" customFormat="1" ht="9" customHeight="1" x14ac:dyDescent="0.3">
      <c r="A3963" s="91"/>
      <c r="B3963" s="70"/>
      <c r="C3963" s="70"/>
      <c r="D3963" s="70"/>
      <c r="E3963" s="70"/>
      <c r="F3963" s="70"/>
      <c r="G3963" s="70"/>
      <c r="H3963" s="131"/>
      <c r="I3963" s="3"/>
    </row>
    <row r="3964" spans="1:9" s="93" customFormat="1" ht="9" customHeight="1" x14ac:dyDescent="0.3">
      <c r="A3964" s="91"/>
      <c r="B3964" s="70"/>
      <c r="C3964" s="70"/>
      <c r="D3964" s="70"/>
      <c r="E3964" s="70"/>
      <c r="F3964" s="70"/>
      <c r="G3964" s="70"/>
      <c r="H3964" s="131"/>
      <c r="I3964" s="3"/>
    </row>
    <row r="3965" spans="1:9" s="93" customFormat="1" ht="9" customHeight="1" x14ac:dyDescent="0.3">
      <c r="A3965" s="91"/>
      <c r="B3965" s="70"/>
      <c r="C3965" s="70"/>
      <c r="D3965" s="70"/>
      <c r="E3965" s="70"/>
      <c r="F3965" s="70"/>
      <c r="G3965" s="70"/>
      <c r="H3965" s="131"/>
      <c r="I3965" s="3"/>
    </row>
    <row r="3966" spans="1:9" s="93" customFormat="1" ht="9" customHeight="1" x14ac:dyDescent="0.3">
      <c r="A3966" s="91"/>
      <c r="B3966" s="70"/>
      <c r="C3966" s="70"/>
      <c r="D3966" s="70"/>
      <c r="E3966" s="70"/>
      <c r="F3966" s="70"/>
      <c r="G3966" s="70"/>
      <c r="H3966" s="131"/>
      <c r="I3966" s="3"/>
    </row>
    <row r="3967" spans="1:9" s="93" customFormat="1" ht="9" customHeight="1" x14ac:dyDescent="0.3">
      <c r="A3967" s="91"/>
      <c r="B3967" s="70"/>
      <c r="C3967" s="70"/>
      <c r="D3967" s="70"/>
      <c r="E3967" s="70"/>
      <c r="F3967" s="70"/>
      <c r="G3967" s="70"/>
      <c r="H3967" s="131"/>
      <c r="I3967" s="3"/>
    </row>
    <row r="3968" spans="1:9" s="93" customFormat="1" ht="9" customHeight="1" x14ac:dyDescent="0.3">
      <c r="A3968" s="91"/>
      <c r="B3968" s="70"/>
      <c r="C3968" s="70"/>
      <c r="D3968" s="70"/>
      <c r="E3968" s="70"/>
      <c r="F3968" s="70"/>
      <c r="G3968" s="70"/>
      <c r="H3968" s="131"/>
      <c r="I3968" s="3"/>
    </row>
    <row r="3969" spans="1:9" s="93" customFormat="1" ht="9" customHeight="1" x14ac:dyDescent="0.3">
      <c r="A3969" s="91"/>
      <c r="B3969" s="70"/>
      <c r="C3969" s="70"/>
      <c r="D3969" s="70"/>
      <c r="E3969" s="70"/>
      <c r="F3969" s="70"/>
      <c r="G3969" s="70"/>
      <c r="H3969" s="131"/>
      <c r="I3969" s="3"/>
    </row>
    <row r="3970" spans="1:9" s="93" customFormat="1" ht="9" customHeight="1" x14ac:dyDescent="0.3">
      <c r="A3970" s="91"/>
      <c r="B3970" s="70"/>
      <c r="C3970" s="70"/>
      <c r="D3970" s="70"/>
      <c r="E3970" s="70"/>
      <c r="F3970" s="70"/>
      <c r="G3970" s="70"/>
      <c r="H3970" s="131"/>
      <c r="I3970" s="3"/>
    </row>
    <row r="3971" spans="1:9" s="93" customFormat="1" ht="9" customHeight="1" x14ac:dyDescent="0.3">
      <c r="A3971" s="91"/>
      <c r="B3971" s="70"/>
      <c r="C3971" s="70"/>
      <c r="D3971" s="70"/>
      <c r="E3971" s="70"/>
      <c r="F3971" s="70"/>
      <c r="G3971" s="70"/>
      <c r="H3971" s="131"/>
      <c r="I3971" s="3"/>
    </row>
    <row r="3972" spans="1:9" s="93" customFormat="1" ht="9" customHeight="1" x14ac:dyDescent="0.3">
      <c r="A3972" s="91"/>
      <c r="B3972" s="70"/>
      <c r="C3972" s="70"/>
      <c r="D3972" s="70"/>
      <c r="E3972" s="70"/>
      <c r="F3972" s="70"/>
      <c r="G3972" s="70"/>
      <c r="H3972" s="131"/>
      <c r="I3972" s="3"/>
    </row>
    <row r="3973" spans="1:9" s="93" customFormat="1" ht="9" customHeight="1" x14ac:dyDescent="0.3">
      <c r="A3973" s="91"/>
      <c r="B3973" s="70"/>
      <c r="C3973" s="70"/>
      <c r="D3973" s="70"/>
      <c r="E3973" s="70"/>
      <c r="F3973" s="70"/>
      <c r="G3973" s="70"/>
      <c r="H3973" s="131"/>
      <c r="I3973" s="3"/>
    </row>
    <row r="3974" spans="1:9" s="93" customFormat="1" ht="9" customHeight="1" x14ac:dyDescent="0.3">
      <c r="A3974" s="91"/>
      <c r="B3974" s="70"/>
      <c r="C3974" s="70"/>
      <c r="D3974" s="70"/>
      <c r="E3974" s="70"/>
      <c r="F3974" s="70"/>
      <c r="G3974" s="70"/>
      <c r="H3974" s="131"/>
      <c r="I3974" s="3"/>
    </row>
    <row r="3975" spans="1:9" s="93" customFormat="1" ht="9" customHeight="1" x14ac:dyDescent="0.3">
      <c r="A3975" s="91"/>
      <c r="B3975" s="70"/>
      <c r="C3975" s="70"/>
      <c r="D3975" s="70"/>
      <c r="E3975" s="70"/>
      <c r="F3975" s="70"/>
      <c r="G3975" s="70"/>
      <c r="H3975" s="131"/>
      <c r="I3975" s="3"/>
    </row>
    <row r="3976" spans="1:9" s="93" customFormat="1" ht="9" customHeight="1" x14ac:dyDescent="0.3">
      <c r="A3976" s="91"/>
      <c r="B3976" s="70"/>
      <c r="C3976" s="70"/>
      <c r="D3976" s="70"/>
      <c r="E3976" s="70"/>
      <c r="F3976" s="70"/>
      <c r="G3976" s="70"/>
      <c r="H3976" s="131"/>
      <c r="I3976" s="3"/>
    </row>
    <row r="3977" spans="1:9" s="93" customFormat="1" ht="9" customHeight="1" x14ac:dyDescent="0.3">
      <c r="A3977" s="91"/>
      <c r="B3977" s="70"/>
      <c r="C3977" s="70"/>
      <c r="D3977" s="70"/>
      <c r="E3977" s="70"/>
      <c r="F3977" s="70"/>
      <c r="G3977" s="70"/>
      <c r="H3977" s="131"/>
      <c r="I3977" s="3"/>
    </row>
    <row r="3978" spans="1:9" s="93" customFormat="1" ht="9" customHeight="1" x14ac:dyDescent="0.3">
      <c r="A3978" s="91"/>
      <c r="B3978" s="70"/>
      <c r="C3978" s="70"/>
      <c r="D3978" s="70"/>
      <c r="E3978" s="70"/>
      <c r="F3978" s="70"/>
      <c r="G3978" s="70"/>
      <c r="H3978" s="131"/>
      <c r="I3978" s="3"/>
    </row>
    <row r="3979" spans="1:9" s="93" customFormat="1" ht="9" customHeight="1" x14ac:dyDescent="0.3">
      <c r="A3979" s="91"/>
      <c r="B3979" s="70"/>
      <c r="C3979" s="70"/>
      <c r="D3979" s="70"/>
      <c r="E3979" s="70"/>
      <c r="F3979" s="70"/>
      <c r="G3979" s="70"/>
      <c r="H3979" s="131"/>
      <c r="I3979" s="3"/>
    </row>
    <row r="3980" spans="1:9" s="93" customFormat="1" ht="9" customHeight="1" x14ac:dyDescent="0.3">
      <c r="A3980" s="91"/>
      <c r="B3980" s="70"/>
      <c r="C3980" s="70"/>
      <c r="D3980" s="70"/>
      <c r="E3980" s="70"/>
      <c r="F3980" s="70"/>
      <c r="G3980" s="70"/>
      <c r="H3980" s="131"/>
      <c r="I3980" s="3"/>
    </row>
    <row r="3981" spans="1:9" s="93" customFormat="1" ht="9" customHeight="1" x14ac:dyDescent="0.3">
      <c r="A3981" s="91"/>
      <c r="B3981" s="70"/>
      <c r="C3981" s="70"/>
      <c r="D3981" s="70"/>
      <c r="E3981" s="70"/>
      <c r="F3981" s="70"/>
      <c r="G3981" s="70"/>
      <c r="H3981" s="131"/>
      <c r="I3981" s="3"/>
    </row>
    <row r="3982" spans="1:9" s="93" customFormat="1" ht="9" customHeight="1" x14ac:dyDescent="0.3">
      <c r="A3982" s="91"/>
      <c r="B3982" s="70"/>
      <c r="C3982" s="70"/>
      <c r="D3982" s="70"/>
      <c r="E3982" s="70"/>
      <c r="F3982" s="70"/>
      <c r="G3982" s="70"/>
      <c r="H3982" s="131"/>
      <c r="I3982" s="3"/>
    </row>
    <row r="3983" spans="1:9" s="93" customFormat="1" ht="9" customHeight="1" x14ac:dyDescent="0.3">
      <c r="A3983" s="91"/>
      <c r="B3983" s="70"/>
      <c r="C3983" s="70"/>
      <c r="D3983" s="70"/>
      <c r="E3983" s="70"/>
      <c r="F3983" s="70"/>
      <c r="G3983" s="70"/>
      <c r="H3983" s="131"/>
      <c r="I3983" s="3"/>
    </row>
    <row r="3984" spans="1:9" s="93" customFormat="1" ht="9" customHeight="1" x14ac:dyDescent="0.3">
      <c r="A3984" s="91"/>
      <c r="B3984" s="70"/>
      <c r="C3984" s="70"/>
      <c r="D3984" s="70"/>
      <c r="E3984" s="70"/>
      <c r="F3984" s="70"/>
      <c r="G3984" s="70"/>
      <c r="H3984" s="131"/>
      <c r="I3984" s="3"/>
    </row>
    <row r="3985" spans="1:9" s="93" customFormat="1" ht="9" customHeight="1" x14ac:dyDescent="0.3">
      <c r="A3985" s="91"/>
      <c r="B3985" s="70"/>
      <c r="C3985" s="70"/>
      <c r="D3985" s="70"/>
      <c r="E3985" s="70"/>
      <c r="F3985" s="70"/>
      <c r="G3985" s="70"/>
      <c r="H3985" s="131"/>
      <c r="I3985" s="3"/>
    </row>
    <row r="3986" spans="1:9" s="93" customFormat="1" ht="9" customHeight="1" x14ac:dyDescent="0.3">
      <c r="A3986" s="91"/>
      <c r="B3986" s="70"/>
      <c r="C3986" s="70"/>
      <c r="D3986" s="70"/>
      <c r="E3986" s="70"/>
      <c r="F3986" s="70"/>
      <c r="G3986" s="70"/>
      <c r="H3986" s="131"/>
      <c r="I3986" s="3"/>
    </row>
    <row r="3987" spans="1:9" s="93" customFormat="1" ht="9" customHeight="1" x14ac:dyDescent="0.3">
      <c r="A3987" s="91"/>
      <c r="B3987" s="70"/>
      <c r="C3987" s="70"/>
      <c r="D3987" s="70"/>
      <c r="E3987" s="70"/>
      <c r="F3987" s="70"/>
      <c r="G3987" s="70"/>
      <c r="H3987" s="131"/>
      <c r="I3987" s="3"/>
    </row>
    <row r="3988" spans="1:9" s="93" customFormat="1" ht="9" customHeight="1" x14ac:dyDescent="0.3">
      <c r="A3988" s="91"/>
      <c r="B3988" s="70"/>
      <c r="C3988" s="70"/>
      <c r="D3988" s="70"/>
      <c r="E3988" s="70"/>
      <c r="F3988" s="70"/>
      <c r="G3988" s="70"/>
      <c r="H3988" s="131"/>
      <c r="I3988" s="3"/>
    </row>
    <row r="3989" spans="1:9" s="93" customFormat="1" ht="9" customHeight="1" x14ac:dyDescent="0.3">
      <c r="A3989" s="91"/>
      <c r="B3989" s="70"/>
      <c r="C3989" s="70"/>
      <c r="D3989" s="70"/>
      <c r="E3989" s="70"/>
      <c r="F3989" s="70"/>
      <c r="G3989" s="70"/>
      <c r="H3989" s="131"/>
      <c r="I3989" s="3"/>
    </row>
    <row r="3990" spans="1:9" s="93" customFormat="1" ht="9" customHeight="1" x14ac:dyDescent="0.3">
      <c r="A3990" s="91"/>
      <c r="B3990" s="70"/>
      <c r="C3990" s="70"/>
      <c r="D3990" s="70"/>
      <c r="E3990" s="70"/>
      <c r="F3990" s="70"/>
      <c r="G3990" s="70"/>
      <c r="H3990" s="131"/>
      <c r="I3990" s="3"/>
    </row>
    <row r="3991" spans="1:9" s="93" customFormat="1" ht="9" customHeight="1" x14ac:dyDescent="0.3">
      <c r="A3991" s="91"/>
      <c r="B3991" s="70"/>
      <c r="C3991" s="70"/>
      <c r="D3991" s="70"/>
      <c r="E3991" s="70"/>
      <c r="F3991" s="70"/>
      <c r="G3991" s="70"/>
      <c r="H3991" s="131"/>
      <c r="I3991" s="3"/>
    </row>
    <row r="3992" spans="1:9" s="93" customFormat="1" ht="9" customHeight="1" x14ac:dyDescent="0.3">
      <c r="A3992" s="91"/>
      <c r="B3992" s="70"/>
      <c r="C3992" s="70"/>
      <c r="D3992" s="70"/>
      <c r="E3992" s="70"/>
      <c r="F3992" s="70"/>
      <c r="G3992" s="70"/>
      <c r="H3992" s="131"/>
      <c r="I3992" s="3"/>
    </row>
    <row r="3993" spans="1:9" s="93" customFormat="1" ht="9" customHeight="1" x14ac:dyDescent="0.3">
      <c r="A3993" s="91"/>
      <c r="B3993" s="70"/>
      <c r="C3993" s="70"/>
      <c r="D3993" s="70"/>
      <c r="E3993" s="70"/>
      <c r="F3993" s="70"/>
      <c r="G3993" s="70"/>
      <c r="H3993" s="131"/>
      <c r="I3993" s="3"/>
    </row>
    <row r="3994" spans="1:9" s="93" customFormat="1" ht="9" customHeight="1" x14ac:dyDescent="0.3">
      <c r="A3994" s="91"/>
      <c r="B3994" s="70"/>
      <c r="C3994" s="70"/>
      <c r="D3994" s="70"/>
      <c r="E3994" s="70"/>
      <c r="F3994" s="70"/>
      <c r="G3994" s="70"/>
      <c r="H3994" s="131"/>
      <c r="I3994" s="3"/>
    </row>
    <row r="3995" spans="1:9" s="93" customFormat="1" ht="9" customHeight="1" x14ac:dyDescent="0.3">
      <c r="A3995" s="91"/>
      <c r="B3995" s="70"/>
      <c r="C3995" s="70"/>
      <c r="D3995" s="70"/>
      <c r="E3995" s="70"/>
      <c r="F3995" s="70"/>
      <c r="G3995" s="70"/>
      <c r="H3995" s="131"/>
      <c r="I3995" s="3"/>
    </row>
    <row r="3996" spans="1:9" s="93" customFormat="1" ht="9" customHeight="1" x14ac:dyDescent="0.3">
      <c r="A3996" s="91"/>
      <c r="B3996" s="70"/>
      <c r="C3996" s="70"/>
      <c r="D3996" s="70"/>
      <c r="E3996" s="70"/>
      <c r="F3996" s="70"/>
      <c r="G3996" s="70"/>
      <c r="H3996" s="131"/>
      <c r="I3996" s="3"/>
    </row>
    <row r="3997" spans="1:9" s="93" customFormat="1" ht="9" customHeight="1" x14ac:dyDescent="0.3">
      <c r="A3997" s="91"/>
      <c r="B3997" s="70"/>
      <c r="C3997" s="70"/>
      <c r="D3997" s="70"/>
      <c r="E3997" s="70"/>
      <c r="F3997" s="70"/>
      <c r="G3997" s="70"/>
      <c r="H3997" s="131"/>
      <c r="I3997" s="3"/>
    </row>
    <row r="3998" spans="1:9" s="93" customFormat="1" ht="9" customHeight="1" x14ac:dyDescent="0.3">
      <c r="A3998" s="91"/>
      <c r="B3998" s="70"/>
      <c r="C3998" s="70"/>
      <c r="D3998" s="70"/>
      <c r="E3998" s="70"/>
      <c r="F3998" s="70"/>
      <c r="G3998" s="70"/>
      <c r="H3998" s="131"/>
      <c r="I3998" s="3"/>
    </row>
    <row r="3999" spans="1:9" s="93" customFormat="1" ht="9" customHeight="1" x14ac:dyDescent="0.3">
      <c r="A3999" s="91"/>
      <c r="B3999" s="70"/>
      <c r="C3999" s="70"/>
      <c r="D3999" s="70"/>
      <c r="E3999" s="70"/>
      <c r="F3999" s="70"/>
      <c r="G3999" s="70"/>
      <c r="H3999" s="131"/>
      <c r="I3999" s="3"/>
    </row>
    <row r="4000" spans="1:9" s="93" customFormat="1" ht="9" customHeight="1" x14ac:dyDescent="0.3">
      <c r="A4000" s="91"/>
      <c r="B4000" s="70"/>
      <c r="C4000" s="70"/>
      <c r="D4000" s="70"/>
      <c r="E4000" s="70"/>
      <c r="F4000" s="70"/>
      <c r="G4000" s="70"/>
      <c r="H4000" s="131"/>
      <c r="I4000" s="3"/>
    </row>
    <row r="4001" spans="1:9" s="93" customFormat="1" ht="9" customHeight="1" x14ac:dyDescent="0.3">
      <c r="A4001" s="91"/>
      <c r="B4001" s="70"/>
      <c r="C4001" s="70"/>
      <c r="D4001" s="70"/>
      <c r="E4001" s="70"/>
      <c r="F4001" s="70"/>
      <c r="G4001" s="70"/>
      <c r="H4001" s="131"/>
      <c r="I4001" s="3"/>
    </row>
    <row r="4002" spans="1:9" s="93" customFormat="1" ht="9" customHeight="1" x14ac:dyDescent="0.3">
      <c r="A4002" s="91"/>
      <c r="B4002" s="70"/>
      <c r="C4002" s="70"/>
      <c r="D4002" s="70"/>
      <c r="E4002" s="70"/>
      <c r="F4002" s="70"/>
      <c r="G4002" s="70"/>
      <c r="H4002" s="131"/>
      <c r="I4002" s="3"/>
    </row>
    <row r="4003" spans="1:9" s="93" customFormat="1" ht="9" customHeight="1" x14ac:dyDescent="0.3">
      <c r="A4003" s="91"/>
      <c r="B4003" s="70"/>
      <c r="C4003" s="70"/>
      <c r="D4003" s="70"/>
      <c r="E4003" s="70"/>
      <c r="F4003" s="70"/>
      <c r="G4003" s="70"/>
      <c r="H4003" s="131"/>
      <c r="I4003" s="3"/>
    </row>
    <row r="4004" spans="1:9" s="93" customFormat="1" ht="9" customHeight="1" x14ac:dyDescent="0.3">
      <c r="A4004" s="91"/>
      <c r="B4004" s="70"/>
      <c r="C4004" s="70"/>
      <c r="D4004" s="70"/>
      <c r="E4004" s="70"/>
      <c r="F4004" s="70"/>
      <c r="G4004" s="70"/>
      <c r="H4004" s="131"/>
      <c r="I4004" s="3"/>
    </row>
    <row r="4005" spans="1:9" s="93" customFormat="1" ht="9" customHeight="1" x14ac:dyDescent="0.3">
      <c r="A4005" s="91"/>
      <c r="B4005" s="70"/>
      <c r="C4005" s="70"/>
      <c r="D4005" s="70"/>
      <c r="E4005" s="70"/>
      <c r="F4005" s="70"/>
      <c r="G4005" s="70"/>
      <c r="H4005" s="131"/>
      <c r="I4005" s="3"/>
    </row>
    <row r="4006" spans="1:9" s="93" customFormat="1" ht="9" customHeight="1" x14ac:dyDescent="0.3">
      <c r="A4006" s="91"/>
      <c r="B4006" s="70"/>
      <c r="C4006" s="70"/>
      <c r="D4006" s="70"/>
      <c r="E4006" s="70"/>
      <c r="F4006" s="70"/>
      <c r="G4006" s="70"/>
      <c r="H4006" s="131"/>
      <c r="I4006" s="3"/>
    </row>
    <row r="4007" spans="1:9" s="93" customFormat="1" ht="9" customHeight="1" x14ac:dyDescent="0.3">
      <c r="A4007" s="91"/>
      <c r="B4007" s="70"/>
      <c r="C4007" s="70"/>
      <c r="D4007" s="70"/>
      <c r="E4007" s="70"/>
      <c r="F4007" s="70"/>
      <c r="G4007" s="70"/>
      <c r="H4007" s="131"/>
      <c r="I4007" s="3"/>
    </row>
    <row r="4008" spans="1:9" s="93" customFormat="1" ht="9" customHeight="1" x14ac:dyDescent="0.3">
      <c r="A4008" s="91"/>
      <c r="B4008" s="70"/>
      <c r="C4008" s="70"/>
      <c r="D4008" s="70"/>
      <c r="E4008" s="70"/>
      <c r="F4008" s="70"/>
      <c r="G4008" s="70"/>
      <c r="H4008" s="131"/>
      <c r="I4008" s="3"/>
    </row>
    <row r="4009" spans="1:9" s="93" customFormat="1" ht="9" customHeight="1" x14ac:dyDescent="0.3">
      <c r="A4009" s="91"/>
      <c r="B4009" s="70"/>
      <c r="C4009" s="70"/>
      <c r="D4009" s="70"/>
      <c r="E4009" s="70"/>
      <c r="F4009" s="70"/>
      <c r="G4009" s="70"/>
      <c r="H4009" s="131"/>
      <c r="I4009" s="3"/>
    </row>
    <row r="4010" spans="1:9" s="93" customFormat="1" ht="9" customHeight="1" x14ac:dyDescent="0.3">
      <c r="A4010" s="91"/>
      <c r="B4010" s="70"/>
      <c r="C4010" s="70"/>
      <c r="D4010" s="70"/>
      <c r="E4010" s="70"/>
      <c r="F4010" s="70"/>
      <c r="G4010" s="70"/>
      <c r="H4010" s="131"/>
      <c r="I4010" s="3"/>
    </row>
    <row r="4011" spans="1:9" s="93" customFormat="1" ht="9" customHeight="1" x14ac:dyDescent="0.3">
      <c r="A4011" s="91"/>
      <c r="B4011" s="70"/>
      <c r="C4011" s="70"/>
      <c r="D4011" s="70"/>
      <c r="E4011" s="70"/>
      <c r="F4011" s="70"/>
      <c r="G4011" s="70"/>
      <c r="H4011" s="131"/>
      <c r="I4011" s="3"/>
    </row>
    <row r="4012" spans="1:9" s="93" customFormat="1" ht="9" customHeight="1" x14ac:dyDescent="0.3">
      <c r="A4012" s="91"/>
      <c r="B4012" s="70"/>
      <c r="C4012" s="70"/>
      <c r="D4012" s="70"/>
      <c r="E4012" s="70"/>
      <c r="F4012" s="70"/>
      <c r="G4012" s="70"/>
      <c r="H4012" s="131"/>
      <c r="I4012" s="3"/>
    </row>
    <row r="4013" spans="1:9" s="93" customFormat="1" ht="9" customHeight="1" x14ac:dyDescent="0.3">
      <c r="A4013" s="91"/>
      <c r="B4013" s="70"/>
      <c r="C4013" s="70"/>
      <c r="D4013" s="70"/>
      <c r="E4013" s="70"/>
      <c r="F4013" s="70"/>
      <c r="G4013" s="70"/>
      <c r="H4013" s="131"/>
      <c r="I4013" s="3"/>
    </row>
    <row r="4014" spans="1:9" s="93" customFormat="1" ht="9" customHeight="1" x14ac:dyDescent="0.3">
      <c r="A4014" s="91"/>
      <c r="B4014" s="70"/>
      <c r="C4014" s="70"/>
      <c r="D4014" s="70"/>
      <c r="E4014" s="70"/>
      <c r="F4014" s="70"/>
      <c r="G4014" s="70"/>
      <c r="H4014" s="131"/>
      <c r="I4014" s="3"/>
    </row>
    <row r="4015" spans="1:9" s="93" customFormat="1" ht="9" customHeight="1" x14ac:dyDescent="0.3">
      <c r="A4015" s="91"/>
      <c r="B4015" s="70"/>
      <c r="C4015" s="70"/>
      <c r="D4015" s="70"/>
      <c r="E4015" s="70"/>
      <c r="F4015" s="70"/>
      <c r="G4015" s="70"/>
      <c r="H4015" s="131"/>
      <c r="I4015" s="3"/>
    </row>
    <row r="4016" spans="1:9" s="93" customFormat="1" ht="9" customHeight="1" x14ac:dyDescent="0.3">
      <c r="A4016" s="91"/>
      <c r="B4016" s="70"/>
      <c r="C4016" s="70"/>
      <c r="D4016" s="70"/>
      <c r="E4016" s="70"/>
      <c r="F4016" s="70"/>
      <c r="G4016" s="70"/>
      <c r="H4016" s="131"/>
      <c r="I4016" s="3"/>
    </row>
    <row r="4017" spans="1:9" s="93" customFormat="1" ht="9" customHeight="1" x14ac:dyDescent="0.3">
      <c r="A4017" s="91"/>
      <c r="B4017" s="70"/>
      <c r="C4017" s="70"/>
      <c r="D4017" s="70"/>
      <c r="E4017" s="70"/>
      <c r="F4017" s="70"/>
      <c r="G4017" s="70"/>
      <c r="H4017" s="131"/>
      <c r="I4017" s="3"/>
    </row>
    <row r="4018" spans="1:9" s="93" customFormat="1" ht="9" customHeight="1" x14ac:dyDescent="0.3">
      <c r="A4018" s="91"/>
      <c r="B4018" s="70"/>
      <c r="C4018" s="70"/>
      <c r="D4018" s="70"/>
      <c r="E4018" s="70"/>
      <c r="F4018" s="70"/>
      <c r="G4018" s="70"/>
      <c r="H4018" s="131"/>
      <c r="I4018" s="3"/>
    </row>
    <row r="4019" spans="1:9" s="93" customFormat="1" ht="9" customHeight="1" x14ac:dyDescent="0.3">
      <c r="A4019" s="91"/>
      <c r="B4019" s="70"/>
      <c r="C4019" s="70"/>
      <c r="D4019" s="70"/>
      <c r="E4019" s="70"/>
      <c r="F4019" s="70"/>
      <c r="G4019" s="70"/>
      <c r="H4019" s="131"/>
      <c r="I4019" s="3"/>
    </row>
    <row r="4020" spans="1:9" s="93" customFormat="1" ht="9" customHeight="1" x14ac:dyDescent="0.3">
      <c r="A4020" s="91"/>
      <c r="B4020" s="70"/>
      <c r="C4020" s="70"/>
      <c r="D4020" s="70"/>
      <c r="E4020" s="70"/>
      <c r="F4020" s="70"/>
      <c r="G4020" s="70"/>
      <c r="H4020" s="131"/>
      <c r="I4020" s="3"/>
    </row>
    <row r="4021" spans="1:9" s="93" customFormat="1" ht="9" customHeight="1" x14ac:dyDescent="0.3">
      <c r="A4021" s="91"/>
      <c r="B4021" s="70"/>
      <c r="C4021" s="70"/>
      <c r="D4021" s="70"/>
      <c r="E4021" s="70"/>
      <c r="F4021" s="70"/>
      <c r="G4021" s="70"/>
      <c r="H4021" s="131"/>
      <c r="I4021" s="3"/>
    </row>
    <row r="4022" spans="1:9" s="93" customFormat="1" ht="9" customHeight="1" x14ac:dyDescent="0.3">
      <c r="A4022" s="91"/>
      <c r="B4022" s="70"/>
      <c r="C4022" s="70"/>
      <c r="D4022" s="70"/>
      <c r="E4022" s="70"/>
      <c r="F4022" s="70"/>
      <c r="G4022" s="70"/>
      <c r="H4022" s="131"/>
      <c r="I4022" s="3"/>
    </row>
    <row r="4023" spans="1:9" s="93" customFormat="1" ht="9" customHeight="1" x14ac:dyDescent="0.3">
      <c r="A4023" s="91"/>
      <c r="B4023" s="70"/>
      <c r="C4023" s="70"/>
      <c r="D4023" s="70"/>
      <c r="E4023" s="70"/>
      <c r="F4023" s="70"/>
      <c r="G4023" s="70"/>
      <c r="H4023" s="131"/>
      <c r="I4023" s="3"/>
    </row>
    <row r="4024" spans="1:9" s="93" customFormat="1" ht="9" customHeight="1" x14ac:dyDescent="0.3">
      <c r="A4024" s="91"/>
      <c r="B4024" s="70"/>
      <c r="C4024" s="70"/>
      <c r="D4024" s="70"/>
      <c r="E4024" s="70"/>
      <c r="F4024" s="70"/>
      <c r="G4024" s="70"/>
      <c r="H4024" s="131"/>
      <c r="I4024" s="3"/>
    </row>
    <row r="4025" spans="1:9" s="93" customFormat="1" ht="9" customHeight="1" x14ac:dyDescent="0.3">
      <c r="A4025" s="91"/>
      <c r="B4025" s="70"/>
      <c r="C4025" s="70"/>
      <c r="D4025" s="70"/>
      <c r="E4025" s="70"/>
      <c r="F4025" s="70"/>
      <c r="G4025" s="70"/>
      <c r="H4025" s="131"/>
      <c r="I4025" s="3"/>
    </row>
    <row r="4026" spans="1:9" s="93" customFormat="1" ht="9" customHeight="1" x14ac:dyDescent="0.3">
      <c r="A4026" s="91"/>
      <c r="B4026" s="70"/>
      <c r="C4026" s="70"/>
      <c r="D4026" s="70"/>
      <c r="E4026" s="70"/>
      <c r="F4026" s="70"/>
      <c r="G4026" s="70"/>
      <c r="H4026" s="131"/>
      <c r="I4026" s="3"/>
    </row>
    <row r="4027" spans="1:9" s="93" customFormat="1" ht="9" customHeight="1" x14ac:dyDescent="0.3">
      <c r="A4027" s="91"/>
      <c r="B4027" s="70"/>
      <c r="C4027" s="70"/>
      <c r="D4027" s="70"/>
      <c r="E4027" s="70"/>
      <c r="F4027" s="70"/>
      <c r="G4027" s="70"/>
      <c r="H4027" s="131"/>
      <c r="I4027" s="3"/>
    </row>
    <row r="4028" spans="1:9" s="93" customFormat="1" ht="9" customHeight="1" x14ac:dyDescent="0.3">
      <c r="A4028" s="91"/>
      <c r="B4028" s="70"/>
      <c r="C4028" s="70"/>
      <c r="D4028" s="70"/>
      <c r="E4028" s="70"/>
      <c r="F4028" s="70"/>
      <c r="G4028" s="70"/>
      <c r="H4028" s="131"/>
      <c r="I4028" s="3"/>
    </row>
    <row r="4029" spans="1:9" s="93" customFormat="1" ht="9" customHeight="1" x14ac:dyDescent="0.3">
      <c r="A4029" s="91"/>
      <c r="B4029" s="70"/>
      <c r="C4029" s="70"/>
      <c r="D4029" s="70"/>
      <c r="E4029" s="70"/>
      <c r="F4029" s="70"/>
      <c r="G4029" s="70"/>
      <c r="H4029" s="131"/>
      <c r="I4029" s="3"/>
    </row>
    <row r="4030" spans="1:9" s="93" customFormat="1" ht="9" customHeight="1" x14ac:dyDescent="0.3">
      <c r="A4030" s="91"/>
      <c r="B4030" s="70"/>
      <c r="C4030" s="70"/>
      <c r="D4030" s="70"/>
      <c r="E4030" s="70"/>
      <c r="F4030" s="70"/>
      <c r="G4030" s="70"/>
      <c r="H4030" s="131"/>
      <c r="I4030" s="3"/>
    </row>
    <row r="4031" spans="1:9" s="93" customFormat="1" ht="9" customHeight="1" x14ac:dyDescent="0.3">
      <c r="A4031" s="91"/>
      <c r="B4031" s="70"/>
      <c r="C4031" s="70"/>
      <c r="D4031" s="70"/>
      <c r="E4031" s="70"/>
      <c r="F4031" s="70"/>
      <c r="G4031" s="70"/>
      <c r="H4031" s="131"/>
      <c r="I4031" s="3"/>
    </row>
    <row r="4032" spans="1:9" s="93" customFormat="1" ht="9" customHeight="1" x14ac:dyDescent="0.3">
      <c r="A4032" s="91"/>
      <c r="B4032" s="70"/>
      <c r="C4032" s="70"/>
      <c r="D4032" s="70"/>
      <c r="E4032" s="70"/>
      <c r="F4032" s="70"/>
      <c r="G4032" s="70"/>
      <c r="H4032" s="131"/>
      <c r="I4032" s="3"/>
    </row>
    <row r="4033" spans="1:9" s="93" customFormat="1" ht="9" customHeight="1" x14ac:dyDescent="0.3">
      <c r="A4033" s="91"/>
      <c r="B4033" s="70"/>
      <c r="C4033" s="70"/>
      <c r="D4033" s="70"/>
      <c r="E4033" s="70"/>
      <c r="F4033" s="70"/>
      <c r="G4033" s="70"/>
      <c r="H4033" s="131"/>
      <c r="I4033" s="3"/>
    </row>
    <row r="4034" spans="1:9" s="93" customFormat="1" ht="9" customHeight="1" x14ac:dyDescent="0.3">
      <c r="A4034" s="91"/>
      <c r="B4034" s="70"/>
      <c r="C4034" s="70"/>
      <c r="D4034" s="70"/>
      <c r="E4034" s="70"/>
      <c r="F4034" s="70"/>
      <c r="G4034" s="70"/>
      <c r="H4034" s="131"/>
      <c r="I4034" s="3"/>
    </row>
    <row r="4035" spans="1:9" s="93" customFormat="1" ht="9" customHeight="1" x14ac:dyDescent="0.3">
      <c r="A4035" s="91"/>
      <c r="B4035" s="70"/>
      <c r="C4035" s="70"/>
      <c r="D4035" s="70"/>
      <c r="E4035" s="70"/>
      <c r="F4035" s="70"/>
      <c r="G4035" s="70"/>
      <c r="H4035" s="131"/>
      <c r="I4035" s="3"/>
    </row>
    <row r="4036" spans="1:9" s="93" customFormat="1" ht="9" customHeight="1" x14ac:dyDescent="0.3">
      <c r="A4036" s="91"/>
      <c r="B4036" s="70"/>
      <c r="C4036" s="70"/>
      <c r="D4036" s="70"/>
      <c r="E4036" s="70"/>
      <c r="F4036" s="70"/>
      <c r="G4036" s="70"/>
      <c r="H4036" s="131"/>
      <c r="I4036" s="3"/>
    </row>
    <row r="4037" spans="1:9" s="93" customFormat="1" ht="9" customHeight="1" x14ac:dyDescent="0.3">
      <c r="A4037" s="91"/>
      <c r="B4037" s="70"/>
      <c r="C4037" s="70"/>
      <c r="D4037" s="70"/>
      <c r="E4037" s="70"/>
      <c r="F4037" s="70"/>
      <c r="G4037" s="70"/>
      <c r="H4037" s="131"/>
      <c r="I4037" s="3"/>
    </row>
    <row r="4038" spans="1:9" s="93" customFormat="1" ht="9" customHeight="1" x14ac:dyDescent="0.3">
      <c r="A4038" s="91"/>
      <c r="B4038" s="70"/>
      <c r="C4038" s="70"/>
      <c r="D4038" s="70"/>
      <c r="E4038" s="70"/>
      <c r="F4038" s="70"/>
      <c r="G4038" s="70"/>
      <c r="H4038" s="131"/>
      <c r="I4038" s="3"/>
    </row>
    <row r="4039" spans="1:9" s="93" customFormat="1" ht="9" customHeight="1" x14ac:dyDescent="0.3">
      <c r="A4039" s="91"/>
      <c r="B4039" s="70"/>
      <c r="C4039" s="70"/>
      <c r="D4039" s="70"/>
      <c r="E4039" s="70"/>
      <c r="F4039" s="70"/>
      <c r="G4039" s="70"/>
      <c r="H4039" s="131"/>
      <c r="I4039" s="3"/>
    </row>
    <row r="4040" spans="1:9" s="93" customFormat="1" ht="9" customHeight="1" x14ac:dyDescent="0.3">
      <c r="A4040" s="91"/>
      <c r="B4040" s="70"/>
      <c r="C4040" s="70"/>
      <c r="D4040" s="70"/>
      <c r="E4040" s="70"/>
      <c r="F4040" s="70"/>
      <c r="G4040" s="70"/>
      <c r="H4040" s="131"/>
      <c r="I4040" s="3"/>
    </row>
    <row r="4041" spans="1:9" s="93" customFormat="1" ht="9" customHeight="1" x14ac:dyDescent="0.3">
      <c r="A4041" s="91"/>
      <c r="B4041" s="70"/>
      <c r="C4041" s="70"/>
      <c r="D4041" s="70"/>
      <c r="E4041" s="70"/>
      <c r="F4041" s="70"/>
      <c r="G4041" s="70"/>
      <c r="H4041" s="131"/>
      <c r="I4041" s="3"/>
    </row>
    <row r="4042" spans="1:9" s="93" customFormat="1" ht="9" customHeight="1" x14ac:dyDescent="0.3">
      <c r="A4042" s="91"/>
      <c r="B4042" s="70"/>
      <c r="C4042" s="70"/>
      <c r="D4042" s="70"/>
      <c r="E4042" s="70"/>
      <c r="F4042" s="70"/>
      <c r="G4042" s="70"/>
      <c r="H4042" s="131"/>
      <c r="I4042" s="3"/>
    </row>
    <row r="4043" spans="1:9" s="93" customFormat="1" ht="9" customHeight="1" x14ac:dyDescent="0.3">
      <c r="A4043" s="91"/>
      <c r="B4043" s="70"/>
      <c r="C4043" s="70"/>
      <c r="D4043" s="70"/>
      <c r="E4043" s="70"/>
      <c r="F4043" s="70"/>
      <c r="G4043" s="70"/>
      <c r="H4043" s="131"/>
      <c r="I4043" s="3"/>
    </row>
    <row r="4044" spans="1:9" s="93" customFormat="1" ht="9" customHeight="1" x14ac:dyDescent="0.3">
      <c r="A4044" s="91"/>
      <c r="B4044" s="70"/>
      <c r="C4044" s="70"/>
      <c r="D4044" s="70"/>
      <c r="E4044" s="70"/>
      <c r="F4044" s="70"/>
      <c r="G4044" s="70"/>
      <c r="H4044" s="131"/>
      <c r="I4044" s="3"/>
    </row>
    <row r="4045" spans="1:9" s="93" customFormat="1" ht="9" customHeight="1" x14ac:dyDescent="0.3">
      <c r="A4045" s="91"/>
      <c r="B4045" s="70"/>
      <c r="C4045" s="70"/>
      <c r="D4045" s="70"/>
      <c r="E4045" s="70"/>
      <c r="F4045" s="70"/>
      <c r="G4045" s="70"/>
      <c r="H4045" s="131"/>
      <c r="I4045" s="3"/>
    </row>
    <row r="4046" spans="1:9" s="93" customFormat="1" ht="9" customHeight="1" x14ac:dyDescent="0.3">
      <c r="A4046" s="91"/>
      <c r="B4046" s="70"/>
      <c r="C4046" s="70"/>
      <c r="D4046" s="70"/>
      <c r="E4046" s="70"/>
      <c r="F4046" s="70"/>
      <c r="G4046" s="70"/>
      <c r="H4046" s="131"/>
      <c r="I4046" s="3"/>
    </row>
    <row r="4047" spans="1:9" s="93" customFormat="1" ht="9" customHeight="1" x14ac:dyDescent="0.3">
      <c r="A4047" s="91"/>
      <c r="B4047" s="70"/>
      <c r="C4047" s="70"/>
      <c r="D4047" s="70"/>
      <c r="E4047" s="70"/>
      <c r="F4047" s="70"/>
      <c r="G4047" s="70"/>
      <c r="H4047" s="131"/>
      <c r="I4047" s="3"/>
    </row>
    <row r="4048" spans="1:9" s="93" customFormat="1" ht="9" customHeight="1" x14ac:dyDescent="0.3">
      <c r="A4048" s="91"/>
      <c r="B4048" s="70"/>
      <c r="C4048" s="70"/>
      <c r="D4048" s="70"/>
      <c r="E4048" s="70"/>
      <c r="F4048" s="70"/>
      <c r="G4048" s="70"/>
      <c r="H4048" s="131"/>
      <c r="I4048" s="3"/>
    </row>
    <row r="4049" spans="1:9" s="93" customFormat="1" ht="9" customHeight="1" x14ac:dyDescent="0.3">
      <c r="A4049" s="91"/>
      <c r="B4049" s="70"/>
      <c r="C4049" s="70"/>
      <c r="D4049" s="70"/>
      <c r="E4049" s="70"/>
      <c r="F4049" s="70"/>
      <c r="G4049" s="70"/>
      <c r="H4049" s="131"/>
      <c r="I4049" s="3"/>
    </row>
    <row r="4050" spans="1:9" s="93" customFormat="1" ht="9" customHeight="1" x14ac:dyDescent="0.3">
      <c r="A4050" s="91"/>
      <c r="B4050" s="70"/>
      <c r="C4050" s="70"/>
      <c r="D4050" s="70"/>
      <c r="E4050" s="70"/>
      <c r="F4050" s="70"/>
      <c r="G4050" s="70"/>
      <c r="H4050" s="131"/>
      <c r="I4050" s="3"/>
    </row>
    <row r="4051" spans="1:9" s="93" customFormat="1" ht="9" customHeight="1" x14ac:dyDescent="0.3">
      <c r="A4051" s="91"/>
      <c r="B4051" s="70"/>
      <c r="C4051" s="70"/>
      <c r="D4051" s="70"/>
      <c r="E4051" s="70"/>
      <c r="F4051" s="70"/>
      <c r="G4051" s="70"/>
      <c r="H4051" s="131"/>
      <c r="I4051" s="3"/>
    </row>
    <row r="4052" spans="1:9" s="93" customFormat="1" ht="9" customHeight="1" x14ac:dyDescent="0.3">
      <c r="A4052" s="91"/>
      <c r="B4052" s="70"/>
      <c r="C4052" s="70"/>
      <c r="D4052" s="70"/>
      <c r="E4052" s="70"/>
      <c r="F4052" s="70"/>
      <c r="G4052" s="70"/>
      <c r="H4052" s="131"/>
      <c r="I4052" s="3"/>
    </row>
    <row r="4053" spans="1:9" s="93" customFormat="1" ht="9" customHeight="1" x14ac:dyDescent="0.3">
      <c r="A4053" s="91"/>
      <c r="B4053" s="70"/>
      <c r="C4053" s="70"/>
      <c r="D4053" s="70"/>
      <c r="E4053" s="70"/>
      <c r="F4053" s="70"/>
      <c r="G4053" s="70"/>
      <c r="H4053" s="131"/>
      <c r="I4053" s="3"/>
    </row>
    <row r="4054" spans="1:9" s="93" customFormat="1" ht="9" customHeight="1" x14ac:dyDescent="0.3">
      <c r="A4054" s="91"/>
      <c r="B4054" s="70"/>
      <c r="C4054" s="70"/>
      <c r="D4054" s="70"/>
      <c r="E4054" s="70"/>
      <c r="F4054" s="70"/>
      <c r="G4054" s="70"/>
      <c r="H4054" s="131"/>
      <c r="I4054" s="3"/>
    </row>
    <row r="4055" spans="1:9" s="93" customFormat="1" ht="9" customHeight="1" x14ac:dyDescent="0.3">
      <c r="A4055" s="91"/>
      <c r="B4055" s="70"/>
      <c r="C4055" s="70"/>
      <c r="D4055" s="70"/>
      <c r="E4055" s="70"/>
      <c r="F4055" s="70"/>
      <c r="G4055" s="70"/>
      <c r="H4055" s="131"/>
      <c r="I4055" s="3"/>
    </row>
    <row r="4056" spans="1:9" s="93" customFormat="1" ht="9" customHeight="1" x14ac:dyDescent="0.3">
      <c r="A4056" s="91"/>
      <c r="B4056" s="70"/>
      <c r="C4056" s="70"/>
      <c r="D4056" s="70"/>
      <c r="E4056" s="70"/>
      <c r="F4056" s="70"/>
      <c r="G4056" s="70"/>
      <c r="H4056" s="131"/>
      <c r="I4056" s="3"/>
    </row>
    <row r="4057" spans="1:9" s="93" customFormat="1" ht="9" customHeight="1" x14ac:dyDescent="0.3">
      <c r="A4057" s="91"/>
      <c r="B4057" s="70"/>
      <c r="C4057" s="70"/>
      <c r="D4057" s="70"/>
      <c r="E4057" s="70"/>
      <c r="F4057" s="70"/>
      <c r="G4057" s="70"/>
      <c r="H4057" s="131"/>
      <c r="I4057" s="3"/>
    </row>
    <row r="4058" spans="1:9" s="93" customFormat="1" ht="9" customHeight="1" x14ac:dyDescent="0.3">
      <c r="A4058" s="91"/>
      <c r="B4058" s="70"/>
      <c r="C4058" s="70"/>
      <c r="D4058" s="70"/>
      <c r="E4058" s="70"/>
      <c r="F4058" s="70"/>
      <c r="G4058" s="70"/>
      <c r="H4058" s="131"/>
      <c r="I4058" s="3"/>
    </row>
    <row r="4059" spans="1:9" s="93" customFormat="1" ht="9" customHeight="1" x14ac:dyDescent="0.3">
      <c r="A4059" s="91"/>
      <c r="B4059" s="70"/>
      <c r="C4059" s="70"/>
      <c r="D4059" s="70"/>
      <c r="E4059" s="70"/>
      <c r="F4059" s="70"/>
      <c r="G4059" s="70"/>
      <c r="H4059" s="131"/>
      <c r="I4059" s="3"/>
    </row>
    <row r="4060" spans="1:9" s="93" customFormat="1" ht="9" customHeight="1" x14ac:dyDescent="0.3">
      <c r="A4060" s="91"/>
      <c r="B4060" s="70"/>
      <c r="C4060" s="70"/>
      <c r="D4060" s="70"/>
      <c r="E4060" s="70"/>
      <c r="F4060" s="70"/>
      <c r="G4060" s="70"/>
      <c r="H4060" s="131"/>
      <c r="I4060" s="3"/>
    </row>
    <row r="4061" spans="1:9" s="93" customFormat="1" ht="9" customHeight="1" x14ac:dyDescent="0.3">
      <c r="A4061" s="91"/>
      <c r="B4061" s="70"/>
      <c r="C4061" s="70"/>
      <c r="D4061" s="70"/>
      <c r="E4061" s="70"/>
      <c r="F4061" s="70"/>
      <c r="G4061" s="70"/>
      <c r="H4061" s="131"/>
      <c r="I4061" s="3"/>
    </row>
    <row r="4062" spans="1:9" s="93" customFormat="1" ht="9" customHeight="1" x14ac:dyDescent="0.3">
      <c r="A4062" s="91"/>
      <c r="B4062" s="70"/>
      <c r="C4062" s="70"/>
      <c r="D4062" s="70"/>
      <c r="E4062" s="70"/>
      <c r="F4062" s="70"/>
      <c r="G4062" s="70"/>
      <c r="H4062" s="131"/>
      <c r="I4062" s="3"/>
    </row>
    <row r="4063" spans="1:9" s="93" customFormat="1" ht="9" customHeight="1" x14ac:dyDescent="0.3">
      <c r="A4063" s="91"/>
      <c r="B4063" s="70"/>
      <c r="C4063" s="70"/>
      <c r="D4063" s="70"/>
      <c r="E4063" s="70"/>
      <c r="F4063" s="70"/>
      <c r="G4063" s="70"/>
      <c r="H4063" s="131"/>
      <c r="I4063" s="3"/>
    </row>
    <row r="4064" spans="1:9" s="93" customFormat="1" ht="9" customHeight="1" x14ac:dyDescent="0.3">
      <c r="A4064" s="91"/>
      <c r="B4064" s="70"/>
      <c r="C4064" s="70"/>
      <c r="D4064" s="70"/>
      <c r="E4064" s="70"/>
      <c r="F4064" s="70"/>
      <c r="G4064" s="70"/>
      <c r="H4064" s="131"/>
      <c r="I4064" s="3"/>
    </row>
    <row r="4065" spans="1:9" s="93" customFormat="1" ht="9" customHeight="1" x14ac:dyDescent="0.3">
      <c r="A4065" s="91"/>
      <c r="B4065" s="70"/>
      <c r="C4065" s="70"/>
      <c r="D4065" s="70"/>
      <c r="E4065" s="70"/>
      <c r="F4065" s="70"/>
      <c r="G4065" s="70"/>
      <c r="H4065" s="131"/>
      <c r="I4065" s="3"/>
    </row>
    <row r="4066" spans="1:9" s="93" customFormat="1" ht="9" customHeight="1" x14ac:dyDescent="0.3">
      <c r="A4066" s="91"/>
      <c r="B4066" s="70"/>
      <c r="C4066" s="70"/>
      <c r="D4066" s="70"/>
      <c r="E4066" s="70"/>
      <c r="F4066" s="70"/>
      <c r="G4066" s="70"/>
      <c r="H4066" s="131"/>
      <c r="I4066" s="3"/>
    </row>
    <row r="4067" spans="1:9" s="93" customFormat="1" ht="9" customHeight="1" x14ac:dyDescent="0.3">
      <c r="A4067" s="91"/>
      <c r="B4067" s="70"/>
      <c r="C4067" s="70"/>
      <c r="D4067" s="70"/>
      <c r="E4067" s="70"/>
      <c r="F4067" s="70"/>
      <c r="G4067" s="70"/>
      <c r="H4067" s="131"/>
      <c r="I4067" s="3"/>
    </row>
    <row r="4068" spans="1:9" s="93" customFormat="1" ht="9" customHeight="1" x14ac:dyDescent="0.3">
      <c r="A4068" s="91"/>
      <c r="B4068" s="70"/>
      <c r="C4068" s="70"/>
      <c r="D4068" s="70"/>
      <c r="E4068" s="70"/>
      <c r="F4068" s="70"/>
      <c r="G4068" s="70"/>
      <c r="H4068" s="131"/>
      <c r="I4068" s="3"/>
    </row>
    <row r="4069" spans="1:9" s="93" customFormat="1" ht="9" customHeight="1" x14ac:dyDescent="0.3">
      <c r="A4069" s="91"/>
      <c r="B4069" s="70"/>
      <c r="C4069" s="70"/>
      <c r="D4069" s="70"/>
      <c r="E4069" s="70"/>
      <c r="F4069" s="70"/>
      <c r="G4069" s="70"/>
      <c r="H4069" s="131"/>
      <c r="I4069" s="3"/>
    </row>
    <row r="4070" spans="1:9" s="93" customFormat="1" ht="9" customHeight="1" x14ac:dyDescent="0.3">
      <c r="A4070" s="91"/>
      <c r="B4070" s="70"/>
      <c r="C4070" s="70"/>
      <c r="D4070" s="70"/>
      <c r="E4070" s="70"/>
      <c r="F4070" s="70"/>
      <c r="G4070" s="70"/>
      <c r="H4070" s="131"/>
      <c r="I4070" s="3"/>
    </row>
    <row r="4071" spans="1:9" s="93" customFormat="1" ht="9" customHeight="1" x14ac:dyDescent="0.3">
      <c r="A4071" s="91"/>
      <c r="B4071" s="70"/>
      <c r="C4071" s="70"/>
      <c r="D4071" s="70"/>
      <c r="E4071" s="70"/>
      <c r="F4071" s="70"/>
      <c r="G4071" s="70"/>
      <c r="H4071" s="131"/>
      <c r="I4071" s="3"/>
    </row>
    <row r="4072" spans="1:9" s="93" customFormat="1" ht="9" customHeight="1" x14ac:dyDescent="0.3">
      <c r="A4072" s="91"/>
      <c r="B4072" s="70"/>
      <c r="C4072" s="70"/>
      <c r="D4072" s="70"/>
      <c r="E4072" s="70"/>
      <c r="F4072" s="70"/>
      <c r="G4072" s="70"/>
      <c r="H4072" s="131"/>
      <c r="I4072" s="3"/>
    </row>
    <row r="4073" spans="1:9" s="93" customFormat="1" ht="9" customHeight="1" x14ac:dyDescent="0.3">
      <c r="A4073" s="91"/>
      <c r="B4073" s="70"/>
      <c r="C4073" s="70"/>
      <c r="D4073" s="70"/>
      <c r="E4073" s="70"/>
      <c r="F4073" s="70"/>
      <c r="G4073" s="70"/>
      <c r="H4073" s="131"/>
      <c r="I4073" s="3"/>
    </row>
    <row r="4074" spans="1:9" s="93" customFormat="1" ht="9" customHeight="1" x14ac:dyDescent="0.3">
      <c r="A4074" s="91"/>
      <c r="B4074" s="70"/>
      <c r="C4074" s="70"/>
      <c r="D4074" s="70"/>
      <c r="E4074" s="70"/>
      <c r="F4074" s="70"/>
      <c r="G4074" s="70"/>
      <c r="H4074" s="131"/>
      <c r="I4074" s="3"/>
    </row>
    <row r="4075" spans="1:9" s="93" customFormat="1" ht="9" customHeight="1" x14ac:dyDescent="0.3">
      <c r="A4075" s="91"/>
      <c r="B4075" s="70"/>
      <c r="C4075" s="70"/>
      <c r="D4075" s="70"/>
      <c r="E4075" s="70"/>
      <c r="F4075" s="70"/>
      <c r="G4075" s="70"/>
      <c r="H4075" s="131"/>
      <c r="I4075" s="3"/>
    </row>
    <row r="4076" spans="1:9" s="93" customFormat="1" ht="9" customHeight="1" x14ac:dyDescent="0.3">
      <c r="A4076" s="91"/>
      <c r="B4076" s="70"/>
      <c r="C4076" s="70"/>
      <c r="D4076" s="70"/>
      <c r="E4076" s="70"/>
      <c r="F4076" s="70"/>
      <c r="G4076" s="70"/>
      <c r="H4076" s="131"/>
      <c r="I4076" s="3"/>
    </row>
    <row r="4077" spans="1:9" s="93" customFormat="1" ht="9" customHeight="1" x14ac:dyDescent="0.3">
      <c r="A4077" s="91"/>
      <c r="B4077" s="70"/>
      <c r="C4077" s="70"/>
      <c r="D4077" s="70"/>
      <c r="E4077" s="70"/>
      <c r="F4077" s="70"/>
      <c r="G4077" s="70"/>
      <c r="H4077" s="131"/>
      <c r="I4077" s="3"/>
    </row>
    <row r="4078" spans="1:9" s="93" customFormat="1" ht="9" customHeight="1" x14ac:dyDescent="0.3">
      <c r="A4078" s="91"/>
      <c r="B4078" s="70"/>
      <c r="C4078" s="70"/>
      <c r="D4078" s="70"/>
      <c r="E4078" s="70"/>
      <c r="F4078" s="70"/>
      <c r="G4078" s="70"/>
      <c r="H4078" s="131"/>
      <c r="I4078" s="3"/>
    </row>
    <row r="4079" spans="1:9" s="93" customFormat="1" ht="9" customHeight="1" x14ac:dyDescent="0.3">
      <c r="A4079" s="91"/>
      <c r="B4079" s="70"/>
      <c r="C4079" s="70"/>
      <c r="D4079" s="70"/>
      <c r="E4079" s="70"/>
      <c r="F4079" s="70"/>
      <c r="G4079" s="70"/>
      <c r="H4079" s="131"/>
      <c r="I4079" s="3"/>
    </row>
    <row r="4080" spans="1:9" s="93" customFormat="1" ht="9" customHeight="1" x14ac:dyDescent="0.3">
      <c r="A4080" s="91"/>
      <c r="B4080" s="70"/>
      <c r="C4080" s="70"/>
      <c r="D4080" s="70"/>
      <c r="E4080" s="70"/>
      <c r="F4080" s="70"/>
      <c r="G4080" s="70"/>
      <c r="H4080" s="131"/>
      <c r="I4080" s="3"/>
    </row>
    <row r="4081" spans="1:9" s="93" customFormat="1" ht="9" customHeight="1" x14ac:dyDescent="0.3">
      <c r="A4081" s="91"/>
      <c r="B4081" s="70"/>
      <c r="C4081" s="70"/>
      <c r="D4081" s="70"/>
      <c r="E4081" s="70"/>
      <c r="F4081" s="70"/>
      <c r="G4081" s="70"/>
      <c r="H4081" s="131"/>
      <c r="I4081" s="3"/>
    </row>
    <row r="4082" spans="1:9" s="93" customFormat="1" ht="9" customHeight="1" x14ac:dyDescent="0.3">
      <c r="A4082" s="91"/>
      <c r="B4082" s="70"/>
      <c r="C4082" s="70"/>
      <c r="D4082" s="70"/>
      <c r="E4082" s="70"/>
      <c r="F4082" s="70"/>
      <c r="G4082" s="70"/>
      <c r="H4082" s="131"/>
      <c r="I4082" s="3"/>
    </row>
    <row r="4083" spans="1:9" s="93" customFormat="1" ht="9" customHeight="1" x14ac:dyDescent="0.3">
      <c r="A4083" s="91"/>
      <c r="B4083" s="70"/>
      <c r="C4083" s="70"/>
      <c r="D4083" s="70"/>
      <c r="E4083" s="70"/>
      <c r="F4083" s="70"/>
      <c r="G4083" s="70"/>
      <c r="H4083" s="131"/>
      <c r="I4083" s="3"/>
    </row>
    <row r="4084" spans="1:9" s="93" customFormat="1" ht="9" customHeight="1" x14ac:dyDescent="0.3">
      <c r="A4084" s="91"/>
      <c r="B4084" s="70"/>
      <c r="C4084" s="70"/>
      <c r="D4084" s="70"/>
      <c r="E4084" s="70"/>
      <c r="F4084" s="70"/>
      <c r="G4084" s="70"/>
      <c r="H4084" s="131"/>
      <c r="I4084" s="3"/>
    </row>
    <row r="4085" spans="1:9" s="93" customFormat="1" ht="9" customHeight="1" x14ac:dyDescent="0.3">
      <c r="A4085" s="91"/>
      <c r="B4085" s="70"/>
      <c r="C4085" s="70"/>
      <c r="D4085" s="70"/>
      <c r="E4085" s="70"/>
      <c r="F4085" s="70"/>
      <c r="G4085" s="70"/>
      <c r="H4085" s="131"/>
      <c r="I4085" s="3"/>
    </row>
    <row r="4086" spans="1:9" s="93" customFormat="1" ht="9" customHeight="1" x14ac:dyDescent="0.3">
      <c r="A4086" s="91"/>
      <c r="B4086" s="70"/>
      <c r="C4086" s="70"/>
      <c r="D4086" s="70"/>
      <c r="E4086" s="70"/>
      <c r="F4086" s="70"/>
      <c r="G4086" s="70"/>
      <c r="H4086" s="131"/>
      <c r="I4086" s="3"/>
    </row>
    <row r="4087" spans="1:9" s="93" customFormat="1" ht="9" customHeight="1" x14ac:dyDescent="0.3">
      <c r="A4087" s="91"/>
      <c r="B4087" s="70"/>
      <c r="C4087" s="70"/>
      <c r="D4087" s="70"/>
      <c r="E4087" s="70"/>
      <c r="F4087" s="70"/>
      <c r="G4087" s="70"/>
      <c r="H4087" s="131"/>
      <c r="I4087" s="3"/>
    </row>
    <row r="4088" spans="1:9" s="93" customFormat="1" ht="9" customHeight="1" x14ac:dyDescent="0.3">
      <c r="A4088" s="91"/>
      <c r="B4088" s="70"/>
      <c r="C4088" s="70"/>
      <c r="D4088" s="70"/>
      <c r="E4088" s="70"/>
      <c r="F4088" s="70"/>
      <c r="G4088" s="70"/>
      <c r="H4088" s="131"/>
      <c r="I4088" s="3"/>
    </row>
    <row r="4089" spans="1:9" s="93" customFormat="1" ht="9" customHeight="1" x14ac:dyDescent="0.3">
      <c r="A4089" s="91"/>
      <c r="B4089" s="70"/>
      <c r="C4089" s="70"/>
      <c r="D4089" s="70"/>
      <c r="E4089" s="70"/>
      <c r="F4089" s="70"/>
      <c r="G4089" s="70"/>
      <c r="H4089" s="131"/>
      <c r="I4089" s="3"/>
    </row>
    <row r="4090" spans="1:9" s="93" customFormat="1" ht="9" customHeight="1" x14ac:dyDescent="0.3">
      <c r="A4090" s="91"/>
      <c r="B4090" s="70"/>
      <c r="C4090" s="70"/>
      <c r="D4090" s="70"/>
      <c r="E4090" s="70"/>
      <c r="F4090" s="70"/>
      <c r="G4090" s="70"/>
      <c r="H4090" s="131"/>
      <c r="I4090" s="3"/>
    </row>
    <row r="4091" spans="1:9" s="93" customFormat="1" ht="9" customHeight="1" x14ac:dyDescent="0.3">
      <c r="A4091" s="91"/>
      <c r="B4091" s="70"/>
      <c r="C4091" s="70"/>
      <c r="D4091" s="70"/>
      <c r="E4091" s="70"/>
      <c r="F4091" s="70"/>
      <c r="G4091" s="70"/>
      <c r="H4091" s="131"/>
      <c r="I4091" s="3"/>
    </row>
    <row r="4092" spans="1:9" s="93" customFormat="1" ht="9" customHeight="1" x14ac:dyDescent="0.3">
      <c r="A4092" s="91"/>
      <c r="B4092" s="70"/>
      <c r="C4092" s="70"/>
      <c r="D4092" s="70"/>
      <c r="E4092" s="70"/>
      <c r="F4092" s="70"/>
      <c r="G4092" s="70"/>
      <c r="H4092" s="131"/>
      <c r="I4092" s="3"/>
    </row>
    <row r="4093" spans="1:9" s="93" customFormat="1" ht="9" customHeight="1" x14ac:dyDescent="0.3">
      <c r="A4093" s="91"/>
      <c r="B4093" s="70"/>
      <c r="C4093" s="70"/>
      <c r="D4093" s="70"/>
      <c r="E4093" s="70"/>
      <c r="F4093" s="70"/>
      <c r="G4093" s="70"/>
      <c r="H4093" s="131"/>
      <c r="I4093" s="3"/>
    </row>
    <row r="4094" spans="1:9" s="93" customFormat="1" ht="9" customHeight="1" x14ac:dyDescent="0.3">
      <c r="A4094" s="91"/>
      <c r="B4094" s="70"/>
      <c r="C4094" s="70"/>
      <c r="D4094" s="70"/>
      <c r="E4094" s="70"/>
      <c r="F4094" s="70"/>
      <c r="G4094" s="70"/>
      <c r="H4094" s="131"/>
      <c r="I4094" s="3"/>
    </row>
    <row r="4095" spans="1:9" s="93" customFormat="1" ht="9" customHeight="1" x14ac:dyDescent="0.3">
      <c r="A4095" s="91"/>
      <c r="B4095" s="70"/>
      <c r="C4095" s="70"/>
      <c r="D4095" s="70"/>
      <c r="E4095" s="70"/>
      <c r="F4095" s="70"/>
      <c r="G4095" s="70"/>
      <c r="H4095" s="131"/>
      <c r="I4095" s="3"/>
    </row>
    <row r="4096" spans="1:9" s="93" customFormat="1" ht="9" customHeight="1" x14ac:dyDescent="0.3">
      <c r="A4096" s="91"/>
      <c r="B4096" s="70"/>
      <c r="C4096" s="70"/>
      <c r="D4096" s="70"/>
      <c r="E4096" s="70"/>
      <c r="F4096" s="70"/>
      <c r="G4096" s="70"/>
      <c r="H4096" s="131"/>
      <c r="I4096" s="3"/>
    </row>
    <row r="4097" spans="1:9" s="93" customFormat="1" ht="9" customHeight="1" x14ac:dyDescent="0.3">
      <c r="A4097" s="91"/>
      <c r="B4097" s="70"/>
      <c r="C4097" s="70"/>
      <c r="D4097" s="70"/>
      <c r="E4097" s="70"/>
      <c r="F4097" s="70"/>
      <c r="G4097" s="70"/>
      <c r="H4097" s="131"/>
      <c r="I4097" s="3"/>
    </row>
    <row r="4098" spans="1:9" s="93" customFormat="1" ht="9" customHeight="1" x14ac:dyDescent="0.3">
      <c r="A4098" s="91"/>
      <c r="B4098" s="70"/>
      <c r="C4098" s="70"/>
      <c r="D4098" s="70"/>
      <c r="E4098" s="70"/>
      <c r="F4098" s="70"/>
      <c r="G4098" s="70"/>
      <c r="H4098" s="131"/>
      <c r="I4098" s="3"/>
    </row>
    <row r="4099" spans="1:9" s="93" customFormat="1" ht="9" customHeight="1" x14ac:dyDescent="0.3">
      <c r="A4099" s="91"/>
      <c r="B4099" s="70"/>
      <c r="C4099" s="70"/>
      <c r="D4099" s="70"/>
      <c r="E4099" s="70"/>
      <c r="F4099" s="70"/>
      <c r="G4099" s="70"/>
      <c r="H4099" s="131"/>
      <c r="I4099" s="3"/>
    </row>
    <row r="4100" spans="1:9" s="93" customFormat="1" ht="9" customHeight="1" x14ac:dyDescent="0.3">
      <c r="A4100" s="91"/>
      <c r="B4100" s="70"/>
      <c r="C4100" s="70"/>
      <c r="D4100" s="70"/>
      <c r="E4100" s="70"/>
      <c r="F4100" s="70"/>
      <c r="G4100" s="70"/>
      <c r="H4100" s="131"/>
      <c r="I4100" s="3"/>
    </row>
    <row r="4101" spans="1:9" s="93" customFormat="1" ht="9" customHeight="1" x14ac:dyDescent="0.3">
      <c r="A4101" s="91"/>
      <c r="B4101" s="70"/>
      <c r="C4101" s="70"/>
      <c r="D4101" s="70"/>
      <c r="E4101" s="70"/>
      <c r="F4101" s="70"/>
      <c r="G4101" s="70"/>
      <c r="H4101" s="131"/>
      <c r="I4101" s="3"/>
    </row>
    <row r="4102" spans="1:9" s="93" customFormat="1" ht="9" customHeight="1" x14ac:dyDescent="0.3">
      <c r="A4102" s="91"/>
      <c r="B4102" s="70"/>
      <c r="C4102" s="70"/>
      <c r="D4102" s="70"/>
      <c r="E4102" s="70"/>
      <c r="F4102" s="70"/>
      <c r="G4102" s="70"/>
      <c r="H4102" s="131"/>
      <c r="I4102" s="3"/>
    </row>
    <row r="4103" spans="1:9" s="93" customFormat="1" ht="9" customHeight="1" x14ac:dyDescent="0.3">
      <c r="A4103" s="91"/>
      <c r="B4103" s="70"/>
      <c r="C4103" s="70"/>
      <c r="D4103" s="70"/>
      <c r="E4103" s="70"/>
      <c r="F4103" s="70"/>
      <c r="G4103" s="70"/>
      <c r="H4103" s="131"/>
      <c r="I4103" s="3"/>
    </row>
    <row r="4104" spans="1:9" s="93" customFormat="1" ht="9" customHeight="1" x14ac:dyDescent="0.3">
      <c r="A4104" s="91"/>
      <c r="B4104" s="70"/>
      <c r="C4104" s="70"/>
      <c r="D4104" s="70"/>
      <c r="E4104" s="70"/>
      <c r="F4104" s="70"/>
      <c r="G4104" s="70"/>
      <c r="H4104" s="131"/>
      <c r="I4104" s="3"/>
    </row>
    <row r="4105" spans="1:9" s="93" customFormat="1" ht="9" customHeight="1" x14ac:dyDescent="0.3">
      <c r="A4105" s="91"/>
      <c r="B4105" s="70"/>
      <c r="C4105" s="70"/>
      <c r="D4105" s="70"/>
      <c r="E4105" s="70"/>
      <c r="F4105" s="70"/>
      <c r="G4105" s="70"/>
      <c r="H4105" s="131"/>
      <c r="I4105" s="3"/>
    </row>
    <row r="4106" spans="1:9" s="93" customFormat="1" ht="9" customHeight="1" x14ac:dyDescent="0.3">
      <c r="A4106" s="91"/>
      <c r="B4106" s="70"/>
      <c r="C4106" s="70"/>
      <c r="D4106" s="70"/>
      <c r="E4106" s="70"/>
      <c r="F4106" s="70"/>
      <c r="G4106" s="70"/>
      <c r="H4106" s="131"/>
      <c r="I4106" s="3"/>
    </row>
    <row r="4107" spans="1:9" s="93" customFormat="1" ht="9" customHeight="1" x14ac:dyDescent="0.3">
      <c r="A4107" s="91"/>
      <c r="B4107" s="70"/>
      <c r="C4107" s="70"/>
      <c r="D4107" s="70"/>
      <c r="E4107" s="70"/>
      <c r="F4107" s="70"/>
      <c r="G4107" s="70"/>
      <c r="H4107" s="131"/>
      <c r="I4107" s="3"/>
    </row>
    <row r="4108" spans="1:9" s="93" customFormat="1" ht="9" customHeight="1" x14ac:dyDescent="0.3">
      <c r="A4108" s="91"/>
      <c r="B4108" s="70"/>
      <c r="C4108" s="70"/>
      <c r="D4108" s="70"/>
      <c r="E4108" s="70"/>
      <c r="F4108" s="70"/>
      <c r="G4108" s="70"/>
      <c r="H4108" s="131"/>
      <c r="I4108" s="3"/>
    </row>
    <row r="4109" spans="1:9" s="93" customFormat="1" ht="9" customHeight="1" x14ac:dyDescent="0.3">
      <c r="A4109" s="91"/>
      <c r="B4109" s="70"/>
      <c r="C4109" s="70"/>
      <c r="D4109" s="70"/>
      <c r="E4109" s="70"/>
      <c r="F4109" s="70"/>
      <c r="G4109" s="70"/>
      <c r="H4109" s="131"/>
      <c r="I4109" s="3"/>
    </row>
    <row r="4110" spans="1:9" s="93" customFormat="1" ht="9" customHeight="1" x14ac:dyDescent="0.3">
      <c r="A4110" s="91"/>
      <c r="B4110" s="70"/>
      <c r="C4110" s="70"/>
      <c r="D4110" s="70"/>
      <c r="E4110" s="70"/>
      <c r="F4110" s="70"/>
      <c r="G4110" s="70"/>
      <c r="H4110" s="131"/>
      <c r="I4110" s="3"/>
    </row>
    <row r="4111" spans="1:9" s="93" customFormat="1" ht="9" customHeight="1" x14ac:dyDescent="0.3">
      <c r="A4111" s="91"/>
      <c r="B4111" s="70"/>
      <c r="C4111" s="70"/>
      <c r="D4111" s="70"/>
      <c r="E4111" s="70"/>
      <c r="F4111" s="70"/>
      <c r="G4111" s="70"/>
      <c r="H4111" s="131"/>
      <c r="I4111" s="3"/>
    </row>
    <row r="4112" spans="1:9" s="93" customFormat="1" ht="9" customHeight="1" x14ac:dyDescent="0.3">
      <c r="A4112" s="91"/>
      <c r="B4112" s="70"/>
      <c r="C4112" s="70"/>
      <c r="D4112" s="70"/>
      <c r="E4112" s="70"/>
      <c r="F4112" s="70"/>
      <c r="G4112" s="70"/>
      <c r="H4112" s="131"/>
      <c r="I4112" s="3"/>
    </row>
    <row r="4113" spans="1:9" s="93" customFormat="1" ht="9" customHeight="1" x14ac:dyDescent="0.3">
      <c r="A4113" s="91"/>
      <c r="B4113" s="70"/>
      <c r="C4113" s="70"/>
      <c r="D4113" s="70"/>
      <c r="E4113" s="70"/>
      <c r="F4113" s="70"/>
      <c r="G4113" s="70"/>
      <c r="H4113" s="131"/>
      <c r="I4113" s="3"/>
    </row>
    <row r="4114" spans="1:9" s="93" customFormat="1" ht="9" customHeight="1" x14ac:dyDescent="0.3">
      <c r="A4114" s="91"/>
      <c r="B4114" s="70"/>
      <c r="C4114" s="70"/>
      <c r="D4114" s="70"/>
      <c r="E4114" s="70"/>
      <c r="F4114" s="70"/>
      <c r="G4114" s="70"/>
      <c r="H4114" s="131"/>
      <c r="I4114" s="3"/>
    </row>
    <row r="4115" spans="1:9" s="93" customFormat="1" ht="9" customHeight="1" x14ac:dyDescent="0.3">
      <c r="A4115" s="91"/>
      <c r="B4115" s="70"/>
      <c r="C4115" s="70"/>
      <c r="D4115" s="70"/>
      <c r="E4115" s="70"/>
      <c r="F4115" s="70"/>
      <c r="G4115" s="70"/>
      <c r="H4115" s="131"/>
      <c r="I4115" s="3"/>
    </row>
    <row r="4116" spans="1:9" s="93" customFormat="1" ht="9" customHeight="1" x14ac:dyDescent="0.3">
      <c r="A4116" s="91"/>
      <c r="B4116" s="70"/>
      <c r="C4116" s="70"/>
      <c r="D4116" s="70"/>
      <c r="E4116" s="70"/>
      <c r="F4116" s="70"/>
      <c r="G4116" s="70"/>
      <c r="H4116" s="131"/>
      <c r="I4116" s="3"/>
    </row>
    <row r="4117" spans="1:9" s="93" customFormat="1" ht="9" customHeight="1" x14ac:dyDescent="0.3">
      <c r="A4117" s="91"/>
      <c r="B4117" s="70"/>
      <c r="C4117" s="70"/>
      <c r="D4117" s="70"/>
      <c r="E4117" s="70"/>
      <c r="F4117" s="70"/>
      <c r="G4117" s="70"/>
      <c r="H4117" s="131"/>
      <c r="I4117" s="3"/>
    </row>
    <row r="4118" spans="1:9" s="93" customFormat="1" ht="9" customHeight="1" x14ac:dyDescent="0.3">
      <c r="A4118" s="91"/>
      <c r="B4118" s="70"/>
      <c r="C4118" s="70"/>
      <c r="D4118" s="70"/>
      <c r="E4118" s="70"/>
      <c r="F4118" s="70"/>
      <c r="G4118" s="70"/>
      <c r="H4118" s="131"/>
      <c r="I4118" s="3"/>
    </row>
    <row r="4119" spans="1:9" s="93" customFormat="1" ht="9" customHeight="1" x14ac:dyDescent="0.3">
      <c r="A4119" s="91"/>
      <c r="B4119" s="70"/>
      <c r="C4119" s="70"/>
      <c r="D4119" s="70"/>
      <c r="E4119" s="70"/>
      <c r="F4119" s="70"/>
      <c r="G4119" s="70"/>
      <c r="H4119" s="131"/>
      <c r="I4119" s="3"/>
    </row>
    <row r="4120" spans="1:9" s="93" customFormat="1" ht="9" customHeight="1" x14ac:dyDescent="0.3">
      <c r="A4120" s="91"/>
      <c r="B4120" s="70"/>
      <c r="C4120" s="70"/>
      <c r="D4120" s="70"/>
      <c r="E4120" s="70"/>
      <c r="F4120" s="70"/>
      <c r="G4120" s="70"/>
      <c r="H4120" s="131"/>
      <c r="I4120" s="3"/>
    </row>
    <row r="4121" spans="1:9" s="93" customFormat="1" ht="9" customHeight="1" x14ac:dyDescent="0.3">
      <c r="A4121" s="91"/>
      <c r="B4121" s="70"/>
      <c r="C4121" s="70"/>
      <c r="D4121" s="70"/>
      <c r="E4121" s="70"/>
      <c r="F4121" s="70"/>
      <c r="G4121" s="70"/>
      <c r="H4121" s="131"/>
      <c r="I4121" s="3"/>
    </row>
    <row r="4122" spans="1:9" s="93" customFormat="1" ht="9" customHeight="1" x14ac:dyDescent="0.3">
      <c r="A4122" s="91"/>
      <c r="B4122" s="70"/>
      <c r="C4122" s="70"/>
      <c r="D4122" s="70"/>
      <c r="E4122" s="70"/>
      <c r="F4122" s="70"/>
      <c r="G4122" s="70"/>
      <c r="H4122" s="131"/>
      <c r="I4122" s="3"/>
    </row>
    <row r="4123" spans="1:9" s="93" customFormat="1" ht="9" customHeight="1" x14ac:dyDescent="0.3">
      <c r="A4123" s="91"/>
      <c r="B4123" s="70"/>
      <c r="C4123" s="70"/>
      <c r="D4123" s="70"/>
      <c r="E4123" s="70"/>
      <c r="F4123" s="70"/>
      <c r="G4123" s="70"/>
      <c r="H4123" s="131"/>
      <c r="I4123" s="3"/>
    </row>
    <row r="4124" spans="1:9" s="93" customFormat="1" ht="9" customHeight="1" x14ac:dyDescent="0.3">
      <c r="A4124" s="91"/>
      <c r="B4124" s="70"/>
      <c r="C4124" s="70"/>
      <c r="D4124" s="70"/>
      <c r="E4124" s="70"/>
      <c r="F4124" s="70"/>
      <c r="G4124" s="70"/>
      <c r="H4124" s="131"/>
      <c r="I4124" s="3"/>
    </row>
    <row r="4125" spans="1:9" s="93" customFormat="1" ht="9" customHeight="1" x14ac:dyDescent="0.3">
      <c r="A4125" s="91"/>
      <c r="B4125" s="70"/>
      <c r="C4125" s="70"/>
      <c r="D4125" s="70"/>
      <c r="E4125" s="70"/>
      <c r="F4125" s="70"/>
      <c r="G4125" s="70"/>
      <c r="H4125" s="131"/>
      <c r="I4125" s="3"/>
    </row>
    <row r="4126" spans="1:9" s="93" customFormat="1" ht="9" customHeight="1" x14ac:dyDescent="0.3">
      <c r="A4126" s="91"/>
      <c r="B4126" s="70"/>
      <c r="C4126" s="70"/>
      <c r="D4126" s="70"/>
      <c r="E4126" s="70"/>
      <c r="F4126" s="70"/>
      <c r="G4126" s="70"/>
      <c r="H4126" s="131"/>
      <c r="I4126" s="3"/>
    </row>
    <row r="4127" spans="1:9" s="93" customFormat="1" ht="9" customHeight="1" x14ac:dyDescent="0.3">
      <c r="A4127" s="91"/>
      <c r="B4127" s="70"/>
      <c r="C4127" s="70"/>
      <c r="D4127" s="70"/>
      <c r="E4127" s="70"/>
      <c r="F4127" s="70"/>
      <c r="G4127" s="70"/>
      <c r="H4127" s="131"/>
      <c r="I4127" s="3"/>
    </row>
    <row r="4128" spans="1:9" s="93" customFormat="1" ht="9" customHeight="1" x14ac:dyDescent="0.3">
      <c r="A4128" s="91"/>
      <c r="B4128" s="70"/>
      <c r="C4128" s="70"/>
      <c r="D4128" s="70"/>
      <c r="E4128" s="70"/>
      <c r="F4128" s="70"/>
      <c r="G4128" s="70"/>
      <c r="H4128" s="131"/>
      <c r="I4128" s="3"/>
    </row>
    <row r="4129" spans="1:9" s="93" customFormat="1" ht="9" customHeight="1" x14ac:dyDescent="0.3">
      <c r="A4129" s="91"/>
      <c r="B4129" s="70"/>
      <c r="C4129" s="70"/>
      <c r="D4129" s="70"/>
      <c r="E4129" s="70"/>
      <c r="F4129" s="70"/>
      <c r="G4129" s="70"/>
      <c r="H4129" s="131"/>
      <c r="I4129" s="3"/>
    </row>
    <row r="4130" spans="1:9" s="93" customFormat="1" ht="9" customHeight="1" x14ac:dyDescent="0.3">
      <c r="A4130" s="91"/>
      <c r="B4130" s="70"/>
      <c r="C4130" s="70"/>
      <c r="D4130" s="70"/>
      <c r="E4130" s="70"/>
      <c r="F4130" s="70"/>
      <c r="G4130" s="70"/>
      <c r="H4130" s="131"/>
      <c r="I4130" s="3"/>
    </row>
    <row r="4131" spans="1:9" s="93" customFormat="1" ht="9" customHeight="1" x14ac:dyDescent="0.3">
      <c r="A4131" s="91"/>
      <c r="B4131" s="70"/>
      <c r="C4131" s="70"/>
      <c r="D4131" s="70"/>
      <c r="E4131" s="70"/>
      <c r="F4131" s="70"/>
      <c r="G4131" s="70"/>
      <c r="H4131" s="131"/>
      <c r="I4131" s="3"/>
    </row>
    <row r="4132" spans="1:9" s="93" customFormat="1" ht="9" customHeight="1" x14ac:dyDescent="0.3">
      <c r="A4132" s="91"/>
      <c r="B4132" s="70"/>
      <c r="C4132" s="70"/>
      <c r="D4132" s="70"/>
      <c r="E4132" s="70"/>
      <c r="F4132" s="70"/>
      <c r="G4132" s="70"/>
      <c r="H4132" s="131"/>
      <c r="I4132" s="3"/>
    </row>
    <row r="4133" spans="1:9" s="93" customFormat="1" ht="9" customHeight="1" x14ac:dyDescent="0.3">
      <c r="A4133" s="91"/>
      <c r="B4133" s="70"/>
      <c r="C4133" s="70"/>
      <c r="D4133" s="70"/>
      <c r="E4133" s="70"/>
      <c r="F4133" s="70"/>
      <c r="G4133" s="70"/>
      <c r="H4133" s="131"/>
      <c r="I4133" s="3"/>
    </row>
    <row r="4134" spans="1:9" s="93" customFormat="1" ht="9" customHeight="1" x14ac:dyDescent="0.3">
      <c r="A4134" s="91"/>
      <c r="B4134" s="70"/>
      <c r="C4134" s="70"/>
      <c r="D4134" s="70"/>
      <c r="E4134" s="70"/>
      <c r="F4134" s="70"/>
      <c r="G4134" s="70"/>
      <c r="H4134" s="131"/>
      <c r="I4134" s="3"/>
    </row>
    <row r="4135" spans="1:9" s="93" customFormat="1" ht="9" customHeight="1" x14ac:dyDescent="0.3">
      <c r="A4135" s="91"/>
      <c r="B4135" s="70"/>
      <c r="C4135" s="70"/>
      <c r="D4135" s="70"/>
      <c r="E4135" s="70"/>
      <c r="F4135" s="70"/>
      <c r="G4135" s="70"/>
      <c r="H4135" s="131"/>
      <c r="I4135" s="3"/>
    </row>
    <row r="4136" spans="1:9" s="93" customFormat="1" ht="9" customHeight="1" x14ac:dyDescent="0.3">
      <c r="A4136" s="91"/>
      <c r="B4136" s="70"/>
      <c r="C4136" s="70"/>
      <c r="D4136" s="70"/>
      <c r="E4136" s="70"/>
      <c r="F4136" s="70"/>
      <c r="G4136" s="70"/>
      <c r="H4136" s="131"/>
      <c r="I4136" s="3"/>
    </row>
    <row r="4137" spans="1:9" s="93" customFormat="1" ht="9" customHeight="1" x14ac:dyDescent="0.3">
      <c r="A4137" s="91"/>
      <c r="B4137" s="70"/>
      <c r="C4137" s="70"/>
      <c r="D4137" s="70"/>
      <c r="E4137" s="70"/>
      <c r="F4137" s="70"/>
      <c r="G4137" s="70"/>
      <c r="H4137" s="131"/>
      <c r="I4137" s="3"/>
    </row>
    <row r="4138" spans="1:9" s="93" customFormat="1" ht="9" customHeight="1" x14ac:dyDescent="0.3">
      <c r="A4138" s="91"/>
      <c r="B4138" s="70"/>
      <c r="C4138" s="70"/>
      <c r="D4138" s="70"/>
      <c r="E4138" s="70"/>
      <c r="F4138" s="70"/>
      <c r="G4138" s="70"/>
      <c r="H4138" s="131"/>
      <c r="I4138" s="3"/>
    </row>
    <row r="4139" spans="1:9" s="93" customFormat="1" ht="9" customHeight="1" x14ac:dyDescent="0.3">
      <c r="A4139" s="91"/>
      <c r="B4139" s="70"/>
      <c r="C4139" s="70"/>
      <c r="D4139" s="70"/>
      <c r="E4139" s="70"/>
      <c r="F4139" s="70"/>
      <c r="G4139" s="70"/>
      <c r="H4139" s="131"/>
      <c r="I4139" s="3"/>
    </row>
    <row r="4140" spans="1:9" s="93" customFormat="1" ht="9" customHeight="1" x14ac:dyDescent="0.3">
      <c r="A4140" s="91"/>
      <c r="B4140" s="70"/>
      <c r="C4140" s="70"/>
      <c r="D4140" s="70"/>
      <c r="E4140" s="70"/>
      <c r="F4140" s="70"/>
      <c r="G4140" s="70"/>
      <c r="H4140" s="131"/>
      <c r="I4140" s="3"/>
    </row>
    <row r="4141" spans="1:9" s="93" customFormat="1" ht="9" customHeight="1" x14ac:dyDescent="0.3">
      <c r="A4141" s="91"/>
      <c r="B4141" s="70"/>
      <c r="C4141" s="70"/>
      <c r="D4141" s="70"/>
      <c r="E4141" s="70"/>
      <c r="F4141" s="70"/>
      <c r="G4141" s="70"/>
      <c r="H4141" s="131"/>
      <c r="I4141" s="3"/>
    </row>
    <row r="4142" spans="1:9" s="93" customFormat="1" ht="9" customHeight="1" x14ac:dyDescent="0.3">
      <c r="A4142" s="91"/>
      <c r="B4142" s="70"/>
      <c r="C4142" s="70"/>
      <c r="D4142" s="70"/>
      <c r="E4142" s="70"/>
      <c r="F4142" s="70"/>
      <c r="G4142" s="70"/>
      <c r="H4142" s="131"/>
      <c r="I4142" s="3"/>
    </row>
    <row r="4143" spans="1:9" s="93" customFormat="1" ht="9" customHeight="1" x14ac:dyDescent="0.3">
      <c r="A4143" s="91"/>
      <c r="B4143" s="70"/>
      <c r="C4143" s="70"/>
      <c r="D4143" s="70"/>
      <c r="E4143" s="70"/>
      <c r="F4143" s="70"/>
      <c r="G4143" s="70"/>
      <c r="H4143" s="131"/>
      <c r="I4143" s="3"/>
    </row>
    <row r="4144" spans="1:9" s="93" customFormat="1" ht="9" customHeight="1" x14ac:dyDescent="0.3">
      <c r="A4144" s="91"/>
      <c r="B4144" s="70"/>
      <c r="C4144" s="70"/>
      <c r="D4144" s="70"/>
      <c r="E4144" s="70"/>
      <c r="F4144" s="70"/>
      <c r="G4144" s="70"/>
      <c r="H4144" s="131"/>
      <c r="I4144" s="3"/>
    </row>
    <row r="4145" spans="1:9" s="93" customFormat="1" ht="9" customHeight="1" x14ac:dyDescent="0.3">
      <c r="A4145" s="91"/>
      <c r="B4145" s="70"/>
      <c r="C4145" s="70"/>
      <c r="D4145" s="70"/>
      <c r="E4145" s="70"/>
      <c r="F4145" s="70"/>
      <c r="G4145" s="70"/>
      <c r="H4145" s="131"/>
      <c r="I4145" s="3"/>
    </row>
    <row r="4146" spans="1:9" s="93" customFormat="1" ht="9" customHeight="1" x14ac:dyDescent="0.3">
      <c r="A4146" s="91"/>
      <c r="B4146" s="70"/>
      <c r="C4146" s="70"/>
      <c r="D4146" s="70"/>
      <c r="E4146" s="70"/>
      <c r="F4146" s="70"/>
      <c r="G4146" s="70"/>
      <c r="H4146" s="131"/>
      <c r="I4146" s="3"/>
    </row>
    <row r="4147" spans="1:9" s="93" customFormat="1" ht="9" customHeight="1" x14ac:dyDescent="0.3">
      <c r="A4147" s="91"/>
      <c r="B4147" s="70"/>
      <c r="C4147" s="70"/>
      <c r="D4147" s="70"/>
      <c r="E4147" s="70"/>
      <c r="F4147" s="70"/>
      <c r="G4147" s="70"/>
      <c r="H4147" s="131"/>
      <c r="I4147" s="3"/>
    </row>
    <row r="4148" spans="1:9" s="93" customFormat="1" ht="9" customHeight="1" x14ac:dyDescent="0.3">
      <c r="A4148" s="91"/>
      <c r="B4148" s="70"/>
      <c r="C4148" s="70"/>
      <c r="D4148" s="70"/>
      <c r="E4148" s="70"/>
      <c r="F4148" s="70"/>
      <c r="G4148" s="70"/>
      <c r="H4148" s="131"/>
      <c r="I4148" s="3"/>
    </row>
    <row r="4149" spans="1:9" s="93" customFormat="1" ht="9" customHeight="1" x14ac:dyDescent="0.3">
      <c r="A4149" s="91"/>
      <c r="B4149" s="70"/>
      <c r="C4149" s="70"/>
      <c r="D4149" s="70"/>
      <c r="E4149" s="70"/>
      <c r="F4149" s="70"/>
      <c r="G4149" s="94"/>
      <c r="H4149" s="131"/>
      <c r="I4149" s="3"/>
    </row>
    <row r="4150" spans="1:9" s="93" customFormat="1" ht="9" customHeight="1" x14ac:dyDescent="0.3">
      <c r="A4150" s="91"/>
      <c r="B4150" s="70"/>
      <c r="C4150" s="70"/>
      <c r="D4150" s="70"/>
      <c r="E4150" s="70"/>
      <c r="F4150" s="70"/>
      <c r="G4150" s="94"/>
      <c r="H4150" s="131"/>
      <c r="I4150" s="3"/>
    </row>
    <row r="4151" spans="1:9" s="93" customFormat="1" ht="9" customHeight="1" x14ac:dyDescent="0.3">
      <c r="A4151" s="91"/>
      <c r="B4151" s="70"/>
      <c r="C4151" s="70"/>
      <c r="D4151" s="70"/>
      <c r="E4151" s="70"/>
      <c r="F4151" s="70"/>
      <c r="G4151" s="94"/>
      <c r="H4151" s="131"/>
      <c r="I4151" s="3"/>
    </row>
    <row r="4152" spans="1:9" s="93" customFormat="1" ht="9" customHeight="1" x14ac:dyDescent="0.3">
      <c r="A4152" s="91"/>
      <c r="B4152" s="70"/>
      <c r="C4152" s="70"/>
      <c r="D4152" s="70"/>
      <c r="E4152" s="70"/>
      <c r="F4152" s="70"/>
      <c r="G4152" s="94"/>
      <c r="H4152" s="131"/>
      <c r="I4152" s="3"/>
    </row>
    <row r="4153" spans="1:9" s="93" customFormat="1" ht="9" customHeight="1" x14ac:dyDescent="0.3">
      <c r="A4153" s="91"/>
      <c r="B4153" s="70"/>
      <c r="C4153" s="70"/>
      <c r="D4153" s="70"/>
      <c r="E4153" s="70"/>
      <c r="F4153" s="70"/>
      <c r="G4153" s="94"/>
      <c r="H4153" s="131"/>
      <c r="I4153" s="3"/>
    </row>
    <row r="4154" spans="1:9" s="93" customFormat="1" ht="9" customHeight="1" x14ac:dyDescent="0.3">
      <c r="A4154" s="91"/>
      <c r="B4154" s="70"/>
      <c r="C4154" s="70"/>
      <c r="D4154" s="70"/>
      <c r="E4154" s="70"/>
      <c r="F4154" s="70"/>
      <c r="G4154" s="94"/>
      <c r="H4154" s="131"/>
      <c r="I4154" s="3"/>
    </row>
    <row r="4155" spans="1:9" s="93" customFormat="1" ht="9" customHeight="1" x14ac:dyDescent="0.3">
      <c r="A4155" s="91"/>
      <c r="B4155" s="70"/>
      <c r="C4155" s="70"/>
      <c r="D4155" s="70"/>
      <c r="E4155" s="70"/>
      <c r="F4155" s="70"/>
      <c r="G4155" s="94"/>
      <c r="H4155" s="131"/>
      <c r="I4155" s="3"/>
    </row>
    <row r="4156" spans="1:9" s="93" customFormat="1" ht="9" customHeight="1" x14ac:dyDescent="0.3">
      <c r="A4156" s="91"/>
      <c r="B4156" s="70"/>
      <c r="C4156" s="70"/>
      <c r="D4156" s="70"/>
      <c r="E4156" s="70"/>
      <c r="F4156" s="70"/>
      <c r="G4156" s="94"/>
      <c r="H4156" s="131"/>
      <c r="I4156" s="3"/>
    </row>
    <row r="4157" spans="1:9" s="93" customFormat="1" ht="9" customHeight="1" x14ac:dyDescent="0.3">
      <c r="A4157" s="91"/>
      <c r="B4157" s="70"/>
      <c r="C4157" s="70"/>
      <c r="D4157" s="70"/>
      <c r="E4157" s="70"/>
      <c r="F4157" s="70"/>
      <c r="G4157" s="94"/>
      <c r="H4157" s="131"/>
      <c r="I4157" s="3"/>
    </row>
    <row r="4158" spans="1:9" s="93" customFormat="1" ht="9" customHeight="1" x14ac:dyDescent="0.3">
      <c r="A4158" s="91"/>
      <c r="B4158" s="70"/>
      <c r="C4158" s="70"/>
      <c r="D4158" s="70"/>
      <c r="E4158" s="70"/>
      <c r="F4158" s="70"/>
      <c r="G4158" s="94"/>
      <c r="H4158" s="131"/>
      <c r="I4158" s="3"/>
    </row>
    <row r="4159" spans="1:9" s="93" customFormat="1" ht="9" customHeight="1" x14ac:dyDescent="0.3">
      <c r="A4159" s="91"/>
      <c r="B4159" s="70"/>
      <c r="C4159" s="70"/>
      <c r="D4159" s="70"/>
      <c r="E4159" s="70"/>
      <c r="F4159" s="70"/>
      <c r="G4159" s="94"/>
      <c r="H4159" s="131"/>
      <c r="I4159" s="3"/>
    </row>
    <row r="4160" spans="1:9" s="93" customFormat="1" ht="9" customHeight="1" x14ac:dyDescent="0.3">
      <c r="A4160" s="91"/>
      <c r="B4160" s="70"/>
      <c r="C4160" s="70"/>
      <c r="D4160" s="70"/>
      <c r="E4160" s="70"/>
      <c r="F4160" s="70"/>
      <c r="G4160" s="94"/>
      <c r="H4160" s="131"/>
      <c r="I4160" s="3"/>
    </row>
    <row r="4161" spans="1:9" s="93" customFormat="1" ht="9" customHeight="1" x14ac:dyDescent="0.3">
      <c r="A4161" s="91"/>
      <c r="B4161" s="70"/>
      <c r="C4161" s="70"/>
      <c r="D4161" s="70"/>
      <c r="E4161" s="70"/>
      <c r="F4161" s="70"/>
      <c r="G4161" s="94"/>
      <c r="H4161" s="131"/>
      <c r="I4161" s="3"/>
    </row>
    <row r="4162" spans="1:9" s="93" customFormat="1" ht="9" customHeight="1" x14ac:dyDescent="0.3">
      <c r="A4162" s="91"/>
      <c r="B4162" s="70"/>
      <c r="C4162" s="70"/>
      <c r="D4162" s="70"/>
      <c r="E4162" s="70"/>
      <c r="F4162" s="70"/>
      <c r="G4162" s="94"/>
      <c r="H4162" s="131"/>
      <c r="I4162" s="3"/>
    </row>
    <row r="4163" spans="1:9" s="93" customFormat="1" ht="9" customHeight="1" x14ac:dyDescent="0.3">
      <c r="A4163" s="91"/>
      <c r="B4163" s="70"/>
      <c r="C4163" s="70"/>
      <c r="D4163" s="70"/>
      <c r="E4163" s="70"/>
      <c r="F4163" s="70"/>
      <c r="G4163" s="94"/>
      <c r="H4163" s="131"/>
      <c r="I4163" s="3"/>
    </row>
    <row r="4164" spans="1:9" s="93" customFormat="1" ht="9" customHeight="1" x14ac:dyDescent="0.3">
      <c r="A4164" s="91"/>
      <c r="B4164" s="70"/>
      <c r="C4164" s="70"/>
      <c r="D4164" s="70"/>
      <c r="E4164" s="70"/>
      <c r="F4164" s="70"/>
      <c r="G4164" s="94"/>
      <c r="H4164" s="131"/>
      <c r="I4164" s="3"/>
    </row>
    <row r="4165" spans="1:9" s="93" customFormat="1" ht="9" customHeight="1" x14ac:dyDescent="0.3">
      <c r="A4165" s="91"/>
      <c r="B4165" s="70"/>
      <c r="C4165" s="70"/>
      <c r="D4165" s="70"/>
      <c r="E4165" s="70"/>
      <c r="F4165" s="70"/>
      <c r="G4165" s="94"/>
      <c r="H4165" s="131"/>
      <c r="I4165" s="3"/>
    </row>
    <row r="4166" spans="1:9" s="93" customFormat="1" ht="9" customHeight="1" x14ac:dyDescent="0.3">
      <c r="A4166" s="91"/>
      <c r="B4166" s="70"/>
      <c r="C4166" s="70"/>
      <c r="D4166" s="70"/>
      <c r="E4166" s="70"/>
      <c r="F4166" s="70"/>
      <c r="G4166" s="94"/>
      <c r="H4166" s="131"/>
      <c r="I4166" s="3"/>
    </row>
    <row r="4167" spans="1:9" s="93" customFormat="1" ht="9" customHeight="1" x14ac:dyDescent="0.3">
      <c r="A4167" s="91"/>
      <c r="B4167" s="70"/>
      <c r="C4167" s="70"/>
      <c r="D4167" s="70"/>
      <c r="E4167" s="70"/>
      <c r="F4167" s="70"/>
      <c r="G4167" s="94"/>
      <c r="H4167" s="131"/>
      <c r="I4167" s="3"/>
    </row>
    <row r="4168" spans="1:9" s="93" customFormat="1" ht="9" customHeight="1" x14ac:dyDescent="0.3">
      <c r="A4168" s="91"/>
      <c r="B4168" s="70"/>
      <c r="C4168" s="70"/>
      <c r="D4168" s="70"/>
      <c r="E4168" s="70"/>
      <c r="F4168" s="70"/>
      <c r="G4168" s="94"/>
      <c r="H4168" s="131"/>
      <c r="I4168" s="3"/>
    </row>
    <row r="4169" spans="1:9" s="93" customFormat="1" ht="9" customHeight="1" x14ac:dyDescent="0.3">
      <c r="A4169" s="91"/>
      <c r="B4169" s="70"/>
      <c r="C4169" s="70"/>
      <c r="D4169" s="70"/>
      <c r="E4169" s="70"/>
      <c r="F4169" s="70"/>
      <c r="G4169" s="94"/>
      <c r="H4169" s="131"/>
      <c r="I4169" s="3"/>
    </row>
    <row r="4170" spans="1:9" s="93" customFormat="1" ht="9" customHeight="1" x14ac:dyDescent="0.3">
      <c r="A4170" s="91"/>
      <c r="B4170" s="70"/>
      <c r="C4170" s="70"/>
      <c r="D4170" s="70"/>
      <c r="E4170" s="70"/>
      <c r="F4170" s="70"/>
      <c r="G4170" s="94"/>
      <c r="H4170" s="131"/>
      <c r="I4170" s="3"/>
    </row>
    <row r="4171" spans="1:9" s="93" customFormat="1" ht="9" customHeight="1" x14ac:dyDescent="0.3">
      <c r="A4171" s="91"/>
      <c r="B4171" s="70"/>
      <c r="C4171" s="70"/>
      <c r="D4171" s="70"/>
      <c r="E4171" s="70"/>
      <c r="F4171" s="70"/>
      <c r="G4171" s="94"/>
      <c r="H4171" s="131"/>
      <c r="I4171" s="3"/>
    </row>
    <row r="4172" spans="1:9" s="93" customFormat="1" ht="9" customHeight="1" x14ac:dyDescent="0.3">
      <c r="A4172" s="91"/>
      <c r="B4172" s="70"/>
      <c r="C4172" s="70"/>
      <c r="D4172" s="70"/>
      <c r="E4172" s="70"/>
      <c r="F4172" s="70"/>
      <c r="G4172" s="94"/>
      <c r="H4172" s="131"/>
      <c r="I4172" s="3"/>
    </row>
    <row r="4173" spans="1:9" s="93" customFormat="1" ht="9" customHeight="1" x14ac:dyDescent="0.3">
      <c r="A4173" s="91"/>
      <c r="B4173" s="70"/>
      <c r="C4173" s="70"/>
      <c r="D4173" s="70"/>
      <c r="E4173" s="70"/>
      <c r="F4173" s="70"/>
      <c r="G4173" s="94"/>
      <c r="H4173" s="131"/>
      <c r="I4173" s="3"/>
    </row>
    <row r="4174" spans="1:9" s="93" customFormat="1" ht="9" customHeight="1" x14ac:dyDescent="0.3">
      <c r="A4174" s="91"/>
      <c r="B4174" s="70"/>
      <c r="C4174" s="70"/>
      <c r="D4174" s="70"/>
      <c r="E4174" s="70"/>
      <c r="F4174" s="70"/>
      <c r="G4174" s="94"/>
      <c r="H4174" s="131"/>
      <c r="I4174" s="3"/>
    </row>
    <row r="4175" spans="1:9" s="93" customFormat="1" ht="9" customHeight="1" x14ac:dyDescent="0.3">
      <c r="A4175" s="91"/>
      <c r="B4175" s="70"/>
      <c r="C4175" s="70"/>
      <c r="D4175" s="70"/>
      <c r="E4175" s="70"/>
      <c r="F4175" s="70"/>
      <c r="G4175" s="94"/>
      <c r="H4175" s="131"/>
      <c r="I4175" s="3"/>
    </row>
    <row r="4176" spans="1:9" s="93" customFormat="1" ht="9" customHeight="1" x14ac:dyDescent="0.3">
      <c r="A4176" s="91"/>
      <c r="B4176" s="70"/>
      <c r="C4176" s="70"/>
      <c r="D4176" s="70"/>
      <c r="E4176" s="70"/>
      <c r="F4176" s="70"/>
      <c r="G4176" s="94"/>
      <c r="H4176" s="131"/>
      <c r="I4176" s="3"/>
    </row>
    <row r="4177" spans="1:9" s="93" customFormat="1" ht="9" customHeight="1" x14ac:dyDescent="0.3">
      <c r="A4177" s="91"/>
      <c r="B4177" s="70"/>
      <c r="C4177" s="70"/>
      <c r="D4177" s="70"/>
      <c r="E4177" s="70"/>
      <c r="F4177" s="70"/>
      <c r="G4177" s="94"/>
      <c r="H4177" s="131"/>
      <c r="I4177" s="3"/>
    </row>
    <row r="4178" spans="1:9" s="93" customFormat="1" ht="9" customHeight="1" x14ac:dyDescent="0.3">
      <c r="A4178" s="91"/>
      <c r="B4178" s="70"/>
      <c r="C4178" s="70"/>
      <c r="D4178" s="70"/>
      <c r="E4178" s="70"/>
      <c r="F4178" s="70"/>
      <c r="G4178" s="94"/>
      <c r="H4178" s="131"/>
      <c r="I4178" s="3"/>
    </row>
    <row r="4179" spans="1:9" s="93" customFormat="1" ht="9" customHeight="1" x14ac:dyDescent="0.3">
      <c r="A4179" s="91"/>
      <c r="B4179" s="70"/>
      <c r="C4179" s="70"/>
      <c r="D4179" s="70"/>
      <c r="E4179" s="70"/>
      <c r="F4179" s="70"/>
      <c r="G4179" s="94"/>
      <c r="H4179" s="131"/>
      <c r="I4179" s="3"/>
    </row>
    <row r="4180" spans="1:9" s="93" customFormat="1" ht="9" customHeight="1" x14ac:dyDescent="0.3">
      <c r="A4180" s="91"/>
      <c r="B4180" s="70"/>
      <c r="C4180" s="70"/>
      <c r="D4180" s="70"/>
      <c r="E4180" s="70"/>
      <c r="F4180" s="70"/>
      <c r="G4180" s="94"/>
      <c r="H4180" s="131"/>
      <c r="I4180" s="3"/>
    </row>
    <row r="4181" spans="1:9" s="93" customFormat="1" ht="9" customHeight="1" x14ac:dyDescent="0.3">
      <c r="A4181" s="91"/>
      <c r="B4181" s="70"/>
      <c r="C4181" s="70"/>
      <c r="D4181" s="70"/>
      <c r="E4181" s="70"/>
      <c r="F4181" s="70"/>
      <c r="G4181" s="94"/>
      <c r="H4181" s="131"/>
      <c r="I4181" s="3"/>
    </row>
    <row r="4182" spans="1:9" s="93" customFormat="1" ht="9" customHeight="1" x14ac:dyDescent="0.3">
      <c r="A4182" s="91"/>
      <c r="B4182" s="70"/>
      <c r="C4182" s="70"/>
      <c r="D4182" s="70"/>
      <c r="E4182" s="70"/>
      <c r="F4182" s="70"/>
      <c r="G4182" s="94"/>
      <c r="H4182" s="131"/>
      <c r="I4182" s="3"/>
    </row>
    <row r="4183" spans="1:9" s="93" customFormat="1" ht="9" customHeight="1" x14ac:dyDescent="0.3">
      <c r="A4183" s="91"/>
      <c r="B4183" s="70"/>
      <c r="C4183" s="70"/>
      <c r="D4183" s="70"/>
      <c r="E4183" s="70"/>
      <c r="F4183" s="70"/>
      <c r="G4183" s="94"/>
      <c r="H4183" s="131"/>
      <c r="I4183" s="3"/>
    </row>
    <row r="4184" spans="1:9" s="93" customFormat="1" ht="9" customHeight="1" x14ac:dyDescent="0.3">
      <c r="A4184" s="91"/>
      <c r="B4184" s="70"/>
      <c r="C4184" s="70"/>
      <c r="D4184" s="70"/>
      <c r="E4184" s="70"/>
      <c r="F4184" s="70"/>
      <c r="G4184" s="94"/>
      <c r="H4184" s="131"/>
      <c r="I4184" s="3"/>
    </row>
    <row r="4185" spans="1:9" s="93" customFormat="1" ht="9" customHeight="1" x14ac:dyDescent="0.3">
      <c r="A4185" s="91"/>
      <c r="B4185" s="70"/>
      <c r="C4185" s="70"/>
      <c r="D4185" s="70"/>
      <c r="E4185" s="70"/>
      <c r="F4185" s="70"/>
      <c r="G4185" s="94"/>
      <c r="H4185" s="131"/>
      <c r="I4185" s="3"/>
    </row>
    <row r="4186" spans="1:9" s="93" customFormat="1" ht="9" customHeight="1" x14ac:dyDescent="0.3">
      <c r="A4186" s="91"/>
      <c r="B4186" s="70"/>
      <c r="C4186" s="70"/>
      <c r="D4186" s="70"/>
      <c r="E4186" s="70"/>
      <c r="F4186" s="70"/>
      <c r="G4186" s="94"/>
      <c r="H4186" s="131"/>
      <c r="I4186" s="3"/>
    </row>
    <row r="4187" spans="1:9" s="93" customFormat="1" ht="9" customHeight="1" x14ac:dyDescent="0.3">
      <c r="A4187" s="91"/>
      <c r="B4187" s="70"/>
      <c r="C4187" s="70"/>
      <c r="D4187" s="70"/>
      <c r="E4187" s="70"/>
      <c r="F4187" s="70"/>
      <c r="G4187" s="94"/>
      <c r="H4187" s="131"/>
      <c r="I4187" s="3"/>
    </row>
    <row r="4188" spans="1:9" s="93" customFormat="1" ht="9" customHeight="1" x14ac:dyDescent="0.3">
      <c r="A4188" s="91"/>
      <c r="B4188" s="70"/>
      <c r="C4188" s="70"/>
      <c r="D4188" s="70"/>
      <c r="E4188" s="70"/>
      <c r="F4188" s="70"/>
      <c r="G4188" s="94"/>
      <c r="H4188" s="131"/>
      <c r="I4188" s="3"/>
    </row>
    <row r="4189" spans="1:9" s="93" customFormat="1" ht="9" customHeight="1" x14ac:dyDescent="0.3">
      <c r="A4189" s="91"/>
      <c r="B4189" s="70"/>
      <c r="C4189" s="70"/>
      <c r="D4189" s="70"/>
      <c r="E4189" s="70"/>
      <c r="F4189" s="70"/>
      <c r="G4189" s="94"/>
      <c r="H4189" s="131"/>
      <c r="I4189" s="3"/>
    </row>
    <row r="4190" spans="1:9" s="93" customFormat="1" ht="9" customHeight="1" x14ac:dyDescent="0.3">
      <c r="A4190" s="91"/>
      <c r="B4190" s="70"/>
      <c r="C4190" s="70"/>
      <c r="D4190" s="70"/>
      <c r="E4190" s="70"/>
      <c r="F4190" s="70"/>
      <c r="G4190" s="94"/>
      <c r="H4190" s="131"/>
      <c r="I4190" s="3"/>
    </row>
    <row r="4191" spans="1:9" s="93" customFormat="1" ht="9" customHeight="1" x14ac:dyDescent="0.3">
      <c r="A4191" s="91"/>
      <c r="B4191" s="70"/>
      <c r="C4191" s="70"/>
      <c r="D4191" s="70"/>
      <c r="E4191" s="70"/>
      <c r="F4191" s="70"/>
      <c r="G4191" s="94"/>
      <c r="H4191" s="131"/>
      <c r="I4191" s="3"/>
    </row>
    <row r="4192" spans="1:9" s="93" customFormat="1" ht="9" customHeight="1" x14ac:dyDescent="0.3">
      <c r="A4192" s="91"/>
      <c r="B4192" s="70"/>
      <c r="C4192" s="70"/>
      <c r="D4192" s="70"/>
      <c r="E4192" s="70"/>
      <c r="F4192" s="70"/>
      <c r="G4192" s="94"/>
      <c r="H4192" s="131"/>
      <c r="I4192" s="3"/>
    </row>
    <row r="4193" spans="1:9" s="93" customFormat="1" ht="9" customHeight="1" x14ac:dyDescent="0.3">
      <c r="A4193" s="91"/>
      <c r="B4193" s="70"/>
      <c r="C4193" s="70"/>
      <c r="D4193" s="70"/>
      <c r="E4193" s="70"/>
      <c r="F4193" s="70"/>
      <c r="G4193" s="94"/>
      <c r="H4193" s="131"/>
      <c r="I4193" s="3"/>
    </row>
    <row r="4194" spans="1:9" s="93" customFormat="1" ht="9" customHeight="1" x14ac:dyDescent="0.3">
      <c r="A4194" s="91"/>
      <c r="B4194" s="70"/>
      <c r="C4194" s="70"/>
      <c r="D4194" s="70"/>
      <c r="E4194" s="70"/>
      <c r="F4194" s="70"/>
      <c r="G4194" s="94"/>
      <c r="H4194" s="131"/>
      <c r="I4194" s="3"/>
    </row>
    <row r="4195" spans="1:9" s="93" customFormat="1" ht="9" customHeight="1" x14ac:dyDescent="0.3">
      <c r="A4195" s="91"/>
      <c r="B4195" s="70"/>
      <c r="C4195" s="70"/>
      <c r="D4195" s="70"/>
      <c r="E4195" s="70"/>
      <c r="F4195" s="70"/>
      <c r="G4195" s="94"/>
      <c r="H4195" s="131"/>
      <c r="I4195" s="3"/>
    </row>
    <row r="4196" spans="1:9" s="93" customFormat="1" ht="9" customHeight="1" x14ac:dyDescent="0.3">
      <c r="A4196" s="91"/>
      <c r="B4196" s="70"/>
      <c r="C4196" s="70"/>
      <c r="D4196" s="70"/>
      <c r="E4196" s="70"/>
      <c r="F4196" s="70"/>
      <c r="G4196" s="94"/>
      <c r="H4196" s="131"/>
      <c r="I4196" s="3"/>
    </row>
    <row r="4197" spans="1:9" s="93" customFormat="1" ht="9" customHeight="1" x14ac:dyDescent="0.3">
      <c r="A4197" s="91"/>
      <c r="B4197" s="70"/>
      <c r="C4197" s="70"/>
      <c r="D4197" s="70"/>
      <c r="E4197" s="70"/>
      <c r="F4197" s="70"/>
      <c r="G4197" s="94"/>
      <c r="H4197" s="131"/>
      <c r="I4197" s="3"/>
    </row>
    <row r="4198" spans="1:9" s="93" customFormat="1" ht="9" customHeight="1" x14ac:dyDescent="0.3">
      <c r="A4198" s="91"/>
      <c r="B4198" s="70"/>
      <c r="C4198" s="70"/>
      <c r="D4198" s="70"/>
      <c r="E4198" s="70"/>
      <c r="F4198" s="70"/>
      <c r="G4198" s="94"/>
      <c r="H4198" s="131"/>
      <c r="I4198" s="3"/>
    </row>
    <row r="4199" spans="1:9" s="93" customFormat="1" ht="9" customHeight="1" x14ac:dyDescent="0.3">
      <c r="A4199" s="91"/>
      <c r="B4199" s="70"/>
      <c r="C4199" s="70"/>
      <c r="D4199" s="70"/>
      <c r="E4199" s="70"/>
      <c r="F4199" s="70"/>
      <c r="G4199" s="94"/>
      <c r="H4199" s="131"/>
      <c r="I4199" s="3"/>
    </row>
    <row r="4200" spans="1:9" s="93" customFormat="1" ht="9" customHeight="1" x14ac:dyDescent="0.3">
      <c r="A4200" s="91"/>
      <c r="B4200" s="70"/>
      <c r="C4200" s="70"/>
      <c r="D4200" s="70"/>
      <c r="E4200" s="70"/>
      <c r="F4200" s="70"/>
      <c r="G4200" s="94"/>
      <c r="H4200" s="131"/>
      <c r="I4200" s="3"/>
    </row>
    <row r="4201" spans="1:9" s="93" customFormat="1" ht="9" customHeight="1" x14ac:dyDescent="0.3">
      <c r="A4201" s="91"/>
      <c r="B4201" s="70"/>
      <c r="C4201" s="70"/>
      <c r="D4201" s="70"/>
      <c r="E4201" s="70"/>
      <c r="F4201" s="70"/>
      <c r="G4201" s="94"/>
      <c r="H4201" s="131"/>
      <c r="I4201" s="3"/>
    </row>
    <row r="4202" spans="1:9" s="93" customFormat="1" ht="9" customHeight="1" x14ac:dyDescent="0.3">
      <c r="A4202" s="91"/>
      <c r="B4202" s="70"/>
      <c r="C4202" s="70"/>
      <c r="D4202" s="70"/>
      <c r="E4202" s="70"/>
      <c r="F4202" s="70"/>
      <c r="G4202" s="94"/>
      <c r="H4202" s="131"/>
      <c r="I4202" s="3"/>
    </row>
    <row r="4203" spans="1:9" s="93" customFormat="1" ht="9" customHeight="1" x14ac:dyDescent="0.3">
      <c r="A4203" s="91"/>
      <c r="B4203" s="70"/>
      <c r="C4203" s="70"/>
      <c r="D4203" s="70"/>
      <c r="E4203" s="70"/>
      <c r="F4203" s="70"/>
      <c r="G4203" s="94"/>
      <c r="H4203" s="131"/>
      <c r="I4203" s="3"/>
    </row>
    <row r="4204" spans="1:9" s="93" customFormat="1" ht="9" customHeight="1" x14ac:dyDescent="0.3">
      <c r="A4204" s="91"/>
      <c r="B4204" s="70"/>
      <c r="C4204" s="70"/>
      <c r="D4204" s="70"/>
      <c r="E4204" s="70"/>
      <c r="F4204" s="70"/>
      <c r="G4204" s="94"/>
      <c r="H4204" s="131"/>
      <c r="I4204" s="3"/>
    </row>
    <row r="4205" spans="1:9" s="93" customFormat="1" ht="9" customHeight="1" x14ac:dyDescent="0.3">
      <c r="A4205" s="91"/>
      <c r="B4205" s="70"/>
      <c r="C4205" s="70"/>
      <c r="D4205" s="70"/>
      <c r="E4205" s="70"/>
      <c r="F4205" s="70"/>
      <c r="G4205" s="94"/>
      <c r="H4205" s="131"/>
      <c r="I4205" s="3"/>
    </row>
    <row r="4206" spans="1:9" s="93" customFormat="1" ht="9" customHeight="1" x14ac:dyDescent="0.3">
      <c r="A4206" s="91"/>
      <c r="B4206" s="70"/>
      <c r="C4206" s="70"/>
      <c r="D4206" s="70"/>
      <c r="E4206" s="70"/>
      <c r="F4206" s="70"/>
      <c r="G4206" s="94"/>
      <c r="H4206" s="131"/>
      <c r="I4206" s="3"/>
    </row>
    <row r="4207" spans="1:9" s="93" customFormat="1" ht="9" customHeight="1" x14ac:dyDescent="0.3">
      <c r="A4207" s="91"/>
      <c r="B4207" s="70"/>
      <c r="C4207" s="70"/>
      <c r="D4207" s="70"/>
      <c r="E4207" s="70"/>
      <c r="F4207" s="70"/>
      <c r="G4207" s="94"/>
      <c r="H4207" s="131"/>
      <c r="I4207" s="3"/>
    </row>
    <row r="4208" spans="1:9" s="93" customFormat="1" ht="9" customHeight="1" x14ac:dyDescent="0.3">
      <c r="A4208" s="91"/>
      <c r="B4208" s="70"/>
      <c r="C4208" s="70"/>
      <c r="D4208" s="70"/>
      <c r="E4208" s="70"/>
      <c r="F4208" s="70"/>
      <c r="G4208" s="94"/>
      <c r="H4208" s="131"/>
      <c r="I4208" s="3"/>
    </row>
    <row r="4209" spans="1:9" s="93" customFormat="1" ht="9" customHeight="1" x14ac:dyDescent="0.3">
      <c r="A4209" s="91"/>
      <c r="B4209" s="70"/>
      <c r="C4209" s="70"/>
      <c r="D4209" s="70"/>
      <c r="E4209" s="70"/>
      <c r="F4209" s="70"/>
      <c r="G4209" s="94"/>
      <c r="H4209" s="131"/>
      <c r="I4209" s="3"/>
    </row>
    <row r="4210" spans="1:9" s="93" customFormat="1" ht="9" customHeight="1" x14ac:dyDescent="0.3">
      <c r="A4210" s="91"/>
      <c r="B4210" s="70"/>
      <c r="C4210" s="70"/>
      <c r="D4210" s="70"/>
      <c r="E4210" s="70"/>
      <c r="F4210" s="70"/>
      <c r="G4210" s="94"/>
      <c r="H4210" s="131"/>
      <c r="I4210" s="3"/>
    </row>
    <row r="4211" spans="1:9" s="93" customFormat="1" ht="9" customHeight="1" x14ac:dyDescent="0.3">
      <c r="A4211" s="91"/>
      <c r="B4211" s="70"/>
      <c r="C4211" s="70"/>
      <c r="D4211" s="70"/>
      <c r="E4211" s="70"/>
      <c r="F4211" s="70"/>
      <c r="G4211" s="94"/>
      <c r="H4211" s="131"/>
      <c r="I4211" s="3"/>
    </row>
    <row r="4212" spans="1:9" s="93" customFormat="1" ht="9" customHeight="1" x14ac:dyDescent="0.3">
      <c r="A4212" s="91"/>
      <c r="B4212" s="70"/>
      <c r="C4212" s="70"/>
      <c r="D4212" s="70"/>
      <c r="E4212" s="70"/>
      <c r="F4212" s="70"/>
      <c r="G4212" s="94"/>
      <c r="H4212" s="131"/>
      <c r="I4212" s="3"/>
    </row>
    <row r="4213" spans="1:9" s="93" customFormat="1" ht="9" customHeight="1" x14ac:dyDescent="0.3">
      <c r="A4213" s="91"/>
      <c r="B4213" s="70"/>
      <c r="C4213" s="70"/>
      <c r="D4213" s="70"/>
      <c r="E4213" s="70"/>
      <c r="F4213" s="70"/>
      <c r="G4213" s="94"/>
      <c r="H4213" s="131"/>
      <c r="I4213" s="3"/>
    </row>
    <row r="4214" spans="1:9" s="93" customFormat="1" ht="9" customHeight="1" x14ac:dyDescent="0.3">
      <c r="A4214" s="91"/>
      <c r="B4214" s="70"/>
      <c r="C4214" s="70"/>
      <c r="D4214" s="70"/>
      <c r="E4214" s="70"/>
      <c r="F4214" s="70"/>
      <c r="G4214" s="94"/>
      <c r="H4214" s="131"/>
      <c r="I4214" s="3"/>
    </row>
    <row r="4215" spans="1:9" s="93" customFormat="1" ht="9" customHeight="1" x14ac:dyDescent="0.3">
      <c r="A4215" s="91"/>
      <c r="B4215" s="70"/>
      <c r="C4215" s="70"/>
      <c r="D4215" s="70"/>
      <c r="E4215" s="70"/>
      <c r="F4215" s="70"/>
      <c r="G4215" s="94"/>
      <c r="H4215" s="131"/>
      <c r="I4215" s="3"/>
    </row>
    <row r="4216" spans="1:9" s="93" customFormat="1" ht="9" customHeight="1" x14ac:dyDescent="0.3">
      <c r="A4216" s="91"/>
      <c r="B4216" s="70"/>
      <c r="C4216" s="70"/>
      <c r="D4216" s="70"/>
      <c r="E4216" s="70"/>
      <c r="F4216" s="70"/>
      <c r="G4216" s="94"/>
      <c r="H4216" s="131"/>
      <c r="I4216" s="3"/>
    </row>
    <row r="4217" spans="1:9" s="93" customFormat="1" ht="9" customHeight="1" x14ac:dyDescent="0.3">
      <c r="A4217" s="91"/>
      <c r="B4217" s="70"/>
      <c r="C4217" s="70"/>
      <c r="D4217" s="70"/>
      <c r="E4217" s="70"/>
      <c r="F4217" s="70"/>
      <c r="G4217" s="94"/>
      <c r="H4217" s="131"/>
      <c r="I4217" s="3"/>
    </row>
    <row r="4218" spans="1:9" s="93" customFormat="1" ht="9" customHeight="1" x14ac:dyDescent="0.3">
      <c r="A4218" s="91"/>
      <c r="B4218" s="70"/>
      <c r="C4218" s="70"/>
      <c r="D4218" s="70"/>
      <c r="E4218" s="70"/>
      <c r="F4218" s="70"/>
      <c r="G4218" s="94"/>
      <c r="H4218" s="131"/>
      <c r="I4218" s="3"/>
    </row>
    <row r="4219" spans="1:9" s="93" customFormat="1" ht="9" customHeight="1" x14ac:dyDescent="0.3">
      <c r="A4219" s="91"/>
      <c r="B4219" s="70"/>
      <c r="C4219" s="70"/>
      <c r="D4219" s="70"/>
      <c r="E4219" s="70"/>
      <c r="F4219" s="70"/>
      <c r="G4219" s="94"/>
      <c r="H4219" s="131"/>
      <c r="I4219" s="3"/>
    </row>
    <row r="4220" spans="1:9" s="93" customFormat="1" ht="9" customHeight="1" x14ac:dyDescent="0.3">
      <c r="A4220" s="91"/>
      <c r="B4220" s="70"/>
      <c r="C4220" s="70"/>
      <c r="D4220" s="70"/>
      <c r="E4220" s="70"/>
      <c r="F4220" s="70"/>
      <c r="G4220" s="94"/>
      <c r="H4220" s="131"/>
      <c r="I4220" s="3"/>
    </row>
    <row r="4221" spans="1:9" s="93" customFormat="1" ht="9" customHeight="1" x14ac:dyDescent="0.3">
      <c r="A4221" s="91"/>
      <c r="B4221" s="70"/>
      <c r="C4221" s="70"/>
      <c r="D4221" s="70"/>
      <c r="E4221" s="70"/>
      <c r="F4221" s="70"/>
      <c r="G4221" s="94"/>
      <c r="H4221" s="131"/>
      <c r="I4221" s="3"/>
    </row>
    <row r="4222" spans="1:9" s="93" customFormat="1" ht="9" customHeight="1" x14ac:dyDescent="0.3">
      <c r="A4222" s="91"/>
      <c r="B4222" s="70"/>
      <c r="C4222" s="70"/>
      <c r="D4222" s="70"/>
      <c r="E4222" s="70"/>
      <c r="F4222" s="70"/>
      <c r="G4222" s="94"/>
      <c r="H4222" s="131"/>
      <c r="I4222" s="3"/>
    </row>
    <row r="4223" spans="1:9" s="93" customFormat="1" ht="9" customHeight="1" x14ac:dyDescent="0.3">
      <c r="A4223" s="91"/>
      <c r="B4223" s="70"/>
      <c r="C4223" s="70"/>
      <c r="D4223" s="70"/>
      <c r="E4223" s="70"/>
      <c r="F4223" s="70"/>
      <c r="G4223" s="94"/>
      <c r="H4223" s="131"/>
      <c r="I4223" s="3"/>
    </row>
    <row r="4224" spans="1:9" s="93" customFormat="1" ht="9" customHeight="1" x14ac:dyDescent="0.3">
      <c r="A4224" s="91"/>
      <c r="B4224" s="70"/>
      <c r="C4224" s="70"/>
      <c r="D4224" s="70"/>
      <c r="E4224" s="70"/>
      <c r="F4224" s="70"/>
      <c r="G4224" s="94"/>
      <c r="H4224" s="131"/>
      <c r="I4224" s="3"/>
    </row>
    <row r="4225" spans="1:9" s="93" customFormat="1" ht="9" customHeight="1" x14ac:dyDescent="0.3">
      <c r="A4225" s="91"/>
      <c r="B4225" s="70"/>
      <c r="C4225" s="70"/>
      <c r="D4225" s="70"/>
      <c r="E4225" s="70"/>
      <c r="F4225" s="70"/>
      <c r="G4225" s="94"/>
      <c r="H4225" s="131"/>
      <c r="I4225" s="3"/>
    </row>
    <row r="4226" spans="1:9" s="93" customFormat="1" ht="9" customHeight="1" x14ac:dyDescent="0.3">
      <c r="A4226" s="91"/>
      <c r="B4226" s="70"/>
      <c r="C4226" s="70"/>
      <c r="D4226" s="70"/>
      <c r="E4226" s="70"/>
      <c r="F4226" s="70"/>
      <c r="G4226" s="94"/>
      <c r="H4226" s="131"/>
      <c r="I4226" s="3"/>
    </row>
    <row r="4227" spans="1:9" s="93" customFormat="1" ht="9" customHeight="1" x14ac:dyDescent="0.3">
      <c r="A4227" s="91"/>
      <c r="B4227" s="70"/>
      <c r="C4227" s="70"/>
      <c r="D4227" s="70"/>
      <c r="E4227" s="70"/>
      <c r="F4227" s="70"/>
      <c r="G4227" s="94"/>
      <c r="H4227" s="131"/>
      <c r="I4227" s="3"/>
    </row>
    <row r="4228" spans="1:9" s="93" customFormat="1" ht="9" customHeight="1" x14ac:dyDescent="0.3">
      <c r="A4228" s="91"/>
      <c r="B4228" s="70"/>
      <c r="C4228" s="70"/>
      <c r="D4228" s="70"/>
      <c r="E4228" s="70"/>
      <c r="F4228" s="70"/>
      <c r="G4228" s="94"/>
      <c r="H4228" s="131"/>
      <c r="I4228" s="3"/>
    </row>
    <row r="4229" spans="1:9" s="93" customFormat="1" ht="9" customHeight="1" x14ac:dyDescent="0.3">
      <c r="A4229" s="91"/>
      <c r="B4229" s="70"/>
      <c r="C4229" s="70"/>
      <c r="D4229" s="70"/>
      <c r="E4229" s="70"/>
      <c r="F4229" s="70"/>
      <c r="G4229" s="94"/>
      <c r="H4229" s="131"/>
      <c r="I4229" s="3"/>
    </row>
    <row r="4230" spans="1:9" s="93" customFormat="1" ht="9" customHeight="1" x14ac:dyDescent="0.3">
      <c r="A4230" s="91"/>
      <c r="B4230" s="70"/>
      <c r="C4230" s="70"/>
      <c r="D4230" s="70"/>
      <c r="E4230" s="70"/>
      <c r="F4230" s="70"/>
      <c r="G4230" s="94"/>
      <c r="H4230" s="131"/>
      <c r="I4230" s="3"/>
    </row>
    <row r="4231" spans="1:9" s="93" customFormat="1" ht="9" customHeight="1" x14ac:dyDescent="0.3">
      <c r="A4231" s="91"/>
      <c r="B4231" s="70"/>
      <c r="C4231" s="70"/>
      <c r="D4231" s="70"/>
      <c r="E4231" s="70"/>
      <c r="F4231" s="70"/>
      <c r="G4231" s="94"/>
      <c r="H4231" s="131"/>
      <c r="I4231" s="3"/>
    </row>
    <row r="4232" spans="1:9" s="93" customFormat="1" ht="9" customHeight="1" x14ac:dyDescent="0.3">
      <c r="A4232" s="91"/>
      <c r="B4232" s="70"/>
      <c r="C4232" s="70"/>
      <c r="D4232" s="70"/>
      <c r="E4232" s="70"/>
      <c r="F4232" s="70"/>
      <c r="G4232" s="94"/>
      <c r="H4232" s="131"/>
      <c r="I4232" s="3"/>
    </row>
    <row r="4233" spans="1:9" s="93" customFormat="1" ht="9" customHeight="1" x14ac:dyDescent="0.3">
      <c r="A4233" s="91"/>
      <c r="B4233" s="70"/>
      <c r="C4233" s="70"/>
      <c r="D4233" s="70"/>
      <c r="E4233" s="70"/>
      <c r="F4233" s="70"/>
      <c r="G4233" s="94"/>
      <c r="H4233" s="131"/>
      <c r="I4233" s="3"/>
    </row>
    <row r="4234" spans="1:9" s="93" customFormat="1" ht="9" customHeight="1" x14ac:dyDescent="0.3">
      <c r="A4234" s="91"/>
      <c r="B4234" s="70"/>
      <c r="C4234" s="70"/>
      <c r="D4234" s="70"/>
      <c r="E4234" s="70"/>
      <c r="F4234" s="70"/>
      <c r="G4234" s="94"/>
      <c r="H4234" s="131"/>
      <c r="I4234" s="3"/>
    </row>
    <row r="4235" spans="1:9" s="93" customFormat="1" ht="9" customHeight="1" x14ac:dyDescent="0.3">
      <c r="A4235" s="91"/>
      <c r="B4235" s="70"/>
      <c r="C4235" s="70"/>
      <c r="D4235" s="70"/>
      <c r="E4235" s="70"/>
      <c r="F4235" s="70"/>
      <c r="G4235" s="94"/>
      <c r="H4235" s="131"/>
      <c r="I4235" s="3"/>
    </row>
    <row r="4236" spans="1:9" s="93" customFormat="1" ht="9" customHeight="1" x14ac:dyDescent="0.3">
      <c r="A4236" s="91"/>
      <c r="B4236" s="70"/>
      <c r="C4236" s="70"/>
      <c r="D4236" s="70"/>
      <c r="E4236" s="70"/>
      <c r="F4236" s="70"/>
      <c r="G4236" s="94"/>
      <c r="H4236" s="131"/>
      <c r="I4236" s="3"/>
    </row>
    <row r="4237" spans="1:9" s="93" customFormat="1" ht="9" customHeight="1" x14ac:dyDescent="0.3">
      <c r="A4237" s="91"/>
      <c r="B4237" s="70"/>
      <c r="C4237" s="70"/>
      <c r="D4237" s="70"/>
      <c r="E4237" s="70"/>
      <c r="F4237" s="70"/>
      <c r="G4237" s="94"/>
      <c r="H4237" s="131"/>
      <c r="I4237" s="3"/>
    </row>
    <row r="4238" spans="1:9" s="93" customFormat="1" ht="9" customHeight="1" x14ac:dyDescent="0.3">
      <c r="A4238" s="91"/>
      <c r="B4238" s="70"/>
      <c r="C4238" s="70"/>
      <c r="D4238" s="70"/>
      <c r="E4238" s="70"/>
      <c r="F4238" s="70"/>
      <c r="G4238" s="94"/>
      <c r="H4238" s="131"/>
      <c r="I4238" s="3"/>
    </row>
    <row r="4239" spans="1:9" s="93" customFormat="1" ht="9" customHeight="1" x14ac:dyDescent="0.3">
      <c r="A4239" s="91"/>
      <c r="B4239" s="70"/>
      <c r="C4239" s="70"/>
      <c r="D4239" s="70"/>
      <c r="E4239" s="70"/>
      <c r="F4239" s="70"/>
      <c r="G4239" s="94"/>
      <c r="H4239" s="131"/>
      <c r="I4239" s="3"/>
    </row>
    <row r="4240" spans="1:9" s="93" customFormat="1" ht="9" customHeight="1" x14ac:dyDescent="0.3">
      <c r="A4240" s="91"/>
      <c r="B4240" s="70"/>
      <c r="C4240" s="70"/>
      <c r="D4240" s="70"/>
      <c r="E4240" s="70"/>
      <c r="F4240" s="70"/>
      <c r="G4240" s="94"/>
      <c r="H4240" s="131"/>
      <c r="I4240" s="3"/>
    </row>
    <row r="4241" spans="1:9" s="93" customFormat="1" ht="9" customHeight="1" x14ac:dyDescent="0.3">
      <c r="A4241" s="91"/>
      <c r="B4241" s="70"/>
      <c r="C4241" s="70"/>
      <c r="D4241" s="70"/>
      <c r="E4241" s="70"/>
      <c r="F4241" s="70"/>
      <c r="G4241" s="94"/>
      <c r="H4241" s="131"/>
      <c r="I4241" s="3"/>
    </row>
    <row r="4242" spans="1:9" s="93" customFormat="1" ht="9" customHeight="1" x14ac:dyDescent="0.3">
      <c r="A4242" s="91"/>
      <c r="B4242" s="70"/>
      <c r="C4242" s="70"/>
      <c r="D4242" s="70"/>
      <c r="E4242" s="70"/>
      <c r="F4242" s="70"/>
      <c r="G4242" s="94"/>
      <c r="H4242" s="131"/>
      <c r="I4242" s="3"/>
    </row>
    <row r="4243" spans="1:9" s="93" customFormat="1" ht="9" customHeight="1" x14ac:dyDescent="0.3">
      <c r="A4243" s="91"/>
      <c r="B4243" s="70"/>
      <c r="C4243" s="70"/>
      <c r="D4243" s="70"/>
      <c r="E4243" s="70"/>
      <c r="F4243" s="70"/>
      <c r="G4243" s="94"/>
      <c r="H4243" s="131"/>
      <c r="I4243" s="3"/>
    </row>
    <row r="4244" spans="1:9" s="93" customFormat="1" ht="9" customHeight="1" x14ac:dyDescent="0.3">
      <c r="A4244" s="91"/>
      <c r="B4244" s="70"/>
      <c r="C4244" s="70"/>
      <c r="D4244" s="70"/>
      <c r="E4244" s="70"/>
      <c r="F4244" s="70"/>
      <c r="G4244" s="94"/>
      <c r="H4244" s="131"/>
      <c r="I4244" s="3"/>
    </row>
    <row r="4245" spans="1:9" s="93" customFormat="1" ht="9" customHeight="1" x14ac:dyDescent="0.3">
      <c r="A4245" s="91"/>
      <c r="B4245" s="70"/>
      <c r="C4245" s="70"/>
      <c r="D4245" s="70"/>
      <c r="E4245" s="70"/>
      <c r="F4245" s="70"/>
      <c r="G4245" s="94"/>
      <c r="H4245" s="131"/>
      <c r="I4245" s="3"/>
    </row>
    <row r="4246" spans="1:9" s="93" customFormat="1" ht="9" customHeight="1" x14ac:dyDescent="0.3">
      <c r="A4246" s="91"/>
      <c r="B4246" s="70"/>
      <c r="C4246" s="70"/>
      <c r="D4246" s="70"/>
      <c r="E4246" s="70"/>
      <c r="F4246" s="70"/>
      <c r="G4246" s="94"/>
      <c r="H4246" s="131"/>
      <c r="I4246" s="3"/>
    </row>
    <row r="4247" spans="1:9" s="93" customFormat="1" ht="9" customHeight="1" x14ac:dyDescent="0.3">
      <c r="A4247" s="91"/>
      <c r="B4247" s="70"/>
      <c r="C4247" s="70"/>
      <c r="D4247" s="70"/>
      <c r="E4247" s="70"/>
      <c r="F4247" s="70"/>
      <c r="G4247" s="94"/>
      <c r="H4247" s="131"/>
      <c r="I4247" s="3"/>
    </row>
    <row r="4248" spans="1:9" s="93" customFormat="1" ht="9" customHeight="1" x14ac:dyDescent="0.3">
      <c r="A4248" s="91"/>
      <c r="B4248" s="70"/>
      <c r="C4248" s="70"/>
      <c r="D4248" s="70"/>
      <c r="E4248" s="70"/>
      <c r="F4248" s="70"/>
      <c r="G4248" s="94"/>
      <c r="H4248" s="131"/>
      <c r="I4248" s="3"/>
    </row>
    <row r="4249" spans="1:9" s="93" customFormat="1" ht="9" customHeight="1" x14ac:dyDescent="0.3">
      <c r="A4249" s="91"/>
      <c r="B4249" s="70"/>
      <c r="C4249" s="70"/>
      <c r="D4249" s="70"/>
      <c r="E4249" s="70"/>
      <c r="F4249" s="70"/>
      <c r="G4249" s="94"/>
      <c r="H4249" s="131"/>
      <c r="I4249" s="3"/>
    </row>
    <row r="4250" spans="1:9" s="93" customFormat="1" ht="9" customHeight="1" x14ac:dyDescent="0.3">
      <c r="A4250" s="91"/>
      <c r="B4250" s="70"/>
      <c r="C4250" s="70"/>
      <c r="D4250" s="70"/>
      <c r="E4250" s="70"/>
      <c r="F4250" s="70"/>
      <c r="G4250" s="94"/>
      <c r="H4250" s="131"/>
      <c r="I4250" s="3"/>
    </row>
    <row r="4251" spans="1:9" s="93" customFormat="1" ht="9" customHeight="1" x14ac:dyDescent="0.3">
      <c r="A4251" s="91"/>
      <c r="B4251" s="70"/>
      <c r="C4251" s="70"/>
      <c r="D4251" s="70"/>
      <c r="E4251" s="70"/>
      <c r="F4251" s="70"/>
      <c r="G4251" s="94"/>
      <c r="H4251" s="131"/>
      <c r="I4251" s="3"/>
    </row>
    <row r="4252" spans="1:9" s="93" customFormat="1" ht="9" customHeight="1" x14ac:dyDescent="0.3">
      <c r="A4252" s="91"/>
      <c r="B4252" s="70"/>
      <c r="C4252" s="70"/>
      <c r="D4252" s="70"/>
      <c r="E4252" s="70"/>
      <c r="F4252" s="70"/>
      <c r="G4252" s="94"/>
      <c r="H4252" s="131"/>
      <c r="I4252" s="3"/>
    </row>
    <row r="4253" spans="1:9" s="93" customFormat="1" ht="9" customHeight="1" x14ac:dyDescent="0.3">
      <c r="A4253" s="91"/>
      <c r="B4253" s="70"/>
      <c r="C4253" s="70"/>
      <c r="D4253" s="70"/>
      <c r="E4253" s="70"/>
      <c r="F4253" s="70"/>
      <c r="G4253" s="94"/>
      <c r="H4253" s="131"/>
      <c r="I4253" s="3"/>
    </row>
    <row r="4254" spans="1:9" s="93" customFormat="1" ht="9" customHeight="1" x14ac:dyDescent="0.3">
      <c r="A4254" s="91"/>
      <c r="B4254" s="70"/>
      <c r="C4254" s="70"/>
      <c r="D4254" s="70"/>
      <c r="E4254" s="70"/>
      <c r="F4254" s="70"/>
      <c r="G4254" s="94"/>
      <c r="H4254" s="131"/>
      <c r="I4254" s="3"/>
    </row>
    <row r="4255" spans="1:9" s="93" customFormat="1" ht="9" customHeight="1" x14ac:dyDescent="0.3">
      <c r="A4255" s="91"/>
      <c r="B4255" s="70"/>
      <c r="C4255" s="70"/>
      <c r="D4255" s="70"/>
      <c r="E4255" s="70"/>
      <c r="F4255" s="70"/>
      <c r="G4255" s="94"/>
      <c r="H4255" s="131"/>
      <c r="I4255" s="3"/>
    </row>
    <row r="4256" spans="1:9" s="93" customFormat="1" ht="9" customHeight="1" x14ac:dyDescent="0.3">
      <c r="A4256" s="91"/>
      <c r="B4256" s="70"/>
      <c r="C4256" s="70"/>
      <c r="D4256" s="70"/>
      <c r="E4256" s="70"/>
      <c r="F4256" s="70"/>
      <c r="G4256" s="94"/>
      <c r="H4256" s="131"/>
      <c r="I4256" s="3"/>
    </row>
    <row r="4257" spans="1:9" s="93" customFormat="1" ht="9" customHeight="1" x14ac:dyDescent="0.3">
      <c r="A4257" s="91"/>
      <c r="B4257" s="70"/>
      <c r="C4257" s="70"/>
      <c r="D4257" s="70"/>
      <c r="E4257" s="70"/>
      <c r="F4257" s="70"/>
      <c r="G4257" s="94"/>
      <c r="H4257" s="131"/>
      <c r="I4257" s="3"/>
    </row>
    <row r="4258" spans="1:9" s="93" customFormat="1" ht="9" customHeight="1" x14ac:dyDescent="0.3">
      <c r="A4258" s="91"/>
      <c r="B4258" s="70"/>
      <c r="C4258" s="70"/>
      <c r="D4258" s="70"/>
      <c r="E4258" s="70"/>
      <c r="F4258" s="70"/>
      <c r="G4258" s="94"/>
      <c r="H4258" s="131"/>
      <c r="I4258" s="3"/>
    </row>
    <row r="4259" spans="1:9" s="93" customFormat="1" ht="9" customHeight="1" x14ac:dyDescent="0.3">
      <c r="A4259" s="91"/>
      <c r="B4259" s="70"/>
      <c r="C4259" s="70"/>
      <c r="D4259" s="70"/>
      <c r="E4259" s="70"/>
      <c r="F4259" s="70"/>
      <c r="G4259" s="94"/>
      <c r="H4259" s="131"/>
      <c r="I4259" s="3"/>
    </row>
    <row r="4260" spans="1:9" s="93" customFormat="1" ht="9" customHeight="1" x14ac:dyDescent="0.3">
      <c r="A4260" s="91"/>
      <c r="B4260" s="70"/>
      <c r="C4260" s="70"/>
      <c r="D4260" s="70"/>
      <c r="E4260" s="70"/>
      <c r="F4260" s="70"/>
      <c r="G4260" s="94"/>
      <c r="H4260" s="131"/>
      <c r="I4260" s="3"/>
    </row>
    <row r="4261" spans="1:9" s="93" customFormat="1" ht="9" customHeight="1" x14ac:dyDescent="0.3">
      <c r="A4261" s="91"/>
      <c r="B4261" s="70"/>
      <c r="C4261" s="70"/>
      <c r="D4261" s="70"/>
      <c r="E4261" s="70"/>
      <c r="F4261" s="70"/>
      <c r="G4261" s="94"/>
      <c r="H4261" s="131"/>
      <c r="I4261" s="3"/>
    </row>
    <row r="4262" spans="1:9" s="93" customFormat="1" ht="9" customHeight="1" x14ac:dyDescent="0.3">
      <c r="A4262" s="91"/>
      <c r="B4262" s="70"/>
      <c r="C4262" s="70"/>
      <c r="D4262" s="70"/>
      <c r="E4262" s="70"/>
      <c r="F4262" s="70"/>
      <c r="G4262" s="94"/>
      <c r="H4262" s="131"/>
      <c r="I4262" s="3"/>
    </row>
    <row r="4263" spans="1:9" s="93" customFormat="1" ht="9" customHeight="1" x14ac:dyDescent="0.3">
      <c r="A4263" s="91"/>
      <c r="B4263" s="70"/>
      <c r="C4263" s="70"/>
      <c r="D4263" s="70"/>
      <c r="E4263" s="70"/>
      <c r="F4263" s="70"/>
      <c r="G4263" s="94"/>
      <c r="H4263" s="131"/>
      <c r="I4263" s="3"/>
    </row>
    <row r="4264" spans="1:9" s="93" customFormat="1" ht="9" customHeight="1" x14ac:dyDescent="0.3">
      <c r="A4264" s="91"/>
      <c r="B4264" s="70"/>
      <c r="C4264" s="70"/>
      <c r="D4264" s="70"/>
      <c r="E4264" s="70"/>
      <c r="F4264" s="70"/>
      <c r="G4264" s="94"/>
      <c r="H4264" s="131"/>
      <c r="I4264" s="3"/>
    </row>
    <row r="4265" spans="1:9" s="93" customFormat="1" ht="9" customHeight="1" x14ac:dyDescent="0.3">
      <c r="A4265" s="91"/>
      <c r="B4265" s="70"/>
      <c r="C4265" s="70"/>
      <c r="D4265" s="70"/>
      <c r="E4265" s="70"/>
      <c r="F4265" s="70"/>
      <c r="G4265" s="94"/>
      <c r="H4265" s="131"/>
      <c r="I4265" s="3"/>
    </row>
    <row r="4266" spans="1:9" s="93" customFormat="1" ht="9" customHeight="1" x14ac:dyDescent="0.3">
      <c r="A4266" s="91"/>
      <c r="B4266" s="70"/>
      <c r="C4266" s="70"/>
      <c r="D4266" s="70"/>
      <c r="E4266" s="70"/>
      <c r="F4266" s="70"/>
      <c r="G4266" s="94"/>
      <c r="H4266" s="131"/>
      <c r="I4266" s="3"/>
    </row>
    <row r="4267" spans="1:9" s="93" customFormat="1" ht="9" customHeight="1" x14ac:dyDescent="0.3">
      <c r="A4267" s="91"/>
      <c r="B4267" s="70"/>
      <c r="C4267" s="70"/>
      <c r="D4267" s="70"/>
      <c r="E4267" s="70"/>
      <c r="F4267" s="70"/>
      <c r="G4267" s="94"/>
      <c r="H4267" s="131"/>
      <c r="I4267" s="3"/>
    </row>
    <row r="4268" spans="1:9" s="93" customFormat="1" ht="9" customHeight="1" x14ac:dyDescent="0.3">
      <c r="A4268" s="91"/>
      <c r="B4268" s="70"/>
      <c r="C4268" s="70"/>
      <c r="D4268" s="70"/>
      <c r="E4268" s="70"/>
      <c r="F4268" s="70"/>
      <c r="G4268" s="94"/>
      <c r="H4268" s="131"/>
      <c r="I4268" s="3"/>
    </row>
    <row r="4269" spans="1:9" s="93" customFormat="1" ht="9" customHeight="1" x14ac:dyDescent="0.3">
      <c r="A4269" s="91"/>
      <c r="B4269" s="70"/>
      <c r="C4269" s="70"/>
      <c r="D4269" s="70"/>
      <c r="E4269" s="70"/>
      <c r="F4269" s="70"/>
      <c r="G4269" s="94"/>
      <c r="H4269" s="131"/>
      <c r="I4269" s="3"/>
    </row>
    <row r="4270" spans="1:9" s="93" customFormat="1" ht="9" customHeight="1" x14ac:dyDescent="0.3">
      <c r="A4270" s="91"/>
      <c r="B4270" s="70"/>
      <c r="C4270" s="70"/>
      <c r="D4270" s="70"/>
      <c r="E4270" s="70"/>
      <c r="F4270" s="70"/>
      <c r="G4270" s="94"/>
      <c r="H4270" s="131"/>
      <c r="I4270" s="3"/>
    </row>
    <row r="4271" spans="1:9" s="93" customFormat="1" ht="9" customHeight="1" x14ac:dyDescent="0.3">
      <c r="A4271" s="91"/>
      <c r="B4271" s="70"/>
      <c r="C4271" s="70"/>
      <c r="D4271" s="70"/>
      <c r="E4271" s="70"/>
      <c r="F4271" s="70"/>
      <c r="G4271" s="94"/>
      <c r="H4271" s="131"/>
      <c r="I4271" s="3"/>
    </row>
    <row r="4272" spans="1:9" s="93" customFormat="1" ht="9" customHeight="1" x14ac:dyDescent="0.3">
      <c r="A4272" s="91"/>
      <c r="B4272" s="70"/>
      <c r="C4272" s="70"/>
      <c r="D4272" s="70"/>
      <c r="E4272" s="70"/>
      <c r="F4272" s="70"/>
      <c r="G4272" s="94"/>
      <c r="H4272" s="131"/>
      <c r="I4272" s="3"/>
    </row>
    <row r="4273" spans="1:9" s="93" customFormat="1" ht="9" customHeight="1" x14ac:dyDescent="0.3">
      <c r="A4273" s="91"/>
      <c r="B4273" s="70"/>
      <c r="C4273" s="70"/>
      <c r="D4273" s="70"/>
      <c r="E4273" s="70"/>
      <c r="F4273" s="70"/>
      <c r="G4273" s="94"/>
      <c r="H4273" s="131"/>
      <c r="I4273" s="3"/>
    </row>
    <row r="4274" spans="1:9" s="93" customFormat="1" ht="9" customHeight="1" x14ac:dyDescent="0.3">
      <c r="A4274" s="91"/>
      <c r="B4274" s="70"/>
      <c r="C4274" s="70"/>
      <c r="D4274" s="70"/>
      <c r="E4274" s="70"/>
      <c r="F4274" s="70"/>
      <c r="G4274" s="94"/>
      <c r="H4274" s="131"/>
      <c r="I4274" s="3"/>
    </row>
    <row r="4275" spans="1:9" s="93" customFormat="1" ht="9" customHeight="1" x14ac:dyDescent="0.3">
      <c r="A4275" s="91"/>
      <c r="B4275" s="70"/>
      <c r="C4275" s="70"/>
      <c r="D4275" s="70"/>
      <c r="E4275" s="70"/>
      <c r="F4275" s="70"/>
      <c r="G4275" s="94"/>
      <c r="H4275" s="131"/>
      <c r="I4275" s="3"/>
    </row>
    <row r="4276" spans="1:9" s="93" customFormat="1" ht="9" customHeight="1" x14ac:dyDescent="0.3">
      <c r="A4276" s="91"/>
      <c r="B4276" s="70"/>
      <c r="C4276" s="70"/>
      <c r="D4276" s="70"/>
      <c r="E4276" s="70"/>
      <c r="F4276" s="70"/>
      <c r="G4276" s="94"/>
      <c r="H4276" s="131"/>
      <c r="I4276" s="3"/>
    </row>
    <row r="4277" spans="1:9" s="93" customFormat="1" ht="9" customHeight="1" x14ac:dyDescent="0.3">
      <c r="A4277" s="91"/>
      <c r="B4277" s="70"/>
      <c r="C4277" s="70"/>
      <c r="D4277" s="70"/>
      <c r="E4277" s="70"/>
      <c r="F4277" s="70"/>
      <c r="G4277" s="94"/>
      <c r="H4277" s="131"/>
      <c r="I4277" s="3"/>
    </row>
    <row r="4278" spans="1:9" s="93" customFormat="1" ht="9" customHeight="1" x14ac:dyDescent="0.3">
      <c r="A4278" s="91"/>
      <c r="B4278" s="70"/>
      <c r="C4278" s="70"/>
      <c r="D4278" s="70"/>
      <c r="E4278" s="70"/>
      <c r="F4278" s="70"/>
      <c r="G4278" s="94"/>
      <c r="H4278" s="131"/>
      <c r="I4278" s="3"/>
    </row>
    <row r="4279" spans="1:9" s="93" customFormat="1" ht="9" customHeight="1" x14ac:dyDescent="0.3">
      <c r="A4279" s="91"/>
      <c r="B4279" s="70"/>
      <c r="C4279" s="70"/>
      <c r="D4279" s="70"/>
      <c r="E4279" s="70"/>
      <c r="F4279" s="70"/>
      <c r="G4279" s="94"/>
      <c r="H4279" s="131"/>
      <c r="I4279" s="3"/>
    </row>
    <row r="4280" spans="1:9" s="93" customFormat="1" ht="9" customHeight="1" x14ac:dyDescent="0.3">
      <c r="A4280" s="91"/>
      <c r="B4280" s="70"/>
      <c r="C4280" s="70"/>
      <c r="D4280" s="70"/>
      <c r="E4280" s="70"/>
      <c r="F4280" s="70"/>
      <c r="G4280" s="94"/>
      <c r="H4280" s="131"/>
      <c r="I4280" s="3"/>
    </row>
    <row r="4281" spans="1:9" s="93" customFormat="1" ht="9" customHeight="1" x14ac:dyDescent="0.3">
      <c r="A4281" s="91"/>
      <c r="B4281" s="70"/>
      <c r="C4281" s="70"/>
      <c r="D4281" s="70"/>
      <c r="E4281" s="70"/>
      <c r="F4281" s="70"/>
      <c r="G4281" s="94"/>
      <c r="H4281" s="131"/>
      <c r="I4281" s="3"/>
    </row>
    <row r="4282" spans="1:9" s="93" customFormat="1" ht="9" customHeight="1" x14ac:dyDescent="0.3">
      <c r="A4282" s="91"/>
      <c r="B4282" s="70"/>
      <c r="C4282" s="70"/>
      <c r="D4282" s="70"/>
      <c r="E4282" s="70"/>
      <c r="F4282" s="70"/>
      <c r="G4282" s="94"/>
      <c r="H4282" s="131"/>
      <c r="I4282" s="3"/>
    </row>
    <row r="4283" spans="1:9" s="93" customFormat="1" ht="9" customHeight="1" x14ac:dyDescent="0.3">
      <c r="A4283" s="91"/>
      <c r="B4283" s="70"/>
      <c r="C4283" s="70"/>
      <c r="D4283" s="70"/>
      <c r="E4283" s="70"/>
      <c r="F4283" s="70"/>
      <c r="G4283" s="94"/>
      <c r="H4283" s="131"/>
      <c r="I4283" s="3"/>
    </row>
    <row r="4284" spans="1:9" s="93" customFormat="1" ht="9" customHeight="1" x14ac:dyDescent="0.3">
      <c r="A4284" s="91"/>
      <c r="B4284" s="70"/>
      <c r="C4284" s="70"/>
      <c r="D4284" s="70"/>
      <c r="E4284" s="70"/>
      <c r="F4284" s="70"/>
      <c r="G4284" s="94"/>
      <c r="H4284" s="131"/>
      <c r="I4284" s="3"/>
    </row>
    <row r="4285" spans="1:9" s="93" customFormat="1" ht="9" customHeight="1" x14ac:dyDescent="0.3">
      <c r="A4285" s="91"/>
      <c r="B4285" s="70"/>
      <c r="C4285" s="70"/>
      <c r="D4285" s="70"/>
      <c r="E4285" s="70"/>
      <c r="F4285" s="70"/>
      <c r="G4285" s="94"/>
      <c r="H4285" s="131"/>
      <c r="I4285" s="3"/>
    </row>
    <row r="4286" spans="1:9" s="93" customFormat="1" ht="9" customHeight="1" x14ac:dyDescent="0.3">
      <c r="A4286" s="91"/>
      <c r="B4286" s="70"/>
      <c r="C4286" s="70"/>
      <c r="D4286" s="70"/>
      <c r="E4286" s="70"/>
      <c r="F4286" s="70"/>
      <c r="G4286" s="94"/>
      <c r="H4286" s="131"/>
      <c r="I4286" s="3"/>
    </row>
    <row r="4287" spans="1:9" s="93" customFormat="1" ht="9" customHeight="1" x14ac:dyDescent="0.3">
      <c r="A4287" s="91"/>
      <c r="B4287" s="70"/>
      <c r="C4287" s="70"/>
      <c r="D4287" s="70"/>
      <c r="E4287" s="70"/>
      <c r="F4287" s="70"/>
      <c r="G4287" s="94"/>
      <c r="H4287" s="131"/>
      <c r="I4287" s="3"/>
    </row>
    <row r="4288" spans="1:9" s="93" customFormat="1" ht="9" customHeight="1" x14ac:dyDescent="0.3">
      <c r="A4288" s="91"/>
      <c r="B4288" s="70"/>
      <c r="C4288" s="70"/>
      <c r="D4288" s="70"/>
      <c r="E4288" s="70"/>
      <c r="F4288" s="70"/>
      <c r="G4288" s="94"/>
      <c r="H4288" s="131"/>
      <c r="I4288" s="3"/>
    </row>
    <row r="4289" spans="1:9" s="93" customFormat="1" ht="9" customHeight="1" x14ac:dyDescent="0.3">
      <c r="A4289" s="91"/>
      <c r="B4289" s="70"/>
      <c r="C4289" s="70"/>
      <c r="D4289" s="70"/>
      <c r="E4289" s="70"/>
      <c r="F4289" s="70"/>
      <c r="G4289" s="94"/>
      <c r="H4289" s="131"/>
      <c r="I4289" s="3"/>
    </row>
    <row r="4290" spans="1:9" s="93" customFormat="1" ht="9" customHeight="1" x14ac:dyDescent="0.3">
      <c r="A4290" s="91"/>
      <c r="B4290" s="70"/>
      <c r="C4290" s="70"/>
      <c r="D4290" s="70"/>
      <c r="E4290" s="70"/>
      <c r="F4290" s="70"/>
      <c r="G4290" s="94"/>
      <c r="H4290" s="131"/>
      <c r="I4290" s="3"/>
    </row>
    <row r="4291" spans="1:9" s="93" customFormat="1" ht="9" customHeight="1" x14ac:dyDescent="0.3">
      <c r="A4291" s="91"/>
      <c r="B4291" s="70"/>
      <c r="C4291" s="70"/>
      <c r="D4291" s="70"/>
      <c r="E4291" s="70"/>
      <c r="F4291" s="70"/>
      <c r="G4291" s="94"/>
      <c r="H4291" s="131"/>
      <c r="I4291" s="3"/>
    </row>
    <row r="4292" spans="1:9" s="93" customFormat="1" ht="9" customHeight="1" x14ac:dyDescent="0.3">
      <c r="A4292" s="91"/>
      <c r="B4292" s="70"/>
      <c r="C4292" s="70"/>
      <c r="D4292" s="70"/>
      <c r="E4292" s="70"/>
      <c r="F4292" s="70"/>
      <c r="G4292" s="94"/>
      <c r="H4292" s="131"/>
      <c r="I4292" s="3"/>
    </row>
    <row r="4293" spans="1:9" s="93" customFormat="1" ht="9" customHeight="1" x14ac:dyDescent="0.3">
      <c r="A4293" s="91"/>
      <c r="B4293" s="70"/>
      <c r="C4293" s="70"/>
      <c r="D4293" s="70"/>
      <c r="E4293" s="70"/>
      <c r="F4293" s="70"/>
      <c r="G4293" s="94"/>
      <c r="H4293" s="131"/>
      <c r="I4293" s="3"/>
    </row>
    <row r="4294" spans="1:9" s="93" customFormat="1" ht="9" customHeight="1" x14ac:dyDescent="0.3">
      <c r="A4294" s="91"/>
      <c r="B4294" s="70"/>
      <c r="C4294" s="70"/>
      <c r="D4294" s="70"/>
      <c r="E4294" s="70"/>
      <c r="F4294" s="70"/>
      <c r="G4294" s="94"/>
      <c r="H4294" s="131"/>
      <c r="I4294" s="3"/>
    </row>
    <row r="4295" spans="1:9" s="93" customFormat="1" ht="9" customHeight="1" x14ac:dyDescent="0.3">
      <c r="A4295" s="91"/>
      <c r="B4295" s="70"/>
      <c r="C4295" s="70"/>
      <c r="D4295" s="70"/>
      <c r="E4295" s="70"/>
      <c r="F4295" s="70"/>
      <c r="G4295" s="94"/>
      <c r="H4295" s="131"/>
      <c r="I4295" s="3"/>
    </row>
    <row r="4296" spans="1:9" s="93" customFormat="1" ht="9" customHeight="1" x14ac:dyDescent="0.3">
      <c r="A4296" s="91"/>
      <c r="B4296" s="70"/>
      <c r="C4296" s="70"/>
      <c r="D4296" s="70"/>
      <c r="E4296" s="70"/>
      <c r="F4296" s="70"/>
      <c r="G4296" s="94"/>
      <c r="H4296" s="131"/>
      <c r="I4296" s="3"/>
    </row>
    <row r="4297" spans="1:9" s="93" customFormat="1" ht="9" customHeight="1" x14ac:dyDescent="0.3">
      <c r="A4297" s="91"/>
      <c r="B4297" s="70"/>
      <c r="C4297" s="70"/>
      <c r="D4297" s="70"/>
      <c r="E4297" s="70"/>
      <c r="F4297" s="70"/>
      <c r="G4297" s="94"/>
      <c r="H4297" s="131"/>
      <c r="I4297" s="3"/>
    </row>
    <row r="4298" spans="1:9" s="93" customFormat="1" ht="9" customHeight="1" x14ac:dyDescent="0.3">
      <c r="A4298" s="91"/>
      <c r="B4298" s="70"/>
      <c r="C4298" s="70"/>
      <c r="D4298" s="70"/>
      <c r="E4298" s="70"/>
      <c r="F4298" s="70"/>
      <c r="G4298" s="94"/>
      <c r="H4298" s="131"/>
      <c r="I4298" s="3"/>
    </row>
    <row r="4299" spans="1:9" s="93" customFormat="1" ht="9" customHeight="1" x14ac:dyDescent="0.3">
      <c r="A4299" s="91"/>
      <c r="B4299" s="70"/>
      <c r="C4299" s="70"/>
      <c r="D4299" s="70"/>
      <c r="E4299" s="70"/>
      <c r="F4299" s="70"/>
      <c r="G4299" s="94"/>
      <c r="H4299" s="131"/>
      <c r="I4299" s="3"/>
    </row>
    <row r="4300" spans="1:9" s="93" customFormat="1" ht="9" customHeight="1" x14ac:dyDescent="0.3">
      <c r="A4300" s="91"/>
      <c r="B4300" s="70"/>
      <c r="C4300" s="70"/>
      <c r="D4300" s="70"/>
      <c r="E4300" s="70"/>
      <c r="F4300" s="70"/>
      <c r="G4300" s="94"/>
      <c r="H4300" s="131"/>
      <c r="I4300" s="3"/>
    </row>
    <row r="4301" spans="1:9" s="93" customFormat="1" ht="9" customHeight="1" x14ac:dyDescent="0.3">
      <c r="A4301" s="91"/>
      <c r="B4301" s="70"/>
      <c r="C4301" s="70"/>
      <c r="D4301" s="70"/>
      <c r="E4301" s="70"/>
      <c r="F4301" s="70"/>
      <c r="G4301" s="94"/>
      <c r="H4301" s="131"/>
      <c r="I4301" s="3"/>
    </row>
    <row r="4302" spans="1:9" s="93" customFormat="1" ht="9" customHeight="1" x14ac:dyDescent="0.3">
      <c r="A4302" s="91"/>
      <c r="B4302" s="70"/>
      <c r="C4302" s="70"/>
      <c r="D4302" s="70"/>
      <c r="E4302" s="70"/>
      <c r="F4302" s="70"/>
      <c r="G4302" s="94"/>
      <c r="H4302" s="131"/>
      <c r="I4302" s="3"/>
    </row>
    <row r="4303" spans="1:9" s="93" customFormat="1" ht="9" customHeight="1" x14ac:dyDescent="0.3">
      <c r="A4303" s="91"/>
      <c r="B4303" s="70"/>
      <c r="C4303" s="70"/>
      <c r="D4303" s="70"/>
      <c r="E4303" s="70"/>
      <c r="F4303" s="70"/>
      <c r="G4303" s="94"/>
      <c r="H4303" s="131"/>
      <c r="I4303" s="3"/>
    </row>
    <row r="4304" spans="1:9" s="93" customFormat="1" ht="9" customHeight="1" x14ac:dyDescent="0.3">
      <c r="A4304" s="91"/>
      <c r="B4304" s="70"/>
      <c r="C4304" s="70"/>
      <c r="D4304" s="70"/>
      <c r="E4304" s="70"/>
      <c r="F4304" s="70"/>
      <c r="G4304" s="94"/>
      <c r="H4304" s="131"/>
      <c r="I4304" s="3"/>
    </row>
    <row r="4305" spans="1:9" s="93" customFormat="1" ht="9" customHeight="1" x14ac:dyDescent="0.3">
      <c r="A4305" s="91"/>
      <c r="B4305" s="70"/>
      <c r="C4305" s="70"/>
      <c r="D4305" s="70"/>
      <c r="E4305" s="70"/>
      <c r="F4305" s="70"/>
      <c r="G4305" s="94"/>
      <c r="H4305" s="131"/>
      <c r="I4305" s="3"/>
    </row>
    <row r="4306" spans="1:9" s="93" customFormat="1" ht="9" customHeight="1" x14ac:dyDescent="0.3">
      <c r="A4306" s="91"/>
      <c r="B4306" s="70"/>
      <c r="C4306" s="70"/>
      <c r="D4306" s="70"/>
      <c r="E4306" s="70"/>
      <c r="F4306" s="70"/>
      <c r="G4306" s="94"/>
      <c r="H4306" s="131"/>
      <c r="I4306" s="3"/>
    </row>
    <row r="4307" spans="1:9" s="93" customFormat="1" ht="9" customHeight="1" x14ac:dyDescent="0.3">
      <c r="A4307" s="91"/>
      <c r="B4307" s="70"/>
      <c r="C4307" s="70"/>
      <c r="D4307" s="70"/>
      <c r="E4307" s="70"/>
      <c r="F4307" s="70"/>
      <c r="G4307" s="94"/>
      <c r="H4307" s="131"/>
      <c r="I4307" s="3"/>
    </row>
    <row r="4308" spans="1:9" s="93" customFormat="1" ht="9" customHeight="1" x14ac:dyDescent="0.3">
      <c r="A4308" s="91"/>
      <c r="B4308" s="70"/>
      <c r="C4308" s="70"/>
      <c r="D4308" s="70"/>
      <c r="E4308" s="70"/>
      <c r="F4308" s="70"/>
      <c r="G4308" s="94"/>
      <c r="H4308" s="131"/>
      <c r="I4308" s="3"/>
    </row>
    <row r="4309" spans="1:9" s="93" customFormat="1" ht="9" customHeight="1" x14ac:dyDescent="0.3">
      <c r="A4309" s="91"/>
      <c r="B4309" s="70"/>
      <c r="C4309" s="70"/>
      <c r="D4309" s="70"/>
      <c r="E4309" s="70"/>
      <c r="F4309" s="70"/>
      <c r="G4309" s="94"/>
      <c r="H4309" s="131"/>
      <c r="I4309" s="3"/>
    </row>
    <row r="4310" spans="1:9" s="93" customFormat="1" ht="9" customHeight="1" x14ac:dyDescent="0.3">
      <c r="A4310" s="91"/>
      <c r="B4310" s="70"/>
      <c r="C4310" s="70"/>
      <c r="D4310" s="70"/>
      <c r="E4310" s="70"/>
      <c r="F4310" s="70"/>
      <c r="G4310" s="94"/>
      <c r="H4310" s="131"/>
      <c r="I4310" s="3"/>
    </row>
    <row r="4311" spans="1:9" s="93" customFormat="1" ht="9" customHeight="1" x14ac:dyDescent="0.3">
      <c r="A4311" s="91"/>
      <c r="B4311" s="70"/>
      <c r="C4311" s="70"/>
      <c r="D4311" s="70"/>
      <c r="E4311" s="70"/>
      <c r="F4311" s="70"/>
      <c r="G4311" s="94"/>
      <c r="H4311" s="131"/>
      <c r="I4311" s="3"/>
    </row>
    <row r="4312" spans="1:9" s="93" customFormat="1" ht="9" customHeight="1" x14ac:dyDescent="0.3">
      <c r="A4312" s="91"/>
      <c r="B4312" s="70"/>
      <c r="C4312" s="70"/>
      <c r="D4312" s="70"/>
      <c r="E4312" s="70"/>
      <c r="F4312" s="70"/>
      <c r="G4312" s="94"/>
      <c r="H4312" s="131"/>
      <c r="I4312" s="3"/>
    </row>
    <row r="4313" spans="1:9" s="93" customFormat="1" ht="9" customHeight="1" x14ac:dyDescent="0.3">
      <c r="A4313" s="91"/>
      <c r="B4313" s="70"/>
      <c r="C4313" s="70"/>
      <c r="D4313" s="70"/>
      <c r="E4313" s="70"/>
      <c r="F4313" s="70"/>
      <c r="G4313" s="94"/>
      <c r="H4313" s="131"/>
      <c r="I4313" s="3"/>
    </row>
    <row r="4314" spans="1:9" s="93" customFormat="1" ht="9" customHeight="1" x14ac:dyDescent="0.3">
      <c r="A4314" s="91"/>
      <c r="B4314" s="70"/>
      <c r="C4314" s="70"/>
      <c r="D4314" s="70"/>
      <c r="E4314" s="70"/>
      <c r="F4314" s="70"/>
      <c r="G4314" s="94"/>
      <c r="H4314" s="131"/>
      <c r="I4314" s="3"/>
    </row>
    <row r="4315" spans="1:9" s="93" customFormat="1" ht="9" customHeight="1" x14ac:dyDescent="0.3">
      <c r="A4315" s="91"/>
      <c r="B4315" s="70"/>
      <c r="C4315" s="70"/>
      <c r="D4315" s="70"/>
      <c r="E4315" s="70"/>
      <c r="F4315" s="70"/>
      <c r="G4315" s="94"/>
      <c r="H4315" s="131"/>
      <c r="I4315" s="3"/>
    </row>
    <row r="4316" spans="1:9" s="93" customFormat="1" ht="9" customHeight="1" x14ac:dyDescent="0.3">
      <c r="A4316" s="91"/>
      <c r="B4316" s="70"/>
      <c r="C4316" s="70"/>
      <c r="D4316" s="70"/>
      <c r="E4316" s="70"/>
      <c r="F4316" s="70"/>
      <c r="G4316" s="94"/>
      <c r="H4316" s="131"/>
      <c r="I4316" s="3"/>
    </row>
    <row r="4317" spans="1:9" s="93" customFormat="1" ht="9" customHeight="1" x14ac:dyDescent="0.3">
      <c r="A4317" s="91"/>
      <c r="B4317" s="70"/>
      <c r="C4317" s="70"/>
      <c r="D4317" s="70"/>
      <c r="E4317" s="70"/>
      <c r="F4317" s="70"/>
      <c r="G4317" s="94"/>
      <c r="H4317" s="131"/>
      <c r="I4317" s="3"/>
    </row>
    <row r="4318" spans="1:9" s="93" customFormat="1" ht="9" customHeight="1" x14ac:dyDescent="0.3">
      <c r="A4318" s="91"/>
      <c r="B4318" s="70"/>
      <c r="C4318" s="70"/>
      <c r="D4318" s="70"/>
      <c r="E4318" s="70"/>
      <c r="F4318" s="70"/>
      <c r="G4318" s="94"/>
      <c r="H4318" s="131"/>
      <c r="I4318" s="3"/>
    </row>
    <row r="4319" spans="1:9" s="93" customFormat="1" ht="9" customHeight="1" x14ac:dyDescent="0.3">
      <c r="A4319" s="91"/>
      <c r="B4319" s="70"/>
      <c r="C4319" s="70"/>
      <c r="D4319" s="70"/>
      <c r="E4319" s="70"/>
      <c r="F4319" s="70"/>
      <c r="G4319" s="94"/>
      <c r="H4319" s="131"/>
      <c r="I4319" s="3"/>
    </row>
    <row r="4320" spans="1:9" s="93" customFormat="1" ht="9" customHeight="1" x14ac:dyDescent="0.3">
      <c r="A4320" s="91"/>
      <c r="B4320" s="70"/>
      <c r="C4320" s="70"/>
      <c r="D4320" s="70"/>
      <c r="E4320" s="70"/>
      <c r="F4320" s="70"/>
      <c r="G4320" s="94"/>
      <c r="H4320" s="131"/>
      <c r="I4320" s="3"/>
    </row>
    <row r="4321" spans="1:9" s="93" customFormat="1" ht="9" customHeight="1" x14ac:dyDescent="0.3">
      <c r="A4321" s="91"/>
      <c r="B4321" s="70"/>
      <c r="C4321" s="70"/>
      <c r="D4321" s="70"/>
      <c r="E4321" s="70"/>
      <c r="F4321" s="70"/>
      <c r="G4321" s="94"/>
      <c r="H4321" s="131"/>
      <c r="I4321" s="3"/>
    </row>
    <row r="4322" spans="1:9" s="93" customFormat="1" ht="9" customHeight="1" x14ac:dyDescent="0.3">
      <c r="A4322" s="91"/>
      <c r="B4322" s="70"/>
      <c r="C4322" s="70"/>
      <c r="D4322" s="70"/>
      <c r="E4322" s="70"/>
      <c r="F4322" s="70"/>
      <c r="G4322" s="94"/>
      <c r="H4322" s="131"/>
      <c r="I4322" s="3"/>
    </row>
    <row r="4323" spans="1:9" s="93" customFormat="1" ht="9" customHeight="1" x14ac:dyDescent="0.3">
      <c r="A4323" s="91"/>
      <c r="B4323" s="70"/>
      <c r="C4323" s="70"/>
      <c r="D4323" s="70"/>
      <c r="E4323" s="70"/>
      <c r="F4323" s="70"/>
      <c r="G4323" s="94"/>
      <c r="H4323" s="131"/>
      <c r="I4323" s="3"/>
    </row>
    <row r="4324" spans="1:9" s="93" customFormat="1" ht="9" customHeight="1" x14ac:dyDescent="0.3">
      <c r="A4324" s="91"/>
      <c r="B4324" s="70"/>
      <c r="C4324" s="70"/>
      <c r="D4324" s="70"/>
      <c r="E4324" s="70"/>
      <c r="F4324" s="70"/>
      <c r="G4324" s="94"/>
      <c r="H4324" s="131"/>
      <c r="I4324" s="3"/>
    </row>
    <row r="4325" spans="1:9" s="93" customFormat="1" ht="9" customHeight="1" x14ac:dyDescent="0.3">
      <c r="A4325" s="91"/>
      <c r="B4325" s="70"/>
      <c r="C4325" s="70"/>
      <c r="D4325" s="70"/>
      <c r="E4325" s="70"/>
      <c r="F4325" s="70"/>
      <c r="G4325" s="94"/>
      <c r="H4325" s="131"/>
      <c r="I4325" s="3"/>
    </row>
    <row r="4326" spans="1:9" s="93" customFormat="1" ht="9" customHeight="1" x14ac:dyDescent="0.3">
      <c r="A4326" s="91"/>
      <c r="B4326" s="70"/>
      <c r="C4326" s="70"/>
      <c r="D4326" s="70"/>
      <c r="E4326" s="70"/>
      <c r="F4326" s="70"/>
      <c r="G4326" s="94"/>
      <c r="H4326" s="131"/>
      <c r="I4326" s="3"/>
    </row>
    <row r="4327" spans="1:9" s="93" customFormat="1" ht="9" customHeight="1" x14ac:dyDescent="0.3">
      <c r="A4327" s="91"/>
      <c r="B4327" s="70"/>
      <c r="C4327" s="70"/>
      <c r="D4327" s="70"/>
      <c r="E4327" s="70"/>
      <c r="F4327" s="70"/>
      <c r="G4327" s="94"/>
      <c r="H4327" s="131"/>
      <c r="I4327" s="3"/>
    </row>
    <row r="4328" spans="1:9" s="93" customFormat="1" ht="9" customHeight="1" x14ac:dyDescent="0.3">
      <c r="A4328" s="91"/>
      <c r="B4328" s="70"/>
      <c r="C4328" s="70"/>
      <c r="D4328" s="70"/>
      <c r="E4328" s="70"/>
      <c r="F4328" s="70"/>
      <c r="G4328" s="94"/>
      <c r="H4328" s="131"/>
      <c r="I4328" s="3"/>
    </row>
    <row r="4329" spans="1:9" s="93" customFormat="1" ht="9" customHeight="1" x14ac:dyDescent="0.3">
      <c r="A4329" s="91"/>
      <c r="B4329" s="70"/>
      <c r="C4329" s="70"/>
      <c r="D4329" s="70"/>
      <c r="E4329" s="70"/>
      <c r="F4329" s="70"/>
      <c r="G4329" s="94"/>
      <c r="H4329" s="131"/>
      <c r="I4329" s="3"/>
    </row>
    <row r="4330" spans="1:9" s="93" customFormat="1" ht="9" customHeight="1" x14ac:dyDescent="0.3">
      <c r="A4330" s="91"/>
      <c r="B4330" s="70"/>
      <c r="C4330" s="70"/>
      <c r="D4330" s="70"/>
      <c r="E4330" s="70"/>
      <c r="F4330" s="70"/>
      <c r="G4330" s="94"/>
      <c r="H4330" s="131"/>
      <c r="I4330" s="3"/>
    </row>
    <row r="4331" spans="1:9" s="93" customFormat="1" ht="9" customHeight="1" x14ac:dyDescent="0.3">
      <c r="A4331" s="91"/>
      <c r="B4331" s="70"/>
      <c r="C4331" s="70"/>
      <c r="D4331" s="70"/>
      <c r="E4331" s="70"/>
      <c r="F4331" s="70"/>
      <c r="G4331" s="94"/>
      <c r="H4331" s="131"/>
      <c r="I4331" s="3"/>
    </row>
    <row r="4332" spans="1:9" s="93" customFormat="1" ht="9" customHeight="1" x14ac:dyDescent="0.3">
      <c r="A4332" s="91"/>
      <c r="B4332" s="70"/>
      <c r="C4332" s="70"/>
      <c r="D4332" s="70"/>
      <c r="E4332" s="70"/>
      <c r="F4332" s="70"/>
      <c r="G4332" s="94"/>
      <c r="H4332" s="131"/>
      <c r="I4332" s="3"/>
    </row>
    <row r="4333" spans="1:9" s="93" customFormat="1" ht="9" customHeight="1" x14ac:dyDescent="0.3">
      <c r="A4333" s="91"/>
      <c r="B4333" s="70"/>
      <c r="C4333" s="70"/>
      <c r="D4333" s="70"/>
      <c r="E4333" s="70"/>
      <c r="F4333" s="70"/>
      <c r="G4333" s="94"/>
      <c r="H4333" s="131"/>
      <c r="I4333" s="3"/>
    </row>
    <row r="4334" spans="1:9" s="93" customFormat="1" ht="9" customHeight="1" x14ac:dyDescent="0.3">
      <c r="A4334" s="91"/>
      <c r="B4334" s="70"/>
      <c r="C4334" s="70"/>
      <c r="D4334" s="70"/>
      <c r="E4334" s="70"/>
      <c r="F4334" s="70"/>
      <c r="G4334" s="94"/>
      <c r="H4334" s="131"/>
      <c r="I4334" s="3"/>
    </row>
    <row r="4335" spans="1:9" s="93" customFormat="1" ht="9" customHeight="1" x14ac:dyDescent="0.3">
      <c r="A4335" s="91"/>
      <c r="B4335" s="70"/>
      <c r="C4335" s="70"/>
      <c r="D4335" s="70"/>
      <c r="E4335" s="70"/>
      <c r="F4335" s="70"/>
      <c r="G4335" s="94"/>
      <c r="H4335" s="131"/>
      <c r="I4335" s="3"/>
    </row>
    <row r="4336" spans="1:9" s="93" customFormat="1" ht="9" customHeight="1" x14ac:dyDescent="0.3">
      <c r="A4336" s="91"/>
      <c r="B4336" s="70"/>
      <c r="C4336" s="70"/>
      <c r="D4336" s="70"/>
      <c r="E4336" s="70"/>
      <c r="F4336" s="70"/>
      <c r="G4336" s="94"/>
      <c r="H4336" s="131"/>
      <c r="I4336" s="3"/>
    </row>
    <row r="4337" spans="1:9" s="93" customFormat="1" ht="9" customHeight="1" x14ac:dyDescent="0.3">
      <c r="A4337" s="91"/>
      <c r="B4337" s="70"/>
      <c r="C4337" s="70"/>
      <c r="D4337" s="70"/>
      <c r="E4337" s="70"/>
      <c r="F4337" s="70"/>
      <c r="G4337" s="94"/>
      <c r="H4337" s="131"/>
      <c r="I4337" s="3"/>
    </row>
    <row r="4338" spans="1:9" s="93" customFormat="1" ht="9" customHeight="1" x14ac:dyDescent="0.3">
      <c r="A4338" s="91"/>
      <c r="B4338" s="70"/>
      <c r="C4338" s="70"/>
      <c r="D4338" s="70"/>
      <c r="E4338" s="70"/>
      <c r="F4338" s="70"/>
      <c r="G4338" s="94"/>
      <c r="H4338" s="131"/>
      <c r="I4338" s="3"/>
    </row>
    <row r="4339" spans="1:9" s="93" customFormat="1" ht="9" customHeight="1" x14ac:dyDescent="0.3">
      <c r="A4339" s="91"/>
      <c r="B4339" s="70"/>
      <c r="C4339" s="70"/>
      <c r="D4339" s="70"/>
      <c r="E4339" s="70"/>
      <c r="F4339" s="70"/>
      <c r="G4339" s="94"/>
      <c r="H4339" s="131"/>
      <c r="I4339" s="3"/>
    </row>
    <row r="4340" spans="1:9" s="93" customFormat="1" ht="9" customHeight="1" x14ac:dyDescent="0.3">
      <c r="A4340" s="91"/>
      <c r="B4340" s="70"/>
      <c r="C4340" s="70"/>
      <c r="D4340" s="70"/>
      <c r="E4340" s="70"/>
      <c r="F4340" s="70"/>
      <c r="G4340" s="94"/>
      <c r="H4340" s="131"/>
      <c r="I4340" s="3"/>
    </row>
    <row r="4341" spans="1:9" s="93" customFormat="1" ht="9" customHeight="1" x14ac:dyDescent="0.3">
      <c r="A4341" s="91"/>
      <c r="B4341" s="70"/>
      <c r="C4341" s="70"/>
      <c r="D4341" s="70"/>
      <c r="E4341" s="70"/>
      <c r="F4341" s="70"/>
      <c r="G4341" s="94"/>
      <c r="H4341" s="131"/>
      <c r="I4341" s="3"/>
    </row>
    <row r="4342" spans="1:9" s="93" customFormat="1" ht="9" customHeight="1" x14ac:dyDescent="0.3">
      <c r="A4342" s="91"/>
      <c r="B4342" s="70"/>
      <c r="C4342" s="70"/>
      <c r="D4342" s="70"/>
      <c r="E4342" s="70"/>
      <c r="F4342" s="70"/>
      <c r="G4342" s="94"/>
      <c r="H4342" s="131"/>
      <c r="I4342" s="3"/>
    </row>
    <row r="4343" spans="1:9" s="93" customFormat="1" ht="9" customHeight="1" x14ac:dyDescent="0.3">
      <c r="A4343" s="91"/>
      <c r="B4343" s="70"/>
      <c r="C4343" s="70"/>
      <c r="D4343" s="70"/>
      <c r="E4343" s="70"/>
      <c r="F4343" s="70"/>
      <c r="G4343" s="94"/>
      <c r="H4343" s="131"/>
      <c r="I4343" s="3"/>
    </row>
    <row r="4344" spans="1:9" s="93" customFormat="1" ht="9" customHeight="1" x14ac:dyDescent="0.3">
      <c r="A4344" s="91"/>
      <c r="B4344" s="70"/>
      <c r="C4344" s="70"/>
      <c r="D4344" s="70"/>
      <c r="E4344" s="70"/>
      <c r="F4344" s="70"/>
      <c r="G4344" s="94"/>
      <c r="H4344" s="131"/>
      <c r="I4344" s="3"/>
    </row>
    <row r="4345" spans="1:9" s="93" customFormat="1" ht="9" customHeight="1" x14ac:dyDescent="0.3">
      <c r="A4345" s="91"/>
      <c r="B4345" s="70"/>
      <c r="C4345" s="70"/>
      <c r="D4345" s="70"/>
      <c r="E4345" s="70"/>
      <c r="F4345" s="70"/>
      <c r="G4345" s="94"/>
      <c r="H4345" s="131"/>
      <c r="I4345" s="3"/>
    </row>
    <row r="4346" spans="1:9" s="93" customFormat="1" ht="9" customHeight="1" x14ac:dyDescent="0.3">
      <c r="A4346" s="91"/>
      <c r="B4346" s="70"/>
      <c r="C4346" s="70"/>
      <c r="D4346" s="70"/>
      <c r="E4346" s="70"/>
      <c r="F4346" s="70"/>
      <c r="G4346" s="94"/>
      <c r="H4346" s="131"/>
      <c r="I4346" s="3"/>
    </row>
    <row r="4347" spans="1:9" s="93" customFormat="1" ht="9" customHeight="1" x14ac:dyDescent="0.3">
      <c r="A4347" s="91"/>
      <c r="B4347" s="70"/>
      <c r="C4347" s="70"/>
      <c r="D4347" s="70"/>
      <c r="E4347" s="70"/>
      <c r="F4347" s="70"/>
      <c r="G4347" s="94"/>
      <c r="H4347" s="131"/>
      <c r="I4347" s="3"/>
    </row>
    <row r="4348" spans="1:9" s="93" customFormat="1" ht="9" customHeight="1" x14ac:dyDescent="0.3">
      <c r="A4348" s="91"/>
      <c r="B4348" s="70"/>
      <c r="C4348" s="70"/>
      <c r="D4348" s="70"/>
      <c r="E4348" s="70"/>
      <c r="F4348" s="70"/>
      <c r="G4348" s="94"/>
      <c r="H4348" s="131"/>
      <c r="I4348" s="3"/>
    </row>
    <row r="4349" spans="1:9" s="93" customFormat="1" ht="9" customHeight="1" x14ac:dyDescent="0.3">
      <c r="A4349" s="91"/>
      <c r="B4349" s="70"/>
      <c r="C4349" s="70"/>
      <c r="D4349" s="70"/>
      <c r="E4349" s="70"/>
      <c r="F4349" s="70"/>
      <c r="G4349" s="94"/>
      <c r="H4349" s="131"/>
      <c r="I4349" s="3"/>
    </row>
    <row r="4350" spans="1:9" s="93" customFormat="1" ht="9" customHeight="1" x14ac:dyDescent="0.3">
      <c r="A4350" s="91"/>
      <c r="B4350" s="70"/>
      <c r="C4350" s="70"/>
      <c r="D4350" s="70"/>
      <c r="E4350" s="70"/>
      <c r="F4350" s="70"/>
      <c r="G4350" s="94"/>
      <c r="H4350" s="131"/>
      <c r="I4350" s="3"/>
    </row>
    <row r="4351" spans="1:9" s="93" customFormat="1" ht="9" customHeight="1" x14ac:dyDescent="0.3">
      <c r="A4351" s="91"/>
      <c r="B4351" s="70"/>
      <c r="C4351" s="70"/>
      <c r="D4351" s="70"/>
      <c r="E4351" s="70"/>
      <c r="F4351" s="70"/>
      <c r="G4351" s="94"/>
      <c r="H4351" s="131"/>
      <c r="I4351" s="3"/>
    </row>
    <row r="4352" spans="1:9" s="93" customFormat="1" ht="9" customHeight="1" x14ac:dyDescent="0.3">
      <c r="A4352" s="91"/>
      <c r="B4352" s="70"/>
      <c r="C4352" s="70"/>
      <c r="D4352" s="70"/>
      <c r="E4352" s="70"/>
      <c r="F4352" s="70"/>
      <c r="G4352" s="94"/>
      <c r="H4352" s="131"/>
      <c r="I4352" s="3"/>
    </row>
    <row r="4353" spans="1:9" s="93" customFormat="1" ht="9" customHeight="1" x14ac:dyDescent="0.3">
      <c r="A4353" s="91"/>
      <c r="B4353" s="70"/>
      <c r="C4353" s="70"/>
      <c r="D4353" s="70"/>
      <c r="E4353" s="70"/>
      <c r="F4353" s="70"/>
      <c r="G4353" s="94"/>
      <c r="H4353" s="131"/>
      <c r="I4353" s="3"/>
    </row>
    <row r="4354" spans="1:9" s="93" customFormat="1" ht="9" customHeight="1" x14ac:dyDescent="0.3">
      <c r="A4354" s="91"/>
      <c r="B4354" s="70"/>
      <c r="C4354" s="70"/>
      <c r="D4354" s="70"/>
      <c r="E4354" s="70"/>
      <c r="F4354" s="70"/>
      <c r="G4354" s="94"/>
      <c r="H4354" s="131"/>
      <c r="I4354" s="3"/>
    </row>
    <row r="4355" spans="1:9" s="93" customFormat="1" ht="9" customHeight="1" x14ac:dyDescent="0.3">
      <c r="A4355" s="91"/>
      <c r="B4355" s="70"/>
      <c r="C4355" s="70"/>
      <c r="D4355" s="70"/>
      <c r="E4355" s="70"/>
      <c r="F4355" s="70"/>
      <c r="G4355" s="94"/>
      <c r="H4355" s="131"/>
      <c r="I4355" s="3"/>
    </row>
    <row r="4356" spans="1:9" s="93" customFormat="1" ht="9" customHeight="1" x14ac:dyDescent="0.3">
      <c r="A4356" s="91"/>
      <c r="B4356" s="70"/>
      <c r="C4356" s="70"/>
      <c r="D4356" s="70"/>
      <c r="E4356" s="70"/>
      <c r="F4356" s="70"/>
      <c r="G4356" s="94"/>
      <c r="H4356" s="131"/>
      <c r="I4356" s="3"/>
    </row>
    <row r="4357" spans="1:9" s="93" customFormat="1" ht="9" customHeight="1" x14ac:dyDescent="0.3">
      <c r="A4357" s="91"/>
      <c r="B4357" s="70"/>
      <c r="C4357" s="70"/>
      <c r="D4357" s="70"/>
      <c r="E4357" s="70"/>
      <c r="F4357" s="70"/>
      <c r="G4357" s="94"/>
      <c r="H4357" s="131"/>
      <c r="I4357" s="3"/>
    </row>
    <row r="4358" spans="1:9" s="93" customFormat="1" ht="9" customHeight="1" x14ac:dyDescent="0.3">
      <c r="A4358" s="91"/>
      <c r="B4358" s="70"/>
      <c r="C4358" s="70"/>
      <c r="D4358" s="70"/>
      <c r="E4358" s="70"/>
      <c r="F4358" s="70"/>
      <c r="G4358" s="94"/>
      <c r="H4358" s="131"/>
      <c r="I4358" s="3"/>
    </row>
    <row r="4359" spans="1:9" s="93" customFormat="1" ht="9" customHeight="1" x14ac:dyDescent="0.3">
      <c r="A4359" s="91"/>
      <c r="B4359" s="70"/>
      <c r="C4359" s="70"/>
      <c r="D4359" s="70"/>
      <c r="E4359" s="70"/>
      <c r="F4359" s="70"/>
      <c r="G4359" s="94"/>
      <c r="H4359" s="131"/>
      <c r="I4359" s="3"/>
    </row>
    <row r="4360" spans="1:9" s="93" customFormat="1" ht="9" customHeight="1" x14ac:dyDescent="0.3">
      <c r="A4360" s="91"/>
      <c r="B4360" s="70"/>
      <c r="C4360" s="70"/>
      <c r="D4360" s="70"/>
      <c r="E4360" s="70"/>
      <c r="F4360" s="70"/>
      <c r="G4360" s="94"/>
      <c r="H4360" s="131"/>
      <c r="I4360" s="3"/>
    </row>
    <row r="4361" spans="1:9" s="93" customFormat="1" ht="9" customHeight="1" x14ac:dyDescent="0.3">
      <c r="A4361" s="91"/>
      <c r="B4361" s="70"/>
      <c r="C4361" s="70"/>
      <c r="D4361" s="70"/>
      <c r="E4361" s="70"/>
      <c r="F4361" s="70"/>
      <c r="G4361" s="94"/>
      <c r="H4361" s="131"/>
      <c r="I4361" s="3"/>
    </row>
    <row r="4362" spans="1:9" s="93" customFormat="1" ht="9" customHeight="1" x14ac:dyDescent="0.3">
      <c r="A4362" s="91"/>
      <c r="B4362" s="70"/>
      <c r="C4362" s="70"/>
      <c r="D4362" s="70"/>
      <c r="E4362" s="70"/>
      <c r="F4362" s="70"/>
      <c r="G4362" s="94"/>
      <c r="H4362" s="131"/>
      <c r="I4362" s="3"/>
    </row>
    <row r="4363" spans="1:9" s="93" customFormat="1" ht="9" customHeight="1" x14ac:dyDescent="0.3">
      <c r="A4363" s="91"/>
      <c r="B4363" s="70"/>
      <c r="C4363" s="70"/>
      <c r="D4363" s="70"/>
      <c r="E4363" s="70"/>
      <c r="F4363" s="70"/>
      <c r="G4363" s="94"/>
      <c r="H4363" s="131"/>
      <c r="I4363" s="3"/>
    </row>
    <row r="4364" spans="1:9" s="93" customFormat="1" ht="9" customHeight="1" x14ac:dyDescent="0.3">
      <c r="A4364" s="91"/>
      <c r="B4364" s="70"/>
      <c r="C4364" s="70"/>
      <c r="D4364" s="70"/>
      <c r="E4364" s="70"/>
      <c r="F4364" s="70"/>
      <c r="G4364" s="94"/>
      <c r="H4364" s="131"/>
      <c r="I4364" s="3"/>
    </row>
    <row r="4365" spans="1:9" s="93" customFormat="1" ht="9" customHeight="1" x14ac:dyDescent="0.3">
      <c r="A4365" s="91"/>
      <c r="B4365" s="70"/>
      <c r="C4365" s="70"/>
      <c r="D4365" s="70"/>
      <c r="E4365" s="70"/>
      <c r="F4365" s="70"/>
      <c r="G4365" s="94"/>
      <c r="H4365" s="131"/>
      <c r="I4365" s="3"/>
    </row>
    <row r="4366" spans="1:9" s="93" customFormat="1" ht="9" customHeight="1" x14ac:dyDescent="0.3">
      <c r="A4366" s="91"/>
      <c r="B4366" s="70"/>
      <c r="C4366" s="70"/>
      <c r="D4366" s="70"/>
      <c r="E4366" s="70"/>
      <c r="F4366" s="70"/>
      <c r="G4366" s="94"/>
      <c r="H4366" s="131"/>
      <c r="I4366" s="3"/>
    </row>
    <row r="4367" spans="1:9" s="93" customFormat="1" ht="9" customHeight="1" x14ac:dyDescent="0.3">
      <c r="A4367" s="91"/>
      <c r="B4367" s="70"/>
      <c r="C4367" s="70"/>
      <c r="D4367" s="70"/>
      <c r="E4367" s="70"/>
      <c r="F4367" s="70"/>
      <c r="G4367" s="94"/>
      <c r="H4367" s="131"/>
      <c r="I4367" s="3"/>
    </row>
    <row r="4368" spans="1:9" s="93" customFormat="1" ht="9" customHeight="1" x14ac:dyDescent="0.3">
      <c r="A4368" s="91"/>
      <c r="B4368" s="70"/>
      <c r="C4368" s="70"/>
      <c r="D4368" s="70"/>
      <c r="E4368" s="70"/>
      <c r="F4368" s="70"/>
      <c r="G4368" s="94"/>
      <c r="H4368" s="131"/>
      <c r="I4368" s="3"/>
    </row>
    <row r="4369" spans="1:9" s="93" customFormat="1" ht="9" customHeight="1" x14ac:dyDescent="0.3">
      <c r="A4369" s="91"/>
      <c r="B4369" s="70"/>
      <c r="C4369" s="70"/>
      <c r="D4369" s="70"/>
      <c r="E4369" s="70"/>
      <c r="F4369" s="70"/>
      <c r="G4369" s="94"/>
      <c r="H4369" s="131"/>
      <c r="I4369" s="3"/>
    </row>
    <row r="4370" spans="1:9" s="93" customFormat="1" ht="9" customHeight="1" x14ac:dyDescent="0.3">
      <c r="A4370" s="91"/>
      <c r="B4370" s="70"/>
      <c r="C4370" s="70"/>
      <c r="D4370" s="70"/>
      <c r="E4370" s="70"/>
      <c r="F4370" s="70"/>
      <c r="G4370" s="94"/>
      <c r="H4370" s="131"/>
      <c r="I4370" s="3"/>
    </row>
    <row r="4371" spans="1:9" s="93" customFormat="1" ht="9" customHeight="1" x14ac:dyDescent="0.3">
      <c r="A4371" s="91"/>
      <c r="B4371" s="70"/>
      <c r="C4371" s="70"/>
      <c r="D4371" s="70"/>
      <c r="E4371" s="70"/>
      <c r="F4371" s="70"/>
      <c r="G4371" s="94"/>
      <c r="H4371" s="131"/>
      <c r="I4371" s="3"/>
    </row>
    <row r="4372" spans="1:9" s="93" customFormat="1" ht="9" customHeight="1" x14ac:dyDescent="0.3">
      <c r="A4372" s="91"/>
      <c r="B4372" s="70"/>
      <c r="C4372" s="70"/>
      <c r="D4372" s="70"/>
      <c r="E4372" s="70"/>
      <c r="F4372" s="70"/>
      <c r="G4372" s="94"/>
      <c r="H4372" s="131"/>
      <c r="I4372" s="3"/>
    </row>
    <row r="4373" spans="1:9" s="93" customFormat="1" ht="9" customHeight="1" x14ac:dyDescent="0.3">
      <c r="A4373" s="91"/>
      <c r="B4373" s="70"/>
      <c r="C4373" s="70"/>
      <c r="D4373" s="70"/>
      <c r="E4373" s="70"/>
      <c r="F4373" s="70"/>
      <c r="G4373" s="94"/>
      <c r="H4373" s="131"/>
      <c r="I4373" s="3"/>
    </row>
    <row r="4374" spans="1:9" s="93" customFormat="1" ht="9" customHeight="1" x14ac:dyDescent="0.3">
      <c r="A4374" s="91"/>
      <c r="B4374" s="70"/>
      <c r="C4374" s="70"/>
      <c r="D4374" s="70"/>
      <c r="E4374" s="70"/>
      <c r="F4374" s="70"/>
      <c r="G4374" s="94"/>
      <c r="H4374" s="131"/>
      <c r="I4374" s="3"/>
    </row>
    <row r="4375" spans="1:9" s="93" customFormat="1" ht="9" customHeight="1" x14ac:dyDescent="0.3">
      <c r="A4375" s="91"/>
      <c r="B4375" s="70"/>
      <c r="C4375" s="70"/>
      <c r="D4375" s="70"/>
      <c r="E4375" s="70"/>
      <c r="F4375" s="70"/>
      <c r="G4375" s="94"/>
      <c r="H4375" s="131"/>
      <c r="I4375" s="3"/>
    </row>
    <row r="4376" spans="1:9" s="93" customFormat="1" ht="9" customHeight="1" x14ac:dyDescent="0.3">
      <c r="A4376" s="91"/>
      <c r="B4376" s="70"/>
      <c r="C4376" s="70"/>
      <c r="D4376" s="70"/>
      <c r="E4376" s="70"/>
      <c r="F4376" s="70"/>
      <c r="G4376" s="94"/>
      <c r="H4376" s="131"/>
      <c r="I4376" s="3"/>
    </row>
    <row r="4377" spans="1:9" s="93" customFormat="1" ht="9" customHeight="1" x14ac:dyDescent="0.3">
      <c r="A4377" s="91"/>
      <c r="B4377" s="70"/>
      <c r="C4377" s="70"/>
      <c r="D4377" s="70"/>
      <c r="E4377" s="70"/>
      <c r="F4377" s="70"/>
      <c r="G4377" s="94"/>
      <c r="H4377" s="131"/>
      <c r="I4377" s="3"/>
    </row>
    <row r="4378" spans="1:9" s="93" customFormat="1" ht="9" customHeight="1" x14ac:dyDescent="0.3">
      <c r="A4378" s="91"/>
      <c r="B4378" s="70"/>
      <c r="C4378" s="70"/>
      <c r="D4378" s="70"/>
      <c r="E4378" s="70"/>
      <c r="F4378" s="70"/>
      <c r="G4378" s="94"/>
      <c r="H4378" s="131"/>
      <c r="I4378" s="3"/>
    </row>
    <row r="4379" spans="1:9" s="93" customFormat="1" ht="9" customHeight="1" x14ac:dyDescent="0.3">
      <c r="A4379" s="91"/>
      <c r="B4379" s="70"/>
      <c r="C4379" s="70"/>
      <c r="D4379" s="70"/>
      <c r="E4379" s="70"/>
      <c r="F4379" s="70"/>
      <c r="G4379" s="94"/>
      <c r="H4379" s="131"/>
      <c r="I4379" s="3"/>
    </row>
    <row r="4380" spans="1:9" s="93" customFormat="1" ht="9" customHeight="1" x14ac:dyDescent="0.3">
      <c r="A4380" s="91"/>
      <c r="B4380" s="70"/>
      <c r="C4380" s="70"/>
      <c r="D4380" s="70"/>
      <c r="E4380" s="70"/>
      <c r="F4380" s="70"/>
      <c r="G4380" s="94"/>
      <c r="H4380" s="131"/>
      <c r="I4380" s="3"/>
    </row>
    <row r="4381" spans="1:9" s="93" customFormat="1" ht="9" customHeight="1" x14ac:dyDescent="0.3">
      <c r="A4381" s="91"/>
      <c r="B4381" s="70"/>
      <c r="C4381" s="70"/>
      <c r="D4381" s="70"/>
      <c r="E4381" s="70"/>
      <c r="F4381" s="70"/>
      <c r="G4381" s="94"/>
      <c r="H4381" s="131"/>
      <c r="I4381" s="3"/>
    </row>
    <row r="4382" spans="1:9" s="93" customFormat="1" ht="9" customHeight="1" x14ac:dyDescent="0.3">
      <c r="A4382" s="91"/>
      <c r="B4382" s="70"/>
      <c r="C4382" s="70"/>
      <c r="D4382" s="70"/>
      <c r="E4382" s="70"/>
      <c r="F4382" s="70"/>
      <c r="G4382" s="94"/>
      <c r="H4382" s="131"/>
      <c r="I4382" s="3"/>
    </row>
    <row r="4383" spans="1:9" s="93" customFormat="1" ht="9" customHeight="1" x14ac:dyDescent="0.3">
      <c r="A4383" s="91"/>
      <c r="B4383" s="70"/>
      <c r="C4383" s="70"/>
      <c r="D4383" s="70"/>
      <c r="E4383" s="70"/>
      <c r="F4383" s="70"/>
      <c r="G4383" s="94"/>
      <c r="H4383" s="131"/>
      <c r="I4383" s="3"/>
    </row>
    <row r="4384" spans="1:9" s="93" customFormat="1" ht="9" customHeight="1" x14ac:dyDescent="0.3">
      <c r="A4384" s="91"/>
      <c r="B4384" s="70"/>
      <c r="C4384" s="70"/>
      <c r="D4384" s="70"/>
      <c r="E4384" s="70"/>
      <c r="F4384" s="70"/>
      <c r="G4384" s="94"/>
      <c r="H4384" s="131"/>
      <c r="I4384" s="3"/>
    </row>
    <row r="4385" spans="1:9" s="93" customFormat="1" ht="9" customHeight="1" x14ac:dyDescent="0.3">
      <c r="A4385" s="91"/>
      <c r="B4385" s="70"/>
      <c r="C4385" s="70"/>
      <c r="D4385" s="70"/>
      <c r="E4385" s="70"/>
      <c r="F4385" s="70"/>
      <c r="G4385" s="94"/>
      <c r="H4385" s="131"/>
      <c r="I4385" s="3"/>
    </row>
    <row r="4386" spans="1:9" s="93" customFormat="1" ht="9" customHeight="1" x14ac:dyDescent="0.3">
      <c r="A4386" s="91"/>
      <c r="B4386" s="70"/>
      <c r="C4386" s="70"/>
      <c r="D4386" s="70"/>
      <c r="E4386" s="70"/>
      <c r="F4386" s="70"/>
      <c r="G4386" s="94"/>
      <c r="H4386" s="131"/>
      <c r="I4386" s="3"/>
    </row>
    <row r="4387" spans="1:9" s="93" customFormat="1" ht="9" customHeight="1" x14ac:dyDescent="0.3">
      <c r="A4387" s="91"/>
      <c r="B4387" s="70"/>
      <c r="C4387" s="70"/>
      <c r="D4387" s="70"/>
      <c r="E4387" s="70"/>
      <c r="F4387" s="70"/>
      <c r="G4387" s="94"/>
      <c r="H4387" s="131"/>
      <c r="I4387" s="3"/>
    </row>
    <row r="4388" spans="1:9" s="93" customFormat="1" ht="9" customHeight="1" x14ac:dyDescent="0.3">
      <c r="A4388" s="91"/>
      <c r="B4388" s="70"/>
      <c r="C4388" s="70"/>
      <c r="D4388" s="70"/>
      <c r="E4388" s="70"/>
      <c r="F4388" s="70"/>
      <c r="G4388" s="94"/>
      <c r="H4388" s="131"/>
      <c r="I4388" s="3"/>
    </row>
    <row r="4389" spans="1:9" s="93" customFormat="1" ht="9" customHeight="1" x14ac:dyDescent="0.3">
      <c r="A4389" s="91"/>
      <c r="B4389" s="70"/>
      <c r="C4389" s="70"/>
      <c r="D4389" s="70"/>
      <c r="E4389" s="70"/>
      <c r="F4389" s="70"/>
      <c r="G4389" s="94"/>
      <c r="H4389" s="131"/>
      <c r="I4389" s="3"/>
    </row>
    <row r="4390" spans="1:9" s="93" customFormat="1" ht="9" customHeight="1" x14ac:dyDescent="0.3">
      <c r="A4390" s="91"/>
      <c r="B4390" s="70"/>
      <c r="C4390" s="70"/>
      <c r="D4390" s="70"/>
      <c r="E4390" s="70"/>
      <c r="F4390" s="70"/>
      <c r="G4390" s="94"/>
      <c r="H4390" s="131"/>
      <c r="I4390" s="3"/>
    </row>
    <row r="4391" spans="1:9" s="93" customFormat="1" ht="9" customHeight="1" x14ac:dyDescent="0.3">
      <c r="A4391" s="91"/>
      <c r="B4391" s="70"/>
      <c r="C4391" s="70"/>
      <c r="D4391" s="70"/>
      <c r="E4391" s="70"/>
      <c r="F4391" s="70"/>
      <c r="G4391" s="94"/>
      <c r="H4391" s="131"/>
      <c r="I4391" s="3"/>
    </row>
    <row r="4392" spans="1:9" s="93" customFormat="1" ht="9" customHeight="1" x14ac:dyDescent="0.3">
      <c r="A4392" s="91"/>
      <c r="B4392" s="70"/>
      <c r="C4392" s="70"/>
      <c r="D4392" s="70"/>
      <c r="E4392" s="70"/>
      <c r="F4392" s="70"/>
      <c r="G4392" s="94"/>
      <c r="H4392" s="131"/>
      <c r="I4392" s="3"/>
    </row>
    <row r="4393" spans="1:9" s="93" customFormat="1" ht="9" customHeight="1" x14ac:dyDescent="0.3">
      <c r="A4393" s="91"/>
      <c r="B4393" s="70"/>
      <c r="C4393" s="70"/>
      <c r="D4393" s="70"/>
      <c r="E4393" s="70"/>
      <c r="F4393" s="70"/>
      <c r="G4393" s="94"/>
      <c r="H4393" s="131"/>
      <c r="I4393" s="3"/>
    </row>
    <row r="4394" spans="1:9" s="93" customFormat="1" ht="9" customHeight="1" x14ac:dyDescent="0.3">
      <c r="A4394" s="91"/>
      <c r="B4394" s="70"/>
      <c r="C4394" s="70"/>
      <c r="D4394" s="70"/>
      <c r="E4394" s="70"/>
      <c r="F4394" s="70"/>
      <c r="G4394" s="94"/>
      <c r="H4394" s="131"/>
      <c r="I4394" s="3"/>
    </row>
    <row r="4395" spans="1:9" s="93" customFormat="1" ht="9" customHeight="1" x14ac:dyDescent="0.3">
      <c r="A4395" s="91"/>
      <c r="B4395" s="70"/>
      <c r="C4395" s="70"/>
      <c r="D4395" s="70"/>
      <c r="E4395" s="70"/>
      <c r="F4395" s="70"/>
      <c r="G4395" s="94"/>
      <c r="H4395" s="131"/>
      <c r="I4395" s="3"/>
    </row>
    <row r="4396" spans="1:9" s="93" customFormat="1" ht="9" customHeight="1" x14ac:dyDescent="0.3">
      <c r="A4396" s="91"/>
      <c r="B4396" s="70"/>
      <c r="C4396" s="70"/>
      <c r="D4396" s="70"/>
      <c r="E4396" s="70"/>
      <c r="F4396" s="70"/>
      <c r="G4396" s="94"/>
      <c r="H4396" s="131"/>
      <c r="I4396" s="3"/>
    </row>
    <row r="4397" spans="1:9" s="93" customFormat="1" ht="9" customHeight="1" x14ac:dyDescent="0.3">
      <c r="A4397" s="91"/>
      <c r="B4397" s="70"/>
      <c r="C4397" s="70"/>
      <c r="D4397" s="70"/>
      <c r="E4397" s="70"/>
      <c r="F4397" s="70"/>
      <c r="G4397" s="94"/>
      <c r="H4397" s="131"/>
      <c r="I4397" s="3"/>
    </row>
    <row r="4398" spans="1:9" s="93" customFormat="1" ht="9" customHeight="1" x14ac:dyDescent="0.3">
      <c r="A4398" s="91"/>
      <c r="B4398" s="70"/>
      <c r="C4398" s="70"/>
      <c r="D4398" s="70"/>
      <c r="E4398" s="70"/>
      <c r="F4398" s="70"/>
      <c r="G4398" s="94"/>
      <c r="H4398" s="131"/>
      <c r="I4398" s="3"/>
    </row>
    <row r="4399" spans="1:9" s="93" customFormat="1" ht="9" customHeight="1" x14ac:dyDescent="0.3">
      <c r="A4399" s="91"/>
      <c r="B4399" s="70"/>
      <c r="C4399" s="70"/>
      <c r="D4399" s="70"/>
      <c r="E4399" s="70"/>
      <c r="F4399" s="70"/>
      <c r="G4399" s="94"/>
      <c r="H4399" s="131"/>
      <c r="I4399" s="3"/>
    </row>
    <row r="4400" spans="1:9" s="93" customFormat="1" ht="9" customHeight="1" x14ac:dyDescent="0.3">
      <c r="A4400" s="91"/>
      <c r="B4400" s="70"/>
      <c r="C4400" s="70"/>
      <c r="D4400" s="70"/>
      <c r="E4400" s="70"/>
      <c r="F4400" s="70"/>
      <c r="G4400" s="94"/>
      <c r="H4400" s="131"/>
      <c r="I4400" s="3"/>
    </row>
    <row r="4401" spans="1:9" s="93" customFormat="1" ht="9" customHeight="1" x14ac:dyDescent="0.3">
      <c r="A4401" s="91"/>
      <c r="B4401" s="70"/>
      <c r="C4401" s="70"/>
      <c r="D4401" s="70"/>
      <c r="E4401" s="70"/>
      <c r="F4401" s="70"/>
      <c r="G4401" s="94"/>
      <c r="H4401" s="131"/>
      <c r="I4401" s="3"/>
    </row>
    <row r="4402" spans="1:9" s="93" customFormat="1" ht="9" customHeight="1" x14ac:dyDescent="0.3">
      <c r="A4402" s="91"/>
      <c r="B4402" s="70"/>
      <c r="C4402" s="70"/>
      <c r="D4402" s="70"/>
      <c r="E4402" s="70"/>
      <c r="F4402" s="70"/>
      <c r="G4402" s="94"/>
      <c r="H4402" s="131"/>
      <c r="I4402" s="3"/>
    </row>
    <row r="4403" spans="1:9" s="93" customFormat="1" ht="9" customHeight="1" x14ac:dyDescent="0.3">
      <c r="A4403" s="91"/>
      <c r="B4403" s="70"/>
      <c r="C4403" s="70"/>
      <c r="D4403" s="70"/>
      <c r="E4403" s="70"/>
      <c r="F4403" s="70"/>
      <c r="G4403" s="94"/>
      <c r="H4403" s="131"/>
      <c r="I4403" s="3"/>
    </row>
    <row r="4404" spans="1:9" s="93" customFormat="1" ht="9" customHeight="1" x14ac:dyDescent="0.3">
      <c r="A4404" s="91"/>
      <c r="B4404" s="70"/>
      <c r="C4404" s="70"/>
      <c r="D4404" s="70"/>
      <c r="E4404" s="70"/>
      <c r="F4404" s="70"/>
      <c r="G4404" s="94"/>
      <c r="H4404" s="131"/>
      <c r="I4404" s="3"/>
    </row>
    <row r="4405" spans="1:9" s="93" customFormat="1" ht="9" customHeight="1" x14ac:dyDescent="0.3">
      <c r="A4405" s="91"/>
      <c r="B4405" s="70"/>
      <c r="C4405" s="70"/>
      <c r="D4405" s="70"/>
      <c r="E4405" s="70"/>
      <c r="F4405" s="70"/>
      <c r="G4405" s="94"/>
      <c r="H4405" s="131"/>
      <c r="I4405" s="3"/>
    </row>
    <row r="4406" spans="1:9" s="93" customFormat="1" ht="9" customHeight="1" x14ac:dyDescent="0.3">
      <c r="A4406" s="91"/>
      <c r="B4406" s="70"/>
      <c r="C4406" s="70"/>
      <c r="D4406" s="70"/>
      <c r="E4406" s="70"/>
      <c r="F4406" s="70"/>
      <c r="G4406" s="94"/>
      <c r="H4406" s="131"/>
      <c r="I4406" s="3"/>
    </row>
    <row r="4407" spans="1:9" s="93" customFormat="1" ht="9" customHeight="1" x14ac:dyDescent="0.3">
      <c r="A4407" s="91"/>
      <c r="B4407" s="70"/>
      <c r="C4407" s="70"/>
      <c r="D4407" s="70"/>
      <c r="E4407" s="70"/>
      <c r="F4407" s="70"/>
      <c r="G4407" s="94"/>
      <c r="H4407" s="131"/>
      <c r="I4407" s="3"/>
    </row>
    <row r="4408" spans="1:9" s="93" customFormat="1" ht="9" customHeight="1" x14ac:dyDescent="0.3">
      <c r="A4408" s="91"/>
      <c r="B4408" s="70"/>
      <c r="C4408" s="70"/>
      <c r="D4408" s="70"/>
      <c r="E4408" s="70"/>
      <c r="F4408" s="70"/>
      <c r="G4408" s="94"/>
      <c r="H4408" s="131"/>
      <c r="I4408" s="3"/>
    </row>
    <row r="4409" spans="1:9" s="93" customFormat="1" ht="9" customHeight="1" x14ac:dyDescent="0.3">
      <c r="A4409" s="91"/>
      <c r="B4409" s="70"/>
      <c r="C4409" s="70"/>
      <c r="D4409" s="70"/>
      <c r="E4409" s="70"/>
      <c r="F4409" s="70"/>
      <c r="G4409" s="94"/>
      <c r="H4409" s="131"/>
      <c r="I4409" s="3"/>
    </row>
    <row r="4410" spans="1:9" s="93" customFormat="1" ht="9" customHeight="1" x14ac:dyDescent="0.3">
      <c r="A4410" s="91"/>
      <c r="B4410" s="70"/>
      <c r="C4410" s="70"/>
      <c r="D4410" s="70"/>
      <c r="E4410" s="70"/>
      <c r="F4410" s="70"/>
      <c r="G4410" s="94"/>
      <c r="H4410" s="131"/>
      <c r="I4410" s="3"/>
    </row>
    <row r="4411" spans="1:9" s="93" customFormat="1" ht="9" customHeight="1" x14ac:dyDescent="0.3">
      <c r="A4411" s="91"/>
      <c r="B4411" s="70"/>
      <c r="C4411" s="70"/>
      <c r="D4411" s="70"/>
      <c r="E4411" s="70"/>
      <c r="F4411" s="70"/>
      <c r="G4411" s="94"/>
      <c r="H4411" s="131"/>
      <c r="I4411" s="3"/>
    </row>
    <row r="4412" spans="1:9" s="93" customFormat="1" ht="9" customHeight="1" x14ac:dyDescent="0.3">
      <c r="A4412" s="91"/>
      <c r="B4412" s="70"/>
      <c r="C4412" s="70"/>
      <c r="D4412" s="70"/>
      <c r="E4412" s="70"/>
      <c r="F4412" s="70"/>
      <c r="G4412" s="94"/>
      <c r="H4412" s="131"/>
      <c r="I4412" s="3"/>
    </row>
    <row r="4413" spans="1:9" s="93" customFormat="1" ht="9" customHeight="1" x14ac:dyDescent="0.3">
      <c r="A4413" s="91"/>
      <c r="B4413" s="70"/>
      <c r="C4413" s="70"/>
      <c r="D4413" s="70"/>
      <c r="E4413" s="70"/>
      <c r="F4413" s="70"/>
      <c r="G4413" s="94"/>
      <c r="H4413" s="131"/>
      <c r="I4413" s="3"/>
    </row>
    <row r="4414" spans="1:9" s="93" customFormat="1" ht="9" customHeight="1" x14ac:dyDescent="0.3">
      <c r="A4414" s="91"/>
      <c r="B4414" s="70"/>
      <c r="C4414" s="70"/>
      <c r="D4414" s="70"/>
      <c r="E4414" s="70"/>
      <c r="F4414" s="70"/>
      <c r="G4414" s="94"/>
      <c r="H4414" s="131"/>
      <c r="I4414" s="3"/>
    </row>
    <row r="4415" spans="1:9" s="93" customFormat="1" ht="9" customHeight="1" x14ac:dyDescent="0.3">
      <c r="A4415" s="91"/>
      <c r="B4415" s="70"/>
      <c r="C4415" s="70"/>
      <c r="D4415" s="70"/>
      <c r="E4415" s="70"/>
      <c r="F4415" s="70"/>
      <c r="G4415" s="94"/>
      <c r="H4415" s="131"/>
      <c r="I4415" s="3"/>
    </row>
    <row r="4416" spans="1:9" s="93" customFormat="1" ht="9" customHeight="1" x14ac:dyDescent="0.3">
      <c r="A4416" s="91"/>
      <c r="B4416" s="70"/>
      <c r="C4416" s="70"/>
      <c r="D4416" s="70"/>
      <c r="E4416" s="70"/>
      <c r="F4416" s="70"/>
      <c r="G4416" s="94"/>
      <c r="H4416" s="131"/>
      <c r="I4416" s="3"/>
    </row>
    <row r="4417" spans="1:9" s="93" customFormat="1" ht="9" customHeight="1" x14ac:dyDescent="0.3">
      <c r="A4417" s="91"/>
      <c r="B4417" s="70"/>
      <c r="C4417" s="70"/>
      <c r="D4417" s="70"/>
      <c r="E4417" s="70"/>
      <c r="F4417" s="70"/>
      <c r="G4417" s="94"/>
      <c r="H4417" s="131"/>
      <c r="I4417" s="3"/>
    </row>
    <row r="4418" spans="1:9" s="93" customFormat="1" ht="9" customHeight="1" x14ac:dyDescent="0.3">
      <c r="A4418" s="91"/>
      <c r="B4418" s="70"/>
      <c r="C4418" s="70"/>
      <c r="D4418" s="70"/>
      <c r="E4418" s="70"/>
      <c r="F4418" s="70"/>
      <c r="G4418" s="94"/>
      <c r="H4418" s="131"/>
      <c r="I4418" s="3"/>
    </row>
    <row r="4419" spans="1:9" s="93" customFormat="1" ht="9" customHeight="1" x14ac:dyDescent="0.3">
      <c r="A4419" s="91"/>
      <c r="B4419" s="70"/>
      <c r="C4419" s="70"/>
      <c r="D4419" s="70"/>
      <c r="E4419" s="70"/>
      <c r="F4419" s="70"/>
      <c r="G4419" s="94"/>
      <c r="H4419" s="131"/>
      <c r="I4419" s="3"/>
    </row>
    <row r="4420" spans="1:9" s="93" customFormat="1" ht="9" customHeight="1" x14ac:dyDescent="0.3">
      <c r="A4420" s="91"/>
      <c r="B4420" s="70"/>
      <c r="C4420" s="70"/>
      <c r="D4420" s="70"/>
      <c r="E4420" s="70"/>
      <c r="F4420" s="70"/>
      <c r="G4420" s="94"/>
      <c r="H4420" s="131"/>
      <c r="I4420" s="3"/>
    </row>
    <row r="4421" spans="1:9" s="93" customFormat="1" ht="9" customHeight="1" x14ac:dyDescent="0.3">
      <c r="A4421" s="91"/>
      <c r="B4421" s="70"/>
      <c r="C4421" s="70"/>
      <c r="D4421" s="70"/>
      <c r="E4421" s="70"/>
      <c r="F4421" s="70"/>
      <c r="G4421" s="94"/>
      <c r="H4421" s="131"/>
      <c r="I4421" s="3"/>
    </row>
    <row r="4422" spans="1:9" s="93" customFormat="1" ht="9" customHeight="1" x14ac:dyDescent="0.3">
      <c r="A4422" s="91"/>
      <c r="B4422" s="70"/>
      <c r="C4422" s="70"/>
      <c r="D4422" s="70"/>
      <c r="E4422" s="70"/>
      <c r="F4422" s="70"/>
      <c r="G4422" s="94"/>
      <c r="H4422" s="131"/>
      <c r="I4422" s="3"/>
    </row>
    <row r="4423" spans="1:9" s="93" customFormat="1" ht="9" customHeight="1" x14ac:dyDescent="0.3">
      <c r="A4423" s="91"/>
      <c r="B4423" s="70"/>
      <c r="C4423" s="70"/>
      <c r="D4423" s="70"/>
      <c r="E4423" s="70"/>
      <c r="F4423" s="70"/>
      <c r="G4423" s="94"/>
      <c r="H4423" s="131"/>
      <c r="I4423" s="3"/>
    </row>
    <row r="4424" spans="1:9" s="93" customFormat="1" ht="9" customHeight="1" x14ac:dyDescent="0.3">
      <c r="A4424" s="91"/>
      <c r="B4424" s="70"/>
      <c r="C4424" s="70"/>
      <c r="D4424" s="70"/>
      <c r="E4424" s="70"/>
      <c r="F4424" s="70"/>
      <c r="G4424" s="94"/>
      <c r="H4424" s="131"/>
      <c r="I4424" s="3"/>
    </row>
    <row r="4425" spans="1:9" s="93" customFormat="1" ht="9" customHeight="1" x14ac:dyDescent="0.3">
      <c r="A4425" s="91"/>
      <c r="B4425" s="70"/>
      <c r="C4425" s="70"/>
      <c r="D4425" s="70"/>
      <c r="E4425" s="70"/>
      <c r="F4425" s="70"/>
      <c r="G4425" s="94"/>
      <c r="H4425" s="131"/>
      <c r="I4425" s="3"/>
    </row>
    <row r="4426" spans="1:9" s="93" customFormat="1" ht="9" customHeight="1" x14ac:dyDescent="0.3">
      <c r="A4426" s="91"/>
      <c r="B4426" s="70"/>
      <c r="C4426" s="70"/>
      <c r="D4426" s="70"/>
      <c r="E4426" s="70"/>
      <c r="F4426" s="70"/>
      <c r="G4426" s="94"/>
      <c r="H4426" s="131"/>
      <c r="I4426" s="3"/>
    </row>
    <row r="4427" spans="1:9" s="93" customFormat="1" ht="9" customHeight="1" x14ac:dyDescent="0.3">
      <c r="A4427" s="91"/>
      <c r="B4427" s="70"/>
      <c r="C4427" s="70"/>
      <c r="D4427" s="70"/>
      <c r="E4427" s="70"/>
      <c r="F4427" s="70"/>
      <c r="G4427" s="94"/>
      <c r="H4427" s="131"/>
      <c r="I4427" s="3"/>
    </row>
    <row r="4428" spans="1:9" s="93" customFormat="1" ht="9" customHeight="1" x14ac:dyDescent="0.3">
      <c r="A4428" s="91"/>
      <c r="B4428" s="70"/>
      <c r="C4428" s="70"/>
      <c r="D4428" s="70"/>
      <c r="E4428" s="70"/>
      <c r="F4428" s="70"/>
      <c r="G4428" s="94"/>
      <c r="H4428" s="131"/>
      <c r="I4428" s="3"/>
    </row>
    <row r="4429" spans="1:9" s="93" customFormat="1" ht="9" customHeight="1" x14ac:dyDescent="0.3">
      <c r="A4429" s="91"/>
      <c r="B4429" s="70"/>
      <c r="C4429" s="70"/>
      <c r="D4429" s="70"/>
      <c r="E4429" s="70"/>
      <c r="F4429" s="70"/>
      <c r="G4429" s="94"/>
      <c r="H4429" s="131"/>
      <c r="I4429" s="3"/>
    </row>
    <row r="4430" spans="1:9" s="93" customFormat="1" ht="9" customHeight="1" x14ac:dyDescent="0.3">
      <c r="A4430" s="91"/>
      <c r="B4430" s="70"/>
      <c r="C4430" s="70"/>
      <c r="D4430" s="70"/>
      <c r="E4430" s="70"/>
      <c r="F4430" s="70"/>
      <c r="G4430" s="94"/>
      <c r="H4430" s="131"/>
      <c r="I4430" s="3"/>
    </row>
    <row r="4431" spans="1:9" s="93" customFormat="1" ht="9" customHeight="1" x14ac:dyDescent="0.3">
      <c r="A4431" s="91"/>
      <c r="B4431" s="70"/>
      <c r="C4431" s="70"/>
      <c r="D4431" s="70"/>
      <c r="E4431" s="70"/>
      <c r="F4431" s="70"/>
      <c r="G4431" s="94"/>
      <c r="H4431" s="131"/>
      <c r="I4431" s="3"/>
    </row>
    <row r="4432" spans="1:9" s="93" customFormat="1" ht="9" customHeight="1" x14ac:dyDescent="0.3">
      <c r="A4432" s="91"/>
      <c r="B4432" s="70"/>
      <c r="C4432" s="70"/>
      <c r="D4432" s="70"/>
      <c r="E4432" s="70"/>
      <c r="F4432" s="70"/>
      <c r="G4432" s="94"/>
      <c r="H4432" s="131"/>
      <c r="I4432" s="3"/>
    </row>
    <row r="4433" spans="1:9" s="93" customFormat="1" ht="9" customHeight="1" x14ac:dyDescent="0.3">
      <c r="A4433" s="91"/>
      <c r="B4433" s="70"/>
      <c r="C4433" s="70"/>
      <c r="D4433" s="70"/>
      <c r="E4433" s="70"/>
      <c r="F4433" s="70"/>
      <c r="G4433" s="94"/>
      <c r="H4433" s="131"/>
      <c r="I4433" s="3"/>
    </row>
    <row r="4434" spans="1:9" s="93" customFormat="1" ht="9" customHeight="1" x14ac:dyDescent="0.3">
      <c r="A4434" s="91"/>
      <c r="B4434" s="70"/>
      <c r="C4434" s="70"/>
      <c r="D4434" s="70"/>
      <c r="E4434" s="70"/>
      <c r="F4434" s="70"/>
      <c r="G4434" s="94"/>
      <c r="H4434" s="131"/>
      <c r="I4434" s="3"/>
    </row>
    <row r="4435" spans="1:9" s="93" customFormat="1" ht="9" customHeight="1" x14ac:dyDescent="0.3">
      <c r="A4435" s="91"/>
      <c r="B4435" s="70"/>
      <c r="C4435" s="70"/>
      <c r="D4435" s="70"/>
      <c r="E4435" s="70"/>
      <c r="F4435" s="70"/>
      <c r="G4435" s="94"/>
      <c r="H4435" s="131"/>
      <c r="I4435" s="3"/>
    </row>
    <row r="4436" spans="1:9" s="93" customFormat="1" ht="9" customHeight="1" x14ac:dyDescent="0.3">
      <c r="A4436" s="91"/>
      <c r="B4436" s="70"/>
      <c r="C4436" s="70"/>
      <c r="D4436" s="70"/>
      <c r="E4436" s="70"/>
      <c r="F4436" s="70"/>
      <c r="G4436" s="94"/>
      <c r="H4436" s="131"/>
      <c r="I4436" s="3"/>
    </row>
    <row r="4437" spans="1:9" s="93" customFormat="1" ht="9" customHeight="1" x14ac:dyDescent="0.3">
      <c r="A4437" s="91"/>
      <c r="B4437" s="70"/>
      <c r="C4437" s="70"/>
      <c r="D4437" s="70"/>
      <c r="E4437" s="70"/>
      <c r="F4437" s="70"/>
      <c r="G4437" s="94"/>
      <c r="H4437" s="131"/>
      <c r="I4437" s="3"/>
    </row>
    <row r="4438" spans="1:9" s="93" customFormat="1" ht="9" customHeight="1" x14ac:dyDescent="0.3">
      <c r="A4438" s="91"/>
      <c r="B4438" s="70"/>
      <c r="C4438" s="70"/>
      <c r="D4438" s="70"/>
      <c r="E4438" s="70"/>
      <c r="F4438" s="70"/>
      <c r="G4438" s="94"/>
      <c r="H4438" s="131"/>
      <c r="I4438" s="3"/>
    </row>
    <row r="4439" spans="1:9" s="93" customFormat="1" ht="9" customHeight="1" x14ac:dyDescent="0.3">
      <c r="A4439" s="91"/>
      <c r="B4439" s="70"/>
      <c r="C4439" s="70"/>
      <c r="D4439" s="70"/>
      <c r="E4439" s="70"/>
      <c r="F4439" s="70"/>
      <c r="G4439" s="94"/>
      <c r="H4439" s="131"/>
      <c r="I4439" s="3"/>
    </row>
    <row r="4440" spans="1:9" s="93" customFormat="1" ht="9" customHeight="1" x14ac:dyDescent="0.3">
      <c r="A4440" s="91"/>
      <c r="B4440" s="70"/>
      <c r="C4440" s="70"/>
      <c r="D4440" s="70"/>
      <c r="E4440" s="70"/>
      <c r="F4440" s="70"/>
      <c r="G4440" s="94"/>
      <c r="H4440" s="131"/>
      <c r="I4440" s="3"/>
    </row>
    <row r="4441" spans="1:9" s="93" customFormat="1" ht="9" customHeight="1" x14ac:dyDescent="0.3">
      <c r="A4441" s="91"/>
      <c r="B4441" s="70"/>
      <c r="C4441" s="70"/>
      <c r="D4441" s="70"/>
      <c r="E4441" s="70"/>
      <c r="F4441" s="70"/>
      <c r="G4441" s="94"/>
      <c r="H4441" s="131"/>
      <c r="I4441" s="3"/>
    </row>
    <row r="4442" spans="1:9" s="93" customFormat="1" ht="9" customHeight="1" x14ac:dyDescent="0.3">
      <c r="A4442" s="91"/>
      <c r="B4442" s="70"/>
      <c r="C4442" s="70"/>
      <c r="D4442" s="70"/>
      <c r="E4442" s="70"/>
      <c r="F4442" s="70"/>
      <c r="G4442" s="94"/>
      <c r="H4442" s="131"/>
      <c r="I4442" s="3"/>
    </row>
    <row r="4443" spans="1:9" s="93" customFormat="1" ht="9" customHeight="1" x14ac:dyDescent="0.3">
      <c r="A4443" s="91"/>
      <c r="B4443" s="70"/>
      <c r="C4443" s="70"/>
      <c r="D4443" s="70"/>
      <c r="E4443" s="70"/>
      <c r="F4443" s="70"/>
      <c r="G4443" s="94"/>
      <c r="H4443" s="131"/>
      <c r="I4443" s="3"/>
    </row>
    <row r="4444" spans="1:9" s="93" customFormat="1" ht="9" customHeight="1" x14ac:dyDescent="0.3">
      <c r="A4444" s="91"/>
      <c r="B4444" s="70"/>
      <c r="C4444" s="70"/>
      <c r="D4444" s="70"/>
      <c r="E4444" s="70"/>
      <c r="F4444" s="70"/>
      <c r="G4444" s="94"/>
      <c r="H4444" s="131"/>
      <c r="I4444" s="3"/>
    </row>
    <row r="4445" spans="1:9" s="93" customFormat="1" ht="9" customHeight="1" x14ac:dyDescent="0.3">
      <c r="A4445" s="91"/>
      <c r="B4445" s="70"/>
      <c r="C4445" s="70"/>
      <c r="D4445" s="70"/>
      <c r="E4445" s="70"/>
      <c r="F4445" s="70"/>
      <c r="G4445" s="94"/>
      <c r="H4445" s="131"/>
      <c r="I4445" s="3"/>
    </row>
    <row r="4446" spans="1:9" s="93" customFormat="1" ht="9" customHeight="1" x14ac:dyDescent="0.3">
      <c r="A4446" s="91"/>
      <c r="B4446" s="70"/>
      <c r="C4446" s="70"/>
      <c r="D4446" s="70"/>
      <c r="E4446" s="70"/>
      <c r="F4446" s="70"/>
      <c r="G4446" s="94"/>
      <c r="H4446" s="131"/>
      <c r="I4446" s="3"/>
    </row>
    <row r="4447" spans="1:9" s="93" customFormat="1" ht="9" customHeight="1" x14ac:dyDescent="0.3">
      <c r="A4447" s="91"/>
      <c r="B4447" s="70"/>
      <c r="C4447" s="70"/>
      <c r="D4447" s="70"/>
      <c r="E4447" s="70"/>
      <c r="F4447" s="70"/>
      <c r="G4447" s="94"/>
      <c r="H4447" s="131"/>
      <c r="I4447" s="3"/>
    </row>
    <row r="4448" spans="1:9" s="93" customFormat="1" ht="9" customHeight="1" x14ac:dyDescent="0.3">
      <c r="A4448" s="91"/>
      <c r="B4448" s="70"/>
      <c r="C4448" s="70"/>
      <c r="D4448" s="70"/>
      <c r="E4448" s="70"/>
      <c r="F4448" s="70"/>
      <c r="G4448" s="94"/>
      <c r="H4448" s="131"/>
      <c r="I4448" s="3"/>
    </row>
    <row r="4449" spans="1:9" s="93" customFormat="1" ht="9" customHeight="1" x14ac:dyDescent="0.3">
      <c r="A4449" s="91"/>
      <c r="B4449" s="70"/>
      <c r="C4449" s="70"/>
      <c r="D4449" s="70"/>
      <c r="E4449" s="70"/>
      <c r="F4449" s="70"/>
      <c r="G4449" s="94"/>
      <c r="H4449" s="131"/>
      <c r="I4449" s="3"/>
    </row>
    <row r="4450" spans="1:9" s="93" customFormat="1" ht="9" customHeight="1" x14ac:dyDescent="0.3">
      <c r="A4450" s="91"/>
      <c r="B4450" s="70"/>
      <c r="C4450" s="70"/>
      <c r="D4450" s="70"/>
      <c r="E4450" s="70"/>
      <c r="F4450" s="70"/>
      <c r="G4450" s="94"/>
      <c r="H4450" s="131"/>
      <c r="I4450" s="3"/>
    </row>
    <row r="4451" spans="1:9" s="93" customFormat="1" ht="9" customHeight="1" x14ac:dyDescent="0.3">
      <c r="A4451" s="91"/>
      <c r="B4451" s="70"/>
      <c r="C4451" s="70"/>
      <c r="D4451" s="70"/>
      <c r="E4451" s="70"/>
      <c r="F4451" s="70"/>
      <c r="G4451" s="94"/>
      <c r="H4451" s="131"/>
      <c r="I4451" s="3"/>
    </row>
    <row r="4452" spans="1:9" s="93" customFormat="1" ht="9" customHeight="1" x14ac:dyDescent="0.3">
      <c r="A4452" s="91"/>
      <c r="B4452" s="70"/>
      <c r="C4452" s="70"/>
      <c r="D4452" s="70"/>
      <c r="E4452" s="70"/>
      <c r="F4452" s="70"/>
      <c r="G4452" s="94"/>
      <c r="H4452" s="131"/>
      <c r="I4452" s="3"/>
    </row>
    <row r="4453" spans="1:9" s="93" customFormat="1" ht="9" customHeight="1" x14ac:dyDescent="0.3">
      <c r="A4453" s="91"/>
      <c r="B4453" s="70"/>
      <c r="C4453" s="70"/>
      <c r="D4453" s="70"/>
      <c r="E4453" s="70"/>
      <c r="F4453" s="70"/>
      <c r="G4453" s="94"/>
      <c r="H4453" s="131"/>
      <c r="I4453" s="3"/>
    </row>
    <row r="4454" spans="1:9" s="93" customFormat="1" ht="9" customHeight="1" x14ac:dyDescent="0.3">
      <c r="A4454" s="91"/>
      <c r="B4454" s="70"/>
      <c r="C4454" s="70"/>
      <c r="D4454" s="70"/>
      <c r="E4454" s="70"/>
      <c r="F4454" s="70"/>
      <c r="G4454" s="94"/>
      <c r="H4454" s="131"/>
      <c r="I4454" s="3"/>
    </row>
    <row r="4455" spans="1:9" s="93" customFormat="1" ht="9" customHeight="1" x14ac:dyDescent="0.3">
      <c r="A4455" s="91"/>
      <c r="B4455" s="70"/>
      <c r="C4455" s="70"/>
      <c r="D4455" s="70"/>
      <c r="E4455" s="70"/>
      <c r="F4455" s="70"/>
      <c r="G4455" s="94"/>
      <c r="H4455" s="131"/>
      <c r="I4455" s="3"/>
    </row>
    <row r="4456" spans="1:9" s="93" customFormat="1" ht="9" customHeight="1" x14ac:dyDescent="0.3">
      <c r="A4456" s="91"/>
      <c r="B4456" s="70"/>
      <c r="C4456" s="70"/>
      <c r="D4456" s="70"/>
      <c r="E4456" s="70"/>
      <c r="F4456" s="70"/>
      <c r="G4456" s="94"/>
      <c r="H4456" s="131"/>
      <c r="I4456" s="3"/>
    </row>
    <row r="4457" spans="1:9" s="93" customFormat="1" ht="9" customHeight="1" x14ac:dyDescent="0.3">
      <c r="A4457" s="91"/>
      <c r="B4457" s="70"/>
      <c r="C4457" s="70"/>
      <c r="D4457" s="70"/>
      <c r="E4457" s="70"/>
      <c r="F4457" s="70"/>
      <c r="G4457" s="94"/>
      <c r="H4457" s="131"/>
      <c r="I4457" s="3"/>
    </row>
    <row r="4458" spans="1:9" s="93" customFormat="1" ht="9" customHeight="1" x14ac:dyDescent="0.3">
      <c r="A4458" s="91"/>
      <c r="B4458" s="70"/>
      <c r="C4458" s="70"/>
      <c r="D4458" s="70"/>
      <c r="E4458" s="70"/>
      <c r="F4458" s="70"/>
      <c r="G4458" s="94"/>
      <c r="H4458" s="131"/>
      <c r="I4458" s="3"/>
    </row>
    <row r="4459" spans="1:9" s="93" customFormat="1" ht="9" customHeight="1" x14ac:dyDescent="0.3">
      <c r="A4459" s="91"/>
      <c r="B4459" s="70"/>
      <c r="C4459" s="70"/>
      <c r="D4459" s="70"/>
      <c r="E4459" s="70"/>
      <c r="F4459" s="70"/>
      <c r="G4459" s="94"/>
      <c r="H4459" s="131"/>
      <c r="I4459" s="3"/>
    </row>
    <row r="4460" spans="1:9" s="93" customFormat="1" ht="9" customHeight="1" x14ac:dyDescent="0.3">
      <c r="A4460" s="91"/>
      <c r="B4460" s="70"/>
      <c r="C4460" s="70"/>
      <c r="D4460" s="70"/>
      <c r="E4460" s="70"/>
      <c r="F4460" s="70"/>
      <c r="G4460" s="94"/>
      <c r="H4460" s="131"/>
      <c r="I4460" s="3"/>
    </row>
    <row r="4461" spans="1:9" s="93" customFormat="1" ht="9" customHeight="1" x14ac:dyDescent="0.3">
      <c r="A4461" s="91"/>
      <c r="B4461" s="70"/>
      <c r="C4461" s="70"/>
      <c r="D4461" s="70"/>
      <c r="E4461" s="70"/>
      <c r="F4461" s="70"/>
      <c r="G4461" s="94"/>
      <c r="H4461" s="131"/>
      <c r="I4461" s="3"/>
    </row>
    <row r="4462" spans="1:9" s="93" customFormat="1" ht="9" customHeight="1" x14ac:dyDescent="0.3">
      <c r="A4462" s="91"/>
      <c r="B4462" s="70"/>
      <c r="C4462" s="70"/>
      <c r="D4462" s="70"/>
      <c r="E4462" s="70"/>
      <c r="F4462" s="70"/>
      <c r="G4462" s="94"/>
      <c r="H4462" s="131"/>
      <c r="I4462" s="3"/>
    </row>
    <row r="4463" spans="1:9" s="93" customFormat="1" ht="9" customHeight="1" x14ac:dyDescent="0.3">
      <c r="A4463" s="91"/>
      <c r="B4463" s="70"/>
      <c r="C4463" s="70"/>
      <c r="D4463" s="70"/>
      <c r="E4463" s="70"/>
      <c r="F4463" s="70"/>
      <c r="G4463" s="94"/>
      <c r="H4463" s="131"/>
      <c r="I4463" s="3"/>
    </row>
    <row r="4464" spans="1:9" s="93" customFormat="1" ht="9" customHeight="1" x14ac:dyDescent="0.3">
      <c r="A4464" s="91"/>
      <c r="B4464" s="70"/>
      <c r="C4464" s="70"/>
      <c r="D4464" s="70"/>
      <c r="E4464" s="70"/>
      <c r="F4464" s="70"/>
      <c r="G4464" s="94"/>
      <c r="H4464" s="131"/>
      <c r="I4464" s="3"/>
    </row>
    <row r="4465" spans="1:9" s="93" customFormat="1" ht="9" customHeight="1" x14ac:dyDescent="0.3">
      <c r="A4465" s="91"/>
      <c r="B4465" s="70"/>
      <c r="C4465" s="70"/>
      <c r="D4465" s="70"/>
      <c r="E4465" s="70"/>
      <c r="F4465" s="70"/>
      <c r="G4465" s="94"/>
      <c r="H4465" s="131"/>
      <c r="I4465" s="3"/>
    </row>
    <row r="4466" spans="1:9" s="93" customFormat="1" ht="9" customHeight="1" x14ac:dyDescent="0.3">
      <c r="A4466" s="91"/>
      <c r="B4466" s="70"/>
      <c r="C4466" s="70"/>
      <c r="D4466" s="70"/>
      <c r="E4466" s="70"/>
      <c r="F4466" s="70"/>
      <c r="G4466" s="94"/>
      <c r="H4466" s="131"/>
      <c r="I4466" s="3"/>
    </row>
    <row r="4467" spans="1:9" s="93" customFormat="1" ht="9" customHeight="1" x14ac:dyDescent="0.3">
      <c r="A4467" s="91"/>
      <c r="B4467" s="70"/>
      <c r="C4467" s="70"/>
      <c r="D4467" s="70"/>
      <c r="E4467" s="70"/>
      <c r="F4467" s="70"/>
      <c r="G4467" s="94"/>
      <c r="H4467" s="131"/>
      <c r="I4467" s="3"/>
    </row>
    <row r="4468" spans="1:9" s="93" customFormat="1" ht="9" customHeight="1" x14ac:dyDescent="0.3">
      <c r="A4468" s="91"/>
      <c r="B4468" s="70"/>
      <c r="C4468" s="70"/>
      <c r="D4468" s="70"/>
      <c r="E4468" s="70"/>
      <c r="F4468" s="70"/>
      <c r="G4468" s="94"/>
      <c r="H4468" s="131"/>
      <c r="I4468" s="3"/>
    </row>
    <row r="4469" spans="1:9" s="93" customFormat="1" ht="9" customHeight="1" x14ac:dyDescent="0.3">
      <c r="A4469" s="91"/>
      <c r="B4469" s="70"/>
      <c r="C4469" s="70"/>
      <c r="D4469" s="70"/>
      <c r="E4469" s="70"/>
      <c r="F4469" s="70"/>
      <c r="G4469" s="94"/>
      <c r="H4469" s="131"/>
      <c r="I4469" s="3"/>
    </row>
    <row r="4470" spans="1:9" s="93" customFormat="1" ht="9" customHeight="1" x14ac:dyDescent="0.3">
      <c r="A4470" s="91"/>
      <c r="B4470" s="70"/>
      <c r="C4470" s="70"/>
      <c r="D4470" s="70"/>
      <c r="E4470" s="70"/>
      <c r="F4470" s="70"/>
      <c r="G4470" s="94"/>
      <c r="H4470" s="131"/>
      <c r="I4470" s="3"/>
    </row>
    <row r="4471" spans="1:9" s="93" customFormat="1" ht="9" customHeight="1" x14ac:dyDescent="0.3">
      <c r="A4471" s="91"/>
      <c r="B4471" s="70"/>
      <c r="C4471" s="70"/>
      <c r="D4471" s="70"/>
      <c r="E4471" s="70"/>
      <c r="F4471" s="70"/>
      <c r="G4471" s="94"/>
      <c r="H4471" s="131"/>
      <c r="I4471" s="3"/>
    </row>
    <row r="4472" spans="1:9" s="93" customFormat="1" ht="9" customHeight="1" x14ac:dyDescent="0.3">
      <c r="A4472" s="91"/>
      <c r="B4472" s="70"/>
      <c r="C4472" s="70"/>
      <c r="D4472" s="70"/>
      <c r="E4472" s="70"/>
      <c r="F4472" s="70"/>
      <c r="G4472" s="94"/>
      <c r="H4472" s="131"/>
      <c r="I4472" s="3"/>
    </row>
    <row r="4473" spans="1:9" s="93" customFormat="1" ht="9" customHeight="1" x14ac:dyDescent="0.3">
      <c r="A4473" s="91"/>
      <c r="B4473" s="70"/>
      <c r="C4473" s="70"/>
      <c r="D4473" s="70"/>
      <c r="E4473" s="70"/>
      <c r="F4473" s="70"/>
      <c r="G4473" s="94"/>
      <c r="H4473" s="131"/>
      <c r="I4473" s="3"/>
    </row>
    <row r="4474" spans="1:9" s="93" customFormat="1" ht="9" customHeight="1" x14ac:dyDescent="0.3">
      <c r="A4474" s="91"/>
      <c r="B4474" s="70"/>
      <c r="C4474" s="70"/>
      <c r="D4474" s="70"/>
      <c r="E4474" s="70"/>
      <c r="F4474" s="70"/>
      <c r="G4474" s="94"/>
      <c r="H4474" s="131"/>
      <c r="I4474" s="3"/>
    </row>
    <row r="4475" spans="1:9" s="93" customFormat="1" ht="9" customHeight="1" x14ac:dyDescent="0.3">
      <c r="A4475" s="91"/>
      <c r="B4475" s="70"/>
      <c r="C4475" s="70"/>
      <c r="D4475" s="70"/>
      <c r="E4475" s="70"/>
      <c r="F4475" s="70"/>
      <c r="G4475" s="94"/>
      <c r="H4475" s="131"/>
      <c r="I4475" s="3"/>
    </row>
    <row r="4476" spans="1:9" s="93" customFormat="1" ht="9" customHeight="1" x14ac:dyDescent="0.3">
      <c r="A4476" s="91"/>
      <c r="B4476" s="70"/>
      <c r="C4476" s="70"/>
      <c r="D4476" s="70"/>
      <c r="E4476" s="70"/>
      <c r="F4476" s="70"/>
      <c r="G4476" s="94"/>
      <c r="H4476" s="131"/>
      <c r="I4476" s="3"/>
    </row>
    <row r="4477" spans="1:9" s="93" customFormat="1" ht="9" customHeight="1" x14ac:dyDescent="0.3">
      <c r="A4477" s="91"/>
      <c r="B4477" s="70"/>
      <c r="C4477" s="70"/>
      <c r="D4477" s="70"/>
      <c r="E4477" s="70"/>
      <c r="F4477" s="70"/>
      <c r="G4477" s="94"/>
      <c r="H4477" s="131"/>
      <c r="I4477" s="3"/>
    </row>
    <row r="4478" spans="1:9" s="93" customFormat="1" ht="9" customHeight="1" x14ac:dyDescent="0.3">
      <c r="A4478" s="91"/>
      <c r="B4478" s="70"/>
      <c r="C4478" s="70"/>
      <c r="D4478" s="70"/>
      <c r="E4478" s="70"/>
      <c r="F4478" s="70"/>
      <c r="G4478" s="94"/>
      <c r="H4478" s="131"/>
      <c r="I4478" s="3"/>
    </row>
    <row r="4479" spans="1:9" s="93" customFormat="1" ht="9" customHeight="1" x14ac:dyDescent="0.3">
      <c r="A4479" s="91"/>
      <c r="B4479" s="70"/>
      <c r="C4479" s="70"/>
      <c r="D4479" s="70"/>
      <c r="E4479" s="70"/>
      <c r="F4479" s="70"/>
      <c r="G4479" s="94"/>
      <c r="H4479" s="131"/>
      <c r="I4479" s="3"/>
    </row>
    <row r="4480" spans="1:9" s="93" customFormat="1" ht="9" customHeight="1" x14ac:dyDescent="0.3">
      <c r="A4480" s="91"/>
      <c r="B4480" s="70"/>
      <c r="C4480" s="70"/>
      <c r="D4480" s="70"/>
      <c r="E4480" s="70"/>
      <c r="F4480" s="70"/>
      <c r="G4480" s="94"/>
      <c r="H4480" s="131"/>
      <c r="I4480" s="3"/>
    </row>
    <row r="4481" spans="1:9" s="93" customFormat="1" ht="9" customHeight="1" x14ac:dyDescent="0.3">
      <c r="A4481" s="91"/>
      <c r="B4481" s="70"/>
      <c r="C4481" s="70"/>
      <c r="D4481" s="70"/>
      <c r="E4481" s="70"/>
      <c r="F4481" s="70"/>
      <c r="G4481" s="94"/>
      <c r="H4481" s="131"/>
      <c r="I4481" s="3"/>
    </row>
    <row r="4482" spans="1:9" s="93" customFormat="1" ht="9" customHeight="1" x14ac:dyDescent="0.3">
      <c r="A4482" s="91"/>
      <c r="B4482" s="70"/>
      <c r="C4482" s="70"/>
      <c r="D4482" s="70"/>
      <c r="E4482" s="70"/>
      <c r="F4482" s="70"/>
      <c r="G4482" s="94"/>
      <c r="H4482" s="131"/>
      <c r="I4482" s="3"/>
    </row>
    <row r="4483" spans="1:9" s="93" customFormat="1" ht="9" customHeight="1" x14ac:dyDescent="0.3">
      <c r="A4483" s="91"/>
      <c r="B4483" s="70"/>
      <c r="C4483" s="70"/>
      <c r="D4483" s="70"/>
      <c r="E4483" s="70"/>
      <c r="F4483" s="70"/>
      <c r="G4483" s="94"/>
      <c r="H4483" s="131"/>
      <c r="I4483" s="3"/>
    </row>
    <row r="4484" spans="1:9" s="93" customFormat="1" ht="9" customHeight="1" x14ac:dyDescent="0.3">
      <c r="A4484" s="91"/>
      <c r="B4484" s="70"/>
      <c r="C4484" s="70"/>
      <c r="D4484" s="70"/>
      <c r="E4484" s="70"/>
      <c r="F4484" s="70"/>
      <c r="G4484" s="94"/>
      <c r="H4484" s="131"/>
      <c r="I4484" s="3"/>
    </row>
    <row r="4485" spans="1:9" s="93" customFormat="1" ht="9" customHeight="1" x14ac:dyDescent="0.3">
      <c r="A4485" s="91"/>
      <c r="B4485" s="70"/>
      <c r="C4485" s="70"/>
      <c r="D4485" s="70"/>
      <c r="E4485" s="70"/>
      <c r="F4485" s="70"/>
      <c r="G4485" s="94"/>
      <c r="H4485" s="131"/>
      <c r="I4485" s="3"/>
    </row>
    <row r="4486" spans="1:9" s="93" customFormat="1" ht="9" customHeight="1" x14ac:dyDescent="0.3">
      <c r="A4486" s="91"/>
      <c r="B4486" s="70"/>
      <c r="C4486" s="70"/>
      <c r="D4486" s="70"/>
      <c r="E4486" s="70"/>
      <c r="F4486" s="70"/>
      <c r="G4486" s="94"/>
      <c r="H4486" s="131"/>
      <c r="I4486" s="3"/>
    </row>
    <row r="4487" spans="1:9" s="93" customFormat="1" ht="9" customHeight="1" x14ac:dyDescent="0.3">
      <c r="A4487" s="91"/>
      <c r="B4487" s="70"/>
      <c r="C4487" s="70"/>
      <c r="D4487" s="70"/>
      <c r="E4487" s="70"/>
      <c r="F4487" s="70"/>
      <c r="G4487" s="94"/>
      <c r="H4487" s="131"/>
      <c r="I4487" s="3"/>
    </row>
    <row r="4488" spans="1:9" s="93" customFormat="1" ht="9" customHeight="1" x14ac:dyDescent="0.3">
      <c r="A4488" s="91"/>
      <c r="B4488" s="70"/>
      <c r="C4488" s="70"/>
      <c r="D4488" s="70"/>
      <c r="E4488" s="70"/>
      <c r="F4488" s="70"/>
      <c r="G4488" s="94"/>
      <c r="H4488" s="131"/>
      <c r="I4488" s="3"/>
    </row>
    <row r="4489" spans="1:9" s="93" customFormat="1" ht="9" customHeight="1" x14ac:dyDescent="0.3">
      <c r="A4489" s="91"/>
      <c r="B4489" s="70"/>
      <c r="C4489" s="70"/>
      <c r="D4489" s="70"/>
      <c r="E4489" s="70"/>
      <c r="F4489" s="70"/>
      <c r="G4489" s="94"/>
      <c r="H4489" s="131"/>
      <c r="I4489" s="3"/>
    </row>
    <row r="4490" spans="1:9" s="93" customFormat="1" ht="9" customHeight="1" x14ac:dyDescent="0.3">
      <c r="A4490" s="91"/>
      <c r="B4490" s="70"/>
      <c r="C4490" s="70"/>
      <c r="D4490" s="70"/>
      <c r="E4490" s="70"/>
      <c r="F4490" s="70"/>
      <c r="G4490" s="94"/>
      <c r="H4490" s="131"/>
      <c r="I4490" s="3"/>
    </row>
    <row r="4491" spans="1:9" s="93" customFormat="1" ht="9" customHeight="1" x14ac:dyDescent="0.3">
      <c r="A4491" s="91"/>
      <c r="B4491" s="70"/>
      <c r="C4491" s="70"/>
      <c r="D4491" s="70"/>
      <c r="E4491" s="70"/>
      <c r="F4491" s="70"/>
      <c r="G4491" s="94"/>
      <c r="H4491" s="131"/>
      <c r="I4491" s="3"/>
    </row>
    <row r="4492" spans="1:9" s="93" customFormat="1" ht="9" customHeight="1" x14ac:dyDescent="0.3">
      <c r="A4492" s="91"/>
      <c r="B4492" s="70"/>
      <c r="C4492" s="70"/>
      <c r="D4492" s="70"/>
      <c r="E4492" s="70"/>
      <c r="F4492" s="70"/>
      <c r="G4492" s="94"/>
      <c r="H4492" s="131"/>
      <c r="I4492" s="3"/>
    </row>
    <row r="4493" spans="1:9" s="93" customFormat="1" ht="9" customHeight="1" x14ac:dyDescent="0.3">
      <c r="A4493" s="91"/>
      <c r="B4493" s="70"/>
      <c r="C4493" s="70"/>
      <c r="D4493" s="70"/>
      <c r="E4493" s="70"/>
      <c r="F4493" s="70"/>
      <c r="G4493" s="94"/>
      <c r="H4493" s="131"/>
      <c r="I4493" s="3"/>
    </row>
    <row r="4494" spans="1:9" s="93" customFormat="1" ht="9" customHeight="1" x14ac:dyDescent="0.3">
      <c r="A4494" s="91"/>
      <c r="B4494" s="70"/>
      <c r="C4494" s="70"/>
      <c r="D4494" s="70"/>
      <c r="E4494" s="70"/>
      <c r="F4494" s="70"/>
      <c r="G4494" s="94"/>
      <c r="H4494" s="131"/>
      <c r="I4494" s="3"/>
    </row>
    <row r="4495" spans="1:9" s="93" customFormat="1" ht="9" customHeight="1" x14ac:dyDescent="0.3">
      <c r="A4495" s="91"/>
      <c r="B4495" s="70"/>
      <c r="C4495" s="70"/>
      <c r="D4495" s="70"/>
      <c r="E4495" s="70"/>
      <c r="F4495" s="70"/>
      <c r="G4495" s="94"/>
      <c r="H4495" s="131"/>
      <c r="I4495" s="3"/>
    </row>
    <row r="4496" spans="1:9" s="93" customFormat="1" ht="9" customHeight="1" x14ac:dyDescent="0.3">
      <c r="A4496" s="91"/>
      <c r="B4496" s="70"/>
      <c r="C4496" s="70"/>
      <c r="D4496" s="70"/>
      <c r="E4496" s="70"/>
      <c r="F4496" s="70"/>
      <c r="G4496" s="94"/>
      <c r="H4496" s="131"/>
      <c r="I4496" s="3"/>
    </row>
    <row r="4497" spans="1:9" s="93" customFormat="1" ht="9" customHeight="1" x14ac:dyDescent="0.3">
      <c r="A4497" s="91"/>
      <c r="B4497" s="70"/>
      <c r="C4497" s="70"/>
      <c r="D4497" s="70"/>
      <c r="E4497" s="70"/>
      <c r="F4497" s="70"/>
      <c r="G4497" s="94"/>
      <c r="H4497" s="131"/>
      <c r="I4497" s="3"/>
    </row>
    <row r="4498" spans="1:9" s="93" customFormat="1" ht="9" customHeight="1" x14ac:dyDescent="0.3">
      <c r="A4498" s="91"/>
      <c r="B4498" s="70"/>
      <c r="C4498" s="70"/>
      <c r="D4498" s="70"/>
      <c r="E4498" s="70"/>
      <c r="F4498" s="70"/>
      <c r="G4498" s="94"/>
      <c r="H4498" s="131"/>
      <c r="I4498" s="3"/>
    </row>
    <row r="4499" spans="1:9" s="93" customFormat="1" ht="9" customHeight="1" x14ac:dyDescent="0.3">
      <c r="A4499" s="91"/>
      <c r="B4499" s="70"/>
      <c r="C4499" s="70"/>
      <c r="D4499" s="70"/>
      <c r="E4499" s="70"/>
      <c r="F4499" s="70"/>
      <c r="G4499" s="94"/>
      <c r="H4499" s="131"/>
      <c r="I4499" s="3"/>
    </row>
    <row r="4500" spans="1:9" s="93" customFormat="1" ht="9" customHeight="1" x14ac:dyDescent="0.3">
      <c r="A4500" s="91"/>
      <c r="B4500" s="70"/>
      <c r="C4500" s="70"/>
      <c r="D4500" s="70"/>
      <c r="E4500" s="70"/>
      <c r="F4500" s="70"/>
      <c r="G4500" s="94"/>
      <c r="H4500" s="131"/>
      <c r="I4500" s="3"/>
    </row>
    <row r="4501" spans="1:9" s="93" customFormat="1" ht="9" customHeight="1" x14ac:dyDescent="0.3">
      <c r="A4501" s="91"/>
      <c r="B4501" s="70"/>
      <c r="C4501" s="70"/>
      <c r="D4501" s="70"/>
      <c r="E4501" s="70"/>
      <c r="F4501" s="70"/>
      <c r="G4501" s="94"/>
      <c r="H4501" s="131"/>
      <c r="I4501" s="3"/>
    </row>
    <row r="4502" spans="1:9" s="93" customFormat="1" ht="9" customHeight="1" x14ac:dyDescent="0.3">
      <c r="A4502" s="91"/>
      <c r="B4502" s="70"/>
      <c r="C4502" s="70"/>
      <c r="D4502" s="70"/>
      <c r="E4502" s="70"/>
      <c r="F4502" s="70"/>
      <c r="G4502" s="94"/>
      <c r="H4502" s="131"/>
      <c r="I4502" s="3"/>
    </row>
    <row r="4503" spans="1:9" s="93" customFormat="1" ht="9" customHeight="1" x14ac:dyDescent="0.3">
      <c r="A4503" s="91"/>
      <c r="B4503" s="70"/>
      <c r="C4503" s="70"/>
      <c r="D4503" s="70"/>
      <c r="E4503" s="70"/>
      <c r="F4503" s="70"/>
      <c r="G4503" s="94"/>
      <c r="H4503" s="131"/>
      <c r="I4503" s="3"/>
    </row>
    <row r="4504" spans="1:9" s="93" customFormat="1" ht="9" customHeight="1" x14ac:dyDescent="0.3">
      <c r="A4504" s="91"/>
      <c r="B4504" s="70"/>
      <c r="C4504" s="70"/>
      <c r="D4504" s="70"/>
      <c r="E4504" s="70"/>
      <c r="F4504" s="70"/>
      <c r="G4504" s="94"/>
      <c r="H4504" s="131"/>
      <c r="I4504" s="3"/>
    </row>
    <row r="4505" spans="1:9" s="93" customFormat="1" ht="9" customHeight="1" x14ac:dyDescent="0.3">
      <c r="A4505" s="91"/>
      <c r="B4505" s="70"/>
      <c r="C4505" s="70"/>
      <c r="D4505" s="70"/>
      <c r="E4505" s="70"/>
      <c r="F4505" s="70"/>
      <c r="G4505" s="94"/>
      <c r="H4505" s="131"/>
      <c r="I4505" s="3"/>
    </row>
    <row r="4506" spans="1:9" s="93" customFormat="1" ht="9" customHeight="1" x14ac:dyDescent="0.3">
      <c r="A4506" s="91"/>
      <c r="B4506" s="70"/>
      <c r="C4506" s="70"/>
      <c r="D4506" s="70"/>
      <c r="E4506" s="70"/>
      <c r="F4506" s="70"/>
      <c r="G4506" s="94"/>
      <c r="H4506" s="131"/>
      <c r="I4506" s="3"/>
    </row>
    <row r="4507" spans="1:9" s="93" customFormat="1" ht="9" customHeight="1" x14ac:dyDescent="0.3">
      <c r="A4507" s="91"/>
      <c r="B4507" s="70"/>
      <c r="C4507" s="70"/>
      <c r="D4507" s="70"/>
      <c r="E4507" s="70"/>
      <c r="F4507" s="70"/>
      <c r="G4507" s="94"/>
      <c r="H4507" s="131"/>
      <c r="I4507" s="3"/>
    </row>
    <row r="4508" spans="1:9" s="93" customFormat="1" ht="9" customHeight="1" x14ac:dyDescent="0.3">
      <c r="A4508" s="91"/>
      <c r="B4508" s="70"/>
      <c r="C4508" s="70"/>
      <c r="D4508" s="70"/>
      <c r="E4508" s="70"/>
      <c r="F4508" s="70"/>
      <c r="G4508" s="94"/>
      <c r="H4508" s="131"/>
      <c r="I4508" s="3"/>
    </row>
    <row r="4509" spans="1:9" s="93" customFormat="1" ht="9" customHeight="1" x14ac:dyDescent="0.3">
      <c r="A4509" s="91"/>
      <c r="B4509" s="70"/>
      <c r="C4509" s="70"/>
      <c r="D4509" s="70"/>
      <c r="E4509" s="70"/>
      <c r="F4509" s="70"/>
      <c r="G4509" s="94"/>
      <c r="H4509" s="131"/>
      <c r="I4509" s="3"/>
    </row>
    <row r="4510" spans="1:9" s="93" customFormat="1" ht="9" customHeight="1" x14ac:dyDescent="0.3">
      <c r="A4510" s="91"/>
      <c r="B4510" s="70"/>
      <c r="C4510" s="70"/>
      <c r="D4510" s="70"/>
      <c r="E4510" s="70"/>
      <c r="F4510" s="70"/>
      <c r="G4510" s="94"/>
      <c r="H4510" s="131"/>
      <c r="I4510" s="3"/>
    </row>
    <row r="4511" spans="1:9" s="93" customFormat="1" ht="9" customHeight="1" x14ac:dyDescent="0.3">
      <c r="A4511" s="91"/>
      <c r="B4511" s="70"/>
      <c r="C4511" s="70"/>
      <c r="D4511" s="70"/>
      <c r="E4511" s="70"/>
      <c r="F4511" s="70"/>
      <c r="G4511" s="94"/>
      <c r="H4511" s="131"/>
      <c r="I4511" s="3"/>
    </row>
    <row r="4512" spans="1:9" s="93" customFormat="1" ht="9" customHeight="1" x14ac:dyDescent="0.3">
      <c r="A4512" s="91"/>
      <c r="B4512" s="70"/>
      <c r="C4512" s="70"/>
      <c r="D4512" s="70"/>
      <c r="E4512" s="70"/>
      <c r="F4512" s="70"/>
      <c r="G4512" s="94"/>
      <c r="H4512" s="131"/>
      <c r="I4512" s="3"/>
    </row>
    <row r="4513" spans="1:9" s="93" customFormat="1" ht="9" customHeight="1" x14ac:dyDescent="0.3">
      <c r="A4513" s="91"/>
      <c r="B4513" s="70"/>
      <c r="C4513" s="70"/>
      <c r="D4513" s="70"/>
      <c r="E4513" s="70"/>
      <c r="F4513" s="70"/>
      <c r="G4513" s="94"/>
      <c r="H4513" s="131"/>
      <c r="I4513" s="3"/>
    </row>
    <row r="4514" spans="1:9" s="93" customFormat="1" ht="9" customHeight="1" x14ac:dyDescent="0.3">
      <c r="A4514" s="91"/>
      <c r="B4514" s="70"/>
      <c r="C4514" s="70"/>
      <c r="D4514" s="70"/>
      <c r="E4514" s="70"/>
      <c r="F4514" s="70"/>
      <c r="G4514" s="94"/>
      <c r="H4514" s="131"/>
      <c r="I4514" s="3"/>
    </row>
    <row r="4515" spans="1:9" s="93" customFormat="1" ht="9" customHeight="1" x14ac:dyDescent="0.3">
      <c r="A4515" s="91"/>
      <c r="B4515" s="70"/>
      <c r="C4515" s="70"/>
      <c r="D4515" s="70"/>
      <c r="E4515" s="70"/>
      <c r="F4515" s="70"/>
      <c r="G4515" s="94"/>
      <c r="H4515" s="131"/>
      <c r="I4515" s="3"/>
    </row>
    <row r="4516" spans="1:9" s="93" customFormat="1" ht="9" customHeight="1" x14ac:dyDescent="0.3">
      <c r="A4516" s="91"/>
      <c r="B4516" s="70"/>
      <c r="C4516" s="70"/>
      <c r="D4516" s="70"/>
      <c r="E4516" s="70"/>
      <c r="F4516" s="70"/>
      <c r="G4516" s="94"/>
      <c r="H4516" s="131"/>
      <c r="I4516" s="3"/>
    </row>
    <row r="4517" spans="1:9" s="93" customFormat="1" ht="9" customHeight="1" x14ac:dyDescent="0.3">
      <c r="A4517" s="91"/>
      <c r="B4517" s="70"/>
      <c r="C4517" s="70"/>
      <c r="D4517" s="70"/>
      <c r="E4517" s="70"/>
      <c r="F4517" s="70"/>
      <c r="G4517" s="94"/>
      <c r="H4517" s="131"/>
      <c r="I4517" s="3"/>
    </row>
    <row r="4518" spans="1:9" s="93" customFormat="1" ht="9" customHeight="1" x14ac:dyDescent="0.3">
      <c r="A4518" s="91"/>
      <c r="B4518" s="70"/>
      <c r="C4518" s="70"/>
      <c r="D4518" s="70"/>
      <c r="E4518" s="70"/>
      <c r="F4518" s="70"/>
      <c r="G4518" s="94"/>
      <c r="H4518" s="131"/>
      <c r="I4518" s="3"/>
    </row>
    <row r="4519" spans="1:9" s="93" customFormat="1" ht="9" customHeight="1" x14ac:dyDescent="0.3">
      <c r="A4519" s="91"/>
      <c r="B4519" s="70"/>
      <c r="C4519" s="70"/>
      <c r="D4519" s="70"/>
      <c r="E4519" s="70"/>
      <c r="F4519" s="70"/>
      <c r="G4519" s="94"/>
      <c r="H4519" s="131"/>
      <c r="I4519" s="3"/>
    </row>
    <row r="4520" spans="1:9" s="93" customFormat="1" ht="9" customHeight="1" x14ac:dyDescent="0.3">
      <c r="A4520" s="91"/>
      <c r="B4520" s="70"/>
      <c r="C4520" s="70"/>
      <c r="D4520" s="70"/>
      <c r="E4520" s="70"/>
      <c r="F4520" s="70"/>
      <c r="G4520" s="94"/>
      <c r="H4520" s="131"/>
      <c r="I4520" s="3"/>
    </row>
    <row r="4521" spans="1:9" s="93" customFormat="1" ht="9" customHeight="1" x14ac:dyDescent="0.3">
      <c r="A4521" s="91"/>
      <c r="B4521" s="70"/>
      <c r="C4521" s="70"/>
      <c r="D4521" s="70"/>
      <c r="E4521" s="70"/>
      <c r="F4521" s="70"/>
      <c r="G4521" s="94"/>
      <c r="H4521" s="131"/>
      <c r="I4521" s="3"/>
    </row>
    <row r="4522" spans="1:9" s="93" customFormat="1" ht="9" customHeight="1" x14ac:dyDescent="0.3">
      <c r="A4522" s="91"/>
      <c r="B4522" s="70"/>
      <c r="C4522" s="70"/>
      <c r="D4522" s="70"/>
      <c r="E4522" s="70"/>
      <c r="F4522" s="70"/>
      <c r="G4522" s="94"/>
      <c r="H4522" s="131"/>
      <c r="I4522" s="3"/>
    </row>
    <row r="4523" spans="1:9" s="93" customFormat="1" ht="9" customHeight="1" x14ac:dyDescent="0.3">
      <c r="A4523" s="91"/>
      <c r="B4523" s="70"/>
      <c r="C4523" s="70"/>
      <c r="D4523" s="70"/>
      <c r="E4523" s="70"/>
      <c r="F4523" s="70"/>
      <c r="G4523" s="94"/>
      <c r="H4523" s="131"/>
      <c r="I4523" s="3"/>
    </row>
    <row r="4524" spans="1:9" s="93" customFormat="1" ht="9" customHeight="1" x14ac:dyDescent="0.3">
      <c r="A4524" s="91"/>
      <c r="B4524" s="70"/>
      <c r="C4524" s="70"/>
      <c r="D4524" s="70"/>
      <c r="E4524" s="70"/>
      <c r="F4524" s="70"/>
      <c r="G4524" s="94"/>
      <c r="H4524" s="131"/>
      <c r="I4524" s="3"/>
    </row>
    <row r="4525" spans="1:9" s="93" customFormat="1" ht="9" customHeight="1" x14ac:dyDescent="0.3">
      <c r="A4525" s="91"/>
      <c r="B4525" s="70"/>
      <c r="C4525" s="70"/>
      <c r="D4525" s="70"/>
      <c r="E4525" s="70"/>
      <c r="F4525" s="70"/>
      <c r="G4525" s="94"/>
      <c r="H4525" s="131"/>
      <c r="I4525" s="3"/>
    </row>
    <row r="4526" spans="1:9" s="93" customFormat="1" ht="9" customHeight="1" x14ac:dyDescent="0.3">
      <c r="A4526" s="91"/>
      <c r="B4526" s="70"/>
      <c r="C4526" s="70"/>
      <c r="D4526" s="70"/>
      <c r="E4526" s="70"/>
      <c r="F4526" s="70"/>
      <c r="G4526" s="94"/>
      <c r="H4526" s="131"/>
      <c r="I4526" s="3"/>
    </row>
    <row r="4527" spans="1:9" s="93" customFormat="1" ht="9" customHeight="1" x14ac:dyDescent="0.3">
      <c r="A4527" s="91"/>
      <c r="B4527" s="70"/>
      <c r="C4527" s="70"/>
      <c r="D4527" s="70"/>
      <c r="E4527" s="70"/>
      <c r="F4527" s="70"/>
      <c r="G4527" s="94"/>
      <c r="H4527" s="131"/>
      <c r="I4527" s="3"/>
    </row>
    <row r="4528" spans="1:9" s="93" customFormat="1" ht="9" customHeight="1" x14ac:dyDescent="0.3">
      <c r="A4528" s="91"/>
      <c r="B4528" s="70"/>
      <c r="C4528" s="70"/>
      <c r="D4528" s="70"/>
      <c r="E4528" s="70"/>
      <c r="F4528" s="70"/>
      <c r="G4528" s="94"/>
      <c r="H4528" s="131"/>
      <c r="I4528" s="3"/>
    </row>
    <row r="4529" spans="1:9" s="93" customFormat="1" ht="9" customHeight="1" x14ac:dyDescent="0.3">
      <c r="A4529" s="91"/>
      <c r="B4529" s="70"/>
      <c r="C4529" s="70"/>
      <c r="D4529" s="70"/>
      <c r="E4529" s="70"/>
      <c r="F4529" s="70"/>
      <c r="G4529" s="94"/>
      <c r="H4529" s="131"/>
      <c r="I4529" s="3"/>
    </row>
    <row r="4530" spans="1:9" s="93" customFormat="1" ht="9" customHeight="1" x14ac:dyDescent="0.3">
      <c r="A4530" s="91"/>
      <c r="B4530" s="70"/>
      <c r="C4530" s="70"/>
      <c r="D4530" s="70"/>
      <c r="E4530" s="70"/>
      <c r="F4530" s="70"/>
      <c r="G4530" s="94"/>
      <c r="H4530" s="131"/>
      <c r="I4530" s="3"/>
    </row>
    <row r="4531" spans="1:9" s="93" customFormat="1" ht="9" customHeight="1" x14ac:dyDescent="0.3">
      <c r="A4531" s="91"/>
      <c r="B4531" s="70"/>
      <c r="C4531" s="70"/>
      <c r="D4531" s="70"/>
      <c r="E4531" s="70"/>
      <c r="F4531" s="70"/>
      <c r="G4531" s="94"/>
      <c r="H4531" s="131"/>
      <c r="I4531" s="3"/>
    </row>
    <row r="4532" spans="1:9" s="93" customFormat="1" ht="9" customHeight="1" x14ac:dyDescent="0.3">
      <c r="A4532" s="91"/>
      <c r="B4532" s="70"/>
      <c r="C4532" s="70"/>
      <c r="D4532" s="70"/>
      <c r="E4532" s="70"/>
      <c r="F4532" s="70"/>
      <c r="G4532" s="94"/>
      <c r="H4532" s="131"/>
      <c r="I4532" s="3"/>
    </row>
    <row r="4533" spans="1:9" s="93" customFormat="1" ht="9" customHeight="1" x14ac:dyDescent="0.3">
      <c r="A4533" s="91"/>
      <c r="B4533" s="70"/>
      <c r="C4533" s="70"/>
      <c r="D4533" s="70"/>
      <c r="E4533" s="70"/>
      <c r="F4533" s="70"/>
      <c r="G4533" s="94"/>
      <c r="H4533" s="131"/>
      <c r="I4533" s="3"/>
    </row>
    <row r="4534" spans="1:9" s="93" customFormat="1" ht="9" customHeight="1" x14ac:dyDescent="0.3">
      <c r="A4534" s="91"/>
      <c r="B4534" s="70"/>
      <c r="C4534" s="70"/>
      <c r="D4534" s="70"/>
      <c r="E4534" s="70"/>
      <c r="F4534" s="70"/>
      <c r="G4534" s="94"/>
      <c r="H4534" s="131"/>
      <c r="I4534" s="3"/>
    </row>
    <row r="4535" spans="1:9" s="93" customFormat="1" ht="9" customHeight="1" x14ac:dyDescent="0.3">
      <c r="A4535" s="91"/>
      <c r="B4535" s="70"/>
      <c r="C4535" s="70"/>
      <c r="D4535" s="70"/>
      <c r="E4535" s="70"/>
      <c r="F4535" s="70"/>
      <c r="G4535" s="94"/>
      <c r="H4535" s="131"/>
      <c r="I4535" s="3"/>
    </row>
    <row r="4536" spans="1:9" s="93" customFormat="1" ht="9" customHeight="1" x14ac:dyDescent="0.3">
      <c r="A4536" s="91"/>
      <c r="B4536" s="70"/>
      <c r="C4536" s="70"/>
      <c r="D4536" s="70"/>
      <c r="E4536" s="70"/>
      <c r="F4536" s="70"/>
      <c r="G4536" s="94"/>
      <c r="H4536" s="131"/>
      <c r="I4536" s="3"/>
    </row>
    <row r="4537" spans="1:9" s="93" customFormat="1" ht="9" customHeight="1" x14ac:dyDescent="0.3">
      <c r="A4537" s="91"/>
      <c r="B4537" s="70"/>
      <c r="C4537" s="70"/>
      <c r="D4537" s="70"/>
      <c r="E4537" s="70"/>
      <c r="F4537" s="70"/>
      <c r="G4537" s="94"/>
      <c r="H4537" s="131"/>
      <c r="I4537" s="3"/>
    </row>
    <row r="4538" spans="1:9" s="93" customFormat="1" ht="9" customHeight="1" x14ac:dyDescent="0.3">
      <c r="A4538" s="91"/>
      <c r="B4538" s="70"/>
      <c r="C4538" s="70"/>
      <c r="D4538" s="70"/>
      <c r="E4538" s="70"/>
      <c r="F4538" s="70"/>
      <c r="G4538" s="94"/>
      <c r="H4538" s="131"/>
      <c r="I4538" s="3"/>
    </row>
    <row r="4539" spans="1:9" s="93" customFormat="1" ht="9" customHeight="1" x14ac:dyDescent="0.3">
      <c r="A4539" s="91"/>
      <c r="B4539" s="70"/>
      <c r="C4539" s="70"/>
      <c r="D4539" s="70"/>
      <c r="E4539" s="70"/>
      <c r="F4539" s="70"/>
      <c r="G4539" s="94"/>
      <c r="H4539" s="131"/>
      <c r="I4539" s="3"/>
    </row>
    <row r="4540" spans="1:9" s="93" customFormat="1" ht="9" customHeight="1" x14ac:dyDescent="0.3">
      <c r="A4540" s="91"/>
      <c r="B4540" s="70"/>
      <c r="C4540" s="70"/>
      <c r="D4540" s="70"/>
      <c r="E4540" s="70"/>
      <c r="F4540" s="70"/>
      <c r="G4540" s="94"/>
      <c r="H4540" s="131"/>
      <c r="I4540" s="3"/>
    </row>
    <row r="4541" spans="1:9" s="93" customFormat="1" ht="9" customHeight="1" x14ac:dyDescent="0.3">
      <c r="A4541" s="91"/>
      <c r="B4541" s="70"/>
      <c r="C4541" s="70"/>
      <c r="D4541" s="70"/>
      <c r="E4541" s="70"/>
      <c r="F4541" s="70"/>
      <c r="G4541" s="94"/>
      <c r="H4541" s="131"/>
      <c r="I4541" s="3"/>
    </row>
    <row r="4542" spans="1:9" s="93" customFormat="1" ht="9" customHeight="1" x14ac:dyDescent="0.3">
      <c r="A4542" s="91"/>
      <c r="B4542" s="70"/>
      <c r="C4542" s="70"/>
      <c r="D4542" s="70"/>
      <c r="E4542" s="70"/>
      <c r="F4542" s="70"/>
      <c r="G4542" s="94"/>
      <c r="H4542" s="131"/>
      <c r="I4542" s="3"/>
    </row>
    <row r="4543" spans="1:9" s="93" customFormat="1" ht="9" customHeight="1" x14ac:dyDescent="0.3">
      <c r="A4543" s="91"/>
      <c r="B4543" s="70"/>
      <c r="C4543" s="70"/>
      <c r="D4543" s="70"/>
      <c r="E4543" s="70"/>
      <c r="F4543" s="70"/>
      <c r="G4543" s="94"/>
      <c r="H4543" s="131"/>
      <c r="I4543" s="3"/>
    </row>
    <row r="4544" spans="1:9" s="93" customFormat="1" ht="9" customHeight="1" x14ac:dyDescent="0.3">
      <c r="A4544" s="91"/>
      <c r="B4544" s="70"/>
      <c r="C4544" s="70"/>
      <c r="D4544" s="70"/>
      <c r="E4544" s="70"/>
      <c r="F4544" s="70"/>
      <c r="G4544" s="94"/>
      <c r="H4544" s="131"/>
      <c r="I4544" s="3"/>
    </row>
    <row r="4545" spans="1:9" s="93" customFormat="1" ht="9" customHeight="1" x14ac:dyDescent="0.3">
      <c r="A4545" s="91"/>
      <c r="B4545" s="70"/>
      <c r="C4545" s="70"/>
      <c r="D4545" s="70"/>
      <c r="E4545" s="70"/>
      <c r="F4545" s="70"/>
      <c r="G4545" s="94"/>
      <c r="H4545" s="131"/>
      <c r="I4545" s="3"/>
    </row>
    <row r="4546" spans="1:9" s="93" customFormat="1" ht="9" customHeight="1" x14ac:dyDescent="0.3">
      <c r="A4546" s="91"/>
      <c r="B4546" s="70"/>
      <c r="C4546" s="70"/>
      <c r="D4546" s="70"/>
      <c r="E4546" s="70"/>
      <c r="F4546" s="70"/>
      <c r="G4546" s="94"/>
      <c r="H4546" s="131"/>
      <c r="I4546" s="3"/>
    </row>
    <row r="4547" spans="1:9" s="93" customFormat="1" ht="9" customHeight="1" x14ac:dyDescent="0.3">
      <c r="A4547" s="91"/>
      <c r="B4547" s="70"/>
      <c r="C4547" s="70"/>
      <c r="D4547" s="70"/>
      <c r="E4547" s="70"/>
      <c r="F4547" s="70"/>
      <c r="G4547" s="94"/>
      <c r="H4547" s="131"/>
      <c r="I4547" s="3"/>
    </row>
    <row r="4548" spans="1:9" s="93" customFormat="1" ht="9" customHeight="1" x14ac:dyDescent="0.3">
      <c r="A4548" s="91"/>
      <c r="B4548" s="70"/>
      <c r="C4548" s="70"/>
      <c r="D4548" s="70"/>
      <c r="E4548" s="70"/>
      <c r="F4548" s="70"/>
      <c r="G4548" s="94"/>
      <c r="H4548" s="131"/>
      <c r="I4548" s="3"/>
    </row>
    <row r="4549" spans="1:9" s="93" customFormat="1" ht="9" customHeight="1" x14ac:dyDescent="0.3">
      <c r="A4549" s="91"/>
      <c r="B4549" s="70"/>
      <c r="C4549" s="70"/>
      <c r="D4549" s="70"/>
      <c r="E4549" s="70"/>
      <c r="F4549" s="70"/>
      <c r="G4549" s="94"/>
      <c r="H4549" s="131"/>
      <c r="I4549" s="3"/>
    </row>
    <row r="4550" spans="1:9" s="93" customFormat="1" ht="9" customHeight="1" x14ac:dyDescent="0.3">
      <c r="A4550" s="91"/>
      <c r="B4550" s="70"/>
      <c r="C4550" s="70"/>
      <c r="D4550" s="70"/>
      <c r="E4550" s="70"/>
      <c r="F4550" s="70"/>
      <c r="G4550" s="94"/>
      <c r="H4550" s="131"/>
      <c r="I4550" s="3"/>
    </row>
    <row r="4551" spans="1:9" s="93" customFormat="1" ht="9" customHeight="1" x14ac:dyDescent="0.3">
      <c r="A4551" s="91"/>
      <c r="B4551" s="70"/>
      <c r="C4551" s="70"/>
      <c r="D4551" s="70"/>
      <c r="E4551" s="70"/>
      <c r="F4551" s="70"/>
      <c r="G4551" s="94"/>
      <c r="H4551" s="131"/>
      <c r="I4551" s="3"/>
    </row>
    <row r="4552" spans="1:9" s="93" customFormat="1" ht="9" customHeight="1" x14ac:dyDescent="0.3">
      <c r="A4552" s="91"/>
      <c r="B4552" s="70"/>
      <c r="C4552" s="70"/>
      <c r="D4552" s="70"/>
      <c r="E4552" s="70"/>
      <c r="F4552" s="70"/>
      <c r="G4552" s="94"/>
      <c r="H4552" s="131"/>
      <c r="I4552" s="3"/>
    </row>
    <row r="4553" spans="1:9" s="93" customFormat="1" ht="9" customHeight="1" x14ac:dyDescent="0.3">
      <c r="A4553" s="91"/>
      <c r="B4553" s="70"/>
      <c r="C4553" s="70"/>
      <c r="D4553" s="70"/>
      <c r="E4553" s="70"/>
      <c r="F4553" s="70"/>
      <c r="G4553" s="94"/>
      <c r="H4553" s="131"/>
      <c r="I4553" s="3"/>
    </row>
    <row r="4554" spans="1:9" s="93" customFormat="1" ht="9" customHeight="1" x14ac:dyDescent="0.3">
      <c r="A4554" s="91"/>
      <c r="B4554" s="70"/>
      <c r="C4554" s="70"/>
      <c r="D4554" s="70"/>
      <c r="E4554" s="70"/>
      <c r="F4554" s="70"/>
      <c r="G4554" s="94"/>
      <c r="H4554" s="131"/>
      <c r="I4554" s="3"/>
    </row>
    <row r="4555" spans="1:9" s="93" customFormat="1" ht="9" customHeight="1" x14ac:dyDescent="0.3">
      <c r="A4555" s="91"/>
      <c r="B4555" s="70"/>
      <c r="C4555" s="70"/>
      <c r="D4555" s="70"/>
      <c r="E4555" s="70"/>
      <c r="F4555" s="70"/>
      <c r="G4555" s="94"/>
      <c r="H4555" s="131"/>
      <c r="I4555" s="3"/>
    </row>
    <row r="4556" spans="1:9" s="93" customFormat="1" ht="9" customHeight="1" x14ac:dyDescent="0.3">
      <c r="A4556" s="91"/>
      <c r="B4556" s="70"/>
      <c r="C4556" s="70"/>
      <c r="D4556" s="70"/>
      <c r="E4556" s="70"/>
      <c r="F4556" s="70"/>
      <c r="G4556" s="94"/>
      <c r="H4556" s="131"/>
      <c r="I4556" s="3"/>
    </row>
    <row r="4557" spans="1:9" s="93" customFormat="1" ht="9" customHeight="1" x14ac:dyDescent="0.3">
      <c r="A4557" s="91"/>
      <c r="B4557" s="70"/>
      <c r="C4557" s="70"/>
      <c r="D4557" s="70"/>
      <c r="E4557" s="70"/>
      <c r="F4557" s="70"/>
      <c r="G4557" s="94"/>
      <c r="H4557" s="131"/>
      <c r="I4557" s="3"/>
    </row>
    <row r="4558" spans="1:9" s="93" customFormat="1" ht="9" customHeight="1" x14ac:dyDescent="0.3">
      <c r="A4558" s="91"/>
      <c r="B4558" s="70"/>
      <c r="C4558" s="70"/>
      <c r="D4558" s="70"/>
      <c r="E4558" s="70"/>
      <c r="F4558" s="70"/>
      <c r="G4558" s="94"/>
      <c r="H4558" s="131"/>
      <c r="I4558" s="3"/>
    </row>
    <row r="4559" spans="1:9" s="93" customFormat="1" ht="9" customHeight="1" x14ac:dyDescent="0.3">
      <c r="A4559" s="91"/>
      <c r="B4559" s="70"/>
      <c r="C4559" s="70"/>
      <c r="D4559" s="70"/>
      <c r="E4559" s="70"/>
      <c r="F4559" s="70"/>
      <c r="G4559" s="94"/>
      <c r="H4559" s="131"/>
      <c r="I4559" s="3"/>
    </row>
    <row r="4560" spans="1:9" s="93" customFormat="1" ht="9" customHeight="1" x14ac:dyDescent="0.3">
      <c r="A4560" s="91"/>
      <c r="B4560" s="70"/>
      <c r="C4560" s="70"/>
      <c r="D4560" s="70"/>
      <c r="E4560" s="70"/>
      <c r="F4560" s="70"/>
      <c r="G4560" s="94"/>
      <c r="H4560" s="131"/>
      <c r="I4560" s="3"/>
    </row>
    <row r="4561" spans="1:9" s="93" customFormat="1" ht="9" customHeight="1" x14ac:dyDescent="0.3">
      <c r="A4561" s="91"/>
      <c r="B4561" s="70"/>
      <c r="C4561" s="70"/>
      <c r="D4561" s="70"/>
      <c r="E4561" s="70"/>
      <c r="F4561" s="70"/>
      <c r="G4561" s="94"/>
      <c r="H4561" s="131"/>
      <c r="I4561" s="3"/>
    </row>
    <row r="4562" spans="1:9" s="93" customFormat="1" ht="9" customHeight="1" x14ac:dyDescent="0.3">
      <c r="A4562" s="91"/>
      <c r="B4562" s="70"/>
      <c r="C4562" s="70"/>
      <c r="D4562" s="70"/>
      <c r="E4562" s="70"/>
      <c r="F4562" s="70"/>
      <c r="G4562" s="94"/>
      <c r="H4562" s="131"/>
      <c r="I4562" s="3"/>
    </row>
    <row r="4563" spans="1:9" s="93" customFormat="1" ht="9" customHeight="1" x14ac:dyDescent="0.3">
      <c r="A4563" s="91"/>
      <c r="B4563" s="70"/>
      <c r="C4563" s="70"/>
      <c r="D4563" s="70"/>
      <c r="E4563" s="70"/>
      <c r="F4563" s="70"/>
      <c r="G4563" s="94"/>
      <c r="H4563" s="131"/>
      <c r="I4563" s="3"/>
    </row>
    <row r="4564" spans="1:9" s="93" customFormat="1" ht="9" customHeight="1" x14ac:dyDescent="0.3">
      <c r="A4564" s="91"/>
      <c r="B4564" s="70"/>
      <c r="C4564" s="70"/>
      <c r="D4564" s="70"/>
      <c r="E4564" s="70"/>
      <c r="F4564" s="70"/>
      <c r="G4564" s="94"/>
      <c r="H4564" s="131"/>
      <c r="I4564" s="3"/>
    </row>
    <row r="4565" spans="1:9" s="93" customFormat="1" ht="9" customHeight="1" x14ac:dyDescent="0.3">
      <c r="A4565" s="91"/>
      <c r="B4565" s="70"/>
      <c r="C4565" s="70"/>
      <c r="D4565" s="70"/>
      <c r="E4565" s="70"/>
      <c r="F4565" s="70"/>
      <c r="G4565" s="94"/>
      <c r="H4565" s="131"/>
      <c r="I4565" s="3"/>
    </row>
    <row r="4566" spans="1:9" s="93" customFormat="1" ht="9" customHeight="1" x14ac:dyDescent="0.3">
      <c r="A4566" s="91"/>
      <c r="B4566" s="70"/>
      <c r="C4566" s="70"/>
      <c r="D4566" s="70"/>
      <c r="E4566" s="70"/>
      <c r="F4566" s="70"/>
      <c r="G4566" s="94"/>
      <c r="H4566" s="131"/>
      <c r="I4566" s="3"/>
    </row>
    <row r="4567" spans="1:9" s="93" customFormat="1" ht="9" customHeight="1" x14ac:dyDescent="0.3">
      <c r="A4567" s="91"/>
      <c r="B4567" s="70"/>
      <c r="C4567" s="70"/>
      <c r="D4567" s="70"/>
      <c r="E4567" s="70"/>
      <c r="F4567" s="70"/>
      <c r="G4567" s="94"/>
      <c r="H4567" s="131"/>
      <c r="I4567" s="3"/>
    </row>
    <row r="4568" spans="1:9" s="93" customFormat="1" ht="9" customHeight="1" x14ac:dyDescent="0.3">
      <c r="A4568" s="91"/>
      <c r="B4568" s="70"/>
      <c r="C4568" s="70"/>
      <c r="D4568" s="70"/>
      <c r="E4568" s="70"/>
      <c r="F4568" s="70"/>
      <c r="G4568" s="94"/>
      <c r="H4568" s="131"/>
      <c r="I4568" s="3"/>
    </row>
    <row r="4569" spans="1:9" s="93" customFormat="1" ht="9" customHeight="1" x14ac:dyDescent="0.3">
      <c r="A4569" s="91"/>
      <c r="B4569" s="70"/>
      <c r="C4569" s="70"/>
      <c r="D4569" s="70"/>
      <c r="E4569" s="70"/>
      <c r="F4569" s="70"/>
      <c r="G4569" s="94"/>
      <c r="H4569" s="131"/>
      <c r="I4569" s="3"/>
    </row>
    <row r="4570" spans="1:9" s="93" customFormat="1" ht="9" customHeight="1" x14ac:dyDescent="0.3">
      <c r="A4570" s="91"/>
      <c r="B4570" s="70"/>
      <c r="C4570" s="70"/>
      <c r="D4570" s="70"/>
      <c r="E4570" s="70"/>
      <c r="F4570" s="70"/>
      <c r="G4570" s="94"/>
      <c r="H4570" s="131"/>
      <c r="I4570" s="3"/>
    </row>
    <row r="4571" spans="1:9" s="93" customFormat="1" ht="9" customHeight="1" x14ac:dyDescent="0.3">
      <c r="A4571" s="91"/>
      <c r="B4571" s="70"/>
      <c r="C4571" s="70"/>
      <c r="D4571" s="70"/>
      <c r="E4571" s="70"/>
      <c r="F4571" s="70"/>
      <c r="G4571" s="94"/>
      <c r="H4571" s="131"/>
      <c r="I4571" s="3"/>
    </row>
    <row r="4572" spans="1:9" s="93" customFormat="1" ht="9" customHeight="1" x14ac:dyDescent="0.3">
      <c r="A4572" s="91"/>
      <c r="B4572" s="70"/>
      <c r="C4572" s="70"/>
      <c r="D4572" s="70"/>
      <c r="E4572" s="70"/>
      <c r="F4572" s="70"/>
      <c r="G4572" s="94"/>
      <c r="H4572" s="131"/>
      <c r="I4572" s="3"/>
    </row>
    <row r="4573" spans="1:9" s="93" customFormat="1" ht="9" customHeight="1" x14ac:dyDescent="0.3">
      <c r="A4573" s="91"/>
      <c r="B4573" s="70"/>
      <c r="C4573" s="70"/>
      <c r="D4573" s="70"/>
      <c r="E4573" s="70"/>
      <c r="F4573" s="70"/>
      <c r="G4573" s="94"/>
      <c r="H4573" s="131"/>
      <c r="I4573" s="3"/>
    </row>
    <row r="4574" spans="1:9" s="93" customFormat="1" ht="9" customHeight="1" x14ac:dyDescent="0.3">
      <c r="A4574" s="91"/>
      <c r="B4574" s="70"/>
      <c r="C4574" s="70"/>
      <c r="D4574" s="70"/>
      <c r="E4574" s="70"/>
      <c r="F4574" s="70"/>
      <c r="G4574" s="94"/>
      <c r="H4574" s="131"/>
      <c r="I4574" s="3"/>
    </row>
    <row r="4575" spans="1:9" s="93" customFormat="1" ht="9" customHeight="1" x14ac:dyDescent="0.3">
      <c r="A4575" s="91"/>
      <c r="B4575" s="70"/>
      <c r="C4575" s="70"/>
      <c r="D4575" s="70"/>
      <c r="E4575" s="70"/>
      <c r="F4575" s="70"/>
      <c r="G4575" s="94"/>
      <c r="H4575" s="131"/>
      <c r="I4575" s="3"/>
    </row>
    <row r="4576" spans="1:9" s="93" customFormat="1" ht="9" customHeight="1" x14ac:dyDescent="0.3">
      <c r="A4576" s="91"/>
      <c r="B4576" s="70"/>
      <c r="C4576" s="70"/>
      <c r="D4576" s="70"/>
      <c r="E4576" s="70"/>
      <c r="F4576" s="70"/>
      <c r="G4576" s="94"/>
      <c r="H4576" s="131"/>
      <c r="I4576" s="3"/>
    </row>
    <row r="4577" spans="1:9" s="93" customFormat="1" ht="9" customHeight="1" x14ac:dyDescent="0.3">
      <c r="A4577" s="91"/>
      <c r="B4577" s="70"/>
      <c r="C4577" s="70"/>
      <c r="D4577" s="70"/>
      <c r="E4577" s="70"/>
      <c r="F4577" s="70"/>
      <c r="G4577" s="94"/>
      <c r="H4577" s="131"/>
      <c r="I4577" s="3"/>
    </row>
    <row r="4578" spans="1:9" s="93" customFormat="1" ht="9" customHeight="1" x14ac:dyDescent="0.3">
      <c r="A4578" s="91"/>
      <c r="B4578" s="70"/>
      <c r="C4578" s="70"/>
      <c r="D4578" s="70"/>
      <c r="E4578" s="70"/>
      <c r="F4578" s="70"/>
      <c r="G4578" s="94"/>
      <c r="H4578" s="131"/>
      <c r="I4578" s="3"/>
    </row>
    <row r="4579" spans="1:9" s="93" customFormat="1" ht="9" customHeight="1" x14ac:dyDescent="0.3">
      <c r="A4579" s="91"/>
      <c r="B4579" s="70"/>
      <c r="C4579" s="70"/>
      <c r="D4579" s="70"/>
      <c r="E4579" s="70"/>
      <c r="F4579" s="70"/>
      <c r="G4579" s="94"/>
      <c r="H4579" s="131"/>
      <c r="I4579" s="3"/>
    </row>
    <row r="4580" spans="1:9" s="93" customFormat="1" ht="9" customHeight="1" x14ac:dyDescent="0.3">
      <c r="A4580" s="91"/>
      <c r="B4580" s="70"/>
      <c r="C4580" s="70"/>
      <c r="D4580" s="70"/>
      <c r="E4580" s="70"/>
      <c r="F4580" s="70"/>
      <c r="G4580" s="94"/>
      <c r="H4580" s="131"/>
      <c r="I4580" s="3"/>
    </row>
    <row r="4581" spans="1:9" s="93" customFormat="1" ht="9" customHeight="1" x14ac:dyDescent="0.3">
      <c r="A4581" s="91"/>
      <c r="B4581" s="70"/>
      <c r="C4581" s="70"/>
      <c r="D4581" s="70"/>
      <c r="E4581" s="70"/>
      <c r="F4581" s="70"/>
      <c r="G4581" s="94"/>
      <c r="H4581" s="131"/>
      <c r="I4581" s="3"/>
    </row>
    <row r="4582" spans="1:9" s="93" customFormat="1" ht="9" customHeight="1" x14ac:dyDescent="0.3">
      <c r="A4582" s="91"/>
      <c r="B4582" s="70"/>
      <c r="C4582" s="70"/>
      <c r="D4582" s="70"/>
      <c r="E4582" s="70"/>
      <c r="F4582" s="70"/>
      <c r="G4582" s="94"/>
      <c r="H4582" s="131"/>
      <c r="I4582" s="3"/>
    </row>
    <row r="4583" spans="1:9" s="93" customFormat="1" ht="9" customHeight="1" x14ac:dyDescent="0.3">
      <c r="A4583" s="91"/>
      <c r="B4583" s="70"/>
      <c r="C4583" s="70"/>
      <c r="D4583" s="70"/>
      <c r="E4583" s="70"/>
      <c r="F4583" s="70"/>
      <c r="G4583" s="94"/>
      <c r="H4583" s="131"/>
      <c r="I4583" s="3"/>
    </row>
    <row r="4584" spans="1:9" s="93" customFormat="1" ht="9" customHeight="1" x14ac:dyDescent="0.3">
      <c r="A4584" s="91"/>
      <c r="B4584" s="70"/>
      <c r="C4584" s="70"/>
      <c r="D4584" s="70"/>
      <c r="E4584" s="70"/>
      <c r="F4584" s="70"/>
      <c r="G4584" s="94"/>
      <c r="H4584" s="131"/>
      <c r="I4584" s="3"/>
    </row>
    <row r="4585" spans="1:9" s="93" customFormat="1" ht="9" customHeight="1" x14ac:dyDescent="0.3">
      <c r="A4585" s="91"/>
      <c r="B4585" s="70"/>
      <c r="C4585" s="70"/>
      <c r="D4585" s="70"/>
      <c r="E4585" s="70"/>
      <c r="F4585" s="70"/>
      <c r="G4585" s="94"/>
      <c r="H4585" s="131"/>
      <c r="I4585" s="3"/>
    </row>
    <row r="4586" spans="1:9" s="93" customFormat="1" ht="9" customHeight="1" x14ac:dyDescent="0.3">
      <c r="A4586" s="91"/>
      <c r="B4586" s="70"/>
      <c r="C4586" s="70"/>
      <c r="D4586" s="70"/>
      <c r="E4586" s="70"/>
      <c r="F4586" s="70"/>
      <c r="G4586" s="94"/>
      <c r="H4586" s="131"/>
      <c r="I4586" s="3"/>
    </row>
    <row r="4587" spans="1:9" s="93" customFormat="1" ht="9" customHeight="1" x14ac:dyDescent="0.3">
      <c r="A4587" s="91"/>
      <c r="B4587" s="70"/>
      <c r="C4587" s="70"/>
      <c r="D4587" s="70"/>
      <c r="E4587" s="70"/>
      <c r="F4587" s="70"/>
      <c r="G4587" s="94"/>
      <c r="H4587" s="131"/>
      <c r="I4587" s="3"/>
    </row>
    <row r="4588" spans="1:9" s="93" customFormat="1" ht="9" customHeight="1" x14ac:dyDescent="0.3">
      <c r="A4588" s="91"/>
      <c r="B4588" s="70"/>
      <c r="C4588" s="70"/>
      <c r="D4588" s="70"/>
      <c r="E4588" s="70"/>
      <c r="F4588" s="70"/>
      <c r="G4588" s="94"/>
      <c r="H4588" s="131"/>
      <c r="I4588" s="3"/>
    </row>
    <row r="4589" spans="1:9" s="93" customFormat="1" ht="9" customHeight="1" x14ac:dyDescent="0.3">
      <c r="A4589" s="91"/>
      <c r="B4589" s="70"/>
      <c r="C4589" s="70"/>
      <c r="D4589" s="70"/>
      <c r="E4589" s="70"/>
      <c r="F4589" s="70"/>
      <c r="G4589" s="94"/>
      <c r="H4589" s="131"/>
      <c r="I4589" s="3"/>
    </row>
    <row r="4590" spans="1:9" s="93" customFormat="1" ht="9" customHeight="1" x14ac:dyDescent="0.3">
      <c r="A4590" s="91"/>
      <c r="B4590" s="70"/>
      <c r="C4590" s="70"/>
      <c r="D4590" s="70"/>
      <c r="E4590" s="70"/>
      <c r="F4590" s="70"/>
      <c r="G4590" s="94"/>
      <c r="H4590" s="131"/>
      <c r="I4590" s="3"/>
    </row>
    <row r="4591" spans="1:9" s="93" customFormat="1" ht="9" customHeight="1" x14ac:dyDescent="0.3">
      <c r="A4591" s="91"/>
      <c r="B4591" s="70"/>
      <c r="C4591" s="70"/>
      <c r="D4591" s="70"/>
      <c r="E4591" s="70"/>
      <c r="F4591" s="70"/>
      <c r="G4591" s="94"/>
      <c r="H4591" s="131"/>
      <c r="I4591" s="3"/>
    </row>
    <row r="4592" spans="1:9" s="93" customFormat="1" ht="9" customHeight="1" x14ac:dyDescent="0.3">
      <c r="A4592" s="91"/>
      <c r="B4592" s="70"/>
      <c r="C4592" s="70"/>
      <c r="D4592" s="70"/>
      <c r="E4592" s="70"/>
      <c r="F4592" s="70"/>
      <c r="G4592" s="94"/>
      <c r="H4592" s="131"/>
      <c r="I4592" s="3"/>
    </row>
    <row r="4593" spans="1:9" s="93" customFormat="1" ht="9" customHeight="1" x14ac:dyDescent="0.3">
      <c r="A4593" s="91"/>
      <c r="B4593" s="70"/>
      <c r="C4593" s="70"/>
      <c r="D4593" s="70"/>
      <c r="E4593" s="70"/>
      <c r="F4593" s="70"/>
      <c r="G4593" s="94"/>
      <c r="H4593" s="131"/>
      <c r="I4593" s="3"/>
    </row>
    <row r="4594" spans="1:9" s="93" customFormat="1" ht="9" customHeight="1" x14ac:dyDescent="0.3">
      <c r="A4594" s="91"/>
      <c r="B4594" s="70"/>
      <c r="C4594" s="70"/>
      <c r="D4594" s="70"/>
      <c r="E4594" s="70"/>
      <c r="F4594" s="70"/>
      <c r="G4594" s="94"/>
      <c r="H4594" s="131"/>
      <c r="I4594" s="3"/>
    </row>
    <row r="4595" spans="1:9" s="93" customFormat="1" ht="9" customHeight="1" x14ac:dyDescent="0.3">
      <c r="A4595" s="91"/>
      <c r="B4595" s="70"/>
      <c r="C4595" s="70"/>
      <c r="D4595" s="70"/>
      <c r="E4595" s="70"/>
      <c r="F4595" s="70"/>
      <c r="G4595" s="94"/>
      <c r="H4595" s="131"/>
      <c r="I4595" s="3"/>
    </row>
    <row r="4596" spans="1:9" s="93" customFormat="1" ht="9" customHeight="1" x14ac:dyDescent="0.3">
      <c r="A4596" s="91"/>
      <c r="B4596" s="70"/>
      <c r="C4596" s="70"/>
      <c r="D4596" s="70"/>
      <c r="E4596" s="70"/>
      <c r="F4596" s="70"/>
      <c r="G4596" s="94"/>
      <c r="H4596" s="131"/>
      <c r="I4596" s="3"/>
    </row>
    <row r="4597" spans="1:9" s="93" customFormat="1" ht="9" customHeight="1" x14ac:dyDescent="0.3">
      <c r="A4597" s="91"/>
      <c r="B4597" s="70"/>
      <c r="C4597" s="70"/>
      <c r="D4597" s="70"/>
      <c r="E4597" s="70"/>
      <c r="F4597" s="70"/>
      <c r="G4597" s="94"/>
      <c r="H4597" s="131"/>
      <c r="I4597" s="3"/>
    </row>
    <row r="4598" spans="1:9" s="93" customFormat="1" ht="9" customHeight="1" x14ac:dyDescent="0.3">
      <c r="A4598" s="91"/>
      <c r="B4598" s="70"/>
      <c r="C4598" s="70"/>
      <c r="D4598" s="70"/>
      <c r="E4598" s="70"/>
      <c r="F4598" s="70"/>
      <c r="G4598" s="94"/>
      <c r="H4598" s="131"/>
      <c r="I4598" s="3"/>
    </row>
    <row r="4599" spans="1:9" s="93" customFormat="1" ht="9" customHeight="1" x14ac:dyDescent="0.3">
      <c r="A4599" s="91"/>
      <c r="B4599" s="70"/>
      <c r="C4599" s="70"/>
      <c r="D4599" s="70"/>
      <c r="E4599" s="70"/>
      <c r="F4599" s="70"/>
      <c r="G4599" s="94"/>
      <c r="H4599" s="131"/>
      <c r="I4599" s="3"/>
    </row>
    <row r="4600" spans="1:9" s="93" customFormat="1" ht="9" customHeight="1" x14ac:dyDescent="0.3">
      <c r="A4600" s="91"/>
      <c r="B4600" s="70"/>
      <c r="C4600" s="70"/>
      <c r="D4600" s="70"/>
      <c r="E4600" s="70"/>
      <c r="F4600" s="70"/>
      <c r="G4600" s="94"/>
      <c r="H4600" s="131"/>
      <c r="I4600" s="3"/>
    </row>
    <row r="4601" spans="1:9" s="93" customFormat="1" ht="9" customHeight="1" x14ac:dyDescent="0.3">
      <c r="A4601" s="91"/>
      <c r="B4601" s="70"/>
      <c r="C4601" s="70"/>
      <c r="D4601" s="70"/>
      <c r="E4601" s="70"/>
      <c r="F4601" s="70"/>
      <c r="G4601" s="94"/>
      <c r="H4601" s="131"/>
      <c r="I4601" s="3"/>
    </row>
    <row r="4602" spans="1:9" s="93" customFormat="1" ht="9" customHeight="1" x14ac:dyDescent="0.3">
      <c r="A4602" s="91"/>
      <c r="B4602" s="70"/>
      <c r="C4602" s="70"/>
      <c r="D4602" s="70"/>
      <c r="E4602" s="70"/>
      <c r="F4602" s="70"/>
      <c r="G4602" s="94"/>
      <c r="H4602" s="131"/>
      <c r="I4602" s="3"/>
    </row>
    <row r="4603" spans="1:9" s="93" customFormat="1" ht="9" customHeight="1" x14ac:dyDescent="0.3">
      <c r="A4603" s="91"/>
      <c r="B4603" s="70"/>
      <c r="C4603" s="70"/>
      <c r="D4603" s="70"/>
      <c r="E4603" s="70"/>
      <c r="F4603" s="70"/>
      <c r="G4603" s="94"/>
      <c r="H4603" s="131"/>
      <c r="I4603" s="3"/>
    </row>
    <row r="4604" spans="1:9" s="93" customFormat="1" ht="9" customHeight="1" x14ac:dyDescent="0.3">
      <c r="A4604" s="91"/>
      <c r="B4604" s="70"/>
      <c r="C4604" s="70"/>
      <c r="D4604" s="70"/>
      <c r="E4604" s="70"/>
      <c r="F4604" s="70"/>
      <c r="G4604" s="94"/>
      <c r="H4604" s="131"/>
      <c r="I4604" s="3"/>
    </row>
    <row r="4605" spans="1:9" s="93" customFormat="1" ht="9" customHeight="1" x14ac:dyDescent="0.3">
      <c r="A4605" s="91"/>
      <c r="B4605" s="70"/>
      <c r="C4605" s="70"/>
      <c r="D4605" s="70"/>
      <c r="E4605" s="70"/>
      <c r="F4605" s="70"/>
      <c r="G4605" s="94"/>
      <c r="H4605" s="131"/>
      <c r="I4605" s="3"/>
    </row>
    <row r="4606" spans="1:9" s="93" customFormat="1" ht="9" customHeight="1" x14ac:dyDescent="0.3">
      <c r="A4606" s="91"/>
      <c r="B4606" s="70"/>
      <c r="C4606" s="70"/>
      <c r="D4606" s="70"/>
      <c r="E4606" s="70"/>
      <c r="F4606" s="70"/>
      <c r="G4606" s="94"/>
      <c r="H4606" s="131"/>
      <c r="I4606" s="3"/>
    </row>
    <row r="4607" spans="1:9" s="93" customFormat="1" ht="9" customHeight="1" x14ac:dyDescent="0.3">
      <c r="A4607" s="91"/>
      <c r="B4607" s="70"/>
      <c r="C4607" s="70"/>
      <c r="D4607" s="70"/>
      <c r="E4607" s="70"/>
      <c r="F4607" s="70"/>
      <c r="G4607" s="94"/>
      <c r="H4607" s="131"/>
      <c r="I4607" s="3"/>
    </row>
    <row r="4608" spans="1:9" s="93" customFormat="1" ht="9" customHeight="1" x14ac:dyDescent="0.3">
      <c r="A4608" s="91"/>
      <c r="B4608" s="70"/>
      <c r="C4608" s="70"/>
      <c r="D4608" s="70"/>
      <c r="E4608" s="70"/>
      <c r="F4608" s="70"/>
      <c r="G4608" s="94"/>
      <c r="H4608" s="131"/>
      <c r="I4608" s="3"/>
    </row>
    <row r="4609" spans="1:9" s="93" customFormat="1" ht="9" customHeight="1" x14ac:dyDescent="0.3">
      <c r="A4609" s="91"/>
      <c r="B4609" s="70"/>
      <c r="C4609" s="70"/>
      <c r="D4609" s="70"/>
      <c r="E4609" s="70"/>
      <c r="F4609" s="70"/>
      <c r="G4609" s="94"/>
      <c r="H4609" s="131"/>
      <c r="I4609" s="3"/>
    </row>
    <row r="4610" spans="1:9" s="93" customFormat="1" ht="9" customHeight="1" x14ac:dyDescent="0.3">
      <c r="A4610" s="91"/>
      <c r="B4610" s="70"/>
      <c r="C4610" s="70"/>
      <c r="D4610" s="70"/>
      <c r="E4610" s="70"/>
      <c r="F4610" s="70"/>
      <c r="G4610" s="94"/>
      <c r="H4610" s="131"/>
      <c r="I4610" s="3"/>
    </row>
    <row r="4611" spans="1:9" s="93" customFormat="1" ht="9" customHeight="1" x14ac:dyDescent="0.3">
      <c r="A4611" s="91"/>
      <c r="B4611" s="70"/>
      <c r="C4611" s="70"/>
      <c r="D4611" s="70"/>
      <c r="E4611" s="70"/>
      <c r="F4611" s="70"/>
      <c r="G4611" s="94"/>
      <c r="H4611" s="131"/>
      <c r="I4611" s="3"/>
    </row>
    <row r="4612" spans="1:9" s="93" customFormat="1" ht="9" customHeight="1" x14ac:dyDescent="0.3">
      <c r="A4612" s="91"/>
      <c r="B4612" s="70"/>
      <c r="C4612" s="70"/>
      <c r="D4612" s="70"/>
      <c r="E4612" s="70"/>
      <c r="F4612" s="70"/>
      <c r="G4612" s="94"/>
      <c r="H4612" s="131"/>
      <c r="I4612" s="3"/>
    </row>
    <row r="4613" spans="1:9" s="93" customFormat="1" ht="9" customHeight="1" x14ac:dyDescent="0.3">
      <c r="A4613" s="91"/>
      <c r="B4613" s="70"/>
      <c r="C4613" s="70"/>
      <c r="D4613" s="70"/>
      <c r="E4613" s="70"/>
      <c r="F4613" s="70"/>
      <c r="G4613" s="94"/>
      <c r="H4613" s="131"/>
      <c r="I4613" s="3"/>
    </row>
    <row r="4614" spans="1:9" s="93" customFormat="1" ht="9" customHeight="1" x14ac:dyDescent="0.3">
      <c r="A4614" s="91"/>
      <c r="B4614" s="70"/>
      <c r="C4614" s="70"/>
      <c r="D4614" s="70"/>
      <c r="E4614" s="70"/>
      <c r="F4614" s="70"/>
      <c r="G4614" s="94"/>
      <c r="H4614" s="131"/>
      <c r="I4614" s="3"/>
    </row>
    <row r="4615" spans="1:9" s="93" customFormat="1" ht="9" customHeight="1" x14ac:dyDescent="0.3">
      <c r="A4615" s="91"/>
      <c r="B4615" s="70"/>
      <c r="C4615" s="70"/>
      <c r="D4615" s="70"/>
      <c r="E4615" s="70"/>
      <c r="F4615" s="70"/>
      <c r="G4615" s="94"/>
      <c r="H4615" s="131"/>
      <c r="I4615" s="3"/>
    </row>
    <row r="4616" spans="1:9" s="93" customFormat="1" ht="9" customHeight="1" x14ac:dyDescent="0.3">
      <c r="A4616" s="91"/>
      <c r="B4616" s="70"/>
      <c r="C4616" s="70"/>
      <c r="D4616" s="70"/>
      <c r="E4616" s="70"/>
      <c r="F4616" s="70"/>
      <c r="G4616" s="94"/>
      <c r="H4616" s="131"/>
      <c r="I4616" s="3"/>
    </row>
    <row r="4617" spans="1:9" s="93" customFormat="1" ht="9" customHeight="1" x14ac:dyDescent="0.3">
      <c r="A4617" s="91"/>
      <c r="B4617" s="70"/>
      <c r="C4617" s="70"/>
      <c r="D4617" s="70"/>
      <c r="E4617" s="70"/>
      <c r="F4617" s="70"/>
      <c r="G4617" s="94"/>
      <c r="H4617" s="131"/>
      <c r="I4617" s="3"/>
    </row>
    <row r="4618" spans="1:9" s="93" customFormat="1" ht="9" customHeight="1" x14ac:dyDescent="0.3">
      <c r="A4618" s="91"/>
      <c r="B4618" s="70"/>
      <c r="C4618" s="70"/>
      <c r="D4618" s="70"/>
      <c r="E4618" s="70"/>
      <c r="F4618" s="70"/>
      <c r="G4618" s="94"/>
      <c r="H4618" s="131"/>
      <c r="I4618" s="3"/>
    </row>
    <row r="4619" spans="1:9" s="93" customFormat="1" ht="9" customHeight="1" x14ac:dyDescent="0.3">
      <c r="A4619" s="91"/>
      <c r="B4619" s="70"/>
      <c r="C4619" s="70"/>
      <c r="D4619" s="70"/>
      <c r="E4619" s="70"/>
      <c r="F4619" s="70"/>
      <c r="G4619" s="94"/>
      <c r="H4619" s="131"/>
      <c r="I4619" s="3"/>
    </row>
    <row r="4620" spans="1:9" s="93" customFormat="1" ht="9" customHeight="1" x14ac:dyDescent="0.3">
      <c r="A4620" s="91"/>
      <c r="B4620" s="70"/>
      <c r="C4620" s="70"/>
      <c r="D4620" s="70"/>
      <c r="E4620" s="70"/>
      <c r="F4620" s="70"/>
      <c r="G4620" s="94"/>
      <c r="H4620" s="131"/>
      <c r="I4620" s="3"/>
    </row>
    <row r="4621" spans="1:9" s="93" customFormat="1" ht="9" customHeight="1" x14ac:dyDescent="0.3">
      <c r="A4621" s="91"/>
      <c r="B4621" s="70"/>
      <c r="C4621" s="70"/>
      <c r="D4621" s="70"/>
      <c r="E4621" s="70"/>
      <c r="F4621" s="70"/>
      <c r="G4621" s="94"/>
      <c r="H4621" s="131"/>
      <c r="I4621" s="3"/>
    </row>
    <row r="4622" spans="1:9" s="93" customFormat="1" ht="9" customHeight="1" x14ac:dyDescent="0.3">
      <c r="A4622" s="91"/>
      <c r="B4622" s="70"/>
      <c r="C4622" s="70"/>
      <c r="D4622" s="70"/>
      <c r="E4622" s="70"/>
      <c r="F4622" s="70"/>
      <c r="G4622" s="94"/>
      <c r="H4622" s="131"/>
      <c r="I4622" s="3"/>
    </row>
    <row r="4623" spans="1:9" s="93" customFormat="1" ht="9" customHeight="1" x14ac:dyDescent="0.3">
      <c r="A4623" s="91"/>
      <c r="B4623" s="70"/>
      <c r="C4623" s="70"/>
      <c r="D4623" s="70"/>
      <c r="E4623" s="70"/>
      <c r="F4623" s="70"/>
      <c r="G4623" s="94"/>
      <c r="H4623" s="131"/>
      <c r="I4623" s="3"/>
    </row>
    <row r="4624" spans="1:9" s="93" customFormat="1" ht="9" customHeight="1" x14ac:dyDescent="0.3">
      <c r="A4624" s="91"/>
      <c r="B4624" s="70"/>
      <c r="C4624" s="70"/>
      <c r="D4624" s="70"/>
      <c r="E4624" s="70"/>
      <c r="F4624" s="70"/>
      <c r="G4624" s="94"/>
      <c r="H4624" s="131"/>
      <c r="I4624" s="3"/>
    </row>
    <row r="4625" spans="1:9" s="93" customFormat="1" ht="9" customHeight="1" x14ac:dyDescent="0.3">
      <c r="A4625" s="91"/>
      <c r="B4625" s="70"/>
      <c r="C4625" s="70"/>
      <c r="D4625" s="70"/>
      <c r="E4625" s="70"/>
      <c r="F4625" s="70"/>
      <c r="G4625" s="94"/>
      <c r="H4625" s="131"/>
      <c r="I4625" s="3"/>
    </row>
    <row r="4626" spans="1:9" s="93" customFormat="1" ht="9" customHeight="1" x14ac:dyDescent="0.3">
      <c r="A4626" s="91"/>
      <c r="B4626" s="70"/>
      <c r="C4626" s="70"/>
      <c r="D4626" s="70"/>
      <c r="E4626" s="70"/>
      <c r="F4626" s="70"/>
      <c r="G4626" s="94"/>
      <c r="H4626" s="131"/>
      <c r="I4626" s="3"/>
    </row>
    <row r="4627" spans="1:9" s="93" customFormat="1" ht="9" customHeight="1" x14ac:dyDescent="0.3">
      <c r="A4627" s="91"/>
      <c r="B4627" s="70"/>
      <c r="C4627" s="70"/>
      <c r="D4627" s="70"/>
      <c r="E4627" s="70"/>
      <c r="F4627" s="70"/>
      <c r="G4627" s="94"/>
      <c r="H4627" s="131"/>
      <c r="I4627" s="3"/>
    </row>
    <row r="4628" spans="1:9" s="93" customFormat="1" ht="9" customHeight="1" x14ac:dyDescent="0.3">
      <c r="A4628" s="91"/>
      <c r="B4628" s="70"/>
      <c r="C4628" s="70"/>
      <c r="D4628" s="70"/>
      <c r="E4628" s="70"/>
      <c r="F4628" s="70"/>
      <c r="G4628" s="94"/>
      <c r="H4628" s="131"/>
      <c r="I4628" s="3"/>
    </row>
    <row r="4629" spans="1:9" s="93" customFormat="1" ht="9" customHeight="1" x14ac:dyDescent="0.3">
      <c r="A4629" s="91"/>
      <c r="B4629" s="70"/>
      <c r="C4629" s="70"/>
      <c r="D4629" s="70"/>
      <c r="E4629" s="70"/>
      <c r="F4629" s="70"/>
      <c r="G4629" s="94"/>
      <c r="H4629" s="131"/>
      <c r="I4629" s="3"/>
    </row>
    <row r="4630" spans="1:9" s="93" customFormat="1" ht="9" customHeight="1" x14ac:dyDescent="0.3">
      <c r="A4630" s="91"/>
      <c r="B4630" s="70"/>
      <c r="C4630" s="70"/>
      <c r="D4630" s="70"/>
      <c r="E4630" s="70"/>
      <c r="F4630" s="70"/>
      <c r="G4630" s="94"/>
      <c r="H4630" s="131"/>
      <c r="I4630" s="3"/>
    </row>
    <row r="4631" spans="1:9" s="93" customFormat="1" ht="9" customHeight="1" x14ac:dyDescent="0.3">
      <c r="A4631" s="91"/>
      <c r="B4631" s="70"/>
      <c r="C4631" s="70"/>
      <c r="D4631" s="70"/>
      <c r="E4631" s="70"/>
      <c r="F4631" s="70"/>
      <c r="G4631" s="94"/>
      <c r="H4631" s="131"/>
      <c r="I4631" s="3"/>
    </row>
    <row r="4632" spans="1:9" s="93" customFormat="1" ht="9" customHeight="1" x14ac:dyDescent="0.3">
      <c r="A4632" s="91"/>
      <c r="B4632" s="70"/>
      <c r="C4632" s="70"/>
      <c r="D4632" s="70"/>
      <c r="E4632" s="70"/>
      <c r="F4632" s="70"/>
      <c r="G4632" s="94"/>
      <c r="H4632" s="131"/>
      <c r="I4632" s="3"/>
    </row>
    <row r="4633" spans="1:9" s="93" customFormat="1" ht="9" customHeight="1" x14ac:dyDescent="0.3">
      <c r="A4633" s="91"/>
      <c r="B4633" s="70"/>
      <c r="C4633" s="70"/>
      <c r="D4633" s="70"/>
      <c r="E4633" s="70"/>
      <c r="F4633" s="70"/>
      <c r="G4633" s="94"/>
      <c r="H4633" s="131"/>
      <c r="I4633" s="3"/>
    </row>
    <row r="4634" spans="1:9" s="93" customFormat="1" ht="9" customHeight="1" x14ac:dyDescent="0.3">
      <c r="A4634" s="91"/>
      <c r="B4634" s="70"/>
      <c r="C4634" s="70"/>
      <c r="D4634" s="70"/>
      <c r="E4634" s="70"/>
      <c r="F4634" s="70"/>
      <c r="G4634" s="94"/>
      <c r="H4634" s="131"/>
      <c r="I4634" s="3"/>
    </row>
    <row r="4635" spans="1:9" s="93" customFormat="1" ht="9" customHeight="1" x14ac:dyDescent="0.3">
      <c r="A4635" s="91"/>
      <c r="B4635" s="70"/>
      <c r="C4635" s="70"/>
      <c r="D4635" s="70"/>
      <c r="E4635" s="70"/>
      <c r="F4635" s="70"/>
      <c r="G4635" s="94"/>
      <c r="H4635" s="131"/>
      <c r="I4635" s="3"/>
    </row>
    <row r="4636" spans="1:9" s="93" customFormat="1" ht="9" customHeight="1" x14ac:dyDescent="0.3">
      <c r="A4636" s="91"/>
      <c r="B4636" s="70"/>
      <c r="C4636" s="70"/>
      <c r="D4636" s="70"/>
      <c r="E4636" s="70"/>
      <c r="F4636" s="70"/>
      <c r="G4636" s="94"/>
      <c r="H4636" s="131"/>
      <c r="I4636" s="3"/>
    </row>
    <row r="4637" spans="1:9" s="93" customFormat="1" ht="9" customHeight="1" x14ac:dyDescent="0.3">
      <c r="A4637" s="91"/>
      <c r="B4637" s="70"/>
      <c r="C4637" s="70"/>
      <c r="D4637" s="70"/>
      <c r="E4637" s="70"/>
      <c r="F4637" s="70"/>
      <c r="G4637" s="94"/>
      <c r="H4637" s="131"/>
      <c r="I4637" s="3"/>
    </row>
    <row r="4638" spans="1:9" s="93" customFormat="1" ht="9" customHeight="1" x14ac:dyDescent="0.3">
      <c r="A4638" s="91"/>
      <c r="B4638" s="70"/>
      <c r="C4638" s="70"/>
      <c r="D4638" s="70"/>
      <c r="E4638" s="70"/>
      <c r="F4638" s="70"/>
      <c r="G4638" s="94"/>
      <c r="H4638" s="131"/>
      <c r="I4638" s="3"/>
    </row>
    <row r="4639" spans="1:9" s="93" customFormat="1" ht="9" customHeight="1" x14ac:dyDescent="0.3">
      <c r="A4639" s="91"/>
      <c r="B4639" s="70"/>
      <c r="C4639" s="70"/>
      <c r="D4639" s="70"/>
      <c r="E4639" s="70"/>
      <c r="F4639" s="70"/>
      <c r="G4639" s="94"/>
      <c r="H4639" s="131"/>
      <c r="I4639" s="3"/>
    </row>
    <row r="4640" spans="1:9" s="93" customFormat="1" ht="9" customHeight="1" x14ac:dyDescent="0.3">
      <c r="A4640" s="91"/>
      <c r="B4640" s="70"/>
      <c r="C4640" s="70"/>
      <c r="D4640" s="70"/>
      <c r="E4640" s="70"/>
      <c r="F4640" s="70"/>
      <c r="G4640" s="94"/>
      <c r="H4640" s="131"/>
      <c r="I4640" s="3"/>
    </row>
    <row r="4641" spans="1:9" s="93" customFormat="1" ht="9" customHeight="1" x14ac:dyDescent="0.3">
      <c r="A4641" s="91"/>
      <c r="B4641" s="70"/>
      <c r="C4641" s="70"/>
      <c r="D4641" s="70"/>
      <c r="E4641" s="70"/>
      <c r="F4641" s="70"/>
      <c r="G4641" s="94"/>
      <c r="H4641" s="131"/>
      <c r="I4641" s="3"/>
    </row>
    <row r="4642" spans="1:9" s="93" customFormat="1" ht="9" customHeight="1" x14ac:dyDescent="0.3">
      <c r="A4642" s="91"/>
      <c r="B4642" s="70"/>
      <c r="C4642" s="70"/>
      <c r="D4642" s="70"/>
      <c r="E4642" s="70"/>
      <c r="F4642" s="70"/>
      <c r="G4642" s="94"/>
      <c r="H4642" s="131"/>
      <c r="I4642" s="3"/>
    </row>
    <row r="4643" spans="1:9" s="93" customFormat="1" ht="9" customHeight="1" x14ac:dyDescent="0.3">
      <c r="A4643" s="91"/>
      <c r="B4643" s="70"/>
      <c r="C4643" s="70"/>
      <c r="D4643" s="70"/>
      <c r="E4643" s="70"/>
      <c r="F4643" s="70"/>
      <c r="G4643" s="94"/>
      <c r="H4643" s="131"/>
      <c r="I4643" s="3"/>
    </row>
    <row r="4644" spans="1:9" s="93" customFormat="1" ht="9" customHeight="1" x14ac:dyDescent="0.3">
      <c r="A4644" s="91"/>
      <c r="B4644" s="70"/>
      <c r="C4644" s="70"/>
      <c r="D4644" s="70"/>
      <c r="E4644" s="70"/>
      <c r="F4644" s="70"/>
      <c r="G4644" s="94"/>
      <c r="H4644" s="131"/>
      <c r="I4644" s="3"/>
    </row>
    <row r="4645" spans="1:9" s="93" customFormat="1" ht="9" customHeight="1" x14ac:dyDescent="0.3">
      <c r="A4645" s="91"/>
      <c r="B4645" s="70"/>
      <c r="C4645" s="70"/>
      <c r="D4645" s="70"/>
      <c r="E4645" s="70"/>
      <c r="F4645" s="70"/>
      <c r="G4645" s="94"/>
      <c r="H4645" s="131"/>
      <c r="I4645" s="3"/>
    </row>
    <row r="4646" spans="1:9" s="93" customFormat="1" ht="9" customHeight="1" x14ac:dyDescent="0.3">
      <c r="A4646" s="91"/>
      <c r="B4646" s="70"/>
      <c r="C4646" s="70"/>
      <c r="D4646" s="70"/>
      <c r="E4646" s="70"/>
      <c r="F4646" s="70"/>
      <c r="G4646" s="94"/>
      <c r="H4646" s="131"/>
      <c r="I4646" s="3"/>
    </row>
    <row r="4647" spans="1:9" s="93" customFormat="1" ht="9" customHeight="1" x14ac:dyDescent="0.3">
      <c r="A4647" s="91"/>
      <c r="B4647" s="70"/>
      <c r="C4647" s="70"/>
      <c r="D4647" s="70"/>
      <c r="E4647" s="70"/>
      <c r="F4647" s="70"/>
      <c r="G4647" s="94"/>
      <c r="H4647" s="131"/>
      <c r="I4647" s="3"/>
    </row>
    <row r="4648" spans="1:9" s="93" customFormat="1" ht="9" customHeight="1" x14ac:dyDescent="0.3">
      <c r="A4648" s="91"/>
      <c r="B4648" s="70"/>
      <c r="C4648" s="70"/>
      <c r="D4648" s="70"/>
      <c r="E4648" s="70"/>
      <c r="F4648" s="70"/>
      <c r="G4648" s="94"/>
      <c r="H4648" s="131"/>
      <c r="I4648" s="3"/>
    </row>
    <row r="4649" spans="1:9" s="93" customFormat="1" ht="9" customHeight="1" x14ac:dyDescent="0.3">
      <c r="A4649" s="91"/>
      <c r="B4649" s="70"/>
      <c r="C4649" s="70"/>
      <c r="D4649" s="70"/>
      <c r="E4649" s="70"/>
      <c r="F4649" s="70"/>
      <c r="G4649" s="94"/>
      <c r="H4649" s="131"/>
      <c r="I4649" s="3"/>
    </row>
    <row r="4650" spans="1:9" s="93" customFormat="1" ht="9" customHeight="1" x14ac:dyDescent="0.3">
      <c r="A4650" s="91"/>
      <c r="B4650" s="70"/>
      <c r="C4650" s="70"/>
      <c r="D4650" s="70"/>
      <c r="E4650" s="70"/>
      <c r="F4650" s="70"/>
      <c r="G4650" s="94"/>
      <c r="H4650" s="131"/>
      <c r="I4650" s="3"/>
    </row>
    <row r="4651" spans="1:9" s="93" customFormat="1" ht="9" customHeight="1" x14ac:dyDescent="0.3">
      <c r="A4651" s="91"/>
      <c r="B4651" s="70"/>
      <c r="C4651" s="70"/>
      <c r="D4651" s="70"/>
      <c r="E4651" s="70"/>
      <c r="F4651" s="70"/>
      <c r="G4651" s="94"/>
      <c r="H4651" s="131"/>
      <c r="I4651" s="3"/>
    </row>
    <row r="4652" spans="1:9" s="93" customFormat="1" ht="9" customHeight="1" x14ac:dyDescent="0.3">
      <c r="A4652" s="91"/>
      <c r="B4652" s="70"/>
      <c r="C4652" s="70"/>
      <c r="D4652" s="70"/>
      <c r="E4652" s="70"/>
      <c r="F4652" s="70"/>
      <c r="G4652" s="94"/>
      <c r="H4652" s="131"/>
      <c r="I4652" s="3"/>
    </row>
    <row r="4653" spans="1:9" s="93" customFormat="1" ht="9" customHeight="1" x14ac:dyDescent="0.3">
      <c r="A4653" s="91"/>
      <c r="B4653" s="70"/>
      <c r="C4653" s="70"/>
      <c r="D4653" s="70"/>
      <c r="E4653" s="70"/>
      <c r="F4653" s="70"/>
      <c r="G4653" s="94"/>
      <c r="H4653" s="131"/>
      <c r="I4653" s="3"/>
    </row>
    <row r="4654" spans="1:9" s="93" customFormat="1" ht="9" customHeight="1" x14ac:dyDescent="0.3">
      <c r="A4654" s="91"/>
      <c r="B4654" s="70"/>
      <c r="C4654" s="70"/>
      <c r="D4654" s="70"/>
      <c r="E4654" s="70"/>
      <c r="F4654" s="70"/>
      <c r="G4654" s="94"/>
      <c r="H4654" s="131"/>
      <c r="I4654" s="3"/>
    </row>
    <row r="4655" spans="1:9" s="93" customFormat="1" ht="9" customHeight="1" x14ac:dyDescent="0.3">
      <c r="A4655" s="91"/>
      <c r="B4655" s="70"/>
      <c r="C4655" s="70"/>
      <c r="D4655" s="70"/>
      <c r="E4655" s="70"/>
      <c r="F4655" s="70"/>
      <c r="G4655" s="94"/>
      <c r="H4655" s="131"/>
      <c r="I4655" s="3"/>
    </row>
    <row r="4656" spans="1:9" s="93" customFormat="1" ht="9" customHeight="1" x14ac:dyDescent="0.3">
      <c r="A4656" s="91"/>
      <c r="B4656" s="70"/>
      <c r="C4656" s="70"/>
      <c r="D4656" s="70"/>
      <c r="E4656" s="70"/>
      <c r="F4656" s="70"/>
      <c r="G4656" s="94"/>
      <c r="H4656" s="131"/>
      <c r="I4656" s="3"/>
    </row>
    <row r="4657" spans="1:9" s="93" customFormat="1" ht="9" customHeight="1" x14ac:dyDescent="0.3">
      <c r="A4657" s="91"/>
      <c r="B4657" s="70"/>
      <c r="C4657" s="70"/>
      <c r="D4657" s="70"/>
      <c r="E4657" s="70"/>
      <c r="F4657" s="70"/>
      <c r="G4657" s="94"/>
      <c r="H4657" s="131"/>
      <c r="I4657" s="3"/>
    </row>
    <row r="4658" spans="1:9" s="93" customFormat="1" ht="9" customHeight="1" x14ac:dyDescent="0.3">
      <c r="A4658" s="91"/>
      <c r="B4658" s="70"/>
      <c r="C4658" s="70"/>
      <c r="D4658" s="70"/>
      <c r="E4658" s="70"/>
      <c r="F4658" s="70"/>
      <c r="G4658" s="94"/>
      <c r="H4658" s="131"/>
      <c r="I4658" s="3"/>
    </row>
    <row r="4659" spans="1:9" s="93" customFormat="1" ht="9" customHeight="1" x14ac:dyDescent="0.3">
      <c r="A4659" s="91"/>
      <c r="B4659" s="70"/>
      <c r="C4659" s="70"/>
      <c r="D4659" s="70"/>
      <c r="E4659" s="70"/>
      <c r="F4659" s="70"/>
      <c r="G4659" s="94"/>
      <c r="H4659" s="131"/>
      <c r="I4659" s="3"/>
    </row>
    <row r="4660" spans="1:9" s="93" customFormat="1" ht="9" customHeight="1" x14ac:dyDescent="0.3">
      <c r="A4660" s="91"/>
      <c r="B4660" s="70"/>
      <c r="C4660" s="70"/>
      <c r="D4660" s="70"/>
      <c r="E4660" s="70"/>
      <c r="F4660" s="70"/>
      <c r="G4660" s="94"/>
      <c r="H4660" s="131"/>
      <c r="I4660" s="3"/>
    </row>
    <row r="4661" spans="1:9" s="93" customFormat="1" ht="9" customHeight="1" x14ac:dyDescent="0.3">
      <c r="A4661" s="91"/>
      <c r="B4661" s="70"/>
      <c r="C4661" s="70"/>
      <c r="D4661" s="70"/>
      <c r="E4661" s="70"/>
      <c r="F4661" s="70"/>
      <c r="G4661" s="94"/>
      <c r="H4661" s="131"/>
      <c r="I4661" s="3"/>
    </row>
    <row r="4662" spans="1:9" s="93" customFormat="1" ht="9" customHeight="1" x14ac:dyDescent="0.3">
      <c r="A4662" s="91"/>
      <c r="B4662" s="70"/>
      <c r="C4662" s="70"/>
      <c r="D4662" s="70"/>
      <c r="E4662" s="70"/>
      <c r="F4662" s="70"/>
      <c r="G4662" s="94"/>
      <c r="H4662" s="131"/>
      <c r="I4662" s="3"/>
    </row>
    <row r="4663" spans="1:9" s="93" customFormat="1" ht="9" customHeight="1" x14ac:dyDescent="0.3">
      <c r="A4663" s="91"/>
      <c r="B4663" s="70"/>
      <c r="C4663" s="70"/>
      <c r="D4663" s="70"/>
      <c r="E4663" s="70"/>
      <c r="F4663" s="70"/>
      <c r="G4663" s="94"/>
      <c r="H4663" s="131"/>
      <c r="I4663" s="3"/>
    </row>
    <row r="4664" spans="1:9" s="93" customFormat="1" ht="9" customHeight="1" x14ac:dyDescent="0.3">
      <c r="A4664" s="91"/>
      <c r="B4664" s="70"/>
      <c r="C4664" s="70"/>
      <c r="D4664" s="70"/>
      <c r="E4664" s="70"/>
      <c r="F4664" s="70"/>
      <c r="G4664" s="94"/>
      <c r="H4664" s="131"/>
      <c r="I4664" s="3"/>
    </row>
    <row r="4665" spans="1:9" s="93" customFormat="1" ht="9" customHeight="1" x14ac:dyDescent="0.3">
      <c r="A4665" s="91"/>
      <c r="B4665" s="70"/>
      <c r="C4665" s="70"/>
      <c r="D4665" s="70"/>
      <c r="E4665" s="70"/>
      <c r="F4665" s="70"/>
      <c r="G4665" s="94"/>
      <c r="H4665" s="131"/>
      <c r="I4665" s="3"/>
    </row>
    <row r="4666" spans="1:9" s="93" customFormat="1" ht="9" customHeight="1" x14ac:dyDescent="0.3">
      <c r="A4666" s="91"/>
      <c r="B4666" s="70"/>
      <c r="C4666" s="70"/>
      <c r="D4666" s="70"/>
      <c r="E4666" s="70"/>
      <c r="F4666" s="70"/>
      <c r="G4666" s="94"/>
      <c r="H4666" s="131"/>
      <c r="I4666" s="3"/>
    </row>
    <row r="4667" spans="1:9" s="93" customFormat="1" ht="9" customHeight="1" x14ac:dyDescent="0.3">
      <c r="A4667" s="91"/>
      <c r="B4667" s="70"/>
      <c r="C4667" s="70"/>
      <c r="D4667" s="70"/>
      <c r="E4667" s="70"/>
      <c r="F4667" s="70"/>
      <c r="G4667" s="94"/>
      <c r="H4667" s="131"/>
      <c r="I4667" s="3"/>
    </row>
    <row r="4668" spans="1:9" s="93" customFormat="1" ht="9" customHeight="1" x14ac:dyDescent="0.3">
      <c r="A4668" s="91"/>
      <c r="B4668" s="70"/>
      <c r="C4668" s="70"/>
      <c r="D4668" s="70"/>
      <c r="E4668" s="70"/>
      <c r="F4668" s="70"/>
      <c r="G4668" s="94"/>
      <c r="H4668" s="131"/>
      <c r="I4668" s="3"/>
    </row>
    <row r="4669" spans="1:9" s="93" customFormat="1" ht="9" customHeight="1" x14ac:dyDescent="0.3">
      <c r="A4669" s="91"/>
      <c r="B4669" s="70"/>
      <c r="C4669" s="70"/>
      <c r="D4669" s="70"/>
      <c r="E4669" s="70"/>
      <c r="F4669" s="70"/>
      <c r="G4669" s="94"/>
      <c r="H4669" s="131"/>
      <c r="I4669" s="3"/>
    </row>
    <row r="4670" spans="1:9" s="93" customFormat="1" ht="9" customHeight="1" x14ac:dyDescent="0.3">
      <c r="A4670" s="91"/>
      <c r="B4670" s="70"/>
      <c r="C4670" s="70"/>
      <c r="D4670" s="70"/>
      <c r="E4670" s="70"/>
      <c r="F4670" s="70"/>
      <c r="G4670" s="94"/>
      <c r="H4670" s="131"/>
      <c r="I4670" s="3"/>
    </row>
    <row r="4671" spans="1:9" s="93" customFormat="1" ht="9" customHeight="1" x14ac:dyDescent="0.3">
      <c r="A4671" s="91"/>
      <c r="B4671" s="70"/>
      <c r="C4671" s="70"/>
      <c r="D4671" s="70"/>
      <c r="E4671" s="70"/>
      <c r="F4671" s="70"/>
      <c r="G4671" s="94"/>
      <c r="H4671" s="131"/>
      <c r="I4671" s="3"/>
    </row>
    <row r="4672" spans="1:9" s="93" customFormat="1" ht="9" customHeight="1" x14ac:dyDescent="0.3">
      <c r="A4672" s="91"/>
      <c r="B4672" s="70"/>
      <c r="C4672" s="70"/>
      <c r="D4672" s="70"/>
      <c r="E4672" s="70"/>
      <c r="F4672" s="70"/>
      <c r="G4672" s="94"/>
      <c r="H4672" s="131"/>
      <c r="I4672" s="3"/>
    </row>
    <row r="4673" spans="1:9" s="93" customFormat="1" ht="9" customHeight="1" x14ac:dyDescent="0.3">
      <c r="A4673" s="91"/>
      <c r="B4673" s="70"/>
      <c r="C4673" s="70"/>
      <c r="D4673" s="70"/>
      <c r="E4673" s="70"/>
      <c r="F4673" s="70"/>
      <c r="G4673" s="94"/>
      <c r="H4673" s="131"/>
      <c r="I4673" s="3"/>
    </row>
    <row r="4674" spans="1:9" s="93" customFormat="1" ht="9" customHeight="1" x14ac:dyDescent="0.3">
      <c r="A4674" s="91"/>
      <c r="B4674" s="70"/>
      <c r="C4674" s="70"/>
      <c r="D4674" s="70"/>
      <c r="E4674" s="70"/>
      <c r="F4674" s="70"/>
      <c r="G4674" s="94"/>
      <c r="H4674" s="131"/>
      <c r="I4674" s="3"/>
    </row>
    <row r="4675" spans="1:9" s="93" customFormat="1" ht="9" customHeight="1" x14ac:dyDescent="0.3">
      <c r="A4675" s="91"/>
      <c r="B4675" s="70"/>
      <c r="C4675" s="70"/>
      <c r="D4675" s="70"/>
      <c r="E4675" s="70"/>
      <c r="F4675" s="70"/>
      <c r="G4675" s="94"/>
      <c r="H4675" s="131"/>
      <c r="I4675" s="3"/>
    </row>
    <row r="4676" spans="1:9" s="93" customFormat="1" ht="9" customHeight="1" x14ac:dyDescent="0.3">
      <c r="A4676" s="91"/>
      <c r="B4676" s="70"/>
      <c r="C4676" s="70"/>
      <c r="D4676" s="70"/>
      <c r="E4676" s="70"/>
      <c r="F4676" s="70"/>
      <c r="G4676" s="94"/>
      <c r="H4676" s="131"/>
      <c r="I4676" s="3"/>
    </row>
    <row r="4677" spans="1:9" s="93" customFormat="1" ht="9" customHeight="1" x14ac:dyDescent="0.3">
      <c r="A4677" s="91"/>
      <c r="B4677" s="70"/>
      <c r="C4677" s="70"/>
      <c r="D4677" s="70"/>
      <c r="E4677" s="70"/>
      <c r="F4677" s="70"/>
      <c r="G4677" s="94"/>
      <c r="H4677" s="131"/>
      <c r="I4677" s="3"/>
    </row>
    <row r="4678" spans="1:9" s="93" customFormat="1" ht="9" customHeight="1" x14ac:dyDescent="0.3">
      <c r="A4678" s="91"/>
      <c r="B4678" s="70"/>
      <c r="C4678" s="70"/>
      <c r="D4678" s="70"/>
      <c r="E4678" s="70"/>
      <c r="F4678" s="70"/>
      <c r="G4678" s="94"/>
      <c r="H4678" s="131"/>
      <c r="I4678" s="3"/>
    </row>
    <row r="4679" spans="1:9" s="93" customFormat="1" ht="9" customHeight="1" x14ac:dyDescent="0.3">
      <c r="A4679" s="91"/>
      <c r="B4679" s="70"/>
      <c r="C4679" s="70"/>
      <c r="D4679" s="70"/>
      <c r="E4679" s="70"/>
      <c r="F4679" s="70"/>
      <c r="G4679" s="94"/>
      <c r="H4679" s="131"/>
      <c r="I4679" s="3"/>
    </row>
    <row r="4680" spans="1:9" s="93" customFormat="1" ht="9" customHeight="1" x14ac:dyDescent="0.3">
      <c r="A4680" s="91"/>
      <c r="B4680" s="70"/>
      <c r="C4680" s="70"/>
      <c r="D4680" s="70"/>
      <c r="E4680" s="70"/>
      <c r="F4680" s="70"/>
      <c r="G4680" s="94"/>
      <c r="H4680" s="131"/>
      <c r="I4680" s="3"/>
    </row>
    <row r="4681" spans="1:9" s="93" customFormat="1" ht="9" customHeight="1" x14ac:dyDescent="0.3">
      <c r="A4681" s="91"/>
      <c r="B4681" s="70"/>
      <c r="C4681" s="70"/>
      <c r="D4681" s="70"/>
      <c r="E4681" s="70"/>
      <c r="F4681" s="70"/>
      <c r="G4681" s="94"/>
      <c r="H4681" s="131"/>
      <c r="I4681" s="3"/>
    </row>
    <row r="4682" spans="1:9" s="93" customFormat="1" ht="9" customHeight="1" x14ac:dyDescent="0.3">
      <c r="A4682" s="91"/>
      <c r="B4682" s="70"/>
      <c r="C4682" s="70"/>
      <c r="D4682" s="70"/>
      <c r="E4682" s="70"/>
      <c r="F4682" s="70"/>
      <c r="G4682" s="94"/>
      <c r="H4682" s="131"/>
      <c r="I4682" s="3"/>
    </row>
    <row r="4683" spans="1:9" s="93" customFormat="1" ht="9" customHeight="1" x14ac:dyDescent="0.3">
      <c r="A4683" s="91"/>
      <c r="B4683" s="70"/>
      <c r="C4683" s="70"/>
      <c r="D4683" s="70"/>
      <c r="E4683" s="70"/>
      <c r="F4683" s="70"/>
      <c r="G4683" s="94"/>
      <c r="H4683" s="131"/>
      <c r="I4683" s="3"/>
    </row>
    <row r="4684" spans="1:9" s="93" customFormat="1" ht="9" customHeight="1" x14ac:dyDescent="0.3">
      <c r="A4684" s="91"/>
      <c r="B4684" s="70"/>
      <c r="C4684" s="70"/>
      <c r="D4684" s="70"/>
      <c r="E4684" s="70"/>
      <c r="F4684" s="70"/>
      <c r="G4684" s="94"/>
      <c r="H4684" s="131"/>
      <c r="I4684" s="3"/>
    </row>
    <row r="4685" spans="1:9" s="93" customFormat="1" ht="9" customHeight="1" x14ac:dyDescent="0.3">
      <c r="A4685" s="91"/>
      <c r="B4685" s="70"/>
      <c r="C4685" s="70"/>
      <c r="D4685" s="70"/>
      <c r="E4685" s="70"/>
      <c r="F4685" s="70"/>
      <c r="G4685" s="94"/>
      <c r="H4685" s="131"/>
      <c r="I4685" s="3"/>
    </row>
    <row r="4686" spans="1:9" s="93" customFormat="1" ht="9" customHeight="1" x14ac:dyDescent="0.3">
      <c r="A4686" s="91"/>
      <c r="B4686" s="70"/>
      <c r="C4686" s="70"/>
      <c r="D4686" s="70"/>
      <c r="E4686" s="70"/>
      <c r="F4686" s="70"/>
      <c r="G4686" s="94"/>
      <c r="H4686" s="131"/>
      <c r="I4686" s="3"/>
    </row>
    <row r="4687" spans="1:9" s="93" customFormat="1" ht="9" customHeight="1" x14ac:dyDescent="0.3">
      <c r="A4687" s="91"/>
      <c r="B4687" s="70"/>
      <c r="C4687" s="70"/>
      <c r="D4687" s="70"/>
      <c r="E4687" s="70"/>
      <c r="F4687" s="70"/>
      <c r="G4687" s="94"/>
      <c r="H4687" s="131"/>
      <c r="I4687" s="3"/>
    </row>
    <row r="4688" spans="1:9" s="93" customFormat="1" ht="9" customHeight="1" x14ac:dyDescent="0.3">
      <c r="A4688" s="91"/>
      <c r="B4688" s="70"/>
      <c r="C4688" s="70"/>
      <c r="D4688" s="70"/>
      <c r="E4688" s="70"/>
      <c r="F4688" s="70"/>
      <c r="G4688" s="94"/>
      <c r="H4688" s="131"/>
      <c r="I4688" s="3"/>
    </row>
    <row r="4689" spans="1:9" s="93" customFormat="1" ht="9" customHeight="1" x14ac:dyDescent="0.3">
      <c r="A4689" s="91"/>
      <c r="B4689" s="70"/>
      <c r="C4689" s="70"/>
      <c r="D4689" s="70"/>
      <c r="E4689" s="70"/>
      <c r="F4689" s="70"/>
      <c r="G4689" s="94"/>
      <c r="H4689" s="131"/>
      <c r="I4689" s="3"/>
    </row>
    <row r="4690" spans="1:9" s="93" customFormat="1" ht="9" customHeight="1" x14ac:dyDescent="0.3">
      <c r="A4690" s="91"/>
      <c r="B4690" s="70"/>
      <c r="C4690" s="70"/>
      <c r="D4690" s="70"/>
      <c r="E4690" s="70"/>
      <c r="F4690" s="70"/>
      <c r="G4690" s="94"/>
      <c r="H4690" s="131"/>
      <c r="I4690" s="3"/>
    </row>
    <row r="4691" spans="1:9" s="93" customFormat="1" ht="9" customHeight="1" x14ac:dyDescent="0.3">
      <c r="A4691" s="91"/>
      <c r="B4691" s="70"/>
      <c r="C4691" s="70"/>
      <c r="D4691" s="70"/>
      <c r="E4691" s="70"/>
      <c r="F4691" s="70"/>
      <c r="G4691" s="94"/>
      <c r="H4691" s="131"/>
      <c r="I4691" s="3"/>
    </row>
    <row r="4692" spans="1:9" s="93" customFormat="1" ht="9" customHeight="1" x14ac:dyDescent="0.3">
      <c r="A4692" s="91"/>
      <c r="B4692" s="70"/>
      <c r="C4692" s="70"/>
      <c r="D4692" s="70"/>
      <c r="E4692" s="70"/>
      <c r="F4692" s="70"/>
      <c r="G4692" s="94"/>
      <c r="H4692" s="131"/>
      <c r="I4692" s="3"/>
    </row>
    <row r="4693" spans="1:9" s="93" customFormat="1" ht="9" customHeight="1" x14ac:dyDescent="0.3">
      <c r="A4693" s="91"/>
      <c r="B4693" s="70"/>
      <c r="C4693" s="70"/>
      <c r="D4693" s="70"/>
      <c r="E4693" s="70"/>
      <c r="F4693" s="70"/>
      <c r="G4693" s="94"/>
      <c r="H4693" s="131"/>
      <c r="I4693" s="3"/>
    </row>
    <row r="4694" spans="1:9" s="93" customFormat="1" ht="9" customHeight="1" x14ac:dyDescent="0.3">
      <c r="A4694" s="91"/>
      <c r="B4694" s="70"/>
      <c r="C4694" s="70"/>
      <c r="D4694" s="70"/>
      <c r="E4694" s="70"/>
      <c r="F4694" s="70"/>
      <c r="G4694" s="94"/>
      <c r="H4694" s="131"/>
      <c r="I4694" s="3"/>
    </row>
    <row r="4695" spans="1:9" s="93" customFormat="1" ht="9" customHeight="1" x14ac:dyDescent="0.3">
      <c r="A4695" s="91"/>
      <c r="B4695" s="70"/>
      <c r="C4695" s="70"/>
      <c r="D4695" s="70"/>
      <c r="E4695" s="70"/>
      <c r="F4695" s="70"/>
      <c r="G4695" s="94"/>
      <c r="H4695" s="131"/>
      <c r="I4695" s="3"/>
    </row>
    <row r="4696" spans="1:9" s="93" customFormat="1" ht="9" customHeight="1" x14ac:dyDescent="0.3">
      <c r="A4696" s="91"/>
      <c r="B4696" s="70"/>
      <c r="C4696" s="70"/>
      <c r="D4696" s="70"/>
      <c r="E4696" s="70"/>
      <c r="F4696" s="70"/>
      <c r="G4696" s="94"/>
      <c r="H4696" s="131"/>
      <c r="I4696" s="3"/>
    </row>
    <row r="4697" spans="1:9" s="93" customFormat="1" ht="9" customHeight="1" x14ac:dyDescent="0.3">
      <c r="A4697" s="91"/>
      <c r="B4697" s="70"/>
      <c r="C4697" s="70"/>
      <c r="D4697" s="70"/>
      <c r="E4697" s="70"/>
      <c r="F4697" s="70"/>
      <c r="G4697" s="94"/>
      <c r="H4697" s="131"/>
      <c r="I4697" s="3"/>
    </row>
    <row r="4698" spans="1:9" s="93" customFormat="1" ht="9" customHeight="1" x14ac:dyDescent="0.3">
      <c r="A4698" s="91"/>
      <c r="B4698" s="70"/>
      <c r="C4698" s="70"/>
      <c r="D4698" s="70"/>
      <c r="E4698" s="70"/>
      <c r="F4698" s="70"/>
      <c r="G4698" s="94"/>
      <c r="H4698" s="131"/>
      <c r="I4698" s="3"/>
    </row>
    <row r="4699" spans="1:9" s="93" customFormat="1" ht="9" customHeight="1" x14ac:dyDescent="0.3">
      <c r="A4699" s="91"/>
      <c r="B4699" s="70"/>
      <c r="C4699" s="70"/>
      <c r="D4699" s="70"/>
      <c r="E4699" s="70"/>
      <c r="F4699" s="70"/>
      <c r="G4699" s="94"/>
      <c r="H4699" s="131"/>
      <c r="I4699" s="3"/>
    </row>
    <row r="4700" spans="1:9" s="93" customFormat="1" ht="9" customHeight="1" x14ac:dyDescent="0.3">
      <c r="A4700" s="91"/>
      <c r="B4700" s="70"/>
      <c r="C4700" s="70"/>
      <c r="D4700" s="70"/>
      <c r="E4700" s="70"/>
      <c r="F4700" s="70"/>
      <c r="G4700" s="94"/>
      <c r="H4700" s="131"/>
      <c r="I4700" s="3"/>
    </row>
    <row r="4701" spans="1:9" s="93" customFormat="1" ht="9" customHeight="1" x14ac:dyDescent="0.3">
      <c r="A4701" s="91"/>
      <c r="B4701" s="70"/>
      <c r="C4701" s="70"/>
      <c r="D4701" s="70"/>
      <c r="E4701" s="70"/>
      <c r="F4701" s="70"/>
      <c r="G4701" s="94"/>
      <c r="H4701" s="131"/>
      <c r="I4701" s="3"/>
    </row>
    <row r="4702" spans="1:9" s="93" customFormat="1" ht="9" customHeight="1" x14ac:dyDescent="0.3">
      <c r="A4702" s="91"/>
      <c r="B4702" s="70"/>
      <c r="C4702" s="70"/>
      <c r="D4702" s="70"/>
      <c r="E4702" s="70"/>
      <c r="F4702" s="70"/>
      <c r="G4702" s="94"/>
      <c r="H4702" s="131"/>
      <c r="I4702" s="3"/>
    </row>
    <row r="4703" spans="1:9" s="93" customFormat="1" ht="9" customHeight="1" x14ac:dyDescent="0.3">
      <c r="A4703" s="91"/>
      <c r="B4703" s="70"/>
      <c r="C4703" s="70"/>
      <c r="D4703" s="70"/>
      <c r="E4703" s="70"/>
      <c r="F4703" s="70"/>
      <c r="G4703" s="94"/>
      <c r="H4703" s="131"/>
      <c r="I4703" s="3"/>
    </row>
    <row r="4704" spans="1:9" s="93" customFormat="1" ht="9" customHeight="1" x14ac:dyDescent="0.3">
      <c r="A4704" s="91"/>
      <c r="B4704" s="70"/>
      <c r="C4704" s="70"/>
      <c r="D4704" s="70"/>
      <c r="E4704" s="70"/>
      <c r="F4704" s="70"/>
      <c r="G4704" s="94"/>
      <c r="H4704" s="131"/>
      <c r="I4704" s="3"/>
    </row>
    <row r="4705" spans="1:9" s="93" customFormat="1" ht="9" customHeight="1" x14ac:dyDescent="0.3">
      <c r="A4705" s="91"/>
      <c r="B4705" s="70"/>
      <c r="C4705" s="70"/>
      <c r="D4705" s="70"/>
      <c r="E4705" s="70"/>
      <c r="F4705" s="70"/>
      <c r="G4705" s="94"/>
      <c r="H4705" s="131"/>
      <c r="I4705" s="3"/>
    </row>
    <row r="4706" spans="1:9" s="93" customFormat="1" ht="9" customHeight="1" x14ac:dyDescent="0.3">
      <c r="A4706" s="91"/>
      <c r="B4706" s="70"/>
      <c r="C4706" s="70"/>
      <c r="D4706" s="70"/>
      <c r="E4706" s="70"/>
      <c r="F4706" s="70"/>
      <c r="G4706" s="94"/>
      <c r="H4706" s="131"/>
      <c r="I4706" s="3"/>
    </row>
    <row r="4707" spans="1:9" s="93" customFormat="1" ht="9" customHeight="1" x14ac:dyDescent="0.3">
      <c r="A4707" s="91"/>
      <c r="B4707" s="70"/>
      <c r="C4707" s="70"/>
      <c r="D4707" s="70"/>
      <c r="E4707" s="70"/>
      <c r="F4707" s="70"/>
      <c r="G4707" s="94"/>
      <c r="H4707" s="131"/>
      <c r="I4707" s="3"/>
    </row>
    <row r="4708" spans="1:9" s="93" customFormat="1" ht="9" customHeight="1" x14ac:dyDescent="0.3">
      <c r="A4708" s="91"/>
      <c r="B4708" s="70"/>
      <c r="C4708" s="70"/>
      <c r="D4708" s="70"/>
      <c r="E4708" s="70"/>
      <c r="F4708" s="70"/>
      <c r="G4708" s="94"/>
      <c r="H4708" s="131"/>
      <c r="I4708" s="3"/>
    </row>
    <row r="4709" spans="1:9" s="93" customFormat="1" ht="9" customHeight="1" x14ac:dyDescent="0.3">
      <c r="A4709" s="91"/>
      <c r="B4709" s="70"/>
      <c r="C4709" s="70"/>
      <c r="D4709" s="70"/>
      <c r="E4709" s="70"/>
      <c r="F4709" s="70"/>
      <c r="G4709" s="94"/>
      <c r="H4709" s="131"/>
      <c r="I4709" s="3"/>
    </row>
    <row r="4710" spans="1:9" s="93" customFormat="1" ht="9" customHeight="1" x14ac:dyDescent="0.3">
      <c r="A4710" s="91"/>
      <c r="B4710" s="70"/>
      <c r="C4710" s="70"/>
      <c r="D4710" s="70"/>
      <c r="E4710" s="70"/>
      <c r="F4710" s="70"/>
      <c r="G4710" s="94"/>
      <c r="H4710" s="131"/>
      <c r="I4710" s="3"/>
    </row>
    <row r="4711" spans="1:9" s="93" customFormat="1" ht="9" customHeight="1" x14ac:dyDescent="0.3">
      <c r="A4711" s="91"/>
      <c r="B4711" s="70"/>
      <c r="C4711" s="70"/>
      <c r="D4711" s="70"/>
      <c r="E4711" s="70"/>
      <c r="F4711" s="70"/>
      <c r="G4711" s="94"/>
      <c r="H4711" s="131"/>
      <c r="I4711" s="3"/>
    </row>
    <row r="4712" spans="1:9" s="93" customFormat="1" ht="9" customHeight="1" x14ac:dyDescent="0.3">
      <c r="A4712" s="91"/>
      <c r="B4712" s="70"/>
      <c r="C4712" s="70"/>
      <c r="D4712" s="70"/>
      <c r="E4712" s="70"/>
      <c r="F4712" s="70"/>
      <c r="G4712" s="94"/>
      <c r="H4712" s="131"/>
      <c r="I4712" s="3"/>
    </row>
    <row r="4713" spans="1:9" s="93" customFormat="1" ht="9" customHeight="1" x14ac:dyDescent="0.3">
      <c r="A4713" s="91"/>
      <c r="B4713" s="70"/>
      <c r="C4713" s="70"/>
      <c r="D4713" s="70"/>
      <c r="E4713" s="70"/>
      <c r="F4713" s="70"/>
      <c r="G4713" s="94"/>
      <c r="H4713" s="131"/>
      <c r="I4713" s="3"/>
    </row>
    <row r="4714" spans="1:9" s="93" customFormat="1" ht="9" customHeight="1" x14ac:dyDescent="0.3">
      <c r="A4714" s="91"/>
      <c r="B4714" s="70"/>
      <c r="C4714" s="70"/>
      <c r="D4714" s="70"/>
      <c r="E4714" s="70"/>
      <c r="F4714" s="70"/>
      <c r="G4714" s="94"/>
      <c r="H4714" s="131"/>
      <c r="I4714" s="3"/>
    </row>
    <row r="4715" spans="1:9" s="93" customFormat="1" ht="9" customHeight="1" x14ac:dyDescent="0.3">
      <c r="A4715" s="91"/>
      <c r="B4715" s="70"/>
      <c r="C4715" s="70"/>
      <c r="D4715" s="70"/>
      <c r="E4715" s="70"/>
      <c r="F4715" s="70"/>
      <c r="G4715" s="94"/>
      <c r="H4715" s="131"/>
      <c r="I4715" s="3"/>
    </row>
    <row r="4716" spans="1:9" s="93" customFormat="1" ht="9" customHeight="1" x14ac:dyDescent="0.3">
      <c r="A4716" s="91"/>
      <c r="B4716" s="70"/>
      <c r="C4716" s="70"/>
      <c r="D4716" s="70"/>
      <c r="E4716" s="70"/>
      <c r="F4716" s="70"/>
      <c r="G4716" s="94"/>
      <c r="H4716" s="131"/>
      <c r="I4716" s="3"/>
    </row>
    <row r="4717" spans="1:9" s="93" customFormat="1" ht="9" customHeight="1" x14ac:dyDescent="0.3">
      <c r="A4717" s="91"/>
      <c r="B4717" s="70"/>
      <c r="C4717" s="70"/>
      <c r="D4717" s="70"/>
      <c r="E4717" s="70"/>
      <c r="F4717" s="70"/>
      <c r="G4717" s="94"/>
      <c r="H4717" s="131"/>
      <c r="I4717" s="3"/>
    </row>
    <row r="4718" spans="1:9" s="93" customFormat="1" ht="9" customHeight="1" x14ac:dyDescent="0.3">
      <c r="A4718" s="91"/>
      <c r="B4718" s="70"/>
      <c r="C4718" s="70"/>
      <c r="D4718" s="70"/>
      <c r="E4718" s="70"/>
      <c r="F4718" s="70"/>
      <c r="G4718" s="94"/>
      <c r="H4718" s="131"/>
      <c r="I4718" s="3"/>
    </row>
    <row r="4719" spans="1:9" s="93" customFormat="1" ht="9" customHeight="1" x14ac:dyDescent="0.3">
      <c r="A4719" s="91"/>
      <c r="B4719" s="70"/>
      <c r="C4719" s="70"/>
      <c r="D4719" s="70"/>
      <c r="E4719" s="70"/>
      <c r="F4719" s="70"/>
      <c r="G4719" s="94"/>
      <c r="H4719" s="131"/>
      <c r="I4719" s="3"/>
    </row>
    <row r="4720" spans="1:9" s="93" customFormat="1" ht="9" customHeight="1" x14ac:dyDescent="0.3">
      <c r="A4720" s="91"/>
      <c r="B4720" s="70"/>
      <c r="C4720" s="70"/>
      <c r="D4720" s="70"/>
      <c r="E4720" s="70"/>
      <c r="F4720" s="70"/>
      <c r="G4720" s="94"/>
      <c r="H4720" s="131"/>
      <c r="I4720" s="3"/>
    </row>
    <row r="4721" spans="1:9" s="93" customFormat="1" ht="9" customHeight="1" x14ac:dyDescent="0.3">
      <c r="A4721" s="91"/>
      <c r="B4721" s="70"/>
      <c r="C4721" s="70"/>
      <c r="D4721" s="70"/>
      <c r="E4721" s="70"/>
      <c r="F4721" s="70"/>
      <c r="G4721" s="94"/>
      <c r="H4721" s="131"/>
      <c r="I4721" s="3"/>
    </row>
    <row r="4722" spans="1:9" s="93" customFormat="1" ht="9" customHeight="1" x14ac:dyDescent="0.3">
      <c r="A4722" s="91"/>
      <c r="B4722" s="70"/>
      <c r="C4722" s="70"/>
      <c r="D4722" s="70"/>
      <c r="E4722" s="70"/>
      <c r="F4722" s="70"/>
      <c r="G4722" s="94"/>
      <c r="H4722" s="131"/>
      <c r="I4722" s="3"/>
    </row>
    <row r="4723" spans="1:9" s="93" customFormat="1" ht="9" customHeight="1" x14ac:dyDescent="0.3">
      <c r="A4723" s="91"/>
      <c r="B4723" s="70"/>
      <c r="C4723" s="70"/>
      <c r="D4723" s="70"/>
      <c r="E4723" s="70"/>
      <c r="F4723" s="70"/>
      <c r="G4723" s="94"/>
      <c r="H4723" s="131"/>
      <c r="I4723" s="3"/>
    </row>
    <row r="4724" spans="1:9" s="93" customFormat="1" ht="9" customHeight="1" x14ac:dyDescent="0.3">
      <c r="A4724" s="91"/>
      <c r="B4724" s="70"/>
      <c r="C4724" s="70"/>
      <c r="D4724" s="70"/>
      <c r="E4724" s="70"/>
      <c r="F4724" s="70"/>
      <c r="G4724" s="94"/>
      <c r="H4724" s="131"/>
      <c r="I4724" s="3"/>
    </row>
    <row r="4725" spans="1:9" s="93" customFormat="1" ht="9" customHeight="1" x14ac:dyDescent="0.3">
      <c r="A4725" s="91"/>
      <c r="B4725" s="70"/>
      <c r="C4725" s="70"/>
      <c r="D4725" s="70"/>
      <c r="E4725" s="70"/>
      <c r="F4725" s="70"/>
      <c r="G4725" s="94"/>
      <c r="H4725" s="131"/>
      <c r="I4725" s="3"/>
    </row>
    <row r="4726" spans="1:9" s="93" customFormat="1" ht="9" customHeight="1" x14ac:dyDescent="0.3">
      <c r="A4726" s="91"/>
      <c r="B4726" s="70"/>
      <c r="C4726" s="70"/>
      <c r="D4726" s="70"/>
      <c r="E4726" s="70"/>
      <c r="F4726" s="70"/>
      <c r="G4726" s="94"/>
      <c r="H4726" s="131"/>
      <c r="I4726" s="3"/>
    </row>
    <row r="4727" spans="1:9" s="93" customFormat="1" ht="9" customHeight="1" x14ac:dyDescent="0.3">
      <c r="A4727" s="91"/>
      <c r="B4727" s="70"/>
      <c r="C4727" s="70"/>
      <c r="D4727" s="70"/>
      <c r="E4727" s="70"/>
      <c r="F4727" s="70"/>
      <c r="G4727" s="94"/>
      <c r="H4727" s="131"/>
      <c r="I4727" s="3"/>
    </row>
    <row r="4728" spans="1:9" s="93" customFormat="1" ht="9" customHeight="1" x14ac:dyDescent="0.3">
      <c r="A4728" s="91"/>
      <c r="B4728" s="70"/>
      <c r="C4728" s="70"/>
      <c r="D4728" s="70"/>
      <c r="E4728" s="70"/>
      <c r="F4728" s="70"/>
      <c r="G4728" s="94"/>
      <c r="H4728" s="131"/>
      <c r="I4728" s="3"/>
    </row>
    <row r="4729" spans="1:9" s="93" customFormat="1" ht="9" customHeight="1" x14ac:dyDescent="0.3">
      <c r="A4729" s="91"/>
      <c r="B4729" s="70"/>
      <c r="C4729" s="70"/>
      <c r="D4729" s="70"/>
      <c r="E4729" s="70"/>
      <c r="F4729" s="70"/>
      <c r="G4729" s="94"/>
      <c r="H4729" s="131"/>
      <c r="I4729" s="3"/>
    </row>
    <row r="4730" spans="1:9" s="93" customFormat="1" ht="9" customHeight="1" x14ac:dyDescent="0.3">
      <c r="A4730" s="91"/>
      <c r="B4730" s="70"/>
      <c r="C4730" s="70"/>
      <c r="D4730" s="70"/>
      <c r="E4730" s="70"/>
      <c r="F4730" s="70"/>
      <c r="G4730" s="94"/>
      <c r="H4730" s="131"/>
      <c r="I4730" s="3"/>
    </row>
    <row r="4731" spans="1:9" s="93" customFormat="1" ht="9" customHeight="1" x14ac:dyDescent="0.3">
      <c r="A4731" s="91"/>
      <c r="B4731" s="70"/>
      <c r="C4731" s="70"/>
      <c r="D4731" s="70"/>
      <c r="E4731" s="70"/>
      <c r="F4731" s="70"/>
      <c r="G4731" s="94"/>
      <c r="H4731" s="131"/>
      <c r="I4731" s="3"/>
    </row>
    <row r="4732" spans="1:9" s="93" customFormat="1" ht="9" customHeight="1" x14ac:dyDescent="0.3">
      <c r="A4732" s="91"/>
      <c r="B4732" s="70"/>
      <c r="C4732" s="70"/>
      <c r="D4732" s="70"/>
      <c r="E4732" s="70"/>
      <c r="F4732" s="70"/>
      <c r="G4732" s="94"/>
      <c r="H4732" s="131"/>
      <c r="I4732" s="3"/>
    </row>
    <row r="4733" spans="1:9" s="93" customFormat="1" ht="9" customHeight="1" x14ac:dyDescent="0.3">
      <c r="A4733" s="91"/>
      <c r="B4733" s="70"/>
      <c r="C4733" s="70"/>
      <c r="D4733" s="70"/>
      <c r="E4733" s="70"/>
      <c r="F4733" s="70"/>
      <c r="G4733" s="94"/>
      <c r="H4733" s="131"/>
      <c r="I4733" s="3"/>
    </row>
    <row r="4734" spans="1:9" s="93" customFormat="1" ht="9" customHeight="1" x14ac:dyDescent="0.3">
      <c r="A4734" s="91"/>
      <c r="B4734" s="70"/>
      <c r="C4734" s="70"/>
      <c r="D4734" s="70"/>
      <c r="E4734" s="70"/>
      <c r="F4734" s="70"/>
      <c r="G4734" s="94"/>
      <c r="H4734" s="131"/>
      <c r="I4734" s="3"/>
    </row>
    <row r="4735" spans="1:9" s="93" customFormat="1" ht="9" customHeight="1" x14ac:dyDescent="0.3">
      <c r="A4735" s="91"/>
      <c r="B4735" s="70"/>
      <c r="C4735" s="70"/>
      <c r="D4735" s="70"/>
      <c r="E4735" s="70"/>
      <c r="F4735" s="70"/>
      <c r="G4735" s="94"/>
      <c r="H4735" s="131"/>
      <c r="I4735" s="3"/>
    </row>
    <row r="4736" spans="1:9" s="93" customFormat="1" ht="9" customHeight="1" x14ac:dyDescent="0.3">
      <c r="A4736" s="91"/>
      <c r="B4736" s="70"/>
      <c r="C4736" s="70"/>
      <c r="D4736" s="70"/>
      <c r="E4736" s="70"/>
      <c r="F4736" s="70"/>
      <c r="G4736" s="94"/>
      <c r="H4736" s="131"/>
      <c r="I4736" s="3"/>
    </row>
    <row r="4737" spans="1:9" s="93" customFormat="1" ht="9" customHeight="1" x14ac:dyDescent="0.3">
      <c r="A4737" s="91"/>
      <c r="B4737" s="70"/>
      <c r="C4737" s="70"/>
      <c r="D4737" s="70"/>
      <c r="E4737" s="70"/>
      <c r="F4737" s="70"/>
      <c r="G4737" s="94"/>
      <c r="H4737" s="131"/>
      <c r="I4737" s="3"/>
    </row>
    <row r="4738" spans="1:9" s="93" customFormat="1" ht="9" customHeight="1" x14ac:dyDescent="0.3">
      <c r="A4738" s="91"/>
      <c r="B4738" s="70"/>
      <c r="C4738" s="70"/>
      <c r="D4738" s="70"/>
      <c r="E4738" s="70"/>
      <c r="F4738" s="70"/>
      <c r="G4738" s="94"/>
      <c r="H4738" s="131"/>
      <c r="I4738" s="3"/>
    </row>
    <row r="4739" spans="1:9" s="93" customFormat="1" ht="9" customHeight="1" x14ac:dyDescent="0.3">
      <c r="A4739" s="91"/>
      <c r="B4739" s="70"/>
      <c r="C4739" s="70"/>
      <c r="D4739" s="70"/>
      <c r="E4739" s="70"/>
      <c r="F4739" s="70"/>
      <c r="G4739" s="94"/>
      <c r="H4739" s="131"/>
      <c r="I4739" s="3"/>
    </row>
    <row r="4740" spans="1:9" s="93" customFormat="1" ht="9" customHeight="1" x14ac:dyDescent="0.3">
      <c r="A4740" s="91"/>
      <c r="B4740" s="70"/>
      <c r="C4740" s="70"/>
      <c r="D4740" s="70"/>
      <c r="E4740" s="70"/>
      <c r="F4740" s="70"/>
      <c r="G4740" s="94"/>
      <c r="H4740" s="131"/>
      <c r="I4740" s="3"/>
    </row>
    <row r="4741" spans="1:9" s="93" customFormat="1" ht="9" customHeight="1" x14ac:dyDescent="0.3">
      <c r="A4741" s="91"/>
      <c r="B4741" s="70"/>
      <c r="C4741" s="70"/>
      <c r="D4741" s="70"/>
      <c r="E4741" s="70"/>
      <c r="F4741" s="70"/>
      <c r="G4741" s="94"/>
      <c r="H4741" s="131"/>
      <c r="I4741" s="3"/>
    </row>
    <row r="4742" spans="1:9" s="93" customFormat="1" ht="9" customHeight="1" x14ac:dyDescent="0.3">
      <c r="A4742" s="91"/>
      <c r="B4742" s="70"/>
      <c r="C4742" s="70"/>
      <c r="D4742" s="70"/>
      <c r="E4742" s="70"/>
      <c r="F4742" s="70"/>
      <c r="G4742" s="94"/>
      <c r="H4742" s="131"/>
      <c r="I4742" s="3"/>
    </row>
    <row r="4743" spans="1:9" s="93" customFormat="1" ht="9" customHeight="1" x14ac:dyDescent="0.3">
      <c r="A4743" s="91"/>
      <c r="B4743" s="70"/>
      <c r="C4743" s="70"/>
      <c r="D4743" s="70"/>
      <c r="E4743" s="70"/>
      <c r="F4743" s="70"/>
      <c r="G4743" s="94"/>
      <c r="H4743" s="131"/>
      <c r="I4743" s="3"/>
    </row>
    <row r="4744" spans="1:9" s="93" customFormat="1" ht="9" customHeight="1" x14ac:dyDescent="0.3">
      <c r="A4744" s="91"/>
      <c r="B4744" s="70"/>
      <c r="C4744" s="70"/>
      <c r="D4744" s="70"/>
      <c r="E4744" s="70"/>
      <c r="F4744" s="70"/>
      <c r="G4744" s="94"/>
      <c r="H4744" s="131"/>
      <c r="I4744" s="3"/>
    </row>
    <row r="4745" spans="1:9" s="93" customFormat="1" ht="9" customHeight="1" x14ac:dyDescent="0.3">
      <c r="A4745" s="91"/>
      <c r="B4745" s="70"/>
      <c r="C4745" s="70"/>
      <c r="D4745" s="70"/>
      <c r="E4745" s="70"/>
      <c r="F4745" s="70"/>
      <c r="G4745" s="94"/>
      <c r="H4745" s="131"/>
      <c r="I4745" s="3"/>
    </row>
    <row r="4746" spans="1:9" s="93" customFormat="1" ht="9" customHeight="1" x14ac:dyDescent="0.3">
      <c r="A4746" s="91"/>
      <c r="B4746" s="70"/>
      <c r="C4746" s="70"/>
      <c r="D4746" s="70"/>
      <c r="E4746" s="70"/>
      <c r="F4746" s="70"/>
      <c r="G4746" s="94"/>
      <c r="H4746" s="131"/>
      <c r="I4746" s="3"/>
    </row>
    <row r="4747" spans="1:9" s="93" customFormat="1" ht="9" customHeight="1" x14ac:dyDescent="0.3">
      <c r="A4747" s="91"/>
      <c r="B4747" s="70"/>
      <c r="C4747" s="70"/>
      <c r="D4747" s="70"/>
      <c r="E4747" s="70"/>
      <c r="F4747" s="70"/>
      <c r="G4747" s="94"/>
      <c r="H4747" s="131"/>
      <c r="I4747" s="3"/>
    </row>
    <row r="4748" spans="1:9" s="93" customFormat="1" ht="9" customHeight="1" x14ac:dyDescent="0.3">
      <c r="A4748" s="91"/>
      <c r="B4748" s="70"/>
      <c r="C4748" s="70"/>
      <c r="D4748" s="70"/>
      <c r="E4748" s="70"/>
      <c r="F4748" s="70"/>
      <c r="G4748" s="94"/>
      <c r="H4748" s="131"/>
      <c r="I4748" s="3"/>
    </row>
    <row r="4749" spans="1:9" s="93" customFormat="1" ht="9" customHeight="1" x14ac:dyDescent="0.3">
      <c r="A4749" s="91"/>
      <c r="B4749" s="70"/>
      <c r="C4749" s="70"/>
      <c r="D4749" s="70"/>
      <c r="E4749" s="70"/>
      <c r="F4749" s="70"/>
      <c r="G4749" s="94"/>
      <c r="H4749" s="131"/>
      <c r="I4749" s="3"/>
    </row>
    <row r="4750" spans="1:9" s="93" customFormat="1" ht="9" customHeight="1" x14ac:dyDescent="0.3">
      <c r="A4750" s="91"/>
      <c r="B4750" s="70"/>
      <c r="C4750" s="70"/>
      <c r="D4750" s="70"/>
      <c r="E4750" s="70"/>
      <c r="F4750" s="70"/>
      <c r="G4750" s="94"/>
      <c r="H4750" s="131"/>
      <c r="I4750" s="3"/>
    </row>
    <row r="4751" spans="1:9" s="93" customFormat="1" ht="9" customHeight="1" x14ac:dyDescent="0.3">
      <c r="A4751" s="91"/>
      <c r="B4751" s="70"/>
      <c r="C4751" s="70"/>
      <c r="D4751" s="70"/>
      <c r="E4751" s="70"/>
      <c r="F4751" s="70"/>
      <c r="G4751" s="94"/>
      <c r="H4751" s="131"/>
      <c r="I4751" s="3"/>
    </row>
    <row r="4752" spans="1:9" s="93" customFormat="1" ht="9" customHeight="1" x14ac:dyDescent="0.3">
      <c r="A4752" s="91"/>
      <c r="B4752" s="70"/>
      <c r="C4752" s="70"/>
      <c r="D4752" s="70"/>
      <c r="E4752" s="70"/>
      <c r="F4752" s="70"/>
      <c r="G4752" s="94"/>
      <c r="H4752" s="131"/>
      <c r="I4752" s="3"/>
    </row>
    <row r="4753" spans="1:9" s="93" customFormat="1" ht="9" customHeight="1" x14ac:dyDescent="0.3">
      <c r="A4753" s="91"/>
      <c r="B4753" s="70"/>
      <c r="C4753" s="70"/>
      <c r="D4753" s="70"/>
      <c r="E4753" s="70"/>
      <c r="F4753" s="70"/>
      <c r="G4753" s="94"/>
      <c r="H4753" s="131"/>
      <c r="I4753" s="3"/>
    </row>
    <row r="4754" spans="1:9" s="93" customFormat="1" ht="9" customHeight="1" x14ac:dyDescent="0.3">
      <c r="A4754" s="91"/>
      <c r="B4754" s="70"/>
      <c r="C4754" s="70"/>
      <c r="D4754" s="70"/>
      <c r="E4754" s="70"/>
      <c r="F4754" s="70"/>
      <c r="G4754" s="94"/>
      <c r="H4754" s="131"/>
      <c r="I4754" s="3"/>
    </row>
    <row r="4755" spans="1:9" s="93" customFormat="1" ht="9" customHeight="1" x14ac:dyDescent="0.3">
      <c r="A4755" s="91"/>
      <c r="B4755" s="70"/>
      <c r="C4755" s="70"/>
      <c r="D4755" s="70"/>
      <c r="E4755" s="70"/>
      <c r="F4755" s="70"/>
      <c r="G4755" s="94"/>
      <c r="H4755" s="131"/>
      <c r="I4755" s="3"/>
    </row>
    <row r="4756" spans="1:9" s="93" customFormat="1" ht="9" customHeight="1" x14ac:dyDescent="0.3">
      <c r="A4756" s="91"/>
      <c r="B4756" s="70"/>
      <c r="C4756" s="70"/>
      <c r="D4756" s="70"/>
      <c r="E4756" s="70"/>
      <c r="F4756" s="70"/>
      <c r="G4756" s="94"/>
      <c r="H4756" s="131"/>
      <c r="I4756" s="3"/>
    </row>
    <row r="4757" spans="1:9" s="93" customFormat="1" ht="9" customHeight="1" x14ac:dyDescent="0.3">
      <c r="A4757" s="91"/>
      <c r="B4757" s="70"/>
      <c r="C4757" s="70"/>
      <c r="D4757" s="70"/>
      <c r="E4757" s="70"/>
      <c r="F4757" s="70"/>
      <c r="G4757" s="94"/>
      <c r="H4757" s="131"/>
      <c r="I4757" s="3"/>
    </row>
    <row r="4758" spans="1:9" s="93" customFormat="1" ht="9" customHeight="1" x14ac:dyDescent="0.3">
      <c r="A4758" s="91"/>
      <c r="B4758" s="70"/>
      <c r="C4758" s="70"/>
      <c r="D4758" s="70"/>
      <c r="E4758" s="70"/>
      <c r="F4758" s="70"/>
      <c r="G4758" s="94"/>
      <c r="H4758" s="131"/>
      <c r="I4758" s="3"/>
    </row>
    <row r="4759" spans="1:9" s="93" customFormat="1" ht="9" customHeight="1" x14ac:dyDescent="0.3">
      <c r="A4759" s="91"/>
      <c r="B4759" s="70"/>
      <c r="C4759" s="70"/>
      <c r="D4759" s="70"/>
      <c r="E4759" s="70"/>
      <c r="F4759" s="70"/>
      <c r="G4759" s="94"/>
      <c r="H4759" s="131"/>
      <c r="I4759" s="3"/>
    </row>
    <row r="4760" spans="1:9" s="93" customFormat="1" ht="9" customHeight="1" x14ac:dyDescent="0.3">
      <c r="A4760" s="91"/>
      <c r="B4760" s="70"/>
      <c r="C4760" s="70"/>
      <c r="D4760" s="70"/>
      <c r="E4760" s="70"/>
      <c r="F4760" s="70"/>
      <c r="G4760" s="94"/>
      <c r="H4760" s="131"/>
      <c r="I4760" s="3"/>
    </row>
    <row r="4761" spans="1:9" s="93" customFormat="1" ht="9" customHeight="1" x14ac:dyDescent="0.3">
      <c r="A4761" s="91"/>
      <c r="B4761" s="70"/>
      <c r="C4761" s="70"/>
      <c r="D4761" s="70"/>
      <c r="E4761" s="70"/>
      <c r="F4761" s="70"/>
      <c r="G4761" s="94"/>
      <c r="H4761" s="131"/>
      <c r="I4761" s="3"/>
    </row>
    <row r="4762" spans="1:9" s="93" customFormat="1" ht="9" customHeight="1" x14ac:dyDescent="0.3">
      <c r="A4762" s="91"/>
      <c r="B4762" s="70"/>
      <c r="C4762" s="70"/>
      <c r="D4762" s="70"/>
      <c r="E4762" s="70"/>
      <c r="F4762" s="70"/>
      <c r="G4762" s="94"/>
      <c r="H4762" s="131"/>
      <c r="I4762" s="3"/>
    </row>
    <row r="4763" spans="1:9" s="93" customFormat="1" ht="9" customHeight="1" x14ac:dyDescent="0.3">
      <c r="A4763" s="91"/>
      <c r="B4763" s="70"/>
      <c r="C4763" s="70"/>
      <c r="D4763" s="70"/>
      <c r="E4763" s="70"/>
      <c r="F4763" s="70"/>
      <c r="G4763" s="94"/>
      <c r="H4763" s="131"/>
      <c r="I4763" s="3"/>
    </row>
    <row r="4764" spans="1:9" s="93" customFormat="1" ht="9" customHeight="1" x14ac:dyDescent="0.3">
      <c r="A4764" s="91"/>
      <c r="B4764" s="70"/>
      <c r="C4764" s="70"/>
      <c r="D4764" s="70"/>
      <c r="E4764" s="70"/>
      <c r="F4764" s="70"/>
      <c r="G4764" s="94"/>
      <c r="H4764" s="131"/>
      <c r="I4764" s="3"/>
    </row>
    <row r="4765" spans="1:9" s="93" customFormat="1" ht="9" customHeight="1" x14ac:dyDescent="0.3">
      <c r="A4765" s="91"/>
      <c r="B4765" s="70"/>
      <c r="C4765" s="70"/>
      <c r="D4765" s="70"/>
      <c r="E4765" s="70"/>
      <c r="F4765" s="70"/>
      <c r="G4765" s="94"/>
      <c r="H4765" s="131"/>
      <c r="I4765" s="3"/>
    </row>
    <row r="4766" spans="1:9" s="93" customFormat="1" ht="9" customHeight="1" x14ac:dyDescent="0.3">
      <c r="A4766" s="91"/>
      <c r="B4766" s="70"/>
      <c r="C4766" s="70"/>
      <c r="D4766" s="70"/>
      <c r="E4766" s="70"/>
      <c r="F4766" s="70"/>
      <c r="G4766" s="94"/>
      <c r="H4766" s="131"/>
      <c r="I4766" s="3"/>
    </row>
    <row r="4767" spans="1:9" s="93" customFormat="1" ht="9" customHeight="1" x14ac:dyDescent="0.3">
      <c r="A4767" s="91"/>
      <c r="B4767" s="70"/>
      <c r="C4767" s="70"/>
      <c r="D4767" s="70"/>
      <c r="E4767" s="70"/>
      <c r="F4767" s="70"/>
      <c r="G4767" s="94"/>
      <c r="H4767" s="131"/>
      <c r="I4767" s="3"/>
    </row>
    <row r="4768" spans="1:9" s="93" customFormat="1" ht="9" customHeight="1" x14ac:dyDescent="0.3">
      <c r="A4768" s="91"/>
      <c r="B4768" s="70"/>
      <c r="C4768" s="70"/>
      <c r="D4768" s="70"/>
      <c r="E4768" s="70"/>
      <c r="F4768" s="70"/>
      <c r="G4768" s="94"/>
      <c r="H4768" s="131"/>
      <c r="I4768" s="3"/>
    </row>
    <row r="4769" spans="1:9" s="93" customFormat="1" ht="9" customHeight="1" x14ac:dyDescent="0.3">
      <c r="A4769" s="91"/>
      <c r="B4769" s="70"/>
      <c r="C4769" s="70"/>
      <c r="D4769" s="70"/>
      <c r="E4769" s="70"/>
      <c r="F4769" s="70"/>
      <c r="G4769" s="94"/>
      <c r="H4769" s="131"/>
      <c r="I4769" s="3"/>
    </row>
    <row r="4770" spans="1:9" s="93" customFormat="1" ht="9" customHeight="1" x14ac:dyDescent="0.3">
      <c r="A4770" s="91"/>
      <c r="B4770" s="70"/>
      <c r="C4770" s="70"/>
      <c r="D4770" s="70"/>
      <c r="E4770" s="70"/>
      <c r="F4770" s="70"/>
      <c r="G4770" s="94"/>
      <c r="H4770" s="131"/>
      <c r="I4770" s="3"/>
    </row>
    <row r="4771" spans="1:9" s="93" customFormat="1" ht="9" customHeight="1" x14ac:dyDescent="0.3">
      <c r="A4771" s="91"/>
      <c r="B4771" s="70"/>
      <c r="C4771" s="70"/>
      <c r="D4771" s="70"/>
      <c r="E4771" s="70"/>
      <c r="F4771" s="70"/>
      <c r="G4771" s="94"/>
      <c r="H4771" s="131"/>
      <c r="I4771" s="3"/>
    </row>
    <row r="4772" spans="1:9" s="93" customFormat="1" ht="9" customHeight="1" x14ac:dyDescent="0.3">
      <c r="A4772" s="91"/>
      <c r="B4772" s="70"/>
      <c r="C4772" s="70"/>
      <c r="D4772" s="70"/>
      <c r="E4772" s="70"/>
      <c r="F4772" s="70"/>
      <c r="G4772" s="94"/>
      <c r="H4772" s="131"/>
      <c r="I4772" s="3"/>
    </row>
    <row r="4773" spans="1:9" s="93" customFormat="1" ht="9" customHeight="1" x14ac:dyDescent="0.3">
      <c r="A4773" s="91"/>
      <c r="B4773" s="70"/>
      <c r="C4773" s="70"/>
      <c r="D4773" s="70"/>
      <c r="E4773" s="70"/>
      <c r="F4773" s="70"/>
      <c r="G4773" s="94"/>
      <c r="H4773" s="131"/>
      <c r="I4773" s="3"/>
    </row>
    <row r="4774" spans="1:9" s="93" customFormat="1" ht="9" customHeight="1" x14ac:dyDescent="0.3">
      <c r="A4774" s="91"/>
      <c r="B4774" s="70"/>
      <c r="C4774" s="70"/>
      <c r="D4774" s="70"/>
      <c r="E4774" s="70"/>
      <c r="F4774" s="70"/>
      <c r="G4774" s="94"/>
      <c r="H4774" s="131"/>
      <c r="I4774" s="3"/>
    </row>
    <row r="4775" spans="1:9" s="93" customFormat="1" ht="9" customHeight="1" x14ac:dyDescent="0.3">
      <c r="A4775" s="91"/>
      <c r="B4775" s="70"/>
      <c r="C4775" s="70"/>
      <c r="D4775" s="70"/>
      <c r="E4775" s="70"/>
      <c r="F4775" s="70"/>
      <c r="G4775" s="94"/>
      <c r="H4775" s="131"/>
      <c r="I4775" s="3"/>
    </row>
    <row r="4776" spans="1:9" s="93" customFormat="1" ht="9" customHeight="1" x14ac:dyDescent="0.3">
      <c r="A4776" s="91"/>
      <c r="B4776" s="70"/>
      <c r="C4776" s="70"/>
      <c r="D4776" s="70"/>
      <c r="E4776" s="70"/>
      <c r="F4776" s="70"/>
      <c r="G4776" s="94"/>
      <c r="H4776" s="131"/>
      <c r="I4776" s="3"/>
    </row>
    <row r="4777" spans="1:9" s="93" customFormat="1" ht="9" customHeight="1" x14ac:dyDescent="0.3">
      <c r="A4777" s="91"/>
      <c r="B4777" s="70"/>
      <c r="C4777" s="70"/>
      <c r="D4777" s="70"/>
      <c r="E4777" s="70"/>
      <c r="F4777" s="70"/>
      <c r="G4777" s="94"/>
      <c r="H4777" s="131"/>
      <c r="I4777" s="3"/>
    </row>
    <row r="4778" spans="1:9" s="93" customFormat="1" ht="9" customHeight="1" x14ac:dyDescent="0.3">
      <c r="A4778" s="91"/>
      <c r="B4778" s="70"/>
      <c r="C4778" s="70"/>
      <c r="D4778" s="70"/>
      <c r="E4778" s="70"/>
      <c r="F4778" s="70"/>
      <c r="G4778" s="94"/>
      <c r="H4778" s="131"/>
      <c r="I4778" s="3"/>
    </row>
    <row r="4779" spans="1:9" s="93" customFormat="1" ht="9" customHeight="1" x14ac:dyDescent="0.3">
      <c r="A4779" s="91"/>
      <c r="B4779" s="70"/>
      <c r="C4779" s="70"/>
      <c r="D4779" s="70"/>
      <c r="E4779" s="70"/>
      <c r="F4779" s="70"/>
      <c r="G4779" s="94"/>
      <c r="H4779" s="131"/>
      <c r="I4779" s="3"/>
    </row>
    <row r="4780" spans="1:9" s="93" customFormat="1" ht="9" customHeight="1" x14ac:dyDescent="0.3">
      <c r="A4780" s="91"/>
      <c r="B4780" s="70"/>
      <c r="C4780" s="70"/>
      <c r="D4780" s="70"/>
      <c r="E4780" s="70"/>
      <c r="F4780" s="70"/>
      <c r="G4780" s="94"/>
      <c r="H4780" s="131"/>
      <c r="I4780" s="3"/>
    </row>
    <row r="4781" spans="1:9" s="93" customFormat="1" ht="9" customHeight="1" x14ac:dyDescent="0.3">
      <c r="A4781" s="91"/>
      <c r="B4781" s="70"/>
      <c r="C4781" s="70"/>
      <c r="D4781" s="70"/>
      <c r="E4781" s="70"/>
      <c r="F4781" s="70"/>
      <c r="G4781" s="94"/>
      <c r="H4781" s="131"/>
      <c r="I4781" s="3"/>
    </row>
    <row r="4782" spans="1:9" s="93" customFormat="1" ht="9" customHeight="1" x14ac:dyDescent="0.3">
      <c r="A4782" s="91"/>
      <c r="B4782" s="70"/>
      <c r="C4782" s="70"/>
      <c r="D4782" s="70"/>
      <c r="E4782" s="70"/>
      <c r="F4782" s="70"/>
      <c r="G4782" s="94"/>
      <c r="H4782" s="131"/>
      <c r="I4782" s="3"/>
    </row>
    <row r="4783" spans="1:9" s="93" customFormat="1" ht="9" customHeight="1" x14ac:dyDescent="0.3">
      <c r="A4783" s="91"/>
      <c r="B4783" s="70"/>
      <c r="C4783" s="70"/>
      <c r="D4783" s="70"/>
      <c r="E4783" s="70"/>
      <c r="F4783" s="70"/>
      <c r="G4783" s="94"/>
      <c r="H4783" s="131"/>
      <c r="I4783" s="3"/>
    </row>
    <row r="4784" spans="1:9" s="93" customFormat="1" ht="9" customHeight="1" x14ac:dyDescent="0.3">
      <c r="A4784" s="91"/>
      <c r="B4784" s="70"/>
      <c r="C4784" s="70"/>
      <c r="D4784" s="70"/>
      <c r="E4784" s="70"/>
      <c r="F4784" s="70"/>
      <c r="G4784" s="94"/>
      <c r="H4784" s="131"/>
      <c r="I4784" s="3"/>
    </row>
    <row r="4785" spans="1:9" s="93" customFormat="1" ht="9" customHeight="1" x14ac:dyDescent="0.3">
      <c r="A4785" s="91"/>
      <c r="B4785" s="70"/>
      <c r="C4785" s="70"/>
      <c r="D4785" s="70"/>
      <c r="E4785" s="70"/>
      <c r="F4785" s="70"/>
      <c r="G4785" s="94"/>
      <c r="H4785" s="131"/>
      <c r="I4785" s="3"/>
    </row>
    <row r="4786" spans="1:9" s="93" customFormat="1" ht="9" customHeight="1" x14ac:dyDescent="0.3">
      <c r="A4786" s="91"/>
      <c r="B4786" s="70"/>
      <c r="C4786" s="70"/>
      <c r="D4786" s="70"/>
      <c r="E4786" s="70"/>
      <c r="F4786" s="70"/>
      <c r="G4786" s="94"/>
      <c r="H4786" s="131"/>
      <c r="I4786" s="3"/>
    </row>
    <row r="4787" spans="1:9" s="93" customFormat="1" ht="9" customHeight="1" x14ac:dyDescent="0.3">
      <c r="A4787" s="91"/>
      <c r="B4787" s="70"/>
      <c r="C4787" s="70"/>
      <c r="D4787" s="70"/>
      <c r="E4787" s="70"/>
      <c r="F4787" s="70"/>
      <c r="G4787" s="94"/>
      <c r="H4787" s="131"/>
      <c r="I4787" s="3"/>
    </row>
    <row r="4788" spans="1:9" s="93" customFormat="1" ht="9" customHeight="1" x14ac:dyDescent="0.3">
      <c r="A4788" s="91"/>
      <c r="B4788" s="70"/>
      <c r="C4788" s="70"/>
      <c r="D4788" s="70"/>
      <c r="E4788" s="70"/>
      <c r="F4788" s="70"/>
      <c r="G4788" s="94"/>
      <c r="H4788" s="131"/>
      <c r="I4788" s="3"/>
    </row>
    <row r="4789" spans="1:9" s="93" customFormat="1" ht="9" customHeight="1" x14ac:dyDescent="0.3">
      <c r="A4789" s="91"/>
      <c r="B4789" s="70"/>
      <c r="C4789" s="70"/>
      <c r="D4789" s="70"/>
      <c r="E4789" s="70"/>
      <c r="F4789" s="70"/>
      <c r="G4789" s="94"/>
      <c r="H4789" s="131"/>
      <c r="I4789" s="3"/>
    </row>
    <row r="4790" spans="1:9" s="93" customFormat="1" ht="9" customHeight="1" x14ac:dyDescent="0.3">
      <c r="A4790" s="91"/>
      <c r="B4790" s="70"/>
      <c r="C4790" s="70"/>
      <c r="D4790" s="70"/>
      <c r="E4790" s="70"/>
      <c r="F4790" s="70"/>
      <c r="G4790" s="94"/>
      <c r="H4790" s="131"/>
      <c r="I4790" s="3"/>
    </row>
    <row r="4791" spans="1:9" s="93" customFormat="1" ht="9" customHeight="1" x14ac:dyDescent="0.3">
      <c r="A4791" s="91"/>
      <c r="B4791" s="70"/>
      <c r="C4791" s="70"/>
      <c r="D4791" s="70"/>
      <c r="E4791" s="70"/>
      <c r="F4791" s="70"/>
      <c r="G4791" s="94"/>
      <c r="H4791" s="131"/>
      <c r="I4791" s="3"/>
    </row>
    <row r="4792" spans="1:9" s="93" customFormat="1" ht="9" customHeight="1" x14ac:dyDescent="0.3">
      <c r="A4792" s="91"/>
      <c r="B4792" s="70"/>
      <c r="C4792" s="70"/>
      <c r="D4792" s="70"/>
      <c r="E4792" s="70"/>
      <c r="F4792" s="70"/>
      <c r="G4792" s="94"/>
      <c r="H4792" s="131"/>
      <c r="I4792" s="3"/>
    </row>
    <row r="4793" spans="1:9" s="93" customFormat="1" ht="9" customHeight="1" x14ac:dyDescent="0.3">
      <c r="A4793" s="91"/>
      <c r="B4793" s="70"/>
      <c r="C4793" s="70"/>
      <c r="D4793" s="70"/>
      <c r="E4793" s="70"/>
      <c r="F4793" s="70"/>
      <c r="G4793" s="94"/>
      <c r="H4793" s="131"/>
      <c r="I4793" s="3"/>
    </row>
    <row r="4794" spans="1:9" s="93" customFormat="1" ht="9" customHeight="1" x14ac:dyDescent="0.3">
      <c r="A4794" s="91"/>
      <c r="B4794" s="70"/>
      <c r="C4794" s="70"/>
      <c r="D4794" s="70"/>
      <c r="E4794" s="70"/>
      <c r="F4794" s="70"/>
      <c r="G4794" s="94"/>
      <c r="H4794" s="131"/>
      <c r="I4794" s="3"/>
    </row>
    <row r="4795" spans="1:9" s="93" customFormat="1" ht="9" customHeight="1" x14ac:dyDescent="0.3">
      <c r="A4795" s="91"/>
      <c r="B4795" s="70"/>
      <c r="C4795" s="70"/>
      <c r="D4795" s="70"/>
      <c r="E4795" s="70"/>
      <c r="F4795" s="70"/>
      <c r="G4795" s="94"/>
      <c r="H4795" s="131"/>
      <c r="I4795" s="3"/>
    </row>
    <row r="4796" spans="1:9" s="93" customFormat="1" ht="9" customHeight="1" x14ac:dyDescent="0.3">
      <c r="A4796" s="91"/>
      <c r="B4796" s="70"/>
      <c r="C4796" s="70"/>
      <c r="D4796" s="70"/>
      <c r="E4796" s="70"/>
      <c r="F4796" s="70"/>
      <c r="G4796" s="94"/>
      <c r="H4796" s="131"/>
      <c r="I4796" s="3"/>
    </row>
    <row r="4797" spans="1:9" s="93" customFormat="1" ht="9" customHeight="1" x14ac:dyDescent="0.3">
      <c r="A4797" s="91"/>
      <c r="B4797" s="70"/>
      <c r="C4797" s="70"/>
      <c r="D4797" s="70"/>
      <c r="E4797" s="70"/>
      <c r="F4797" s="70"/>
      <c r="G4797" s="94"/>
      <c r="H4797" s="131"/>
      <c r="I4797" s="3"/>
    </row>
    <row r="4798" spans="1:9" s="93" customFormat="1" ht="9" customHeight="1" x14ac:dyDescent="0.3">
      <c r="A4798" s="91"/>
      <c r="B4798" s="70"/>
      <c r="C4798" s="70"/>
      <c r="D4798" s="70"/>
      <c r="E4798" s="70"/>
      <c r="F4798" s="70"/>
      <c r="G4798" s="94"/>
      <c r="H4798" s="131"/>
      <c r="I4798" s="3"/>
    </row>
    <row r="4799" spans="1:9" s="93" customFormat="1" ht="9" customHeight="1" x14ac:dyDescent="0.3">
      <c r="A4799" s="91"/>
      <c r="B4799" s="70"/>
      <c r="C4799" s="70"/>
      <c r="D4799" s="70"/>
      <c r="E4799" s="70"/>
      <c r="F4799" s="70"/>
      <c r="G4799" s="94"/>
      <c r="H4799" s="131"/>
      <c r="I4799" s="3"/>
    </row>
    <row r="4800" spans="1:9" s="93" customFormat="1" ht="9" customHeight="1" x14ac:dyDescent="0.3">
      <c r="A4800" s="91"/>
      <c r="B4800" s="70"/>
      <c r="C4800" s="70"/>
      <c r="D4800" s="70"/>
      <c r="E4800" s="70"/>
      <c r="F4800" s="70"/>
      <c r="G4800" s="94"/>
      <c r="H4800" s="131"/>
      <c r="I4800" s="3"/>
    </row>
    <row r="4801" spans="1:9" s="93" customFormat="1" ht="9" customHeight="1" x14ac:dyDescent="0.3">
      <c r="A4801" s="91"/>
      <c r="B4801" s="70"/>
      <c r="C4801" s="70"/>
      <c r="D4801" s="70"/>
      <c r="E4801" s="70"/>
      <c r="F4801" s="70"/>
      <c r="G4801" s="94"/>
      <c r="H4801" s="131"/>
      <c r="I4801" s="3"/>
    </row>
    <row r="4802" spans="1:9" s="93" customFormat="1" ht="9" customHeight="1" x14ac:dyDescent="0.3">
      <c r="A4802" s="91"/>
      <c r="B4802" s="70"/>
      <c r="C4802" s="70"/>
      <c r="D4802" s="70"/>
      <c r="E4802" s="70"/>
      <c r="F4802" s="70"/>
      <c r="G4802" s="94"/>
      <c r="H4802" s="131"/>
      <c r="I4802" s="3"/>
    </row>
    <row r="4803" spans="1:9" s="93" customFormat="1" ht="9" customHeight="1" x14ac:dyDescent="0.3">
      <c r="A4803" s="91"/>
      <c r="B4803" s="70"/>
      <c r="C4803" s="70"/>
      <c r="D4803" s="70"/>
      <c r="E4803" s="70"/>
      <c r="F4803" s="70"/>
      <c r="G4803" s="94"/>
      <c r="H4803" s="131"/>
      <c r="I4803" s="3"/>
    </row>
    <row r="4804" spans="1:9" s="93" customFormat="1" ht="9" customHeight="1" x14ac:dyDescent="0.3">
      <c r="A4804" s="91"/>
      <c r="B4804" s="70"/>
      <c r="C4804" s="70"/>
      <c r="D4804" s="70"/>
      <c r="E4804" s="70"/>
      <c r="F4804" s="70"/>
      <c r="G4804" s="94"/>
      <c r="H4804" s="131"/>
      <c r="I4804" s="3"/>
    </row>
    <row r="4805" spans="1:9" s="93" customFormat="1" ht="9" customHeight="1" x14ac:dyDescent="0.3">
      <c r="A4805" s="91"/>
      <c r="B4805" s="70"/>
      <c r="C4805" s="70"/>
      <c r="D4805" s="70"/>
      <c r="E4805" s="70"/>
      <c r="F4805" s="70"/>
      <c r="G4805" s="94"/>
      <c r="H4805" s="131"/>
      <c r="I4805" s="3"/>
    </row>
    <row r="4806" spans="1:9" s="93" customFormat="1" ht="9" customHeight="1" x14ac:dyDescent="0.3">
      <c r="A4806" s="91"/>
      <c r="B4806" s="70"/>
      <c r="C4806" s="70"/>
      <c r="D4806" s="70"/>
      <c r="E4806" s="70"/>
      <c r="F4806" s="70"/>
      <c r="G4806" s="94"/>
      <c r="H4806" s="131"/>
      <c r="I4806" s="3"/>
    </row>
    <row r="4807" spans="1:9" s="93" customFormat="1" ht="9" customHeight="1" x14ac:dyDescent="0.3">
      <c r="A4807" s="91"/>
      <c r="B4807" s="70"/>
      <c r="C4807" s="70"/>
      <c r="D4807" s="70"/>
      <c r="E4807" s="70"/>
      <c r="F4807" s="70"/>
      <c r="G4807" s="94"/>
      <c r="H4807" s="131"/>
      <c r="I4807" s="3"/>
    </row>
    <row r="4808" spans="1:9" s="93" customFormat="1" ht="9" customHeight="1" x14ac:dyDescent="0.3">
      <c r="A4808" s="91"/>
      <c r="B4808" s="70"/>
      <c r="C4808" s="70"/>
      <c r="D4808" s="70"/>
      <c r="E4808" s="70"/>
      <c r="F4808" s="70"/>
      <c r="G4808" s="94"/>
      <c r="H4808" s="131"/>
      <c r="I4808" s="3"/>
    </row>
    <row r="4809" spans="1:9" s="93" customFormat="1" ht="9" customHeight="1" x14ac:dyDescent="0.3">
      <c r="A4809" s="91"/>
      <c r="B4809" s="70"/>
      <c r="C4809" s="70"/>
      <c r="D4809" s="70"/>
      <c r="E4809" s="70"/>
      <c r="F4809" s="70"/>
      <c r="G4809" s="94"/>
      <c r="H4809" s="131"/>
      <c r="I4809" s="3"/>
    </row>
    <row r="4810" spans="1:9" s="93" customFormat="1" ht="9" customHeight="1" x14ac:dyDescent="0.3">
      <c r="A4810" s="91"/>
      <c r="B4810" s="70"/>
      <c r="C4810" s="70"/>
      <c r="D4810" s="70"/>
      <c r="E4810" s="70"/>
      <c r="F4810" s="70"/>
      <c r="G4810" s="94"/>
      <c r="H4810" s="131"/>
      <c r="I4810" s="3"/>
    </row>
    <row r="4811" spans="1:9" s="93" customFormat="1" ht="9" customHeight="1" x14ac:dyDescent="0.3">
      <c r="A4811" s="91"/>
      <c r="B4811" s="70"/>
      <c r="C4811" s="70"/>
      <c r="D4811" s="70"/>
      <c r="E4811" s="70"/>
      <c r="F4811" s="70"/>
      <c r="G4811" s="94"/>
      <c r="H4811" s="131"/>
      <c r="I4811" s="3"/>
    </row>
    <row r="4812" spans="1:9" s="93" customFormat="1" ht="9" customHeight="1" x14ac:dyDescent="0.3">
      <c r="A4812" s="91"/>
      <c r="B4812" s="70"/>
      <c r="C4812" s="70"/>
      <c r="D4812" s="70"/>
      <c r="E4812" s="70"/>
      <c r="F4812" s="70"/>
      <c r="G4812" s="94"/>
      <c r="H4812" s="131"/>
      <c r="I4812" s="3"/>
    </row>
    <row r="4813" spans="1:9" s="93" customFormat="1" ht="9" customHeight="1" x14ac:dyDescent="0.3">
      <c r="A4813" s="91"/>
      <c r="B4813" s="70"/>
      <c r="C4813" s="70"/>
      <c r="D4813" s="70"/>
      <c r="E4813" s="70"/>
      <c r="F4813" s="70"/>
      <c r="G4813" s="94"/>
      <c r="H4813" s="131"/>
      <c r="I4813" s="3"/>
    </row>
    <row r="4814" spans="1:9" s="93" customFormat="1" ht="9" customHeight="1" x14ac:dyDescent="0.3">
      <c r="A4814" s="91"/>
      <c r="B4814" s="70"/>
      <c r="C4814" s="70"/>
      <c r="D4814" s="70"/>
      <c r="E4814" s="70"/>
      <c r="F4814" s="70"/>
      <c r="G4814" s="94"/>
      <c r="H4814" s="131"/>
      <c r="I4814" s="3"/>
    </row>
    <row r="4815" spans="1:9" s="93" customFormat="1" ht="9" customHeight="1" x14ac:dyDescent="0.3">
      <c r="A4815" s="91"/>
      <c r="B4815" s="70"/>
      <c r="C4815" s="70"/>
      <c r="D4815" s="70"/>
      <c r="E4815" s="70"/>
      <c r="F4815" s="70"/>
      <c r="G4815" s="94"/>
      <c r="H4815" s="131"/>
      <c r="I4815" s="3"/>
    </row>
    <row r="4816" spans="1:9" s="93" customFormat="1" ht="9" customHeight="1" x14ac:dyDescent="0.3">
      <c r="A4816" s="91"/>
      <c r="B4816" s="70"/>
      <c r="C4816" s="70"/>
      <c r="D4816" s="70"/>
      <c r="E4816" s="70"/>
      <c r="F4816" s="70"/>
      <c r="G4816" s="94"/>
      <c r="H4816" s="131"/>
      <c r="I4816" s="3"/>
    </row>
    <row r="4817" spans="1:9" s="93" customFormat="1" ht="9" customHeight="1" x14ac:dyDescent="0.3">
      <c r="A4817" s="91"/>
      <c r="B4817" s="70"/>
      <c r="C4817" s="70"/>
      <c r="D4817" s="70"/>
      <c r="E4817" s="70"/>
      <c r="F4817" s="70"/>
      <c r="G4817" s="94"/>
      <c r="H4817" s="131"/>
      <c r="I4817" s="3"/>
    </row>
    <row r="4818" spans="1:9" s="93" customFormat="1" ht="9" customHeight="1" x14ac:dyDescent="0.3">
      <c r="A4818" s="91"/>
      <c r="B4818" s="70"/>
      <c r="C4818" s="70"/>
      <c r="D4818" s="70"/>
      <c r="E4818" s="70"/>
      <c r="F4818" s="70"/>
      <c r="G4818" s="94"/>
      <c r="H4818" s="131"/>
      <c r="I4818" s="3"/>
    </row>
    <row r="4819" spans="1:9" s="93" customFormat="1" ht="9" customHeight="1" x14ac:dyDescent="0.3">
      <c r="A4819" s="91"/>
      <c r="B4819" s="70"/>
      <c r="C4819" s="70"/>
      <c r="D4819" s="70"/>
      <c r="E4819" s="70"/>
      <c r="F4819" s="70"/>
      <c r="G4819" s="94"/>
      <c r="H4819" s="131"/>
      <c r="I4819" s="3"/>
    </row>
    <row r="4820" spans="1:9" s="93" customFormat="1" ht="9" customHeight="1" x14ac:dyDescent="0.3">
      <c r="A4820" s="91"/>
      <c r="B4820" s="70"/>
      <c r="C4820" s="70"/>
      <c r="D4820" s="70"/>
      <c r="E4820" s="70"/>
      <c r="F4820" s="70"/>
      <c r="G4820" s="94"/>
      <c r="H4820" s="131"/>
      <c r="I4820" s="3"/>
    </row>
    <row r="4821" spans="1:9" s="93" customFormat="1" ht="9" customHeight="1" x14ac:dyDescent="0.3">
      <c r="A4821" s="91"/>
      <c r="B4821" s="70"/>
      <c r="C4821" s="70"/>
      <c r="D4821" s="70"/>
      <c r="E4821" s="70"/>
      <c r="F4821" s="70"/>
      <c r="G4821" s="94"/>
      <c r="H4821" s="131"/>
      <c r="I4821" s="3"/>
    </row>
    <row r="4822" spans="1:9" s="93" customFormat="1" ht="9" customHeight="1" x14ac:dyDescent="0.3">
      <c r="A4822" s="91"/>
      <c r="B4822" s="70"/>
      <c r="C4822" s="70"/>
      <c r="D4822" s="70"/>
      <c r="E4822" s="70"/>
      <c r="F4822" s="70"/>
      <c r="G4822" s="94"/>
      <c r="H4822" s="131"/>
      <c r="I4822" s="3"/>
    </row>
    <row r="4823" spans="1:9" s="93" customFormat="1" ht="9" customHeight="1" x14ac:dyDescent="0.3">
      <c r="A4823" s="91"/>
      <c r="B4823" s="70"/>
      <c r="C4823" s="70"/>
      <c r="D4823" s="70"/>
      <c r="E4823" s="70"/>
      <c r="F4823" s="70"/>
      <c r="G4823" s="94"/>
      <c r="H4823" s="131"/>
      <c r="I4823" s="3"/>
    </row>
    <row r="4824" spans="1:9" s="93" customFormat="1" ht="9" customHeight="1" x14ac:dyDescent="0.3">
      <c r="A4824" s="91"/>
      <c r="B4824" s="70"/>
      <c r="C4824" s="70"/>
      <c r="D4824" s="70"/>
      <c r="E4824" s="70"/>
      <c r="F4824" s="70"/>
      <c r="G4824" s="94"/>
      <c r="H4824" s="131"/>
      <c r="I4824" s="3"/>
    </row>
    <row r="4825" spans="1:9" s="93" customFormat="1" ht="9" customHeight="1" x14ac:dyDescent="0.3">
      <c r="A4825" s="91"/>
      <c r="B4825" s="70"/>
      <c r="C4825" s="70"/>
      <c r="D4825" s="70"/>
      <c r="E4825" s="70"/>
      <c r="F4825" s="70"/>
      <c r="G4825" s="94"/>
      <c r="H4825" s="131"/>
      <c r="I4825" s="3"/>
    </row>
    <row r="4826" spans="1:9" s="93" customFormat="1" ht="9" customHeight="1" x14ac:dyDescent="0.3">
      <c r="A4826" s="91"/>
      <c r="B4826" s="70"/>
      <c r="C4826" s="70"/>
      <c r="D4826" s="70"/>
      <c r="E4826" s="70"/>
      <c r="F4826" s="70"/>
      <c r="G4826" s="94"/>
      <c r="H4826" s="131"/>
      <c r="I4826" s="3"/>
    </row>
    <row r="4827" spans="1:9" s="93" customFormat="1" ht="9" customHeight="1" x14ac:dyDescent="0.3">
      <c r="A4827" s="91"/>
      <c r="B4827" s="70"/>
      <c r="C4827" s="70"/>
      <c r="D4827" s="70"/>
      <c r="E4827" s="70"/>
      <c r="F4827" s="70"/>
      <c r="G4827" s="94"/>
      <c r="H4827" s="131"/>
      <c r="I4827" s="3"/>
    </row>
    <row r="4828" spans="1:9" s="93" customFormat="1" ht="9" customHeight="1" x14ac:dyDescent="0.3">
      <c r="A4828" s="91"/>
      <c r="B4828" s="70"/>
      <c r="C4828" s="70"/>
      <c r="D4828" s="70"/>
      <c r="E4828" s="70"/>
      <c r="F4828" s="70"/>
      <c r="G4828" s="94"/>
      <c r="H4828" s="131"/>
      <c r="I4828" s="3"/>
    </row>
    <row r="4829" spans="1:9" s="93" customFormat="1" ht="9" customHeight="1" x14ac:dyDescent="0.3">
      <c r="A4829" s="91"/>
      <c r="B4829" s="70"/>
      <c r="C4829" s="70"/>
      <c r="D4829" s="70"/>
      <c r="E4829" s="70"/>
      <c r="F4829" s="70"/>
      <c r="G4829" s="94"/>
      <c r="H4829" s="131"/>
      <c r="I4829" s="3"/>
    </row>
    <row r="4830" spans="1:9" s="93" customFormat="1" ht="9" customHeight="1" x14ac:dyDescent="0.3">
      <c r="A4830" s="91"/>
      <c r="B4830" s="70"/>
      <c r="C4830" s="70"/>
      <c r="D4830" s="70"/>
      <c r="E4830" s="70"/>
      <c r="F4830" s="70"/>
      <c r="G4830" s="94"/>
      <c r="H4830" s="131"/>
      <c r="I4830" s="3"/>
    </row>
    <row r="4831" spans="1:9" s="93" customFormat="1" ht="9" customHeight="1" x14ac:dyDescent="0.3">
      <c r="A4831" s="91"/>
      <c r="B4831" s="70"/>
      <c r="C4831" s="70"/>
      <c r="D4831" s="70"/>
      <c r="E4831" s="70"/>
      <c r="F4831" s="70"/>
      <c r="G4831" s="94"/>
      <c r="H4831" s="131"/>
      <c r="I4831" s="3"/>
    </row>
    <row r="4832" spans="1:9" s="93" customFormat="1" ht="9" customHeight="1" x14ac:dyDescent="0.3">
      <c r="A4832" s="91"/>
      <c r="B4832" s="70"/>
      <c r="C4832" s="70"/>
      <c r="D4832" s="70"/>
      <c r="E4832" s="70"/>
      <c r="F4832" s="70"/>
      <c r="G4832" s="94"/>
      <c r="H4832" s="131"/>
      <c r="I4832" s="3"/>
    </row>
    <row r="4833" spans="1:9" s="93" customFormat="1" ht="9" customHeight="1" x14ac:dyDescent="0.3">
      <c r="A4833" s="91"/>
      <c r="B4833" s="70"/>
      <c r="C4833" s="70"/>
      <c r="D4833" s="70"/>
      <c r="E4833" s="70"/>
      <c r="F4833" s="70"/>
      <c r="G4833" s="94"/>
      <c r="H4833" s="131"/>
      <c r="I4833" s="3"/>
    </row>
    <row r="4834" spans="1:9" s="93" customFormat="1" ht="9" customHeight="1" x14ac:dyDescent="0.3">
      <c r="A4834" s="91"/>
      <c r="B4834" s="70"/>
      <c r="C4834" s="70"/>
      <c r="D4834" s="70"/>
      <c r="E4834" s="70"/>
      <c r="F4834" s="70"/>
      <c r="G4834" s="94"/>
      <c r="H4834" s="131"/>
      <c r="I4834" s="3"/>
    </row>
    <row r="4835" spans="1:9" s="93" customFormat="1" ht="9" customHeight="1" x14ac:dyDescent="0.3">
      <c r="A4835" s="91"/>
      <c r="B4835" s="70"/>
      <c r="C4835" s="70"/>
      <c r="D4835" s="70"/>
      <c r="E4835" s="70"/>
      <c r="F4835" s="70"/>
      <c r="G4835" s="94"/>
      <c r="H4835" s="131"/>
      <c r="I4835" s="3"/>
    </row>
    <row r="4836" spans="1:9" s="93" customFormat="1" ht="9" customHeight="1" x14ac:dyDescent="0.3">
      <c r="A4836" s="91"/>
      <c r="B4836" s="70"/>
      <c r="C4836" s="70"/>
      <c r="D4836" s="70"/>
      <c r="E4836" s="70"/>
      <c r="F4836" s="70"/>
      <c r="G4836" s="94"/>
      <c r="H4836" s="131"/>
      <c r="I4836" s="3"/>
    </row>
    <row r="4837" spans="1:9" s="93" customFormat="1" ht="9" customHeight="1" x14ac:dyDescent="0.3">
      <c r="A4837" s="91"/>
      <c r="B4837" s="70"/>
      <c r="C4837" s="70"/>
      <c r="D4837" s="70"/>
      <c r="E4837" s="70"/>
      <c r="F4837" s="70"/>
      <c r="G4837" s="94"/>
      <c r="H4837" s="131"/>
      <c r="I4837" s="3"/>
    </row>
    <row r="4838" spans="1:9" s="93" customFormat="1" ht="9" customHeight="1" x14ac:dyDescent="0.3">
      <c r="A4838" s="91"/>
      <c r="B4838" s="70"/>
      <c r="C4838" s="70"/>
      <c r="D4838" s="70"/>
      <c r="E4838" s="70"/>
      <c r="F4838" s="70"/>
      <c r="G4838" s="94"/>
      <c r="H4838" s="131"/>
      <c r="I4838" s="3"/>
    </row>
    <row r="4839" spans="1:9" s="93" customFormat="1" ht="9" customHeight="1" x14ac:dyDescent="0.3">
      <c r="A4839" s="91"/>
      <c r="B4839" s="70"/>
      <c r="C4839" s="70"/>
      <c r="D4839" s="70"/>
      <c r="E4839" s="70"/>
      <c r="F4839" s="70"/>
      <c r="G4839" s="94"/>
      <c r="H4839" s="131"/>
      <c r="I4839" s="3"/>
    </row>
    <row r="4840" spans="1:9" s="93" customFormat="1" ht="9" customHeight="1" x14ac:dyDescent="0.3">
      <c r="A4840" s="91"/>
      <c r="B4840" s="70"/>
      <c r="C4840" s="70"/>
      <c r="D4840" s="70"/>
      <c r="E4840" s="70"/>
      <c r="F4840" s="70"/>
      <c r="G4840" s="94"/>
      <c r="H4840" s="131"/>
      <c r="I4840" s="3"/>
    </row>
    <row r="4841" spans="1:9" s="93" customFormat="1" ht="9" customHeight="1" x14ac:dyDescent="0.3">
      <c r="A4841" s="91"/>
      <c r="B4841" s="70"/>
      <c r="C4841" s="70"/>
      <c r="D4841" s="70"/>
      <c r="E4841" s="70"/>
      <c r="F4841" s="70"/>
      <c r="G4841" s="94"/>
      <c r="H4841" s="131"/>
      <c r="I4841" s="3"/>
    </row>
    <row r="4842" spans="1:9" s="93" customFormat="1" ht="9" customHeight="1" x14ac:dyDescent="0.3">
      <c r="A4842" s="91"/>
      <c r="B4842" s="70"/>
      <c r="C4842" s="70"/>
      <c r="D4842" s="70"/>
      <c r="E4842" s="70"/>
      <c r="F4842" s="70"/>
      <c r="G4842" s="94"/>
      <c r="H4842" s="131"/>
      <c r="I4842" s="3"/>
    </row>
    <row r="4843" spans="1:9" s="93" customFormat="1" ht="9" customHeight="1" x14ac:dyDescent="0.3">
      <c r="A4843" s="91"/>
      <c r="B4843" s="70"/>
      <c r="C4843" s="70"/>
      <c r="D4843" s="70"/>
      <c r="E4843" s="70"/>
      <c r="F4843" s="70"/>
      <c r="G4843" s="94"/>
      <c r="H4843" s="131"/>
      <c r="I4843" s="3"/>
    </row>
    <row r="4844" spans="1:9" s="93" customFormat="1" ht="9" customHeight="1" x14ac:dyDescent="0.3">
      <c r="A4844" s="91"/>
      <c r="B4844" s="70"/>
      <c r="C4844" s="70"/>
      <c r="D4844" s="70"/>
      <c r="E4844" s="70"/>
      <c r="F4844" s="70"/>
      <c r="G4844" s="94"/>
      <c r="H4844" s="131"/>
      <c r="I4844" s="3"/>
    </row>
    <row r="4845" spans="1:9" s="93" customFormat="1" ht="9" customHeight="1" x14ac:dyDescent="0.3">
      <c r="A4845" s="91"/>
      <c r="B4845" s="70"/>
      <c r="C4845" s="70"/>
      <c r="D4845" s="70"/>
      <c r="E4845" s="70"/>
      <c r="F4845" s="70"/>
      <c r="G4845" s="94"/>
      <c r="H4845" s="131"/>
      <c r="I4845" s="3"/>
    </row>
    <row r="4846" spans="1:9" s="93" customFormat="1" ht="9" customHeight="1" x14ac:dyDescent="0.3">
      <c r="A4846" s="91"/>
      <c r="B4846" s="70"/>
      <c r="C4846" s="70"/>
      <c r="D4846" s="70"/>
      <c r="E4846" s="70"/>
      <c r="F4846" s="70"/>
      <c r="G4846" s="94"/>
      <c r="H4846" s="131"/>
      <c r="I4846" s="3"/>
    </row>
    <row r="4847" spans="1:9" s="93" customFormat="1" ht="9" customHeight="1" x14ac:dyDescent="0.3">
      <c r="A4847" s="91"/>
      <c r="B4847" s="70"/>
      <c r="C4847" s="70"/>
      <c r="D4847" s="70"/>
      <c r="E4847" s="70"/>
      <c r="F4847" s="70"/>
      <c r="G4847" s="94"/>
      <c r="H4847" s="131"/>
      <c r="I4847" s="3"/>
    </row>
    <row r="4848" spans="1:9" s="93" customFormat="1" ht="9" customHeight="1" x14ac:dyDescent="0.3">
      <c r="A4848" s="91"/>
      <c r="B4848" s="70"/>
      <c r="C4848" s="70"/>
      <c r="D4848" s="70"/>
      <c r="E4848" s="70"/>
      <c r="F4848" s="70"/>
      <c r="G4848" s="94"/>
      <c r="H4848" s="131"/>
      <c r="I4848" s="3"/>
    </row>
    <row r="4849" spans="1:9" s="93" customFormat="1" ht="9" customHeight="1" x14ac:dyDescent="0.3">
      <c r="A4849" s="91"/>
      <c r="B4849" s="70"/>
      <c r="C4849" s="70"/>
      <c r="D4849" s="70"/>
      <c r="E4849" s="70"/>
      <c r="F4849" s="70"/>
      <c r="G4849" s="94"/>
      <c r="H4849" s="131"/>
      <c r="I4849" s="3"/>
    </row>
    <row r="4850" spans="1:9" s="93" customFormat="1" ht="9" customHeight="1" x14ac:dyDescent="0.3">
      <c r="A4850" s="91"/>
      <c r="B4850" s="70"/>
      <c r="C4850" s="70"/>
      <c r="D4850" s="70"/>
      <c r="E4850" s="70"/>
      <c r="F4850" s="70"/>
      <c r="G4850" s="94"/>
      <c r="H4850" s="131"/>
      <c r="I4850" s="3"/>
    </row>
    <row r="4851" spans="1:9" s="93" customFormat="1" ht="9" customHeight="1" x14ac:dyDescent="0.3">
      <c r="A4851" s="91"/>
      <c r="B4851" s="70"/>
      <c r="C4851" s="70"/>
      <c r="D4851" s="70"/>
      <c r="E4851" s="70"/>
      <c r="F4851" s="70"/>
      <c r="G4851" s="94"/>
      <c r="H4851" s="131"/>
      <c r="I4851" s="3"/>
    </row>
    <row r="4852" spans="1:9" s="93" customFormat="1" ht="9" customHeight="1" x14ac:dyDescent="0.3">
      <c r="A4852" s="91"/>
      <c r="B4852" s="70"/>
      <c r="C4852" s="70"/>
      <c r="D4852" s="70"/>
      <c r="E4852" s="70"/>
      <c r="F4852" s="70"/>
      <c r="G4852" s="94"/>
      <c r="H4852" s="131"/>
      <c r="I4852" s="3"/>
    </row>
    <row r="4853" spans="1:9" s="93" customFormat="1" ht="9" customHeight="1" x14ac:dyDescent="0.3">
      <c r="A4853" s="91"/>
      <c r="B4853" s="70"/>
      <c r="C4853" s="70"/>
      <c r="D4853" s="70"/>
      <c r="E4853" s="70"/>
      <c r="F4853" s="70"/>
      <c r="G4853" s="94"/>
      <c r="H4853" s="131"/>
      <c r="I4853" s="3"/>
    </row>
    <row r="4854" spans="1:9" s="93" customFormat="1" ht="9" customHeight="1" x14ac:dyDescent="0.3">
      <c r="A4854" s="91"/>
      <c r="B4854" s="70"/>
      <c r="C4854" s="70"/>
      <c r="D4854" s="70"/>
      <c r="E4854" s="70"/>
      <c r="F4854" s="70"/>
      <c r="G4854" s="94"/>
      <c r="H4854" s="131"/>
      <c r="I4854" s="3"/>
    </row>
    <row r="4855" spans="1:9" s="93" customFormat="1" ht="9" customHeight="1" x14ac:dyDescent="0.3">
      <c r="A4855" s="91"/>
      <c r="B4855" s="70"/>
      <c r="C4855" s="70"/>
      <c r="D4855" s="70"/>
      <c r="E4855" s="70"/>
      <c r="F4855" s="70"/>
      <c r="G4855" s="94"/>
      <c r="H4855" s="131"/>
      <c r="I4855" s="3"/>
    </row>
    <row r="4856" spans="1:9" s="93" customFormat="1" ht="9" customHeight="1" x14ac:dyDescent="0.3">
      <c r="A4856" s="91"/>
      <c r="B4856" s="70"/>
      <c r="C4856" s="70"/>
      <c r="D4856" s="70"/>
      <c r="E4856" s="70"/>
      <c r="F4856" s="70"/>
      <c r="G4856" s="94"/>
      <c r="H4856" s="131"/>
      <c r="I4856" s="3"/>
    </row>
    <row r="4857" spans="1:9" s="93" customFormat="1" ht="9" customHeight="1" x14ac:dyDescent="0.3">
      <c r="A4857" s="91"/>
      <c r="B4857" s="70"/>
      <c r="C4857" s="70"/>
      <c r="D4857" s="70"/>
      <c r="E4857" s="70"/>
      <c r="F4857" s="70"/>
      <c r="G4857" s="94"/>
      <c r="H4857" s="131"/>
      <c r="I4857" s="3"/>
    </row>
    <row r="4858" spans="1:9" s="93" customFormat="1" ht="9" customHeight="1" x14ac:dyDescent="0.3">
      <c r="A4858" s="91"/>
      <c r="B4858" s="70"/>
      <c r="C4858" s="70"/>
      <c r="D4858" s="70"/>
      <c r="E4858" s="70"/>
      <c r="F4858" s="70"/>
      <c r="G4858" s="94"/>
      <c r="H4858" s="131"/>
      <c r="I4858" s="3"/>
    </row>
    <row r="4859" spans="1:9" s="93" customFormat="1" ht="9" customHeight="1" x14ac:dyDescent="0.3">
      <c r="A4859" s="91"/>
      <c r="B4859" s="70"/>
      <c r="C4859" s="70"/>
      <c r="D4859" s="70"/>
      <c r="E4859" s="70"/>
      <c r="F4859" s="70"/>
      <c r="G4859" s="94"/>
      <c r="H4859" s="131"/>
      <c r="I4859" s="3"/>
    </row>
    <row r="4860" spans="1:9" s="93" customFormat="1" ht="9" customHeight="1" x14ac:dyDescent="0.3">
      <c r="A4860" s="91"/>
      <c r="B4860" s="70"/>
      <c r="C4860" s="70"/>
      <c r="D4860" s="70"/>
      <c r="E4860" s="70"/>
      <c r="F4860" s="70"/>
      <c r="G4860" s="94"/>
      <c r="H4860" s="131"/>
      <c r="I4860" s="3"/>
    </row>
    <row r="4861" spans="1:9" s="93" customFormat="1" ht="9" customHeight="1" x14ac:dyDescent="0.3">
      <c r="A4861" s="91"/>
      <c r="B4861" s="70"/>
      <c r="C4861" s="70"/>
      <c r="D4861" s="70"/>
      <c r="E4861" s="70"/>
      <c r="F4861" s="70"/>
      <c r="G4861" s="94"/>
      <c r="H4861" s="131"/>
      <c r="I4861" s="3"/>
    </row>
    <row r="4862" spans="1:9" s="93" customFormat="1" ht="9" customHeight="1" x14ac:dyDescent="0.3">
      <c r="A4862" s="91"/>
      <c r="B4862" s="70"/>
      <c r="C4862" s="70"/>
      <c r="D4862" s="70"/>
      <c r="E4862" s="70"/>
      <c r="F4862" s="70"/>
      <c r="G4862" s="94"/>
      <c r="H4862" s="131"/>
      <c r="I4862" s="3"/>
    </row>
    <row r="4863" spans="1:9" s="93" customFormat="1" ht="9" customHeight="1" x14ac:dyDescent="0.3">
      <c r="A4863" s="91"/>
      <c r="B4863" s="70"/>
      <c r="C4863" s="70"/>
      <c r="D4863" s="70"/>
      <c r="E4863" s="70"/>
      <c r="F4863" s="70"/>
      <c r="G4863" s="94"/>
      <c r="H4863" s="131"/>
      <c r="I4863" s="3"/>
    </row>
    <row r="4864" spans="1:9" s="93" customFormat="1" ht="9" customHeight="1" x14ac:dyDescent="0.3">
      <c r="A4864" s="91"/>
      <c r="B4864" s="70"/>
      <c r="C4864" s="70"/>
      <c r="D4864" s="70"/>
      <c r="E4864" s="70"/>
      <c r="F4864" s="70"/>
      <c r="G4864" s="94"/>
      <c r="H4864" s="131"/>
      <c r="I4864" s="3"/>
    </row>
    <row r="4865" spans="1:9" s="93" customFormat="1" ht="9" customHeight="1" x14ac:dyDescent="0.3">
      <c r="A4865" s="91"/>
      <c r="B4865" s="70"/>
      <c r="C4865" s="70"/>
      <c r="D4865" s="70"/>
      <c r="E4865" s="70"/>
      <c r="F4865" s="70"/>
      <c r="G4865" s="94"/>
      <c r="H4865" s="131"/>
      <c r="I4865" s="3"/>
    </row>
    <row r="4866" spans="1:9" s="93" customFormat="1" ht="9" customHeight="1" x14ac:dyDescent="0.3">
      <c r="A4866" s="91"/>
      <c r="B4866" s="70"/>
      <c r="C4866" s="70"/>
      <c r="D4866" s="70"/>
      <c r="E4866" s="70"/>
      <c r="F4866" s="70"/>
      <c r="G4866" s="94"/>
      <c r="H4866" s="131"/>
      <c r="I4866" s="3"/>
    </row>
    <row r="4867" spans="1:9" s="93" customFormat="1" ht="9" customHeight="1" x14ac:dyDescent="0.3">
      <c r="A4867" s="91"/>
      <c r="B4867" s="70"/>
      <c r="C4867" s="70"/>
      <c r="D4867" s="70"/>
      <c r="E4867" s="70"/>
      <c r="F4867" s="70"/>
      <c r="G4867" s="94"/>
      <c r="H4867" s="131"/>
      <c r="I4867" s="3"/>
    </row>
    <row r="4868" spans="1:9" s="93" customFormat="1" ht="9" customHeight="1" x14ac:dyDescent="0.3">
      <c r="A4868" s="91"/>
      <c r="B4868" s="70"/>
      <c r="C4868" s="70"/>
      <c r="D4868" s="70"/>
      <c r="E4868" s="70"/>
      <c r="F4868" s="70"/>
      <c r="G4868" s="94"/>
      <c r="H4868" s="131"/>
      <c r="I4868" s="3"/>
    </row>
    <row r="4869" spans="1:9" s="93" customFormat="1" ht="9" customHeight="1" x14ac:dyDescent="0.3">
      <c r="A4869" s="91"/>
      <c r="B4869" s="70"/>
      <c r="C4869" s="70"/>
      <c r="D4869" s="70"/>
      <c r="E4869" s="70"/>
      <c r="F4869" s="70"/>
      <c r="G4869" s="94"/>
      <c r="H4869" s="131"/>
      <c r="I4869" s="3"/>
    </row>
    <row r="4870" spans="1:9" s="93" customFormat="1" ht="9" customHeight="1" x14ac:dyDescent="0.3">
      <c r="A4870" s="91"/>
      <c r="B4870" s="70"/>
      <c r="C4870" s="70"/>
      <c r="D4870" s="70"/>
      <c r="E4870" s="70"/>
      <c r="F4870" s="70"/>
      <c r="G4870" s="94"/>
      <c r="H4870" s="131"/>
      <c r="I4870" s="3"/>
    </row>
    <row r="4871" spans="1:9" s="93" customFormat="1" ht="9" customHeight="1" x14ac:dyDescent="0.3">
      <c r="A4871" s="91"/>
      <c r="B4871" s="70"/>
      <c r="C4871" s="70"/>
      <c r="D4871" s="70"/>
      <c r="E4871" s="70"/>
      <c r="F4871" s="70"/>
      <c r="G4871" s="94"/>
      <c r="H4871" s="131"/>
      <c r="I4871" s="3"/>
    </row>
    <row r="4872" spans="1:9" s="93" customFormat="1" ht="9" customHeight="1" x14ac:dyDescent="0.3">
      <c r="A4872" s="91"/>
      <c r="B4872" s="70"/>
      <c r="C4872" s="70"/>
      <c r="D4872" s="70"/>
      <c r="E4872" s="70"/>
      <c r="F4872" s="70"/>
      <c r="G4872" s="94"/>
      <c r="H4872" s="131"/>
      <c r="I4872" s="3"/>
    </row>
    <row r="4873" spans="1:9" s="93" customFormat="1" ht="9" customHeight="1" x14ac:dyDescent="0.3">
      <c r="A4873" s="91"/>
      <c r="B4873" s="70"/>
      <c r="C4873" s="70"/>
      <c r="D4873" s="70"/>
      <c r="E4873" s="70"/>
      <c r="F4873" s="70"/>
      <c r="G4873" s="94"/>
      <c r="H4873" s="131"/>
      <c r="I4873" s="3"/>
    </row>
    <row r="4874" spans="1:9" s="93" customFormat="1" ht="9" customHeight="1" x14ac:dyDescent="0.3">
      <c r="A4874" s="91"/>
      <c r="B4874" s="70"/>
      <c r="C4874" s="70"/>
      <c r="D4874" s="70"/>
      <c r="E4874" s="70"/>
      <c r="F4874" s="70"/>
      <c r="G4874" s="94"/>
      <c r="H4874" s="131"/>
      <c r="I4874" s="3"/>
    </row>
    <row r="4875" spans="1:9" s="93" customFormat="1" ht="9" customHeight="1" x14ac:dyDescent="0.3">
      <c r="A4875" s="91"/>
      <c r="B4875" s="70"/>
      <c r="C4875" s="70"/>
      <c r="D4875" s="70"/>
      <c r="E4875" s="70"/>
      <c r="F4875" s="70"/>
      <c r="G4875" s="94"/>
      <c r="H4875" s="131"/>
      <c r="I4875" s="3"/>
    </row>
    <row r="4876" spans="1:9" s="93" customFormat="1" ht="9" customHeight="1" x14ac:dyDescent="0.3">
      <c r="A4876" s="91"/>
      <c r="B4876" s="70"/>
      <c r="C4876" s="70"/>
      <c r="D4876" s="70"/>
      <c r="E4876" s="70"/>
      <c r="F4876" s="70"/>
      <c r="G4876" s="94"/>
      <c r="H4876" s="131"/>
      <c r="I4876" s="3"/>
    </row>
    <row r="4877" spans="1:9" s="93" customFormat="1" ht="9" customHeight="1" x14ac:dyDescent="0.3">
      <c r="A4877" s="91"/>
      <c r="B4877" s="70"/>
      <c r="C4877" s="70"/>
      <c r="D4877" s="70"/>
      <c r="E4877" s="70"/>
      <c r="F4877" s="70"/>
      <c r="G4877" s="94"/>
      <c r="H4877" s="131"/>
      <c r="I4877" s="3"/>
    </row>
    <row r="4878" spans="1:9" s="93" customFormat="1" ht="9" customHeight="1" x14ac:dyDescent="0.3">
      <c r="A4878" s="91"/>
      <c r="B4878" s="70"/>
      <c r="C4878" s="70"/>
      <c r="D4878" s="70"/>
      <c r="E4878" s="70"/>
      <c r="F4878" s="70"/>
      <c r="G4878" s="94"/>
      <c r="H4878" s="131"/>
      <c r="I4878" s="3"/>
    </row>
    <row r="4879" spans="1:9" s="93" customFormat="1" ht="9" customHeight="1" x14ac:dyDescent="0.3">
      <c r="A4879" s="91"/>
      <c r="B4879" s="70"/>
      <c r="C4879" s="70"/>
      <c r="D4879" s="70"/>
      <c r="E4879" s="70"/>
      <c r="F4879" s="70"/>
      <c r="G4879" s="94"/>
      <c r="H4879" s="131"/>
      <c r="I4879" s="3"/>
    </row>
    <row r="4880" spans="1:9" s="93" customFormat="1" ht="9" customHeight="1" x14ac:dyDescent="0.3">
      <c r="A4880" s="91"/>
      <c r="B4880" s="70"/>
      <c r="C4880" s="70"/>
      <c r="D4880" s="70"/>
      <c r="E4880" s="70"/>
      <c r="F4880" s="70"/>
      <c r="G4880" s="94"/>
      <c r="H4880" s="131"/>
      <c r="I4880" s="3"/>
    </row>
    <row r="4881" spans="1:9" s="93" customFormat="1" ht="9" customHeight="1" x14ac:dyDescent="0.3">
      <c r="A4881" s="91"/>
      <c r="B4881" s="70"/>
      <c r="C4881" s="70"/>
      <c r="D4881" s="70"/>
      <c r="E4881" s="70"/>
      <c r="F4881" s="70"/>
      <c r="G4881" s="94"/>
      <c r="H4881" s="131"/>
      <c r="I4881" s="3"/>
    </row>
    <row r="4882" spans="1:9" s="93" customFormat="1" ht="9" customHeight="1" x14ac:dyDescent="0.3">
      <c r="A4882" s="91"/>
      <c r="B4882" s="70"/>
      <c r="C4882" s="70"/>
      <c r="D4882" s="70"/>
      <c r="E4882" s="70"/>
      <c r="F4882" s="70"/>
      <c r="G4882" s="94"/>
      <c r="H4882" s="131"/>
      <c r="I4882" s="3"/>
    </row>
    <row r="4883" spans="1:9" s="93" customFormat="1" ht="9" customHeight="1" x14ac:dyDescent="0.3">
      <c r="A4883" s="91"/>
      <c r="B4883" s="70"/>
      <c r="C4883" s="70"/>
      <c r="D4883" s="70"/>
      <c r="E4883" s="70"/>
      <c r="F4883" s="70"/>
      <c r="G4883" s="94"/>
      <c r="H4883" s="131"/>
      <c r="I4883" s="3"/>
    </row>
    <row r="4884" spans="1:9" s="93" customFormat="1" ht="9" customHeight="1" x14ac:dyDescent="0.3">
      <c r="A4884" s="91"/>
      <c r="B4884" s="70"/>
      <c r="C4884" s="70"/>
      <c r="D4884" s="70"/>
      <c r="E4884" s="70"/>
      <c r="F4884" s="70"/>
      <c r="G4884" s="94"/>
      <c r="H4884" s="131"/>
      <c r="I4884" s="3"/>
    </row>
    <row r="4885" spans="1:9" s="93" customFormat="1" ht="9" customHeight="1" x14ac:dyDescent="0.3">
      <c r="A4885" s="91"/>
      <c r="B4885" s="70"/>
      <c r="C4885" s="70"/>
      <c r="D4885" s="70"/>
      <c r="E4885" s="70"/>
      <c r="F4885" s="70"/>
      <c r="G4885" s="94"/>
      <c r="H4885" s="131"/>
      <c r="I4885" s="3"/>
    </row>
    <row r="4886" spans="1:9" s="93" customFormat="1" ht="9" customHeight="1" x14ac:dyDescent="0.3">
      <c r="A4886" s="91"/>
      <c r="B4886" s="70"/>
      <c r="C4886" s="70"/>
      <c r="D4886" s="70"/>
      <c r="E4886" s="70"/>
      <c r="F4886" s="70"/>
      <c r="G4886" s="94"/>
      <c r="H4886" s="131"/>
      <c r="I4886" s="3"/>
    </row>
    <row r="4887" spans="1:9" s="93" customFormat="1" ht="9" customHeight="1" x14ac:dyDescent="0.3">
      <c r="A4887" s="91"/>
      <c r="B4887" s="70"/>
      <c r="C4887" s="70"/>
      <c r="D4887" s="70"/>
      <c r="E4887" s="70"/>
      <c r="F4887" s="70"/>
      <c r="G4887" s="94"/>
      <c r="H4887" s="131"/>
      <c r="I4887" s="3"/>
    </row>
    <row r="4888" spans="1:9" s="93" customFormat="1" ht="9" customHeight="1" x14ac:dyDescent="0.3">
      <c r="A4888" s="91"/>
      <c r="B4888" s="70"/>
      <c r="C4888" s="70"/>
      <c r="D4888" s="70"/>
      <c r="E4888" s="70"/>
      <c r="F4888" s="70"/>
      <c r="G4888" s="94"/>
      <c r="H4888" s="131"/>
      <c r="I4888" s="3"/>
    </row>
    <row r="4889" spans="1:9" s="93" customFormat="1" ht="9" customHeight="1" x14ac:dyDescent="0.3">
      <c r="A4889" s="91"/>
      <c r="B4889" s="70"/>
      <c r="C4889" s="70"/>
      <c r="D4889" s="70"/>
      <c r="E4889" s="70"/>
      <c r="F4889" s="70"/>
      <c r="G4889" s="94"/>
      <c r="H4889" s="131"/>
      <c r="I4889" s="3"/>
    </row>
    <row r="4890" spans="1:9" s="93" customFormat="1" ht="9" customHeight="1" x14ac:dyDescent="0.3">
      <c r="A4890" s="91"/>
      <c r="B4890" s="70"/>
      <c r="C4890" s="70"/>
      <c r="D4890" s="70"/>
      <c r="E4890" s="70"/>
      <c r="F4890" s="70"/>
      <c r="G4890" s="94"/>
      <c r="H4890" s="131"/>
      <c r="I4890" s="3"/>
    </row>
    <row r="4891" spans="1:9" s="93" customFormat="1" ht="9" customHeight="1" x14ac:dyDescent="0.3">
      <c r="A4891" s="91"/>
      <c r="B4891" s="70"/>
      <c r="C4891" s="70"/>
      <c r="D4891" s="70"/>
      <c r="E4891" s="70"/>
      <c r="F4891" s="70"/>
      <c r="G4891" s="94"/>
      <c r="H4891" s="131"/>
      <c r="I4891" s="3"/>
    </row>
    <row r="4892" spans="1:9" s="93" customFormat="1" ht="9" customHeight="1" x14ac:dyDescent="0.3">
      <c r="A4892" s="91"/>
      <c r="B4892" s="70"/>
      <c r="C4892" s="70"/>
      <c r="D4892" s="70"/>
      <c r="E4892" s="70"/>
      <c r="F4892" s="70"/>
      <c r="G4892" s="94"/>
      <c r="H4892" s="131"/>
      <c r="I4892" s="3"/>
    </row>
    <row r="4893" spans="1:9" s="93" customFormat="1" ht="9" customHeight="1" x14ac:dyDescent="0.3">
      <c r="A4893" s="91"/>
      <c r="B4893" s="70"/>
      <c r="C4893" s="70"/>
      <c r="D4893" s="70"/>
      <c r="E4893" s="70"/>
      <c r="F4893" s="70"/>
      <c r="G4893" s="94"/>
      <c r="H4893" s="131"/>
      <c r="I4893" s="3"/>
    </row>
    <row r="4894" spans="1:9" s="93" customFormat="1" ht="9" customHeight="1" x14ac:dyDescent="0.3">
      <c r="A4894" s="91"/>
      <c r="B4894" s="70"/>
      <c r="C4894" s="70"/>
      <c r="D4894" s="70"/>
      <c r="E4894" s="70"/>
      <c r="F4894" s="70"/>
      <c r="G4894" s="94"/>
      <c r="H4894" s="131"/>
      <c r="I4894" s="3"/>
    </row>
    <row r="4895" spans="1:9" s="93" customFormat="1" ht="9" customHeight="1" x14ac:dyDescent="0.3">
      <c r="A4895" s="91"/>
      <c r="B4895" s="70"/>
      <c r="C4895" s="70"/>
      <c r="D4895" s="70"/>
      <c r="E4895" s="70"/>
      <c r="F4895" s="70"/>
      <c r="G4895" s="94"/>
      <c r="H4895" s="131"/>
      <c r="I4895" s="3"/>
    </row>
    <row r="4896" spans="1:9" s="93" customFormat="1" ht="9" customHeight="1" x14ac:dyDescent="0.3">
      <c r="A4896" s="91"/>
      <c r="B4896" s="70"/>
      <c r="C4896" s="70"/>
      <c r="D4896" s="70"/>
      <c r="E4896" s="70"/>
      <c r="F4896" s="70"/>
      <c r="G4896" s="94"/>
      <c r="H4896" s="131"/>
      <c r="I4896" s="3"/>
    </row>
    <row r="4897" spans="1:9" s="93" customFormat="1" ht="9" customHeight="1" x14ac:dyDescent="0.3">
      <c r="A4897" s="91"/>
      <c r="B4897" s="70"/>
      <c r="C4897" s="70"/>
      <c r="D4897" s="70"/>
      <c r="E4897" s="70"/>
      <c r="F4897" s="70"/>
      <c r="G4897" s="94"/>
      <c r="H4897" s="131"/>
      <c r="I4897" s="3"/>
    </row>
    <row r="4898" spans="1:9" s="93" customFormat="1" ht="9" customHeight="1" x14ac:dyDescent="0.3">
      <c r="A4898" s="91"/>
      <c r="B4898" s="70"/>
      <c r="C4898" s="70"/>
      <c r="D4898" s="70"/>
      <c r="E4898" s="70"/>
      <c r="F4898" s="70"/>
      <c r="G4898" s="94"/>
      <c r="H4898" s="131"/>
      <c r="I4898" s="3"/>
    </row>
    <row r="4899" spans="1:9" s="93" customFormat="1" ht="9" customHeight="1" x14ac:dyDescent="0.3">
      <c r="A4899" s="91"/>
      <c r="B4899" s="70"/>
      <c r="C4899" s="70"/>
      <c r="D4899" s="70"/>
      <c r="E4899" s="70"/>
      <c r="F4899" s="70"/>
      <c r="G4899" s="94"/>
      <c r="H4899" s="131"/>
      <c r="I4899" s="3"/>
    </row>
    <row r="4900" spans="1:9" s="93" customFormat="1" ht="9" customHeight="1" x14ac:dyDescent="0.3">
      <c r="A4900" s="91"/>
      <c r="B4900" s="70"/>
      <c r="C4900" s="70"/>
      <c r="D4900" s="70"/>
      <c r="E4900" s="70"/>
      <c r="F4900" s="70"/>
      <c r="G4900" s="94"/>
      <c r="H4900" s="131"/>
      <c r="I4900" s="3"/>
    </row>
    <row r="4901" spans="1:9" s="93" customFormat="1" ht="9" customHeight="1" x14ac:dyDescent="0.3">
      <c r="A4901" s="91"/>
      <c r="B4901" s="70"/>
      <c r="C4901" s="70"/>
      <c r="D4901" s="70"/>
      <c r="E4901" s="70"/>
      <c r="F4901" s="70"/>
      <c r="G4901" s="94"/>
      <c r="H4901" s="131"/>
      <c r="I4901" s="3"/>
    </row>
    <row r="4902" spans="1:9" s="93" customFormat="1" ht="9" customHeight="1" x14ac:dyDescent="0.3">
      <c r="A4902" s="91"/>
      <c r="B4902" s="70"/>
      <c r="C4902" s="70"/>
      <c r="D4902" s="70"/>
      <c r="E4902" s="70"/>
      <c r="F4902" s="70"/>
      <c r="G4902" s="94"/>
      <c r="H4902" s="131"/>
      <c r="I4902" s="3"/>
    </row>
    <row r="4903" spans="1:9" s="93" customFormat="1" ht="9" customHeight="1" x14ac:dyDescent="0.3">
      <c r="A4903" s="91"/>
      <c r="B4903" s="70"/>
      <c r="C4903" s="70"/>
      <c r="D4903" s="70"/>
      <c r="E4903" s="70"/>
      <c r="F4903" s="70"/>
      <c r="G4903" s="94"/>
      <c r="H4903" s="131"/>
      <c r="I4903" s="3"/>
    </row>
    <row r="4904" spans="1:9" s="93" customFormat="1" ht="9" customHeight="1" x14ac:dyDescent="0.3">
      <c r="A4904" s="91"/>
      <c r="B4904" s="70"/>
      <c r="C4904" s="70"/>
      <c r="D4904" s="70"/>
      <c r="E4904" s="70"/>
      <c r="F4904" s="70"/>
      <c r="G4904" s="94"/>
      <c r="H4904" s="131"/>
      <c r="I4904" s="3"/>
    </row>
    <row r="4905" spans="1:9" s="93" customFormat="1" ht="9" customHeight="1" x14ac:dyDescent="0.3">
      <c r="A4905" s="91"/>
      <c r="B4905" s="70"/>
      <c r="C4905" s="70"/>
      <c r="D4905" s="70"/>
      <c r="E4905" s="70"/>
      <c r="F4905" s="70"/>
      <c r="G4905" s="94"/>
      <c r="H4905" s="131"/>
      <c r="I4905" s="3"/>
    </row>
    <row r="4906" spans="1:9" s="93" customFormat="1" ht="9" customHeight="1" x14ac:dyDescent="0.3">
      <c r="A4906" s="91"/>
      <c r="B4906" s="70"/>
      <c r="C4906" s="70"/>
      <c r="D4906" s="70"/>
      <c r="E4906" s="70"/>
      <c r="F4906" s="70"/>
      <c r="G4906" s="94"/>
      <c r="H4906" s="131"/>
      <c r="I4906" s="3"/>
    </row>
    <row r="4907" spans="1:9" s="93" customFormat="1" ht="9" customHeight="1" x14ac:dyDescent="0.3">
      <c r="A4907" s="91"/>
      <c r="B4907" s="70"/>
      <c r="C4907" s="70"/>
      <c r="D4907" s="70"/>
      <c r="E4907" s="70"/>
      <c r="F4907" s="70"/>
      <c r="G4907" s="94"/>
      <c r="H4907" s="131"/>
      <c r="I4907" s="3"/>
    </row>
    <row r="4908" spans="1:9" s="93" customFormat="1" ht="9" customHeight="1" x14ac:dyDescent="0.3">
      <c r="A4908" s="91"/>
      <c r="B4908" s="70"/>
      <c r="C4908" s="70"/>
      <c r="D4908" s="70"/>
      <c r="E4908" s="70"/>
      <c r="F4908" s="70"/>
      <c r="G4908" s="94"/>
      <c r="H4908" s="131"/>
      <c r="I4908" s="3"/>
    </row>
    <row r="4909" spans="1:9" s="93" customFormat="1" ht="9" customHeight="1" x14ac:dyDescent="0.3">
      <c r="A4909" s="91"/>
      <c r="B4909" s="70"/>
      <c r="C4909" s="70"/>
      <c r="D4909" s="70"/>
      <c r="E4909" s="70"/>
      <c r="F4909" s="70"/>
      <c r="G4909" s="94"/>
      <c r="H4909" s="131"/>
      <c r="I4909" s="3"/>
    </row>
    <row r="4910" spans="1:9" s="93" customFormat="1" ht="9" customHeight="1" x14ac:dyDescent="0.3">
      <c r="A4910" s="91"/>
      <c r="B4910" s="70"/>
      <c r="C4910" s="70"/>
      <c r="D4910" s="70"/>
      <c r="E4910" s="70"/>
      <c r="F4910" s="70"/>
      <c r="G4910" s="94"/>
      <c r="H4910" s="131"/>
      <c r="I4910" s="3"/>
    </row>
    <row r="4911" spans="1:9" s="93" customFormat="1" ht="9" customHeight="1" x14ac:dyDescent="0.3">
      <c r="A4911" s="91"/>
      <c r="B4911" s="70"/>
      <c r="C4911" s="70"/>
      <c r="D4911" s="70"/>
      <c r="E4911" s="70"/>
      <c r="F4911" s="70"/>
      <c r="G4911" s="94"/>
      <c r="H4911" s="131"/>
      <c r="I4911" s="3"/>
    </row>
    <row r="4912" spans="1:9" s="93" customFormat="1" ht="9" customHeight="1" x14ac:dyDescent="0.3">
      <c r="A4912" s="91"/>
      <c r="B4912" s="70"/>
      <c r="C4912" s="70"/>
      <c r="D4912" s="70"/>
      <c r="E4912" s="70"/>
      <c r="F4912" s="70"/>
      <c r="G4912" s="94"/>
      <c r="H4912" s="131"/>
      <c r="I4912" s="3"/>
    </row>
    <row r="4913" spans="1:9" s="93" customFormat="1" ht="9" customHeight="1" x14ac:dyDescent="0.3">
      <c r="A4913" s="91"/>
      <c r="B4913" s="70"/>
      <c r="C4913" s="70"/>
      <c r="D4913" s="70"/>
      <c r="E4913" s="70"/>
      <c r="F4913" s="70"/>
      <c r="G4913" s="94"/>
      <c r="H4913" s="131"/>
      <c r="I4913" s="3"/>
    </row>
    <row r="4914" spans="1:9" s="93" customFormat="1" ht="9" customHeight="1" x14ac:dyDescent="0.3">
      <c r="A4914" s="91"/>
      <c r="B4914" s="70"/>
      <c r="C4914" s="70"/>
      <c r="D4914" s="70"/>
      <c r="E4914" s="70"/>
      <c r="F4914" s="70"/>
      <c r="G4914" s="94"/>
      <c r="H4914" s="131"/>
      <c r="I4914" s="3"/>
    </row>
    <row r="4915" spans="1:9" s="93" customFormat="1" ht="9" customHeight="1" x14ac:dyDescent="0.3">
      <c r="A4915" s="91"/>
      <c r="B4915" s="70"/>
      <c r="C4915" s="70"/>
      <c r="D4915" s="70"/>
      <c r="E4915" s="70"/>
      <c r="F4915" s="70"/>
      <c r="G4915" s="94"/>
      <c r="H4915" s="131"/>
      <c r="I4915" s="3"/>
    </row>
    <row r="4916" spans="1:9" s="93" customFormat="1" ht="9" customHeight="1" x14ac:dyDescent="0.3">
      <c r="A4916" s="91"/>
      <c r="B4916" s="70"/>
      <c r="C4916" s="70"/>
      <c r="D4916" s="70"/>
      <c r="E4916" s="70"/>
      <c r="F4916" s="70"/>
      <c r="G4916" s="94"/>
      <c r="H4916" s="131"/>
      <c r="I4916" s="3"/>
    </row>
    <row r="4917" spans="1:9" s="93" customFormat="1" ht="9" customHeight="1" x14ac:dyDescent="0.3">
      <c r="A4917" s="91"/>
      <c r="B4917" s="70"/>
      <c r="C4917" s="70"/>
      <c r="D4917" s="70"/>
      <c r="E4917" s="70"/>
      <c r="F4917" s="70"/>
      <c r="G4917" s="94"/>
      <c r="H4917" s="131"/>
      <c r="I4917" s="3"/>
    </row>
    <row r="4918" spans="1:9" s="93" customFormat="1" ht="9" customHeight="1" x14ac:dyDescent="0.3">
      <c r="A4918" s="91"/>
      <c r="B4918" s="70"/>
      <c r="C4918" s="70"/>
      <c r="D4918" s="70"/>
      <c r="E4918" s="70"/>
      <c r="F4918" s="70"/>
      <c r="G4918" s="94"/>
      <c r="H4918" s="131"/>
      <c r="I4918" s="3"/>
    </row>
    <row r="4919" spans="1:9" s="93" customFormat="1" ht="9" customHeight="1" x14ac:dyDescent="0.3">
      <c r="A4919" s="91"/>
      <c r="B4919" s="70"/>
      <c r="C4919" s="70"/>
      <c r="D4919" s="70"/>
      <c r="E4919" s="70"/>
      <c r="F4919" s="70"/>
      <c r="G4919" s="94"/>
      <c r="H4919" s="131"/>
      <c r="I4919" s="3"/>
    </row>
    <row r="4920" spans="1:9" s="93" customFormat="1" ht="9" customHeight="1" x14ac:dyDescent="0.3">
      <c r="A4920" s="91"/>
      <c r="B4920" s="70"/>
      <c r="C4920" s="70"/>
      <c r="D4920" s="70"/>
      <c r="E4920" s="70"/>
      <c r="F4920" s="70"/>
      <c r="G4920" s="94"/>
      <c r="H4920" s="131"/>
      <c r="I4920" s="3"/>
    </row>
    <row r="4921" spans="1:9" s="93" customFormat="1" ht="9" customHeight="1" x14ac:dyDescent="0.3">
      <c r="A4921" s="91"/>
      <c r="B4921" s="70"/>
      <c r="C4921" s="70"/>
      <c r="D4921" s="70"/>
      <c r="E4921" s="70"/>
      <c r="F4921" s="70"/>
      <c r="G4921" s="94"/>
      <c r="H4921" s="131"/>
      <c r="I4921" s="3"/>
    </row>
    <row r="4922" spans="1:9" s="93" customFormat="1" ht="9" customHeight="1" x14ac:dyDescent="0.3">
      <c r="A4922" s="91"/>
      <c r="B4922" s="70"/>
      <c r="C4922" s="70"/>
      <c r="D4922" s="70"/>
      <c r="E4922" s="70"/>
      <c r="F4922" s="70"/>
      <c r="G4922" s="94"/>
      <c r="H4922" s="131"/>
      <c r="I4922" s="3"/>
    </row>
    <row r="4923" spans="1:9" s="93" customFormat="1" ht="9" customHeight="1" x14ac:dyDescent="0.3">
      <c r="A4923" s="91"/>
      <c r="B4923" s="70"/>
      <c r="C4923" s="70"/>
      <c r="D4923" s="70"/>
      <c r="E4923" s="70"/>
      <c r="F4923" s="70"/>
      <c r="G4923" s="94"/>
      <c r="H4923" s="131"/>
      <c r="I4923" s="3"/>
    </row>
    <row r="4924" spans="1:9" s="93" customFormat="1" ht="9" customHeight="1" x14ac:dyDescent="0.3">
      <c r="A4924" s="91"/>
      <c r="B4924" s="70"/>
      <c r="C4924" s="70"/>
      <c r="D4924" s="70"/>
      <c r="E4924" s="70"/>
      <c r="F4924" s="70"/>
      <c r="G4924" s="94"/>
      <c r="H4924" s="131"/>
      <c r="I4924" s="3"/>
    </row>
    <row r="4925" spans="1:9" s="93" customFormat="1" ht="9" customHeight="1" x14ac:dyDescent="0.3">
      <c r="A4925" s="91"/>
      <c r="B4925" s="70"/>
      <c r="C4925" s="70"/>
      <c r="D4925" s="70"/>
      <c r="E4925" s="70"/>
      <c r="F4925" s="70"/>
      <c r="G4925" s="94"/>
      <c r="H4925" s="131"/>
      <c r="I4925" s="3"/>
    </row>
    <row r="4926" spans="1:9" s="93" customFormat="1" ht="9" customHeight="1" x14ac:dyDescent="0.3">
      <c r="A4926" s="91"/>
      <c r="B4926" s="70"/>
      <c r="C4926" s="70"/>
      <c r="D4926" s="70"/>
      <c r="E4926" s="70"/>
      <c r="F4926" s="70"/>
      <c r="G4926" s="94"/>
      <c r="H4926" s="131"/>
      <c r="I4926" s="3"/>
    </row>
    <row r="4927" spans="1:9" s="93" customFormat="1" ht="9" customHeight="1" x14ac:dyDescent="0.3">
      <c r="A4927" s="91"/>
      <c r="B4927" s="70"/>
      <c r="C4927" s="70"/>
      <c r="D4927" s="70"/>
      <c r="E4927" s="70"/>
      <c r="F4927" s="70"/>
      <c r="G4927" s="94"/>
      <c r="H4927" s="131"/>
      <c r="I4927" s="3"/>
    </row>
    <row r="4928" spans="1:9" s="93" customFormat="1" ht="9" customHeight="1" x14ac:dyDescent="0.3">
      <c r="A4928" s="91"/>
      <c r="B4928" s="70"/>
      <c r="C4928" s="70"/>
      <c r="D4928" s="70"/>
      <c r="E4928" s="70"/>
      <c r="F4928" s="70"/>
      <c r="G4928" s="94"/>
      <c r="H4928" s="131"/>
      <c r="I4928" s="3"/>
    </row>
    <row r="4929" spans="1:9" s="93" customFormat="1" ht="9" customHeight="1" x14ac:dyDescent="0.3">
      <c r="A4929" s="91"/>
      <c r="B4929" s="70"/>
      <c r="C4929" s="70"/>
      <c r="D4929" s="70"/>
      <c r="E4929" s="70"/>
      <c r="F4929" s="70"/>
      <c r="G4929" s="94"/>
      <c r="H4929" s="131"/>
      <c r="I4929" s="3"/>
    </row>
    <row r="4930" spans="1:9" s="93" customFormat="1" ht="9" customHeight="1" x14ac:dyDescent="0.3">
      <c r="A4930" s="91"/>
      <c r="B4930" s="70"/>
      <c r="C4930" s="70"/>
      <c r="D4930" s="70"/>
      <c r="E4930" s="70"/>
      <c r="F4930" s="70"/>
      <c r="G4930" s="94"/>
      <c r="H4930" s="131"/>
      <c r="I4930" s="3"/>
    </row>
    <row r="4931" spans="1:9" s="93" customFormat="1" ht="9" customHeight="1" x14ac:dyDescent="0.3">
      <c r="A4931" s="91"/>
      <c r="B4931" s="70"/>
      <c r="C4931" s="70"/>
      <c r="D4931" s="70"/>
      <c r="E4931" s="70"/>
      <c r="F4931" s="70"/>
      <c r="G4931" s="94"/>
      <c r="H4931" s="131"/>
      <c r="I4931" s="3"/>
    </row>
    <row r="4932" spans="1:9" s="93" customFormat="1" ht="9" customHeight="1" x14ac:dyDescent="0.3">
      <c r="A4932" s="91"/>
      <c r="B4932" s="70"/>
      <c r="C4932" s="70"/>
      <c r="D4932" s="70"/>
      <c r="E4932" s="70"/>
      <c r="F4932" s="70"/>
      <c r="G4932" s="94"/>
      <c r="H4932" s="131"/>
      <c r="I4932" s="3"/>
    </row>
    <row r="4933" spans="1:9" s="93" customFormat="1" ht="9" customHeight="1" x14ac:dyDescent="0.3">
      <c r="A4933" s="91"/>
      <c r="B4933" s="70"/>
      <c r="C4933" s="70"/>
      <c r="D4933" s="70"/>
      <c r="E4933" s="70"/>
      <c r="F4933" s="70"/>
      <c r="G4933" s="94"/>
      <c r="H4933" s="131"/>
      <c r="I4933" s="3"/>
    </row>
    <row r="4934" spans="1:9" s="93" customFormat="1" ht="9" customHeight="1" x14ac:dyDescent="0.3">
      <c r="A4934" s="91"/>
      <c r="B4934" s="70"/>
      <c r="C4934" s="70"/>
      <c r="D4934" s="70"/>
      <c r="E4934" s="70"/>
      <c r="F4934" s="70"/>
      <c r="G4934" s="94"/>
      <c r="H4934" s="131"/>
      <c r="I4934" s="3"/>
    </row>
    <row r="4935" spans="1:9" s="93" customFormat="1" ht="9" customHeight="1" x14ac:dyDescent="0.3">
      <c r="A4935" s="91"/>
      <c r="B4935" s="70"/>
      <c r="C4935" s="70"/>
      <c r="D4935" s="70"/>
      <c r="E4935" s="70"/>
      <c r="F4935" s="70"/>
      <c r="G4935" s="94"/>
      <c r="H4935" s="131"/>
      <c r="I4935" s="3"/>
    </row>
    <row r="4936" spans="1:9" s="93" customFormat="1" ht="9" customHeight="1" x14ac:dyDescent="0.3">
      <c r="A4936" s="91"/>
      <c r="B4936" s="70"/>
      <c r="C4936" s="70"/>
      <c r="D4936" s="70"/>
      <c r="E4936" s="70"/>
      <c r="F4936" s="70"/>
      <c r="G4936" s="94"/>
      <c r="H4936" s="131"/>
      <c r="I4936" s="3"/>
    </row>
    <row r="4937" spans="1:9" s="93" customFormat="1" ht="9" customHeight="1" x14ac:dyDescent="0.3">
      <c r="A4937" s="91"/>
      <c r="B4937" s="70"/>
      <c r="C4937" s="70"/>
      <c r="D4937" s="70"/>
      <c r="E4937" s="70"/>
      <c r="F4937" s="70"/>
      <c r="G4937" s="94"/>
      <c r="H4937" s="131"/>
      <c r="I4937" s="3"/>
    </row>
    <row r="4938" spans="1:9" s="93" customFormat="1" ht="9" customHeight="1" x14ac:dyDescent="0.3">
      <c r="A4938" s="91"/>
      <c r="B4938" s="70"/>
      <c r="C4938" s="70"/>
      <c r="D4938" s="70"/>
      <c r="E4938" s="70"/>
      <c r="F4938" s="70"/>
      <c r="G4938" s="94"/>
      <c r="H4938" s="131"/>
      <c r="I4938" s="3"/>
    </row>
    <row r="4939" spans="1:9" s="93" customFormat="1" ht="9" customHeight="1" x14ac:dyDescent="0.3">
      <c r="A4939" s="91"/>
      <c r="B4939" s="70"/>
      <c r="C4939" s="70"/>
      <c r="D4939" s="70"/>
      <c r="E4939" s="70"/>
      <c r="F4939" s="70"/>
      <c r="G4939" s="94"/>
      <c r="H4939" s="131"/>
      <c r="I4939" s="3"/>
    </row>
    <row r="4940" spans="1:9" s="93" customFormat="1" ht="9" customHeight="1" x14ac:dyDescent="0.3">
      <c r="A4940" s="91"/>
      <c r="B4940" s="70"/>
      <c r="C4940" s="70"/>
      <c r="D4940" s="70"/>
      <c r="E4940" s="70"/>
      <c r="F4940" s="70"/>
      <c r="G4940" s="94"/>
      <c r="H4940" s="131"/>
      <c r="I4940" s="3"/>
    </row>
    <row r="4941" spans="1:9" s="93" customFormat="1" ht="9" customHeight="1" x14ac:dyDescent="0.3">
      <c r="A4941" s="91"/>
      <c r="B4941" s="70"/>
      <c r="C4941" s="70"/>
      <c r="D4941" s="70"/>
      <c r="E4941" s="70"/>
      <c r="F4941" s="70"/>
      <c r="G4941" s="94"/>
      <c r="H4941" s="131"/>
      <c r="I4941" s="3"/>
    </row>
    <row r="4942" spans="1:9" s="93" customFormat="1" ht="9" customHeight="1" x14ac:dyDescent="0.3">
      <c r="A4942" s="91"/>
      <c r="B4942" s="70"/>
      <c r="C4942" s="70"/>
      <c r="D4942" s="70"/>
      <c r="E4942" s="70"/>
      <c r="F4942" s="70"/>
      <c r="G4942" s="94"/>
      <c r="H4942" s="131"/>
      <c r="I4942" s="3"/>
    </row>
    <row r="4943" spans="1:9" s="93" customFormat="1" ht="9" customHeight="1" x14ac:dyDescent="0.3">
      <c r="A4943" s="91"/>
      <c r="B4943" s="70"/>
      <c r="C4943" s="70"/>
      <c r="D4943" s="70"/>
      <c r="E4943" s="70"/>
      <c r="F4943" s="70"/>
      <c r="G4943" s="94"/>
      <c r="H4943" s="131"/>
      <c r="I4943" s="3"/>
    </row>
    <row r="4944" spans="1:9" s="93" customFormat="1" ht="9" customHeight="1" x14ac:dyDescent="0.3">
      <c r="A4944" s="91"/>
      <c r="B4944" s="70"/>
      <c r="C4944" s="70"/>
      <c r="D4944" s="70"/>
      <c r="E4944" s="70"/>
      <c r="F4944" s="70"/>
      <c r="G4944" s="94"/>
      <c r="H4944" s="131"/>
      <c r="I4944" s="3"/>
    </row>
    <row r="4945" spans="1:9" s="93" customFormat="1" ht="9" customHeight="1" x14ac:dyDescent="0.3">
      <c r="A4945" s="91"/>
      <c r="B4945" s="70"/>
      <c r="C4945" s="70"/>
      <c r="D4945" s="70"/>
      <c r="E4945" s="70"/>
      <c r="F4945" s="70"/>
      <c r="G4945" s="94"/>
      <c r="H4945" s="131"/>
      <c r="I4945" s="3"/>
    </row>
    <row r="4946" spans="1:9" s="93" customFormat="1" ht="9" customHeight="1" x14ac:dyDescent="0.3">
      <c r="A4946" s="91"/>
      <c r="B4946" s="70"/>
      <c r="C4946" s="70"/>
      <c r="D4946" s="70"/>
      <c r="E4946" s="70"/>
      <c r="F4946" s="70"/>
      <c r="G4946" s="94"/>
      <c r="H4946" s="131"/>
      <c r="I4946" s="3"/>
    </row>
    <row r="4947" spans="1:9" s="93" customFormat="1" ht="9" customHeight="1" x14ac:dyDescent="0.3">
      <c r="A4947" s="91"/>
      <c r="B4947" s="70"/>
      <c r="C4947" s="70"/>
      <c r="D4947" s="70"/>
      <c r="E4947" s="70"/>
      <c r="F4947" s="70"/>
      <c r="G4947" s="94"/>
      <c r="H4947" s="131"/>
      <c r="I4947" s="3"/>
    </row>
    <row r="4948" spans="1:9" s="93" customFormat="1" ht="9" customHeight="1" x14ac:dyDescent="0.3">
      <c r="A4948" s="91"/>
      <c r="B4948" s="70"/>
      <c r="C4948" s="70"/>
      <c r="D4948" s="70"/>
      <c r="E4948" s="70"/>
      <c r="F4948" s="70"/>
      <c r="G4948" s="94"/>
      <c r="H4948" s="131"/>
      <c r="I4948" s="3"/>
    </row>
    <row r="4949" spans="1:9" s="93" customFormat="1" ht="9" customHeight="1" x14ac:dyDescent="0.3">
      <c r="A4949" s="91"/>
      <c r="B4949" s="70"/>
      <c r="C4949" s="70"/>
      <c r="D4949" s="70"/>
      <c r="E4949" s="70"/>
      <c r="F4949" s="70"/>
      <c r="G4949" s="94"/>
      <c r="H4949" s="131"/>
      <c r="I4949" s="3"/>
    </row>
    <row r="4950" spans="1:9" s="93" customFormat="1" ht="9" customHeight="1" x14ac:dyDescent="0.3">
      <c r="A4950" s="91"/>
      <c r="B4950" s="70"/>
      <c r="C4950" s="70"/>
      <c r="D4950" s="70"/>
      <c r="E4950" s="70"/>
      <c r="F4950" s="70"/>
      <c r="G4950" s="94"/>
      <c r="H4950" s="131"/>
      <c r="I4950" s="3"/>
    </row>
    <row r="4951" spans="1:9" s="93" customFormat="1" ht="9" customHeight="1" x14ac:dyDescent="0.3">
      <c r="A4951" s="91"/>
      <c r="B4951" s="70"/>
      <c r="C4951" s="70"/>
      <c r="D4951" s="70"/>
      <c r="E4951" s="70"/>
      <c r="F4951" s="70"/>
      <c r="G4951" s="94"/>
      <c r="H4951" s="131"/>
      <c r="I4951" s="3"/>
    </row>
    <row r="4952" spans="1:9" s="93" customFormat="1" ht="9" customHeight="1" x14ac:dyDescent="0.3">
      <c r="A4952" s="91"/>
      <c r="B4952" s="70"/>
      <c r="C4952" s="70"/>
      <c r="D4952" s="70"/>
      <c r="E4952" s="70"/>
      <c r="F4952" s="70"/>
      <c r="G4952" s="94"/>
      <c r="H4952" s="131"/>
      <c r="I4952" s="3"/>
    </row>
    <row r="4953" spans="1:9" s="93" customFormat="1" ht="9" customHeight="1" x14ac:dyDescent="0.3">
      <c r="A4953" s="91"/>
      <c r="B4953" s="70"/>
      <c r="C4953" s="70"/>
      <c r="D4953" s="70"/>
      <c r="E4953" s="70"/>
      <c r="F4953" s="70"/>
      <c r="G4953" s="94"/>
      <c r="H4953" s="131"/>
      <c r="I4953" s="3"/>
    </row>
    <row r="4954" spans="1:9" s="93" customFormat="1" ht="9" customHeight="1" x14ac:dyDescent="0.3">
      <c r="A4954" s="91"/>
      <c r="B4954" s="70"/>
      <c r="C4954" s="70"/>
      <c r="D4954" s="70"/>
      <c r="E4954" s="70"/>
      <c r="F4954" s="70"/>
      <c r="G4954" s="94"/>
      <c r="H4954" s="131"/>
      <c r="I4954" s="3"/>
    </row>
    <row r="4955" spans="1:9" s="93" customFormat="1" ht="9" customHeight="1" x14ac:dyDescent="0.3">
      <c r="A4955" s="91"/>
      <c r="B4955" s="70"/>
      <c r="C4955" s="70"/>
      <c r="D4955" s="70"/>
      <c r="E4955" s="70"/>
      <c r="F4955" s="70"/>
      <c r="G4955" s="94"/>
      <c r="H4955" s="131"/>
      <c r="I4955" s="3"/>
    </row>
    <row r="4956" spans="1:9" s="93" customFormat="1" ht="9" customHeight="1" x14ac:dyDescent="0.3">
      <c r="A4956" s="91"/>
      <c r="B4956" s="70"/>
      <c r="C4956" s="70"/>
      <c r="D4956" s="70"/>
      <c r="E4956" s="70"/>
      <c r="F4956" s="70"/>
      <c r="G4956" s="94"/>
      <c r="H4956" s="131"/>
      <c r="I4956" s="3"/>
    </row>
    <row r="4957" spans="1:9" s="93" customFormat="1" ht="9" customHeight="1" x14ac:dyDescent="0.3">
      <c r="A4957" s="91"/>
      <c r="B4957" s="70"/>
      <c r="C4957" s="70"/>
      <c r="D4957" s="70"/>
      <c r="E4957" s="70"/>
      <c r="F4957" s="70"/>
      <c r="G4957" s="94"/>
      <c r="H4957" s="131"/>
      <c r="I4957" s="3"/>
    </row>
    <row r="4958" spans="1:9" s="93" customFormat="1" ht="9" customHeight="1" x14ac:dyDescent="0.3">
      <c r="A4958" s="91"/>
      <c r="B4958" s="70"/>
      <c r="C4958" s="70"/>
      <c r="D4958" s="70"/>
      <c r="E4958" s="70"/>
      <c r="F4958" s="70"/>
      <c r="G4958" s="94"/>
      <c r="H4958" s="131"/>
      <c r="I4958" s="3"/>
    </row>
    <row r="4959" spans="1:9" s="93" customFormat="1" ht="9" customHeight="1" x14ac:dyDescent="0.3">
      <c r="A4959" s="91"/>
      <c r="B4959" s="70"/>
      <c r="C4959" s="70"/>
      <c r="D4959" s="70"/>
      <c r="E4959" s="70"/>
      <c r="F4959" s="70"/>
      <c r="G4959" s="94"/>
      <c r="H4959" s="131"/>
      <c r="I4959" s="3"/>
    </row>
    <row r="4960" spans="1:9" s="93" customFormat="1" ht="9" customHeight="1" x14ac:dyDescent="0.3">
      <c r="A4960" s="91"/>
      <c r="B4960" s="70"/>
      <c r="C4960" s="70"/>
      <c r="D4960" s="70"/>
      <c r="E4960" s="70"/>
      <c r="F4960" s="70"/>
      <c r="G4960" s="94"/>
      <c r="H4960" s="131"/>
      <c r="I4960" s="3"/>
    </row>
    <row r="4961" spans="1:9" s="93" customFormat="1" ht="9" customHeight="1" x14ac:dyDescent="0.3">
      <c r="A4961" s="91"/>
      <c r="B4961" s="70"/>
      <c r="C4961" s="70"/>
      <c r="D4961" s="70"/>
      <c r="E4961" s="70"/>
      <c r="F4961" s="70"/>
      <c r="G4961" s="94"/>
      <c r="H4961" s="131"/>
      <c r="I4961" s="3"/>
    </row>
    <row r="4962" spans="1:9" s="93" customFormat="1" ht="9" customHeight="1" x14ac:dyDescent="0.3">
      <c r="A4962" s="91"/>
      <c r="B4962" s="70"/>
      <c r="C4962" s="70"/>
      <c r="D4962" s="70"/>
      <c r="E4962" s="70"/>
      <c r="F4962" s="70"/>
      <c r="G4962" s="94"/>
      <c r="H4962" s="131"/>
      <c r="I4962" s="3"/>
    </row>
    <row r="4963" spans="1:9" s="93" customFormat="1" ht="9" customHeight="1" x14ac:dyDescent="0.3">
      <c r="A4963" s="91"/>
      <c r="B4963" s="70"/>
      <c r="C4963" s="70"/>
      <c r="D4963" s="70"/>
      <c r="E4963" s="70"/>
      <c r="F4963" s="70"/>
      <c r="G4963" s="94"/>
      <c r="H4963" s="131"/>
      <c r="I4963" s="3"/>
    </row>
    <row r="4964" spans="1:9" s="93" customFormat="1" ht="9" customHeight="1" x14ac:dyDescent="0.3">
      <c r="A4964" s="91"/>
      <c r="B4964" s="70"/>
      <c r="C4964" s="70"/>
      <c r="D4964" s="70"/>
      <c r="E4964" s="70"/>
      <c r="F4964" s="70"/>
      <c r="G4964" s="94"/>
      <c r="H4964" s="131"/>
      <c r="I4964" s="3"/>
    </row>
    <row r="4965" spans="1:9" s="93" customFormat="1" ht="9" customHeight="1" x14ac:dyDescent="0.3">
      <c r="A4965" s="91"/>
      <c r="B4965" s="70"/>
      <c r="C4965" s="70"/>
      <c r="D4965" s="70"/>
      <c r="E4965" s="70"/>
      <c r="F4965" s="70"/>
      <c r="G4965" s="94"/>
      <c r="H4965" s="131"/>
      <c r="I4965" s="3"/>
    </row>
    <row r="4966" spans="1:9" s="93" customFormat="1" ht="9" customHeight="1" x14ac:dyDescent="0.3">
      <c r="A4966" s="91"/>
      <c r="B4966" s="70"/>
      <c r="C4966" s="70"/>
      <c r="D4966" s="70"/>
      <c r="E4966" s="70"/>
      <c r="F4966" s="70"/>
      <c r="G4966" s="94"/>
      <c r="H4966" s="131"/>
      <c r="I4966" s="3"/>
    </row>
    <row r="4967" spans="1:9" s="93" customFormat="1" ht="9" customHeight="1" x14ac:dyDescent="0.3">
      <c r="A4967" s="91"/>
      <c r="B4967" s="70"/>
      <c r="C4967" s="70"/>
      <c r="D4967" s="70"/>
      <c r="E4967" s="70"/>
      <c r="F4967" s="70"/>
      <c r="G4967" s="94"/>
      <c r="H4967" s="131"/>
      <c r="I4967" s="3"/>
    </row>
    <row r="4968" spans="1:9" s="93" customFormat="1" ht="9" customHeight="1" x14ac:dyDescent="0.3">
      <c r="A4968" s="91"/>
      <c r="B4968" s="70"/>
      <c r="C4968" s="70"/>
      <c r="D4968" s="70"/>
      <c r="E4968" s="70"/>
      <c r="F4968" s="70"/>
      <c r="G4968" s="94"/>
      <c r="H4968" s="131"/>
      <c r="I4968" s="3"/>
    </row>
    <row r="4969" spans="1:9" s="93" customFormat="1" ht="9" customHeight="1" x14ac:dyDescent="0.3">
      <c r="A4969" s="91"/>
      <c r="B4969" s="70"/>
      <c r="C4969" s="70"/>
      <c r="D4969" s="70"/>
      <c r="E4969" s="70"/>
      <c r="F4969" s="70"/>
      <c r="G4969" s="94"/>
      <c r="H4969" s="131"/>
      <c r="I4969" s="3"/>
    </row>
    <row r="4970" spans="1:9" s="93" customFormat="1" ht="9" customHeight="1" x14ac:dyDescent="0.3">
      <c r="A4970" s="91"/>
      <c r="B4970" s="70"/>
      <c r="C4970" s="70"/>
      <c r="D4970" s="70"/>
      <c r="E4970" s="70"/>
      <c r="F4970" s="70"/>
      <c r="G4970" s="94"/>
      <c r="H4970" s="131"/>
      <c r="I4970" s="3"/>
    </row>
    <row r="4971" spans="1:9" s="93" customFormat="1" ht="9" customHeight="1" x14ac:dyDescent="0.3">
      <c r="A4971" s="91"/>
      <c r="B4971" s="70"/>
      <c r="C4971" s="70"/>
      <c r="D4971" s="70"/>
      <c r="E4971" s="70"/>
      <c r="F4971" s="70"/>
      <c r="G4971" s="94"/>
      <c r="H4971" s="131"/>
      <c r="I4971" s="3"/>
    </row>
    <row r="4972" spans="1:9" s="93" customFormat="1" ht="9" customHeight="1" x14ac:dyDescent="0.3">
      <c r="A4972" s="91"/>
      <c r="B4972" s="70"/>
      <c r="C4972" s="70"/>
      <c r="D4972" s="70"/>
      <c r="E4972" s="70"/>
      <c r="F4972" s="70"/>
      <c r="G4972" s="94"/>
      <c r="H4972" s="131"/>
      <c r="I4972" s="3"/>
    </row>
    <row r="4973" spans="1:9" s="93" customFormat="1" ht="9" customHeight="1" x14ac:dyDescent="0.3">
      <c r="A4973" s="91"/>
      <c r="B4973" s="70"/>
      <c r="C4973" s="70"/>
      <c r="D4973" s="70"/>
      <c r="E4973" s="70"/>
      <c r="F4973" s="70"/>
      <c r="G4973" s="94"/>
      <c r="H4973" s="131"/>
      <c r="I4973" s="3"/>
    </row>
    <row r="4974" spans="1:9" s="93" customFormat="1" ht="9" customHeight="1" x14ac:dyDescent="0.3">
      <c r="A4974" s="91"/>
      <c r="B4974" s="70"/>
      <c r="C4974" s="70"/>
      <c r="D4974" s="70"/>
      <c r="E4974" s="70"/>
      <c r="F4974" s="70"/>
      <c r="G4974" s="94"/>
      <c r="H4974" s="131"/>
      <c r="I4974" s="3"/>
    </row>
    <row r="4975" spans="1:9" s="93" customFormat="1" ht="9" customHeight="1" x14ac:dyDescent="0.3">
      <c r="A4975" s="91"/>
      <c r="B4975" s="70"/>
      <c r="C4975" s="70"/>
      <c r="D4975" s="70"/>
      <c r="E4975" s="70"/>
      <c r="F4975" s="70"/>
      <c r="G4975" s="94"/>
      <c r="H4975" s="131"/>
      <c r="I4975" s="3"/>
    </row>
    <row r="4976" spans="1:9" s="93" customFormat="1" ht="9" customHeight="1" x14ac:dyDescent="0.3">
      <c r="A4976" s="91"/>
      <c r="B4976" s="70"/>
      <c r="C4976" s="70"/>
      <c r="D4976" s="70"/>
      <c r="E4976" s="70"/>
      <c r="F4976" s="70"/>
      <c r="G4976" s="94"/>
      <c r="H4976" s="131"/>
      <c r="I4976" s="3"/>
    </row>
    <row r="4977" spans="1:9" s="93" customFormat="1" ht="9" customHeight="1" x14ac:dyDescent="0.3">
      <c r="A4977" s="91"/>
      <c r="B4977" s="70"/>
      <c r="C4977" s="70"/>
      <c r="D4977" s="70"/>
      <c r="E4977" s="70"/>
      <c r="F4977" s="70"/>
      <c r="G4977" s="94"/>
      <c r="H4977" s="131"/>
      <c r="I4977" s="3"/>
    </row>
    <row r="4978" spans="1:9" s="93" customFormat="1" ht="9" customHeight="1" x14ac:dyDescent="0.3">
      <c r="A4978" s="91"/>
      <c r="B4978" s="70"/>
      <c r="C4978" s="70"/>
      <c r="D4978" s="70"/>
      <c r="E4978" s="70"/>
      <c r="F4978" s="70"/>
      <c r="G4978" s="94"/>
      <c r="H4978" s="131"/>
      <c r="I4978" s="3"/>
    </row>
    <row r="4979" spans="1:9" s="93" customFormat="1" ht="9" customHeight="1" x14ac:dyDescent="0.3">
      <c r="A4979" s="91"/>
      <c r="B4979" s="70"/>
      <c r="C4979" s="70"/>
      <c r="D4979" s="70"/>
      <c r="E4979" s="70"/>
      <c r="F4979" s="70"/>
      <c r="G4979" s="94"/>
      <c r="H4979" s="131"/>
      <c r="I4979" s="3"/>
    </row>
    <row r="4980" spans="1:9" s="93" customFormat="1" ht="9" customHeight="1" x14ac:dyDescent="0.3">
      <c r="A4980" s="91"/>
      <c r="B4980" s="70"/>
      <c r="C4980" s="70"/>
      <c r="D4980" s="70"/>
      <c r="E4980" s="70"/>
      <c r="F4980" s="70"/>
      <c r="G4980" s="94"/>
      <c r="H4980" s="131"/>
      <c r="I4980" s="3"/>
    </row>
    <row r="4981" spans="1:9" s="93" customFormat="1" ht="9" customHeight="1" x14ac:dyDescent="0.3">
      <c r="A4981" s="91"/>
      <c r="B4981" s="70"/>
      <c r="C4981" s="70"/>
      <c r="D4981" s="70"/>
      <c r="E4981" s="70"/>
      <c r="F4981" s="70"/>
      <c r="G4981" s="94"/>
      <c r="H4981" s="131"/>
      <c r="I4981" s="3"/>
    </row>
    <row r="4982" spans="1:9" s="93" customFormat="1" ht="9" customHeight="1" x14ac:dyDescent="0.3">
      <c r="A4982" s="91"/>
      <c r="B4982" s="70"/>
      <c r="C4982" s="70"/>
      <c r="D4982" s="70"/>
      <c r="E4982" s="70"/>
      <c r="F4982" s="70"/>
      <c r="G4982" s="94"/>
      <c r="H4982" s="131"/>
      <c r="I4982" s="3"/>
    </row>
    <row r="4983" spans="1:9" s="93" customFormat="1" ht="9" customHeight="1" x14ac:dyDescent="0.3">
      <c r="A4983" s="91"/>
      <c r="B4983" s="70"/>
      <c r="C4983" s="70"/>
      <c r="D4983" s="70"/>
      <c r="E4983" s="70"/>
      <c r="F4983" s="70"/>
      <c r="G4983" s="94"/>
      <c r="H4983" s="131"/>
      <c r="I4983" s="3"/>
    </row>
    <row r="4984" spans="1:9" s="93" customFormat="1" ht="9" customHeight="1" x14ac:dyDescent="0.3">
      <c r="A4984" s="91"/>
      <c r="B4984" s="70"/>
      <c r="C4984" s="70"/>
      <c r="D4984" s="70"/>
      <c r="E4984" s="70"/>
      <c r="F4984" s="70"/>
      <c r="G4984" s="94"/>
      <c r="H4984" s="131"/>
      <c r="I4984" s="3"/>
    </row>
    <row r="4985" spans="1:9" s="93" customFormat="1" ht="9" customHeight="1" x14ac:dyDescent="0.3">
      <c r="A4985" s="91"/>
      <c r="B4985" s="70"/>
      <c r="C4985" s="70"/>
      <c r="D4985" s="70"/>
      <c r="E4985" s="70"/>
      <c r="F4985" s="70"/>
      <c r="G4985" s="94"/>
      <c r="H4985" s="131"/>
      <c r="I4985" s="3"/>
    </row>
    <row r="4986" spans="1:9" s="93" customFormat="1" ht="9" customHeight="1" x14ac:dyDescent="0.3">
      <c r="A4986" s="91"/>
      <c r="B4986" s="70"/>
      <c r="C4986" s="70"/>
      <c r="D4986" s="70"/>
      <c r="E4986" s="70"/>
      <c r="F4986" s="70"/>
      <c r="G4986" s="94"/>
      <c r="H4986" s="131"/>
      <c r="I4986" s="3"/>
    </row>
    <row r="4987" spans="1:9" s="93" customFormat="1" ht="9" customHeight="1" x14ac:dyDescent="0.3">
      <c r="A4987" s="91"/>
      <c r="B4987" s="70"/>
      <c r="C4987" s="70"/>
      <c r="D4987" s="70"/>
      <c r="E4987" s="70"/>
      <c r="F4987" s="70"/>
      <c r="G4987" s="94"/>
      <c r="H4987" s="131"/>
      <c r="I4987" s="3"/>
    </row>
    <row r="4988" spans="1:9" s="93" customFormat="1" ht="9" customHeight="1" x14ac:dyDescent="0.3">
      <c r="A4988" s="91"/>
      <c r="B4988" s="70"/>
      <c r="C4988" s="70"/>
      <c r="D4988" s="70"/>
      <c r="E4988" s="70"/>
      <c r="F4988" s="70"/>
      <c r="G4988" s="94"/>
      <c r="H4988" s="131"/>
      <c r="I4988" s="3"/>
    </row>
    <row r="4989" spans="1:9" s="93" customFormat="1" ht="9" customHeight="1" x14ac:dyDescent="0.3">
      <c r="A4989" s="91"/>
      <c r="B4989" s="70"/>
      <c r="C4989" s="70"/>
      <c r="D4989" s="70"/>
      <c r="E4989" s="70"/>
      <c r="F4989" s="70"/>
      <c r="G4989" s="94"/>
      <c r="H4989" s="131"/>
      <c r="I4989" s="3"/>
    </row>
    <row r="4990" spans="1:9" s="93" customFormat="1" ht="9" customHeight="1" x14ac:dyDescent="0.3">
      <c r="A4990" s="91"/>
      <c r="B4990" s="70"/>
      <c r="C4990" s="70"/>
      <c r="D4990" s="70"/>
      <c r="E4990" s="70"/>
      <c r="F4990" s="70"/>
      <c r="G4990" s="94"/>
      <c r="H4990" s="131"/>
      <c r="I4990" s="3"/>
    </row>
    <row r="4991" spans="1:9" s="93" customFormat="1" ht="9" customHeight="1" x14ac:dyDescent="0.3">
      <c r="A4991" s="91"/>
      <c r="B4991" s="70"/>
      <c r="C4991" s="70"/>
      <c r="D4991" s="70"/>
      <c r="E4991" s="70"/>
      <c r="F4991" s="70"/>
      <c r="G4991" s="94"/>
      <c r="H4991" s="131"/>
      <c r="I4991" s="3"/>
    </row>
    <row r="4992" spans="1:9" s="93" customFormat="1" ht="9" customHeight="1" x14ac:dyDescent="0.3">
      <c r="A4992" s="91"/>
      <c r="B4992" s="70"/>
      <c r="C4992" s="70"/>
      <c r="D4992" s="70"/>
      <c r="E4992" s="70"/>
      <c r="F4992" s="70"/>
      <c r="G4992" s="94"/>
      <c r="H4992" s="131"/>
      <c r="I4992" s="3"/>
    </row>
    <row r="4993" spans="1:9" s="93" customFormat="1" ht="9" customHeight="1" x14ac:dyDescent="0.3">
      <c r="A4993" s="91"/>
      <c r="B4993" s="70"/>
      <c r="C4993" s="70"/>
      <c r="D4993" s="70"/>
      <c r="E4993" s="70"/>
      <c r="F4993" s="70"/>
      <c r="G4993" s="94"/>
      <c r="H4993" s="131"/>
      <c r="I4993" s="3"/>
    </row>
    <row r="4994" spans="1:9" s="93" customFormat="1" ht="9" customHeight="1" x14ac:dyDescent="0.3">
      <c r="A4994" s="91"/>
      <c r="B4994" s="70"/>
      <c r="C4994" s="70"/>
      <c r="D4994" s="70"/>
      <c r="E4994" s="70"/>
      <c r="F4994" s="70"/>
      <c r="G4994" s="94"/>
      <c r="H4994" s="131"/>
      <c r="I4994" s="3"/>
    </row>
    <row r="4995" spans="1:9" s="93" customFormat="1" ht="9" customHeight="1" x14ac:dyDescent="0.3">
      <c r="A4995" s="91"/>
      <c r="B4995" s="70"/>
      <c r="C4995" s="70"/>
      <c r="D4995" s="70"/>
      <c r="E4995" s="70"/>
      <c r="F4995" s="70"/>
      <c r="G4995" s="94"/>
      <c r="H4995" s="131"/>
      <c r="I4995" s="3"/>
    </row>
    <row r="4996" spans="1:9" s="93" customFormat="1" ht="9" customHeight="1" x14ac:dyDescent="0.3">
      <c r="A4996" s="91"/>
      <c r="B4996" s="70"/>
      <c r="C4996" s="70"/>
      <c r="D4996" s="70"/>
      <c r="E4996" s="70"/>
      <c r="F4996" s="70"/>
      <c r="G4996" s="94"/>
      <c r="H4996" s="131"/>
      <c r="I4996" s="3"/>
    </row>
    <row r="4997" spans="1:9" s="93" customFormat="1" ht="9" customHeight="1" x14ac:dyDescent="0.3">
      <c r="A4997" s="91"/>
      <c r="B4997" s="70"/>
      <c r="C4997" s="70"/>
      <c r="D4997" s="70"/>
      <c r="E4997" s="70"/>
      <c r="F4997" s="70"/>
      <c r="G4997" s="94"/>
      <c r="H4997" s="131"/>
      <c r="I4997" s="3"/>
    </row>
    <row r="4998" spans="1:9" s="93" customFormat="1" ht="9" customHeight="1" x14ac:dyDescent="0.3">
      <c r="A4998" s="91"/>
      <c r="B4998" s="70"/>
      <c r="C4998" s="70"/>
      <c r="D4998" s="70"/>
      <c r="E4998" s="70"/>
      <c r="F4998" s="70"/>
      <c r="G4998" s="94"/>
      <c r="H4998" s="131"/>
      <c r="I4998" s="3"/>
    </row>
    <row r="4999" spans="1:9" s="93" customFormat="1" ht="9" customHeight="1" x14ac:dyDescent="0.3">
      <c r="A4999" s="91"/>
      <c r="B4999" s="70"/>
      <c r="C4999" s="70"/>
      <c r="D4999" s="70"/>
      <c r="E4999" s="70"/>
      <c r="F4999" s="70"/>
      <c r="G4999" s="94"/>
      <c r="H4999" s="131"/>
      <c r="I4999" s="3"/>
    </row>
    <row r="5000" spans="1:9" s="93" customFormat="1" ht="9" customHeight="1" x14ac:dyDescent="0.3">
      <c r="A5000" s="91"/>
      <c r="B5000" s="70"/>
      <c r="C5000" s="70"/>
      <c r="D5000" s="70"/>
      <c r="E5000" s="70"/>
      <c r="F5000" s="70"/>
      <c r="G5000" s="94"/>
      <c r="H5000" s="131"/>
      <c r="I5000" s="3"/>
    </row>
    <row r="5001" spans="1:9" s="93" customFormat="1" ht="9" customHeight="1" x14ac:dyDescent="0.3">
      <c r="A5001" s="91"/>
      <c r="B5001" s="70"/>
      <c r="C5001" s="70"/>
      <c r="D5001" s="70"/>
      <c r="E5001" s="70"/>
      <c r="F5001" s="70"/>
      <c r="G5001" s="94"/>
      <c r="H5001" s="131"/>
      <c r="I5001" s="3"/>
    </row>
    <row r="5002" spans="1:9" s="93" customFormat="1" ht="9" customHeight="1" x14ac:dyDescent="0.3">
      <c r="A5002" s="91"/>
      <c r="B5002" s="70"/>
      <c r="C5002" s="70"/>
      <c r="D5002" s="70"/>
      <c r="E5002" s="70"/>
      <c r="F5002" s="70"/>
      <c r="G5002" s="94"/>
      <c r="H5002" s="131"/>
      <c r="I5002" s="3"/>
    </row>
    <row r="5003" spans="1:9" s="93" customFormat="1" ht="9" customHeight="1" x14ac:dyDescent="0.3">
      <c r="A5003" s="91"/>
      <c r="B5003" s="70"/>
      <c r="C5003" s="70"/>
      <c r="D5003" s="70"/>
      <c r="E5003" s="70"/>
      <c r="F5003" s="70"/>
      <c r="G5003" s="94"/>
      <c r="H5003" s="131"/>
      <c r="I5003" s="3"/>
    </row>
    <row r="5004" spans="1:9" s="93" customFormat="1" ht="9" customHeight="1" x14ac:dyDescent="0.3">
      <c r="A5004" s="91"/>
      <c r="B5004" s="70"/>
      <c r="C5004" s="70"/>
      <c r="D5004" s="70"/>
      <c r="E5004" s="70"/>
      <c r="F5004" s="70"/>
      <c r="G5004" s="94"/>
      <c r="H5004" s="131"/>
      <c r="I5004" s="3"/>
    </row>
    <row r="5005" spans="1:9" s="93" customFormat="1" ht="9" customHeight="1" x14ac:dyDescent="0.3">
      <c r="A5005" s="91"/>
      <c r="B5005" s="70"/>
      <c r="C5005" s="70"/>
      <c r="D5005" s="70"/>
      <c r="E5005" s="70"/>
      <c r="F5005" s="70"/>
      <c r="G5005" s="94"/>
      <c r="H5005" s="131"/>
      <c r="I5005" s="3"/>
    </row>
    <row r="5006" spans="1:9" s="93" customFormat="1" ht="9" customHeight="1" x14ac:dyDescent="0.3">
      <c r="A5006" s="91"/>
      <c r="B5006" s="70"/>
      <c r="C5006" s="70"/>
      <c r="D5006" s="70"/>
      <c r="E5006" s="70"/>
      <c r="F5006" s="70"/>
      <c r="G5006" s="94"/>
      <c r="H5006" s="131"/>
      <c r="I5006" s="3"/>
    </row>
    <row r="5007" spans="1:9" s="93" customFormat="1" ht="9" customHeight="1" x14ac:dyDescent="0.3">
      <c r="A5007" s="91"/>
      <c r="B5007" s="70"/>
      <c r="C5007" s="70"/>
      <c r="D5007" s="70"/>
      <c r="E5007" s="70"/>
      <c r="F5007" s="70"/>
      <c r="G5007" s="94"/>
      <c r="H5007" s="131"/>
      <c r="I5007" s="3"/>
    </row>
    <row r="5008" spans="1:9" s="93" customFormat="1" ht="9" customHeight="1" x14ac:dyDescent="0.3">
      <c r="A5008" s="91"/>
      <c r="B5008" s="70"/>
      <c r="C5008" s="70"/>
      <c r="D5008" s="70"/>
      <c r="E5008" s="70"/>
      <c r="F5008" s="70"/>
      <c r="G5008" s="94"/>
      <c r="H5008" s="131"/>
      <c r="I5008" s="3"/>
    </row>
    <row r="5009" spans="1:9" s="93" customFormat="1" ht="9" customHeight="1" x14ac:dyDescent="0.3">
      <c r="A5009" s="91"/>
      <c r="B5009" s="70"/>
      <c r="C5009" s="70"/>
      <c r="D5009" s="70"/>
      <c r="E5009" s="70"/>
      <c r="F5009" s="70"/>
      <c r="G5009" s="94"/>
      <c r="H5009" s="131"/>
      <c r="I5009" s="3"/>
    </row>
    <row r="5010" spans="1:9" s="93" customFormat="1" ht="9" customHeight="1" x14ac:dyDescent="0.3">
      <c r="A5010" s="91"/>
      <c r="B5010" s="70"/>
      <c r="C5010" s="70"/>
      <c r="D5010" s="70"/>
      <c r="E5010" s="70"/>
      <c r="F5010" s="70"/>
      <c r="G5010" s="94"/>
      <c r="H5010" s="131"/>
      <c r="I5010" s="3"/>
    </row>
    <row r="5011" spans="1:9" s="93" customFormat="1" ht="9" customHeight="1" x14ac:dyDescent="0.3">
      <c r="A5011" s="91"/>
      <c r="B5011" s="70"/>
      <c r="C5011" s="70"/>
      <c r="D5011" s="70"/>
      <c r="E5011" s="70"/>
      <c r="F5011" s="70"/>
      <c r="G5011" s="94"/>
      <c r="H5011" s="131"/>
      <c r="I5011" s="3"/>
    </row>
    <row r="5012" spans="1:9" s="93" customFormat="1" ht="9" customHeight="1" x14ac:dyDescent="0.3">
      <c r="A5012" s="91"/>
      <c r="B5012" s="70"/>
      <c r="C5012" s="70"/>
      <c r="D5012" s="70"/>
      <c r="E5012" s="70"/>
      <c r="F5012" s="70"/>
      <c r="G5012" s="94"/>
      <c r="H5012" s="131"/>
      <c r="I5012" s="3"/>
    </row>
    <row r="5013" spans="1:9" s="93" customFormat="1" ht="9" customHeight="1" x14ac:dyDescent="0.3">
      <c r="A5013" s="91"/>
      <c r="B5013" s="70"/>
      <c r="C5013" s="70"/>
      <c r="D5013" s="70"/>
      <c r="E5013" s="70"/>
      <c r="F5013" s="70"/>
      <c r="G5013" s="94"/>
      <c r="H5013" s="131"/>
      <c r="I5013" s="3"/>
    </row>
    <row r="5014" spans="1:9" s="93" customFormat="1" ht="9" customHeight="1" x14ac:dyDescent="0.3">
      <c r="A5014" s="91"/>
      <c r="B5014" s="70"/>
      <c r="C5014" s="70"/>
      <c r="D5014" s="70"/>
      <c r="E5014" s="70"/>
      <c r="F5014" s="70"/>
      <c r="G5014" s="94"/>
      <c r="H5014" s="131"/>
      <c r="I5014" s="3"/>
    </row>
    <row r="5015" spans="1:9" s="93" customFormat="1" ht="9" customHeight="1" x14ac:dyDescent="0.3">
      <c r="A5015" s="91"/>
      <c r="B5015" s="70"/>
      <c r="C5015" s="70"/>
      <c r="D5015" s="70"/>
      <c r="E5015" s="70"/>
      <c r="F5015" s="70"/>
      <c r="G5015" s="94"/>
      <c r="H5015" s="131"/>
      <c r="I5015" s="3"/>
    </row>
    <row r="5016" spans="1:9" s="93" customFormat="1" ht="9" customHeight="1" x14ac:dyDescent="0.3">
      <c r="A5016" s="91"/>
      <c r="B5016" s="70"/>
      <c r="C5016" s="70"/>
      <c r="D5016" s="70"/>
      <c r="E5016" s="70"/>
      <c r="F5016" s="70"/>
      <c r="G5016" s="94"/>
      <c r="H5016" s="131"/>
      <c r="I5016" s="3"/>
    </row>
    <row r="5017" spans="1:9" s="93" customFormat="1" ht="9" customHeight="1" x14ac:dyDescent="0.3">
      <c r="A5017" s="91"/>
      <c r="B5017" s="70"/>
      <c r="C5017" s="70"/>
      <c r="D5017" s="70"/>
      <c r="E5017" s="70"/>
      <c r="F5017" s="70"/>
      <c r="G5017" s="94"/>
      <c r="H5017" s="131"/>
      <c r="I5017" s="3"/>
    </row>
    <row r="5018" spans="1:9" s="93" customFormat="1" ht="9" customHeight="1" x14ac:dyDescent="0.3">
      <c r="A5018" s="91"/>
      <c r="B5018" s="70"/>
      <c r="C5018" s="70"/>
      <c r="D5018" s="70"/>
      <c r="E5018" s="70"/>
      <c r="F5018" s="70"/>
      <c r="G5018" s="94"/>
      <c r="H5018" s="131"/>
      <c r="I5018" s="3"/>
    </row>
    <row r="5019" spans="1:9" s="93" customFormat="1" ht="9" customHeight="1" x14ac:dyDescent="0.3">
      <c r="A5019" s="91"/>
      <c r="B5019" s="70"/>
      <c r="C5019" s="70"/>
      <c r="D5019" s="70"/>
      <c r="E5019" s="70"/>
      <c r="F5019" s="70"/>
      <c r="G5019" s="94"/>
      <c r="H5019" s="131"/>
      <c r="I5019" s="3"/>
    </row>
    <row r="5020" spans="1:9" s="93" customFormat="1" ht="9" customHeight="1" x14ac:dyDescent="0.3">
      <c r="A5020" s="91"/>
      <c r="B5020" s="70"/>
      <c r="C5020" s="70"/>
      <c r="D5020" s="70"/>
      <c r="E5020" s="70"/>
      <c r="F5020" s="70"/>
      <c r="G5020" s="94"/>
      <c r="H5020" s="131"/>
      <c r="I5020" s="3"/>
    </row>
    <row r="5021" spans="1:9" s="93" customFormat="1" ht="9" customHeight="1" x14ac:dyDescent="0.3">
      <c r="A5021" s="91"/>
      <c r="B5021" s="70"/>
      <c r="C5021" s="70"/>
      <c r="D5021" s="70"/>
      <c r="E5021" s="70"/>
      <c r="F5021" s="70"/>
      <c r="G5021" s="94"/>
      <c r="H5021" s="131"/>
      <c r="I5021" s="3"/>
    </row>
    <row r="5022" spans="1:9" s="93" customFormat="1" ht="9" customHeight="1" x14ac:dyDescent="0.3">
      <c r="A5022" s="91"/>
      <c r="B5022" s="70"/>
      <c r="C5022" s="70"/>
      <c r="D5022" s="70"/>
      <c r="E5022" s="70"/>
      <c r="F5022" s="70"/>
      <c r="G5022" s="94"/>
      <c r="H5022" s="131"/>
      <c r="I5022" s="3"/>
    </row>
    <row r="5023" spans="1:9" s="93" customFormat="1" ht="9" customHeight="1" x14ac:dyDescent="0.3">
      <c r="A5023" s="91"/>
      <c r="B5023" s="70"/>
      <c r="C5023" s="70"/>
      <c r="D5023" s="70"/>
      <c r="E5023" s="70"/>
      <c r="F5023" s="70"/>
      <c r="G5023" s="94"/>
      <c r="H5023" s="131"/>
      <c r="I5023" s="3"/>
    </row>
    <row r="5024" spans="1:9" s="93" customFormat="1" ht="9" customHeight="1" x14ac:dyDescent="0.3">
      <c r="A5024" s="91"/>
      <c r="B5024" s="70"/>
      <c r="C5024" s="70"/>
      <c r="D5024" s="70"/>
      <c r="E5024" s="70"/>
      <c r="F5024" s="70"/>
      <c r="G5024" s="94"/>
      <c r="H5024" s="131"/>
      <c r="I5024" s="3"/>
    </row>
    <row r="5025" spans="1:9" s="93" customFormat="1" ht="9" customHeight="1" x14ac:dyDescent="0.3">
      <c r="A5025" s="91"/>
      <c r="B5025" s="70"/>
      <c r="C5025" s="70"/>
      <c r="D5025" s="70"/>
      <c r="E5025" s="70"/>
      <c r="F5025" s="70"/>
      <c r="G5025" s="94"/>
      <c r="H5025" s="131"/>
      <c r="I5025" s="3"/>
    </row>
    <row r="5026" spans="1:9" s="93" customFormat="1" ht="9" customHeight="1" x14ac:dyDescent="0.3">
      <c r="A5026" s="91"/>
      <c r="B5026" s="70"/>
      <c r="C5026" s="70"/>
      <c r="D5026" s="70"/>
      <c r="E5026" s="70"/>
      <c r="F5026" s="70"/>
      <c r="G5026" s="94"/>
      <c r="H5026" s="131"/>
      <c r="I5026" s="3"/>
    </row>
    <row r="5027" spans="1:9" s="93" customFormat="1" ht="9" customHeight="1" x14ac:dyDescent="0.3">
      <c r="A5027" s="91"/>
      <c r="B5027" s="70"/>
      <c r="C5027" s="70"/>
      <c r="D5027" s="70"/>
      <c r="E5027" s="70"/>
      <c r="F5027" s="70"/>
      <c r="G5027" s="94"/>
      <c r="H5027" s="131"/>
      <c r="I5027" s="3"/>
    </row>
    <row r="5028" spans="1:9" s="93" customFormat="1" ht="9" customHeight="1" x14ac:dyDescent="0.3">
      <c r="A5028" s="91"/>
      <c r="B5028" s="70"/>
      <c r="C5028" s="70"/>
      <c r="D5028" s="70"/>
      <c r="E5028" s="70"/>
      <c r="F5028" s="70"/>
      <c r="G5028" s="94"/>
      <c r="H5028" s="131"/>
      <c r="I5028" s="3"/>
    </row>
    <row r="5029" spans="1:9" s="93" customFormat="1" ht="9" customHeight="1" x14ac:dyDescent="0.3">
      <c r="A5029" s="91"/>
      <c r="B5029" s="70"/>
      <c r="C5029" s="70"/>
      <c r="D5029" s="70"/>
      <c r="E5029" s="70"/>
      <c r="F5029" s="70"/>
      <c r="G5029" s="94"/>
      <c r="H5029" s="131"/>
      <c r="I5029" s="3"/>
    </row>
    <row r="5030" spans="1:9" s="93" customFormat="1" ht="9" customHeight="1" x14ac:dyDescent="0.3">
      <c r="A5030" s="91"/>
      <c r="B5030" s="70"/>
      <c r="C5030" s="70"/>
      <c r="D5030" s="70"/>
      <c r="E5030" s="70"/>
      <c r="F5030" s="70"/>
      <c r="G5030" s="94"/>
      <c r="H5030" s="131"/>
      <c r="I5030" s="3"/>
    </row>
    <row r="5031" spans="1:9" s="93" customFormat="1" ht="9" customHeight="1" x14ac:dyDescent="0.3">
      <c r="A5031" s="91"/>
      <c r="B5031" s="70"/>
      <c r="C5031" s="70"/>
      <c r="D5031" s="70"/>
      <c r="E5031" s="70"/>
      <c r="F5031" s="70"/>
      <c r="G5031" s="94"/>
      <c r="H5031" s="131"/>
      <c r="I5031" s="3"/>
    </row>
    <row r="5032" spans="1:9" s="93" customFormat="1" ht="9" customHeight="1" x14ac:dyDescent="0.3">
      <c r="A5032" s="91"/>
      <c r="B5032" s="70"/>
      <c r="C5032" s="70"/>
      <c r="D5032" s="70"/>
      <c r="E5032" s="70"/>
      <c r="F5032" s="70"/>
      <c r="G5032" s="94"/>
      <c r="H5032" s="131"/>
      <c r="I5032" s="3"/>
    </row>
    <row r="5033" spans="1:9" s="93" customFormat="1" ht="9" customHeight="1" x14ac:dyDescent="0.3">
      <c r="A5033" s="91"/>
      <c r="B5033" s="70"/>
      <c r="C5033" s="70"/>
      <c r="D5033" s="70"/>
      <c r="E5033" s="70"/>
      <c r="F5033" s="70"/>
      <c r="G5033" s="94"/>
      <c r="H5033" s="131"/>
      <c r="I5033" s="3"/>
    </row>
    <row r="5034" spans="1:9" s="93" customFormat="1" ht="9" customHeight="1" x14ac:dyDescent="0.3">
      <c r="A5034" s="91"/>
      <c r="B5034" s="70"/>
      <c r="C5034" s="70"/>
      <c r="D5034" s="70"/>
      <c r="E5034" s="70"/>
      <c r="F5034" s="70"/>
      <c r="G5034" s="94"/>
      <c r="H5034" s="131"/>
      <c r="I5034" s="3"/>
    </row>
    <row r="5035" spans="1:9" s="93" customFormat="1" ht="9" customHeight="1" x14ac:dyDescent="0.3">
      <c r="A5035" s="91"/>
      <c r="B5035" s="70"/>
      <c r="C5035" s="70"/>
      <c r="D5035" s="70"/>
      <c r="E5035" s="70"/>
      <c r="F5035" s="70"/>
      <c r="G5035" s="94"/>
      <c r="H5035" s="131"/>
      <c r="I5035" s="3"/>
    </row>
    <row r="5036" spans="1:9" s="93" customFormat="1" ht="9" customHeight="1" x14ac:dyDescent="0.3">
      <c r="A5036" s="91"/>
      <c r="B5036" s="70"/>
      <c r="C5036" s="70"/>
      <c r="D5036" s="70"/>
      <c r="E5036" s="70"/>
      <c r="F5036" s="70"/>
      <c r="G5036" s="94"/>
      <c r="H5036" s="131"/>
      <c r="I5036" s="3"/>
    </row>
    <row r="5037" spans="1:9" s="93" customFormat="1" ht="9" customHeight="1" x14ac:dyDescent="0.3">
      <c r="A5037" s="91"/>
      <c r="B5037" s="70"/>
      <c r="C5037" s="70"/>
      <c r="D5037" s="70"/>
      <c r="E5037" s="70"/>
      <c r="F5037" s="70"/>
      <c r="G5037" s="94"/>
      <c r="H5037" s="131"/>
      <c r="I5037" s="3"/>
    </row>
    <row r="5038" spans="1:9" s="93" customFormat="1" ht="9" customHeight="1" x14ac:dyDescent="0.3">
      <c r="A5038" s="91"/>
      <c r="B5038" s="70"/>
      <c r="C5038" s="70"/>
      <c r="D5038" s="70"/>
      <c r="E5038" s="70"/>
      <c r="F5038" s="70"/>
      <c r="G5038" s="94"/>
      <c r="H5038" s="131"/>
      <c r="I5038" s="3"/>
    </row>
    <row r="5039" spans="1:9" s="93" customFormat="1" ht="9" customHeight="1" x14ac:dyDescent="0.3">
      <c r="A5039" s="91"/>
      <c r="B5039" s="70"/>
      <c r="C5039" s="70"/>
      <c r="D5039" s="70"/>
      <c r="E5039" s="70"/>
      <c r="F5039" s="70"/>
      <c r="G5039" s="94"/>
      <c r="H5039" s="131"/>
      <c r="I5039" s="3"/>
    </row>
    <row r="5040" spans="1:9" s="93" customFormat="1" ht="9" customHeight="1" x14ac:dyDescent="0.3">
      <c r="A5040" s="91"/>
      <c r="B5040" s="70"/>
      <c r="C5040" s="70"/>
      <c r="D5040" s="70"/>
      <c r="E5040" s="70"/>
      <c r="F5040" s="70"/>
      <c r="G5040" s="94"/>
      <c r="H5040" s="131"/>
      <c r="I5040" s="3"/>
    </row>
    <row r="5041" spans="1:9" s="93" customFormat="1" ht="9" customHeight="1" x14ac:dyDescent="0.3">
      <c r="A5041" s="91"/>
      <c r="B5041" s="70"/>
      <c r="C5041" s="70"/>
      <c r="D5041" s="70"/>
      <c r="E5041" s="70"/>
      <c r="F5041" s="70"/>
      <c r="G5041" s="94"/>
      <c r="H5041" s="131"/>
      <c r="I5041" s="3"/>
    </row>
    <row r="5042" spans="1:9" s="93" customFormat="1" ht="9" customHeight="1" x14ac:dyDescent="0.3">
      <c r="A5042" s="91"/>
      <c r="B5042" s="70"/>
      <c r="C5042" s="70"/>
      <c r="D5042" s="70"/>
      <c r="E5042" s="70"/>
      <c r="F5042" s="70"/>
      <c r="G5042" s="94"/>
      <c r="H5042" s="131"/>
      <c r="I5042" s="3"/>
    </row>
    <row r="5043" spans="1:9" s="93" customFormat="1" ht="9" customHeight="1" x14ac:dyDescent="0.3">
      <c r="A5043" s="91"/>
      <c r="B5043" s="70"/>
      <c r="C5043" s="70"/>
      <c r="D5043" s="70"/>
      <c r="E5043" s="70"/>
      <c r="F5043" s="70"/>
      <c r="G5043" s="94"/>
      <c r="H5043" s="131"/>
      <c r="I5043" s="3"/>
    </row>
    <row r="5044" spans="1:9" s="93" customFormat="1" ht="9" customHeight="1" x14ac:dyDescent="0.3">
      <c r="A5044" s="91"/>
      <c r="B5044" s="70"/>
      <c r="C5044" s="70"/>
      <c r="D5044" s="70"/>
      <c r="E5044" s="70"/>
      <c r="F5044" s="70"/>
      <c r="G5044" s="94"/>
      <c r="H5044" s="131"/>
      <c r="I5044" s="3"/>
    </row>
    <row r="5045" spans="1:9" s="93" customFormat="1" ht="9" customHeight="1" x14ac:dyDescent="0.3">
      <c r="A5045" s="91"/>
      <c r="B5045" s="70"/>
      <c r="C5045" s="70"/>
      <c r="D5045" s="70"/>
      <c r="E5045" s="70"/>
      <c r="F5045" s="70"/>
      <c r="G5045" s="94"/>
      <c r="H5045" s="131"/>
      <c r="I5045" s="3"/>
    </row>
    <row r="5046" spans="1:9" s="93" customFormat="1" ht="9" customHeight="1" x14ac:dyDescent="0.3">
      <c r="A5046" s="91"/>
      <c r="B5046" s="70"/>
      <c r="C5046" s="70"/>
      <c r="D5046" s="70"/>
      <c r="E5046" s="70"/>
      <c r="F5046" s="70"/>
      <c r="G5046" s="94"/>
      <c r="H5046" s="131"/>
      <c r="I5046" s="3"/>
    </row>
    <row r="5047" spans="1:9" s="93" customFormat="1" ht="9" customHeight="1" x14ac:dyDescent="0.3">
      <c r="A5047" s="91"/>
      <c r="B5047" s="70"/>
      <c r="C5047" s="70"/>
      <c r="D5047" s="70"/>
      <c r="E5047" s="70"/>
      <c r="F5047" s="70"/>
      <c r="G5047" s="94"/>
      <c r="H5047" s="131"/>
      <c r="I5047" s="3"/>
    </row>
    <row r="5048" spans="1:9" s="93" customFormat="1" ht="9" customHeight="1" x14ac:dyDescent="0.3">
      <c r="A5048" s="91"/>
      <c r="B5048" s="70"/>
      <c r="C5048" s="70"/>
      <c r="D5048" s="70"/>
      <c r="E5048" s="70"/>
      <c r="F5048" s="70"/>
      <c r="G5048" s="94"/>
      <c r="H5048" s="131"/>
      <c r="I5048" s="3"/>
    </row>
    <row r="5049" spans="1:9" s="93" customFormat="1" ht="9" customHeight="1" x14ac:dyDescent="0.3">
      <c r="A5049" s="91"/>
      <c r="B5049" s="70"/>
      <c r="C5049" s="70"/>
      <c r="D5049" s="70"/>
      <c r="E5049" s="70"/>
      <c r="F5049" s="70"/>
      <c r="G5049" s="94"/>
      <c r="H5049" s="131"/>
      <c r="I5049" s="3"/>
    </row>
    <row r="5050" spans="1:9" s="93" customFormat="1" ht="9" customHeight="1" x14ac:dyDescent="0.3">
      <c r="A5050" s="91"/>
      <c r="B5050" s="70"/>
      <c r="C5050" s="70"/>
      <c r="D5050" s="70"/>
      <c r="E5050" s="70"/>
      <c r="F5050" s="70"/>
      <c r="G5050" s="94"/>
      <c r="H5050" s="131"/>
      <c r="I5050" s="3"/>
    </row>
    <row r="5051" spans="1:9" s="93" customFormat="1" ht="9" customHeight="1" x14ac:dyDescent="0.3">
      <c r="A5051" s="91"/>
      <c r="B5051" s="70"/>
      <c r="C5051" s="70"/>
      <c r="D5051" s="70"/>
      <c r="E5051" s="70"/>
      <c r="F5051" s="70"/>
      <c r="G5051" s="94"/>
      <c r="H5051" s="131"/>
      <c r="I5051" s="3"/>
    </row>
    <row r="5052" spans="1:9" s="93" customFormat="1" ht="9" customHeight="1" x14ac:dyDescent="0.3">
      <c r="A5052" s="91"/>
      <c r="B5052" s="70"/>
      <c r="C5052" s="70"/>
      <c r="D5052" s="70"/>
      <c r="E5052" s="70"/>
      <c r="F5052" s="70"/>
      <c r="G5052" s="94"/>
      <c r="H5052" s="131"/>
      <c r="I5052" s="3"/>
    </row>
    <row r="5053" spans="1:9" s="93" customFormat="1" ht="9" customHeight="1" x14ac:dyDescent="0.3">
      <c r="A5053" s="91"/>
      <c r="B5053" s="70"/>
      <c r="C5053" s="70"/>
      <c r="D5053" s="70"/>
      <c r="E5053" s="70"/>
      <c r="F5053" s="70"/>
      <c r="G5053" s="94"/>
      <c r="H5053" s="131"/>
      <c r="I5053" s="3"/>
    </row>
    <row r="5054" spans="1:9" s="93" customFormat="1" ht="9" customHeight="1" x14ac:dyDescent="0.3">
      <c r="A5054" s="91"/>
      <c r="B5054" s="70"/>
      <c r="C5054" s="70"/>
      <c r="D5054" s="70"/>
      <c r="E5054" s="70"/>
      <c r="F5054" s="70"/>
      <c r="G5054" s="94"/>
      <c r="H5054" s="131"/>
      <c r="I5054" s="3"/>
    </row>
    <row r="5055" spans="1:9" s="93" customFormat="1" ht="9" customHeight="1" x14ac:dyDescent="0.3">
      <c r="A5055" s="91"/>
      <c r="B5055" s="70"/>
      <c r="C5055" s="70"/>
      <c r="D5055" s="70"/>
      <c r="E5055" s="70"/>
      <c r="F5055" s="70"/>
      <c r="G5055" s="94"/>
      <c r="H5055" s="131"/>
      <c r="I5055" s="3"/>
    </row>
    <row r="5056" spans="1:9" s="93" customFormat="1" ht="9" customHeight="1" x14ac:dyDescent="0.3">
      <c r="A5056" s="91"/>
      <c r="B5056" s="70"/>
      <c r="C5056" s="70"/>
      <c r="D5056" s="70"/>
      <c r="E5056" s="70"/>
      <c r="F5056" s="70"/>
      <c r="G5056" s="94"/>
      <c r="H5056" s="131"/>
      <c r="I5056" s="3"/>
    </row>
    <row r="5057" spans="1:9" s="93" customFormat="1" ht="9" customHeight="1" x14ac:dyDescent="0.3">
      <c r="A5057" s="91"/>
      <c r="B5057" s="70"/>
      <c r="C5057" s="70"/>
      <c r="D5057" s="70"/>
      <c r="E5057" s="70"/>
      <c r="F5057" s="70"/>
      <c r="G5057" s="94"/>
      <c r="H5057" s="131"/>
      <c r="I5057" s="3"/>
    </row>
    <row r="5058" spans="1:9" s="93" customFormat="1" ht="9" customHeight="1" x14ac:dyDescent="0.3">
      <c r="A5058" s="91"/>
      <c r="B5058" s="70"/>
      <c r="C5058" s="70"/>
      <c r="D5058" s="70"/>
      <c r="E5058" s="70"/>
      <c r="F5058" s="70"/>
      <c r="G5058" s="94"/>
      <c r="H5058" s="131"/>
      <c r="I5058" s="3"/>
    </row>
    <row r="5059" spans="1:9" s="93" customFormat="1" ht="9" customHeight="1" x14ac:dyDescent="0.3">
      <c r="A5059" s="91"/>
      <c r="B5059" s="70"/>
      <c r="C5059" s="70"/>
      <c r="D5059" s="70"/>
      <c r="E5059" s="70"/>
      <c r="F5059" s="70"/>
      <c r="G5059" s="94"/>
      <c r="H5059" s="131"/>
      <c r="I5059" s="3"/>
    </row>
    <row r="5060" spans="1:9" s="93" customFormat="1" ht="9" customHeight="1" x14ac:dyDescent="0.3">
      <c r="A5060" s="91"/>
      <c r="B5060" s="70"/>
      <c r="C5060" s="70"/>
      <c r="D5060" s="70"/>
      <c r="E5060" s="70"/>
      <c r="F5060" s="70"/>
      <c r="G5060" s="94"/>
      <c r="H5060" s="131"/>
      <c r="I5060" s="3"/>
    </row>
    <row r="5061" spans="1:9" s="93" customFormat="1" ht="9" customHeight="1" x14ac:dyDescent="0.3">
      <c r="A5061" s="91"/>
      <c r="B5061" s="70"/>
      <c r="C5061" s="70"/>
      <c r="D5061" s="70"/>
      <c r="E5061" s="70"/>
      <c r="F5061" s="70"/>
      <c r="G5061" s="94"/>
      <c r="H5061" s="131"/>
      <c r="I5061" s="3"/>
    </row>
    <row r="5062" spans="1:9" s="93" customFormat="1" ht="9" customHeight="1" x14ac:dyDescent="0.3">
      <c r="A5062" s="91"/>
      <c r="B5062" s="70"/>
      <c r="C5062" s="70"/>
      <c r="D5062" s="70"/>
      <c r="E5062" s="70"/>
      <c r="F5062" s="70"/>
      <c r="G5062" s="94"/>
      <c r="H5062" s="131"/>
      <c r="I5062" s="3"/>
    </row>
    <row r="5063" spans="1:9" s="93" customFormat="1" ht="9" customHeight="1" x14ac:dyDescent="0.3">
      <c r="A5063" s="91"/>
      <c r="B5063" s="70"/>
      <c r="C5063" s="70"/>
      <c r="D5063" s="70"/>
      <c r="E5063" s="70"/>
      <c r="F5063" s="70"/>
      <c r="G5063" s="94"/>
      <c r="H5063" s="131"/>
      <c r="I5063" s="3"/>
    </row>
    <row r="5064" spans="1:9" s="93" customFormat="1" ht="9" customHeight="1" x14ac:dyDescent="0.3">
      <c r="A5064" s="91"/>
      <c r="B5064" s="70"/>
      <c r="C5064" s="70"/>
      <c r="D5064" s="70"/>
      <c r="E5064" s="70"/>
      <c r="F5064" s="70"/>
      <c r="G5064" s="94"/>
      <c r="H5064" s="131"/>
      <c r="I5064" s="3"/>
    </row>
    <row r="5065" spans="1:9" s="93" customFormat="1" ht="9" customHeight="1" x14ac:dyDescent="0.3">
      <c r="A5065" s="91"/>
      <c r="B5065" s="70"/>
      <c r="C5065" s="70"/>
      <c r="D5065" s="70"/>
      <c r="E5065" s="70"/>
      <c r="F5065" s="70"/>
      <c r="G5065" s="94"/>
      <c r="H5065" s="131"/>
      <c r="I5065" s="3"/>
    </row>
    <row r="5066" spans="1:9" s="93" customFormat="1" ht="9" customHeight="1" x14ac:dyDescent="0.3">
      <c r="A5066" s="91"/>
      <c r="B5066" s="70"/>
      <c r="C5066" s="70"/>
      <c r="D5066" s="70"/>
      <c r="E5066" s="70"/>
      <c r="F5066" s="70"/>
      <c r="G5066" s="94"/>
      <c r="H5066" s="131"/>
      <c r="I5066" s="3"/>
    </row>
    <row r="5067" spans="1:9" s="93" customFormat="1" ht="9" customHeight="1" x14ac:dyDescent="0.3">
      <c r="A5067" s="91"/>
      <c r="B5067" s="70"/>
      <c r="C5067" s="70"/>
      <c r="D5067" s="70"/>
      <c r="E5067" s="70"/>
      <c r="F5067" s="70"/>
      <c r="G5067" s="94"/>
      <c r="H5067" s="131"/>
      <c r="I5067" s="3"/>
    </row>
    <row r="5068" spans="1:9" s="93" customFormat="1" ht="9" customHeight="1" x14ac:dyDescent="0.3">
      <c r="A5068" s="91"/>
      <c r="B5068" s="70"/>
      <c r="C5068" s="70"/>
      <c r="D5068" s="70"/>
      <c r="E5068" s="70"/>
      <c r="F5068" s="70"/>
      <c r="G5068" s="94"/>
      <c r="H5068" s="131"/>
      <c r="I5068" s="3"/>
    </row>
    <row r="5069" spans="1:9" s="93" customFormat="1" ht="9" customHeight="1" x14ac:dyDescent="0.3">
      <c r="A5069" s="91"/>
      <c r="B5069" s="70"/>
      <c r="C5069" s="70"/>
      <c r="D5069" s="70"/>
      <c r="E5069" s="70"/>
      <c r="F5069" s="70"/>
      <c r="G5069" s="94"/>
      <c r="H5069" s="131"/>
      <c r="I5069" s="3"/>
    </row>
    <row r="5070" spans="1:9" s="93" customFormat="1" ht="9" customHeight="1" x14ac:dyDescent="0.3">
      <c r="A5070" s="91"/>
      <c r="B5070" s="70"/>
      <c r="C5070" s="70"/>
      <c r="D5070" s="70"/>
      <c r="E5070" s="70"/>
      <c r="F5070" s="70"/>
      <c r="G5070" s="94"/>
      <c r="H5070" s="131"/>
      <c r="I5070" s="3"/>
    </row>
    <row r="5071" spans="1:9" s="93" customFormat="1" ht="9" customHeight="1" x14ac:dyDescent="0.3">
      <c r="A5071" s="91"/>
      <c r="B5071" s="70"/>
      <c r="C5071" s="70"/>
      <c r="D5071" s="70"/>
      <c r="E5071" s="70"/>
      <c r="F5071" s="70"/>
      <c r="G5071" s="94"/>
      <c r="H5071" s="131"/>
      <c r="I5071" s="3"/>
    </row>
    <row r="5072" spans="1:9" s="93" customFormat="1" ht="9" customHeight="1" x14ac:dyDescent="0.3">
      <c r="A5072" s="91"/>
      <c r="B5072" s="70"/>
      <c r="C5072" s="70"/>
      <c r="D5072" s="70"/>
      <c r="E5072" s="70"/>
      <c r="F5072" s="70"/>
      <c r="G5072" s="94"/>
      <c r="H5072" s="131"/>
      <c r="I5072" s="3"/>
    </row>
    <row r="5073" spans="1:9" s="93" customFormat="1" ht="9" customHeight="1" x14ac:dyDescent="0.3">
      <c r="A5073" s="91"/>
      <c r="B5073" s="70"/>
      <c r="C5073" s="70"/>
      <c r="D5073" s="70"/>
      <c r="E5073" s="70"/>
      <c r="F5073" s="70"/>
      <c r="G5073" s="94"/>
      <c r="H5073" s="131"/>
      <c r="I5073" s="3"/>
    </row>
    <row r="5074" spans="1:9" s="93" customFormat="1" ht="9" customHeight="1" x14ac:dyDescent="0.3">
      <c r="A5074" s="91"/>
      <c r="B5074" s="70"/>
      <c r="C5074" s="70"/>
      <c r="D5074" s="70"/>
      <c r="E5074" s="70"/>
      <c r="F5074" s="70"/>
      <c r="G5074" s="94"/>
      <c r="H5074" s="131"/>
      <c r="I5074" s="3"/>
    </row>
    <row r="5075" spans="1:9" s="93" customFormat="1" ht="9" customHeight="1" x14ac:dyDescent="0.3">
      <c r="A5075" s="91"/>
      <c r="B5075" s="70"/>
      <c r="C5075" s="70"/>
      <c r="D5075" s="70"/>
      <c r="E5075" s="70"/>
      <c r="F5075" s="70"/>
      <c r="G5075" s="94"/>
      <c r="H5075" s="131"/>
      <c r="I5075" s="3"/>
    </row>
    <row r="5076" spans="1:9" s="93" customFormat="1" ht="9" customHeight="1" x14ac:dyDescent="0.3">
      <c r="A5076" s="91"/>
      <c r="B5076" s="70"/>
      <c r="C5076" s="70"/>
      <c r="D5076" s="70"/>
      <c r="E5076" s="70"/>
      <c r="F5076" s="70"/>
      <c r="G5076" s="94"/>
      <c r="H5076" s="131"/>
      <c r="I5076" s="3"/>
    </row>
    <row r="5077" spans="1:9" s="93" customFormat="1" ht="9" customHeight="1" x14ac:dyDescent="0.3">
      <c r="A5077" s="91"/>
      <c r="B5077" s="70"/>
      <c r="C5077" s="70"/>
      <c r="D5077" s="70"/>
      <c r="E5077" s="70"/>
      <c r="F5077" s="70"/>
      <c r="G5077" s="94"/>
      <c r="H5077" s="131"/>
      <c r="I5077" s="3"/>
    </row>
    <row r="5078" spans="1:9" s="93" customFormat="1" ht="9" customHeight="1" x14ac:dyDescent="0.3">
      <c r="A5078" s="91"/>
      <c r="B5078" s="70"/>
      <c r="C5078" s="70"/>
      <c r="D5078" s="70"/>
      <c r="E5078" s="70"/>
      <c r="F5078" s="70"/>
      <c r="G5078" s="94"/>
      <c r="H5078" s="131"/>
      <c r="I5078" s="3"/>
    </row>
    <row r="5079" spans="1:9" s="93" customFormat="1" ht="9" customHeight="1" x14ac:dyDescent="0.3">
      <c r="A5079" s="91"/>
      <c r="B5079" s="70"/>
      <c r="C5079" s="70"/>
      <c r="D5079" s="70"/>
      <c r="E5079" s="70"/>
      <c r="F5079" s="70"/>
      <c r="G5079" s="94"/>
      <c r="H5079" s="131"/>
      <c r="I5079" s="3"/>
    </row>
    <row r="5080" spans="1:9" s="93" customFormat="1" ht="9" customHeight="1" x14ac:dyDescent="0.3">
      <c r="A5080" s="91"/>
      <c r="B5080" s="70"/>
      <c r="C5080" s="70"/>
      <c r="D5080" s="70"/>
      <c r="E5080" s="70"/>
      <c r="F5080" s="70"/>
      <c r="G5080" s="94"/>
      <c r="H5080" s="131"/>
      <c r="I5080" s="3"/>
    </row>
    <row r="5081" spans="1:9" s="93" customFormat="1" ht="9" customHeight="1" x14ac:dyDescent="0.3">
      <c r="A5081" s="91"/>
      <c r="B5081" s="70"/>
      <c r="C5081" s="70"/>
      <c r="D5081" s="70"/>
      <c r="E5081" s="70"/>
      <c r="F5081" s="70"/>
      <c r="G5081" s="94"/>
      <c r="H5081" s="131"/>
      <c r="I5081" s="3"/>
    </row>
    <row r="5082" spans="1:9" s="93" customFormat="1" ht="9" customHeight="1" x14ac:dyDescent="0.3">
      <c r="A5082" s="91"/>
      <c r="B5082" s="70"/>
      <c r="C5082" s="70"/>
      <c r="D5082" s="70"/>
      <c r="E5082" s="70"/>
      <c r="F5082" s="70"/>
      <c r="G5082" s="94"/>
      <c r="H5082" s="131"/>
      <c r="I5082" s="3"/>
    </row>
    <row r="5083" spans="1:9" s="93" customFormat="1" ht="9" customHeight="1" x14ac:dyDescent="0.3">
      <c r="A5083" s="91"/>
      <c r="B5083" s="70"/>
      <c r="C5083" s="70"/>
      <c r="D5083" s="70"/>
      <c r="E5083" s="70"/>
      <c r="F5083" s="70"/>
      <c r="G5083" s="94"/>
      <c r="H5083" s="131"/>
      <c r="I5083" s="3"/>
    </row>
    <row r="5084" spans="1:9" s="93" customFormat="1" ht="9" customHeight="1" x14ac:dyDescent="0.3">
      <c r="A5084" s="91"/>
      <c r="B5084" s="70"/>
      <c r="C5084" s="70"/>
      <c r="D5084" s="70"/>
      <c r="E5084" s="70"/>
      <c r="F5084" s="70"/>
      <c r="G5084" s="94"/>
      <c r="H5084" s="131"/>
      <c r="I5084" s="3"/>
    </row>
    <row r="5085" spans="1:9" s="93" customFormat="1" ht="9" customHeight="1" x14ac:dyDescent="0.3">
      <c r="A5085" s="91"/>
      <c r="B5085" s="70"/>
      <c r="C5085" s="70"/>
      <c r="D5085" s="70"/>
      <c r="E5085" s="70"/>
      <c r="F5085" s="70"/>
      <c r="G5085" s="94"/>
      <c r="H5085" s="131"/>
      <c r="I5085" s="3"/>
    </row>
    <row r="5086" spans="1:9" s="93" customFormat="1" ht="9" customHeight="1" x14ac:dyDescent="0.3">
      <c r="A5086" s="91"/>
      <c r="B5086" s="70"/>
      <c r="C5086" s="70"/>
      <c r="D5086" s="70"/>
      <c r="E5086" s="70"/>
      <c r="F5086" s="70"/>
      <c r="G5086" s="94"/>
      <c r="H5086" s="131"/>
      <c r="I5086" s="3"/>
    </row>
    <row r="5087" spans="1:9" s="93" customFormat="1" ht="9" customHeight="1" x14ac:dyDescent="0.3">
      <c r="A5087" s="91"/>
      <c r="B5087" s="70"/>
      <c r="C5087" s="70"/>
      <c r="D5087" s="70"/>
      <c r="E5087" s="70"/>
      <c r="F5087" s="70"/>
      <c r="G5087" s="94"/>
      <c r="H5087" s="131"/>
      <c r="I5087" s="3"/>
    </row>
    <row r="5088" spans="1:9" s="93" customFormat="1" ht="9" customHeight="1" x14ac:dyDescent="0.3">
      <c r="A5088" s="91"/>
      <c r="B5088" s="70"/>
      <c r="C5088" s="70"/>
      <c r="D5088" s="70"/>
      <c r="E5088" s="70"/>
      <c r="F5088" s="70"/>
      <c r="G5088" s="94"/>
      <c r="H5088" s="131"/>
      <c r="I5088" s="3"/>
    </row>
    <row r="5089" spans="1:9" s="93" customFormat="1" ht="9" customHeight="1" x14ac:dyDescent="0.3">
      <c r="A5089" s="91"/>
      <c r="B5089" s="70"/>
      <c r="C5089" s="70"/>
      <c r="D5089" s="70"/>
      <c r="E5089" s="70"/>
      <c r="F5089" s="70"/>
      <c r="G5089" s="94"/>
      <c r="H5089" s="131"/>
      <c r="I5089" s="3"/>
    </row>
    <row r="5090" spans="1:9" s="93" customFormat="1" ht="9" customHeight="1" x14ac:dyDescent="0.3">
      <c r="A5090" s="91"/>
      <c r="B5090" s="70"/>
      <c r="C5090" s="70"/>
      <c r="D5090" s="70"/>
      <c r="E5090" s="70"/>
      <c r="F5090" s="70"/>
      <c r="G5090" s="94"/>
      <c r="H5090" s="131"/>
      <c r="I5090" s="3"/>
    </row>
    <row r="5091" spans="1:9" s="93" customFormat="1" ht="9" customHeight="1" x14ac:dyDescent="0.3">
      <c r="A5091" s="91"/>
      <c r="B5091" s="70"/>
      <c r="C5091" s="70"/>
      <c r="D5091" s="70"/>
      <c r="E5091" s="70"/>
      <c r="F5091" s="70"/>
      <c r="G5091" s="94"/>
      <c r="H5091" s="131"/>
      <c r="I5091" s="3"/>
    </row>
    <row r="5092" spans="1:9" s="93" customFormat="1" ht="9" customHeight="1" x14ac:dyDescent="0.3">
      <c r="A5092" s="91"/>
      <c r="B5092" s="70"/>
      <c r="C5092" s="70"/>
      <c r="D5092" s="70"/>
      <c r="E5092" s="70"/>
      <c r="F5092" s="70"/>
      <c r="G5092" s="94"/>
      <c r="H5092" s="131"/>
      <c r="I5092" s="3"/>
    </row>
    <row r="5093" spans="1:9" s="93" customFormat="1" ht="9" customHeight="1" x14ac:dyDescent="0.3">
      <c r="A5093" s="91"/>
      <c r="B5093" s="70"/>
      <c r="C5093" s="70"/>
      <c r="D5093" s="70"/>
      <c r="E5093" s="70"/>
      <c r="F5093" s="70"/>
      <c r="G5093" s="94"/>
      <c r="H5093" s="131"/>
      <c r="I5093" s="3"/>
    </row>
    <row r="5094" spans="1:9" s="93" customFormat="1" ht="9" customHeight="1" x14ac:dyDescent="0.3">
      <c r="A5094" s="91"/>
      <c r="B5094" s="70"/>
      <c r="C5094" s="70"/>
      <c r="D5094" s="70"/>
      <c r="E5094" s="70"/>
      <c r="F5094" s="70"/>
      <c r="G5094" s="94"/>
      <c r="H5094" s="131"/>
      <c r="I5094" s="3"/>
    </row>
    <row r="5095" spans="1:9" s="93" customFormat="1" ht="9" customHeight="1" x14ac:dyDescent="0.3">
      <c r="A5095" s="91"/>
      <c r="B5095" s="70"/>
      <c r="C5095" s="70"/>
      <c r="D5095" s="70"/>
      <c r="E5095" s="70"/>
      <c r="F5095" s="70"/>
      <c r="G5095" s="94"/>
      <c r="H5095" s="131"/>
      <c r="I5095" s="3"/>
    </row>
    <row r="5096" spans="1:9" s="93" customFormat="1" ht="9" customHeight="1" x14ac:dyDescent="0.3">
      <c r="A5096" s="91"/>
      <c r="B5096" s="70"/>
      <c r="C5096" s="70"/>
      <c r="D5096" s="70"/>
      <c r="E5096" s="70"/>
      <c r="F5096" s="70"/>
      <c r="G5096" s="94"/>
      <c r="H5096" s="131"/>
      <c r="I5096" s="3"/>
    </row>
    <row r="5097" spans="1:9" s="93" customFormat="1" ht="9" customHeight="1" x14ac:dyDescent="0.3">
      <c r="A5097" s="91"/>
      <c r="B5097" s="70"/>
      <c r="C5097" s="70"/>
      <c r="D5097" s="70"/>
      <c r="E5097" s="70"/>
      <c r="F5097" s="70"/>
      <c r="G5097" s="94"/>
      <c r="H5097" s="131"/>
      <c r="I5097" s="3"/>
    </row>
    <row r="5098" spans="1:9" s="93" customFormat="1" ht="9" customHeight="1" x14ac:dyDescent="0.3">
      <c r="A5098" s="91"/>
      <c r="B5098" s="70"/>
      <c r="C5098" s="70"/>
      <c r="D5098" s="70"/>
      <c r="E5098" s="70"/>
      <c r="F5098" s="70"/>
      <c r="G5098" s="94"/>
      <c r="H5098" s="131"/>
      <c r="I5098" s="3"/>
    </row>
    <row r="5099" spans="1:9" s="93" customFormat="1" ht="9" customHeight="1" x14ac:dyDescent="0.3">
      <c r="A5099" s="91"/>
      <c r="B5099" s="70"/>
      <c r="C5099" s="70"/>
      <c r="D5099" s="70"/>
      <c r="E5099" s="70"/>
      <c r="F5099" s="70"/>
      <c r="G5099" s="94"/>
      <c r="H5099" s="131"/>
      <c r="I5099" s="3"/>
    </row>
    <row r="5100" spans="1:9" s="93" customFormat="1" ht="9" customHeight="1" x14ac:dyDescent="0.3">
      <c r="A5100" s="91"/>
      <c r="B5100" s="70"/>
      <c r="C5100" s="70"/>
      <c r="D5100" s="70"/>
      <c r="E5100" s="70"/>
      <c r="F5100" s="70"/>
      <c r="G5100" s="94"/>
      <c r="H5100" s="131"/>
      <c r="I5100" s="3"/>
    </row>
    <row r="5101" spans="1:9" s="93" customFormat="1" ht="9" customHeight="1" x14ac:dyDescent="0.3">
      <c r="A5101" s="91"/>
      <c r="B5101" s="70"/>
      <c r="C5101" s="70"/>
      <c r="D5101" s="70"/>
      <c r="E5101" s="70"/>
      <c r="F5101" s="70"/>
      <c r="G5101" s="94"/>
      <c r="H5101" s="131"/>
      <c r="I5101" s="3"/>
    </row>
    <row r="5102" spans="1:9" s="93" customFormat="1" ht="9" customHeight="1" x14ac:dyDescent="0.3">
      <c r="A5102" s="91"/>
      <c r="B5102" s="70"/>
      <c r="C5102" s="70"/>
      <c r="D5102" s="70"/>
      <c r="E5102" s="70"/>
      <c r="F5102" s="70"/>
      <c r="G5102" s="94"/>
      <c r="H5102" s="131"/>
      <c r="I5102" s="3"/>
    </row>
    <row r="5103" spans="1:9" s="93" customFormat="1" ht="9" customHeight="1" x14ac:dyDescent="0.3">
      <c r="A5103" s="91"/>
      <c r="B5103" s="70"/>
      <c r="C5103" s="70"/>
      <c r="D5103" s="70"/>
      <c r="E5103" s="70"/>
      <c r="F5103" s="70"/>
      <c r="G5103" s="94"/>
      <c r="H5103" s="131"/>
      <c r="I5103" s="3"/>
    </row>
    <row r="5104" spans="1:9" s="93" customFormat="1" ht="9" customHeight="1" x14ac:dyDescent="0.3">
      <c r="A5104" s="91"/>
      <c r="B5104" s="70"/>
      <c r="C5104" s="70"/>
      <c r="D5104" s="70"/>
      <c r="E5104" s="70"/>
      <c r="F5104" s="70"/>
      <c r="G5104" s="94"/>
      <c r="H5104" s="131"/>
      <c r="I5104" s="3"/>
    </row>
    <row r="5105" spans="1:9" s="93" customFormat="1" ht="9" customHeight="1" x14ac:dyDescent="0.3">
      <c r="A5105" s="91"/>
      <c r="B5105" s="70"/>
      <c r="C5105" s="70"/>
      <c r="D5105" s="70"/>
      <c r="E5105" s="70"/>
      <c r="F5105" s="70"/>
      <c r="G5105" s="94"/>
      <c r="H5105" s="131"/>
      <c r="I5105" s="3"/>
    </row>
    <row r="5106" spans="1:9" s="93" customFormat="1" ht="9" customHeight="1" x14ac:dyDescent="0.3">
      <c r="A5106" s="91"/>
      <c r="B5106" s="70"/>
      <c r="C5106" s="70"/>
      <c r="D5106" s="70"/>
      <c r="E5106" s="70"/>
      <c r="F5106" s="70"/>
      <c r="G5106" s="94"/>
      <c r="H5106" s="131"/>
      <c r="I5106" s="3"/>
    </row>
    <row r="5107" spans="1:9" s="93" customFormat="1" ht="9" customHeight="1" x14ac:dyDescent="0.3">
      <c r="A5107" s="91"/>
      <c r="B5107" s="70"/>
      <c r="C5107" s="70"/>
      <c r="D5107" s="70"/>
      <c r="E5107" s="70"/>
      <c r="F5107" s="70"/>
      <c r="G5107" s="94"/>
      <c r="H5107" s="131"/>
      <c r="I5107" s="3"/>
    </row>
    <row r="5108" spans="1:9" s="93" customFormat="1" ht="9" customHeight="1" x14ac:dyDescent="0.3">
      <c r="A5108" s="91"/>
      <c r="B5108" s="70"/>
      <c r="C5108" s="70"/>
      <c r="D5108" s="70"/>
      <c r="E5108" s="70"/>
      <c r="F5108" s="70"/>
      <c r="G5108" s="94"/>
      <c r="H5108" s="131"/>
      <c r="I5108" s="3"/>
    </row>
    <row r="5109" spans="1:9" s="93" customFormat="1" ht="9" customHeight="1" x14ac:dyDescent="0.3">
      <c r="A5109" s="91"/>
      <c r="B5109" s="70"/>
      <c r="C5109" s="70"/>
      <c r="D5109" s="70"/>
      <c r="E5109" s="70"/>
      <c r="F5109" s="70"/>
      <c r="G5109" s="94"/>
      <c r="H5109" s="131"/>
      <c r="I5109" s="3"/>
    </row>
    <row r="5110" spans="1:9" s="93" customFormat="1" ht="9" customHeight="1" x14ac:dyDescent="0.3">
      <c r="A5110" s="91"/>
      <c r="B5110" s="70"/>
      <c r="C5110" s="70"/>
      <c r="D5110" s="70"/>
      <c r="E5110" s="70"/>
      <c r="F5110" s="70"/>
      <c r="G5110" s="94"/>
      <c r="H5110" s="131"/>
      <c r="I5110" s="3"/>
    </row>
    <row r="5111" spans="1:9" s="93" customFormat="1" ht="9" customHeight="1" x14ac:dyDescent="0.3">
      <c r="A5111" s="91"/>
      <c r="B5111" s="70"/>
      <c r="C5111" s="70"/>
      <c r="D5111" s="70"/>
      <c r="E5111" s="70"/>
      <c r="F5111" s="70"/>
      <c r="G5111" s="94"/>
      <c r="H5111" s="131"/>
      <c r="I5111" s="3"/>
    </row>
    <row r="5112" spans="1:9" s="93" customFormat="1" ht="9" customHeight="1" x14ac:dyDescent="0.3">
      <c r="A5112" s="91"/>
      <c r="B5112" s="70"/>
      <c r="C5112" s="70"/>
      <c r="D5112" s="70"/>
      <c r="E5112" s="70"/>
      <c r="F5112" s="70"/>
      <c r="G5112" s="94"/>
      <c r="H5112" s="131"/>
      <c r="I5112" s="3"/>
    </row>
    <row r="5113" spans="1:9" s="93" customFormat="1" ht="9" customHeight="1" x14ac:dyDescent="0.3">
      <c r="A5113" s="91"/>
      <c r="B5113" s="70"/>
      <c r="C5113" s="70"/>
      <c r="D5113" s="70"/>
      <c r="E5113" s="70"/>
      <c r="F5113" s="70"/>
      <c r="G5113" s="94"/>
      <c r="H5113" s="131"/>
      <c r="I5113" s="3"/>
    </row>
    <row r="5114" spans="1:9" s="93" customFormat="1" ht="9" customHeight="1" x14ac:dyDescent="0.3">
      <c r="A5114" s="91"/>
      <c r="B5114" s="70"/>
      <c r="C5114" s="70"/>
      <c r="D5114" s="70"/>
      <c r="E5114" s="70"/>
      <c r="F5114" s="70"/>
      <c r="G5114" s="94"/>
      <c r="H5114" s="131"/>
      <c r="I5114" s="3"/>
    </row>
    <row r="5115" spans="1:9" s="93" customFormat="1" ht="9" customHeight="1" x14ac:dyDescent="0.3">
      <c r="A5115" s="91"/>
      <c r="B5115" s="70"/>
      <c r="C5115" s="70"/>
      <c r="D5115" s="70"/>
      <c r="E5115" s="70"/>
      <c r="F5115" s="70"/>
      <c r="G5115" s="94"/>
      <c r="H5115" s="131"/>
      <c r="I5115" s="3"/>
    </row>
    <row r="5116" spans="1:9" s="93" customFormat="1" ht="9" customHeight="1" x14ac:dyDescent="0.3">
      <c r="A5116" s="91"/>
      <c r="B5116" s="70"/>
      <c r="C5116" s="70"/>
      <c r="D5116" s="70"/>
      <c r="E5116" s="70"/>
      <c r="F5116" s="70"/>
      <c r="G5116" s="94"/>
      <c r="H5116" s="131"/>
      <c r="I5116" s="3"/>
    </row>
    <row r="5117" spans="1:9" s="93" customFormat="1" ht="9" customHeight="1" x14ac:dyDescent="0.3">
      <c r="A5117" s="91"/>
      <c r="B5117" s="70"/>
      <c r="C5117" s="70"/>
      <c r="D5117" s="70"/>
      <c r="E5117" s="70"/>
      <c r="F5117" s="70"/>
      <c r="G5117" s="94"/>
      <c r="H5117" s="131"/>
      <c r="I5117" s="3"/>
    </row>
    <row r="5118" spans="1:9" s="93" customFormat="1" ht="9" customHeight="1" x14ac:dyDescent="0.3">
      <c r="A5118" s="91"/>
      <c r="B5118" s="70"/>
      <c r="C5118" s="70"/>
      <c r="D5118" s="70"/>
      <c r="E5118" s="70"/>
      <c r="F5118" s="70"/>
      <c r="G5118" s="94"/>
      <c r="H5118" s="131"/>
      <c r="I5118" s="3"/>
    </row>
    <row r="5119" spans="1:9" s="93" customFormat="1" ht="9" customHeight="1" x14ac:dyDescent="0.3">
      <c r="A5119" s="91"/>
      <c r="B5119" s="70"/>
      <c r="C5119" s="70"/>
      <c r="D5119" s="70"/>
      <c r="E5119" s="70"/>
      <c r="F5119" s="70"/>
      <c r="G5119" s="94"/>
      <c r="H5119" s="131"/>
      <c r="I5119" s="3"/>
    </row>
    <row r="5120" spans="1:9" s="93" customFormat="1" ht="9" customHeight="1" x14ac:dyDescent="0.3">
      <c r="A5120" s="91"/>
      <c r="B5120" s="70"/>
      <c r="C5120" s="70"/>
      <c r="D5120" s="70"/>
      <c r="E5120" s="70"/>
      <c r="F5120" s="70"/>
      <c r="G5120" s="94"/>
      <c r="H5120" s="131"/>
      <c r="I5120" s="3"/>
    </row>
    <row r="5121" spans="1:9" s="93" customFormat="1" ht="9" customHeight="1" x14ac:dyDescent="0.3">
      <c r="A5121" s="91"/>
      <c r="B5121" s="70"/>
      <c r="C5121" s="70"/>
      <c r="D5121" s="70"/>
      <c r="E5121" s="70"/>
      <c r="F5121" s="70"/>
      <c r="G5121" s="94"/>
      <c r="H5121" s="131"/>
      <c r="I5121" s="3"/>
    </row>
    <row r="5122" spans="1:9" s="93" customFormat="1" ht="9" customHeight="1" x14ac:dyDescent="0.3">
      <c r="A5122" s="91"/>
      <c r="B5122" s="70"/>
      <c r="C5122" s="70"/>
      <c r="D5122" s="70"/>
      <c r="E5122" s="70"/>
      <c r="F5122" s="70"/>
      <c r="G5122" s="94"/>
      <c r="H5122" s="131"/>
      <c r="I5122" s="3"/>
    </row>
    <row r="5123" spans="1:9" s="93" customFormat="1" ht="9" customHeight="1" x14ac:dyDescent="0.3">
      <c r="A5123" s="91"/>
      <c r="B5123" s="70"/>
      <c r="C5123" s="70"/>
      <c r="D5123" s="70"/>
      <c r="E5123" s="70"/>
      <c r="F5123" s="70"/>
      <c r="G5123" s="94"/>
      <c r="H5123" s="131"/>
      <c r="I5123" s="3"/>
    </row>
    <row r="5124" spans="1:9" s="93" customFormat="1" ht="9" customHeight="1" x14ac:dyDescent="0.3">
      <c r="A5124" s="91"/>
      <c r="B5124" s="70"/>
      <c r="C5124" s="70"/>
      <c r="D5124" s="70"/>
      <c r="E5124" s="70"/>
      <c r="F5124" s="70"/>
      <c r="G5124" s="94"/>
      <c r="H5124" s="131"/>
      <c r="I5124" s="3"/>
    </row>
    <row r="5125" spans="1:9" s="93" customFormat="1" ht="9" customHeight="1" x14ac:dyDescent="0.3">
      <c r="A5125" s="91"/>
      <c r="B5125" s="70"/>
      <c r="C5125" s="70"/>
      <c r="D5125" s="70"/>
      <c r="E5125" s="70"/>
      <c r="F5125" s="70"/>
      <c r="G5125" s="94"/>
      <c r="H5125" s="131"/>
      <c r="I5125" s="3"/>
    </row>
    <row r="5126" spans="1:9" s="93" customFormat="1" ht="9" customHeight="1" x14ac:dyDescent="0.3">
      <c r="A5126" s="91"/>
      <c r="B5126" s="70"/>
      <c r="C5126" s="70"/>
      <c r="D5126" s="70"/>
      <c r="E5126" s="70"/>
      <c r="F5126" s="70"/>
      <c r="G5126" s="94"/>
      <c r="H5126" s="131"/>
      <c r="I5126" s="3"/>
    </row>
    <row r="5127" spans="1:9" s="93" customFormat="1" ht="9" customHeight="1" x14ac:dyDescent="0.3">
      <c r="A5127" s="91"/>
      <c r="B5127" s="70"/>
      <c r="C5127" s="70"/>
      <c r="D5127" s="70"/>
      <c r="E5127" s="70"/>
      <c r="F5127" s="70"/>
      <c r="G5127" s="94"/>
      <c r="H5127" s="131"/>
      <c r="I5127" s="3"/>
    </row>
    <row r="5128" spans="1:9" s="93" customFormat="1" ht="9" customHeight="1" x14ac:dyDescent="0.3">
      <c r="A5128" s="91"/>
      <c r="B5128" s="70"/>
      <c r="C5128" s="70"/>
      <c r="D5128" s="70"/>
      <c r="E5128" s="70"/>
      <c r="F5128" s="70"/>
      <c r="G5128" s="94"/>
      <c r="H5128" s="131"/>
      <c r="I5128" s="3"/>
    </row>
    <row r="5129" spans="1:9" s="93" customFormat="1" ht="9" customHeight="1" x14ac:dyDescent="0.3">
      <c r="A5129" s="91"/>
      <c r="B5129" s="70"/>
      <c r="C5129" s="70"/>
      <c r="D5129" s="70"/>
      <c r="E5129" s="70"/>
      <c r="F5129" s="70"/>
      <c r="G5129" s="94"/>
      <c r="H5129" s="131"/>
      <c r="I5129" s="3"/>
    </row>
    <row r="5130" spans="1:9" s="93" customFormat="1" ht="9" customHeight="1" x14ac:dyDescent="0.3">
      <c r="A5130" s="91"/>
      <c r="B5130" s="70"/>
      <c r="C5130" s="70"/>
      <c r="D5130" s="70"/>
      <c r="E5130" s="70"/>
      <c r="F5130" s="70"/>
      <c r="G5130" s="94"/>
      <c r="H5130" s="131"/>
      <c r="I5130" s="3"/>
    </row>
    <row r="5131" spans="1:9" s="93" customFormat="1" ht="9" customHeight="1" x14ac:dyDescent="0.3">
      <c r="A5131" s="91"/>
      <c r="B5131" s="70"/>
      <c r="C5131" s="70"/>
      <c r="D5131" s="70"/>
      <c r="E5131" s="70"/>
      <c r="F5131" s="70"/>
      <c r="G5131" s="94"/>
      <c r="H5131" s="131"/>
      <c r="I5131" s="3"/>
    </row>
    <row r="5132" spans="1:9" s="93" customFormat="1" ht="9" customHeight="1" x14ac:dyDescent="0.3">
      <c r="A5132" s="91"/>
      <c r="B5132" s="70"/>
      <c r="C5132" s="70"/>
      <c r="D5132" s="70"/>
      <c r="E5132" s="70"/>
      <c r="F5132" s="70"/>
      <c r="G5132" s="94"/>
      <c r="H5132" s="131"/>
      <c r="I5132" s="3"/>
    </row>
    <row r="5133" spans="1:9" s="93" customFormat="1" ht="9" customHeight="1" x14ac:dyDescent="0.3">
      <c r="A5133" s="91"/>
      <c r="B5133" s="70"/>
      <c r="C5133" s="70"/>
      <c r="D5133" s="70"/>
      <c r="E5133" s="70"/>
      <c r="F5133" s="70"/>
      <c r="G5133" s="94"/>
      <c r="H5133" s="131"/>
      <c r="I5133" s="3"/>
    </row>
    <row r="5134" spans="1:9" s="93" customFormat="1" ht="9" customHeight="1" x14ac:dyDescent="0.3">
      <c r="A5134" s="91"/>
      <c r="B5134" s="70"/>
      <c r="C5134" s="70"/>
      <c r="D5134" s="70"/>
      <c r="E5134" s="70"/>
      <c r="F5134" s="70"/>
      <c r="G5134" s="94"/>
      <c r="H5134" s="131"/>
      <c r="I5134" s="3"/>
    </row>
    <row r="5135" spans="1:9" s="93" customFormat="1" ht="9" customHeight="1" x14ac:dyDescent="0.3">
      <c r="A5135" s="91"/>
      <c r="B5135" s="70"/>
      <c r="C5135" s="70"/>
      <c r="D5135" s="70"/>
      <c r="E5135" s="70"/>
      <c r="F5135" s="70"/>
      <c r="G5135" s="94"/>
      <c r="H5135" s="131"/>
      <c r="I5135" s="3"/>
    </row>
    <row r="5136" spans="1:9" s="93" customFormat="1" ht="9" customHeight="1" x14ac:dyDescent="0.3">
      <c r="A5136" s="91"/>
      <c r="B5136" s="70"/>
      <c r="C5136" s="70"/>
      <c r="D5136" s="70"/>
      <c r="E5136" s="70"/>
      <c r="F5136" s="70"/>
      <c r="G5136" s="94"/>
      <c r="H5136" s="131"/>
      <c r="I5136" s="3"/>
    </row>
    <row r="5137" spans="1:9" s="93" customFormat="1" ht="9" customHeight="1" x14ac:dyDescent="0.3">
      <c r="A5137" s="91"/>
      <c r="B5137" s="70"/>
      <c r="C5137" s="70"/>
      <c r="D5137" s="70"/>
      <c r="E5137" s="70"/>
      <c r="F5137" s="70"/>
      <c r="G5137" s="94"/>
      <c r="H5137" s="131"/>
      <c r="I5137" s="3"/>
    </row>
    <row r="5138" spans="1:9" s="93" customFormat="1" ht="9" customHeight="1" x14ac:dyDescent="0.3">
      <c r="A5138" s="91"/>
      <c r="B5138" s="70"/>
      <c r="C5138" s="70"/>
      <c r="D5138" s="70"/>
      <c r="E5138" s="70"/>
      <c r="F5138" s="70"/>
      <c r="G5138" s="94"/>
      <c r="H5138" s="131"/>
      <c r="I5138" s="3"/>
    </row>
    <row r="5139" spans="1:9" s="93" customFormat="1" ht="9" customHeight="1" x14ac:dyDescent="0.3">
      <c r="A5139" s="91"/>
      <c r="B5139" s="70"/>
      <c r="C5139" s="70"/>
      <c r="D5139" s="70"/>
      <c r="E5139" s="70"/>
      <c r="F5139" s="70"/>
      <c r="G5139" s="94"/>
      <c r="H5139" s="131"/>
      <c r="I5139" s="3"/>
    </row>
    <row r="5140" spans="1:9" s="93" customFormat="1" ht="9" customHeight="1" x14ac:dyDescent="0.3">
      <c r="A5140" s="91"/>
      <c r="B5140" s="70"/>
      <c r="C5140" s="70"/>
      <c r="D5140" s="70"/>
      <c r="E5140" s="70"/>
      <c r="F5140" s="70"/>
      <c r="G5140" s="94"/>
      <c r="H5140" s="131"/>
      <c r="I5140" s="3"/>
    </row>
    <row r="5141" spans="1:9" s="93" customFormat="1" ht="9" customHeight="1" x14ac:dyDescent="0.3">
      <c r="A5141" s="91"/>
      <c r="B5141" s="70"/>
      <c r="C5141" s="70"/>
      <c r="D5141" s="70"/>
      <c r="E5141" s="70"/>
      <c r="F5141" s="70"/>
      <c r="G5141" s="94"/>
      <c r="H5141" s="131"/>
      <c r="I5141" s="3"/>
    </row>
    <row r="5142" spans="1:9" s="93" customFormat="1" ht="9" customHeight="1" x14ac:dyDescent="0.3">
      <c r="A5142" s="91"/>
      <c r="B5142" s="70"/>
      <c r="C5142" s="70"/>
      <c r="D5142" s="70"/>
      <c r="E5142" s="70"/>
      <c r="F5142" s="70"/>
      <c r="G5142" s="94"/>
      <c r="H5142" s="131"/>
      <c r="I5142" s="3"/>
    </row>
    <row r="5143" spans="1:9" s="93" customFormat="1" ht="9" customHeight="1" x14ac:dyDescent="0.3">
      <c r="A5143" s="91"/>
      <c r="B5143" s="70"/>
      <c r="C5143" s="70"/>
      <c r="D5143" s="70"/>
      <c r="E5143" s="70"/>
      <c r="F5143" s="70"/>
      <c r="G5143" s="94"/>
      <c r="H5143" s="131"/>
      <c r="I5143" s="3"/>
    </row>
    <row r="5144" spans="1:9" s="93" customFormat="1" ht="9" customHeight="1" x14ac:dyDescent="0.3">
      <c r="A5144" s="91"/>
      <c r="B5144" s="70"/>
      <c r="C5144" s="70"/>
      <c r="D5144" s="70"/>
      <c r="E5144" s="70"/>
      <c r="F5144" s="70"/>
      <c r="G5144" s="94"/>
      <c r="H5144" s="131"/>
      <c r="I5144" s="3"/>
    </row>
    <row r="5145" spans="1:9" s="93" customFormat="1" ht="9" customHeight="1" x14ac:dyDescent="0.3">
      <c r="A5145" s="91"/>
      <c r="B5145" s="70"/>
      <c r="C5145" s="70"/>
      <c r="D5145" s="70"/>
      <c r="E5145" s="70"/>
      <c r="F5145" s="70"/>
      <c r="G5145" s="94"/>
      <c r="H5145" s="131"/>
      <c r="I5145" s="3"/>
    </row>
    <row r="5146" spans="1:9" s="93" customFormat="1" ht="9" customHeight="1" x14ac:dyDescent="0.3">
      <c r="A5146" s="91"/>
      <c r="B5146" s="70"/>
      <c r="C5146" s="70"/>
      <c r="D5146" s="70"/>
      <c r="E5146" s="70"/>
      <c r="F5146" s="70"/>
      <c r="G5146" s="94"/>
      <c r="H5146" s="131"/>
      <c r="I5146" s="3"/>
    </row>
    <row r="5147" spans="1:9" s="93" customFormat="1" ht="9" customHeight="1" x14ac:dyDescent="0.3">
      <c r="A5147" s="91"/>
      <c r="B5147" s="70"/>
      <c r="C5147" s="70"/>
      <c r="D5147" s="70"/>
      <c r="E5147" s="70"/>
      <c r="F5147" s="70"/>
      <c r="G5147" s="94"/>
      <c r="H5147" s="131"/>
      <c r="I5147" s="3"/>
    </row>
    <row r="5148" spans="1:9" s="93" customFormat="1" ht="9" customHeight="1" x14ac:dyDescent="0.3">
      <c r="A5148" s="91"/>
      <c r="B5148" s="70"/>
      <c r="C5148" s="70"/>
      <c r="D5148" s="70"/>
      <c r="E5148" s="70"/>
      <c r="F5148" s="70"/>
      <c r="G5148" s="94"/>
      <c r="H5148" s="131"/>
      <c r="I5148" s="3"/>
    </row>
    <row r="5149" spans="1:9" s="93" customFormat="1" ht="9" customHeight="1" x14ac:dyDescent="0.3">
      <c r="A5149" s="91"/>
      <c r="B5149" s="70"/>
      <c r="C5149" s="70"/>
      <c r="D5149" s="70"/>
      <c r="E5149" s="70"/>
      <c r="F5149" s="70"/>
      <c r="G5149" s="94"/>
      <c r="H5149" s="131"/>
      <c r="I5149" s="3"/>
    </row>
    <row r="5150" spans="1:9" s="93" customFormat="1" ht="9" customHeight="1" x14ac:dyDescent="0.3">
      <c r="A5150" s="91"/>
      <c r="B5150" s="70"/>
      <c r="C5150" s="70"/>
      <c r="D5150" s="70"/>
      <c r="E5150" s="70"/>
      <c r="F5150" s="70"/>
      <c r="G5150" s="94"/>
      <c r="H5150" s="131"/>
      <c r="I5150" s="3"/>
    </row>
    <row r="5151" spans="1:9" s="93" customFormat="1" ht="9" customHeight="1" x14ac:dyDescent="0.3">
      <c r="A5151" s="91"/>
      <c r="B5151" s="70"/>
      <c r="C5151" s="70"/>
      <c r="D5151" s="70"/>
      <c r="E5151" s="70"/>
      <c r="F5151" s="70"/>
      <c r="G5151" s="94"/>
      <c r="H5151" s="131"/>
      <c r="I5151" s="3"/>
    </row>
    <row r="5152" spans="1:9" s="93" customFormat="1" ht="9" customHeight="1" x14ac:dyDescent="0.3">
      <c r="A5152" s="91"/>
      <c r="B5152" s="70"/>
      <c r="C5152" s="70"/>
      <c r="D5152" s="70"/>
      <c r="E5152" s="70"/>
      <c r="F5152" s="70"/>
      <c r="G5152" s="94"/>
      <c r="H5152" s="131"/>
      <c r="I5152" s="3"/>
    </row>
    <row r="5153" spans="1:9" s="93" customFormat="1" ht="9" customHeight="1" x14ac:dyDescent="0.3">
      <c r="A5153" s="91"/>
      <c r="B5153" s="70"/>
      <c r="C5153" s="70"/>
      <c r="D5153" s="70"/>
      <c r="E5153" s="70"/>
      <c r="F5153" s="70"/>
      <c r="G5153" s="94"/>
      <c r="H5153" s="131"/>
      <c r="I5153" s="3"/>
    </row>
    <row r="5154" spans="1:9" s="93" customFormat="1" ht="9" customHeight="1" x14ac:dyDescent="0.3">
      <c r="A5154" s="91"/>
      <c r="B5154" s="70"/>
      <c r="C5154" s="70"/>
      <c r="D5154" s="70"/>
      <c r="E5154" s="70"/>
      <c r="F5154" s="70"/>
      <c r="G5154" s="94"/>
      <c r="H5154" s="131"/>
      <c r="I5154" s="3"/>
    </row>
    <row r="5155" spans="1:9" s="93" customFormat="1" ht="9" customHeight="1" x14ac:dyDescent="0.3">
      <c r="A5155" s="91"/>
      <c r="B5155" s="70"/>
      <c r="C5155" s="70"/>
      <c r="D5155" s="70"/>
      <c r="E5155" s="70"/>
      <c r="F5155" s="70"/>
      <c r="G5155" s="94"/>
      <c r="H5155" s="131"/>
      <c r="I5155" s="3"/>
    </row>
    <row r="5156" spans="1:9" s="93" customFormat="1" ht="9" customHeight="1" x14ac:dyDescent="0.3">
      <c r="A5156" s="91"/>
      <c r="B5156" s="70"/>
      <c r="C5156" s="70"/>
      <c r="D5156" s="70"/>
      <c r="E5156" s="70"/>
      <c r="F5156" s="70"/>
      <c r="G5156" s="94"/>
      <c r="H5156" s="131"/>
      <c r="I5156" s="3"/>
    </row>
    <row r="5157" spans="1:9" s="93" customFormat="1" ht="9" customHeight="1" x14ac:dyDescent="0.3">
      <c r="A5157" s="91"/>
      <c r="B5157" s="70"/>
      <c r="C5157" s="70"/>
      <c r="D5157" s="70"/>
      <c r="E5157" s="70"/>
      <c r="F5157" s="70"/>
      <c r="G5157" s="94"/>
      <c r="H5157" s="131"/>
      <c r="I5157" s="3"/>
    </row>
    <row r="5158" spans="1:9" s="93" customFormat="1" ht="9" customHeight="1" x14ac:dyDescent="0.3">
      <c r="A5158" s="91"/>
      <c r="B5158" s="70"/>
      <c r="C5158" s="70"/>
      <c r="D5158" s="70"/>
      <c r="E5158" s="70"/>
      <c r="F5158" s="70"/>
      <c r="G5158" s="94"/>
      <c r="H5158" s="131"/>
      <c r="I5158" s="3"/>
    </row>
    <row r="5159" spans="1:9" s="93" customFormat="1" ht="9" customHeight="1" x14ac:dyDescent="0.3">
      <c r="A5159" s="91"/>
      <c r="B5159" s="70"/>
      <c r="C5159" s="70"/>
      <c r="D5159" s="70"/>
      <c r="E5159" s="70"/>
      <c r="F5159" s="70"/>
      <c r="G5159" s="94"/>
      <c r="H5159" s="131"/>
      <c r="I5159" s="3"/>
    </row>
    <row r="5160" spans="1:9" s="93" customFormat="1" ht="9" customHeight="1" x14ac:dyDescent="0.3">
      <c r="A5160" s="91"/>
      <c r="B5160" s="70"/>
      <c r="C5160" s="70"/>
      <c r="D5160" s="70"/>
      <c r="E5160" s="70"/>
      <c r="F5160" s="70"/>
      <c r="G5160" s="94"/>
      <c r="H5160" s="131"/>
      <c r="I5160" s="3"/>
    </row>
    <row r="5161" spans="1:9" s="93" customFormat="1" ht="9" customHeight="1" x14ac:dyDescent="0.3">
      <c r="A5161" s="91"/>
      <c r="B5161" s="70"/>
      <c r="C5161" s="70"/>
      <c r="D5161" s="70"/>
      <c r="E5161" s="70"/>
      <c r="F5161" s="70"/>
      <c r="G5161" s="94"/>
      <c r="H5161" s="131"/>
      <c r="I5161" s="3"/>
    </row>
    <row r="5162" spans="1:9" s="93" customFormat="1" ht="9" customHeight="1" x14ac:dyDescent="0.3">
      <c r="A5162" s="91"/>
      <c r="B5162" s="70"/>
      <c r="C5162" s="70"/>
      <c r="D5162" s="70"/>
      <c r="E5162" s="70"/>
      <c r="F5162" s="70"/>
      <c r="G5162" s="94"/>
      <c r="H5162" s="131"/>
      <c r="I5162" s="3"/>
    </row>
    <row r="5163" spans="1:9" s="93" customFormat="1" ht="9" customHeight="1" x14ac:dyDescent="0.3">
      <c r="A5163" s="91"/>
      <c r="B5163" s="70"/>
      <c r="C5163" s="70"/>
      <c r="D5163" s="70"/>
      <c r="E5163" s="70"/>
      <c r="F5163" s="70"/>
      <c r="G5163" s="94"/>
      <c r="H5163" s="131"/>
      <c r="I5163" s="3"/>
    </row>
    <row r="5164" spans="1:9" s="93" customFormat="1" ht="9" customHeight="1" x14ac:dyDescent="0.3">
      <c r="A5164" s="91"/>
      <c r="B5164" s="70"/>
      <c r="C5164" s="70"/>
      <c r="D5164" s="70"/>
      <c r="E5164" s="70"/>
      <c r="F5164" s="70"/>
      <c r="G5164" s="94"/>
      <c r="H5164" s="131"/>
      <c r="I5164" s="3"/>
    </row>
    <row r="5165" spans="1:9" s="93" customFormat="1" ht="9" customHeight="1" x14ac:dyDescent="0.3">
      <c r="A5165" s="91"/>
      <c r="B5165" s="70"/>
      <c r="C5165" s="70"/>
      <c r="D5165" s="70"/>
      <c r="E5165" s="70"/>
      <c r="F5165" s="70"/>
      <c r="G5165" s="94"/>
      <c r="H5165" s="131"/>
      <c r="I5165" s="3"/>
    </row>
    <row r="5166" spans="1:9" s="93" customFormat="1" ht="9" customHeight="1" x14ac:dyDescent="0.3">
      <c r="A5166" s="91"/>
      <c r="B5166" s="70"/>
      <c r="C5166" s="70"/>
      <c r="D5166" s="70"/>
      <c r="E5166" s="70"/>
      <c r="F5166" s="70"/>
      <c r="G5166" s="94"/>
      <c r="H5166" s="131"/>
      <c r="I5166" s="3"/>
    </row>
    <row r="5167" spans="1:9" s="93" customFormat="1" ht="9" customHeight="1" x14ac:dyDescent="0.3">
      <c r="A5167" s="91"/>
      <c r="B5167" s="70"/>
      <c r="C5167" s="70"/>
      <c r="D5167" s="70"/>
      <c r="E5167" s="70"/>
      <c r="F5167" s="70"/>
      <c r="G5167" s="94"/>
      <c r="H5167" s="131"/>
      <c r="I5167" s="3"/>
    </row>
    <row r="5168" spans="1:9" s="93" customFormat="1" ht="9" customHeight="1" x14ac:dyDescent="0.3">
      <c r="A5168" s="91"/>
      <c r="B5168" s="70"/>
      <c r="C5168" s="70"/>
      <c r="D5168" s="70"/>
      <c r="E5168" s="70"/>
      <c r="F5168" s="70"/>
      <c r="G5168" s="94"/>
      <c r="H5168" s="131"/>
      <c r="I5168" s="3"/>
    </row>
    <row r="5169" spans="1:9" s="93" customFormat="1" ht="9" customHeight="1" x14ac:dyDescent="0.3">
      <c r="A5169" s="91"/>
      <c r="B5169" s="70"/>
      <c r="C5169" s="70"/>
      <c r="D5169" s="70"/>
      <c r="E5169" s="70"/>
      <c r="F5169" s="70"/>
      <c r="G5169" s="94"/>
      <c r="H5169" s="131"/>
      <c r="I5169" s="3"/>
    </row>
    <row r="5170" spans="1:9" s="93" customFormat="1" ht="9" customHeight="1" x14ac:dyDescent="0.3">
      <c r="A5170" s="91"/>
      <c r="B5170" s="70"/>
      <c r="C5170" s="70"/>
      <c r="D5170" s="70"/>
      <c r="E5170" s="70"/>
      <c r="F5170" s="70"/>
      <c r="G5170" s="94"/>
      <c r="H5170" s="131"/>
      <c r="I5170" s="3"/>
    </row>
    <row r="5171" spans="1:9" s="93" customFormat="1" ht="9" customHeight="1" x14ac:dyDescent="0.3">
      <c r="A5171" s="91"/>
      <c r="B5171" s="70"/>
      <c r="C5171" s="70"/>
      <c r="D5171" s="70"/>
      <c r="E5171" s="70"/>
      <c r="F5171" s="70"/>
      <c r="G5171" s="94"/>
      <c r="H5171" s="131"/>
      <c r="I5171" s="3"/>
    </row>
    <row r="5172" spans="1:9" s="93" customFormat="1" ht="9" customHeight="1" x14ac:dyDescent="0.3">
      <c r="A5172" s="91"/>
      <c r="B5172" s="70"/>
      <c r="C5172" s="70"/>
      <c r="D5172" s="70"/>
      <c r="E5172" s="70"/>
      <c r="F5172" s="70"/>
      <c r="G5172" s="94"/>
      <c r="H5172" s="131"/>
      <c r="I5172" s="3"/>
    </row>
    <row r="5173" spans="1:9" s="93" customFormat="1" ht="9" customHeight="1" x14ac:dyDescent="0.3">
      <c r="A5173" s="91"/>
      <c r="B5173" s="70"/>
      <c r="C5173" s="70"/>
      <c r="D5173" s="70"/>
      <c r="E5173" s="70"/>
      <c r="F5173" s="70"/>
      <c r="G5173" s="94"/>
      <c r="H5173" s="131"/>
      <c r="I5173" s="3"/>
    </row>
    <row r="5174" spans="1:9" s="93" customFormat="1" ht="9" customHeight="1" x14ac:dyDescent="0.3">
      <c r="A5174" s="91"/>
      <c r="B5174" s="70"/>
      <c r="C5174" s="70"/>
      <c r="D5174" s="70"/>
      <c r="E5174" s="70"/>
      <c r="F5174" s="70"/>
      <c r="G5174" s="94"/>
      <c r="H5174" s="131"/>
      <c r="I5174" s="3"/>
    </row>
    <row r="5175" spans="1:9" s="93" customFormat="1" ht="9" customHeight="1" x14ac:dyDescent="0.3">
      <c r="A5175" s="91"/>
      <c r="B5175" s="70"/>
      <c r="C5175" s="70"/>
      <c r="D5175" s="70"/>
      <c r="E5175" s="70"/>
      <c r="F5175" s="70"/>
      <c r="G5175" s="94"/>
      <c r="H5175" s="131"/>
      <c r="I5175" s="3"/>
    </row>
    <row r="5176" spans="1:9" s="93" customFormat="1" ht="9" customHeight="1" x14ac:dyDescent="0.3">
      <c r="A5176" s="91"/>
      <c r="B5176" s="70"/>
      <c r="C5176" s="70"/>
      <c r="D5176" s="70"/>
      <c r="E5176" s="70"/>
      <c r="F5176" s="70"/>
      <c r="G5176" s="94"/>
      <c r="H5176" s="131"/>
      <c r="I5176" s="3"/>
    </row>
    <row r="5177" spans="1:9" s="93" customFormat="1" ht="9" customHeight="1" x14ac:dyDescent="0.3">
      <c r="A5177" s="91"/>
      <c r="B5177" s="70"/>
      <c r="C5177" s="70"/>
      <c r="D5177" s="70"/>
      <c r="E5177" s="70"/>
      <c r="F5177" s="70"/>
      <c r="G5177" s="94"/>
      <c r="H5177" s="131"/>
      <c r="I5177" s="3"/>
    </row>
    <row r="5178" spans="1:9" s="93" customFormat="1" ht="9" customHeight="1" x14ac:dyDescent="0.3">
      <c r="A5178" s="91"/>
      <c r="B5178" s="70"/>
      <c r="C5178" s="70"/>
      <c r="D5178" s="70"/>
      <c r="E5178" s="70"/>
      <c r="F5178" s="70"/>
      <c r="G5178" s="94"/>
      <c r="H5178" s="131"/>
      <c r="I5178" s="3"/>
    </row>
    <row r="5179" spans="1:9" s="93" customFormat="1" ht="9" customHeight="1" x14ac:dyDescent="0.3">
      <c r="A5179" s="91"/>
      <c r="B5179" s="70"/>
      <c r="C5179" s="70"/>
      <c r="D5179" s="70"/>
      <c r="E5179" s="70"/>
      <c r="F5179" s="70"/>
      <c r="G5179" s="94"/>
      <c r="H5179" s="131"/>
      <c r="I5179" s="3"/>
    </row>
    <row r="5180" spans="1:9" s="93" customFormat="1" ht="9" customHeight="1" x14ac:dyDescent="0.3">
      <c r="A5180" s="91"/>
      <c r="B5180" s="70"/>
      <c r="C5180" s="70"/>
      <c r="D5180" s="70"/>
      <c r="E5180" s="70"/>
      <c r="F5180" s="70"/>
      <c r="G5180" s="94"/>
      <c r="H5180" s="131"/>
      <c r="I5180" s="3"/>
    </row>
    <row r="5181" spans="1:9" s="93" customFormat="1" ht="9" customHeight="1" x14ac:dyDescent="0.3">
      <c r="A5181" s="91"/>
      <c r="B5181" s="70"/>
      <c r="C5181" s="70"/>
      <c r="D5181" s="70"/>
      <c r="E5181" s="70"/>
      <c r="F5181" s="70"/>
      <c r="G5181" s="94"/>
      <c r="H5181" s="131"/>
      <c r="I5181" s="3"/>
    </row>
    <row r="5182" spans="1:9" s="93" customFormat="1" ht="9" customHeight="1" x14ac:dyDescent="0.3">
      <c r="A5182" s="91"/>
      <c r="B5182" s="70"/>
      <c r="C5182" s="70"/>
      <c r="D5182" s="70"/>
      <c r="E5182" s="70"/>
      <c r="F5182" s="70"/>
      <c r="G5182" s="94"/>
      <c r="H5182" s="131"/>
      <c r="I5182" s="3"/>
    </row>
    <row r="5183" spans="1:9" s="93" customFormat="1" ht="9" customHeight="1" x14ac:dyDescent="0.3">
      <c r="A5183" s="91"/>
      <c r="B5183" s="70"/>
      <c r="C5183" s="70"/>
      <c r="D5183" s="70"/>
      <c r="E5183" s="70"/>
      <c r="F5183" s="70"/>
      <c r="G5183" s="94"/>
      <c r="H5183" s="131"/>
      <c r="I5183" s="3"/>
    </row>
    <row r="5184" spans="1:9" s="93" customFormat="1" ht="9" customHeight="1" x14ac:dyDescent="0.3">
      <c r="A5184" s="91"/>
      <c r="B5184" s="70"/>
      <c r="C5184" s="70"/>
      <c r="D5184" s="70"/>
      <c r="E5184" s="70"/>
      <c r="F5184" s="70"/>
      <c r="G5184" s="94"/>
      <c r="H5184" s="131"/>
      <c r="I5184" s="3"/>
    </row>
    <row r="5185" spans="1:9" s="93" customFormat="1" ht="9" customHeight="1" x14ac:dyDescent="0.3">
      <c r="A5185" s="91"/>
      <c r="B5185" s="70"/>
      <c r="C5185" s="70"/>
      <c r="D5185" s="70"/>
      <c r="E5185" s="70"/>
      <c r="F5185" s="70"/>
      <c r="G5185" s="94"/>
      <c r="H5185" s="131"/>
      <c r="I5185" s="3"/>
    </row>
    <row r="5186" spans="1:9" s="93" customFormat="1" ht="9" customHeight="1" x14ac:dyDescent="0.3">
      <c r="A5186" s="91"/>
      <c r="B5186" s="70"/>
      <c r="C5186" s="70"/>
      <c r="D5186" s="70"/>
      <c r="E5186" s="70"/>
      <c r="F5186" s="70"/>
      <c r="G5186" s="94"/>
      <c r="H5186" s="131"/>
      <c r="I5186" s="3"/>
    </row>
    <row r="5187" spans="1:9" s="93" customFormat="1" ht="9" customHeight="1" x14ac:dyDescent="0.3">
      <c r="A5187" s="91"/>
      <c r="B5187" s="70"/>
      <c r="C5187" s="70"/>
      <c r="D5187" s="70"/>
      <c r="E5187" s="70"/>
      <c r="F5187" s="70"/>
      <c r="G5187" s="94"/>
      <c r="H5187" s="131"/>
      <c r="I5187" s="3"/>
    </row>
    <row r="5188" spans="1:9" s="93" customFormat="1" ht="9" customHeight="1" x14ac:dyDescent="0.3">
      <c r="A5188" s="91"/>
      <c r="B5188" s="70"/>
      <c r="C5188" s="70"/>
      <c r="D5188" s="70"/>
      <c r="E5188" s="70"/>
      <c r="F5188" s="70"/>
      <c r="G5188" s="94"/>
      <c r="H5188" s="131"/>
      <c r="I5188" s="3"/>
    </row>
    <row r="5189" spans="1:9" s="93" customFormat="1" ht="9" customHeight="1" x14ac:dyDescent="0.3">
      <c r="A5189" s="91"/>
      <c r="B5189" s="70"/>
      <c r="C5189" s="70"/>
      <c r="D5189" s="70"/>
      <c r="E5189" s="70"/>
      <c r="F5189" s="70"/>
      <c r="G5189" s="94"/>
      <c r="H5189" s="131"/>
      <c r="I5189" s="3"/>
    </row>
    <row r="5190" spans="1:9" s="93" customFormat="1" ht="9" customHeight="1" x14ac:dyDescent="0.3">
      <c r="A5190" s="91"/>
      <c r="B5190" s="70"/>
      <c r="C5190" s="70"/>
      <c r="D5190" s="70"/>
      <c r="E5190" s="70"/>
      <c r="F5190" s="70"/>
      <c r="G5190" s="94"/>
      <c r="H5190" s="131"/>
      <c r="I5190" s="3"/>
    </row>
    <row r="5191" spans="1:9" s="93" customFormat="1" ht="9" customHeight="1" x14ac:dyDescent="0.3">
      <c r="A5191" s="91"/>
      <c r="B5191" s="70"/>
      <c r="C5191" s="70"/>
      <c r="D5191" s="70"/>
      <c r="E5191" s="70"/>
      <c r="F5191" s="70"/>
      <c r="G5191" s="94"/>
      <c r="H5191" s="131"/>
      <c r="I5191" s="3"/>
    </row>
    <row r="5192" spans="1:9" s="93" customFormat="1" ht="9" customHeight="1" x14ac:dyDescent="0.3">
      <c r="A5192" s="91"/>
      <c r="B5192" s="70"/>
      <c r="C5192" s="70"/>
      <c r="D5192" s="70"/>
      <c r="E5192" s="70"/>
      <c r="F5192" s="70"/>
      <c r="G5192" s="94"/>
      <c r="H5192" s="131"/>
      <c r="I5192" s="3"/>
    </row>
    <row r="5193" spans="1:9" s="93" customFormat="1" ht="9" customHeight="1" x14ac:dyDescent="0.3">
      <c r="A5193" s="91"/>
      <c r="B5193" s="70"/>
      <c r="C5193" s="70"/>
      <c r="D5193" s="70"/>
      <c r="E5193" s="70"/>
      <c r="F5193" s="70"/>
      <c r="G5193" s="94"/>
      <c r="H5193" s="131"/>
      <c r="I5193" s="3"/>
    </row>
    <row r="5194" spans="1:9" s="93" customFormat="1" ht="9" customHeight="1" x14ac:dyDescent="0.3">
      <c r="A5194" s="91"/>
      <c r="B5194" s="70"/>
      <c r="C5194" s="70"/>
      <c r="D5194" s="70"/>
      <c r="E5194" s="70"/>
      <c r="F5194" s="70"/>
      <c r="G5194" s="94"/>
      <c r="H5194" s="131"/>
      <c r="I5194" s="3"/>
    </row>
    <row r="5195" spans="1:9" s="93" customFormat="1" ht="9" customHeight="1" x14ac:dyDescent="0.3">
      <c r="A5195" s="91"/>
      <c r="B5195" s="70"/>
      <c r="C5195" s="70"/>
      <c r="D5195" s="70"/>
      <c r="E5195" s="70"/>
      <c r="F5195" s="70"/>
      <c r="G5195" s="94"/>
      <c r="H5195" s="131"/>
      <c r="I5195" s="3"/>
    </row>
    <row r="5196" spans="1:9" s="93" customFormat="1" ht="9" customHeight="1" x14ac:dyDescent="0.3">
      <c r="A5196" s="91"/>
      <c r="B5196" s="70"/>
      <c r="C5196" s="70"/>
      <c r="D5196" s="70"/>
      <c r="E5196" s="70"/>
      <c r="F5196" s="70"/>
      <c r="G5196" s="94"/>
      <c r="H5196" s="131"/>
      <c r="I5196" s="3"/>
    </row>
    <row r="5197" spans="1:9" s="93" customFormat="1" ht="9" customHeight="1" x14ac:dyDescent="0.3">
      <c r="A5197" s="91"/>
      <c r="B5197" s="70"/>
      <c r="C5197" s="70"/>
      <c r="D5197" s="70"/>
      <c r="E5197" s="70"/>
      <c r="F5197" s="70"/>
      <c r="G5197" s="94"/>
      <c r="H5197" s="131"/>
      <c r="I5197" s="3"/>
    </row>
    <row r="5198" spans="1:9" s="93" customFormat="1" ht="9" customHeight="1" x14ac:dyDescent="0.3">
      <c r="A5198" s="91"/>
      <c r="B5198" s="70"/>
      <c r="C5198" s="70"/>
      <c r="D5198" s="70"/>
      <c r="E5198" s="70"/>
      <c r="F5198" s="70"/>
      <c r="G5198" s="94"/>
      <c r="H5198" s="131"/>
      <c r="I5198" s="3"/>
    </row>
    <row r="5199" spans="1:9" s="93" customFormat="1" ht="9" customHeight="1" x14ac:dyDescent="0.3">
      <c r="A5199" s="91"/>
      <c r="B5199" s="70"/>
      <c r="C5199" s="70"/>
      <c r="D5199" s="70"/>
      <c r="E5199" s="70"/>
      <c r="F5199" s="70"/>
      <c r="G5199" s="94"/>
      <c r="H5199" s="131"/>
      <c r="I5199" s="3"/>
    </row>
    <row r="5200" spans="1:9" s="93" customFormat="1" ht="9" customHeight="1" x14ac:dyDescent="0.3">
      <c r="A5200" s="91"/>
      <c r="B5200" s="70"/>
      <c r="C5200" s="70"/>
      <c r="D5200" s="70"/>
      <c r="E5200" s="70"/>
      <c r="F5200" s="70"/>
      <c r="G5200" s="94"/>
      <c r="H5200" s="131"/>
      <c r="I5200" s="3"/>
    </row>
    <row r="5201" spans="1:9" s="93" customFormat="1" ht="9" customHeight="1" x14ac:dyDescent="0.3">
      <c r="A5201" s="91"/>
      <c r="B5201" s="70"/>
      <c r="C5201" s="70"/>
      <c r="D5201" s="70"/>
      <c r="E5201" s="70"/>
      <c r="F5201" s="70"/>
      <c r="G5201" s="94"/>
      <c r="H5201" s="131"/>
      <c r="I5201" s="3"/>
    </row>
    <row r="5202" spans="1:9" s="93" customFormat="1" ht="9" customHeight="1" x14ac:dyDescent="0.3">
      <c r="A5202" s="91"/>
      <c r="B5202" s="70"/>
      <c r="C5202" s="70"/>
      <c r="D5202" s="70"/>
      <c r="E5202" s="70"/>
      <c r="F5202" s="70"/>
      <c r="G5202" s="94"/>
      <c r="H5202" s="131"/>
      <c r="I5202" s="3"/>
    </row>
    <row r="5203" spans="1:9" s="93" customFormat="1" ht="9" customHeight="1" x14ac:dyDescent="0.3">
      <c r="A5203" s="91"/>
      <c r="B5203" s="70"/>
      <c r="C5203" s="70"/>
      <c r="D5203" s="70"/>
      <c r="E5203" s="70"/>
      <c r="F5203" s="70"/>
      <c r="G5203" s="94"/>
      <c r="H5203" s="131"/>
      <c r="I5203" s="3"/>
    </row>
    <row r="5204" spans="1:9" s="93" customFormat="1" ht="9" customHeight="1" x14ac:dyDescent="0.3">
      <c r="A5204" s="91"/>
      <c r="B5204" s="70"/>
      <c r="C5204" s="70"/>
      <c r="D5204" s="70"/>
      <c r="E5204" s="70"/>
      <c r="F5204" s="70"/>
      <c r="G5204" s="94"/>
      <c r="H5204" s="131"/>
      <c r="I5204" s="3"/>
    </row>
    <row r="5205" spans="1:9" s="93" customFormat="1" ht="9" customHeight="1" x14ac:dyDescent="0.3">
      <c r="A5205" s="91"/>
      <c r="B5205" s="70"/>
      <c r="C5205" s="70"/>
      <c r="D5205" s="70"/>
      <c r="E5205" s="70"/>
      <c r="F5205" s="70"/>
      <c r="G5205" s="94"/>
      <c r="H5205" s="131"/>
      <c r="I5205" s="3"/>
    </row>
    <row r="5206" spans="1:9" s="93" customFormat="1" ht="9" customHeight="1" x14ac:dyDescent="0.3">
      <c r="A5206" s="91"/>
      <c r="B5206" s="70"/>
      <c r="C5206" s="70"/>
      <c r="D5206" s="70"/>
      <c r="E5206" s="70"/>
      <c r="F5206" s="70"/>
      <c r="G5206" s="94"/>
      <c r="H5206" s="131"/>
      <c r="I5206" s="3"/>
    </row>
    <row r="5207" spans="1:9" s="93" customFormat="1" ht="9" customHeight="1" x14ac:dyDescent="0.3">
      <c r="A5207" s="91"/>
      <c r="B5207" s="70"/>
      <c r="C5207" s="70"/>
      <c r="D5207" s="70"/>
      <c r="E5207" s="70"/>
      <c r="F5207" s="70"/>
      <c r="G5207" s="94"/>
      <c r="H5207" s="131"/>
      <c r="I5207" s="3"/>
    </row>
    <row r="5208" spans="1:9" s="93" customFormat="1" ht="9" customHeight="1" x14ac:dyDescent="0.3">
      <c r="A5208" s="91"/>
      <c r="B5208" s="70"/>
      <c r="C5208" s="70"/>
      <c r="D5208" s="70"/>
      <c r="E5208" s="70"/>
      <c r="F5208" s="70"/>
      <c r="G5208" s="94"/>
      <c r="H5208" s="131"/>
      <c r="I5208" s="3"/>
    </row>
    <row r="5209" spans="1:9" s="93" customFormat="1" ht="9" customHeight="1" x14ac:dyDescent="0.3">
      <c r="A5209" s="91"/>
      <c r="B5209" s="70"/>
      <c r="C5209" s="70"/>
      <c r="D5209" s="70"/>
      <c r="E5209" s="70"/>
      <c r="F5209" s="70"/>
      <c r="G5209" s="94"/>
      <c r="H5209" s="131"/>
      <c r="I5209" s="3"/>
    </row>
    <row r="5210" spans="1:9" s="93" customFormat="1" ht="9" customHeight="1" x14ac:dyDescent="0.3">
      <c r="A5210" s="91"/>
      <c r="B5210" s="70"/>
      <c r="C5210" s="70"/>
      <c r="D5210" s="70"/>
      <c r="E5210" s="70"/>
      <c r="F5210" s="70"/>
      <c r="G5210" s="94"/>
      <c r="H5210" s="131"/>
      <c r="I5210" s="3"/>
    </row>
    <row r="5211" spans="1:9" s="93" customFormat="1" ht="9" customHeight="1" x14ac:dyDescent="0.3">
      <c r="A5211" s="91"/>
      <c r="B5211" s="70"/>
      <c r="C5211" s="70"/>
      <c r="D5211" s="70"/>
      <c r="E5211" s="70"/>
      <c r="F5211" s="70"/>
      <c r="G5211" s="94"/>
      <c r="H5211" s="131"/>
      <c r="I5211" s="3"/>
    </row>
    <row r="5212" spans="1:9" s="93" customFormat="1" ht="9" customHeight="1" x14ac:dyDescent="0.3">
      <c r="A5212" s="91"/>
      <c r="B5212" s="70"/>
      <c r="C5212" s="70"/>
      <c r="D5212" s="70"/>
      <c r="E5212" s="70"/>
      <c r="F5212" s="70"/>
      <c r="G5212" s="94"/>
      <c r="H5212" s="131"/>
      <c r="I5212" s="3"/>
    </row>
    <row r="5213" spans="1:9" s="93" customFormat="1" ht="9" customHeight="1" x14ac:dyDescent="0.3">
      <c r="A5213" s="91"/>
      <c r="B5213" s="70"/>
      <c r="C5213" s="70"/>
      <c r="D5213" s="70"/>
      <c r="E5213" s="70"/>
      <c r="F5213" s="70"/>
      <c r="G5213" s="94"/>
      <c r="H5213" s="131"/>
      <c r="I5213" s="3"/>
    </row>
    <row r="5214" spans="1:9" s="93" customFormat="1" ht="9" customHeight="1" x14ac:dyDescent="0.3">
      <c r="A5214" s="91"/>
      <c r="B5214" s="70"/>
      <c r="C5214" s="70"/>
      <c r="D5214" s="70"/>
      <c r="E5214" s="70"/>
      <c r="F5214" s="70"/>
      <c r="G5214" s="94"/>
      <c r="H5214" s="131"/>
      <c r="I5214" s="3"/>
    </row>
    <row r="5215" spans="1:9" s="93" customFormat="1" ht="9" customHeight="1" x14ac:dyDescent="0.3">
      <c r="A5215" s="91"/>
      <c r="B5215" s="70"/>
      <c r="C5215" s="70"/>
      <c r="D5215" s="70"/>
      <c r="E5215" s="70"/>
      <c r="F5215" s="70"/>
      <c r="G5215" s="94"/>
      <c r="H5215" s="131"/>
      <c r="I5215" s="3"/>
    </row>
    <row r="5216" spans="1:9" s="93" customFormat="1" ht="9" customHeight="1" x14ac:dyDescent="0.3">
      <c r="A5216" s="91"/>
      <c r="B5216" s="70"/>
      <c r="C5216" s="70"/>
      <c r="D5216" s="70"/>
      <c r="E5216" s="70"/>
      <c r="F5216" s="70"/>
      <c r="G5216" s="94"/>
      <c r="H5216" s="131"/>
      <c r="I5216" s="3"/>
    </row>
    <row r="5217" spans="1:9" s="93" customFormat="1" ht="9" customHeight="1" x14ac:dyDescent="0.3">
      <c r="A5217" s="91"/>
      <c r="B5217" s="70"/>
      <c r="C5217" s="70"/>
      <c r="D5217" s="70"/>
      <c r="E5217" s="70"/>
      <c r="F5217" s="70"/>
      <c r="G5217" s="94"/>
      <c r="H5217" s="131"/>
      <c r="I5217" s="3"/>
    </row>
    <row r="5218" spans="1:9" s="93" customFormat="1" ht="9" customHeight="1" x14ac:dyDescent="0.3">
      <c r="A5218" s="91"/>
      <c r="B5218" s="70"/>
      <c r="C5218" s="70"/>
      <c r="D5218" s="70"/>
      <c r="E5218" s="70"/>
      <c r="F5218" s="70"/>
      <c r="G5218" s="94"/>
      <c r="H5218" s="131"/>
      <c r="I5218" s="3"/>
    </row>
    <row r="5219" spans="1:9" s="93" customFormat="1" ht="9" customHeight="1" x14ac:dyDescent="0.3">
      <c r="A5219" s="91"/>
      <c r="B5219" s="70"/>
      <c r="C5219" s="70"/>
      <c r="D5219" s="70"/>
      <c r="E5219" s="70"/>
      <c r="F5219" s="70"/>
      <c r="G5219" s="94"/>
      <c r="H5219" s="131"/>
      <c r="I5219" s="3"/>
    </row>
    <row r="5220" spans="1:9" s="93" customFormat="1" ht="9" customHeight="1" x14ac:dyDescent="0.3">
      <c r="A5220" s="91"/>
      <c r="B5220" s="70"/>
      <c r="C5220" s="70"/>
      <c r="D5220" s="70"/>
      <c r="E5220" s="70"/>
      <c r="F5220" s="70"/>
      <c r="G5220" s="94"/>
      <c r="H5220" s="131"/>
      <c r="I5220" s="3"/>
    </row>
    <row r="5221" spans="1:9" s="93" customFormat="1" ht="9" customHeight="1" x14ac:dyDescent="0.3">
      <c r="A5221" s="91"/>
      <c r="B5221" s="70"/>
      <c r="C5221" s="70"/>
      <c r="D5221" s="70"/>
      <c r="E5221" s="70"/>
      <c r="F5221" s="70"/>
      <c r="G5221" s="94"/>
      <c r="H5221" s="131"/>
      <c r="I5221" s="3"/>
    </row>
    <row r="5222" spans="1:9" s="93" customFormat="1" ht="9" customHeight="1" x14ac:dyDescent="0.3">
      <c r="A5222" s="91"/>
      <c r="B5222" s="70"/>
      <c r="C5222" s="70"/>
      <c r="D5222" s="70"/>
      <c r="E5222" s="70"/>
      <c r="F5222" s="70"/>
      <c r="G5222" s="94"/>
      <c r="H5222" s="131"/>
      <c r="I5222" s="3"/>
    </row>
    <row r="5223" spans="1:9" s="93" customFormat="1" ht="9" customHeight="1" x14ac:dyDescent="0.3">
      <c r="A5223" s="91"/>
      <c r="B5223" s="70"/>
      <c r="C5223" s="70"/>
      <c r="D5223" s="70"/>
      <c r="E5223" s="70"/>
      <c r="F5223" s="70"/>
      <c r="G5223" s="94"/>
      <c r="H5223" s="131"/>
      <c r="I5223" s="3"/>
    </row>
    <row r="5224" spans="1:9" s="93" customFormat="1" ht="9" customHeight="1" x14ac:dyDescent="0.3">
      <c r="A5224" s="91"/>
      <c r="B5224" s="70"/>
      <c r="C5224" s="70"/>
      <c r="D5224" s="70"/>
      <c r="E5224" s="70"/>
      <c r="F5224" s="70"/>
      <c r="G5224" s="94"/>
      <c r="H5224" s="131"/>
      <c r="I5224" s="3"/>
    </row>
    <row r="5225" spans="1:9" s="93" customFormat="1" ht="9" customHeight="1" x14ac:dyDescent="0.3">
      <c r="A5225" s="91"/>
      <c r="B5225" s="70"/>
      <c r="C5225" s="70"/>
      <c r="D5225" s="70"/>
      <c r="E5225" s="70"/>
      <c r="F5225" s="70"/>
      <c r="G5225" s="94"/>
      <c r="H5225" s="131"/>
      <c r="I5225" s="3"/>
    </row>
    <row r="5226" spans="1:9" s="93" customFormat="1" ht="9" customHeight="1" x14ac:dyDescent="0.3">
      <c r="A5226" s="91"/>
      <c r="B5226" s="70"/>
      <c r="C5226" s="70"/>
      <c r="D5226" s="70"/>
      <c r="E5226" s="70"/>
      <c r="F5226" s="70"/>
      <c r="G5226" s="94"/>
      <c r="H5226" s="131"/>
      <c r="I5226" s="3"/>
    </row>
    <row r="5227" spans="1:9" s="93" customFormat="1" ht="9" customHeight="1" x14ac:dyDescent="0.3">
      <c r="A5227" s="91"/>
      <c r="B5227" s="70"/>
      <c r="C5227" s="70"/>
      <c r="D5227" s="70"/>
      <c r="E5227" s="70"/>
      <c r="F5227" s="70"/>
      <c r="G5227" s="94"/>
      <c r="H5227" s="131"/>
      <c r="I5227" s="3"/>
    </row>
    <row r="5228" spans="1:9" s="93" customFormat="1" ht="9" customHeight="1" x14ac:dyDescent="0.3">
      <c r="A5228" s="91"/>
      <c r="B5228" s="70"/>
      <c r="C5228" s="70"/>
      <c r="D5228" s="70"/>
      <c r="E5228" s="70"/>
      <c r="F5228" s="70"/>
      <c r="G5228" s="94"/>
      <c r="H5228" s="131"/>
      <c r="I5228" s="3"/>
    </row>
    <row r="5229" spans="1:9" s="93" customFormat="1" ht="9" customHeight="1" x14ac:dyDescent="0.3">
      <c r="A5229" s="91"/>
      <c r="B5229" s="70"/>
      <c r="C5229" s="70"/>
      <c r="D5229" s="70"/>
      <c r="E5229" s="70"/>
      <c r="F5229" s="70"/>
      <c r="G5229" s="94"/>
      <c r="H5229" s="131"/>
      <c r="I5229" s="3"/>
    </row>
    <row r="5230" spans="1:9" s="93" customFormat="1" ht="9" customHeight="1" x14ac:dyDescent="0.3">
      <c r="A5230" s="91"/>
      <c r="B5230" s="70"/>
      <c r="C5230" s="70"/>
      <c r="D5230" s="70"/>
      <c r="E5230" s="70"/>
      <c r="F5230" s="70"/>
      <c r="G5230" s="94"/>
      <c r="H5230" s="131"/>
      <c r="I5230" s="3"/>
    </row>
    <row r="5231" spans="1:9" s="93" customFormat="1" ht="9" customHeight="1" x14ac:dyDescent="0.3">
      <c r="A5231" s="91"/>
      <c r="B5231" s="70"/>
      <c r="C5231" s="70"/>
      <c r="D5231" s="70"/>
      <c r="E5231" s="70"/>
      <c r="F5231" s="70"/>
      <c r="G5231" s="94"/>
      <c r="H5231" s="131"/>
      <c r="I5231" s="3"/>
    </row>
    <row r="5232" spans="1:9" s="93" customFormat="1" ht="9" customHeight="1" x14ac:dyDescent="0.3">
      <c r="A5232" s="91"/>
      <c r="B5232" s="70"/>
      <c r="C5232" s="70"/>
      <c r="D5232" s="70"/>
      <c r="E5232" s="70"/>
      <c r="F5232" s="70"/>
      <c r="G5232" s="94"/>
      <c r="H5232" s="131"/>
      <c r="I5232" s="3"/>
    </row>
    <row r="5233" spans="1:9" s="93" customFormat="1" ht="9" customHeight="1" x14ac:dyDescent="0.3">
      <c r="A5233" s="91"/>
      <c r="B5233" s="70"/>
      <c r="C5233" s="70"/>
      <c r="D5233" s="70"/>
      <c r="E5233" s="70"/>
      <c r="F5233" s="70"/>
      <c r="G5233" s="94"/>
      <c r="H5233" s="131"/>
      <c r="I5233" s="3"/>
    </row>
    <row r="5234" spans="1:9" s="93" customFormat="1" ht="9" customHeight="1" x14ac:dyDescent="0.3">
      <c r="A5234" s="91"/>
      <c r="B5234" s="70"/>
      <c r="C5234" s="70"/>
      <c r="D5234" s="70"/>
      <c r="E5234" s="70"/>
      <c r="F5234" s="70"/>
      <c r="G5234" s="94"/>
      <c r="H5234" s="131"/>
      <c r="I5234" s="3"/>
    </row>
    <row r="5235" spans="1:9" s="93" customFormat="1" ht="9" customHeight="1" x14ac:dyDescent="0.3">
      <c r="A5235" s="91"/>
      <c r="B5235" s="70"/>
      <c r="C5235" s="70"/>
      <c r="D5235" s="70"/>
      <c r="E5235" s="70"/>
      <c r="F5235" s="70"/>
      <c r="G5235" s="94"/>
      <c r="H5235" s="131"/>
      <c r="I5235" s="3"/>
    </row>
    <row r="5236" spans="1:9" s="93" customFormat="1" ht="9" customHeight="1" x14ac:dyDescent="0.3">
      <c r="A5236" s="91"/>
      <c r="B5236" s="70"/>
      <c r="C5236" s="70"/>
      <c r="D5236" s="70"/>
      <c r="E5236" s="70"/>
      <c r="F5236" s="70"/>
      <c r="G5236" s="94"/>
      <c r="H5236" s="131"/>
      <c r="I5236" s="3"/>
    </row>
    <row r="5237" spans="1:9" s="93" customFormat="1" ht="9" customHeight="1" x14ac:dyDescent="0.3">
      <c r="A5237" s="91"/>
      <c r="B5237" s="70"/>
      <c r="C5237" s="70"/>
      <c r="D5237" s="70"/>
      <c r="E5237" s="70"/>
      <c r="F5237" s="70"/>
      <c r="G5237" s="94"/>
      <c r="H5237" s="131"/>
      <c r="I5237" s="3"/>
    </row>
    <row r="5238" spans="1:9" s="93" customFormat="1" ht="9" customHeight="1" x14ac:dyDescent="0.3">
      <c r="A5238" s="91"/>
      <c r="B5238" s="70"/>
      <c r="C5238" s="70"/>
      <c r="D5238" s="70"/>
      <c r="E5238" s="70"/>
      <c r="F5238" s="70"/>
      <c r="G5238" s="94"/>
      <c r="H5238" s="131"/>
      <c r="I5238" s="3"/>
    </row>
    <row r="5239" spans="1:9" s="93" customFormat="1" ht="9" customHeight="1" x14ac:dyDescent="0.3">
      <c r="A5239" s="91"/>
      <c r="B5239" s="70"/>
      <c r="C5239" s="70"/>
      <c r="D5239" s="70"/>
      <c r="E5239" s="70"/>
      <c r="F5239" s="70"/>
      <c r="G5239" s="94"/>
      <c r="H5239" s="131"/>
      <c r="I5239" s="3"/>
    </row>
    <row r="5240" spans="1:9" s="93" customFormat="1" ht="9" customHeight="1" x14ac:dyDescent="0.3">
      <c r="A5240" s="91"/>
      <c r="B5240" s="70"/>
      <c r="C5240" s="70"/>
      <c r="D5240" s="70"/>
      <c r="E5240" s="70"/>
      <c r="F5240" s="70"/>
      <c r="G5240" s="94"/>
      <c r="H5240" s="131"/>
      <c r="I5240" s="3"/>
    </row>
    <row r="5241" spans="1:9" s="93" customFormat="1" ht="9" customHeight="1" x14ac:dyDescent="0.3">
      <c r="A5241" s="91"/>
      <c r="B5241" s="70"/>
      <c r="C5241" s="70"/>
      <c r="D5241" s="70"/>
      <c r="E5241" s="70"/>
      <c r="F5241" s="70"/>
      <c r="G5241" s="94"/>
      <c r="H5241" s="131"/>
      <c r="I5241" s="3"/>
    </row>
    <row r="5242" spans="1:9" s="93" customFormat="1" ht="9" customHeight="1" x14ac:dyDescent="0.3">
      <c r="A5242" s="91"/>
      <c r="B5242" s="70"/>
      <c r="C5242" s="70"/>
      <c r="D5242" s="70"/>
      <c r="E5242" s="70"/>
      <c r="F5242" s="70"/>
      <c r="G5242" s="94"/>
      <c r="H5242" s="131"/>
      <c r="I5242" s="3"/>
    </row>
    <row r="5243" spans="1:9" s="93" customFormat="1" ht="9" customHeight="1" x14ac:dyDescent="0.3">
      <c r="A5243" s="91"/>
      <c r="B5243" s="70"/>
      <c r="C5243" s="70"/>
      <c r="D5243" s="70"/>
      <c r="E5243" s="70"/>
      <c r="F5243" s="70"/>
      <c r="G5243" s="94"/>
      <c r="H5243" s="131"/>
      <c r="I5243" s="3"/>
    </row>
    <row r="5244" spans="1:9" s="93" customFormat="1" ht="9" customHeight="1" x14ac:dyDescent="0.3">
      <c r="A5244" s="91"/>
      <c r="B5244" s="70"/>
      <c r="C5244" s="70"/>
      <c r="D5244" s="70"/>
      <c r="E5244" s="70"/>
      <c r="F5244" s="70"/>
      <c r="G5244" s="94"/>
      <c r="H5244" s="131"/>
      <c r="I5244" s="3"/>
    </row>
    <row r="5245" spans="1:9" s="93" customFormat="1" ht="9" customHeight="1" x14ac:dyDescent="0.3">
      <c r="A5245" s="91"/>
      <c r="B5245" s="70"/>
      <c r="C5245" s="70"/>
      <c r="D5245" s="70"/>
      <c r="E5245" s="70"/>
      <c r="F5245" s="70"/>
      <c r="G5245" s="94"/>
      <c r="H5245" s="131"/>
      <c r="I5245" s="3"/>
    </row>
    <row r="5246" spans="1:9" s="93" customFormat="1" ht="9" customHeight="1" x14ac:dyDescent="0.3">
      <c r="A5246" s="91"/>
      <c r="B5246" s="70"/>
      <c r="C5246" s="70"/>
      <c r="D5246" s="70"/>
      <c r="E5246" s="70"/>
      <c r="F5246" s="70"/>
      <c r="G5246" s="94"/>
      <c r="H5246" s="131"/>
      <c r="I5246" s="3"/>
    </row>
    <row r="5247" spans="1:9" s="93" customFormat="1" ht="9" customHeight="1" x14ac:dyDescent="0.3">
      <c r="A5247" s="91"/>
      <c r="B5247" s="70"/>
      <c r="C5247" s="70"/>
      <c r="D5247" s="70"/>
      <c r="E5247" s="70"/>
      <c r="F5247" s="70"/>
      <c r="G5247" s="94"/>
      <c r="H5247" s="131"/>
      <c r="I5247" s="3"/>
    </row>
    <row r="5248" spans="1:9" s="93" customFormat="1" ht="9" customHeight="1" x14ac:dyDescent="0.3">
      <c r="A5248" s="91"/>
      <c r="B5248" s="70"/>
      <c r="C5248" s="70"/>
      <c r="D5248" s="70"/>
      <c r="E5248" s="70"/>
      <c r="F5248" s="70"/>
      <c r="G5248" s="94"/>
      <c r="H5248" s="131"/>
      <c r="I5248" s="3"/>
    </row>
    <row r="5249" spans="1:9" s="93" customFormat="1" ht="9" customHeight="1" x14ac:dyDescent="0.3">
      <c r="A5249" s="91"/>
      <c r="B5249" s="70"/>
      <c r="C5249" s="70"/>
      <c r="D5249" s="70"/>
      <c r="E5249" s="70"/>
      <c r="F5249" s="70"/>
      <c r="G5249" s="94"/>
      <c r="H5249" s="131"/>
      <c r="I5249" s="3"/>
    </row>
    <row r="5250" spans="1:9" s="93" customFormat="1" ht="9" customHeight="1" x14ac:dyDescent="0.3">
      <c r="A5250" s="91"/>
      <c r="B5250" s="70"/>
      <c r="C5250" s="70"/>
      <c r="D5250" s="70"/>
      <c r="E5250" s="70"/>
      <c r="F5250" s="70"/>
      <c r="G5250" s="94"/>
      <c r="H5250" s="131"/>
      <c r="I5250" s="3"/>
    </row>
    <row r="5251" spans="1:9" s="93" customFormat="1" ht="9" customHeight="1" x14ac:dyDescent="0.3">
      <c r="A5251" s="91"/>
      <c r="B5251" s="70"/>
      <c r="C5251" s="70"/>
      <c r="D5251" s="70"/>
      <c r="E5251" s="70"/>
      <c r="F5251" s="70"/>
      <c r="G5251" s="94"/>
      <c r="H5251" s="131"/>
      <c r="I5251" s="3"/>
    </row>
    <row r="5252" spans="1:9" s="93" customFormat="1" ht="9" customHeight="1" x14ac:dyDescent="0.3">
      <c r="A5252" s="91"/>
      <c r="B5252" s="70"/>
      <c r="C5252" s="70"/>
      <c r="D5252" s="70"/>
      <c r="E5252" s="70"/>
      <c r="F5252" s="70"/>
      <c r="G5252" s="94"/>
      <c r="H5252" s="131"/>
      <c r="I5252" s="3"/>
    </row>
    <row r="5253" spans="1:9" s="93" customFormat="1" ht="9" customHeight="1" x14ac:dyDescent="0.3">
      <c r="A5253" s="91"/>
      <c r="B5253" s="70"/>
      <c r="C5253" s="70"/>
      <c r="D5253" s="70"/>
      <c r="E5253" s="70"/>
      <c r="F5253" s="70"/>
      <c r="G5253" s="94"/>
      <c r="H5253" s="131"/>
      <c r="I5253" s="3"/>
    </row>
    <row r="5254" spans="1:9" s="93" customFormat="1" ht="9" customHeight="1" x14ac:dyDescent="0.3">
      <c r="A5254" s="91"/>
      <c r="B5254" s="70"/>
      <c r="C5254" s="70"/>
      <c r="D5254" s="70"/>
      <c r="E5254" s="70"/>
      <c r="F5254" s="70"/>
      <c r="G5254" s="94"/>
      <c r="H5254" s="131"/>
      <c r="I5254" s="3"/>
    </row>
    <row r="5255" spans="1:9" s="93" customFormat="1" ht="9" customHeight="1" x14ac:dyDescent="0.3">
      <c r="A5255" s="91"/>
      <c r="B5255" s="70"/>
      <c r="C5255" s="70"/>
      <c r="D5255" s="70"/>
      <c r="E5255" s="70"/>
      <c r="F5255" s="70"/>
      <c r="G5255" s="94"/>
      <c r="H5255" s="131"/>
      <c r="I5255" s="3"/>
    </row>
    <row r="5256" spans="1:9" s="93" customFormat="1" ht="9" customHeight="1" x14ac:dyDescent="0.3">
      <c r="A5256" s="91"/>
      <c r="B5256" s="70"/>
      <c r="C5256" s="70"/>
      <c r="D5256" s="70"/>
      <c r="E5256" s="70"/>
      <c r="F5256" s="70"/>
      <c r="G5256" s="94"/>
      <c r="H5256" s="131"/>
      <c r="I5256" s="3"/>
    </row>
    <row r="5257" spans="1:9" s="93" customFormat="1" ht="9" customHeight="1" x14ac:dyDescent="0.3">
      <c r="A5257" s="91"/>
      <c r="B5257" s="70"/>
      <c r="C5257" s="70"/>
      <c r="D5257" s="70"/>
      <c r="E5257" s="70"/>
      <c r="F5257" s="70"/>
      <c r="G5257" s="94"/>
      <c r="H5257" s="131"/>
      <c r="I5257" s="3"/>
    </row>
    <row r="5258" spans="1:9" s="93" customFormat="1" ht="9" customHeight="1" x14ac:dyDescent="0.3">
      <c r="A5258" s="91"/>
      <c r="B5258" s="70"/>
      <c r="C5258" s="70"/>
      <c r="D5258" s="70"/>
      <c r="E5258" s="70"/>
      <c r="F5258" s="70"/>
      <c r="G5258" s="94"/>
      <c r="H5258" s="131"/>
      <c r="I5258" s="3"/>
    </row>
    <row r="5259" spans="1:9" s="93" customFormat="1" ht="9" customHeight="1" x14ac:dyDescent="0.3">
      <c r="A5259" s="91"/>
      <c r="B5259" s="70"/>
      <c r="C5259" s="70"/>
      <c r="D5259" s="70"/>
      <c r="E5259" s="70"/>
      <c r="F5259" s="70"/>
      <c r="G5259" s="94"/>
      <c r="H5259" s="131"/>
      <c r="I5259" s="3"/>
    </row>
    <row r="5260" spans="1:9" s="93" customFormat="1" ht="9" customHeight="1" x14ac:dyDescent="0.3">
      <c r="A5260" s="91"/>
      <c r="B5260" s="70"/>
      <c r="C5260" s="70"/>
      <c r="D5260" s="70"/>
      <c r="E5260" s="70"/>
      <c r="F5260" s="70"/>
      <c r="G5260" s="94"/>
      <c r="H5260" s="131"/>
      <c r="I5260" s="3"/>
    </row>
    <row r="5261" spans="1:9" s="93" customFormat="1" ht="9" customHeight="1" x14ac:dyDescent="0.3">
      <c r="A5261" s="91"/>
      <c r="B5261" s="70"/>
      <c r="C5261" s="70"/>
      <c r="D5261" s="70"/>
      <c r="E5261" s="70"/>
      <c r="F5261" s="70"/>
      <c r="G5261" s="94"/>
      <c r="H5261" s="131"/>
      <c r="I5261" s="3"/>
    </row>
    <row r="5262" spans="1:9" s="93" customFormat="1" ht="9" customHeight="1" x14ac:dyDescent="0.3">
      <c r="A5262" s="91"/>
      <c r="B5262" s="70"/>
      <c r="C5262" s="70"/>
      <c r="D5262" s="70"/>
      <c r="E5262" s="70"/>
      <c r="F5262" s="70"/>
      <c r="G5262" s="94"/>
      <c r="H5262" s="131"/>
      <c r="I5262" s="3"/>
    </row>
    <row r="5263" spans="1:9" s="93" customFormat="1" ht="9" customHeight="1" x14ac:dyDescent="0.3">
      <c r="A5263" s="91"/>
      <c r="B5263" s="70"/>
      <c r="C5263" s="70"/>
      <c r="D5263" s="70"/>
      <c r="E5263" s="70"/>
      <c r="F5263" s="70"/>
      <c r="G5263" s="94"/>
      <c r="H5263" s="131"/>
      <c r="I5263" s="3"/>
    </row>
    <row r="5264" spans="1:9" s="93" customFormat="1" ht="9" customHeight="1" x14ac:dyDescent="0.3">
      <c r="A5264" s="91"/>
      <c r="B5264" s="70"/>
      <c r="C5264" s="70"/>
      <c r="D5264" s="70"/>
      <c r="E5264" s="70"/>
      <c r="F5264" s="70"/>
      <c r="G5264" s="94"/>
      <c r="H5264" s="131"/>
      <c r="I5264" s="3"/>
    </row>
    <row r="5265" spans="1:9" s="93" customFormat="1" ht="9" customHeight="1" x14ac:dyDescent="0.3">
      <c r="A5265" s="91"/>
      <c r="B5265" s="70"/>
      <c r="C5265" s="70"/>
      <c r="D5265" s="70"/>
      <c r="E5265" s="70"/>
      <c r="F5265" s="70"/>
      <c r="G5265" s="94"/>
      <c r="H5265" s="131"/>
      <c r="I5265" s="3"/>
    </row>
    <row r="5266" spans="1:9" s="93" customFormat="1" ht="9" customHeight="1" x14ac:dyDescent="0.3">
      <c r="A5266" s="91"/>
      <c r="B5266" s="70"/>
      <c r="C5266" s="70"/>
      <c r="D5266" s="70"/>
      <c r="E5266" s="70"/>
      <c r="F5266" s="70"/>
      <c r="G5266" s="94"/>
      <c r="H5266" s="131"/>
      <c r="I5266" s="3"/>
    </row>
    <row r="5267" spans="1:9" s="93" customFormat="1" ht="9" customHeight="1" x14ac:dyDescent="0.3">
      <c r="A5267" s="91"/>
      <c r="B5267" s="70"/>
      <c r="C5267" s="70"/>
      <c r="D5267" s="70"/>
      <c r="E5267" s="70"/>
      <c r="F5267" s="70"/>
      <c r="G5267" s="94"/>
      <c r="H5267" s="131"/>
      <c r="I5267" s="3"/>
    </row>
    <row r="5268" spans="1:9" s="93" customFormat="1" ht="9" customHeight="1" x14ac:dyDescent="0.3">
      <c r="A5268" s="91"/>
      <c r="B5268" s="70"/>
      <c r="C5268" s="70"/>
      <c r="D5268" s="70"/>
      <c r="E5268" s="70"/>
      <c r="F5268" s="70"/>
      <c r="G5268" s="94"/>
      <c r="H5268" s="131"/>
      <c r="I5268" s="3"/>
    </row>
    <row r="5269" spans="1:9" s="93" customFormat="1" ht="9" customHeight="1" x14ac:dyDescent="0.3">
      <c r="A5269" s="91"/>
      <c r="B5269" s="70"/>
      <c r="C5269" s="70"/>
      <c r="D5269" s="70"/>
      <c r="E5269" s="70"/>
      <c r="F5269" s="70"/>
      <c r="G5269" s="94"/>
      <c r="H5269" s="131"/>
      <c r="I5269" s="3"/>
    </row>
    <row r="5270" spans="1:9" s="93" customFormat="1" ht="9" customHeight="1" x14ac:dyDescent="0.3">
      <c r="A5270" s="91"/>
      <c r="B5270" s="70"/>
      <c r="C5270" s="70"/>
      <c r="D5270" s="70"/>
      <c r="E5270" s="70"/>
      <c r="F5270" s="70"/>
      <c r="G5270" s="94"/>
      <c r="H5270" s="131"/>
      <c r="I5270" s="3"/>
    </row>
    <row r="5271" spans="1:9" s="93" customFormat="1" ht="9" customHeight="1" x14ac:dyDescent="0.3">
      <c r="A5271" s="91"/>
      <c r="B5271" s="70"/>
      <c r="C5271" s="70"/>
      <c r="D5271" s="70"/>
      <c r="E5271" s="70"/>
      <c r="F5271" s="70"/>
      <c r="G5271" s="94"/>
      <c r="H5271" s="131"/>
      <c r="I5271" s="3"/>
    </row>
    <row r="5272" spans="1:9" s="93" customFormat="1" ht="9" customHeight="1" x14ac:dyDescent="0.3">
      <c r="A5272" s="91"/>
      <c r="B5272" s="70"/>
      <c r="C5272" s="70"/>
      <c r="D5272" s="70"/>
      <c r="E5272" s="70"/>
      <c r="F5272" s="70"/>
      <c r="G5272" s="94"/>
      <c r="H5272" s="131"/>
      <c r="I5272" s="3"/>
    </row>
    <row r="5273" spans="1:9" s="93" customFormat="1" ht="9" customHeight="1" x14ac:dyDescent="0.3">
      <c r="A5273" s="91"/>
      <c r="B5273" s="70"/>
      <c r="C5273" s="70"/>
      <c r="D5273" s="70"/>
      <c r="E5273" s="70"/>
      <c r="F5273" s="70"/>
      <c r="G5273" s="94"/>
      <c r="H5273" s="131"/>
      <c r="I5273" s="3"/>
    </row>
    <row r="5274" spans="1:9" s="93" customFormat="1" ht="9" customHeight="1" x14ac:dyDescent="0.3">
      <c r="A5274" s="91"/>
      <c r="B5274" s="70"/>
      <c r="C5274" s="70"/>
      <c r="D5274" s="70"/>
      <c r="E5274" s="70"/>
      <c r="F5274" s="70"/>
      <c r="G5274" s="94"/>
      <c r="H5274" s="131"/>
      <c r="I5274" s="3"/>
    </row>
    <row r="5275" spans="1:9" s="93" customFormat="1" ht="9" customHeight="1" x14ac:dyDescent="0.3">
      <c r="A5275" s="91"/>
      <c r="B5275" s="70"/>
      <c r="C5275" s="70"/>
      <c r="D5275" s="70"/>
      <c r="E5275" s="70"/>
      <c r="F5275" s="70"/>
      <c r="G5275" s="94"/>
      <c r="H5275" s="131"/>
      <c r="I5275" s="3"/>
    </row>
    <row r="5276" spans="1:9" s="93" customFormat="1" ht="9" customHeight="1" x14ac:dyDescent="0.3">
      <c r="A5276" s="91"/>
      <c r="B5276" s="70"/>
      <c r="C5276" s="70"/>
      <c r="D5276" s="70"/>
      <c r="E5276" s="70"/>
      <c r="F5276" s="70"/>
      <c r="G5276" s="94"/>
      <c r="H5276" s="131"/>
      <c r="I5276" s="3"/>
    </row>
    <row r="5277" spans="1:9" s="93" customFormat="1" ht="9" customHeight="1" x14ac:dyDescent="0.3">
      <c r="A5277" s="91"/>
      <c r="B5277" s="70"/>
      <c r="C5277" s="70"/>
      <c r="D5277" s="70"/>
      <c r="E5277" s="70"/>
      <c r="F5277" s="70"/>
      <c r="G5277" s="94"/>
      <c r="H5277" s="131"/>
      <c r="I5277" s="3"/>
    </row>
    <row r="5278" spans="1:9" s="93" customFormat="1" ht="9" customHeight="1" x14ac:dyDescent="0.3">
      <c r="A5278" s="91"/>
      <c r="B5278" s="70"/>
      <c r="C5278" s="70"/>
      <c r="D5278" s="70"/>
      <c r="E5278" s="70"/>
      <c r="F5278" s="70"/>
      <c r="G5278" s="94"/>
      <c r="H5278" s="131"/>
      <c r="I5278" s="3"/>
    </row>
    <row r="5279" spans="1:9" s="93" customFormat="1" ht="9" customHeight="1" x14ac:dyDescent="0.3">
      <c r="A5279" s="91"/>
      <c r="B5279" s="70"/>
      <c r="C5279" s="70"/>
      <c r="D5279" s="70"/>
      <c r="E5279" s="70"/>
      <c r="F5279" s="70"/>
      <c r="G5279" s="94"/>
      <c r="H5279" s="131"/>
      <c r="I5279" s="3"/>
    </row>
    <row r="5280" spans="1:9" s="93" customFormat="1" ht="9" customHeight="1" x14ac:dyDescent="0.3">
      <c r="A5280" s="91"/>
      <c r="B5280" s="70"/>
      <c r="C5280" s="70"/>
      <c r="D5280" s="70"/>
      <c r="E5280" s="70"/>
      <c r="F5280" s="70"/>
      <c r="G5280" s="94"/>
      <c r="H5280" s="131"/>
      <c r="I5280" s="3"/>
    </row>
    <row r="5281" spans="1:9" s="93" customFormat="1" ht="9" customHeight="1" x14ac:dyDescent="0.3">
      <c r="A5281" s="91"/>
      <c r="B5281" s="70"/>
      <c r="C5281" s="70"/>
      <c r="D5281" s="70"/>
      <c r="E5281" s="70"/>
      <c r="F5281" s="70"/>
      <c r="G5281" s="94"/>
      <c r="H5281" s="131"/>
      <c r="I5281" s="3"/>
    </row>
    <row r="5282" spans="1:9" s="93" customFormat="1" ht="9" customHeight="1" x14ac:dyDescent="0.3">
      <c r="A5282" s="91"/>
      <c r="B5282" s="70"/>
      <c r="C5282" s="70"/>
      <c r="D5282" s="70"/>
      <c r="E5282" s="70"/>
      <c r="F5282" s="70"/>
      <c r="G5282" s="94"/>
      <c r="H5282" s="131"/>
      <c r="I5282" s="3"/>
    </row>
    <row r="5283" spans="1:9" s="93" customFormat="1" ht="9" customHeight="1" x14ac:dyDescent="0.3">
      <c r="A5283" s="91"/>
      <c r="B5283" s="70"/>
      <c r="C5283" s="70"/>
      <c r="D5283" s="70"/>
      <c r="E5283" s="70"/>
      <c r="F5283" s="70"/>
      <c r="G5283" s="94"/>
      <c r="H5283" s="131"/>
      <c r="I5283" s="3"/>
    </row>
    <row r="5284" spans="1:9" s="93" customFormat="1" ht="9" customHeight="1" x14ac:dyDescent="0.3">
      <c r="A5284" s="91"/>
      <c r="B5284" s="70"/>
      <c r="C5284" s="70"/>
      <c r="D5284" s="70"/>
      <c r="E5284" s="70"/>
      <c r="F5284" s="70"/>
      <c r="G5284" s="94"/>
      <c r="H5284" s="131"/>
      <c r="I5284" s="3"/>
    </row>
    <row r="5285" spans="1:9" s="93" customFormat="1" ht="9" customHeight="1" x14ac:dyDescent="0.3">
      <c r="A5285" s="91"/>
      <c r="B5285" s="70"/>
      <c r="C5285" s="70"/>
      <c r="D5285" s="70"/>
      <c r="E5285" s="70"/>
      <c r="F5285" s="70"/>
      <c r="G5285" s="94"/>
      <c r="H5285" s="131"/>
      <c r="I5285" s="3"/>
    </row>
    <row r="5286" spans="1:9" s="93" customFormat="1" ht="9" customHeight="1" x14ac:dyDescent="0.3">
      <c r="A5286" s="91"/>
      <c r="B5286" s="70"/>
      <c r="C5286" s="70"/>
      <c r="D5286" s="70"/>
      <c r="E5286" s="70"/>
      <c r="F5286" s="70"/>
      <c r="G5286" s="94"/>
      <c r="H5286" s="131"/>
      <c r="I5286" s="3"/>
    </row>
    <row r="5287" spans="1:9" s="93" customFormat="1" ht="9" customHeight="1" x14ac:dyDescent="0.3">
      <c r="A5287" s="91"/>
      <c r="B5287" s="70"/>
      <c r="C5287" s="70"/>
      <c r="D5287" s="70"/>
      <c r="E5287" s="70"/>
      <c r="F5287" s="70"/>
      <c r="G5287" s="94"/>
      <c r="H5287" s="131"/>
      <c r="I5287" s="3"/>
    </row>
    <row r="5288" spans="1:9" s="93" customFormat="1" ht="9" customHeight="1" x14ac:dyDescent="0.3">
      <c r="A5288" s="91"/>
      <c r="B5288" s="70"/>
      <c r="C5288" s="70"/>
      <c r="D5288" s="70"/>
      <c r="E5288" s="70"/>
      <c r="F5288" s="70"/>
      <c r="G5288" s="94"/>
      <c r="H5288" s="131"/>
      <c r="I5288" s="3"/>
    </row>
    <row r="5289" spans="1:9" s="93" customFormat="1" ht="9" customHeight="1" x14ac:dyDescent="0.3">
      <c r="A5289" s="91"/>
      <c r="B5289" s="70"/>
      <c r="C5289" s="70"/>
      <c r="D5289" s="70"/>
      <c r="E5289" s="70"/>
      <c r="F5289" s="70"/>
      <c r="G5289" s="94"/>
      <c r="H5289" s="131"/>
      <c r="I5289" s="3"/>
    </row>
    <row r="5290" spans="1:9" s="93" customFormat="1" ht="9" customHeight="1" x14ac:dyDescent="0.3">
      <c r="A5290" s="91"/>
      <c r="B5290" s="70"/>
      <c r="C5290" s="70"/>
      <c r="D5290" s="70"/>
      <c r="E5290" s="70"/>
      <c r="F5290" s="70"/>
      <c r="G5290" s="94"/>
      <c r="H5290" s="131"/>
      <c r="I5290" s="3"/>
    </row>
    <row r="5291" spans="1:9" s="93" customFormat="1" ht="9" customHeight="1" x14ac:dyDescent="0.3">
      <c r="A5291" s="91"/>
      <c r="B5291" s="70"/>
      <c r="C5291" s="70"/>
      <c r="D5291" s="70"/>
      <c r="E5291" s="70"/>
      <c r="F5291" s="70"/>
      <c r="G5291" s="94"/>
      <c r="H5291" s="131"/>
      <c r="I5291" s="3"/>
    </row>
    <row r="5292" spans="1:9" s="93" customFormat="1" ht="9" customHeight="1" x14ac:dyDescent="0.3">
      <c r="A5292" s="91"/>
      <c r="B5292" s="70"/>
      <c r="C5292" s="70"/>
      <c r="D5292" s="70"/>
      <c r="E5292" s="70"/>
      <c r="F5292" s="70"/>
      <c r="G5292" s="94"/>
      <c r="H5292" s="131"/>
      <c r="I5292" s="3"/>
    </row>
    <row r="5293" spans="1:9" s="93" customFormat="1" ht="9" customHeight="1" x14ac:dyDescent="0.3">
      <c r="A5293" s="91"/>
      <c r="B5293" s="70"/>
      <c r="C5293" s="70"/>
      <c r="D5293" s="70"/>
      <c r="E5293" s="70"/>
      <c r="F5293" s="70"/>
      <c r="G5293" s="94"/>
      <c r="H5293" s="131"/>
      <c r="I5293" s="3"/>
    </row>
    <row r="5294" spans="1:9" s="93" customFormat="1" ht="9" customHeight="1" x14ac:dyDescent="0.3">
      <c r="A5294" s="91"/>
      <c r="B5294" s="70"/>
      <c r="C5294" s="70"/>
      <c r="D5294" s="70"/>
      <c r="E5294" s="70"/>
      <c r="F5294" s="70"/>
      <c r="G5294" s="94"/>
      <c r="H5294" s="131"/>
      <c r="I5294" s="3"/>
    </row>
    <row r="5295" spans="1:9" s="93" customFormat="1" ht="9" customHeight="1" x14ac:dyDescent="0.3">
      <c r="A5295" s="91"/>
      <c r="B5295" s="70"/>
      <c r="C5295" s="70"/>
      <c r="D5295" s="70"/>
      <c r="E5295" s="70"/>
      <c r="F5295" s="70"/>
      <c r="G5295" s="94"/>
      <c r="H5295" s="131"/>
      <c r="I5295" s="3"/>
    </row>
    <row r="5296" spans="1:9" s="93" customFormat="1" ht="9" customHeight="1" x14ac:dyDescent="0.3">
      <c r="A5296" s="91"/>
      <c r="B5296" s="70"/>
      <c r="C5296" s="70"/>
      <c r="D5296" s="70"/>
      <c r="E5296" s="70"/>
      <c r="F5296" s="70"/>
      <c r="G5296" s="94"/>
      <c r="H5296" s="131"/>
      <c r="I5296" s="3"/>
    </row>
    <row r="5297" spans="1:9" s="93" customFormat="1" ht="9" customHeight="1" x14ac:dyDescent="0.3">
      <c r="A5297" s="91"/>
      <c r="B5297" s="70"/>
      <c r="C5297" s="70"/>
      <c r="D5297" s="70"/>
      <c r="E5297" s="70"/>
      <c r="F5297" s="70"/>
      <c r="G5297" s="94"/>
      <c r="H5297" s="131"/>
      <c r="I5297" s="3"/>
    </row>
    <row r="5298" spans="1:9" s="93" customFormat="1" ht="9" customHeight="1" x14ac:dyDescent="0.3">
      <c r="A5298" s="91"/>
      <c r="B5298" s="70"/>
      <c r="C5298" s="70"/>
      <c r="D5298" s="70"/>
      <c r="E5298" s="70"/>
      <c r="F5298" s="70"/>
      <c r="G5298" s="94"/>
      <c r="H5298" s="131"/>
      <c r="I5298" s="3"/>
    </row>
    <row r="5299" spans="1:9" s="93" customFormat="1" ht="9" customHeight="1" x14ac:dyDescent="0.3">
      <c r="A5299" s="91"/>
      <c r="B5299" s="70"/>
      <c r="C5299" s="70"/>
      <c r="D5299" s="70"/>
      <c r="E5299" s="70"/>
      <c r="F5299" s="70"/>
      <c r="G5299" s="94"/>
      <c r="H5299" s="131"/>
      <c r="I5299" s="3"/>
    </row>
    <row r="5300" spans="1:9" s="93" customFormat="1" ht="9" customHeight="1" x14ac:dyDescent="0.3">
      <c r="A5300" s="91"/>
      <c r="B5300" s="70"/>
      <c r="C5300" s="70"/>
      <c r="D5300" s="70"/>
      <c r="E5300" s="70"/>
      <c r="F5300" s="70"/>
      <c r="G5300" s="94"/>
      <c r="H5300" s="131"/>
      <c r="I5300" s="3"/>
    </row>
    <row r="5301" spans="1:9" s="93" customFormat="1" ht="9" customHeight="1" x14ac:dyDescent="0.3">
      <c r="A5301" s="91"/>
      <c r="B5301" s="70"/>
      <c r="C5301" s="70"/>
      <c r="D5301" s="70"/>
      <c r="E5301" s="70"/>
      <c r="F5301" s="70"/>
      <c r="G5301" s="94"/>
      <c r="H5301" s="131"/>
      <c r="I5301" s="3"/>
    </row>
    <row r="5302" spans="1:9" s="93" customFormat="1" ht="9" customHeight="1" x14ac:dyDescent="0.3">
      <c r="A5302" s="91"/>
      <c r="B5302" s="70"/>
      <c r="C5302" s="70"/>
      <c r="D5302" s="70"/>
      <c r="E5302" s="70"/>
      <c r="F5302" s="70"/>
      <c r="G5302" s="94"/>
      <c r="H5302" s="131"/>
      <c r="I5302" s="3"/>
    </row>
    <row r="5303" spans="1:9" s="93" customFormat="1" ht="9" customHeight="1" x14ac:dyDescent="0.3">
      <c r="A5303" s="91"/>
      <c r="B5303" s="70"/>
      <c r="C5303" s="70"/>
      <c r="D5303" s="70"/>
      <c r="E5303" s="70"/>
      <c r="F5303" s="70"/>
      <c r="G5303" s="94"/>
      <c r="H5303" s="131"/>
      <c r="I5303" s="3"/>
    </row>
    <row r="5304" spans="1:9" s="93" customFormat="1" ht="9" customHeight="1" x14ac:dyDescent="0.3">
      <c r="A5304" s="91"/>
      <c r="B5304" s="70"/>
      <c r="C5304" s="70"/>
      <c r="D5304" s="70"/>
      <c r="E5304" s="70"/>
      <c r="F5304" s="70"/>
      <c r="G5304" s="94"/>
      <c r="H5304" s="131"/>
      <c r="I5304" s="3"/>
    </row>
    <row r="5305" spans="1:9" s="93" customFormat="1" ht="9" customHeight="1" x14ac:dyDescent="0.3">
      <c r="A5305" s="91"/>
      <c r="B5305" s="70"/>
      <c r="C5305" s="70"/>
      <c r="D5305" s="70"/>
      <c r="E5305" s="70"/>
      <c r="F5305" s="70"/>
      <c r="G5305" s="94"/>
      <c r="H5305" s="131"/>
      <c r="I5305" s="3"/>
    </row>
    <row r="5306" spans="1:9" s="93" customFormat="1" ht="9" customHeight="1" x14ac:dyDescent="0.3">
      <c r="A5306" s="91"/>
      <c r="B5306" s="70"/>
      <c r="C5306" s="70"/>
      <c r="D5306" s="70"/>
      <c r="E5306" s="70"/>
      <c r="F5306" s="70"/>
      <c r="G5306" s="94"/>
      <c r="H5306" s="131"/>
      <c r="I5306" s="3"/>
    </row>
    <row r="5307" spans="1:9" s="93" customFormat="1" ht="9" customHeight="1" x14ac:dyDescent="0.3">
      <c r="A5307" s="91"/>
      <c r="B5307" s="70"/>
      <c r="C5307" s="70"/>
      <c r="D5307" s="70"/>
      <c r="E5307" s="70"/>
      <c r="F5307" s="70"/>
      <c r="G5307" s="94"/>
      <c r="H5307" s="131"/>
      <c r="I5307" s="3"/>
    </row>
    <row r="5308" spans="1:9" s="93" customFormat="1" ht="9" customHeight="1" x14ac:dyDescent="0.3">
      <c r="A5308" s="91"/>
      <c r="B5308" s="70"/>
      <c r="C5308" s="70"/>
      <c r="D5308" s="70"/>
      <c r="E5308" s="70"/>
      <c r="F5308" s="70"/>
      <c r="G5308" s="94"/>
      <c r="H5308" s="131"/>
      <c r="I5308" s="3"/>
    </row>
    <row r="5309" spans="1:9" s="93" customFormat="1" ht="9" customHeight="1" x14ac:dyDescent="0.3">
      <c r="A5309" s="91"/>
      <c r="B5309" s="70"/>
      <c r="C5309" s="70"/>
      <c r="D5309" s="70"/>
      <c r="E5309" s="70"/>
      <c r="F5309" s="70"/>
      <c r="G5309" s="94"/>
      <c r="H5309" s="131"/>
      <c r="I5309" s="3"/>
    </row>
    <row r="5310" spans="1:9" s="93" customFormat="1" ht="9" customHeight="1" x14ac:dyDescent="0.3">
      <c r="A5310" s="91"/>
      <c r="B5310" s="70"/>
      <c r="C5310" s="70"/>
      <c r="D5310" s="70"/>
      <c r="E5310" s="70"/>
      <c r="F5310" s="70"/>
      <c r="G5310" s="94"/>
      <c r="H5310" s="131"/>
      <c r="I5310" s="3"/>
    </row>
    <row r="5311" spans="1:9" s="93" customFormat="1" ht="9" customHeight="1" x14ac:dyDescent="0.3">
      <c r="A5311" s="91"/>
      <c r="B5311" s="70"/>
      <c r="C5311" s="70"/>
      <c r="D5311" s="70"/>
      <c r="E5311" s="70"/>
      <c r="F5311" s="70"/>
      <c r="G5311" s="94"/>
      <c r="H5311" s="131"/>
      <c r="I5311" s="3"/>
    </row>
    <row r="5312" spans="1:9" s="93" customFormat="1" ht="9" customHeight="1" x14ac:dyDescent="0.3">
      <c r="A5312" s="91"/>
      <c r="B5312" s="70"/>
      <c r="C5312" s="70"/>
      <c r="D5312" s="70"/>
      <c r="E5312" s="70"/>
      <c r="F5312" s="70"/>
      <c r="G5312" s="94"/>
      <c r="H5312" s="131"/>
      <c r="I5312" s="3"/>
    </row>
    <row r="5313" spans="1:9" s="93" customFormat="1" ht="9" customHeight="1" x14ac:dyDescent="0.3">
      <c r="A5313" s="91"/>
      <c r="B5313" s="70"/>
      <c r="C5313" s="70"/>
      <c r="D5313" s="70"/>
      <c r="E5313" s="70"/>
      <c r="F5313" s="70"/>
      <c r="G5313" s="94"/>
      <c r="H5313" s="131"/>
      <c r="I5313" s="3"/>
    </row>
    <row r="5314" spans="1:9" s="93" customFormat="1" ht="9" customHeight="1" x14ac:dyDescent="0.3">
      <c r="A5314" s="91"/>
      <c r="B5314" s="70"/>
      <c r="C5314" s="70"/>
      <c r="D5314" s="70"/>
      <c r="E5314" s="70"/>
      <c r="F5314" s="70"/>
      <c r="G5314" s="94"/>
      <c r="H5314" s="131"/>
      <c r="I5314" s="3"/>
    </row>
    <row r="5315" spans="1:9" s="93" customFormat="1" ht="9" customHeight="1" x14ac:dyDescent="0.3">
      <c r="A5315" s="91"/>
      <c r="B5315" s="70"/>
      <c r="C5315" s="70"/>
      <c r="D5315" s="70"/>
      <c r="E5315" s="70"/>
      <c r="F5315" s="70"/>
      <c r="G5315" s="94"/>
      <c r="H5315" s="131"/>
      <c r="I5315" s="3"/>
    </row>
    <row r="5316" spans="1:9" s="93" customFormat="1" ht="9" customHeight="1" x14ac:dyDescent="0.3">
      <c r="A5316" s="91"/>
      <c r="B5316" s="70"/>
      <c r="C5316" s="70"/>
      <c r="D5316" s="70"/>
      <c r="E5316" s="70"/>
      <c r="F5316" s="70"/>
      <c r="G5316" s="94"/>
      <c r="H5316" s="131"/>
      <c r="I5316" s="3"/>
    </row>
    <row r="5317" spans="1:9" s="93" customFormat="1" ht="9" customHeight="1" x14ac:dyDescent="0.3">
      <c r="A5317" s="91"/>
      <c r="B5317" s="70"/>
      <c r="C5317" s="70"/>
      <c r="D5317" s="70"/>
      <c r="E5317" s="70"/>
      <c r="F5317" s="70"/>
      <c r="G5317" s="94"/>
      <c r="H5317" s="131"/>
      <c r="I5317" s="3"/>
    </row>
    <row r="5318" spans="1:9" s="93" customFormat="1" ht="9" customHeight="1" x14ac:dyDescent="0.3">
      <c r="A5318" s="91"/>
      <c r="B5318" s="70"/>
      <c r="C5318" s="70"/>
      <c r="D5318" s="70"/>
      <c r="E5318" s="70"/>
      <c r="F5318" s="70"/>
      <c r="G5318" s="94"/>
      <c r="H5318" s="131"/>
      <c r="I5318" s="3"/>
    </row>
    <row r="5319" spans="1:9" s="93" customFormat="1" ht="9" customHeight="1" x14ac:dyDescent="0.3">
      <c r="A5319" s="91"/>
      <c r="B5319" s="70"/>
      <c r="C5319" s="70"/>
      <c r="D5319" s="70"/>
      <c r="E5319" s="70"/>
      <c r="F5319" s="70"/>
      <c r="G5319" s="94"/>
      <c r="H5319" s="131"/>
      <c r="I5319" s="3"/>
    </row>
    <row r="5320" spans="1:9" s="93" customFormat="1" ht="9" customHeight="1" x14ac:dyDescent="0.3">
      <c r="A5320" s="91"/>
      <c r="B5320" s="70"/>
      <c r="C5320" s="70"/>
      <c r="D5320" s="70"/>
      <c r="E5320" s="70"/>
      <c r="F5320" s="70"/>
      <c r="G5320" s="94"/>
      <c r="H5320" s="131"/>
      <c r="I5320" s="3"/>
    </row>
    <row r="5321" spans="1:9" s="93" customFormat="1" ht="9" customHeight="1" x14ac:dyDescent="0.3">
      <c r="A5321" s="91"/>
      <c r="B5321" s="70"/>
      <c r="C5321" s="70"/>
      <c r="D5321" s="70"/>
      <c r="E5321" s="70"/>
      <c r="F5321" s="70"/>
      <c r="G5321" s="94"/>
      <c r="H5321" s="131"/>
      <c r="I5321" s="3"/>
    </row>
    <row r="5322" spans="1:9" s="93" customFormat="1" ht="9" customHeight="1" x14ac:dyDescent="0.3">
      <c r="A5322" s="91"/>
      <c r="B5322" s="70"/>
      <c r="C5322" s="70"/>
      <c r="D5322" s="70"/>
      <c r="E5322" s="70"/>
      <c r="F5322" s="70"/>
      <c r="G5322" s="94"/>
      <c r="H5322" s="131"/>
      <c r="I5322" s="3"/>
    </row>
    <row r="5323" spans="1:9" s="93" customFormat="1" ht="9" customHeight="1" x14ac:dyDescent="0.3">
      <c r="A5323" s="91"/>
      <c r="B5323" s="70"/>
      <c r="C5323" s="70"/>
      <c r="D5323" s="70"/>
      <c r="E5323" s="70"/>
      <c r="F5323" s="70"/>
      <c r="G5323" s="94"/>
      <c r="H5323" s="131"/>
      <c r="I5323" s="3"/>
    </row>
    <row r="5324" spans="1:9" s="93" customFormat="1" ht="9" customHeight="1" x14ac:dyDescent="0.3">
      <c r="A5324" s="91"/>
      <c r="B5324" s="70"/>
      <c r="C5324" s="70"/>
      <c r="D5324" s="70"/>
      <c r="E5324" s="70"/>
      <c r="F5324" s="70"/>
      <c r="G5324" s="94"/>
      <c r="H5324" s="131"/>
      <c r="I5324" s="3"/>
    </row>
    <row r="5325" spans="1:9" s="93" customFormat="1" ht="9" customHeight="1" x14ac:dyDescent="0.3">
      <c r="A5325" s="91"/>
      <c r="B5325" s="70"/>
      <c r="C5325" s="70"/>
      <c r="D5325" s="70"/>
      <c r="E5325" s="70"/>
      <c r="F5325" s="70"/>
      <c r="G5325" s="94"/>
      <c r="H5325" s="131"/>
      <c r="I5325" s="3"/>
    </row>
    <row r="5326" spans="1:9" s="93" customFormat="1" ht="9" customHeight="1" x14ac:dyDescent="0.3">
      <c r="A5326" s="91"/>
      <c r="B5326" s="70"/>
      <c r="C5326" s="70"/>
      <c r="D5326" s="70"/>
      <c r="E5326" s="70"/>
      <c r="F5326" s="70"/>
      <c r="G5326" s="94"/>
      <c r="H5326" s="131"/>
      <c r="I5326" s="3"/>
    </row>
    <row r="5327" spans="1:9" s="93" customFormat="1" ht="9" customHeight="1" x14ac:dyDescent="0.3">
      <c r="A5327" s="91"/>
      <c r="B5327" s="70"/>
      <c r="C5327" s="70"/>
      <c r="D5327" s="70"/>
      <c r="E5327" s="70"/>
      <c r="F5327" s="70"/>
      <c r="G5327" s="94"/>
      <c r="H5327" s="131"/>
      <c r="I5327" s="3"/>
    </row>
    <row r="5328" spans="1:9" s="93" customFormat="1" ht="9" customHeight="1" x14ac:dyDescent="0.3">
      <c r="A5328" s="91"/>
      <c r="B5328" s="70"/>
      <c r="C5328" s="70"/>
      <c r="D5328" s="70"/>
      <c r="E5328" s="70"/>
      <c r="F5328" s="70"/>
      <c r="G5328" s="94"/>
      <c r="H5328" s="131"/>
      <c r="I5328" s="3"/>
    </row>
    <row r="5329" spans="1:9" s="93" customFormat="1" ht="9" customHeight="1" x14ac:dyDescent="0.3">
      <c r="A5329" s="91"/>
      <c r="B5329" s="70"/>
      <c r="C5329" s="70"/>
      <c r="D5329" s="70"/>
      <c r="E5329" s="70"/>
      <c r="F5329" s="70"/>
      <c r="G5329" s="94"/>
      <c r="H5329" s="131"/>
      <c r="I5329" s="3"/>
    </row>
    <row r="5330" spans="1:9" s="93" customFormat="1" ht="9" customHeight="1" x14ac:dyDescent="0.3">
      <c r="A5330" s="91"/>
      <c r="B5330" s="70"/>
      <c r="C5330" s="70"/>
      <c r="D5330" s="70"/>
      <c r="E5330" s="70"/>
      <c r="F5330" s="70"/>
      <c r="G5330" s="94"/>
      <c r="H5330" s="131"/>
      <c r="I5330" s="3"/>
    </row>
    <row r="5331" spans="1:9" s="93" customFormat="1" ht="9" customHeight="1" x14ac:dyDescent="0.3">
      <c r="A5331" s="91"/>
      <c r="B5331" s="70"/>
      <c r="C5331" s="70"/>
      <c r="D5331" s="70"/>
      <c r="E5331" s="70"/>
      <c r="F5331" s="70"/>
      <c r="G5331" s="94"/>
      <c r="H5331" s="131"/>
      <c r="I5331" s="3"/>
    </row>
    <row r="5332" spans="1:9" s="93" customFormat="1" ht="9" customHeight="1" x14ac:dyDescent="0.3">
      <c r="A5332" s="91"/>
      <c r="B5332" s="70"/>
      <c r="C5332" s="70"/>
      <c r="D5332" s="70"/>
      <c r="E5332" s="70"/>
      <c r="F5332" s="70"/>
      <c r="G5332" s="94"/>
      <c r="H5332" s="131"/>
      <c r="I5332" s="3"/>
    </row>
    <row r="5333" spans="1:9" s="93" customFormat="1" ht="9" customHeight="1" x14ac:dyDescent="0.3">
      <c r="A5333" s="91"/>
      <c r="B5333" s="70"/>
      <c r="C5333" s="70"/>
      <c r="D5333" s="70"/>
      <c r="E5333" s="70"/>
      <c r="F5333" s="70"/>
      <c r="G5333" s="94"/>
      <c r="H5333" s="131"/>
      <c r="I5333" s="3"/>
    </row>
    <row r="5334" spans="1:9" s="93" customFormat="1" ht="9" customHeight="1" x14ac:dyDescent="0.3">
      <c r="A5334" s="91"/>
      <c r="B5334" s="70"/>
      <c r="C5334" s="70"/>
      <c r="D5334" s="70"/>
      <c r="E5334" s="70"/>
      <c r="F5334" s="70"/>
      <c r="G5334" s="94"/>
      <c r="H5334" s="131"/>
      <c r="I5334" s="3"/>
    </row>
    <row r="5335" spans="1:9" s="93" customFormat="1" ht="9" customHeight="1" x14ac:dyDescent="0.3">
      <c r="A5335" s="91"/>
      <c r="B5335" s="70"/>
      <c r="C5335" s="70"/>
      <c r="D5335" s="70"/>
      <c r="E5335" s="70"/>
      <c r="F5335" s="70"/>
      <c r="G5335" s="94"/>
      <c r="H5335" s="131"/>
      <c r="I5335" s="3"/>
    </row>
    <row r="5336" spans="1:9" s="93" customFormat="1" ht="9" customHeight="1" x14ac:dyDescent="0.3">
      <c r="A5336" s="91"/>
      <c r="B5336" s="70"/>
      <c r="C5336" s="70"/>
      <c r="D5336" s="70"/>
      <c r="E5336" s="70"/>
      <c r="F5336" s="70"/>
      <c r="G5336" s="94"/>
      <c r="H5336" s="131"/>
      <c r="I5336" s="3"/>
    </row>
    <row r="5337" spans="1:9" s="93" customFormat="1" ht="9" customHeight="1" x14ac:dyDescent="0.3">
      <c r="A5337" s="91"/>
      <c r="B5337" s="70"/>
      <c r="C5337" s="70"/>
      <c r="D5337" s="70"/>
      <c r="E5337" s="70"/>
      <c r="F5337" s="70"/>
      <c r="G5337" s="94"/>
      <c r="H5337" s="131"/>
      <c r="I5337" s="3"/>
    </row>
    <row r="5338" spans="1:9" s="93" customFormat="1" ht="9" customHeight="1" x14ac:dyDescent="0.3">
      <c r="A5338" s="91"/>
      <c r="B5338" s="70"/>
      <c r="C5338" s="70"/>
      <c r="D5338" s="70"/>
      <c r="E5338" s="70"/>
      <c r="F5338" s="70"/>
      <c r="G5338" s="94"/>
      <c r="H5338" s="131"/>
      <c r="I5338" s="3"/>
    </row>
    <row r="5339" spans="1:9" s="93" customFormat="1" ht="9" customHeight="1" x14ac:dyDescent="0.3">
      <c r="A5339" s="91"/>
      <c r="B5339" s="70"/>
      <c r="C5339" s="70"/>
      <c r="D5339" s="70"/>
      <c r="E5339" s="70"/>
      <c r="F5339" s="70"/>
      <c r="G5339" s="94"/>
      <c r="H5339" s="131"/>
      <c r="I5339" s="3"/>
    </row>
    <row r="5340" spans="1:9" s="93" customFormat="1" ht="9" customHeight="1" x14ac:dyDescent="0.3">
      <c r="A5340" s="91"/>
      <c r="B5340" s="70"/>
      <c r="C5340" s="70"/>
      <c r="D5340" s="70"/>
      <c r="E5340" s="70"/>
      <c r="F5340" s="70"/>
      <c r="G5340" s="94"/>
      <c r="H5340" s="131"/>
      <c r="I5340" s="3"/>
    </row>
    <row r="5341" spans="1:9" s="93" customFormat="1" ht="9" customHeight="1" x14ac:dyDescent="0.3">
      <c r="A5341" s="91"/>
      <c r="B5341" s="70"/>
      <c r="C5341" s="70"/>
      <c r="D5341" s="70"/>
      <c r="E5341" s="70"/>
      <c r="F5341" s="70"/>
      <c r="G5341" s="94"/>
      <c r="H5341" s="131"/>
      <c r="I5341" s="3"/>
    </row>
    <row r="5342" spans="1:9" s="93" customFormat="1" ht="9" customHeight="1" x14ac:dyDescent="0.3">
      <c r="A5342" s="91"/>
      <c r="B5342" s="70"/>
      <c r="C5342" s="70"/>
      <c r="D5342" s="70"/>
      <c r="E5342" s="70"/>
      <c r="F5342" s="70"/>
      <c r="G5342" s="94"/>
      <c r="H5342" s="131"/>
      <c r="I5342" s="3"/>
    </row>
    <row r="5343" spans="1:9" s="93" customFormat="1" ht="9" customHeight="1" x14ac:dyDescent="0.3">
      <c r="A5343" s="91"/>
      <c r="B5343" s="70"/>
      <c r="C5343" s="70"/>
      <c r="D5343" s="70"/>
      <c r="E5343" s="70"/>
      <c r="F5343" s="70"/>
      <c r="G5343" s="94"/>
      <c r="H5343" s="131"/>
      <c r="I5343" s="3"/>
    </row>
    <row r="5344" spans="1:9" s="93" customFormat="1" ht="9" customHeight="1" x14ac:dyDescent="0.3">
      <c r="A5344" s="91"/>
      <c r="B5344" s="70"/>
      <c r="C5344" s="70"/>
      <c r="D5344" s="70"/>
      <c r="E5344" s="70"/>
      <c r="F5344" s="70"/>
      <c r="G5344" s="94"/>
      <c r="H5344" s="131"/>
      <c r="I5344" s="3"/>
    </row>
    <row r="5345" spans="1:9" s="93" customFormat="1" ht="9" customHeight="1" x14ac:dyDescent="0.3">
      <c r="A5345" s="91"/>
      <c r="B5345" s="70"/>
      <c r="C5345" s="70"/>
      <c r="D5345" s="70"/>
      <c r="E5345" s="70"/>
      <c r="F5345" s="70"/>
      <c r="G5345" s="94"/>
      <c r="H5345" s="131"/>
      <c r="I5345" s="3"/>
    </row>
    <row r="5346" spans="1:9" s="93" customFormat="1" ht="9" customHeight="1" x14ac:dyDescent="0.3">
      <c r="A5346" s="91"/>
      <c r="B5346" s="70"/>
      <c r="C5346" s="70"/>
      <c r="D5346" s="70"/>
      <c r="E5346" s="70"/>
      <c r="F5346" s="70"/>
      <c r="G5346" s="94"/>
      <c r="H5346" s="131"/>
      <c r="I5346" s="3"/>
    </row>
    <row r="5347" spans="1:9" s="93" customFormat="1" ht="9" customHeight="1" x14ac:dyDescent="0.3">
      <c r="A5347" s="91"/>
      <c r="B5347" s="70"/>
      <c r="C5347" s="70"/>
      <c r="D5347" s="70"/>
      <c r="E5347" s="70"/>
      <c r="F5347" s="70"/>
      <c r="G5347" s="94"/>
      <c r="H5347" s="131"/>
      <c r="I5347" s="3"/>
    </row>
    <row r="5348" spans="1:9" s="93" customFormat="1" ht="9" customHeight="1" x14ac:dyDescent="0.3">
      <c r="A5348" s="91"/>
      <c r="B5348" s="70"/>
      <c r="C5348" s="70"/>
      <c r="D5348" s="70"/>
      <c r="E5348" s="70"/>
      <c r="F5348" s="70"/>
      <c r="G5348" s="94"/>
      <c r="H5348" s="131"/>
      <c r="I5348" s="3"/>
    </row>
    <row r="5349" spans="1:9" s="93" customFormat="1" ht="9" customHeight="1" x14ac:dyDescent="0.3">
      <c r="A5349" s="91"/>
      <c r="B5349" s="70"/>
      <c r="C5349" s="70"/>
      <c r="D5349" s="70"/>
      <c r="E5349" s="70"/>
      <c r="F5349" s="70"/>
      <c r="G5349" s="94"/>
      <c r="H5349" s="131"/>
      <c r="I5349" s="3"/>
    </row>
    <row r="5350" spans="1:9" s="93" customFormat="1" ht="9" customHeight="1" x14ac:dyDescent="0.3">
      <c r="A5350" s="91"/>
      <c r="B5350" s="70"/>
      <c r="C5350" s="70"/>
      <c r="D5350" s="70"/>
      <c r="E5350" s="70"/>
      <c r="F5350" s="70"/>
      <c r="G5350" s="94"/>
      <c r="H5350" s="131"/>
      <c r="I5350" s="3"/>
    </row>
    <row r="5351" spans="1:9" s="93" customFormat="1" ht="9" customHeight="1" x14ac:dyDescent="0.3">
      <c r="A5351" s="91"/>
      <c r="B5351" s="70"/>
      <c r="C5351" s="70"/>
      <c r="D5351" s="70"/>
      <c r="E5351" s="70"/>
      <c r="F5351" s="70"/>
      <c r="G5351" s="94"/>
      <c r="H5351" s="131"/>
      <c r="I5351" s="3"/>
    </row>
    <row r="5352" spans="1:9" s="93" customFormat="1" ht="9" customHeight="1" x14ac:dyDescent="0.3">
      <c r="A5352" s="91"/>
      <c r="B5352" s="70"/>
      <c r="C5352" s="70"/>
      <c r="D5352" s="70"/>
      <c r="E5352" s="70"/>
      <c r="F5352" s="70"/>
      <c r="G5352" s="94"/>
      <c r="H5352" s="131"/>
      <c r="I5352" s="3"/>
    </row>
    <row r="5353" spans="1:9" s="93" customFormat="1" ht="9" customHeight="1" x14ac:dyDescent="0.3">
      <c r="A5353" s="91"/>
      <c r="B5353" s="70"/>
      <c r="C5353" s="70"/>
      <c r="D5353" s="70"/>
      <c r="E5353" s="70"/>
      <c r="F5353" s="70"/>
      <c r="G5353" s="94"/>
      <c r="H5353" s="131"/>
      <c r="I5353" s="3"/>
    </row>
    <row r="5354" spans="1:9" s="93" customFormat="1" ht="9" customHeight="1" x14ac:dyDescent="0.3">
      <c r="A5354" s="91"/>
      <c r="B5354" s="70"/>
      <c r="C5354" s="70"/>
      <c r="D5354" s="70"/>
      <c r="E5354" s="70"/>
      <c r="F5354" s="70"/>
      <c r="G5354" s="94"/>
      <c r="H5354" s="131"/>
      <c r="I5354" s="3"/>
    </row>
    <row r="5355" spans="1:9" s="93" customFormat="1" ht="9" customHeight="1" x14ac:dyDescent="0.3">
      <c r="A5355" s="91"/>
      <c r="B5355" s="70"/>
      <c r="C5355" s="70"/>
      <c r="D5355" s="70"/>
      <c r="E5355" s="70"/>
      <c r="F5355" s="70"/>
      <c r="G5355" s="94"/>
      <c r="H5355" s="131"/>
      <c r="I5355" s="3"/>
    </row>
    <row r="5356" spans="1:9" s="93" customFormat="1" ht="9" customHeight="1" x14ac:dyDescent="0.3">
      <c r="A5356" s="91"/>
      <c r="B5356" s="70"/>
      <c r="C5356" s="70"/>
      <c r="D5356" s="70"/>
      <c r="E5356" s="70"/>
      <c r="F5356" s="70"/>
      <c r="G5356" s="94"/>
      <c r="H5356" s="131"/>
      <c r="I5356" s="3"/>
    </row>
    <row r="5357" spans="1:9" s="93" customFormat="1" ht="9" customHeight="1" x14ac:dyDescent="0.3">
      <c r="A5357" s="91"/>
      <c r="B5357" s="70"/>
      <c r="C5357" s="70"/>
      <c r="D5357" s="70"/>
      <c r="E5357" s="70"/>
      <c r="F5357" s="70"/>
      <c r="G5357" s="94"/>
      <c r="H5357" s="131"/>
      <c r="I5357" s="3"/>
    </row>
    <row r="5358" spans="1:9" s="93" customFormat="1" ht="9" customHeight="1" x14ac:dyDescent="0.3">
      <c r="A5358" s="91"/>
      <c r="B5358" s="70"/>
      <c r="C5358" s="70"/>
      <c r="D5358" s="70"/>
      <c r="E5358" s="70"/>
      <c r="F5358" s="70"/>
      <c r="G5358" s="94"/>
      <c r="H5358" s="131"/>
      <c r="I5358" s="3"/>
    </row>
    <row r="5359" spans="1:9" s="93" customFormat="1" ht="9" customHeight="1" x14ac:dyDescent="0.3">
      <c r="A5359" s="91"/>
      <c r="B5359" s="70"/>
      <c r="C5359" s="70"/>
      <c r="D5359" s="70"/>
      <c r="E5359" s="70"/>
      <c r="F5359" s="70"/>
      <c r="G5359" s="94"/>
      <c r="H5359" s="131"/>
      <c r="I5359" s="3"/>
    </row>
    <row r="5360" spans="1:9" s="93" customFormat="1" ht="9" customHeight="1" x14ac:dyDescent="0.3">
      <c r="A5360" s="91"/>
      <c r="B5360" s="70"/>
      <c r="C5360" s="70"/>
      <c r="D5360" s="70"/>
      <c r="E5360" s="70"/>
      <c r="F5360" s="70"/>
      <c r="G5360" s="94"/>
      <c r="H5360" s="131"/>
      <c r="I5360" s="3"/>
    </row>
    <row r="5361" spans="1:9" s="93" customFormat="1" ht="9" customHeight="1" x14ac:dyDescent="0.3">
      <c r="A5361" s="91"/>
      <c r="B5361" s="70"/>
      <c r="C5361" s="70"/>
      <c r="D5361" s="70"/>
      <c r="E5361" s="70"/>
      <c r="F5361" s="70"/>
      <c r="G5361" s="94"/>
      <c r="H5361" s="131"/>
      <c r="I5361" s="3"/>
    </row>
    <row r="5362" spans="1:9" s="93" customFormat="1" ht="9" customHeight="1" x14ac:dyDescent="0.3">
      <c r="A5362" s="91"/>
      <c r="B5362" s="70"/>
      <c r="C5362" s="70"/>
      <c r="D5362" s="70"/>
      <c r="E5362" s="70"/>
      <c r="F5362" s="70"/>
      <c r="G5362" s="94"/>
      <c r="H5362" s="131"/>
      <c r="I5362" s="3"/>
    </row>
    <row r="5363" spans="1:9" s="93" customFormat="1" ht="9" customHeight="1" x14ac:dyDescent="0.3">
      <c r="A5363" s="91"/>
      <c r="B5363" s="70"/>
      <c r="C5363" s="70"/>
      <c r="D5363" s="70"/>
      <c r="E5363" s="70"/>
      <c r="F5363" s="70"/>
      <c r="G5363" s="94"/>
      <c r="H5363" s="131"/>
      <c r="I5363" s="3"/>
    </row>
    <row r="5364" spans="1:9" s="93" customFormat="1" ht="9" customHeight="1" x14ac:dyDescent="0.3">
      <c r="A5364" s="91"/>
      <c r="B5364" s="70"/>
      <c r="C5364" s="70"/>
      <c r="D5364" s="70"/>
      <c r="E5364" s="70"/>
      <c r="F5364" s="70"/>
      <c r="G5364" s="94"/>
      <c r="H5364" s="131"/>
      <c r="I5364" s="3"/>
    </row>
    <row r="5365" spans="1:9" s="93" customFormat="1" ht="9" customHeight="1" x14ac:dyDescent="0.3">
      <c r="A5365" s="91"/>
      <c r="B5365" s="70"/>
      <c r="C5365" s="70"/>
      <c r="D5365" s="70"/>
      <c r="E5365" s="70"/>
      <c r="F5365" s="70"/>
      <c r="G5365" s="94"/>
      <c r="H5365" s="131"/>
      <c r="I5365" s="3"/>
    </row>
    <row r="5366" spans="1:9" s="93" customFormat="1" ht="9" customHeight="1" x14ac:dyDescent="0.3">
      <c r="A5366" s="91"/>
      <c r="B5366" s="70"/>
      <c r="C5366" s="70"/>
      <c r="D5366" s="70"/>
      <c r="E5366" s="70"/>
      <c r="F5366" s="70"/>
      <c r="G5366" s="94"/>
      <c r="H5366" s="131"/>
      <c r="I5366" s="3"/>
    </row>
    <row r="5367" spans="1:9" s="93" customFormat="1" ht="9" customHeight="1" x14ac:dyDescent="0.3">
      <c r="A5367" s="91"/>
      <c r="B5367" s="70"/>
      <c r="C5367" s="70"/>
      <c r="D5367" s="70"/>
      <c r="E5367" s="70"/>
      <c r="F5367" s="70"/>
      <c r="G5367" s="94"/>
      <c r="H5367" s="131"/>
      <c r="I5367" s="3"/>
    </row>
    <row r="5368" spans="1:9" s="93" customFormat="1" ht="9" customHeight="1" x14ac:dyDescent="0.3">
      <c r="A5368" s="91"/>
      <c r="B5368" s="70"/>
      <c r="C5368" s="70"/>
      <c r="D5368" s="70"/>
      <c r="E5368" s="70"/>
      <c r="F5368" s="70"/>
      <c r="G5368" s="94"/>
      <c r="H5368" s="131"/>
      <c r="I5368" s="3"/>
    </row>
    <row r="5369" spans="1:9" s="93" customFormat="1" ht="9" customHeight="1" x14ac:dyDescent="0.3">
      <c r="A5369" s="91"/>
      <c r="B5369" s="70"/>
      <c r="C5369" s="70"/>
      <c r="D5369" s="70"/>
      <c r="E5369" s="70"/>
      <c r="F5369" s="70"/>
      <c r="G5369" s="94"/>
      <c r="H5369" s="131"/>
      <c r="I5369" s="3"/>
    </row>
    <row r="5370" spans="1:9" s="93" customFormat="1" ht="9" customHeight="1" x14ac:dyDescent="0.3">
      <c r="A5370" s="91"/>
      <c r="B5370" s="70"/>
      <c r="C5370" s="70"/>
      <c r="D5370" s="70"/>
      <c r="E5370" s="70"/>
      <c r="F5370" s="70"/>
      <c r="G5370" s="94"/>
      <c r="H5370" s="131"/>
      <c r="I5370" s="3"/>
    </row>
    <row r="5371" spans="1:9" s="93" customFormat="1" ht="9" customHeight="1" x14ac:dyDescent="0.3">
      <c r="A5371" s="91"/>
      <c r="B5371" s="70"/>
      <c r="C5371" s="70"/>
      <c r="D5371" s="70"/>
      <c r="E5371" s="70"/>
      <c r="F5371" s="70"/>
      <c r="G5371" s="94"/>
      <c r="H5371" s="131"/>
      <c r="I5371" s="3"/>
    </row>
    <row r="5372" spans="1:9" s="93" customFormat="1" ht="9" customHeight="1" x14ac:dyDescent="0.3">
      <c r="A5372" s="91"/>
      <c r="B5372" s="70"/>
      <c r="C5372" s="70"/>
      <c r="D5372" s="70"/>
      <c r="E5372" s="70"/>
      <c r="F5372" s="70"/>
      <c r="G5372" s="94"/>
      <c r="H5372" s="131"/>
      <c r="I5372" s="3"/>
    </row>
    <row r="5373" spans="1:9" s="93" customFormat="1" ht="9" customHeight="1" x14ac:dyDescent="0.3">
      <c r="A5373" s="91"/>
      <c r="B5373" s="70"/>
      <c r="C5373" s="70"/>
      <c r="D5373" s="70"/>
      <c r="E5373" s="70"/>
      <c r="F5373" s="70"/>
      <c r="G5373" s="94"/>
      <c r="H5373" s="131"/>
      <c r="I5373" s="3"/>
    </row>
    <row r="5374" spans="1:9" s="93" customFormat="1" ht="9" customHeight="1" x14ac:dyDescent="0.3">
      <c r="A5374" s="91"/>
      <c r="B5374" s="70"/>
      <c r="C5374" s="70"/>
      <c r="D5374" s="70"/>
      <c r="E5374" s="70"/>
      <c r="F5374" s="70"/>
      <c r="G5374" s="94"/>
      <c r="H5374" s="131"/>
      <c r="I5374" s="3"/>
    </row>
    <row r="5375" spans="1:9" s="93" customFormat="1" ht="9" customHeight="1" x14ac:dyDescent="0.3">
      <c r="A5375" s="91"/>
      <c r="B5375" s="70"/>
      <c r="C5375" s="70"/>
      <c r="D5375" s="70"/>
      <c r="E5375" s="70"/>
      <c r="F5375" s="70"/>
      <c r="G5375" s="94"/>
      <c r="H5375" s="131"/>
      <c r="I5375" s="3"/>
    </row>
    <row r="5376" spans="1:9" s="93" customFormat="1" ht="9" customHeight="1" x14ac:dyDescent="0.3">
      <c r="A5376" s="91"/>
      <c r="B5376" s="70"/>
      <c r="C5376" s="70"/>
      <c r="D5376" s="70"/>
      <c r="E5376" s="70"/>
      <c r="F5376" s="70"/>
      <c r="G5376" s="94"/>
      <c r="H5376" s="131"/>
      <c r="I5376" s="3"/>
    </row>
    <row r="5377" spans="1:9" s="93" customFormat="1" ht="9" customHeight="1" x14ac:dyDescent="0.3">
      <c r="A5377" s="91"/>
      <c r="B5377" s="70"/>
      <c r="C5377" s="70"/>
      <c r="D5377" s="70"/>
      <c r="E5377" s="70"/>
      <c r="F5377" s="70"/>
      <c r="G5377" s="94"/>
      <c r="H5377" s="131"/>
      <c r="I5377" s="3"/>
    </row>
    <row r="5378" spans="1:9" s="93" customFormat="1" ht="9" customHeight="1" x14ac:dyDescent="0.3">
      <c r="A5378" s="91"/>
      <c r="B5378" s="70"/>
      <c r="C5378" s="70"/>
      <c r="D5378" s="70"/>
      <c r="E5378" s="70"/>
      <c r="F5378" s="70"/>
      <c r="G5378" s="94"/>
      <c r="H5378" s="131"/>
      <c r="I5378" s="3"/>
    </row>
    <row r="5379" spans="1:9" s="93" customFormat="1" ht="9" customHeight="1" x14ac:dyDescent="0.3">
      <c r="A5379" s="91"/>
      <c r="B5379" s="70"/>
      <c r="C5379" s="70"/>
      <c r="D5379" s="70"/>
      <c r="E5379" s="70"/>
      <c r="F5379" s="70"/>
      <c r="G5379" s="94"/>
      <c r="H5379" s="131"/>
      <c r="I5379" s="3"/>
    </row>
    <row r="5380" spans="1:9" s="93" customFormat="1" ht="9" customHeight="1" x14ac:dyDescent="0.3">
      <c r="A5380" s="91"/>
      <c r="B5380" s="70"/>
      <c r="C5380" s="70"/>
      <c r="D5380" s="70"/>
      <c r="E5380" s="70"/>
      <c r="F5380" s="70"/>
      <c r="G5380" s="94"/>
      <c r="H5380" s="131"/>
      <c r="I5380" s="3"/>
    </row>
    <row r="5381" spans="1:9" s="93" customFormat="1" ht="9" customHeight="1" x14ac:dyDescent="0.3">
      <c r="A5381" s="91"/>
      <c r="B5381" s="70"/>
      <c r="C5381" s="70"/>
      <c r="D5381" s="70"/>
      <c r="E5381" s="70"/>
      <c r="F5381" s="70"/>
      <c r="G5381" s="94"/>
      <c r="H5381" s="131"/>
      <c r="I5381" s="3"/>
    </row>
    <row r="5382" spans="1:9" s="93" customFormat="1" ht="9" customHeight="1" x14ac:dyDescent="0.3">
      <c r="A5382" s="91"/>
      <c r="B5382" s="70"/>
      <c r="C5382" s="70"/>
      <c r="D5382" s="70"/>
      <c r="E5382" s="70"/>
      <c r="F5382" s="70"/>
      <c r="G5382" s="94"/>
      <c r="H5382" s="131"/>
      <c r="I5382" s="3"/>
    </row>
    <row r="5383" spans="1:9" s="93" customFormat="1" ht="9" customHeight="1" x14ac:dyDescent="0.3">
      <c r="A5383" s="91"/>
      <c r="B5383" s="70"/>
      <c r="C5383" s="70"/>
      <c r="D5383" s="70"/>
      <c r="E5383" s="70"/>
      <c r="F5383" s="70"/>
      <c r="G5383" s="94"/>
      <c r="H5383" s="131"/>
      <c r="I5383" s="3"/>
    </row>
    <row r="5384" spans="1:9" s="93" customFormat="1" ht="9" customHeight="1" x14ac:dyDescent="0.3">
      <c r="A5384" s="91"/>
      <c r="B5384" s="70"/>
      <c r="C5384" s="70"/>
      <c r="D5384" s="70"/>
      <c r="E5384" s="70"/>
      <c r="F5384" s="70"/>
      <c r="G5384" s="94"/>
      <c r="H5384" s="131"/>
      <c r="I5384" s="3"/>
    </row>
    <row r="5385" spans="1:9" s="93" customFormat="1" ht="9" customHeight="1" x14ac:dyDescent="0.3">
      <c r="A5385" s="91"/>
      <c r="B5385" s="70"/>
      <c r="C5385" s="70"/>
      <c r="D5385" s="70"/>
      <c r="E5385" s="70"/>
      <c r="F5385" s="70"/>
      <c r="G5385" s="94"/>
      <c r="H5385" s="131"/>
      <c r="I5385" s="3"/>
    </row>
    <row r="5386" spans="1:9" s="93" customFormat="1" ht="9" customHeight="1" x14ac:dyDescent="0.3">
      <c r="A5386" s="91"/>
      <c r="B5386" s="70"/>
      <c r="C5386" s="70"/>
      <c r="D5386" s="70"/>
      <c r="E5386" s="70"/>
      <c r="F5386" s="70"/>
      <c r="G5386" s="94"/>
      <c r="H5386" s="131"/>
      <c r="I5386" s="3"/>
    </row>
    <row r="5387" spans="1:9" s="93" customFormat="1" ht="9" customHeight="1" x14ac:dyDescent="0.3">
      <c r="A5387" s="91"/>
      <c r="B5387" s="70"/>
      <c r="C5387" s="70"/>
      <c r="D5387" s="70"/>
      <c r="E5387" s="70"/>
      <c r="F5387" s="70"/>
      <c r="G5387" s="94"/>
      <c r="H5387" s="131"/>
      <c r="I5387" s="3"/>
    </row>
    <row r="5388" spans="1:9" s="93" customFormat="1" ht="9" customHeight="1" x14ac:dyDescent="0.3">
      <c r="A5388" s="91"/>
      <c r="B5388" s="70"/>
      <c r="C5388" s="70"/>
      <c r="D5388" s="70"/>
      <c r="E5388" s="70"/>
      <c r="F5388" s="70"/>
      <c r="G5388" s="94"/>
      <c r="H5388" s="131"/>
      <c r="I5388" s="3"/>
    </row>
    <row r="5389" spans="1:9" s="93" customFormat="1" ht="9" customHeight="1" x14ac:dyDescent="0.3">
      <c r="A5389" s="91"/>
      <c r="B5389" s="70"/>
      <c r="C5389" s="70"/>
      <c r="D5389" s="70"/>
      <c r="E5389" s="70"/>
      <c r="F5389" s="70"/>
      <c r="G5389" s="94"/>
      <c r="H5389" s="131"/>
      <c r="I5389" s="3"/>
    </row>
    <row r="5390" spans="1:9" s="93" customFormat="1" ht="9" customHeight="1" x14ac:dyDescent="0.3">
      <c r="A5390" s="91"/>
      <c r="B5390" s="70"/>
      <c r="C5390" s="70"/>
      <c r="D5390" s="70"/>
      <c r="E5390" s="70"/>
      <c r="F5390" s="70"/>
      <c r="G5390" s="94"/>
      <c r="H5390" s="131"/>
      <c r="I5390" s="3"/>
    </row>
    <row r="5391" spans="1:9" s="93" customFormat="1" ht="9" customHeight="1" x14ac:dyDescent="0.3">
      <c r="A5391" s="91"/>
      <c r="B5391" s="70"/>
      <c r="C5391" s="70"/>
      <c r="D5391" s="70"/>
      <c r="E5391" s="70"/>
      <c r="F5391" s="70"/>
      <c r="G5391" s="94"/>
      <c r="H5391" s="131"/>
      <c r="I5391" s="3"/>
    </row>
    <row r="5392" spans="1:9" s="93" customFormat="1" ht="9" customHeight="1" x14ac:dyDescent="0.3">
      <c r="A5392" s="91"/>
      <c r="B5392" s="70"/>
      <c r="C5392" s="70"/>
      <c r="D5392" s="70"/>
      <c r="E5392" s="70"/>
      <c r="F5392" s="70"/>
      <c r="G5392" s="94"/>
      <c r="H5392" s="131"/>
      <c r="I5392" s="3"/>
    </row>
    <row r="5393" spans="1:9" s="93" customFormat="1" ht="9" customHeight="1" x14ac:dyDescent="0.3">
      <c r="A5393" s="91"/>
      <c r="B5393" s="70"/>
      <c r="C5393" s="70"/>
      <c r="D5393" s="70"/>
      <c r="E5393" s="70"/>
      <c r="F5393" s="70"/>
      <c r="G5393" s="94"/>
      <c r="H5393" s="131"/>
      <c r="I5393" s="3"/>
    </row>
    <row r="5394" spans="1:9" s="93" customFormat="1" ht="9" customHeight="1" x14ac:dyDescent="0.3">
      <c r="A5394" s="91"/>
      <c r="B5394" s="70"/>
      <c r="C5394" s="70"/>
      <c r="D5394" s="70"/>
      <c r="E5394" s="70"/>
      <c r="F5394" s="70"/>
      <c r="G5394" s="94"/>
      <c r="H5394" s="131"/>
      <c r="I5394" s="3"/>
    </row>
    <row r="5395" spans="1:9" s="93" customFormat="1" ht="9" customHeight="1" x14ac:dyDescent="0.3">
      <c r="A5395" s="91"/>
      <c r="B5395" s="70"/>
      <c r="C5395" s="70"/>
      <c r="D5395" s="70"/>
      <c r="E5395" s="70"/>
      <c r="F5395" s="70"/>
      <c r="G5395" s="94"/>
      <c r="H5395" s="131"/>
      <c r="I5395" s="3"/>
    </row>
    <row r="5396" spans="1:9" s="93" customFormat="1" ht="9" customHeight="1" x14ac:dyDescent="0.3">
      <c r="A5396" s="91"/>
      <c r="B5396" s="70"/>
      <c r="C5396" s="70"/>
      <c r="D5396" s="70"/>
      <c r="E5396" s="70"/>
      <c r="F5396" s="70"/>
      <c r="G5396" s="94"/>
      <c r="H5396" s="131"/>
      <c r="I5396" s="3"/>
    </row>
    <row r="5397" spans="1:9" s="93" customFormat="1" ht="9" customHeight="1" x14ac:dyDescent="0.3">
      <c r="A5397" s="91"/>
      <c r="B5397" s="70"/>
      <c r="C5397" s="70"/>
      <c r="D5397" s="70"/>
      <c r="E5397" s="70"/>
      <c r="F5397" s="70"/>
      <c r="G5397" s="94"/>
      <c r="H5397" s="131"/>
      <c r="I5397" s="3"/>
    </row>
    <row r="5398" spans="1:9" s="93" customFormat="1" ht="9" customHeight="1" x14ac:dyDescent="0.3">
      <c r="A5398" s="91"/>
      <c r="B5398" s="70"/>
      <c r="C5398" s="70"/>
      <c r="D5398" s="70"/>
      <c r="E5398" s="70"/>
      <c r="F5398" s="70"/>
      <c r="G5398" s="94"/>
      <c r="H5398" s="131"/>
      <c r="I5398" s="3"/>
    </row>
    <row r="5399" spans="1:9" s="93" customFormat="1" ht="9" customHeight="1" x14ac:dyDescent="0.3">
      <c r="A5399" s="91"/>
      <c r="B5399" s="70"/>
      <c r="C5399" s="70"/>
      <c r="D5399" s="70"/>
      <c r="E5399" s="70"/>
      <c r="F5399" s="70"/>
      <c r="G5399" s="94"/>
      <c r="H5399" s="131"/>
      <c r="I5399" s="3"/>
    </row>
    <row r="5400" spans="1:9" s="93" customFormat="1" ht="9" customHeight="1" x14ac:dyDescent="0.3">
      <c r="A5400" s="91"/>
      <c r="B5400" s="70"/>
      <c r="C5400" s="70"/>
      <c r="D5400" s="70"/>
      <c r="E5400" s="70"/>
      <c r="F5400" s="70"/>
      <c r="G5400" s="94"/>
      <c r="H5400" s="131"/>
      <c r="I5400" s="3"/>
    </row>
    <row r="5401" spans="1:9" s="93" customFormat="1" ht="9" customHeight="1" x14ac:dyDescent="0.3">
      <c r="A5401" s="91"/>
      <c r="B5401" s="70"/>
      <c r="C5401" s="70"/>
      <c r="D5401" s="70"/>
      <c r="E5401" s="70"/>
      <c r="F5401" s="70"/>
      <c r="G5401" s="94"/>
      <c r="H5401" s="131"/>
      <c r="I5401" s="3"/>
    </row>
    <row r="5402" spans="1:9" s="93" customFormat="1" ht="9" customHeight="1" x14ac:dyDescent="0.3">
      <c r="A5402" s="91"/>
      <c r="B5402" s="70"/>
      <c r="C5402" s="70"/>
      <c r="D5402" s="70"/>
      <c r="E5402" s="70"/>
      <c r="F5402" s="70"/>
      <c r="G5402" s="94"/>
      <c r="H5402" s="131"/>
      <c r="I5402" s="3"/>
    </row>
    <row r="5403" spans="1:9" s="93" customFormat="1" ht="9" customHeight="1" x14ac:dyDescent="0.3">
      <c r="A5403" s="91"/>
      <c r="B5403" s="70"/>
      <c r="C5403" s="70"/>
      <c r="D5403" s="70"/>
      <c r="E5403" s="70"/>
      <c r="F5403" s="70"/>
      <c r="G5403" s="94"/>
      <c r="H5403" s="131"/>
      <c r="I5403" s="3"/>
    </row>
    <row r="5404" spans="1:9" s="93" customFormat="1" ht="9" customHeight="1" x14ac:dyDescent="0.3">
      <c r="A5404" s="91"/>
      <c r="B5404" s="70"/>
      <c r="C5404" s="70"/>
      <c r="D5404" s="70"/>
      <c r="E5404" s="70"/>
      <c r="F5404" s="70"/>
      <c r="G5404" s="94"/>
      <c r="H5404" s="131"/>
      <c r="I5404" s="3"/>
    </row>
    <row r="5405" spans="1:9" s="93" customFormat="1" ht="9" customHeight="1" x14ac:dyDescent="0.3">
      <c r="A5405" s="91"/>
      <c r="B5405" s="70"/>
      <c r="C5405" s="70"/>
      <c r="D5405" s="70"/>
      <c r="E5405" s="70"/>
      <c r="F5405" s="70"/>
      <c r="G5405" s="94"/>
      <c r="H5405" s="131"/>
      <c r="I5405" s="3"/>
    </row>
    <row r="5406" spans="1:9" s="93" customFormat="1" ht="9" customHeight="1" x14ac:dyDescent="0.3">
      <c r="A5406" s="91"/>
      <c r="B5406" s="70"/>
      <c r="C5406" s="70"/>
      <c r="D5406" s="70"/>
      <c r="E5406" s="70"/>
      <c r="F5406" s="70"/>
      <c r="G5406" s="94"/>
      <c r="H5406" s="131"/>
      <c r="I5406" s="3"/>
    </row>
    <row r="5407" spans="1:9" s="93" customFormat="1" ht="9" customHeight="1" x14ac:dyDescent="0.3">
      <c r="A5407" s="91"/>
      <c r="B5407" s="70"/>
      <c r="C5407" s="70"/>
      <c r="D5407" s="70"/>
      <c r="E5407" s="70"/>
      <c r="F5407" s="70"/>
      <c r="G5407" s="94"/>
      <c r="H5407" s="131"/>
      <c r="I5407" s="3"/>
    </row>
    <row r="5408" spans="1:9" s="93" customFormat="1" ht="9" customHeight="1" x14ac:dyDescent="0.3">
      <c r="A5408" s="91"/>
      <c r="B5408" s="70"/>
      <c r="C5408" s="70"/>
      <c r="D5408" s="70"/>
      <c r="E5408" s="70"/>
      <c r="F5408" s="70"/>
      <c r="G5408" s="94"/>
      <c r="H5408" s="131"/>
      <c r="I5408" s="3"/>
    </row>
    <row r="5409" spans="1:9" s="93" customFormat="1" ht="9" customHeight="1" x14ac:dyDescent="0.3">
      <c r="A5409" s="91"/>
      <c r="B5409" s="70"/>
      <c r="C5409" s="70"/>
      <c r="D5409" s="70"/>
      <c r="E5409" s="70"/>
      <c r="F5409" s="70"/>
      <c r="G5409" s="94"/>
      <c r="H5409" s="131"/>
      <c r="I5409" s="3"/>
    </row>
    <row r="5410" spans="1:9" s="93" customFormat="1" ht="9" customHeight="1" x14ac:dyDescent="0.3">
      <c r="A5410" s="91"/>
      <c r="B5410" s="70"/>
      <c r="C5410" s="70"/>
      <c r="D5410" s="70"/>
      <c r="E5410" s="70"/>
      <c r="F5410" s="70"/>
      <c r="G5410" s="94"/>
      <c r="H5410" s="131"/>
      <c r="I5410" s="3"/>
    </row>
    <row r="5411" spans="1:9" s="93" customFormat="1" ht="9" customHeight="1" x14ac:dyDescent="0.3">
      <c r="A5411" s="91"/>
      <c r="B5411" s="70"/>
      <c r="C5411" s="70"/>
      <c r="D5411" s="70"/>
      <c r="E5411" s="70"/>
      <c r="F5411" s="70"/>
      <c r="G5411" s="94"/>
      <c r="H5411" s="131"/>
      <c r="I5411" s="3"/>
    </row>
    <row r="5412" spans="1:9" s="93" customFormat="1" ht="9" customHeight="1" x14ac:dyDescent="0.3">
      <c r="A5412" s="91"/>
      <c r="B5412" s="70"/>
      <c r="C5412" s="70"/>
      <c r="D5412" s="70"/>
      <c r="E5412" s="70"/>
      <c r="F5412" s="70"/>
      <c r="G5412" s="94"/>
      <c r="H5412" s="131"/>
      <c r="I5412" s="3"/>
    </row>
    <row r="5413" spans="1:9" s="93" customFormat="1" ht="9" customHeight="1" x14ac:dyDescent="0.3">
      <c r="A5413" s="91"/>
      <c r="B5413" s="70"/>
      <c r="C5413" s="70"/>
      <c r="D5413" s="70"/>
      <c r="E5413" s="70"/>
      <c r="F5413" s="70"/>
      <c r="G5413" s="94"/>
      <c r="H5413" s="131"/>
      <c r="I5413" s="3"/>
    </row>
    <row r="5414" spans="1:9" s="93" customFormat="1" ht="9" customHeight="1" x14ac:dyDescent="0.3">
      <c r="A5414" s="91"/>
      <c r="B5414" s="70"/>
      <c r="C5414" s="70"/>
      <c r="D5414" s="70"/>
      <c r="E5414" s="70"/>
      <c r="F5414" s="70"/>
      <c r="G5414" s="94"/>
      <c r="H5414" s="131"/>
      <c r="I5414" s="3"/>
    </row>
    <row r="5415" spans="1:9" s="93" customFormat="1" ht="9" customHeight="1" x14ac:dyDescent="0.3">
      <c r="A5415" s="91"/>
      <c r="B5415" s="70"/>
      <c r="C5415" s="70"/>
      <c r="D5415" s="70"/>
      <c r="E5415" s="70"/>
      <c r="F5415" s="70"/>
      <c r="G5415" s="94"/>
      <c r="H5415" s="131"/>
      <c r="I5415" s="3"/>
    </row>
    <row r="5416" spans="1:9" s="93" customFormat="1" ht="9" customHeight="1" x14ac:dyDescent="0.3">
      <c r="A5416" s="91"/>
      <c r="B5416" s="70"/>
      <c r="C5416" s="70"/>
      <c r="D5416" s="70"/>
      <c r="E5416" s="70"/>
      <c r="F5416" s="70"/>
      <c r="G5416" s="94"/>
      <c r="H5416" s="131"/>
      <c r="I5416" s="3"/>
    </row>
    <row r="5417" spans="1:9" s="93" customFormat="1" ht="9" customHeight="1" x14ac:dyDescent="0.3">
      <c r="A5417" s="91"/>
      <c r="B5417" s="70"/>
      <c r="C5417" s="70"/>
      <c r="D5417" s="70"/>
      <c r="E5417" s="70"/>
      <c r="F5417" s="70"/>
      <c r="G5417" s="94"/>
      <c r="H5417" s="131"/>
      <c r="I5417" s="3"/>
    </row>
    <row r="5418" spans="1:9" s="93" customFormat="1" ht="9" customHeight="1" x14ac:dyDescent="0.3">
      <c r="A5418" s="91"/>
      <c r="B5418" s="70"/>
      <c r="C5418" s="70"/>
      <c r="D5418" s="70"/>
      <c r="E5418" s="70"/>
      <c r="F5418" s="70"/>
      <c r="G5418" s="94"/>
      <c r="H5418" s="131"/>
      <c r="I5418" s="3"/>
    </row>
    <row r="5419" spans="1:9" s="93" customFormat="1" ht="9" customHeight="1" x14ac:dyDescent="0.3">
      <c r="A5419" s="91"/>
      <c r="B5419" s="70"/>
      <c r="C5419" s="70"/>
      <c r="D5419" s="70"/>
      <c r="E5419" s="70"/>
      <c r="F5419" s="70"/>
      <c r="G5419" s="94"/>
      <c r="H5419" s="131"/>
      <c r="I5419" s="3"/>
    </row>
    <row r="5420" spans="1:9" s="93" customFormat="1" ht="9" customHeight="1" x14ac:dyDescent="0.3">
      <c r="A5420" s="91"/>
      <c r="B5420" s="70"/>
      <c r="C5420" s="70"/>
      <c r="D5420" s="70"/>
      <c r="E5420" s="70"/>
      <c r="F5420" s="70"/>
      <c r="G5420" s="94"/>
      <c r="H5420" s="131"/>
      <c r="I5420" s="3"/>
    </row>
    <row r="5421" spans="1:9" s="93" customFormat="1" ht="9" customHeight="1" x14ac:dyDescent="0.3">
      <c r="A5421" s="91"/>
      <c r="B5421" s="70"/>
      <c r="C5421" s="70"/>
      <c r="D5421" s="70"/>
      <c r="E5421" s="70"/>
      <c r="F5421" s="70"/>
      <c r="G5421" s="94"/>
      <c r="H5421" s="131"/>
      <c r="I5421" s="3"/>
    </row>
    <row r="5422" spans="1:9" s="93" customFormat="1" ht="9" customHeight="1" x14ac:dyDescent="0.3">
      <c r="A5422" s="91"/>
      <c r="B5422" s="70"/>
      <c r="C5422" s="70"/>
      <c r="D5422" s="70"/>
      <c r="E5422" s="70"/>
      <c r="F5422" s="70"/>
      <c r="G5422" s="94"/>
      <c r="H5422" s="131"/>
      <c r="I5422" s="3"/>
    </row>
    <row r="5423" spans="1:9" s="93" customFormat="1" ht="9" customHeight="1" x14ac:dyDescent="0.3">
      <c r="A5423" s="91"/>
      <c r="B5423" s="70"/>
      <c r="C5423" s="70"/>
      <c r="D5423" s="70"/>
      <c r="E5423" s="70"/>
      <c r="F5423" s="70"/>
      <c r="G5423" s="94"/>
      <c r="H5423" s="131"/>
      <c r="I5423" s="3"/>
    </row>
    <row r="5424" spans="1:9" s="93" customFormat="1" ht="9" customHeight="1" x14ac:dyDescent="0.3">
      <c r="A5424" s="91"/>
      <c r="B5424" s="70"/>
      <c r="C5424" s="70"/>
      <c r="D5424" s="70"/>
      <c r="E5424" s="70"/>
      <c r="F5424" s="70"/>
      <c r="G5424" s="94"/>
      <c r="H5424" s="131"/>
      <c r="I5424" s="3"/>
    </row>
    <row r="5425" spans="1:9" s="93" customFormat="1" ht="9" customHeight="1" x14ac:dyDescent="0.3">
      <c r="A5425" s="91"/>
      <c r="B5425" s="70"/>
      <c r="C5425" s="70"/>
      <c r="D5425" s="70"/>
      <c r="E5425" s="70"/>
      <c r="F5425" s="70"/>
      <c r="G5425" s="94"/>
      <c r="H5425" s="131"/>
      <c r="I5425" s="3"/>
    </row>
    <row r="5426" spans="1:9" s="93" customFormat="1" ht="9" customHeight="1" x14ac:dyDescent="0.3">
      <c r="A5426" s="91"/>
      <c r="B5426" s="70"/>
      <c r="C5426" s="70"/>
      <c r="D5426" s="70"/>
      <c r="E5426" s="70"/>
      <c r="F5426" s="70"/>
      <c r="G5426" s="94"/>
      <c r="H5426" s="131"/>
      <c r="I5426" s="3"/>
    </row>
    <row r="5427" spans="1:9" s="93" customFormat="1" ht="9" customHeight="1" x14ac:dyDescent="0.3">
      <c r="A5427" s="91"/>
      <c r="B5427" s="70"/>
      <c r="C5427" s="70"/>
      <c r="D5427" s="70"/>
      <c r="E5427" s="70"/>
      <c r="F5427" s="70"/>
      <c r="G5427" s="94"/>
      <c r="H5427" s="131"/>
      <c r="I5427" s="3"/>
    </row>
    <row r="5428" spans="1:9" s="93" customFormat="1" ht="9" customHeight="1" x14ac:dyDescent="0.3">
      <c r="A5428" s="91"/>
      <c r="B5428" s="70"/>
      <c r="C5428" s="70"/>
      <c r="D5428" s="70"/>
      <c r="E5428" s="70"/>
      <c r="F5428" s="70"/>
      <c r="G5428" s="94"/>
      <c r="H5428" s="131"/>
      <c r="I5428" s="3"/>
    </row>
    <row r="5429" spans="1:9" s="93" customFormat="1" ht="9" customHeight="1" x14ac:dyDescent="0.3">
      <c r="A5429" s="91"/>
      <c r="B5429" s="70"/>
      <c r="C5429" s="70"/>
      <c r="D5429" s="70"/>
      <c r="E5429" s="70"/>
      <c r="F5429" s="70"/>
      <c r="G5429" s="94"/>
      <c r="H5429" s="131"/>
      <c r="I5429" s="3"/>
    </row>
    <row r="5430" spans="1:9" s="93" customFormat="1" ht="9" customHeight="1" x14ac:dyDescent="0.3">
      <c r="A5430" s="91"/>
      <c r="B5430" s="70"/>
      <c r="C5430" s="70"/>
      <c r="D5430" s="70"/>
      <c r="E5430" s="70"/>
      <c r="F5430" s="70"/>
      <c r="G5430" s="94"/>
      <c r="H5430" s="131"/>
      <c r="I5430" s="3"/>
    </row>
    <row r="5431" spans="1:9" s="93" customFormat="1" ht="9" customHeight="1" x14ac:dyDescent="0.3">
      <c r="A5431" s="91"/>
      <c r="B5431" s="70"/>
      <c r="C5431" s="70"/>
      <c r="D5431" s="70"/>
      <c r="E5431" s="70"/>
      <c r="F5431" s="70"/>
      <c r="G5431" s="94"/>
      <c r="H5431" s="131"/>
      <c r="I5431" s="3"/>
    </row>
    <row r="5432" spans="1:9" s="93" customFormat="1" ht="9" customHeight="1" x14ac:dyDescent="0.3">
      <c r="A5432" s="91"/>
      <c r="B5432" s="70"/>
      <c r="C5432" s="70"/>
      <c r="D5432" s="70"/>
      <c r="E5432" s="70"/>
      <c r="F5432" s="70"/>
      <c r="G5432" s="94"/>
      <c r="H5432" s="131"/>
      <c r="I5432" s="3"/>
    </row>
    <row r="5433" spans="1:9" s="93" customFormat="1" ht="9" customHeight="1" x14ac:dyDescent="0.3">
      <c r="A5433" s="91"/>
      <c r="B5433" s="70"/>
      <c r="C5433" s="70"/>
      <c r="D5433" s="70"/>
      <c r="E5433" s="70"/>
      <c r="F5433" s="70"/>
      <c r="G5433" s="94"/>
      <c r="H5433" s="131"/>
      <c r="I5433" s="3"/>
    </row>
    <row r="5434" spans="1:9" s="93" customFormat="1" ht="9" customHeight="1" x14ac:dyDescent="0.3">
      <c r="A5434" s="91"/>
      <c r="B5434" s="70"/>
      <c r="C5434" s="70"/>
      <c r="D5434" s="70"/>
      <c r="E5434" s="70"/>
      <c r="F5434" s="70"/>
      <c r="G5434" s="94"/>
      <c r="H5434" s="131"/>
      <c r="I5434" s="3"/>
    </row>
    <row r="5435" spans="1:9" s="93" customFormat="1" ht="9" customHeight="1" x14ac:dyDescent="0.3">
      <c r="A5435" s="91"/>
      <c r="B5435" s="70"/>
      <c r="C5435" s="70"/>
      <c r="D5435" s="70"/>
      <c r="E5435" s="70"/>
      <c r="F5435" s="70"/>
      <c r="G5435" s="94"/>
      <c r="H5435" s="131"/>
      <c r="I5435" s="3"/>
    </row>
    <row r="5436" spans="1:9" s="93" customFormat="1" ht="9" customHeight="1" x14ac:dyDescent="0.3">
      <c r="A5436" s="91"/>
      <c r="B5436" s="70"/>
      <c r="C5436" s="70"/>
      <c r="D5436" s="70"/>
      <c r="E5436" s="70"/>
      <c r="F5436" s="70"/>
      <c r="G5436" s="94"/>
      <c r="H5436" s="131"/>
      <c r="I5436" s="3"/>
    </row>
    <row r="5437" spans="1:9" s="93" customFormat="1" ht="9" customHeight="1" x14ac:dyDescent="0.3">
      <c r="A5437" s="91"/>
      <c r="B5437" s="70"/>
      <c r="C5437" s="70"/>
      <c r="D5437" s="70"/>
      <c r="E5437" s="70"/>
      <c r="F5437" s="70"/>
      <c r="G5437" s="94"/>
      <c r="H5437" s="131"/>
      <c r="I5437" s="3"/>
    </row>
    <row r="5438" spans="1:9" s="93" customFormat="1" ht="9" customHeight="1" x14ac:dyDescent="0.3">
      <c r="A5438" s="91"/>
      <c r="B5438" s="70"/>
      <c r="C5438" s="70"/>
      <c r="D5438" s="70"/>
      <c r="E5438" s="70"/>
      <c r="F5438" s="70"/>
      <c r="G5438" s="94"/>
      <c r="H5438" s="131"/>
      <c r="I5438" s="3"/>
    </row>
    <row r="5439" spans="1:9" s="93" customFormat="1" ht="9" customHeight="1" x14ac:dyDescent="0.3">
      <c r="A5439" s="91"/>
      <c r="B5439" s="70"/>
      <c r="C5439" s="70"/>
      <c r="D5439" s="70"/>
      <c r="E5439" s="70"/>
      <c r="F5439" s="70"/>
      <c r="G5439" s="94"/>
      <c r="H5439" s="131"/>
      <c r="I5439" s="3"/>
    </row>
    <row r="5440" spans="1:9" s="93" customFormat="1" ht="9" customHeight="1" x14ac:dyDescent="0.3">
      <c r="A5440" s="91"/>
      <c r="B5440" s="70"/>
      <c r="C5440" s="70"/>
      <c r="D5440" s="70"/>
      <c r="E5440" s="70"/>
      <c r="F5440" s="70"/>
      <c r="G5440" s="94"/>
      <c r="H5440" s="131"/>
      <c r="I5440" s="3"/>
    </row>
    <row r="5441" spans="1:9" s="93" customFormat="1" ht="9" customHeight="1" x14ac:dyDescent="0.3">
      <c r="A5441" s="91"/>
      <c r="B5441" s="70"/>
      <c r="C5441" s="70"/>
      <c r="D5441" s="70"/>
      <c r="E5441" s="70"/>
      <c r="F5441" s="70"/>
      <c r="G5441" s="94"/>
      <c r="H5441" s="131"/>
      <c r="I5441" s="3"/>
    </row>
    <row r="5442" spans="1:9" s="93" customFormat="1" ht="9" customHeight="1" x14ac:dyDescent="0.3">
      <c r="A5442" s="91"/>
      <c r="B5442" s="70"/>
      <c r="C5442" s="70"/>
      <c r="D5442" s="70"/>
      <c r="E5442" s="70"/>
      <c r="F5442" s="70"/>
      <c r="G5442" s="94"/>
      <c r="H5442" s="131"/>
      <c r="I5442" s="3"/>
    </row>
    <row r="5443" spans="1:9" s="93" customFormat="1" ht="9" customHeight="1" x14ac:dyDescent="0.3">
      <c r="A5443" s="91"/>
      <c r="B5443" s="70"/>
      <c r="C5443" s="70"/>
      <c r="D5443" s="70"/>
      <c r="E5443" s="70"/>
      <c r="F5443" s="70"/>
      <c r="G5443" s="94"/>
      <c r="H5443" s="131"/>
      <c r="I5443" s="3"/>
    </row>
    <row r="5444" spans="1:9" s="93" customFormat="1" ht="9" customHeight="1" x14ac:dyDescent="0.3">
      <c r="A5444" s="91"/>
      <c r="B5444" s="70"/>
      <c r="C5444" s="70"/>
      <c r="D5444" s="70"/>
      <c r="E5444" s="70"/>
      <c r="F5444" s="70"/>
      <c r="G5444" s="94"/>
      <c r="H5444" s="131"/>
      <c r="I5444" s="3"/>
    </row>
    <row r="5445" spans="1:9" s="93" customFormat="1" ht="9" customHeight="1" x14ac:dyDescent="0.3">
      <c r="A5445" s="91"/>
      <c r="B5445" s="70"/>
      <c r="C5445" s="70"/>
      <c r="D5445" s="70"/>
      <c r="E5445" s="70"/>
      <c r="F5445" s="70"/>
      <c r="G5445" s="94"/>
      <c r="H5445" s="131"/>
      <c r="I5445" s="3"/>
    </row>
    <row r="5446" spans="1:9" s="93" customFormat="1" ht="9" customHeight="1" x14ac:dyDescent="0.3">
      <c r="A5446" s="91"/>
      <c r="B5446" s="70"/>
      <c r="C5446" s="70"/>
      <c r="D5446" s="70"/>
      <c r="E5446" s="70"/>
      <c r="F5446" s="70"/>
      <c r="G5446" s="94"/>
      <c r="H5446" s="131"/>
      <c r="I5446" s="3"/>
    </row>
    <row r="5447" spans="1:9" s="93" customFormat="1" ht="9" customHeight="1" x14ac:dyDescent="0.3">
      <c r="A5447" s="91"/>
      <c r="B5447" s="70"/>
      <c r="C5447" s="70"/>
      <c r="D5447" s="70"/>
      <c r="E5447" s="70"/>
      <c r="F5447" s="70"/>
      <c r="G5447" s="94"/>
      <c r="H5447" s="131"/>
      <c r="I5447" s="3"/>
    </row>
    <row r="5448" spans="1:9" s="93" customFormat="1" ht="9" customHeight="1" x14ac:dyDescent="0.3">
      <c r="A5448" s="91"/>
      <c r="B5448" s="70"/>
      <c r="C5448" s="70"/>
      <c r="D5448" s="70"/>
      <c r="E5448" s="70"/>
      <c r="F5448" s="70"/>
      <c r="G5448" s="94"/>
      <c r="H5448" s="131"/>
      <c r="I5448" s="3"/>
    </row>
    <row r="5449" spans="1:9" s="93" customFormat="1" ht="9" customHeight="1" x14ac:dyDescent="0.3">
      <c r="A5449" s="91"/>
      <c r="B5449" s="70"/>
      <c r="C5449" s="70"/>
      <c r="D5449" s="70"/>
      <c r="E5449" s="70"/>
      <c r="F5449" s="70"/>
      <c r="G5449" s="94"/>
      <c r="H5449" s="131"/>
      <c r="I5449" s="3"/>
    </row>
    <row r="5450" spans="1:9" s="93" customFormat="1" ht="9" customHeight="1" x14ac:dyDescent="0.3">
      <c r="A5450" s="91"/>
      <c r="B5450" s="70"/>
      <c r="C5450" s="70"/>
      <c r="D5450" s="70"/>
      <c r="E5450" s="70"/>
      <c r="F5450" s="70"/>
      <c r="G5450" s="94"/>
      <c r="H5450" s="131"/>
      <c r="I5450" s="3"/>
    </row>
    <row r="5451" spans="1:9" s="93" customFormat="1" ht="9" customHeight="1" x14ac:dyDescent="0.3">
      <c r="A5451" s="91"/>
      <c r="B5451" s="70"/>
      <c r="C5451" s="70"/>
      <c r="D5451" s="70"/>
      <c r="E5451" s="70"/>
      <c r="F5451" s="70"/>
      <c r="G5451" s="94"/>
      <c r="H5451" s="131"/>
      <c r="I5451" s="3"/>
    </row>
    <row r="5452" spans="1:9" s="93" customFormat="1" ht="9" customHeight="1" x14ac:dyDescent="0.3">
      <c r="A5452" s="91"/>
      <c r="B5452" s="70"/>
      <c r="C5452" s="70"/>
      <c r="D5452" s="70"/>
      <c r="E5452" s="70"/>
      <c r="F5452" s="70"/>
      <c r="G5452" s="94"/>
      <c r="H5452" s="131"/>
      <c r="I5452" s="3"/>
    </row>
    <row r="5453" spans="1:9" s="93" customFormat="1" ht="9" customHeight="1" x14ac:dyDescent="0.3">
      <c r="A5453" s="91"/>
      <c r="B5453" s="70"/>
      <c r="C5453" s="70"/>
      <c r="D5453" s="70"/>
      <c r="E5453" s="70"/>
      <c r="F5453" s="70"/>
      <c r="G5453" s="94"/>
      <c r="H5453" s="131"/>
      <c r="I5453" s="3"/>
    </row>
    <row r="5454" spans="1:9" s="93" customFormat="1" ht="9" customHeight="1" x14ac:dyDescent="0.3">
      <c r="A5454" s="91"/>
      <c r="B5454" s="70"/>
      <c r="C5454" s="70"/>
      <c r="D5454" s="70"/>
      <c r="E5454" s="70"/>
      <c r="F5454" s="70"/>
      <c r="G5454" s="94"/>
      <c r="H5454" s="131"/>
      <c r="I5454" s="3"/>
    </row>
    <row r="5455" spans="1:9" s="93" customFormat="1" ht="9" customHeight="1" x14ac:dyDescent="0.3">
      <c r="A5455" s="91"/>
      <c r="B5455" s="70"/>
      <c r="C5455" s="70"/>
      <c r="D5455" s="70"/>
      <c r="E5455" s="70"/>
      <c r="F5455" s="70"/>
      <c r="G5455" s="94"/>
      <c r="H5455" s="131"/>
      <c r="I5455" s="3"/>
    </row>
    <row r="5456" spans="1:9" s="93" customFormat="1" ht="9" customHeight="1" x14ac:dyDescent="0.3">
      <c r="A5456" s="91"/>
      <c r="B5456" s="70"/>
      <c r="C5456" s="70"/>
      <c r="D5456" s="70"/>
      <c r="E5456" s="70"/>
      <c r="F5456" s="70"/>
      <c r="G5456" s="94"/>
      <c r="H5456" s="131"/>
      <c r="I5456" s="3"/>
    </row>
    <row r="5457" spans="1:9" s="93" customFormat="1" ht="9" customHeight="1" x14ac:dyDescent="0.3">
      <c r="A5457" s="91"/>
      <c r="B5457" s="70"/>
      <c r="C5457" s="70"/>
      <c r="D5457" s="70"/>
      <c r="E5457" s="70"/>
      <c r="F5457" s="70"/>
      <c r="G5457" s="94"/>
      <c r="H5457" s="131"/>
      <c r="I5457" s="3"/>
    </row>
    <row r="5458" spans="1:9" s="93" customFormat="1" ht="9" customHeight="1" x14ac:dyDescent="0.3">
      <c r="A5458" s="91"/>
      <c r="B5458" s="70"/>
      <c r="C5458" s="70"/>
      <c r="D5458" s="70"/>
      <c r="E5458" s="70"/>
      <c r="F5458" s="70"/>
      <c r="G5458" s="94"/>
      <c r="H5458" s="131"/>
      <c r="I5458" s="3"/>
    </row>
    <row r="5459" spans="1:9" s="93" customFormat="1" ht="9" customHeight="1" x14ac:dyDescent="0.3">
      <c r="A5459" s="91"/>
      <c r="B5459" s="70"/>
      <c r="C5459" s="70"/>
      <c r="D5459" s="70"/>
      <c r="E5459" s="70"/>
      <c r="F5459" s="70"/>
      <c r="G5459" s="94"/>
      <c r="H5459" s="131"/>
      <c r="I5459" s="3"/>
    </row>
    <row r="5460" spans="1:9" s="93" customFormat="1" ht="9" customHeight="1" x14ac:dyDescent="0.3">
      <c r="A5460" s="91"/>
      <c r="B5460" s="70"/>
      <c r="C5460" s="70"/>
      <c r="D5460" s="70"/>
      <c r="E5460" s="70"/>
      <c r="F5460" s="70"/>
      <c r="G5460" s="94"/>
      <c r="H5460" s="131"/>
      <c r="I5460" s="3"/>
    </row>
    <row r="5461" spans="1:9" s="93" customFormat="1" ht="9" customHeight="1" x14ac:dyDescent="0.3">
      <c r="A5461" s="91"/>
      <c r="B5461" s="70"/>
      <c r="C5461" s="70"/>
      <c r="D5461" s="70"/>
      <c r="E5461" s="70"/>
      <c r="F5461" s="70"/>
      <c r="G5461" s="94"/>
      <c r="H5461" s="131"/>
      <c r="I5461" s="3"/>
    </row>
    <row r="5462" spans="1:9" s="93" customFormat="1" ht="9" customHeight="1" x14ac:dyDescent="0.3">
      <c r="A5462" s="91"/>
      <c r="B5462" s="70"/>
      <c r="C5462" s="70"/>
      <c r="D5462" s="70"/>
      <c r="E5462" s="70"/>
      <c r="F5462" s="70"/>
      <c r="G5462" s="94"/>
      <c r="H5462" s="131"/>
      <c r="I5462" s="3"/>
    </row>
    <row r="5463" spans="1:9" s="93" customFormat="1" ht="9" customHeight="1" x14ac:dyDescent="0.3">
      <c r="A5463" s="91"/>
      <c r="B5463" s="70"/>
      <c r="C5463" s="70"/>
      <c r="D5463" s="70"/>
      <c r="E5463" s="70"/>
      <c r="F5463" s="70"/>
      <c r="G5463" s="94"/>
      <c r="H5463" s="131"/>
      <c r="I5463" s="3"/>
    </row>
    <row r="5464" spans="1:9" s="93" customFormat="1" ht="9" customHeight="1" x14ac:dyDescent="0.3">
      <c r="A5464" s="91"/>
      <c r="B5464" s="70"/>
      <c r="C5464" s="70"/>
      <c r="D5464" s="70"/>
      <c r="E5464" s="70"/>
      <c r="F5464" s="70"/>
      <c r="G5464" s="94"/>
      <c r="H5464" s="131"/>
      <c r="I5464" s="3"/>
    </row>
    <row r="5465" spans="1:9" s="93" customFormat="1" ht="9" customHeight="1" x14ac:dyDescent="0.3">
      <c r="A5465" s="91"/>
      <c r="B5465" s="70"/>
      <c r="C5465" s="70"/>
      <c r="D5465" s="70"/>
      <c r="E5465" s="70"/>
      <c r="F5465" s="70"/>
      <c r="G5465" s="94"/>
      <c r="H5465" s="131"/>
      <c r="I5465" s="3"/>
    </row>
    <row r="5466" spans="1:9" s="93" customFormat="1" ht="9" customHeight="1" x14ac:dyDescent="0.3">
      <c r="A5466" s="91"/>
      <c r="B5466" s="70"/>
      <c r="C5466" s="70"/>
      <c r="D5466" s="70"/>
      <c r="E5466" s="70"/>
      <c r="F5466" s="70"/>
      <c r="G5466" s="94"/>
      <c r="H5466" s="131"/>
      <c r="I5466" s="3"/>
    </row>
    <row r="5467" spans="1:9" s="93" customFormat="1" ht="9" customHeight="1" x14ac:dyDescent="0.3">
      <c r="A5467" s="91"/>
      <c r="B5467" s="70"/>
      <c r="C5467" s="70"/>
      <c r="D5467" s="70"/>
      <c r="E5467" s="70"/>
      <c r="F5467" s="70"/>
      <c r="G5467" s="94"/>
      <c r="H5467" s="131"/>
      <c r="I5467" s="3"/>
    </row>
    <row r="5468" spans="1:9" s="93" customFormat="1" ht="9" customHeight="1" x14ac:dyDescent="0.3">
      <c r="A5468" s="91"/>
      <c r="B5468" s="70"/>
      <c r="C5468" s="70"/>
      <c r="D5468" s="70"/>
      <c r="E5468" s="70"/>
      <c r="F5468" s="70"/>
      <c r="G5468" s="94"/>
      <c r="H5468" s="131"/>
      <c r="I5468" s="3"/>
    </row>
    <row r="5469" spans="1:9" s="93" customFormat="1" ht="9" customHeight="1" x14ac:dyDescent="0.3">
      <c r="A5469" s="91"/>
      <c r="B5469" s="70"/>
      <c r="C5469" s="70"/>
      <c r="D5469" s="70"/>
      <c r="E5469" s="70"/>
      <c r="F5469" s="70"/>
      <c r="G5469" s="94"/>
      <c r="H5469" s="131"/>
      <c r="I5469" s="3"/>
    </row>
    <row r="5470" spans="1:9" s="93" customFormat="1" ht="9" customHeight="1" x14ac:dyDescent="0.3">
      <c r="A5470" s="91"/>
      <c r="B5470" s="70"/>
      <c r="C5470" s="70"/>
      <c r="D5470" s="70"/>
      <c r="E5470" s="70"/>
      <c r="F5470" s="70"/>
      <c r="G5470" s="94"/>
      <c r="H5470" s="131"/>
      <c r="I5470" s="3"/>
    </row>
    <row r="5471" spans="1:9" s="93" customFormat="1" ht="9" customHeight="1" x14ac:dyDescent="0.3">
      <c r="A5471" s="91"/>
      <c r="B5471" s="70"/>
      <c r="C5471" s="70"/>
      <c r="D5471" s="70"/>
      <c r="E5471" s="70"/>
      <c r="F5471" s="70"/>
      <c r="G5471" s="94"/>
      <c r="H5471" s="131"/>
      <c r="I5471" s="3"/>
    </row>
    <row r="5472" spans="1:9" s="93" customFormat="1" ht="9" customHeight="1" x14ac:dyDescent="0.3">
      <c r="A5472" s="91"/>
      <c r="B5472" s="70"/>
      <c r="C5472" s="70"/>
      <c r="D5472" s="70"/>
      <c r="E5472" s="70"/>
      <c r="F5472" s="70"/>
      <c r="G5472" s="94"/>
      <c r="H5472" s="131"/>
      <c r="I5472" s="3"/>
    </row>
    <row r="5473" spans="1:9" s="93" customFormat="1" ht="9" customHeight="1" x14ac:dyDescent="0.3">
      <c r="A5473" s="91"/>
      <c r="B5473" s="70"/>
      <c r="C5473" s="70"/>
      <c r="D5473" s="70"/>
      <c r="E5473" s="70"/>
      <c r="F5473" s="70"/>
      <c r="G5473" s="94"/>
      <c r="H5473" s="131"/>
      <c r="I5473" s="3"/>
    </row>
    <row r="5474" spans="1:9" s="93" customFormat="1" ht="9" customHeight="1" x14ac:dyDescent="0.3">
      <c r="A5474" s="91"/>
      <c r="B5474" s="70"/>
      <c r="C5474" s="70"/>
      <c r="D5474" s="70"/>
      <c r="E5474" s="70"/>
      <c r="F5474" s="70"/>
      <c r="G5474" s="94"/>
      <c r="H5474" s="131"/>
      <c r="I5474" s="3"/>
    </row>
    <row r="5475" spans="1:9" s="93" customFormat="1" ht="9" customHeight="1" x14ac:dyDescent="0.3">
      <c r="A5475" s="91"/>
      <c r="B5475" s="70"/>
      <c r="C5475" s="70"/>
      <c r="D5475" s="70"/>
      <c r="E5475" s="70"/>
      <c r="F5475" s="70"/>
      <c r="G5475" s="94"/>
      <c r="H5475" s="131"/>
      <c r="I5475" s="3"/>
    </row>
    <row r="5476" spans="1:9" s="93" customFormat="1" ht="9" customHeight="1" x14ac:dyDescent="0.3">
      <c r="A5476" s="91"/>
      <c r="B5476" s="70"/>
      <c r="C5476" s="70"/>
      <c r="D5476" s="70"/>
      <c r="E5476" s="70"/>
      <c r="F5476" s="70"/>
      <c r="G5476" s="94"/>
      <c r="H5476" s="131"/>
      <c r="I5476" s="3"/>
    </row>
    <row r="5477" spans="1:9" s="93" customFormat="1" ht="9" customHeight="1" x14ac:dyDescent="0.3">
      <c r="A5477" s="91"/>
      <c r="B5477" s="70"/>
      <c r="C5477" s="70"/>
      <c r="D5477" s="70"/>
      <c r="E5477" s="70"/>
      <c r="F5477" s="70"/>
      <c r="G5477" s="94"/>
      <c r="H5477" s="131"/>
      <c r="I5477" s="3"/>
    </row>
    <row r="5478" spans="1:9" s="93" customFormat="1" ht="9" customHeight="1" x14ac:dyDescent="0.3">
      <c r="A5478" s="91"/>
      <c r="B5478" s="70"/>
      <c r="C5478" s="70"/>
      <c r="D5478" s="70"/>
      <c r="E5478" s="70"/>
      <c r="F5478" s="70"/>
      <c r="G5478" s="94"/>
      <c r="H5478" s="131"/>
      <c r="I5478" s="3"/>
    </row>
    <row r="5479" spans="1:9" s="93" customFormat="1" ht="9" customHeight="1" x14ac:dyDescent="0.3">
      <c r="A5479" s="91"/>
      <c r="B5479" s="70"/>
      <c r="C5479" s="70"/>
      <c r="D5479" s="70"/>
      <c r="E5479" s="70"/>
      <c r="F5479" s="70"/>
      <c r="G5479" s="94"/>
      <c r="H5479" s="131"/>
      <c r="I5479" s="3"/>
    </row>
    <row r="5480" spans="1:9" s="93" customFormat="1" ht="9" customHeight="1" x14ac:dyDescent="0.3">
      <c r="A5480" s="91"/>
      <c r="B5480" s="70"/>
      <c r="C5480" s="70"/>
      <c r="D5480" s="70"/>
      <c r="E5480" s="70"/>
      <c r="F5480" s="70"/>
      <c r="G5480" s="94"/>
      <c r="H5480" s="131"/>
      <c r="I5480" s="3"/>
    </row>
    <row r="5481" spans="1:9" s="93" customFormat="1" ht="9" customHeight="1" x14ac:dyDescent="0.3">
      <c r="A5481" s="91"/>
      <c r="B5481" s="70"/>
      <c r="C5481" s="70"/>
      <c r="D5481" s="70"/>
      <c r="E5481" s="70"/>
      <c r="F5481" s="70"/>
      <c r="G5481" s="94"/>
      <c r="H5481" s="131"/>
      <c r="I5481" s="3"/>
    </row>
    <row r="5482" spans="1:9" s="93" customFormat="1" ht="9" customHeight="1" x14ac:dyDescent="0.3">
      <c r="A5482" s="91"/>
      <c r="B5482" s="70"/>
      <c r="C5482" s="70"/>
      <c r="D5482" s="70"/>
      <c r="E5482" s="70"/>
      <c r="F5482" s="70"/>
      <c r="G5482" s="94"/>
      <c r="H5482" s="131"/>
      <c r="I5482" s="3"/>
    </row>
    <row r="5483" spans="1:9" s="93" customFormat="1" ht="9" customHeight="1" x14ac:dyDescent="0.3">
      <c r="A5483" s="91"/>
      <c r="B5483" s="70"/>
      <c r="C5483" s="70"/>
      <c r="D5483" s="70"/>
      <c r="E5483" s="70"/>
      <c r="F5483" s="70"/>
      <c r="G5483" s="94"/>
      <c r="H5483" s="131"/>
      <c r="I5483" s="3"/>
    </row>
    <row r="5484" spans="1:9" s="93" customFormat="1" ht="9" customHeight="1" x14ac:dyDescent="0.3">
      <c r="A5484" s="91"/>
      <c r="B5484" s="70"/>
      <c r="C5484" s="70"/>
      <c r="D5484" s="70"/>
      <c r="E5484" s="70"/>
      <c r="F5484" s="70"/>
      <c r="G5484" s="94"/>
      <c r="H5484" s="131"/>
      <c r="I5484" s="3"/>
    </row>
    <row r="5485" spans="1:9" s="93" customFormat="1" ht="9" customHeight="1" x14ac:dyDescent="0.3">
      <c r="A5485" s="91"/>
      <c r="B5485" s="70"/>
      <c r="C5485" s="70"/>
      <c r="D5485" s="70"/>
      <c r="E5485" s="70"/>
      <c r="F5485" s="70"/>
      <c r="G5485" s="94"/>
      <c r="H5485" s="131"/>
      <c r="I5485" s="3"/>
    </row>
    <row r="5486" spans="1:9" s="93" customFormat="1" ht="9" customHeight="1" x14ac:dyDescent="0.3">
      <c r="A5486" s="91"/>
      <c r="B5486" s="70"/>
      <c r="C5486" s="70"/>
      <c r="D5486" s="70"/>
      <c r="E5486" s="70"/>
      <c r="F5486" s="70"/>
      <c r="G5486" s="94"/>
      <c r="H5486" s="131"/>
      <c r="I5486" s="3"/>
    </row>
    <row r="5487" spans="1:9" s="93" customFormat="1" ht="9" customHeight="1" x14ac:dyDescent="0.3">
      <c r="A5487" s="91"/>
      <c r="B5487" s="70"/>
      <c r="C5487" s="70"/>
      <c r="D5487" s="70"/>
      <c r="E5487" s="70"/>
      <c r="F5487" s="70"/>
      <c r="G5487" s="94"/>
      <c r="H5487" s="131"/>
      <c r="I5487" s="3"/>
    </row>
    <row r="5488" spans="1:9" s="93" customFormat="1" ht="9" customHeight="1" x14ac:dyDescent="0.3">
      <c r="A5488" s="91"/>
      <c r="B5488" s="70"/>
      <c r="C5488" s="70"/>
      <c r="D5488" s="70"/>
      <c r="E5488" s="70"/>
      <c r="F5488" s="70"/>
      <c r="G5488" s="94"/>
      <c r="H5488" s="131"/>
      <c r="I5488" s="3"/>
    </row>
    <row r="5489" spans="1:9" s="93" customFormat="1" ht="9" customHeight="1" x14ac:dyDescent="0.3">
      <c r="A5489" s="91"/>
      <c r="B5489" s="70"/>
      <c r="C5489" s="70"/>
      <c r="D5489" s="70"/>
      <c r="E5489" s="70"/>
      <c r="F5489" s="70"/>
      <c r="G5489" s="94"/>
      <c r="H5489" s="131"/>
      <c r="I5489" s="3"/>
    </row>
    <row r="5490" spans="1:9" s="93" customFormat="1" ht="9" customHeight="1" x14ac:dyDescent="0.3">
      <c r="A5490" s="91"/>
      <c r="B5490" s="70"/>
      <c r="C5490" s="70"/>
      <c r="D5490" s="70"/>
      <c r="E5490" s="70"/>
      <c r="F5490" s="70"/>
      <c r="G5490" s="94"/>
      <c r="H5490" s="131"/>
      <c r="I5490" s="3"/>
    </row>
    <row r="5491" spans="1:9" s="93" customFormat="1" ht="9" customHeight="1" x14ac:dyDescent="0.3">
      <c r="A5491" s="91"/>
      <c r="B5491" s="70"/>
      <c r="C5491" s="70"/>
      <c r="D5491" s="70"/>
      <c r="E5491" s="70"/>
      <c r="F5491" s="70"/>
      <c r="G5491" s="94"/>
      <c r="H5491" s="131"/>
      <c r="I5491" s="3"/>
    </row>
    <row r="5492" spans="1:9" s="93" customFormat="1" ht="9" customHeight="1" x14ac:dyDescent="0.3">
      <c r="A5492" s="91"/>
      <c r="B5492" s="70"/>
      <c r="C5492" s="70"/>
      <c r="D5492" s="70"/>
      <c r="E5492" s="70"/>
      <c r="F5492" s="70"/>
      <c r="G5492" s="94"/>
      <c r="H5492" s="131"/>
      <c r="I5492" s="3"/>
    </row>
    <row r="5493" spans="1:9" s="93" customFormat="1" ht="9" customHeight="1" x14ac:dyDescent="0.3">
      <c r="A5493" s="91"/>
      <c r="B5493" s="70"/>
      <c r="C5493" s="70"/>
      <c r="D5493" s="70"/>
      <c r="E5493" s="70"/>
      <c r="F5493" s="70"/>
      <c r="G5493" s="94"/>
      <c r="H5493" s="131"/>
      <c r="I5493" s="3"/>
    </row>
    <row r="5494" spans="1:9" s="93" customFormat="1" ht="9" customHeight="1" x14ac:dyDescent="0.3">
      <c r="A5494" s="91"/>
      <c r="B5494" s="70"/>
      <c r="C5494" s="70"/>
      <c r="D5494" s="70"/>
      <c r="E5494" s="70"/>
      <c r="F5494" s="70"/>
      <c r="G5494" s="94"/>
      <c r="H5494" s="131"/>
      <c r="I5494" s="3"/>
    </row>
    <row r="5495" spans="1:9" s="93" customFormat="1" ht="9" customHeight="1" x14ac:dyDescent="0.3">
      <c r="A5495" s="91"/>
      <c r="B5495" s="70"/>
      <c r="C5495" s="70"/>
      <c r="D5495" s="70"/>
      <c r="E5495" s="70"/>
      <c r="F5495" s="70"/>
      <c r="G5495" s="94"/>
      <c r="H5495" s="131"/>
      <c r="I5495" s="3"/>
    </row>
    <row r="5496" spans="1:9" s="93" customFormat="1" ht="9" customHeight="1" x14ac:dyDescent="0.3">
      <c r="A5496" s="91"/>
      <c r="B5496" s="70"/>
      <c r="C5496" s="70"/>
      <c r="D5496" s="70"/>
      <c r="E5496" s="70"/>
      <c r="F5496" s="70"/>
      <c r="G5496" s="94"/>
      <c r="H5496" s="131"/>
      <c r="I5496" s="3"/>
    </row>
    <row r="5497" spans="1:9" s="93" customFormat="1" ht="9" customHeight="1" x14ac:dyDescent="0.3">
      <c r="A5497" s="91"/>
      <c r="B5497" s="70"/>
      <c r="C5497" s="70"/>
      <c r="D5497" s="70"/>
      <c r="E5497" s="70"/>
      <c r="F5497" s="70"/>
      <c r="G5497" s="94"/>
      <c r="H5497" s="131"/>
      <c r="I5497" s="3"/>
    </row>
    <row r="5498" spans="1:9" s="93" customFormat="1" ht="9" customHeight="1" x14ac:dyDescent="0.3">
      <c r="A5498" s="91"/>
      <c r="B5498" s="70"/>
      <c r="C5498" s="70"/>
      <c r="D5498" s="70"/>
      <c r="E5498" s="70"/>
      <c r="F5498" s="70"/>
      <c r="G5498" s="94"/>
      <c r="H5498" s="131"/>
      <c r="I5498" s="3"/>
    </row>
    <row r="5499" spans="1:9" s="93" customFormat="1" ht="9" customHeight="1" x14ac:dyDescent="0.3">
      <c r="A5499" s="91"/>
      <c r="B5499" s="70"/>
      <c r="C5499" s="70"/>
      <c r="D5499" s="70"/>
      <c r="E5499" s="70"/>
      <c r="F5499" s="70"/>
      <c r="G5499" s="94"/>
      <c r="H5499" s="131"/>
      <c r="I5499" s="3"/>
    </row>
    <row r="5500" spans="1:9" s="93" customFormat="1" ht="9" customHeight="1" x14ac:dyDescent="0.3">
      <c r="A5500" s="91"/>
      <c r="B5500" s="70"/>
      <c r="C5500" s="70"/>
      <c r="D5500" s="70"/>
      <c r="E5500" s="70"/>
      <c r="F5500" s="70"/>
      <c r="G5500" s="94"/>
      <c r="H5500" s="131"/>
      <c r="I5500" s="3"/>
    </row>
    <row r="5501" spans="1:9" s="93" customFormat="1" ht="9" customHeight="1" x14ac:dyDescent="0.3">
      <c r="A5501" s="91"/>
      <c r="B5501" s="70"/>
      <c r="C5501" s="70"/>
      <c r="D5501" s="70"/>
      <c r="E5501" s="70"/>
      <c r="F5501" s="70"/>
      <c r="G5501" s="94"/>
      <c r="H5501" s="131"/>
      <c r="I5501" s="3"/>
    </row>
    <row r="5502" spans="1:9" s="93" customFormat="1" ht="9" customHeight="1" x14ac:dyDescent="0.3">
      <c r="A5502" s="91"/>
      <c r="B5502" s="70"/>
      <c r="C5502" s="70"/>
      <c r="D5502" s="70"/>
      <c r="E5502" s="70"/>
      <c r="F5502" s="70"/>
      <c r="G5502" s="94"/>
      <c r="H5502" s="131"/>
      <c r="I5502" s="3"/>
    </row>
    <row r="5503" spans="1:9" s="93" customFormat="1" ht="9" customHeight="1" x14ac:dyDescent="0.3">
      <c r="A5503" s="91"/>
      <c r="B5503" s="70"/>
      <c r="C5503" s="70"/>
      <c r="D5503" s="70"/>
      <c r="E5503" s="70"/>
      <c r="F5503" s="70"/>
      <c r="G5503" s="94"/>
      <c r="H5503" s="131"/>
      <c r="I5503" s="3"/>
    </row>
    <row r="5504" spans="1:9" s="93" customFormat="1" ht="9" customHeight="1" x14ac:dyDescent="0.3">
      <c r="A5504" s="91"/>
      <c r="B5504" s="70"/>
      <c r="C5504" s="70"/>
      <c r="D5504" s="70"/>
      <c r="E5504" s="70"/>
      <c r="F5504" s="70"/>
      <c r="G5504" s="94"/>
      <c r="H5504" s="131"/>
      <c r="I5504" s="3"/>
    </row>
    <row r="5505" spans="1:9" s="93" customFormat="1" ht="9" customHeight="1" x14ac:dyDescent="0.3">
      <c r="A5505" s="91"/>
      <c r="B5505" s="70"/>
      <c r="C5505" s="70"/>
      <c r="D5505" s="70"/>
      <c r="E5505" s="70"/>
      <c r="F5505" s="70"/>
      <c r="G5505" s="94"/>
      <c r="H5505" s="131"/>
      <c r="I5505" s="3"/>
    </row>
    <row r="5506" spans="1:9" s="93" customFormat="1" ht="9" customHeight="1" x14ac:dyDescent="0.3">
      <c r="A5506" s="91"/>
      <c r="B5506" s="70"/>
      <c r="C5506" s="70"/>
      <c r="D5506" s="70"/>
      <c r="E5506" s="70"/>
      <c r="F5506" s="70"/>
      <c r="G5506" s="94"/>
      <c r="H5506" s="131"/>
      <c r="I5506" s="3"/>
    </row>
    <row r="5507" spans="1:9" s="93" customFormat="1" ht="9" customHeight="1" x14ac:dyDescent="0.3">
      <c r="A5507" s="91"/>
      <c r="B5507" s="70"/>
      <c r="C5507" s="70"/>
      <c r="D5507" s="70"/>
      <c r="E5507" s="70"/>
      <c r="F5507" s="70"/>
      <c r="G5507" s="94"/>
      <c r="H5507" s="131"/>
      <c r="I5507" s="3"/>
    </row>
    <row r="5508" spans="1:9" s="93" customFormat="1" ht="9" customHeight="1" x14ac:dyDescent="0.3">
      <c r="A5508" s="91"/>
      <c r="B5508" s="70"/>
      <c r="C5508" s="70"/>
      <c r="D5508" s="70"/>
      <c r="E5508" s="70"/>
      <c r="F5508" s="70"/>
      <c r="G5508" s="94"/>
      <c r="H5508" s="131"/>
      <c r="I5508" s="3"/>
    </row>
    <row r="5509" spans="1:9" s="93" customFormat="1" ht="9" customHeight="1" x14ac:dyDescent="0.3">
      <c r="A5509" s="91"/>
      <c r="B5509" s="70"/>
      <c r="C5509" s="70"/>
      <c r="D5509" s="70"/>
      <c r="E5509" s="70"/>
      <c r="F5509" s="70"/>
      <c r="G5509" s="94"/>
      <c r="H5509" s="131"/>
      <c r="I5509" s="3"/>
    </row>
    <row r="5510" spans="1:9" s="93" customFormat="1" ht="9" customHeight="1" x14ac:dyDescent="0.3">
      <c r="A5510" s="91"/>
      <c r="B5510" s="70"/>
      <c r="C5510" s="70"/>
      <c r="D5510" s="70"/>
      <c r="E5510" s="70"/>
      <c r="F5510" s="70"/>
      <c r="G5510" s="94"/>
      <c r="H5510" s="131"/>
      <c r="I5510" s="3"/>
    </row>
    <row r="5511" spans="1:9" s="93" customFormat="1" ht="9" customHeight="1" x14ac:dyDescent="0.3">
      <c r="A5511" s="91"/>
      <c r="B5511" s="70"/>
      <c r="C5511" s="70"/>
      <c r="D5511" s="70"/>
      <c r="E5511" s="70"/>
      <c r="F5511" s="70"/>
      <c r="G5511" s="94"/>
      <c r="H5511" s="131"/>
      <c r="I5511" s="3"/>
    </row>
    <row r="5512" spans="1:9" s="93" customFormat="1" ht="9" customHeight="1" x14ac:dyDescent="0.3">
      <c r="A5512" s="91"/>
      <c r="B5512" s="70"/>
      <c r="C5512" s="70"/>
      <c r="D5512" s="70"/>
      <c r="E5512" s="70"/>
      <c r="F5512" s="70"/>
      <c r="G5512" s="94"/>
      <c r="H5512" s="131"/>
      <c r="I5512" s="3"/>
    </row>
    <row r="5513" spans="1:9" s="93" customFormat="1" ht="9" customHeight="1" x14ac:dyDescent="0.3">
      <c r="A5513" s="91"/>
      <c r="B5513" s="70"/>
      <c r="C5513" s="70"/>
      <c r="D5513" s="70"/>
      <c r="E5513" s="70"/>
      <c r="F5513" s="70"/>
      <c r="G5513" s="94"/>
      <c r="H5513" s="131"/>
      <c r="I5513" s="3"/>
    </row>
    <row r="5514" spans="1:9" s="93" customFormat="1" ht="9" customHeight="1" x14ac:dyDescent="0.3">
      <c r="A5514" s="91"/>
      <c r="B5514" s="70"/>
      <c r="C5514" s="70"/>
      <c r="D5514" s="70"/>
      <c r="E5514" s="70"/>
      <c r="F5514" s="70"/>
      <c r="G5514" s="94"/>
      <c r="H5514" s="131"/>
      <c r="I5514" s="3"/>
    </row>
    <row r="5515" spans="1:9" s="93" customFormat="1" ht="9" customHeight="1" x14ac:dyDescent="0.3">
      <c r="A5515" s="91"/>
      <c r="B5515" s="70"/>
      <c r="C5515" s="70"/>
      <c r="D5515" s="70"/>
      <c r="E5515" s="70"/>
      <c r="F5515" s="70"/>
      <c r="G5515" s="94"/>
      <c r="H5515" s="131"/>
      <c r="I5515" s="3"/>
    </row>
    <row r="5516" spans="1:9" s="93" customFormat="1" ht="9" customHeight="1" x14ac:dyDescent="0.3">
      <c r="A5516" s="91"/>
      <c r="B5516" s="70"/>
      <c r="C5516" s="70"/>
      <c r="D5516" s="70"/>
      <c r="E5516" s="70"/>
      <c r="F5516" s="70"/>
      <c r="G5516" s="94"/>
      <c r="H5516" s="131"/>
      <c r="I5516" s="3"/>
    </row>
    <row r="5517" spans="1:9" s="93" customFormat="1" ht="9" customHeight="1" x14ac:dyDescent="0.3">
      <c r="A5517" s="91"/>
      <c r="B5517" s="70"/>
      <c r="C5517" s="70"/>
      <c r="D5517" s="70"/>
      <c r="E5517" s="70"/>
      <c r="F5517" s="70"/>
      <c r="G5517" s="94"/>
      <c r="H5517" s="131"/>
      <c r="I5517" s="3"/>
    </row>
    <row r="5518" spans="1:9" s="93" customFormat="1" ht="9" customHeight="1" x14ac:dyDescent="0.3">
      <c r="A5518" s="91"/>
      <c r="B5518" s="70"/>
      <c r="C5518" s="70"/>
      <c r="D5518" s="70"/>
      <c r="E5518" s="70"/>
      <c r="F5518" s="70"/>
      <c r="G5518" s="94"/>
      <c r="H5518" s="131"/>
      <c r="I5518" s="3"/>
    </row>
    <row r="5519" spans="1:9" s="93" customFormat="1" ht="9" customHeight="1" x14ac:dyDescent="0.3">
      <c r="A5519" s="91"/>
      <c r="B5519" s="70"/>
      <c r="C5519" s="70"/>
      <c r="D5519" s="70"/>
      <c r="E5519" s="70"/>
      <c r="F5519" s="70"/>
      <c r="G5519" s="94"/>
      <c r="H5519" s="131"/>
      <c r="I5519" s="3"/>
    </row>
    <row r="5520" spans="1:9" s="93" customFormat="1" ht="9" customHeight="1" x14ac:dyDescent="0.3">
      <c r="A5520" s="91"/>
      <c r="B5520" s="70"/>
      <c r="C5520" s="70"/>
      <c r="D5520" s="70"/>
      <c r="E5520" s="70"/>
      <c r="F5520" s="70"/>
      <c r="G5520" s="94"/>
      <c r="H5520" s="131"/>
      <c r="I5520" s="3"/>
    </row>
    <row r="5521" spans="1:9" s="93" customFormat="1" ht="9" customHeight="1" x14ac:dyDescent="0.3">
      <c r="A5521" s="91"/>
      <c r="B5521" s="70"/>
      <c r="C5521" s="70"/>
      <c r="D5521" s="70"/>
      <c r="E5521" s="70"/>
      <c r="F5521" s="70"/>
      <c r="G5521" s="94"/>
      <c r="H5521" s="131"/>
      <c r="I5521" s="3"/>
    </row>
    <row r="5522" spans="1:9" s="93" customFormat="1" ht="9" customHeight="1" x14ac:dyDescent="0.3">
      <c r="A5522" s="91"/>
      <c r="B5522" s="70"/>
      <c r="C5522" s="70"/>
      <c r="D5522" s="70"/>
      <c r="E5522" s="70"/>
      <c r="F5522" s="70"/>
      <c r="G5522" s="94"/>
      <c r="H5522" s="131"/>
      <c r="I5522" s="3"/>
    </row>
    <row r="5523" spans="1:9" s="93" customFormat="1" ht="9" customHeight="1" x14ac:dyDescent="0.3">
      <c r="A5523" s="91"/>
      <c r="B5523" s="70"/>
      <c r="C5523" s="70"/>
      <c r="D5523" s="70"/>
      <c r="E5523" s="70"/>
      <c r="F5523" s="70"/>
      <c r="G5523" s="94"/>
      <c r="H5523" s="131"/>
      <c r="I5523" s="3"/>
    </row>
    <row r="5524" spans="1:9" s="93" customFormat="1" ht="9" customHeight="1" x14ac:dyDescent="0.3">
      <c r="A5524" s="91"/>
      <c r="B5524" s="70"/>
      <c r="C5524" s="70"/>
      <c r="D5524" s="70"/>
      <c r="E5524" s="70"/>
      <c r="F5524" s="70"/>
      <c r="G5524" s="94"/>
      <c r="H5524" s="131"/>
      <c r="I5524" s="3"/>
    </row>
    <row r="5525" spans="1:9" s="93" customFormat="1" ht="9" customHeight="1" x14ac:dyDescent="0.3">
      <c r="A5525" s="91"/>
      <c r="B5525" s="70"/>
      <c r="C5525" s="70"/>
      <c r="D5525" s="70"/>
      <c r="E5525" s="70"/>
      <c r="F5525" s="70"/>
      <c r="G5525" s="94"/>
      <c r="H5525" s="131"/>
      <c r="I5525" s="3"/>
    </row>
    <row r="5526" spans="1:9" s="93" customFormat="1" ht="9" customHeight="1" x14ac:dyDescent="0.3">
      <c r="A5526" s="91"/>
      <c r="B5526" s="70"/>
      <c r="C5526" s="70"/>
      <c r="D5526" s="70"/>
      <c r="E5526" s="70"/>
      <c r="F5526" s="70"/>
      <c r="G5526" s="94"/>
      <c r="H5526" s="131"/>
      <c r="I5526" s="3"/>
    </row>
    <row r="5527" spans="1:9" s="93" customFormat="1" ht="9" customHeight="1" x14ac:dyDescent="0.3">
      <c r="A5527" s="91"/>
      <c r="B5527" s="70"/>
      <c r="C5527" s="70"/>
      <c r="D5527" s="70"/>
      <c r="E5527" s="70"/>
      <c r="F5527" s="70"/>
      <c r="G5527" s="94"/>
      <c r="H5527" s="131"/>
      <c r="I5527" s="3"/>
    </row>
    <row r="5528" spans="1:9" s="93" customFormat="1" ht="9" customHeight="1" x14ac:dyDescent="0.3">
      <c r="A5528" s="91"/>
      <c r="B5528" s="70"/>
      <c r="C5528" s="70"/>
      <c r="D5528" s="70"/>
      <c r="E5528" s="70"/>
      <c r="F5528" s="70"/>
      <c r="G5528" s="94"/>
      <c r="H5528" s="131"/>
      <c r="I5528" s="3"/>
    </row>
    <row r="5529" spans="1:9" s="93" customFormat="1" ht="9" customHeight="1" x14ac:dyDescent="0.3">
      <c r="A5529" s="91"/>
      <c r="B5529" s="70"/>
      <c r="C5529" s="70"/>
      <c r="D5529" s="70"/>
      <c r="E5529" s="70"/>
      <c r="F5529" s="70"/>
      <c r="G5529" s="94"/>
      <c r="H5529" s="131"/>
      <c r="I5529" s="3"/>
    </row>
    <row r="5530" spans="1:9" s="93" customFormat="1" ht="9" customHeight="1" x14ac:dyDescent="0.3">
      <c r="A5530" s="91"/>
      <c r="B5530" s="70"/>
      <c r="C5530" s="70"/>
      <c r="D5530" s="70"/>
      <c r="E5530" s="70"/>
      <c r="F5530" s="70"/>
      <c r="G5530" s="94"/>
      <c r="H5530" s="131"/>
      <c r="I5530" s="3"/>
    </row>
    <row r="5531" spans="1:9" s="93" customFormat="1" ht="9" customHeight="1" x14ac:dyDescent="0.3">
      <c r="A5531" s="91"/>
      <c r="B5531" s="70"/>
      <c r="C5531" s="70"/>
      <c r="D5531" s="70"/>
      <c r="E5531" s="70"/>
      <c r="F5531" s="70"/>
      <c r="G5531" s="94"/>
      <c r="H5531" s="131"/>
      <c r="I5531" s="3"/>
    </row>
    <row r="5532" spans="1:9" s="93" customFormat="1" ht="9" customHeight="1" x14ac:dyDescent="0.3">
      <c r="A5532" s="91"/>
      <c r="B5532" s="70"/>
      <c r="C5532" s="70"/>
      <c r="D5532" s="70"/>
      <c r="E5532" s="70"/>
      <c r="F5532" s="70"/>
      <c r="G5532" s="94"/>
      <c r="H5532" s="131"/>
      <c r="I5532" s="3"/>
    </row>
    <row r="5533" spans="1:9" s="93" customFormat="1" ht="9" customHeight="1" x14ac:dyDescent="0.3">
      <c r="A5533" s="91"/>
      <c r="B5533" s="70"/>
      <c r="C5533" s="70"/>
      <c r="D5533" s="70"/>
      <c r="E5533" s="70"/>
      <c r="F5533" s="70"/>
      <c r="G5533" s="94"/>
      <c r="H5533" s="131"/>
      <c r="I5533" s="3"/>
    </row>
    <row r="5534" spans="1:9" s="93" customFormat="1" ht="9" customHeight="1" x14ac:dyDescent="0.3">
      <c r="A5534" s="91"/>
      <c r="B5534" s="70"/>
      <c r="C5534" s="70"/>
      <c r="D5534" s="70"/>
      <c r="E5534" s="70"/>
      <c r="F5534" s="70"/>
      <c r="G5534" s="94"/>
      <c r="H5534" s="131"/>
      <c r="I5534" s="3"/>
    </row>
    <row r="5535" spans="1:9" s="93" customFormat="1" ht="9" customHeight="1" x14ac:dyDescent="0.3">
      <c r="A5535" s="91"/>
      <c r="B5535" s="70"/>
      <c r="C5535" s="70"/>
      <c r="D5535" s="70"/>
      <c r="E5535" s="70"/>
      <c r="F5535" s="70"/>
      <c r="G5535" s="94"/>
      <c r="H5535" s="131"/>
      <c r="I5535" s="3"/>
    </row>
    <row r="5536" spans="1:9" s="93" customFormat="1" ht="9" customHeight="1" x14ac:dyDescent="0.3">
      <c r="A5536" s="91"/>
      <c r="B5536" s="70"/>
      <c r="C5536" s="70"/>
      <c r="D5536" s="70"/>
      <c r="E5536" s="70"/>
      <c r="F5536" s="70"/>
      <c r="G5536" s="94"/>
      <c r="H5536" s="131"/>
      <c r="I5536" s="3"/>
    </row>
    <row r="5537" spans="1:9" s="93" customFormat="1" ht="9" customHeight="1" x14ac:dyDescent="0.3">
      <c r="A5537" s="91"/>
      <c r="B5537" s="70"/>
      <c r="C5537" s="70"/>
      <c r="D5537" s="70"/>
      <c r="E5537" s="70"/>
      <c r="F5537" s="70"/>
      <c r="G5537" s="94"/>
      <c r="H5537" s="131"/>
      <c r="I5537" s="3"/>
    </row>
    <row r="5538" spans="1:9" s="93" customFormat="1" ht="9" customHeight="1" x14ac:dyDescent="0.3">
      <c r="A5538" s="91"/>
      <c r="B5538" s="70"/>
      <c r="C5538" s="70"/>
      <c r="D5538" s="70"/>
      <c r="E5538" s="70"/>
      <c r="F5538" s="70"/>
      <c r="G5538" s="94"/>
      <c r="H5538" s="131"/>
      <c r="I5538" s="3"/>
    </row>
    <row r="5539" spans="1:9" s="93" customFormat="1" ht="9" customHeight="1" x14ac:dyDescent="0.3">
      <c r="A5539" s="91"/>
      <c r="B5539" s="70"/>
      <c r="C5539" s="70"/>
      <c r="D5539" s="70"/>
      <c r="E5539" s="70"/>
      <c r="F5539" s="70"/>
      <c r="G5539" s="94"/>
      <c r="H5539" s="131"/>
      <c r="I5539" s="3"/>
    </row>
    <row r="5540" spans="1:9" s="93" customFormat="1" ht="9" customHeight="1" x14ac:dyDescent="0.3">
      <c r="A5540" s="91"/>
      <c r="B5540" s="70"/>
      <c r="C5540" s="70"/>
      <c r="D5540" s="70"/>
      <c r="E5540" s="70"/>
      <c r="F5540" s="70"/>
      <c r="G5540" s="94"/>
      <c r="H5540" s="131"/>
      <c r="I5540" s="3"/>
    </row>
    <row r="5541" spans="1:9" s="93" customFormat="1" ht="9" customHeight="1" x14ac:dyDescent="0.3">
      <c r="A5541" s="91"/>
      <c r="B5541" s="70"/>
      <c r="C5541" s="70"/>
      <c r="D5541" s="70"/>
      <c r="E5541" s="70"/>
      <c r="F5541" s="70"/>
      <c r="G5541" s="94"/>
      <c r="H5541" s="131"/>
      <c r="I5541" s="3"/>
    </row>
    <row r="5542" spans="1:9" s="93" customFormat="1" ht="9" customHeight="1" x14ac:dyDescent="0.3">
      <c r="A5542" s="91"/>
      <c r="B5542" s="70"/>
      <c r="C5542" s="70"/>
      <c r="D5542" s="70"/>
      <c r="E5542" s="70"/>
      <c r="F5542" s="70"/>
      <c r="G5542" s="94"/>
      <c r="H5542" s="131"/>
      <c r="I5542" s="3"/>
    </row>
    <row r="5543" spans="1:9" s="93" customFormat="1" ht="9" customHeight="1" x14ac:dyDescent="0.3">
      <c r="A5543" s="91"/>
      <c r="B5543" s="70"/>
      <c r="C5543" s="70"/>
      <c r="D5543" s="70"/>
      <c r="E5543" s="70"/>
      <c r="F5543" s="70"/>
      <c r="G5543" s="94"/>
      <c r="H5543" s="131"/>
      <c r="I5543" s="3"/>
    </row>
    <row r="5544" spans="1:9" s="93" customFormat="1" ht="9" customHeight="1" x14ac:dyDescent="0.3">
      <c r="A5544" s="91"/>
      <c r="B5544" s="70"/>
      <c r="C5544" s="70"/>
      <c r="D5544" s="70"/>
      <c r="E5544" s="70"/>
      <c r="F5544" s="70"/>
      <c r="G5544" s="94"/>
      <c r="H5544" s="131"/>
      <c r="I5544" s="3"/>
    </row>
    <row r="5545" spans="1:9" s="93" customFormat="1" ht="9" customHeight="1" x14ac:dyDescent="0.3">
      <c r="A5545" s="91"/>
      <c r="B5545" s="70"/>
      <c r="C5545" s="70"/>
      <c r="D5545" s="70"/>
      <c r="E5545" s="70"/>
      <c r="F5545" s="70"/>
      <c r="G5545" s="94"/>
      <c r="H5545" s="131"/>
      <c r="I5545" s="3"/>
    </row>
    <row r="5546" spans="1:9" s="93" customFormat="1" ht="9" customHeight="1" x14ac:dyDescent="0.3">
      <c r="A5546" s="91"/>
      <c r="B5546" s="70"/>
      <c r="C5546" s="70"/>
      <c r="D5546" s="70"/>
      <c r="E5546" s="70"/>
      <c r="F5546" s="70"/>
      <c r="G5546" s="94"/>
      <c r="H5546" s="131"/>
      <c r="I5546" s="3"/>
    </row>
    <row r="5547" spans="1:9" s="93" customFormat="1" ht="9" customHeight="1" x14ac:dyDescent="0.3">
      <c r="A5547" s="91"/>
      <c r="B5547" s="70"/>
      <c r="C5547" s="70"/>
      <c r="D5547" s="70"/>
      <c r="E5547" s="70"/>
      <c r="F5547" s="70"/>
      <c r="G5547" s="94"/>
      <c r="H5547" s="131"/>
      <c r="I5547" s="3"/>
    </row>
    <row r="5548" spans="1:9" s="93" customFormat="1" ht="9" customHeight="1" x14ac:dyDescent="0.3">
      <c r="A5548" s="91"/>
      <c r="B5548" s="70"/>
      <c r="C5548" s="70"/>
      <c r="D5548" s="70"/>
      <c r="E5548" s="70"/>
      <c r="F5548" s="70"/>
      <c r="G5548" s="94"/>
      <c r="H5548" s="131"/>
      <c r="I5548" s="3"/>
    </row>
    <row r="5549" spans="1:9" s="93" customFormat="1" ht="9" customHeight="1" x14ac:dyDescent="0.3">
      <c r="A5549" s="91"/>
      <c r="B5549" s="70"/>
      <c r="C5549" s="70"/>
      <c r="D5549" s="70"/>
      <c r="E5549" s="70"/>
      <c r="F5549" s="70"/>
      <c r="G5549" s="94"/>
      <c r="H5549" s="131"/>
      <c r="I5549" s="3"/>
    </row>
    <row r="5550" spans="1:9" s="93" customFormat="1" ht="9" customHeight="1" x14ac:dyDescent="0.3">
      <c r="A5550" s="91"/>
      <c r="B5550" s="70"/>
      <c r="C5550" s="70"/>
      <c r="D5550" s="70"/>
      <c r="E5550" s="70"/>
      <c r="F5550" s="70"/>
      <c r="G5550" s="94"/>
      <c r="H5550" s="131"/>
      <c r="I5550" s="3"/>
    </row>
    <row r="5551" spans="1:9" s="93" customFormat="1" ht="9" customHeight="1" x14ac:dyDescent="0.3">
      <c r="A5551" s="91"/>
      <c r="B5551" s="70"/>
      <c r="C5551" s="70"/>
      <c r="D5551" s="70"/>
      <c r="E5551" s="70"/>
      <c r="F5551" s="70"/>
      <c r="G5551" s="94"/>
      <c r="H5551" s="131"/>
      <c r="I5551" s="3"/>
    </row>
    <row r="5552" spans="1:9" s="93" customFormat="1" ht="9" customHeight="1" x14ac:dyDescent="0.3">
      <c r="A5552" s="91"/>
      <c r="B5552" s="70"/>
      <c r="C5552" s="70"/>
      <c r="D5552" s="70"/>
      <c r="E5552" s="70"/>
      <c r="F5552" s="70"/>
      <c r="G5552" s="94"/>
      <c r="H5552" s="131"/>
      <c r="I5552" s="3"/>
    </row>
    <row r="5553" spans="1:9" s="93" customFormat="1" ht="9" customHeight="1" x14ac:dyDescent="0.3">
      <c r="A5553" s="91"/>
      <c r="B5553" s="70"/>
      <c r="C5553" s="70"/>
      <c r="D5553" s="70"/>
      <c r="E5553" s="70"/>
      <c r="F5553" s="70"/>
      <c r="G5553" s="94"/>
      <c r="H5553" s="131"/>
      <c r="I5553" s="3"/>
    </row>
    <row r="5554" spans="1:9" s="93" customFormat="1" ht="9" customHeight="1" x14ac:dyDescent="0.3">
      <c r="A5554" s="91"/>
      <c r="B5554" s="70"/>
      <c r="C5554" s="70"/>
      <c r="D5554" s="70"/>
      <c r="E5554" s="70"/>
      <c r="F5554" s="70"/>
      <c r="G5554" s="94"/>
      <c r="H5554" s="131"/>
      <c r="I5554" s="3"/>
    </row>
    <row r="5555" spans="1:9" s="93" customFormat="1" ht="9" customHeight="1" x14ac:dyDescent="0.3">
      <c r="A5555" s="91"/>
      <c r="B5555" s="70"/>
      <c r="C5555" s="70"/>
      <c r="D5555" s="70"/>
      <c r="E5555" s="70"/>
      <c r="F5555" s="70"/>
      <c r="G5555" s="94"/>
      <c r="H5555" s="131"/>
      <c r="I5555" s="3"/>
    </row>
    <row r="5556" spans="1:9" s="93" customFormat="1" ht="9" customHeight="1" x14ac:dyDescent="0.3">
      <c r="A5556" s="91"/>
      <c r="B5556" s="70"/>
      <c r="C5556" s="70"/>
      <c r="D5556" s="70"/>
      <c r="E5556" s="70"/>
      <c r="F5556" s="70"/>
      <c r="G5556" s="94"/>
      <c r="H5556" s="131"/>
      <c r="I5556" s="3"/>
    </row>
    <row r="5557" spans="1:9" s="93" customFormat="1" ht="9" customHeight="1" x14ac:dyDescent="0.3">
      <c r="A5557" s="91"/>
      <c r="B5557" s="70"/>
      <c r="C5557" s="70"/>
      <c r="D5557" s="70"/>
      <c r="E5557" s="70"/>
      <c r="F5557" s="70"/>
      <c r="G5557" s="94"/>
      <c r="H5557" s="131"/>
      <c r="I5557" s="3"/>
    </row>
    <row r="5558" spans="1:9" s="93" customFormat="1" ht="9" customHeight="1" x14ac:dyDescent="0.3">
      <c r="A5558" s="91"/>
      <c r="B5558" s="70"/>
      <c r="C5558" s="70"/>
      <c r="D5558" s="70"/>
      <c r="E5558" s="70"/>
      <c r="F5558" s="70"/>
      <c r="G5558" s="94"/>
      <c r="H5558" s="131"/>
      <c r="I5558" s="3"/>
    </row>
    <row r="5559" spans="1:9" s="93" customFormat="1" ht="9" customHeight="1" x14ac:dyDescent="0.3">
      <c r="A5559" s="91"/>
      <c r="B5559" s="70"/>
      <c r="C5559" s="70"/>
      <c r="D5559" s="70"/>
      <c r="E5559" s="70"/>
      <c r="F5559" s="70"/>
      <c r="G5559" s="94"/>
      <c r="H5559" s="131"/>
      <c r="I5559" s="3"/>
    </row>
    <row r="5560" spans="1:9" s="93" customFormat="1" ht="9" customHeight="1" x14ac:dyDescent="0.3">
      <c r="A5560" s="91"/>
      <c r="B5560" s="70"/>
      <c r="C5560" s="70"/>
      <c r="D5560" s="70"/>
      <c r="E5560" s="70"/>
      <c r="F5560" s="70"/>
      <c r="G5560" s="94"/>
      <c r="H5560" s="131"/>
      <c r="I5560" s="3"/>
    </row>
    <row r="5561" spans="1:9" s="93" customFormat="1" ht="9" customHeight="1" x14ac:dyDescent="0.3">
      <c r="A5561" s="91"/>
      <c r="B5561" s="70"/>
      <c r="C5561" s="70"/>
      <c r="D5561" s="70"/>
      <c r="E5561" s="70"/>
      <c r="F5561" s="70"/>
      <c r="G5561" s="94"/>
      <c r="H5561" s="131"/>
      <c r="I5561" s="3"/>
    </row>
    <row r="5562" spans="1:9" s="93" customFormat="1" ht="9" customHeight="1" x14ac:dyDescent="0.3">
      <c r="A5562" s="91"/>
      <c r="B5562" s="70"/>
      <c r="C5562" s="70"/>
      <c r="D5562" s="70"/>
      <c r="E5562" s="70"/>
      <c r="F5562" s="70"/>
      <c r="G5562" s="94"/>
      <c r="H5562" s="131"/>
      <c r="I5562" s="3"/>
    </row>
    <row r="5563" spans="1:9" s="93" customFormat="1" ht="9" customHeight="1" x14ac:dyDescent="0.3">
      <c r="A5563" s="91"/>
      <c r="B5563" s="70"/>
      <c r="C5563" s="70"/>
      <c r="D5563" s="70"/>
      <c r="E5563" s="70"/>
      <c r="F5563" s="70"/>
      <c r="G5563" s="94"/>
      <c r="H5563" s="131"/>
      <c r="I5563" s="3"/>
    </row>
    <row r="5564" spans="1:9" s="93" customFormat="1" ht="9" customHeight="1" x14ac:dyDescent="0.3">
      <c r="A5564" s="91"/>
      <c r="B5564" s="70"/>
      <c r="C5564" s="70"/>
      <c r="D5564" s="70"/>
      <c r="E5564" s="70"/>
      <c r="F5564" s="70"/>
      <c r="G5564" s="94"/>
      <c r="H5564" s="131"/>
      <c r="I5564" s="3"/>
    </row>
    <row r="5565" spans="1:9" s="93" customFormat="1" ht="9" customHeight="1" x14ac:dyDescent="0.3">
      <c r="A5565" s="91"/>
      <c r="B5565" s="70"/>
      <c r="C5565" s="70"/>
      <c r="D5565" s="70"/>
      <c r="E5565" s="70"/>
      <c r="F5565" s="70"/>
      <c r="G5565" s="94"/>
      <c r="H5565" s="131"/>
      <c r="I5565" s="3"/>
    </row>
    <row r="5566" spans="1:9" s="93" customFormat="1" ht="9" customHeight="1" x14ac:dyDescent="0.3">
      <c r="A5566" s="91"/>
      <c r="B5566" s="70"/>
      <c r="C5566" s="70"/>
      <c r="D5566" s="70"/>
      <c r="E5566" s="70"/>
      <c r="F5566" s="70"/>
      <c r="G5566" s="94"/>
      <c r="H5566" s="131"/>
      <c r="I5566" s="3"/>
    </row>
    <row r="5567" spans="1:9" s="93" customFormat="1" ht="9" customHeight="1" x14ac:dyDescent="0.3">
      <c r="A5567" s="91"/>
      <c r="B5567" s="70"/>
      <c r="C5567" s="70"/>
      <c r="D5567" s="70"/>
      <c r="E5567" s="70"/>
      <c r="F5567" s="70"/>
      <c r="G5567" s="94"/>
      <c r="H5567" s="131"/>
      <c r="I5567" s="3"/>
    </row>
    <row r="5568" spans="1:9" s="93" customFormat="1" ht="9" customHeight="1" x14ac:dyDescent="0.3">
      <c r="A5568" s="91"/>
      <c r="B5568" s="70"/>
      <c r="C5568" s="70"/>
      <c r="D5568" s="70"/>
      <c r="E5568" s="70"/>
      <c r="F5568" s="70"/>
      <c r="G5568" s="94"/>
      <c r="H5568" s="131"/>
      <c r="I5568" s="3"/>
    </row>
    <row r="5569" spans="1:9" s="93" customFormat="1" ht="9" customHeight="1" x14ac:dyDescent="0.3">
      <c r="A5569" s="91"/>
      <c r="B5569" s="70"/>
      <c r="C5569" s="70"/>
      <c r="D5569" s="70"/>
      <c r="E5569" s="70"/>
      <c r="F5569" s="70"/>
      <c r="G5569" s="94"/>
      <c r="H5569" s="131"/>
      <c r="I5569" s="3"/>
    </row>
    <row r="5570" spans="1:9" s="93" customFormat="1" ht="9" customHeight="1" x14ac:dyDescent="0.3">
      <c r="A5570" s="91"/>
      <c r="B5570" s="70"/>
      <c r="C5570" s="70"/>
      <c r="D5570" s="70"/>
      <c r="E5570" s="70"/>
      <c r="F5570" s="70"/>
      <c r="G5570" s="94"/>
      <c r="H5570" s="131"/>
      <c r="I5570" s="3"/>
    </row>
    <row r="5571" spans="1:9" s="93" customFormat="1" ht="9" customHeight="1" x14ac:dyDescent="0.3">
      <c r="A5571" s="91"/>
      <c r="B5571" s="70"/>
      <c r="C5571" s="70"/>
      <c r="D5571" s="70"/>
      <c r="E5571" s="70"/>
      <c r="F5571" s="70"/>
      <c r="G5571" s="94"/>
      <c r="H5571" s="131"/>
      <c r="I5571" s="3"/>
    </row>
    <row r="5572" spans="1:9" s="93" customFormat="1" ht="9" customHeight="1" x14ac:dyDescent="0.3">
      <c r="A5572" s="91"/>
      <c r="B5572" s="70"/>
      <c r="C5572" s="70"/>
      <c r="D5572" s="70"/>
      <c r="E5572" s="70"/>
      <c r="F5572" s="70"/>
      <c r="G5572" s="94"/>
      <c r="H5572" s="131"/>
      <c r="I5572" s="3"/>
    </row>
    <row r="5573" spans="1:9" s="93" customFormat="1" ht="9" customHeight="1" x14ac:dyDescent="0.3">
      <c r="A5573" s="91"/>
      <c r="B5573" s="70"/>
      <c r="C5573" s="70"/>
      <c r="D5573" s="70"/>
      <c r="E5573" s="70"/>
      <c r="F5573" s="70"/>
      <c r="G5573" s="94"/>
      <c r="H5573" s="131"/>
      <c r="I5573" s="3"/>
    </row>
    <row r="5574" spans="1:9" s="93" customFormat="1" ht="9" customHeight="1" x14ac:dyDescent="0.3">
      <c r="A5574" s="91"/>
      <c r="B5574" s="70"/>
      <c r="C5574" s="70"/>
      <c r="D5574" s="70"/>
      <c r="E5574" s="70"/>
      <c r="F5574" s="70"/>
      <c r="G5574" s="94"/>
      <c r="H5574" s="131"/>
      <c r="I5574" s="3"/>
    </row>
    <row r="5575" spans="1:9" s="93" customFormat="1" ht="9" customHeight="1" x14ac:dyDescent="0.3">
      <c r="A5575" s="91"/>
      <c r="B5575" s="70"/>
      <c r="C5575" s="70"/>
      <c r="D5575" s="70"/>
      <c r="E5575" s="70"/>
      <c r="F5575" s="70"/>
      <c r="G5575" s="94"/>
      <c r="H5575" s="131"/>
      <c r="I5575" s="3"/>
    </row>
    <row r="5576" spans="1:9" s="93" customFormat="1" ht="9" customHeight="1" x14ac:dyDescent="0.3">
      <c r="A5576" s="91"/>
      <c r="B5576" s="70"/>
      <c r="C5576" s="70"/>
      <c r="D5576" s="70"/>
      <c r="E5576" s="70"/>
      <c r="F5576" s="70"/>
      <c r="G5576" s="94"/>
      <c r="H5576" s="131"/>
      <c r="I5576" s="3"/>
    </row>
    <row r="5577" spans="1:9" s="93" customFormat="1" ht="9" customHeight="1" x14ac:dyDescent="0.3">
      <c r="A5577" s="91"/>
      <c r="B5577" s="70"/>
      <c r="C5577" s="70"/>
      <c r="D5577" s="70"/>
      <c r="E5577" s="70"/>
      <c r="F5577" s="70"/>
      <c r="G5577" s="94"/>
      <c r="H5577" s="131"/>
      <c r="I5577" s="3"/>
    </row>
    <row r="5578" spans="1:9" s="93" customFormat="1" ht="9" customHeight="1" x14ac:dyDescent="0.3">
      <c r="A5578" s="91"/>
      <c r="B5578" s="70"/>
      <c r="C5578" s="70"/>
      <c r="D5578" s="70"/>
      <c r="E5578" s="70"/>
      <c r="F5578" s="70"/>
      <c r="G5578" s="94"/>
      <c r="H5578" s="131"/>
      <c r="I5578" s="3"/>
    </row>
    <row r="5579" spans="1:9" s="93" customFormat="1" ht="9" customHeight="1" x14ac:dyDescent="0.3">
      <c r="A5579" s="91"/>
      <c r="B5579" s="70"/>
      <c r="C5579" s="70"/>
      <c r="D5579" s="70"/>
      <c r="E5579" s="70"/>
      <c r="F5579" s="70"/>
      <c r="G5579" s="94"/>
      <c r="H5579" s="131"/>
      <c r="I5579" s="3"/>
    </row>
    <row r="5580" spans="1:9" s="93" customFormat="1" ht="9" customHeight="1" x14ac:dyDescent="0.3">
      <c r="A5580" s="91"/>
      <c r="B5580" s="70"/>
      <c r="C5580" s="70"/>
      <c r="D5580" s="70"/>
      <c r="E5580" s="70"/>
      <c r="F5580" s="70"/>
      <c r="G5580" s="94"/>
      <c r="H5580" s="131"/>
      <c r="I5580" s="3"/>
    </row>
    <row r="5581" spans="1:9" s="93" customFormat="1" ht="9" customHeight="1" x14ac:dyDescent="0.3">
      <c r="A5581" s="91"/>
      <c r="B5581" s="70"/>
      <c r="C5581" s="70"/>
      <c r="D5581" s="70"/>
      <c r="E5581" s="70"/>
      <c r="F5581" s="70"/>
      <c r="G5581" s="94"/>
      <c r="H5581" s="131"/>
      <c r="I5581" s="3"/>
    </row>
    <row r="5582" spans="1:9" s="93" customFormat="1" ht="9" customHeight="1" x14ac:dyDescent="0.3">
      <c r="A5582" s="91"/>
      <c r="B5582" s="70"/>
      <c r="C5582" s="70"/>
      <c r="D5582" s="70"/>
      <c r="E5582" s="70"/>
      <c r="F5582" s="70"/>
      <c r="G5582" s="94"/>
      <c r="H5582" s="131"/>
      <c r="I5582" s="3"/>
    </row>
    <row r="5583" spans="1:9" s="93" customFormat="1" ht="9" customHeight="1" x14ac:dyDescent="0.3">
      <c r="A5583" s="91"/>
      <c r="B5583" s="70"/>
      <c r="C5583" s="70"/>
      <c r="D5583" s="70"/>
      <c r="E5583" s="70"/>
      <c r="F5583" s="70"/>
      <c r="G5583" s="94"/>
      <c r="H5583" s="131"/>
      <c r="I5583" s="3"/>
    </row>
    <row r="5584" spans="1:9" s="93" customFormat="1" ht="9" customHeight="1" x14ac:dyDescent="0.3">
      <c r="A5584" s="91"/>
      <c r="B5584" s="70"/>
      <c r="C5584" s="70"/>
      <c r="D5584" s="70"/>
      <c r="E5584" s="70"/>
      <c r="F5584" s="70"/>
      <c r="G5584" s="94"/>
      <c r="H5584" s="131"/>
      <c r="I5584" s="3"/>
    </row>
    <row r="5585" spans="1:9" s="93" customFormat="1" ht="9" customHeight="1" x14ac:dyDescent="0.3">
      <c r="A5585" s="91"/>
      <c r="B5585" s="70"/>
      <c r="C5585" s="70"/>
      <c r="D5585" s="70"/>
      <c r="E5585" s="70"/>
      <c r="F5585" s="70"/>
      <c r="G5585" s="94"/>
      <c r="H5585" s="131"/>
      <c r="I5585" s="3"/>
    </row>
    <row r="5586" spans="1:9" s="93" customFormat="1" ht="9" customHeight="1" x14ac:dyDescent="0.3">
      <c r="A5586" s="91"/>
      <c r="B5586" s="70"/>
      <c r="C5586" s="70"/>
      <c r="D5586" s="70"/>
      <c r="E5586" s="70"/>
      <c r="F5586" s="70"/>
      <c r="G5586" s="94"/>
      <c r="H5586" s="131"/>
      <c r="I5586" s="3"/>
    </row>
    <row r="5587" spans="1:9" s="93" customFormat="1" ht="9" customHeight="1" x14ac:dyDescent="0.3">
      <c r="A5587" s="91"/>
      <c r="B5587" s="70"/>
      <c r="C5587" s="70"/>
      <c r="D5587" s="70"/>
      <c r="E5587" s="70"/>
      <c r="F5587" s="70"/>
      <c r="G5587" s="94"/>
      <c r="H5587" s="131"/>
      <c r="I5587" s="3"/>
    </row>
    <row r="5588" spans="1:9" s="93" customFormat="1" ht="9" customHeight="1" x14ac:dyDescent="0.3">
      <c r="A5588" s="91"/>
      <c r="B5588" s="70"/>
      <c r="C5588" s="70"/>
      <c r="D5588" s="70"/>
      <c r="E5588" s="70"/>
      <c r="F5588" s="70"/>
      <c r="G5588" s="94"/>
      <c r="H5588" s="131"/>
      <c r="I5588" s="3"/>
    </row>
    <row r="5589" spans="1:9" s="93" customFormat="1" ht="9" customHeight="1" x14ac:dyDescent="0.3">
      <c r="A5589" s="91"/>
      <c r="B5589" s="70"/>
      <c r="C5589" s="70"/>
      <c r="D5589" s="70"/>
      <c r="E5589" s="70"/>
      <c r="F5589" s="70"/>
      <c r="G5589" s="94"/>
      <c r="H5589" s="131"/>
      <c r="I5589" s="3"/>
    </row>
    <row r="5590" spans="1:9" s="93" customFormat="1" ht="9" customHeight="1" x14ac:dyDescent="0.3">
      <c r="A5590" s="91"/>
      <c r="B5590" s="70"/>
      <c r="C5590" s="70"/>
      <c r="D5590" s="70"/>
      <c r="E5590" s="70"/>
      <c r="F5590" s="70"/>
      <c r="G5590" s="94"/>
      <c r="H5590" s="131"/>
      <c r="I5590" s="3"/>
    </row>
    <row r="5591" spans="1:9" s="93" customFormat="1" ht="9" customHeight="1" x14ac:dyDescent="0.3">
      <c r="A5591" s="91"/>
      <c r="B5591" s="70"/>
      <c r="C5591" s="70"/>
      <c r="D5591" s="70"/>
      <c r="E5591" s="70"/>
      <c r="F5591" s="70"/>
      <c r="G5591" s="94"/>
      <c r="H5591" s="131"/>
      <c r="I5591" s="3"/>
    </row>
    <row r="5592" spans="1:9" s="93" customFormat="1" ht="9" customHeight="1" x14ac:dyDescent="0.3">
      <c r="A5592" s="91"/>
      <c r="B5592" s="70"/>
      <c r="C5592" s="70"/>
      <c r="D5592" s="70"/>
      <c r="E5592" s="70"/>
      <c r="F5592" s="70"/>
      <c r="G5592" s="94"/>
      <c r="H5592" s="131"/>
      <c r="I5592" s="3"/>
    </row>
    <row r="5593" spans="1:9" s="93" customFormat="1" ht="9" customHeight="1" x14ac:dyDescent="0.3">
      <c r="A5593" s="91"/>
      <c r="B5593" s="70"/>
      <c r="C5593" s="70"/>
      <c r="D5593" s="70"/>
      <c r="E5593" s="70"/>
      <c r="F5593" s="70"/>
      <c r="G5593" s="94"/>
      <c r="H5593" s="131"/>
      <c r="I5593" s="3"/>
    </row>
    <row r="5594" spans="1:9" s="93" customFormat="1" ht="9" customHeight="1" x14ac:dyDescent="0.3">
      <c r="A5594" s="91"/>
      <c r="B5594" s="70"/>
      <c r="C5594" s="70"/>
      <c r="D5594" s="70"/>
      <c r="E5594" s="70"/>
      <c r="F5594" s="70"/>
      <c r="G5594" s="94"/>
      <c r="H5594" s="131"/>
      <c r="I5594" s="3"/>
    </row>
    <row r="5595" spans="1:9" s="93" customFormat="1" ht="9" customHeight="1" x14ac:dyDescent="0.3">
      <c r="A5595" s="91"/>
      <c r="B5595" s="70"/>
      <c r="C5595" s="70"/>
      <c r="D5595" s="70"/>
      <c r="E5595" s="70"/>
      <c r="F5595" s="70"/>
      <c r="G5595" s="94"/>
      <c r="H5595" s="131"/>
      <c r="I5595" s="3"/>
    </row>
    <row r="5596" spans="1:9" s="93" customFormat="1" ht="9" customHeight="1" x14ac:dyDescent="0.3">
      <c r="A5596" s="91"/>
      <c r="B5596" s="70"/>
      <c r="C5596" s="70"/>
      <c r="D5596" s="70"/>
      <c r="E5596" s="70"/>
      <c r="F5596" s="70"/>
      <c r="G5596" s="94"/>
      <c r="H5596" s="131"/>
      <c r="I5596" s="3"/>
    </row>
    <row r="5597" spans="1:9" s="93" customFormat="1" ht="9" customHeight="1" x14ac:dyDescent="0.3">
      <c r="A5597" s="91"/>
      <c r="B5597" s="70"/>
      <c r="C5597" s="70"/>
      <c r="D5597" s="70"/>
      <c r="E5597" s="70"/>
      <c r="F5597" s="70"/>
      <c r="G5597" s="94"/>
      <c r="H5597" s="131"/>
      <c r="I5597" s="3"/>
    </row>
    <row r="5598" spans="1:9" s="93" customFormat="1" ht="9" customHeight="1" x14ac:dyDescent="0.3">
      <c r="A5598" s="91"/>
      <c r="B5598" s="70"/>
      <c r="C5598" s="70"/>
      <c r="D5598" s="70"/>
      <c r="E5598" s="70"/>
      <c r="F5598" s="70"/>
      <c r="G5598" s="94"/>
      <c r="H5598" s="131"/>
      <c r="I5598" s="3"/>
    </row>
    <row r="5599" spans="1:9" s="93" customFormat="1" ht="9" customHeight="1" x14ac:dyDescent="0.3">
      <c r="A5599" s="91"/>
      <c r="B5599" s="70"/>
      <c r="C5599" s="70"/>
      <c r="D5599" s="70"/>
      <c r="E5599" s="70"/>
      <c r="F5599" s="70"/>
      <c r="G5599" s="94"/>
      <c r="H5599" s="131"/>
      <c r="I5599" s="3"/>
    </row>
    <row r="5600" spans="1:9" s="93" customFormat="1" ht="9" customHeight="1" x14ac:dyDescent="0.3">
      <c r="A5600" s="91"/>
      <c r="B5600" s="70"/>
      <c r="C5600" s="70"/>
      <c r="D5600" s="70"/>
      <c r="E5600" s="70"/>
      <c r="F5600" s="70"/>
      <c r="G5600" s="94"/>
      <c r="H5600" s="131"/>
      <c r="I5600" s="3"/>
    </row>
    <row r="5601" spans="1:9" s="93" customFormat="1" ht="9" customHeight="1" x14ac:dyDescent="0.3">
      <c r="A5601" s="91"/>
      <c r="B5601" s="70"/>
      <c r="C5601" s="70"/>
      <c r="D5601" s="70"/>
      <c r="E5601" s="70"/>
      <c r="F5601" s="70"/>
      <c r="G5601" s="94"/>
      <c r="H5601" s="131"/>
      <c r="I5601" s="3"/>
    </row>
    <row r="5602" spans="1:9" s="93" customFormat="1" ht="9" customHeight="1" x14ac:dyDescent="0.3">
      <c r="A5602" s="91"/>
      <c r="B5602" s="70"/>
      <c r="C5602" s="70"/>
      <c r="D5602" s="70"/>
      <c r="E5602" s="70"/>
      <c r="F5602" s="70"/>
      <c r="G5602" s="94"/>
      <c r="H5602" s="131"/>
      <c r="I5602" s="3"/>
    </row>
    <row r="5603" spans="1:9" s="93" customFormat="1" ht="9" customHeight="1" x14ac:dyDescent="0.3">
      <c r="A5603" s="91"/>
      <c r="B5603" s="70"/>
      <c r="C5603" s="70"/>
      <c r="D5603" s="70"/>
      <c r="E5603" s="70"/>
      <c r="F5603" s="70"/>
      <c r="G5603" s="94"/>
      <c r="H5603" s="131"/>
      <c r="I5603" s="3"/>
    </row>
    <row r="5604" spans="1:9" s="93" customFormat="1" ht="9" customHeight="1" x14ac:dyDescent="0.3">
      <c r="A5604" s="91"/>
      <c r="B5604" s="70"/>
      <c r="C5604" s="70"/>
      <c r="D5604" s="70"/>
      <c r="E5604" s="70"/>
      <c r="F5604" s="70"/>
      <c r="G5604" s="94"/>
      <c r="H5604" s="131"/>
      <c r="I5604" s="3"/>
    </row>
    <row r="5605" spans="1:9" s="93" customFormat="1" ht="9" customHeight="1" x14ac:dyDescent="0.3">
      <c r="A5605" s="91"/>
      <c r="B5605" s="70"/>
      <c r="C5605" s="70"/>
      <c r="D5605" s="70"/>
      <c r="E5605" s="70"/>
      <c r="F5605" s="70"/>
      <c r="G5605" s="94"/>
      <c r="H5605" s="131"/>
      <c r="I5605" s="3"/>
    </row>
    <row r="5606" spans="1:9" s="93" customFormat="1" ht="9" customHeight="1" x14ac:dyDescent="0.3">
      <c r="A5606" s="91"/>
      <c r="B5606" s="70"/>
      <c r="C5606" s="70"/>
      <c r="D5606" s="70"/>
      <c r="E5606" s="70"/>
      <c r="F5606" s="70"/>
      <c r="G5606" s="94"/>
      <c r="H5606" s="131"/>
      <c r="I5606" s="3"/>
    </row>
    <row r="5607" spans="1:9" s="93" customFormat="1" ht="9" customHeight="1" x14ac:dyDescent="0.3">
      <c r="A5607" s="91"/>
      <c r="B5607" s="70"/>
      <c r="C5607" s="70"/>
      <c r="D5607" s="70"/>
      <c r="E5607" s="70"/>
      <c r="F5607" s="70"/>
      <c r="G5607" s="94"/>
      <c r="H5607" s="131"/>
      <c r="I5607" s="3"/>
    </row>
    <row r="5608" spans="1:9" s="93" customFormat="1" ht="9" customHeight="1" x14ac:dyDescent="0.3">
      <c r="A5608" s="91"/>
      <c r="B5608" s="70"/>
      <c r="C5608" s="70"/>
      <c r="D5608" s="70"/>
      <c r="E5608" s="70"/>
      <c r="F5608" s="70"/>
      <c r="G5608" s="94"/>
      <c r="H5608" s="131"/>
      <c r="I5608" s="3"/>
    </row>
    <row r="5609" spans="1:9" s="93" customFormat="1" ht="9" customHeight="1" x14ac:dyDescent="0.3">
      <c r="A5609" s="91"/>
      <c r="B5609" s="70"/>
      <c r="C5609" s="70"/>
      <c r="D5609" s="70"/>
      <c r="E5609" s="70"/>
      <c r="F5609" s="70"/>
      <c r="G5609" s="94"/>
      <c r="H5609" s="131"/>
      <c r="I5609" s="3"/>
    </row>
    <row r="5610" spans="1:9" s="93" customFormat="1" ht="9" customHeight="1" x14ac:dyDescent="0.3">
      <c r="A5610" s="91"/>
      <c r="B5610" s="70"/>
      <c r="C5610" s="70"/>
      <c r="D5610" s="70"/>
      <c r="E5610" s="70"/>
      <c r="F5610" s="70"/>
      <c r="G5610" s="94"/>
      <c r="H5610" s="131"/>
      <c r="I5610" s="3"/>
    </row>
    <row r="5611" spans="1:9" s="93" customFormat="1" ht="9" customHeight="1" x14ac:dyDescent="0.3">
      <c r="A5611" s="91"/>
      <c r="B5611" s="70"/>
      <c r="C5611" s="70"/>
      <c r="D5611" s="70"/>
      <c r="E5611" s="70"/>
      <c r="F5611" s="70"/>
      <c r="G5611" s="94"/>
      <c r="H5611" s="131"/>
      <c r="I5611" s="3"/>
    </row>
    <row r="5612" spans="1:9" s="93" customFormat="1" ht="9" customHeight="1" x14ac:dyDescent="0.3">
      <c r="A5612" s="91"/>
      <c r="B5612" s="70"/>
      <c r="C5612" s="70"/>
      <c r="D5612" s="70"/>
      <c r="E5612" s="70"/>
      <c r="F5612" s="70"/>
      <c r="G5612" s="94"/>
      <c r="H5612" s="131"/>
      <c r="I5612" s="3"/>
    </row>
    <row r="5613" spans="1:9" s="93" customFormat="1" ht="9" customHeight="1" x14ac:dyDescent="0.3">
      <c r="A5613" s="91"/>
      <c r="B5613" s="70"/>
      <c r="C5613" s="70"/>
      <c r="D5613" s="70"/>
      <c r="E5613" s="70"/>
      <c r="F5613" s="70"/>
      <c r="G5613" s="94"/>
      <c r="H5613" s="131"/>
      <c r="I5613" s="3"/>
    </row>
    <row r="5614" spans="1:9" s="93" customFormat="1" ht="9" customHeight="1" x14ac:dyDescent="0.3">
      <c r="A5614" s="91"/>
      <c r="B5614" s="70"/>
      <c r="C5614" s="70"/>
      <c r="D5614" s="70"/>
      <c r="E5614" s="70"/>
      <c r="F5614" s="70"/>
      <c r="G5614" s="94"/>
      <c r="H5614" s="131"/>
      <c r="I5614" s="3"/>
    </row>
    <row r="5615" spans="1:9" s="93" customFormat="1" ht="9" customHeight="1" x14ac:dyDescent="0.3">
      <c r="A5615" s="91"/>
      <c r="B5615" s="70"/>
      <c r="C5615" s="70"/>
      <c r="D5615" s="70"/>
      <c r="E5615" s="70"/>
      <c r="F5615" s="70"/>
      <c r="G5615" s="94"/>
      <c r="H5615" s="131"/>
      <c r="I5615" s="3"/>
    </row>
    <row r="5616" spans="1:9" s="93" customFormat="1" ht="9" customHeight="1" x14ac:dyDescent="0.3">
      <c r="A5616" s="91"/>
      <c r="B5616" s="70"/>
      <c r="C5616" s="70"/>
      <c r="D5616" s="70"/>
      <c r="E5616" s="70"/>
      <c r="F5616" s="70"/>
      <c r="G5616" s="94"/>
      <c r="H5616" s="131"/>
      <c r="I5616" s="3"/>
    </row>
    <row r="5617" spans="1:9" s="93" customFormat="1" ht="9" customHeight="1" x14ac:dyDescent="0.3">
      <c r="A5617" s="91"/>
      <c r="B5617" s="70"/>
      <c r="C5617" s="70"/>
      <c r="D5617" s="70"/>
      <c r="E5617" s="70"/>
      <c r="F5617" s="70"/>
      <c r="G5617" s="94"/>
      <c r="H5617" s="131"/>
      <c r="I5617" s="3"/>
    </row>
    <row r="5618" spans="1:9" s="93" customFormat="1" ht="9" customHeight="1" x14ac:dyDescent="0.3">
      <c r="A5618" s="91"/>
      <c r="B5618" s="70"/>
      <c r="C5618" s="70"/>
      <c r="D5618" s="70"/>
      <c r="E5618" s="70"/>
      <c r="F5618" s="70"/>
      <c r="G5618" s="94"/>
      <c r="H5618" s="131"/>
      <c r="I5618" s="3"/>
    </row>
    <row r="5619" spans="1:9" s="93" customFormat="1" ht="9" customHeight="1" x14ac:dyDescent="0.3">
      <c r="A5619" s="91"/>
      <c r="B5619" s="70"/>
      <c r="C5619" s="70"/>
      <c r="D5619" s="70"/>
      <c r="E5619" s="70"/>
      <c r="F5619" s="70"/>
      <c r="G5619" s="94"/>
      <c r="H5619" s="131"/>
      <c r="I5619" s="3"/>
    </row>
    <row r="5620" spans="1:9" s="93" customFormat="1" ht="9" customHeight="1" x14ac:dyDescent="0.3">
      <c r="A5620" s="91"/>
      <c r="B5620" s="70"/>
      <c r="C5620" s="70"/>
      <c r="D5620" s="70"/>
      <c r="E5620" s="70"/>
      <c r="F5620" s="70"/>
      <c r="G5620" s="94"/>
      <c r="H5620" s="131"/>
      <c r="I5620" s="3"/>
    </row>
    <row r="5621" spans="1:9" s="93" customFormat="1" ht="9" customHeight="1" x14ac:dyDescent="0.3">
      <c r="A5621" s="91"/>
      <c r="B5621" s="70"/>
      <c r="C5621" s="70"/>
      <c r="D5621" s="70"/>
      <c r="E5621" s="70"/>
      <c r="F5621" s="70"/>
      <c r="G5621" s="94"/>
      <c r="H5621" s="131"/>
      <c r="I5621" s="3"/>
    </row>
    <row r="5622" spans="1:9" s="93" customFormat="1" ht="9" customHeight="1" x14ac:dyDescent="0.3">
      <c r="A5622" s="91"/>
      <c r="B5622" s="70"/>
      <c r="C5622" s="70"/>
      <c r="D5622" s="70"/>
      <c r="E5622" s="70"/>
      <c r="F5622" s="70"/>
      <c r="G5622" s="94"/>
      <c r="H5622" s="131"/>
      <c r="I5622" s="3"/>
    </row>
    <row r="5623" spans="1:9" s="93" customFormat="1" ht="9" customHeight="1" x14ac:dyDescent="0.3">
      <c r="A5623" s="91"/>
      <c r="B5623" s="70"/>
      <c r="C5623" s="70"/>
      <c r="D5623" s="70"/>
      <c r="E5623" s="70"/>
      <c r="F5623" s="70"/>
      <c r="G5623" s="94"/>
      <c r="H5623" s="131"/>
      <c r="I5623" s="3"/>
    </row>
    <row r="5624" spans="1:9" s="93" customFormat="1" ht="9" customHeight="1" x14ac:dyDescent="0.3">
      <c r="A5624" s="91"/>
      <c r="B5624" s="70"/>
      <c r="C5624" s="70"/>
      <c r="D5624" s="70"/>
      <c r="E5624" s="70"/>
      <c r="F5624" s="70"/>
      <c r="G5624" s="94"/>
      <c r="H5624" s="131"/>
      <c r="I5624" s="3"/>
    </row>
    <row r="5625" spans="1:9" s="93" customFormat="1" ht="9" customHeight="1" x14ac:dyDescent="0.3">
      <c r="A5625" s="91"/>
      <c r="B5625" s="70"/>
      <c r="C5625" s="70"/>
      <c r="D5625" s="70"/>
      <c r="E5625" s="70"/>
      <c r="F5625" s="70"/>
      <c r="G5625" s="94"/>
      <c r="H5625" s="131"/>
      <c r="I5625" s="3"/>
    </row>
    <row r="5626" spans="1:9" s="93" customFormat="1" ht="9" customHeight="1" x14ac:dyDescent="0.3">
      <c r="A5626" s="91"/>
      <c r="B5626" s="70"/>
      <c r="C5626" s="70"/>
      <c r="D5626" s="70"/>
      <c r="E5626" s="70"/>
      <c r="F5626" s="70"/>
      <c r="G5626" s="94"/>
      <c r="H5626" s="131"/>
      <c r="I5626" s="3"/>
    </row>
    <row r="5627" spans="1:9" s="93" customFormat="1" ht="9" customHeight="1" x14ac:dyDescent="0.3">
      <c r="A5627" s="91"/>
      <c r="B5627" s="70"/>
      <c r="C5627" s="70"/>
      <c r="D5627" s="70"/>
      <c r="E5627" s="70"/>
      <c r="F5627" s="70"/>
      <c r="G5627" s="94"/>
      <c r="H5627" s="131"/>
      <c r="I5627" s="3"/>
    </row>
    <row r="5628" spans="1:9" s="93" customFormat="1" ht="9" customHeight="1" x14ac:dyDescent="0.3">
      <c r="A5628" s="91"/>
      <c r="B5628" s="70"/>
      <c r="C5628" s="70"/>
      <c r="D5628" s="70"/>
      <c r="E5628" s="70"/>
      <c r="F5628" s="70"/>
      <c r="G5628" s="94"/>
      <c r="H5628" s="131"/>
      <c r="I5628" s="3"/>
    </row>
    <row r="5629" spans="1:9" s="93" customFormat="1" ht="9" customHeight="1" x14ac:dyDescent="0.3">
      <c r="A5629" s="91"/>
      <c r="B5629" s="70"/>
      <c r="C5629" s="70"/>
      <c r="D5629" s="70"/>
      <c r="E5629" s="70"/>
      <c r="F5629" s="70"/>
      <c r="G5629" s="94"/>
      <c r="H5629" s="131"/>
      <c r="I5629" s="3"/>
    </row>
    <row r="5630" spans="1:9" s="93" customFormat="1" ht="9" customHeight="1" x14ac:dyDescent="0.3">
      <c r="A5630" s="91"/>
      <c r="B5630" s="70"/>
      <c r="C5630" s="70"/>
      <c r="D5630" s="70"/>
      <c r="E5630" s="70"/>
      <c r="F5630" s="70"/>
      <c r="G5630" s="94"/>
      <c r="H5630" s="131"/>
      <c r="I5630" s="3"/>
    </row>
    <row r="5631" spans="1:9" s="93" customFormat="1" ht="9" customHeight="1" x14ac:dyDescent="0.3">
      <c r="A5631" s="91"/>
      <c r="B5631" s="70"/>
      <c r="C5631" s="70"/>
      <c r="D5631" s="70"/>
      <c r="E5631" s="70"/>
      <c r="F5631" s="70"/>
      <c r="G5631" s="94"/>
      <c r="H5631" s="131"/>
      <c r="I5631" s="3"/>
    </row>
    <row r="5632" spans="1:9" s="93" customFormat="1" ht="9" customHeight="1" x14ac:dyDescent="0.3">
      <c r="A5632" s="91"/>
      <c r="B5632" s="70"/>
      <c r="C5632" s="70"/>
      <c r="D5632" s="70"/>
      <c r="E5632" s="70"/>
      <c r="F5632" s="70"/>
      <c r="G5632" s="94"/>
      <c r="H5632" s="131"/>
      <c r="I5632" s="3"/>
    </row>
    <row r="5633" spans="1:9" s="93" customFormat="1" ht="9" customHeight="1" x14ac:dyDescent="0.3">
      <c r="A5633" s="91"/>
      <c r="B5633" s="70"/>
      <c r="C5633" s="70"/>
      <c r="D5633" s="70"/>
      <c r="E5633" s="70"/>
      <c r="F5633" s="70"/>
      <c r="G5633" s="94"/>
      <c r="H5633" s="131"/>
      <c r="I5633" s="3"/>
    </row>
    <row r="5634" spans="1:9" s="93" customFormat="1" ht="9" customHeight="1" x14ac:dyDescent="0.3">
      <c r="A5634" s="91"/>
      <c r="B5634" s="70"/>
      <c r="C5634" s="70"/>
      <c r="D5634" s="70"/>
      <c r="E5634" s="70"/>
      <c r="F5634" s="70"/>
      <c r="G5634" s="94"/>
      <c r="H5634" s="131"/>
      <c r="I5634" s="3"/>
    </row>
    <row r="5635" spans="1:9" s="93" customFormat="1" ht="9" customHeight="1" x14ac:dyDescent="0.3">
      <c r="A5635" s="91"/>
      <c r="B5635" s="70"/>
      <c r="C5635" s="70"/>
      <c r="D5635" s="70"/>
      <c r="E5635" s="70"/>
      <c r="F5635" s="70"/>
      <c r="G5635" s="94"/>
      <c r="H5635" s="131"/>
      <c r="I5635" s="3"/>
    </row>
    <row r="5636" spans="1:9" s="93" customFormat="1" ht="9" customHeight="1" x14ac:dyDescent="0.3">
      <c r="A5636" s="91"/>
      <c r="B5636" s="70"/>
      <c r="C5636" s="70"/>
      <c r="D5636" s="70"/>
      <c r="E5636" s="70"/>
      <c r="F5636" s="70"/>
      <c r="G5636" s="94"/>
      <c r="H5636" s="131"/>
      <c r="I5636" s="3"/>
    </row>
    <row r="5637" spans="1:9" s="93" customFormat="1" ht="9" customHeight="1" x14ac:dyDescent="0.3">
      <c r="A5637" s="91"/>
      <c r="B5637" s="70"/>
      <c r="C5637" s="70"/>
      <c r="D5637" s="70"/>
      <c r="E5637" s="70"/>
      <c r="F5637" s="70"/>
      <c r="G5637" s="94"/>
      <c r="H5637" s="131"/>
      <c r="I5637" s="3"/>
    </row>
    <row r="5638" spans="1:9" s="93" customFormat="1" ht="9" customHeight="1" x14ac:dyDescent="0.3">
      <c r="A5638" s="91"/>
      <c r="B5638" s="70"/>
      <c r="C5638" s="70"/>
      <c r="D5638" s="70"/>
      <c r="E5638" s="70"/>
      <c r="F5638" s="70"/>
      <c r="G5638" s="94"/>
      <c r="H5638" s="131"/>
      <c r="I5638" s="3"/>
    </row>
    <row r="5639" spans="1:9" s="93" customFormat="1" ht="9" customHeight="1" x14ac:dyDescent="0.3">
      <c r="A5639" s="91"/>
      <c r="B5639" s="70"/>
      <c r="C5639" s="70"/>
      <c r="D5639" s="70"/>
      <c r="E5639" s="70"/>
      <c r="F5639" s="70"/>
      <c r="G5639" s="94"/>
      <c r="H5639" s="131"/>
      <c r="I5639" s="3"/>
    </row>
    <row r="5640" spans="1:9" s="93" customFormat="1" ht="9" customHeight="1" x14ac:dyDescent="0.3">
      <c r="A5640" s="91"/>
      <c r="B5640" s="70"/>
      <c r="C5640" s="70"/>
      <c r="D5640" s="70"/>
      <c r="E5640" s="70"/>
      <c r="F5640" s="70"/>
      <c r="G5640" s="94"/>
      <c r="H5640" s="131"/>
      <c r="I5640" s="3"/>
    </row>
    <row r="5641" spans="1:9" s="93" customFormat="1" ht="9" customHeight="1" x14ac:dyDescent="0.3">
      <c r="A5641" s="91"/>
      <c r="B5641" s="70"/>
      <c r="C5641" s="70"/>
      <c r="D5641" s="70"/>
      <c r="E5641" s="70"/>
      <c r="F5641" s="70"/>
      <c r="G5641" s="94"/>
      <c r="H5641" s="131"/>
      <c r="I5641" s="3"/>
    </row>
    <row r="5642" spans="1:9" s="93" customFormat="1" ht="9" customHeight="1" x14ac:dyDescent="0.3">
      <c r="A5642" s="91"/>
      <c r="B5642" s="70"/>
      <c r="C5642" s="70"/>
      <c r="D5642" s="70"/>
      <c r="E5642" s="70"/>
      <c r="F5642" s="70"/>
      <c r="G5642" s="94"/>
      <c r="H5642" s="131"/>
      <c r="I5642" s="3"/>
    </row>
    <row r="5643" spans="1:9" s="93" customFormat="1" ht="9" customHeight="1" x14ac:dyDescent="0.3">
      <c r="A5643" s="91"/>
      <c r="B5643" s="70"/>
      <c r="C5643" s="70"/>
      <c r="D5643" s="70"/>
      <c r="E5643" s="70"/>
      <c r="F5643" s="70"/>
      <c r="G5643" s="94"/>
      <c r="H5643" s="131"/>
      <c r="I5643" s="3"/>
    </row>
    <row r="5644" spans="1:9" s="93" customFormat="1" ht="9" customHeight="1" x14ac:dyDescent="0.3">
      <c r="A5644" s="91"/>
      <c r="B5644" s="70"/>
      <c r="C5644" s="70"/>
      <c r="D5644" s="70"/>
      <c r="E5644" s="70"/>
      <c r="F5644" s="70"/>
      <c r="G5644" s="94"/>
      <c r="H5644" s="131"/>
      <c r="I5644" s="3"/>
    </row>
    <row r="5645" spans="1:9" s="93" customFormat="1" ht="9" customHeight="1" x14ac:dyDescent="0.3">
      <c r="A5645" s="91"/>
      <c r="B5645" s="70"/>
      <c r="C5645" s="70"/>
      <c r="D5645" s="70"/>
      <c r="E5645" s="70"/>
      <c r="F5645" s="70"/>
      <c r="G5645" s="94"/>
      <c r="H5645" s="131"/>
      <c r="I5645" s="3"/>
    </row>
    <row r="5646" spans="1:9" s="93" customFormat="1" ht="9" customHeight="1" x14ac:dyDescent="0.3">
      <c r="A5646" s="91"/>
      <c r="B5646" s="70"/>
      <c r="C5646" s="70"/>
      <c r="D5646" s="70"/>
      <c r="E5646" s="70"/>
      <c r="F5646" s="70"/>
      <c r="G5646" s="94"/>
      <c r="H5646" s="131"/>
      <c r="I5646" s="3"/>
    </row>
    <row r="5647" spans="1:9" s="93" customFormat="1" ht="9" customHeight="1" x14ac:dyDescent="0.3">
      <c r="A5647" s="91"/>
      <c r="B5647" s="70"/>
      <c r="C5647" s="70"/>
      <c r="D5647" s="70"/>
      <c r="E5647" s="70"/>
      <c r="F5647" s="70"/>
      <c r="G5647" s="94"/>
      <c r="H5647" s="131"/>
      <c r="I5647" s="3"/>
    </row>
    <row r="5648" spans="1:9" s="93" customFormat="1" ht="9" customHeight="1" x14ac:dyDescent="0.3">
      <c r="A5648" s="91"/>
      <c r="B5648" s="70"/>
      <c r="C5648" s="70"/>
      <c r="D5648" s="70"/>
      <c r="E5648" s="70"/>
      <c r="F5648" s="70"/>
      <c r="G5648" s="94"/>
      <c r="H5648" s="131"/>
      <c r="I5648" s="3"/>
    </row>
    <row r="5649" spans="1:9" s="93" customFormat="1" ht="9" customHeight="1" x14ac:dyDescent="0.3">
      <c r="A5649" s="91"/>
      <c r="B5649" s="70"/>
      <c r="C5649" s="70"/>
      <c r="D5649" s="70"/>
      <c r="E5649" s="70"/>
      <c r="F5649" s="70"/>
      <c r="G5649" s="94"/>
      <c r="H5649" s="131"/>
      <c r="I5649" s="3"/>
    </row>
    <row r="5650" spans="1:9" s="93" customFormat="1" ht="9" customHeight="1" x14ac:dyDescent="0.3">
      <c r="A5650" s="91"/>
      <c r="B5650" s="70"/>
      <c r="C5650" s="70"/>
      <c r="D5650" s="70"/>
      <c r="E5650" s="70"/>
      <c r="F5650" s="70"/>
      <c r="G5650" s="94"/>
      <c r="H5650" s="131"/>
      <c r="I5650" s="3"/>
    </row>
    <row r="5651" spans="1:9" s="93" customFormat="1" ht="9" customHeight="1" x14ac:dyDescent="0.3">
      <c r="A5651" s="91"/>
      <c r="B5651" s="70"/>
      <c r="C5651" s="70"/>
      <c r="D5651" s="70"/>
      <c r="E5651" s="70"/>
      <c r="F5651" s="70"/>
      <c r="G5651" s="94"/>
      <c r="H5651" s="131"/>
      <c r="I5651" s="3"/>
    </row>
    <row r="5652" spans="1:9" s="93" customFormat="1" ht="9" customHeight="1" x14ac:dyDescent="0.3">
      <c r="A5652" s="91"/>
      <c r="B5652" s="70"/>
      <c r="C5652" s="70"/>
      <c r="D5652" s="70"/>
      <c r="E5652" s="70"/>
      <c r="F5652" s="70"/>
      <c r="G5652" s="94"/>
      <c r="H5652" s="131"/>
      <c r="I5652" s="3"/>
    </row>
    <row r="5653" spans="1:9" s="93" customFormat="1" ht="9" customHeight="1" x14ac:dyDescent="0.3">
      <c r="A5653" s="91"/>
      <c r="B5653" s="70"/>
      <c r="C5653" s="70"/>
      <c r="D5653" s="70"/>
      <c r="E5653" s="70"/>
      <c r="F5653" s="70"/>
      <c r="G5653" s="94"/>
      <c r="H5653" s="131"/>
      <c r="I5653" s="3"/>
    </row>
    <row r="5654" spans="1:9" s="93" customFormat="1" ht="9" customHeight="1" x14ac:dyDescent="0.3">
      <c r="A5654" s="91"/>
      <c r="B5654" s="70"/>
      <c r="C5654" s="70"/>
      <c r="D5654" s="70"/>
      <c r="E5654" s="70"/>
      <c r="F5654" s="70"/>
      <c r="G5654" s="94"/>
      <c r="H5654" s="131"/>
      <c r="I5654" s="3"/>
    </row>
    <row r="5655" spans="1:9" s="93" customFormat="1" ht="9" customHeight="1" x14ac:dyDescent="0.3">
      <c r="A5655" s="91"/>
      <c r="B5655" s="70"/>
      <c r="C5655" s="70"/>
      <c r="D5655" s="70"/>
      <c r="E5655" s="70"/>
      <c r="F5655" s="70"/>
      <c r="G5655" s="94"/>
      <c r="H5655" s="131"/>
      <c r="I5655" s="3"/>
    </row>
    <row r="5656" spans="1:9" s="93" customFormat="1" ht="9" customHeight="1" x14ac:dyDescent="0.3">
      <c r="A5656" s="91"/>
      <c r="B5656" s="70"/>
      <c r="C5656" s="70"/>
      <c r="D5656" s="70"/>
      <c r="E5656" s="70"/>
      <c r="F5656" s="70"/>
      <c r="G5656" s="94"/>
      <c r="H5656" s="131"/>
      <c r="I5656" s="3"/>
    </row>
    <row r="5657" spans="1:9" s="93" customFormat="1" ht="9" customHeight="1" x14ac:dyDescent="0.3">
      <c r="A5657" s="91"/>
      <c r="B5657" s="70"/>
      <c r="C5657" s="70"/>
      <c r="D5657" s="70"/>
      <c r="E5657" s="70"/>
      <c r="F5657" s="70"/>
      <c r="G5657" s="94"/>
      <c r="H5657" s="131"/>
      <c r="I5657" s="3"/>
    </row>
    <row r="5658" spans="1:9" s="93" customFormat="1" ht="9" customHeight="1" x14ac:dyDescent="0.3">
      <c r="A5658" s="91"/>
      <c r="B5658" s="70"/>
      <c r="C5658" s="70"/>
      <c r="D5658" s="70"/>
      <c r="E5658" s="70"/>
      <c r="F5658" s="70"/>
      <c r="G5658" s="94"/>
      <c r="H5658" s="131"/>
      <c r="I5658" s="3"/>
    </row>
    <row r="5659" spans="1:9" s="93" customFormat="1" ht="9" customHeight="1" x14ac:dyDescent="0.3">
      <c r="A5659" s="91"/>
      <c r="B5659" s="70"/>
      <c r="C5659" s="70"/>
      <c r="D5659" s="70"/>
      <c r="E5659" s="70"/>
      <c r="F5659" s="70"/>
      <c r="G5659" s="94"/>
      <c r="H5659" s="131"/>
      <c r="I5659" s="3"/>
    </row>
    <row r="5660" spans="1:9" s="93" customFormat="1" ht="9" customHeight="1" x14ac:dyDescent="0.3">
      <c r="A5660" s="91"/>
      <c r="B5660" s="70"/>
      <c r="C5660" s="70"/>
      <c r="D5660" s="70"/>
      <c r="E5660" s="70"/>
      <c r="F5660" s="70"/>
      <c r="G5660" s="94"/>
      <c r="H5660" s="131"/>
      <c r="I5660" s="3"/>
    </row>
    <row r="5661" spans="1:9" s="93" customFormat="1" ht="9" customHeight="1" x14ac:dyDescent="0.3">
      <c r="A5661" s="91"/>
      <c r="B5661" s="70"/>
      <c r="C5661" s="70"/>
      <c r="D5661" s="70"/>
      <c r="E5661" s="70"/>
      <c r="F5661" s="70"/>
      <c r="G5661" s="94"/>
      <c r="H5661" s="131"/>
      <c r="I5661" s="3"/>
    </row>
    <row r="5662" spans="1:9" s="93" customFormat="1" ht="9" customHeight="1" x14ac:dyDescent="0.3">
      <c r="A5662" s="91"/>
      <c r="B5662" s="70"/>
      <c r="C5662" s="70"/>
      <c r="D5662" s="70"/>
      <c r="E5662" s="70"/>
      <c r="F5662" s="70"/>
      <c r="G5662" s="94"/>
      <c r="H5662" s="131"/>
      <c r="I5662" s="3"/>
    </row>
    <row r="5663" spans="1:9" s="93" customFormat="1" ht="9" customHeight="1" x14ac:dyDescent="0.3">
      <c r="A5663" s="91"/>
      <c r="B5663" s="70"/>
      <c r="C5663" s="70"/>
      <c r="D5663" s="70"/>
      <c r="E5663" s="70"/>
      <c r="F5663" s="70"/>
      <c r="G5663" s="94"/>
      <c r="H5663" s="131"/>
      <c r="I5663" s="3"/>
    </row>
    <row r="5664" spans="1:9" s="93" customFormat="1" ht="9" customHeight="1" x14ac:dyDescent="0.3">
      <c r="A5664" s="91"/>
      <c r="B5664" s="70"/>
      <c r="C5664" s="70"/>
      <c r="D5664" s="70"/>
      <c r="E5664" s="70"/>
      <c r="F5664" s="70"/>
      <c r="G5664" s="94"/>
      <c r="H5664" s="131"/>
      <c r="I5664" s="3"/>
    </row>
    <row r="5665" spans="1:9" s="93" customFormat="1" ht="9" customHeight="1" x14ac:dyDescent="0.3">
      <c r="A5665" s="91"/>
      <c r="B5665" s="70"/>
      <c r="C5665" s="70"/>
      <c r="D5665" s="70"/>
      <c r="E5665" s="70"/>
      <c r="F5665" s="70"/>
      <c r="G5665" s="94"/>
      <c r="H5665" s="131"/>
      <c r="I5665" s="3"/>
    </row>
    <row r="5666" spans="1:9" s="93" customFormat="1" ht="9" customHeight="1" x14ac:dyDescent="0.3">
      <c r="A5666" s="91"/>
      <c r="B5666" s="70"/>
      <c r="C5666" s="70"/>
      <c r="D5666" s="70"/>
      <c r="E5666" s="70"/>
      <c r="F5666" s="70"/>
      <c r="G5666" s="94"/>
      <c r="H5666" s="131"/>
      <c r="I5666" s="3"/>
    </row>
    <row r="5667" spans="1:9" s="93" customFormat="1" ht="9" customHeight="1" x14ac:dyDescent="0.3">
      <c r="A5667" s="91"/>
      <c r="B5667" s="70"/>
      <c r="C5667" s="70"/>
      <c r="D5667" s="70"/>
      <c r="E5667" s="70"/>
      <c r="F5667" s="70"/>
      <c r="G5667" s="94"/>
      <c r="H5667" s="131"/>
      <c r="I5667" s="3"/>
    </row>
    <row r="5668" spans="1:9" s="93" customFormat="1" ht="9" customHeight="1" x14ac:dyDescent="0.3">
      <c r="A5668" s="91"/>
      <c r="B5668" s="70"/>
      <c r="C5668" s="70"/>
      <c r="D5668" s="70"/>
      <c r="E5668" s="70"/>
      <c r="F5668" s="70"/>
      <c r="G5668" s="94"/>
      <c r="H5668" s="131"/>
      <c r="I5668" s="3"/>
    </row>
    <row r="5669" spans="1:9" s="93" customFormat="1" ht="9" customHeight="1" x14ac:dyDescent="0.3">
      <c r="A5669" s="91"/>
      <c r="B5669" s="70"/>
      <c r="C5669" s="70"/>
      <c r="D5669" s="70"/>
      <c r="E5669" s="70"/>
      <c r="F5669" s="70"/>
      <c r="G5669" s="94"/>
      <c r="H5669" s="131"/>
      <c r="I5669" s="3"/>
    </row>
    <row r="5670" spans="1:9" s="93" customFormat="1" ht="9" customHeight="1" x14ac:dyDescent="0.3">
      <c r="A5670" s="91"/>
      <c r="B5670" s="70"/>
      <c r="C5670" s="70"/>
      <c r="D5670" s="70"/>
      <c r="E5670" s="70"/>
      <c r="F5670" s="70"/>
      <c r="G5670" s="94"/>
      <c r="H5670" s="131"/>
      <c r="I5670" s="3"/>
    </row>
    <row r="5671" spans="1:9" s="93" customFormat="1" ht="9" customHeight="1" x14ac:dyDescent="0.3">
      <c r="A5671" s="91"/>
      <c r="B5671" s="70"/>
      <c r="C5671" s="70"/>
      <c r="D5671" s="70"/>
      <c r="E5671" s="70"/>
      <c r="F5671" s="70"/>
      <c r="G5671" s="94"/>
      <c r="H5671" s="131"/>
      <c r="I5671" s="3"/>
    </row>
    <row r="5672" spans="1:9" s="93" customFormat="1" ht="9" customHeight="1" x14ac:dyDescent="0.3">
      <c r="A5672" s="91"/>
      <c r="B5672" s="70"/>
      <c r="C5672" s="70"/>
      <c r="D5672" s="70"/>
      <c r="E5672" s="70"/>
      <c r="F5672" s="70"/>
      <c r="G5672" s="94"/>
      <c r="H5672" s="131"/>
      <c r="I5672" s="3"/>
    </row>
    <row r="5673" spans="1:9" s="93" customFormat="1" ht="9" customHeight="1" x14ac:dyDescent="0.3">
      <c r="A5673" s="91"/>
      <c r="B5673" s="70"/>
      <c r="C5673" s="70"/>
      <c r="D5673" s="70"/>
      <c r="E5673" s="70"/>
      <c r="F5673" s="70"/>
      <c r="G5673" s="94"/>
      <c r="H5673" s="131"/>
      <c r="I5673" s="3"/>
    </row>
    <row r="5674" spans="1:9" s="93" customFormat="1" ht="9" customHeight="1" x14ac:dyDescent="0.3">
      <c r="A5674" s="91"/>
      <c r="B5674" s="70"/>
      <c r="C5674" s="70"/>
      <c r="D5674" s="70"/>
      <c r="E5674" s="70"/>
      <c r="F5674" s="70"/>
      <c r="G5674" s="94"/>
      <c r="H5674" s="131"/>
      <c r="I5674" s="3"/>
    </row>
    <row r="5675" spans="1:9" s="93" customFormat="1" ht="9" customHeight="1" x14ac:dyDescent="0.3">
      <c r="A5675" s="91"/>
      <c r="B5675" s="70"/>
      <c r="C5675" s="70"/>
      <c r="D5675" s="70"/>
      <c r="E5675" s="70"/>
      <c r="F5675" s="70"/>
      <c r="G5675" s="94"/>
      <c r="H5675" s="131"/>
      <c r="I5675" s="3"/>
    </row>
    <row r="5676" spans="1:9" s="93" customFormat="1" ht="9" customHeight="1" x14ac:dyDescent="0.3">
      <c r="A5676" s="91"/>
      <c r="B5676" s="70"/>
      <c r="C5676" s="70"/>
      <c r="D5676" s="70"/>
      <c r="E5676" s="70"/>
      <c r="F5676" s="70"/>
      <c r="G5676" s="94"/>
      <c r="H5676" s="131"/>
      <c r="I5676" s="3"/>
    </row>
    <row r="5677" spans="1:9" s="93" customFormat="1" ht="9" customHeight="1" x14ac:dyDescent="0.3">
      <c r="A5677" s="91"/>
      <c r="B5677" s="70"/>
      <c r="C5677" s="70"/>
      <c r="D5677" s="70"/>
      <c r="E5677" s="70"/>
      <c r="F5677" s="70"/>
      <c r="G5677" s="94"/>
      <c r="H5677" s="131"/>
      <c r="I5677" s="3"/>
    </row>
    <row r="5678" spans="1:9" s="93" customFormat="1" ht="9" customHeight="1" x14ac:dyDescent="0.3">
      <c r="A5678" s="91"/>
      <c r="B5678" s="70"/>
      <c r="C5678" s="70"/>
      <c r="D5678" s="70"/>
      <c r="E5678" s="70"/>
      <c r="F5678" s="70"/>
      <c r="G5678" s="94"/>
      <c r="H5678" s="131"/>
      <c r="I5678" s="3"/>
    </row>
    <row r="5679" spans="1:9" s="93" customFormat="1" ht="9" customHeight="1" x14ac:dyDescent="0.3">
      <c r="A5679" s="91"/>
      <c r="B5679" s="70"/>
      <c r="C5679" s="70"/>
      <c r="D5679" s="70"/>
      <c r="E5679" s="70"/>
      <c r="F5679" s="70"/>
      <c r="G5679" s="94"/>
      <c r="H5679" s="131"/>
      <c r="I5679" s="3"/>
    </row>
    <row r="5680" spans="1:9" s="93" customFormat="1" ht="9" customHeight="1" x14ac:dyDescent="0.3">
      <c r="A5680" s="91"/>
      <c r="B5680" s="70"/>
      <c r="C5680" s="70"/>
      <c r="D5680" s="70"/>
      <c r="E5680" s="70"/>
      <c r="F5680" s="70"/>
      <c r="G5680" s="94"/>
      <c r="H5680" s="131"/>
      <c r="I5680" s="3"/>
    </row>
    <row r="5681" spans="1:9" s="93" customFormat="1" ht="9" customHeight="1" x14ac:dyDescent="0.3">
      <c r="A5681" s="91"/>
      <c r="B5681" s="70"/>
      <c r="C5681" s="70"/>
      <c r="D5681" s="70"/>
      <c r="E5681" s="70"/>
      <c r="F5681" s="70"/>
      <c r="G5681" s="94"/>
      <c r="H5681" s="131"/>
      <c r="I5681" s="3"/>
    </row>
    <row r="5682" spans="1:9" s="93" customFormat="1" ht="9" customHeight="1" x14ac:dyDescent="0.3">
      <c r="A5682" s="91"/>
      <c r="B5682" s="70"/>
      <c r="C5682" s="70"/>
      <c r="D5682" s="70"/>
      <c r="E5682" s="70"/>
      <c r="F5682" s="70"/>
      <c r="G5682" s="94"/>
      <c r="H5682" s="131"/>
      <c r="I5682" s="3"/>
    </row>
    <row r="5683" spans="1:9" s="93" customFormat="1" ht="9" customHeight="1" x14ac:dyDescent="0.3">
      <c r="A5683" s="91"/>
      <c r="B5683" s="70"/>
      <c r="C5683" s="70"/>
      <c r="D5683" s="70"/>
      <c r="E5683" s="70"/>
      <c r="F5683" s="70"/>
      <c r="G5683" s="94"/>
      <c r="H5683" s="131"/>
      <c r="I5683" s="3"/>
    </row>
    <row r="5684" spans="1:9" s="93" customFormat="1" ht="9" customHeight="1" x14ac:dyDescent="0.3">
      <c r="A5684" s="91"/>
      <c r="B5684" s="70"/>
      <c r="C5684" s="70"/>
      <c r="D5684" s="70"/>
      <c r="E5684" s="70"/>
      <c r="F5684" s="70"/>
      <c r="G5684" s="94"/>
      <c r="H5684" s="131"/>
      <c r="I5684" s="3"/>
    </row>
    <row r="5685" spans="1:9" s="93" customFormat="1" ht="9" customHeight="1" x14ac:dyDescent="0.3">
      <c r="A5685" s="91"/>
      <c r="B5685" s="70"/>
      <c r="C5685" s="70"/>
      <c r="D5685" s="70"/>
      <c r="E5685" s="70"/>
      <c r="F5685" s="70"/>
      <c r="G5685" s="94"/>
      <c r="H5685" s="131"/>
      <c r="I5685" s="3"/>
    </row>
    <row r="5686" spans="1:9" s="93" customFormat="1" ht="9" customHeight="1" x14ac:dyDescent="0.3">
      <c r="A5686" s="91"/>
      <c r="B5686" s="70"/>
      <c r="C5686" s="70"/>
      <c r="D5686" s="70"/>
      <c r="E5686" s="70"/>
      <c r="F5686" s="70"/>
      <c r="G5686" s="94"/>
      <c r="H5686" s="131"/>
      <c r="I5686" s="3"/>
    </row>
    <row r="5687" spans="1:9" s="93" customFormat="1" ht="9" customHeight="1" x14ac:dyDescent="0.3">
      <c r="A5687" s="91"/>
      <c r="B5687" s="70"/>
      <c r="C5687" s="70"/>
      <c r="D5687" s="70"/>
      <c r="E5687" s="70"/>
      <c r="F5687" s="70"/>
      <c r="G5687" s="94"/>
      <c r="H5687" s="131"/>
      <c r="I5687" s="3"/>
    </row>
    <row r="5688" spans="1:9" s="93" customFormat="1" ht="9" customHeight="1" x14ac:dyDescent="0.3">
      <c r="A5688" s="91"/>
      <c r="B5688" s="70"/>
      <c r="C5688" s="70"/>
      <c r="D5688" s="70"/>
      <c r="E5688" s="70"/>
      <c r="F5688" s="70"/>
      <c r="G5688" s="94"/>
      <c r="H5688" s="131"/>
      <c r="I5688" s="3"/>
    </row>
    <row r="5689" spans="1:9" s="93" customFormat="1" ht="9" customHeight="1" x14ac:dyDescent="0.3">
      <c r="A5689" s="91"/>
      <c r="B5689" s="70"/>
      <c r="C5689" s="70"/>
      <c r="D5689" s="70"/>
      <c r="E5689" s="70"/>
      <c r="F5689" s="70"/>
      <c r="G5689" s="94"/>
      <c r="H5689" s="131"/>
      <c r="I5689" s="3"/>
    </row>
    <row r="5690" spans="1:9" s="93" customFormat="1" ht="9" customHeight="1" x14ac:dyDescent="0.3">
      <c r="A5690" s="91"/>
      <c r="B5690" s="70"/>
      <c r="C5690" s="70"/>
      <c r="D5690" s="70"/>
      <c r="E5690" s="70"/>
      <c r="F5690" s="70"/>
      <c r="G5690" s="94"/>
      <c r="H5690" s="131"/>
      <c r="I5690" s="3"/>
    </row>
    <row r="5691" spans="1:9" s="93" customFormat="1" ht="9" customHeight="1" x14ac:dyDescent="0.3">
      <c r="A5691" s="91"/>
      <c r="B5691" s="70"/>
      <c r="C5691" s="70"/>
      <c r="D5691" s="70"/>
      <c r="E5691" s="70"/>
      <c r="F5691" s="70"/>
      <c r="G5691" s="94"/>
      <c r="H5691" s="131"/>
      <c r="I5691" s="3"/>
    </row>
    <row r="5692" spans="1:9" s="93" customFormat="1" ht="9" customHeight="1" x14ac:dyDescent="0.3">
      <c r="A5692" s="91"/>
      <c r="B5692" s="70"/>
      <c r="C5692" s="70"/>
      <c r="D5692" s="70"/>
      <c r="E5692" s="70"/>
      <c r="F5692" s="70"/>
      <c r="G5692" s="94"/>
      <c r="H5692" s="131"/>
      <c r="I5692" s="3"/>
    </row>
    <row r="5693" spans="1:9" s="93" customFormat="1" ht="9" customHeight="1" x14ac:dyDescent="0.3">
      <c r="A5693" s="91"/>
      <c r="B5693" s="70"/>
      <c r="C5693" s="70"/>
      <c r="D5693" s="70"/>
      <c r="E5693" s="70"/>
      <c r="F5693" s="70"/>
      <c r="G5693" s="94"/>
      <c r="H5693" s="131"/>
      <c r="I5693" s="3"/>
    </row>
    <row r="5694" spans="1:9" s="93" customFormat="1" ht="9" customHeight="1" x14ac:dyDescent="0.3">
      <c r="A5694" s="91"/>
      <c r="B5694" s="70"/>
      <c r="C5694" s="70"/>
      <c r="D5694" s="70"/>
      <c r="E5694" s="70"/>
      <c r="F5694" s="70"/>
      <c r="G5694" s="94"/>
      <c r="H5694" s="131"/>
      <c r="I5694" s="3"/>
    </row>
    <row r="5695" spans="1:9" s="93" customFormat="1" ht="9" customHeight="1" x14ac:dyDescent="0.3">
      <c r="A5695" s="91"/>
      <c r="B5695" s="70"/>
      <c r="C5695" s="70"/>
      <c r="D5695" s="70"/>
      <c r="E5695" s="70"/>
      <c r="F5695" s="70"/>
      <c r="G5695" s="94"/>
      <c r="H5695" s="131"/>
      <c r="I5695" s="3"/>
    </row>
    <row r="5696" spans="1:9" s="93" customFormat="1" ht="9" customHeight="1" x14ac:dyDescent="0.3">
      <c r="A5696" s="91"/>
      <c r="B5696" s="70"/>
      <c r="C5696" s="70"/>
      <c r="D5696" s="70"/>
      <c r="E5696" s="70"/>
      <c r="F5696" s="70"/>
      <c r="G5696" s="94"/>
      <c r="H5696" s="131"/>
      <c r="I5696" s="3"/>
    </row>
    <row r="5697" spans="1:9" s="93" customFormat="1" ht="9" customHeight="1" x14ac:dyDescent="0.3">
      <c r="A5697" s="91"/>
      <c r="B5697" s="70"/>
      <c r="C5697" s="70"/>
      <c r="D5697" s="70"/>
      <c r="E5697" s="70"/>
      <c r="F5697" s="70"/>
      <c r="G5697" s="94"/>
      <c r="H5697" s="131"/>
      <c r="I5697" s="3"/>
    </row>
    <row r="5698" spans="1:9" s="93" customFormat="1" ht="9" customHeight="1" x14ac:dyDescent="0.3">
      <c r="A5698" s="91"/>
      <c r="B5698" s="70"/>
      <c r="C5698" s="70"/>
      <c r="D5698" s="70"/>
      <c r="E5698" s="70"/>
      <c r="F5698" s="70"/>
      <c r="G5698" s="94"/>
      <c r="H5698" s="131"/>
      <c r="I5698" s="3"/>
    </row>
    <row r="5699" spans="1:9" s="93" customFormat="1" ht="9" customHeight="1" x14ac:dyDescent="0.3">
      <c r="A5699" s="91"/>
      <c r="B5699" s="70"/>
      <c r="C5699" s="70"/>
      <c r="D5699" s="70"/>
      <c r="E5699" s="70"/>
      <c r="F5699" s="70"/>
      <c r="G5699" s="94"/>
      <c r="H5699" s="131"/>
      <c r="I5699" s="3"/>
    </row>
    <row r="5700" spans="1:9" s="93" customFormat="1" ht="9" customHeight="1" x14ac:dyDescent="0.3">
      <c r="A5700" s="91"/>
      <c r="B5700" s="70"/>
      <c r="C5700" s="70"/>
      <c r="D5700" s="70"/>
      <c r="E5700" s="70"/>
      <c r="F5700" s="70"/>
      <c r="G5700" s="94"/>
      <c r="H5700" s="131"/>
      <c r="I5700" s="3"/>
    </row>
    <row r="5701" spans="1:9" s="93" customFormat="1" ht="9" customHeight="1" x14ac:dyDescent="0.3">
      <c r="A5701" s="91"/>
      <c r="B5701" s="70"/>
      <c r="C5701" s="70"/>
      <c r="D5701" s="70"/>
      <c r="E5701" s="70"/>
      <c r="F5701" s="70"/>
      <c r="G5701" s="94"/>
      <c r="H5701" s="131"/>
      <c r="I5701" s="3"/>
    </row>
    <row r="5702" spans="1:9" s="93" customFormat="1" ht="9" customHeight="1" x14ac:dyDescent="0.3">
      <c r="A5702" s="91"/>
      <c r="B5702" s="70"/>
      <c r="C5702" s="70"/>
      <c r="D5702" s="70"/>
      <c r="E5702" s="70"/>
      <c r="F5702" s="70"/>
      <c r="G5702" s="94"/>
      <c r="H5702" s="131"/>
      <c r="I5702" s="3"/>
    </row>
    <row r="5703" spans="1:9" s="93" customFormat="1" ht="9" customHeight="1" x14ac:dyDescent="0.3">
      <c r="A5703" s="91"/>
      <c r="B5703" s="70"/>
      <c r="C5703" s="70"/>
      <c r="D5703" s="70"/>
      <c r="E5703" s="70"/>
      <c r="F5703" s="70"/>
      <c r="G5703" s="94"/>
      <c r="H5703" s="131"/>
      <c r="I5703" s="3"/>
    </row>
    <row r="5704" spans="1:9" s="93" customFormat="1" ht="9" customHeight="1" x14ac:dyDescent="0.3">
      <c r="A5704" s="91"/>
      <c r="B5704" s="70"/>
      <c r="C5704" s="70"/>
      <c r="D5704" s="70"/>
      <c r="E5704" s="70"/>
      <c r="F5704" s="70"/>
      <c r="G5704" s="94"/>
      <c r="H5704" s="131"/>
      <c r="I5704" s="3"/>
    </row>
    <row r="5705" spans="1:9" s="93" customFormat="1" ht="9" customHeight="1" x14ac:dyDescent="0.3">
      <c r="A5705" s="91"/>
      <c r="B5705" s="70"/>
      <c r="C5705" s="70"/>
      <c r="D5705" s="70"/>
      <c r="E5705" s="70"/>
      <c r="F5705" s="70"/>
      <c r="G5705" s="94"/>
      <c r="H5705" s="131"/>
      <c r="I5705" s="3"/>
    </row>
    <row r="5706" spans="1:9" s="93" customFormat="1" ht="9" customHeight="1" x14ac:dyDescent="0.3">
      <c r="A5706" s="91"/>
      <c r="B5706" s="70"/>
      <c r="C5706" s="70"/>
      <c r="D5706" s="70"/>
      <c r="E5706" s="70"/>
      <c r="F5706" s="70"/>
      <c r="G5706" s="94"/>
      <c r="H5706" s="131"/>
      <c r="I5706" s="3"/>
    </row>
    <row r="5707" spans="1:9" s="93" customFormat="1" ht="9" customHeight="1" x14ac:dyDescent="0.3">
      <c r="A5707" s="91"/>
      <c r="B5707" s="70"/>
      <c r="C5707" s="70"/>
      <c r="D5707" s="70"/>
      <c r="E5707" s="70"/>
      <c r="F5707" s="70"/>
      <c r="G5707" s="94"/>
      <c r="H5707" s="131"/>
      <c r="I5707" s="3"/>
    </row>
    <row r="5708" spans="1:9" s="93" customFormat="1" ht="9" customHeight="1" x14ac:dyDescent="0.3">
      <c r="A5708" s="91"/>
      <c r="B5708" s="70"/>
      <c r="C5708" s="70"/>
      <c r="D5708" s="70"/>
      <c r="E5708" s="70"/>
      <c r="F5708" s="70"/>
      <c r="G5708" s="94"/>
      <c r="H5708" s="131"/>
      <c r="I5708" s="3"/>
    </row>
    <row r="5709" spans="1:9" s="93" customFormat="1" ht="9" customHeight="1" x14ac:dyDescent="0.3">
      <c r="A5709" s="91"/>
      <c r="B5709" s="70"/>
      <c r="C5709" s="70"/>
      <c r="D5709" s="70"/>
      <c r="E5709" s="70"/>
      <c r="F5709" s="70"/>
      <c r="G5709" s="94"/>
      <c r="H5709" s="131"/>
      <c r="I5709" s="3"/>
    </row>
    <row r="5710" spans="1:9" s="93" customFormat="1" ht="9" customHeight="1" x14ac:dyDescent="0.3">
      <c r="A5710" s="91"/>
      <c r="B5710" s="70"/>
      <c r="C5710" s="70"/>
      <c r="D5710" s="70"/>
      <c r="E5710" s="70"/>
      <c r="F5710" s="70"/>
      <c r="G5710" s="94"/>
      <c r="H5710" s="131"/>
      <c r="I5710" s="3"/>
    </row>
    <row r="5711" spans="1:9" s="93" customFormat="1" ht="9" customHeight="1" x14ac:dyDescent="0.3">
      <c r="A5711" s="91"/>
      <c r="B5711" s="70"/>
      <c r="C5711" s="70"/>
      <c r="D5711" s="70"/>
      <c r="E5711" s="70"/>
      <c r="F5711" s="70"/>
      <c r="G5711" s="94"/>
      <c r="H5711" s="131"/>
      <c r="I5711" s="3"/>
    </row>
    <row r="5712" spans="1:9" s="93" customFormat="1" ht="9" customHeight="1" x14ac:dyDescent="0.3">
      <c r="A5712" s="91"/>
      <c r="B5712" s="70"/>
      <c r="C5712" s="70"/>
      <c r="D5712" s="70"/>
      <c r="E5712" s="70"/>
      <c r="F5712" s="70"/>
      <c r="G5712" s="94"/>
      <c r="H5712" s="131"/>
      <c r="I5712" s="3"/>
    </row>
    <row r="5713" spans="1:9" s="93" customFormat="1" ht="9" customHeight="1" x14ac:dyDescent="0.3">
      <c r="A5713" s="91"/>
      <c r="B5713" s="70"/>
      <c r="C5713" s="70"/>
      <c r="D5713" s="70"/>
      <c r="E5713" s="70"/>
      <c r="F5713" s="70"/>
      <c r="G5713" s="94"/>
      <c r="H5713" s="131"/>
      <c r="I5713" s="3"/>
    </row>
    <row r="5714" spans="1:9" s="93" customFormat="1" ht="9" customHeight="1" x14ac:dyDescent="0.3">
      <c r="A5714" s="91"/>
      <c r="B5714" s="70"/>
      <c r="C5714" s="70"/>
      <c r="D5714" s="70"/>
      <c r="E5714" s="70"/>
      <c r="F5714" s="70"/>
      <c r="G5714" s="94"/>
      <c r="H5714" s="131"/>
      <c r="I5714" s="3"/>
    </row>
    <row r="5715" spans="1:9" s="93" customFormat="1" ht="9" customHeight="1" x14ac:dyDescent="0.3">
      <c r="A5715" s="91"/>
      <c r="B5715" s="70"/>
      <c r="C5715" s="70"/>
      <c r="D5715" s="70"/>
      <c r="E5715" s="70"/>
      <c r="F5715" s="70"/>
      <c r="G5715" s="94"/>
      <c r="H5715" s="131"/>
      <c r="I5715" s="3"/>
    </row>
    <row r="5716" spans="1:9" s="93" customFormat="1" ht="9" customHeight="1" x14ac:dyDescent="0.3">
      <c r="A5716" s="91"/>
      <c r="B5716" s="70"/>
      <c r="C5716" s="70"/>
      <c r="D5716" s="70"/>
      <c r="E5716" s="70"/>
      <c r="F5716" s="70"/>
      <c r="G5716" s="94"/>
      <c r="H5716" s="131"/>
      <c r="I5716" s="3"/>
    </row>
    <row r="5717" spans="1:9" s="93" customFormat="1" ht="9" customHeight="1" x14ac:dyDescent="0.3">
      <c r="A5717" s="91"/>
      <c r="B5717" s="70"/>
      <c r="C5717" s="70"/>
      <c r="D5717" s="70"/>
      <c r="E5717" s="70"/>
      <c r="F5717" s="70"/>
      <c r="G5717" s="94"/>
      <c r="H5717" s="131"/>
      <c r="I5717" s="3"/>
    </row>
    <row r="5718" spans="1:9" s="93" customFormat="1" ht="9" customHeight="1" x14ac:dyDescent="0.3">
      <c r="A5718" s="91"/>
      <c r="B5718" s="70"/>
      <c r="C5718" s="70"/>
      <c r="D5718" s="70"/>
      <c r="E5718" s="70"/>
      <c r="F5718" s="70"/>
      <c r="G5718" s="94"/>
      <c r="H5718" s="131"/>
      <c r="I5718" s="3"/>
    </row>
    <row r="5719" spans="1:9" s="93" customFormat="1" ht="9" customHeight="1" x14ac:dyDescent="0.3">
      <c r="A5719" s="91"/>
      <c r="B5719" s="70"/>
      <c r="C5719" s="70"/>
      <c r="D5719" s="70"/>
      <c r="E5719" s="70"/>
      <c r="F5719" s="70"/>
      <c r="G5719" s="94"/>
      <c r="H5719" s="131"/>
      <c r="I5719" s="3"/>
    </row>
    <row r="5720" spans="1:9" s="93" customFormat="1" ht="9" customHeight="1" x14ac:dyDescent="0.3">
      <c r="A5720" s="91"/>
      <c r="B5720" s="70"/>
      <c r="C5720" s="70"/>
      <c r="D5720" s="70"/>
      <c r="E5720" s="70"/>
      <c r="F5720" s="70"/>
      <c r="G5720" s="94"/>
      <c r="H5720" s="131"/>
      <c r="I5720" s="3"/>
    </row>
    <row r="5721" spans="1:9" s="93" customFormat="1" ht="9" customHeight="1" x14ac:dyDescent="0.3">
      <c r="A5721" s="91"/>
      <c r="B5721" s="70"/>
      <c r="C5721" s="70"/>
      <c r="D5721" s="70"/>
      <c r="E5721" s="70"/>
      <c r="F5721" s="70"/>
      <c r="G5721" s="94"/>
      <c r="H5721" s="131"/>
      <c r="I5721" s="3"/>
    </row>
    <row r="5722" spans="1:9" s="93" customFormat="1" ht="9" customHeight="1" x14ac:dyDescent="0.3">
      <c r="A5722" s="91"/>
      <c r="B5722" s="70"/>
      <c r="C5722" s="70"/>
      <c r="D5722" s="70"/>
      <c r="E5722" s="70"/>
      <c r="F5722" s="70"/>
      <c r="G5722" s="94"/>
      <c r="H5722" s="131"/>
      <c r="I5722" s="3"/>
    </row>
    <row r="5723" spans="1:9" s="93" customFormat="1" ht="9" customHeight="1" x14ac:dyDescent="0.3">
      <c r="A5723" s="91"/>
      <c r="B5723" s="70"/>
      <c r="C5723" s="70"/>
      <c r="D5723" s="70"/>
      <c r="E5723" s="70"/>
      <c r="F5723" s="70"/>
      <c r="G5723" s="94"/>
      <c r="H5723" s="131"/>
      <c r="I5723" s="3"/>
    </row>
    <row r="5724" spans="1:9" s="93" customFormat="1" ht="9" customHeight="1" x14ac:dyDescent="0.3">
      <c r="A5724" s="91"/>
      <c r="B5724" s="70"/>
      <c r="C5724" s="70"/>
      <c r="D5724" s="70"/>
      <c r="E5724" s="70"/>
      <c r="F5724" s="70"/>
      <c r="G5724" s="94"/>
      <c r="H5724" s="131"/>
      <c r="I5724" s="3"/>
    </row>
    <row r="5725" spans="1:9" s="93" customFormat="1" ht="9" customHeight="1" x14ac:dyDescent="0.3">
      <c r="A5725" s="91"/>
      <c r="B5725" s="70"/>
      <c r="C5725" s="70"/>
      <c r="D5725" s="70"/>
      <c r="E5725" s="70"/>
      <c r="F5725" s="70"/>
      <c r="G5725" s="94"/>
      <c r="H5725" s="131"/>
      <c r="I5725" s="3"/>
    </row>
    <row r="5726" spans="1:9" s="93" customFormat="1" ht="9" customHeight="1" x14ac:dyDescent="0.3">
      <c r="A5726" s="91"/>
      <c r="B5726" s="70"/>
      <c r="C5726" s="70"/>
      <c r="D5726" s="70"/>
      <c r="E5726" s="70"/>
      <c r="F5726" s="70"/>
      <c r="G5726" s="94"/>
      <c r="H5726" s="131"/>
      <c r="I5726" s="3"/>
    </row>
    <row r="5727" spans="1:9" s="93" customFormat="1" ht="9" customHeight="1" x14ac:dyDescent="0.3">
      <c r="A5727" s="91"/>
      <c r="B5727" s="70"/>
      <c r="C5727" s="70"/>
      <c r="D5727" s="70"/>
      <c r="E5727" s="70"/>
      <c r="F5727" s="70"/>
      <c r="G5727" s="94"/>
      <c r="H5727" s="131"/>
      <c r="I5727" s="3"/>
    </row>
    <row r="5728" spans="1:9" s="93" customFormat="1" ht="9" customHeight="1" x14ac:dyDescent="0.3">
      <c r="A5728" s="91"/>
      <c r="B5728" s="70"/>
      <c r="C5728" s="70"/>
      <c r="D5728" s="70"/>
      <c r="E5728" s="70"/>
      <c r="F5728" s="70"/>
      <c r="G5728" s="94"/>
      <c r="H5728" s="131"/>
      <c r="I5728" s="3"/>
    </row>
    <row r="5729" spans="1:9" s="93" customFormat="1" ht="9" customHeight="1" x14ac:dyDescent="0.3">
      <c r="A5729" s="91"/>
      <c r="B5729" s="70"/>
      <c r="C5729" s="70"/>
      <c r="D5729" s="70"/>
      <c r="E5729" s="70"/>
      <c r="F5729" s="70"/>
      <c r="G5729" s="94"/>
      <c r="H5729" s="131"/>
      <c r="I5729" s="3"/>
    </row>
    <row r="5730" spans="1:9" s="93" customFormat="1" ht="9" customHeight="1" x14ac:dyDescent="0.3">
      <c r="A5730" s="91"/>
      <c r="B5730" s="70"/>
      <c r="C5730" s="70"/>
      <c r="D5730" s="70"/>
      <c r="E5730" s="70"/>
      <c r="F5730" s="70"/>
      <c r="G5730" s="94"/>
      <c r="H5730" s="131"/>
      <c r="I5730" s="3"/>
    </row>
    <row r="5731" spans="1:9" s="93" customFormat="1" ht="9" customHeight="1" x14ac:dyDescent="0.3">
      <c r="A5731" s="91"/>
      <c r="B5731" s="70"/>
      <c r="C5731" s="70"/>
      <c r="D5731" s="70"/>
      <c r="E5731" s="70"/>
      <c r="F5731" s="70"/>
      <c r="G5731" s="94"/>
      <c r="H5731" s="131"/>
      <c r="I5731" s="3"/>
    </row>
    <row r="5732" spans="1:9" s="93" customFormat="1" ht="9" customHeight="1" x14ac:dyDescent="0.3">
      <c r="A5732" s="91"/>
      <c r="B5732" s="70"/>
      <c r="C5732" s="70"/>
      <c r="D5732" s="70"/>
      <c r="E5732" s="70"/>
      <c r="F5732" s="70"/>
      <c r="G5732" s="94"/>
      <c r="H5732" s="131"/>
      <c r="I5732" s="3"/>
    </row>
    <row r="5733" spans="1:9" s="93" customFormat="1" ht="9" customHeight="1" x14ac:dyDescent="0.3">
      <c r="A5733" s="91"/>
      <c r="B5733" s="70"/>
      <c r="C5733" s="70"/>
      <c r="D5733" s="70"/>
      <c r="E5733" s="70"/>
      <c r="F5733" s="70"/>
      <c r="G5733" s="94"/>
      <c r="H5733" s="131"/>
      <c r="I5733" s="3"/>
    </row>
    <row r="5734" spans="1:9" s="93" customFormat="1" ht="9" customHeight="1" x14ac:dyDescent="0.3">
      <c r="A5734" s="91"/>
      <c r="B5734" s="70"/>
      <c r="C5734" s="70"/>
      <c r="D5734" s="70"/>
      <c r="E5734" s="70"/>
      <c r="F5734" s="70"/>
      <c r="G5734" s="94"/>
      <c r="H5734" s="131"/>
      <c r="I5734" s="3"/>
    </row>
    <row r="5735" spans="1:9" s="93" customFormat="1" ht="9" customHeight="1" x14ac:dyDescent="0.3">
      <c r="A5735" s="91"/>
      <c r="B5735" s="70"/>
      <c r="C5735" s="70"/>
      <c r="D5735" s="70"/>
      <c r="E5735" s="70"/>
      <c r="F5735" s="70"/>
      <c r="G5735" s="94"/>
      <c r="H5735" s="131"/>
      <c r="I5735" s="3"/>
    </row>
    <row r="5736" spans="1:9" s="93" customFormat="1" ht="9" customHeight="1" x14ac:dyDescent="0.3">
      <c r="A5736" s="91"/>
      <c r="B5736" s="70"/>
      <c r="C5736" s="70"/>
      <c r="D5736" s="70"/>
      <c r="E5736" s="70"/>
      <c r="F5736" s="70"/>
      <c r="G5736" s="94"/>
      <c r="H5736" s="131"/>
      <c r="I5736" s="3"/>
    </row>
    <row r="5737" spans="1:9" s="93" customFormat="1" ht="9" customHeight="1" x14ac:dyDescent="0.3">
      <c r="A5737" s="91"/>
      <c r="B5737" s="70"/>
      <c r="C5737" s="70"/>
      <c r="D5737" s="70"/>
      <c r="E5737" s="70"/>
      <c r="F5737" s="70"/>
      <c r="G5737" s="94"/>
      <c r="H5737" s="131"/>
      <c r="I5737" s="3"/>
    </row>
    <row r="5738" spans="1:9" s="93" customFormat="1" ht="9" customHeight="1" x14ac:dyDescent="0.3">
      <c r="A5738" s="91"/>
      <c r="B5738" s="70"/>
      <c r="C5738" s="70"/>
      <c r="D5738" s="70"/>
      <c r="E5738" s="70"/>
      <c r="F5738" s="70"/>
      <c r="G5738" s="94"/>
      <c r="H5738" s="131"/>
      <c r="I5738" s="3"/>
    </row>
    <row r="5739" spans="1:9" s="93" customFormat="1" ht="9" customHeight="1" x14ac:dyDescent="0.3">
      <c r="A5739" s="91"/>
      <c r="B5739" s="70"/>
      <c r="C5739" s="70"/>
      <c r="D5739" s="70"/>
      <c r="E5739" s="70"/>
      <c r="F5739" s="70"/>
      <c r="G5739" s="94"/>
      <c r="H5739" s="131"/>
      <c r="I5739" s="3"/>
    </row>
    <row r="5740" spans="1:9" s="93" customFormat="1" ht="9" customHeight="1" x14ac:dyDescent="0.3">
      <c r="A5740" s="91"/>
      <c r="B5740" s="70"/>
      <c r="C5740" s="70"/>
      <c r="D5740" s="70"/>
      <c r="E5740" s="70"/>
      <c r="F5740" s="70"/>
      <c r="G5740" s="94"/>
      <c r="H5740" s="131"/>
      <c r="I5740" s="3"/>
    </row>
    <row r="5741" spans="1:9" s="93" customFormat="1" ht="9" customHeight="1" x14ac:dyDescent="0.3">
      <c r="A5741" s="91"/>
      <c r="B5741" s="70"/>
      <c r="C5741" s="70"/>
      <c r="D5741" s="70"/>
      <c r="E5741" s="70"/>
      <c r="F5741" s="70"/>
      <c r="G5741" s="94"/>
      <c r="H5741" s="131"/>
      <c r="I5741" s="3"/>
    </row>
    <row r="5742" spans="1:9" s="93" customFormat="1" ht="9" customHeight="1" x14ac:dyDescent="0.3">
      <c r="A5742" s="91"/>
      <c r="B5742" s="70"/>
      <c r="C5742" s="70"/>
      <c r="D5742" s="70"/>
      <c r="E5742" s="70"/>
      <c r="F5742" s="70"/>
      <c r="G5742" s="94"/>
      <c r="H5742" s="131"/>
      <c r="I5742" s="3"/>
    </row>
    <row r="5743" spans="1:9" s="93" customFormat="1" ht="9" customHeight="1" x14ac:dyDescent="0.3">
      <c r="A5743" s="91"/>
      <c r="B5743" s="70"/>
      <c r="C5743" s="70"/>
      <c r="D5743" s="70"/>
      <c r="E5743" s="70"/>
      <c r="F5743" s="70"/>
      <c r="G5743" s="94"/>
      <c r="H5743" s="131"/>
      <c r="I5743" s="3"/>
    </row>
    <row r="5744" spans="1:9" s="93" customFormat="1" ht="9" customHeight="1" x14ac:dyDescent="0.3">
      <c r="A5744" s="91"/>
      <c r="B5744" s="70"/>
      <c r="C5744" s="70"/>
      <c r="D5744" s="70"/>
      <c r="E5744" s="70"/>
      <c r="F5744" s="70"/>
      <c r="G5744" s="94"/>
      <c r="H5744" s="131"/>
      <c r="I5744" s="3"/>
    </row>
    <row r="5745" spans="1:9" s="93" customFormat="1" ht="9" customHeight="1" x14ac:dyDescent="0.3">
      <c r="A5745" s="91"/>
      <c r="B5745" s="70"/>
      <c r="C5745" s="70"/>
      <c r="D5745" s="70"/>
      <c r="E5745" s="70"/>
      <c r="F5745" s="70"/>
      <c r="G5745" s="94"/>
      <c r="H5745" s="131"/>
      <c r="I5745" s="3"/>
    </row>
    <row r="5746" spans="1:9" s="93" customFormat="1" ht="9" customHeight="1" x14ac:dyDescent="0.3">
      <c r="A5746" s="91"/>
      <c r="B5746" s="70"/>
      <c r="C5746" s="70"/>
      <c r="D5746" s="70"/>
      <c r="E5746" s="70"/>
      <c r="F5746" s="70"/>
      <c r="G5746" s="94"/>
      <c r="H5746" s="131"/>
      <c r="I5746" s="3"/>
    </row>
    <row r="5747" spans="1:9" s="93" customFormat="1" ht="9" customHeight="1" x14ac:dyDescent="0.3">
      <c r="A5747" s="91"/>
      <c r="B5747" s="70"/>
      <c r="C5747" s="70"/>
      <c r="D5747" s="70"/>
      <c r="E5747" s="70"/>
      <c r="F5747" s="70"/>
      <c r="G5747" s="94"/>
      <c r="H5747" s="131"/>
      <c r="I5747" s="3"/>
    </row>
    <row r="5748" spans="1:9" s="93" customFormat="1" ht="9" customHeight="1" x14ac:dyDescent="0.3">
      <c r="A5748" s="91"/>
      <c r="B5748" s="70"/>
      <c r="C5748" s="70"/>
      <c r="D5748" s="70"/>
      <c r="E5748" s="70"/>
      <c r="F5748" s="70"/>
      <c r="G5748" s="94"/>
      <c r="H5748" s="131"/>
      <c r="I5748" s="3"/>
    </row>
    <row r="5749" spans="1:9" s="93" customFormat="1" ht="9" customHeight="1" x14ac:dyDescent="0.3">
      <c r="A5749" s="91"/>
      <c r="B5749" s="70"/>
      <c r="C5749" s="70"/>
      <c r="D5749" s="70"/>
      <c r="E5749" s="70"/>
      <c r="F5749" s="70"/>
      <c r="G5749" s="94"/>
      <c r="H5749" s="131"/>
      <c r="I5749" s="3"/>
    </row>
    <row r="5750" spans="1:9" s="93" customFormat="1" ht="9" customHeight="1" x14ac:dyDescent="0.3">
      <c r="A5750" s="91"/>
      <c r="B5750" s="70"/>
      <c r="C5750" s="70"/>
      <c r="D5750" s="70"/>
      <c r="E5750" s="70"/>
      <c r="F5750" s="70"/>
      <c r="G5750" s="94"/>
      <c r="H5750" s="131"/>
      <c r="I5750" s="3"/>
    </row>
    <row r="5751" spans="1:9" s="93" customFormat="1" ht="9" customHeight="1" x14ac:dyDescent="0.3">
      <c r="A5751" s="91"/>
      <c r="B5751" s="70"/>
      <c r="C5751" s="70"/>
      <c r="D5751" s="70"/>
      <c r="E5751" s="70"/>
      <c r="F5751" s="70"/>
      <c r="G5751" s="94"/>
      <c r="H5751" s="131"/>
      <c r="I5751" s="3"/>
    </row>
    <row r="5752" spans="1:9" s="93" customFormat="1" ht="9" customHeight="1" x14ac:dyDescent="0.3">
      <c r="A5752" s="91"/>
      <c r="B5752" s="70"/>
      <c r="C5752" s="70"/>
      <c r="D5752" s="70"/>
      <c r="E5752" s="70"/>
      <c r="F5752" s="70"/>
      <c r="G5752" s="94"/>
      <c r="H5752" s="131"/>
      <c r="I5752" s="3"/>
    </row>
    <row r="5753" spans="1:9" s="93" customFormat="1" ht="9" customHeight="1" x14ac:dyDescent="0.3">
      <c r="A5753" s="91"/>
      <c r="B5753" s="70"/>
      <c r="C5753" s="70"/>
      <c r="D5753" s="70"/>
      <c r="E5753" s="70"/>
      <c r="F5753" s="70"/>
      <c r="G5753" s="94"/>
      <c r="H5753" s="131"/>
      <c r="I5753" s="3"/>
    </row>
    <row r="5754" spans="1:9" s="93" customFormat="1" ht="9" customHeight="1" x14ac:dyDescent="0.3">
      <c r="A5754" s="91"/>
      <c r="B5754" s="70"/>
      <c r="C5754" s="70"/>
      <c r="D5754" s="70"/>
      <c r="E5754" s="70"/>
      <c r="F5754" s="70"/>
      <c r="G5754" s="94"/>
      <c r="H5754" s="131"/>
      <c r="I5754" s="3"/>
    </row>
    <row r="5755" spans="1:9" s="93" customFormat="1" ht="9" customHeight="1" x14ac:dyDescent="0.3">
      <c r="A5755" s="91"/>
      <c r="B5755" s="70"/>
      <c r="C5755" s="70"/>
      <c r="D5755" s="70"/>
      <c r="E5755" s="70"/>
      <c r="F5755" s="70"/>
      <c r="G5755" s="94"/>
      <c r="H5755" s="131"/>
      <c r="I5755" s="3"/>
    </row>
    <row r="5756" spans="1:9" s="93" customFormat="1" ht="9" customHeight="1" x14ac:dyDescent="0.3">
      <c r="A5756" s="91"/>
      <c r="B5756" s="70"/>
      <c r="C5756" s="70"/>
      <c r="D5756" s="70"/>
      <c r="E5756" s="70"/>
      <c r="F5756" s="70"/>
      <c r="G5756" s="94"/>
      <c r="H5756" s="131"/>
      <c r="I5756" s="3"/>
    </row>
    <row r="5757" spans="1:9" s="93" customFormat="1" ht="9" customHeight="1" x14ac:dyDescent="0.3">
      <c r="A5757" s="91"/>
      <c r="B5757" s="70"/>
      <c r="C5757" s="70"/>
      <c r="D5757" s="70"/>
      <c r="E5757" s="70"/>
      <c r="F5757" s="70"/>
      <c r="G5757" s="94"/>
      <c r="H5757" s="131"/>
      <c r="I5757" s="3"/>
    </row>
    <row r="5758" spans="1:9" s="93" customFormat="1" ht="9" customHeight="1" x14ac:dyDescent="0.3">
      <c r="A5758" s="91"/>
      <c r="B5758" s="70"/>
      <c r="C5758" s="70"/>
      <c r="D5758" s="70"/>
      <c r="E5758" s="70"/>
      <c r="F5758" s="70"/>
      <c r="G5758" s="94"/>
      <c r="H5758" s="131"/>
      <c r="I5758" s="3"/>
    </row>
    <row r="5759" spans="1:9" s="93" customFormat="1" ht="9" customHeight="1" x14ac:dyDescent="0.3">
      <c r="A5759" s="91"/>
      <c r="B5759" s="70"/>
      <c r="C5759" s="70"/>
      <c r="D5759" s="70"/>
      <c r="E5759" s="70"/>
      <c r="F5759" s="70"/>
      <c r="G5759" s="94"/>
      <c r="H5759" s="131"/>
      <c r="I5759" s="3"/>
    </row>
    <row r="5760" spans="1:9" s="93" customFormat="1" ht="9" customHeight="1" x14ac:dyDescent="0.3">
      <c r="A5760" s="91"/>
      <c r="B5760" s="70"/>
      <c r="C5760" s="70"/>
      <c r="D5760" s="70"/>
      <c r="E5760" s="70"/>
      <c r="F5760" s="70"/>
      <c r="G5760" s="94"/>
      <c r="H5760" s="131"/>
      <c r="I5760" s="3"/>
    </row>
    <row r="5761" spans="1:9" s="93" customFormat="1" ht="9" customHeight="1" x14ac:dyDescent="0.3">
      <c r="A5761" s="91"/>
      <c r="B5761" s="70"/>
      <c r="C5761" s="70"/>
      <c r="D5761" s="70"/>
      <c r="E5761" s="70"/>
      <c r="F5761" s="70"/>
      <c r="G5761" s="94"/>
      <c r="H5761" s="131"/>
      <c r="I5761" s="3"/>
    </row>
    <row r="5762" spans="1:9" s="93" customFormat="1" ht="9" customHeight="1" x14ac:dyDescent="0.3">
      <c r="A5762" s="91"/>
      <c r="B5762" s="70"/>
      <c r="C5762" s="70"/>
      <c r="D5762" s="70"/>
      <c r="E5762" s="70"/>
      <c r="F5762" s="70"/>
      <c r="G5762" s="94"/>
      <c r="H5762" s="131"/>
      <c r="I5762" s="3"/>
    </row>
    <row r="5763" spans="1:9" s="93" customFormat="1" ht="9" customHeight="1" x14ac:dyDescent="0.3">
      <c r="A5763" s="91"/>
      <c r="B5763" s="70"/>
      <c r="C5763" s="70"/>
      <c r="D5763" s="70"/>
      <c r="E5763" s="70"/>
      <c r="F5763" s="70"/>
      <c r="G5763" s="94"/>
      <c r="H5763" s="131"/>
      <c r="I5763" s="3"/>
    </row>
    <row r="5764" spans="1:9" s="93" customFormat="1" ht="9" customHeight="1" x14ac:dyDescent="0.3">
      <c r="A5764" s="91"/>
      <c r="B5764" s="70"/>
      <c r="C5764" s="70"/>
      <c r="D5764" s="70"/>
      <c r="E5764" s="70"/>
      <c r="F5764" s="70"/>
      <c r="G5764" s="94"/>
      <c r="H5764" s="131"/>
      <c r="I5764" s="3"/>
    </row>
    <row r="5765" spans="1:9" s="93" customFormat="1" ht="9" customHeight="1" x14ac:dyDescent="0.3">
      <c r="A5765" s="91"/>
      <c r="B5765" s="70"/>
      <c r="C5765" s="70"/>
      <c r="D5765" s="70"/>
      <c r="E5765" s="70"/>
      <c r="F5765" s="70"/>
      <c r="G5765" s="94"/>
      <c r="H5765" s="131"/>
      <c r="I5765" s="3"/>
    </row>
    <row r="5766" spans="1:9" s="93" customFormat="1" ht="9" customHeight="1" x14ac:dyDescent="0.3">
      <c r="A5766" s="91"/>
      <c r="B5766" s="70"/>
      <c r="C5766" s="70"/>
      <c r="D5766" s="70"/>
      <c r="E5766" s="70"/>
      <c r="F5766" s="70"/>
      <c r="G5766" s="94"/>
      <c r="H5766" s="131"/>
      <c r="I5766" s="3"/>
    </row>
    <row r="5767" spans="1:9" s="93" customFormat="1" ht="9" customHeight="1" x14ac:dyDescent="0.3">
      <c r="A5767" s="91"/>
      <c r="B5767" s="70"/>
      <c r="C5767" s="70"/>
      <c r="D5767" s="70"/>
      <c r="E5767" s="70"/>
      <c r="F5767" s="70"/>
      <c r="G5767" s="94"/>
      <c r="H5767" s="131"/>
      <c r="I5767" s="3"/>
    </row>
    <row r="5768" spans="1:9" s="93" customFormat="1" ht="9" customHeight="1" x14ac:dyDescent="0.3">
      <c r="A5768" s="91"/>
      <c r="B5768" s="70"/>
      <c r="C5768" s="70"/>
      <c r="D5768" s="70"/>
      <c r="E5768" s="70"/>
      <c r="F5768" s="70"/>
      <c r="G5768" s="94"/>
      <c r="H5768" s="131"/>
      <c r="I5768" s="3"/>
    </row>
    <row r="5769" spans="1:9" s="93" customFormat="1" ht="9" customHeight="1" x14ac:dyDescent="0.3">
      <c r="A5769" s="91"/>
      <c r="B5769" s="70"/>
      <c r="C5769" s="70"/>
      <c r="D5769" s="70"/>
      <c r="E5769" s="70"/>
      <c r="F5769" s="70"/>
      <c r="G5769" s="94"/>
      <c r="H5769" s="131"/>
      <c r="I5769" s="3"/>
    </row>
    <row r="5770" spans="1:9" s="93" customFormat="1" ht="9" customHeight="1" x14ac:dyDescent="0.3">
      <c r="A5770" s="91"/>
      <c r="B5770" s="70"/>
      <c r="C5770" s="70"/>
      <c r="D5770" s="70"/>
      <c r="E5770" s="70"/>
      <c r="F5770" s="70"/>
      <c r="G5770" s="94"/>
      <c r="H5770" s="131"/>
      <c r="I5770" s="3"/>
    </row>
    <row r="5771" spans="1:9" s="93" customFormat="1" ht="9" customHeight="1" x14ac:dyDescent="0.3">
      <c r="A5771" s="91"/>
      <c r="B5771" s="70"/>
      <c r="C5771" s="70"/>
      <c r="D5771" s="70"/>
      <c r="E5771" s="70"/>
      <c r="F5771" s="70"/>
      <c r="G5771" s="94"/>
      <c r="H5771" s="131"/>
      <c r="I5771" s="3"/>
    </row>
    <row r="5772" spans="1:9" s="93" customFormat="1" ht="9" customHeight="1" x14ac:dyDescent="0.3">
      <c r="A5772" s="91"/>
      <c r="B5772" s="70"/>
      <c r="C5772" s="70"/>
      <c r="D5772" s="70"/>
      <c r="E5772" s="70"/>
      <c r="F5772" s="70"/>
      <c r="G5772" s="94"/>
      <c r="H5772" s="131"/>
      <c r="I5772" s="3"/>
    </row>
    <row r="5773" spans="1:9" s="93" customFormat="1" ht="9" customHeight="1" x14ac:dyDescent="0.3">
      <c r="A5773" s="91"/>
      <c r="B5773" s="70"/>
      <c r="C5773" s="70"/>
      <c r="D5773" s="70"/>
      <c r="E5773" s="70"/>
      <c r="F5773" s="70"/>
      <c r="G5773" s="94"/>
      <c r="H5773" s="131"/>
      <c r="I5773" s="3"/>
    </row>
    <row r="5774" spans="1:9" s="93" customFormat="1" ht="9" customHeight="1" x14ac:dyDescent="0.3">
      <c r="A5774" s="91"/>
      <c r="B5774" s="70"/>
      <c r="C5774" s="70"/>
      <c r="D5774" s="70"/>
      <c r="E5774" s="70"/>
      <c r="F5774" s="70"/>
      <c r="G5774" s="94"/>
      <c r="H5774" s="131"/>
      <c r="I5774" s="3"/>
    </row>
    <row r="5775" spans="1:9" s="93" customFormat="1" ht="9" customHeight="1" x14ac:dyDescent="0.3">
      <c r="A5775" s="91"/>
      <c r="B5775" s="70"/>
      <c r="C5775" s="70"/>
      <c r="D5775" s="70"/>
      <c r="E5775" s="70"/>
      <c r="F5775" s="70"/>
      <c r="G5775" s="94"/>
      <c r="H5775" s="131"/>
      <c r="I5775" s="3"/>
    </row>
    <row r="5776" spans="1:9" s="93" customFormat="1" ht="9" customHeight="1" x14ac:dyDescent="0.3">
      <c r="A5776" s="91"/>
      <c r="B5776" s="70"/>
      <c r="C5776" s="70"/>
      <c r="D5776" s="70"/>
      <c r="E5776" s="70"/>
      <c r="F5776" s="70"/>
      <c r="G5776" s="94"/>
      <c r="H5776" s="131"/>
      <c r="I5776" s="3"/>
    </row>
    <row r="5777" spans="1:9" s="93" customFormat="1" ht="9" customHeight="1" x14ac:dyDescent="0.3">
      <c r="A5777" s="91"/>
      <c r="B5777" s="70"/>
      <c r="C5777" s="70"/>
      <c r="D5777" s="70"/>
      <c r="E5777" s="70"/>
      <c r="F5777" s="70"/>
      <c r="G5777" s="94"/>
      <c r="H5777" s="131"/>
      <c r="I5777" s="3"/>
    </row>
    <row r="5778" spans="1:9" s="93" customFormat="1" ht="9" customHeight="1" x14ac:dyDescent="0.3">
      <c r="A5778" s="91"/>
      <c r="B5778" s="70"/>
      <c r="C5778" s="70"/>
      <c r="D5778" s="70"/>
      <c r="E5778" s="70"/>
      <c r="F5778" s="70"/>
      <c r="G5778" s="94"/>
      <c r="H5778" s="131"/>
      <c r="I5778" s="3"/>
    </row>
    <row r="5779" spans="1:9" s="93" customFormat="1" ht="9" customHeight="1" x14ac:dyDescent="0.3">
      <c r="A5779" s="91"/>
      <c r="B5779" s="70"/>
      <c r="C5779" s="70"/>
      <c r="D5779" s="70"/>
      <c r="E5779" s="70"/>
      <c r="F5779" s="70"/>
      <c r="G5779" s="94"/>
      <c r="H5779" s="131"/>
      <c r="I5779" s="3"/>
    </row>
    <row r="5780" spans="1:9" s="93" customFormat="1" ht="9" customHeight="1" x14ac:dyDescent="0.3">
      <c r="A5780" s="91"/>
      <c r="B5780" s="70"/>
      <c r="C5780" s="70"/>
      <c r="D5780" s="70"/>
      <c r="E5780" s="70"/>
      <c r="F5780" s="70"/>
      <c r="G5780" s="94"/>
      <c r="H5780" s="131"/>
      <c r="I5780" s="3"/>
    </row>
    <row r="5781" spans="1:9" s="93" customFormat="1" ht="9" customHeight="1" x14ac:dyDescent="0.3">
      <c r="A5781" s="91"/>
      <c r="B5781" s="70"/>
      <c r="C5781" s="70"/>
      <c r="D5781" s="70"/>
      <c r="E5781" s="70"/>
      <c r="F5781" s="70"/>
      <c r="G5781" s="94"/>
      <c r="H5781" s="131"/>
      <c r="I5781" s="3"/>
    </row>
    <row r="5782" spans="1:9" s="93" customFormat="1" ht="9" customHeight="1" x14ac:dyDescent="0.3">
      <c r="A5782" s="91"/>
      <c r="B5782" s="70"/>
      <c r="C5782" s="70"/>
      <c r="D5782" s="70"/>
      <c r="E5782" s="70"/>
      <c r="F5782" s="70"/>
      <c r="G5782" s="94"/>
      <c r="H5782" s="131"/>
      <c r="I5782" s="3"/>
    </row>
    <row r="5783" spans="1:9" s="93" customFormat="1" ht="9" customHeight="1" x14ac:dyDescent="0.3">
      <c r="A5783" s="91"/>
      <c r="B5783" s="70"/>
      <c r="C5783" s="70"/>
      <c r="D5783" s="70"/>
      <c r="E5783" s="70"/>
      <c r="F5783" s="70"/>
      <c r="G5783" s="94"/>
      <c r="H5783" s="131"/>
      <c r="I5783" s="3"/>
    </row>
    <row r="5784" spans="1:9" s="93" customFormat="1" ht="9" customHeight="1" x14ac:dyDescent="0.3">
      <c r="A5784" s="91"/>
      <c r="B5784" s="70"/>
      <c r="C5784" s="70"/>
      <c r="D5784" s="70"/>
      <c r="E5784" s="70"/>
      <c r="F5784" s="70"/>
      <c r="G5784" s="94"/>
      <c r="H5784" s="131"/>
      <c r="I5784" s="3"/>
    </row>
    <row r="5785" spans="1:9" s="93" customFormat="1" ht="9" customHeight="1" x14ac:dyDescent="0.3">
      <c r="A5785" s="91"/>
      <c r="B5785" s="70"/>
      <c r="C5785" s="70"/>
      <c r="D5785" s="70"/>
      <c r="E5785" s="70"/>
      <c r="F5785" s="70"/>
      <c r="G5785" s="94"/>
      <c r="H5785" s="131"/>
      <c r="I5785" s="3"/>
    </row>
    <row r="5786" spans="1:9" s="93" customFormat="1" ht="9" customHeight="1" x14ac:dyDescent="0.3">
      <c r="A5786" s="91"/>
      <c r="B5786" s="70"/>
      <c r="C5786" s="70"/>
      <c r="D5786" s="70"/>
      <c r="E5786" s="70"/>
      <c r="F5786" s="70"/>
      <c r="G5786" s="94"/>
      <c r="H5786" s="131"/>
      <c r="I5786" s="3"/>
    </row>
    <row r="5787" spans="1:9" s="93" customFormat="1" ht="9" customHeight="1" x14ac:dyDescent="0.3">
      <c r="A5787" s="91"/>
      <c r="B5787" s="70"/>
      <c r="C5787" s="70"/>
      <c r="D5787" s="70"/>
      <c r="E5787" s="70"/>
      <c r="F5787" s="70"/>
      <c r="G5787" s="94"/>
      <c r="H5787" s="131"/>
      <c r="I5787" s="3"/>
    </row>
    <row r="5788" spans="1:9" s="93" customFormat="1" ht="9" customHeight="1" x14ac:dyDescent="0.3">
      <c r="A5788" s="91"/>
      <c r="B5788" s="70"/>
      <c r="C5788" s="70"/>
      <c r="D5788" s="70"/>
      <c r="E5788" s="70"/>
      <c r="F5788" s="70"/>
      <c r="G5788" s="94"/>
      <c r="H5788" s="131"/>
      <c r="I5788" s="3"/>
    </row>
    <row r="5789" spans="1:9" s="93" customFormat="1" ht="9" customHeight="1" x14ac:dyDescent="0.3">
      <c r="A5789" s="91"/>
      <c r="B5789" s="70"/>
      <c r="C5789" s="70"/>
      <c r="D5789" s="70"/>
      <c r="E5789" s="70"/>
      <c r="F5789" s="70"/>
      <c r="G5789" s="94"/>
      <c r="H5789" s="131"/>
      <c r="I5789" s="3"/>
    </row>
    <row r="5790" spans="1:9" s="93" customFormat="1" ht="9" customHeight="1" x14ac:dyDescent="0.3">
      <c r="A5790" s="91"/>
      <c r="B5790" s="70"/>
      <c r="C5790" s="70"/>
      <c r="D5790" s="70"/>
      <c r="E5790" s="70"/>
      <c r="F5790" s="70"/>
      <c r="G5790" s="94"/>
      <c r="H5790" s="131"/>
      <c r="I5790" s="3"/>
    </row>
    <row r="5791" spans="1:9" s="93" customFormat="1" ht="9" customHeight="1" x14ac:dyDescent="0.3">
      <c r="A5791" s="91"/>
      <c r="B5791" s="70"/>
      <c r="C5791" s="70"/>
      <c r="D5791" s="70"/>
      <c r="E5791" s="70"/>
      <c r="F5791" s="70"/>
      <c r="G5791" s="94"/>
      <c r="H5791" s="131"/>
      <c r="I5791" s="3"/>
    </row>
    <row r="5792" spans="1:9" s="93" customFormat="1" ht="9" customHeight="1" x14ac:dyDescent="0.3">
      <c r="A5792" s="91"/>
      <c r="B5792" s="70"/>
      <c r="C5792" s="70"/>
      <c r="D5792" s="70"/>
      <c r="E5792" s="70"/>
      <c r="F5792" s="70"/>
      <c r="G5792" s="94"/>
      <c r="H5792" s="131"/>
      <c r="I5792" s="3"/>
    </row>
    <row r="5793" spans="1:9" s="93" customFormat="1" ht="9" customHeight="1" x14ac:dyDescent="0.3">
      <c r="A5793" s="91"/>
      <c r="B5793" s="70"/>
      <c r="C5793" s="70"/>
      <c r="D5793" s="70"/>
      <c r="E5793" s="70"/>
      <c r="F5793" s="70"/>
      <c r="G5793" s="94"/>
      <c r="H5793" s="131"/>
      <c r="I5793" s="3"/>
    </row>
    <row r="5794" spans="1:9" s="93" customFormat="1" ht="9" customHeight="1" x14ac:dyDescent="0.3">
      <c r="A5794" s="91"/>
      <c r="B5794" s="70"/>
      <c r="C5794" s="70"/>
      <c r="D5794" s="70"/>
      <c r="E5794" s="70"/>
      <c r="F5794" s="70"/>
      <c r="G5794" s="94"/>
      <c r="H5794" s="131"/>
      <c r="I5794" s="3"/>
    </row>
    <row r="5795" spans="1:9" s="93" customFormat="1" ht="9" customHeight="1" x14ac:dyDescent="0.3">
      <c r="A5795" s="91"/>
      <c r="B5795" s="70"/>
      <c r="C5795" s="70"/>
      <c r="D5795" s="70"/>
      <c r="E5795" s="70"/>
      <c r="F5795" s="70"/>
      <c r="G5795" s="94"/>
      <c r="H5795" s="131"/>
      <c r="I5795" s="3"/>
    </row>
    <row r="5796" spans="1:9" s="93" customFormat="1" ht="9" customHeight="1" x14ac:dyDescent="0.3">
      <c r="A5796" s="91"/>
      <c r="B5796" s="70"/>
      <c r="C5796" s="70"/>
      <c r="D5796" s="70"/>
      <c r="E5796" s="70"/>
      <c r="F5796" s="70"/>
      <c r="G5796" s="94"/>
      <c r="H5796" s="131"/>
      <c r="I5796" s="3"/>
    </row>
    <row r="5797" spans="1:9" s="93" customFormat="1" ht="9" customHeight="1" x14ac:dyDescent="0.3">
      <c r="A5797" s="91"/>
      <c r="B5797" s="70"/>
      <c r="C5797" s="70"/>
      <c r="D5797" s="70"/>
      <c r="E5797" s="70"/>
      <c r="F5797" s="70"/>
      <c r="G5797" s="94"/>
      <c r="H5797" s="131"/>
      <c r="I5797" s="3"/>
    </row>
    <row r="5798" spans="1:9" s="93" customFormat="1" ht="9" customHeight="1" x14ac:dyDescent="0.3">
      <c r="A5798" s="91"/>
      <c r="B5798" s="70"/>
      <c r="C5798" s="70"/>
      <c r="D5798" s="70"/>
      <c r="E5798" s="70"/>
      <c r="F5798" s="70"/>
      <c r="G5798" s="94"/>
      <c r="H5798" s="131"/>
      <c r="I5798" s="3"/>
    </row>
    <row r="5799" spans="1:9" s="93" customFormat="1" ht="9" customHeight="1" x14ac:dyDescent="0.3">
      <c r="A5799" s="91"/>
      <c r="B5799" s="70"/>
      <c r="C5799" s="70"/>
      <c r="D5799" s="70"/>
      <c r="E5799" s="70"/>
      <c r="F5799" s="70"/>
      <c r="G5799" s="94"/>
      <c r="H5799" s="131"/>
      <c r="I5799" s="3"/>
    </row>
    <row r="5800" spans="1:9" s="93" customFormat="1" ht="9" customHeight="1" x14ac:dyDescent="0.3">
      <c r="A5800" s="91"/>
      <c r="B5800" s="70"/>
      <c r="C5800" s="70"/>
      <c r="D5800" s="70"/>
      <c r="E5800" s="70"/>
      <c r="F5800" s="70"/>
      <c r="G5800" s="94"/>
      <c r="H5800" s="131"/>
      <c r="I5800" s="3"/>
    </row>
    <row r="5801" spans="1:9" s="93" customFormat="1" ht="9" customHeight="1" x14ac:dyDescent="0.3">
      <c r="A5801" s="91"/>
      <c r="B5801" s="70"/>
      <c r="C5801" s="70"/>
      <c r="D5801" s="70"/>
      <c r="E5801" s="70"/>
      <c r="F5801" s="70"/>
      <c r="G5801" s="94"/>
      <c r="H5801" s="131"/>
      <c r="I5801" s="3"/>
    </row>
    <row r="5802" spans="1:9" s="93" customFormat="1" ht="9" customHeight="1" x14ac:dyDescent="0.3">
      <c r="A5802" s="91"/>
      <c r="B5802" s="70"/>
      <c r="C5802" s="70"/>
      <c r="D5802" s="70"/>
      <c r="E5802" s="70"/>
      <c r="F5802" s="70"/>
      <c r="G5802" s="94"/>
      <c r="H5802" s="131"/>
      <c r="I5802" s="3"/>
    </row>
    <row r="5803" spans="1:9" s="93" customFormat="1" ht="9" customHeight="1" x14ac:dyDescent="0.3">
      <c r="A5803" s="91"/>
      <c r="B5803" s="70"/>
      <c r="C5803" s="70"/>
      <c r="D5803" s="70"/>
      <c r="E5803" s="70"/>
      <c r="F5803" s="70"/>
      <c r="G5803" s="94"/>
      <c r="H5803" s="131"/>
      <c r="I5803" s="3"/>
    </row>
    <row r="5804" spans="1:9" s="93" customFormat="1" ht="9" customHeight="1" x14ac:dyDescent="0.3">
      <c r="A5804" s="91"/>
      <c r="B5804" s="70"/>
      <c r="C5804" s="70"/>
      <c r="D5804" s="70"/>
      <c r="E5804" s="70"/>
      <c r="F5804" s="70"/>
      <c r="G5804" s="94"/>
      <c r="H5804" s="131"/>
      <c r="I5804" s="3"/>
    </row>
    <row r="5805" spans="1:9" s="93" customFormat="1" ht="9" customHeight="1" x14ac:dyDescent="0.3">
      <c r="A5805" s="91"/>
      <c r="B5805" s="70"/>
      <c r="C5805" s="70"/>
      <c r="D5805" s="70"/>
      <c r="E5805" s="70"/>
      <c r="F5805" s="70"/>
      <c r="G5805" s="94"/>
      <c r="H5805" s="131"/>
      <c r="I5805" s="3"/>
    </row>
    <row r="5806" spans="1:9" s="93" customFormat="1" ht="9" customHeight="1" x14ac:dyDescent="0.3">
      <c r="A5806" s="91"/>
      <c r="B5806" s="70"/>
      <c r="C5806" s="70"/>
      <c r="D5806" s="70"/>
      <c r="E5806" s="70"/>
      <c r="F5806" s="70"/>
      <c r="G5806" s="94"/>
      <c r="H5806" s="131"/>
      <c r="I5806" s="3"/>
    </row>
    <row r="5807" spans="1:9" s="93" customFormat="1" ht="9" customHeight="1" x14ac:dyDescent="0.3">
      <c r="A5807" s="91"/>
      <c r="B5807" s="70"/>
      <c r="C5807" s="70"/>
      <c r="D5807" s="70"/>
      <c r="E5807" s="70"/>
      <c r="F5807" s="70"/>
      <c r="G5807" s="94"/>
      <c r="H5807" s="131"/>
      <c r="I5807" s="3"/>
    </row>
    <row r="5808" spans="1:9" s="93" customFormat="1" ht="9" customHeight="1" x14ac:dyDescent="0.3">
      <c r="A5808" s="91"/>
      <c r="B5808" s="70"/>
      <c r="C5808" s="70"/>
      <c r="D5808" s="70"/>
      <c r="E5808" s="70"/>
      <c r="F5808" s="70"/>
      <c r="G5808" s="94"/>
      <c r="H5808" s="131"/>
      <c r="I5808" s="3"/>
    </row>
    <row r="5809" spans="1:9" s="93" customFormat="1" ht="9" customHeight="1" x14ac:dyDescent="0.3">
      <c r="A5809" s="91"/>
      <c r="B5809" s="70"/>
      <c r="C5809" s="70"/>
      <c r="D5809" s="70"/>
      <c r="E5809" s="70"/>
      <c r="F5809" s="70"/>
      <c r="G5809" s="94"/>
      <c r="H5809" s="131"/>
      <c r="I5809" s="3"/>
    </row>
    <row r="5810" spans="1:9" s="93" customFormat="1" ht="9" customHeight="1" x14ac:dyDescent="0.3">
      <c r="A5810" s="91"/>
      <c r="B5810" s="70"/>
      <c r="C5810" s="70"/>
      <c r="D5810" s="70"/>
      <c r="E5810" s="70"/>
      <c r="F5810" s="70"/>
      <c r="G5810" s="94"/>
      <c r="H5810" s="131"/>
      <c r="I5810" s="3"/>
    </row>
    <row r="5811" spans="1:9" s="93" customFormat="1" ht="9" customHeight="1" x14ac:dyDescent="0.3">
      <c r="A5811" s="91"/>
      <c r="B5811" s="70"/>
      <c r="C5811" s="70"/>
      <c r="D5811" s="70"/>
      <c r="E5811" s="70"/>
      <c r="F5811" s="70"/>
      <c r="G5811" s="94"/>
      <c r="H5811" s="131"/>
      <c r="I5811" s="3"/>
    </row>
    <row r="5812" spans="1:9" s="93" customFormat="1" ht="9" customHeight="1" x14ac:dyDescent="0.3">
      <c r="A5812" s="91"/>
      <c r="B5812" s="70"/>
      <c r="C5812" s="70"/>
      <c r="D5812" s="70"/>
      <c r="E5812" s="70"/>
      <c r="F5812" s="70"/>
      <c r="G5812" s="94"/>
      <c r="H5812" s="131"/>
      <c r="I5812" s="3"/>
    </row>
    <row r="5813" spans="1:9" s="93" customFormat="1" ht="9" customHeight="1" x14ac:dyDescent="0.3">
      <c r="A5813" s="91"/>
      <c r="B5813" s="70"/>
      <c r="C5813" s="70"/>
      <c r="D5813" s="70"/>
      <c r="E5813" s="70"/>
      <c r="F5813" s="70"/>
      <c r="G5813" s="94"/>
      <c r="H5813" s="131"/>
      <c r="I5813" s="3"/>
    </row>
    <row r="5814" spans="1:9" s="93" customFormat="1" ht="9" customHeight="1" x14ac:dyDescent="0.3">
      <c r="A5814" s="91"/>
      <c r="B5814" s="70"/>
      <c r="C5814" s="70"/>
      <c r="D5814" s="70"/>
      <c r="E5814" s="70"/>
      <c r="F5814" s="70"/>
      <c r="G5814" s="94"/>
      <c r="H5814" s="131"/>
      <c r="I5814" s="3"/>
    </row>
    <row r="5815" spans="1:9" s="93" customFormat="1" ht="9" customHeight="1" x14ac:dyDescent="0.3">
      <c r="A5815" s="91"/>
      <c r="B5815" s="70"/>
      <c r="C5815" s="70"/>
      <c r="D5815" s="70"/>
      <c r="E5815" s="70"/>
      <c r="F5815" s="70"/>
      <c r="G5815" s="94"/>
      <c r="H5815" s="131"/>
      <c r="I5815" s="3"/>
    </row>
    <row r="5816" spans="1:9" s="93" customFormat="1" ht="9" customHeight="1" x14ac:dyDescent="0.3">
      <c r="A5816" s="91"/>
      <c r="B5816" s="70"/>
      <c r="C5816" s="70"/>
      <c r="D5816" s="70"/>
      <c r="E5816" s="70"/>
      <c r="F5816" s="70"/>
      <c r="G5816" s="94"/>
      <c r="H5816" s="131"/>
      <c r="I5816" s="3"/>
    </row>
    <row r="5817" spans="1:9" s="93" customFormat="1" ht="9" customHeight="1" x14ac:dyDescent="0.3">
      <c r="A5817" s="91"/>
      <c r="B5817" s="70"/>
      <c r="C5817" s="70"/>
      <c r="D5817" s="70"/>
      <c r="E5817" s="70"/>
      <c r="F5817" s="70"/>
      <c r="G5817" s="94"/>
      <c r="H5817" s="131"/>
      <c r="I5817" s="3"/>
    </row>
    <row r="5818" spans="1:9" s="93" customFormat="1" ht="9" customHeight="1" x14ac:dyDescent="0.3">
      <c r="A5818" s="91"/>
      <c r="B5818" s="70"/>
      <c r="C5818" s="70"/>
      <c r="D5818" s="70"/>
      <c r="E5818" s="70"/>
      <c r="F5818" s="70"/>
      <c r="G5818" s="94"/>
      <c r="H5818" s="131"/>
      <c r="I5818" s="3"/>
    </row>
    <row r="5819" spans="1:9" s="93" customFormat="1" ht="9" customHeight="1" x14ac:dyDescent="0.3">
      <c r="A5819" s="91"/>
      <c r="B5819" s="70"/>
      <c r="C5819" s="70"/>
      <c r="D5819" s="70"/>
      <c r="E5819" s="70"/>
      <c r="F5819" s="70"/>
      <c r="G5819" s="94"/>
      <c r="H5819" s="131"/>
      <c r="I5819" s="3"/>
    </row>
    <row r="5820" spans="1:9" s="93" customFormat="1" ht="9" customHeight="1" x14ac:dyDescent="0.3">
      <c r="A5820" s="91"/>
      <c r="B5820" s="70"/>
      <c r="C5820" s="70"/>
      <c r="D5820" s="70"/>
      <c r="E5820" s="70"/>
      <c r="F5820" s="70"/>
      <c r="G5820" s="94"/>
      <c r="H5820" s="131"/>
      <c r="I5820" s="3"/>
    </row>
    <row r="5821" spans="1:9" s="93" customFormat="1" ht="9" customHeight="1" x14ac:dyDescent="0.3">
      <c r="A5821" s="91"/>
      <c r="B5821" s="70"/>
      <c r="C5821" s="70"/>
      <c r="D5821" s="70"/>
      <c r="E5821" s="70"/>
      <c r="F5821" s="70"/>
      <c r="G5821" s="94"/>
      <c r="H5821" s="131"/>
      <c r="I5821" s="3"/>
    </row>
    <row r="5822" spans="1:9" s="93" customFormat="1" ht="9" customHeight="1" x14ac:dyDescent="0.3">
      <c r="A5822" s="91"/>
      <c r="B5822" s="70"/>
      <c r="C5822" s="70"/>
      <c r="D5822" s="70"/>
      <c r="E5822" s="70"/>
      <c r="F5822" s="70"/>
      <c r="G5822" s="94"/>
      <c r="H5822" s="131"/>
      <c r="I5822" s="3"/>
    </row>
    <row r="5823" spans="1:9" s="93" customFormat="1" ht="9" customHeight="1" x14ac:dyDescent="0.3">
      <c r="A5823" s="91"/>
      <c r="B5823" s="70"/>
      <c r="C5823" s="70"/>
      <c r="D5823" s="70"/>
      <c r="E5823" s="70"/>
      <c r="F5823" s="70"/>
      <c r="G5823" s="94"/>
      <c r="H5823" s="131"/>
      <c r="I5823" s="3"/>
    </row>
    <row r="5824" spans="1:9" s="93" customFormat="1" ht="9" customHeight="1" x14ac:dyDescent="0.3">
      <c r="A5824" s="91"/>
      <c r="B5824" s="70"/>
      <c r="C5824" s="70"/>
      <c r="D5824" s="70"/>
      <c r="E5824" s="70"/>
      <c r="F5824" s="70"/>
      <c r="G5824" s="94"/>
      <c r="H5824" s="131"/>
      <c r="I5824" s="3"/>
    </row>
    <row r="5825" spans="1:9" s="93" customFormat="1" ht="9" customHeight="1" x14ac:dyDescent="0.3">
      <c r="A5825" s="91"/>
      <c r="B5825" s="70"/>
      <c r="C5825" s="70"/>
      <c r="D5825" s="70"/>
      <c r="E5825" s="70"/>
      <c r="F5825" s="70"/>
      <c r="G5825" s="94"/>
      <c r="H5825" s="131"/>
      <c r="I5825" s="3"/>
    </row>
    <row r="5826" spans="1:9" s="93" customFormat="1" ht="9" customHeight="1" x14ac:dyDescent="0.3">
      <c r="A5826" s="91"/>
      <c r="B5826" s="70"/>
      <c r="C5826" s="70"/>
      <c r="D5826" s="70"/>
      <c r="E5826" s="70"/>
      <c r="F5826" s="70"/>
      <c r="G5826" s="94"/>
      <c r="H5826" s="131"/>
      <c r="I5826" s="3"/>
    </row>
    <row r="5827" spans="1:9" s="93" customFormat="1" ht="9" customHeight="1" x14ac:dyDescent="0.3">
      <c r="A5827" s="91"/>
      <c r="B5827" s="70"/>
      <c r="C5827" s="70"/>
      <c r="D5827" s="70"/>
      <c r="E5827" s="70"/>
      <c r="F5827" s="70"/>
      <c r="G5827" s="94"/>
      <c r="H5827" s="131"/>
      <c r="I5827" s="3"/>
    </row>
    <row r="5828" spans="1:9" s="93" customFormat="1" ht="9" customHeight="1" x14ac:dyDescent="0.3">
      <c r="A5828" s="91"/>
      <c r="B5828" s="70"/>
      <c r="C5828" s="70"/>
      <c r="D5828" s="70"/>
      <c r="E5828" s="70"/>
      <c r="F5828" s="70"/>
      <c r="G5828" s="94"/>
      <c r="H5828" s="131"/>
      <c r="I5828" s="3"/>
    </row>
    <row r="5829" spans="1:9" s="93" customFormat="1" ht="9" customHeight="1" x14ac:dyDescent="0.3">
      <c r="A5829" s="91"/>
      <c r="B5829" s="70"/>
      <c r="C5829" s="70"/>
      <c r="D5829" s="70"/>
      <c r="E5829" s="70"/>
      <c r="F5829" s="70"/>
      <c r="G5829" s="94"/>
      <c r="H5829" s="131"/>
      <c r="I5829" s="3"/>
    </row>
    <row r="5830" spans="1:9" s="93" customFormat="1" ht="9" customHeight="1" x14ac:dyDescent="0.3">
      <c r="A5830" s="91"/>
      <c r="B5830" s="70"/>
      <c r="C5830" s="70"/>
      <c r="D5830" s="70"/>
      <c r="E5830" s="70"/>
      <c r="F5830" s="70"/>
      <c r="G5830" s="94"/>
      <c r="H5830" s="131"/>
      <c r="I5830" s="3"/>
    </row>
    <row r="5831" spans="1:9" s="93" customFormat="1" ht="9" customHeight="1" x14ac:dyDescent="0.3">
      <c r="A5831" s="91"/>
      <c r="B5831" s="70"/>
      <c r="C5831" s="70"/>
      <c r="D5831" s="70"/>
      <c r="E5831" s="70"/>
      <c r="F5831" s="70"/>
      <c r="G5831" s="94"/>
      <c r="H5831" s="131"/>
      <c r="I5831" s="3"/>
    </row>
    <row r="5832" spans="1:9" s="93" customFormat="1" ht="9" customHeight="1" x14ac:dyDescent="0.3">
      <c r="A5832" s="91"/>
      <c r="B5832" s="70"/>
      <c r="C5832" s="70"/>
      <c r="D5832" s="70"/>
      <c r="E5832" s="70"/>
      <c r="F5832" s="70"/>
      <c r="G5832" s="94"/>
      <c r="H5832" s="131"/>
      <c r="I5832" s="3"/>
    </row>
    <row r="5833" spans="1:9" s="93" customFormat="1" ht="9" customHeight="1" x14ac:dyDescent="0.3">
      <c r="A5833" s="91"/>
      <c r="B5833" s="70"/>
      <c r="C5833" s="70"/>
      <c r="D5833" s="70"/>
      <c r="E5833" s="70"/>
      <c r="F5833" s="70"/>
      <c r="G5833" s="94"/>
      <c r="H5833" s="131"/>
      <c r="I5833" s="3"/>
    </row>
    <row r="5834" spans="1:9" s="93" customFormat="1" ht="9" customHeight="1" x14ac:dyDescent="0.3">
      <c r="A5834" s="91"/>
      <c r="B5834" s="70"/>
      <c r="C5834" s="70"/>
      <c r="D5834" s="70"/>
      <c r="E5834" s="70"/>
      <c r="F5834" s="70"/>
      <c r="G5834" s="94"/>
      <c r="H5834" s="131"/>
      <c r="I5834" s="3"/>
    </row>
    <row r="5835" spans="1:9" s="93" customFormat="1" ht="9" customHeight="1" x14ac:dyDescent="0.3">
      <c r="A5835" s="91"/>
      <c r="B5835" s="70"/>
      <c r="C5835" s="70"/>
      <c r="D5835" s="70"/>
      <c r="E5835" s="70"/>
      <c r="F5835" s="70"/>
      <c r="G5835" s="94"/>
      <c r="H5835" s="131"/>
      <c r="I5835" s="3"/>
    </row>
    <row r="5836" spans="1:9" s="93" customFormat="1" ht="9" customHeight="1" x14ac:dyDescent="0.3">
      <c r="A5836" s="91"/>
      <c r="B5836" s="70"/>
      <c r="C5836" s="70"/>
      <c r="D5836" s="70"/>
      <c r="E5836" s="70"/>
      <c r="F5836" s="70"/>
      <c r="G5836" s="94"/>
      <c r="H5836" s="131"/>
      <c r="I5836" s="3"/>
    </row>
    <row r="5837" spans="1:9" s="93" customFormat="1" ht="9" customHeight="1" x14ac:dyDescent="0.3">
      <c r="A5837" s="91"/>
      <c r="B5837" s="70"/>
      <c r="C5837" s="70"/>
      <c r="D5837" s="70"/>
      <c r="E5837" s="70"/>
      <c r="F5837" s="70"/>
      <c r="G5837" s="94"/>
      <c r="H5837" s="131"/>
      <c r="I5837" s="3"/>
    </row>
    <row r="5838" spans="1:9" s="93" customFormat="1" ht="9" customHeight="1" x14ac:dyDescent="0.3">
      <c r="A5838" s="91"/>
      <c r="B5838" s="70"/>
      <c r="C5838" s="70"/>
      <c r="D5838" s="70"/>
      <c r="E5838" s="70"/>
      <c r="F5838" s="70"/>
      <c r="G5838" s="94"/>
      <c r="H5838" s="131"/>
      <c r="I5838" s="3"/>
    </row>
    <row r="5839" spans="1:9" s="93" customFormat="1" ht="9" customHeight="1" x14ac:dyDescent="0.3">
      <c r="A5839" s="91"/>
      <c r="B5839" s="70"/>
      <c r="C5839" s="70"/>
      <c r="D5839" s="70"/>
      <c r="E5839" s="70"/>
      <c r="F5839" s="70"/>
      <c r="G5839" s="94"/>
      <c r="H5839" s="131"/>
      <c r="I5839" s="3"/>
    </row>
    <row r="5840" spans="1:9" s="93" customFormat="1" ht="9" customHeight="1" x14ac:dyDescent="0.3">
      <c r="A5840" s="91"/>
      <c r="B5840" s="70"/>
      <c r="C5840" s="70"/>
      <c r="D5840" s="70"/>
      <c r="E5840" s="70"/>
      <c r="F5840" s="70"/>
      <c r="G5840" s="94"/>
      <c r="H5840" s="131"/>
      <c r="I5840" s="3"/>
    </row>
    <row r="5841" spans="1:9" s="93" customFormat="1" ht="9" customHeight="1" x14ac:dyDescent="0.3">
      <c r="A5841" s="91"/>
      <c r="B5841" s="70"/>
      <c r="C5841" s="70"/>
      <c r="D5841" s="70"/>
      <c r="E5841" s="70"/>
      <c r="F5841" s="70"/>
      <c r="G5841" s="94"/>
      <c r="H5841" s="131"/>
      <c r="I5841" s="3"/>
    </row>
    <row r="5842" spans="1:9" s="93" customFormat="1" ht="9" customHeight="1" x14ac:dyDescent="0.3">
      <c r="A5842" s="91"/>
      <c r="B5842" s="70"/>
      <c r="C5842" s="70"/>
      <c r="D5842" s="70"/>
      <c r="E5842" s="70"/>
      <c r="F5842" s="70"/>
      <c r="G5842" s="94"/>
      <c r="H5842" s="131"/>
      <c r="I5842" s="3"/>
    </row>
    <row r="5843" spans="1:9" s="93" customFormat="1" ht="9" customHeight="1" x14ac:dyDescent="0.3">
      <c r="A5843" s="91"/>
      <c r="B5843" s="70"/>
      <c r="C5843" s="70"/>
      <c r="D5843" s="70"/>
      <c r="E5843" s="70"/>
      <c r="F5843" s="70"/>
      <c r="G5843" s="94"/>
      <c r="H5843" s="131"/>
      <c r="I5843" s="3"/>
    </row>
    <row r="5844" spans="1:9" s="93" customFormat="1" ht="9" customHeight="1" x14ac:dyDescent="0.3">
      <c r="A5844" s="91"/>
      <c r="B5844" s="70"/>
      <c r="C5844" s="70"/>
      <c r="D5844" s="70"/>
      <c r="E5844" s="70"/>
      <c r="F5844" s="70"/>
      <c r="G5844" s="94"/>
      <c r="H5844" s="131"/>
      <c r="I5844" s="3"/>
    </row>
    <row r="5845" spans="1:9" s="93" customFormat="1" ht="9" customHeight="1" x14ac:dyDescent="0.3">
      <c r="A5845" s="91"/>
      <c r="B5845" s="70"/>
      <c r="C5845" s="70"/>
      <c r="D5845" s="70"/>
      <c r="E5845" s="70"/>
      <c r="F5845" s="70"/>
      <c r="G5845" s="94"/>
      <c r="H5845" s="131"/>
      <c r="I5845" s="3"/>
    </row>
    <row r="5846" spans="1:9" s="93" customFormat="1" ht="9" customHeight="1" x14ac:dyDescent="0.3">
      <c r="A5846" s="91"/>
      <c r="B5846" s="70"/>
      <c r="C5846" s="70"/>
      <c r="D5846" s="70"/>
      <c r="E5846" s="70"/>
      <c r="F5846" s="70"/>
      <c r="G5846" s="94"/>
      <c r="H5846" s="131"/>
      <c r="I5846" s="3"/>
    </row>
    <row r="5847" spans="1:9" s="93" customFormat="1" ht="9" customHeight="1" x14ac:dyDescent="0.3">
      <c r="A5847" s="91"/>
      <c r="B5847" s="70"/>
      <c r="C5847" s="70"/>
      <c r="D5847" s="70"/>
      <c r="E5847" s="70"/>
      <c r="F5847" s="70"/>
      <c r="G5847" s="94"/>
      <c r="H5847" s="131"/>
      <c r="I5847" s="3"/>
    </row>
    <row r="5848" spans="1:9" s="93" customFormat="1" ht="9" customHeight="1" x14ac:dyDescent="0.3">
      <c r="A5848" s="91"/>
      <c r="B5848" s="70"/>
      <c r="C5848" s="70"/>
      <c r="D5848" s="70"/>
      <c r="E5848" s="70"/>
      <c r="F5848" s="70"/>
      <c r="G5848" s="94"/>
      <c r="H5848" s="131"/>
      <c r="I5848" s="3"/>
    </row>
    <row r="5849" spans="1:9" s="93" customFormat="1" ht="9" customHeight="1" x14ac:dyDescent="0.3">
      <c r="A5849" s="91"/>
      <c r="B5849" s="70"/>
      <c r="C5849" s="70"/>
      <c r="D5849" s="70"/>
      <c r="E5849" s="70"/>
      <c r="F5849" s="70"/>
      <c r="G5849" s="94"/>
      <c r="H5849" s="131"/>
      <c r="I5849" s="3"/>
    </row>
    <row r="5850" spans="1:9" s="93" customFormat="1" ht="9" customHeight="1" x14ac:dyDescent="0.3">
      <c r="A5850" s="91"/>
      <c r="B5850" s="70"/>
      <c r="C5850" s="70"/>
      <c r="D5850" s="70"/>
      <c r="E5850" s="70"/>
      <c r="F5850" s="70"/>
      <c r="G5850" s="94"/>
      <c r="H5850" s="131"/>
      <c r="I5850" s="3"/>
    </row>
    <row r="5851" spans="1:9" s="93" customFormat="1" ht="9" customHeight="1" x14ac:dyDescent="0.3">
      <c r="A5851" s="91"/>
      <c r="B5851" s="70"/>
      <c r="C5851" s="70"/>
      <c r="D5851" s="70"/>
      <c r="E5851" s="70"/>
      <c r="F5851" s="70"/>
      <c r="G5851" s="94"/>
      <c r="H5851" s="131"/>
      <c r="I5851" s="3"/>
    </row>
    <row r="5852" spans="1:9" s="93" customFormat="1" ht="9" customHeight="1" x14ac:dyDescent="0.3">
      <c r="A5852" s="91"/>
      <c r="B5852" s="70"/>
      <c r="C5852" s="70"/>
      <c r="D5852" s="70"/>
      <c r="E5852" s="70"/>
      <c r="F5852" s="70"/>
      <c r="G5852" s="94"/>
      <c r="H5852" s="131"/>
      <c r="I5852" s="3"/>
    </row>
    <row r="5853" spans="1:9" s="93" customFormat="1" ht="9" customHeight="1" x14ac:dyDescent="0.3">
      <c r="A5853" s="91"/>
      <c r="B5853" s="70"/>
      <c r="C5853" s="70"/>
      <c r="D5853" s="70"/>
      <c r="E5853" s="70"/>
      <c r="F5853" s="70"/>
      <c r="G5853" s="94"/>
      <c r="H5853" s="131"/>
      <c r="I5853" s="3"/>
    </row>
    <row r="5854" spans="1:9" s="93" customFormat="1" ht="9" customHeight="1" x14ac:dyDescent="0.3">
      <c r="A5854" s="91"/>
      <c r="B5854" s="70"/>
      <c r="C5854" s="70"/>
      <c r="D5854" s="70"/>
      <c r="E5854" s="70"/>
      <c r="F5854" s="70"/>
      <c r="G5854" s="94"/>
      <c r="H5854" s="131"/>
      <c r="I5854" s="3"/>
    </row>
    <row r="5855" spans="1:9" s="93" customFormat="1" ht="9" customHeight="1" x14ac:dyDescent="0.3">
      <c r="A5855" s="91"/>
      <c r="B5855" s="70"/>
      <c r="C5855" s="70"/>
      <c r="D5855" s="70"/>
      <c r="E5855" s="70"/>
      <c r="F5855" s="70"/>
      <c r="G5855" s="94"/>
      <c r="H5855" s="131"/>
      <c r="I5855" s="3"/>
    </row>
    <row r="5856" spans="1:9" s="93" customFormat="1" ht="9" customHeight="1" x14ac:dyDescent="0.3">
      <c r="A5856" s="91"/>
      <c r="B5856" s="70"/>
      <c r="C5856" s="70"/>
      <c r="D5856" s="70"/>
      <c r="E5856" s="70"/>
      <c r="F5856" s="70"/>
      <c r="G5856" s="94"/>
      <c r="H5856" s="131"/>
      <c r="I5856" s="3"/>
    </row>
    <row r="5857" spans="1:9" s="93" customFormat="1" ht="9" customHeight="1" x14ac:dyDescent="0.3">
      <c r="A5857" s="91"/>
      <c r="B5857" s="70"/>
      <c r="C5857" s="70"/>
      <c r="D5857" s="70"/>
      <c r="E5857" s="70"/>
      <c r="F5857" s="70"/>
      <c r="G5857" s="94"/>
      <c r="H5857" s="131"/>
      <c r="I5857" s="3"/>
    </row>
    <row r="5858" spans="1:9" s="93" customFormat="1" ht="9" customHeight="1" x14ac:dyDescent="0.3">
      <c r="A5858" s="91"/>
      <c r="B5858" s="70"/>
      <c r="C5858" s="70"/>
      <c r="D5858" s="70"/>
      <c r="E5858" s="70"/>
      <c r="F5858" s="70"/>
      <c r="G5858" s="94"/>
      <c r="H5858" s="131"/>
      <c r="I5858" s="3"/>
    </row>
    <row r="5859" spans="1:9" s="93" customFormat="1" ht="9" customHeight="1" x14ac:dyDescent="0.3">
      <c r="A5859" s="91"/>
      <c r="B5859" s="70"/>
      <c r="C5859" s="70"/>
      <c r="D5859" s="70"/>
      <c r="E5859" s="70"/>
      <c r="F5859" s="70"/>
      <c r="G5859" s="94"/>
      <c r="H5859" s="131"/>
      <c r="I5859" s="3"/>
    </row>
    <row r="5860" spans="1:9" s="93" customFormat="1" ht="9" customHeight="1" x14ac:dyDescent="0.3">
      <c r="A5860" s="91"/>
      <c r="B5860" s="70"/>
      <c r="C5860" s="70"/>
      <c r="D5860" s="70"/>
      <c r="E5860" s="70"/>
      <c r="F5860" s="70"/>
      <c r="G5860" s="94"/>
      <c r="H5860" s="131"/>
      <c r="I5860" s="3"/>
    </row>
    <row r="5861" spans="1:9" s="93" customFormat="1" ht="9" customHeight="1" x14ac:dyDescent="0.3">
      <c r="A5861" s="91"/>
      <c r="B5861" s="70"/>
      <c r="C5861" s="70"/>
      <c r="D5861" s="70"/>
      <c r="E5861" s="70"/>
      <c r="F5861" s="70"/>
      <c r="G5861" s="94"/>
      <c r="H5861" s="131"/>
      <c r="I5861" s="3"/>
    </row>
    <row r="5862" spans="1:9" s="93" customFormat="1" ht="9" customHeight="1" x14ac:dyDescent="0.3">
      <c r="A5862" s="91"/>
      <c r="B5862" s="70"/>
      <c r="C5862" s="70"/>
      <c r="D5862" s="70"/>
      <c r="E5862" s="70"/>
      <c r="F5862" s="70"/>
      <c r="G5862" s="94"/>
      <c r="H5862" s="131"/>
      <c r="I5862" s="3"/>
    </row>
    <row r="5863" spans="1:9" s="93" customFormat="1" ht="9" customHeight="1" x14ac:dyDescent="0.3">
      <c r="A5863" s="91"/>
      <c r="B5863" s="70"/>
      <c r="C5863" s="70"/>
      <c r="D5863" s="70"/>
      <c r="E5863" s="70"/>
      <c r="F5863" s="70"/>
      <c r="G5863" s="94"/>
      <c r="H5863" s="131"/>
      <c r="I5863" s="3"/>
    </row>
    <row r="5864" spans="1:9" s="93" customFormat="1" ht="9" customHeight="1" x14ac:dyDescent="0.3">
      <c r="A5864" s="91"/>
      <c r="B5864" s="70"/>
      <c r="C5864" s="70"/>
      <c r="D5864" s="70"/>
      <c r="E5864" s="70"/>
      <c r="F5864" s="70"/>
      <c r="G5864" s="94"/>
      <c r="H5864" s="131"/>
      <c r="I5864" s="3"/>
    </row>
    <row r="5865" spans="1:9" s="93" customFormat="1" ht="9" customHeight="1" x14ac:dyDescent="0.3">
      <c r="A5865" s="91"/>
      <c r="B5865" s="70"/>
      <c r="C5865" s="70"/>
      <c r="D5865" s="70"/>
      <c r="E5865" s="70"/>
      <c r="F5865" s="70"/>
      <c r="G5865" s="94"/>
      <c r="H5865" s="131"/>
      <c r="I5865" s="3"/>
    </row>
    <row r="5866" spans="1:9" s="93" customFormat="1" ht="9" customHeight="1" x14ac:dyDescent="0.3">
      <c r="A5866" s="91"/>
      <c r="B5866" s="70"/>
      <c r="C5866" s="70"/>
      <c r="D5866" s="70"/>
      <c r="E5866" s="70"/>
      <c r="F5866" s="70"/>
      <c r="G5866" s="94"/>
      <c r="H5866" s="131"/>
      <c r="I5866" s="3"/>
    </row>
    <row r="5867" spans="1:9" s="93" customFormat="1" ht="9" customHeight="1" x14ac:dyDescent="0.3">
      <c r="A5867" s="91"/>
      <c r="B5867" s="70"/>
      <c r="C5867" s="70"/>
      <c r="D5867" s="70"/>
      <c r="E5867" s="70"/>
      <c r="F5867" s="70"/>
      <c r="G5867" s="94"/>
      <c r="H5867" s="131"/>
      <c r="I5867" s="3"/>
    </row>
    <row r="5868" spans="1:9" s="93" customFormat="1" ht="9" customHeight="1" x14ac:dyDescent="0.3">
      <c r="A5868" s="91"/>
      <c r="B5868" s="70"/>
      <c r="C5868" s="70"/>
      <c r="D5868" s="70"/>
      <c r="E5868" s="70"/>
      <c r="F5868" s="70"/>
      <c r="G5868" s="94"/>
      <c r="H5868" s="131"/>
      <c r="I5868" s="3"/>
    </row>
    <row r="5869" spans="1:9" s="93" customFormat="1" ht="9" customHeight="1" x14ac:dyDescent="0.3">
      <c r="A5869" s="91"/>
      <c r="B5869" s="70"/>
      <c r="C5869" s="70"/>
      <c r="D5869" s="70"/>
      <c r="E5869" s="70"/>
      <c r="F5869" s="70"/>
      <c r="G5869" s="94"/>
      <c r="H5869" s="131"/>
      <c r="I5869" s="3"/>
    </row>
    <row r="5870" spans="1:9" s="93" customFormat="1" ht="9" customHeight="1" x14ac:dyDescent="0.3">
      <c r="A5870" s="91"/>
      <c r="B5870" s="70"/>
      <c r="C5870" s="70"/>
      <c r="D5870" s="70"/>
      <c r="E5870" s="70"/>
      <c r="F5870" s="70"/>
      <c r="G5870" s="94"/>
      <c r="H5870" s="131"/>
      <c r="I5870" s="3"/>
    </row>
    <row r="5871" spans="1:9" s="93" customFormat="1" ht="9" customHeight="1" x14ac:dyDescent="0.3">
      <c r="A5871" s="91"/>
      <c r="B5871" s="70"/>
      <c r="C5871" s="70"/>
      <c r="D5871" s="70"/>
      <c r="E5871" s="70"/>
      <c r="F5871" s="70"/>
      <c r="G5871" s="94"/>
      <c r="H5871" s="131"/>
      <c r="I5871" s="3"/>
    </row>
    <row r="5872" spans="1:9" s="93" customFormat="1" ht="9" customHeight="1" x14ac:dyDescent="0.3">
      <c r="A5872" s="91"/>
      <c r="B5872" s="70"/>
      <c r="C5872" s="70"/>
      <c r="D5872" s="70"/>
      <c r="E5872" s="70"/>
      <c r="F5872" s="70"/>
      <c r="G5872" s="94"/>
      <c r="H5872" s="131"/>
      <c r="I5872" s="3"/>
    </row>
    <row r="5873" spans="1:9" s="93" customFormat="1" ht="9" customHeight="1" x14ac:dyDescent="0.3">
      <c r="A5873" s="91"/>
      <c r="B5873" s="70"/>
      <c r="C5873" s="70"/>
      <c r="D5873" s="70"/>
      <c r="E5873" s="70"/>
      <c r="F5873" s="70"/>
      <c r="G5873" s="94"/>
      <c r="H5873" s="131"/>
      <c r="I5873" s="3"/>
    </row>
    <row r="5874" spans="1:9" s="93" customFormat="1" ht="9" customHeight="1" x14ac:dyDescent="0.3">
      <c r="A5874" s="91"/>
      <c r="B5874" s="70"/>
      <c r="C5874" s="70"/>
      <c r="D5874" s="70"/>
      <c r="E5874" s="70"/>
      <c r="F5874" s="70"/>
      <c r="G5874" s="94"/>
      <c r="H5874" s="131"/>
      <c r="I5874" s="3"/>
    </row>
    <row r="5875" spans="1:9" s="93" customFormat="1" ht="9" customHeight="1" x14ac:dyDescent="0.3">
      <c r="A5875" s="91"/>
      <c r="B5875" s="70"/>
      <c r="C5875" s="70"/>
      <c r="D5875" s="70"/>
      <c r="E5875" s="70"/>
      <c r="F5875" s="70"/>
      <c r="G5875" s="94"/>
      <c r="H5875" s="131"/>
      <c r="I5875" s="3"/>
    </row>
    <row r="5876" spans="1:9" s="93" customFormat="1" ht="9" customHeight="1" x14ac:dyDescent="0.3">
      <c r="A5876" s="91"/>
      <c r="B5876" s="70"/>
      <c r="C5876" s="70"/>
      <c r="D5876" s="70"/>
      <c r="E5876" s="70"/>
      <c r="F5876" s="70"/>
      <c r="G5876" s="94"/>
      <c r="H5876" s="131"/>
      <c r="I5876" s="3"/>
    </row>
    <row r="5877" spans="1:9" s="93" customFormat="1" ht="9" customHeight="1" x14ac:dyDescent="0.3">
      <c r="A5877" s="91"/>
      <c r="B5877" s="70"/>
      <c r="C5877" s="70"/>
      <c r="D5877" s="70"/>
      <c r="E5877" s="70"/>
      <c r="F5877" s="70"/>
      <c r="G5877" s="94"/>
      <c r="H5877" s="131"/>
      <c r="I5877" s="3"/>
    </row>
    <row r="5878" spans="1:9" s="93" customFormat="1" ht="9" customHeight="1" x14ac:dyDescent="0.3">
      <c r="A5878" s="91"/>
      <c r="B5878" s="70"/>
      <c r="C5878" s="70"/>
      <c r="D5878" s="70"/>
      <c r="E5878" s="70"/>
      <c r="F5878" s="70"/>
      <c r="G5878" s="94"/>
      <c r="H5878" s="131"/>
      <c r="I5878" s="3"/>
    </row>
    <row r="5879" spans="1:9" s="93" customFormat="1" ht="9" customHeight="1" x14ac:dyDescent="0.3">
      <c r="A5879" s="91"/>
      <c r="B5879" s="70"/>
      <c r="C5879" s="70"/>
      <c r="D5879" s="70"/>
      <c r="E5879" s="70"/>
      <c r="F5879" s="70"/>
      <c r="G5879" s="94"/>
      <c r="H5879" s="131"/>
      <c r="I5879" s="3"/>
    </row>
    <row r="5880" spans="1:9" s="93" customFormat="1" ht="9" customHeight="1" x14ac:dyDescent="0.3">
      <c r="A5880" s="91"/>
      <c r="B5880" s="70"/>
      <c r="C5880" s="70"/>
      <c r="D5880" s="70"/>
      <c r="E5880" s="70"/>
      <c r="F5880" s="70"/>
      <c r="G5880" s="94"/>
      <c r="H5880" s="131"/>
      <c r="I5880" s="3"/>
    </row>
    <row r="5881" spans="1:9" s="93" customFormat="1" ht="9" customHeight="1" x14ac:dyDescent="0.3">
      <c r="A5881" s="91"/>
      <c r="B5881" s="70"/>
      <c r="C5881" s="70"/>
      <c r="D5881" s="70"/>
      <c r="E5881" s="70"/>
      <c r="F5881" s="70"/>
      <c r="G5881" s="94"/>
      <c r="H5881" s="131"/>
      <c r="I5881" s="3"/>
    </row>
    <row r="5882" spans="1:9" s="93" customFormat="1" ht="9" customHeight="1" x14ac:dyDescent="0.3">
      <c r="A5882" s="91"/>
      <c r="B5882" s="70"/>
      <c r="C5882" s="70"/>
      <c r="D5882" s="70"/>
      <c r="E5882" s="70"/>
      <c r="F5882" s="70"/>
      <c r="G5882" s="94"/>
      <c r="H5882" s="131"/>
      <c r="I5882" s="3"/>
    </row>
    <row r="5883" spans="1:9" s="93" customFormat="1" ht="9" customHeight="1" x14ac:dyDescent="0.3">
      <c r="A5883" s="91"/>
      <c r="B5883" s="70"/>
      <c r="C5883" s="70"/>
      <c r="D5883" s="70"/>
      <c r="E5883" s="70"/>
      <c r="F5883" s="70"/>
      <c r="G5883" s="94"/>
      <c r="H5883" s="131"/>
      <c r="I5883" s="3"/>
    </row>
    <row r="5884" spans="1:9" s="93" customFormat="1" ht="9" customHeight="1" x14ac:dyDescent="0.3">
      <c r="A5884" s="91"/>
      <c r="B5884" s="70"/>
      <c r="C5884" s="70"/>
      <c r="D5884" s="70"/>
      <c r="E5884" s="70"/>
      <c r="F5884" s="70"/>
      <c r="G5884" s="94"/>
      <c r="H5884" s="131"/>
      <c r="I5884" s="3"/>
    </row>
    <row r="5885" spans="1:9" s="93" customFormat="1" ht="9" customHeight="1" x14ac:dyDescent="0.3">
      <c r="A5885" s="91"/>
      <c r="B5885" s="70"/>
      <c r="C5885" s="70"/>
      <c r="D5885" s="70"/>
      <c r="E5885" s="70"/>
      <c r="F5885" s="70"/>
      <c r="G5885" s="94"/>
      <c r="H5885" s="131"/>
      <c r="I5885" s="3"/>
    </row>
    <row r="5886" spans="1:9" s="93" customFormat="1" ht="9" customHeight="1" x14ac:dyDescent="0.3">
      <c r="A5886" s="91"/>
      <c r="B5886" s="70"/>
      <c r="C5886" s="70"/>
      <c r="D5886" s="70"/>
      <c r="E5886" s="70"/>
      <c r="F5886" s="70"/>
      <c r="G5886" s="94"/>
      <c r="H5886" s="131"/>
      <c r="I5886" s="3"/>
    </row>
    <row r="5887" spans="1:9" s="93" customFormat="1" ht="9" customHeight="1" x14ac:dyDescent="0.3">
      <c r="A5887" s="91"/>
      <c r="B5887" s="70"/>
      <c r="C5887" s="70"/>
      <c r="D5887" s="70"/>
      <c r="E5887" s="70"/>
      <c r="F5887" s="70"/>
      <c r="G5887" s="94"/>
      <c r="H5887" s="131"/>
      <c r="I5887" s="3"/>
    </row>
    <row r="5888" spans="1:9" s="93" customFormat="1" ht="9" customHeight="1" x14ac:dyDescent="0.3">
      <c r="A5888" s="91"/>
      <c r="B5888" s="70"/>
      <c r="C5888" s="70"/>
      <c r="D5888" s="70"/>
      <c r="E5888" s="70"/>
      <c r="F5888" s="70"/>
      <c r="G5888" s="94"/>
      <c r="H5888" s="131"/>
      <c r="I5888" s="3"/>
    </row>
    <row r="5889" spans="1:9" s="93" customFormat="1" ht="9" customHeight="1" x14ac:dyDescent="0.3">
      <c r="A5889" s="91"/>
      <c r="B5889" s="70"/>
      <c r="C5889" s="70"/>
      <c r="D5889" s="70"/>
      <c r="E5889" s="70"/>
      <c r="F5889" s="70"/>
      <c r="G5889" s="94"/>
      <c r="H5889" s="131"/>
      <c r="I5889" s="3"/>
    </row>
    <row r="5890" spans="1:9" s="93" customFormat="1" ht="9" customHeight="1" x14ac:dyDescent="0.3">
      <c r="A5890" s="91"/>
      <c r="B5890" s="70"/>
      <c r="C5890" s="70"/>
      <c r="D5890" s="70"/>
      <c r="E5890" s="70"/>
      <c r="F5890" s="70"/>
      <c r="G5890" s="94"/>
      <c r="H5890" s="131"/>
      <c r="I5890" s="3"/>
    </row>
    <row r="5891" spans="1:9" s="93" customFormat="1" ht="9" customHeight="1" x14ac:dyDescent="0.3">
      <c r="A5891" s="91"/>
      <c r="B5891" s="70"/>
      <c r="C5891" s="70"/>
      <c r="D5891" s="70"/>
      <c r="E5891" s="70"/>
      <c r="F5891" s="70"/>
      <c r="G5891" s="94"/>
      <c r="H5891" s="131"/>
      <c r="I5891" s="3"/>
    </row>
    <row r="5892" spans="1:9" s="93" customFormat="1" ht="9" customHeight="1" x14ac:dyDescent="0.3">
      <c r="A5892" s="91"/>
      <c r="B5892" s="70"/>
      <c r="C5892" s="70"/>
      <c r="D5892" s="70"/>
      <c r="E5892" s="70"/>
      <c r="F5892" s="70"/>
      <c r="G5892" s="94"/>
      <c r="H5892" s="131"/>
      <c r="I5892" s="3"/>
    </row>
    <row r="5893" spans="1:9" s="93" customFormat="1" ht="9" customHeight="1" x14ac:dyDescent="0.3">
      <c r="A5893" s="91"/>
      <c r="B5893" s="70"/>
      <c r="C5893" s="70"/>
      <c r="D5893" s="70"/>
      <c r="E5893" s="70"/>
      <c r="F5893" s="70"/>
      <c r="G5893" s="94"/>
      <c r="H5893" s="131"/>
      <c r="I5893" s="3"/>
    </row>
    <row r="5894" spans="1:9" s="93" customFormat="1" ht="9" customHeight="1" x14ac:dyDescent="0.3">
      <c r="A5894" s="91"/>
      <c r="B5894" s="70"/>
      <c r="C5894" s="70"/>
      <c r="D5894" s="70"/>
      <c r="E5894" s="70"/>
      <c r="F5894" s="70"/>
      <c r="G5894" s="94"/>
      <c r="H5894" s="131"/>
      <c r="I5894" s="3"/>
    </row>
    <row r="5895" spans="1:9" s="93" customFormat="1" ht="9" customHeight="1" x14ac:dyDescent="0.3">
      <c r="A5895" s="91"/>
      <c r="B5895" s="70"/>
      <c r="C5895" s="70"/>
      <c r="D5895" s="70"/>
      <c r="E5895" s="70"/>
      <c r="F5895" s="70"/>
      <c r="G5895" s="94"/>
      <c r="H5895" s="131"/>
      <c r="I5895" s="3"/>
    </row>
    <row r="5896" spans="1:9" s="93" customFormat="1" ht="9" customHeight="1" x14ac:dyDescent="0.3">
      <c r="A5896" s="91"/>
      <c r="B5896" s="70"/>
      <c r="C5896" s="70"/>
      <c r="D5896" s="70"/>
      <c r="E5896" s="70"/>
      <c r="F5896" s="70"/>
      <c r="G5896" s="94"/>
      <c r="H5896" s="131"/>
      <c r="I5896" s="3"/>
    </row>
    <row r="5897" spans="1:9" s="93" customFormat="1" ht="9" customHeight="1" x14ac:dyDescent="0.3">
      <c r="A5897" s="91"/>
      <c r="B5897" s="70"/>
      <c r="C5897" s="70"/>
      <c r="D5897" s="70"/>
      <c r="E5897" s="70"/>
      <c r="F5897" s="70"/>
      <c r="G5897" s="94"/>
      <c r="H5897" s="131"/>
      <c r="I5897" s="3"/>
    </row>
    <row r="5898" spans="1:9" s="93" customFormat="1" ht="9" customHeight="1" x14ac:dyDescent="0.3">
      <c r="A5898" s="91"/>
      <c r="B5898" s="70"/>
      <c r="C5898" s="70"/>
      <c r="D5898" s="70"/>
      <c r="E5898" s="70"/>
      <c r="F5898" s="70"/>
      <c r="G5898" s="94"/>
      <c r="H5898" s="131"/>
      <c r="I5898" s="3"/>
    </row>
    <row r="5899" spans="1:9" s="93" customFormat="1" ht="9" customHeight="1" x14ac:dyDescent="0.3">
      <c r="A5899" s="91"/>
      <c r="B5899" s="70"/>
      <c r="C5899" s="70"/>
      <c r="D5899" s="70"/>
      <c r="E5899" s="70"/>
      <c r="F5899" s="70"/>
      <c r="G5899" s="94"/>
      <c r="H5899" s="131"/>
      <c r="I5899" s="3"/>
    </row>
    <row r="5900" spans="1:9" s="93" customFormat="1" ht="9" customHeight="1" x14ac:dyDescent="0.3">
      <c r="A5900" s="91"/>
      <c r="B5900" s="70"/>
      <c r="C5900" s="70"/>
      <c r="D5900" s="70"/>
      <c r="E5900" s="70"/>
      <c r="F5900" s="70"/>
      <c r="G5900" s="94"/>
      <c r="H5900" s="131"/>
      <c r="I5900" s="3"/>
    </row>
    <row r="5901" spans="1:9" s="93" customFormat="1" ht="9" customHeight="1" x14ac:dyDescent="0.3">
      <c r="A5901" s="91"/>
      <c r="B5901" s="70"/>
      <c r="C5901" s="70"/>
      <c r="D5901" s="70"/>
      <c r="E5901" s="70"/>
      <c r="F5901" s="70"/>
      <c r="G5901" s="94"/>
      <c r="H5901" s="131"/>
      <c r="I5901" s="3"/>
    </row>
    <row r="5902" spans="1:9" s="93" customFormat="1" ht="9" customHeight="1" x14ac:dyDescent="0.3">
      <c r="A5902" s="91"/>
      <c r="B5902" s="70"/>
      <c r="C5902" s="70"/>
      <c r="D5902" s="70"/>
      <c r="E5902" s="70"/>
      <c r="F5902" s="70"/>
      <c r="G5902" s="94"/>
      <c r="H5902" s="131"/>
      <c r="I5902" s="3"/>
    </row>
    <row r="5903" spans="1:9" s="93" customFormat="1" ht="9" customHeight="1" x14ac:dyDescent="0.3">
      <c r="A5903" s="91"/>
      <c r="B5903" s="70"/>
      <c r="C5903" s="70"/>
      <c r="D5903" s="70"/>
      <c r="E5903" s="70"/>
      <c r="F5903" s="70"/>
      <c r="G5903" s="94"/>
      <c r="H5903" s="131"/>
      <c r="I5903" s="3"/>
    </row>
    <row r="5904" spans="1:9" s="93" customFormat="1" ht="9" customHeight="1" x14ac:dyDescent="0.3">
      <c r="A5904" s="91"/>
      <c r="B5904" s="70"/>
      <c r="C5904" s="70"/>
      <c r="D5904" s="70"/>
      <c r="E5904" s="70"/>
      <c r="F5904" s="70"/>
      <c r="G5904" s="94"/>
      <c r="H5904" s="131"/>
      <c r="I5904" s="3"/>
    </row>
    <row r="5905" spans="1:9" s="93" customFormat="1" ht="9" customHeight="1" x14ac:dyDescent="0.3">
      <c r="A5905" s="91"/>
      <c r="B5905" s="70"/>
      <c r="C5905" s="70"/>
      <c r="D5905" s="70"/>
      <c r="E5905" s="70"/>
      <c r="F5905" s="70"/>
      <c r="G5905" s="94"/>
      <c r="H5905" s="131"/>
      <c r="I5905" s="3"/>
    </row>
    <row r="5906" spans="1:9" s="93" customFormat="1" ht="9" customHeight="1" x14ac:dyDescent="0.3">
      <c r="A5906" s="91"/>
      <c r="B5906" s="70"/>
      <c r="C5906" s="70"/>
      <c r="D5906" s="70"/>
      <c r="E5906" s="70"/>
      <c r="F5906" s="70"/>
      <c r="G5906" s="94"/>
      <c r="H5906" s="131"/>
      <c r="I5906" s="3"/>
    </row>
    <row r="5907" spans="1:9" s="93" customFormat="1" ht="9" customHeight="1" x14ac:dyDescent="0.3">
      <c r="A5907" s="91"/>
      <c r="B5907" s="70"/>
      <c r="C5907" s="70"/>
      <c r="D5907" s="70"/>
      <c r="E5907" s="70"/>
      <c r="F5907" s="70"/>
      <c r="G5907" s="94"/>
      <c r="H5907" s="131"/>
      <c r="I5907" s="3"/>
    </row>
    <row r="5908" spans="1:9" s="93" customFormat="1" ht="9" customHeight="1" x14ac:dyDescent="0.3">
      <c r="A5908" s="91"/>
      <c r="B5908" s="70"/>
      <c r="C5908" s="70"/>
      <c r="D5908" s="70"/>
      <c r="E5908" s="70"/>
      <c r="F5908" s="70"/>
      <c r="G5908" s="94"/>
      <c r="H5908" s="131"/>
      <c r="I5908" s="3"/>
    </row>
    <row r="5909" spans="1:9" s="93" customFormat="1" ht="9" customHeight="1" x14ac:dyDescent="0.3">
      <c r="A5909" s="91"/>
      <c r="B5909" s="70"/>
      <c r="C5909" s="70"/>
      <c r="D5909" s="70"/>
      <c r="E5909" s="70"/>
      <c r="F5909" s="70"/>
      <c r="G5909" s="94"/>
      <c r="H5909" s="131"/>
      <c r="I5909" s="3"/>
    </row>
    <row r="5910" spans="1:9" s="93" customFormat="1" ht="9" customHeight="1" x14ac:dyDescent="0.3">
      <c r="A5910" s="91"/>
      <c r="B5910" s="70"/>
      <c r="C5910" s="70"/>
      <c r="D5910" s="70"/>
      <c r="E5910" s="70"/>
      <c r="F5910" s="70"/>
      <c r="G5910" s="94"/>
      <c r="H5910" s="131"/>
      <c r="I5910" s="3"/>
    </row>
    <row r="5911" spans="1:9" s="93" customFormat="1" ht="9" customHeight="1" x14ac:dyDescent="0.3">
      <c r="A5911" s="91"/>
      <c r="B5911" s="70"/>
      <c r="C5911" s="70"/>
      <c r="D5911" s="70"/>
      <c r="E5911" s="70"/>
      <c r="F5911" s="70"/>
      <c r="G5911" s="94"/>
      <c r="H5911" s="131"/>
      <c r="I5911" s="3"/>
    </row>
    <row r="5912" spans="1:9" s="93" customFormat="1" ht="9" customHeight="1" x14ac:dyDescent="0.3">
      <c r="A5912" s="91"/>
      <c r="B5912" s="70"/>
      <c r="C5912" s="70"/>
      <c r="D5912" s="70"/>
      <c r="E5912" s="70"/>
      <c r="F5912" s="70"/>
      <c r="G5912" s="94"/>
      <c r="H5912" s="131"/>
      <c r="I5912" s="3"/>
    </row>
    <row r="5913" spans="1:9" s="93" customFormat="1" ht="9" customHeight="1" x14ac:dyDescent="0.3">
      <c r="A5913" s="91"/>
      <c r="B5913" s="70"/>
      <c r="C5913" s="70"/>
      <c r="D5913" s="70"/>
      <c r="E5913" s="70"/>
      <c r="F5913" s="70"/>
      <c r="G5913" s="94"/>
      <c r="H5913" s="131"/>
      <c r="I5913" s="3"/>
    </row>
    <row r="5914" spans="1:9" s="93" customFormat="1" ht="9" customHeight="1" x14ac:dyDescent="0.3">
      <c r="A5914" s="91"/>
      <c r="B5914" s="70"/>
      <c r="C5914" s="70"/>
      <c r="D5914" s="70"/>
      <c r="E5914" s="70"/>
      <c r="F5914" s="70"/>
      <c r="G5914" s="94"/>
      <c r="H5914" s="131"/>
      <c r="I5914" s="3"/>
    </row>
    <row r="5915" spans="1:9" s="93" customFormat="1" ht="9" customHeight="1" x14ac:dyDescent="0.3">
      <c r="A5915" s="91"/>
      <c r="B5915" s="70"/>
      <c r="C5915" s="70"/>
      <c r="D5915" s="70"/>
      <c r="E5915" s="70"/>
      <c r="F5915" s="70"/>
      <c r="G5915" s="94"/>
      <c r="H5915" s="131"/>
      <c r="I5915" s="3"/>
    </row>
    <row r="5916" spans="1:9" s="93" customFormat="1" ht="9" customHeight="1" x14ac:dyDescent="0.3">
      <c r="A5916" s="91"/>
      <c r="B5916" s="70"/>
      <c r="C5916" s="70"/>
      <c r="D5916" s="70"/>
      <c r="E5916" s="70"/>
      <c r="F5916" s="70"/>
      <c r="G5916" s="94"/>
      <c r="H5916" s="131"/>
      <c r="I5916" s="3"/>
    </row>
    <row r="5917" spans="1:9" s="93" customFormat="1" ht="9" customHeight="1" x14ac:dyDescent="0.3">
      <c r="A5917" s="91"/>
      <c r="B5917" s="70"/>
      <c r="C5917" s="70"/>
      <c r="D5917" s="70"/>
      <c r="E5917" s="70"/>
      <c r="F5917" s="70"/>
      <c r="G5917" s="94"/>
      <c r="H5917" s="131"/>
      <c r="I5917" s="3"/>
    </row>
    <row r="5918" spans="1:9" s="93" customFormat="1" ht="9" customHeight="1" x14ac:dyDescent="0.3">
      <c r="A5918" s="91"/>
      <c r="B5918" s="70"/>
      <c r="C5918" s="70"/>
      <c r="D5918" s="70"/>
      <c r="E5918" s="70"/>
      <c r="F5918" s="70"/>
      <c r="G5918" s="94"/>
      <c r="H5918" s="131"/>
      <c r="I5918" s="3"/>
    </row>
    <row r="5919" spans="1:9" s="93" customFormat="1" ht="9" customHeight="1" x14ac:dyDescent="0.3">
      <c r="A5919" s="91"/>
      <c r="B5919" s="70"/>
      <c r="C5919" s="70"/>
      <c r="D5919" s="70"/>
      <c r="E5919" s="70"/>
      <c r="F5919" s="70"/>
      <c r="G5919" s="94"/>
      <c r="H5919" s="131"/>
      <c r="I5919" s="3"/>
    </row>
    <row r="5920" spans="1:9" s="93" customFormat="1" ht="9" customHeight="1" x14ac:dyDescent="0.3">
      <c r="A5920" s="91"/>
      <c r="B5920" s="70"/>
      <c r="C5920" s="70"/>
      <c r="D5920" s="70"/>
      <c r="E5920" s="70"/>
      <c r="F5920" s="70"/>
      <c r="G5920" s="94"/>
      <c r="H5920" s="131"/>
      <c r="I5920" s="3"/>
    </row>
    <row r="5921" spans="1:9" s="93" customFormat="1" ht="9" customHeight="1" x14ac:dyDescent="0.3">
      <c r="A5921" s="91"/>
      <c r="B5921" s="70"/>
      <c r="C5921" s="70"/>
      <c r="D5921" s="70"/>
      <c r="E5921" s="70"/>
      <c r="F5921" s="70"/>
      <c r="G5921" s="94"/>
      <c r="H5921" s="131"/>
      <c r="I5921" s="3"/>
    </row>
    <row r="5922" spans="1:9" s="93" customFormat="1" ht="9" customHeight="1" x14ac:dyDescent="0.3">
      <c r="A5922" s="91"/>
      <c r="B5922" s="70"/>
      <c r="C5922" s="70"/>
      <c r="D5922" s="70"/>
      <c r="E5922" s="70"/>
      <c r="F5922" s="70"/>
      <c r="G5922" s="94"/>
      <c r="H5922" s="131"/>
      <c r="I5922" s="3"/>
    </row>
    <row r="5923" spans="1:9" s="93" customFormat="1" ht="9" customHeight="1" x14ac:dyDescent="0.3">
      <c r="A5923" s="91"/>
      <c r="B5923" s="70"/>
      <c r="C5923" s="70"/>
      <c r="D5923" s="70"/>
      <c r="E5923" s="70"/>
      <c r="F5923" s="70"/>
      <c r="G5923" s="94"/>
      <c r="H5923" s="131"/>
      <c r="I5923" s="3"/>
    </row>
    <row r="5924" spans="1:9" s="93" customFormat="1" ht="9" customHeight="1" x14ac:dyDescent="0.3">
      <c r="A5924" s="91"/>
      <c r="B5924" s="70"/>
      <c r="C5924" s="70"/>
      <c r="D5924" s="70"/>
      <c r="E5924" s="70"/>
      <c r="F5924" s="70"/>
      <c r="G5924" s="94"/>
      <c r="H5924" s="131"/>
      <c r="I5924" s="3"/>
    </row>
    <row r="5925" spans="1:9" s="93" customFormat="1" ht="9" customHeight="1" x14ac:dyDescent="0.3">
      <c r="A5925" s="91"/>
      <c r="B5925" s="70"/>
      <c r="C5925" s="70"/>
      <c r="D5925" s="70"/>
      <c r="E5925" s="70"/>
      <c r="F5925" s="70"/>
      <c r="G5925" s="94"/>
      <c r="H5925" s="131"/>
      <c r="I5925" s="3"/>
    </row>
    <row r="5926" spans="1:9" s="93" customFormat="1" ht="9" customHeight="1" x14ac:dyDescent="0.3">
      <c r="A5926" s="91"/>
      <c r="B5926" s="70"/>
      <c r="C5926" s="70"/>
      <c r="D5926" s="70"/>
      <c r="E5926" s="70"/>
      <c r="F5926" s="70"/>
      <c r="G5926" s="94"/>
      <c r="H5926" s="131"/>
      <c r="I5926" s="3"/>
    </row>
    <row r="5927" spans="1:9" s="93" customFormat="1" ht="9" customHeight="1" x14ac:dyDescent="0.3">
      <c r="A5927" s="91"/>
      <c r="B5927" s="70"/>
      <c r="C5927" s="70"/>
      <c r="D5927" s="70"/>
      <c r="E5927" s="70"/>
      <c r="F5927" s="70"/>
      <c r="G5927" s="94"/>
      <c r="H5927" s="131"/>
      <c r="I5927" s="3"/>
    </row>
    <row r="5928" spans="1:9" s="93" customFormat="1" ht="9" customHeight="1" x14ac:dyDescent="0.3">
      <c r="A5928" s="91"/>
      <c r="B5928" s="70"/>
      <c r="C5928" s="70"/>
      <c r="D5928" s="70"/>
      <c r="E5928" s="70"/>
      <c r="F5928" s="70"/>
      <c r="G5928" s="94"/>
      <c r="H5928" s="131"/>
      <c r="I5928" s="3"/>
    </row>
    <row r="5929" spans="1:9" s="93" customFormat="1" ht="9" customHeight="1" x14ac:dyDescent="0.3">
      <c r="A5929" s="91"/>
      <c r="B5929" s="70"/>
      <c r="C5929" s="70"/>
      <c r="D5929" s="70"/>
      <c r="E5929" s="70"/>
      <c r="F5929" s="70"/>
      <c r="G5929" s="94"/>
      <c r="H5929" s="131"/>
      <c r="I5929" s="3"/>
    </row>
    <row r="5930" spans="1:9" s="93" customFormat="1" ht="9" customHeight="1" x14ac:dyDescent="0.3">
      <c r="A5930" s="91"/>
      <c r="B5930" s="70"/>
      <c r="C5930" s="70"/>
      <c r="D5930" s="70"/>
      <c r="E5930" s="70"/>
      <c r="F5930" s="70"/>
      <c r="G5930" s="94"/>
      <c r="H5930" s="131"/>
      <c r="I5930" s="3"/>
    </row>
    <row r="5931" spans="1:9" s="93" customFormat="1" ht="9" customHeight="1" x14ac:dyDescent="0.3">
      <c r="A5931" s="91"/>
      <c r="B5931" s="70"/>
      <c r="C5931" s="70"/>
      <c r="D5931" s="70"/>
      <c r="E5931" s="70"/>
      <c r="F5931" s="70"/>
      <c r="G5931" s="94"/>
      <c r="H5931" s="131"/>
      <c r="I5931" s="3"/>
    </row>
    <row r="5932" spans="1:9" s="93" customFormat="1" ht="9" customHeight="1" x14ac:dyDescent="0.3">
      <c r="A5932" s="91"/>
      <c r="B5932" s="70"/>
      <c r="C5932" s="70"/>
      <c r="D5932" s="70"/>
      <c r="E5932" s="70"/>
      <c r="F5932" s="70"/>
      <c r="G5932" s="94"/>
      <c r="H5932" s="131"/>
      <c r="I5932" s="3"/>
    </row>
    <row r="5933" spans="1:9" s="93" customFormat="1" ht="9" customHeight="1" x14ac:dyDescent="0.3">
      <c r="A5933" s="91"/>
      <c r="B5933" s="70"/>
      <c r="C5933" s="70"/>
      <c r="D5933" s="70"/>
      <c r="E5933" s="70"/>
      <c r="F5933" s="70"/>
      <c r="G5933" s="94"/>
      <c r="H5933" s="131"/>
      <c r="I5933" s="3"/>
    </row>
    <row r="5934" spans="1:9" s="93" customFormat="1" ht="9" customHeight="1" x14ac:dyDescent="0.3">
      <c r="A5934" s="91"/>
      <c r="B5934" s="70"/>
      <c r="C5934" s="70"/>
      <c r="D5934" s="70"/>
      <c r="E5934" s="70"/>
      <c r="F5934" s="70"/>
      <c r="G5934" s="94"/>
      <c r="H5934" s="131"/>
      <c r="I5934" s="3"/>
    </row>
    <row r="5935" spans="1:9" s="93" customFormat="1" ht="9" customHeight="1" x14ac:dyDescent="0.3">
      <c r="A5935" s="91"/>
      <c r="B5935" s="70"/>
      <c r="C5935" s="70"/>
      <c r="D5935" s="70"/>
      <c r="E5935" s="70"/>
      <c r="F5935" s="70"/>
      <c r="G5935" s="94"/>
      <c r="H5935" s="131"/>
      <c r="I5935" s="3"/>
    </row>
    <row r="5936" spans="1:9" s="93" customFormat="1" ht="9" customHeight="1" x14ac:dyDescent="0.3">
      <c r="A5936" s="91"/>
      <c r="B5936" s="70"/>
      <c r="C5936" s="70"/>
      <c r="D5936" s="70"/>
      <c r="E5936" s="70"/>
      <c r="F5936" s="70"/>
      <c r="G5936" s="94"/>
      <c r="H5936" s="131"/>
      <c r="I5936" s="3"/>
    </row>
    <row r="5937" spans="1:9" s="93" customFormat="1" ht="9" customHeight="1" x14ac:dyDescent="0.3">
      <c r="A5937" s="91"/>
      <c r="B5937" s="70"/>
      <c r="C5937" s="70"/>
      <c r="D5937" s="70"/>
      <c r="E5937" s="70"/>
      <c r="F5937" s="70"/>
      <c r="G5937" s="94"/>
      <c r="H5937" s="131"/>
      <c r="I5937" s="3"/>
    </row>
    <row r="5938" spans="1:9" s="93" customFormat="1" ht="9" customHeight="1" x14ac:dyDescent="0.3">
      <c r="A5938" s="91"/>
      <c r="B5938" s="70"/>
      <c r="C5938" s="70"/>
      <c r="D5938" s="70"/>
      <c r="E5938" s="70"/>
      <c r="F5938" s="70"/>
      <c r="G5938" s="94"/>
      <c r="H5938" s="131"/>
      <c r="I5938" s="3"/>
    </row>
    <row r="5939" spans="1:9" s="93" customFormat="1" ht="9" customHeight="1" x14ac:dyDescent="0.3">
      <c r="A5939" s="91"/>
      <c r="B5939" s="70"/>
      <c r="C5939" s="70"/>
      <c r="D5939" s="70"/>
      <c r="E5939" s="70"/>
      <c r="F5939" s="70"/>
      <c r="G5939" s="94"/>
      <c r="H5939" s="131"/>
      <c r="I5939" s="3"/>
    </row>
    <row r="5940" spans="1:9" s="93" customFormat="1" ht="9" customHeight="1" x14ac:dyDescent="0.3">
      <c r="A5940" s="91"/>
      <c r="B5940" s="70"/>
      <c r="C5940" s="70"/>
      <c r="D5940" s="70"/>
      <c r="E5940" s="70"/>
      <c r="F5940" s="70"/>
      <c r="G5940" s="94"/>
      <c r="H5940" s="131"/>
      <c r="I5940" s="3"/>
    </row>
    <row r="5941" spans="1:9" s="93" customFormat="1" ht="9" customHeight="1" x14ac:dyDescent="0.3">
      <c r="A5941" s="91"/>
      <c r="B5941" s="70"/>
      <c r="C5941" s="70"/>
      <c r="D5941" s="70"/>
      <c r="E5941" s="70"/>
      <c r="F5941" s="70"/>
      <c r="G5941" s="94"/>
      <c r="H5941" s="131"/>
      <c r="I5941" s="3"/>
    </row>
    <row r="5942" spans="1:9" s="93" customFormat="1" ht="9" customHeight="1" x14ac:dyDescent="0.3">
      <c r="A5942" s="91"/>
      <c r="B5942" s="70"/>
      <c r="C5942" s="70"/>
      <c r="D5942" s="70"/>
      <c r="E5942" s="70"/>
      <c r="F5942" s="70"/>
      <c r="G5942" s="94"/>
      <c r="H5942" s="131"/>
      <c r="I5942" s="3"/>
    </row>
    <row r="5943" spans="1:9" s="93" customFormat="1" ht="9" customHeight="1" x14ac:dyDescent="0.3">
      <c r="A5943" s="91"/>
      <c r="B5943" s="70"/>
      <c r="C5943" s="70"/>
      <c r="D5943" s="70"/>
      <c r="E5943" s="70"/>
      <c r="F5943" s="70"/>
      <c r="G5943" s="94"/>
      <c r="H5943" s="131"/>
      <c r="I5943" s="3"/>
    </row>
    <row r="5944" spans="1:9" s="93" customFormat="1" ht="9" customHeight="1" x14ac:dyDescent="0.3">
      <c r="A5944" s="91"/>
      <c r="B5944" s="70"/>
      <c r="C5944" s="70"/>
      <c r="D5944" s="70"/>
      <c r="E5944" s="70"/>
      <c r="F5944" s="70"/>
      <c r="G5944" s="94"/>
      <c r="H5944" s="131"/>
      <c r="I5944" s="3"/>
    </row>
    <row r="5945" spans="1:9" s="93" customFormat="1" ht="9" customHeight="1" x14ac:dyDescent="0.3">
      <c r="A5945" s="91"/>
      <c r="B5945" s="70"/>
      <c r="C5945" s="70"/>
      <c r="D5945" s="70"/>
      <c r="E5945" s="70"/>
      <c r="F5945" s="70"/>
      <c r="G5945" s="94"/>
      <c r="H5945" s="131"/>
      <c r="I5945" s="3"/>
    </row>
    <row r="5946" spans="1:9" s="93" customFormat="1" ht="9" customHeight="1" x14ac:dyDescent="0.3">
      <c r="A5946" s="91"/>
      <c r="B5946" s="70"/>
      <c r="C5946" s="70"/>
      <c r="D5946" s="70"/>
      <c r="E5946" s="70"/>
      <c r="F5946" s="70"/>
      <c r="G5946" s="94"/>
      <c r="H5946" s="131"/>
      <c r="I5946" s="3"/>
    </row>
    <row r="5947" spans="1:9" s="93" customFormat="1" ht="9" customHeight="1" x14ac:dyDescent="0.3">
      <c r="A5947" s="91"/>
      <c r="B5947" s="70"/>
      <c r="C5947" s="70"/>
      <c r="D5947" s="70"/>
      <c r="E5947" s="70"/>
      <c r="F5947" s="70"/>
      <c r="G5947" s="94"/>
      <c r="H5947" s="131"/>
      <c r="I5947" s="3"/>
    </row>
    <row r="5948" spans="1:9" s="93" customFormat="1" ht="9" customHeight="1" x14ac:dyDescent="0.3">
      <c r="A5948" s="91"/>
      <c r="B5948" s="70"/>
      <c r="C5948" s="70"/>
      <c r="D5948" s="70"/>
      <c r="E5948" s="70"/>
      <c r="F5948" s="70"/>
      <c r="G5948" s="94"/>
      <c r="H5948" s="131"/>
      <c r="I5948" s="3"/>
    </row>
    <row r="5949" spans="1:9" s="93" customFormat="1" ht="9" customHeight="1" x14ac:dyDescent="0.3">
      <c r="A5949" s="91"/>
      <c r="B5949" s="70"/>
      <c r="C5949" s="70"/>
      <c r="D5949" s="70"/>
      <c r="E5949" s="70"/>
      <c r="F5949" s="70"/>
      <c r="G5949" s="94"/>
      <c r="H5949" s="131"/>
      <c r="I5949" s="3"/>
    </row>
    <row r="5950" spans="1:9" s="93" customFormat="1" ht="9" customHeight="1" x14ac:dyDescent="0.3">
      <c r="A5950" s="91"/>
      <c r="B5950" s="70"/>
      <c r="C5950" s="70"/>
      <c r="D5950" s="70"/>
      <c r="E5950" s="70"/>
      <c r="F5950" s="70"/>
      <c r="G5950" s="94"/>
      <c r="H5950" s="131"/>
      <c r="I5950" s="3"/>
    </row>
    <row r="5951" spans="1:9" s="93" customFormat="1" ht="9" customHeight="1" x14ac:dyDescent="0.3">
      <c r="A5951" s="91"/>
      <c r="B5951" s="70"/>
      <c r="C5951" s="70"/>
      <c r="D5951" s="70"/>
      <c r="E5951" s="70"/>
      <c r="F5951" s="70"/>
      <c r="G5951" s="94"/>
      <c r="H5951" s="131"/>
      <c r="I5951" s="3"/>
    </row>
    <row r="5952" spans="1:9" s="93" customFormat="1" ht="9" customHeight="1" x14ac:dyDescent="0.3">
      <c r="A5952" s="91"/>
      <c r="B5952" s="70"/>
      <c r="C5952" s="70"/>
      <c r="D5952" s="70"/>
      <c r="E5952" s="70"/>
      <c r="F5952" s="70"/>
      <c r="G5952" s="94"/>
      <c r="H5952" s="131"/>
      <c r="I5952" s="3"/>
    </row>
    <row r="5953" spans="1:9" s="93" customFormat="1" ht="9" customHeight="1" x14ac:dyDescent="0.3">
      <c r="A5953" s="91"/>
      <c r="B5953" s="70"/>
      <c r="C5953" s="70"/>
      <c r="D5953" s="70"/>
      <c r="E5953" s="70"/>
      <c r="F5953" s="70"/>
      <c r="G5953" s="94"/>
      <c r="H5953" s="131"/>
      <c r="I5953" s="3"/>
    </row>
    <row r="5954" spans="1:9" s="93" customFormat="1" ht="9" customHeight="1" x14ac:dyDescent="0.3">
      <c r="A5954" s="91"/>
      <c r="B5954" s="70"/>
      <c r="C5954" s="70"/>
      <c r="D5954" s="70"/>
      <c r="E5954" s="70"/>
      <c r="F5954" s="70"/>
      <c r="G5954" s="94"/>
      <c r="H5954" s="131"/>
      <c r="I5954" s="3"/>
    </row>
    <row r="5955" spans="1:9" s="93" customFormat="1" ht="9" customHeight="1" x14ac:dyDescent="0.3">
      <c r="A5955" s="91"/>
      <c r="B5955" s="70"/>
      <c r="C5955" s="70"/>
      <c r="D5955" s="70"/>
      <c r="E5955" s="70"/>
      <c r="F5955" s="70"/>
      <c r="G5955" s="94"/>
      <c r="H5955" s="131"/>
      <c r="I5955" s="3"/>
    </row>
    <row r="5956" spans="1:9" s="93" customFormat="1" ht="9" customHeight="1" x14ac:dyDescent="0.3">
      <c r="A5956" s="91"/>
      <c r="B5956" s="70"/>
      <c r="C5956" s="70"/>
      <c r="D5956" s="70"/>
      <c r="E5956" s="70"/>
      <c r="F5956" s="70"/>
      <c r="G5956" s="94"/>
      <c r="H5956" s="131"/>
      <c r="I5956" s="3"/>
    </row>
    <row r="5957" spans="1:9" s="93" customFormat="1" ht="9" customHeight="1" x14ac:dyDescent="0.3">
      <c r="A5957" s="91"/>
      <c r="B5957" s="70"/>
      <c r="C5957" s="70"/>
      <c r="D5957" s="70"/>
      <c r="E5957" s="70"/>
      <c r="F5957" s="70"/>
      <c r="G5957" s="94"/>
      <c r="H5957" s="131"/>
      <c r="I5957" s="3"/>
    </row>
    <row r="5958" spans="1:9" s="93" customFormat="1" ht="9" customHeight="1" x14ac:dyDescent="0.3">
      <c r="A5958" s="91"/>
      <c r="B5958" s="70"/>
      <c r="C5958" s="70"/>
      <c r="D5958" s="70"/>
      <c r="E5958" s="70"/>
      <c r="F5958" s="70"/>
      <c r="G5958" s="94"/>
      <c r="H5958" s="131"/>
      <c r="I5958" s="3"/>
    </row>
    <row r="5959" spans="1:9" s="93" customFormat="1" ht="9" customHeight="1" x14ac:dyDescent="0.3">
      <c r="A5959" s="91"/>
      <c r="B5959" s="70"/>
      <c r="C5959" s="70"/>
      <c r="D5959" s="70"/>
      <c r="E5959" s="70"/>
      <c r="F5959" s="70"/>
      <c r="G5959" s="94"/>
      <c r="H5959" s="131"/>
      <c r="I5959" s="3"/>
    </row>
    <row r="5960" spans="1:9" s="93" customFormat="1" ht="9" customHeight="1" x14ac:dyDescent="0.3">
      <c r="A5960" s="91"/>
      <c r="B5960" s="70"/>
      <c r="C5960" s="70"/>
      <c r="D5960" s="70"/>
      <c r="E5960" s="70"/>
      <c r="F5960" s="70"/>
      <c r="G5960" s="94"/>
      <c r="H5960" s="131"/>
      <c r="I5960" s="3"/>
    </row>
    <row r="5961" spans="1:9" s="93" customFormat="1" ht="9" customHeight="1" x14ac:dyDescent="0.3">
      <c r="A5961" s="91"/>
      <c r="B5961" s="70"/>
      <c r="C5961" s="70"/>
      <c r="D5961" s="70"/>
      <c r="E5961" s="70"/>
      <c r="F5961" s="70"/>
      <c r="G5961" s="94"/>
      <c r="H5961" s="131"/>
      <c r="I5961" s="3"/>
    </row>
    <row r="5962" spans="1:9" s="93" customFormat="1" ht="9" customHeight="1" x14ac:dyDescent="0.3">
      <c r="A5962" s="91"/>
      <c r="B5962" s="70"/>
      <c r="C5962" s="70"/>
      <c r="D5962" s="70"/>
      <c r="E5962" s="70"/>
      <c r="F5962" s="70"/>
      <c r="G5962" s="94"/>
      <c r="H5962" s="131"/>
      <c r="I5962" s="3"/>
    </row>
    <row r="5963" spans="1:9" s="93" customFormat="1" ht="9" customHeight="1" x14ac:dyDescent="0.3">
      <c r="A5963" s="91"/>
      <c r="B5963" s="70"/>
      <c r="C5963" s="70"/>
      <c r="D5963" s="70"/>
      <c r="E5963" s="70"/>
      <c r="F5963" s="70"/>
      <c r="G5963" s="94"/>
      <c r="H5963" s="131"/>
      <c r="I5963" s="3"/>
    </row>
    <row r="5964" spans="1:9" s="93" customFormat="1" ht="9" customHeight="1" x14ac:dyDescent="0.3">
      <c r="A5964" s="91"/>
      <c r="B5964" s="70"/>
      <c r="C5964" s="70"/>
      <c r="D5964" s="70"/>
      <c r="E5964" s="70"/>
      <c r="F5964" s="70"/>
      <c r="G5964" s="94"/>
      <c r="H5964" s="131"/>
      <c r="I5964" s="3"/>
    </row>
    <row r="5965" spans="1:9" s="93" customFormat="1" ht="9" customHeight="1" x14ac:dyDescent="0.3">
      <c r="A5965" s="91"/>
      <c r="B5965" s="70"/>
      <c r="C5965" s="70"/>
      <c r="D5965" s="70"/>
      <c r="E5965" s="70"/>
      <c r="F5965" s="70"/>
      <c r="G5965" s="94"/>
      <c r="H5965" s="131"/>
      <c r="I5965" s="3"/>
    </row>
    <row r="5966" spans="1:9" s="93" customFormat="1" ht="9" customHeight="1" x14ac:dyDescent="0.3">
      <c r="A5966" s="91"/>
      <c r="B5966" s="70"/>
      <c r="C5966" s="70"/>
      <c r="D5966" s="70"/>
      <c r="E5966" s="70"/>
      <c r="F5966" s="70"/>
      <c r="G5966" s="94"/>
      <c r="H5966" s="131"/>
      <c r="I5966" s="3"/>
    </row>
    <row r="5967" spans="1:9" s="93" customFormat="1" ht="9" customHeight="1" x14ac:dyDescent="0.3">
      <c r="A5967" s="91"/>
      <c r="B5967" s="70"/>
      <c r="C5967" s="70"/>
      <c r="D5967" s="70"/>
      <c r="E5967" s="70"/>
      <c r="F5967" s="70"/>
      <c r="G5967" s="94"/>
      <c r="H5967" s="131"/>
      <c r="I5967" s="3"/>
    </row>
    <row r="5968" spans="1:9" s="93" customFormat="1" ht="9" customHeight="1" x14ac:dyDescent="0.3">
      <c r="A5968" s="91"/>
      <c r="B5968" s="70"/>
      <c r="C5968" s="70"/>
      <c r="D5968" s="70"/>
      <c r="E5968" s="70"/>
      <c r="F5968" s="70"/>
      <c r="G5968" s="94"/>
      <c r="H5968" s="131"/>
      <c r="I5968" s="3"/>
    </row>
    <row r="5969" spans="1:9" s="93" customFormat="1" ht="9" customHeight="1" x14ac:dyDescent="0.3">
      <c r="A5969" s="91"/>
      <c r="B5969" s="70"/>
      <c r="C5969" s="70"/>
      <c r="D5969" s="70"/>
      <c r="E5969" s="70"/>
      <c r="F5969" s="70"/>
      <c r="G5969" s="94"/>
      <c r="H5969" s="131"/>
      <c r="I5969" s="3"/>
    </row>
    <row r="5970" spans="1:9" s="93" customFormat="1" ht="9" customHeight="1" x14ac:dyDescent="0.3">
      <c r="A5970" s="91"/>
      <c r="B5970" s="70"/>
      <c r="C5970" s="70"/>
      <c r="D5970" s="70"/>
      <c r="E5970" s="70"/>
      <c r="F5970" s="70"/>
      <c r="G5970" s="94"/>
      <c r="H5970" s="131"/>
      <c r="I5970" s="3"/>
    </row>
    <row r="5971" spans="1:9" s="93" customFormat="1" ht="9" customHeight="1" x14ac:dyDescent="0.3">
      <c r="A5971" s="91"/>
      <c r="B5971" s="70"/>
      <c r="C5971" s="70"/>
      <c r="D5971" s="70"/>
      <c r="E5971" s="70"/>
      <c r="F5971" s="70"/>
      <c r="G5971" s="94"/>
      <c r="H5971" s="131"/>
      <c r="I5971" s="3"/>
    </row>
    <row r="5972" spans="1:9" s="93" customFormat="1" ht="9" customHeight="1" x14ac:dyDescent="0.3">
      <c r="A5972" s="91"/>
      <c r="B5972" s="70"/>
      <c r="C5972" s="70"/>
      <c r="D5972" s="70"/>
      <c r="E5972" s="70"/>
      <c r="F5972" s="70"/>
      <c r="G5972" s="94"/>
      <c r="H5972" s="131"/>
      <c r="I5972" s="3"/>
    </row>
    <row r="5973" spans="1:9" s="93" customFormat="1" ht="9" customHeight="1" x14ac:dyDescent="0.3">
      <c r="A5973" s="91"/>
      <c r="B5973" s="70"/>
      <c r="C5973" s="70"/>
      <c r="D5973" s="70"/>
      <c r="E5973" s="70"/>
      <c r="F5973" s="70"/>
      <c r="G5973" s="94"/>
      <c r="H5973" s="131"/>
      <c r="I5973" s="3"/>
    </row>
    <row r="5974" spans="1:9" s="93" customFormat="1" ht="9" customHeight="1" x14ac:dyDescent="0.3">
      <c r="A5974" s="91"/>
      <c r="B5974" s="70"/>
      <c r="C5974" s="70"/>
      <c r="D5974" s="70"/>
      <c r="E5974" s="70"/>
      <c r="F5974" s="70"/>
      <c r="G5974" s="94"/>
      <c r="H5974" s="131"/>
      <c r="I5974" s="3"/>
    </row>
    <row r="5975" spans="1:9" s="93" customFormat="1" ht="9" customHeight="1" x14ac:dyDescent="0.3">
      <c r="A5975" s="91"/>
      <c r="B5975" s="70"/>
      <c r="C5975" s="70"/>
      <c r="D5975" s="70"/>
      <c r="E5975" s="70"/>
      <c r="F5975" s="70"/>
      <c r="G5975" s="94"/>
      <c r="H5975" s="131"/>
      <c r="I5975" s="3"/>
    </row>
    <row r="5976" spans="1:9" s="93" customFormat="1" ht="9" customHeight="1" x14ac:dyDescent="0.3">
      <c r="A5976" s="91"/>
      <c r="B5976" s="70"/>
      <c r="C5976" s="70"/>
      <c r="D5976" s="70"/>
      <c r="E5976" s="70"/>
      <c r="F5976" s="70"/>
      <c r="G5976" s="94"/>
      <c r="H5976" s="131"/>
      <c r="I5976" s="3"/>
    </row>
    <row r="5977" spans="1:9" s="93" customFormat="1" ht="9" customHeight="1" x14ac:dyDescent="0.3">
      <c r="A5977" s="91"/>
      <c r="B5977" s="70"/>
      <c r="C5977" s="70"/>
      <c r="D5977" s="70"/>
      <c r="E5977" s="70"/>
      <c r="F5977" s="70"/>
      <c r="G5977" s="94"/>
      <c r="H5977" s="131"/>
      <c r="I5977" s="3"/>
    </row>
    <row r="5978" spans="1:9" s="93" customFormat="1" ht="9" customHeight="1" x14ac:dyDescent="0.3">
      <c r="A5978" s="91"/>
      <c r="B5978" s="70"/>
      <c r="C5978" s="70"/>
      <c r="D5978" s="70"/>
      <c r="E5978" s="70"/>
      <c r="F5978" s="70"/>
      <c r="G5978" s="94"/>
      <c r="H5978" s="131"/>
      <c r="I5978" s="3"/>
    </row>
    <row r="5979" spans="1:9" s="93" customFormat="1" ht="9" customHeight="1" x14ac:dyDescent="0.3">
      <c r="A5979" s="91"/>
      <c r="B5979" s="70"/>
      <c r="C5979" s="70"/>
      <c r="D5979" s="70"/>
      <c r="E5979" s="70"/>
      <c r="F5979" s="70"/>
      <c r="G5979" s="94"/>
      <c r="H5979" s="131"/>
      <c r="I5979" s="3"/>
    </row>
    <row r="5980" spans="1:9" s="93" customFormat="1" ht="9" customHeight="1" x14ac:dyDescent="0.3">
      <c r="A5980" s="91"/>
      <c r="B5980" s="70"/>
      <c r="C5980" s="70"/>
      <c r="D5980" s="70"/>
      <c r="E5980" s="70"/>
      <c r="F5980" s="70"/>
      <c r="G5980" s="94"/>
      <c r="H5980" s="131"/>
      <c r="I5980" s="3"/>
    </row>
    <row r="5981" spans="1:9" s="93" customFormat="1" ht="9" customHeight="1" x14ac:dyDescent="0.3">
      <c r="A5981" s="91"/>
      <c r="B5981" s="70"/>
      <c r="C5981" s="70"/>
      <c r="D5981" s="70"/>
      <c r="E5981" s="70"/>
      <c r="F5981" s="70"/>
      <c r="G5981" s="94"/>
      <c r="H5981" s="131"/>
      <c r="I5981" s="3"/>
    </row>
    <row r="5982" spans="1:9" s="93" customFormat="1" ht="9" customHeight="1" x14ac:dyDescent="0.3">
      <c r="A5982" s="91"/>
      <c r="B5982" s="70"/>
      <c r="C5982" s="70"/>
      <c r="D5982" s="70"/>
      <c r="E5982" s="70"/>
      <c r="F5982" s="70"/>
      <c r="G5982" s="94"/>
      <c r="H5982" s="131"/>
      <c r="I5982" s="3"/>
    </row>
    <row r="5983" spans="1:9" s="93" customFormat="1" ht="9" customHeight="1" x14ac:dyDescent="0.3">
      <c r="A5983" s="91"/>
      <c r="B5983" s="70"/>
      <c r="C5983" s="70"/>
      <c r="D5983" s="70"/>
      <c r="E5983" s="70"/>
      <c r="F5983" s="70"/>
      <c r="G5983" s="94"/>
      <c r="H5983" s="131"/>
      <c r="I5983" s="3"/>
    </row>
    <row r="5984" spans="1:9" s="93" customFormat="1" ht="9" customHeight="1" x14ac:dyDescent="0.3">
      <c r="A5984" s="91"/>
      <c r="B5984" s="70"/>
      <c r="C5984" s="70"/>
      <c r="D5984" s="70"/>
      <c r="E5984" s="70"/>
      <c r="F5984" s="70"/>
      <c r="G5984" s="94"/>
      <c r="H5984" s="131"/>
      <c r="I5984" s="3"/>
    </row>
    <row r="5985" spans="1:9" s="93" customFormat="1" ht="9" customHeight="1" x14ac:dyDescent="0.3">
      <c r="A5985" s="91"/>
      <c r="B5985" s="70"/>
      <c r="C5985" s="70"/>
      <c r="D5985" s="70"/>
      <c r="E5985" s="70"/>
      <c r="F5985" s="70"/>
      <c r="G5985" s="94"/>
      <c r="H5985" s="131"/>
      <c r="I5985" s="3"/>
    </row>
    <row r="5986" spans="1:9" s="93" customFormat="1" ht="9" customHeight="1" x14ac:dyDescent="0.3">
      <c r="A5986" s="91"/>
      <c r="B5986" s="70"/>
      <c r="C5986" s="70"/>
      <c r="D5986" s="70"/>
      <c r="E5986" s="70"/>
      <c r="F5986" s="70"/>
      <c r="G5986" s="94"/>
      <c r="H5986" s="131"/>
      <c r="I5986" s="3"/>
    </row>
    <row r="5987" spans="1:9" s="93" customFormat="1" ht="9" customHeight="1" x14ac:dyDescent="0.3">
      <c r="A5987" s="91"/>
      <c r="B5987" s="70"/>
      <c r="C5987" s="70"/>
      <c r="D5987" s="70"/>
      <c r="E5987" s="70"/>
      <c r="F5987" s="70"/>
      <c r="G5987" s="94"/>
      <c r="H5987" s="131"/>
      <c r="I5987" s="3"/>
    </row>
    <row r="5988" spans="1:9" s="93" customFormat="1" ht="9" customHeight="1" x14ac:dyDescent="0.3">
      <c r="A5988" s="91"/>
      <c r="B5988" s="70"/>
      <c r="C5988" s="70"/>
      <c r="D5988" s="70"/>
      <c r="E5988" s="70"/>
      <c r="F5988" s="70"/>
      <c r="G5988" s="94"/>
      <c r="H5988" s="131"/>
      <c r="I5988" s="3"/>
    </row>
    <row r="5989" spans="1:9" s="93" customFormat="1" ht="9" customHeight="1" x14ac:dyDescent="0.3">
      <c r="A5989" s="91"/>
      <c r="B5989" s="70"/>
      <c r="C5989" s="70"/>
      <c r="D5989" s="70"/>
      <c r="E5989" s="70"/>
      <c r="F5989" s="70"/>
      <c r="G5989" s="94"/>
      <c r="H5989" s="131"/>
      <c r="I5989" s="3"/>
    </row>
    <row r="5990" spans="1:9" s="93" customFormat="1" ht="9" customHeight="1" x14ac:dyDescent="0.3">
      <c r="A5990" s="91"/>
      <c r="B5990" s="70"/>
      <c r="C5990" s="70"/>
      <c r="D5990" s="70"/>
      <c r="E5990" s="70"/>
      <c r="F5990" s="70"/>
      <c r="G5990" s="94"/>
      <c r="H5990" s="131"/>
      <c r="I5990" s="3"/>
    </row>
    <row r="5991" spans="1:9" s="93" customFormat="1" ht="9" customHeight="1" x14ac:dyDescent="0.3">
      <c r="A5991" s="91"/>
      <c r="B5991" s="70"/>
      <c r="C5991" s="70"/>
      <c r="D5991" s="70"/>
      <c r="E5991" s="70"/>
      <c r="F5991" s="70"/>
      <c r="G5991" s="94"/>
      <c r="H5991" s="131"/>
      <c r="I5991" s="3"/>
    </row>
    <row r="5992" spans="1:9" s="93" customFormat="1" ht="9" customHeight="1" x14ac:dyDescent="0.3">
      <c r="A5992" s="91"/>
      <c r="B5992" s="70"/>
      <c r="C5992" s="70"/>
      <c r="D5992" s="70"/>
      <c r="E5992" s="70"/>
      <c r="F5992" s="70"/>
      <c r="G5992" s="94"/>
      <c r="H5992" s="131"/>
      <c r="I5992" s="3"/>
    </row>
    <row r="5993" spans="1:9" s="93" customFormat="1" ht="9" customHeight="1" x14ac:dyDescent="0.3">
      <c r="A5993" s="91"/>
      <c r="B5993" s="70"/>
      <c r="C5993" s="70"/>
      <c r="D5993" s="70"/>
      <c r="E5993" s="70"/>
      <c r="F5993" s="70"/>
      <c r="G5993" s="94"/>
      <c r="H5993" s="131"/>
      <c r="I5993" s="3"/>
    </row>
    <row r="5994" spans="1:9" s="93" customFormat="1" ht="9" customHeight="1" x14ac:dyDescent="0.3">
      <c r="A5994" s="91"/>
      <c r="B5994" s="70"/>
      <c r="C5994" s="70"/>
      <c r="D5994" s="70"/>
      <c r="E5994" s="70"/>
      <c r="F5994" s="70"/>
      <c r="G5994" s="94"/>
      <c r="H5994" s="131"/>
      <c r="I5994" s="3"/>
    </row>
    <row r="5995" spans="1:9" s="93" customFormat="1" ht="9" customHeight="1" x14ac:dyDescent="0.3">
      <c r="A5995" s="91"/>
      <c r="B5995" s="70"/>
      <c r="C5995" s="70"/>
      <c r="D5995" s="70"/>
      <c r="E5995" s="70"/>
      <c r="F5995" s="70"/>
      <c r="G5995" s="94"/>
      <c r="H5995" s="131"/>
      <c r="I5995" s="3"/>
    </row>
    <row r="5996" spans="1:9" s="93" customFormat="1" ht="9" customHeight="1" x14ac:dyDescent="0.3">
      <c r="A5996" s="91"/>
      <c r="B5996" s="70"/>
      <c r="C5996" s="70"/>
      <c r="D5996" s="70"/>
      <c r="E5996" s="70"/>
      <c r="F5996" s="70"/>
      <c r="G5996" s="94"/>
      <c r="H5996" s="131"/>
      <c r="I5996" s="3"/>
    </row>
    <row r="5997" spans="1:9" s="93" customFormat="1" ht="9" customHeight="1" x14ac:dyDescent="0.3">
      <c r="A5997" s="91"/>
      <c r="B5997" s="70"/>
      <c r="C5997" s="70"/>
      <c r="D5997" s="70"/>
      <c r="E5997" s="70"/>
      <c r="F5997" s="70"/>
      <c r="G5997" s="94"/>
      <c r="H5997" s="131"/>
      <c r="I5997" s="3"/>
    </row>
    <row r="5998" spans="1:9" s="93" customFormat="1" ht="9" customHeight="1" x14ac:dyDescent="0.3">
      <c r="A5998" s="91"/>
      <c r="B5998" s="70"/>
      <c r="C5998" s="70"/>
      <c r="D5998" s="70"/>
      <c r="E5998" s="70"/>
      <c r="F5998" s="70"/>
      <c r="G5998" s="94"/>
      <c r="H5998" s="131"/>
      <c r="I5998" s="3"/>
    </row>
    <row r="5999" spans="1:9" s="93" customFormat="1" ht="9" customHeight="1" x14ac:dyDescent="0.3">
      <c r="A5999" s="91"/>
      <c r="B5999" s="70"/>
      <c r="C5999" s="70"/>
      <c r="D5999" s="70"/>
      <c r="E5999" s="70"/>
      <c r="F5999" s="70"/>
      <c r="G5999" s="94"/>
      <c r="H5999" s="131"/>
      <c r="I5999" s="3"/>
    </row>
    <row r="6000" spans="1:9" s="93" customFormat="1" ht="9" customHeight="1" x14ac:dyDescent="0.3">
      <c r="A6000" s="91"/>
      <c r="B6000" s="70"/>
      <c r="C6000" s="70"/>
      <c r="D6000" s="70"/>
      <c r="E6000" s="70"/>
      <c r="F6000" s="70"/>
      <c r="G6000" s="94"/>
      <c r="H6000" s="131"/>
      <c r="I6000" s="3"/>
    </row>
    <row r="6001" spans="1:9" s="93" customFormat="1" ht="9" customHeight="1" x14ac:dyDescent="0.3">
      <c r="A6001" s="91"/>
      <c r="B6001" s="70"/>
      <c r="C6001" s="70"/>
      <c r="D6001" s="70"/>
      <c r="E6001" s="70"/>
      <c r="F6001" s="70"/>
      <c r="G6001" s="94"/>
      <c r="H6001" s="131"/>
      <c r="I6001" s="3"/>
    </row>
    <row r="6002" spans="1:9" s="93" customFormat="1" ht="9" customHeight="1" x14ac:dyDescent="0.3">
      <c r="A6002" s="91"/>
      <c r="B6002" s="70"/>
      <c r="C6002" s="70"/>
      <c r="D6002" s="70"/>
      <c r="E6002" s="70"/>
      <c r="F6002" s="70"/>
      <c r="G6002" s="94"/>
      <c r="H6002" s="131"/>
      <c r="I6002" s="3"/>
    </row>
    <row r="6003" spans="1:9" s="93" customFormat="1" ht="9" customHeight="1" x14ac:dyDescent="0.3">
      <c r="A6003" s="91"/>
      <c r="B6003" s="70"/>
      <c r="C6003" s="70"/>
      <c r="D6003" s="70"/>
      <c r="E6003" s="70"/>
      <c r="F6003" s="70"/>
      <c r="G6003" s="94"/>
      <c r="H6003" s="131"/>
      <c r="I6003" s="3"/>
    </row>
    <row r="6004" spans="1:9" s="93" customFormat="1" ht="9" customHeight="1" x14ac:dyDescent="0.3">
      <c r="A6004" s="91"/>
      <c r="B6004" s="70"/>
      <c r="C6004" s="70"/>
      <c r="D6004" s="70"/>
      <c r="E6004" s="70"/>
      <c r="F6004" s="70"/>
      <c r="G6004" s="94"/>
      <c r="H6004" s="131"/>
      <c r="I6004" s="3"/>
    </row>
    <row r="6005" spans="1:9" s="93" customFormat="1" ht="9" customHeight="1" x14ac:dyDescent="0.3">
      <c r="A6005" s="91"/>
      <c r="B6005" s="70"/>
      <c r="C6005" s="70"/>
      <c r="D6005" s="70"/>
      <c r="E6005" s="70"/>
      <c r="F6005" s="70"/>
      <c r="G6005" s="94"/>
      <c r="H6005" s="131"/>
      <c r="I6005" s="3"/>
    </row>
    <row r="6006" spans="1:9" s="93" customFormat="1" ht="9" customHeight="1" x14ac:dyDescent="0.3">
      <c r="A6006" s="91"/>
      <c r="B6006" s="70"/>
      <c r="C6006" s="70"/>
      <c r="D6006" s="70"/>
      <c r="E6006" s="70"/>
      <c r="F6006" s="70"/>
      <c r="G6006" s="94"/>
      <c r="H6006" s="131"/>
      <c r="I6006" s="3"/>
    </row>
    <row r="6007" spans="1:9" s="93" customFormat="1" ht="9" customHeight="1" x14ac:dyDescent="0.3">
      <c r="A6007" s="91"/>
      <c r="B6007" s="70"/>
      <c r="C6007" s="70"/>
      <c r="D6007" s="70"/>
      <c r="E6007" s="70"/>
      <c r="F6007" s="70"/>
      <c r="G6007" s="94"/>
      <c r="H6007" s="131"/>
      <c r="I6007" s="3"/>
    </row>
    <row r="6008" spans="1:9" s="93" customFormat="1" ht="9" customHeight="1" x14ac:dyDescent="0.3">
      <c r="A6008" s="91"/>
      <c r="B6008" s="70"/>
      <c r="C6008" s="70"/>
      <c r="D6008" s="70"/>
      <c r="E6008" s="70"/>
      <c r="F6008" s="70"/>
      <c r="G6008" s="94"/>
      <c r="H6008" s="131"/>
      <c r="I6008" s="3"/>
    </row>
    <row r="6009" spans="1:9" s="93" customFormat="1" ht="9" customHeight="1" x14ac:dyDescent="0.3">
      <c r="A6009" s="91"/>
      <c r="B6009" s="70"/>
      <c r="C6009" s="70"/>
      <c r="D6009" s="70"/>
      <c r="E6009" s="70"/>
      <c r="F6009" s="70"/>
      <c r="G6009" s="94"/>
      <c r="H6009" s="131"/>
      <c r="I6009" s="3"/>
    </row>
    <row r="6010" spans="1:9" s="93" customFormat="1" ht="9" customHeight="1" x14ac:dyDescent="0.3">
      <c r="A6010" s="91"/>
      <c r="B6010" s="70"/>
      <c r="C6010" s="70"/>
      <c r="D6010" s="70"/>
      <c r="E6010" s="70"/>
      <c r="F6010" s="70"/>
      <c r="G6010" s="94"/>
      <c r="H6010" s="131"/>
      <c r="I6010" s="3"/>
    </row>
    <row r="6011" spans="1:9" s="93" customFormat="1" ht="9" customHeight="1" x14ac:dyDescent="0.3">
      <c r="A6011" s="91"/>
      <c r="B6011" s="70"/>
      <c r="C6011" s="70"/>
      <c r="D6011" s="70"/>
      <c r="E6011" s="70"/>
      <c r="F6011" s="70"/>
      <c r="G6011" s="94"/>
      <c r="H6011" s="131"/>
      <c r="I6011" s="3"/>
    </row>
    <row r="6012" spans="1:9" s="93" customFormat="1" ht="9" customHeight="1" x14ac:dyDescent="0.3">
      <c r="A6012" s="91"/>
      <c r="B6012" s="70"/>
      <c r="C6012" s="70"/>
      <c r="D6012" s="70"/>
      <c r="E6012" s="70"/>
      <c r="F6012" s="70"/>
      <c r="G6012" s="94"/>
      <c r="H6012" s="131"/>
      <c r="I6012" s="3"/>
    </row>
    <row r="6013" spans="1:9" s="93" customFormat="1" ht="9" customHeight="1" x14ac:dyDescent="0.3">
      <c r="A6013" s="91"/>
      <c r="B6013" s="70"/>
      <c r="C6013" s="70"/>
      <c r="D6013" s="70"/>
      <c r="E6013" s="70"/>
      <c r="F6013" s="70"/>
      <c r="G6013" s="94"/>
      <c r="H6013" s="131"/>
      <c r="I6013" s="3"/>
    </row>
    <row r="6014" spans="1:9" s="93" customFormat="1" ht="9" customHeight="1" x14ac:dyDescent="0.3">
      <c r="A6014" s="91"/>
      <c r="B6014" s="70"/>
      <c r="C6014" s="70"/>
      <c r="D6014" s="70"/>
      <c r="E6014" s="70"/>
      <c r="F6014" s="70"/>
      <c r="G6014" s="94"/>
      <c r="H6014" s="131"/>
      <c r="I6014" s="3"/>
    </row>
    <row r="6015" spans="1:9" s="93" customFormat="1" ht="9" customHeight="1" x14ac:dyDescent="0.3">
      <c r="A6015" s="91"/>
      <c r="B6015" s="70"/>
      <c r="C6015" s="70"/>
      <c r="D6015" s="70"/>
      <c r="E6015" s="70"/>
      <c r="F6015" s="70"/>
      <c r="G6015" s="94"/>
      <c r="H6015" s="131"/>
      <c r="I6015" s="3"/>
    </row>
    <row r="6016" spans="1:9" s="93" customFormat="1" ht="9" customHeight="1" x14ac:dyDescent="0.3">
      <c r="A6016" s="91"/>
      <c r="B6016" s="70"/>
      <c r="C6016" s="70"/>
      <c r="D6016" s="70"/>
      <c r="E6016" s="70"/>
      <c r="F6016" s="70"/>
      <c r="G6016" s="94"/>
      <c r="H6016" s="131"/>
      <c r="I6016" s="3"/>
    </row>
    <row r="6017" spans="1:9" s="93" customFormat="1" ht="9" customHeight="1" x14ac:dyDescent="0.3">
      <c r="A6017" s="91"/>
      <c r="B6017" s="70"/>
      <c r="C6017" s="70"/>
      <c r="D6017" s="70"/>
      <c r="E6017" s="70"/>
      <c r="F6017" s="70"/>
      <c r="G6017" s="94"/>
      <c r="H6017" s="131"/>
      <c r="I6017" s="3"/>
    </row>
    <row r="6018" spans="1:9" s="93" customFormat="1" ht="9" customHeight="1" x14ac:dyDescent="0.3">
      <c r="A6018" s="91"/>
      <c r="B6018" s="70"/>
      <c r="C6018" s="70"/>
      <c r="D6018" s="70"/>
      <c r="E6018" s="70"/>
      <c r="F6018" s="70"/>
      <c r="G6018" s="94"/>
      <c r="H6018" s="131"/>
      <c r="I6018" s="3"/>
    </row>
    <row r="6019" spans="1:9" s="93" customFormat="1" ht="9" customHeight="1" x14ac:dyDescent="0.3">
      <c r="A6019" s="91"/>
      <c r="B6019" s="70"/>
      <c r="C6019" s="70"/>
      <c r="D6019" s="70"/>
      <c r="E6019" s="70"/>
      <c r="F6019" s="70"/>
      <c r="G6019" s="94"/>
      <c r="H6019" s="131"/>
      <c r="I6019" s="3"/>
    </row>
    <row r="6020" spans="1:9" s="93" customFormat="1" ht="9" customHeight="1" x14ac:dyDescent="0.3">
      <c r="A6020" s="91"/>
      <c r="B6020" s="70"/>
      <c r="C6020" s="70"/>
      <c r="D6020" s="70"/>
      <c r="E6020" s="70"/>
      <c r="F6020" s="70"/>
      <c r="G6020" s="94"/>
      <c r="H6020" s="131"/>
      <c r="I6020" s="3"/>
    </row>
    <row r="6021" spans="1:9" s="93" customFormat="1" ht="9" customHeight="1" x14ac:dyDescent="0.3">
      <c r="A6021" s="91"/>
      <c r="B6021" s="70"/>
      <c r="C6021" s="70"/>
      <c r="D6021" s="70"/>
      <c r="E6021" s="70"/>
      <c r="F6021" s="70"/>
      <c r="G6021" s="94"/>
      <c r="H6021" s="131"/>
      <c r="I6021" s="3"/>
    </row>
    <row r="6022" spans="1:9" s="93" customFormat="1" ht="9" customHeight="1" x14ac:dyDescent="0.3">
      <c r="A6022" s="91"/>
      <c r="B6022" s="70"/>
      <c r="C6022" s="70"/>
      <c r="D6022" s="70"/>
      <c r="E6022" s="70"/>
      <c r="F6022" s="70"/>
      <c r="G6022" s="94"/>
      <c r="H6022" s="131"/>
      <c r="I6022" s="3"/>
    </row>
    <row r="6023" spans="1:9" s="93" customFormat="1" ht="9" customHeight="1" x14ac:dyDescent="0.3">
      <c r="A6023" s="91"/>
      <c r="B6023" s="70"/>
      <c r="C6023" s="70"/>
      <c r="D6023" s="70"/>
      <c r="E6023" s="70"/>
      <c r="F6023" s="70"/>
      <c r="G6023" s="94"/>
      <c r="H6023" s="131"/>
      <c r="I6023" s="3"/>
    </row>
    <row r="6024" spans="1:9" s="93" customFormat="1" ht="9" customHeight="1" x14ac:dyDescent="0.3">
      <c r="A6024" s="91"/>
      <c r="B6024" s="70"/>
      <c r="C6024" s="70"/>
      <c r="D6024" s="70"/>
      <c r="E6024" s="70"/>
      <c r="F6024" s="70"/>
      <c r="G6024" s="94"/>
      <c r="H6024" s="131"/>
      <c r="I6024" s="3"/>
    </row>
    <row r="6025" spans="1:9" s="93" customFormat="1" ht="9" customHeight="1" x14ac:dyDescent="0.3">
      <c r="A6025" s="91"/>
      <c r="B6025" s="70"/>
      <c r="C6025" s="70"/>
      <c r="D6025" s="70"/>
      <c r="E6025" s="70"/>
      <c r="F6025" s="70"/>
      <c r="G6025" s="94"/>
      <c r="H6025" s="131"/>
      <c r="I6025" s="3"/>
    </row>
    <row r="6026" spans="1:9" s="93" customFormat="1" ht="9" customHeight="1" x14ac:dyDescent="0.3">
      <c r="A6026" s="91"/>
      <c r="B6026" s="70"/>
      <c r="C6026" s="70"/>
      <c r="D6026" s="70"/>
      <c r="E6026" s="70"/>
      <c r="F6026" s="70"/>
      <c r="G6026" s="94"/>
      <c r="H6026" s="131"/>
      <c r="I6026" s="3"/>
    </row>
    <row r="6027" spans="1:9" s="93" customFormat="1" ht="9" customHeight="1" x14ac:dyDescent="0.3">
      <c r="A6027" s="91"/>
      <c r="B6027" s="70"/>
      <c r="C6027" s="70"/>
      <c r="D6027" s="70"/>
      <c r="E6027" s="70"/>
      <c r="F6027" s="70"/>
      <c r="G6027" s="94"/>
      <c r="H6027" s="131"/>
      <c r="I6027" s="3"/>
    </row>
    <row r="6028" spans="1:9" s="93" customFormat="1" ht="9" customHeight="1" x14ac:dyDescent="0.3">
      <c r="A6028" s="91"/>
      <c r="B6028" s="70"/>
      <c r="C6028" s="70"/>
      <c r="D6028" s="70"/>
      <c r="E6028" s="70"/>
      <c r="F6028" s="70"/>
      <c r="G6028" s="94"/>
      <c r="H6028" s="131"/>
      <c r="I6028" s="3"/>
    </row>
    <row r="6029" spans="1:9" s="93" customFormat="1" ht="9" customHeight="1" x14ac:dyDescent="0.3">
      <c r="A6029" s="91"/>
      <c r="B6029" s="70"/>
      <c r="C6029" s="70"/>
      <c r="D6029" s="70"/>
      <c r="E6029" s="70"/>
      <c r="F6029" s="70"/>
      <c r="G6029" s="94"/>
      <c r="H6029" s="131"/>
      <c r="I6029" s="3"/>
    </row>
    <row r="6030" spans="1:9" s="93" customFormat="1" ht="9" customHeight="1" x14ac:dyDescent="0.3">
      <c r="A6030" s="91"/>
      <c r="B6030" s="70"/>
      <c r="C6030" s="70"/>
      <c r="D6030" s="70"/>
      <c r="E6030" s="70"/>
      <c r="F6030" s="70"/>
      <c r="G6030" s="94"/>
      <c r="H6030" s="131"/>
      <c r="I6030" s="3"/>
    </row>
    <row r="6031" spans="1:9" s="93" customFormat="1" ht="9" customHeight="1" x14ac:dyDescent="0.3">
      <c r="A6031" s="91"/>
      <c r="B6031" s="70"/>
      <c r="C6031" s="70"/>
      <c r="D6031" s="70"/>
      <c r="E6031" s="70"/>
      <c r="F6031" s="70"/>
      <c r="G6031" s="94"/>
      <c r="H6031" s="131"/>
      <c r="I6031" s="3"/>
    </row>
    <row r="6032" spans="1:9" s="93" customFormat="1" ht="9" customHeight="1" x14ac:dyDescent="0.3">
      <c r="A6032" s="91"/>
      <c r="B6032" s="70"/>
      <c r="C6032" s="70"/>
      <c r="D6032" s="70"/>
      <c r="E6032" s="70"/>
      <c r="F6032" s="70"/>
      <c r="G6032" s="94"/>
      <c r="H6032" s="131"/>
      <c r="I6032" s="3"/>
    </row>
    <row r="6033" spans="1:9" s="93" customFormat="1" ht="9" customHeight="1" x14ac:dyDescent="0.3">
      <c r="A6033" s="91"/>
      <c r="B6033" s="70"/>
      <c r="C6033" s="70"/>
      <c r="D6033" s="70"/>
      <c r="E6033" s="70"/>
      <c r="F6033" s="70"/>
      <c r="G6033" s="94"/>
      <c r="H6033" s="131"/>
      <c r="I6033" s="3"/>
    </row>
    <row r="6034" spans="1:9" s="93" customFormat="1" ht="9" customHeight="1" x14ac:dyDescent="0.3">
      <c r="A6034" s="91"/>
      <c r="B6034" s="70"/>
      <c r="C6034" s="70"/>
      <c r="D6034" s="70"/>
      <c r="E6034" s="70"/>
      <c r="F6034" s="70"/>
      <c r="G6034" s="94"/>
      <c r="H6034" s="131"/>
      <c r="I6034" s="3"/>
    </row>
    <row r="6035" spans="1:9" s="93" customFormat="1" ht="9" customHeight="1" x14ac:dyDescent="0.3">
      <c r="A6035" s="91"/>
      <c r="B6035" s="70"/>
      <c r="C6035" s="70"/>
      <c r="D6035" s="70"/>
      <c r="E6035" s="70"/>
      <c r="F6035" s="70"/>
      <c r="G6035" s="94"/>
      <c r="H6035" s="131"/>
      <c r="I6035" s="3"/>
    </row>
    <row r="6036" spans="1:9" s="93" customFormat="1" ht="9" customHeight="1" x14ac:dyDescent="0.3">
      <c r="A6036" s="91"/>
      <c r="B6036" s="70"/>
      <c r="C6036" s="70"/>
      <c r="D6036" s="70"/>
      <c r="E6036" s="70"/>
      <c r="F6036" s="70"/>
      <c r="G6036" s="94"/>
      <c r="H6036" s="131"/>
      <c r="I6036" s="3"/>
    </row>
    <row r="6037" spans="1:9" s="93" customFormat="1" ht="9" customHeight="1" x14ac:dyDescent="0.3">
      <c r="A6037" s="91"/>
      <c r="B6037" s="70"/>
      <c r="C6037" s="70"/>
      <c r="D6037" s="70"/>
      <c r="E6037" s="70"/>
      <c r="F6037" s="70"/>
      <c r="G6037" s="94"/>
      <c r="H6037" s="131"/>
      <c r="I6037" s="3"/>
    </row>
    <row r="6038" spans="1:9" s="93" customFormat="1" ht="9" customHeight="1" x14ac:dyDescent="0.3">
      <c r="A6038" s="91"/>
      <c r="B6038" s="70"/>
      <c r="C6038" s="70"/>
      <c r="D6038" s="70"/>
      <c r="E6038" s="70"/>
      <c r="F6038" s="70"/>
      <c r="G6038" s="94"/>
      <c r="H6038" s="131"/>
      <c r="I6038" s="3"/>
    </row>
    <row r="6039" spans="1:9" s="93" customFormat="1" ht="9" customHeight="1" x14ac:dyDescent="0.3">
      <c r="A6039" s="91"/>
      <c r="B6039" s="70"/>
      <c r="C6039" s="70"/>
      <c r="D6039" s="70"/>
      <c r="E6039" s="70"/>
      <c r="F6039" s="70"/>
      <c r="G6039" s="94"/>
      <c r="H6039" s="131"/>
      <c r="I6039" s="3"/>
    </row>
    <row r="6040" spans="1:9" s="93" customFormat="1" ht="9" customHeight="1" x14ac:dyDescent="0.3">
      <c r="A6040" s="91"/>
      <c r="B6040" s="70"/>
      <c r="C6040" s="70"/>
      <c r="D6040" s="70"/>
      <c r="E6040" s="70"/>
      <c r="F6040" s="70"/>
      <c r="G6040" s="94"/>
      <c r="H6040" s="131"/>
      <c r="I6040" s="3"/>
    </row>
    <row r="6041" spans="1:9" s="93" customFormat="1" ht="9" customHeight="1" x14ac:dyDescent="0.3">
      <c r="A6041" s="91"/>
      <c r="B6041" s="70"/>
      <c r="C6041" s="70"/>
      <c r="D6041" s="70"/>
      <c r="E6041" s="70"/>
      <c r="F6041" s="70"/>
      <c r="G6041" s="94"/>
      <c r="H6041" s="131"/>
      <c r="I6041" s="3"/>
    </row>
    <row r="6042" spans="1:9" s="93" customFormat="1" ht="9" customHeight="1" x14ac:dyDescent="0.3">
      <c r="A6042" s="91"/>
      <c r="B6042" s="70"/>
      <c r="C6042" s="70"/>
      <c r="D6042" s="70"/>
      <c r="E6042" s="70"/>
      <c r="F6042" s="70"/>
      <c r="G6042" s="94"/>
      <c r="H6042" s="131"/>
      <c r="I6042" s="3"/>
    </row>
    <row r="6043" spans="1:9" s="93" customFormat="1" ht="9" customHeight="1" x14ac:dyDescent="0.3">
      <c r="A6043" s="91"/>
      <c r="B6043" s="70"/>
      <c r="C6043" s="70"/>
      <c r="D6043" s="70"/>
      <c r="E6043" s="70"/>
      <c r="F6043" s="70"/>
      <c r="G6043" s="94"/>
      <c r="H6043" s="131"/>
      <c r="I6043" s="3"/>
    </row>
    <row r="6044" spans="1:9" s="93" customFormat="1" ht="9" customHeight="1" x14ac:dyDescent="0.3">
      <c r="A6044" s="91"/>
      <c r="B6044" s="70"/>
      <c r="C6044" s="70"/>
      <c r="D6044" s="70"/>
      <c r="E6044" s="70"/>
      <c r="F6044" s="70"/>
      <c r="G6044" s="94"/>
      <c r="H6044" s="131"/>
      <c r="I6044" s="3"/>
    </row>
    <row r="6045" spans="1:9" s="93" customFormat="1" ht="9" customHeight="1" x14ac:dyDescent="0.3">
      <c r="A6045" s="91"/>
      <c r="B6045" s="70"/>
      <c r="C6045" s="70"/>
      <c r="D6045" s="70"/>
      <c r="E6045" s="70"/>
      <c r="F6045" s="70"/>
      <c r="G6045" s="94"/>
      <c r="H6045" s="131"/>
      <c r="I6045" s="3"/>
    </row>
    <row r="6046" spans="1:9" s="93" customFormat="1" ht="9" customHeight="1" x14ac:dyDescent="0.3">
      <c r="A6046" s="91"/>
      <c r="B6046" s="70"/>
      <c r="C6046" s="70"/>
      <c r="D6046" s="70"/>
      <c r="E6046" s="70"/>
      <c r="F6046" s="70"/>
      <c r="G6046" s="94"/>
      <c r="H6046" s="131"/>
      <c r="I6046" s="3"/>
    </row>
    <row r="6047" spans="1:9" s="93" customFormat="1" ht="9" customHeight="1" x14ac:dyDescent="0.3">
      <c r="A6047" s="91"/>
      <c r="B6047" s="70"/>
      <c r="C6047" s="70"/>
      <c r="D6047" s="70"/>
      <c r="E6047" s="70"/>
      <c r="F6047" s="70"/>
      <c r="G6047" s="94"/>
      <c r="H6047" s="131"/>
      <c r="I6047" s="3"/>
    </row>
    <row r="6048" spans="1:9" s="93" customFormat="1" ht="9" customHeight="1" x14ac:dyDescent="0.3">
      <c r="A6048" s="91"/>
      <c r="B6048" s="70"/>
      <c r="C6048" s="70"/>
      <c r="D6048" s="70"/>
      <c r="E6048" s="70"/>
      <c r="F6048" s="70"/>
      <c r="G6048" s="94"/>
      <c r="H6048" s="131"/>
      <c r="I6048" s="3"/>
    </row>
    <row r="6049" spans="1:9" s="93" customFormat="1" ht="9" customHeight="1" x14ac:dyDescent="0.3">
      <c r="A6049" s="91"/>
      <c r="B6049" s="70"/>
      <c r="C6049" s="70"/>
      <c r="D6049" s="70"/>
      <c r="E6049" s="70"/>
      <c r="F6049" s="70"/>
      <c r="G6049" s="94"/>
      <c r="H6049" s="131"/>
      <c r="I6049" s="3"/>
    </row>
    <row r="6050" spans="1:9" s="93" customFormat="1" ht="9" customHeight="1" x14ac:dyDescent="0.3">
      <c r="A6050" s="91"/>
      <c r="B6050" s="70"/>
      <c r="C6050" s="70"/>
      <c r="D6050" s="70"/>
      <c r="E6050" s="70"/>
      <c r="F6050" s="70"/>
      <c r="G6050" s="94"/>
      <c r="H6050" s="131"/>
      <c r="I6050" s="3"/>
    </row>
    <row r="6051" spans="1:9" s="93" customFormat="1" ht="9" customHeight="1" x14ac:dyDescent="0.3">
      <c r="A6051" s="91"/>
      <c r="B6051" s="70"/>
      <c r="C6051" s="70"/>
      <c r="D6051" s="70"/>
      <c r="E6051" s="70"/>
      <c r="F6051" s="70"/>
      <c r="G6051" s="94"/>
      <c r="H6051" s="131"/>
      <c r="I6051" s="3"/>
    </row>
    <row r="6052" spans="1:9" s="93" customFormat="1" ht="9" customHeight="1" x14ac:dyDescent="0.3">
      <c r="A6052" s="91"/>
      <c r="B6052" s="70"/>
      <c r="C6052" s="70"/>
      <c r="D6052" s="70"/>
      <c r="E6052" s="70"/>
      <c r="F6052" s="70"/>
      <c r="G6052" s="94"/>
      <c r="H6052" s="131"/>
      <c r="I6052" s="3"/>
    </row>
    <row r="6053" spans="1:9" s="93" customFormat="1" ht="9" customHeight="1" x14ac:dyDescent="0.3">
      <c r="A6053" s="91"/>
      <c r="B6053" s="70"/>
      <c r="C6053" s="70"/>
      <c r="D6053" s="70"/>
      <c r="E6053" s="70"/>
      <c r="F6053" s="70"/>
      <c r="G6053" s="94"/>
      <c r="H6053" s="131"/>
      <c r="I6053" s="3"/>
    </row>
    <row r="6054" spans="1:9" s="93" customFormat="1" ht="9" customHeight="1" x14ac:dyDescent="0.3">
      <c r="A6054" s="91"/>
      <c r="B6054" s="70"/>
      <c r="C6054" s="70"/>
      <c r="D6054" s="70"/>
      <c r="E6054" s="70"/>
      <c r="F6054" s="70"/>
      <c r="G6054" s="94"/>
      <c r="H6054" s="131"/>
      <c r="I6054" s="3"/>
    </row>
    <row r="6055" spans="1:9" s="93" customFormat="1" ht="9" customHeight="1" x14ac:dyDescent="0.3">
      <c r="A6055" s="91"/>
      <c r="B6055" s="70"/>
      <c r="C6055" s="70"/>
      <c r="D6055" s="70"/>
      <c r="E6055" s="70"/>
      <c r="F6055" s="70"/>
      <c r="G6055" s="94"/>
      <c r="H6055" s="131"/>
      <c r="I6055" s="3"/>
    </row>
    <row r="6056" spans="1:9" s="93" customFormat="1" ht="9" customHeight="1" x14ac:dyDescent="0.3">
      <c r="A6056" s="91"/>
      <c r="B6056" s="70"/>
      <c r="C6056" s="70"/>
      <c r="D6056" s="70"/>
      <c r="E6056" s="70"/>
      <c r="F6056" s="70"/>
      <c r="G6056" s="94"/>
      <c r="H6056" s="131"/>
      <c r="I6056" s="3"/>
    </row>
    <row r="6057" spans="1:9" s="93" customFormat="1" ht="9" customHeight="1" x14ac:dyDescent="0.3">
      <c r="A6057" s="91"/>
      <c r="B6057" s="70"/>
      <c r="C6057" s="70"/>
      <c r="D6057" s="70"/>
      <c r="E6057" s="70"/>
      <c r="F6057" s="70"/>
      <c r="G6057" s="94"/>
      <c r="H6057" s="131"/>
      <c r="I6057" s="3"/>
    </row>
    <row r="6058" spans="1:9" s="93" customFormat="1" ht="9" customHeight="1" x14ac:dyDescent="0.3">
      <c r="A6058" s="91"/>
      <c r="B6058" s="70"/>
      <c r="C6058" s="70"/>
      <c r="D6058" s="70"/>
      <c r="E6058" s="70"/>
      <c r="F6058" s="70"/>
      <c r="G6058" s="94"/>
      <c r="H6058" s="131"/>
      <c r="I6058" s="3"/>
    </row>
    <row r="6059" spans="1:9" s="93" customFormat="1" ht="9" customHeight="1" x14ac:dyDescent="0.3">
      <c r="A6059" s="91"/>
      <c r="B6059" s="70"/>
      <c r="C6059" s="70"/>
      <c r="D6059" s="70"/>
      <c r="E6059" s="70"/>
      <c r="F6059" s="70"/>
      <c r="G6059" s="94"/>
      <c r="H6059" s="131"/>
      <c r="I6059" s="3"/>
    </row>
    <row r="6060" spans="1:9" s="93" customFormat="1" ht="9" customHeight="1" x14ac:dyDescent="0.3">
      <c r="A6060" s="91"/>
      <c r="B6060" s="70"/>
      <c r="C6060" s="70"/>
      <c r="D6060" s="70"/>
      <c r="E6060" s="70"/>
      <c r="F6060" s="70"/>
      <c r="G6060" s="94"/>
      <c r="H6060" s="131"/>
      <c r="I6060" s="3"/>
    </row>
    <row r="6061" spans="1:9" s="93" customFormat="1" ht="9" customHeight="1" x14ac:dyDescent="0.3">
      <c r="A6061" s="91"/>
      <c r="B6061" s="70"/>
      <c r="C6061" s="70"/>
      <c r="D6061" s="70"/>
      <c r="E6061" s="70"/>
      <c r="F6061" s="70"/>
      <c r="G6061" s="94"/>
      <c r="H6061" s="131"/>
      <c r="I6061" s="3"/>
    </row>
    <row r="6062" spans="1:9" s="93" customFormat="1" ht="9" customHeight="1" x14ac:dyDescent="0.3">
      <c r="A6062" s="91"/>
      <c r="B6062" s="70"/>
      <c r="C6062" s="70"/>
      <c r="D6062" s="70"/>
      <c r="E6062" s="70"/>
      <c r="F6062" s="70"/>
      <c r="G6062" s="94"/>
      <c r="H6062" s="131"/>
      <c r="I6062" s="3"/>
    </row>
    <row r="6063" spans="1:9" s="93" customFormat="1" ht="9" customHeight="1" x14ac:dyDescent="0.3">
      <c r="A6063" s="91"/>
      <c r="B6063" s="70"/>
      <c r="C6063" s="70"/>
      <c r="D6063" s="70"/>
      <c r="E6063" s="70"/>
      <c r="F6063" s="70"/>
      <c r="G6063" s="94"/>
      <c r="H6063" s="131"/>
      <c r="I6063" s="3"/>
    </row>
    <row r="6064" spans="1:9" s="93" customFormat="1" ht="9" customHeight="1" x14ac:dyDescent="0.3">
      <c r="A6064" s="91"/>
      <c r="B6064" s="70"/>
      <c r="C6064" s="70"/>
      <c r="D6064" s="70"/>
      <c r="E6064" s="70"/>
      <c r="F6064" s="70"/>
      <c r="G6064" s="94"/>
      <c r="H6064" s="131"/>
      <c r="I6064" s="3"/>
    </row>
    <row r="6065" spans="1:9" s="93" customFormat="1" ht="9" customHeight="1" x14ac:dyDescent="0.3">
      <c r="A6065" s="91"/>
      <c r="B6065" s="70"/>
      <c r="C6065" s="70"/>
      <c r="D6065" s="70"/>
      <c r="E6065" s="70"/>
      <c r="F6065" s="70"/>
      <c r="G6065" s="94"/>
      <c r="H6065" s="131"/>
      <c r="I6065" s="3"/>
    </row>
    <row r="6066" spans="1:9" s="93" customFormat="1" ht="9" customHeight="1" x14ac:dyDescent="0.3">
      <c r="A6066" s="91"/>
      <c r="B6066" s="70"/>
      <c r="C6066" s="70"/>
      <c r="D6066" s="70"/>
      <c r="E6066" s="70"/>
      <c r="F6066" s="70"/>
      <c r="G6066" s="94"/>
      <c r="H6066" s="131"/>
      <c r="I6066" s="3"/>
    </row>
    <row r="6067" spans="1:9" s="93" customFormat="1" ht="9" customHeight="1" x14ac:dyDescent="0.3">
      <c r="A6067" s="91"/>
      <c r="B6067" s="70"/>
      <c r="C6067" s="70"/>
      <c r="D6067" s="70"/>
      <c r="E6067" s="70"/>
      <c r="F6067" s="70"/>
      <c r="G6067" s="94"/>
      <c r="H6067" s="131"/>
      <c r="I6067" s="3"/>
    </row>
    <row r="6068" spans="1:9" s="93" customFormat="1" ht="9" customHeight="1" x14ac:dyDescent="0.3">
      <c r="A6068" s="91"/>
      <c r="B6068" s="70"/>
      <c r="C6068" s="70"/>
      <c r="D6068" s="70"/>
      <c r="E6068" s="70"/>
      <c r="F6068" s="70"/>
      <c r="G6068" s="94"/>
      <c r="H6068" s="131"/>
      <c r="I6068" s="3"/>
    </row>
    <row r="6069" spans="1:9" s="93" customFormat="1" ht="9" customHeight="1" x14ac:dyDescent="0.3">
      <c r="A6069" s="91"/>
      <c r="B6069" s="70"/>
      <c r="C6069" s="70"/>
      <c r="D6069" s="70"/>
      <c r="E6069" s="70"/>
      <c r="F6069" s="70"/>
      <c r="G6069" s="94"/>
      <c r="H6069" s="131"/>
      <c r="I6069" s="3"/>
    </row>
    <row r="6070" spans="1:9" s="93" customFormat="1" ht="9" customHeight="1" x14ac:dyDescent="0.3">
      <c r="A6070" s="91"/>
      <c r="B6070" s="70"/>
      <c r="C6070" s="70"/>
      <c r="D6070" s="70"/>
      <c r="E6070" s="70"/>
      <c r="F6070" s="70"/>
      <c r="G6070" s="94"/>
      <c r="H6070" s="131"/>
      <c r="I6070" s="3"/>
    </row>
    <row r="6071" spans="1:9" s="93" customFormat="1" ht="9" customHeight="1" x14ac:dyDescent="0.3">
      <c r="A6071" s="91"/>
      <c r="B6071" s="70"/>
      <c r="C6071" s="70"/>
      <c r="D6071" s="70"/>
      <c r="E6071" s="70"/>
      <c r="F6071" s="70"/>
      <c r="G6071" s="94"/>
      <c r="H6071" s="131"/>
      <c r="I6071" s="3"/>
    </row>
    <row r="6072" spans="1:9" s="93" customFormat="1" ht="9" customHeight="1" x14ac:dyDescent="0.3">
      <c r="A6072" s="91"/>
      <c r="B6072" s="70"/>
      <c r="C6072" s="70"/>
      <c r="D6072" s="70"/>
      <c r="E6072" s="70"/>
      <c r="F6072" s="70"/>
      <c r="G6072" s="94"/>
      <c r="H6072" s="131"/>
      <c r="I6072" s="3"/>
    </row>
    <row r="6073" spans="1:9" s="93" customFormat="1" ht="9" customHeight="1" x14ac:dyDescent="0.3">
      <c r="A6073" s="91"/>
      <c r="B6073" s="70"/>
      <c r="C6073" s="70"/>
      <c r="D6073" s="70"/>
      <c r="E6073" s="70"/>
      <c r="F6073" s="70"/>
      <c r="G6073" s="94"/>
      <c r="H6073" s="131"/>
      <c r="I6073" s="3"/>
    </row>
    <row r="6074" spans="1:9" s="93" customFormat="1" ht="9" customHeight="1" x14ac:dyDescent="0.3">
      <c r="A6074" s="91"/>
      <c r="B6074" s="70"/>
      <c r="C6074" s="70"/>
      <c r="D6074" s="70"/>
      <c r="E6074" s="70"/>
      <c r="F6074" s="70"/>
      <c r="G6074" s="94"/>
      <c r="H6074" s="131"/>
      <c r="I6074" s="3"/>
    </row>
    <row r="6075" spans="1:9" s="93" customFormat="1" ht="9" customHeight="1" x14ac:dyDescent="0.3">
      <c r="A6075" s="91"/>
      <c r="B6075" s="70"/>
      <c r="C6075" s="70"/>
      <c r="D6075" s="70"/>
      <c r="E6075" s="70"/>
      <c r="F6075" s="70"/>
      <c r="G6075" s="94"/>
      <c r="H6075" s="131"/>
      <c r="I6075" s="3"/>
    </row>
    <row r="6076" spans="1:9" s="93" customFormat="1" ht="9" customHeight="1" x14ac:dyDescent="0.3">
      <c r="A6076" s="91"/>
      <c r="B6076" s="70"/>
      <c r="C6076" s="70"/>
      <c r="D6076" s="70"/>
      <c r="E6076" s="70"/>
      <c r="F6076" s="70"/>
      <c r="G6076" s="94"/>
      <c r="H6076" s="131"/>
      <c r="I6076" s="3"/>
    </row>
    <row r="6077" spans="1:9" s="93" customFormat="1" ht="9" customHeight="1" x14ac:dyDescent="0.3">
      <c r="A6077" s="91"/>
      <c r="B6077" s="70"/>
      <c r="C6077" s="70"/>
      <c r="D6077" s="70"/>
      <c r="E6077" s="70"/>
      <c r="F6077" s="70"/>
      <c r="G6077" s="94"/>
      <c r="H6077" s="131"/>
      <c r="I6077" s="3"/>
    </row>
    <row r="6078" spans="1:9" s="93" customFormat="1" ht="9" customHeight="1" x14ac:dyDescent="0.3">
      <c r="A6078" s="91"/>
      <c r="B6078" s="70"/>
      <c r="C6078" s="70"/>
      <c r="D6078" s="70"/>
      <c r="E6078" s="70"/>
      <c r="F6078" s="70"/>
      <c r="G6078" s="94"/>
      <c r="H6078" s="131"/>
      <c r="I6078" s="3"/>
    </row>
    <row r="6079" spans="1:9" s="93" customFormat="1" ht="9" customHeight="1" x14ac:dyDescent="0.3">
      <c r="A6079" s="91"/>
      <c r="B6079" s="70"/>
      <c r="C6079" s="70"/>
      <c r="D6079" s="70"/>
      <c r="E6079" s="70"/>
      <c r="F6079" s="70"/>
      <c r="G6079" s="94"/>
      <c r="H6079" s="131"/>
      <c r="I6079" s="3"/>
    </row>
    <row r="6080" spans="1:9" s="93" customFormat="1" ht="9" customHeight="1" x14ac:dyDescent="0.3">
      <c r="A6080" s="91"/>
      <c r="B6080" s="70"/>
      <c r="C6080" s="70"/>
      <c r="D6080" s="70"/>
      <c r="E6080" s="70"/>
      <c r="F6080" s="70"/>
      <c r="G6080" s="94"/>
      <c r="H6080" s="131"/>
      <c r="I6080" s="3"/>
    </row>
    <row r="6081" spans="1:9" s="93" customFormat="1" ht="9" customHeight="1" x14ac:dyDescent="0.3">
      <c r="A6081" s="91"/>
      <c r="B6081" s="70"/>
      <c r="C6081" s="70"/>
      <c r="D6081" s="70"/>
      <c r="E6081" s="70"/>
      <c r="F6081" s="70"/>
      <c r="G6081" s="94"/>
      <c r="H6081" s="131"/>
      <c r="I6081" s="3"/>
    </row>
    <row r="6082" spans="1:9" s="93" customFormat="1" ht="9" customHeight="1" x14ac:dyDescent="0.3">
      <c r="A6082" s="91"/>
      <c r="B6082" s="70"/>
      <c r="C6082" s="70"/>
      <c r="D6082" s="70"/>
      <c r="E6082" s="70"/>
      <c r="F6082" s="70"/>
      <c r="G6082" s="94"/>
      <c r="H6082" s="131"/>
      <c r="I6082" s="3"/>
    </row>
    <row r="6083" spans="1:9" s="93" customFormat="1" ht="9" customHeight="1" x14ac:dyDescent="0.3">
      <c r="A6083" s="91"/>
      <c r="B6083" s="70"/>
      <c r="C6083" s="70"/>
      <c r="D6083" s="70"/>
      <c r="E6083" s="70"/>
      <c r="F6083" s="70"/>
      <c r="G6083" s="94"/>
      <c r="H6083" s="131"/>
      <c r="I6083" s="3"/>
    </row>
    <row r="6084" spans="1:9" s="93" customFormat="1" ht="9" customHeight="1" x14ac:dyDescent="0.3">
      <c r="A6084" s="91"/>
      <c r="B6084" s="70"/>
      <c r="C6084" s="70"/>
      <c r="D6084" s="70"/>
      <c r="E6084" s="70"/>
      <c r="F6084" s="70"/>
      <c r="G6084" s="94"/>
      <c r="H6084" s="131"/>
      <c r="I6084" s="3"/>
    </row>
    <row r="6085" spans="1:9" s="93" customFormat="1" ht="9" customHeight="1" x14ac:dyDescent="0.3">
      <c r="A6085" s="91"/>
      <c r="B6085" s="70"/>
      <c r="C6085" s="70"/>
      <c r="D6085" s="70"/>
      <c r="E6085" s="70"/>
      <c r="F6085" s="70"/>
      <c r="G6085" s="94"/>
      <c r="H6085" s="131"/>
      <c r="I6085" s="3"/>
    </row>
    <row r="6086" spans="1:9" s="93" customFormat="1" ht="9" customHeight="1" x14ac:dyDescent="0.3">
      <c r="A6086" s="91"/>
      <c r="B6086" s="70"/>
      <c r="C6086" s="70"/>
      <c r="D6086" s="70"/>
      <c r="E6086" s="70"/>
      <c r="F6086" s="70"/>
      <c r="G6086" s="94"/>
      <c r="H6086" s="131"/>
      <c r="I6086" s="3"/>
    </row>
    <row r="6087" spans="1:9" s="93" customFormat="1" ht="9" customHeight="1" x14ac:dyDescent="0.3">
      <c r="A6087" s="91"/>
      <c r="B6087" s="70"/>
      <c r="C6087" s="70"/>
      <c r="D6087" s="70"/>
      <c r="E6087" s="70"/>
      <c r="F6087" s="70"/>
      <c r="G6087" s="94"/>
      <c r="H6087" s="131"/>
      <c r="I6087" s="3"/>
    </row>
    <row r="6088" spans="1:9" s="93" customFormat="1" ht="9" customHeight="1" x14ac:dyDescent="0.3">
      <c r="A6088" s="91"/>
      <c r="B6088" s="70"/>
      <c r="C6088" s="70"/>
      <c r="D6088" s="70"/>
      <c r="E6088" s="70"/>
      <c r="F6088" s="70"/>
      <c r="G6088" s="94"/>
      <c r="H6088" s="131"/>
      <c r="I6088" s="3"/>
    </row>
    <row r="6089" spans="1:9" s="93" customFormat="1" ht="9" customHeight="1" x14ac:dyDescent="0.3">
      <c r="A6089" s="91"/>
      <c r="B6089" s="70"/>
      <c r="C6089" s="70"/>
      <c r="D6089" s="70"/>
      <c r="E6089" s="70"/>
      <c r="F6089" s="70"/>
      <c r="G6089" s="94"/>
      <c r="H6089" s="131"/>
      <c r="I6089" s="3"/>
    </row>
    <row r="6090" spans="1:9" s="93" customFormat="1" ht="9" customHeight="1" x14ac:dyDescent="0.3">
      <c r="A6090" s="91"/>
      <c r="B6090" s="70"/>
      <c r="C6090" s="70"/>
      <c r="D6090" s="70"/>
      <c r="E6090" s="70"/>
      <c r="F6090" s="70"/>
      <c r="G6090" s="94"/>
      <c r="H6090" s="131"/>
      <c r="I6090" s="3"/>
    </row>
    <row r="6091" spans="1:9" s="93" customFormat="1" ht="9" customHeight="1" x14ac:dyDescent="0.3">
      <c r="A6091" s="91"/>
      <c r="B6091" s="70"/>
      <c r="C6091" s="70"/>
      <c r="D6091" s="70"/>
      <c r="E6091" s="70"/>
      <c r="F6091" s="70"/>
      <c r="G6091" s="94"/>
      <c r="H6091" s="131"/>
      <c r="I6091" s="3"/>
    </row>
    <row r="6092" spans="1:9" s="93" customFormat="1" ht="9" customHeight="1" x14ac:dyDescent="0.3">
      <c r="A6092" s="91"/>
      <c r="B6092" s="70"/>
      <c r="C6092" s="70"/>
      <c r="D6092" s="70"/>
      <c r="E6092" s="70"/>
      <c r="F6092" s="70"/>
      <c r="G6092" s="94"/>
      <c r="H6092" s="131"/>
      <c r="I6092" s="3"/>
    </row>
    <row r="6093" spans="1:9" s="93" customFormat="1" ht="9" customHeight="1" x14ac:dyDescent="0.3">
      <c r="A6093" s="91"/>
      <c r="B6093" s="70"/>
      <c r="C6093" s="70"/>
      <c r="D6093" s="70"/>
      <c r="E6093" s="70"/>
      <c r="F6093" s="70"/>
      <c r="G6093" s="94"/>
      <c r="H6093" s="131"/>
      <c r="I6093" s="3"/>
    </row>
    <row r="6094" spans="1:9" s="93" customFormat="1" ht="9" customHeight="1" x14ac:dyDescent="0.3">
      <c r="A6094" s="91"/>
      <c r="B6094" s="70"/>
      <c r="C6094" s="70"/>
      <c r="D6094" s="70"/>
      <c r="E6094" s="70"/>
      <c r="F6094" s="70"/>
      <c r="G6094" s="94"/>
      <c r="H6094" s="131"/>
      <c r="I6094" s="3"/>
    </row>
    <row r="6095" spans="1:9" s="93" customFormat="1" ht="9" customHeight="1" x14ac:dyDescent="0.3">
      <c r="A6095" s="91"/>
      <c r="B6095" s="70"/>
      <c r="C6095" s="70"/>
      <c r="D6095" s="70"/>
      <c r="E6095" s="70"/>
      <c r="F6095" s="70"/>
      <c r="G6095" s="94"/>
      <c r="H6095" s="131"/>
      <c r="I6095" s="3"/>
    </row>
    <row r="6096" spans="1:9" s="93" customFormat="1" ht="9" customHeight="1" x14ac:dyDescent="0.3">
      <c r="A6096" s="91"/>
      <c r="B6096" s="70"/>
      <c r="C6096" s="70"/>
      <c r="D6096" s="70"/>
      <c r="E6096" s="70"/>
      <c r="F6096" s="70"/>
      <c r="G6096" s="94"/>
      <c r="H6096" s="131"/>
      <c r="I6096" s="3"/>
    </row>
    <row r="6097" spans="1:9" s="93" customFormat="1" ht="9" customHeight="1" x14ac:dyDescent="0.3">
      <c r="A6097" s="91"/>
      <c r="B6097" s="70"/>
      <c r="C6097" s="70"/>
      <c r="D6097" s="70"/>
      <c r="E6097" s="70"/>
      <c r="F6097" s="70"/>
      <c r="G6097" s="94"/>
      <c r="H6097" s="131"/>
      <c r="I6097" s="3"/>
    </row>
    <row r="6098" spans="1:9" s="93" customFormat="1" ht="9" customHeight="1" x14ac:dyDescent="0.3">
      <c r="A6098" s="91"/>
      <c r="B6098" s="70"/>
      <c r="C6098" s="70"/>
      <c r="D6098" s="70"/>
      <c r="E6098" s="70"/>
      <c r="F6098" s="70"/>
      <c r="G6098" s="94"/>
      <c r="H6098" s="131"/>
      <c r="I6098" s="3"/>
    </row>
    <row r="6099" spans="1:9" s="93" customFormat="1" ht="9" customHeight="1" x14ac:dyDescent="0.3">
      <c r="A6099" s="91"/>
      <c r="B6099" s="70"/>
      <c r="C6099" s="70"/>
      <c r="D6099" s="70"/>
      <c r="E6099" s="70"/>
      <c r="F6099" s="70"/>
      <c r="G6099" s="94"/>
      <c r="H6099" s="131"/>
      <c r="I6099" s="3"/>
    </row>
    <row r="6100" spans="1:9" s="93" customFormat="1" ht="9" customHeight="1" x14ac:dyDescent="0.3">
      <c r="A6100" s="91"/>
      <c r="B6100" s="70"/>
      <c r="C6100" s="70"/>
      <c r="D6100" s="70"/>
      <c r="E6100" s="70"/>
      <c r="F6100" s="70"/>
      <c r="G6100" s="94"/>
      <c r="H6100" s="131"/>
      <c r="I6100" s="3"/>
    </row>
    <row r="6101" spans="1:9" s="93" customFormat="1" ht="9" customHeight="1" x14ac:dyDescent="0.3">
      <c r="A6101" s="91"/>
      <c r="B6101" s="70"/>
      <c r="C6101" s="70"/>
      <c r="D6101" s="70"/>
      <c r="E6101" s="70"/>
      <c r="F6101" s="70"/>
      <c r="G6101" s="94"/>
      <c r="H6101" s="131"/>
      <c r="I6101" s="3"/>
    </row>
    <row r="6102" spans="1:9" s="93" customFormat="1" ht="9" customHeight="1" x14ac:dyDescent="0.3">
      <c r="A6102" s="91"/>
      <c r="B6102" s="70"/>
      <c r="C6102" s="70"/>
      <c r="D6102" s="70"/>
      <c r="E6102" s="70"/>
      <c r="F6102" s="70"/>
      <c r="G6102" s="94"/>
      <c r="H6102" s="131"/>
      <c r="I6102" s="3"/>
    </row>
    <row r="6103" spans="1:9" s="93" customFormat="1" ht="9" customHeight="1" x14ac:dyDescent="0.3">
      <c r="A6103" s="91"/>
      <c r="B6103" s="70"/>
      <c r="C6103" s="70"/>
      <c r="D6103" s="70"/>
      <c r="E6103" s="70"/>
      <c r="F6103" s="70"/>
      <c r="G6103" s="94"/>
      <c r="H6103" s="131"/>
      <c r="I6103" s="3"/>
    </row>
    <row r="6104" spans="1:9" s="93" customFormat="1" ht="9" customHeight="1" x14ac:dyDescent="0.3">
      <c r="A6104" s="91"/>
      <c r="B6104" s="70"/>
      <c r="C6104" s="70"/>
      <c r="D6104" s="70"/>
      <c r="E6104" s="70"/>
      <c r="F6104" s="70"/>
      <c r="G6104" s="94"/>
      <c r="H6104" s="131"/>
      <c r="I6104" s="3"/>
    </row>
    <row r="6105" spans="1:9" s="93" customFormat="1" ht="9" customHeight="1" x14ac:dyDescent="0.3">
      <c r="A6105" s="91"/>
      <c r="B6105" s="70"/>
      <c r="C6105" s="70"/>
      <c r="D6105" s="70"/>
      <c r="E6105" s="70"/>
      <c r="F6105" s="70"/>
      <c r="G6105" s="94"/>
      <c r="H6105" s="131"/>
      <c r="I6105" s="3"/>
    </row>
    <row r="6106" spans="1:9" s="93" customFormat="1" ht="9" customHeight="1" x14ac:dyDescent="0.3">
      <c r="A6106" s="91"/>
      <c r="B6106" s="70"/>
      <c r="C6106" s="70"/>
      <c r="D6106" s="70"/>
      <c r="E6106" s="70"/>
      <c r="F6106" s="70"/>
      <c r="G6106" s="94"/>
      <c r="H6106" s="131"/>
      <c r="I6106" s="3"/>
    </row>
    <row r="6107" spans="1:9" s="93" customFormat="1" ht="9" customHeight="1" x14ac:dyDescent="0.3">
      <c r="A6107" s="91"/>
      <c r="B6107" s="70"/>
      <c r="C6107" s="70"/>
      <c r="D6107" s="70"/>
      <c r="E6107" s="70"/>
      <c r="F6107" s="70"/>
      <c r="G6107" s="94"/>
      <c r="H6107" s="131"/>
      <c r="I6107" s="3"/>
    </row>
    <row r="6108" spans="1:9" s="93" customFormat="1" ht="9" customHeight="1" x14ac:dyDescent="0.3">
      <c r="A6108" s="91"/>
      <c r="B6108" s="70"/>
      <c r="C6108" s="70"/>
      <c r="D6108" s="70"/>
      <c r="E6108" s="70"/>
      <c r="F6108" s="70"/>
      <c r="G6108" s="94"/>
      <c r="H6108" s="131"/>
      <c r="I6108" s="3"/>
    </row>
    <row r="6109" spans="1:9" s="93" customFormat="1" ht="9" customHeight="1" x14ac:dyDescent="0.3">
      <c r="A6109" s="91"/>
      <c r="B6109" s="70"/>
      <c r="C6109" s="70"/>
      <c r="D6109" s="70"/>
      <c r="E6109" s="70"/>
      <c r="F6109" s="70"/>
      <c r="G6109" s="94"/>
      <c r="H6109" s="131"/>
      <c r="I6109" s="3"/>
    </row>
    <row r="6110" spans="1:9" s="93" customFormat="1" ht="9" customHeight="1" x14ac:dyDescent="0.3">
      <c r="A6110" s="91"/>
      <c r="B6110" s="70"/>
      <c r="C6110" s="70"/>
      <c r="D6110" s="70"/>
      <c r="E6110" s="70"/>
      <c r="F6110" s="70"/>
      <c r="G6110" s="94"/>
      <c r="H6110" s="131"/>
      <c r="I6110" s="3"/>
    </row>
    <row r="6111" spans="1:9" s="93" customFormat="1" ht="9" customHeight="1" x14ac:dyDescent="0.3">
      <c r="A6111" s="91"/>
      <c r="B6111" s="70"/>
      <c r="C6111" s="70"/>
      <c r="D6111" s="70"/>
      <c r="E6111" s="70"/>
      <c r="F6111" s="70"/>
      <c r="G6111" s="94"/>
      <c r="H6111" s="131"/>
      <c r="I6111" s="3"/>
    </row>
    <row r="6112" spans="1:9" s="93" customFormat="1" ht="9" customHeight="1" x14ac:dyDescent="0.3">
      <c r="A6112" s="91"/>
      <c r="B6112" s="70"/>
      <c r="C6112" s="70"/>
      <c r="D6112" s="70"/>
      <c r="E6112" s="70"/>
      <c r="F6112" s="70"/>
      <c r="G6112" s="94"/>
      <c r="H6112" s="131"/>
      <c r="I6112" s="3"/>
    </row>
    <row r="6113" spans="1:9" s="93" customFormat="1" ht="9" customHeight="1" x14ac:dyDescent="0.3">
      <c r="A6113" s="91"/>
      <c r="B6113" s="70"/>
      <c r="C6113" s="70"/>
      <c r="D6113" s="70"/>
      <c r="E6113" s="70"/>
      <c r="F6113" s="70"/>
      <c r="G6113" s="94"/>
      <c r="H6113" s="131"/>
      <c r="I6113" s="3"/>
    </row>
    <row r="6114" spans="1:9" s="93" customFormat="1" ht="9" customHeight="1" x14ac:dyDescent="0.3">
      <c r="A6114" s="91"/>
      <c r="B6114" s="70"/>
      <c r="C6114" s="70"/>
      <c r="D6114" s="70"/>
      <c r="E6114" s="70"/>
      <c r="F6114" s="70"/>
      <c r="G6114" s="94"/>
      <c r="H6114" s="131"/>
      <c r="I6114" s="3"/>
    </row>
    <row r="6115" spans="1:9" s="93" customFormat="1" ht="9" customHeight="1" x14ac:dyDescent="0.3">
      <c r="A6115" s="91"/>
      <c r="B6115" s="70"/>
      <c r="C6115" s="70"/>
      <c r="D6115" s="70"/>
      <c r="E6115" s="70"/>
      <c r="F6115" s="70"/>
      <c r="G6115" s="94"/>
      <c r="H6115" s="131"/>
      <c r="I6115" s="3"/>
    </row>
    <row r="6116" spans="1:9" s="93" customFormat="1" ht="9" customHeight="1" x14ac:dyDescent="0.3">
      <c r="A6116" s="91"/>
      <c r="B6116" s="70"/>
      <c r="C6116" s="70"/>
      <c r="D6116" s="70"/>
      <c r="E6116" s="70"/>
      <c r="F6116" s="70"/>
      <c r="G6116" s="94"/>
      <c r="H6116" s="131"/>
      <c r="I6116" s="3"/>
    </row>
    <row r="6117" spans="1:9" s="93" customFormat="1" ht="9" customHeight="1" x14ac:dyDescent="0.3">
      <c r="A6117" s="91"/>
      <c r="B6117" s="70"/>
      <c r="C6117" s="70"/>
      <c r="D6117" s="70"/>
      <c r="E6117" s="70"/>
      <c r="F6117" s="70"/>
      <c r="G6117" s="94"/>
      <c r="H6117" s="131"/>
      <c r="I6117" s="3"/>
    </row>
    <row r="6118" spans="1:9" s="93" customFormat="1" ht="9" customHeight="1" x14ac:dyDescent="0.3">
      <c r="A6118" s="91"/>
      <c r="B6118" s="70"/>
      <c r="C6118" s="70"/>
      <c r="D6118" s="70"/>
      <c r="E6118" s="70"/>
      <c r="F6118" s="70"/>
      <c r="G6118" s="94"/>
      <c r="H6118" s="131"/>
      <c r="I6118" s="3"/>
    </row>
    <row r="6119" spans="1:9" s="93" customFormat="1" ht="9" customHeight="1" x14ac:dyDescent="0.3">
      <c r="A6119" s="91"/>
      <c r="B6119" s="70"/>
      <c r="C6119" s="70"/>
      <c r="D6119" s="70"/>
      <c r="E6119" s="70"/>
      <c r="F6119" s="70"/>
      <c r="G6119" s="94"/>
      <c r="H6119" s="131"/>
      <c r="I6119" s="3"/>
    </row>
    <row r="6120" spans="1:9" s="93" customFormat="1" ht="9" customHeight="1" x14ac:dyDescent="0.3">
      <c r="A6120" s="91"/>
      <c r="B6120" s="70"/>
      <c r="C6120" s="70"/>
      <c r="D6120" s="70"/>
      <c r="E6120" s="70"/>
      <c r="F6120" s="70"/>
      <c r="G6120" s="94"/>
      <c r="H6120" s="131"/>
      <c r="I6120" s="3"/>
    </row>
    <row r="6121" spans="1:9" s="93" customFormat="1" ht="9" customHeight="1" x14ac:dyDescent="0.3">
      <c r="A6121" s="91"/>
      <c r="B6121" s="70"/>
      <c r="C6121" s="70"/>
      <c r="D6121" s="70"/>
      <c r="E6121" s="70"/>
      <c r="F6121" s="70"/>
      <c r="G6121" s="94"/>
      <c r="H6121" s="131"/>
      <c r="I6121" s="3"/>
    </row>
    <row r="6122" spans="1:9" s="93" customFormat="1" ht="9" customHeight="1" x14ac:dyDescent="0.3">
      <c r="A6122" s="91"/>
      <c r="B6122" s="70"/>
      <c r="C6122" s="70"/>
      <c r="D6122" s="70"/>
      <c r="E6122" s="70"/>
      <c r="F6122" s="70"/>
      <c r="G6122" s="94"/>
      <c r="H6122" s="131"/>
      <c r="I6122" s="3"/>
    </row>
    <row r="6123" spans="1:9" s="93" customFormat="1" ht="9" customHeight="1" x14ac:dyDescent="0.3">
      <c r="A6123" s="91"/>
      <c r="B6123" s="70"/>
      <c r="C6123" s="70"/>
      <c r="D6123" s="70"/>
      <c r="E6123" s="70"/>
      <c r="F6123" s="70"/>
      <c r="G6123" s="94"/>
      <c r="H6123" s="131"/>
      <c r="I6123" s="3"/>
    </row>
    <row r="6124" spans="1:9" s="93" customFormat="1" ht="9" customHeight="1" x14ac:dyDescent="0.3">
      <c r="A6124" s="91"/>
      <c r="B6124" s="70"/>
      <c r="C6124" s="70"/>
      <c r="D6124" s="70"/>
      <c r="E6124" s="70"/>
      <c r="F6124" s="70"/>
      <c r="G6124" s="94"/>
      <c r="H6124" s="131"/>
      <c r="I6124" s="3"/>
    </row>
    <row r="6125" spans="1:9" s="93" customFormat="1" ht="9" customHeight="1" x14ac:dyDescent="0.3">
      <c r="A6125" s="91"/>
      <c r="B6125" s="70"/>
      <c r="C6125" s="70"/>
      <c r="D6125" s="70"/>
      <c r="E6125" s="70"/>
      <c r="F6125" s="70"/>
      <c r="G6125" s="94"/>
      <c r="H6125" s="131"/>
      <c r="I6125" s="3"/>
    </row>
    <row r="6126" spans="1:9" s="93" customFormat="1" ht="9" customHeight="1" x14ac:dyDescent="0.3">
      <c r="A6126" s="91"/>
      <c r="B6126" s="70"/>
      <c r="C6126" s="70"/>
      <c r="D6126" s="70"/>
      <c r="E6126" s="70"/>
      <c r="F6126" s="70"/>
      <c r="G6126" s="94"/>
      <c r="H6126" s="131"/>
      <c r="I6126" s="3"/>
    </row>
    <row r="6127" spans="1:9" s="93" customFormat="1" ht="9" customHeight="1" x14ac:dyDescent="0.3">
      <c r="A6127" s="91"/>
      <c r="B6127" s="70"/>
      <c r="C6127" s="70"/>
      <c r="D6127" s="70"/>
      <c r="E6127" s="70"/>
      <c r="F6127" s="70"/>
      <c r="G6127" s="94"/>
      <c r="H6127" s="131"/>
      <c r="I6127" s="3"/>
    </row>
    <row r="6128" spans="1:9" s="93" customFormat="1" ht="9" customHeight="1" x14ac:dyDescent="0.3">
      <c r="A6128" s="91"/>
      <c r="B6128" s="70"/>
      <c r="C6128" s="70"/>
      <c r="D6128" s="70"/>
      <c r="E6128" s="70"/>
      <c r="F6128" s="70"/>
      <c r="G6128" s="94"/>
      <c r="H6128" s="131"/>
      <c r="I6128" s="3"/>
    </row>
    <row r="6129" spans="1:9" s="93" customFormat="1" ht="9" customHeight="1" x14ac:dyDescent="0.3">
      <c r="A6129" s="91"/>
      <c r="B6129" s="70"/>
      <c r="C6129" s="70"/>
      <c r="D6129" s="70"/>
      <c r="E6129" s="70"/>
      <c r="F6129" s="70"/>
      <c r="G6129" s="94"/>
      <c r="H6129" s="131"/>
      <c r="I6129" s="3"/>
    </row>
    <row r="6130" spans="1:9" s="93" customFormat="1" ht="9" customHeight="1" x14ac:dyDescent="0.3">
      <c r="A6130" s="91"/>
      <c r="B6130" s="70"/>
      <c r="C6130" s="70"/>
      <c r="D6130" s="70"/>
      <c r="E6130" s="70"/>
      <c r="F6130" s="70"/>
      <c r="G6130" s="94"/>
      <c r="H6130" s="131"/>
      <c r="I6130" s="3"/>
    </row>
    <row r="6131" spans="1:9" s="93" customFormat="1" ht="9" customHeight="1" x14ac:dyDescent="0.3">
      <c r="A6131" s="91"/>
      <c r="B6131" s="70"/>
      <c r="C6131" s="70"/>
      <c r="D6131" s="70"/>
      <c r="E6131" s="70"/>
      <c r="F6131" s="70"/>
      <c r="G6131" s="94"/>
      <c r="H6131" s="131"/>
      <c r="I6131" s="3"/>
    </row>
    <row r="6132" spans="1:9" s="93" customFormat="1" ht="9" customHeight="1" x14ac:dyDescent="0.3">
      <c r="A6132" s="91"/>
      <c r="B6132" s="70"/>
      <c r="C6132" s="70"/>
      <c r="D6132" s="70"/>
      <c r="E6132" s="70"/>
      <c r="F6132" s="70"/>
      <c r="G6132" s="94"/>
      <c r="H6132" s="131"/>
      <c r="I6132" s="3"/>
    </row>
    <row r="6133" spans="1:9" s="93" customFormat="1" ht="9" customHeight="1" x14ac:dyDescent="0.3">
      <c r="A6133" s="91"/>
      <c r="B6133" s="70"/>
      <c r="C6133" s="70"/>
      <c r="D6133" s="70"/>
      <c r="E6133" s="70"/>
      <c r="F6133" s="70"/>
      <c r="G6133" s="94"/>
      <c r="H6133" s="131"/>
      <c r="I6133" s="3"/>
    </row>
    <row r="6134" spans="1:9" s="93" customFormat="1" ht="9" customHeight="1" x14ac:dyDescent="0.3">
      <c r="A6134" s="91"/>
      <c r="B6134" s="70"/>
      <c r="C6134" s="70"/>
      <c r="D6134" s="70"/>
      <c r="E6134" s="70"/>
      <c r="F6134" s="70"/>
      <c r="G6134" s="94"/>
      <c r="H6134" s="131"/>
      <c r="I6134" s="3"/>
    </row>
    <row r="6135" spans="1:9" s="93" customFormat="1" ht="9" customHeight="1" x14ac:dyDescent="0.3">
      <c r="A6135" s="91"/>
      <c r="B6135" s="70"/>
      <c r="C6135" s="70"/>
      <c r="D6135" s="70"/>
      <c r="E6135" s="70"/>
      <c r="F6135" s="70"/>
      <c r="G6135" s="94"/>
      <c r="H6135" s="131"/>
      <c r="I6135" s="3"/>
    </row>
    <row r="6136" spans="1:9" s="93" customFormat="1" ht="9" customHeight="1" x14ac:dyDescent="0.3">
      <c r="A6136" s="91"/>
      <c r="B6136" s="70"/>
      <c r="C6136" s="70"/>
      <c r="D6136" s="70"/>
      <c r="E6136" s="70"/>
      <c r="F6136" s="70"/>
      <c r="G6136" s="94"/>
      <c r="H6136" s="131"/>
      <c r="I6136" s="3"/>
    </row>
    <row r="6137" spans="1:9" s="93" customFormat="1" ht="9" customHeight="1" x14ac:dyDescent="0.3">
      <c r="A6137" s="91"/>
      <c r="B6137" s="70"/>
      <c r="C6137" s="70"/>
      <c r="D6137" s="70"/>
      <c r="E6137" s="70"/>
      <c r="F6137" s="70"/>
      <c r="G6137" s="94"/>
      <c r="H6137" s="131"/>
      <c r="I6137" s="3"/>
    </row>
    <row r="6138" spans="1:9" s="93" customFormat="1" ht="9" customHeight="1" x14ac:dyDescent="0.3">
      <c r="A6138" s="91"/>
      <c r="B6138" s="70"/>
      <c r="C6138" s="70"/>
      <c r="D6138" s="70"/>
      <c r="E6138" s="70"/>
      <c r="F6138" s="70"/>
      <c r="G6138" s="94"/>
      <c r="H6138" s="131"/>
      <c r="I6138" s="3"/>
    </row>
    <row r="6139" spans="1:9" s="93" customFormat="1" ht="9" customHeight="1" x14ac:dyDescent="0.3">
      <c r="A6139" s="91"/>
      <c r="B6139" s="70"/>
      <c r="C6139" s="70"/>
      <c r="D6139" s="70"/>
      <c r="E6139" s="70"/>
      <c r="F6139" s="70"/>
      <c r="G6139" s="94"/>
      <c r="H6139" s="131"/>
      <c r="I6139" s="3"/>
    </row>
    <row r="6140" spans="1:9" s="93" customFormat="1" ht="9" customHeight="1" x14ac:dyDescent="0.3">
      <c r="A6140" s="91"/>
      <c r="B6140" s="70"/>
      <c r="C6140" s="70"/>
      <c r="D6140" s="70"/>
      <c r="E6140" s="70"/>
      <c r="F6140" s="70"/>
      <c r="G6140" s="94"/>
      <c r="H6140" s="131"/>
      <c r="I6140" s="3"/>
    </row>
    <row r="6141" spans="1:9" s="93" customFormat="1" ht="9" customHeight="1" x14ac:dyDescent="0.3">
      <c r="A6141" s="91"/>
      <c r="B6141" s="70"/>
      <c r="C6141" s="70"/>
      <c r="D6141" s="70"/>
      <c r="E6141" s="70"/>
      <c r="F6141" s="70"/>
      <c r="G6141" s="94"/>
      <c r="H6141" s="131"/>
      <c r="I6141" s="3"/>
    </row>
    <row r="6142" spans="1:9" s="93" customFormat="1" ht="9" customHeight="1" x14ac:dyDescent="0.3">
      <c r="A6142" s="91"/>
      <c r="B6142" s="70"/>
      <c r="C6142" s="70"/>
      <c r="D6142" s="70"/>
      <c r="E6142" s="70"/>
      <c r="F6142" s="70"/>
      <c r="G6142" s="94"/>
      <c r="H6142" s="131"/>
      <c r="I6142" s="3"/>
    </row>
    <row r="6143" spans="1:9" s="93" customFormat="1" ht="9" customHeight="1" x14ac:dyDescent="0.3">
      <c r="A6143" s="91"/>
      <c r="B6143" s="70"/>
      <c r="C6143" s="70"/>
      <c r="D6143" s="70"/>
      <c r="E6143" s="70"/>
      <c r="F6143" s="70"/>
      <c r="G6143" s="94"/>
      <c r="H6143" s="131"/>
      <c r="I6143" s="3"/>
    </row>
    <row r="6144" spans="1:9" s="93" customFormat="1" ht="9" customHeight="1" x14ac:dyDescent="0.3">
      <c r="A6144" s="91"/>
      <c r="B6144" s="70"/>
      <c r="C6144" s="70"/>
      <c r="D6144" s="70"/>
      <c r="E6144" s="70"/>
      <c r="F6144" s="70"/>
      <c r="G6144" s="94"/>
      <c r="H6144" s="131"/>
      <c r="I6144" s="3"/>
    </row>
    <row r="6145" spans="1:9" s="93" customFormat="1" ht="9" customHeight="1" x14ac:dyDescent="0.3">
      <c r="A6145" s="91"/>
      <c r="B6145" s="70"/>
      <c r="C6145" s="70"/>
      <c r="D6145" s="70"/>
      <c r="E6145" s="70"/>
      <c r="F6145" s="70"/>
      <c r="G6145" s="94"/>
      <c r="H6145" s="131"/>
      <c r="I6145" s="3"/>
    </row>
    <row r="6146" spans="1:9" s="93" customFormat="1" ht="9" customHeight="1" x14ac:dyDescent="0.3">
      <c r="A6146" s="91"/>
      <c r="B6146" s="70"/>
      <c r="C6146" s="70"/>
      <c r="D6146" s="70"/>
      <c r="E6146" s="70"/>
      <c r="F6146" s="70"/>
      <c r="G6146" s="94"/>
      <c r="H6146" s="131"/>
      <c r="I6146" s="3"/>
    </row>
    <row r="6147" spans="1:9" s="93" customFormat="1" ht="9" customHeight="1" x14ac:dyDescent="0.3">
      <c r="A6147" s="91"/>
      <c r="B6147" s="70"/>
      <c r="C6147" s="70"/>
      <c r="D6147" s="70"/>
      <c r="E6147" s="70"/>
      <c r="F6147" s="70"/>
      <c r="G6147" s="94"/>
      <c r="H6147" s="131"/>
      <c r="I6147" s="3"/>
    </row>
    <row r="6148" spans="1:9" s="93" customFormat="1" ht="9" customHeight="1" x14ac:dyDescent="0.3">
      <c r="A6148" s="91"/>
      <c r="B6148" s="70"/>
      <c r="C6148" s="70"/>
      <c r="D6148" s="70"/>
      <c r="E6148" s="70"/>
      <c r="F6148" s="70"/>
      <c r="G6148" s="94"/>
      <c r="H6148" s="131"/>
      <c r="I6148" s="3"/>
    </row>
    <row r="6149" spans="1:9" s="93" customFormat="1" ht="9" customHeight="1" x14ac:dyDescent="0.3">
      <c r="A6149" s="91"/>
      <c r="B6149" s="70"/>
      <c r="C6149" s="70"/>
      <c r="D6149" s="70"/>
      <c r="E6149" s="70"/>
      <c r="F6149" s="70"/>
      <c r="G6149" s="94"/>
      <c r="H6149" s="131"/>
      <c r="I6149" s="3"/>
    </row>
    <row r="6150" spans="1:9" s="93" customFormat="1" ht="9" customHeight="1" x14ac:dyDescent="0.3">
      <c r="A6150" s="91"/>
      <c r="B6150" s="70"/>
      <c r="C6150" s="70"/>
      <c r="D6150" s="70"/>
      <c r="E6150" s="70"/>
      <c r="F6150" s="70"/>
      <c r="G6150" s="94"/>
      <c r="H6150" s="131"/>
      <c r="I6150" s="3"/>
    </row>
    <row r="6151" spans="1:9" s="93" customFormat="1" ht="9" customHeight="1" x14ac:dyDescent="0.3">
      <c r="A6151" s="91"/>
      <c r="B6151" s="70"/>
      <c r="C6151" s="70"/>
      <c r="D6151" s="70"/>
      <c r="E6151" s="70"/>
      <c r="F6151" s="70"/>
      <c r="G6151" s="94"/>
      <c r="H6151" s="131"/>
      <c r="I6151" s="3"/>
    </row>
    <row r="6152" spans="1:9" s="93" customFormat="1" ht="9" customHeight="1" x14ac:dyDescent="0.3">
      <c r="A6152" s="91"/>
      <c r="B6152" s="70"/>
      <c r="C6152" s="70"/>
      <c r="D6152" s="70"/>
      <c r="E6152" s="70"/>
      <c r="F6152" s="70"/>
      <c r="G6152" s="94"/>
      <c r="H6152" s="131"/>
      <c r="I6152" s="3"/>
    </row>
    <row r="6153" spans="1:9" s="93" customFormat="1" ht="9" customHeight="1" x14ac:dyDescent="0.3">
      <c r="A6153" s="91"/>
      <c r="B6153" s="70"/>
      <c r="C6153" s="70"/>
      <c r="D6153" s="70"/>
      <c r="E6153" s="70"/>
      <c r="F6153" s="70"/>
      <c r="G6153" s="94"/>
      <c r="H6153" s="131"/>
      <c r="I6153" s="3"/>
    </row>
    <row r="6154" spans="1:9" s="93" customFormat="1" ht="9" customHeight="1" x14ac:dyDescent="0.3">
      <c r="A6154" s="91"/>
      <c r="B6154" s="70"/>
      <c r="C6154" s="70"/>
      <c r="D6154" s="70"/>
      <c r="E6154" s="70"/>
      <c r="F6154" s="70"/>
      <c r="G6154" s="94"/>
      <c r="H6154" s="131"/>
      <c r="I6154" s="3"/>
    </row>
    <row r="6155" spans="1:9" s="93" customFormat="1" ht="9" customHeight="1" x14ac:dyDescent="0.3">
      <c r="A6155" s="91"/>
      <c r="B6155" s="70"/>
      <c r="C6155" s="70"/>
      <c r="D6155" s="70"/>
      <c r="E6155" s="70"/>
      <c r="F6155" s="70"/>
      <c r="G6155" s="94"/>
      <c r="H6155" s="131"/>
      <c r="I6155" s="3"/>
    </row>
    <row r="6156" spans="1:9" s="93" customFormat="1" ht="9" customHeight="1" x14ac:dyDescent="0.3">
      <c r="A6156" s="91"/>
      <c r="B6156" s="70"/>
      <c r="C6156" s="70"/>
      <c r="D6156" s="70"/>
      <c r="E6156" s="70"/>
      <c r="F6156" s="70"/>
      <c r="G6156" s="94"/>
      <c r="H6156" s="131"/>
      <c r="I6156" s="3"/>
    </row>
    <row r="6157" spans="1:9" s="93" customFormat="1" ht="9" customHeight="1" x14ac:dyDescent="0.3">
      <c r="A6157" s="91"/>
      <c r="B6157" s="70"/>
      <c r="C6157" s="70"/>
      <c r="D6157" s="70"/>
      <c r="E6157" s="70"/>
      <c r="F6157" s="70"/>
      <c r="G6157" s="94"/>
      <c r="H6157" s="131"/>
      <c r="I6157" s="3"/>
    </row>
    <row r="6158" spans="1:9" s="93" customFormat="1" ht="9" customHeight="1" x14ac:dyDescent="0.3">
      <c r="A6158" s="91"/>
      <c r="B6158" s="70"/>
      <c r="C6158" s="70"/>
      <c r="D6158" s="70"/>
      <c r="E6158" s="70"/>
      <c r="F6158" s="70"/>
      <c r="G6158" s="94"/>
      <c r="H6158" s="131"/>
      <c r="I6158" s="3"/>
    </row>
    <row r="6159" spans="1:9" s="93" customFormat="1" ht="9" customHeight="1" x14ac:dyDescent="0.3">
      <c r="A6159" s="91"/>
      <c r="B6159" s="70"/>
      <c r="C6159" s="70"/>
      <c r="D6159" s="70"/>
      <c r="E6159" s="70"/>
      <c r="F6159" s="70"/>
      <c r="G6159" s="94"/>
      <c r="H6159" s="131"/>
      <c r="I6159" s="3"/>
    </row>
    <row r="6160" spans="1:9" s="93" customFormat="1" ht="9" customHeight="1" x14ac:dyDescent="0.3">
      <c r="A6160" s="91"/>
      <c r="B6160" s="70"/>
      <c r="C6160" s="70"/>
      <c r="D6160" s="70"/>
      <c r="E6160" s="70"/>
      <c r="F6160" s="70"/>
      <c r="G6160" s="94"/>
      <c r="H6160" s="131"/>
      <c r="I6160" s="3"/>
    </row>
    <row r="6161" spans="1:9" s="93" customFormat="1" ht="9" customHeight="1" x14ac:dyDescent="0.3">
      <c r="A6161" s="91"/>
      <c r="B6161" s="70"/>
      <c r="C6161" s="70"/>
      <c r="D6161" s="70"/>
      <c r="E6161" s="70"/>
      <c r="F6161" s="70"/>
      <c r="G6161" s="94"/>
      <c r="H6161" s="131"/>
      <c r="I6161" s="3"/>
    </row>
    <row r="6162" spans="1:9" s="93" customFormat="1" ht="9" customHeight="1" x14ac:dyDescent="0.3">
      <c r="A6162" s="91"/>
      <c r="B6162" s="70"/>
      <c r="C6162" s="70"/>
      <c r="D6162" s="70"/>
      <c r="E6162" s="70"/>
      <c r="F6162" s="70"/>
      <c r="G6162" s="94"/>
      <c r="H6162" s="131"/>
      <c r="I6162" s="3"/>
    </row>
    <row r="6163" spans="1:9" s="93" customFormat="1" ht="9" customHeight="1" x14ac:dyDescent="0.3">
      <c r="A6163" s="91"/>
      <c r="B6163" s="70"/>
      <c r="C6163" s="70"/>
      <c r="D6163" s="70"/>
      <c r="E6163" s="70"/>
      <c r="F6163" s="70"/>
      <c r="G6163" s="94"/>
      <c r="H6163" s="131"/>
      <c r="I6163" s="3"/>
    </row>
    <row r="6164" spans="1:9" s="93" customFormat="1" ht="9" customHeight="1" x14ac:dyDescent="0.3">
      <c r="A6164" s="91"/>
      <c r="B6164" s="70"/>
      <c r="C6164" s="70"/>
      <c r="D6164" s="70"/>
      <c r="E6164" s="70"/>
      <c r="F6164" s="70"/>
      <c r="G6164" s="94"/>
      <c r="H6164" s="131"/>
      <c r="I6164" s="3"/>
    </row>
    <row r="6165" spans="1:9" s="93" customFormat="1" ht="9" customHeight="1" x14ac:dyDescent="0.3">
      <c r="A6165" s="91"/>
      <c r="B6165" s="70"/>
      <c r="C6165" s="70"/>
      <c r="D6165" s="70"/>
      <c r="E6165" s="70"/>
      <c r="F6165" s="70"/>
      <c r="G6165" s="94"/>
      <c r="H6165" s="131"/>
      <c r="I6165" s="3"/>
    </row>
    <row r="6166" spans="1:9" s="93" customFormat="1" ht="9" customHeight="1" x14ac:dyDescent="0.3">
      <c r="A6166" s="91"/>
      <c r="B6166" s="70"/>
      <c r="C6166" s="70"/>
      <c r="D6166" s="70"/>
      <c r="E6166" s="70"/>
      <c r="F6166" s="70"/>
      <c r="G6166" s="94"/>
      <c r="H6166" s="131"/>
      <c r="I6166" s="3"/>
    </row>
    <row r="6167" spans="1:9" s="93" customFormat="1" ht="9" customHeight="1" x14ac:dyDescent="0.3">
      <c r="A6167" s="91"/>
      <c r="B6167" s="70"/>
      <c r="C6167" s="70"/>
      <c r="D6167" s="70"/>
      <c r="E6167" s="70"/>
      <c r="F6167" s="70"/>
      <c r="G6167" s="94"/>
      <c r="H6167" s="131"/>
      <c r="I6167" s="3"/>
    </row>
    <row r="6168" spans="1:9" s="93" customFormat="1" ht="9" customHeight="1" x14ac:dyDescent="0.3">
      <c r="A6168" s="91"/>
      <c r="B6168" s="70"/>
      <c r="C6168" s="70"/>
      <c r="D6168" s="70"/>
      <c r="E6168" s="70"/>
      <c r="F6168" s="70"/>
      <c r="G6168" s="94"/>
      <c r="H6168" s="131"/>
      <c r="I6168" s="3"/>
    </row>
    <row r="6169" spans="1:9" s="93" customFormat="1" ht="9" customHeight="1" x14ac:dyDescent="0.3">
      <c r="A6169" s="91"/>
      <c r="B6169" s="70"/>
      <c r="C6169" s="70"/>
      <c r="D6169" s="70"/>
      <c r="E6169" s="70"/>
      <c r="F6169" s="70"/>
      <c r="G6169" s="94"/>
      <c r="H6169" s="131"/>
      <c r="I6169" s="3"/>
    </row>
    <row r="6170" spans="1:9" s="93" customFormat="1" ht="9" customHeight="1" x14ac:dyDescent="0.3">
      <c r="A6170" s="91"/>
      <c r="B6170" s="70"/>
      <c r="C6170" s="70"/>
      <c r="D6170" s="70"/>
      <c r="E6170" s="70"/>
      <c r="F6170" s="70"/>
      <c r="G6170" s="94"/>
      <c r="H6170" s="131"/>
      <c r="I6170" s="3"/>
    </row>
    <row r="6171" spans="1:9" s="93" customFormat="1" ht="9" customHeight="1" x14ac:dyDescent="0.3">
      <c r="A6171" s="91"/>
      <c r="B6171" s="70"/>
      <c r="C6171" s="70"/>
      <c r="D6171" s="70"/>
      <c r="E6171" s="70"/>
      <c r="F6171" s="70"/>
      <c r="G6171" s="94"/>
      <c r="H6171" s="131"/>
      <c r="I6171" s="3"/>
    </row>
    <row r="6172" spans="1:9" s="93" customFormat="1" ht="9" customHeight="1" x14ac:dyDescent="0.3">
      <c r="A6172" s="91"/>
      <c r="B6172" s="70"/>
      <c r="C6172" s="70"/>
      <c r="D6172" s="70"/>
      <c r="E6172" s="70"/>
      <c r="F6172" s="70"/>
      <c r="G6172" s="94"/>
      <c r="H6172" s="131"/>
      <c r="I6172" s="3"/>
    </row>
    <row r="6173" spans="1:9" s="93" customFormat="1" ht="9" customHeight="1" x14ac:dyDescent="0.3">
      <c r="A6173" s="91"/>
      <c r="B6173" s="70"/>
      <c r="C6173" s="70"/>
      <c r="D6173" s="70"/>
      <c r="E6173" s="70"/>
      <c r="F6173" s="70"/>
      <c r="G6173" s="94"/>
      <c r="H6173" s="131"/>
      <c r="I6173" s="3"/>
    </row>
    <row r="6174" spans="1:9" s="93" customFormat="1" ht="9" customHeight="1" x14ac:dyDescent="0.3">
      <c r="A6174" s="91"/>
      <c r="B6174" s="70"/>
      <c r="C6174" s="70"/>
      <c r="D6174" s="70"/>
      <c r="E6174" s="70"/>
      <c r="F6174" s="70"/>
      <c r="G6174" s="94"/>
      <c r="H6174" s="131"/>
      <c r="I6174" s="3"/>
    </row>
    <row r="6175" spans="1:9" s="93" customFormat="1" ht="9" customHeight="1" x14ac:dyDescent="0.3">
      <c r="A6175" s="91"/>
      <c r="B6175" s="70"/>
      <c r="C6175" s="70"/>
      <c r="D6175" s="70"/>
      <c r="E6175" s="70"/>
      <c r="F6175" s="70"/>
      <c r="G6175" s="94"/>
      <c r="H6175" s="131"/>
      <c r="I6175" s="3"/>
    </row>
    <row r="6176" spans="1:9" s="93" customFormat="1" ht="9" customHeight="1" x14ac:dyDescent="0.3">
      <c r="A6176" s="91"/>
      <c r="B6176" s="70"/>
      <c r="C6176" s="70"/>
      <c r="D6176" s="70"/>
      <c r="E6176" s="70"/>
      <c r="F6176" s="70"/>
      <c r="G6176" s="94"/>
      <c r="H6176" s="131"/>
      <c r="I6176" s="3"/>
    </row>
    <row r="6177" spans="1:9" s="93" customFormat="1" ht="9" customHeight="1" x14ac:dyDescent="0.3">
      <c r="A6177" s="91"/>
      <c r="B6177" s="70"/>
      <c r="C6177" s="70"/>
      <c r="D6177" s="70"/>
      <c r="E6177" s="70"/>
      <c r="F6177" s="70"/>
      <c r="G6177" s="94"/>
      <c r="H6177" s="131"/>
      <c r="I6177" s="3"/>
    </row>
    <row r="6178" spans="1:9" s="93" customFormat="1" ht="9" customHeight="1" x14ac:dyDescent="0.3">
      <c r="A6178" s="91"/>
      <c r="B6178" s="70"/>
      <c r="C6178" s="70"/>
      <c r="D6178" s="70"/>
      <c r="E6178" s="70"/>
      <c r="F6178" s="70"/>
      <c r="G6178" s="94"/>
      <c r="H6178" s="131"/>
      <c r="I6178" s="3"/>
    </row>
    <row r="6179" spans="1:9" s="93" customFormat="1" ht="9" customHeight="1" x14ac:dyDescent="0.3">
      <c r="A6179" s="91"/>
      <c r="B6179" s="70"/>
      <c r="C6179" s="70"/>
      <c r="D6179" s="70"/>
      <c r="E6179" s="70"/>
      <c r="F6179" s="70"/>
      <c r="G6179" s="94"/>
      <c r="H6179" s="131"/>
      <c r="I6179" s="3"/>
    </row>
    <row r="6180" spans="1:9" s="93" customFormat="1" ht="9" customHeight="1" x14ac:dyDescent="0.3">
      <c r="A6180" s="91"/>
      <c r="B6180" s="70"/>
      <c r="C6180" s="70"/>
      <c r="D6180" s="70"/>
      <c r="E6180" s="70"/>
      <c r="F6180" s="70"/>
      <c r="G6180" s="94"/>
      <c r="H6180" s="131"/>
      <c r="I6180" s="3"/>
    </row>
    <row r="6181" spans="1:9" s="93" customFormat="1" ht="9" customHeight="1" x14ac:dyDescent="0.3">
      <c r="A6181" s="91"/>
      <c r="B6181" s="70"/>
      <c r="C6181" s="70"/>
      <c r="D6181" s="70"/>
      <c r="E6181" s="70"/>
      <c r="F6181" s="70"/>
      <c r="G6181" s="94"/>
      <c r="H6181" s="131"/>
      <c r="I6181" s="3"/>
    </row>
    <row r="6182" spans="1:9" s="93" customFormat="1" ht="9" customHeight="1" x14ac:dyDescent="0.3">
      <c r="A6182" s="91"/>
      <c r="B6182" s="70"/>
      <c r="C6182" s="70"/>
      <c r="D6182" s="70"/>
      <c r="E6182" s="70"/>
      <c r="F6182" s="70"/>
      <c r="G6182" s="94"/>
      <c r="H6182" s="131"/>
      <c r="I6182" s="3"/>
    </row>
    <row r="6183" spans="1:9" s="93" customFormat="1" ht="9" customHeight="1" x14ac:dyDescent="0.3">
      <c r="A6183" s="91"/>
      <c r="B6183" s="70"/>
      <c r="C6183" s="70"/>
      <c r="D6183" s="70"/>
      <c r="E6183" s="70"/>
      <c r="F6183" s="70"/>
      <c r="G6183" s="94"/>
      <c r="H6183" s="131"/>
      <c r="I6183" s="3"/>
    </row>
    <row r="6184" spans="1:9" s="93" customFormat="1" ht="9" customHeight="1" x14ac:dyDescent="0.3">
      <c r="A6184" s="91"/>
      <c r="B6184" s="70"/>
      <c r="C6184" s="70"/>
      <c r="D6184" s="70"/>
      <c r="E6184" s="70"/>
      <c r="F6184" s="70"/>
      <c r="G6184" s="94"/>
      <c r="H6184" s="131"/>
      <c r="I6184" s="3"/>
    </row>
    <row r="6185" spans="1:9" s="93" customFormat="1" ht="9" customHeight="1" x14ac:dyDescent="0.3">
      <c r="A6185" s="91"/>
      <c r="B6185" s="70"/>
      <c r="C6185" s="70"/>
      <c r="D6185" s="70"/>
      <c r="E6185" s="70"/>
      <c r="F6185" s="70"/>
      <c r="G6185" s="94"/>
      <c r="H6185" s="131"/>
      <c r="I6185" s="3"/>
    </row>
    <row r="6186" spans="1:9" s="93" customFormat="1" ht="9" customHeight="1" x14ac:dyDescent="0.3">
      <c r="A6186" s="91"/>
      <c r="B6186" s="70"/>
      <c r="C6186" s="70"/>
      <c r="D6186" s="70"/>
      <c r="E6186" s="70"/>
      <c r="F6186" s="70"/>
      <c r="G6186" s="94"/>
      <c r="H6186" s="131"/>
      <c r="I6186" s="3"/>
    </row>
    <row r="6187" spans="1:9" s="93" customFormat="1" ht="9" customHeight="1" x14ac:dyDescent="0.3">
      <c r="A6187" s="91"/>
      <c r="B6187" s="70"/>
      <c r="C6187" s="70"/>
      <c r="D6187" s="70"/>
      <c r="E6187" s="70"/>
      <c r="F6187" s="70"/>
      <c r="G6187" s="94"/>
      <c r="H6187" s="131"/>
      <c r="I6187" s="3"/>
    </row>
    <row r="6188" spans="1:9" s="93" customFormat="1" ht="9" customHeight="1" x14ac:dyDescent="0.3">
      <c r="A6188" s="91"/>
      <c r="B6188" s="70"/>
      <c r="C6188" s="70"/>
      <c r="D6188" s="70"/>
      <c r="E6188" s="70"/>
      <c r="F6188" s="70"/>
      <c r="G6188" s="94"/>
      <c r="H6188" s="131"/>
      <c r="I6188" s="3"/>
    </row>
    <row r="6189" spans="1:9" s="93" customFormat="1" ht="9" customHeight="1" x14ac:dyDescent="0.3">
      <c r="A6189" s="91"/>
      <c r="B6189" s="70"/>
      <c r="C6189" s="70"/>
      <c r="D6189" s="70"/>
      <c r="E6189" s="70"/>
      <c r="F6189" s="70"/>
      <c r="G6189" s="94"/>
      <c r="H6189" s="131"/>
      <c r="I6189" s="3"/>
    </row>
    <row r="6190" spans="1:9" s="93" customFormat="1" ht="9" customHeight="1" x14ac:dyDescent="0.3">
      <c r="A6190" s="91"/>
      <c r="B6190" s="70"/>
      <c r="C6190" s="70"/>
      <c r="D6190" s="70"/>
      <c r="E6190" s="70"/>
      <c r="F6190" s="70"/>
      <c r="G6190" s="94"/>
      <c r="H6190" s="131"/>
      <c r="I6190" s="3"/>
    </row>
    <row r="6191" spans="1:9" s="93" customFormat="1" ht="9" customHeight="1" x14ac:dyDescent="0.3">
      <c r="A6191" s="91"/>
      <c r="B6191" s="70"/>
      <c r="C6191" s="70"/>
      <c r="D6191" s="70"/>
      <c r="E6191" s="70"/>
      <c r="F6191" s="70"/>
      <c r="G6191" s="94"/>
      <c r="H6191" s="131"/>
      <c r="I6191" s="3"/>
    </row>
    <row r="6192" spans="1:9" s="93" customFormat="1" ht="9" customHeight="1" x14ac:dyDescent="0.3">
      <c r="A6192" s="91"/>
      <c r="B6192" s="70"/>
      <c r="C6192" s="70"/>
      <c r="D6192" s="70"/>
      <c r="E6192" s="70"/>
      <c r="F6192" s="70"/>
      <c r="G6192" s="94"/>
      <c r="H6192" s="131"/>
      <c r="I6192" s="3"/>
    </row>
    <row r="6193" spans="1:9" s="93" customFormat="1" ht="9" customHeight="1" x14ac:dyDescent="0.3">
      <c r="A6193" s="91"/>
      <c r="B6193" s="70"/>
      <c r="C6193" s="70"/>
      <c r="D6193" s="70"/>
      <c r="E6193" s="70"/>
      <c r="F6193" s="70"/>
      <c r="G6193" s="94"/>
      <c r="H6193" s="131"/>
      <c r="I6193" s="3"/>
    </row>
    <row r="6194" spans="1:9" s="93" customFormat="1" ht="9" customHeight="1" x14ac:dyDescent="0.3">
      <c r="A6194" s="91"/>
      <c r="B6194" s="70"/>
      <c r="C6194" s="70"/>
      <c r="D6194" s="70"/>
      <c r="E6194" s="70"/>
      <c r="F6194" s="70"/>
      <c r="G6194" s="94"/>
      <c r="H6194" s="131"/>
      <c r="I6194" s="3"/>
    </row>
    <row r="6195" spans="1:9" s="93" customFormat="1" ht="9" customHeight="1" x14ac:dyDescent="0.3">
      <c r="A6195" s="91"/>
      <c r="B6195" s="70"/>
      <c r="C6195" s="70"/>
      <c r="D6195" s="70"/>
      <c r="E6195" s="70"/>
      <c r="F6195" s="70"/>
      <c r="G6195" s="94"/>
      <c r="H6195" s="131"/>
      <c r="I6195" s="3"/>
    </row>
    <row r="6196" spans="1:9" s="93" customFormat="1" ht="9" customHeight="1" x14ac:dyDescent="0.3">
      <c r="A6196" s="91"/>
      <c r="B6196" s="70"/>
      <c r="C6196" s="70"/>
      <c r="D6196" s="70"/>
      <c r="E6196" s="70"/>
      <c r="F6196" s="70"/>
      <c r="G6196" s="94"/>
      <c r="H6196" s="131"/>
      <c r="I6196" s="3"/>
    </row>
    <row r="6197" spans="1:9" s="93" customFormat="1" ht="9" customHeight="1" x14ac:dyDescent="0.3">
      <c r="A6197" s="91"/>
      <c r="B6197" s="70"/>
      <c r="C6197" s="70"/>
      <c r="D6197" s="70"/>
      <c r="E6197" s="70"/>
      <c r="F6197" s="70"/>
      <c r="G6197" s="94"/>
      <c r="H6197" s="131"/>
      <c r="I6197" s="3"/>
    </row>
    <row r="6198" spans="1:9" s="93" customFormat="1" ht="9" customHeight="1" x14ac:dyDescent="0.3">
      <c r="A6198" s="91"/>
      <c r="B6198" s="70"/>
      <c r="C6198" s="70"/>
      <c r="D6198" s="70"/>
      <c r="E6198" s="70"/>
      <c r="F6198" s="70"/>
      <c r="G6198" s="94"/>
      <c r="H6198" s="131"/>
      <c r="I6198" s="3"/>
    </row>
    <row r="6199" spans="1:9" s="93" customFormat="1" ht="9" customHeight="1" x14ac:dyDescent="0.3">
      <c r="A6199" s="91"/>
      <c r="B6199" s="70"/>
      <c r="C6199" s="70"/>
      <c r="D6199" s="70"/>
      <c r="E6199" s="70"/>
      <c r="F6199" s="70"/>
      <c r="G6199" s="94"/>
      <c r="H6199" s="131"/>
      <c r="I6199" s="3"/>
    </row>
    <row r="6200" spans="1:9" s="93" customFormat="1" ht="9" customHeight="1" x14ac:dyDescent="0.3">
      <c r="A6200" s="91"/>
      <c r="B6200" s="70"/>
      <c r="C6200" s="70"/>
      <c r="D6200" s="70"/>
      <c r="E6200" s="70"/>
      <c r="F6200" s="70"/>
      <c r="G6200" s="94"/>
      <c r="H6200" s="131"/>
      <c r="I6200" s="3"/>
    </row>
    <row r="6201" spans="1:9" s="93" customFormat="1" ht="9" customHeight="1" x14ac:dyDescent="0.3">
      <c r="A6201" s="91"/>
      <c r="B6201" s="70"/>
      <c r="C6201" s="70"/>
      <c r="D6201" s="70"/>
      <c r="E6201" s="70"/>
      <c r="F6201" s="70"/>
      <c r="G6201" s="94"/>
      <c r="H6201" s="131"/>
      <c r="I6201" s="3"/>
    </row>
    <row r="6202" spans="1:9" s="93" customFormat="1" ht="9" customHeight="1" x14ac:dyDescent="0.3">
      <c r="A6202" s="91"/>
      <c r="B6202" s="70"/>
      <c r="C6202" s="70"/>
      <c r="D6202" s="70"/>
      <c r="E6202" s="70"/>
      <c r="F6202" s="70"/>
      <c r="G6202" s="94"/>
      <c r="H6202" s="131"/>
      <c r="I6202" s="3"/>
    </row>
    <row r="6203" spans="1:9" s="93" customFormat="1" ht="9" customHeight="1" x14ac:dyDescent="0.3">
      <c r="A6203" s="91"/>
      <c r="B6203" s="70"/>
      <c r="C6203" s="70"/>
      <c r="D6203" s="70"/>
      <c r="E6203" s="70"/>
      <c r="F6203" s="70"/>
      <c r="G6203" s="94"/>
      <c r="H6203" s="131"/>
      <c r="I6203" s="3"/>
    </row>
    <row r="6204" spans="1:9" s="93" customFormat="1" ht="9" customHeight="1" x14ac:dyDescent="0.3">
      <c r="A6204" s="91"/>
      <c r="B6204" s="70"/>
      <c r="C6204" s="70"/>
      <c r="D6204" s="70"/>
      <c r="E6204" s="70"/>
      <c r="F6204" s="70"/>
      <c r="G6204" s="94"/>
      <c r="H6204" s="131"/>
      <c r="I6204" s="3"/>
    </row>
    <row r="6205" spans="1:9" s="93" customFormat="1" ht="9" customHeight="1" x14ac:dyDescent="0.3">
      <c r="A6205" s="91"/>
      <c r="B6205" s="70"/>
      <c r="C6205" s="70"/>
      <c r="D6205" s="70"/>
      <c r="E6205" s="70"/>
      <c r="F6205" s="70"/>
      <c r="G6205" s="94"/>
      <c r="H6205" s="131"/>
      <c r="I6205" s="3"/>
    </row>
    <row r="6206" spans="1:9" s="93" customFormat="1" ht="9" customHeight="1" x14ac:dyDescent="0.3">
      <c r="A6206" s="91"/>
      <c r="B6206" s="70"/>
      <c r="C6206" s="70"/>
      <c r="D6206" s="70"/>
      <c r="E6206" s="70"/>
      <c r="F6206" s="70"/>
      <c r="G6206" s="94"/>
      <c r="H6206" s="131"/>
      <c r="I6206" s="3"/>
    </row>
    <row r="6207" spans="1:9" s="93" customFormat="1" ht="9" customHeight="1" x14ac:dyDescent="0.3">
      <c r="A6207" s="91"/>
      <c r="B6207" s="70"/>
      <c r="C6207" s="70"/>
      <c r="D6207" s="70"/>
      <c r="E6207" s="70"/>
      <c r="F6207" s="70"/>
      <c r="G6207" s="94"/>
      <c r="H6207" s="131"/>
      <c r="I6207" s="3"/>
    </row>
    <row r="6208" spans="1:9" s="93" customFormat="1" ht="9" customHeight="1" x14ac:dyDescent="0.3">
      <c r="A6208" s="91"/>
      <c r="B6208" s="70"/>
      <c r="C6208" s="70"/>
      <c r="D6208" s="70"/>
      <c r="E6208" s="70"/>
      <c r="F6208" s="70"/>
      <c r="G6208" s="94"/>
      <c r="H6208" s="131"/>
      <c r="I6208" s="3"/>
    </row>
    <row r="6209" spans="1:9" s="93" customFormat="1" ht="9" customHeight="1" x14ac:dyDescent="0.3">
      <c r="A6209" s="91"/>
      <c r="B6209" s="70"/>
      <c r="C6209" s="70"/>
      <c r="D6209" s="70"/>
      <c r="E6209" s="70"/>
      <c r="F6209" s="70"/>
      <c r="G6209" s="94"/>
      <c r="H6209" s="131"/>
      <c r="I6209" s="3"/>
    </row>
    <row r="6210" spans="1:9" s="93" customFormat="1" ht="9" customHeight="1" x14ac:dyDescent="0.3">
      <c r="A6210" s="91"/>
      <c r="B6210" s="70"/>
      <c r="C6210" s="70"/>
      <c r="D6210" s="70"/>
      <c r="E6210" s="70"/>
      <c r="F6210" s="70"/>
      <c r="G6210" s="94"/>
      <c r="H6210" s="131"/>
      <c r="I6210" s="3"/>
    </row>
    <row r="6211" spans="1:9" s="93" customFormat="1" ht="9" customHeight="1" x14ac:dyDescent="0.3">
      <c r="A6211" s="91"/>
      <c r="B6211" s="70"/>
      <c r="C6211" s="70"/>
      <c r="D6211" s="70"/>
      <c r="E6211" s="70"/>
      <c r="F6211" s="70"/>
      <c r="G6211" s="94"/>
      <c r="H6211" s="131"/>
      <c r="I6211" s="3"/>
    </row>
    <row r="6212" spans="1:9" s="93" customFormat="1" ht="9" customHeight="1" x14ac:dyDescent="0.3">
      <c r="A6212" s="91"/>
      <c r="B6212" s="70"/>
      <c r="C6212" s="70"/>
      <c r="D6212" s="70"/>
      <c r="E6212" s="70"/>
      <c r="F6212" s="70"/>
      <c r="G6212" s="94"/>
      <c r="H6212" s="131"/>
      <c r="I6212" s="3"/>
    </row>
    <row r="6213" spans="1:9" s="93" customFormat="1" ht="9" customHeight="1" x14ac:dyDescent="0.3">
      <c r="A6213" s="91"/>
      <c r="B6213" s="70"/>
      <c r="C6213" s="70"/>
      <c r="D6213" s="70"/>
      <c r="E6213" s="70"/>
      <c r="F6213" s="70"/>
      <c r="G6213" s="94"/>
      <c r="H6213" s="131"/>
      <c r="I6213" s="3"/>
    </row>
    <row r="6214" spans="1:9" s="93" customFormat="1" ht="9" customHeight="1" x14ac:dyDescent="0.3">
      <c r="A6214" s="91"/>
      <c r="B6214" s="70"/>
      <c r="C6214" s="70"/>
      <c r="D6214" s="70"/>
      <c r="E6214" s="70"/>
      <c r="F6214" s="70"/>
      <c r="G6214" s="94"/>
      <c r="H6214" s="131"/>
      <c r="I6214" s="3"/>
    </row>
    <row r="6215" spans="1:9" s="93" customFormat="1" ht="9" customHeight="1" x14ac:dyDescent="0.3">
      <c r="A6215" s="91"/>
      <c r="B6215" s="70"/>
      <c r="C6215" s="70"/>
      <c r="D6215" s="70"/>
      <c r="E6215" s="70"/>
      <c r="F6215" s="70"/>
      <c r="G6215" s="94"/>
      <c r="H6215" s="131"/>
      <c r="I6215" s="3"/>
    </row>
    <row r="6216" spans="1:9" s="93" customFormat="1" ht="9" customHeight="1" x14ac:dyDescent="0.3">
      <c r="A6216" s="91"/>
      <c r="B6216" s="70"/>
      <c r="C6216" s="70"/>
      <c r="D6216" s="70"/>
      <c r="E6216" s="70"/>
      <c r="F6216" s="70"/>
      <c r="G6216" s="94"/>
      <c r="H6216" s="131"/>
      <c r="I6216" s="3"/>
    </row>
    <row r="6217" spans="1:9" s="93" customFormat="1" ht="9" customHeight="1" x14ac:dyDescent="0.3">
      <c r="A6217" s="91"/>
      <c r="B6217" s="70"/>
      <c r="C6217" s="70"/>
      <c r="D6217" s="70"/>
      <c r="E6217" s="70"/>
      <c r="F6217" s="70"/>
      <c r="G6217" s="94"/>
      <c r="H6217" s="131"/>
      <c r="I6217" s="3"/>
    </row>
    <row r="6218" spans="1:9" s="93" customFormat="1" ht="9" customHeight="1" x14ac:dyDescent="0.3">
      <c r="A6218" s="91"/>
      <c r="B6218" s="70"/>
      <c r="C6218" s="70"/>
      <c r="D6218" s="70"/>
      <c r="E6218" s="70"/>
      <c r="F6218" s="70"/>
      <c r="G6218" s="94"/>
      <c r="H6218" s="131"/>
      <c r="I6218" s="3"/>
    </row>
    <row r="6219" spans="1:9" s="93" customFormat="1" ht="9" customHeight="1" x14ac:dyDescent="0.3">
      <c r="A6219" s="91"/>
      <c r="B6219" s="70"/>
      <c r="C6219" s="70"/>
      <c r="D6219" s="70"/>
      <c r="E6219" s="70"/>
      <c r="F6219" s="70"/>
      <c r="G6219" s="94"/>
      <c r="H6219" s="131"/>
      <c r="I6219" s="3"/>
    </row>
    <row r="6220" spans="1:9" s="93" customFormat="1" ht="9" customHeight="1" x14ac:dyDescent="0.3">
      <c r="A6220" s="91"/>
      <c r="B6220" s="70"/>
      <c r="C6220" s="70"/>
      <c r="D6220" s="70"/>
      <c r="E6220" s="70"/>
      <c r="F6220" s="70"/>
      <c r="G6220" s="94"/>
      <c r="H6220" s="131"/>
      <c r="I6220" s="3"/>
    </row>
    <row r="6221" spans="1:9" s="93" customFormat="1" ht="9" customHeight="1" x14ac:dyDescent="0.3">
      <c r="A6221" s="91"/>
      <c r="B6221" s="70"/>
      <c r="C6221" s="70"/>
      <c r="D6221" s="70"/>
      <c r="E6221" s="70"/>
      <c r="F6221" s="70"/>
      <c r="G6221" s="94"/>
      <c r="H6221" s="131"/>
      <c r="I6221" s="3"/>
    </row>
    <row r="6222" spans="1:9" s="93" customFormat="1" ht="9" customHeight="1" x14ac:dyDescent="0.3">
      <c r="A6222" s="91"/>
      <c r="B6222" s="70"/>
      <c r="C6222" s="70"/>
      <c r="D6222" s="70"/>
      <c r="E6222" s="70"/>
      <c r="F6222" s="70"/>
      <c r="G6222" s="94"/>
      <c r="H6222" s="131"/>
      <c r="I6222" s="3"/>
    </row>
    <row r="6223" spans="1:9" s="93" customFormat="1" ht="9" customHeight="1" x14ac:dyDescent="0.3">
      <c r="A6223" s="91"/>
      <c r="B6223" s="70"/>
      <c r="C6223" s="70"/>
      <c r="D6223" s="70"/>
      <c r="E6223" s="70"/>
      <c r="F6223" s="70"/>
      <c r="G6223" s="94"/>
      <c r="H6223" s="131"/>
      <c r="I6223" s="3"/>
    </row>
    <row r="6224" spans="1:9" s="93" customFormat="1" ht="9" customHeight="1" x14ac:dyDescent="0.3">
      <c r="A6224" s="91"/>
      <c r="B6224" s="70"/>
      <c r="C6224" s="70"/>
      <c r="D6224" s="70"/>
      <c r="E6224" s="70"/>
      <c r="F6224" s="70"/>
      <c r="G6224" s="94"/>
      <c r="H6224" s="131"/>
      <c r="I6224" s="3"/>
    </row>
    <row r="6225" spans="1:9" s="93" customFormat="1" ht="9" customHeight="1" x14ac:dyDescent="0.3">
      <c r="A6225" s="91"/>
      <c r="B6225" s="70"/>
      <c r="C6225" s="70"/>
      <c r="D6225" s="70"/>
      <c r="E6225" s="70"/>
      <c r="F6225" s="70"/>
      <c r="G6225" s="94"/>
      <c r="H6225" s="131"/>
      <c r="I6225" s="3"/>
    </row>
    <row r="6226" spans="1:9" s="93" customFormat="1" ht="9" customHeight="1" x14ac:dyDescent="0.3">
      <c r="A6226" s="91"/>
      <c r="B6226" s="70"/>
      <c r="C6226" s="70"/>
      <c r="D6226" s="70"/>
      <c r="E6226" s="70"/>
      <c r="F6226" s="70"/>
      <c r="G6226" s="94"/>
      <c r="H6226" s="131"/>
      <c r="I6226" s="3"/>
    </row>
    <row r="6227" spans="1:9" s="93" customFormat="1" ht="9" customHeight="1" x14ac:dyDescent="0.3">
      <c r="A6227" s="91"/>
      <c r="B6227" s="70"/>
      <c r="C6227" s="70"/>
      <c r="D6227" s="70"/>
      <c r="E6227" s="70"/>
      <c r="F6227" s="70"/>
      <c r="G6227" s="94"/>
      <c r="H6227" s="131"/>
      <c r="I6227" s="3"/>
    </row>
    <row r="6228" spans="1:9" s="93" customFormat="1" ht="9" customHeight="1" x14ac:dyDescent="0.3">
      <c r="A6228" s="91"/>
      <c r="B6228" s="70"/>
      <c r="C6228" s="70"/>
      <c r="D6228" s="70"/>
      <c r="E6228" s="70"/>
      <c r="F6228" s="70"/>
      <c r="G6228" s="94"/>
      <c r="H6228" s="131"/>
      <c r="I6228" s="3"/>
    </row>
    <row r="6229" spans="1:9" s="93" customFormat="1" ht="9" customHeight="1" x14ac:dyDescent="0.3">
      <c r="A6229" s="91"/>
      <c r="B6229" s="70"/>
      <c r="C6229" s="70"/>
      <c r="D6229" s="70"/>
      <c r="E6229" s="70"/>
      <c r="F6229" s="70"/>
      <c r="G6229" s="94"/>
      <c r="H6229" s="131"/>
      <c r="I6229" s="3"/>
    </row>
    <row r="6230" spans="1:9" s="93" customFormat="1" ht="9" customHeight="1" x14ac:dyDescent="0.3">
      <c r="A6230" s="91"/>
      <c r="B6230" s="70"/>
      <c r="C6230" s="70"/>
      <c r="D6230" s="70"/>
      <c r="E6230" s="70"/>
      <c r="F6230" s="70"/>
      <c r="G6230" s="94"/>
      <c r="H6230" s="131"/>
      <c r="I6230" s="3"/>
    </row>
    <row r="6231" spans="1:9" s="93" customFormat="1" ht="9" customHeight="1" x14ac:dyDescent="0.3">
      <c r="A6231" s="91"/>
      <c r="B6231" s="70"/>
      <c r="C6231" s="70"/>
      <c r="D6231" s="70"/>
      <c r="E6231" s="70"/>
      <c r="F6231" s="70"/>
      <c r="G6231" s="94"/>
      <c r="H6231" s="131"/>
      <c r="I6231" s="3"/>
    </row>
    <row r="6232" spans="1:9" s="93" customFormat="1" ht="9" customHeight="1" x14ac:dyDescent="0.3">
      <c r="A6232" s="91"/>
      <c r="B6232" s="70"/>
      <c r="C6232" s="70"/>
      <c r="D6232" s="70"/>
      <c r="E6232" s="70"/>
      <c r="F6232" s="70"/>
      <c r="G6232" s="94"/>
      <c r="H6232" s="131"/>
      <c r="I6232" s="3"/>
    </row>
    <row r="6233" spans="1:9" s="93" customFormat="1" ht="9" customHeight="1" x14ac:dyDescent="0.3">
      <c r="A6233" s="91"/>
      <c r="B6233" s="70"/>
      <c r="C6233" s="70"/>
      <c r="D6233" s="70"/>
      <c r="E6233" s="70"/>
      <c r="F6233" s="70"/>
      <c r="G6233" s="94"/>
      <c r="H6233" s="131"/>
      <c r="I6233" s="3"/>
    </row>
    <row r="6234" spans="1:9" s="93" customFormat="1" ht="9" customHeight="1" x14ac:dyDescent="0.3">
      <c r="A6234" s="91"/>
      <c r="B6234" s="70"/>
      <c r="C6234" s="70"/>
      <c r="D6234" s="70"/>
      <c r="E6234" s="70"/>
      <c r="F6234" s="70"/>
      <c r="G6234" s="94"/>
      <c r="H6234" s="131"/>
      <c r="I6234" s="3"/>
    </row>
    <row r="6235" spans="1:9" s="93" customFormat="1" ht="9" customHeight="1" x14ac:dyDescent="0.3">
      <c r="A6235" s="91"/>
      <c r="B6235" s="70"/>
      <c r="C6235" s="70"/>
      <c r="D6235" s="70"/>
      <c r="E6235" s="70"/>
      <c r="F6235" s="70"/>
      <c r="G6235" s="94"/>
      <c r="H6235" s="131"/>
      <c r="I6235" s="3"/>
    </row>
    <row r="6236" spans="1:9" s="93" customFormat="1" ht="9" customHeight="1" x14ac:dyDescent="0.3">
      <c r="A6236" s="91"/>
      <c r="B6236" s="70"/>
      <c r="C6236" s="70"/>
      <c r="D6236" s="70"/>
      <c r="E6236" s="70"/>
      <c r="F6236" s="70"/>
      <c r="G6236" s="94"/>
      <c r="H6236" s="131"/>
      <c r="I6236" s="3"/>
    </row>
    <row r="6237" spans="1:9" s="93" customFormat="1" ht="9" customHeight="1" x14ac:dyDescent="0.3">
      <c r="A6237" s="91"/>
      <c r="B6237" s="70"/>
      <c r="C6237" s="70"/>
      <c r="D6237" s="70"/>
      <c r="E6237" s="70"/>
      <c r="F6237" s="70"/>
      <c r="G6237" s="94"/>
      <c r="H6237" s="131"/>
      <c r="I6237" s="3"/>
    </row>
    <row r="6238" spans="1:9" s="93" customFormat="1" ht="9" customHeight="1" x14ac:dyDescent="0.3">
      <c r="A6238" s="91"/>
      <c r="B6238" s="70"/>
      <c r="C6238" s="70"/>
      <c r="D6238" s="70"/>
      <c r="E6238" s="70"/>
      <c r="F6238" s="70"/>
      <c r="G6238" s="94"/>
      <c r="H6238" s="131"/>
      <c r="I6238" s="3"/>
    </row>
    <row r="6239" spans="1:9" s="93" customFormat="1" ht="9" customHeight="1" x14ac:dyDescent="0.3">
      <c r="A6239" s="91"/>
      <c r="B6239" s="70"/>
      <c r="C6239" s="70"/>
      <c r="D6239" s="70"/>
      <c r="E6239" s="70"/>
      <c r="F6239" s="70"/>
      <c r="G6239" s="94"/>
      <c r="H6239" s="131"/>
      <c r="I6239" s="3"/>
    </row>
    <row r="6240" spans="1:9" s="93" customFormat="1" ht="9" customHeight="1" x14ac:dyDescent="0.3">
      <c r="A6240" s="91"/>
      <c r="B6240" s="70"/>
      <c r="C6240" s="70"/>
      <c r="D6240" s="70"/>
      <c r="E6240" s="70"/>
      <c r="F6240" s="70"/>
      <c r="G6240" s="94"/>
      <c r="H6240" s="131"/>
      <c r="I6240" s="3"/>
    </row>
    <row r="6241" spans="1:9" s="93" customFormat="1" ht="9" customHeight="1" x14ac:dyDescent="0.3">
      <c r="A6241" s="91"/>
      <c r="B6241" s="70"/>
      <c r="C6241" s="70"/>
      <c r="D6241" s="70"/>
      <c r="E6241" s="70"/>
      <c r="F6241" s="70"/>
      <c r="G6241" s="94"/>
      <c r="H6241" s="131"/>
      <c r="I6241" s="3"/>
    </row>
    <row r="6242" spans="1:9" s="93" customFormat="1" ht="9" customHeight="1" x14ac:dyDescent="0.3">
      <c r="A6242" s="91"/>
      <c r="B6242" s="70"/>
      <c r="C6242" s="70"/>
      <c r="D6242" s="70"/>
      <c r="E6242" s="70"/>
      <c r="F6242" s="70"/>
      <c r="G6242" s="94"/>
      <c r="H6242" s="131"/>
      <c r="I6242" s="3"/>
    </row>
    <row r="6243" spans="1:9" s="93" customFormat="1" ht="9" customHeight="1" x14ac:dyDescent="0.3">
      <c r="A6243" s="91"/>
      <c r="B6243" s="70"/>
      <c r="C6243" s="70"/>
      <c r="D6243" s="70"/>
      <c r="E6243" s="70"/>
      <c r="F6243" s="70"/>
      <c r="G6243" s="94"/>
      <c r="H6243" s="131"/>
      <c r="I6243" s="3"/>
    </row>
    <row r="6244" spans="1:9" s="93" customFormat="1" ht="9" customHeight="1" x14ac:dyDescent="0.3">
      <c r="A6244" s="91"/>
      <c r="B6244" s="70"/>
      <c r="C6244" s="70"/>
      <c r="D6244" s="70"/>
      <c r="E6244" s="70"/>
      <c r="F6244" s="70"/>
      <c r="G6244" s="94"/>
      <c r="H6244" s="131"/>
      <c r="I6244" s="3"/>
    </row>
    <row r="6245" spans="1:9" s="93" customFormat="1" ht="9" customHeight="1" x14ac:dyDescent="0.3">
      <c r="A6245" s="91"/>
      <c r="B6245" s="70"/>
      <c r="C6245" s="70"/>
      <c r="D6245" s="70"/>
      <c r="E6245" s="70"/>
      <c r="F6245" s="70"/>
      <c r="G6245" s="94"/>
      <c r="H6245" s="131"/>
      <c r="I6245" s="3"/>
    </row>
    <row r="6246" spans="1:9" s="93" customFormat="1" ht="9" customHeight="1" x14ac:dyDescent="0.3">
      <c r="A6246" s="91"/>
      <c r="B6246" s="70"/>
      <c r="C6246" s="70"/>
      <c r="D6246" s="70"/>
      <c r="E6246" s="70"/>
      <c r="F6246" s="70"/>
      <c r="G6246" s="94"/>
      <c r="H6246" s="131"/>
      <c r="I6246" s="3"/>
    </row>
    <row r="6247" spans="1:9" s="93" customFormat="1" ht="9" customHeight="1" x14ac:dyDescent="0.3">
      <c r="A6247" s="91"/>
      <c r="B6247" s="70"/>
      <c r="C6247" s="70"/>
      <c r="D6247" s="70"/>
      <c r="E6247" s="70"/>
      <c r="F6247" s="70"/>
      <c r="G6247" s="94"/>
      <c r="H6247" s="131"/>
      <c r="I6247" s="3"/>
    </row>
    <row r="6248" spans="1:9" s="93" customFormat="1" ht="9" customHeight="1" x14ac:dyDescent="0.3">
      <c r="A6248" s="91"/>
      <c r="B6248" s="70"/>
      <c r="C6248" s="70"/>
      <c r="D6248" s="70"/>
      <c r="E6248" s="70"/>
      <c r="F6248" s="70"/>
      <c r="G6248" s="94"/>
      <c r="H6248" s="131"/>
      <c r="I6248" s="3"/>
    </row>
    <row r="6249" spans="1:9" s="93" customFormat="1" ht="9" customHeight="1" x14ac:dyDescent="0.3">
      <c r="A6249" s="91"/>
      <c r="B6249" s="70"/>
      <c r="C6249" s="70"/>
      <c r="D6249" s="70"/>
      <c r="E6249" s="70"/>
      <c r="F6249" s="70"/>
      <c r="G6249" s="94"/>
      <c r="H6249" s="131"/>
      <c r="I6249" s="3"/>
    </row>
    <row r="6250" spans="1:9" s="93" customFormat="1" ht="9" customHeight="1" x14ac:dyDescent="0.3">
      <c r="A6250" s="91"/>
      <c r="B6250" s="70"/>
      <c r="C6250" s="70"/>
      <c r="D6250" s="70"/>
      <c r="E6250" s="70"/>
      <c r="F6250" s="70"/>
      <c r="G6250" s="94"/>
      <c r="H6250" s="131"/>
      <c r="I6250" s="3"/>
    </row>
    <row r="6251" spans="1:9" s="93" customFormat="1" ht="9" customHeight="1" x14ac:dyDescent="0.3">
      <c r="A6251" s="91"/>
      <c r="B6251" s="70"/>
      <c r="C6251" s="70"/>
      <c r="D6251" s="70"/>
      <c r="E6251" s="70"/>
      <c r="F6251" s="70"/>
      <c r="G6251" s="94"/>
      <c r="H6251" s="131"/>
      <c r="I6251" s="3"/>
    </row>
    <row r="6252" spans="1:9" s="93" customFormat="1" ht="9" customHeight="1" x14ac:dyDescent="0.3">
      <c r="A6252" s="91"/>
      <c r="B6252" s="70"/>
      <c r="C6252" s="70"/>
      <c r="D6252" s="70"/>
      <c r="E6252" s="70"/>
      <c r="F6252" s="70"/>
      <c r="G6252" s="94"/>
      <c r="H6252" s="131"/>
      <c r="I6252" s="3"/>
    </row>
    <row r="6253" spans="1:9" s="93" customFormat="1" ht="9" customHeight="1" x14ac:dyDescent="0.3">
      <c r="A6253" s="91"/>
      <c r="B6253" s="70"/>
      <c r="C6253" s="70"/>
      <c r="D6253" s="70"/>
      <c r="E6253" s="70"/>
      <c r="F6253" s="70"/>
      <c r="G6253" s="94"/>
      <c r="H6253" s="131"/>
      <c r="I6253" s="3"/>
    </row>
    <row r="6254" spans="1:9" s="93" customFormat="1" ht="9" customHeight="1" x14ac:dyDescent="0.3">
      <c r="A6254" s="91"/>
      <c r="B6254" s="70"/>
      <c r="C6254" s="70"/>
      <c r="D6254" s="70"/>
      <c r="E6254" s="70"/>
      <c r="F6254" s="70"/>
      <c r="G6254" s="94"/>
      <c r="H6254" s="131"/>
      <c r="I6254" s="3"/>
    </row>
    <row r="6255" spans="1:9" s="93" customFormat="1" ht="9" customHeight="1" x14ac:dyDescent="0.3">
      <c r="A6255" s="91"/>
      <c r="B6255" s="70"/>
      <c r="C6255" s="70"/>
      <c r="D6255" s="70"/>
      <c r="E6255" s="70"/>
      <c r="F6255" s="70"/>
      <c r="G6255" s="94"/>
      <c r="H6255" s="131"/>
      <c r="I6255" s="3"/>
    </row>
    <row r="6256" spans="1:9" s="93" customFormat="1" ht="9" customHeight="1" x14ac:dyDescent="0.3">
      <c r="A6256" s="91"/>
      <c r="B6256" s="70"/>
      <c r="C6256" s="70"/>
      <c r="D6256" s="70"/>
      <c r="E6256" s="70"/>
      <c r="F6256" s="70"/>
      <c r="G6256" s="94"/>
      <c r="H6256" s="131"/>
      <c r="I6256" s="3"/>
    </row>
    <row r="6257" spans="1:9" s="93" customFormat="1" ht="9" customHeight="1" x14ac:dyDescent="0.3">
      <c r="A6257" s="91"/>
      <c r="B6257" s="70"/>
      <c r="C6257" s="70"/>
      <c r="D6257" s="70"/>
      <c r="E6257" s="70"/>
      <c r="F6257" s="70"/>
      <c r="G6257" s="94"/>
      <c r="H6257" s="131"/>
      <c r="I6257" s="3"/>
    </row>
    <row r="6258" spans="1:9" s="93" customFormat="1" ht="9" customHeight="1" x14ac:dyDescent="0.3">
      <c r="A6258" s="91"/>
      <c r="B6258" s="70"/>
      <c r="C6258" s="70"/>
      <c r="D6258" s="70"/>
      <c r="E6258" s="70"/>
      <c r="F6258" s="70"/>
      <c r="G6258" s="94"/>
      <c r="H6258" s="131"/>
      <c r="I6258" s="3"/>
    </row>
    <row r="6259" spans="1:9" s="93" customFormat="1" ht="9" customHeight="1" x14ac:dyDescent="0.3">
      <c r="A6259" s="91"/>
      <c r="B6259" s="70"/>
      <c r="C6259" s="70"/>
      <c r="D6259" s="70"/>
      <c r="E6259" s="70"/>
      <c r="F6259" s="70"/>
      <c r="G6259" s="94"/>
      <c r="H6259" s="131"/>
      <c r="I6259" s="3"/>
    </row>
    <row r="6260" spans="1:9" s="93" customFormat="1" ht="9" customHeight="1" x14ac:dyDescent="0.3">
      <c r="A6260" s="91"/>
      <c r="B6260" s="70"/>
      <c r="C6260" s="70"/>
      <c r="D6260" s="70"/>
      <c r="E6260" s="70"/>
      <c r="F6260" s="70"/>
      <c r="G6260" s="94"/>
      <c r="H6260" s="131"/>
      <c r="I6260" s="3"/>
    </row>
    <row r="6261" spans="1:9" s="93" customFormat="1" ht="9" customHeight="1" x14ac:dyDescent="0.3">
      <c r="A6261" s="91"/>
      <c r="B6261" s="70"/>
      <c r="C6261" s="70"/>
      <c r="D6261" s="70"/>
      <c r="E6261" s="70"/>
      <c r="F6261" s="70"/>
      <c r="G6261" s="94"/>
      <c r="H6261" s="131"/>
      <c r="I6261" s="3"/>
    </row>
    <row r="6262" spans="1:9" s="93" customFormat="1" ht="9" customHeight="1" x14ac:dyDescent="0.3">
      <c r="A6262" s="91"/>
      <c r="B6262" s="70"/>
      <c r="C6262" s="70"/>
      <c r="D6262" s="70"/>
      <c r="E6262" s="70"/>
      <c r="F6262" s="70"/>
      <c r="G6262" s="94"/>
      <c r="H6262" s="131"/>
      <c r="I6262" s="3"/>
    </row>
    <row r="6263" spans="1:9" s="93" customFormat="1" ht="9" customHeight="1" x14ac:dyDescent="0.3">
      <c r="A6263" s="91"/>
      <c r="B6263" s="70"/>
      <c r="C6263" s="70"/>
      <c r="D6263" s="70"/>
      <c r="E6263" s="70"/>
      <c r="F6263" s="70"/>
      <c r="G6263" s="94"/>
      <c r="H6263" s="131"/>
      <c r="I6263" s="3"/>
    </row>
    <row r="6264" spans="1:9" s="93" customFormat="1" ht="9" customHeight="1" x14ac:dyDescent="0.3">
      <c r="A6264" s="91"/>
      <c r="B6264" s="70"/>
      <c r="C6264" s="70"/>
      <c r="D6264" s="70"/>
      <c r="E6264" s="70"/>
      <c r="F6264" s="70"/>
      <c r="G6264" s="94"/>
      <c r="H6264" s="131"/>
      <c r="I6264" s="3"/>
    </row>
    <row r="6265" spans="1:9" s="93" customFormat="1" ht="9" customHeight="1" x14ac:dyDescent="0.3">
      <c r="A6265" s="91"/>
      <c r="B6265" s="70"/>
      <c r="C6265" s="70"/>
      <c r="D6265" s="70"/>
      <c r="E6265" s="70"/>
      <c r="F6265" s="70"/>
      <c r="G6265" s="94"/>
      <c r="H6265" s="131"/>
      <c r="I6265" s="3"/>
    </row>
    <row r="6266" spans="1:9" s="93" customFormat="1" ht="9" customHeight="1" x14ac:dyDescent="0.3">
      <c r="A6266" s="91"/>
      <c r="B6266" s="70"/>
      <c r="C6266" s="70"/>
      <c r="D6266" s="70"/>
      <c r="E6266" s="70"/>
      <c r="F6266" s="70"/>
      <c r="G6266" s="94"/>
      <c r="H6266" s="131"/>
      <c r="I6266" s="3"/>
    </row>
    <row r="6267" spans="1:9" s="93" customFormat="1" ht="9" customHeight="1" x14ac:dyDescent="0.3">
      <c r="A6267" s="91"/>
      <c r="B6267" s="70"/>
      <c r="C6267" s="70"/>
      <c r="D6267" s="70"/>
      <c r="E6267" s="70"/>
      <c r="F6267" s="70"/>
      <c r="G6267" s="94"/>
      <c r="H6267" s="131"/>
      <c r="I6267" s="3"/>
    </row>
    <row r="6268" spans="1:9" s="93" customFormat="1" ht="9" customHeight="1" x14ac:dyDescent="0.3">
      <c r="A6268" s="91"/>
      <c r="B6268" s="70"/>
      <c r="C6268" s="70"/>
      <c r="D6268" s="70"/>
      <c r="E6268" s="70"/>
      <c r="F6268" s="70"/>
      <c r="G6268" s="94"/>
      <c r="H6268" s="131"/>
      <c r="I6268" s="3"/>
    </row>
    <row r="6269" spans="1:9" s="93" customFormat="1" ht="9" customHeight="1" x14ac:dyDescent="0.3">
      <c r="A6269" s="91"/>
      <c r="B6269" s="70"/>
      <c r="C6269" s="70"/>
      <c r="D6269" s="70"/>
      <c r="E6269" s="70"/>
      <c r="F6269" s="70"/>
      <c r="G6269" s="94"/>
      <c r="H6269" s="131"/>
      <c r="I6269" s="3"/>
    </row>
    <row r="6270" spans="1:9" s="93" customFormat="1" ht="9" customHeight="1" x14ac:dyDescent="0.3">
      <c r="A6270" s="91"/>
      <c r="B6270" s="70"/>
      <c r="C6270" s="70"/>
      <c r="D6270" s="70"/>
      <c r="E6270" s="70"/>
      <c r="F6270" s="70"/>
      <c r="G6270" s="94"/>
      <c r="H6270" s="131"/>
      <c r="I6270" s="3"/>
    </row>
    <row r="6271" spans="1:9" s="93" customFormat="1" ht="9" customHeight="1" x14ac:dyDescent="0.3">
      <c r="A6271" s="91"/>
      <c r="B6271" s="70"/>
      <c r="C6271" s="70"/>
      <c r="D6271" s="70"/>
      <c r="E6271" s="70"/>
      <c r="F6271" s="70"/>
      <c r="G6271" s="94"/>
      <c r="H6271" s="131"/>
      <c r="I6271" s="3"/>
    </row>
    <row r="6272" spans="1:9" s="93" customFormat="1" ht="9" customHeight="1" x14ac:dyDescent="0.3">
      <c r="A6272" s="91"/>
      <c r="B6272" s="70"/>
      <c r="C6272" s="70"/>
      <c r="D6272" s="70"/>
      <c r="E6272" s="70"/>
      <c r="F6272" s="70"/>
      <c r="G6272" s="94"/>
      <c r="H6272" s="131"/>
      <c r="I6272" s="3"/>
    </row>
    <row r="6273" spans="1:9" s="93" customFormat="1" ht="9" customHeight="1" x14ac:dyDescent="0.3">
      <c r="A6273" s="91"/>
      <c r="B6273" s="70"/>
      <c r="C6273" s="70"/>
      <c r="D6273" s="70"/>
      <c r="E6273" s="70"/>
      <c r="F6273" s="70"/>
      <c r="G6273" s="94"/>
      <c r="H6273" s="131"/>
      <c r="I6273" s="3"/>
    </row>
    <row r="6274" spans="1:9" s="93" customFormat="1" ht="9" customHeight="1" x14ac:dyDescent="0.3">
      <c r="A6274" s="91"/>
      <c r="B6274" s="70"/>
      <c r="C6274" s="70"/>
      <c r="D6274" s="70"/>
      <c r="E6274" s="70"/>
      <c r="F6274" s="70"/>
      <c r="G6274" s="94"/>
      <c r="H6274" s="131"/>
      <c r="I6274" s="3"/>
    </row>
    <row r="6275" spans="1:9" s="93" customFormat="1" ht="9" customHeight="1" x14ac:dyDescent="0.3">
      <c r="A6275" s="91"/>
      <c r="B6275" s="70"/>
      <c r="C6275" s="70"/>
      <c r="D6275" s="70"/>
      <c r="E6275" s="70"/>
      <c r="F6275" s="70"/>
      <c r="G6275" s="94"/>
      <c r="H6275" s="131"/>
      <c r="I6275" s="3"/>
    </row>
    <row r="6276" spans="1:9" s="93" customFormat="1" ht="9" customHeight="1" x14ac:dyDescent="0.3">
      <c r="A6276" s="91"/>
      <c r="B6276" s="70"/>
      <c r="C6276" s="70"/>
      <c r="D6276" s="70"/>
      <c r="E6276" s="70"/>
      <c r="F6276" s="70"/>
      <c r="G6276" s="94"/>
      <c r="H6276" s="131"/>
      <c r="I6276" s="3"/>
    </row>
    <row r="6277" spans="1:9" s="93" customFormat="1" ht="9" customHeight="1" x14ac:dyDescent="0.3">
      <c r="A6277" s="91"/>
      <c r="B6277" s="70"/>
      <c r="C6277" s="70"/>
      <c r="D6277" s="70"/>
      <c r="E6277" s="70"/>
      <c r="F6277" s="70"/>
      <c r="G6277" s="94"/>
      <c r="H6277" s="131"/>
      <c r="I6277" s="3"/>
    </row>
    <row r="6278" spans="1:9" s="93" customFormat="1" ht="9" customHeight="1" x14ac:dyDescent="0.3">
      <c r="A6278" s="91"/>
      <c r="B6278" s="70"/>
      <c r="C6278" s="70"/>
      <c r="D6278" s="70"/>
      <c r="E6278" s="70"/>
      <c r="F6278" s="70"/>
      <c r="G6278" s="94"/>
      <c r="H6278" s="131"/>
      <c r="I6278" s="3"/>
    </row>
    <row r="6279" spans="1:9" s="93" customFormat="1" ht="9" customHeight="1" x14ac:dyDescent="0.3">
      <c r="A6279" s="91"/>
      <c r="B6279" s="70"/>
      <c r="C6279" s="70"/>
      <c r="D6279" s="70"/>
      <c r="E6279" s="70"/>
      <c r="F6279" s="70"/>
      <c r="G6279" s="94"/>
      <c r="H6279" s="131"/>
      <c r="I6279" s="3"/>
    </row>
    <row r="6280" spans="1:9" s="93" customFormat="1" ht="9" customHeight="1" x14ac:dyDescent="0.3">
      <c r="A6280" s="91"/>
      <c r="B6280" s="70"/>
      <c r="C6280" s="70"/>
      <c r="D6280" s="70"/>
      <c r="E6280" s="70"/>
      <c r="F6280" s="70"/>
      <c r="G6280" s="94"/>
      <c r="H6280" s="131"/>
      <c r="I6280" s="3"/>
    </row>
    <row r="6281" spans="1:9" s="93" customFormat="1" ht="9" customHeight="1" x14ac:dyDescent="0.3">
      <c r="A6281" s="91"/>
      <c r="B6281" s="70"/>
      <c r="C6281" s="70"/>
      <c r="D6281" s="70"/>
      <c r="E6281" s="70"/>
      <c r="F6281" s="70"/>
      <c r="G6281" s="94"/>
      <c r="H6281" s="131"/>
      <c r="I6281" s="3"/>
    </row>
    <row r="6282" spans="1:9" s="93" customFormat="1" ht="9" customHeight="1" x14ac:dyDescent="0.3">
      <c r="A6282" s="91"/>
      <c r="B6282" s="70"/>
      <c r="C6282" s="70"/>
      <c r="D6282" s="70"/>
      <c r="E6282" s="70"/>
      <c r="F6282" s="70"/>
      <c r="G6282" s="94"/>
      <c r="H6282" s="131"/>
      <c r="I6282" s="3"/>
    </row>
    <row r="6283" spans="1:9" s="93" customFormat="1" ht="9" customHeight="1" x14ac:dyDescent="0.3">
      <c r="A6283" s="91"/>
      <c r="B6283" s="70"/>
      <c r="C6283" s="70"/>
      <c r="D6283" s="70"/>
      <c r="E6283" s="70"/>
      <c r="F6283" s="70"/>
      <c r="G6283" s="94"/>
      <c r="H6283" s="131"/>
      <c r="I6283" s="3"/>
    </row>
    <row r="6284" spans="1:9" s="93" customFormat="1" ht="9" customHeight="1" x14ac:dyDescent="0.3">
      <c r="A6284" s="91"/>
      <c r="B6284" s="70"/>
      <c r="C6284" s="70"/>
      <c r="D6284" s="70"/>
      <c r="E6284" s="70"/>
      <c r="F6284" s="70"/>
      <c r="G6284" s="94"/>
      <c r="H6284" s="131"/>
      <c r="I6284" s="3"/>
    </row>
    <row r="6285" spans="1:9" s="93" customFormat="1" ht="9" customHeight="1" x14ac:dyDescent="0.3">
      <c r="A6285" s="91"/>
      <c r="B6285" s="70"/>
      <c r="C6285" s="70"/>
      <c r="D6285" s="70"/>
      <c r="E6285" s="70"/>
      <c r="F6285" s="70"/>
      <c r="G6285" s="94"/>
      <c r="H6285" s="131"/>
      <c r="I6285" s="3"/>
    </row>
    <row r="6286" spans="1:9" s="93" customFormat="1" ht="9" customHeight="1" x14ac:dyDescent="0.3">
      <c r="A6286" s="91"/>
      <c r="B6286" s="70"/>
      <c r="C6286" s="70"/>
      <c r="D6286" s="70"/>
      <c r="E6286" s="70"/>
      <c r="F6286" s="70"/>
      <c r="G6286" s="94"/>
      <c r="H6286" s="131"/>
      <c r="I6286" s="3"/>
    </row>
    <row r="6287" spans="1:9" s="93" customFormat="1" ht="9" customHeight="1" x14ac:dyDescent="0.3">
      <c r="A6287" s="91"/>
      <c r="B6287" s="70"/>
      <c r="C6287" s="70"/>
      <c r="D6287" s="70"/>
      <c r="E6287" s="70"/>
      <c r="F6287" s="70"/>
      <c r="G6287" s="94"/>
      <c r="H6287" s="131"/>
      <c r="I6287" s="3"/>
    </row>
    <row r="6288" spans="1:9" s="93" customFormat="1" ht="9" customHeight="1" x14ac:dyDescent="0.3">
      <c r="A6288" s="91"/>
      <c r="B6288" s="70"/>
      <c r="C6288" s="70"/>
      <c r="D6288" s="70"/>
      <c r="E6288" s="70"/>
      <c r="F6288" s="70"/>
      <c r="G6288" s="94"/>
      <c r="H6288" s="131"/>
      <c r="I6288" s="3"/>
    </row>
    <row r="6289" spans="1:9" s="93" customFormat="1" ht="9" customHeight="1" x14ac:dyDescent="0.3">
      <c r="A6289" s="91"/>
      <c r="B6289" s="70"/>
      <c r="C6289" s="70"/>
      <c r="D6289" s="70"/>
      <c r="E6289" s="70"/>
      <c r="F6289" s="70"/>
      <c r="G6289" s="94"/>
      <c r="H6289" s="131"/>
      <c r="I6289" s="3"/>
    </row>
    <row r="6290" spans="1:9" s="93" customFormat="1" ht="9" customHeight="1" x14ac:dyDescent="0.3">
      <c r="A6290" s="91"/>
      <c r="B6290" s="70"/>
      <c r="C6290" s="70"/>
      <c r="D6290" s="70"/>
      <c r="E6290" s="70"/>
      <c r="F6290" s="70"/>
      <c r="G6290" s="94"/>
      <c r="H6290" s="131"/>
      <c r="I6290" s="3"/>
    </row>
    <row r="6291" spans="1:9" s="93" customFormat="1" ht="9" customHeight="1" x14ac:dyDescent="0.3">
      <c r="A6291" s="91"/>
      <c r="B6291" s="70"/>
      <c r="C6291" s="70"/>
      <c r="D6291" s="70"/>
      <c r="E6291" s="70"/>
      <c r="F6291" s="70"/>
      <c r="G6291" s="94"/>
      <c r="H6291" s="131"/>
      <c r="I6291" s="3"/>
    </row>
    <row r="6292" spans="1:9" s="93" customFormat="1" ht="9" customHeight="1" x14ac:dyDescent="0.3">
      <c r="A6292" s="91"/>
      <c r="B6292" s="70"/>
      <c r="C6292" s="70"/>
      <c r="D6292" s="70"/>
      <c r="E6292" s="70"/>
      <c r="F6292" s="70"/>
      <c r="G6292" s="94"/>
      <c r="H6292" s="131"/>
      <c r="I6292" s="3"/>
    </row>
    <row r="6293" spans="1:9" s="93" customFormat="1" ht="9" customHeight="1" x14ac:dyDescent="0.3">
      <c r="A6293" s="91"/>
      <c r="B6293" s="70"/>
      <c r="C6293" s="70"/>
      <c r="D6293" s="70"/>
      <c r="E6293" s="70"/>
      <c r="F6293" s="70"/>
      <c r="G6293" s="94"/>
      <c r="H6293" s="131"/>
      <c r="I6293" s="3"/>
    </row>
    <row r="6294" spans="1:9" s="93" customFormat="1" ht="9" customHeight="1" x14ac:dyDescent="0.3">
      <c r="A6294" s="91"/>
      <c r="B6294" s="70"/>
      <c r="C6294" s="70"/>
      <c r="D6294" s="70"/>
      <c r="E6294" s="70"/>
      <c r="F6294" s="70"/>
      <c r="G6294" s="94"/>
      <c r="H6294" s="131"/>
      <c r="I6294" s="3"/>
    </row>
    <row r="6295" spans="1:9" s="93" customFormat="1" ht="9" customHeight="1" x14ac:dyDescent="0.3">
      <c r="A6295" s="91"/>
      <c r="B6295" s="70"/>
      <c r="C6295" s="70"/>
      <c r="D6295" s="70"/>
      <c r="E6295" s="70"/>
      <c r="F6295" s="70"/>
      <c r="G6295" s="94"/>
      <c r="H6295" s="131"/>
      <c r="I6295" s="3"/>
    </row>
    <row r="6296" spans="1:9" s="93" customFormat="1" ht="9" customHeight="1" x14ac:dyDescent="0.3">
      <c r="A6296" s="91"/>
      <c r="B6296" s="70"/>
      <c r="C6296" s="70"/>
      <c r="D6296" s="70"/>
      <c r="E6296" s="70"/>
      <c r="F6296" s="70"/>
      <c r="G6296" s="94"/>
      <c r="H6296" s="131"/>
      <c r="I6296" s="3"/>
    </row>
    <row r="6297" spans="1:9" s="93" customFormat="1" ht="9" customHeight="1" x14ac:dyDescent="0.3">
      <c r="A6297" s="91"/>
      <c r="B6297" s="70"/>
      <c r="C6297" s="70"/>
      <c r="D6297" s="70"/>
      <c r="E6297" s="70"/>
      <c r="F6297" s="70"/>
      <c r="G6297" s="94"/>
      <c r="H6297" s="131"/>
      <c r="I6297" s="3"/>
    </row>
    <row r="6298" spans="1:9" s="93" customFormat="1" ht="9" customHeight="1" x14ac:dyDescent="0.3">
      <c r="A6298" s="91"/>
      <c r="B6298" s="70"/>
      <c r="C6298" s="70"/>
      <c r="D6298" s="70"/>
      <c r="E6298" s="70"/>
      <c r="F6298" s="70"/>
      <c r="G6298" s="94"/>
      <c r="H6298" s="131"/>
      <c r="I6298" s="3"/>
    </row>
    <row r="6299" spans="1:9" s="93" customFormat="1" ht="9" customHeight="1" x14ac:dyDescent="0.3">
      <c r="A6299" s="91"/>
      <c r="B6299" s="70"/>
      <c r="C6299" s="70"/>
      <c r="D6299" s="70"/>
      <c r="E6299" s="70"/>
      <c r="F6299" s="70"/>
      <c r="G6299" s="94"/>
      <c r="H6299" s="131"/>
      <c r="I6299" s="3"/>
    </row>
    <row r="6300" spans="1:9" s="93" customFormat="1" ht="9" customHeight="1" x14ac:dyDescent="0.3">
      <c r="A6300" s="91"/>
      <c r="B6300" s="70"/>
      <c r="C6300" s="70"/>
      <c r="D6300" s="70"/>
      <c r="E6300" s="70"/>
      <c r="F6300" s="70"/>
      <c r="G6300" s="94"/>
      <c r="H6300" s="131"/>
      <c r="I6300" s="3"/>
    </row>
    <row r="6301" spans="1:9" s="93" customFormat="1" ht="9" customHeight="1" x14ac:dyDescent="0.3">
      <c r="A6301" s="91"/>
      <c r="B6301" s="70"/>
      <c r="C6301" s="70"/>
      <c r="D6301" s="70"/>
      <c r="E6301" s="70"/>
      <c r="F6301" s="70"/>
      <c r="G6301" s="94"/>
      <c r="H6301" s="131"/>
      <c r="I6301" s="3"/>
    </row>
    <row r="6302" spans="1:9" s="93" customFormat="1" ht="9" customHeight="1" x14ac:dyDescent="0.3">
      <c r="A6302" s="91"/>
      <c r="B6302" s="70"/>
      <c r="C6302" s="70"/>
      <c r="D6302" s="70"/>
      <c r="E6302" s="70"/>
      <c r="F6302" s="70"/>
      <c r="G6302" s="94"/>
      <c r="H6302" s="131"/>
      <c r="I6302" s="3"/>
    </row>
    <row r="6303" spans="1:9" s="93" customFormat="1" ht="9" customHeight="1" x14ac:dyDescent="0.3">
      <c r="A6303" s="91"/>
      <c r="B6303" s="70"/>
      <c r="C6303" s="70"/>
      <c r="D6303" s="70"/>
      <c r="E6303" s="70"/>
      <c r="F6303" s="70"/>
      <c r="G6303" s="94"/>
      <c r="H6303" s="131"/>
      <c r="I6303" s="3"/>
    </row>
    <row r="6304" spans="1:9" s="93" customFormat="1" ht="9" customHeight="1" x14ac:dyDescent="0.3">
      <c r="A6304" s="91"/>
      <c r="B6304" s="70"/>
      <c r="C6304" s="70"/>
      <c r="D6304" s="70"/>
      <c r="E6304" s="70"/>
      <c r="F6304" s="70"/>
      <c r="G6304" s="94"/>
      <c r="H6304" s="131"/>
      <c r="I6304" s="3"/>
    </row>
    <row r="6305" spans="1:9" s="93" customFormat="1" ht="9" customHeight="1" x14ac:dyDescent="0.3">
      <c r="A6305" s="91"/>
      <c r="B6305" s="70"/>
      <c r="C6305" s="70"/>
      <c r="D6305" s="70"/>
      <c r="E6305" s="70"/>
      <c r="F6305" s="70"/>
      <c r="G6305" s="94"/>
      <c r="H6305" s="131"/>
      <c r="I6305" s="3"/>
    </row>
    <row r="6306" spans="1:9" s="93" customFormat="1" ht="9" customHeight="1" x14ac:dyDescent="0.3">
      <c r="A6306" s="91"/>
      <c r="B6306" s="70"/>
      <c r="C6306" s="70"/>
      <c r="D6306" s="70"/>
      <c r="E6306" s="70"/>
      <c r="F6306" s="70"/>
      <c r="G6306" s="94"/>
      <c r="H6306" s="131"/>
      <c r="I6306" s="3"/>
    </row>
    <row r="6307" spans="1:9" s="93" customFormat="1" ht="9" customHeight="1" x14ac:dyDescent="0.3">
      <c r="A6307" s="91"/>
      <c r="B6307" s="70"/>
      <c r="C6307" s="70"/>
      <c r="D6307" s="70"/>
      <c r="E6307" s="70"/>
      <c r="F6307" s="70"/>
      <c r="G6307" s="94"/>
      <c r="H6307" s="131"/>
      <c r="I6307" s="3"/>
    </row>
    <row r="6308" spans="1:9" s="93" customFormat="1" ht="9" customHeight="1" x14ac:dyDescent="0.3">
      <c r="A6308" s="91"/>
      <c r="B6308" s="70"/>
      <c r="C6308" s="70"/>
      <c r="D6308" s="70"/>
      <c r="E6308" s="70"/>
      <c r="F6308" s="70"/>
      <c r="G6308" s="94"/>
      <c r="H6308" s="131"/>
      <c r="I6308" s="3"/>
    </row>
    <row r="6309" spans="1:9" s="93" customFormat="1" ht="9" customHeight="1" x14ac:dyDescent="0.3">
      <c r="A6309" s="91"/>
      <c r="B6309" s="70"/>
      <c r="C6309" s="70"/>
      <c r="D6309" s="70"/>
      <c r="E6309" s="70"/>
      <c r="F6309" s="70"/>
      <c r="G6309" s="94"/>
      <c r="H6309" s="131"/>
      <c r="I6309" s="3"/>
    </row>
    <row r="6310" spans="1:9" s="93" customFormat="1" ht="9" customHeight="1" x14ac:dyDescent="0.3">
      <c r="A6310" s="91"/>
      <c r="B6310" s="70"/>
      <c r="C6310" s="70"/>
      <c r="D6310" s="70"/>
      <c r="E6310" s="70"/>
      <c r="F6310" s="70"/>
      <c r="G6310" s="94"/>
      <c r="H6310" s="131"/>
      <c r="I6310" s="3"/>
    </row>
    <row r="6311" spans="1:9" s="93" customFormat="1" ht="9" customHeight="1" x14ac:dyDescent="0.3">
      <c r="A6311" s="91"/>
      <c r="B6311" s="70"/>
      <c r="C6311" s="70"/>
      <c r="D6311" s="70"/>
      <c r="E6311" s="70"/>
      <c r="F6311" s="70"/>
      <c r="G6311" s="94"/>
      <c r="H6311" s="131"/>
      <c r="I6311" s="3"/>
    </row>
    <row r="6312" spans="1:9" s="93" customFormat="1" ht="9" customHeight="1" x14ac:dyDescent="0.3">
      <c r="A6312" s="91"/>
      <c r="B6312" s="70"/>
      <c r="C6312" s="70"/>
      <c r="D6312" s="70"/>
      <c r="E6312" s="70"/>
      <c r="F6312" s="70"/>
      <c r="G6312" s="94"/>
      <c r="H6312" s="131"/>
      <c r="I6312" s="3"/>
    </row>
    <row r="6313" spans="1:9" s="93" customFormat="1" ht="9" customHeight="1" x14ac:dyDescent="0.3">
      <c r="A6313" s="91"/>
      <c r="B6313" s="70"/>
      <c r="C6313" s="70"/>
      <c r="D6313" s="70"/>
      <c r="E6313" s="70"/>
      <c r="F6313" s="70"/>
      <c r="G6313" s="94"/>
      <c r="H6313" s="131"/>
      <c r="I6313" s="3"/>
    </row>
    <row r="6314" spans="1:9" s="93" customFormat="1" ht="9" customHeight="1" x14ac:dyDescent="0.3">
      <c r="A6314" s="91"/>
      <c r="B6314" s="70"/>
      <c r="C6314" s="70"/>
      <c r="D6314" s="70"/>
      <c r="E6314" s="70"/>
      <c r="F6314" s="70"/>
      <c r="G6314" s="94"/>
      <c r="H6314" s="131"/>
      <c r="I6314" s="3"/>
    </row>
    <row r="6315" spans="1:9" s="93" customFormat="1" ht="9" customHeight="1" x14ac:dyDescent="0.3">
      <c r="A6315" s="91"/>
      <c r="B6315" s="70"/>
      <c r="C6315" s="70"/>
      <c r="D6315" s="70"/>
      <c r="E6315" s="70"/>
      <c r="F6315" s="70"/>
      <c r="G6315" s="94"/>
      <c r="H6315" s="131"/>
      <c r="I6315" s="3"/>
    </row>
    <row r="6316" spans="1:9" s="93" customFormat="1" ht="9" customHeight="1" x14ac:dyDescent="0.3">
      <c r="A6316" s="91"/>
      <c r="B6316" s="70"/>
      <c r="C6316" s="70"/>
      <c r="D6316" s="70"/>
      <c r="E6316" s="70"/>
      <c r="F6316" s="70"/>
      <c r="G6316" s="94"/>
      <c r="H6316" s="131"/>
      <c r="I6316" s="3"/>
    </row>
    <row r="6317" spans="1:9" s="93" customFormat="1" ht="9" customHeight="1" x14ac:dyDescent="0.3">
      <c r="A6317" s="91"/>
      <c r="B6317" s="70"/>
      <c r="C6317" s="70"/>
      <c r="D6317" s="70"/>
      <c r="E6317" s="70"/>
      <c r="F6317" s="70"/>
      <c r="G6317" s="94"/>
      <c r="H6317" s="131"/>
      <c r="I6317" s="3"/>
    </row>
    <row r="6318" spans="1:9" s="93" customFormat="1" ht="9" customHeight="1" x14ac:dyDescent="0.3">
      <c r="A6318" s="91"/>
      <c r="B6318" s="70"/>
      <c r="C6318" s="70"/>
      <c r="D6318" s="70"/>
      <c r="E6318" s="70"/>
      <c r="F6318" s="70"/>
      <c r="G6318" s="94"/>
      <c r="H6318" s="131"/>
      <c r="I6318" s="3"/>
    </row>
    <row r="6319" spans="1:9" s="93" customFormat="1" ht="9" customHeight="1" x14ac:dyDescent="0.3">
      <c r="A6319" s="91"/>
      <c r="B6319" s="70"/>
      <c r="C6319" s="70"/>
      <c r="D6319" s="70"/>
      <c r="E6319" s="70"/>
      <c r="F6319" s="70"/>
      <c r="G6319" s="94"/>
      <c r="H6319" s="131"/>
      <c r="I6319" s="3"/>
    </row>
    <row r="6320" spans="1:9" s="93" customFormat="1" ht="9" customHeight="1" x14ac:dyDescent="0.3">
      <c r="A6320" s="91"/>
      <c r="B6320" s="70"/>
      <c r="C6320" s="70"/>
      <c r="D6320" s="70"/>
      <c r="E6320" s="70"/>
      <c r="F6320" s="70"/>
      <c r="G6320" s="94"/>
      <c r="H6320" s="131"/>
      <c r="I6320" s="3"/>
    </row>
    <row r="6321" spans="1:9" s="93" customFormat="1" ht="9" customHeight="1" x14ac:dyDescent="0.3">
      <c r="A6321" s="91"/>
      <c r="B6321" s="70"/>
      <c r="C6321" s="70"/>
      <c r="D6321" s="70"/>
      <c r="E6321" s="70"/>
      <c r="F6321" s="70"/>
      <c r="G6321" s="94"/>
      <c r="H6321" s="131"/>
      <c r="I6321" s="3"/>
    </row>
    <row r="6322" spans="1:9" s="93" customFormat="1" ht="9" customHeight="1" x14ac:dyDescent="0.3">
      <c r="A6322" s="91"/>
      <c r="B6322" s="70"/>
      <c r="C6322" s="70"/>
      <c r="D6322" s="70"/>
      <c r="E6322" s="70"/>
      <c r="F6322" s="70"/>
      <c r="G6322" s="94"/>
      <c r="H6322" s="131"/>
      <c r="I6322" s="3"/>
    </row>
    <row r="6323" spans="1:9" s="93" customFormat="1" ht="9" customHeight="1" x14ac:dyDescent="0.3">
      <c r="A6323" s="91"/>
      <c r="B6323" s="70"/>
      <c r="C6323" s="70"/>
      <c r="D6323" s="70"/>
      <c r="E6323" s="70"/>
      <c r="F6323" s="70"/>
      <c r="G6323" s="94"/>
      <c r="H6323" s="131"/>
      <c r="I6323" s="3"/>
    </row>
    <row r="6324" spans="1:9" s="93" customFormat="1" ht="9" customHeight="1" x14ac:dyDescent="0.3">
      <c r="A6324" s="91"/>
      <c r="B6324" s="70"/>
      <c r="C6324" s="70"/>
      <c r="D6324" s="70"/>
      <c r="E6324" s="70"/>
      <c r="F6324" s="70"/>
      <c r="G6324" s="94"/>
      <c r="H6324" s="131"/>
      <c r="I6324" s="3"/>
    </row>
    <row r="6325" spans="1:9" s="93" customFormat="1" ht="9" customHeight="1" x14ac:dyDescent="0.3">
      <c r="A6325" s="91"/>
      <c r="B6325" s="70"/>
      <c r="C6325" s="70"/>
      <c r="D6325" s="70"/>
      <c r="E6325" s="70"/>
      <c r="F6325" s="70"/>
      <c r="G6325" s="94"/>
      <c r="H6325" s="131"/>
      <c r="I6325" s="3"/>
    </row>
    <row r="6326" spans="1:9" s="93" customFormat="1" ht="9" customHeight="1" x14ac:dyDescent="0.3">
      <c r="A6326" s="91"/>
      <c r="B6326" s="70"/>
      <c r="C6326" s="70"/>
      <c r="D6326" s="70"/>
      <c r="E6326" s="70"/>
      <c r="F6326" s="70"/>
      <c r="G6326" s="94"/>
      <c r="H6326" s="131"/>
      <c r="I6326" s="3"/>
    </row>
    <row r="6327" spans="1:9" s="93" customFormat="1" ht="9" customHeight="1" x14ac:dyDescent="0.3">
      <c r="A6327" s="91"/>
      <c r="B6327" s="70"/>
      <c r="C6327" s="70"/>
      <c r="D6327" s="70"/>
      <c r="E6327" s="70"/>
      <c r="F6327" s="70"/>
      <c r="G6327" s="94"/>
      <c r="H6327" s="131"/>
      <c r="I6327" s="3"/>
    </row>
    <row r="6328" spans="1:9" s="93" customFormat="1" ht="9" customHeight="1" x14ac:dyDescent="0.3">
      <c r="A6328" s="91"/>
      <c r="B6328" s="70"/>
      <c r="C6328" s="70"/>
      <c r="D6328" s="70"/>
      <c r="E6328" s="70"/>
      <c r="F6328" s="70"/>
      <c r="G6328" s="94"/>
      <c r="H6328" s="131"/>
      <c r="I6328" s="3"/>
    </row>
    <row r="6329" spans="1:9" s="93" customFormat="1" ht="9" customHeight="1" x14ac:dyDescent="0.3">
      <c r="A6329" s="91"/>
      <c r="B6329" s="70"/>
      <c r="C6329" s="70"/>
      <c r="D6329" s="70"/>
      <c r="E6329" s="70"/>
      <c r="F6329" s="70"/>
      <c r="G6329" s="94"/>
      <c r="H6329" s="131"/>
      <c r="I6329" s="3"/>
    </row>
    <row r="6330" spans="1:9" s="93" customFormat="1" ht="9" customHeight="1" x14ac:dyDescent="0.3">
      <c r="A6330" s="91"/>
      <c r="B6330" s="70"/>
      <c r="C6330" s="70"/>
      <c r="D6330" s="70"/>
      <c r="E6330" s="70"/>
      <c r="F6330" s="70"/>
      <c r="G6330" s="94"/>
      <c r="H6330" s="131"/>
      <c r="I6330" s="3"/>
    </row>
    <row r="6331" spans="1:9" s="93" customFormat="1" ht="9" customHeight="1" x14ac:dyDescent="0.3">
      <c r="A6331" s="91"/>
      <c r="B6331" s="70"/>
      <c r="C6331" s="70"/>
      <c r="D6331" s="70"/>
      <c r="E6331" s="70"/>
      <c r="F6331" s="70"/>
      <c r="G6331" s="94"/>
      <c r="H6331" s="131"/>
      <c r="I6331" s="3"/>
    </row>
    <row r="6332" spans="1:9" s="93" customFormat="1" ht="9" customHeight="1" x14ac:dyDescent="0.3">
      <c r="A6332" s="91"/>
      <c r="B6332" s="70"/>
      <c r="C6332" s="70"/>
      <c r="D6332" s="70"/>
      <c r="E6332" s="70"/>
      <c r="F6332" s="70"/>
      <c r="G6332" s="94"/>
      <c r="H6332" s="131"/>
      <c r="I6332" s="3"/>
    </row>
    <row r="6333" spans="1:9" s="93" customFormat="1" ht="9" customHeight="1" x14ac:dyDescent="0.3">
      <c r="A6333" s="91"/>
      <c r="B6333" s="70"/>
      <c r="C6333" s="70"/>
      <c r="D6333" s="70"/>
      <c r="E6333" s="70"/>
      <c r="F6333" s="70"/>
      <c r="G6333" s="94"/>
      <c r="H6333" s="131"/>
      <c r="I6333" s="3"/>
    </row>
    <row r="6334" spans="1:9" s="93" customFormat="1" ht="9" customHeight="1" x14ac:dyDescent="0.3">
      <c r="A6334" s="91"/>
      <c r="B6334" s="70"/>
      <c r="C6334" s="70"/>
      <c r="D6334" s="70"/>
      <c r="E6334" s="70"/>
      <c r="F6334" s="70"/>
      <c r="G6334" s="94"/>
      <c r="H6334" s="131"/>
      <c r="I6334" s="3"/>
    </row>
    <row r="6335" spans="1:9" s="93" customFormat="1" ht="9" customHeight="1" x14ac:dyDescent="0.3">
      <c r="A6335" s="91"/>
      <c r="B6335" s="70"/>
      <c r="C6335" s="70"/>
      <c r="D6335" s="70"/>
      <c r="E6335" s="70"/>
      <c r="F6335" s="70"/>
      <c r="G6335" s="94"/>
      <c r="H6335" s="131"/>
      <c r="I6335" s="3"/>
    </row>
    <row r="6336" spans="1:9" s="93" customFormat="1" ht="9" customHeight="1" x14ac:dyDescent="0.3">
      <c r="A6336" s="91"/>
      <c r="B6336" s="70"/>
      <c r="C6336" s="70"/>
      <c r="D6336" s="70"/>
      <c r="E6336" s="70"/>
      <c r="F6336" s="70"/>
      <c r="G6336" s="94"/>
      <c r="H6336" s="131"/>
      <c r="I6336" s="3"/>
    </row>
    <row r="6337" spans="1:9" s="93" customFormat="1" ht="9" customHeight="1" x14ac:dyDescent="0.3">
      <c r="A6337" s="91"/>
      <c r="B6337" s="70"/>
      <c r="C6337" s="70"/>
      <c r="D6337" s="70"/>
      <c r="E6337" s="70"/>
      <c r="F6337" s="70"/>
      <c r="G6337" s="94"/>
      <c r="H6337" s="131"/>
      <c r="I6337" s="3"/>
    </row>
    <row r="6338" spans="1:9" s="93" customFormat="1" ht="9" customHeight="1" x14ac:dyDescent="0.3">
      <c r="A6338" s="91"/>
      <c r="B6338" s="70"/>
      <c r="C6338" s="70"/>
      <c r="D6338" s="70"/>
      <c r="E6338" s="70"/>
      <c r="F6338" s="70"/>
      <c r="G6338" s="94"/>
      <c r="H6338" s="131"/>
      <c r="I6338" s="3"/>
    </row>
    <row r="6339" spans="1:9" s="93" customFormat="1" ht="9" customHeight="1" x14ac:dyDescent="0.3">
      <c r="A6339" s="91"/>
      <c r="B6339" s="70"/>
      <c r="C6339" s="70"/>
      <c r="D6339" s="70"/>
      <c r="E6339" s="70"/>
      <c r="F6339" s="70"/>
      <c r="G6339" s="94"/>
      <c r="H6339" s="131"/>
      <c r="I6339" s="3"/>
    </row>
    <row r="6340" spans="1:9" s="93" customFormat="1" ht="9" customHeight="1" x14ac:dyDescent="0.3">
      <c r="A6340" s="91"/>
      <c r="B6340" s="70"/>
      <c r="C6340" s="70"/>
      <c r="D6340" s="70"/>
      <c r="E6340" s="70"/>
      <c r="F6340" s="70"/>
      <c r="G6340" s="94"/>
      <c r="H6340" s="131"/>
      <c r="I6340" s="3"/>
    </row>
    <row r="6341" spans="1:9" s="93" customFormat="1" ht="9" customHeight="1" x14ac:dyDescent="0.3">
      <c r="A6341" s="91"/>
      <c r="B6341" s="70"/>
      <c r="C6341" s="70"/>
      <c r="D6341" s="70"/>
      <c r="E6341" s="70"/>
      <c r="F6341" s="70"/>
      <c r="G6341" s="94"/>
      <c r="H6341" s="131"/>
      <c r="I6341" s="3"/>
    </row>
    <row r="6342" spans="1:9" s="93" customFormat="1" ht="9" customHeight="1" x14ac:dyDescent="0.3">
      <c r="A6342" s="91"/>
      <c r="B6342" s="70"/>
      <c r="C6342" s="70"/>
      <c r="D6342" s="70"/>
      <c r="E6342" s="70"/>
      <c r="F6342" s="70"/>
      <c r="G6342" s="94"/>
      <c r="H6342" s="131"/>
      <c r="I6342" s="3"/>
    </row>
    <row r="6343" spans="1:9" s="93" customFormat="1" ht="9" customHeight="1" x14ac:dyDescent="0.3">
      <c r="A6343" s="91"/>
      <c r="B6343" s="70"/>
      <c r="C6343" s="70"/>
      <c r="D6343" s="70"/>
      <c r="E6343" s="70"/>
      <c r="F6343" s="70"/>
      <c r="G6343" s="94"/>
      <c r="H6343" s="131"/>
      <c r="I6343" s="3"/>
    </row>
    <row r="6344" spans="1:9" s="93" customFormat="1" ht="9" customHeight="1" x14ac:dyDescent="0.3">
      <c r="A6344" s="91"/>
      <c r="B6344" s="70"/>
      <c r="C6344" s="70"/>
      <c r="D6344" s="70"/>
      <c r="E6344" s="70"/>
      <c r="F6344" s="70"/>
      <c r="G6344" s="94"/>
      <c r="H6344" s="131"/>
      <c r="I6344" s="3"/>
    </row>
    <row r="6345" spans="1:9" s="93" customFormat="1" ht="9" customHeight="1" x14ac:dyDescent="0.3">
      <c r="A6345" s="91"/>
      <c r="B6345" s="70"/>
      <c r="C6345" s="70"/>
      <c r="D6345" s="70"/>
      <c r="E6345" s="70"/>
      <c r="F6345" s="70"/>
      <c r="G6345" s="94"/>
      <c r="H6345" s="131"/>
      <c r="I6345" s="3"/>
    </row>
    <row r="6346" spans="1:9" s="93" customFormat="1" ht="9" customHeight="1" x14ac:dyDescent="0.3">
      <c r="A6346" s="91"/>
      <c r="B6346" s="70"/>
      <c r="C6346" s="70"/>
      <c r="D6346" s="70"/>
      <c r="E6346" s="70"/>
      <c r="F6346" s="70"/>
      <c r="G6346" s="94"/>
      <c r="H6346" s="131"/>
      <c r="I6346" s="3"/>
    </row>
    <row r="6347" spans="1:9" s="93" customFormat="1" ht="9" customHeight="1" x14ac:dyDescent="0.3">
      <c r="A6347" s="91"/>
      <c r="B6347" s="70"/>
      <c r="C6347" s="70"/>
      <c r="D6347" s="70"/>
      <c r="E6347" s="70"/>
      <c r="F6347" s="70"/>
      <c r="G6347" s="94"/>
      <c r="H6347" s="131"/>
      <c r="I6347" s="3"/>
    </row>
    <row r="6348" spans="1:9" s="93" customFormat="1" ht="9" customHeight="1" x14ac:dyDescent="0.3">
      <c r="A6348" s="91"/>
      <c r="B6348" s="70"/>
      <c r="C6348" s="70"/>
      <c r="D6348" s="70"/>
      <c r="E6348" s="70"/>
      <c r="F6348" s="70"/>
      <c r="G6348" s="94"/>
      <c r="H6348" s="131"/>
      <c r="I6348" s="3"/>
    </row>
    <row r="6349" spans="1:9" s="93" customFormat="1" ht="9" customHeight="1" x14ac:dyDescent="0.3">
      <c r="A6349" s="91"/>
      <c r="B6349" s="70"/>
      <c r="C6349" s="70"/>
      <c r="D6349" s="70"/>
      <c r="E6349" s="70"/>
      <c r="F6349" s="70"/>
      <c r="G6349" s="94"/>
      <c r="H6349" s="131"/>
      <c r="I6349" s="3"/>
    </row>
    <row r="6350" spans="1:9" s="93" customFormat="1" ht="9" customHeight="1" x14ac:dyDescent="0.3">
      <c r="A6350" s="91"/>
      <c r="B6350" s="70"/>
      <c r="C6350" s="70"/>
      <c r="D6350" s="70"/>
      <c r="E6350" s="70"/>
      <c r="F6350" s="70"/>
      <c r="G6350" s="94"/>
      <c r="H6350" s="131"/>
      <c r="I6350" s="3"/>
    </row>
    <row r="6351" spans="1:9" s="93" customFormat="1" ht="9" customHeight="1" x14ac:dyDescent="0.3">
      <c r="A6351" s="91"/>
      <c r="B6351" s="70"/>
      <c r="C6351" s="70"/>
      <c r="D6351" s="70"/>
      <c r="E6351" s="70"/>
      <c r="F6351" s="70"/>
      <c r="G6351" s="94"/>
      <c r="H6351" s="131"/>
      <c r="I6351" s="3"/>
    </row>
    <row r="6352" spans="1:9" s="93" customFormat="1" ht="9" customHeight="1" x14ac:dyDescent="0.3">
      <c r="A6352" s="91"/>
      <c r="B6352" s="70"/>
      <c r="C6352" s="70"/>
      <c r="D6352" s="70"/>
      <c r="E6352" s="70"/>
      <c r="F6352" s="70"/>
      <c r="G6352" s="94"/>
      <c r="H6352" s="131"/>
      <c r="I6352" s="3"/>
    </row>
    <row r="6353" spans="1:9" s="93" customFormat="1" ht="9" customHeight="1" x14ac:dyDescent="0.3">
      <c r="A6353" s="91"/>
      <c r="B6353" s="70"/>
      <c r="C6353" s="70"/>
      <c r="D6353" s="70"/>
      <c r="E6353" s="70"/>
      <c r="F6353" s="70"/>
      <c r="G6353" s="94"/>
      <c r="H6353" s="131"/>
      <c r="I6353" s="3"/>
    </row>
    <row r="6354" spans="1:9" s="93" customFormat="1" ht="9" customHeight="1" x14ac:dyDescent="0.3">
      <c r="A6354" s="91"/>
      <c r="B6354" s="70"/>
      <c r="C6354" s="70"/>
      <c r="D6354" s="70"/>
      <c r="E6354" s="70"/>
      <c r="F6354" s="70"/>
      <c r="G6354" s="94"/>
      <c r="H6354" s="131"/>
      <c r="I6354" s="3"/>
    </row>
    <row r="6355" spans="1:9" s="93" customFormat="1" ht="9" customHeight="1" x14ac:dyDescent="0.3">
      <c r="A6355" s="91"/>
      <c r="B6355" s="70"/>
      <c r="C6355" s="70"/>
      <c r="D6355" s="70"/>
      <c r="E6355" s="70"/>
      <c r="F6355" s="70"/>
      <c r="G6355" s="94"/>
      <c r="H6355" s="131"/>
      <c r="I6355" s="3"/>
    </row>
    <row r="6356" spans="1:9" s="93" customFormat="1" ht="9" customHeight="1" x14ac:dyDescent="0.3">
      <c r="A6356" s="91"/>
      <c r="B6356" s="70"/>
      <c r="C6356" s="70"/>
      <c r="D6356" s="70"/>
      <c r="E6356" s="70"/>
      <c r="F6356" s="70"/>
      <c r="G6356" s="94"/>
      <c r="H6356" s="131"/>
      <c r="I6356" s="3"/>
    </row>
    <row r="6357" spans="1:9" s="93" customFormat="1" ht="9" customHeight="1" x14ac:dyDescent="0.3">
      <c r="A6357" s="91"/>
      <c r="B6357" s="70"/>
      <c r="C6357" s="70"/>
      <c r="D6357" s="70"/>
      <c r="E6357" s="70"/>
      <c r="F6357" s="70"/>
      <c r="G6357" s="94"/>
      <c r="H6357" s="131"/>
      <c r="I6357" s="3"/>
    </row>
    <row r="6358" spans="1:9" s="93" customFormat="1" ht="9" customHeight="1" x14ac:dyDescent="0.3">
      <c r="A6358" s="91"/>
      <c r="B6358" s="70"/>
      <c r="C6358" s="70"/>
      <c r="D6358" s="70"/>
      <c r="E6358" s="70"/>
      <c r="F6358" s="70"/>
      <c r="G6358" s="94"/>
      <c r="H6358" s="131"/>
      <c r="I6358" s="3"/>
    </row>
    <row r="6359" spans="1:9" s="93" customFormat="1" ht="9" customHeight="1" x14ac:dyDescent="0.3">
      <c r="A6359" s="91"/>
      <c r="B6359" s="70"/>
      <c r="C6359" s="70"/>
      <c r="D6359" s="70"/>
      <c r="E6359" s="70"/>
      <c r="F6359" s="70"/>
      <c r="G6359" s="94"/>
      <c r="H6359" s="131"/>
      <c r="I6359" s="3"/>
    </row>
    <row r="6360" spans="1:9" s="93" customFormat="1" ht="9" customHeight="1" x14ac:dyDescent="0.3">
      <c r="A6360" s="91"/>
      <c r="B6360" s="70"/>
      <c r="C6360" s="70"/>
      <c r="D6360" s="70"/>
      <c r="E6360" s="70"/>
      <c r="F6360" s="70"/>
      <c r="G6360" s="94"/>
      <c r="H6360" s="131"/>
      <c r="I6360" s="3"/>
    </row>
    <row r="6361" spans="1:9" s="93" customFormat="1" ht="9" customHeight="1" x14ac:dyDescent="0.3">
      <c r="A6361" s="91"/>
      <c r="B6361" s="70"/>
      <c r="C6361" s="70"/>
      <c r="D6361" s="70"/>
      <c r="E6361" s="70"/>
      <c r="F6361" s="70"/>
      <c r="G6361" s="94"/>
      <c r="H6361" s="131"/>
      <c r="I6361" s="3"/>
    </row>
    <row r="6362" spans="1:9" s="93" customFormat="1" ht="9" customHeight="1" x14ac:dyDescent="0.3">
      <c r="A6362" s="91"/>
      <c r="B6362" s="70"/>
      <c r="C6362" s="70"/>
      <c r="D6362" s="70"/>
      <c r="E6362" s="70"/>
      <c r="F6362" s="70"/>
      <c r="G6362" s="94"/>
      <c r="H6362" s="131"/>
      <c r="I6362" s="3"/>
    </row>
    <row r="6363" spans="1:9" s="93" customFormat="1" ht="9" customHeight="1" x14ac:dyDescent="0.3">
      <c r="A6363" s="91"/>
      <c r="B6363" s="70"/>
      <c r="C6363" s="70"/>
      <c r="D6363" s="70"/>
      <c r="E6363" s="70"/>
      <c r="F6363" s="70"/>
      <c r="G6363" s="94"/>
      <c r="H6363" s="131"/>
      <c r="I6363" s="3"/>
    </row>
    <row r="6364" spans="1:9" s="93" customFormat="1" ht="9" customHeight="1" x14ac:dyDescent="0.3">
      <c r="A6364" s="91"/>
      <c r="B6364" s="70"/>
      <c r="C6364" s="70"/>
      <c r="D6364" s="70"/>
      <c r="E6364" s="70"/>
      <c r="F6364" s="70"/>
      <c r="G6364" s="94"/>
      <c r="H6364" s="131"/>
      <c r="I6364" s="3"/>
    </row>
    <row r="6365" spans="1:9" s="93" customFormat="1" ht="9" customHeight="1" x14ac:dyDescent="0.3">
      <c r="A6365" s="91"/>
      <c r="B6365" s="70"/>
      <c r="C6365" s="70"/>
      <c r="D6365" s="70"/>
      <c r="E6365" s="70"/>
      <c r="F6365" s="70"/>
      <c r="G6365" s="94"/>
      <c r="H6365" s="131"/>
      <c r="I6365" s="3"/>
    </row>
    <row r="6366" spans="1:9" s="93" customFormat="1" ht="9" customHeight="1" x14ac:dyDescent="0.3">
      <c r="A6366" s="91"/>
      <c r="B6366" s="70"/>
      <c r="C6366" s="70"/>
      <c r="D6366" s="70"/>
      <c r="E6366" s="70"/>
      <c r="F6366" s="70"/>
      <c r="G6366" s="94"/>
      <c r="H6366" s="131"/>
      <c r="I6366" s="3"/>
    </row>
    <row r="6367" spans="1:9" s="93" customFormat="1" ht="9" customHeight="1" x14ac:dyDescent="0.3">
      <c r="A6367" s="91"/>
      <c r="B6367" s="70"/>
      <c r="C6367" s="70"/>
      <c r="D6367" s="70"/>
      <c r="E6367" s="70"/>
      <c r="F6367" s="70"/>
      <c r="G6367" s="94"/>
      <c r="H6367" s="131"/>
      <c r="I6367" s="3"/>
    </row>
    <row r="6368" spans="1:9" s="93" customFormat="1" ht="9" customHeight="1" x14ac:dyDescent="0.3">
      <c r="A6368" s="91"/>
      <c r="B6368" s="70"/>
      <c r="C6368" s="70"/>
      <c r="D6368" s="70"/>
      <c r="E6368" s="70"/>
      <c r="F6368" s="70"/>
      <c r="G6368" s="94"/>
      <c r="H6368" s="131"/>
      <c r="I6368" s="3"/>
    </row>
    <row r="6369" spans="1:9" s="93" customFormat="1" ht="9" customHeight="1" x14ac:dyDescent="0.3">
      <c r="A6369" s="91"/>
      <c r="B6369" s="70"/>
      <c r="C6369" s="70"/>
      <c r="D6369" s="70"/>
      <c r="E6369" s="70"/>
      <c r="F6369" s="70"/>
      <c r="G6369" s="94"/>
      <c r="H6369" s="131"/>
      <c r="I6369" s="3"/>
    </row>
    <row r="6370" spans="1:9" s="93" customFormat="1" ht="9" customHeight="1" x14ac:dyDescent="0.3">
      <c r="A6370" s="91"/>
      <c r="B6370" s="70"/>
      <c r="C6370" s="70"/>
      <c r="D6370" s="70"/>
      <c r="E6370" s="70"/>
      <c r="F6370" s="70"/>
      <c r="G6370" s="94"/>
      <c r="H6370" s="131"/>
      <c r="I6370" s="3"/>
    </row>
    <row r="6371" spans="1:9" s="93" customFormat="1" ht="9" customHeight="1" x14ac:dyDescent="0.3">
      <c r="A6371" s="91"/>
      <c r="B6371" s="70"/>
      <c r="C6371" s="70"/>
      <c r="D6371" s="70"/>
      <c r="E6371" s="70"/>
      <c r="F6371" s="70"/>
      <c r="G6371" s="94"/>
      <c r="H6371" s="131"/>
      <c r="I6371" s="3"/>
    </row>
    <row r="6372" spans="1:9" s="93" customFormat="1" ht="9" customHeight="1" x14ac:dyDescent="0.3">
      <c r="A6372" s="91"/>
      <c r="B6372" s="70"/>
      <c r="C6372" s="70"/>
      <c r="D6372" s="70"/>
      <c r="E6372" s="70"/>
      <c r="F6372" s="70"/>
      <c r="G6372" s="94"/>
      <c r="H6372" s="131"/>
      <c r="I6372" s="3"/>
    </row>
    <row r="6373" spans="1:9" s="93" customFormat="1" ht="9" customHeight="1" x14ac:dyDescent="0.3">
      <c r="A6373" s="91"/>
      <c r="B6373" s="70"/>
      <c r="C6373" s="70"/>
      <c r="D6373" s="70"/>
      <c r="E6373" s="70"/>
      <c r="F6373" s="70"/>
      <c r="G6373" s="94"/>
      <c r="H6373" s="131"/>
      <c r="I6373" s="3"/>
    </row>
    <row r="6374" spans="1:9" s="93" customFormat="1" ht="9" customHeight="1" x14ac:dyDescent="0.3">
      <c r="A6374" s="91"/>
      <c r="B6374" s="70"/>
      <c r="C6374" s="70"/>
      <c r="D6374" s="70"/>
      <c r="E6374" s="70"/>
      <c r="F6374" s="70"/>
      <c r="G6374" s="94"/>
      <c r="H6374" s="131"/>
      <c r="I6374" s="3"/>
    </row>
    <row r="6375" spans="1:9" s="93" customFormat="1" ht="9" customHeight="1" x14ac:dyDescent="0.3">
      <c r="A6375" s="91"/>
      <c r="B6375" s="70"/>
      <c r="C6375" s="70"/>
      <c r="D6375" s="70"/>
      <c r="E6375" s="70"/>
      <c r="F6375" s="70"/>
      <c r="G6375" s="94"/>
      <c r="H6375" s="131"/>
      <c r="I6375" s="3"/>
    </row>
    <row r="6376" spans="1:9" s="93" customFormat="1" ht="9" customHeight="1" x14ac:dyDescent="0.3">
      <c r="A6376" s="91"/>
      <c r="B6376" s="70"/>
      <c r="C6376" s="70"/>
      <c r="D6376" s="70"/>
      <c r="E6376" s="70"/>
      <c r="F6376" s="70"/>
      <c r="G6376" s="94"/>
      <c r="H6376" s="131"/>
      <c r="I6376" s="3"/>
    </row>
    <row r="6377" spans="1:9" s="93" customFormat="1" ht="9" customHeight="1" x14ac:dyDescent="0.3">
      <c r="A6377" s="91"/>
      <c r="B6377" s="70"/>
      <c r="C6377" s="70"/>
      <c r="D6377" s="70"/>
      <c r="E6377" s="70"/>
      <c r="F6377" s="70"/>
      <c r="G6377" s="94"/>
      <c r="H6377" s="131"/>
      <c r="I6377" s="3"/>
    </row>
    <row r="6378" spans="1:9" s="93" customFormat="1" ht="9" customHeight="1" x14ac:dyDescent="0.3">
      <c r="A6378" s="91"/>
      <c r="B6378" s="70"/>
      <c r="C6378" s="70"/>
      <c r="D6378" s="70"/>
      <c r="E6378" s="70"/>
      <c r="F6378" s="70"/>
      <c r="G6378" s="94"/>
      <c r="H6378" s="131"/>
      <c r="I6378" s="3"/>
    </row>
    <row r="6379" spans="1:9" s="93" customFormat="1" ht="9" customHeight="1" x14ac:dyDescent="0.3">
      <c r="A6379" s="91"/>
      <c r="B6379" s="70"/>
      <c r="C6379" s="70"/>
      <c r="D6379" s="70"/>
      <c r="E6379" s="70"/>
      <c r="F6379" s="70"/>
      <c r="G6379" s="94"/>
      <c r="H6379" s="131"/>
      <c r="I6379" s="3"/>
    </row>
    <row r="6380" spans="1:9" s="93" customFormat="1" ht="9" customHeight="1" x14ac:dyDescent="0.3">
      <c r="A6380" s="91"/>
      <c r="B6380" s="70"/>
      <c r="C6380" s="70"/>
      <c r="D6380" s="70"/>
      <c r="E6380" s="70"/>
      <c r="F6380" s="70"/>
      <c r="G6380" s="94"/>
      <c r="H6380" s="131"/>
      <c r="I6380" s="3"/>
    </row>
    <row r="6381" spans="1:9" s="93" customFormat="1" ht="9" customHeight="1" x14ac:dyDescent="0.3">
      <c r="A6381" s="91"/>
      <c r="B6381" s="70"/>
      <c r="C6381" s="70"/>
      <c r="D6381" s="70"/>
      <c r="E6381" s="70"/>
      <c r="F6381" s="70"/>
      <c r="G6381" s="94"/>
      <c r="H6381" s="131"/>
      <c r="I6381" s="3"/>
    </row>
    <row r="6382" spans="1:9" s="93" customFormat="1" ht="9" customHeight="1" x14ac:dyDescent="0.3">
      <c r="A6382" s="91"/>
      <c r="B6382" s="70"/>
      <c r="C6382" s="70"/>
      <c r="D6382" s="70"/>
      <c r="E6382" s="70"/>
      <c r="F6382" s="70"/>
      <c r="G6382" s="94"/>
      <c r="H6382" s="131"/>
      <c r="I6382" s="3"/>
    </row>
    <row r="6383" spans="1:9" s="93" customFormat="1" ht="9" customHeight="1" x14ac:dyDescent="0.3">
      <c r="A6383" s="91"/>
      <c r="B6383" s="70"/>
      <c r="C6383" s="70"/>
      <c r="D6383" s="70"/>
      <c r="E6383" s="70"/>
      <c r="F6383" s="70"/>
      <c r="G6383" s="94"/>
      <c r="H6383" s="131"/>
      <c r="I6383" s="3"/>
    </row>
    <row r="6384" spans="1:9" s="93" customFormat="1" ht="9" customHeight="1" x14ac:dyDescent="0.3">
      <c r="A6384" s="91"/>
      <c r="B6384" s="70"/>
      <c r="C6384" s="70"/>
      <c r="D6384" s="70"/>
      <c r="E6384" s="70"/>
      <c r="F6384" s="70"/>
      <c r="G6384" s="94"/>
      <c r="H6384" s="131"/>
      <c r="I6384" s="3"/>
    </row>
    <row r="6385" spans="1:9" s="93" customFormat="1" ht="9" customHeight="1" x14ac:dyDescent="0.3">
      <c r="A6385" s="91"/>
      <c r="B6385" s="70"/>
      <c r="C6385" s="70"/>
      <c r="D6385" s="70"/>
      <c r="E6385" s="70"/>
      <c r="F6385" s="70"/>
      <c r="G6385" s="94"/>
      <c r="H6385" s="131"/>
      <c r="I6385" s="3"/>
    </row>
    <row r="6386" spans="1:9" s="93" customFormat="1" ht="9" customHeight="1" x14ac:dyDescent="0.3">
      <c r="A6386" s="91"/>
      <c r="B6386" s="70"/>
      <c r="C6386" s="70"/>
      <c r="D6386" s="70"/>
      <c r="E6386" s="70"/>
      <c r="F6386" s="70"/>
      <c r="G6386" s="94"/>
      <c r="H6386" s="131"/>
      <c r="I6386" s="3"/>
    </row>
    <row r="6387" spans="1:9" s="93" customFormat="1" ht="9" customHeight="1" x14ac:dyDescent="0.3">
      <c r="A6387" s="91"/>
      <c r="B6387" s="70"/>
      <c r="C6387" s="70"/>
      <c r="D6387" s="70"/>
      <c r="E6387" s="70"/>
      <c r="F6387" s="70"/>
      <c r="G6387" s="94"/>
      <c r="H6387" s="131"/>
      <c r="I6387" s="3"/>
    </row>
    <row r="6388" spans="1:9" s="93" customFormat="1" ht="9" customHeight="1" x14ac:dyDescent="0.3">
      <c r="A6388" s="91"/>
      <c r="B6388" s="70"/>
      <c r="C6388" s="70"/>
      <c r="D6388" s="70"/>
      <c r="E6388" s="70"/>
      <c r="F6388" s="70"/>
      <c r="G6388" s="94"/>
      <c r="H6388" s="131"/>
      <c r="I6388" s="3"/>
    </row>
    <row r="6389" spans="1:9" s="93" customFormat="1" ht="9" customHeight="1" x14ac:dyDescent="0.3">
      <c r="A6389" s="91"/>
      <c r="B6389" s="70"/>
      <c r="C6389" s="70"/>
      <c r="D6389" s="70"/>
      <c r="E6389" s="70"/>
      <c r="F6389" s="70"/>
      <c r="G6389" s="94"/>
      <c r="H6389" s="131"/>
      <c r="I6389" s="3"/>
    </row>
    <row r="6390" spans="1:9" s="93" customFormat="1" ht="9" customHeight="1" x14ac:dyDescent="0.3">
      <c r="A6390" s="91"/>
      <c r="B6390" s="70"/>
      <c r="C6390" s="70"/>
      <c r="D6390" s="70"/>
      <c r="E6390" s="70"/>
      <c r="F6390" s="70"/>
      <c r="G6390" s="94"/>
      <c r="H6390" s="131"/>
      <c r="I6390" s="3"/>
    </row>
    <row r="6391" spans="1:9" s="93" customFormat="1" ht="9" customHeight="1" x14ac:dyDescent="0.3">
      <c r="A6391" s="91"/>
      <c r="B6391" s="70"/>
      <c r="C6391" s="70"/>
      <c r="D6391" s="70"/>
      <c r="E6391" s="70"/>
      <c r="F6391" s="70"/>
      <c r="G6391" s="94"/>
      <c r="H6391" s="131"/>
      <c r="I6391" s="3"/>
    </row>
    <row r="6392" spans="1:9" s="93" customFormat="1" ht="9" customHeight="1" x14ac:dyDescent="0.3">
      <c r="A6392" s="91"/>
      <c r="B6392" s="70"/>
      <c r="C6392" s="70"/>
      <c r="D6392" s="70"/>
      <c r="E6392" s="70"/>
      <c r="F6392" s="70"/>
      <c r="G6392" s="94"/>
      <c r="H6392" s="131"/>
      <c r="I6392" s="3"/>
    </row>
    <row r="6393" spans="1:9" s="93" customFormat="1" ht="9" customHeight="1" x14ac:dyDescent="0.3">
      <c r="A6393" s="91"/>
      <c r="B6393" s="70"/>
      <c r="C6393" s="70"/>
      <c r="D6393" s="70"/>
      <c r="E6393" s="70"/>
      <c r="F6393" s="70"/>
      <c r="G6393" s="94"/>
      <c r="H6393" s="131"/>
      <c r="I6393" s="3"/>
    </row>
    <row r="6394" spans="1:9" s="93" customFormat="1" ht="9" customHeight="1" x14ac:dyDescent="0.3">
      <c r="A6394" s="91"/>
      <c r="B6394" s="70"/>
      <c r="C6394" s="70"/>
      <c r="D6394" s="70"/>
      <c r="E6394" s="70"/>
      <c r="F6394" s="70"/>
      <c r="G6394" s="94"/>
      <c r="H6394" s="131"/>
      <c r="I6394" s="3"/>
    </row>
    <row r="6395" spans="1:9" s="93" customFormat="1" ht="9" customHeight="1" x14ac:dyDescent="0.3">
      <c r="A6395" s="91"/>
      <c r="B6395" s="70"/>
      <c r="C6395" s="70"/>
      <c r="D6395" s="70"/>
      <c r="E6395" s="70"/>
      <c r="F6395" s="70"/>
      <c r="G6395" s="94"/>
      <c r="H6395" s="131"/>
      <c r="I6395" s="3"/>
    </row>
    <row r="6396" spans="1:9" s="93" customFormat="1" ht="9" customHeight="1" x14ac:dyDescent="0.3">
      <c r="A6396" s="91"/>
      <c r="B6396" s="70"/>
      <c r="C6396" s="70"/>
      <c r="D6396" s="70"/>
      <c r="E6396" s="70"/>
      <c r="F6396" s="70"/>
      <c r="G6396" s="94"/>
      <c r="H6396" s="131"/>
      <c r="I6396" s="3"/>
    </row>
    <row r="6397" spans="1:9" s="93" customFormat="1" ht="9" customHeight="1" x14ac:dyDescent="0.3">
      <c r="A6397" s="91"/>
      <c r="B6397" s="70"/>
      <c r="C6397" s="70"/>
      <c r="D6397" s="70"/>
      <c r="E6397" s="70"/>
      <c r="F6397" s="70"/>
      <c r="G6397" s="94"/>
      <c r="H6397" s="131"/>
      <c r="I6397" s="3"/>
    </row>
    <row r="6398" spans="1:9" s="93" customFormat="1" ht="9" customHeight="1" x14ac:dyDescent="0.3">
      <c r="A6398" s="91"/>
      <c r="B6398" s="70"/>
      <c r="C6398" s="70"/>
      <c r="D6398" s="70"/>
      <c r="E6398" s="70"/>
      <c r="F6398" s="70"/>
      <c r="G6398" s="94"/>
      <c r="H6398" s="131"/>
      <c r="I6398" s="3"/>
    </row>
    <row r="6399" spans="1:9" s="93" customFormat="1" ht="9" customHeight="1" x14ac:dyDescent="0.3">
      <c r="A6399" s="91"/>
      <c r="B6399" s="70"/>
      <c r="C6399" s="70"/>
      <c r="D6399" s="70"/>
      <c r="E6399" s="70"/>
      <c r="F6399" s="70"/>
      <c r="G6399" s="94"/>
      <c r="H6399" s="131"/>
      <c r="I6399" s="3"/>
    </row>
    <row r="6400" spans="1:9" s="93" customFormat="1" ht="9" customHeight="1" x14ac:dyDescent="0.3">
      <c r="A6400" s="91"/>
      <c r="B6400" s="70"/>
      <c r="C6400" s="70"/>
      <c r="D6400" s="70"/>
      <c r="E6400" s="70"/>
      <c r="F6400" s="70"/>
      <c r="G6400" s="94"/>
      <c r="H6400" s="131"/>
      <c r="I6400" s="3"/>
    </row>
    <row r="6401" spans="1:9" s="93" customFormat="1" ht="9" customHeight="1" x14ac:dyDescent="0.3">
      <c r="A6401" s="91"/>
      <c r="B6401" s="70"/>
      <c r="C6401" s="70"/>
      <c r="D6401" s="70"/>
      <c r="E6401" s="70"/>
      <c r="F6401" s="70"/>
      <c r="G6401" s="94"/>
      <c r="H6401" s="131"/>
      <c r="I6401" s="3"/>
    </row>
    <row r="6402" spans="1:9" s="93" customFormat="1" ht="9" customHeight="1" x14ac:dyDescent="0.3">
      <c r="A6402" s="91"/>
      <c r="B6402" s="70"/>
      <c r="C6402" s="70"/>
      <c r="D6402" s="70"/>
      <c r="E6402" s="70"/>
      <c r="F6402" s="70"/>
      <c r="G6402" s="94"/>
      <c r="H6402" s="131"/>
      <c r="I6402" s="3"/>
    </row>
    <row r="6403" spans="1:9" s="93" customFormat="1" ht="9" customHeight="1" x14ac:dyDescent="0.3">
      <c r="A6403" s="91"/>
      <c r="B6403" s="70"/>
      <c r="C6403" s="70"/>
      <c r="D6403" s="70"/>
      <c r="E6403" s="70"/>
      <c r="F6403" s="70"/>
      <c r="G6403" s="94"/>
      <c r="H6403" s="131"/>
      <c r="I6403" s="3"/>
    </row>
    <row r="6404" spans="1:9" s="93" customFormat="1" ht="9" customHeight="1" x14ac:dyDescent="0.3">
      <c r="A6404" s="91"/>
      <c r="B6404" s="70"/>
      <c r="C6404" s="70"/>
      <c r="D6404" s="70"/>
      <c r="E6404" s="70"/>
      <c r="F6404" s="70"/>
      <c r="G6404" s="94"/>
      <c r="H6404" s="131"/>
      <c r="I6404" s="3"/>
    </row>
    <row r="6405" spans="1:9" s="93" customFormat="1" ht="9" customHeight="1" x14ac:dyDescent="0.3">
      <c r="A6405" s="91"/>
      <c r="B6405" s="70"/>
      <c r="C6405" s="70"/>
      <c r="D6405" s="70"/>
      <c r="E6405" s="70"/>
      <c r="F6405" s="70"/>
      <c r="G6405" s="94"/>
      <c r="H6405" s="131"/>
      <c r="I6405" s="3"/>
    </row>
    <row r="6406" spans="1:9" s="93" customFormat="1" ht="9" customHeight="1" x14ac:dyDescent="0.3">
      <c r="A6406" s="91"/>
      <c r="B6406" s="70"/>
      <c r="C6406" s="70"/>
      <c r="D6406" s="70"/>
      <c r="E6406" s="70"/>
      <c r="F6406" s="70"/>
      <c r="G6406" s="94"/>
      <c r="H6406" s="131"/>
      <c r="I6406" s="3"/>
    </row>
    <row r="6407" spans="1:9" s="93" customFormat="1" ht="9" customHeight="1" x14ac:dyDescent="0.3">
      <c r="A6407" s="91"/>
      <c r="B6407" s="70"/>
      <c r="C6407" s="70"/>
      <c r="D6407" s="70"/>
      <c r="E6407" s="70"/>
      <c r="F6407" s="70"/>
      <c r="G6407" s="94"/>
      <c r="H6407" s="131"/>
      <c r="I6407" s="3"/>
    </row>
    <row r="6408" spans="1:9" s="93" customFormat="1" ht="9" customHeight="1" x14ac:dyDescent="0.3">
      <c r="A6408" s="91"/>
      <c r="B6408" s="70"/>
      <c r="C6408" s="70"/>
      <c r="D6408" s="70"/>
      <c r="E6408" s="70"/>
      <c r="F6408" s="70"/>
      <c r="G6408" s="94"/>
      <c r="H6408" s="131"/>
      <c r="I6408" s="3"/>
    </row>
    <row r="6409" spans="1:9" s="93" customFormat="1" ht="9" customHeight="1" x14ac:dyDescent="0.3">
      <c r="A6409" s="91"/>
      <c r="B6409" s="70"/>
      <c r="C6409" s="70"/>
      <c r="D6409" s="70"/>
      <c r="E6409" s="70"/>
      <c r="F6409" s="70"/>
      <c r="G6409" s="94"/>
      <c r="H6409" s="131"/>
      <c r="I6409" s="3"/>
    </row>
    <row r="6410" spans="1:9" s="93" customFormat="1" ht="9" customHeight="1" x14ac:dyDescent="0.3">
      <c r="A6410" s="91"/>
      <c r="B6410" s="70"/>
      <c r="C6410" s="70"/>
      <c r="D6410" s="70"/>
      <c r="E6410" s="70"/>
      <c r="F6410" s="70"/>
      <c r="G6410" s="94"/>
      <c r="H6410" s="131"/>
      <c r="I6410" s="3"/>
    </row>
    <row r="6411" spans="1:9" s="93" customFormat="1" ht="9" customHeight="1" x14ac:dyDescent="0.3">
      <c r="A6411" s="91"/>
      <c r="B6411" s="70"/>
      <c r="C6411" s="70"/>
      <c r="D6411" s="70"/>
      <c r="E6411" s="70"/>
      <c r="F6411" s="70"/>
      <c r="G6411" s="94"/>
      <c r="H6411" s="131"/>
      <c r="I6411" s="3"/>
    </row>
    <row r="6412" spans="1:9" s="93" customFormat="1" ht="9" customHeight="1" x14ac:dyDescent="0.3">
      <c r="A6412" s="91"/>
      <c r="B6412" s="70"/>
      <c r="C6412" s="70"/>
      <c r="D6412" s="70"/>
      <c r="E6412" s="70"/>
      <c r="F6412" s="70"/>
      <c r="G6412" s="94"/>
      <c r="H6412" s="131"/>
      <c r="I6412" s="3"/>
    </row>
    <row r="6413" spans="1:9" s="93" customFormat="1" ht="9" customHeight="1" x14ac:dyDescent="0.3">
      <c r="A6413" s="91"/>
      <c r="B6413" s="70"/>
      <c r="C6413" s="70"/>
      <c r="D6413" s="70"/>
      <c r="E6413" s="70"/>
      <c r="F6413" s="70"/>
      <c r="G6413" s="94"/>
      <c r="H6413" s="131"/>
      <c r="I6413" s="3"/>
    </row>
    <row r="6414" spans="1:9" s="93" customFormat="1" ht="9" customHeight="1" x14ac:dyDescent="0.3">
      <c r="A6414" s="91"/>
      <c r="B6414" s="70"/>
      <c r="C6414" s="70"/>
      <c r="D6414" s="70"/>
      <c r="E6414" s="70"/>
      <c r="F6414" s="70"/>
      <c r="G6414" s="94"/>
      <c r="H6414" s="131"/>
      <c r="I6414" s="3"/>
    </row>
    <row r="6415" spans="1:9" s="93" customFormat="1" ht="9" customHeight="1" x14ac:dyDescent="0.3">
      <c r="A6415" s="91"/>
      <c r="B6415" s="70"/>
      <c r="C6415" s="70"/>
      <c r="D6415" s="70"/>
      <c r="E6415" s="70"/>
      <c r="F6415" s="70"/>
      <c r="G6415" s="94"/>
      <c r="H6415" s="131"/>
      <c r="I6415" s="3"/>
    </row>
    <row r="6416" spans="1:9" s="93" customFormat="1" ht="9" customHeight="1" x14ac:dyDescent="0.3">
      <c r="A6416" s="91"/>
      <c r="B6416" s="70"/>
      <c r="C6416" s="70"/>
      <c r="D6416" s="70"/>
      <c r="E6416" s="70"/>
      <c r="F6416" s="70"/>
      <c r="G6416" s="94"/>
      <c r="H6416" s="131"/>
      <c r="I6416" s="3"/>
    </row>
    <row r="6417" spans="1:9" s="93" customFormat="1" ht="9" customHeight="1" x14ac:dyDescent="0.3">
      <c r="A6417" s="91"/>
      <c r="B6417" s="70"/>
      <c r="C6417" s="70"/>
      <c r="D6417" s="70"/>
      <c r="E6417" s="70"/>
      <c r="F6417" s="70"/>
      <c r="G6417" s="94"/>
      <c r="H6417" s="131"/>
      <c r="I6417" s="3"/>
    </row>
    <row r="6418" spans="1:9" s="93" customFormat="1" ht="9" customHeight="1" x14ac:dyDescent="0.3">
      <c r="A6418" s="91"/>
      <c r="B6418" s="70"/>
      <c r="C6418" s="70"/>
      <c r="D6418" s="70"/>
      <c r="E6418" s="70"/>
      <c r="F6418" s="70"/>
      <c r="G6418" s="94"/>
      <c r="H6418" s="131"/>
      <c r="I6418" s="3"/>
    </row>
    <row r="6419" spans="1:9" s="93" customFormat="1" ht="9" customHeight="1" x14ac:dyDescent="0.3">
      <c r="A6419" s="91"/>
      <c r="B6419" s="70"/>
      <c r="C6419" s="70"/>
      <c r="D6419" s="70"/>
      <c r="E6419" s="70"/>
      <c r="F6419" s="70"/>
      <c r="G6419" s="94"/>
      <c r="H6419" s="131"/>
      <c r="I6419" s="3"/>
    </row>
    <row r="6420" spans="1:9" s="93" customFormat="1" ht="9" customHeight="1" x14ac:dyDescent="0.3">
      <c r="A6420" s="91"/>
      <c r="B6420" s="70"/>
      <c r="C6420" s="70"/>
      <c r="D6420" s="70"/>
      <c r="E6420" s="70"/>
      <c r="F6420" s="70"/>
      <c r="G6420" s="94"/>
      <c r="H6420" s="131"/>
      <c r="I6420" s="3"/>
    </row>
    <row r="6421" spans="1:9" s="93" customFormat="1" ht="9" customHeight="1" x14ac:dyDescent="0.3">
      <c r="A6421" s="91"/>
      <c r="B6421" s="70"/>
      <c r="C6421" s="70"/>
      <c r="D6421" s="70"/>
      <c r="E6421" s="70"/>
      <c r="F6421" s="70"/>
      <c r="G6421" s="94"/>
      <c r="H6421" s="131"/>
      <c r="I6421" s="3"/>
    </row>
    <row r="6422" spans="1:9" s="93" customFormat="1" ht="9" customHeight="1" x14ac:dyDescent="0.3">
      <c r="A6422" s="91"/>
      <c r="B6422" s="70"/>
      <c r="C6422" s="70"/>
      <c r="D6422" s="70"/>
      <c r="E6422" s="70"/>
      <c r="F6422" s="70"/>
      <c r="G6422" s="94"/>
      <c r="H6422" s="131"/>
      <c r="I6422" s="3"/>
    </row>
    <row r="6423" spans="1:9" s="93" customFormat="1" ht="9" customHeight="1" x14ac:dyDescent="0.3">
      <c r="A6423" s="91"/>
      <c r="B6423" s="70"/>
      <c r="C6423" s="70"/>
      <c r="D6423" s="70"/>
      <c r="E6423" s="70"/>
      <c r="F6423" s="70"/>
      <c r="G6423" s="94"/>
      <c r="H6423" s="131"/>
      <c r="I6423" s="3"/>
    </row>
    <row r="6424" spans="1:9" s="93" customFormat="1" ht="9" customHeight="1" x14ac:dyDescent="0.3">
      <c r="A6424" s="91"/>
      <c r="B6424" s="70"/>
      <c r="C6424" s="70"/>
      <c r="D6424" s="70"/>
      <c r="E6424" s="70"/>
      <c r="F6424" s="70"/>
      <c r="G6424" s="94"/>
      <c r="H6424" s="131"/>
      <c r="I6424" s="3"/>
    </row>
    <row r="6425" spans="1:9" s="93" customFormat="1" ht="9" customHeight="1" x14ac:dyDescent="0.3">
      <c r="A6425" s="91"/>
      <c r="B6425" s="70"/>
      <c r="C6425" s="70"/>
      <c r="D6425" s="70"/>
      <c r="E6425" s="70"/>
      <c r="F6425" s="70"/>
      <c r="G6425" s="94"/>
      <c r="H6425" s="131"/>
      <c r="I6425" s="3"/>
    </row>
    <row r="6426" spans="1:9" s="93" customFormat="1" ht="9" customHeight="1" x14ac:dyDescent="0.3">
      <c r="A6426" s="91"/>
      <c r="B6426" s="70"/>
      <c r="C6426" s="70"/>
      <c r="D6426" s="70"/>
      <c r="E6426" s="70"/>
      <c r="F6426" s="70"/>
      <c r="G6426" s="94"/>
      <c r="H6426" s="131"/>
      <c r="I6426" s="3"/>
    </row>
    <row r="6427" spans="1:9" s="93" customFormat="1" ht="9" customHeight="1" x14ac:dyDescent="0.3">
      <c r="A6427" s="91"/>
      <c r="B6427" s="70"/>
      <c r="C6427" s="70"/>
      <c r="D6427" s="70"/>
      <c r="E6427" s="70"/>
      <c r="F6427" s="70"/>
      <c r="G6427" s="94"/>
      <c r="H6427" s="131"/>
      <c r="I6427" s="3"/>
    </row>
    <row r="6428" spans="1:9" s="93" customFormat="1" ht="9" customHeight="1" x14ac:dyDescent="0.3">
      <c r="A6428" s="91"/>
      <c r="B6428" s="70"/>
      <c r="C6428" s="70"/>
      <c r="D6428" s="70"/>
      <c r="E6428" s="70"/>
      <c r="F6428" s="70"/>
      <c r="G6428" s="94"/>
      <c r="H6428" s="131"/>
      <c r="I6428" s="3"/>
    </row>
    <row r="6429" spans="1:9" s="93" customFormat="1" ht="9" customHeight="1" x14ac:dyDescent="0.3">
      <c r="A6429" s="91"/>
      <c r="B6429" s="70"/>
      <c r="C6429" s="70"/>
      <c r="D6429" s="70"/>
      <c r="E6429" s="70"/>
      <c r="F6429" s="70"/>
      <c r="G6429" s="94"/>
      <c r="H6429" s="131"/>
      <c r="I6429" s="3"/>
    </row>
    <row r="6430" spans="1:9" s="93" customFormat="1" ht="9" customHeight="1" x14ac:dyDescent="0.3">
      <c r="A6430" s="91"/>
      <c r="B6430" s="70"/>
      <c r="C6430" s="70"/>
      <c r="D6430" s="70"/>
      <c r="E6430" s="70"/>
      <c r="F6430" s="70"/>
      <c r="G6430" s="94"/>
      <c r="H6430" s="131"/>
      <c r="I6430" s="3"/>
    </row>
    <row r="6431" spans="1:9" s="93" customFormat="1" ht="9" customHeight="1" x14ac:dyDescent="0.3">
      <c r="A6431" s="91"/>
      <c r="B6431" s="70"/>
      <c r="C6431" s="70"/>
      <c r="D6431" s="70"/>
      <c r="E6431" s="70"/>
      <c r="F6431" s="70"/>
      <c r="G6431" s="94"/>
      <c r="H6431" s="131"/>
      <c r="I6431" s="3"/>
    </row>
    <row r="6432" spans="1:9" s="93" customFormat="1" ht="9" customHeight="1" x14ac:dyDescent="0.3">
      <c r="A6432" s="91"/>
      <c r="B6432" s="70"/>
      <c r="C6432" s="70"/>
      <c r="D6432" s="70"/>
      <c r="E6432" s="70"/>
      <c r="F6432" s="70"/>
      <c r="G6432" s="94"/>
      <c r="H6432" s="131"/>
      <c r="I6432" s="3"/>
    </row>
    <row r="6433" spans="1:9" s="93" customFormat="1" ht="9" customHeight="1" x14ac:dyDescent="0.3">
      <c r="A6433" s="91"/>
      <c r="B6433" s="70"/>
      <c r="C6433" s="70"/>
      <c r="D6433" s="70"/>
      <c r="E6433" s="70"/>
      <c r="F6433" s="70"/>
      <c r="G6433" s="94"/>
      <c r="H6433" s="131"/>
      <c r="I6433" s="3"/>
    </row>
    <row r="6434" spans="1:9" s="93" customFormat="1" ht="9" customHeight="1" x14ac:dyDescent="0.3">
      <c r="A6434" s="91"/>
      <c r="B6434" s="70"/>
      <c r="C6434" s="70"/>
      <c r="D6434" s="70"/>
      <c r="E6434" s="70"/>
      <c r="F6434" s="70"/>
      <c r="G6434" s="94"/>
      <c r="H6434" s="131"/>
      <c r="I6434" s="3"/>
    </row>
    <row r="6435" spans="1:9" s="93" customFormat="1" ht="9" customHeight="1" x14ac:dyDescent="0.3">
      <c r="A6435" s="91"/>
      <c r="B6435" s="70"/>
      <c r="C6435" s="70"/>
      <c r="D6435" s="70"/>
      <c r="E6435" s="70"/>
      <c r="F6435" s="70"/>
      <c r="G6435" s="94"/>
      <c r="H6435" s="131"/>
      <c r="I6435" s="3"/>
    </row>
    <row r="6436" spans="1:9" s="93" customFormat="1" ht="9" customHeight="1" x14ac:dyDescent="0.3">
      <c r="A6436" s="91"/>
      <c r="B6436" s="70"/>
      <c r="C6436" s="70"/>
      <c r="D6436" s="70"/>
      <c r="E6436" s="70"/>
      <c r="F6436" s="70"/>
      <c r="G6436" s="94"/>
      <c r="H6436" s="131"/>
      <c r="I6436" s="3"/>
    </row>
    <row r="6437" spans="1:9" s="93" customFormat="1" ht="9" customHeight="1" x14ac:dyDescent="0.3">
      <c r="A6437" s="91"/>
      <c r="B6437" s="70"/>
      <c r="C6437" s="70"/>
      <c r="D6437" s="70"/>
      <c r="E6437" s="70"/>
      <c r="F6437" s="70"/>
      <c r="G6437" s="94"/>
      <c r="H6437" s="131"/>
      <c r="I6437" s="3"/>
    </row>
    <row r="6438" spans="1:9" s="93" customFormat="1" ht="9" customHeight="1" x14ac:dyDescent="0.3">
      <c r="A6438" s="91"/>
      <c r="B6438" s="70"/>
      <c r="C6438" s="70"/>
      <c r="D6438" s="70"/>
      <c r="E6438" s="70"/>
      <c r="F6438" s="70"/>
      <c r="G6438" s="94"/>
      <c r="H6438" s="131"/>
      <c r="I6438" s="3"/>
    </row>
    <row r="6439" spans="1:9" s="93" customFormat="1" ht="9" customHeight="1" x14ac:dyDescent="0.3">
      <c r="A6439" s="91"/>
      <c r="B6439" s="70"/>
      <c r="C6439" s="70"/>
      <c r="D6439" s="70"/>
      <c r="E6439" s="70"/>
      <c r="F6439" s="70"/>
      <c r="G6439" s="94"/>
      <c r="H6439" s="131"/>
      <c r="I6439" s="3"/>
    </row>
    <row r="6440" spans="1:9" s="93" customFormat="1" ht="9" customHeight="1" x14ac:dyDescent="0.3">
      <c r="A6440" s="91"/>
      <c r="B6440" s="70"/>
      <c r="C6440" s="70"/>
      <c r="D6440" s="70"/>
      <c r="E6440" s="70"/>
      <c r="F6440" s="70"/>
      <c r="G6440" s="94"/>
      <c r="H6440" s="131"/>
      <c r="I6440" s="3"/>
    </row>
    <row r="6441" spans="1:9" s="93" customFormat="1" ht="9" customHeight="1" x14ac:dyDescent="0.3">
      <c r="A6441" s="91"/>
      <c r="B6441" s="70"/>
      <c r="C6441" s="70"/>
      <c r="D6441" s="70"/>
      <c r="E6441" s="70"/>
      <c r="F6441" s="70"/>
      <c r="G6441" s="94"/>
      <c r="H6441" s="131"/>
      <c r="I6441" s="3"/>
    </row>
    <row r="6442" spans="1:9" s="93" customFormat="1" ht="9" customHeight="1" x14ac:dyDescent="0.3">
      <c r="A6442" s="91"/>
      <c r="B6442" s="70"/>
      <c r="C6442" s="70"/>
      <c r="D6442" s="70"/>
      <c r="E6442" s="70"/>
      <c r="F6442" s="70"/>
      <c r="G6442" s="94"/>
      <c r="H6442" s="131"/>
      <c r="I6442" s="3"/>
    </row>
    <row r="6443" spans="1:9" s="93" customFormat="1" ht="9" customHeight="1" x14ac:dyDescent="0.3">
      <c r="A6443" s="91"/>
      <c r="B6443" s="70"/>
      <c r="C6443" s="70"/>
      <c r="D6443" s="70"/>
      <c r="E6443" s="70"/>
      <c r="F6443" s="70"/>
      <c r="G6443" s="94"/>
      <c r="H6443" s="131"/>
      <c r="I6443" s="3"/>
    </row>
    <row r="6444" spans="1:9" s="93" customFormat="1" ht="9" customHeight="1" x14ac:dyDescent="0.3">
      <c r="A6444" s="91"/>
      <c r="B6444" s="70"/>
      <c r="C6444" s="70"/>
      <c r="D6444" s="70"/>
      <c r="E6444" s="70"/>
      <c r="F6444" s="70"/>
      <c r="G6444" s="94"/>
      <c r="H6444" s="131"/>
      <c r="I6444" s="3"/>
    </row>
    <row r="6445" spans="1:9" s="93" customFormat="1" ht="9" customHeight="1" x14ac:dyDescent="0.3">
      <c r="A6445" s="91"/>
      <c r="B6445" s="70"/>
      <c r="C6445" s="70"/>
      <c r="D6445" s="70"/>
      <c r="E6445" s="70"/>
      <c r="F6445" s="70"/>
      <c r="G6445" s="94"/>
      <c r="H6445" s="131"/>
      <c r="I6445" s="3"/>
    </row>
    <row r="6446" spans="1:9" s="93" customFormat="1" ht="9" customHeight="1" x14ac:dyDescent="0.3">
      <c r="A6446" s="91"/>
      <c r="B6446" s="70"/>
      <c r="C6446" s="70"/>
      <c r="D6446" s="70"/>
      <c r="E6446" s="70"/>
      <c r="F6446" s="70"/>
      <c r="G6446" s="94"/>
      <c r="H6446" s="131"/>
      <c r="I6446" s="3"/>
    </row>
    <row r="6447" spans="1:9" s="93" customFormat="1" ht="9" customHeight="1" x14ac:dyDescent="0.3">
      <c r="A6447" s="91"/>
      <c r="B6447" s="70"/>
      <c r="C6447" s="70"/>
      <c r="D6447" s="70"/>
      <c r="E6447" s="70"/>
      <c r="F6447" s="70"/>
      <c r="G6447" s="94"/>
      <c r="H6447" s="131"/>
      <c r="I6447" s="3"/>
    </row>
    <row r="6448" spans="1:9" s="93" customFormat="1" ht="9" customHeight="1" x14ac:dyDescent="0.3">
      <c r="A6448" s="91"/>
      <c r="B6448" s="70"/>
      <c r="C6448" s="70"/>
      <c r="D6448" s="70"/>
      <c r="E6448" s="70"/>
      <c r="F6448" s="70"/>
      <c r="G6448" s="94"/>
      <c r="H6448" s="131"/>
      <c r="I6448" s="3"/>
    </row>
    <row r="6449" spans="1:9" s="93" customFormat="1" ht="9" customHeight="1" x14ac:dyDescent="0.3">
      <c r="A6449" s="91"/>
      <c r="B6449" s="70"/>
      <c r="C6449" s="70"/>
      <c r="D6449" s="70"/>
      <c r="E6449" s="70"/>
      <c r="F6449" s="70"/>
      <c r="G6449" s="94"/>
      <c r="H6449" s="131"/>
      <c r="I6449" s="3"/>
    </row>
    <row r="6450" spans="1:9" s="93" customFormat="1" ht="9" customHeight="1" x14ac:dyDescent="0.3">
      <c r="A6450" s="91"/>
      <c r="B6450" s="70"/>
      <c r="C6450" s="70"/>
      <c r="D6450" s="70"/>
      <c r="E6450" s="70"/>
      <c r="F6450" s="70"/>
      <c r="G6450" s="94"/>
      <c r="H6450" s="131"/>
      <c r="I6450" s="3"/>
    </row>
    <row r="6451" spans="1:9" s="93" customFormat="1" ht="9" customHeight="1" x14ac:dyDescent="0.3">
      <c r="A6451" s="91"/>
      <c r="B6451" s="70"/>
      <c r="C6451" s="70"/>
      <c r="D6451" s="70"/>
      <c r="E6451" s="70"/>
      <c r="F6451" s="70"/>
      <c r="G6451" s="94"/>
      <c r="H6451" s="131"/>
      <c r="I6451" s="3"/>
    </row>
    <row r="6452" spans="1:9" s="93" customFormat="1" ht="9" customHeight="1" x14ac:dyDescent="0.3">
      <c r="A6452" s="91"/>
      <c r="B6452" s="70"/>
      <c r="C6452" s="70"/>
      <c r="D6452" s="70"/>
      <c r="E6452" s="70"/>
      <c r="F6452" s="70"/>
      <c r="G6452" s="94"/>
      <c r="H6452" s="131"/>
      <c r="I6452" s="3"/>
    </row>
    <row r="6453" spans="1:9" s="93" customFormat="1" ht="9" customHeight="1" x14ac:dyDescent="0.3">
      <c r="A6453" s="91"/>
      <c r="B6453" s="70"/>
      <c r="C6453" s="70"/>
      <c r="D6453" s="70"/>
      <c r="E6453" s="70"/>
      <c r="F6453" s="70"/>
      <c r="G6453" s="94"/>
      <c r="H6453" s="131"/>
      <c r="I6453" s="3"/>
    </row>
    <row r="6454" spans="1:9" s="93" customFormat="1" ht="9" customHeight="1" x14ac:dyDescent="0.3">
      <c r="A6454" s="91"/>
      <c r="B6454" s="70"/>
      <c r="C6454" s="70"/>
      <c r="D6454" s="70"/>
      <c r="E6454" s="70"/>
      <c r="F6454" s="70"/>
      <c r="G6454" s="94"/>
      <c r="H6454" s="131"/>
      <c r="I6454" s="3"/>
    </row>
    <row r="6455" spans="1:9" s="93" customFormat="1" ht="9" customHeight="1" x14ac:dyDescent="0.3">
      <c r="A6455" s="91"/>
      <c r="B6455" s="70"/>
      <c r="C6455" s="70"/>
      <c r="D6455" s="70"/>
      <c r="E6455" s="70"/>
      <c r="F6455" s="70"/>
      <c r="G6455" s="94"/>
      <c r="H6455" s="131"/>
      <c r="I6455" s="3"/>
    </row>
    <row r="6456" spans="1:9" s="93" customFormat="1" ht="9" customHeight="1" x14ac:dyDescent="0.3">
      <c r="A6456" s="91"/>
      <c r="B6456" s="70"/>
      <c r="C6456" s="70"/>
      <c r="D6456" s="70"/>
      <c r="E6456" s="70"/>
      <c r="F6456" s="70"/>
      <c r="G6456" s="94"/>
      <c r="H6456" s="131"/>
      <c r="I6456" s="3"/>
    </row>
    <row r="6457" spans="1:9" s="93" customFormat="1" ht="9" customHeight="1" x14ac:dyDescent="0.3">
      <c r="A6457" s="91"/>
      <c r="B6457" s="70"/>
      <c r="C6457" s="70"/>
      <c r="D6457" s="70"/>
      <c r="E6457" s="70"/>
      <c r="F6457" s="70"/>
      <c r="G6457" s="94"/>
      <c r="H6457" s="131"/>
      <c r="I6457" s="3"/>
    </row>
    <row r="6458" spans="1:9" s="93" customFormat="1" ht="9" customHeight="1" x14ac:dyDescent="0.3">
      <c r="A6458" s="91"/>
      <c r="B6458" s="70"/>
      <c r="C6458" s="70"/>
      <c r="D6458" s="70"/>
      <c r="E6458" s="70"/>
      <c r="F6458" s="70"/>
      <c r="G6458" s="94"/>
      <c r="H6458" s="131"/>
      <c r="I6458" s="3"/>
    </row>
    <row r="6459" spans="1:9" s="93" customFormat="1" ht="9" customHeight="1" x14ac:dyDescent="0.3">
      <c r="A6459" s="91"/>
      <c r="B6459" s="70"/>
      <c r="C6459" s="70"/>
      <c r="D6459" s="70"/>
      <c r="E6459" s="70"/>
      <c r="F6459" s="70"/>
      <c r="G6459" s="94"/>
      <c r="H6459" s="131"/>
      <c r="I6459" s="3"/>
    </row>
    <row r="6460" spans="1:9" s="93" customFormat="1" ht="9" customHeight="1" x14ac:dyDescent="0.3">
      <c r="A6460" s="91"/>
      <c r="B6460" s="70"/>
      <c r="C6460" s="70"/>
      <c r="D6460" s="70"/>
      <c r="E6460" s="70"/>
      <c r="F6460" s="70"/>
      <c r="G6460" s="94"/>
      <c r="H6460" s="131"/>
      <c r="I6460" s="3"/>
    </row>
    <row r="6461" spans="1:9" s="93" customFormat="1" ht="9" customHeight="1" x14ac:dyDescent="0.3">
      <c r="A6461" s="91"/>
      <c r="B6461" s="70"/>
      <c r="C6461" s="70"/>
      <c r="D6461" s="70"/>
      <c r="E6461" s="70"/>
      <c r="F6461" s="70"/>
      <c r="G6461" s="94"/>
      <c r="H6461" s="131"/>
      <c r="I6461" s="3"/>
    </row>
    <row r="6462" spans="1:9" s="93" customFormat="1" ht="9" customHeight="1" x14ac:dyDescent="0.3">
      <c r="A6462" s="91"/>
      <c r="B6462" s="70"/>
      <c r="C6462" s="70"/>
      <c r="D6462" s="70"/>
      <c r="E6462" s="70"/>
      <c r="F6462" s="70"/>
      <c r="G6462" s="94"/>
      <c r="H6462" s="131"/>
      <c r="I6462" s="3"/>
    </row>
    <row r="6463" spans="1:9" s="93" customFormat="1" ht="9" customHeight="1" x14ac:dyDescent="0.3">
      <c r="A6463" s="91"/>
      <c r="B6463" s="70"/>
      <c r="C6463" s="70"/>
      <c r="D6463" s="70"/>
      <c r="E6463" s="70"/>
      <c r="F6463" s="70"/>
      <c r="G6463" s="94"/>
      <c r="H6463" s="131"/>
      <c r="I6463" s="3"/>
    </row>
    <row r="6464" spans="1:9" s="93" customFormat="1" ht="9" customHeight="1" x14ac:dyDescent="0.3">
      <c r="A6464" s="91"/>
      <c r="B6464" s="70"/>
      <c r="C6464" s="70"/>
      <c r="D6464" s="70"/>
      <c r="E6464" s="70"/>
      <c r="F6464" s="70"/>
      <c r="G6464" s="94"/>
      <c r="H6464" s="131"/>
      <c r="I6464" s="3"/>
    </row>
    <row r="6465" spans="1:9" s="93" customFormat="1" ht="9" customHeight="1" x14ac:dyDescent="0.3">
      <c r="A6465" s="91"/>
      <c r="B6465" s="70"/>
      <c r="C6465" s="70"/>
      <c r="D6465" s="70"/>
      <c r="E6465" s="70"/>
      <c r="F6465" s="70"/>
      <c r="G6465" s="94"/>
      <c r="H6465" s="131"/>
      <c r="I6465" s="3"/>
    </row>
    <row r="6466" spans="1:9" s="93" customFormat="1" ht="9" customHeight="1" x14ac:dyDescent="0.3">
      <c r="A6466" s="91"/>
      <c r="B6466" s="70"/>
      <c r="C6466" s="70"/>
      <c r="D6466" s="70"/>
      <c r="E6466" s="70"/>
      <c r="F6466" s="70"/>
      <c r="G6466" s="94"/>
      <c r="H6466" s="131"/>
      <c r="I6466" s="3"/>
    </row>
    <row r="6467" spans="1:9" s="93" customFormat="1" ht="9" customHeight="1" x14ac:dyDescent="0.3">
      <c r="A6467" s="91"/>
      <c r="B6467" s="70"/>
      <c r="C6467" s="70"/>
      <c r="D6467" s="70"/>
      <c r="E6467" s="70"/>
      <c r="F6467" s="70"/>
      <c r="G6467" s="94"/>
      <c r="H6467" s="131"/>
      <c r="I6467" s="3"/>
    </row>
    <row r="6468" spans="1:9" s="93" customFormat="1" ht="9" customHeight="1" x14ac:dyDescent="0.3">
      <c r="A6468" s="91"/>
      <c r="B6468" s="70"/>
      <c r="C6468" s="70"/>
      <c r="D6468" s="70"/>
      <c r="E6468" s="70"/>
      <c r="F6468" s="70"/>
      <c r="G6468" s="94"/>
      <c r="H6468" s="131"/>
      <c r="I6468" s="3"/>
    </row>
    <row r="6469" spans="1:9" s="93" customFormat="1" ht="9" customHeight="1" x14ac:dyDescent="0.3">
      <c r="A6469" s="91"/>
      <c r="B6469" s="70"/>
      <c r="C6469" s="70"/>
      <c r="D6469" s="70"/>
      <c r="E6469" s="70"/>
      <c r="F6469" s="70"/>
      <c r="G6469" s="94"/>
      <c r="H6469" s="131"/>
      <c r="I6469" s="3"/>
    </row>
    <row r="6470" spans="1:9" s="93" customFormat="1" ht="9" customHeight="1" x14ac:dyDescent="0.3">
      <c r="A6470" s="91"/>
      <c r="B6470" s="70"/>
      <c r="C6470" s="70"/>
      <c r="D6470" s="70"/>
      <c r="E6470" s="70"/>
      <c r="F6470" s="70"/>
      <c r="G6470" s="94"/>
      <c r="H6470" s="131"/>
      <c r="I6470" s="3"/>
    </row>
    <row r="6471" spans="1:9" s="93" customFormat="1" ht="9" customHeight="1" x14ac:dyDescent="0.3">
      <c r="A6471" s="91"/>
      <c r="B6471" s="70"/>
      <c r="C6471" s="70"/>
      <c r="D6471" s="70"/>
      <c r="E6471" s="70"/>
      <c r="F6471" s="70"/>
      <c r="G6471" s="94"/>
      <c r="H6471" s="131"/>
      <c r="I6471" s="3"/>
    </row>
    <row r="6472" spans="1:9" s="93" customFormat="1" ht="9" customHeight="1" x14ac:dyDescent="0.3">
      <c r="A6472" s="91"/>
      <c r="B6472" s="70"/>
      <c r="C6472" s="70"/>
      <c r="D6472" s="70"/>
      <c r="E6472" s="70"/>
      <c r="F6472" s="70"/>
      <c r="G6472" s="94"/>
      <c r="H6472" s="131"/>
      <c r="I6472" s="3"/>
    </row>
    <row r="6473" spans="1:9" s="93" customFormat="1" ht="9" customHeight="1" x14ac:dyDescent="0.3">
      <c r="A6473" s="91"/>
      <c r="B6473" s="70"/>
      <c r="C6473" s="70"/>
      <c r="D6473" s="70"/>
      <c r="E6473" s="70"/>
      <c r="F6473" s="70"/>
      <c r="G6473" s="94"/>
      <c r="H6473" s="131"/>
      <c r="I6473" s="3"/>
    </row>
    <row r="6474" spans="1:9" s="93" customFormat="1" ht="9" customHeight="1" x14ac:dyDescent="0.3">
      <c r="A6474" s="91"/>
      <c r="B6474" s="70"/>
      <c r="C6474" s="70"/>
      <c r="D6474" s="70"/>
      <c r="E6474" s="70"/>
      <c r="F6474" s="70"/>
      <c r="G6474" s="94"/>
      <c r="H6474" s="131"/>
      <c r="I6474" s="3"/>
    </row>
    <row r="6475" spans="1:9" s="93" customFormat="1" ht="9" customHeight="1" x14ac:dyDescent="0.3">
      <c r="A6475" s="91"/>
      <c r="B6475" s="70"/>
      <c r="C6475" s="70"/>
      <c r="D6475" s="70"/>
      <c r="E6475" s="70"/>
      <c r="F6475" s="70"/>
      <c r="G6475" s="94"/>
      <c r="H6475" s="131"/>
      <c r="I6475" s="3"/>
    </row>
    <row r="6476" spans="1:9" s="93" customFormat="1" ht="9" customHeight="1" x14ac:dyDescent="0.3">
      <c r="A6476" s="91"/>
      <c r="B6476" s="70"/>
      <c r="C6476" s="70"/>
      <c r="D6476" s="70"/>
      <c r="E6476" s="70"/>
      <c r="F6476" s="70"/>
      <c r="G6476" s="94"/>
      <c r="H6476" s="131"/>
      <c r="I6476" s="3"/>
    </row>
    <row r="6477" spans="1:9" s="93" customFormat="1" ht="9" customHeight="1" x14ac:dyDescent="0.3">
      <c r="A6477" s="91"/>
      <c r="B6477" s="70"/>
      <c r="C6477" s="70"/>
      <c r="D6477" s="70"/>
      <c r="E6477" s="70"/>
      <c r="F6477" s="70"/>
      <c r="G6477" s="94"/>
      <c r="H6477" s="131"/>
      <c r="I6477" s="3"/>
    </row>
    <row r="6478" spans="1:9" s="93" customFormat="1" ht="9" customHeight="1" x14ac:dyDescent="0.3">
      <c r="A6478" s="91"/>
      <c r="B6478" s="70"/>
      <c r="C6478" s="70"/>
      <c r="D6478" s="70"/>
      <c r="E6478" s="70"/>
      <c r="F6478" s="70"/>
      <c r="G6478" s="94"/>
      <c r="H6478" s="131"/>
      <c r="I6478" s="3"/>
    </row>
    <row r="6479" spans="1:9" s="93" customFormat="1" ht="9" customHeight="1" x14ac:dyDescent="0.3">
      <c r="A6479" s="91"/>
      <c r="B6479" s="70"/>
      <c r="C6479" s="70"/>
      <c r="D6479" s="70"/>
      <c r="E6479" s="70"/>
      <c r="F6479" s="70"/>
      <c r="G6479" s="94"/>
      <c r="H6479" s="131"/>
      <c r="I6479" s="3"/>
    </row>
    <row r="6480" spans="1:9" s="93" customFormat="1" ht="9" customHeight="1" x14ac:dyDescent="0.3">
      <c r="A6480" s="91"/>
      <c r="B6480" s="70"/>
      <c r="C6480" s="70"/>
      <c r="D6480" s="70"/>
      <c r="E6480" s="70"/>
      <c r="F6480" s="70"/>
      <c r="G6480" s="94"/>
      <c r="H6480" s="131"/>
      <c r="I6480" s="3"/>
    </row>
    <row r="6481" spans="1:9" s="93" customFormat="1" ht="9" customHeight="1" x14ac:dyDescent="0.3">
      <c r="A6481" s="91"/>
      <c r="B6481" s="70"/>
      <c r="C6481" s="70"/>
      <c r="D6481" s="70"/>
      <c r="E6481" s="70"/>
      <c r="F6481" s="70"/>
      <c r="G6481" s="94"/>
      <c r="H6481" s="131"/>
      <c r="I6481" s="3"/>
    </row>
    <row r="6482" spans="1:9" s="93" customFormat="1" ht="9" customHeight="1" x14ac:dyDescent="0.3">
      <c r="A6482" s="91"/>
      <c r="B6482" s="70"/>
      <c r="C6482" s="70"/>
      <c r="D6482" s="70"/>
      <c r="E6482" s="70"/>
      <c r="F6482" s="70"/>
      <c r="G6482" s="94"/>
      <c r="H6482" s="131"/>
      <c r="I6482" s="3"/>
    </row>
    <row r="6483" spans="1:9" s="93" customFormat="1" ht="9" customHeight="1" x14ac:dyDescent="0.3">
      <c r="A6483" s="91"/>
      <c r="B6483" s="70"/>
      <c r="C6483" s="70"/>
      <c r="D6483" s="70"/>
      <c r="E6483" s="70"/>
      <c r="F6483" s="70"/>
      <c r="G6483" s="94"/>
      <c r="H6483" s="131"/>
      <c r="I6483" s="3"/>
    </row>
    <row r="6484" spans="1:9" s="93" customFormat="1" ht="9" customHeight="1" x14ac:dyDescent="0.3">
      <c r="A6484" s="91"/>
      <c r="B6484" s="70"/>
      <c r="C6484" s="70"/>
      <c r="D6484" s="70"/>
      <c r="E6484" s="70"/>
      <c r="F6484" s="70"/>
      <c r="G6484" s="94"/>
      <c r="H6484" s="131"/>
      <c r="I6484" s="3"/>
    </row>
    <row r="6485" spans="1:9" s="93" customFormat="1" ht="9" customHeight="1" x14ac:dyDescent="0.3">
      <c r="A6485" s="91"/>
      <c r="B6485" s="70"/>
      <c r="C6485" s="70"/>
      <c r="D6485" s="70"/>
      <c r="E6485" s="70"/>
      <c r="F6485" s="70"/>
      <c r="G6485" s="94"/>
      <c r="H6485" s="131"/>
      <c r="I6485" s="3"/>
    </row>
    <row r="6486" spans="1:9" s="93" customFormat="1" ht="9" customHeight="1" x14ac:dyDescent="0.3">
      <c r="A6486" s="91"/>
      <c r="B6486" s="70"/>
      <c r="C6486" s="70"/>
      <c r="D6486" s="70"/>
      <c r="E6486" s="70"/>
      <c r="F6486" s="70"/>
      <c r="G6486" s="94"/>
      <c r="H6486" s="131"/>
      <c r="I6486" s="3"/>
    </row>
    <row r="6487" spans="1:9" s="93" customFormat="1" ht="9" customHeight="1" x14ac:dyDescent="0.3">
      <c r="A6487" s="91"/>
      <c r="B6487" s="70"/>
      <c r="C6487" s="70"/>
      <c r="D6487" s="70"/>
      <c r="E6487" s="70"/>
      <c r="F6487" s="70"/>
      <c r="G6487" s="94"/>
      <c r="H6487" s="131"/>
      <c r="I6487" s="3"/>
    </row>
    <row r="6488" spans="1:9" s="93" customFormat="1" ht="9" customHeight="1" x14ac:dyDescent="0.3">
      <c r="A6488" s="91"/>
      <c r="B6488" s="70"/>
      <c r="C6488" s="70"/>
      <c r="D6488" s="70"/>
      <c r="E6488" s="70"/>
      <c r="F6488" s="70"/>
      <c r="G6488" s="94"/>
      <c r="H6488" s="131"/>
      <c r="I6488" s="3"/>
    </row>
    <row r="6489" spans="1:9" s="93" customFormat="1" ht="9" customHeight="1" x14ac:dyDescent="0.3">
      <c r="A6489" s="91"/>
      <c r="B6489" s="70"/>
      <c r="C6489" s="70"/>
      <c r="D6489" s="70"/>
      <c r="E6489" s="70"/>
      <c r="F6489" s="70"/>
      <c r="G6489" s="94"/>
      <c r="H6489" s="131"/>
      <c r="I6489" s="3"/>
    </row>
    <row r="6490" spans="1:9" s="93" customFormat="1" ht="9" customHeight="1" x14ac:dyDescent="0.3">
      <c r="A6490" s="91"/>
      <c r="B6490" s="70"/>
      <c r="C6490" s="70"/>
      <c r="D6490" s="70"/>
      <c r="E6490" s="70"/>
      <c r="F6490" s="70"/>
      <c r="G6490" s="94"/>
      <c r="H6490" s="131"/>
      <c r="I6490" s="3"/>
    </row>
    <row r="6491" spans="1:9" s="93" customFormat="1" ht="9" customHeight="1" x14ac:dyDescent="0.3">
      <c r="A6491" s="91"/>
      <c r="B6491" s="70"/>
      <c r="C6491" s="70"/>
      <c r="D6491" s="70"/>
      <c r="E6491" s="70"/>
      <c r="F6491" s="70"/>
      <c r="G6491" s="94"/>
      <c r="H6491" s="131"/>
      <c r="I6491" s="3"/>
    </row>
    <row r="6492" spans="1:9" s="93" customFormat="1" ht="9" customHeight="1" x14ac:dyDescent="0.3">
      <c r="A6492" s="91"/>
      <c r="B6492" s="70"/>
      <c r="C6492" s="70"/>
      <c r="D6492" s="70"/>
      <c r="E6492" s="70"/>
      <c r="F6492" s="70"/>
      <c r="G6492" s="94"/>
      <c r="H6492" s="131"/>
      <c r="I6492" s="3"/>
    </row>
    <row r="6493" spans="1:9" s="93" customFormat="1" ht="9" customHeight="1" x14ac:dyDescent="0.3">
      <c r="A6493" s="91"/>
      <c r="B6493" s="70"/>
      <c r="C6493" s="70"/>
      <c r="D6493" s="70"/>
      <c r="E6493" s="70"/>
      <c r="F6493" s="70"/>
      <c r="G6493" s="94"/>
      <c r="H6493" s="131"/>
      <c r="I6493" s="3"/>
    </row>
    <row r="6494" spans="1:9" s="93" customFormat="1" ht="9" customHeight="1" x14ac:dyDescent="0.3">
      <c r="A6494" s="91"/>
      <c r="B6494" s="70"/>
      <c r="C6494" s="70"/>
      <c r="D6494" s="70"/>
      <c r="E6494" s="70"/>
      <c r="F6494" s="70"/>
      <c r="G6494" s="94"/>
      <c r="H6494" s="131"/>
      <c r="I6494" s="3"/>
    </row>
    <row r="6495" spans="1:9" s="93" customFormat="1" ht="9" customHeight="1" x14ac:dyDescent="0.3">
      <c r="A6495" s="91"/>
      <c r="B6495" s="70"/>
      <c r="C6495" s="70"/>
      <c r="D6495" s="70"/>
      <c r="E6495" s="70"/>
      <c r="F6495" s="70"/>
      <c r="G6495" s="94"/>
      <c r="H6495" s="131"/>
      <c r="I6495" s="3"/>
    </row>
    <row r="6496" spans="1:9" s="93" customFormat="1" ht="9" customHeight="1" x14ac:dyDescent="0.3">
      <c r="A6496" s="91"/>
      <c r="B6496" s="70"/>
      <c r="C6496" s="70"/>
      <c r="D6496" s="70"/>
      <c r="E6496" s="70"/>
      <c r="F6496" s="70"/>
      <c r="G6496" s="94"/>
      <c r="H6496" s="131"/>
      <c r="I6496" s="3"/>
    </row>
    <row r="6497" spans="1:9" s="93" customFormat="1" ht="9" customHeight="1" x14ac:dyDescent="0.3">
      <c r="A6497" s="91"/>
      <c r="B6497" s="70"/>
      <c r="C6497" s="70"/>
      <c r="D6497" s="70"/>
      <c r="E6497" s="70"/>
      <c r="F6497" s="70"/>
      <c r="G6497" s="94"/>
      <c r="H6497" s="131"/>
      <c r="I6497" s="3"/>
    </row>
    <row r="6498" spans="1:9" s="93" customFormat="1" ht="9" customHeight="1" x14ac:dyDescent="0.3">
      <c r="A6498" s="91"/>
      <c r="B6498" s="70"/>
      <c r="C6498" s="70"/>
      <c r="D6498" s="70"/>
      <c r="E6498" s="70"/>
      <c r="F6498" s="70"/>
      <c r="G6498" s="94"/>
      <c r="H6498" s="131"/>
      <c r="I6498" s="3"/>
    </row>
    <row r="6499" spans="1:9" s="93" customFormat="1" ht="9" customHeight="1" x14ac:dyDescent="0.3">
      <c r="A6499" s="91"/>
      <c r="B6499" s="70"/>
      <c r="C6499" s="70"/>
      <c r="D6499" s="70"/>
      <c r="E6499" s="70"/>
      <c r="F6499" s="70"/>
      <c r="G6499" s="94"/>
      <c r="H6499" s="131"/>
      <c r="I6499" s="3"/>
    </row>
    <row r="6500" spans="1:9" s="93" customFormat="1" ht="9" customHeight="1" x14ac:dyDescent="0.3">
      <c r="A6500" s="91"/>
      <c r="B6500" s="70"/>
      <c r="C6500" s="70"/>
      <c r="D6500" s="70"/>
      <c r="E6500" s="70"/>
      <c r="F6500" s="70"/>
      <c r="G6500" s="94"/>
      <c r="H6500" s="131"/>
      <c r="I6500" s="3"/>
    </row>
    <row r="6501" spans="1:9" s="93" customFormat="1" ht="9" customHeight="1" x14ac:dyDescent="0.3">
      <c r="A6501" s="91"/>
      <c r="B6501" s="70"/>
      <c r="C6501" s="70"/>
      <c r="D6501" s="70"/>
      <c r="E6501" s="70"/>
      <c r="F6501" s="70"/>
      <c r="G6501" s="94"/>
      <c r="H6501" s="131"/>
      <c r="I6501" s="3"/>
    </row>
    <row r="6502" spans="1:9" s="93" customFormat="1" ht="9" customHeight="1" x14ac:dyDescent="0.3">
      <c r="A6502" s="91"/>
      <c r="B6502" s="70"/>
      <c r="C6502" s="70"/>
      <c r="D6502" s="70"/>
      <c r="E6502" s="70"/>
      <c r="F6502" s="70"/>
      <c r="G6502" s="94"/>
      <c r="H6502" s="131"/>
      <c r="I6502" s="3"/>
    </row>
    <row r="6503" spans="1:9" s="93" customFormat="1" ht="9" customHeight="1" x14ac:dyDescent="0.3">
      <c r="A6503" s="91"/>
      <c r="B6503" s="70"/>
      <c r="C6503" s="70"/>
      <c r="D6503" s="70"/>
      <c r="E6503" s="70"/>
      <c r="F6503" s="70"/>
      <c r="G6503" s="94"/>
      <c r="H6503" s="131"/>
      <c r="I6503" s="3"/>
    </row>
    <row r="6504" spans="1:9" s="93" customFormat="1" ht="9" customHeight="1" x14ac:dyDescent="0.3">
      <c r="A6504" s="91"/>
      <c r="B6504" s="70"/>
      <c r="C6504" s="70"/>
      <c r="D6504" s="70"/>
      <c r="E6504" s="70"/>
      <c r="F6504" s="70"/>
      <c r="G6504" s="94"/>
      <c r="H6504" s="131"/>
      <c r="I6504" s="3"/>
    </row>
    <row r="6505" spans="1:9" s="93" customFormat="1" ht="9" customHeight="1" x14ac:dyDescent="0.3">
      <c r="A6505" s="91"/>
      <c r="B6505" s="70"/>
      <c r="C6505" s="70"/>
      <c r="D6505" s="70"/>
      <c r="E6505" s="70"/>
      <c r="F6505" s="70"/>
      <c r="G6505" s="94"/>
      <c r="H6505" s="131"/>
      <c r="I6505" s="3"/>
    </row>
    <row r="6506" spans="1:9" s="93" customFormat="1" ht="9" customHeight="1" x14ac:dyDescent="0.3">
      <c r="A6506" s="91"/>
      <c r="B6506" s="70"/>
      <c r="C6506" s="70"/>
      <c r="D6506" s="70"/>
      <c r="E6506" s="70"/>
      <c r="F6506" s="70"/>
      <c r="G6506" s="94"/>
      <c r="H6506" s="131"/>
      <c r="I6506" s="3"/>
    </row>
    <row r="6507" spans="1:9" s="93" customFormat="1" ht="9" customHeight="1" x14ac:dyDescent="0.3">
      <c r="A6507" s="91"/>
      <c r="B6507" s="70"/>
      <c r="C6507" s="70"/>
      <c r="D6507" s="70"/>
      <c r="E6507" s="70"/>
      <c r="F6507" s="70"/>
      <c r="G6507" s="94"/>
      <c r="H6507" s="131"/>
      <c r="I6507" s="3"/>
    </row>
    <row r="6508" spans="1:9" s="93" customFormat="1" ht="9" customHeight="1" x14ac:dyDescent="0.3">
      <c r="A6508" s="91"/>
      <c r="B6508" s="70"/>
      <c r="C6508" s="70"/>
      <c r="D6508" s="70"/>
      <c r="E6508" s="70"/>
      <c r="F6508" s="70"/>
      <c r="G6508" s="94"/>
      <c r="H6508" s="131"/>
      <c r="I6508" s="3"/>
    </row>
    <row r="6509" spans="1:9" s="93" customFormat="1" ht="9" customHeight="1" x14ac:dyDescent="0.3">
      <c r="A6509" s="91"/>
      <c r="B6509" s="70"/>
      <c r="C6509" s="70"/>
      <c r="D6509" s="70"/>
      <c r="E6509" s="70"/>
      <c r="F6509" s="70"/>
      <c r="G6509" s="94"/>
      <c r="H6509" s="131"/>
      <c r="I6509" s="3"/>
    </row>
    <row r="6510" spans="1:9" s="93" customFormat="1" ht="9" customHeight="1" x14ac:dyDescent="0.3">
      <c r="A6510" s="91"/>
      <c r="B6510" s="70"/>
      <c r="C6510" s="70"/>
      <c r="D6510" s="70"/>
      <c r="E6510" s="70"/>
      <c r="F6510" s="70"/>
      <c r="G6510" s="94"/>
      <c r="H6510" s="131"/>
      <c r="I6510" s="3"/>
    </row>
    <row r="6511" spans="1:9" s="93" customFormat="1" ht="9" customHeight="1" x14ac:dyDescent="0.3">
      <c r="A6511" s="91"/>
      <c r="B6511" s="70"/>
      <c r="C6511" s="70"/>
      <c r="D6511" s="70"/>
      <c r="E6511" s="70"/>
      <c r="F6511" s="70"/>
      <c r="G6511" s="94"/>
      <c r="H6511" s="131"/>
      <c r="I6511" s="3"/>
    </row>
    <row r="6512" spans="1:9" s="93" customFormat="1" ht="9" customHeight="1" x14ac:dyDescent="0.3">
      <c r="A6512" s="91"/>
      <c r="B6512" s="70"/>
      <c r="C6512" s="70"/>
      <c r="D6512" s="70"/>
      <c r="E6512" s="70"/>
      <c r="F6512" s="70"/>
      <c r="G6512" s="94"/>
      <c r="H6512" s="131"/>
      <c r="I6512" s="3"/>
    </row>
    <row r="6513" spans="1:9" s="93" customFormat="1" ht="9" customHeight="1" x14ac:dyDescent="0.3">
      <c r="A6513" s="91"/>
      <c r="B6513" s="70"/>
      <c r="C6513" s="70"/>
      <c r="D6513" s="70"/>
      <c r="E6513" s="70"/>
      <c r="F6513" s="70"/>
      <c r="G6513" s="94"/>
      <c r="H6513" s="131"/>
      <c r="I6513" s="3"/>
    </row>
    <row r="6514" spans="1:9" s="93" customFormat="1" ht="9" customHeight="1" x14ac:dyDescent="0.3">
      <c r="A6514" s="91"/>
      <c r="B6514" s="70"/>
      <c r="C6514" s="70"/>
      <c r="D6514" s="70"/>
      <c r="E6514" s="70"/>
      <c r="F6514" s="70"/>
      <c r="G6514" s="94"/>
      <c r="H6514" s="131"/>
      <c r="I6514" s="3"/>
    </row>
    <row r="6515" spans="1:9" s="93" customFormat="1" ht="9" customHeight="1" x14ac:dyDescent="0.3">
      <c r="A6515" s="91"/>
      <c r="B6515" s="70"/>
      <c r="C6515" s="70"/>
      <c r="D6515" s="70"/>
      <c r="E6515" s="70"/>
      <c r="F6515" s="70"/>
      <c r="G6515" s="94"/>
      <c r="H6515" s="131"/>
      <c r="I6515" s="3"/>
    </row>
    <row r="6516" spans="1:9" s="93" customFormat="1" ht="9" customHeight="1" x14ac:dyDescent="0.3">
      <c r="A6516" s="91"/>
      <c r="B6516" s="70"/>
      <c r="C6516" s="70"/>
      <c r="D6516" s="70"/>
      <c r="E6516" s="70"/>
      <c r="F6516" s="70"/>
      <c r="G6516" s="94"/>
      <c r="H6516" s="131"/>
      <c r="I6516" s="3"/>
    </row>
    <row r="6517" spans="1:9" s="93" customFormat="1" ht="9" customHeight="1" x14ac:dyDescent="0.3">
      <c r="A6517" s="91"/>
      <c r="B6517" s="70"/>
      <c r="C6517" s="70"/>
      <c r="D6517" s="70"/>
      <c r="E6517" s="70"/>
      <c r="F6517" s="70"/>
      <c r="G6517" s="94"/>
      <c r="H6517" s="131"/>
      <c r="I6517" s="3"/>
    </row>
    <row r="6518" spans="1:9" s="93" customFormat="1" ht="9" customHeight="1" x14ac:dyDescent="0.3">
      <c r="A6518" s="91"/>
      <c r="B6518" s="70"/>
      <c r="C6518" s="70"/>
      <c r="D6518" s="70"/>
      <c r="E6518" s="70"/>
      <c r="F6518" s="70"/>
      <c r="G6518" s="94"/>
      <c r="H6518" s="131"/>
      <c r="I6518" s="3"/>
    </row>
    <row r="6519" spans="1:9" s="93" customFormat="1" ht="9" customHeight="1" x14ac:dyDescent="0.3">
      <c r="A6519" s="91"/>
      <c r="B6519" s="70"/>
      <c r="C6519" s="70"/>
      <c r="D6519" s="70"/>
      <c r="E6519" s="70"/>
      <c r="F6519" s="70"/>
      <c r="G6519" s="94"/>
      <c r="H6519" s="131"/>
      <c r="I6519" s="3"/>
    </row>
    <row r="6520" spans="1:9" s="93" customFormat="1" ht="9" customHeight="1" x14ac:dyDescent="0.3">
      <c r="A6520" s="91"/>
      <c r="B6520" s="70"/>
      <c r="C6520" s="70"/>
      <c r="D6520" s="70"/>
      <c r="E6520" s="70"/>
      <c r="F6520" s="70"/>
      <c r="G6520" s="94"/>
      <c r="H6520" s="131"/>
      <c r="I6520" s="3"/>
    </row>
    <row r="6521" spans="1:9" s="93" customFormat="1" ht="9" customHeight="1" x14ac:dyDescent="0.3">
      <c r="A6521" s="91"/>
      <c r="B6521" s="70"/>
      <c r="C6521" s="70"/>
      <c r="D6521" s="70"/>
      <c r="E6521" s="70"/>
      <c r="F6521" s="70"/>
      <c r="G6521" s="94"/>
      <c r="H6521" s="131"/>
      <c r="I6521" s="3"/>
    </row>
    <row r="6522" spans="1:9" s="93" customFormat="1" ht="9" customHeight="1" x14ac:dyDescent="0.3">
      <c r="A6522" s="91"/>
      <c r="B6522" s="70"/>
      <c r="C6522" s="70"/>
      <c r="D6522" s="70"/>
      <c r="E6522" s="70"/>
      <c r="F6522" s="70"/>
      <c r="G6522" s="94"/>
      <c r="H6522" s="131"/>
      <c r="I6522" s="3"/>
    </row>
    <row r="6523" spans="1:9" s="93" customFormat="1" ht="9" customHeight="1" x14ac:dyDescent="0.3">
      <c r="A6523" s="91"/>
      <c r="B6523" s="70"/>
      <c r="C6523" s="70"/>
      <c r="D6523" s="70"/>
      <c r="E6523" s="70"/>
      <c r="F6523" s="70"/>
      <c r="G6523" s="94"/>
      <c r="H6523" s="131"/>
      <c r="I6523" s="3"/>
    </row>
    <row r="6524" spans="1:9" s="93" customFormat="1" ht="9" customHeight="1" x14ac:dyDescent="0.3">
      <c r="A6524" s="91"/>
      <c r="B6524" s="70"/>
      <c r="C6524" s="70"/>
      <c r="D6524" s="70"/>
      <c r="E6524" s="70"/>
      <c r="F6524" s="70"/>
      <c r="G6524" s="94"/>
      <c r="H6524" s="131"/>
      <c r="I6524" s="3"/>
    </row>
    <row r="6525" spans="1:9" s="93" customFormat="1" ht="9" customHeight="1" x14ac:dyDescent="0.3">
      <c r="A6525" s="91"/>
      <c r="B6525" s="70"/>
      <c r="C6525" s="70"/>
      <c r="D6525" s="70"/>
      <c r="E6525" s="70"/>
      <c r="F6525" s="70"/>
      <c r="G6525" s="94"/>
      <c r="H6525" s="131"/>
      <c r="I6525" s="3"/>
    </row>
    <row r="6526" spans="1:9" s="93" customFormat="1" ht="9" customHeight="1" x14ac:dyDescent="0.3">
      <c r="A6526" s="91"/>
      <c r="B6526" s="70"/>
      <c r="C6526" s="70"/>
      <c r="D6526" s="70"/>
      <c r="E6526" s="70"/>
      <c r="F6526" s="70"/>
      <c r="G6526" s="94"/>
      <c r="H6526" s="131"/>
      <c r="I6526" s="3"/>
    </row>
    <row r="6527" spans="1:9" s="93" customFormat="1" ht="9" customHeight="1" x14ac:dyDescent="0.3">
      <c r="A6527" s="91"/>
      <c r="B6527" s="70"/>
      <c r="C6527" s="70"/>
      <c r="D6527" s="70"/>
      <c r="E6527" s="70"/>
      <c r="F6527" s="70"/>
      <c r="G6527" s="94"/>
      <c r="H6527" s="131"/>
      <c r="I6527" s="3"/>
    </row>
    <row r="6528" spans="1:9" s="93" customFormat="1" ht="9" customHeight="1" x14ac:dyDescent="0.3">
      <c r="A6528" s="91"/>
      <c r="B6528" s="70"/>
      <c r="C6528" s="70"/>
      <c r="D6528" s="70"/>
      <c r="E6528" s="70"/>
      <c r="F6528" s="70"/>
      <c r="G6528" s="94"/>
      <c r="H6528" s="131"/>
      <c r="I6528" s="3"/>
    </row>
    <row r="6529" spans="1:9" s="93" customFormat="1" ht="9" customHeight="1" x14ac:dyDescent="0.3">
      <c r="A6529" s="91"/>
      <c r="B6529" s="70"/>
      <c r="C6529" s="70"/>
      <c r="D6529" s="70"/>
      <c r="E6529" s="70"/>
      <c r="F6529" s="70"/>
      <c r="G6529" s="94"/>
      <c r="H6529" s="131"/>
      <c r="I6529" s="3"/>
    </row>
    <row r="6530" spans="1:9" s="93" customFormat="1" ht="9" customHeight="1" x14ac:dyDescent="0.3">
      <c r="A6530" s="91"/>
      <c r="B6530" s="70"/>
      <c r="C6530" s="70"/>
      <c r="D6530" s="70"/>
      <c r="E6530" s="70"/>
      <c r="F6530" s="70"/>
      <c r="G6530" s="94"/>
      <c r="H6530" s="131"/>
      <c r="I6530" s="3"/>
    </row>
    <row r="6531" spans="1:9" s="93" customFormat="1" ht="9" customHeight="1" x14ac:dyDescent="0.3">
      <c r="A6531" s="91"/>
      <c r="B6531" s="70"/>
      <c r="C6531" s="70"/>
      <c r="D6531" s="70"/>
      <c r="E6531" s="70"/>
      <c r="F6531" s="70"/>
      <c r="G6531" s="94"/>
      <c r="H6531" s="131"/>
      <c r="I6531" s="3"/>
    </row>
    <row r="6532" spans="1:9" s="93" customFormat="1" ht="9" customHeight="1" x14ac:dyDescent="0.3">
      <c r="A6532" s="91"/>
      <c r="B6532" s="70"/>
      <c r="C6532" s="70"/>
      <c r="D6532" s="70"/>
      <c r="E6532" s="70"/>
      <c r="F6532" s="70"/>
      <c r="G6532" s="94"/>
      <c r="H6532" s="131"/>
      <c r="I6532" s="3"/>
    </row>
    <row r="6533" spans="1:9" s="93" customFormat="1" ht="9" customHeight="1" x14ac:dyDescent="0.3">
      <c r="A6533" s="91"/>
      <c r="B6533" s="70"/>
      <c r="C6533" s="70"/>
      <c r="D6533" s="70"/>
      <c r="E6533" s="70"/>
      <c r="F6533" s="70"/>
      <c r="G6533" s="94"/>
      <c r="H6533" s="131"/>
      <c r="I6533" s="3"/>
    </row>
    <row r="6534" spans="1:9" s="93" customFormat="1" ht="9" customHeight="1" x14ac:dyDescent="0.3">
      <c r="A6534" s="91"/>
      <c r="B6534" s="70"/>
      <c r="C6534" s="70"/>
      <c r="D6534" s="70"/>
      <c r="E6534" s="70"/>
      <c r="F6534" s="70"/>
      <c r="G6534" s="94"/>
      <c r="H6534" s="131"/>
      <c r="I6534" s="3"/>
    </row>
    <row r="6535" spans="1:9" s="93" customFormat="1" ht="9" customHeight="1" x14ac:dyDescent="0.3">
      <c r="A6535" s="91"/>
      <c r="B6535" s="70"/>
      <c r="C6535" s="70"/>
      <c r="D6535" s="70"/>
      <c r="E6535" s="70"/>
      <c r="F6535" s="70"/>
      <c r="G6535" s="94"/>
      <c r="H6535" s="131"/>
      <c r="I6535" s="3"/>
    </row>
    <row r="6536" spans="1:9" s="93" customFormat="1" ht="9" customHeight="1" x14ac:dyDescent="0.3">
      <c r="A6536" s="91"/>
      <c r="B6536" s="70"/>
      <c r="C6536" s="70"/>
      <c r="D6536" s="70"/>
      <c r="E6536" s="70"/>
      <c r="F6536" s="70"/>
      <c r="G6536" s="94"/>
      <c r="H6536" s="131"/>
      <c r="I6536" s="3"/>
    </row>
    <row r="6537" spans="1:9" s="93" customFormat="1" ht="9" customHeight="1" x14ac:dyDescent="0.3">
      <c r="A6537" s="91"/>
      <c r="B6537" s="70"/>
      <c r="C6537" s="70"/>
      <c r="D6537" s="70"/>
      <c r="E6537" s="70"/>
      <c r="F6537" s="70"/>
      <c r="G6537" s="94"/>
      <c r="H6537" s="131"/>
      <c r="I6537" s="3"/>
    </row>
    <row r="6538" spans="1:9" s="93" customFormat="1" ht="9" customHeight="1" x14ac:dyDescent="0.3">
      <c r="A6538" s="91"/>
      <c r="B6538" s="70"/>
      <c r="C6538" s="70"/>
      <c r="D6538" s="70"/>
      <c r="E6538" s="70"/>
      <c r="F6538" s="70"/>
      <c r="G6538" s="94"/>
      <c r="H6538" s="131"/>
      <c r="I6538" s="3"/>
    </row>
    <row r="6539" spans="1:9" s="93" customFormat="1" ht="9" customHeight="1" x14ac:dyDescent="0.3">
      <c r="A6539" s="91"/>
      <c r="B6539" s="70"/>
      <c r="C6539" s="70"/>
      <c r="D6539" s="70"/>
      <c r="E6539" s="70"/>
      <c r="F6539" s="70"/>
      <c r="G6539" s="94"/>
      <c r="H6539" s="131"/>
      <c r="I6539" s="3"/>
    </row>
    <row r="6540" spans="1:9" s="93" customFormat="1" ht="9" customHeight="1" x14ac:dyDescent="0.3">
      <c r="A6540" s="91"/>
      <c r="B6540" s="70"/>
      <c r="C6540" s="70"/>
      <c r="D6540" s="70"/>
      <c r="E6540" s="70"/>
      <c r="F6540" s="70"/>
      <c r="G6540" s="94"/>
      <c r="H6540" s="131"/>
      <c r="I6540" s="3"/>
    </row>
    <row r="6541" spans="1:9" s="93" customFormat="1" ht="9" customHeight="1" x14ac:dyDescent="0.3">
      <c r="A6541" s="91"/>
      <c r="B6541" s="70"/>
      <c r="C6541" s="70"/>
      <c r="D6541" s="70"/>
      <c r="E6541" s="70"/>
      <c r="F6541" s="70"/>
      <c r="G6541" s="94"/>
      <c r="H6541" s="131"/>
      <c r="I6541" s="3"/>
    </row>
    <row r="6542" spans="1:9" s="93" customFormat="1" ht="9" customHeight="1" x14ac:dyDescent="0.3">
      <c r="A6542" s="91"/>
      <c r="B6542" s="70"/>
      <c r="C6542" s="70"/>
      <c r="D6542" s="70"/>
      <c r="E6542" s="70"/>
      <c r="F6542" s="70"/>
      <c r="G6542" s="94"/>
      <c r="H6542" s="131"/>
      <c r="I6542" s="3"/>
    </row>
    <row r="6543" spans="1:9" s="93" customFormat="1" ht="9" customHeight="1" x14ac:dyDescent="0.3">
      <c r="A6543" s="91"/>
      <c r="B6543" s="70"/>
      <c r="C6543" s="70"/>
      <c r="D6543" s="70"/>
      <c r="E6543" s="70"/>
      <c r="F6543" s="70"/>
      <c r="G6543" s="94"/>
      <c r="H6543" s="131"/>
      <c r="I6543" s="3"/>
    </row>
    <row r="6544" spans="1:9" s="93" customFormat="1" ht="9" customHeight="1" x14ac:dyDescent="0.3">
      <c r="A6544" s="91"/>
      <c r="B6544" s="70"/>
      <c r="C6544" s="70"/>
      <c r="D6544" s="70"/>
      <c r="E6544" s="70"/>
      <c r="F6544" s="70"/>
      <c r="G6544" s="94"/>
      <c r="H6544" s="131"/>
      <c r="I6544" s="3"/>
    </row>
    <row r="6545" spans="1:9" s="93" customFormat="1" ht="9" customHeight="1" x14ac:dyDescent="0.3">
      <c r="A6545" s="91"/>
      <c r="B6545" s="70"/>
      <c r="C6545" s="70"/>
      <c r="D6545" s="70"/>
      <c r="E6545" s="70"/>
      <c r="F6545" s="70"/>
      <c r="G6545" s="94"/>
      <c r="H6545" s="131"/>
      <c r="I6545" s="3"/>
    </row>
    <row r="6546" spans="1:9" s="93" customFormat="1" ht="9" customHeight="1" x14ac:dyDescent="0.3">
      <c r="A6546" s="91"/>
      <c r="B6546" s="70"/>
      <c r="C6546" s="70"/>
      <c r="D6546" s="70"/>
      <c r="E6546" s="70"/>
      <c r="F6546" s="70"/>
      <c r="G6546" s="94"/>
      <c r="H6546" s="131"/>
      <c r="I6546" s="3"/>
    </row>
    <row r="6547" spans="1:9" s="93" customFormat="1" ht="9" customHeight="1" x14ac:dyDescent="0.3">
      <c r="A6547" s="91"/>
      <c r="B6547" s="70"/>
      <c r="C6547" s="70"/>
      <c r="D6547" s="70"/>
      <c r="E6547" s="70"/>
      <c r="F6547" s="70"/>
      <c r="G6547" s="94"/>
      <c r="H6547" s="131"/>
      <c r="I6547" s="3"/>
    </row>
    <row r="6548" spans="1:9" s="93" customFormat="1" ht="9" customHeight="1" x14ac:dyDescent="0.3">
      <c r="A6548" s="91"/>
      <c r="B6548" s="70"/>
      <c r="C6548" s="70"/>
      <c r="D6548" s="70"/>
      <c r="E6548" s="70"/>
      <c r="F6548" s="70"/>
      <c r="G6548" s="94"/>
      <c r="H6548" s="131"/>
      <c r="I6548" s="3"/>
    </row>
    <row r="6549" spans="1:9" s="93" customFormat="1" ht="9" customHeight="1" x14ac:dyDescent="0.3">
      <c r="A6549" s="91"/>
      <c r="B6549" s="70"/>
      <c r="C6549" s="70"/>
      <c r="D6549" s="70"/>
      <c r="E6549" s="70"/>
      <c r="F6549" s="70"/>
      <c r="G6549" s="94"/>
      <c r="H6549" s="131"/>
      <c r="I6549" s="3"/>
    </row>
    <row r="6550" spans="1:9" s="93" customFormat="1" ht="9" customHeight="1" x14ac:dyDescent="0.3">
      <c r="A6550" s="91"/>
      <c r="B6550" s="70"/>
      <c r="C6550" s="70"/>
      <c r="D6550" s="70"/>
      <c r="E6550" s="70"/>
      <c r="F6550" s="70"/>
      <c r="G6550" s="94"/>
      <c r="H6550" s="131"/>
      <c r="I6550" s="3"/>
    </row>
    <row r="6551" spans="1:9" s="93" customFormat="1" ht="9" customHeight="1" x14ac:dyDescent="0.3">
      <c r="A6551" s="91"/>
      <c r="B6551" s="70"/>
      <c r="C6551" s="70"/>
      <c r="D6551" s="70"/>
      <c r="E6551" s="70"/>
      <c r="F6551" s="70"/>
      <c r="G6551" s="94"/>
      <c r="H6551" s="131"/>
      <c r="I6551" s="3"/>
    </row>
    <row r="6552" spans="1:9" s="93" customFormat="1" ht="9" customHeight="1" x14ac:dyDescent="0.3">
      <c r="A6552" s="91"/>
      <c r="B6552" s="70"/>
      <c r="C6552" s="70"/>
      <c r="D6552" s="70"/>
      <c r="E6552" s="70"/>
      <c r="F6552" s="70"/>
      <c r="G6552" s="94"/>
      <c r="H6552" s="131"/>
      <c r="I6552" s="3"/>
    </row>
    <row r="6553" spans="1:9" s="93" customFormat="1" ht="9" customHeight="1" x14ac:dyDescent="0.3">
      <c r="A6553" s="91"/>
      <c r="B6553" s="70"/>
      <c r="C6553" s="70"/>
      <c r="D6553" s="70"/>
      <c r="E6553" s="70"/>
      <c r="F6553" s="70"/>
      <c r="G6553" s="94"/>
      <c r="H6553" s="131"/>
      <c r="I6553" s="3"/>
    </row>
    <row r="6554" spans="1:9" s="93" customFormat="1" ht="9" customHeight="1" x14ac:dyDescent="0.3">
      <c r="A6554" s="91"/>
      <c r="B6554" s="70"/>
      <c r="C6554" s="70"/>
      <c r="D6554" s="70"/>
      <c r="E6554" s="70"/>
      <c r="F6554" s="70"/>
      <c r="G6554" s="94"/>
      <c r="H6554" s="131"/>
      <c r="I6554" s="3"/>
    </row>
    <row r="6555" spans="1:9" s="93" customFormat="1" ht="9" customHeight="1" x14ac:dyDescent="0.3">
      <c r="A6555" s="91"/>
      <c r="B6555" s="70"/>
      <c r="C6555" s="70"/>
      <c r="D6555" s="70"/>
      <c r="E6555" s="70"/>
      <c r="F6555" s="70"/>
      <c r="G6555" s="94"/>
      <c r="H6555" s="131"/>
      <c r="I6555" s="3"/>
    </row>
    <row r="6556" spans="1:9" s="93" customFormat="1" ht="9" customHeight="1" x14ac:dyDescent="0.3">
      <c r="A6556" s="91"/>
      <c r="B6556" s="70"/>
      <c r="C6556" s="70"/>
      <c r="D6556" s="70"/>
      <c r="E6556" s="70"/>
      <c r="F6556" s="70"/>
      <c r="G6556" s="94"/>
      <c r="H6556" s="131"/>
      <c r="I6556" s="3"/>
    </row>
    <row r="6557" spans="1:9" s="93" customFormat="1" ht="9" customHeight="1" x14ac:dyDescent="0.3">
      <c r="A6557" s="91"/>
      <c r="B6557" s="70"/>
      <c r="C6557" s="70"/>
      <c r="D6557" s="70"/>
      <c r="E6557" s="70"/>
      <c r="F6557" s="70"/>
      <c r="G6557" s="94"/>
      <c r="H6557" s="131"/>
      <c r="I6557" s="3"/>
    </row>
    <row r="6558" spans="1:9" s="93" customFormat="1" ht="9" customHeight="1" x14ac:dyDescent="0.3">
      <c r="A6558" s="91"/>
      <c r="B6558" s="70"/>
      <c r="C6558" s="70"/>
      <c r="D6558" s="70"/>
      <c r="E6558" s="70"/>
      <c r="F6558" s="70"/>
      <c r="G6558" s="94"/>
      <c r="H6558" s="131"/>
      <c r="I6558" s="3"/>
    </row>
    <row r="6559" spans="1:9" s="93" customFormat="1" ht="9" customHeight="1" x14ac:dyDescent="0.3">
      <c r="A6559" s="91"/>
      <c r="B6559" s="70"/>
      <c r="C6559" s="70"/>
      <c r="D6559" s="70"/>
      <c r="E6559" s="70"/>
      <c r="F6559" s="70"/>
      <c r="G6559" s="94"/>
      <c r="H6559" s="131"/>
      <c r="I6559" s="3"/>
    </row>
    <row r="6560" spans="1:9" s="93" customFormat="1" ht="9" customHeight="1" x14ac:dyDescent="0.3">
      <c r="A6560" s="91"/>
      <c r="B6560" s="70"/>
      <c r="C6560" s="70"/>
      <c r="D6560" s="70"/>
      <c r="E6560" s="70"/>
      <c r="F6560" s="70"/>
      <c r="G6560" s="94"/>
      <c r="H6560" s="131"/>
      <c r="I6560" s="3"/>
    </row>
    <row r="6561" spans="1:9" s="93" customFormat="1" ht="9" customHeight="1" x14ac:dyDescent="0.3">
      <c r="A6561" s="91"/>
      <c r="B6561" s="70"/>
      <c r="C6561" s="70"/>
      <c r="D6561" s="70"/>
      <c r="E6561" s="70"/>
      <c r="F6561" s="70"/>
      <c r="G6561" s="94"/>
      <c r="H6561" s="131"/>
      <c r="I6561" s="3"/>
    </row>
    <row r="6562" spans="1:9" s="93" customFormat="1" ht="9" customHeight="1" x14ac:dyDescent="0.3">
      <c r="A6562" s="91"/>
      <c r="B6562" s="70"/>
      <c r="C6562" s="70"/>
      <c r="D6562" s="70"/>
      <c r="E6562" s="70"/>
      <c r="F6562" s="70"/>
      <c r="G6562" s="94"/>
      <c r="H6562" s="131"/>
      <c r="I6562" s="3"/>
    </row>
    <row r="6563" spans="1:9" s="93" customFormat="1" ht="9" customHeight="1" x14ac:dyDescent="0.3">
      <c r="A6563" s="91"/>
      <c r="B6563" s="70"/>
      <c r="C6563" s="70"/>
      <c r="D6563" s="70"/>
      <c r="E6563" s="70"/>
      <c r="F6563" s="70"/>
      <c r="G6563" s="94"/>
      <c r="H6563" s="131"/>
      <c r="I6563" s="3"/>
    </row>
    <row r="6564" spans="1:9" s="93" customFormat="1" ht="9" customHeight="1" x14ac:dyDescent="0.3">
      <c r="A6564" s="91"/>
      <c r="B6564" s="70"/>
      <c r="C6564" s="70"/>
      <c r="D6564" s="70"/>
      <c r="E6564" s="70"/>
      <c r="F6564" s="70"/>
      <c r="G6564" s="94"/>
      <c r="H6564" s="131"/>
      <c r="I6564" s="3"/>
    </row>
    <row r="6565" spans="1:9" s="93" customFormat="1" ht="9" customHeight="1" x14ac:dyDescent="0.3">
      <c r="A6565" s="91"/>
      <c r="B6565" s="70"/>
      <c r="C6565" s="70"/>
      <c r="D6565" s="70"/>
      <c r="E6565" s="70"/>
      <c r="F6565" s="70"/>
      <c r="G6565" s="94"/>
      <c r="H6565" s="131"/>
      <c r="I6565" s="3"/>
    </row>
    <row r="6566" spans="1:9" s="93" customFormat="1" ht="9" customHeight="1" x14ac:dyDescent="0.3">
      <c r="A6566" s="91"/>
      <c r="B6566" s="70"/>
      <c r="C6566" s="70"/>
      <c r="D6566" s="70"/>
      <c r="E6566" s="70"/>
      <c r="F6566" s="70"/>
      <c r="G6566" s="94"/>
      <c r="H6566" s="131"/>
      <c r="I6566" s="3"/>
    </row>
    <row r="6567" spans="1:9" s="93" customFormat="1" ht="9" customHeight="1" x14ac:dyDescent="0.3">
      <c r="A6567" s="91"/>
      <c r="B6567" s="70"/>
      <c r="C6567" s="70"/>
      <c r="D6567" s="70"/>
      <c r="E6567" s="70"/>
      <c r="F6567" s="70"/>
      <c r="G6567" s="94"/>
      <c r="H6567" s="131"/>
      <c r="I6567" s="3"/>
    </row>
    <row r="6568" spans="1:9" s="93" customFormat="1" ht="9" customHeight="1" x14ac:dyDescent="0.3">
      <c r="A6568" s="91"/>
      <c r="B6568" s="70"/>
      <c r="C6568" s="70"/>
      <c r="D6568" s="70"/>
      <c r="E6568" s="70"/>
      <c r="F6568" s="70"/>
      <c r="G6568" s="94"/>
      <c r="H6568" s="131"/>
      <c r="I6568" s="3"/>
    </row>
    <row r="6569" spans="1:9" s="93" customFormat="1" ht="9" customHeight="1" x14ac:dyDescent="0.3">
      <c r="A6569" s="91"/>
      <c r="B6569" s="70"/>
      <c r="C6569" s="70"/>
      <c r="D6569" s="70"/>
      <c r="E6569" s="70"/>
      <c r="F6569" s="70"/>
      <c r="G6569" s="94"/>
      <c r="H6569" s="131"/>
      <c r="I6569" s="3"/>
    </row>
    <row r="6570" spans="1:9" s="93" customFormat="1" ht="9" customHeight="1" x14ac:dyDescent="0.3">
      <c r="A6570" s="91"/>
      <c r="B6570" s="70"/>
      <c r="C6570" s="70"/>
      <c r="D6570" s="70"/>
      <c r="E6570" s="70"/>
      <c r="F6570" s="70"/>
      <c r="G6570" s="94"/>
      <c r="H6570" s="131"/>
      <c r="I6570" s="3"/>
    </row>
    <row r="6571" spans="1:9" s="93" customFormat="1" ht="9" customHeight="1" x14ac:dyDescent="0.3">
      <c r="A6571" s="91"/>
      <c r="B6571" s="70"/>
      <c r="C6571" s="70"/>
      <c r="D6571" s="70"/>
      <c r="E6571" s="70"/>
      <c r="F6571" s="70"/>
      <c r="G6571" s="94"/>
      <c r="H6571" s="131"/>
      <c r="I6571" s="3"/>
    </row>
    <row r="6572" spans="1:9" s="93" customFormat="1" ht="9" customHeight="1" x14ac:dyDescent="0.3">
      <c r="A6572" s="91"/>
      <c r="B6572" s="70"/>
      <c r="C6572" s="70"/>
      <c r="D6572" s="70"/>
      <c r="E6572" s="70"/>
      <c r="F6572" s="70"/>
      <c r="G6572" s="94"/>
      <c r="H6572" s="131"/>
      <c r="I6572" s="3"/>
    </row>
    <row r="6573" spans="1:9" s="93" customFormat="1" ht="9" customHeight="1" x14ac:dyDescent="0.3">
      <c r="A6573" s="91"/>
      <c r="B6573" s="70"/>
      <c r="C6573" s="70"/>
      <c r="D6573" s="70"/>
      <c r="E6573" s="70"/>
      <c r="F6573" s="70"/>
      <c r="G6573" s="94"/>
      <c r="H6573" s="131"/>
      <c r="I6573" s="3"/>
    </row>
    <row r="6574" spans="1:9" s="93" customFormat="1" ht="9" customHeight="1" x14ac:dyDescent="0.3">
      <c r="A6574" s="91"/>
      <c r="B6574" s="70"/>
      <c r="C6574" s="70"/>
      <c r="D6574" s="70"/>
      <c r="E6574" s="70"/>
      <c r="F6574" s="70"/>
      <c r="G6574" s="94"/>
      <c r="H6574" s="131"/>
      <c r="I6574" s="3"/>
    </row>
    <row r="6575" spans="1:9" s="93" customFormat="1" ht="9" customHeight="1" x14ac:dyDescent="0.3">
      <c r="A6575" s="91"/>
      <c r="B6575" s="70"/>
      <c r="C6575" s="70"/>
      <c r="D6575" s="70"/>
      <c r="E6575" s="70"/>
      <c r="F6575" s="70"/>
      <c r="G6575" s="94"/>
      <c r="H6575" s="131"/>
      <c r="I6575" s="3"/>
    </row>
    <row r="6576" spans="1:9" s="93" customFormat="1" ht="9" customHeight="1" x14ac:dyDescent="0.3">
      <c r="A6576" s="91"/>
      <c r="B6576" s="70"/>
      <c r="C6576" s="70"/>
      <c r="D6576" s="70"/>
      <c r="E6576" s="70"/>
      <c r="F6576" s="70"/>
      <c r="G6576" s="94"/>
      <c r="H6576" s="131"/>
      <c r="I6576" s="3"/>
    </row>
    <row r="6577" spans="1:9" s="93" customFormat="1" ht="9" customHeight="1" x14ac:dyDescent="0.3">
      <c r="A6577" s="91"/>
      <c r="B6577" s="70"/>
      <c r="C6577" s="70"/>
      <c r="D6577" s="70"/>
      <c r="E6577" s="70"/>
      <c r="F6577" s="70"/>
      <c r="G6577" s="94"/>
      <c r="H6577" s="131"/>
      <c r="I6577" s="3"/>
    </row>
    <row r="6578" spans="1:9" s="93" customFormat="1" ht="9" customHeight="1" x14ac:dyDescent="0.3">
      <c r="A6578" s="91"/>
      <c r="B6578" s="70"/>
      <c r="C6578" s="70"/>
      <c r="D6578" s="70"/>
      <c r="E6578" s="70"/>
      <c r="F6578" s="70"/>
      <c r="G6578" s="94"/>
      <c r="H6578" s="131"/>
      <c r="I6578" s="3"/>
    </row>
    <row r="6579" spans="1:9" s="93" customFormat="1" ht="9" customHeight="1" x14ac:dyDescent="0.3">
      <c r="A6579" s="91"/>
      <c r="B6579" s="70"/>
      <c r="C6579" s="70"/>
      <c r="D6579" s="70"/>
      <c r="E6579" s="70"/>
      <c r="F6579" s="70"/>
      <c r="G6579" s="94"/>
      <c r="H6579" s="131"/>
      <c r="I6579" s="3"/>
    </row>
    <row r="6580" spans="1:9" s="93" customFormat="1" ht="9" customHeight="1" x14ac:dyDescent="0.3">
      <c r="A6580" s="91"/>
      <c r="B6580" s="70"/>
      <c r="C6580" s="70"/>
      <c r="D6580" s="70"/>
      <c r="E6580" s="70"/>
      <c r="F6580" s="70"/>
      <c r="G6580" s="94"/>
      <c r="H6580" s="131"/>
      <c r="I6580" s="3"/>
    </row>
    <row r="6581" spans="1:9" s="93" customFormat="1" ht="9" customHeight="1" x14ac:dyDescent="0.3">
      <c r="A6581" s="91"/>
      <c r="B6581" s="70"/>
      <c r="C6581" s="70"/>
      <c r="D6581" s="70"/>
      <c r="E6581" s="70"/>
      <c r="F6581" s="70"/>
      <c r="G6581" s="94"/>
      <c r="H6581" s="131"/>
      <c r="I6581" s="3"/>
    </row>
    <row r="6582" spans="1:9" s="93" customFormat="1" ht="9" customHeight="1" x14ac:dyDescent="0.3">
      <c r="A6582" s="91"/>
      <c r="B6582" s="70"/>
      <c r="C6582" s="70"/>
      <c r="D6582" s="70"/>
      <c r="E6582" s="70"/>
      <c r="F6582" s="70"/>
      <c r="G6582" s="94"/>
      <c r="H6582" s="131"/>
      <c r="I6582" s="3"/>
    </row>
    <row r="6583" spans="1:9" s="93" customFormat="1" ht="9" customHeight="1" x14ac:dyDescent="0.3">
      <c r="A6583" s="91"/>
      <c r="B6583" s="70"/>
      <c r="C6583" s="70"/>
      <c r="D6583" s="70"/>
      <c r="E6583" s="70"/>
      <c r="F6583" s="70"/>
      <c r="G6583" s="94"/>
      <c r="H6583" s="131"/>
      <c r="I6583" s="3"/>
    </row>
    <row r="6584" spans="1:9" s="93" customFormat="1" ht="9" customHeight="1" x14ac:dyDescent="0.3">
      <c r="A6584" s="91"/>
      <c r="B6584" s="70"/>
      <c r="C6584" s="70"/>
      <c r="D6584" s="70"/>
      <c r="E6584" s="70"/>
      <c r="F6584" s="70"/>
      <c r="G6584" s="94"/>
      <c r="H6584" s="131"/>
      <c r="I6584" s="3"/>
    </row>
    <row r="6585" spans="1:9" s="93" customFormat="1" ht="9" customHeight="1" x14ac:dyDescent="0.3">
      <c r="A6585" s="91"/>
      <c r="B6585" s="70"/>
      <c r="C6585" s="70"/>
      <c r="D6585" s="70"/>
      <c r="E6585" s="70"/>
      <c r="F6585" s="70"/>
      <c r="G6585" s="94"/>
      <c r="H6585" s="131"/>
      <c r="I6585" s="3"/>
    </row>
    <row r="6586" spans="1:9" s="93" customFormat="1" ht="9" customHeight="1" x14ac:dyDescent="0.3">
      <c r="A6586" s="91"/>
      <c r="B6586" s="70"/>
      <c r="C6586" s="70"/>
      <c r="D6586" s="70"/>
      <c r="E6586" s="70"/>
      <c r="F6586" s="70"/>
      <c r="G6586" s="94"/>
      <c r="H6586" s="131"/>
      <c r="I6586" s="3"/>
    </row>
    <row r="6587" spans="1:9" s="93" customFormat="1" ht="9" customHeight="1" x14ac:dyDescent="0.3">
      <c r="A6587" s="91"/>
      <c r="B6587" s="70"/>
      <c r="C6587" s="70"/>
      <c r="D6587" s="70"/>
      <c r="E6587" s="70"/>
      <c r="F6587" s="70"/>
      <c r="G6587" s="94"/>
      <c r="H6587" s="131"/>
      <c r="I6587" s="3"/>
    </row>
    <row r="6588" spans="1:9" s="93" customFormat="1" ht="9" customHeight="1" x14ac:dyDescent="0.3">
      <c r="A6588" s="91"/>
      <c r="B6588" s="70"/>
      <c r="C6588" s="70"/>
      <c r="D6588" s="70"/>
      <c r="E6588" s="70"/>
      <c r="F6588" s="70"/>
      <c r="G6588" s="94"/>
      <c r="H6588" s="131"/>
      <c r="I6588" s="3"/>
    </row>
    <row r="6589" spans="1:9" s="93" customFormat="1" ht="9" customHeight="1" x14ac:dyDescent="0.3">
      <c r="A6589" s="91"/>
      <c r="B6589" s="70"/>
      <c r="C6589" s="70"/>
      <c r="D6589" s="70"/>
      <c r="E6589" s="70"/>
      <c r="F6589" s="70"/>
      <c r="G6589" s="94"/>
      <c r="H6589" s="131"/>
      <c r="I6589" s="3"/>
    </row>
    <row r="6590" spans="1:9" s="93" customFormat="1" ht="9" customHeight="1" x14ac:dyDescent="0.3">
      <c r="A6590" s="91"/>
      <c r="B6590" s="70"/>
      <c r="C6590" s="70"/>
      <c r="D6590" s="70"/>
      <c r="E6590" s="70"/>
      <c r="F6590" s="70"/>
      <c r="G6590" s="94"/>
      <c r="H6590" s="131"/>
      <c r="I6590" s="3"/>
    </row>
    <row r="6591" spans="1:9" s="93" customFormat="1" ht="9" customHeight="1" x14ac:dyDescent="0.3">
      <c r="A6591" s="91"/>
      <c r="B6591" s="70"/>
      <c r="C6591" s="70"/>
      <c r="D6591" s="70"/>
      <c r="E6591" s="70"/>
      <c r="F6591" s="70"/>
      <c r="G6591" s="94"/>
      <c r="H6591" s="131"/>
      <c r="I6591" s="3"/>
    </row>
    <row r="6592" spans="1:9" s="93" customFormat="1" ht="9" customHeight="1" x14ac:dyDescent="0.3">
      <c r="A6592" s="91"/>
      <c r="B6592" s="70"/>
      <c r="C6592" s="70"/>
      <c r="D6592" s="70"/>
      <c r="E6592" s="70"/>
      <c r="F6592" s="70"/>
      <c r="G6592" s="94"/>
      <c r="H6592" s="131"/>
      <c r="I6592" s="3"/>
    </row>
    <row r="6593" spans="1:9" s="93" customFormat="1" ht="9" customHeight="1" x14ac:dyDescent="0.3">
      <c r="A6593" s="91"/>
      <c r="B6593" s="70"/>
      <c r="C6593" s="70"/>
      <c r="D6593" s="70"/>
      <c r="E6593" s="70"/>
      <c r="F6593" s="70"/>
      <c r="G6593" s="94"/>
      <c r="H6593" s="131"/>
      <c r="I6593" s="3"/>
    </row>
    <row r="6594" spans="1:9" s="93" customFormat="1" ht="9" customHeight="1" x14ac:dyDescent="0.3">
      <c r="A6594" s="91"/>
      <c r="B6594" s="70"/>
      <c r="C6594" s="70"/>
      <c r="D6594" s="70"/>
      <c r="E6594" s="70"/>
      <c r="F6594" s="70"/>
      <c r="G6594" s="94"/>
      <c r="H6594" s="131"/>
      <c r="I6594" s="3"/>
    </row>
    <row r="6595" spans="1:9" s="93" customFormat="1" ht="9" customHeight="1" x14ac:dyDescent="0.3">
      <c r="A6595" s="91"/>
      <c r="B6595" s="70"/>
      <c r="C6595" s="70"/>
      <c r="D6595" s="70"/>
      <c r="E6595" s="70"/>
      <c r="F6595" s="70"/>
      <c r="G6595" s="94"/>
      <c r="H6595" s="131"/>
      <c r="I6595" s="3"/>
    </row>
    <row r="6596" spans="1:9" s="93" customFormat="1" ht="9" customHeight="1" x14ac:dyDescent="0.3">
      <c r="A6596" s="91"/>
      <c r="B6596" s="70"/>
      <c r="C6596" s="70"/>
      <c r="D6596" s="70"/>
      <c r="E6596" s="70"/>
      <c r="F6596" s="70"/>
      <c r="G6596" s="94"/>
      <c r="H6596" s="131"/>
      <c r="I6596" s="3"/>
    </row>
    <row r="6597" spans="1:9" s="93" customFormat="1" ht="9" customHeight="1" x14ac:dyDescent="0.3">
      <c r="A6597" s="91"/>
      <c r="B6597" s="70"/>
      <c r="C6597" s="70"/>
      <c r="D6597" s="70"/>
      <c r="E6597" s="70"/>
      <c r="F6597" s="70"/>
      <c r="G6597" s="94"/>
      <c r="H6597" s="131"/>
      <c r="I6597" s="3"/>
    </row>
    <row r="6598" spans="1:9" s="93" customFormat="1" ht="9" customHeight="1" x14ac:dyDescent="0.3">
      <c r="A6598" s="91"/>
      <c r="B6598" s="70"/>
      <c r="C6598" s="70"/>
      <c r="D6598" s="70"/>
      <c r="E6598" s="70"/>
      <c r="F6598" s="70"/>
      <c r="G6598" s="94"/>
      <c r="H6598" s="131"/>
      <c r="I6598" s="3"/>
    </row>
    <row r="6599" spans="1:9" s="93" customFormat="1" ht="9" customHeight="1" x14ac:dyDescent="0.3">
      <c r="A6599" s="91"/>
      <c r="B6599" s="70"/>
      <c r="C6599" s="70"/>
      <c r="D6599" s="70"/>
      <c r="E6599" s="70"/>
      <c r="F6599" s="70"/>
      <c r="G6599" s="94"/>
      <c r="H6599" s="131"/>
      <c r="I6599" s="3"/>
    </row>
    <row r="6600" spans="1:9" s="93" customFormat="1" ht="9" customHeight="1" x14ac:dyDescent="0.3">
      <c r="A6600" s="91"/>
      <c r="B6600" s="70"/>
      <c r="C6600" s="70"/>
      <c r="D6600" s="70"/>
      <c r="E6600" s="70"/>
      <c r="F6600" s="70"/>
      <c r="G6600" s="94"/>
      <c r="H6600" s="131"/>
      <c r="I6600" s="3"/>
    </row>
    <row r="6601" spans="1:9" s="93" customFormat="1" ht="9" customHeight="1" x14ac:dyDescent="0.3">
      <c r="A6601" s="91"/>
      <c r="B6601" s="70"/>
      <c r="C6601" s="70"/>
      <c r="D6601" s="70"/>
      <c r="E6601" s="70"/>
      <c r="F6601" s="70"/>
      <c r="G6601" s="94"/>
      <c r="H6601" s="131"/>
      <c r="I6601" s="3"/>
    </row>
    <row r="6602" spans="1:9" s="93" customFormat="1" ht="9" customHeight="1" x14ac:dyDescent="0.3">
      <c r="A6602" s="91"/>
      <c r="B6602" s="70"/>
      <c r="C6602" s="70"/>
      <c r="D6602" s="70"/>
      <c r="E6602" s="70"/>
      <c r="F6602" s="70"/>
      <c r="G6602" s="94"/>
      <c r="H6602" s="131"/>
      <c r="I6602" s="3"/>
    </row>
    <row r="6603" spans="1:9" s="93" customFormat="1" ht="9" customHeight="1" x14ac:dyDescent="0.3">
      <c r="A6603" s="91"/>
      <c r="B6603" s="70"/>
      <c r="C6603" s="70"/>
      <c r="D6603" s="70"/>
      <c r="E6603" s="70"/>
      <c r="F6603" s="70"/>
      <c r="G6603" s="94"/>
      <c r="H6603" s="131"/>
      <c r="I6603" s="3"/>
    </row>
    <row r="6604" spans="1:9" s="93" customFormat="1" ht="9" customHeight="1" x14ac:dyDescent="0.3">
      <c r="A6604" s="91"/>
      <c r="B6604" s="70"/>
      <c r="C6604" s="70"/>
      <c r="D6604" s="70"/>
      <c r="E6604" s="70"/>
      <c r="F6604" s="70"/>
      <c r="G6604" s="94"/>
      <c r="H6604" s="131"/>
      <c r="I6604" s="3"/>
    </row>
    <row r="6605" spans="1:9" s="93" customFormat="1" ht="9" customHeight="1" x14ac:dyDescent="0.3">
      <c r="A6605" s="91"/>
      <c r="B6605" s="70"/>
      <c r="C6605" s="70"/>
      <c r="D6605" s="70"/>
      <c r="E6605" s="70"/>
      <c r="F6605" s="70"/>
      <c r="G6605" s="94"/>
      <c r="H6605" s="131"/>
      <c r="I6605" s="3"/>
    </row>
    <row r="6606" spans="1:9" s="93" customFormat="1" ht="9" customHeight="1" x14ac:dyDescent="0.3">
      <c r="A6606" s="91"/>
      <c r="B6606" s="70"/>
      <c r="C6606" s="70"/>
      <c r="D6606" s="70"/>
      <c r="E6606" s="70"/>
      <c r="F6606" s="70"/>
      <c r="G6606" s="94"/>
      <c r="H6606" s="131"/>
      <c r="I6606" s="3"/>
    </row>
    <row r="6607" spans="1:9" s="93" customFormat="1" ht="9" customHeight="1" x14ac:dyDescent="0.3">
      <c r="A6607" s="91"/>
      <c r="B6607" s="70"/>
      <c r="C6607" s="70"/>
      <c r="D6607" s="70"/>
      <c r="E6607" s="70"/>
      <c r="F6607" s="70"/>
      <c r="G6607" s="94"/>
      <c r="H6607" s="131"/>
      <c r="I6607" s="3"/>
    </row>
    <row r="6608" spans="1:9" s="93" customFormat="1" ht="9" customHeight="1" x14ac:dyDescent="0.3">
      <c r="A6608" s="91"/>
      <c r="B6608" s="70"/>
      <c r="C6608" s="70"/>
      <c r="D6608" s="70"/>
      <c r="E6608" s="70"/>
      <c r="F6608" s="70"/>
      <c r="G6608" s="94"/>
      <c r="H6608" s="131"/>
      <c r="I6608" s="3"/>
    </row>
    <row r="6609" spans="1:9" s="93" customFormat="1" ht="9" customHeight="1" x14ac:dyDescent="0.3">
      <c r="A6609" s="91"/>
      <c r="B6609" s="70"/>
      <c r="C6609" s="70"/>
      <c r="D6609" s="70"/>
      <c r="E6609" s="70"/>
      <c r="F6609" s="70"/>
      <c r="G6609" s="94"/>
      <c r="H6609" s="131"/>
      <c r="I6609" s="3"/>
    </row>
    <row r="6610" spans="1:9" s="93" customFormat="1" ht="9" customHeight="1" x14ac:dyDescent="0.3">
      <c r="A6610" s="91"/>
      <c r="B6610" s="70"/>
      <c r="C6610" s="70"/>
      <c r="D6610" s="70"/>
      <c r="E6610" s="70"/>
      <c r="F6610" s="70"/>
      <c r="G6610" s="94"/>
      <c r="H6610" s="131"/>
      <c r="I6610" s="3"/>
    </row>
    <row r="6611" spans="1:9" s="93" customFormat="1" ht="9" customHeight="1" x14ac:dyDescent="0.3">
      <c r="A6611" s="91"/>
      <c r="B6611" s="70"/>
      <c r="C6611" s="70"/>
      <c r="D6611" s="70"/>
      <c r="E6611" s="70"/>
      <c r="F6611" s="70"/>
      <c r="G6611" s="94"/>
      <c r="H6611" s="131"/>
      <c r="I6611" s="3"/>
    </row>
    <row r="6612" spans="1:9" s="93" customFormat="1" ht="9" customHeight="1" x14ac:dyDescent="0.3">
      <c r="A6612" s="91"/>
      <c r="B6612" s="70"/>
      <c r="C6612" s="70"/>
      <c r="D6612" s="70"/>
      <c r="E6612" s="70"/>
      <c r="F6612" s="70"/>
      <c r="G6612" s="94"/>
      <c r="H6612" s="131"/>
      <c r="I6612" s="3"/>
    </row>
    <row r="6613" spans="1:9" s="93" customFormat="1" ht="9" customHeight="1" x14ac:dyDescent="0.3">
      <c r="A6613" s="91"/>
      <c r="B6613" s="70"/>
      <c r="C6613" s="70"/>
      <c r="D6613" s="70"/>
      <c r="E6613" s="70"/>
      <c r="F6613" s="70"/>
      <c r="G6613" s="94"/>
      <c r="H6613" s="131"/>
      <c r="I6613" s="3"/>
    </row>
    <row r="6614" spans="1:9" s="93" customFormat="1" ht="9" customHeight="1" x14ac:dyDescent="0.3">
      <c r="A6614" s="91"/>
      <c r="B6614" s="70"/>
      <c r="C6614" s="70"/>
      <c r="D6614" s="70"/>
      <c r="E6614" s="70"/>
      <c r="F6614" s="70"/>
      <c r="G6614" s="94"/>
      <c r="H6614" s="131"/>
      <c r="I6614" s="3"/>
    </row>
    <row r="6615" spans="1:9" s="93" customFormat="1" ht="9" customHeight="1" x14ac:dyDescent="0.3">
      <c r="A6615" s="91"/>
      <c r="B6615" s="70"/>
      <c r="C6615" s="70"/>
      <c r="D6615" s="70"/>
      <c r="E6615" s="70"/>
      <c r="F6615" s="70"/>
      <c r="G6615" s="94"/>
      <c r="H6615" s="131"/>
      <c r="I6615" s="3"/>
    </row>
    <row r="6616" spans="1:9" s="93" customFormat="1" ht="9" customHeight="1" x14ac:dyDescent="0.3">
      <c r="A6616" s="91"/>
      <c r="B6616" s="70"/>
      <c r="C6616" s="70"/>
      <c r="D6616" s="70"/>
      <c r="E6616" s="70"/>
      <c r="F6616" s="70"/>
      <c r="G6616" s="94"/>
      <c r="H6616" s="131"/>
      <c r="I6616" s="3"/>
    </row>
    <row r="6617" spans="1:9" s="93" customFormat="1" ht="9" customHeight="1" x14ac:dyDescent="0.3">
      <c r="A6617" s="91"/>
      <c r="B6617" s="70"/>
      <c r="C6617" s="70"/>
      <c r="D6617" s="70"/>
      <c r="E6617" s="70"/>
      <c r="F6617" s="70"/>
      <c r="G6617" s="94"/>
      <c r="H6617" s="131"/>
      <c r="I6617" s="3"/>
    </row>
    <row r="6618" spans="1:9" s="93" customFormat="1" ht="9" customHeight="1" x14ac:dyDescent="0.3">
      <c r="A6618" s="91"/>
      <c r="B6618" s="70"/>
      <c r="C6618" s="70"/>
      <c r="D6618" s="70"/>
      <c r="E6618" s="70"/>
      <c r="F6618" s="70"/>
      <c r="G6618" s="94"/>
      <c r="H6618" s="131"/>
      <c r="I6618" s="3"/>
    </row>
    <row r="6619" spans="1:9" s="93" customFormat="1" ht="9" customHeight="1" x14ac:dyDescent="0.3">
      <c r="A6619" s="91"/>
      <c r="B6619" s="70"/>
      <c r="C6619" s="70"/>
      <c r="D6619" s="70"/>
      <c r="E6619" s="70"/>
      <c r="F6619" s="70"/>
      <c r="G6619" s="94"/>
      <c r="H6619" s="131"/>
      <c r="I6619" s="3"/>
    </row>
    <row r="6620" spans="1:9" s="93" customFormat="1" ht="9" customHeight="1" x14ac:dyDescent="0.3">
      <c r="A6620" s="91"/>
      <c r="B6620" s="70"/>
      <c r="C6620" s="70"/>
      <c r="D6620" s="70"/>
      <c r="E6620" s="70"/>
      <c r="F6620" s="70"/>
      <c r="G6620" s="94"/>
      <c r="H6620" s="131"/>
      <c r="I6620" s="3"/>
    </row>
    <row r="6621" spans="1:9" s="93" customFormat="1" ht="9" customHeight="1" x14ac:dyDescent="0.3">
      <c r="A6621" s="91"/>
      <c r="B6621" s="70"/>
      <c r="C6621" s="70"/>
      <c r="D6621" s="70"/>
      <c r="E6621" s="70"/>
      <c r="F6621" s="70"/>
      <c r="G6621" s="94"/>
      <c r="H6621" s="131"/>
      <c r="I6621" s="3"/>
    </row>
    <row r="6622" spans="1:9" s="93" customFormat="1" ht="9" customHeight="1" x14ac:dyDescent="0.3">
      <c r="A6622" s="91"/>
      <c r="B6622" s="70"/>
      <c r="C6622" s="70"/>
      <c r="D6622" s="70"/>
      <c r="E6622" s="70"/>
      <c r="F6622" s="70"/>
      <c r="G6622" s="94"/>
      <c r="H6622" s="131"/>
      <c r="I6622" s="3"/>
    </row>
    <row r="6623" spans="1:9" s="93" customFormat="1" ht="9" customHeight="1" x14ac:dyDescent="0.3">
      <c r="A6623" s="91"/>
      <c r="B6623" s="70"/>
      <c r="C6623" s="70"/>
      <c r="D6623" s="70"/>
      <c r="E6623" s="70"/>
      <c r="F6623" s="70"/>
      <c r="G6623" s="94"/>
      <c r="H6623" s="131"/>
      <c r="I6623" s="3"/>
    </row>
    <row r="6624" spans="1:9" s="93" customFormat="1" ht="9" customHeight="1" x14ac:dyDescent="0.3">
      <c r="A6624" s="91"/>
      <c r="B6624" s="70"/>
      <c r="C6624" s="70"/>
      <c r="D6624" s="70"/>
      <c r="E6624" s="70"/>
      <c r="F6624" s="70"/>
      <c r="G6624" s="94"/>
      <c r="H6624" s="131"/>
      <c r="I6624" s="3"/>
    </row>
    <row r="6625" spans="1:9" s="93" customFormat="1" ht="9" customHeight="1" x14ac:dyDescent="0.3">
      <c r="A6625" s="91"/>
      <c r="B6625" s="70"/>
      <c r="C6625" s="70"/>
      <c r="D6625" s="70"/>
      <c r="E6625" s="70"/>
      <c r="F6625" s="70"/>
      <c r="G6625" s="94"/>
      <c r="H6625" s="131"/>
      <c r="I6625" s="3"/>
    </row>
    <row r="6626" spans="1:9" s="93" customFormat="1" ht="9" customHeight="1" x14ac:dyDescent="0.3">
      <c r="A6626" s="91"/>
      <c r="B6626" s="70"/>
      <c r="C6626" s="70"/>
      <c r="D6626" s="70"/>
      <c r="E6626" s="70"/>
      <c r="F6626" s="70"/>
      <c r="G6626" s="94"/>
      <c r="H6626" s="131"/>
      <c r="I6626" s="3"/>
    </row>
    <row r="6627" spans="1:9" s="93" customFormat="1" ht="9" customHeight="1" x14ac:dyDescent="0.3">
      <c r="A6627" s="91"/>
      <c r="B6627" s="70"/>
      <c r="C6627" s="70"/>
      <c r="D6627" s="70"/>
      <c r="E6627" s="70"/>
      <c r="F6627" s="70"/>
      <c r="G6627" s="94"/>
      <c r="H6627" s="131"/>
      <c r="I6627" s="3"/>
    </row>
    <row r="6628" spans="1:9" s="93" customFormat="1" ht="9" customHeight="1" x14ac:dyDescent="0.3">
      <c r="A6628" s="91"/>
      <c r="B6628" s="70"/>
      <c r="C6628" s="70"/>
      <c r="D6628" s="70"/>
      <c r="E6628" s="70"/>
      <c r="F6628" s="70"/>
      <c r="G6628" s="94"/>
      <c r="H6628" s="131"/>
      <c r="I6628" s="3"/>
    </row>
    <row r="6629" spans="1:9" s="93" customFormat="1" ht="9" customHeight="1" x14ac:dyDescent="0.3">
      <c r="A6629" s="91"/>
      <c r="B6629" s="70"/>
      <c r="C6629" s="70"/>
      <c r="D6629" s="70"/>
      <c r="E6629" s="70"/>
      <c r="F6629" s="70"/>
      <c r="G6629" s="94"/>
      <c r="H6629" s="131"/>
      <c r="I6629" s="3"/>
    </row>
    <row r="6630" spans="1:9" s="93" customFormat="1" ht="9" customHeight="1" x14ac:dyDescent="0.3">
      <c r="A6630" s="91"/>
      <c r="B6630" s="70"/>
      <c r="C6630" s="70"/>
      <c r="D6630" s="70"/>
      <c r="E6630" s="70"/>
      <c r="F6630" s="70"/>
      <c r="G6630" s="94"/>
      <c r="H6630" s="131"/>
      <c r="I6630" s="3"/>
    </row>
    <row r="6631" spans="1:9" s="93" customFormat="1" ht="9" customHeight="1" x14ac:dyDescent="0.3">
      <c r="A6631" s="91"/>
      <c r="B6631" s="70"/>
      <c r="C6631" s="70"/>
      <c r="D6631" s="70"/>
      <c r="E6631" s="70"/>
      <c r="F6631" s="70"/>
      <c r="G6631" s="94"/>
      <c r="H6631" s="131"/>
      <c r="I6631" s="3"/>
    </row>
    <row r="6632" spans="1:9" s="93" customFormat="1" ht="9" customHeight="1" x14ac:dyDescent="0.3">
      <c r="A6632" s="91"/>
      <c r="B6632" s="70"/>
      <c r="C6632" s="70"/>
      <c r="D6632" s="70"/>
      <c r="E6632" s="70"/>
      <c r="F6632" s="70"/>
      <c r="G6632" s="94"/>
      <c r="H6632" s="131"/>
      <c r="I6632" s="3"/>
    </row>
    <row r="6633" spans="1:9" s="93" customFormat="1" ht="9" customHeight="1" x14ac:dyDescent="0.3">
      <c r="A6633" s="91"/>
      <c r="B6633" s="70"/>
      <c r="C6633" s="70"/>
      <c r="D6633" s="70"/>
      <c r="E6633" s="70"/>
      <c r="F6633" s="70"/>
      <c r="G6633" s="94"/>
      <c r="H6633" s="131"/>
      <c r="I6633" s="3"/>
    </row>
    <row r="6634" spans="1:9" s="93" customFormat="1" ht="9" customHeight="1" x14ac:dyDescent="0.3">
      <c r="A6634" s="91"/>
      <c r="B6634" s="70"/>
      <c r="C6634" s="70"/>
      <c r="D6634" s="70"/>
      <c r="E6634" s="70"/>
      <c r="F6634" s="70"/>
      <c r="G6634" s="94"/>
      <c r="H6634" s="131"/>
      <c r="I6634" s="3"/>
    </row>
    <row r="6635" spans="1:9" s="93" customFormat="1" ht="9" customHeight="1" x14ac:dyDescent="0.3">
      <c r="A6635" s="91"/>
      <c r="B6635" s="70"/>
      <c r="C6635" s="70"/>
      <c r="D6635" s="70"/>
      <c r="E6635" s="70"/>
      <c r="F6635" s="70"/>
      <c r="G6635" s="94"/>
      <c r="H6635" s="131"/>
      <c r="I6635" s="3"/>
    </row>
    <row r="6636" spans="1:9" s="93" customFormat="1" ht="9" customHeight="1" x14ac:dyDescent="0.3">
      <c r="A6636" s="91"/>
      <c r="B6636" s="70"/>
      <c r="C6636" s="70"/>
      <c r="D6636" s="70"/>
      <c r="E6636" s="70"/>
      <c r="F6636" s="70"/>
      <c r="G6636" s="94"/>
      <c r="H6636" s="131"/>
      <c r="I6636" s="3"/>
    </row>
    <row r="6637" spans="1:9" s="93" customFormat="1" ht="9" customHeight="1" x14ac:dyDescent="0.3">
      <c r="A6637" s="91"/>
      <c r="B6637" s="70"/>
      <c r="C6637" s="70"/>
      <c r="D6637" s="70"/>
      <c r="E6637" s="70"/>
      <c r="F6637" s="70"/>
      <c r="G6637" s="94"/>
      <c r="H6637" s="131"/>
      <c r="I6637" s="3"/>
    </row>
    <row r="6638" spans="1:9" s="93" customFormat="1" ht="9" customHeight="1" x14ac:dyDescent="0.3">
      <c r="A6638" s="91"/>
      <c r="B6638" s="70"/>
      <c r="C6638" s="70"/>
      <c r="D6638" s="70"/>
      <c r="E6638" s="70"/>
      <c r="F6638" s="70"/>
      <c r="G6638" s="94"/>
      <c r="H6638" s="131"/>
      <c r="I6638" s="3"/>
    </row>
    <row r="6639" spans="1:9" s="93" customFormat="1" ht="9" customHeight="1" x14ac:dyDescent="0.3">
      <c r="A6639" s="91"/>
      <c r="B6639" s="70"/>
      <c r="C6639" s="70"/>
      <c r="D6639" s="70"/>
      <c r="E6639" s="70"/>
      <c r="F6639" s="70"/>
      <c r="G6639" s="94"/>
      <c r="H6639" s="131"/>
      <c r="I6639" s="3"/>
    </row>
    <row r="6640" spans="1:9" s="93" customFormat="1" ht="9" customHeight="1" x14ac:dyDescent="0.3">
      <c r="A6640" s="91"/>
      <c r="B6640" s="70"/>
      <c r="C6640" s="70"/>
      <c r="D6640" s="70"/>
      <c r="E6640" s="70"/>
      <c r="F6640" s="70"/>
      <c r="G6640" s="94"/>
      <c r="H6640" s="131"/>
      <c r="I6640" s="3"/>
    </row>
    <row r="6641" spans="1:9" s="93" customFormat="1" ht="9" customHeight="1" x14ac:dyDescent="0.3">
      <c r="A6641" s="91"/>
      <c r="B6641" s="70"/>
      <c r="C6641" s="70"/>
      <c r="D6641" s="70"/>
      <c r="E6641" s="70"/>
      <c r="F6641" s="70"/>
      <c r="G6641" s="94"/>
      <c r="H6641" s="131"/>
      <c r="I6641" s="3"/>
    </row>
    <row r="6642" spans="1:9" s="93" customFormat="1" ht="9" customHeight="1" x14ac:dyDescent="0.3">
      <c r="A6642" s="91"/>
      <c r="B6642" s="70"/>
      <c r="C6642" s="70"/>
      <c r="D6642" s="70"/>
      <c r="E6642" s="70"/>
      <c r="F6642" s="70"/>
      <c r="G6642" s="94"/>
      <c r="H6642" s="131"/>
      <c r="I6642" s="3"/>
    </row>
    <row r="6643" spans="1:9" s="93" customFormat="1" ht="9" customHeight="1" x14ac:dyDescent="0.3">
      <c r="A6643" s="91"/>
      <c r="B6643" s="70"/>
      <c r="C6643" s="70"/>
      <c r="D6643" s="70"/>
      <c r="E6643" s="70"/>
      <c r="F6643" s="70"/>
      <c r="G6643" s="94"/>
      <c r="H6643" s="131"/>
      <c r="I6643" s="3"/>
    </row>
    <row r="6644" spans="1:9" s="93" customFormat="1" ht="9" customHeight="1" x14ac:dyDescent="0.3">
      <c r="A6644" s="91"/>
      <c r="B6644" s="70"/>
      <c r="C6644" s="70"/>
      <c r="D6644" s="70"/>
      <c r="E6644" s="70"/>
      <c r="F6644" s="70"/>
      <c r="G6644" s="94"/>
      <c r="H6644" s="131"/>
      <c r="I6644" s="3"/>
    </row>
    <row r="6645" spans="1:9" s="93" customFormat="1" ht="9" customHeight="1" x14ac:dyDescent="0.3">
      <c r="A6645" s="91"/>
      <c r="B6645" s="70"/>
      <c r="C6645" s="70"/>
      <c r="D6645" s="70"/>
      <c r="E6645" s="70"/>
      <c r="F6645" s="70"/>
      <c r="G6645" s="94"/>
      <c r="H6645" s="131"/>
      <c r="I6645" s="3"/>
    </row>
    <row r="6646" spans="1:9" s="93" customFormat="1" ht="9" customHeight="1" x14ac:dyDescent="0.3">
      <c r="A6646" s="91"/>
      <c r="B6646" s="70"/>
      <c r="C6646" s="70"/>
      <c r="D6646" s="70"/>
      <c r="E6646" s="70"/>
      <c r="F6646" s="70"/>
      <c r="G6646" s="94"/>
      <c r="H6646" s="131"/>
      <c r="I6646" s="3"/>
    </row>
    <row r="6647" spans="1:9" s="93" customFormat="1" ht="9" customHeight="1" x14ac:dyDescent="0.3">
      <c r="A6647" s="91"/>
      <c r="B6647" s="70"/>
      <c r="C6647" s="70"/>
      <c r="D6647" s="70"/>
      <c r="E6647" s="70"/>
      <c r="F6647" s="70"/>
      <c r="G6647" s="94"/>
      <c r="H6647" s="131"/>
      <c r="I6647" s="3"/>
    </row>
    <row r="6648" spans="1:9" s="93" customFormat="1" ht="9" customHeight="1" x14ac:dyDescent="0.3">
      <c r="A6648" s="91"/>
      <c r="B6648" s="70"/>
      <c r="C6648" s="70"/>
      <c r="D6648" s="70"/>
      <c r="E6648" s="70"/>
      <c r="F6648" s="70"/>
      <c r="G6648" s="94"/>
      <c r="H6648" s="131"/>
      <c r="I6648" s="3"/>
    </row>
    <row r="6649" spans="1:9" s="93" customFormat="1" ht="9" customHeight="1" x14ac:dyDescent="0.3">
      <c r="A6649" s="91"/>
      <c r="B6649" s="70"/>
      <c r="C6649" s="70"/>
      <c r="D6649" s="70"/>
      <c r="E6649" s="70"/>
      <c r="F6649" s="70"/>
      <c r="G6649" s="94"/>
      <c r="H6649" s="131"/>
      <c r="I6649" s="3"/>
    </row>
    <row r="6650" spans="1:9" s="93" customFormat="1" ht="9" customHeight="1" x14ac:dyDescent="0.3">
      <c r="A6650" s="91"/>
      <c r="B6650" s="70"/>
      <c r="C6650" s="70"/>
      <c r="D6650" s="70"/>
      <c r="E6650" s="70"/>
      <c r="F6650" s="70"/>
      <c r="G6650" s="94"/>
      <c r="H6650" s="131"/>
      <c r="I6650" s="3"/>
    </row>
    <row r="6651" spans="1:9" s="93" customFormat="1" ht="9" customHeight="1" x14ac:dyDescent="0.3">
      <c r="A6651" s="91"/>
      <c r="B6651" s="70"/>
      <c r="C6651" s="70"/>
      <c r="D6651" s="70"/>
      <c r="E6651" s="70"/>
      <c r="F6651" s="70"/>
      <c r="G6651" s="94"/>
      <c r="H6651" s="131"/>
      <c r="I6651" s="3"/>
    </row>
    <row r="6652" spans="1:9" s="93" customFormat="1" ht="9" customHeight="1" x14ac:dyDescent="0.3">
      <c r="A6652" s="91"/>
      <c r="B6652" s="70"/>
      <c r="C6652" s="70"/>
      <c r="D6652" s="70"/>
      <c r="E6652" s="70"/>
      <c r="F6652" s="70"/>
      <c r="G6652" s="94"/>
      <c r="H6652" s="131"/>
      <c r="I6652" s="3"/>
    </row>
    <row r="6653" spans="1:9" s="93" customFormat="1" ht="9" customHeight="1" x14ac:dyDescent="0.3">
      <c r="A6653" s="91"/>
      <c r="B6653" s="70"/>
      <c r="C6653" s="70"/>
      <c r="D6653" s="70"/>
      <c r="E6653" s="70"/>
      <c r="F6653" s="70"/>
      <c r="G6653" s="94"/>
      <c r="H6653" s="131"/>
      <c r="I6653" s="3"/>
    </row>
    <row r="6654" spans="1:9" s="93" customFormat="1" ht="9" customHeight="1" x14ac:dyDescent="0.3">
      <c r="A6654" s="91"/>
      <c r="B6654" s="70"/>
      <c r="C6654" s="70"/>
      <c r="D6654" s="70"/>
      <c r="E6654" s="70"/>
      <c r="F6654" s="70"/>
      <c r="G6654" s="94"/>
      <c r="H6654" s="131"/>
      <c r="I6654" s="3"/>
    </row>
    <row r="6655" spans="1:9" s="93" customFormat="1" ht="9" customHeight="1" x14ac:dyDescent="0.3">
      <c r="A6655" s="91"/>
      <c r="B6655" s="70"/>
      <c r="C6655" s="70"/>
      <c r="D6655" s="70"/>
      <c r="E6655" s="70"/>
      <c r="F6655" s="70"/>
      <c r="G6655" s="94"/>
      <c r="H6655" s="131"/>
      <c r="I6655" s="3"/>
    </row>
    <row r="6656" spans="1:9" s="93" customFormat="1" ht="9" customHeight="1" x14ac:dyDescent="0.3">
      <c r="A6656" s="91"/>
      <c r="B6656" s="70"/>
      <c r="C6656" s="70"/>
      <c r="D6656" s="70"/>
      <c r="E6656" s="70"/>
      <c r="F6656" s="70"/>
      <c r="G6656" s="94"/>
      <c r="H6656" s="131"/>
      <c r="I6656" s="3"/>
    </row>
    <row r="6657" spans="1:9" s="93" customFormat="1" ht="9" customHeight="1" x14ac:dyDescent="0.3">
      <c r="A6657" s="91"/>
      <c r="B6657" s="70"/>
      <c r="C6657" s="70"/>
      <c r="D6657" s="70"/>
      <c r="E6657" s="70"/>
      <c r="F6657" s="70"/>
      <c r="G6657" s="94"/>
      <c r="H6657" s="131"/>
      <c r="I6657" s="3"/>
    </row>
    <row r="6658" spans="1:9" s="93" customFormat="1" ht="9" customHeight="1" x14ac:dyDescent="0.3">
      <c r="A6658" s="91"/>
      <c r="B6658" s="70"/>
      <c r="C6658" s="70"/>
      <c r="D6658" s="70"/>
      <c r="E6658" s="70"/>
      <c r="F6658" s="70"/>
      <c r="G6658" s="94"/>
      <c r="H6658" s="131"/>
      <c r="I6658" s="3"/>
    </row>
    <row r="6659" spans="1:9" s="93" customFormat="1" ht="9" customHeight="1" x14ac:dyDescent="0.3">
      <c r="A6659" s="91"/>
      <c r="B6659" s="70"/>
      <c r="C6659" s="70"/>
      <c r="D6659" s="70"/>
      <c r="E6659" s="70"/>
      <c r="F6659" s="70"/>
      <c r="G6659" s="94"/>
      <c r="H6659" s="131"/>
      <c r="I6659" s="3"/>
    </row>
    <row r="6660" spans="1:9" s="93" customFormat="1" ht="9" customHeight="1" x14ac:dyDescent="0.3">
      <c r="A6660" s="91"/>
      <c r="B6660" s="70"/>
      <c r="C6660" s="70"/>
      <c r="D6660" s="70"/>
      <c r="E6660" s="70"/>
      <c r="F6660" s="70"/>
      <c r="G6660" s="94"/>
      <c r="H6660" s="131"/>
      <c r="I6660" s="3"/>
    </row>
    <row r="6661" spans="1:9" s="93" customFormat="1" ht="9" customHeight="1" x14ac:dyDescent="0.3">
      <c r="A6661" s="91"/>
      <c r="B6661" s="70"/>
      <c r="C6661" s="70"/>
      <c r="D6661" s="70"/>
      <c r="E6661" s="70"/>
      <c r="F6661" s="70"/>
      <c r="G6661" s="94"/>
      <c r="H6661" s="131"/>
      <c r="I6661" s="3"/>
    </row>
    <row r="6662" spans="1:9" s="93" customFormat="1" ht="9" customHeight="1" x14ac:dyDescent="0.3">
      <c r="A6662" s="91"/>
      <c r="B6662" s="70"/>
      <c r="C6662" s="70"/>
      <c r="D6662" s="70"/>
      <c r="E6662" s="70"/>
      <c r="F6662" s="70"/>
      <c r="G6662" s="94"/>
      <c r="H6662" s="131"/>
      <c r="I6662" s="3"/>
    </row>
    <row r="6663" spans="1:9" s="93" customFormat="1" ht="9" customHeight="1" x14ac:dyDescent="0.3">
      <c r="A6663" s="91"/>
      <c r="B6663" s="70"/>
      <c r="C6663" s="70"/>
      <c r="D6663" s="70"/>
      <c r="E6663" s="70"/>
      <c r="F6663" s="70"/>
      <c r="G6663" s="94"/>
      <c r="H6663" s="131"/>
      <c r="I6663" s="3"/>
    </row>
    <row r="6664" spans="1:9" s="93" customFormat="1" ht="9" customHeight="1" x14ac:dyDescent="0.3">
      <c r="A6664" s="91"/>
      <c r="B6664" s="70"/>
      <c r="C6664" s="70"/>
      <c r="D6664" s="70"/>
      <c r="E6664" s="70"/>
      <c r="F6664" s="70"/>
      <c r="G6664" s="94"/>
      <c r="H6664" s="131"/>
      <c r="I6664" s="3"/>
    </row>
    <row r="6665" spans="1:9" s="93" customFormat="1" ht="9" customHeight="1" x14ac:dyDescent="0.3">
      <c r="A6665" s="91"/>
      <c r="B6665" s="70"/>
      <c r="C6665" s="70"/>
      <c r="D6665" s="70"/>
      <c r="E6665" s="70"/>
      <c r="F6665" s="70"/>
      <c r="G6665" s="94"/>
      <c r="H6665" s="131"/>
      <c r="I6665" s="3"/>
    </row>
    <row r="6666" spans="1:9" s="93" customFormat="1" ht="9" customHeight="1" x14ac:dyDescent="0.3">
      <c r="A6666" s="91"/>
      <c r="B6666" s="70"/>
      <c r="C6666" s="70"/>
      <c r="D6666" s="70"/>
      <c r="E6666" s="70"/>
      <c r="F6666" s="70"/>
      <c r="G6666" s="94"/>
      <c r="H6666" s="131"/>
      <c r="I6666" s="3"/>
    </row>
    <row r="6667" spans="1:9" s="93" customFormat="1" ht="9" customHeight="1" x14ac:dyDescent="0.3">
      <c r="A6667" s="91"/>
      <c r="B6667" s="70"/>
      <c r="C6667" s="70"/>
      <c r="D6667" s="70"/>
      <c r="E6667" s="70"/>
      <c r="F6667" s="70"/>
      <c r="G6667" s="94"/>
      <c r="H6667" s="131"/>
      <c r="I6667" s="3"/>
    </row>
    <row r="6668" spans="1:9" s="93" customFormat="1" ht="9" customHeight="1" x14ac:dyDescent="0.3">
      <c r="A6668" s="91"/>
      <c r="B6668" s="70"/>
      <c r="C6668" s="70"/>
      <c r="D6668" s="70"/>
      <c r="E6668" s="70"/>
      <c r="F6668" s="70"/>
      <c r="G6668" s="94"/>
      <c r="H6668" s="131"/>
      <c r="I6668" s="3"/>
    </row>
    <row r="6669" spans="1:9" s="93" customFormat="1" ht="9" customHeight="1" x14ac:dyDescent="0.3">
      <c r="A6669" s="91"/>
      <c r="B6669" s="70"/>
      <c r="C6669" s="70"/>
      <c r="D6669" s="70"/>
      <c r="E6669" s="70"/>
      <c r="F6669" s="70"/>
      <c r="G6669" s="94"/>
      <c r="H6669" s="131"/>
      <c r="I6669" s="3"/>
    </row>
    <row r="6670" spans="1:9" s="93" customFormat="1" ht="9" customHeight="1" x14ac:dyDescent="0.3">
      <c r="A6670" s="91"/>
      <c r="B6670" s="70"/>
      <c r="C6670" s="70"/>
      <c r="D6670" s="70"/>
      <c r="E6670" s="70"/>
      <c r="F6670" s="70"/>
      <c r="G6670" s="94"/>
      <c r="H6670" s="131"/>
      <c r="I6670" s="3"/>
    </row>
    <row r="6671" spans="1:9" s="93" customFormat="1" ht="9" customHeight="1" x14ac:dyDescent="0.3">
      <c r="A6671" s="91"/>
      <c r="B6671" s="70"/>
      <c r="C6671" s="70"/>
      <c r="D6671" s="70"/>
      <c r="E6671" s="70"/>
      <c r="F6671" s="70"/>
      <c r="G6671" s="94"/>
      <c r="H6671" s="131"/>
      <c r="I6671" s="3"/>
    </row>
    <row r="6672" spans="1:9" s="93" customFormat="1" ht="9" customHeight="1" x14ac:dyDescent="0.3">
      <c r="A6672" s="91"/>
      <c r="B6672" s="70"/>
      <c r="C6672" s="70"/>
      <c r="D6672" s="70"/>
      <c r="E6672" s="70"/>
      <c r="F6672" s="70"/>
      <c r="G6672" s="94"/>
      <c r="H6672" s="131"/>
      <c r="I6672" s="3"/>
    </row>
    <row r="6673" spans="1:9" s="93" customFormat="1" ht="9" customHeight="1" x14ac:dyDescent="0.3">
      <c r="A6673" s="91"/>
      <c r="B6673" s="70"/>
      <c r="C6673" s="70"/>
      <c r="D6673" s="70"/>
      <c r="E6673" s="70"/>
      <c r="F6673" s="70"/>
      <c r="G6673" s="94"/>
      <c r="H6673" s="131"/>
      <c r="I6673" s="3"/>
    </row>
    <row r="6674" spans="1:9" s="93" customFormat="1" ht="9" customHeight="1" x14ac:dyDescent="0.3">
      <c r="A6674" s="91"/>
      <c r="B6674" s="70"/>
      <c r="C6674" s="70"/>
      <c r="D6674" s="70"/>
      <c r="E6674" s="70"/>
      <c r="F6674" s="70"/>
      <c r="G6674" s="94"/>
      <c r="H6674" s="131"/>
      <c r="I6674" s="3"/>
    </row>
    <row r="6675" spans="1:9" s="93" customFormat="1" ht="9" customHeight="1" x14ac:dyDescent="0.3">
      <c r="A6675" s="91"/>
      <c r="B6675" s="70"/>
      <c r="C6675" s="70"/>
      <c r="D6675" s="70"/>
      <c r="E6675" s="70"/>
      <c r="F6675" s="70"/>
      <c r="G6675" s="94"/>
      <c r="H6675" s="131"/>
      <c r="I6675" s="3"/>
    </row>
    <row r="6676" spans="1:9" s="93" customFormat="1" ht="9" customHeight="1" x14ac:dyDescent="0.3">
      <c r="A6676" s="91"/>
      <c r="B6676" s="70"/>
      <c r="C6676" s="70"/>
      <c r="D6676" s="70"/>
      <c r="E6676" s="70"/>
      <c r="F6676" s="70"/>
      <c r="G6676" s="94"/>
      <c r="H6676" s="131"/>
      <c r="I6676" s="3"/>
    </row>
    <row r="6677" spans="1:9" s="93" customFormat="1" ht="9" customHeight="1" x14ac:dyDescent="0.3">
      <c r="A6677" s="91"/>
      <c r="B6677" s="70"/>
      <c r="C6677" s="70"/>
      <c r="D6677" s="70"/>
      <c r="E6677" s="70"/>
      <c r="F6677" s="70"/>
      <c r="G6677" s="94"/>
      <c r="H6677" s="131"/>
      <c r="I6677" s="3"/>
    </row>
    <row r="6678" spans="1:9" s="93" customFormat="1" ht="9" customHeight="1" x14ac:dyDescent="0.3">
      <c r="A6678" s="91"/>
      <c r="B6678" s="70"/>
      <c r="C6678" s="70"/>
      <c r="D6678" s="70"/>
      <c r="E6678" s="70"/>
      <c r="F6678" s="70"/>
      <c r="G6678" s="94"/>
      <c r="H6678" s="131"/>
      <c r="I6678" s="3"/>
    </row>
    <row r="6679" spans="1:9" s="93" customFormat="1" ht="9" customHeight="1" x14ac:dyDescent="0.3">
      <c r="A6679" s="91"/>
      <c r="B6679" s="70"/>
      <c r="C6679" s="70"/>
      <c r="D6679" s="70"/>
      <c r="E6679" s="70"/>
      <c r="F6679" s="70"/>
      <c r="G6679" s="94"/>
      <c r="H6679" s="131"/>
      <c r="I6679" s="3"/>
    </row>
    <row r="6680" spans="1:9" s="93" customFormat="1" ht="9" customHeight="1" x14ac:dyDescent="0.3">
      <c r="A6680" s="91"/>
      <c r="B6680" s="70"/>
      <c r="C6680" s="70"/>
      <c r="D6680" s="70"/>
      <c r="E6680" s="70"/>
      <c r="F6680" s="70"/>
      <c r="G6680" s="94"/>
      <c r="H6680" s="131"/>
      <c r="I6680" s="3"/>
    </row>
    <row r="6681" spans="1:9" s="93" customFormat="1" ht="9" customHeight="1" x14ac:dyDescent="0.3">
      <c r="A6681" s="91"/>
      <c r="B6681" s="70"/>
      <c r="C6681" s="70"/>
      <c r="D6681" s="70"/>
      <c r="E6681" s="70"/>
      <c r="F6681" s="70"/>
      <c r="G6681" s="94"/>
      <c r="H6681" s="131"/>
      <c r="I6681" s="3"/>
    </row>
    <row r="6682" spans="1:9" s="93" customFormat="1" ht="9" customHeight="1" x14ac:dyDescent="0.3">
      <c r="A6682" s="91"/>
      <c r="B6682" s="70"/>
      <c r="C6682" s="70"/>
      <c r="D6682" s="70"/>
      <c r="E6682" s="70"/>
      <c r="F6682" s="70"/>
      <c r="G6682" s="94"/>
      <c r="H6682" s="131"/>
      <c r="I6682" s="3"/>
    </row>
    <row r="6683" spans="1:9" s="93" customFormat="1" ht="9" customHeight="1" x14ac:dyDescent="0.3">
      <c r="A6683" s="91"/>
      <c r="B6683" s="70"/>
      <c r="C6683" s="70"/>
      <c r="D6683" s="70"/>
      <c r="E6683" s="70"/>
      <c r="F6683" s="70"/>
      <c r="G6683" s="94"/>
      <c r="H6683" s="131"/>
      <c r="I6683" s="3"/>
    </row>
    <row r="6684" spans="1:9" s="93" customFormat="1" ht="9" customHeight="1" x14ac:dyDescent="0.3">
      <c r="A6684" s="91"/>
      <c r="B6684" s="70"/>
      <c r="C6684" s="70"/>
      <c r="D6684" s="70"/>
      <c r="E6684" s="70"/>
      <c r="F6684" s="70"/>
      <c r="G6684" s="94"/>
      <c r="H6684" s="131"/>
      <c r="I6684" s="3"/>
    </row>
    <row r="6685" spans="1:9" s="93" customFormat="1" ht="9" customHeight="1" x14ac:dyDescent="0.3">
      <c r="A6685" s="91"/>
      <c r="B6685" s="70"/>
      <c r="C6685" s="70"/>
      <c r="D6685" s="70"/>
      <c r="E6685" s="70"/>
      <c r="F6685" s="70"/>
      <c r="G6685" s="94"/>
      <c r="H6685" s="131"/>
      <c r="I6685" s="3"/>
    </row>
    <row r="6686" spans="1:9" s="93" customFormat="1" ht="9" customHeight="1" x14ac:dyDescent="0.3">
      <c r="A6686" s="91"/>
      <c r="B6686" s="70"/>
      <c r="C6686" s="70"/>
      <c r="D6686" s="70"/>
      <c r="E6686" s="70"/>
      <c r="F6686" s="70"/>
      <c r="G6686" s="94"/>
      <c r="H6686" s="131"/>
      <c r="I6686" s="3"/>
    </row>
    <row r="6687" spans="1:9" s="93" customFormat="1" ht="9" customHeight="1" x14ac:dyDescent="0.3">
      <c r="A6687" s="91"/>
      <c r="B6687" s="70"/>
      <c r="C6687" s="70"/>
      <c r="D6687" s="70"/>
      <c r="E6687" s="70"/>
      <c r="F6687" s="70"/>
      <c r="G6687" s="94"/>
      <c r="H6687" s="131"/>
      <c r="I6687" s="3"/>
    </row>
    <row r="6688" spans="1:9" s="93" customFormat="1" ht="9" customHeight="1" x14ac:dyDescent="0.3">
      <c r="A6688" s="91"/>
      <c r="B6688" s="70"/>
      <c r="C6688" s="70"/>
      <c r="D6688" s="70"/>
      <c r="E6688" s="70"/>
      <c r="F6688" s="70"/>
      <c r="G6688" s="94"/>
      <c r="H6688" s="131"/>
      <c r="I6688" s="3"/>
    </row>
    <row r="6689" spans="1:9" s="93" customFormat="1" ht="9" customHeight="1" x14ac:dyDescent="0.3">
      <c r="A6689" s="91"/>
      <c r="B6689" s="70"/>
      <c r="C6689" s="70"/>
      <c r="D6689" s="70"/>
      <c r="E6689" s="70"/>
      <c r="F6689" s="70"/>
      <c r="G6689" s="94"/>
      <c r="H6689" s="131"/>
      <c r="I6689" s="3"/>
    </row>
    <row r="6690" spans="1:9" s="93" customFormat="1" ht="9" customHeight="1" x14ac:dyDescent="0.3">
      <c r="A6690" s="91"/>
      <c r="B6690" s="70"/>
      <c r="C6690" s="70"/>
      <c r="D6690" s="70"/>
      <c r="E6690" s="70"/>
      <c r="F6690" s="70"/>
      <c r="G6690" s="94"/>
      <c r="H6690" s="131"/>
      <c r="I6690" s="3"/>
    </row>
    <row r="6691" spans="1:9" s="93" customFormat="1" ht="9" customHeight="1" x14ac:dyDescent="0.3">
      <c r="A6691" s="91"/>
      <c r="B6691" s="70"/>
      <c r="C6691" s="70"/>
      <c r="D6691" s="70"/>
      <c r="E6691" s="70"/>
      <c r="F6691" s="70"/>
      <c r="G6691" s="94"/>
      <c r="H6691" s="131"/>
      <c r="I6691" s="3"/>
    </row>
    <row r="6692" spans="1:9" s="93" customFormat="1" ht="9" customHeight="1" x14ac:dyDescent="0.3">
      <c r="A6692" s="91"/>
      <c r="B6692" s="70"/>
      <c r="C6692" s="70"/>
      <c r="D6692" s="70"/>
      <c r="E6692" s="70"/>
      <c r="F6692" s="70"/>
      <c r="G6692" s="94"/>
      <c r="H6692" s="131"/>
      <c r="I6692" s="3"/>
    </row>
    <row r="6693" spans="1:9" s="93" customFormat="1" ht="9" customHeight="1" x14ac:dyDescent="0.3">
      <c r="A6693" s="91"/>
      <c r="B6693" s="70"/>
      <c r="C6693" s="70"/>
      <c r="D6693" s="70"/>
      <c r="E6693" s="70"/>
      <c r="F6693" s="70"/>
      <c r="G6693" s="94"/>
      <c r="H6693" s="131"/>
      <c r="I6693" s="3"/>
    </row>
    <row r="6694" spans="1:9" s="93" customFormat="1" ht="9" customHeight="1" x14ac:dyDescent="0.3">
      <c r="A6694" s="91"/>
      <c r="B6694" s="70"/>
      <c r="C6694" s="70"/>
      <c r="D6694" s="70"/>
      <c r="E6694" s="70"/>
      <c r="F6694" s="70"/>
      <c r="G6694" s="94"/>
      <c r="H6694" s="131"/>
      <c r="I6694" s="3"/>
    </row>
    <row r="6695" spans="1:9" s="93" customFormat="1" ht="9" customHeight="1" x14ac:dyDescent="0.3">
      <c r="A6695" s="91"/>
      <c r="B6695" s="70"/>
      <c r="C6695" s="70"/>
      <c r="D6695" s="70"/>
      <c r="E6695" s="70"/>
      <c r="F6695" s="70"/>
      <c r="G6695" s="94"/>
      <c r="H6695" s="131"/>
      <c r="I6695" s="3"/>
    </row>
    <row r="6696" spans="1:9" s="93" customFormat="1" ht="9" customHeight="1" x14ac:dyDescent="0.3">
      <c r="A6696" s="91"/>
      <c r="B6696" s="70"/>
      <c r="C6696" s="70"/>
      <c r="D6696" s="70"/>
      <c r="E6696" s="70"/>
      <c r="F6696" s="70"/>
      <c r="G6696" s="94"/>
      <c r="H6696" s="131"/>
      <c r="I6696" s="3"/>
    </row>
    <row r="6697" spans="1:9" s="93" customFormat="1" ht="9" customHeight="1" x14ac:dyDescent="0.3">
      <c r="A6697" s="91"/>
      <c r="B6697" s="70"/>
      <c r="C6697" s="70"/>
      <c r="D6697" s="70"/>
      <c r="E6697" s="70"/>
      <c r="F6697" s="70"/>
      <c r="G6697" s="94"/>
      <c r="H6697" s="131"/>
      <c r="I6697" s="3"/>
    </row>
    <row r="6698" spans="1:9" s="93" customFormat="1" ht="9" customHeight="1" x14ac:dyDescent="0.3">
      <c r="A6698" s="91"/>
      <c r="B6698" s="70"/>
      <c r="C6698" s="70"/>
      <c r="D6698" s="70"/>
      <c r="E6698" s="70"/>
      <c r="F6698" s="70"/>
      <c r="G6698" s="94"/>
      <c r="H6698" s="131"/>
      <c r="I6698" s="3"/>
    </row>
    <row r="6699" spans="1:9" s="93" customFormat="1" ht="9" customHeight="1" x14ac:dyDescent="0.3">
      <c r="A6699" s="91"/>
      <c r="B6699" s="70"/>
      <c r="C6699" s="70"/>
      <c r="D6699" s="70"/>
      <c r="E6699" s="70"/>
      <c r="F6699" s="70"/>
      <c r="G6699" s="94"/>
      <c r="H6699" s="131"/>
      <c r="I6699" s="3"/>
    </row>
    <row r="6700" spans="1:9" s="93" customFormat="1" ht="9" customHeight="1" x14ac:dyDescent="0.3">
      <c r="A6700" s="91"/>
      <c r="B6700" s="70"/>
      <c r="C6700" s="70"/>
      <c r="D6700" s="70"/>
      <c r="E6700" s="70"/>
      <c r="F6700" s="70"/>
      <c r="G6700" s="94"/>
      <c r="H6700" s="131"/>
      <c r="I6700" s="3"/>
    </row>
    <row r="6701" spans="1:9" s="93" customFormat="1" ht="9" customHeight="1" x14ac:dyDescent="0.3">
      <c r="A6701" s="91"/>
      <c r="B6701" s="70"/>
      <c r="C6701" s="70"/>
      <c r="D6701" s="70"/>
      <c r="E6701" s="70"/>
      <c r="F6701" s="70"/>
      <c r="G6701" s="94"/>
      <c r="H6701" s="131"/>
      <c r="I6701" s="3"/>
    </row>
    <row r="6702" spans="1:9" s="93" customFormat="1" ht="9" customHeight="1" x14ac:dyDescent="0.3">
      <c r="A6702" s="91"/>
      <c r="B6702" s="70"/>
      <c r="C6702" s="70"/>
      <c r="D6702" s="70"/>
      <c r="E6702" s="70"/>
      <c r="F6702" s="70"/>
      <c r="G6702" s="94"/>
      <c r="H6702" s="131"/>
      <c r="I6702" s="3"/>
    </row>
    <row r="6703" spans="1:9" s="93" customFormat="1" ht="9" customHeight="1" x14ac:dyDescent="0.3">
      <c r="A6703" s="91"/>
      <c r="B6703" s="70"/>
      <c r="C6703" s="70"/>
      <c r="D6703" s="70"/>
      <c r="E6703" s="70"/>
      <c r="F6703" s="70"/>
      <c r="G6703" s="94"/>
      <c r="H6703" s="131"/>
      <c r="I6703" s="3"/>
    </row>
    <row r="6704" spans="1:9" s="93" customFormat="1" ht="9" customHeight="1" x14ac:dyDescent="0.3">
      <c r="A6704" s="91"/>
      <c r="B6704" s="70"/>
      <c r="C6704" s="70"/>
      <c r="D6704" s="70"/>
      <c r="E6704" s="70"/>
      <c r="F6704" s="70"/>
      <c r="G6704" s="94"/>
      <c r="H6704" s="131"/>
      <c r="I6704" s="3"/>
    </row>
    <row r="6705" spans="1:9" s="93" customFormat="1" ht="9" customHeight="1" x14ac:dyDescent="0.3">
      <c r="A6705" s="91"/>
      <c r="B6705" s="70"/>
      <c r="C6705" s="70"/>
      <c r="D6705" s="70"/>
      <c r="E6705" s="70"/>
      <c r="F6705" s="70"/>
      <c r="G6705" s="94"/>
      <c r="H6705" s="131"/>
      <c r="I6705" s="3"/>
    </row>
    <row r="6706" spans="1:9" s="93" customFormat="1" ht="9" customHeight="1" x14ac:dyDescent="0.3">
      <c r="A6706" s="91"/>
      <c r="B6706" s="70"/>
      <c r="C6706" s="70"/>
      <c r="D6706" s="70"/>
      <c r="E6706" s="70"/>
      <c r="F6706" s="70"/>
      <c r="G6706" s="94"/>
      <c r="H6706" s="131"/>
      <c r="I6706" s="3"/>
    </row>
    <row r="6707" spans="1:9" s="93" customFormat="1" ht="9" customHeight="1" x14ac:dyDescent="0.3">
      <c r="A6707" s="91"/>
      <c r="B6707" s="70"/>
      <c r="C6707" s="70"/>
      <c r="D6707" s="70"/>
      <c r="E6707" s="70"/>
      <c r="F6707" s="70"/>
      <c r="G6707" s="94"/>
      <c r="H6707" s="131"/>
      <c r="I6707" s="3"/>
    </row>
    <row r="6708" spans="1:9" s="93" customFormat="1" ht="9" customHeight="1" x14ac:dyDescent="0.3">
      <c r="A6708" s="91"/>
      <c r="B6708" s="70"/>
      <c r="C6708" s="70"/>
      <c r="D6708" s="70"/>
      <c r="E6708" s="70"/>
      <c r="F6708" s="70"/>
      <c r="G6708" s="94"/>
      <c r="H6708" s="131"/>
      <c r="I6708" s="3"/>
    </row>
    <row r="6709" spans="1:9" s="93" customFormat="1" ht="9" customHeight="1" x14ac:dyDescent="0.3">
      <c r="A6709" s="91"/>
      <c r="B6709" s="70"/>
      <c r="C6709" s="70"/>
      <c r="D6709" s="70"/>
      <c r="E6709" s="70"/>
      <c r="F6709" s="70"/>
      <c r="G6709" s="94"/>
      <c r="H6709" s="131"/>
      <c r="I6709" s="3"/>
    </row>
    <row r="6710" spans="1:9" s="93" customFormat="1" ht="9" customHeight="1" x14ac:dyDescent="0.3">
      <c r="A6710" s="91"/>
      <c r="B6710" s="70"/>
      <c r="C6710" s="70"/>
      <c r="D6710" s="70"/>
      <c r="E6710" s="70"/>
      <c r="F6710" s="70"/>
      <c r="G6710" s="94"/>
      <c r="H6710" s="131"/>
      <c r="I6710" s="3"/>
    </row>
    <row r="6711" spans="1:9" s="93" customFormat="1" ht="9" customHeight="1" x14ac:dyDescent="0.3">
      <c r="A6711" s="91"/>
      <c r="B6711" s="70"/>
      <c r="C6711" s="70"/>
      <c r="D6711" s="70"/>
      <c r="E6711" s="70"/>
      <c r="F6711" s="70"/>
      <c r="G6711" s="94"/>
      <c r="H6711" s="131"/>
      <c r="I6711" s="3"/>
    </row>
    <row r="6712" spans="1:9" s="93" customFormat="1" ht="9" customHeight="1" x14ac:dyDescent="0.3">
      <c r="A6712" s="91"/>
      <c r="B6712" s="70"/>
      <c r="C6712" s="70"/>
      <c r="D6712" s="70"/>
      <c r="E6712" s="70"/>
      <c r="F6712" s="70"/>
      <c r="G6712" s="94"/>
      <c r="H6712" s="131"/>
      <c r="I6712" s="3"/>
    </row>
    <row r="6713" spans="1:9" s="93" customFormat="1" ht="9" customHeight="1" x14ac:dyDescent="0.3">
      <c r="A6713" s="91"/>
      <c r="B6713" s="70"/>
      <c r="C6713" s="70"/>
      <c r="D6713" s="70"/>
      <c r="E6713" s="70"/>
      <c r="F6713" s="70"/>
      <c r="G6713" s="94"/>
      <c r="H6713" s="131"/>
      <c r="I6713" s="3"/>
    </row>
    <row r="6714" spans="1:9" s="93" customFormat="1" ht="9" customHeight="1" x14ac:dyDescent="0.3">
      <c r="A6714" s="91"/>
      <c r="B6714" s="70"/>
      <c r="C6714" s="70"/>
      <c r="D6714" s="70"/>
      <c r="E6714" s="70"/>
      <c r="F6714" s="70"/>
      <c r="G6714" s="94"/>
      <c r="H6714" s="131"/>
      <c r="I6714" s="3"/>
    </row>
    <row r="6715" spans="1:9" s="93" customFormat="1" ht="9" customHeight="1" x14ac:dyDescent="0.3">
      <c r="A6715" s="91"/>
      <c r="B6715" s="70"/>
      <c r="C6715" s="70"/>
      <c r="D6715" s="70"/>
      <c r="E6715" s="70"/>
      <c r="F6715" s="70"/>
      <c r="G6715" s="94"/>
      <c r="H6715" s="131"/>
      <c r="I6715" s="3"/>
    </row>
    <row r="6716" spans="1:9" s="93" customFormat="1" ht="9" customHeight="1" x14ac:dyDescent="0.3">
      <c r="A6716" s="91"/>
      <c r="B6716" s="70"/>
      <c r="C6716" s="70"/>
      <c r="D6716" s="70"/>
      <c r="E6716" s="70"/>
      <c r="F6716" s="70"/>
      <c r="G6716" s="94"/>
      <c r="H6716" s="131"/>
      <c r="I6716" s="3"/>
    </row>
    <row r="6717" spans="1:9" s="93" customFormat="1" ht="9" customHeight="1" x14ac:dyDescent="0.3">
      <c r="A6717" s="91"/>
      <c r="B6717" s="70"/>
      <c r="C6717" s="70"/>
      <c r="D6717" s="70"/>
      <c r="E6717" s="70"/>
      <c r="F6717" s="70"/>
      <c r="G6717" s="94"/>
      <c r="H6717" s="131"/>
      <c r="I6717" s="3"/>
    </row>
    <row r="6718" spans="1:9" s="93" customFormat="1" ht="9" customHeight="1" x14ac:dyDescent="0.3">
      <c r="A6718" s="91"/>
      <c r="B6718" s="70"/>
      <c r="C6718" s="70"/>
      <c r="D6718" s="70"/>
      <c r="E6718" s="70"/>
      <c r="F6718" s="70"/>
      <c r="G6718" s="94"/>
      <c r="H6718" s="131"/>
      <c r="I6718" s="3"/>
    </row>
    <row r="6719" spans="1:9" s="93" customFormat="1" ht="9" customHeight="1" x14ac:dyDescent="0.3">
      <c r="A6719" s="91"/>
      <c r="B6719" s="70"/>
      <c r="C6719" s="70"/>
      <c r="D6719" s="70"/>
      <c r="E6719" s="70"/>
      <c r="F6719" s="70"/>
      <c r="G6719" s="94"/>
      <c r="H6719" s="131"/>
      <c r="I6719" s="3"/>
    </row>
    <row r="6720" spans="1:9" s="93" customFormat="1" ht="9" customHeight="1" x14ac:dyDescent="0.3">
      <c r="A6720" s="91"/>
      <c r="B6720" s="70"/>
      <c r="C6720" s="70"/>
      <c r="D6720" s="70"/>
      <c r="E6720" s="70"/>
      <c r="F6720" s="70"/>
      <c r="G6720" s="94"/>
      <c r="H6720" s="131"/>
      <c r="I6720" s="3"/>
    </row>
    <row r="6721" spans="1:9" s="93" customFormat="1" ht="9" customHeight="1" x14ac:dyDescent="0.3">
      <c r="A6721" s="91"/>
      <c r="B6721" s="70"/>
      <c r="C6721" s="70"/>
      <c r="D6721" s="70"/>
      <c r="E6721" s="70"/>
      <c r="F6721" s="70"/>
      <c r="G6721" s="94"/>
      <c r="H6721" s="131"/>
      <c r="I6721" s="3"/>
    </row>
    <row r="6722" spans="1:9" s="93" customFormat="1" ht="9" customHeight="1" x14ac:dyDescent="0.3">
      <c r="A6722" s="91"/>
      <c r="B6722" s="70"/>
      <c r="C6722" s="70"/>
      <c r="D6722" s="70"/>
      <c r="E6722" s="70"/>
      <c r="F6722" s="70"/>
      <c r="G6722" s="94"/>
      <c r="H6722" s="131"/>
      <c r="I6722" s="3"/>
    </row>
    <row r="6723" spans="1:9" s="93" customFormat="1" ht="9" customHeight="1" x14ac:dyDescent="0.3">
      <c r="A6723" s="91"/>
      <c r="B6723" s="70"/>
      <c r="C6723" s="70"/>
      <c r="D6723" s="70"/>
      <c r="E6723" s="70"/>
      <c r="F6723" s="70"/>
      <c r="G6723" s="94"/>
      <c r="H6723" s="131"/>
      <c r="I6723" s="3"/>
    </row>
    <row r="6724" spans="1:9" s="93" customFormat="1" ht="9" customHeight="1" x14ac:dyDescent="0.3">
      <c r="A6724" s="91"/>
      <c r="B6724" s="70"/>
      <c r="C6724" s="70"/>
      <c r="D6724" s="70"/>
      <c r="E6724" s="70"/>
      <c r="F6724" s="70"/>
      <c r="G6724" s="94"/>
      <c r="H6724" s="131"/>
      <c r="I6724" s="3"/>
    </row>
    <row r="6725" spans="1:9" s="93" customFormat="1" ht="9" customHeight="1" x14ac:dyDescent="0.3">
      <c r="A6725" s="91"/>
      <c r="B6725" s="70"/>
      <c r="C6725" s="70"/>
      <c r="D6725" s="70"/>
      <c r="E6725" s="70"/>
      <c r="F6725" s="70"/>
      <c r="G6725" s="94"/>
      <c r="H6725" s="131"/>
      <c r="I6725" s="3"/>
    </row>
    <row r="6726" spans="1:9" s="93" customFormat="1" ht="9" customHeight="1" x14ac:dyDescent="0.3">
      <c r="A6726" s="91"/>
      <c r="B6726" s="70"/>
      <c r="C6726" s="70"/>
      <c r="D6726" s="70"/>
      <c r="E6726" s="70"/>
      <c r="F6726" s="70"/>
      <c r="G6726" s="94"/>
      <c r="H6726" s="131"/>
      <c r="I6726" s="3"/>
    </row>
    <row r="6727" spans="1:9" s="93" customFormat="1" ht="9" customHeight="1" x14ac:dyDescent="0.3">
      <c r="A6727" s="91"/>
      <c r="B6727" s="70"/>
      <c r="C6727" s="70"/>
      <c r="D6727" s="70"/>
      <c r="E6727" s="70"/>
      <c r="F6727" s="70"/>
      <c r="G6727" s="94"/>
      <c r="H6727" s="131"/>
      <c r="I6727" s="3"/>
    </row>
    <row r="6728" spans="1:9" s="93" customFormat="1" ht="9" customHeight="1" x14ac:dyDescent="0.3">
      <c r="A6728" s="91"/>
      <c r="B6728" s="70"/>
      <c r="C6728" s="70"/>
      <c r="D6728" s="70"/>
      <c r="E6728" s="70"/>
      <c r="F6728" s="70"/>
      <c r="G6728" s="94"/>
      <c r="H6728" s="131"/>
      <c r="I6728" s="3"/>
    </row>
    <row r="6729" spans="1:9" s="93" customFormat="1" ht="9" customHeight="1" x14ac:dyDescent="0.3">
      <c r="A6729" s="91"/>
      <c r="B6729" s="70"/>
      <c r="C6729" s="70"/>
      <c r="D6729" s="70"/>
      <c r="E6729" s="70"/>
      <c r="F6729" s="70"/>
      <c r="G6729" s="94"/>
      <c r="H6729" s="131"/>
      <c r="I6729" s="3"/>
    </row>
    <row r="6730" spans="1:9" s="93" customFormat="1" ht="9" customHeight="1" x14ac:dyDescent="0.3">
      <c r="A6730" s="91"/>
      <c r="B6730" s="70"/>
      <c r="C6730" s="70"/>
      <c r="D6730" s="70"/>
      <c r="E6730" s="70"/>
      <c r="F6730" s="70"/>
      <c r="G6730" s="94"/>
      <c r="H6730" s="131"/>
      <c r="I6730" s="3"/>
    </row>
    <row r="6731" spans="1:9" s="93" customFormat="1" ht="9" customHeight="1" x14ac:dyDescent="0.3">
      <c r="A6731" s="91"/>
      <c r="B6731" s="70"/>
      <c r="C6731" s="70"/>
      <c r="D6731" s="70"/>
      <c r="E6731" s="70"/>
      <c r="F6731" s="70"/>
      <c r="G6731" s="94"/>
      <c r="H6731" s="131"/>
      <c r="I6731" s="3"/>
    </row>
    <row r="6732" spans="1:9" s="93" customFormat="1" ht="9" customHeight="1" x14ac:dyDescent="0.3">
      <c r="A6732" s="91"/>
      <c r="B6732" s="70"/>
      <c r="C6732" s="70"/>
      <c r="D6732" s="70"/>
      <c r="E6732" s="70"/>
      <c r="F6732" s="70"/>
      <c r="G6732" s="94"/>
      <c r="H6732" s="131"/>
      <c r="I6732" s="3"/>
    </row>
    <row r="6733" spans="1:9" s="93" customFormat="1" ht="9" customHeight="1" x14ac:dyDescent="0.3">
      <c r="A6733" s="91"/>
      <c r="B6733" s="70"/>
      <c r="C6733" s="70"/>
      <c r="D6733" s="70"/>
      <c r="E6733" s="70"/>
      <c r="F6733" s="70"/>
      <c r="G6733" s="94"/>
      <c r="H6733" s="131"/>
      <c r="I6733" s="3"/>
    </row>
    <row r="6734" spans="1:9" s="93" customFormat="1" ht="9" customHeight="1" x14ac:dyDescent="0.3">
      <c r="A6734" s="91"/>
      <c r="B6734" s="70"/>
      <c r="C6734" s="70"/>
      <c r="D6734" s="70"/>
      <c r="E6734" s="70"/>
      <c r="F6734" s="70"/>
      <c r="G6734" s="94"/>
      <c r="H6734" s="131"/>
      <c r="I6734" s="3"/>
    </row>
    <row r="6735" spans="1:9" s="93" customFormat="1" ht="9" customHeight="1" x14ac:dyDescent="0.3">
      <c r="A6735" s="91"/>
      <c r="B6735" s="70"/>
      <c r="C6735" s="70"/>
      <c r="D6735" s="70"/>
      <c r="E6735" s="70"/>
      <c r="F6735" s="70"/>
      <c r="G6735" s="94"/>
      <c r="H6735" s="131"/>
      <c r="I6735" s="3"/>
    </row>
    <row r="6736" spans="1:9" s="93" customFormat="1" ht="9" customHeight="1" x14ac:dyDescent="0.3">
      <c r="A6736" s="91"/>
      <c r="B6736" s="70"/>
      <c r="C6736" s="70"/>
      <c r="D6736" s="70"/>
      <c r="E6736" s="70"/>
      <c r="F6736" s="70"/>
      <c r="G6736" s="94"/>
      <c r="H6736" s="131"/>
      <c r="I6736" s="3"/>
    </row>
    <row r="6737" spans="1:9" s="93" customFormat="1" ht="9" customHeight="1" x14ac:dyDescent="0.3">
      <c r="A6737" s="91"/>
      <c r="B6737" s="70"/>
      <c r="C6737" s="70"/>
      <c r="D6737" s="70"/>
      <c r="E6737" s="70"/>
      <c r="F6737" s="70"/>
      <c r="G6737" s="94"/>
      <c r="H6737" s="131"/>
      <c r="I6737" s="3"/>
    </row>
    <row r="6738" spans="1:9" s="93" customFormat="1" ht="9" customHeight="1" x14ac:dyDescent="0.3">
      <c r="A6738" s="91"/>
      <c r="B6738" s="70"/>
      <c r="C6738" s="70"/>
      <c r="D6738" s="70"/>
      <c r="E6738" s="70"/>
      <c r="F6738" s="70"/>
      <c r="G6738" s="94"/>
      <c r="H6738" s="131"/>
      <c r="I6738" s="3"/>
    </row>
    <row r="6739" spans="1:9" s="93" customFormat="1" ht="9" customHeight="1" x14ac:dyDescent="0.3">
      <c r="A6739" s="91"/>
      <c r="B6739" s="70"/>
      <c r="C6739" s="70"/>
      <c r="D6739" s="70"/>
      <c r="E6739" s="70"/>
      <c r="F6739" s="70"/>
      <c r="G6739" s="94"/>
      <c r="H6739" s="131"/>
      <c r="I6739" s="3"/>
    </row>
    <row r="6740" spans="1:9" s="93" customFormat="1" ht="9" customHeight="1" x14ac:dyDescent="0.3">
      <c r="A6740" s="91"/>
      <c r="B6740" s="70"/>
      <c r="C6740" s="70"/>
      <c r="D6740" s="70"/>
      <c r="E6740" s="70"/>
      <c r="F6740" s="70"/>
      <c r="G6740" s="94"/>
      <c r="H6740" s="131"/>
      <c r="I6740" s="3"/>
    </row>
    <row r="6741" spans="1:9" s="93" customFormat="1" ht="9" customHeight="1" x14ac:dyDescent="0.3">
      <c r="A6741" s="91"/>
      <c r="B6741" s="70"/>
      <c r="C6741" s="70"/>
      <c r="D6741" s="70"/>
      <c r="E6741" s="70"/>
      <c r="F6741" s="70"/>
      <c r="G6741" s="94"/>
      <c r="H6741" s="131"/>
      <c r="I6741" s="3"/>
    </row>
    <row r="6742" spans="1:9" s="93" customFormat="1" ht="9" customHeight="1" x14ac:dyDescent="0.3">
      <c r="A6742" s="91"/>
      <c r="B6742" s="70"/>
      <c r="C6742" s="70"/>
      <c r="D6742" s="70"/>
      <c r="E6742" s="70"/>
      <c r="F6742" s="70"/>
      <c r="G6742" s="94"/>
      <c r="H6742" s="131"/>
      <c r="I6742" s="3"/>
    </row>
    <row r="6743" spans="1:9" s="93" customFormat="1" ht="9" customHeight="1" x14ac:dyDescent="0.3">
      <c r="A6743" s="91"/>
      <c r="B6743" s="70"/>
      <c r="C6743" s="70"/>
      <c r="D6743" s="70"/>
      <c r="E6743" s="70"/>
      <c r="F6743" s="70"/>
      <c r="G6743" s="94"/>
      <c r="H6743" s="131"/>
      <c r="I6743" s="3"/>
    </row>
    <row r="6744" spans="1:9" s="93" customFormat="1" ht="9" customHeight="1" x14ac:dyDescent="0.3">
      <c r="A6744" s="91"/>
      <c r="B6744" s="70"/>
      <c r="C6744" s="70"/>
      <c r="D6744" s="70"/>
      <c r="E6744" s="70"/>
      <c r="F6744" s="70"/>
      <c r="G6744" s="94"/>
      <c r="H6744" s="131"/>
      <c r="I6744" s="3"/>
    </row>
    <row r="6745" spans="1:9" s="93" customFormat="1" ht="9" customHeight="1" x14ac:dyDescent="0.3">
      <c r="A6745" s="91"/>
      <c r="B6745" s="70"/>
      <c r="C6745" s="70"/>
      <c r="D6745" s="70"/>
      <c r="E6745" s="70"/>
      <c r="F6745" s="70"/>
      <c r="G6745" s="94"/>
      <c r="H6745" s="131"/>
      <c r="I6745" s="3"/>
    </row>
    <row r="6746" spans="1:9" s="93" customFormat="1" ht="9" customHeight="1" x14ac:dyDescent="0.3">
      <c r="A6746" s="91"/>
      <c r="B6746" s="70"/>
      <c r="C6746" s="70"/>
      <c r="D6746" s="70"/>
      <c r="E6746" s="70"/>
      <c r="F6746" s="70"/>
      <c r="G6746" s="94"/>
      <c r="H6746" s="131"/>
      <c r="I6746" s="3"/>
    </row>
    <row r="6747" spans="1:9" s="93" customFormat="1" ht="9" customHeight="1" x14ac:dyDescent="0.3">
      <c r="A6747" s="91"/>
      <c r="B6747" s="70"/>
      <c r="C6747" s="70"/>
      <c r="D6747" s="70"/>
      <c r="E6747" s="70"/>
      <c r="F6747" s="70"/>
      <c r="G6747" s="94"/>
      <c r="H6747" s="131"/>
      <c r="I6747" s="3"/>
    </row>
    <row r="6748" spans="1:9" s="93" customFormat="1" ht="9" customHeight="1" x14ac:dyDescent="0.3">
      <c r="A6748" s="91"/>
      <c r="B6748" s="70"/>
      <c r="C6748" s="70"/>
      <c r="D6748" s="70"/>
      <c r="E6748" s="70"/>
      <c r="F6748" s="70"/>
      <c r="G6748" s="94"/>
      <c r="H6748" s="131"/>
      <c r="I6748" s="3"/>
    </row>
    <row r="6749" spans="1:9" s="93" customFormat="1" ht="9" customHeight="1" x14ac:dyDescent="0.3">
      <c r="A6749" s="91"/>
      <c r="B6749" s="70"/>
      <c r="C6749" s="70"/>
      <c r="D6749" s="70"/>
      <c r="E6749" s="70"/>
      <c r="F6749" s="70"/>
      <c r="G6749" s="94"/>
      <c r="H6749" s="131"/>
      <c r="I6749" s="3"/>
    </row>
    <row r="6750" spans="1:9" s="93" customFormat="1" ht="9" customHeight="1" x14ac:dyDescent="0.3">
      <c r="A6750" s="91"/>
      <c r="B6750" s="70"/>
      <c r="C6750" s="70"/>
      <c r="D6750" s="70"/>
      <c r="E6750" s="70"/>
      <c r="F6750" s="70"/>
      <c r="G6750" s="94"/>
      <c r="H6750" s="131"/>
      <c r="I6750" s="3"/>
    </row>
    <row r="6751" spans="1:9" s="93" customFormat="1" ht="9" customHeight="1" x14ac:dyDescent="0.3">
      <c r="A6751" s="91"/>
      <c r="B6751" s="70"/>
      <c r="C6751" s="70"/>
      <c r="D6751" s="70"/>
      <c r="E6751" s="70"/>
      <c r="F6751" s="70"/>
      <c r="G6751" s="94"/>
      <c r="H6751" s="131"/>
      <c r="I6751" s="3"/>
    </row>
    <row r="6752" spans="1:9" s="93" customFormat="1" ht="9" customHeight="1" x14ac:dyDescent="0.3">
      <c r="A6752" s="91"/>
      <c r="B6752" s="70"/>
      <c r="C6752" s="70"/>
      <c r="D6752" s="70"/>
      <c r="E6752" s="70"/>
      <c r="F6752" s="70"/>
      <c r="G6752" s="94"/>
      <c r="H6752" s="131"/>
      <c r="I6752" s="3"/>
    </row>
    <row r="6753" spans="1:9" s="93" customFormat="1" ht="9" customHeight="1" x14ac:dyDescent="0.3">
      <c r="A6753" s="91"/>
      <c r="B6753" s="70"/>
      <c r="C6753" s="70"/>
      <c r="D6753" s="70"/>
      <c r="E6753" s="70"/>
      <c r="F6753" s="70"/>
      <c r="G6753" s="94"/>
      <c r="H6753" s="131"/>
      <c r="I6753" s="3"/>
    </row>
    <row r="6754" spans="1:9" s="93" customFormat="1" ht="9" customHeight="1" x14ac:dyDescent="0.3">
      <c r="A6754" s="91"/>
      <c r="B6754" s="70"/>
      <c r="C6754" s="70"/>
      <c r="D6754" s="70"/>
      <c r="E6754" s="70"/>
      <c r="F6754" s="70"/>
      <c r="G6754" s="94"/>
      <c r="H6754" s="131"/>
      <c r="I6754" s="3"/>
    </row>
    <row r="6755" spans="1:9" s="93" customFormat="1" ht="9" customHeight="1" x14ac:dyDescent="0.3">
      <c r="A6755" s="91"/>
      <c r="B6755" s="70"/>
      <c r="C6755" s="70"/>
      <c r="D6755" s="70"/>
      <c r="E6755" s="70"/>
      <c r="F6755" s="70"/>
      <c r="G6755" s="94"/>
      <c r="H6755" s="131"/>
      <c r="I6755" s="3"/>
    </row>
    <row r="6756" spans="1:9" s="93" customFormat="1" ht="9" customHeight="1" x14ac:dyDescent="0.3">
      <c r="A6756" s="91"/>
      <c r="B6756" s="70"/>
      <c r="C6756" s="70"/>
      <c r="D6756" s="70"/>
      <c r="E6756" s="70"/>
      <c r="F6756" s="70"/>
      <c r="G6756" s="94"/>
      <c r="H6756" s="131"/>
      <c r="I6756" s="3"/>
    </row>
    <row r="6757" spans="1:9" s="93" customFormat="1" ht="9" customHeight="1" x14ac:dyDescent="0.3">
      <c r="A6757" s="91"/>
      <c r="B6757" s="70"/>
      <c r="C6757" s="70"/>
      <c r="D6757" s="70"/>
      <c r="E6757" s="70"/>
      <c r="F6757" s="70"/>
      <c r="G6757" s="94"/>
      <c r="H6757" s="131"/>
      <c r="I6757" s="3"/>
    </row>
    <row r="6758" spans="1:9" s="93" customFormat="1" ht="9" customHeight="1" x14ac:dyDescent="0.3">
      <c r="A6758" s="91"/>
      <c r="B6758" s="70"/>
      <c r="C6758" s="70"/>
      <c r="D6758" s="70"/>
      <c r="E6758" s="70"/>
      <c r="F6758" s="70"/>
      <c r="G6758" s="94"/>
      <c r="H6758" s="131"/>
      <c r="I6758" s="3"/>
    </row>
    <row r="6759" spans="1:9" s="93" customFormat="1" ht="9" customHeight="1" x14ac:dyDescent="0.3">
      <c r="A6759" s="91"/>
      <c r="B6759" s="70"/>
      <c r="C6759" s="70"/>
      <c r="D6759" s="70"/>
      <c r="E6759" s="70"/>
      <c r="F6759" s="70"/>
      <c r="G6759" s="94"/>
      <c r="H6759" s="131"/>
      <c r="I6759" s="3"/>
    </row>
    <row r="6760" spans="1:9" s="93" customFormat="1" ht="9" customHeight="1" x14ac:dyDescent="0.3">
      <c r="A6760" s="91"/>
      <c r="B6760" s="70"/>
      <c r="C6760" s="70"/>
      <c r="D6760" s="70"/>
      <c r="E6760" s="70"/>
      <c r="F6760" s="70"/>
      <c r="G6760" s="94"/>
      <c r="H6760" s="131"/>
      <c r="I6760" s="3"/>
    </row>
    <row r="6761" spans="1:9" s="93" customFormat="1" ht="9" customHeight="1" x14ac:dyDescent="0.3">
      <c r="A6761" s="91"/>
      <c r="B6761" s="70"/>
      <c r="C6761" s="70"/>
      <c r="D6761" s="70"/>
      <c r="E6761" s="70"/>
      <c r="F6761" s="70"/>
      <c r="G6761" s="94"/>
      <c r="H6761" s="131"/>
      <c r="I6761" s="3"/>
    </row>
    <row r="6762" spans="1:9" s="93" customFormat="1" ht="9" customHeight="1" x14ac:dyDescent="0.3">
      <c r="A6762" s="91"/>
      <c r="B6762" s="70"/>
      <c r="C6762" s="70"/>
      <c r="D6762" s="70"/>
      <c r="E6762" s="70"/>
      <c r="F6762" s="70"/>
      <c r="G6762" s="94"/>
      <c r="H6762" s="131"/>
      <c r="I6762" s="3"/>
    </row>
    <row r="6763" spans="1:9" s="93" customFormat="1" ht="9" customHeight="1" x14ac:dyDescent="0.3">
      <c r="A6763" s="91"/>
      <c r="B6763" s="70"/>
      <c r="C6763" s="70"/>
      <c r="D6763" s="70"/>
      <c r="E6763" s="70"/>
      <c r="F6763" s="70"/>
      <c r="G6763" s="94"/>
      <c r="H6763" s="131"/>
      <c r="I6763" s="3"/>
    </row>
    <row r="6764" spans="1:9" s="93" customFormat="1" ht="9" customHeight="1" x14ac:dyDescent="0.3">
      <c r="A6764" s="91"/>
      <c r="B6764" s="70"/>
      <c r="C6764" s="70"/>
      <c r="D6764" s="70"/>
      <c r="E6764" s="70"/>
      <c r="F6764" s="70"/>
      <c r="G6764" s="94"/>
      <c r="H6764" s="131"/>
      <c r="I6764" s="3"/>
    </row>
    <row r="6765" spans="1:9" s="93" customFormat="1" ht="9" customHeight="1" x14ac:dyDescent="0.3">
      <c r="A6765" s="91"/>
      <c r="B6765" s="70"/>
      <c r="C6765" s="70"/>
      <c r="D6765" s="70"/>
      <c r="E6765" s="70"/>
      <c r="F6765" s="70"/>
      <c r="G6765" s="94"/>
      <c r="H6765" s="131"/>
      <c r="I6765" s="3"/>
    </row>
    <row r="6766" spans="1:9" s="93" customFormat="1" ht="9" customHeight="1" x14ac:dyDescent="0.3">
      <c r="A6766" s="91"/>
      <c r="B6766" s="70"/>
      <c r="C6766" s="70"/>
      <c r="D6766" s="70"/>
      <c r="E6766" s="70"/>
      <c r="F6766" s="70"/>
      <c r="G6766" s="94"/>
      <c r="H6766" s="131"/>
      <c r="I6766" s="3"/>
    </row>
    <row r="6767" spans="1:9" s="93" customFormat="1" ht="9" customHeight="1" x14ac:dyDescent="0.3">
      <c r="A6767" s="91"/>
      <c r="B6767" s="70"/>
      <c r="C6767" s="70"/>
      <c r="D6767" s="70"/>
      <c r="E6767" s="70"/>
      <c r="F6767" s="70"/>
      <c r="G6767" s="94"/>
      <c r="H6767" s="131"/>
      <c r="I6767" s="3"/>
    </row>
    <row r="6768" spans="1:9" s="93" customFormat="1" ht="9" customHeight="1" x14ac:dyDescent="0.3">
      <c r="A6768" s="91"/>
      <c r="B6768" s="70"/>
      <c r="C6768" s="70"/>
      <c r="D6768" s="70"/>
      <c r="E6768" s="70"/>
      <c r="F6768" s="70"/>
      <c r="G6768" s="94"/>
      <c r="H6768" s="131"/>
      <c r="I6768" s="3"/>
    </row>
    <row r="6769" spans="1:9" s="93" customFormat="1" ht="9" customHeight="1" x14ac:dyDescent="0.3">
      <c r="A6769" s="91"/>
      <c r="B6769" s="70"/>
      <c r="C6769" s="70"/>
      <c r="D6769" s="70"/>
      <c r="E6769" s="70"/>
      <c r="F6769" s="70"/>
      <c r="G6769" s="94"/>
      <c r="H6769" s="131"/>
      <c r="I6769" s="3"/>
    </row>
    <row r="6770" spans="1:9" s="93" customFormat="1" ht="9" customHeight="1" x14ac:dyDescent="0.3">
      <c r="A6770" s="91"/>
      <c r="B6770" s="70"/>
      <c r="C6770" s="70"/>
      <c r="D6770" s="70"/>
      <c r="E6770" s="70"/>
      <c r="F6770" s="70"/>
      <c r="G6770" s="94"/>
      <c r="H6770" s="131"/>
      <c r="I6770" s="3"/>
    </row>
    <row r="6771" spans="1:9" s="93" customFormat="1" ht="9" customHeight="1" x14ac:dyDescent="0.3">
      <c r="A6771" s="91"/>
      <c r="B6771" s="70"/>
      <c r="C6771" s="70"/>
      <c r="D6771" s="70"/>
      <c r="E6771" s="70"/>
      <c r="F6771" s="70"/>
      <c r="G6771" s="94"/>
      <c r="H6771" s="131"/>
      <c r="I6771" s="3"/>
    </row>
    <row r="6772" spans="1:9" s="93" customFormat="1" ht="9" customHeight="1" x14ac:dyDescent="0.3">
      <c r="A6772" s="91"/>
      <c r="B6772" s="70"/>
      <c r="C6772" s="70"/>
      <c r="D6772" s="70"/>
      <c r="E6772" s="70"/>
      <c r="F6772" s="70"/>
      <c r="G6772" s="94"/>
      <c r="H6772" s="131"/>
      <c r="I6772" s="3"/>
    </row>
    <row r="6773" spans="1:9" s="93" customFormat="1" ht="9" customHeight="1" x14ac:dyDescent="0.3">
      <c r="A6773" s="91"/>
      <c r="B6773" s="70"/>
      <c r="C6773" s="70"/>
      <c r="D6773" s="70"/>
      <c r="E6773" s="70"/>
      <c r="F6773" s="70"/>
      <c r="G6773" s="94"/>
      <c r="H6773" s="131"/>
      <c r="I6773" s="3"/>
    </row>
    <row r="6774" spans="1:9" s="93" customFormat="1" ht="9" customHeight="1" x14ac:dyDescent="0.3">
      <c r="A6774" s="91"/>
      <c r="B6774" s="70"/>
      <c r="C6774" s="70"/>
      <c r="D6774" s="70"/>
      <c r="E6774" s="70"/>
      <c r="F6774" s="70"/>
      <c r="G6774" s="94"/>
      <c r="H6774" s="131"/>
      <c r="I6774" s="3"/>
    </row>
    <row r="6775" spans="1:9" s="93" customFormat="1" ht="9" customHeight="1" x14ac:dyDescent="0.3">
      <c r="A6775" s="91"/>
      <c r="B6775" s="70"/>
      <c r="C6775" s="70"/>
      <c r="D6775" s="70"/>
      <c r="E6775" s="70"/>
      <c r="F6775" s="70"/>
      <c r="G6775" s="94"/>
      <c r="H6775" s="131"/>
      <c r="I6775" s="3"/>
    </row>
    <row r="6776" spans="1:9" s="93" customFormat="1" ht="9" customHeight="1" x14ac:dyDescent="0.3">
      <c r="A6776" s="91"/>
      <c r="B6776" s="70"/>
      <c r="C6776" s="70"/>
      <c r="D6776" s="70"/>
      <c r="E6776" s="70"/>
      <c r="F6776" s="70"/>
      <c r="G6776" s="94"/>
      <c r="H6776" s="131"/>
      <c r="I6776" s="3"/>
    </row>
    <row r="6777" spans="1:9" s="93" customFormat="1" ht="9" customHeight="1" x14ac:dyDescent="0.3">
      <c r="A6777" s="91"/>
      <c r="B6777" s="70"/>
      <c r="C6777" s="70"/>
      <c r="D6777" s="70"/>
      <c r="E6777" s="70"/>
      <c r="F6777" s="70"/>
      <c r="G6777" s="94"/>
      <c r="H6777" s="131"/>
      <c r="I6777" s="3"/>
    </row>
    <row r="6778" spans="1:9" s="93" customFormat="1" ht="9" customHeight="1" x14ac:dyDescent="0.3">
      <c r="A6778" s="91"/>
      <c r="B6778" s="70"/>
      <c r="C6778" s="70"/>
      <c r="D6778" s="70"/>
      <c r="E6778" s="70"/>
      <c r="F6778" s="70"/>
      <c r="G6778" s="94"/>
      <c r="H6778" s="131"/>
      <c r="I6778" s="3"/>
    </row>
    <row r="6779" spans="1:9" s="93" customFormat="1" ht="9" customHeight="1" x14ac:dyDescent="0.3">
      <c r="A6779" s="91"/>
      <c r="B6779" s="70"/>
      <c r="C6779" s="70"/>
      <c r="D6779" s="70"/>
      <c r="E6779" s="70"/>
      <c r="F6779" s="70"/>
      <c r="G6779" s="94"/>
      <c r="H6779" s="131"/>
      <c r="I6779" s="3"/>
    </row>
    <row r="6780" spans="1:9" s="93" customFormat="1" ht="9" customHeight="1" x14ac:dyDescent="0.3">
      <c r="A6780" s="91"/>
      <c r="B6780" s="70"/>
      <c r="C6780" s="70"/>
      <c r="D6780" s="70"/>
      <c r="E6780" s="70"/>
      <c r="F6780" s="70"/>
      <c r="G6780" s="94"/>
      <c r="H6780" s="131"/>
      <c r="I6780" s="3"/>
    </row>
    <row r="6781" spans="1:9" s="93" customFormat="1" ht="9" customHeight="1" x14ac:dyDescent="0.3">
      <c r="A6781" s="91"/>
      <c r="B6781" s="70"/>
      <c r="C6781" s="70"/>
      <c r="D6781" s="70"/>
      <c r="E6781" s="70"/>
      <c r="F6781" s="70"/>
      <c r="G6781" s="94"/>
      <c r="H6781" s="131"/>
      <c r="I6781" s="3"/>
    </row>
    <row r="6782" spans="1:9" s="93" customFormat="1" ht="9" customHeight="1" x14ac:dyDescent="0.3">
      <c r="A6782" s="91"/>
      <c r="B6782" s="70"/>
      <c r="C6782" s="70"/>
      <c r="D6782" s="70"/>
      <c r="E6782" s="70"/>
      <c r="F6782" s="70"/>
      <c r="G6782" s="94"/>
      <c r="H6782" s="131"/>
      <c r="I6782" s="3"/>
    </row>
    <row r="6783" spans="1:9" s="93" customFormat="1" ht="9" customHeight="1" x14ac:dyDescent="0.3">
      <c r="A6783" s="91"/>
      <c r="B6783" s="70"/>
      <c r="C6783" s="70"/>
      <c r="D6783" s="70"/>
      <c r="E6783" s="70"/>
      <c r="F6783" s="70"/>
      <c r="G6783" s="94"/>
      <c r="H6783" s="131"/>
      <c r="I6783" s="3"/>
    </row>
    <row r="6784" spans="1:9" s="93" customFormat="1" ht="9" customHeight="1" x14ac:dyDescent="0.3">
      <c r="A6784" s="91"/>
      <c r="B6784" s="70"/>
      <c r="C6784" s="70"/>
      <c r="D6784" s="70"/>
      <c r="E6784" s="70"/>
      <c r="F6784" s="70"/>
      <c r="G6784" s="94"/>
      <c r="H6784" s="131"/>
      <c r="I6784" s="3"/>
    </row>
    <row r="6785" spans="1:9" s="93" customFormat="1" ht="9" customHeight="1" x14ac:dyDescent="0.3">
      <c r="A6785" s="91"/>
      <c r="B6785" s="70"/>
      <c r="C6785" s="70"/>
      <c r="D6785" s="70"/>
      <c r="E6785" s="70"/>
      <c r="F6785" s="70"/>
      <c r="G6785" s="94"/>
      <c r="H6785" s="131"/>
      <c r="I6785" s="3"/>
    </row>
    <row r="6786" spans="1:9" s="93" customFormat="1" ht="9" customHeight="1" x14ac:dyDescent="0.3">
      <c r="A6786" s="91"/>
      <c r="B6786" s="70"/>
      <c r="C6786" s="70"/>
      <c r="D6786" s="70"/>
      <c r="E6786" s="70"/>
      <c r="F6786" s="70"/>
      <c r="G6786" s="94"/>
      <c r="H6786" s="131"/>
      <c r="I6786" s="3"/>
    </row>
    <row r="6787" spans="1:9" s="93" customFormat="1" ht="9" customHeight="1" x14ac:dyDescent="0.3">
      <c r="A6787" s="91"/>
      <c r="B6787" s="70"/>
      <c r="C6787" s="70"/>
      <c r="D6787" s="70"/>
      <c r="E6787" s="70"/>
      <c r="F6787" s="70"/>
      <c r="G6787" s="94"/>
      <c r="H6787" s="131"/>
      <c r="I6787" s="3"/>
    </row>
    <row r="6788" spans="1:9" s="93" customFormat="1" ht="9" customHeight="1" x14ac:dyDescent="0.3">
      <c r="A6788" s="91"/>
      <c r="B6788" s="70"/>
      <c r="C6788" s="70"/>
      <c r="D6788" s="70"/>
      <c r="E6788" s="70"/>
      <c r="F6788" s="70"/>
      <c r="G6788" s="94"/>
      <c r="H6788" s="131"/>
      <c r="I6788" s="3"/>
    </row>
    <row r="6789" spans="1:9" s="93" customFormat="1" ht="9" customHeight="1" x14ac:dyDescent="0.3">
      <c r="A6789" s="91"/>
      <c r="B6789" s="70"/>
      <c r="C6789" s="70"/>
      <c r="D6789" s="70"/>
      <c r="E6789" s="70"/>
      <c r="F6789" s="70"/>
      <c r="G6789" s="94"/>
      <c r="H6789" s="131"/>
      <c r="I6789" s="3"/>
    </row>
    <row r="6790" spans="1:9" s="93" customFormat="1" ht="9" customHeight="1" x14ac:dyDescent="0.3">
      <c r="A6790" s="91"/>
      <c r="B6790" s="70"/>
      <c r="C6790" s="70"/>
      <c r="D6790" s="70"/>
      <c r="E6790" s="70"/>
      <c r="F6790" s="70"/>
      <c r="G6790" s="94"/>
      <c r="H6790" s="131"/>
      <c r="I6790" s="3"/>
    </row>
    <row r="6791" spans="1:9" s="93" customFormat="1" ht="9" customHeight="1" x14ac:dyDescent="0.3">
      <c r="A6791" s="91"/>
      <c r="B6791" s="70"/>
      <c r="C6791" s="70"/>
      <c r="D6791" s="70"/>
      <c r="E6791" s="70"/>
      <c r="F6791" s="70"/>
      <c r="G6791" s="94"/>
      <c r="H6791" s="131"/>
      <c r="I6791" s="3"/>
    </row>
    <row r="6792" spans="1:9" s="93" customFormat="1" ht="9" customHeight="1" x14ac:dyDescent="0.3">
      <c r="A6792" s="91"/>
      <c r="B6792" s="70"/>
      <c r="C6792" s="70"/>
      <c r="D6792" s="70"/>
      <c r="E6792" s="70"/>
      <c r="F6792" s="70"/>
      <c r="G6792" s="94"/>
      <c r="H6792" s="131"/>
      <c r="I6792" s="3"/>
    </row>
    <row r="6793" spans="1:9" s="93" customFormat="1" ht="9" customHeight="1" x14ac:dyDescent="0.3">
      <c r="A6793" s="91"/>
      <c r="B6793" s="70"/>
      <c r="C6793" s="70"/>
      <c r="D6793" s="70"/>
      <c r="E6793" s="70"/>
      <c r="F6793" s="70"/>
      <c r="G6793" s="94"/>
      <c r="H6793" s="131"/>
      <c r="I6793" s="3"/>
    </row>
    <row r="6794" spans="1:9" s="93" customFormat="1" ht="9" customHeight="1" x14ac:dyDescent="0.3">
      <c r="A6794" s="91"/>
      <c r="B6794" s="70"/>
      <c r="C6794" s="70"/>
      <c r="D6794" s="70"/>
      <c r="E6794" s="70"/>
      <c r="F6794" s="70"/>
      <c r="G6794" s="94"/>
      <c r="H6794" s="131"/>
      <c r="I6794" s="3"/>
    </row>
    <row r="6795" spans="1:9" s="93" customFormat="1" ht="9" customHeight="1" x14ac:dyDescent="0.3">
      <c r="A6795" s="91"/>
      <c r="B6795" s="70"/>
      <c r="C6795" s="70"/>
      <c r="D6795" s="70"/>
      <c r="E6795" s="70"/>
      <c r="F6795" s="70"/>
      <c r="G6795" s="94"/>
      <c r="H6795" s="131"/>
      <c r="I6795" s="3"/>
    </row>
    <row r="6796" spans="1:9" s="93" customFormat="1" ht="9" customHeight="1" x14ac:dyDescent="0.3">
      <c r="A6796" s="91"/>
      <c r="B6796" s="70"/>
      <c r="C6796" s="70"/>
      <c r="D6796" s="70"/>
      <c r="E6796" s="70"/>
      <c r="F6796" s="70"/>
      <c r="G6796" s="94"/>
      <c r="H6796" s="131"/>
      <c r="I6796" s="3"/>
    </row>
    <row r="6797" spans="1:9" s="93" customFormat="1" ht="9" customHeight="1" x14ac:dyDescent="0.3">
      <c r="A6797" s="91"/>
      <c r="B6797" s="70"/>
      <c r="C6797" s="70"/>
      <c r="D6797" s="70"/>
      <c r="E6797" s="70"/>
      <c r="F6797" s="70"/>
      <c r="G6797" s="94"/>
      <c r="H6797" s="131"/>
      <c r="I6797" s="3"/>
    </row>
    <row r="6798" spans="1:9" s="93" customFormat="1" ht="9" customHeight="1" x14ac:dyDescent="0.3">
      <c r="A6798" s="91"/>
      <c r="B6798" s="70"/>
      <c r="C6798" s="70"/>
      <c r="D6798" s="70"/>
      <c r="E6798" s="70"/>
      <c r="F6798" s="70"/>
      <c r="G6798" s="94"/>
      <c r="H6798" s="131"/>
      <c r="I6798" s="3"/>
    </row>
    <row r="6799" spans="1:9" s="93" customFormat="1" ht="9" customHeight="1" x14ac:dyDescent="0.3">
      <c r="A6799" s="91"/>
      <c r="B6799" s="70"/>
      <c r="C6799" s="70"/>
      <c r="D6799" s="70"/>
      <c r="E6799" s="70"/>
      <c r="F6799" s="70"/>
      <c r="G6799" s="94"/>
      <c r="H6799" s="131"/>
      <c r="I6799" s="3"/>
    </row>
    <row r="6800" spans="1:9" s="93" customFormat="1" ht="9" customHeight="1" x14ac:dyDescent="0.3">
      <c r="A6800" s="91"/>
      <c r="B6800" s="70"/>
      <c r="C6800" s="70"/>
      <c r="D6800" s="70"/>
      <c r="E6800" s="70"/>
      <c r="F6800" s="70"/>
      <c r="G6800" s="94"/>
      <c r="H6800" s="131"/>
      <c r="I6800" s="3"/>
    </row>
    <row r="6801" spans="1:9" s="93" customFormat="1" ht="9" customHeight="1" x14ac:dyDescent="0.3">
      <c r="A6801" s="91"/>
      <c r="B6801" s="70"/>
      <c r="C6801" s="70"/>
      <c r="D6801" s="70"/>
      <c r="E6801" s="70"/>
      <c r="F6801" s="70"/>
      <c r="G6801" s="94"/>
      <c r="H6801" s="131"/>
      <c r="I6801" s="3"/>
    </row>
    <row r="6802" spans="1:9" s="93" customFormat="1" ht="9" customHeight="1" x14ac:dyDescent="0.3">
      <c r="A6802" s="91"/>
      <c r="B6802" s="70"/>
      <c r="C6802" s="70"/>
      <c r="D6802" s="70"/>
      <c r="E6802" s="70"/>
      <c r="F6802" s="70"/>
      <c r="G6802" s="94"/>
      <c r="H6802" s="131"/>
      <c r="I6802" s="3"/>
    </row>
    <row r="6803" spans="1:9" s="93" customFormat="1" ht="9" customHeight="1" x14ac:dyDescent="0.3">
      <c r="A6803" s="91"/>
      <c r="B6803" s="70"/>
      <c r="C6803" s="70"/>
      <c r="D6803" s="70"/>
      <c r="E6803" s="70"/>
      <c r="F6803" s="70"/>
      <c r="G6803" s="94"/>
      <c r="H6803" s="131"/>
      <c r="I6803" s="3"/>
    </row>
    <row r="6804" spans="1:9" s="93" customFormat="1" ht="9" customHeight="1" x14ac:dyDescent="0.3">
      <c r="A6804" s="91"/>
      <c r="B6804" s="70"/>
      <c r="C6804" s="70"/>
      <c r="D6804" s="70"/>
      <c r="E6804" s="70"/>
      <c r="F6804" s="70"/>
      <c r="G6804" s="94"/>
      <c r="H6804" s="131"/>
      <c r="I6804" s="3"/>
    </row>
    <row r="6805" spans="1:9" s="93" customFormat="1" ht="9" customHeight="1" x14ac:dyDescent="0.3">
      <c r="A6805" s="91"/>
      <c r="B6805" s="70"/>
      <c r="C6805" s="70"/>
      <c r="D6805" s="70"/>
      <c r="E6805" s="70"/>
      <c r="F6805" s="70"/>
      <c r="G6805" s="94"/>
      <c r="H6805" s="131"/>
      <c r="I6805" s="3"/>
    </row>
    <row r="6806" spans="1:9" s="93" customFormat="1" ht="9" customHeight="1" x14ac:dyDescent="0.3">
      <c r="A6806" s="91"/>
      <c r="B6806" s="70"/>
      <c r="C6806" s="70"/>
      <c r="D6806" s="70"/>
      <c r="E6806" s="70"/>
      <c r="F6806" s="70"/>
      <c r="G6806" s="94"/>
      <c r="H6806" s="131"/>
      <c r="I6806" s="3"/>
    </row>
    <row r="6807" spans="1:9" s="93" customFormat="1" ht="9" customHeight="1" x14ac:dyDescent="0.3">
      <c r="A6807" s="91"/>
      <c r="B6807" s="70"/>
      <c r="C6807" s="70"/>
      <c r="D6807" s="70"/>
      <c r="E6807" s="70"/>
      <c r="F6807" s="70"/>
      <c r="G6807" s="94"/>
      <c r="H6807" s="131"/>
      <c r="I6807" s="3"/>
    </row>
    <row r="6808" spans="1:9" s="93" customFormat="1" ht="9" customHeight="1" x14ac:dyDescent="0.3">
      <c r="A6808" s="91"/>
      <c r="B6808" s="70"/>
      <c r="C6808" s="70"/>
      <c r="D6808" s="70"/>
      <c r="E6808" s="70"/>
      <c r="F6808" s="70"/>
      <c r="G6808" s="94"/>
      <c r="H6808" s="131"/>
      <c r="I6808" s="3"/>
    </row>
    <row r="6809" spans="1:9" s="93" customFormat="1" ht="9" customHeight="1" x14ac:dyDescent="0.3">
      <c r="A6809" s="91"/>
      <c r="B6809" s="70"/>
      <c r="C6809" s="70"/>
      <c r="D6809" s="70"/>
      <c r="E6809" s="70"/>
      <c r="F6809" s="70"/>
      <c r="G6809" s="94"/>
      <c r="H6809" s="131"/>
      <c r="I6809" s="3"/>
    </row>
    <row r="6810" spans="1:9" s="93" customFormat="1" ht="9" customHeight="1" x14ac:dyDescent="0.3">
      <c r="A6810" s="91"/>
      <c r="B6810" s="70"/>
      <c r="C6810" s="70"/>
      <c r="D6810" s="70"/>
      <c r="E6810" s="70"/>
      <c r="F6810" s="70"/>
      <c r="G6810" s="94"/>
      <c r="H6810" s="131"/>
      <c r="I6810" s="3"/>
    </row>
    <row r="6811" spans="1:9" s="93" customFormat="1" ht="9" customHeight="1" x14ac:dyDescent="0.3">
      <c r="A6811" s="91"/>
      <c r="B6811" s="70"/>
      <c r="C6811" s="70"/>
      <c r="D6811" s="70"/>
      <c r="E6811" s="70"/>
      <c r="F6811" s="70"/>
      <c r="G6811" s="94"/>
      <c r="H6811" s="131"/>
      <c r="I6811" s="3"/>
    </row>
    <row r="6812" spans="1:9" s="93" customFormat="1" ht="9" customHeight="1" x14ac:dyDescent="0.3">
      <c r="A6812" s="91"/>
      <c r="B6812" s="70"/>
      <c r="C6812" s="70"/>
      <c r="D6812" s="70"/>
      <c r="E6812" s="70"/>
      <c r="F6812" s="70"/>
      <c r="G6812" s="94"/>
      <c r="H6812" s="131"/>
      <c r="I6812" s="3"/>
    </row>
    <row r="6813" spans="1:9" s="93" customFormat="1" ht="9" customHeight="1" x14ac:dyDescent="0.3">
      <c r="A6813" s="91"/>
      <c r="B6813" s="70"/>
      <c r="C6813" s="70"/>
      <c r="D6813" s="70"/>
      <c r="E6813" s="70"/>
      <c r="F6813" s="70"/>
      <c r="G6813" s="94"/>
      <c r="H6813" s="131"/>
      <c r="I6813" s="3"/>
    </row>
    <row r="6814" spans="1:9" s="93" customFormat="1" ht="9" customHeight="1" x14ac:dyDescent="0.3">
      <c r="A6814" s="91"/>
      <c r="B6814" s="70"/>
      <c r="C6814" s="70"/>
      <c r="D6814" s="70"/>
      <c r="E6814" s="70"/>
      <c r="F6814" s="70"/>
      <c r="G6814" s="94"/>
      <c r="H6814" s="131"/>
      <c r="I6814" s="3"/>
    </row>
    <row r="6815" spans="1:9" s="93" customFormat="1" ht="9" customHeight="1" x14ac:dyDescent="0.3">
      <c r="A6815" s="91"/>
      <c r="B6815" s="70"/>
      <c r="C6815" s="70"/>
      <c r="D6815" s="70"/>
      <c r="E6815" s="70"/>
      <c r="F6815" s="70"/>
      <c r="G6815" s="94"/>
      <c r="H6815" s="131"/>
      <c r="I6815" s="3"/>
    </row>
    <row r="6816" spans="1:9" s="93" customFormat="1" ht="9" customHeight="1" x14ac:dyDescent="0.3">
      <c r="A6816" s="91"/>
      <c r="B6816" s="70"/>
      <c r="C6816" s="70"/>
      <c r="D6816" s="70"/>
      <c r="E6816" s="70"/>
      <c r="F6816" s="70"/>
      <c r="G6816" s="94"/>
      <c r="H6816" s="131"/>
      <c r="I6816" s="3"/>
    </row>
    <row r="6817" spans="1:9" s="93" customFormat="1" ht="9" customHeight="1" x14ac:dyDescent="0.3">
      <c r="A6817" s="91"/>
      <c r="B6817" s="70"/>
      <c r="C6817" s="70"/>
      <c r="D6817" s="70"/>
      <c r="E6817" s="70"/>
      <c r="F6817" s="70"/>
      <c r="G6817" s="94"/>
      <c r="H6817" s="131"/>
      <c r="I6817" s="3"/>
    </row>
    <row r="6818" spans="1:9" s="93" customFormat="1" ht="9" customHeight="1" x14ac:dyDescent="0.3">
      <c r="A6818" s="91"/>
      <c r="B6818" s="70"/>
      <c r="C6818" s="70"/>
      <c r="D6818" s="70"/>
      <c r="E6818" s="70"/>
      <c r="F6818" s="70"/>
      <c r="G6818" s="94"/>
      <c r="H6818" s="131"/>
      <c r="I6818" s="3"/>
    </row>
    <row r="6819" spans="1:9" s="93" customFormat="1" ht="9" customHeight="1" x14ac:dyDescent="0.3">
      <c r="A6819" s="91"/>
      <c r="B6819" s="70"/>
      <c r="C6819" s="70"/>
      <c r="D6819" s="70"/>
      <c r="E6819" s="70"/>
      <c r="F6819" s="70"/>
      <c r="G6819" s="94"/>
      <c r="H6819" s="131"/>
      <c r="I6819" s="3"/>
    </row>
    <row r="6820" spans="1:9" s="93" customFormat="1" ht="9" customHeight="1" x14ac:dyDescent="0.3">
      <c r="A6820" s="91"/>
      <c r="B6820" s="70"/>
      <c r="C6820" s="70"/>
      <c r="D6820" s="70"/>
      <c r="E6820" s="70"/>
      <c r="F6820" s="70"/>
      <c r="G6820" s="94"/>
      <c r="H6820" s="131"/>
      <c r="I6820" s="3"/>
    </row>
    <row r="6821" spans="1:9" s="93" customFormat="1" ht="9" customHeight="1" x14ac:dyDescent="0.3">
      <c r="A6821" s="91"/>
      <c r="B6821" s="70"/>
      <c r="C6821" s="70"/>
      <c r="D6821" s="70"/>
      <c r="E6821" s="70"/>
      <c r="F6821" s="70"/>
      <c r="G6821" s="94"/>
      <c r="H6821" s="131"/>
      <c r="I6821" s="3"/>
    </row>
    <row r="6822" spans="1:9" s="93" customFormat="1" ht="9" customHeight="1" x14ac:dyDescent="0.3">
      <c r="A6822" s="91"/>
      <c r="B6822" s="70"/>
      <c r="C6822" s="70"/>
      <c r="D6822" s="70"/>
      <c r="E6822" s="70"/>
      <c r="F6822" s="70"/>
      <c r="G6822" s="94"/>
      <c r="H6822" s="131"/>
      <c r="I6822" s="3"/>
    </row>
    <row r="6823" spans="1:9" s="93" customFormat="1" ht="9" customHeight="1" x14ac:dyDescent="0.3">
      <c r="A6823" s="91"/>
      <c r="B6823" s="70"/>
      <c r="C6823" s="70"/>
      <c r="D6823" s="70"/>
      <c r="E6823" s="70"/>
      <c r="F6823" s="70"/>
      <c r="G6823" s="94"/>
      <c r="H6823" s="131"/>
      <c r="I6823" s="3"/>
    </row>
    <row r="6824" spans="1:9" s="93" customFormat="1" ht="9" customHeight="1" x14ac:dyDescent="0.3">
      <c r="A6824" s="91"/>
      <c r="B6824" s="70"/>
      <c r="C6824" s="70"/>
      <c r="D6824" s="70"/>
      <c r="E6824" s="70"/>
      <c r="F6824" s="70"/>
      <c r="G6824" s="94"/>
      <c r="H6824" s="131"/>
      <c r="I6824" s="3"/>
    </row>
    <row r="6825" spans="1:9" s="93" customFormat="1" ht="9" customHeight="1" x14ac:dyDescent="0.3">
      <c r="A6825" s="91"/>
      <c r="B6825" s="70"/>
      <c r="C6825" s="70"/>
      <c r="D6825" s="70"/>
      <c r="E6825" s="70"/>
      <c r="F6825" s="70"/>
      <c r="G6825" s="94"/>
      <c r="H6825" s="131"/>
      <c r="I6825" s="3"/>
    </row>
    <row r="6826" spans="1:9" s="93" customFormat="1" ht="9" customHeight="1" x14ac:dyDescent="0.3">
      <c r="A6826" s="91"/>
      <c r="B6826" s="70"/>
      <c r="C6826" s="70"/>
      <c r="D6826" s="70"/>
      <c r="E6826" s="70"/>
      <c r="F6826" s="70"/>
      <c r="G6826" s="94"/>
      <c r="H6826" s="131"/>
      <c r="I6826" s="3"/>
    </row>
    <row r="6827" spans="1:9" s="93" customFormat="1" ht="9" customHeight="1" x14ac:dyDescent="0.3">
      <c r="A6827" s="91"/>
      <c r="B6827" s="70"/>
      <c r="C6827" s="70"/>
      <c r="D6827" s="70"/>
      <c r="E6827" s="70"/>
      <c r="F6827" s="70"/>
      <c r="G6827" s="94"/>
      <c r="H6827" s="131"/>
      <c r="I6827" s="3"/>
    </row>
    <row r="6828" spans="1:9" s="93" customFormat="1" ht="9" customHeight="1" x14ac:dyDescent="0.3">
      <c r="A6828" s="91"/>
      <c r="B6828" s="70"/>
      <c r="C6828" s="70"/>
      <c r="D6828" s="70"/>
      <c r="E6828" s="70"/>
      <c r="F6828" s="70"/>
      <c r="G6828" s="94"/>
      <c r="H6828" s="131"/>
      <c r="I6828" s="3"/>
    </row>
    <row r="6829" spans="1:9" s="93" customFormat="1" ht="9" customHeight="1" x14ac:dyDescent="0.3">
      <c r="A6829" s="91"/>
      <c r="B6829" s="70"/>
      <c r="C6829" s="70"/>
      <c r="D6829" s="70"/>
      <c r="E6829" s="70"/>
      <c r="F6829" s="70"/>
      <c r="G6829" s="94"/>
      <c r="H6829" s="131"/>
      <c r="I6829" s="3"/>
    </row>
    <row r="6830" spans="1:9" s="93" customFormat="1" ht="9" customHeight="1" x14ac:dyDescent="0.3">
      <c r="A6830" s="91"/>
      <c r="B6830" s="70"/>
      <c r="C6830" s="70"/>
      <c r="D6830" s="70"/>
      <c r="E6830" s="70"/>
      <c r="F6830" s="70"/>
      <c r="G6830" s="94"/>
      <c r="H6830" s="131"/>
      <c r="I6830" s="3"/>
    </row>
    <row r="6831" spans="1:9" s="93" customFormat="1" ht="9" customHeight="1" x14ac:dyDescent="0.3">
      <c r="A6831" s="91"/>
      <c r="B6831" s="70"/>
      <c r="C6831" s="70"/>
      <c r="D6831" s="70"/>
      <c r="E6831" s="70"/>
      <c r="F6831" s="70"/>
      <c r="G6831" s="94"/>
      <c r="H6831" s="131"/>
      <c r="I6831" s="3"/>
    </row>
    <row r="6832" spans="1:9" s="93" customFormat="1" ht="9" customHeight="1" x14ac:dyDescent="0.3">
      <c r="A6832" s="91"/>
      <c r="B6832" s="70"/>
      <c r="C6832" s="70"/>
      <c r="D6832" s="70"/>
      <c r="E6832" s="70"/>
      <c r="F6832" s="70"/>
      <c r="G6832" s="94"/>
      <c r="H6832" s="131"/>
      <c r="I6832" s="3"/>
    </row>
    <row r="6833" spans="1:9" s="93" customFormat="1" ht="9" customHeight="1" x14ac:dyDescent="0.3">
      <c r="A6833" s="91"/>
      <c r="B6833" s="70"/>
      <c r="C6833" s="70"/>
      <c r="D6833" s="70"/>
      <c r="E6833" s="70"/>
      <c r="F6833" s="70"/>
      <c r="G6833" s="94"/>
      <c r="H6833" s="131"/>
      <c r="I6833" s="3"/>
    </row>
    <row r="6834" spans="1:9" s="93" customFormat="1" ht="9" customHeight="1" x14ac:dyDescent="0.3">
      <c r="A6834" s="91"/>
      <c r="B6834" s="70"/>
      <c r="C6834" s="70"/>
      <c r="D6834" s="70"/>
      <c r="E6834" s="70"/>
      <c r="F6834" s="70"/>
      <c r="G6834" s="94"/>
      <c r="H6834" s="131"/>
      <c r="I6834" s="3"/>
    </row>
    <row r="6835" spans="1:9" s="93" customFormat="1" ht="9" customHeight="1" x14ac:dyDescent="0.3">
      <c r="A6835" s="91"/>
      <c r="B6835" s="70"/>
      <c r="C6835" s="70"/>
      <c r="D6835" s="70"/>
      <c r="E6835" s="70"/>
      <c r="F6835" s="70"/>
      <c r="G6835" s="94"/>
      <c r="H6835" s="131"/>
      <c r="I6835" s="3"/>
    </row>
    <row r="6836" spans="1:9" s="93" customFormat="1" ht="9" customHeight="1" x14ac:dyDescent="0.3">
      <c r="A6836" s="91"/>
      <c r="B6836" s="70"/>
      <c r="C6836" s="70"/>
      <c r="D6836" s="70"/>
      <c r="E6836" s="70"/>
      <c r="F6836" s="70"/>
      <c r="G6836" s="94"/>
      <c r="H6836" s="131"/>
      <c r="I6836" s="3"/>
    </row>
    <row r="6837" spans="1:9" s="93" customFormat="1" ht="9" customHeight="1" x14ac:dyDescent="0.3">
      <c r="A6837" s="91"/>
      <c r="B6837" s="70"/>
      <c r="C6837" s="70"/>
      <c r="D6837" s="70"/>
      <c r="E6837" s="70"/>
      <c r="F6837" s="70"/>
      <c r="G6837" s="94"/>
      <c r="H6837" s="131"/>
      <c r="I6837" s="3"/>
    </row>
    <row r="6838" spans="1:9" s="93" customFormat="1" ht="9" customHeight="1" x14ac:dyDescent="0.3">
      <c r="A6838" s="91"/>
      <c r="B6838" s="70"/>
      <c r="C6838" s="70"/>
      <c r="D6838" s="70"/>
      <c r="E6838" s="70"/>
      <c r="F6838" s="70"/>
      <c r="G6838" s="94"/>
      <c r="H6838" s="131"/>
      <c r="I6838" s="3"/>
    </row>
    <row r="6839" spans="1:9" s="93" customFormat="1" ht="9" customHeight="1" x14ac:dyDescent="0.3">
      <c r="A6839" s="91"/>
      <c r="B6839" s="70"/>
      <c r="C6839" s="70"/>
      <c r="D6839" s="70"/>
      <c r="E6839" s="70"/>
      <c r="F6839" s="70"/>
      <c r="G6839" s="94"/>
      <c r="H6839" s="131"/>
      <c r="I6839" s="3"/>
    </row>
    <row r="6840" spans="1:9" s="93" customFormat="1" ht="9" customHeight="1" x14ac:dyDescent="0.3">
      <c r="A6840" s="91"/>
      <c r="B6840" s="70"/>
      <c r="C6840" s="70"/>
      <c r="D6840" s="70"/>
      <c r="E6840" s="70"/>
      <c r="F6840" s="70"/>
      <c r="G6840" s="94"/>
      <c r="H6840" s="131"/>
      <c r="I6840" s="3"/>
    </row>
    <row r="6841" spans="1:9" s="93" customFormat="1" ht="9" customHeight="1" x14ac:dyDescent="0.3">
      <c r="A6841" s="91"/>
      <c r="B6841" s="70"/>
      <c r="C6841" s="70"/>
      <c r="D6841" s="70"/>
      <c r="E6841" s="70"/>
      <c r="F6841" s="70"/>
      <c r="G6841" s="94"/>
      <c r="H6841" s="131"/>
      <c r="I6841" s="3"/>
    </row>
    <row r="6842" spans="1:9" s="93" customFormat="1" ht="9" customHeight="1" x14ac:dyDescent="0.3">
      <c r="A6842" s="91"/>
      <c r="B6842" s="70"/>
      <c r="C6842" s="70"/>
      <c r="D6842" s="70"/>
      <c r="E6842" s="70"/>
      <c r="F6842" s="70"/>
      <c r="G6842" s="94"/>
      <c r="H6842" s="131"/>
      <c r="I6842" s="3"/>
    </row>
    <row r="6843" spans="1:9" s="93" customFormat="1" ht="9" customHeight="1" x14ac:dyDescent="0.3">
      <c r="A6843" s="91"/>
      <c r="B6843" s="70"/>
      <c r="C6843" s="70"/>
      <c r="D6843" s="70"/>
      <c r="E6843" s="70"/>
      <c r="F6843" s="70"/>
      <c r="G6843" s="94"/>
      <c r="H6843" s="131"/>
      <c r="I6843" s="3"/>
    </row>
    <row r="6844" spans="1:9" s="93" customFormat="1" ht="9" customHeight="1" x14ac:dyDescent="0.3">
      <c r="A6844" s="91"/>
      <c r="B6844" s="70"/>
      <c r="C6844" s="70"/>
      <c r="D6844" s="70"/>
      <c r="E6844" s="70"/>
      <c r="F6844" s="70"/>
      <c r="G6844" s="94"/>
      <c r="H6844" s="131"/>
      <c r="I6844" s="3"/>
    </row>
    <row r="6845" spans="1:9" s="93" customFormat="1" ht="9" customHeight="1" x14ac:dyDescent="0.3">
      <c r="A6845" s="91"/>
      <c r="B6845" s="70"/>
      <c r="C6845" s="70"/>
      <c r="D6845" s="70"/>
      <c r="E6845" s="70"/>
      <c r="F6845" s="70"/>
      <c r="G6845" s="94"/>
      <c r="H6845" s="131"/>
      <c r="I6845" s="3"/>
    </row>
    <row r="6846" spans="1:9" s="93" customFormat="1" ht="9" customHeight="1" x14ac:dyDescent="0.3">
      <c r="A6846" s="91"/>
      <c r="B6846" s="70"/>
      <c r="C6846" s="70"/>
      <c r="D6846" s="70"/>
      <c r="E6846" s="70"/>
      <c r="F6846" s="70"/>
      <c r="G6846" s="94"/>
      <c r="H6846" s="131"/>
      <c r="I6846" s="3"/>
    </row>
    <row r="6847" spans="1:9" s="93" customFormat="1" ht="9" customHeight="1" x14ac:dyDescent="0.3">
      <c r="A6847" s="91"/>
      <c r="B6847" s="70"/>
      <c r="C6847" s="70"/>
      <c r="D6847" s="70"/>
      <c r="E6847" s="70"/>
      <c r="F6847" s="70"/>
      <c r="G6847" s="94"/>
      <c r="H6847" s="131"/>
      <c r="I6847" s="3"/>
    </row>
    <row r="6848" spans="1:9" s="93" customFormat="1" ht="9" customHeight="1" x14ac:dyDescent="0.3">
      <c r="A6848" s="91"/>
      <c r="B6848" s="70"/>
      <c r="C6848" s="70"/>
      <c r="D6848" s="70"/>
      <c r="E6848" s="70"/>
      <c r="F6848" s="70"/>
      <c r="G6848" s="94"/>
      <c r="H6848" s="131"/>
      <c r="I6848" s="3"/>
    </row>
    <row r="6849" spans="1:9" s="93" customFormat="1" ht="9" customHeight="1" x14ac:dyDescent="0.3">
      <c r="A6849" s="91"/>
      <c r="B6849" s="70"/>
      <c r="C6849" s="70"/>
      <c r="D6849" s="70"/>
      <c r="E6849" s="70"/>
      <c r="F6849" s="70"/>
      <c r="G6849" s="94"/>
      <c r="H6849" s="131"/>
      <c r="I6849" s="3"/>
    </row>
    <row r="6850" spans="1:9" s="93" customFormat="1" ht="9" customHeight="1" x14ac:dyDescent="0.3">
      <c r="A6850" s="91"/>
      <c r="B6850" s="70"/>
      <c r="C6850" s="70"/>
      <c r="D6850" s="70"/>
      <c r="E6850" s="70"/>
      <c r="F6850" s="70"/>
      <c r="G6850" s="94"/>
      <c r="H6850" s="131"/>
      <c r="I6850" s="3"/>
    </row>
    <row r="6851" spans="1:9" s="93" customFormat="1" ht="9" customHeight="1" x14ac:dyDescent="0.3">
      <c r="A6851" s="91"/>
      <c r="B6851" s="70"/>
      <c r="C6851" s="70"/>
      <c r="D6851" s="70"/>
      <c r="E6851" s="70"/>
      <c r="F6851" s="70"/>
      <c r="G6851" s="94"/>
      <c r="H6851" s="131"/>
      <c r="I6851" s="3"/>
    </row>
    <row r="6852" spans="1:9" s="93" customFormat="1" ht="9" customHeight="1" x14ac:dyDescent="0.3">
      <c r="A6852" s="91"/>
      <c r="B6852" s="70"/>
      <c r="C6852" s="70"/>
      <c r="D6852" s="70"/>
      <c r="E6852" s="70"/>
      <c r="F6852" s="70"/>
      <c r="G6852" s="94"/>
      <c r="H6852" s="131"/>
      <c r="I6852" s="3"/>
    </row>
    <row r="6853" spans="1:9" s="93" customFormat="1" ht="9" customHeight="1" x14ac:dyDescent="0.3">
      <c r="A6853" s="91"/>
      <c r="B6853" s="70"/>
      <c r="C6853" s="70"/>
      <c r="D6853" s="70"/>
      <c r="E6853" s="70"/>
      <c r="F6853" s="70"/>
      <c r="G6853" s="94"/>
      <c r="H6853" s="131"/>
      <c r="I6853" s="3"/>
    </row>
    <row r="6854" spans="1:9" s="93" customFormat="1" ht="9" customHeight="1" x14ac:dyDescent="0.3">
      <c r="A6854" s="91"/>
      <c r="B6854" s="70"/>
      <c r="C6854" s="70"/>
      <c r="D6854" s="70"/>
      <c r="E6854" s="70"/>
      <c r="F6854" s="70"/>
      <c r="G6854" s="94"/>
      <c r="H6854" s="131"/>
      <c r="I6854" s="3"/>
    </row>
    <row r="6855" spans="1:9" s="93" customFormat="1" ht="9" customHeight="1" x14ac:dyDescent="0.3">
      <c r="A6855" s="91"/>
      <c r="B6855" s="70"/>
      <c r="C6855" s="70"/>
      <c r="D6855" s="70"/>
      <c r="E6855" s="70"/>
      <c r="F6855" s="70"/>
      <c r="G6855" s="94"/>
      <c r="H6855" s="131"/>
      <c r="I6855" s="3"/>
    </row>
    <row r="6856" spans="1:9" s="93" customFormat="1" ht="9" customHeight="1" x14ac:dyDescent="0.3">
      <c r="A6856" s="91"/>
      <c r="B6856" s="70"/>
      <c r="C6856" s="70"/>
      <c r="D6856" s="70"/>
      <c r="E6856" s="70"/>
      <c r="F6856" s="70"/>
      <c r="G6856" s="94"/>
      <c r="H6856" s="131"/>
      <c r="I6856" s="3"/>
    </row>
    <row r="6857" spans="1:9" s="93" customFormat="1" ht="9" customHeight="1" x14ac:dyDescent="0.3">
      <c r="A6857" s="91"/>
      <c r="B6857" s="70"/>
      <c r="C6857" s="70"/>
      <c r="D6857" s="70"/>
      <c r="E6857" s="70"/>
      <c r="F6857" s="70"/>
      <c r="G6857" s="94"/>
      <c r="H6857" s="131"/>
      <c r="I6857" s="3"/>
    </row>
    <row r="6858" spans="1:9" s="93" customFormat="1" ht="9" customHeight="1" x14ac:dyDescent="0.3">
      <c r="A6858" s="91"/>
      <c r="B6858" s="70"/>
      <c r="C6858" s="70"/>
      <c r="D6858" s="70"/>
      <c r="E6858" s="70"/>
      <c r="F6858" s="70"/>
      <c r="G6858" s="94"/>
      <c r="H6858" s="131"/>
      <c r="I6858" s="3"/>
    </row>
    <row r="6859" spans="1:9" s="93" customFormat="1" ht="9" customHeight="1" x14ac:dyDescent="0.3">
      <c r="A6859" s="91"/>
      <c r="B6859" s="70"/>
      <c r="C6859" s="70"/>
      <c r="D6859" s="70"/>
      <c r="E6859" s="70"/>
      <c r="F6859" s="70"/>
      <c r="G6859" s="94"/>
      <c r="H6859" s="131"/>
      <c r="I6859" s="3"/>
    </row>
    <row r="6860" spans="1:9" s="93" customFormat="1" ht="9" customHeight="1" x14ac:dyDescent="0.3">
      <c r="A6860" s="91"/>
      <c r="B6860" s="70"/>
      <c r="C6860" s="70"/>
      <c r="D6860" s="70"/>
      <c r="E6860" s="70"/>
      <c r="F6860" s="70"/>
      <c r="G6860" s="94"/>
      <c r="H6860" s="131"/>
      <c r="I6860" s="3"/>
    </row>
    <row r="6861" spans="1:9" s="93" customFormat="1" ht="9" customHeight="1" x14ac:dyDescent="0.3">
      <c r="A6861" s="91"/>
      <c r="B6861" s="70"/>
      <c r="C6861" s="70"/>
      <c r="D6861" s="70"/>
      <c r="E6861" s="70"/>
      <c r="F6861" s="70"/>
      <c r="G6861" s="94"/>
      <c r="H6861" s="131"/>
      <c r="I6861" s="3"/>
    </row>
    <row r="6862" spans="1:9" s="93" customFormat="1" ht="9" customHeight="1" x14ac:dyDescent="0.3">
      <c r="A6862" s="91"/>
      <c r="B6862" s="70"/>
      <c r="C6862" s="70"/>
      <c r="D6862" s="70"/>
      <c r="E6862" s="70"/>
      <c r="F6862" s="70"/>
      <c r="G6862" s="94"/>
      <c r="H6862" s="131"/>
      <c r="I6862" s="3"/>
    </row>
    <row r="6863" spans="1:9" s="93" customFormat="1" ht="9" customHeight="1" x14ac:dyDescent="0.3">
      <c r="A6863" s="91"/>
      <c r="B6863" s="70"/>
      <c r="C6863" s="70"/>
      <c r="D6863" s="70"/>
      <c r="E6863" s="70"/>
      <c r="F6863" s="70"/>
      <c r="G6863" s="94"/>
      <c r="H6863" s="131"/>
      <c r="I6863" s="3"/>
    </row>
    <row r="6864" spans="1:9" s="93" customFormat="1" ht="9" customHeight="1" x14ac:dyDescent="0.3">
      <c r="A6864" s="91"/>
      <c r="B6864" s="70"/>
      <c r="C6864" s="70"/>
      <c r="D6864" s="70"/>
      <c r="E6864" s="70"/>
      <c r="F6864" s="70"/>
      <c r="G6864" s="94"/>
      <c r="H6864" s="131"/>
      <c r="I6864" s="3"/>
    </row>
    <row r="6865" spans="1:9" s="93" customFormat="1" ht="9" customHeight="1" x14ac:dyDescent="0.3">
      <c r="A6865" s="91"/>
      <c r="B6865" s="70"/>
      <c r="C6865" s="70"/>
      <c r="D6865" s="70"/>
      <c r="E6865" s="70"/>
      <c r="F6865" s="70"/>
      <c r="G6865" s="94"/>
      <c r="H6865" s="131"/>
      <c r="I6865" s="3"/>
    </row>
    <row r="6866" spans="1:9" s="93" customFormat="1" ht="9" customHeight="1" x14ac:dyDescent="0.3">
      <c r="A6866" s="91"/>
      <c r="B6866" s="70"/>
      <c r="C6866" s="70"/>
      <c r="D6866" s="70"/>
      <c r="E6866" s="70"/>
      <c r="F6866" s="70"/>
      <c r="G6866" s="94"/>
      <c r="H6866" s="131"/>
      <c r="I6866" s="3"/>
    </row>
    <row r="6867" spans="1:9" s="93" customFormat="1" ht="9" customHeight="1" x14ac:dyDescent="0.3">
      <c r="A6867" s="91"/>
      <c r="B6867" s="70"/>
      <c r="C6867" s="70"/>
      <c r="D6867" s="70"/>
      <c r="E6867" s="70"/>
      <c r="F6867" s="70"/>
      <c r="G6867" s="94"/>
      <c r="H6867" s="131"/>
      <c r="I6867" s="3"/>
    </row>
    <row r="6868" spans="1:9" s="93" customFormat="1" ht="9" customHeight="1" x14ac:dyDescent="0.3">
      <c r="A6868" s="91"/>
      <c r="B6868" s="70"/>
      <c r="C6868" s="70"/>
      <c r="D6868" s="70"/>
      <c r="E6868" s="70"/>
      <c r="F6868" s="70"/>
      <c r="G6868" s="94"/>
      <c r="H6868" s="131"/>
      <c r="I6868" s="3"/>
    </row>
    <row r="6869" spans="1:9" s="93" customFormat="1" ht="9" customHeight="1" x14ac:dyDescent="0.3">
      <c r="A6869" s="91"/>
      <c r="B6869" s="70"/>
      <c r="C6869" s="70"/>
      <c r="D6869" s="70"/>
      <c r="E6869" s="70"/>
      <c r="F6869" s="70"/>
      <c r="G6869" s="94"/>
      <c r="H6869" s="131"/>
      <c r="I6869" s="3"/>
    </row>
    <row r="6870" spans="1:9" s="93" customFormat="1" ht="9" customHeight="1" x14ac:dyDescent="0.3">
      <c r="A6870" s="91"/>
      <c r="B6870" s="70"/>
      <c r="C6870" s="70"/>
      <c r="D6870" s="70"/>
      <c r="E6870" s="70"/>
      <c r="F6870" s="70"/>
      <c r="G6870" s="94"/>
      <c r="H6870" s="131"/>
      <c r="I6870" s="3"/>
    </row>
    <row r="6871" spans="1:9" s="93" customFormat="1" ht="9" customHeight="1" x14ac:dyDescent="0.3">
      <c r="A6871" s="91"/>
      <c r="B6871" s="70"/>
      <c r="C6871" s="70"/>
      <c r="D6871" s="70"/>
      <c r="E6871" s="70"/>
      <c r="F6871" s="70"/>
      <c r="G6871" s="94"/>
      <c r="H6871" s="131"/>
      <c r="I6871" s="3"/>
    </row>
    <row r="6872" spans="1:9" s="93" customFormat="1" ht="9" customHeight="1" x14ac:dyDescent="0.3">
      <c r="A6872" s="91"/>
      <c r="B6872" s="70"/>
      <c r="C6872" s="70"/>
      <c r="D6872" s="70"/>
      <c r="E6872" s="70"/>
      <c r="F6872" s="70"/>
      <c r="G6872" s="94"/>
      <c r="H6872" s="131"/>
      <c r="I6872" s="3"/>
    </row>
    <row r="6873" spans="1:9" s="93" customFormat="1" ht="9" customHeight="1" x14ac:dyDescent="0.3">
      <c r="A6873" s="91"/>
      <c r="B6873" s="70"/>
      <c r="C6873" s="70"/>
      <c r="D6873" s="70"/>
      <c r="E6873" s="70"/>
      <c r="F6873" s="70"/>
      <c r="G6873" s="94"/>
      <c r="H6873" s="131"/>
      <c r="I6873" s="3"/>
    </row>
    <row r="6874" spans="1:9" s="93" customFormat="1" ht="9" customHeight="1" x14ac:dyDescent="0.3">
      <c r="A6874" s="91"/>
      <c r="B6874" s="70"/>
      <c r="C6874" s="70"/>
      <c r="D6874" s="70"/>
      <c r="E6874" s="70"/>
      <c r="F6874" s="70"/>
      <c r="G6874" s="94"/>
      <c r="H6874" s="131"/>
      <c r="I6874" s="3"/>
    </row>
    <row r="6875" spans="1:9" s="93" customFormat="1" ht="9" customHeight="1" x14ac:dyDescent="0.3">
      <c r="A6875" s="91"/>
      <c r="B6875" s="70"/>
      <c r="C6875" s="70"/>
      <c r="D6875" s="70"/>
      <c r="E6875" s="70"/>
      <c r="F6875" s="70"/>
      <c r="G6875" s="94"/>
      <c r="H6875" s="131"/>
      <c r="I6875" s="3"/>
    </row>
    <row r="6876" spans="1:9" s="93" customFormat="1" ht="9" customHeight="1" x14ac:dyDescent="0.3">
      <c r="A6876" s="91"/>
      <c r="B6876" s="70"/>
      <c r="C6876" s="70"/>
      <c r="D6876" s="70"/>
      <c r="E6876" s="70"/>
      <c r="F6876" s="70"/>
      <c r="G6876" s="94"/>
      <c r="H6876" s="131"/>
      <c r="I6876" s="3"/>
    </row>
    <row r="6877" spans="1:9" s="93" customFormat="1" ht="9" customHeight="1" x14ac:dyDescent="0.3">
      <c r="A6877" s="91"/>
      <c r="B6877" s="70"/>
      <c r="C6877" s="70"/>
      <c r="D6877" s="70"/>
      <c r="E6877" s="70"/>
      <c r="F6877" s="70"/>
      <c r="G6877" s="94"/>
      <c r="H6877" s="131"/>
      <c r="I6877" s="3"/>
    </row>
    <row r="6878" spans="1:9" s="93" customFormat="1" ht="9" customHeight="1" x14ac:dyDescent="0.3">
      <c r="A6878" s="91"/>
      <c r="B6878" s="70"/>
      <c r="C6878" s="70"/>
      <c r="D6878" s="70"/>
      <c r="E6878" s="70"/>
      <c r="F6878" s="70"/>
      <c r="G6878" s="94"/>
      <c r="H6878" s="131"/>
      <c r="I6878" s="3"/>
    </row>
    <row r="6879" spans="1:9" s="93" customFormat="1" ht="9" customHeight="1" x14ac:dyDescent="0.3">
      <c r="A6879" s="91"/>
      <c r="B6879" s="70"/>
      <c r="C6879" s="70"/>
      <c r="D6879" s="70"/>
      <c r="E6879" s="70"/>
      <c r="F6879" s="70"/>
      <c r="G6879" s="94"/>
      <c r="H6879" s="131"/>
      <c r="I6879" s="3"/>
    </row>
    <row r="6880" spans="1:9" s="93" customFormat="1" ht="9" customHeight="1" x14ac:dyDescent="0.3">
      <c r="A6880" s="91"/>
      <c r="B6880" s="70"/>
      <c r="C6880" s="70"/>
      <c r="D6880" s="70"/>
      <c r="E6880" s="70"/>
      <c r="F6880" s="70"/>
      <c r="G6880" s="94"/>
      <c r="H6880" s="131"/>
      <c r="I6880" s="3"/>
    </row>
    <row r="6881" spans="1:9" s="93" customFormat="1" ht="9" customHeight="1" x14ac:dyDescent="0.3">
      <c r="A6881" s="91"/>
      <c r="B6881" s="70"/>
      <c r="C6881" s="70"/>
      <c r="D6881" s="70"/>
      <c r="E6881" s="70"/>
      <c r="F6881" s="70"/>
      <c r="G6881" s="94"/>
      <c r="H6881" s="131"/>
      <c r="I6881" s="3"/>
    </row>
    <row r="6882" spans="1:9" s="93" customFormat="1" ht="9" customHeight="1" x14ac:dyDescent="0.3">
      <c r="A6882" s="91"/>
      <c r="B6882" s="70"/>
      <c r="C6882" s="70"/>
      <c r="D6882" s="70"/>
      <c r="E6882" s="70"/>
      <c r="F6882" s="70"/>
      <c r="G6882" s="94"/>
      <c r="H6882" s="131"/>
      <c r="I6882" s="3"/>
    </row>
    <row r="6883" spans="1:9" s="93" customFormat="1" ht="9" customHeight="1" x14ac:dyDescent="0.3">
      <c r="A6883" s="91"/>
      <c r="B6883" s="70"/>
      <c r="C6883" s="70"/>
      <c r="D6883" s="70"/>
      <c r="E6883" s="70"/>
      <c r="F6883" s="70"/>
      <c r="G6883" s="94"/>
      <c r="H6883" s="131"/>
      <c r="I6883" s="3"/>
    </row>
    <row r="6884" spans="1:9" s="93" customFormat="1" ht="9" customHeight="1" x14ac:dyDescent="0.3">
      <c r="A6884" s="91"/>
      <c r="B6884" s="70"/>
      <c r="C6884" s="70"/>
      <c r="D6884" s="70"/>
      <c r="E6884" s="70"/>
      <c r="F6884" s="70"/>
      <c r="G6884" s="94"/>
      <c r="H6884" s="131"/>
      <c r="I6884" s="3"/>
    </row>
    <row r="6885" spans="1:9" s="93" customFormat="1" ht="9" customHeight="1" x14ac:dyDescent="0.3">
      <c r="A6885" s="91"/>
      <c r="B6885" s="70"/>
      <c r="C6885" s="70"/>
      <c r="D6885" s="70"/>
      <c r="E6885" s="70"/>
      <c r="F6885" s="70"/>
      <c r="G6885" s="94"/>
      <c r="H6885" s="131"/>
      <c r="I6885" s="3"/>
    </row>
    <row r="6886" spans="1:9" s="93" customFormat="1" ht="9" customHeight="1" x14ac:dyDescent="0.3">
      <c r="A6886" s="91"/>
      <c r="B6886" s="70"/>
      <c r="C6886" s="70"/>
      <c r="D6886" s="70"/>
      <c r="E6886" s="70"/>
      <c r="F6886" s="70"/>
      <c r="G6886" s="94"/>
      <c r="H6886" s="131"/>
      <c r="I6886" s="3"/>
    </row>
    <row r="6887" spans="1:9" s="93" customFormat="1" ht="9" customHeight="1" x14ac:dyDescent="0.3">
      <c r="A6887" s="91"/>
      <c r="B6887" s="70"/>
      <c r="C6887" s="70"/>
      <c r="D6887" s="70"/>
      <c r="E6887" s="70"/>
      <c r="F6887" s="70"/>
      <c r="G6887" s="94"/>
      <c r="H6887" s="131"/>
      <c r="I6887" s="3"/>
    </row>
    <row r="6888" spans="1:9" s="93" customFormat="1" ht="9" customHeight="1" x14ac:dyDescent="0.3">
      <c r="A6888" s="91"/>
      <c r="B6888" s="70"/>
      <c r="C6888" s="70"/>
      <c r="D6888" s="70"/>
      <c r="E6888" s="70"/>
      <c r="F6888" s="70"/>
      <c r="G6888" s="94"/>
      <c r="H6888" s="131"/>
      <c r="I6888" s="3"/>
    </row>
    <row r="6889" spans="1:9" s="93" customFormat="1" ht="9" customHeight="1" x14ac:dyDescent="0.3">
      <c r="A6889" s="91"/>
      <c r="B6889" s="70"/>
      <c r="C6889" s="70"/>
      <c r="D6889" s="70"/>
      <c r="E6889" s="70"/>
      <c r="F6889" s="70"/>
      <c r="G6889" s="94"/>
      <c r="H6889" s="131"/>
      <c r="I6889" s="3"/>
    </row>
    <row r="6890" spans="1:9" s="93" customFormat="1" ht="9" customHeight="1" x14ac:dyDescent="0.3">
      <c r="A6890" s="91"/>
      <c r="B6890" s="70"/>
      <c r="C6890" s="70"/>
      <c r="D6890" s="70"/>
      <c r="E6890" s="70"/>
      <c r="F6890" s="70"/>
      <c r="G6890" s="94"/>
      <c r="H6890" s="131"/>
      <c r="I6890" s="3"/>
    </row>
    <row r="6891" spans="1:9" s="93" customFormat="1" ht="9" customHeight="1" x14ac:dyDescent="0.3">
      <c r="A6891" s="91"/>
      <c r="B6891" s="70"/>
      <c r="C6891" s="70"/>
      <c r="D6891" s="70"/>
      <c r="E6891" s="70"/>
      <c r="F6891" s="70"/>
      <c r="G6891" s="94"/>
      <c r="H6891" s="131"/>
      <c r="I6891" s="3"/>
    </row>
    <row r="6892" spans="1:9" s="93" customFormat="1" ht="9" customHeight="1" x14ac:dyDescent="0.3">
      <c r="A6892" s="91"/>
      <c r="B6892" s="70"/>
      <c r="C6892" s="70"/>
      <c r="D6892" s="70"/>
      <c r="E6892" s="70"/>
      <c r="F6892" s="70"/>
      <c r="G6892" s="94"/>
      <c r="H6892" s="131"/>
      <c r="I6892" s="3"/>
    </row>
    <row r="6893" spans="1:9" s="93" customFormat="1" ht="9" customHeight="1" x14ac:dyDescent="0.3">
      <c r="A6893" s="91"/>
      <c r="B6893" s="70"/>
      <c r="C6893" s="70"/>
      <c r="D6893" s="70"/>
      <c r="E6893" s="70"/>
      <c r="F6893" s="70"/>
      <c r="G6893" s="94"/>
      <c r="H6893" s="131"/>
      <c r="I6893" s="3"/>
    </row>
    <row r="6894" spans="1:9" s="93" customFormat="1" ht="9" customHeight="1" x14ac:dyDescent="0.3">
      <c r="A6894" s="91"/>
      <c r="B6894" s="70"/>
      <c r="C6894" s="70"/>
      <c r="D6894" s="70"/>
      <c r="E6894" s="70"/>
      <c r="F6894" s="70"/>
      <c r="G6894" s="94"/>
      <c r="H6894" s="131"/>
      <c r="I6894" s="3"/>
    </row>
    <row r="6895" spans="1:9" s="93" customFormat="1" ht="9" customHeight="1" x14ac:dyDescent="0.3">
      <c r="A6895" s="91"/>
      <c r="B6895" s="70"/>
      <c r="C6895" s="70"/>
      <c r="D6895" s="70"/>
      <c r="E6895" s="70"/>
      <c r="F6895" s="70"/>
      <c r="G6895" s="94"/>
      <c r="H6895" s="131"/>
      <c r="I6895" s="3"/>
    </row>
    <row r="6896" spans="1:9" s="93" customFormat="1" ht="9" customHeight="1" x14ac:dyDescent="0.3">
      <c r="A6896" s="91"/>
      <c r="B6896" s="70"/>
      <c r="C6896" s="70"/>
      <c r="D6896" s="70"/>
      <c r="E6896" s="70"/>
      <c r="F6896" s="70"/>
      <c r="G6896" s="94"/>
      <c r="H6896" s="131"/>
      <c r="I6896" s="3"/>
    </row>
    <row r="6897" spans="1:9" s="93" customFormat="1" ht="9" customHeight="1" x14ac:dyDescent="0.3">
      <c r="A6897" s="91"/>
      <c r="B6897" s="70"/>
      <c r="C6897" s="70"/>
      <c r="D6897" s="70"/>
      <c r="E6897" s="70"/>
      <c r="F6897" s="70"/>
      <c r="G6897" s="94"/>
      <c r="H6897" s="131"/>
      <c r="I6897" s="3"/>
    </row>
    <row r="6898" spans="1:9" s="93" customFormat="1" ht="9" customHeight="1" x14ac:dyDescent="0.3">
      <c r="A6898" s="91"/>
      <c r="B6898" s="70"/>
      <c r="C6898" s="70"/>
      <c r="D6898" s="70"/>
      <c r="E6898" s="70"/>
      <c r="F6898" s="70"/>
      <c r="G6898" s="94"/>
      <c r="H6898" s="131"/>
      <c r="I6898" s="3"/>
    </row>
    <row r="6899" spans="1:9" s="93" customFormat="1" ht="9" customHeight="1" x14ac:dyDescent="0.3">
      <c r="A6899" s="91"/>
      <c r="B6899" s="70"/>
      <c r="C6899" s="70"/>
      <c r="D6899" s="70"/>
      <c r="E6899" s="70"/>
      <c r="F6899" s="70"/>
      <c r="G6899" s="94"/>
      <c r="H6899" s="131"/>
      <c r="I6899" s="3"/>
    </row>
    <row r="6900" spans="1:9" s="93" customFormat="1" ht="9" customHeight="1" x14ac:dyDescent="0.3">
      <c r="A6900" s="91"/>
      <c r="B6900" s="70"/>
      <c r="C6900" s="70"/>
      <c r="D6900" s="70"/>
      <c r="E6900" s="70"/>
      <c r="F6900" s="70"/>
      <c r="G6900" s="94"/>
      <c r="H6900" s="131"/>
      <c r="I6900" s="3"/>
    </row>
    <row r="6901" spans="1:9" s="93" customFormat="1" ht="9" customHeight="1" x14ac:dyDescent="0.3">
      <c r="A6901" s="91"/>
      <c r="B6901" s="70"/>
      <c r="C6901" s="70"/>
      <c r="D6901" s="70"/>
      <c r="E6901" s="70"/>
      <c r="F6901" s="70"/>
      <c r="G6901" s="94"/>
      <c r="H6901" s="131"/>
      <c r="I6901" s="3"/>
    </row>
    <row r="6902" spans="1:9" s="93" customFormat="1" ht="9" customHeight="1" x14ac:dyDescent="0.3">
      <c r="A6902" s="91"/>
      <c r="B6902" s="70"/>
      <c r="C6902" s="70"/>
      <c r="D6902" s="70"/>
      <c r="E6902" s="70"/>
      <c r="F6902" s="70"/>
      <c r="G6902" s="94"/>
      <c r="H6902" s="131"/>
      <c r="I6902" s="3"/>
    </row>
    <row r="6903" spans="1:9" s="93" customFormat="1" ht="9" customHeight="1" x14ac:dyDescent="0.3">
      <c r="A6903" s="91"/>
      <c r="B6903" s="70"/>
      <c r="C6903" s="70"/>
      <c r="D6903" s="70"/>
      <c r="E6903" s="70"/>
      <c r="F6903" s="70"/>
      <c r="G6903" s="94"/>
      <c r="H6903" s="131"/>
      <c r="I6903" s="3"/>
    </row>
    <row r="6904" spans="1:9" s="93" customFormat="1" ht="9" customHeight="1" x14ac:dyDescent="0.3">
      <c r="A6904" s="91"/>
      <c r="B6904" s="70"/>
      <c r="C6904" s="70"/>
      <c r="D6904" s="70"/>
      <c r="E6904" s="70"/>
      <c r="F6904" s="70"/>
      <c r="G6904" s="94"/>
      <c r="H6904" s="131"/>
      <c r="I6904" s="3"/>
    </row>
    <row r="6905" spans="1:9" s="93" customFormat="1" ht="9" customHeight="1" x14ac:dyDescent="0.3">
      <c r="A6905" s="91"/>
      <c r="B6905" s="70"/>
      <c r="C6905" s="70"/>
      <c r="D6905" s="70"/>
      <c r="E6905" s="70"/>
      <c r="F6905" s="70"/>
      <c r="G6905" s="94"/>
      <c r="H6905" s="131"/>
      <c r="I6905" s="3"/>
    </row>
    <row r="6906" spans="1:9" s="93" customFormat="1" ht="9" customHeight="1" x14ac:dyDescent="0.3">
      <c r="A6906" s="91"/>
      <c r="B6906" s="70"/>
      <c r="C6906" s="70"/>
      <c r="D6906" s="70"/>
      <c r="E6906" s="70"/>
      <c r="F6906" s="70"/>
      <c r="G6906" s="94"/>
      <c r="H6906" s="131"/>
      <c r="I6906" s="3"/>
    </row>
    <row r="6907" spans="1:9" s="93" customFormat="1" ht="9" customHeight="1" x14ac:dyDescent="0.3">
      <c r="A6907" s="91"/>
      <c r="B6907" s="70"/>
      <c r="C6907" s="70"/>
      <c r="D6907" s="70"/>
      <c r="E6907" s="70"/>
      <c r="F6907" s="70"/>
      <c r="G6907" s="94"/>
      <c r="H6907" s="131"/>
      <c r="I6907" s="3"/>
    </row>
    <row r="6908" spans="1:9" s="93" customFormat="1" ht="9" customHeight="1" x14ac:dyDescent="0.3">
      <c r="A6908" s="91"/>
      <c r="B6908" s="70"/>
      <c r="C6908" s="70"/>
      <c r="D6908" s="70"/>
      <c r="E6908" s="70"/>
      <c r="F6908" s="70"/>
      <c r="G6908" s="94"/>
      <c r="H6908" s="131"/>
      <c r="I6908" s="3"/>
    </row>
    <row r="6909" spans="1:9" s="93" customFormat="1" ht="9" customHeight="1" x14ac:dyDescent="0.3">
      <c r="A6909" s="91"/>
      <c r="B6909" s="70"/>
      <c r="C6909" s="70"/>
      <c r="D6909" s="70"/>
      <c r="E6909" s="70"/>
      <c r="F6909" s="70"/>
      <c r="G6909" s="94"/>
      <c r="H6909" s="131"/>
      <c r="I6909" s="3"/>
    </row>
    <row r="6910" spans="1:9" s="93" customFormat="1" ht="9" customHeight="1" x14ac:dyDescent="0.3">
      <c r="A6910" s="91"/>
      <c r="B6910" s="70"/>
      <c r="C6910" s="70"/>
      <c r="D6910" s="70"/>
      <c r="E6910" s="70"/>
      <c r="F6910" s="70"/>
      <c r="G6910" s="94"/>
      <c r="H6910" s="131"/>
      <c r="I6910" s="3"/>
    </row>
    <row r="6911" spans="1:9" s="93" customFormat="1" ht="9" customHeight="1" x14ac:dyDescent="0.3">
      <c r="A6911" s="91"/>
      <c r="B6911" s="70"/>
      <c r="C6911" s="70"/>
      <c r="D6911" s="70"/>
      <c r="E6911" s="70"/>
      <c r="F6911" s="70"/>
      <c r="G6911" s="94"/>
      <c r="H6911" s="131"/>
      <c r="I6911" s="3"/>
    </row>
    <row r="6912" spans="1:9" s="93" customFormat="1" ht="9" customHeight="1" x14ac:dyDescent="0.3">
      <c r="A6912" s="91"/>
      <c r="B6912" s="70"/>
      <c r="C6912" s="70"/>
      <c r="D6912" s="70"/>
      <c r="E6912" s="70"/>
      <c r="F6912" s="70"/>
      <c r="G6912" s="94"/>
      <c r="H6912" s="131"/>
      <c r="I6912" s="3"/>
    </row>
    <row r="6913" spans="1:9" s="93" customFormat="1" ht="9" customHeight="1" x14ac:dyDescent="0.3">
      <c r="A6913" s="91"/>
      <c r="B6913" s="70"/>
      <c r="C6913" s="70"/>
      <c r="D6913" s="70"/>
      <c r="E6913" s="70"/>
      <c r="F6913" s="70"/>
      <c r="G6913" s="94"/>
      <c r="H6913" s="131"/>
      <c r="I6913" s="3"/>
    </row>
    <row r="6914" spans="1:9" s="93" customFormat="1" ht="9" customHeight="1" x14ac:dyDescent="0.3">
      <c r="A6914" s="91"/>
      <c r="B6914" s="70"/>
      <c r="C6914" s="70"/>
      <c r="D6914" s="70"/>
      <c r="E6914" s="70"/>
      <c r="F6914" s="70"/>
      <c r="G6914" s="94"/>
      <c r="H6914" s="131"/>
      <c r="I6914" s="3"/>
    </row>
    <row r="6915" spans="1:9" s="93" customFormat="1" ht="9" customHeight="1" x14ac:dyDescent="0.3">
      <c r="A6915" s="91"/>
      <c r="B6915" s="70"/>
      <c r="C6915" s="70"/>
      <c r="D6915" s="70"/>
      <c r="E6915" s="70"/>
      <c r="F6915" s="70"/>
      <c r="G6915" s="94"/>
      <c r="H6915" s="131"/>
      <c r="I6915" s="3"/>
    </row>
    <row r="6916" spans="1:9" s="93" customFormat="1" ht="9" customHeight="1" x14ac:dyDescent="0.3">
      <c r="A6916" s="91"/>
      <c r="B6916" s="70"/>
      <c r="C6916" s="70"/>
      <c r="D6916" s="70"/>
      <c r="E6916" s="70"/>
      <c r="F6916" s="70"/>
      <c r="G6916" s="94"/>
      <c r="H6916" s="131"/>
      <c r="I6916" s="3"/>
    </row>
    <row r="6917" spans="1:9" s="93" customFormat="1" ht="9" customHeight="1" x14ac:dyDescent="0.3">
      <c r="A6917" s="91"/>
      <c r="B6917" s="70"/>
      <c r="C6917" s="70"/>
      <c r="D6917" s="70"/>
      <c r="E6917" s="70"/>
      <c r="F6917" s="70"/>
      <c r="G6917" s="94"/>
      <c r="H6917" s="131"/>
      <c r="I6917" s="3"/>
    </row>
    <row r="6918" spans="1:9" s="93" customFormat="1" ht="9" customHeight="1" x14ac:dyDescent="0.3">
      <c r="A6918" s="91"/>
      <c r="B6918" s="70"/>
      <c r="C6918" s="70"/>
      <c r="D6918" s="70"/>
      <c r="E6918" s="70"/>
      <c r="F6918" s="70"/>
      <c r="G6918" s="94"/>
      <c r="H6918" s="131"/>
      <c r="I6918" s="3"/>
    </row>
    <row r="6919" spans="1:9" s="93" customFormat="1" ht="9" customHeight="1" x14ac:dyDescent="0.3">
      <c r="A6919" s="91"/>
      <c r="B6919" s="70"/>
      <c r="C6919" s="70"/>
      <c r="D6919" s="70"/>
      <c r="E6919" s="70"/>
      <c r="F6919" s="70"/>
      <c r="G6919" s="94"/>
      <c r="H6919" s="131"/>
      <c r="I6919" s="3"/>
    </row>
    <row r="6920" spans="1:9" s="93" customFormat="1" ht="9" customHeight="1" x14ac:dyDescent="0.3">
      <c r="A6920" s="91"/>
      <c r="B6920" s="70"/>
      <c r="C6920" s="70"/>
      <c r="D6920" s="70"/>
      <c r="E6920" s="70"/>
      <c r="F6920" s="70"/>
      <c r="G6920" s="94"/>
      <c r="H6920" s="131"/>
      <c r="I6920" s="3"/>
    </row>
    <row r="6921" spans="1:9" s="93" customFormat="1" ht="9" customHeight="1" x14ac:dyDescent="0.3">
      <c r="A6921" s="91"/>
      <c r="B6921" s="70"/>
      <c r="C6921" s="70"/>
      <c r="D6921" s="70"/>
      <c r="E6921" s="70"/>
      <c r="F6921" s="70"/>
      <c r="G6921" s="94"/>
      <c r="H6921" s="131"/>
      <c r="I6921" s="3"/>
    </row>
    <row r="6922" spans="1:9" s="93" customFormat="1" ht="9" customHeight="1" x14ac:dyDescent="0.3">
      <c r="A6922" s="91"/>
      <c r="B6922" s="70"/>
      <c r="C6922" s="70"/>
      <c r="D6922" s="70"/>
      <c r="E6922" s="70"/>
      <c r="F6922" s="70"/>
      <c r="G6922" s="94"/>
      <c r="H6922" s="131"/>
      <c r="I6922" s="3"/>
    </row>
    <row r="6923" spans="1:9" s="93" customFormat="1" ht="9" customHeight="1" x14ac:dyDescent="0.3">
      <c r="A6923" s="91"/>
      <c r="B6923" s="70"/>
      <c r="C6923" s="70"/>
      <c r="D6923" s="70"/>
      <c r="E6923" s="70"/>
      <c r="F6923" s="70"/>
      <c r="G6923" s="94"/>
      <c r="H6923" s="131"/>
      <c r="I6923" s="3"/>
    </row>
    <row r="6924" spans="1:9" s="93" customFormat="1" ht="9" customHeight="1" x14ac:dyDescent="0.3">
      <c r="A6924" s="91"/>
      <c r="B6924" s="70"/>
      <c r="C6924" s="70"/>
      <c r="D6924" s="70"/>
      <c r="E6924" s="70"/>
      <c r="F6924" s="70"/>
      <c r="G6924" s="94"/>
      <c r="H6924" s="131"/>
      <c r="I6924" s="3"/>
    </row>
    <row r="6925" spans="1:9" s="93" customFormat="1" ht="9" customHeight="1" x14ac:dyDescent="0.3">
      <c r="A6925" s="91"/>
      <c r="B6925" s="70"/>
      <c r="C6925" s="70"/>
      <c r="D6925" s="70"/>
      <c r="E6925" s="70"/>
      <c r="F6925" s="70"/>
      <c r="G6925" s="94"/>
      <c r="H6925" s="131"/>
      <c r="I6925" s="3"/>
    </row>
    <row r="6926" spans="1:9" s="93" customFormat="1" ht="9" customHeight="1" x14ac:dyDescent="0.3">
      <c r="A6926" s="91"/>
      <c r="B6926" s="70"/>
      <c r="C6926" s="70"/>
      <c r="D6926" s="70"/>
      <c r="E6926" s="70"/>
      <c r="F6926" s="70"/>
      <c r="G6926" s="94"/>
      <c r="H6926" s="131"/>
      <c r="I6926" s="3"/>
    </row>
    <row r="6927" spans="1:9" s="93" customFormat="1" ht="9" customHeight="1" x14ac:dyDescent="0.3">
      <c r="A6927" s="91"/>
      <c r="B6927" s="70"/>
      <c r="C6927" s="70"/>
      <c r="D6927" s="70"/>
      <c r="E6927" s="70"/>
      <c r="F6927" s="70"/>
      <c r="G6927" s="94"/>
      <c r="H6927" s="131"/>
      <c r="I6927" s="3"/>
    </row>
    <row r="6928" spans="1:9" s="93" customFormat="1" ht="9" customHeight="1" x14ac:dyDescent="0.3">
      <c r="A6928" s="91"/>
      <c r="B6928" s="70"/>
      <c r="C6928" s="70"/>
      <c r="D6928" s="70"/>
      <c r="E6928" s="70"/>
      <c r="F6928" s="70"/>
      <c r="G6928" s="94"/>
      <c r="H6928" s="131"/>
      <c r="I6928" s="3"/>
    </row>
    <row r="6929" spans="1:9" s="93" customFormat="1" ht="9" customHeight="1" x14ac:dyDescent="0.3">
      <c r="A6929" s="91"/>
      <c r="B6929" s="70"/>
      <c r="C6929" s="70"/>
      <c r="D6929" s="70"/>
      <c r="E6929" s="70"/>
      <c r="F6929" s="70"/>
      <c r="G6929" s="94"/>
      <c r="H6929" s="131"/>
      <c r="I6929" s="3"/>
    </row>
    <row r="6930" spans="1:9" s="93" customFormat="1" ht="9" customHeight="1" x14ac:dyDescent="0.3">
      <c r="A6930" s="91"/>
      <c r="B6930" s="70"/>
      <c r="C6930" s="70"/>
      <c r="D6930" s="70"/>
      <c r="E6930" s="70"/>
      <c r="F6930" s="70"/>
      <c r="G6930" s="94"/>
      <c r="H6930" s="131"/>
      <c r="I6930" s="3"/>
    </row>
    <row r="6931" spans="1:9" s="93" customFormat="1" ht="9" customHeight="1" x14ac:dyDescent="0.3">
      <c r="A6931" s="91"/>
      <c r="B6931" s="70"/>
      <c r="C6931" s="70"/>
      <c r="D6931" s="70"/>
      <c r="E6931" s="70"/>
      <c r="F6931" s="70"/>
      <c r="G6931" s="94"/>
      <c r="H6931" s="131"/>
      <c r="I6931" s="3"/>
    </row>
    <row r="6932" spans="1:9" s="93" customFormat="1" ht="9" customHeight="1" x14ac:dyDescent="0.3">
      <c r="A6932" s="91"/>
      <c r="B6932" s="70"/>
      <c r="C6932" s="70"/>
      <c r="D6932" s="70"/>
      <c r="E6932" s="70"/>
      <c r="F6932" s="70"/>
      <c r="G6932" s="94"/>
      <c r="H6932" s="131"/>
      <c r="I6932" s="3"/>
    </row>
    <row r="6933" spans="1:9" s="93" customFormat="1" ht="9" customHeight="1" x14ac:dyDescent="0.3">
      <c r="A6933" s="91"/>
      <c r="B6933" s="70"/>
      <c r="C6933" s="70"/>
      <c r="D6933" s="70"/>
      <c r="E6933" s="70"/>
      <c r="F6933" s="70"/>
      <c r="G6933" s="94"/>
      <c r="H6933" s="131"/>
      <c r="I6933" s="3"/>
    </row>
    <row r="6934" spans="1:9" s="93" customFormat="1" ht="9" customHeight="1" x14ac:dyDescent="0.3">
      <c r="A6934" s="91"/>
      <c r="B6934" s="70"/>
      <c r="C6934" s="70"/>
      <c r="D6934" s="70"/>
      <c r="E6934" s="70"/>
      <c r="F6934" s="70"/>
      <c r="G6934" s="94"/>
      <c r="H6934" s="131"/>
      <c r="I6934" s="3"/>
    </row>
    <row r="6935" spans="1:9" s="93" customFormat="1" ht="9" customHeight="1" x14ac:dyDescent="0.3">
      <c r="A6935" s="91"/>
      <c r="B6935" s="70"/>
      <c r="C6935" s="70"/>
      <c r="D6935" s="70"/>
      <c r="E6935" s="70"/>
      <c r="F6935" s="70"/>
      <c r="G6935" s="94"/>
      <c r="H6935" s="131"/>
      <c r="I6935" s="3"/>
    </row>
    <row r="6936" spans="1:9" s="93" customFormat="1" ht="9" customHeight="1" x14ac:dyDescent="0.3">
      <c r="A6936" s="91"/>
      <c r="B6936" s="70"/>
      <c r="C6936" s="70"/>
      <c r="D6936" s="70"/>
      <c r="E6936" s="70"/>
      <c r="F6936" s="70"/>
      <c r="G6936" s="94"/>
      <c r="H6936" s="131"/>
      <c r="I6936" s="3"/>
    </row>
    <row r="6937" spans="1:9" s="93" customFormat="1" ht="9" customHeight="1" x14ac:dyDescent="0.3">
      <c r="A6937" s="91"/>
      <c r="B6937" s="70"/>
      <c r="C6937" s="70"/>
      <c r="D6937" s="70"/>
      <c r="E6937" s="70"/>
      <c r="F6937" s="70"/>
      <c r="G6937" s="94"/>
      <c r="H6937" s="131"/>
      <c r="I6937" s="3"/>
    </row>
    <row r="6938" spans="1:9" s="93" customFormat="1" ht="9" customHeight="1" x14ac:dyDescent="0.3">
      <c r="A6938" s="91"/>
      <c r="B6938" s="70"/>
      <c r="C6938" s="70"/>
      <c r="D6938" s="70"/>
      <c r="E6938" s="70"/>
      <c r="F6938" s="70"/>
      <c r="G6938" s="94"/>
      <c r="H6938" s="131"/>
      <c r="I6938" s="3"/>
    </row>
    <row r="6939" spans="1:9" s="93" customFormat="1" ht="9" customHeight="1" x14ac:dyDescent="0.3">
      <c r="A6939" s="91"/>
      <c r="B6939" s="70"/>
      <c r="C6939" s="70"/>
      <c r="D6939" s="70"/>
      <c r="E6939" s="70"/>
      <c r="F6939" s="70"/>
      <c r="G6939" s="94"/>
      <c r="H6939" s="131"/>
      <c r="I6939" s="3"/>
    </row>
    <row r="6940" spans="1:9" s="93" customFormat="1" ht="9" customHeight="1" x14ac:dyDescent="0.3">
      <c r="A6940" s="91"/>
      <c r="B6940" s="70"/>
      <c r="C6940" s="70"/>
      <c r="D6940" s="70"/>
      <c r="E6940" s="70"/>
      <c r="F6940" s="70"/>
      <c r="G6940" s="94"/>
      <c r="H6940" s="131"/>
      <c r="I6940" s="3"/>
    </row>
    <row r="6941" spans="1:9" s="93" customFormat="1" ht="9" customHeight="1" x14ac:dyDescent="0.3">
      <c r="A6941" s="91"/>
      <c r="B6941" s="70"/>
      <c r="C6941" s="70"/>
      <c r="D6941" s="70"/>
      <c r="E6941" s="70"/>
      <c r="F6941" s="70"/>
      <c r="G6941" s="94"/>
      <c r="H6941" s="131"/>
      <c r="I6941" s="3"/>
    </row>
    <row r="6942" spans="1:9" s="93" customFormat="1" ht="9" customHeight="1" x14ac:dyDescent="0.3">
      <c r="A6942" s="91"/>
      <c r="B6942" s="70"/>
      <c r="C6942" s="70"/>
      <c r="D6942" s="70"/>
      <c r="E6942" s="70"/>
      <c r="F6942" s="70"/>
      <c r="G6942" s="94"/>
      <c r="H6942" s="131"/>
      <c r="I6942" s="3"/>
    </row>
    <row r="6943" spans="1:9" s="93" customFormat="1" ht="9" customHeight="1" x14ac:dyDescent="0.3">
      <c r="A6943" s="91"/>
      <c r="B6943" s="70"/>
      <c r="C6943" s="70"/>
      <c r="D6943" s="70"/>
      <c r="E6943" s="70"/>
      <c r="F6943" s="70"/>
      <c r="G6943" s="94"/>
      <c r="H6943" s="131"/>
      <c r="I6943" s="3"/>
    </row>
    <row r="6944" spans="1:9" s="93" customFormat="1" ht="9" customHeight="1" x14ac:dyDescent="0.3">
      <c r="A6944" s="91"/>
      <c r="B6944" s="70"/>
      <c r="C6944" s="70"/>
      <c r="D6944" s="70"/>
      <c r="E6944" s="70"/>
      <c r="F6944" s="70"/>
      <c r="G6944" s="94"/>
      <c r="H6944" s="131"/>
      <c r="I6944" s="3"/>
    </row>
    <row r="6945" spans="1:9" s="93" customFormat="1" ht="9" customHeight="1" x14ac:dyDescent="0.3">
      <c r="A6945" s="91"/>
      <c r="B6945" s="70"/>
      <c r="C6945" s="70"/>
      <c r="D6945" s="70"/>
      <c r="E6945" s="70"/>
      <c r="F6945" s="70"/>
      <c r="G6945" s="94"/>
      <c r="H6945" s="131"/>
      <c r="I6945" s="3"/>
    </row>
    <row r="6946" spans="1:9" s="93" customFormat="1" ht="9" customHeight="1" x14ac:dyDescent="0.3">
      <c r="A6946" s="91"/>
      <c r="B6946" s="70"/>
      <c r="C6946" s="70"/>
      <c r="D6946" s="70"/>
      <c r="E6946" s="70"/>
      <c r="F6946" s="70"/>
      <c r="G6946" s="94"/>
      <c r="H6946" s="131"/>
      <c r="I6946" s="3"/>
    </row>
    <row r="6947" spans="1:9" s="93" customFormat="1" ht="9" customHeight="1" x14ac:dyDescent="0.3">
      <c r="A6947" s="91"/>
      <c r="B6947" s="70"/>
      <c r="C6947" s="70"/>
      <c r="D6947" s="70"/>
      <c r="E6947" s="70"/>
      <c r="F6947" s="70"/>
      <c r="G6947" s="94"/>
      <c r="H6947" s="131"/>
      <c r="I6947" s="3"/>
    </row>
    <row r="6948" spans="1:9" s="93" customFormat="1" ht="9" customHeight="1" x14ac:dyDescent="0.3">
      <c r="A6948" s="91"/>
      <c r="B6948" s="70"/>
      <c r="C6948" s="70"/>
      <c r="D6948" s="70"/>
      <c r="E6948" s="70"/>
      <c r="F6948" s="70"/>
      <c r="G6948" s="94"/>
      <c r="H6948" s="131"/>
      <c r="I6948" s="3"/>
    </row>
    <row r="6949" spans="1:9" s="93" customFormat="1" ht="9" customHeight="1" x14ac:dyDescent="0.3">
      <c r="A6949" s="91"/>
      <c r="B6949" s="70"/>
      <c r="C6949" s="70"/>
      <c r="D6949" s="70"/>
      <c r="E6949" s="70"/>
      <c r="F6949" s="70"/>
      <c r="G6949" s="94"/>
      <c r="H6949" s="131"/>
      <c r="I6949" s="3"/>
    </row>
    <row r="6950" spans="1:9" s="93" customFormat="1" ht="9" customHeight="1" x14ac:dyDescent="0.3">
      <c r="A6950" s="91"/>
      <c r="B6950" s="70"/>
      <c r="C6950" s="70"/>
      <c r="D6950" s="70"/>
      <c r="E6950" s="70"/>
      <c r="F6950" s="70"/>
      <c r="G6950" s="94"/>
      <c r="H6950" s="131"/>
      <c r="I6950" s="3"/>
    </row>
    <row r="6951" spans="1:9" s="93" customFormat="1" ht="9" customHeight="1" x14ac:dyDescent="0.3">
      <c r="A6951" s="91"/>
      <c r="B6951" s="70"/>
      <c r="C6951" s="70"/>
      <c r="D6951" s="70"/>
      <c r="E6951" s="70"/>
      <c r="F6951" s="70"/>
      <c r="G6951" s="94"/>
      <c r="H6951" s="131"/>
      <c r="I6951" s="3"/>
    </row>
    <row r="6952" spans="1:9" s="93" customFormat="1" ht="9" customHeight="1" x14ac:dyDescent="0.3">
      <c r="A6952" s="91"/>
      <c r="B6952" s="70"/>
      <c r="C6952" s="70"/>
      <c r="D6952" s="70"/>
      <c r="E6952" s="70"/>
      <c r="F6952" s="70"/>
      <c r="G6952" s="94"/>
      <c r="H6952" s="131"/>
      <c r="I6952" s="3"/>
    </row>
    <row r="6953" spans="1:9" s="93" customFormat="1" ht="9" customHeight="1" x14ac:dyDescent="0.3">
      <c r="A6953" s="91"/>
      <c r="B6953" s="70"/>
      <c r="C6953" s="70"/>
      <c r="D6953" s="70"/>
      <c r="E6953" s="70"/>
      <c r="F6953" s="70"/>
      <c r="G6953" s="94"/>
      <c r="H6953" s="131"/>
      <c r="I6953" s="3"/>
    </row>
    <row r="6954" spans="1:9" s="93" customFormat="1" ht="9" customHeight="1" x14ac:dyDescent="0.3">
      <c r="A6954" s="91"/>
      <c r="B6954" s="70"/>
      <c r="C6954" s="70"/>
      <c r="D6954" s="70"/>
      <c r="E6954" s="70"/>
      <c r="F6954" s="70"/>
      <c r="G6954" s="94"/>
      <c r="H6954" s="131"/>
      <c r="I6954" s="3"/>
    </row>
    <row r="6955" spans="1:9" s="93" customFormat="1" ht="9" customHeight="1" x14ac:dyDescent="0.3">
      <c r="A6955" s="91"/>
      <c r="B6955" s="70"/>
      <c r="C6955" s="70"/>
      <c r="D6955" s="70"/>
      <c r="E6955" s="70"/>
      <c r="F6955" s="70"/>
      <c r="G6955" s="94"/>
      <c r="H6955" s="131"/>
      <c r="I6955" s="3"/>
    </row>
    <row r="6956" spans="1:9" s="93" customFormat="1" ht="9" customHeight="1" x14ac:dyDescent="0.3">
      <c r="A6956" s="91"/>
      <c r="B6956" s="70"/>
      <c r="C6956" s="70"/>
      <c r="D6956" s="70"/>
      <c r="E6956" s="70"/>
      <c r="F6956" s="70"/>
      <c r="G6956" s="94"/>
      <c r="H6956" s="131"/>
      <c r="I6956" s="3"/>
    </row>
    <row r="6957" spans="1:9" s="93" customFormat="1" ht="9" customHeight="1" x14ac:dyDescent="0.3">
      <c r="A6957" s="91"/>
      <c r="B6957" s="70"/>
      <c r="C6957" s="70"/>
      <c r="D6957" s="70"/>
      <c r="E6957" s="70"/>
      <c r="F6957" s="70"/>
      <c r="G6957" s="94"/>
      <c r="H6957" s="131"/>
      <c r="I6957" s="3"/>
    </row>
    <row r="6958" spans="1:9" s="93" customFormat="1" ht="9" customHeight="1" x14ac:dyDescent="0.3">
      <c r="A6958" s="91"/>
      <c r="B6958" s="70"/>
      <c r="C6958" s="70"/>
      <c r="D6958" s="70"/>
      <c r="E6958" s="70"/>
      <c r="F6958" s="70"/>
      <c r="G6958" s="94"/>
      <c r="H6958" s="131"/>
      <c r="I6958" s="3"/>
    </row>
    <row r="6959" spans="1:9" s="93" customFormat="1" ht="9" customHeight="1" x14ac:dyDescent="0.3">
      <c r="A6959" s="91"/>
      <c r="B6959" s="70"/>
      <c r="C6959" s="70"/>
      <c r="D6959" s="70"/>
      <c r="E6959" s="70"/>
      <c r="F6959" s="70"/>
      <c r="G6959" s="94"/>
      <c r="H6959" s="131"/>
      <c r="I6959" s="3"/>
    </row>
    <row r="6960" spans="1:9" s="93" customFormat="1" ht="9" customHeight="1" x14ac:dyDescent="0.3">
      <c r="A6960" s="91"/>
      <c r="B6960" s="70"/>
      <c r="C6960" s="70"/>
      <c r="D6960" s="70"/>
      <c r="E6960" s="70"/>
      <c r="F6960" s="70"/>
      <c r="G6960" s="94"/>
      <c r="H6960" s="131"/>
      <c r="I6960" s="3"/>
    </row>
    <row r="6961" spans="1:9" s="93" customFormat="1" ht="9" customHeight="1" x14ac:dyDescent="0.3">
      <c r="A6961" s="91"/>
      <c r="B6961" s="70"/>
      <c r="C6961" s="70"/>
      <c r="D6961" s="70"/>
      <c r="E6961" s="70"/>
      <c r="F6961" s="70"/>
      <c r="G6961" s="94"/>
      <c r="H6961" s="131"/>
      <c r="I6961" s="3"/>
    </row>
    <row r="6962" spans="1:9" s="93" customFormat="1" ht="9" customHeight="1" x14ac:dyDescent="0.3">
      <c r="A6962" s="91"/>
      <c r="B6962" s="70"/>
      <c r="C6962" s="70"/>
      <c r="D6962" s="70"/>
      <c r="E6962" s="70"/>
      <c r="F6962" s="70"/>
      <c r="G6962" s="94"/>
      <c r="H6962" s="131"/>
      <c r="I6962" s="3"/>
    </row>
    <row r="6963" spans="1:9" s="93" customFormat="1" ht="9" customHeight="1" x14ac:dyDescent="0.3">
      <c r="A6963" s="91"/>
      <c r="B6963" s="70"/>
      <c r="C6963" s="70"/>
      <c r="D6963" s="70"/>
      <c r="E6963" s="70"/>
      <c r="F6963" s="70"/>
      <c r="G6963" s="94"/>
      <c r="H6963" s="131"/>
      <c r="I6963" s="3"/>
    </row>
    <row r="6964" spans="1:9" s="93" customFormat="1" ht="9" customHeight="1" x14ac:dyDescent="0.3">
      <c r="A6964" s="91"/>
      <c r="B6964" s="70"/>
      <c r="C6964" s="70"/>
      <c r="D6964" s="70"/>
      <c r="E6964" s="70"/>
      <c r="F6964" s="70"/>
      <c r="G6964" s="94"/>
      <c r="H6964" s="131"/>
      <c r="I6964" s="3"/>
    </row>
    <row r="6965" spans="1:9" s="93" customFormat="1" ht="9" customHeight="1" x14ac:dyDescent="0.3">
      <c r="A6965" s="91"/>
      <c r="B6965" s="70"/>
      <c r="C6965" s="70"/>
      <c r="D6965" s="70"/>
      <c r="E6965" s="70"/>
      <c r="F6965" s="70"/>
      <c r="G6965" s="94"/>
      <c r="H6965" s="131"/>
      <c r="I6965" s="3"/>
    </row>
    <row r="6966" spans="1:9" s="93" customFormat="1" ht="9" customHeight="1" x14ac:dyDescent="0.3">
      <c r="A6966" s="91"/>
      <c r="B6966" s="70"/>
      <c r="C6966" s="70"/>
      <c r="D6966" s="70"/>
      <c r="E6966" s="70"/>
      <c r="F6966" s="70"/>
      <c r="G6966" s="94"/>
      <c r="H6966" s="131"/>
      <c r="I6966" s="3"/>
    </row>
    <row r="6967" spans="1:9" s="93" customFormat="1" ht="9" customHeight="1" x14ac:dyDescent="0.3">
      <c r="A6967" s="91"/>
      <c r="B6967" s="70"/>
      <c r="C6967" s="70"/>
      <c r="D6967" s="70"/>
      <c r="E6967" s="70"/>
      <c r="F6967" s="70"/>
      <c r="G6967" s="94"/>
      <c r="H6967" s="131"/>
      <c r="I6967" s="3"/>
    </row>
    <row r="6968" spans="1:9" s="93" customFormat="1" ht="9" customHeight="1" x14ac:dyDescent="0.3">
      <c r="A6968" s="91"/>
      <c r="B6968" s="70"/>
      <c r="C6968" s="70"/>
      <c r="D6968" s="70"/>
      <c r="E6968" s="70"/>
      <c r="F6968" s="70"/>
      <c r="G6968" s="94"/>
      <c r="H6968" s="131"/>
      <c r="I6968" s="3"/>
    </row>
    <row r="6969" spans="1:9" s="93" customFormat="1" ht="9" customHeight="1" x14ac:dyDescent="0.3">
      <c r="A6969" s="91"/>
      <c r="B6969" s="70"/>
      <c r="C6969" s="70"/>
      <c r="D6969" s="70"/>
      <c r="E6969" s="70"/>
      <c r="F6969" s="70"/>
      <c r="G6969" s="94"/>
      <c r="H6969" s="131"/>
      <c r="I6969" s="3"/>
    </row>
    <row r="6970" spans="1:9" s="93" customFormat="1" ht="9" customHeight="1" x14ac:dyDescent="0.3">
      <c r="A6970" s="91"/>
      <c r="B6970" s="70"/>
      <c r="C6970" s="70"/>
      <c r="D6970" s="70"/>
      <c r="E6970" s="70"/>
      <c r="F6970" s="70"/>
      <c r="G6970" s="94"/>
      <c r="H6970" s="131"/>
      <c r="I6970" s="3"/>
    </row>
    <row r="6971" spans="1:9" s="93" customFormat="1" ht="9" customHeight="1" x14ac:dyDescent="0.3">
      <c r="A6971" s="91"/>
      <c r="B6971" s="70"/>
      <c r="C6971" s="70"/>
      <c r="D6971" s="70"/>
      <c r="E6971" s="70"/>
      <c r="F6971" s="70"/>
      <c r="G6971" s="94"/>
      <c r="H6971" s="131"/>
      <c r="I6971" s="3"/>
    </row>
    <row r="6972" spans="1:9" s="93" customFormat="1" ht="9" customHeight="1" x14ac:dyDescent="0.3">
      <c r="A6972" s="91"/>
      <c r="B6972" s="70"/>
      <c r="C6972" s="70"/>
      <c r="D6972" s="70"/>
      <c r="E6972" s="70"/>
      <c r="F6972" s="70"/>
      <c r="G6972" s="94"/>
      <c r="H6972" s="131"/>
      <c r="I6972" s="3"/>
    </row>
    <row r="6973" spans="1:9" s="93" customFormat="1" ht="9" customHeight="1" x14ac:dyDescent="0.3">
      <c r="A6973" s="91"/>
      <c r="B6973" s="70"/>
      <c r="C6973" s="70"/>
      <c r="D6973" s="70"/>
      <c r="E6973" s="70"/>
      <c r="F6973" s="70"/>
      <c r="G6973" s="94"/>
      <c r="H6973" s="131"/>
      <c r="I6973" s="3"/>
    </row>
    <row r="6974" spans="1:9" s="93" customFormat="1" ht="9" customHeight="1" x14ac:dyDescent="0.3">
      <c r="A6974" s="91"/>
      <c r="B6974" s="70"/>
      <c r="C6974" s="70"/>
      <c r="D6974" s="70"/>
      <c r="E6974" s="70"/>
      <c r="F6974" s="70"/>
      <c r="G6974" s="94"/>
      <c r="H6974" s="131"/>
      <c r="I6974" s="3"/>
    </row>
    <row r="6975" spans="1:9" s="93" customFormat="1" ht="9" customHeight="1" x14ac:dyDescent="0.3">
      <c r="A6975" s="91"/>
      <c r="B6975" s="70"/>
      <c r="C6975" s="70"/>
      <c r="D6975" s="70"/>
      <c r="E6975" s="70"/>
      <c r="F6975" s="70"/>
      <c r="G6975" s="94"/>
      <c r="H6975" s="131"/>
      <c r="I6975" s="3"/>
    </row>
    <row r="6976" spans="1:9" s="93" customFormat="1" ht="9" customHeight="1" x14ac:dyDescent="0.3">
      <c r="A6976" s="91"/>
      <c r="B6976" s="70"/>
      <c r="C6976" s="70"/>
      <c r="D6976" s="70"/>
      <c r="E6976" s="70"/>
      <c r="F6976" s="70"/>
      <c r="G6976" s="94"/>
      <c r="H6976" s="131"/>
      <c r="I6976" s="3"/>
    </row>
    <row r="6977" spans="1:9" s="93" customFormat="1" ht="9" customHeight="1" x14ac:dyDescent="0.3">
      <c r="A6977" s="91"/>
      <c r="B6977" s="70"/>
      <c r="C6977" s="70"/>
      <c r="D6977" s="70"/>
      <c r="E6977" s="70"/>
      <c r="F6977" s="70"/>
      <c r="G6977" s="94"/>
      <c r="H6977" s="131"/>
      <c r="I6977" s="3"/>
    </row>
    <row r="6978" spans="1:9" s="93" customFormat="1" ht="9" customHeight="1" x14ac:dyDescent="0.3">
      <c r="A6978" s="91"/>
      <c r="B6978" s="70"/>
      <c r="C6978" s="70"/>
      <c r="D6978" s="70"/>
      <c r="E6978" s="70"/>
      <c r="F6978" s="70"/>
      <c r="G6978" s="94"/>
      <c r="H6978" s="131"/>
      <c r="I6978" s="3"/>
    </row>
    <row r="6979" spans="1:9" s="93" customFormat="1" ht="9" customHeight="1" x14ac:dyDescent="0.3">
      <c r="A6979" s="91"/>
      <c r="B6979" s="70"/>
      <c r="C6979" s="70"/>
      <c r="D6979" s="70"/>
      <c r="E6979" s="70"/>
      <c r="F6979" s="70"/>
      <c r="G6979" s="94"/>
      <c r="H6979" s="131"/>
      <c r="I6979" s="3"/>
    </row>
    <row r="6980" spans="1:9" s="93" customFormat="1" ht="9" customHeight="1" x14ac:dyDescent="0.3">
      <c r="A6980" s="91"/>
      <c r="B6980" s="70"/>
      <c r="C6980" s="70"/>
      <c r="D6980" s="70"/>
      <c r="E6980" s="70"/>
      <c r="F6980" s="70"/>
      <c r="G6980" s="94"/>
      <c r="H6980" s="131"/>
      <c r="I6980" s="3"/>
    </row>
    <row r="6981" spans="1:9" s="93" customFormat="1" ht="9" customHeight="1" x14ac:dyDescent="0.3">
      <c r="A6981" s="91"/>
      <c r="B6981" s="70"/>
      <c r="C6981" s="70"/>
      <c r="D6981" s="70"/>
      <c r="E6981" s="70"/>
      <c r="F6981" s="70"/>
      <c r="G6981" s="94"/>
      <c r="H6981" s="131"/>
      <c r="I6981" s="3"/>
    </row>
    <row r="6982" spans="1:9" s="93" customFormat="1" ht="9" customHeight="1" x14ac:dyDescent="0.3">
      <c r="A6982" s="91"/>
      <c r="B6982" s="70"/>
      <c r="C6982" s="70"/>
      <c r="D6982" s="70"/>
      <c r="E6982" s="70"/>
      <c r="F6982" s="70"/>
      <c r="G6982" s="94"/>
      <c r="H6982" s="131"/>
      <c r="I6982" s="3"/>
    </row>
    <row r="6983" spans="1:9" s="93" customFormat="1" ht="9" customHeight="1" x14ac:dyDescent="0.3">
      <c r="A6983" s="91"/>
      <c r="B6983" s="70"/>
      <c r="C6983" s="70"/>
      <c r="D6983" s="70"/>
      <c r="E6983" s="70"/>
      <c r="F6983" s="70"/>
      <c r="G6983" s="94"/>
      <c r="H6983" s="131"/>
      <c r="I6983" s="3"/>
    </row>
    <row r="6984" spans="1:9" s="93" customFormat="1" ht="9" customHeight="1" x14ac:dyDescent="0.3">
      <c r="A6984" s="91"/>
      <c r="B6984" s="70"/>
      <c r="C6984" s="70"/>
      <c r="D6984" s="70"/>
      <c r="E6984" s="70"/>
      <c r="F6984" s="70"/>
      <c r="G6984" s="94"/>
      <c r="H6984" s="131"/>
      <c r="I6984" s="3"/>
    </row>
    <row r="6985" spans="1:9" s="93" customFormat="1" ht="9" customHeight="1" x14ac:dyDescent="0.3">
      <c r="A6985" s="91"/>
      <c r="B6985" s="70"/>
      <c r="C6985" s="70"/>
      <c r="D6985" s="70"/>
      <c r="E6985" s="70"/>
      <c r="F6985" s="70"/>
      <c r="G6985" s="94"/>
      <c r="H6985" s="131"/>
      <c r="I6985" s="3"/>
    </row>
    <row r="6986" spans="1:9" s="93" customFormat="1" ht="9" customHeight="1" x14ac:dyDescent="0.3">
      <c r="A6986" s="91"/>
      <c r="B6986" s="70"/>
      <c r="C6986" s="70"/>
      <c r="D6986" s="70"/>
      <c r="E6986" s="70"/>
      <c r="F6986" s="70"/>
      <c r="G6986" s="94"/>
      <c r="H6986" s="131"/>
      <c r="I6986" s="3"/>
    </row>
    <row r="6987" spans="1:9" s="93" customFormat="1" ht="9" customHeight="1" x14ac:dyDescent="0.3">
      <c r="A6987" s="91"/>
      <c r="B6987" s="70"/>
      <c r="C6987" s="70"/>
      <c r="D6987" s="70"/>
      <c r="E6987" s="70"/>
      <c r="F6987" s="70"/>
      <c r="G6987" s="94"/>
      <c r="H6987" s="131"/>
      <c r="I6987" s="3"/>
    </row>
    <row r="6988" spans="1:9" s="93" customFormat="1" ht="9" customHeight="1" x14ac:dyDescent="0.3">
      <c r="A6988" s="91"/>
      <c r="B6988" s="70"/>
      <c r="C6988" s="70"/>
      <c r="D6988" s="70"/>
      <c r="E6988" s="70"/>
      <c r="F6988" s="70"/>
      <c r="G6988" s="94"/>
      <c r="H6988" s="131"/>
      <c r="I6988" s="3"/>
    </row>
    <row r="6989" spans="1:9" s="93" customFormat="1" ht="9" customHeight="1" x14ac:dyDescent="0.3">
      <c r="A6989" s="91"/>
      <c r="B6989" s="70"/>
      <c r="C6989" s="70"/>
      <c r="D6989" s="70"/>
      <c r="E6989" s="70"/>
      <c r="F6989" s="70"/>
      <c r="G6989" s="94"/>
      <c r="H6989" s="131"/>
      <c r="I6989" s="3"/>
    </row>
    <row r="6990" spans="1:9" s="93" customFormat="1" ht="9" customHeight="1" x14ac:dyDescent="0.3">
      <c r="A6990" s="91"/>
      <c r="B6990" s="70"/>
      <c r="C6990" s="70"/>
      <c r="D6990" s="70"/>
      <c r="E6990" s="70"/>
      <c r="F6990" s="70"/>
      <c r="G6990" s="94"/>
      <c r="H6990" s="131"/>
      <c r="I6990" s="3"/>
    </row>
    <row r="6991" spans="1:9" s="93" customFormat="1" ht="9" customHeight="1" x14ac:dyDescent="0.3">
      <c r="A6991" s="91"/>
      <c r="B6991" s="70"/>
      <c r="C6991" s="70"/>
      <c r="D6991" s="70"/>
      <c r="E6991" s="70"/>
      <c r="F6991" s="70"/>
      <c r="G6991" s="94"/>
      <c r="H6991" s="131"/>
      <c r="I6991" s="3"/>
    </row>
    <row r="6992" spans="1:9" s="93" customFormat="1" ht="9" customHeight="1" x14ac:dyDescent="0.3">
      <c r="A6992" s="91"/>
      <c r="B6992" s="70"/>
      <c r="C6992" s="70"/>
      <c r="D6992" s="70"/>
      <c r="E6992" s="70"/>
      <c r="F6992" s="70"/>
      <c r="G6992" s="94"/>
      <c r="H6992" s="131"/>
      <c r="I6992" s="3"/>
    </row>
    <row r="6993" spans="1:9" s="93" customFormat="1" ht="9" customHeight="1" x14ac:dyDescent="0.3">
      <c r="A6993" s="91"/>
      <c r="B6993" s="70"/>
      <c r="C6993" s="70"/>
      <c r="D6993" s="70"/>
      <c r="E6993" s="70"/>
      <c r="F6993" s="70"/>
      <c r="G6993" s="94"/>
      <c r="H6993" s="131"/>
      <c r="I6993" s="3"/>
    </row>
    <row r="6994" spans="1:9" s="93" customFormat="1" ht="9" customHeight="1" x14ac:dyDescent="0.3">
      <c r="A6994" s="91"/>
      <c r="B6994" s="70"/>
      <c r="C6994" s="70"/>
      <c r="D6994" s="70"/>
      <c r="E6994" s="70"/>
      <c r="F6994" s="70"/>
      <c r="G6994" s="94"/>
      <c r="H6994" s="131"/>
      <c r="I6994" s="3"/>
    </row>
    <row r="6995" spans="1:9" s="93" customFormat="1" ht="9" customHeight="1" x14ac:dyDescent="0.3">
      <c r="A6995" s="91"/>
      <c r="B6995" s="70"/>
      <c r="C6995" s="70"/>
      <c r="D6995" s="70"/>
      <c r="E6995" s="70"/>
      <c r="F6995" s="70"/>
      <c r="G6995" s="94"/>
      <c r="H6995" s="131"/>
      <c r="I6995" s="3"/>
    </row>
    <row r="6996" spans="1:9" s="93" customFormat="1" ht="9" customHeight="1" x14ac:dyDescent="0.3">
      <c r="A6996" s="91"/>
      <c r="B6996" s="70"/>
      <c r="C6996" s="70"/>
      <c r="D6996" s="70"/>
      <c r="E6996" s="70"/>
      <c r="F6996" s="70"/>
      <c r="G6996" s="94"/>
      <c r="H6996" s="131"/>
      <c r="I6996" s="3"/>
    </row>
    <row r="6997" spans="1:9" s="93" customFormat="1" ht="9" customHeight="1" x14ac:dyDescent="0.3">
      <c r="A6997" s="91"/>
      <c r="B6997" s="70"/>
      <c r="C6997" s="70"/>
      <c r="D6997" s="70"/>
      <c r="E6997" s="70"/>
      <c r="F6997" s="70"/>
      <c r="G6997" s="94"/>
      <c r="H6997" s="131"/>
      <c r="I6997" s="3"/>
    </row>
    <row r="6998" spans="1:9" s="93" customFormat="1" ht="9" customHeight="1" x14ac:dyDescent="0.3">
      <c r="A6998" s="91"/>
      <c r="B6998" s="70"/>
      <c r="C6998" s="70"/>
      <c r="D6998" s="70"/>
      <c r="E6998" s="70"/>
      <c r="F6998" s="70"/>
      <c r="G6998" s="94"/>
      <c r="H6998" s="131"/>
      <c r="I6998" s="3"/>
    </row>
    <row r="6999" spans="1:9" s="93" customFormat="1" ht="9" customHeight="1" x14ac:dyDescent="0.3">
      <c r="A6999" s="91"/>
      <c r="B6999" s="70"/>
      <c r="C6999" s="70"/>
      <c r="D6999" s="70"/>
      <c r="E6999" s="70"/>
      <c r="F6999" s="70"/>
      <c r="G6999" s="94"/>
      <c r="H6999" s="131"/>
      <c r="I6999" s="3"/>
    </row>
    <row r="7000" spans="1:9" s="93" customFormat="1" ht="9" customHeight="1" x14ac:dyDescent="0.3">
      <c r="A7000" s="91"/>
      <c r="B7000" s="70"/>
      <c r="C7000" s="70"/>
      <c r="D7000" s="70"/>
      <c r="E7000" s="70"/>
      <c r="F7000" s="70"/>
      <c r="G7000" s="94"/>
      <c r="H7000" s="131"/>
      <c r="I7000" s="3"/>
    </row>
    <row r="7001" spans="1:9" s="93" customFormat="1" ht="9" customHeight="1" x14ac:dyDescent="0.3">
      <c r="A7001" s="91"/>
      <c r="B7001" s="70"/>
      <c r="C7001" s="70"/>
      <c r="D7001" s="70"/>
      <c r="E7001" s="70"/>
      <c r="F7001" s="70"/>
      <c r="G7001" s="94"/>
      <c r="H7001" s="131"/>
      <c r="I7001" s="3"/>
    </row>
    <row r="7002" spans="1:9" s="93" customFormat="1" ht="9" customHeight="1" x14ac:dyDescent="0.3">
      <c r="A7002" s="91"/>
      <c r="B7002" s="70"/>
      <c r="C7002" s="70"/>
      <c r="D7002" s="70"/>
      <c r="E7002" s="70"/>
      <c r="F7002" s="70"/>
      <c r="G7002" s="94"/>
      <c r="H7002" s="131"/>
      <c r="I7002" s="3"/>
    </row>
    <row r="7003" spans="1:9" s="93" customFormat="1" ht="9" customHeight="1" x14ac:dyDescent="0.3">
      <c r="A7003" s="91"/>
      <c r="B7003" s="70"/>
      <c r="C7003" s="70"/>
      <c r="D7003" s="70"/>
      <c r="E7003" s="70"/>
      <c r="F7003" s="70"/>
      <c r="G7003" s="94"/>
      <c r="H7003" s="131"/>
      <c r="I7003" s="3"/>
    </row>
    <row r="7004" spans="1:9" s="93" customFormat="1" ht="9" customHeight="1" x14ac:dyDescent="0.3">
      <c r="A7004" s="91"/>
      <c r="B7004" s="70"/>
      <c r="C7004" s="70"/>
      <c r="D7004" s="70"/>
      <c r="E7004" s="70"/>
      <c r="F7004" s="70"/>
      <c r="G7004" s="94"/>
      <c r="H7004" s="131"/>
      <c r="I7004" s="3"/>
    </row>
    <row r="7005" spans="1:9" s="93" customFormat="1" ht="9" customHeight="1" x14ac:dyDescent="0.3">
      <c r="A7005" s="91"/>
      <c r="B7005" s="70"/>
      <c r="C7005" s="70"/>
      <c r="D7005" s="70"/>
      <c r="E7005" s="70"/>
      <c r="F7005" s="70"/>
      <c r="G7005" s="94"/>
      <c r="H7005" s="131"/>
      <c r="I7005" s="3"/>
    </row>
    <row r="7006" spans="1:9" s="93" customFormat="1" ht="9" customHeight="1" x14ac:dyDescent="0.3">
      <c r="A7006" s="91"/>
      <c r="B7006" s="70"/>
      <c r="C7006" s="70"/>
      <c r="D7006" s="70"/>
      <c r="E7006" s="70"/>
      <c r="F7006" s="70"/>
      <c r="G7006" s="94"/>
      <c r="H7006" s="131"/>
      <c r="I7006" s="3"/>
    </row>
    <row r="7007" spans="1:9" s="93" customFormat="1" ht="9" customHeight="1" x14ac:dyDescent="0.3">
      <c r="A7007" s="91"/>
      <c r="B7007" s="70"/>
      <c r="C7007" s="70"/>
      <c r="D7007" s="70"/>
      <c r="E7007" s="70"/>
      <c r="F7007" s="70"/>
      <c r="G7007" s="94"/>
      <c r="H7007" s="131"/>
      <c r="I7007" s="3"/>
    </row>
    <row r="7008" spans="1:9" s="93" customFormat="1" ht="9" customHeight="1" x14ac:dyDescent="0.3">
      <c r="A7008" s="91"/>
      <c r="B7008" s="70"/>
      <c r="C7008" s="70"/>
      <c r="D7008" s="70"/>
      <c r="E7008" s="70"/>
      <c r="F7008" s="70"/>
      <c r="G7008" s="94"/>
      <c r="H7008" s="131"/>
      <c r="I7008" s="3"/>
    </row>
    <row r="7009" spans="1:9" s="93" customFormat="1" ht="9" customHeight="1" x14ac:dyDescent="0.3">
      <c r="A7009" s="91"/>
      <c r="B7009" s="70"/>
      <c r="C7009" s="70"/>
      <c r="D7009" s="70"/>
      <c r="E7009" s="70"/>
      <c r="F7009" s="70"/>
      <c r="G7009" s="94"/>
      <c r="H7009" s="131"/>
      <c r="I7009" s="3"/>
    </row>
    <row r="7010" spans="1:9" s="93" customFormat="1" ht="9" customHeight="1" x14ac:dyDescent="0.3">
      <c r="A7010" s="91"/>
      <c r="B7010" s="70"/>
      <c r="C7010" s="70"/>
      <c r="D7010" s="70"/>
      <c r="E7010" s="70"/>
      <c r="F7010" s="70"/>
      <c r="G7010" s="94"/>
      <c r="H7010" s="131"/>
      <c r="I7010" s="3"/>
    </row>
    <row r="7011" spans="1:9" s="93" customFormat="1" ht="9" customHeight="1" x14ac:dyDescent="0.3">
      <c r="A7011" s="91"/>
      <c r="B7011" s="70"/>
      <c r="C7011" s="70"/>
      <c r="D7011" s="70"/>
      <c r="E7011" s="70"/>
      <c r="F7011" s="70"/>
      <c r="G7011" s="94"/>
      <c r="H7011" s="131"/>
      <c r="I7011" s="3"/>
    </row>
    <row r="7012" spans="1:9" s="93" customFormat="1" ht="9" customHeight="1" x14ac:dyDescent="0.3">
      <c r="A7012" s="91"/>
      <c r="B7012" s="70"/>
      <c r="C7012" s="70"/>
      <c r="D7012" s="70"/>
      <c r="E7012" s="70"/>
      <c r="F7012" s="70"/>
      <c r="G7012" s="94"/>
      <c r="H7012" s="131"/>
      <c r="I7012" s="3"/>
    </row>
    <row r="7013" spans="1:9" s="93" customFormat="1" ht="9" customHeight="1" x14ac:dyDescent="0.3">
      <c r="A7013" s="91"/>
      <c r="B7013" s="70"/>
      <c r="C7013" s="70"/>
      <c r="D7013" s="70"/>
      <c r="E7013" s="70"/>
      <c r="F7013" s="70"/>
      <c r="G7013" s="94"/>
      <c r="H7013" s="131"/>
      <c r="I7013" s="3"/>
    </row>
    <row r="7014" spans="1:9" s="93" customFormat="1" ht="9" customHeight="1" x14ac:dyDescent="0.3">
      <c r="A7014" s="91"/>
      <c r="B7014" s="70"/>
      <c r="C7014" s="70"/>
      <c r="D7014" s="70"/>
      <c r="E7014" s="70"/>
      <c r="F7014" s="70"/>
      <c r="G7014" s="94"/>
      <c r="H7014" s="131"/>
      <c r="I7014" s="3"/>
    </row>
    <row r="7015" spans="1:9" s="93" customFormat="1" ht="9" customHeight="1" x14ac:dyDescent="0.3">
      <c r="A7015" s="91"/>
      <c r="B7015" s="70"/>
      <c r="C7015" s="70"/>
      <c r="D7015" s="70"/>
      <c r="E7015" s="70"/>
      <c r="F7015" s="70"/>
      <c r="G7015" s="94"/>
      <c r="H7015" s="131"/>
      <c r="I7015" s="3"/>
    </row>
    <row r="7016" spans="1:9" s="93" customFormat="1" ht="9" customHeight="1" x14ac:dyDescent="0.3">
      <c r="A7016" s="91"/>
      <c r="B7016" s="70"/>
      <c r="C7016" s="70"/>
      <c r="D7016" s="70"/>
      <c r="E7016" s="70"/>
      <c r="F7016" s="70"/>
      <c r="G7016" s="94"/>
      <c r="H7016" s="131"/>
      <c r="I7016" s="3"/>
    </row>
    <row r="7017" spans="1:9" s="93" customFormat="1" ht="9" customHeight="1" x14ac:dyDescent="0.3">
      <c r="A7017" s="91"/>
      <c r="B7017" s="70"/>
      <c r="C7017" s="70"/>
      <c r="D7017" s="70"/>
      <c r="E7017" s="70"/>
      <c r="F7017" s="70"/>
      <c r="G7017" s="94"/>
      <c r="H7017" s="131"/>
      <c r="I7017" s="3"/>
    </row>
    <row r="7018" spans="1:9" s="93" customFormat="1" ht="9" customHeight="1" x14ac:dyDescent="0.3">
      <c r="A7018" s="91"/>
      <c r="B7018" s="70"/>
      <c r="C7018" s="70"/>
      <c r="D7018" s="70"/>
      <c r="E7018" s="70"/>
      <c r="F7018" s="70"/>
      <c r="G7018" s="94"/>
      <c r="H7018" s="131"/>
      <c r="I7018" s="3"/>
    </row>
    <row r="7019" spans="1:9" s="93" customFormat="1" ht="9" customHeight="1" x14ac:dyDescent="0.3">
      <c r="A7019" s="91"/>
      <c r="B7019" s="70"/>
      <c r="C7019" s="70"/>
      <c r="D7019" s="70"/>
      <c r="E7019" s="70"/>
      <c r="F7019" s="70"/>
      <c r="G7019" s="94"/>
      <c r="H7019" s="131"/>
      <c r="I7019" s="3"/>
    </row>
    <row r="7020" spans="1:9" s="93" customFormat="1" ht="9" customHeight="1" x14ac:dyDescent="0.3">
      <c r="A7020" s="91"/>
      <c r="B7020" s="70"/>
      <c r="C7020" s="70"/>
      <c r="D7020" s="70"/>
      <c r="E7020" s="70"/>
      <c r="F7020" s="70"/>
      <c r="G7020" s="94"/>
      <c r="H7020" s="131"/>
      <c r="I7020" s="3"/>
    </row>
    <row r="7021" spans="1:9" s="93" customFormat="1" ht="9" customHeight="1" x14ac:dyDescent="0.3">
      <c r="A7021" s="91"/>
      <c r="B7021" s="70"/>
      <c r="C7021" s="70"/>
      <c r="D7021" s="70"/>
      <c r="E7021" s="70"/>
      <c r="F7021" s="70"/>
      <c r="G7021" s="94"/>
      <c r="H7021" s="131"/>
      <c r="I7021" s="3"/>
    </row>
    <row r="7022" spans="1:9" s="93" customFormat="1" ht="9" customHeight="1" x14ac:dyDescent="0.3">
      <c r="A7022" s="91"/>
      <c r="B7022" s="70"/>
      <c r="C7022" s="70"/>
      <c r="D7022" s="70"/>
      <c r="E7022" s="70"/>
      <c r="F7022" s="70"/>
      <c r="G7022" s="94"/>
      <c r="H7022" s="131"/>
      <c r="I7022" s="3"/>
    </row>
    <row r="7023" spans="1:9" s="93" customFormat="1" ht="9" customHeight="1" x14ac:dyDescent="0.3">
      <c r="A7023" s="91"/>
      <c r="B7023" s="70"/>
      <c r="C7023" s="70"/>
      <c r="D7023" s="70"/>
      <c r="E7023" s="70"/>
      <c r="F7023" s="70"/>
      <c r="G7023" s="94"/>
      <c r="H7023" s="131"/>
      <c r="I7023" s="3"/>
    </row>
    <row r="7024" spans="1:9" s="93" customFormat="1" ht="9" customHeight="1" x14ac:dyDescent="0.3">
      <c r="A7024" s="91"/>
      <c r="B7024" s="70"/>
      <c r="C7024" s="70"/>
      <c r="D7024" s="70"/>
      <c r="E7024" s="70"/>
      <c r="F7024" s="70"/>
      <c r="G7024" s="94"/>
      <c r="H7024" s="131"/>
      <c r="I7024" s="3"/>
    </row>
    <row r="7025" spans="1:9" s="93" customFormat="1" ht="9" customHeight="1" x14ac:dyDescent="0.3">
      <c r="A7025" s="91"/>
      <c r="B7025" s="70"/>
      <c r="C7025" s="70"/>
      <c r="D7025" s="70"/>
      <c r="E7025" s="70"/>
      <c r="F7025" s="70"/>
      <c r="G7025" s="94"/>
      <c r="H7025" s="131"/>
      <c r="I7025" s="3"/>
    </row>
    <row r="7026" spans="1:9" s="93" customFormat="1" ht="9" customHeight="1" x14ac:dyDescent="0.3">
      <c r="A7026" s="91"/>
      <c r="B7026" s="70"/>
      <c r="C7026" s="70"/>
      <c r="D7026" s="70"/>
      <c r="E7026" s="70"/>
      <c r="F7026" s="70"/>
      <c r="G7026" s="94"/>
      <c r="H7026" s="131"/>
      <c r="I7026" s="3"/>
    </row>
    <row r="7027" spans="1:9" s="93" customFormat="1" ht="9" customHeight="1" x14ac:dyDescent="0.3">
      <c r="A7027" s="91"/>
      <c r="B7027" s="70"/>
      <c r="C7027" s="70"/>
      <c r="D7027" s="70"/>
      <c r="E7027" s="70"/>
      <c r="F7027" s="70"/>
      <c r="G7027" s="94"/>
      <c r="H7027" s="131"/>
      <c r="I7027" s="3"/>
    </row>
    <row r="7028" spans="1:9" s="93" customFormat="1" ht="9" customHeight="1" x14ac:dyDescent="0.3">
      <c r="A7028" s="91"/>
      <c r="B7028" s="70"/>
      <c r="C7028" s="70"/>
      <c r="D7028" s="70"/>
      <c r="E7028" s="70"/>
      <c r="F7028" s="70"/>
      <c r="G7028" s="94"/>
      <c r="H7028" s="131"/>
      <c r="I7028" s="3"/>
    </row>
    <row r="7029" spans="1:9" s="93" customFormat="1" ht="9" customHeight="1" x14ac:dyDescent="0.3">
      <c r="A7029" s="91"/>
      <c r="B7029" s="70"/>
      <c r="C7029" s="70"/>
      <c r="D7029" s="70"/>
      <c r="E7029" s="70"/>
      <c r="F7029" s="70"/>
      <c r="G7029" s="94"/>
      <c r="H7029" s="131"/>
      <c r="I7029" s="3"/>
    </row>
    <row r="7030" spans="1:9" s="93" customFormat="1" ht="9" customHeight="1" x14ac:dyDescent="0.3">
      <c r="A7030" s="91"/>
      <c r="B7030" s="70"/>
      <c r="C7030" s="70"/>
      <c r="D7030" s="70"/>
      <c r="E7030" s="70"/>
      <c r="F7030" s="70"/>
      <c r="G7030" s="94"/>
      <c r="H7030" s="131"/>
      <c r="I7030" s="3"/>
    </row>
    <row r="7031" spans="1:9" s="93" customFormat="1" ht="9" customHeight="1" x14ac:dyDescent="0.3">
      <c r="A7031" s="91"/>
      <c r="B7031" s="70"/>
      <c r="C7031" s="70"/>
      <c r="D7031" s="70"/>
      <c r="E7031" s="70"/>
      <c r="F7031" s="70"/>
      <c r="G7031" s="94"/>
      <c r="H7031" s="131"/>
      <c r="I7031" s="3"/>
    </row>
    <row r="7032" spans="1:9" s="93" customFormat="1" ht="9" customHeight="1" x14ac:dyDescent="0.3">
      <c r="A7032" s="91"/>
      <c r="B7032" s="70"/>
      <c r="C7032" s="70"/>
      <c r="D7032" s="70"/>
      <c r="E7032" s="70"/>
      <c r="F7032" s="70"/>
      <c r="G7032" s="94"/>
      <c r="H7032" s="131"/>
      <c r="I7032" s="3"/>
    </row>
    <row r="7033" spans="1:9" s="93" customFormat="1" ht="9" customHeight="1" x14ac:dyDescent="0.3">
      <c r="A7033" s="91"/>
      <c r="B7033" s="70"/>
      <c r="C7033" s="70"/>
      <c r="D7033" s="70"/>
      <c r="E7033" s="70"/>
      <c r="F7033" s="70"/>
      <c r="G7033" s="94"/>
      <c r="H7033" s="131"/>
      <c r="I7033" s="3"/>
    </row>
    <row r="7034" spans="1:9" s="93" customFormat="1" ht="9" customHeight="1" x14ac:dyDescent="0.3">
      <c r="A7034" s="91"/>
      <c r="B7034" s="70"/>
      <c r="C7034" s="70"/>
      <c r="D7034" s="70"/>
      <c r="E7034" s="70"/>
      <c r="F7034" s="70"/>
      <c r="G7034" s="94"/>
      <c r="H7034" s="131"/>
      <c r="I7034" s="3"/>
    </row>
    <row r="7035" spans="1:9" s="93" customFormat="1" ht="9" customHeight="1" x14ac:dyDescent="0.3">
      <c r="A7035" s="91"/>
      <c r="B7035" s="70"/>
      <c r="C7035" s="70"/>
      <c r="D7035" s="70"/>
      <c r="E7035" s="70"/>
      <c r="F7035" s="70"/>
      <c r="G7035" s="94"/>
      <c r="H7035" s="131"/>
      <c r="I7035" s="3"/>
    </row>
    <row r="7036" spans="1:9" s="93" customFormat="1" ht="9" customHeight="1" x14ac:dyDescent="0.3">
      <c r="A7036" s="91"/>
      <c r="B7036" s="70"/>
      <c r="C7036" s="70"/>
      <c r="D7036" s="70"/>
      <c r="E7036" s="70"/>
      <c r="F7036" s="70"/>
      <c r="G7036" s="94"/>
      <c r="H7036" s="131"/>
      <c r="I7036" s="3"/>
    </row>
    <row r="7037" spans="1:9" s="93" customFormat="1" ht="9" customHeight="1" x14ac:dyDescent="0.3">
      <c r="A7037" s="91"/>
      <c r="B7037" s="70"/>
      <c r="C7037" s="70"/>
      <c r="D7037" s="70"/>
      <c r="E7037" s="70"/>
      <c r="F7037" s="70"/>
      <c r="G7037" s="94"/>
      <c r="H7037" s="131"/>
      <c r="I7037" s="3"/>
    </row>
    <row r="7038" spans="1:9" s="93" customFormat="1" ht="9" customHeight="1" x14ac:dyDescent="0.3">
      <c r="A7038" s="91"/>
      <c r="B7038" s="70"/>
      <c r="C7038" s="70"/>
      <c r="D7038" s="70"/>
      <c r="E7038" s="70"/>
      <c r="F7038" s="70"/>
      <c r="G7038" s="94"/>
      <c r="H7038" s="131"/>
      <c r="I7038" s="3"/>
    </row>
    <row r="7039" spans="1:9" s="93" customFormat="1" ht="9" customHeight="1" x14ac:dyDescent="0.3">
      <c r="A7039" s="91"/>
      <c r="B7039" s="70"/>
      <c r="C7039" s="70"/>
      <c r="D7039" s="70"/>
      <c r="E7039" s="70"/>
      <c r="F7039" s="70"/>
      <c r="G7039" s="94"/>
      <c r="H7039" s="131"/>
      <c r="I7039" s="3"/>
    </row>
    <row r="7040" spans="1:9" s="93" customFormat="1" ht="9" customHeight="1" x14ac:dyDescent="0.3">
      <c r="A7040" s="91"/>
      <c r="B7040" s="70"/>
      <c r="C7040" s="70"/>
      <c r="D7040" s="70"/>
      <c r="E7040" s="70"/>
      <c r="F7040" s="70"/>
      <c r="G7040" s="94"/>
      <c r="H7040" s="131"/>
      <c r="I7040" s="3"/>
    </row>
    <row r="7041" spans="1:9" s="93" customFormat="1" ht="9" customHeight="1" x14ac:dyDescent="0.3">
      <c r="A7041" s="91"/>
      <c r="B7041" s="70"/>
      <c r="C7041" s="70"/>
      <c r="D7041" s="70"/>
      <c r="E7041" s="70"/>
      <c r="F7041" s="70"/>
      <c r="G7041" s="94"/>
      <c r="H7041" s="131"/>
      <c r="I7041" s="3"/>
    </row>
    <row r="7042" spans="1:9" s="93" customFormat="1" ht="9" customHeight="1" x14ac:dyDescent="0.3">
      <c r="A7042" s="91"/>
      <c r="B7042" s="70"/>
      <c r="C7042" s="70"/>
      <c r="D7042" s="70"/>
      <c r="E7042" s="70"/>
      <c r="F7042" s="70"/>
      <c r="G7042" s="94"/>
      <c r="H7042" s="131"/>
      <c r="I7042" s="3"/>
    </row>
    <row r="7043" spans="1:9" s="93" customFormat="1" ht="9" customHeight="1" x14ac:dyDescent="0.3">
      <c r="A7043" s="91"/>
      <c r="B7043" s="70"/>
      <c r="C7043" s="70"/>
      <c r="D7043" s="70"/>
      <c r="E7043" s="70"/>
      <c r="F7043" s="70"/>
      <c r="G7043" s="94"/>
      <c r="H7043" s="131"/>
      <c r="I7043" s="3"/>
    </row>
    <row r="7044" spans="1:9" s="93" customFormat="1" ht="9" customHeight="1" x14ac:dyDescent="0.3">
      <c r="A7044" s="91"/>
      <c r="B7044" s="70"/>
      <c r="C7044" s="70"/>
      <c r="D7044" s="70"/>
      <c r="E7044" s="70"/>
      <c r="F7044" s="70"/>
      <c r="G7044" s="94"/>
      <c r="H7044" s="131"/>
      <c r="I7044" s="3"/>
    </row>
    <row r="7045" spans="1:9" s="93" customFormat="1" ht="9" customHeight="1" x14ac:dyDescent="0.3">
      <c r="A7045" s="91"/>
      <c r="B7045" s="70"/>
      <c r="C7045" s="70"/>
      <c r="D7045" s="70"/>
      <c r="E7045" s="70"/>
      <c r="F7045" s="70"/>
      <c r="G7045" s="94"/>
      <c r="H7045" s="131"/>
      <c r="I7045" s="3"/>
    </row>
    <row r="7046" spans="1:9" s="93" customFormat="1" ht="9" customHeight="1" x14ac:dyDescent="0.3">
      <c r="A7046" s="91"/>
      <c r="B7046" s="70"/>
      <c r="C7046" s="70"/>
      <c r="D7046" s="70"/>
      <c r="E7046" s="70"/>
      <c r="F7046" s="70"/>
      <c r="G7046" s="94"/>
      <c r="H7046" s="131"/>
      <c r="I7046" s="3"/>
    </row>
    <row r="7047" spans="1:9" s="93" customFormat="1" ht="9" customHeight="1" x14ac:dyDescent="0.3">
      <c r="A7047" s="91"/>
      <c r="B7047" s="70"/>
      <c r="C7047" s="70"/>
      <c r="D7047" s="70"/>
      <c r="E7047" s="70"/>
      <c r="F7047" s="70"/>
      <c r="G7047" s="94"/>
      <c r="H7047" s="131"/>
      <c r="I7047" s="3"/>
    </row>
    <row r="7048" spans="1:9" s="93" customFormat="1" ht="9" customHeight="1" x14ac:dyDescent="0.3">
      <c r="A7048" s="91"/>
      <c r="B7048" s="70"/>
      <c r="C7048" s="70"/>
      <c r="D7048" s="70"/>
      <c r="E7048" s="70"/>
      <c r="F7048" s="70"/>
      <c r="G7048" s="94"/>
      <c r="H7048" s="131"/>
      <c r="I7048" s="3"/>
    </row>
    <row r="7049" spans="1:9" s="93" customFormat="1" ht="9" customHeight="1" x14ac:dyDescent="0.3">
      <c r="A7049" s="91"/>
      <c r="B7049" s="70"/>
      <c r="C7049" s="70"/>
      <c r="D7049" s="70"/>
      <c r="E7049" s="70"/>
      <c r="F7049" s="70"/>
      <c r="G7049" s="94"/>
      <c r="H7049" s="131"/>
      <c r="I7049" s="3"/>
    </row>
    <row r="7050" spans="1:9" s="93" customFormat="1" ht="9" customHeight="1" x14ac:dyDescent="0.3">
      <c r="A7050" s="91"/>
      <c r="B7050" s="70"/>
      <c r="C7050" s="70"/>
      <c r="D7050" s="70"/>
      <c r="E7050" s="70"/>
      <c r="F7050" s="70"/>
      <c r="G7050" s="94"/>
      <c r="H7050" s="131"/>
      <c r="I7050" s="3"/>
    </row>
    <row r="7051" spans="1:9" s="93" customFormat="1" ht="9" customHeight="1" x14ac:dyDescent="0.3">
      <c r="A7051" s="91"/>
      <c r="B7051" s="70"/>
      <c r="C7051" s="70"/>
      <c r="D7051" s="70"/>
      <c r="E7051" s="70"/>
      <c r="F7051" s="70"/>
      <c r="G7051" s="94"/>
      <c r="H7051" s="131"/>
      <c r="I7051" s="3"/>
    </row>
    <row r="7052" spans="1:9" s="93" customFormat="1" ht="9" customHeight="1" x14ac:dyDescent="0.3">
      <c r="A7052" s="91"/>
      <c r="B7052" s="70"/>
      <c r="C7052" s="70"/>
      <c r="D7052" s="70"/>
      <c r="E7052" s="70"/>
      <c r="F7052" s="70"/>
      <c r="G7052" s="94"/>
      <c r="H7052" s="131"/>
      <c r="I7052" s="3"/>
    </row>
    <row r="7053" spans="1:9" s="93" customFormat="1" ht="9" customHeight="1" x14ac:dyDescent="0.3">
      <c r="A7053" s="91"/>
      <c r="B7053" s="70"/>
      <c r="C7053" s="70"/>
      <c r="D7053" s="70"/>
      <c r="E7053" s="70"/>
      <c r="F7053" s="70"/>
      <c r="G7053" s="94"/>
      <c r="H7053" s="131"/>
      <c r="I7053" s="3"/>
    </row>
    <row r="7054" spans="1:9" s="93" customFormat="1" ht="9" customHeight="1" x14ac:dyDescent="0.3">
      <c r="A7054" s="91"/>
      <c r="B7054" s="70"/>
      <c r="C7054" s="70"/>
      <c r="D7054" s="70"/>
      <c r="E7054" s="70"/>
      <c r="F7054" s="70"/>
      <c r="G7054" s="94"/>
      <c r="H7054" s="131"/>
      <c r="I7054" s="3"/>
    </row>
    <row r="7055" spans="1:9" s="93" customFormat="1" ht="9" customHeight="1" x14ac:dyDescent="0.3">
      <c r="A7055" s="91"/>
      <c r="B7055" s="70"/>
      <c r="C7055" s="70"/>
      <c r="D7055" s="70"/>
      <c r="E7055" s="70"/>
      <c r="F7055" s="70"/>
      <c r="G7055" s="94"/>
      <c r="H7055" s="131"/>
      <c r="I7055" s="3"/>
    </row>
    <row r="7056" spans="1:9" s="93" customFormat="1" ht="9" customHeight="1" x14ac:dyDescent="0.3">
      <c r="A7056" s="91"/>
      <c r="B7056" s="70"/>
      <c r="C7056" s="70"/>
      <c r="D7056" s="70"/>
      <c r="E7056" s="70"/>
      <c r="F7056" s="70"/>
      <c r="G7056" s="94"/>
      <c r="H7056" s="131"/>
      <c r="I7056" s="3"/>
    </row>
    <row r="7057" spans="1:9" s="93" customFormat="1" ht="9" customHeight="1" x14ac:dyDescent="0.3">
      <c r="A7057" s="91"/>
      <c r="B7057" s="70"/>
      <c r="C7057" s="70"/>
      <c r="D7057" s="70"/>
      <c r="E7057" s="70"/>
      <c r="F7057" s="70"/>
      <c r="G7057" s="94"/>
      <c r="H7057" s="131"/>
      <c r="I7057" s="3"/>
    </row>
    <row r="7058" spans="1:9" s="93" customFormat="1" ht="9" customHeight="1" x14ac:dyDescent="0.3">
      <c r="A7058" s="91"/>
      <c r="B7058" s="70"/>
      <c r="C7058" s="70"/>
      <c r="D7058" s="70"/>
      <c r="E7058" s="70"/>
      <c r="F7058" s="70"/>
      <c r="G7058" s="94"/>
      <c r="H7058" s="131"/>
      <c r="I7058" s="3"/>
    </row>
    <row r="7059" spans="1:9" s="93" customFormat="1" ht="9" customHeight="1" x14ac:dyDescent="0.3">
      <c r="A7059" s="91"/>
      <c r="B7059" s="70"/>
      <c r="C7059" s="70"/>
      <c r="D7059" s="70"/>
      <c r="E7059" s="70"/>
      <c r="F7059" s="70"/>
      <c r="G7059" s="94"/>
      <c r="H7059" s="131"/>
      <c r="I7059" s="3"/>
    </row>
    <row r="7060" spans="1:9" s="93" customFormat="1" ht="9" customHeight="1" x14ac:dyDescent="0.3">
      <c r="A7060" s="91"/>
      <c r="B7060" s="70"/>
      <c r="C7060" s="70"/>
      <c r="D7060" s="70"/>
      <c r="E7060" s="70"/>
      <c r="F7060" s="70"/>
      <c r="G7060" s="94"/>
      <c r="H7060" s="131"/>
      <c r="I7060" s="3"/>
    </row>
    <row r="7061" spans="1:9" s="93" customFormat="1" ht="9" customHeight="1" x14ac:dyDescent="0.3">
      <c r="A7061" s="91"/>
      <c r="B7061" s="70"/>
      <c r="C7061" s="70"/>
      <c r="D7061" s="70"/>
      <c r="E7061" s="70"/>
      <c r="F7061" s="70"/>
      <c r="G7061" s="94"/>
      <c r="H7061" s="131"/>
      <c r="I7061" s="3"/>
    </row>
    <row r="7062" spans="1:9" s="93" customFormat="1" ht="9" customHeight="1" x14ac:dyDescent="0.3">
      <c r="A7062" s="91"/>
      <c r="B7062" s="70"/>
      <c r="C7062" s="70"/>
      <c r="D7062" s="70"/>
      <c r="E7062" s="70"/>
      <c r="F7062" s="70"/>
      <c r="G7062" s="94"/>
      <c r="H7062" s="131"/>
      <c r="I7062" s="3"/>
    </row>
    <row r="7063" spans="1:9" s="93" customFormat="1" ht="9" customHeight="1" x14ac:dyDescent="0.3">
      <c r="A7063" s="91"/>
      <c r="B7063" s="70"/>
      <c r="C7063" s="70"/>
      <c r="D7063" s="70"/>
      <c r="E7063" s="70"/>
      <c r="F7063" s="70"/>
      <c r="G7063" s="94"/>
      <c r="H7063" s="131"/>
      <c r="I7063" s="3"/>
    </row>
    <row r="7064" spans="1:9" s="93" customFormat="1" ht="9" customHeight="1" x14ac:dyDescent="0.3">
      <c r="A7064" s="91"/>
      <c r="B7064" s="70"/>
      <c r="C7064" s="70"/>
      <c r="D7064" s="70"/>
      <c r="E7064" s="70"/>
      <c r="F7064" s="70"/>
      <c r="G7064" s="94"/>
      <c r="H7064" s="131"/>
      <c r="I7064" s="3"/>
    </row>
    <row r="7065" spans="1:9" s="93" customFormat="1" ht="9" customHeight="1" x14ac:dyDescent="0.3">
      <c r="A7065" s="91"/>
      <c r="B7065" s="70"/>
      <c r="C7065" s="70"/>
      <c r="D7065" s="70"/>
      <c r="E7065" s="70"/>
      <c r="F7065" s="70"/>
      <c r="G7065" s="94"/>
      <c r="H7065" s="131"/>
      <c r="I7065" s="3"/>
    </row>
    <row r="7066" spans="1:9" s="93" customFormat="1" ht="9" customHeight="1" x14ac:dyDescent="0.3">
      <c r="A7066" s="91"/>
      <c r="B7066" s="70"/>
      <c r="C7066" s="70"/>
      <c r="D7066" s="70"/>
      <c r="E7066" s="70"/>
      <c r="F7066" s="70"/>
      <c r="G7066" s="94"/>
      <c r="H7066" s="131"/>
      <c r="I7066" s="3"/>
    </row>
    <row r="7067" spans="1:9" s="93" customFormat="1" ht="9" customHeight="1" x14ac:dyDescent="0.3">
      <c r="A7067" s="91"/>
      <c r="B7067" s="70"/>
      <c r="C7067" s="70"/>
      <c r="D7067" s="70"/>
      <c r="E7067" s="70"/>
      <c r="F7067" s="70"/>
      <c r="G7067" s="94"/>
      <c r="H7067" s="131"/>
      <c r="I7067" s="3"/>
    </row>
    <row r="7068" spans="1:9" s="93" customFormat="1" ht="9" customHeight="1" x14ac:dyDescent="0.3">
      <c r="A7068" s="91"/>
      <c r="B7068" s="70"/>
      <c r="C7068" s="70"/>
      <c r="D7068" s="70"/>
      <c r="E7068" s="70"/>
      <c r="F7068" s="70"/>
      <c r="G7068" s="94"/>
      <c r="H7068" s="131"/>
      <c r="I7068" s="3"/>
    </row>
    <row r="7069" spans="1:9" s="93" customFormat="1" ht="9" customHeight="1" x14ac:dyDescent="0.3">
      <c r="A7069" s="91"/>
      <c r="B7069" s="70"/>
      <c r="C7069" s="70"/>
      <c r="D7069" s="70"/>
      <c r="E7069" s="70"/>
      <c r="F7069" s="70"/>
      <c r="G7069" s="94"/>
      <c r="H7069" s="131"/>
      <c r="I7069" s="3"/>
    </row>
    <row r="7070" spans="1:9" s="93" customFormat="1" ht="9" customHeight="1" x14ac:dyDescent="0.3">
      <c r="A7070" s="91"/>
      <c r="B7070" s="70"/>
      <c r="C7070" s="70"/>
      <c r="D7070" s="70"/>
      <c r="E7070" s="70"/>
      <c r="F7070" s="70"/>
      <c r="G7070" s="94"/>
      <c r="H7070" s="131"/>
      <c r="I7070" s="3"/>
    </row>
    <row r="7071" spans="1:9" s="93" customFormat="1" ht="9" customHeight="1" x14ac:dyDescent="0.3">
      <c r="A7071" s="91"/>
      <c r="B7071" s="70"/>
      <c r="C7071" s="70"/>
      <c r="D7071" s="70"/>
      <c r="E7071" s="70"/>
      <c r="F7071" s="70"/>
      <c r="G7071" s="94"/>
      <c r="H7071" s="131"/>
      <c r="I7071" s="3"/>
    </row>
    <row r="7072" spans="1:9" s="93" customFormat="1" ht="9" customHeight="1" x14ac:dyDescent="0.3">
      <c r="A7072" s="91"/>
      <c r="B7072" s="70"/>
      <c r="C7072" s="70"/>
      <c r="D7072" s="70"/>
      <c r="E7072" s="70"/>
      <c r="F7072" s="70"/>
      <c r="G7072" s="94"/>
      <c r="H7072" s="131"/>
      <c r="I7072" s="3"/>
    </row>
    <row r="7073" spans="1:9" s="93" customFormat="1" ht="9" customHeight="1" x14ac:dyDescent="0.3">
      <c r="A7073" s="91"/>
      <c r="B7073" s="70"/>
      <c r="C7073" s="70"/>
      <c r="D7073" s="70"/>
      <c r="E7073" s="70"/>
      <c r="F7073" s="70"/>
      <c r="G7073" s="94"/>
      <c r="H7073" s="131"/>
      <c r="I7073" s="3"/>
    </row>
    <row r="7074" spans="1:9" s="93" customFormat="1" ht="9" customHeight="1" x14ac:dyDescent="0.3">
      <c r="A7074" s="91"/>
      <c r="B7074" s="70"/>
      <c r="C7074" s="70"/>
      <c r="D7074" s="70"/>
      <c r="E7074" s="70"/>
      <c r="F7074" s="70"/>
      <c r="G7074" s="94"/>
      <c r="H7074" s="131"/>
      <c r="I7074" s="3"/>
    </row>
    <row r="7075" spans="1:9" s="93" customFormat="1" ht="9" customHeight="1" x14ac:dyDescent="0.3">
      <c r="A7075" s="91"/>
      <c r="B7075" s="70"/>
      <c r="C7075" s="70"/>
      <c r="D7075" s="70"/>
      <c r="E7075" s="70"/>
      <c r="F7075" s="70"/>
      <c r="G7075" s="94"/>
      <c r="H7075" s="131"/>
      <c r="I7075" s="3"/>
    </row>
    <row r="7076" spans="1:9" s="93" customFormat="1" ht="9" customHeight="1" x14ac:dyDescent="0.3">
      <c r="A7076" s="91"/>
      <c r="B7076" s="70"/>
      <c r="C7076" s="70"/>
      <c r="D7076" s="70"/>
      <c r="E7076" s="70"/>
      <c r="F7076" s="70"/>
      <c r="G7076" s="94"/>
      <c r="H7076" s="131"/>
      <c r="I7076" s="3"/>
    </row>
    <row r="7077" spans="1:9" s="93" customFormat="1" ht="9" customHeight="1" x14ac:dyDescent="0.3">
      <c r="A7077" s="91"/>
      <c r="B7077" s="70"/>
      <c r="C7077" s="70"/>
      <c r="D7077" s="70"/>
      <c r="E7077" s="70"/>
      <c r="F7077" s="70"/>
      <c r="G7077" s="94"/>
      <c r="H7077" s="131"/>
      <c r="I7077" s="3"/>
    </row>
    <row r="7078" spans="1:9" s="93" customFormat="1" ht="9" customHeight="1" x14ac:dyDescent="0.3">
      <c r="A7078" s="91"/>
      <c r="B7078" s="70"/>
      <c r="C7078" s="70"/>
      <c r="D7078" s="70"/>
      <c r="E7078" s="70"/>
      <c r="F7078" s="70"/>
      <c r="G7078" s="94"/>
      <c r="H7078" s="131"/>
      <c r="I7078" s="3"/>
    </row>
    <row r="7079" spans="1:9" s="93" customFormat="1" ht="9" customHeight="1" x14ac:dyDescent="0.3">
      <c r="A7079" s="91"/>
      <c r="B7079" s="70"/>
      <c r="C7079" s="70"/>
      <c r="D7079" s="70"/>
      <c r="E7079" s="70"/>
      <c r="F7079" s="70"/>
      <c r="G7079" s="94"/>
      <c r="H7079" s="131"/>
      <c r="I7079" s="3"/>
    </row>
    <row r="7080" spans="1:9" s="93" customFormat="1" ht="9" customHeight="1" x14ac:dyDescent="0.3">
      <c r="A7080" s="91"/>
      <c r="B7080" s="70"/>
      <c r="C7080" s="70"/>
      <c r="D7080" s="70"/>
      <c r="E7080" s="70"/>
      <c r="F7080" s="70"/>
      <c r="G7080" s="94"/>
      <c r="H7080" s="131"/>
      <c r="I7080" s="3"/>
    </row>
    <row r="7081" spans="1:9" s="93" customFormat="1" ht="9" customHeight="1" x14ac:dyDescent="0.3">
      <c r="A7081" s="91"/>
      <c r="B7081" s="70"/>
      <c r="C7081" s="70"/>
      <c r="D7081" s="70"/>
      <c r="E7081" s="70"/>
      <c r="F7081" s="70"/>
      <c r="G7081" s="94"/>
      <c r="H7081" s="131"/>
      <c r="I7081" s="3"/>
    </row>
    <row r="7082" spans="1:9" s="93" customFormat="1" ht="9" customHeight="1" x14ac:dyDescent="0.3">
      <c r="A7082" s="91"/>
      <c r="B7082" s="70"/>
      <c r="C7082" s="70"/>
      <c r="D7082" s="70"/>
      <c r="E7082" s="70"/>
      <c r="F7082" s="70"/>
      <c r="G7082" s="94"/>
      <c r="H7082" s="131"/>
      <c r="I7082" s="3"/>
    </row>
    <row r="7083" spans="1:9" s="93" customFormat="1" ht="9" customHeight="1" x14ac:dyDescent="0.3">
      <c r="A7083" s="91"/>
      <c r="B7083" s="70"/>
      <c r="C7083" s="70"/>
      <c r="D7083" s="70"/>
      <c r="E7083" s="70"/>
      <c r="F7083" s="70"/>
      <c r="G7083" s="94"/>
      <c r="H7083" s="131"/>
      <c r="I7083" s="3"/>
    </row>
    <row r="7084" spans="1:9" s="93" customFormat="1" ht="9" customHeight="1" x14ac:dyDescent="0.3">
      <c r="A7084" s="91"/>
      <c r="B7084" s="70"/>
      <c r="C7084" s="70"/>
      <c r="D7084" s="70"/>
      <c r="E7084" s="70"/>
      <c r="F7084" s="70"/>
      <c r="G7084" s="94"/>
      <c r="H7084" s="131"/>
      <c r="I7084" s="3"/>
    </row>
    <row r="7085" spans="1:9" s="93" customFormat="1" ht="9" customHeight="1" x14ac:dyDescent="0.3">
      <c r="A7085" s="91"/>
      <c r="B7085" s="70"/>
      <c r="C7085" s="70"/>
      <c r="D7085" s="70"/>
      <c r="E7085" s="70"/>
      <c r="F7085" s="70"/>
      <c r="G7085" s="94"/>
      <c r="H7085" s="131"/>
      <c r="I7085" s="3"/>
    </row>
    <row r="7086" spans="1:9" s="93" customFormat="1" ht="9" customHeight="1" x14ac:dyDescent="0.3">
      <c r="A7086" s="91"/>
      <c r="B7086" s="70"/>
      <c r="C7086" s="70"/>
      <c r="D7086" s="70"/>
      <c r="E7086" s="70"/>
      <c r="F7086" s="70"/>
      <c r="G7086" s="94"/>
      <c r="H7086" s="131"/>
      <c r="I7086" s="3"/>
    </row>
    <row r="7087" spans="1:9" s="93" customFormat="1" ht="9" customHeight="1" x14ac:dyDescent="0.3">
      <c r="A7087" s="91"/>
      <c r="B7087" s="70"/>
      <c r="C7087" s="70"/>
      <c r="D7087" s="70"/>
      <c r="E7087" s="70"/>
      <c r="F7087" s="70"/>
      <c r="G7087" s="94"/>
      <c r="H7087" s="131"/>
      <c r="I7087" s="3"/>
    </row>
    <row r="7088" spans="1:9" s="93" customFormat="1" ht="9" customHeight="1" x14ac:dyDescent="0.3">
      <c r="A7088" s="91"/>
      <c r="B7088" s="70"/>
      <c r="C7088" s="70"/>
      <c r="D7088" s="70"/>
      <c r="E7088" s="70"/>
      <c r="F7088" s="70"/>
      <c r="G7088" s="94"/>
      <c r="H7088" s="131"/>
      <c r="I7088" s="3"/>
    </row>
    <row r="7089" spans="1:9" s="93" customFormat="1" ht="9" customHeight="1" x14ac:dyDescent="0.3">
      <c r="A7089" s="91"/>
      <c r="B7089" s="70"/>
      <c r="C7089" s="70"/>
      <c r="D7089" s="70"/>
      <c r="E7089" s="70"/>
      <c r="F7089" s="70"/>
      <c r="G7089" s="94"/>
      <c r="H7089" s="131"/>
      <c r="I7089" s="3"/>
    </row>
    <row r="7090" spans="1:9" s="93" customFormat="1" ht="9" customHeight="1" x14ac:dyDescent="0.3">
      <c r="A7090" s="91"/>
      <c r="B7090" s="70"/>
      <c r="C7090" s="70"/>
      <c r="D7090" s="70"/>
      <c r="E7090" s="70"/>
      <c r="F7090" s="70"/>
      <c r="G7090" s="94"/>
      <c r="H7090" s="131"/>
      <c r="I7090" s="3"/>
    </row>
    <row r="7091" spans="1:9" s="93" customFormat="1" ht="9" customHeight="1" x14ac:dyDescent="0.3">
      <c r="A7091" s="91"/>
      <c r="B7091" s="70"/>
      <c r="C7091" s="70"/>
      <c r="D7091" s="70"/>
      <c r="E7091" s="70"/>
      <c r="F7091" s="70"/>
      <c r="G7091" s="94"/>
      <c r="H7091" s="131"/>
      <c r="I7091" s="3"/>
    </row>
    <row r="7092" spans="1:9" s="93" customFormat="1" ht="9" customHeight="1" x14ac:dyDescent="0.3">
      <c r="A7092" s="91"/>
      <c r="B7092" s="70"/>
      <c r="C7092" s="70"/>
      <c r="D7092" s="70"/>
      <c r="E7092" s="70"/>
      <c r="F7092" s="70"/>
      <c r="G7092" s="94"/>
      <c r="H7092" s="131"/>
      <c r="I7092" s="3"/>
    </row>
    <row r="7093" spans="1:9" s="93" customFormat="1" ht="9" customHeight="1" x14ac:dyDescent="0.3">
      <c r="A7093" s="91"/>
      <c r="B7093" s="70"/>
      <c r="C7093" s="70"/>
      <c r="D7093" s="70"/>
      <c r="E7093" s="70"/>
      <c r="F7093" s="70"/>
      <c r="G7093" s="94"/>
      <c r="H7093" s="131"/>
      <c r="I7093" s="3"/>
    </row>
    <row r="7094" spans="1:9" s="93" customFormat="1" ht="9" customHeight="1" x14ac:dyDescent="0.3">
      <c r="A7094" s="91"/>
      <c r="B7094" s="70"/>
      <c r="C7094" s="70"/>
      <c r="D7094" s="70"/>
      <c r="E7094" s="70"/>
      <c r="F7094" s="70"/>
      <c r="G7094" s="94"/>
      <c r="H7094" s="131"/>
      <c r="I7094" s="3"/>
    </row>
    <row r="7095" spans="1:9" s="93" customFormat="1" ht="9" customHeight="1" x14ac:dyDescent="0.3">
      <c r="A7095" s="91"/>
      <c r="B7095" s="70"/>
      <c r="C7095" s="70"/>
      <c r="D7095" s="70"/>
      <c r="E7095" s="70"/>
      <c r="F7095" s="70"/>
      <c r="G7095" s="94"/>
      <c r="H7095" s="131"/>
      <c r="I7095" s="3"/>
    </row>
    <row r="7096" spans="1:9" s="93" customFormat="1" ht="9" customHeight="1" x14ac:dyDescent="0.3">
      <c r="A7096" s="91"/>
      <c r="B7096" s="70"/>
      <c r="C7096" s="70"/>
      <c r="D7096" s="70"/>
      <c r="E7096" s="70"/>
      <c r="F7096" s="70"/>
      <c r="G7096" s="94"/>
      <c r="H7096" s="131"/>
      <c r="I7096" s="3"/>
    </row>
    <row r="7097" spans="1:9" s="93" customFormat="1" ht="9" customHeight="1" x14ac:dyDescent="0.3">
      <c r="A7097" s="91"/>
      <c r="B7097" s="70"/>
      <c r="C7097" s="70"/>
      <c r="D7097" s="70"/>
      <c r="E7097" s="70"/>
      <c r="F7097" s="70"/>
      <c r="G7097" s="94"/>
      <c r="H7097" s="131"/>
      <c r="I7097" s="3"/>
    </row>
    <row r="7098" spans="1:9" s="93" customFormat="1" ht="9" customHeight="1" x14ac:dyDescent="0.3">
      <c r="A7098" s="91"/>
      <c r="B7098" s="70"/>
      <c r="C7098" s="70"/>
      <c r="D7098" s="70"/>
      <c r="E7098" s="70"/>
      <c r="F7098" s="70"/>
      <c r="G7098" s="94"/>
      <c r="H7098" s="131"/>
      <c r="I7098" s="3"/>
    </row>
    <row r="7099" spans="1:9" s="93" customFormat="1" ht="9" customHeight="1" x14ac:dyDescent="0.3">
      <c r="A7099" s="91"/>
      <c r="B7099" s="70"/>
      <c r="C7099" s="70"/>
      <c r="D7099" s="70"/>
      <c r="E7099" s="70"/>
      <c r="F7099" s="70"/>
      <c r="G7099" s="94"/>
      <c r="H7099" s="131"/>
      <c r="I7099" s="3"/>
    </row>
    <row r="7100" spans="1:9" s="93" customFormat="1" ht="9" customHeight="1" x14ac:dyDescent="0.3">
      <c r="A7100" s="91"/>
      <c r="B7100" s="70"/>
      <c r="C7100" s="70"/>
      <c r="D7100" s="70"/>
      <c r="E7100" s="70"/>
      <c r="F7100" s="70"/>
      <c r="G7100" s="94"/>
      <c r="H7100" s="131"/>
      <c r="I7100" s="3"/>
    </row>
    <row r="7101" spans="1:9" s="93" customFormat="1" ht="9" customHeight="1" x14ac:dyDescent="0.3">
      <c r="A7101" s="91"/>
      <c r="B7101" s="70"/>
      <c r="C7101" s="70"/>
      <c r="D7101" s="70"/>
      <c r="E7101" s="70"/>
      <c r="F7101" s="70"/>
      <c r="G7101" s="94"/>
      <c r="H7101" s="131"/>
      <c r="I7101" s="3"/>
    </row>
    <row r="7102" spans="1:9" s="93" customFormat="1" ht="9" customHeight="1" x14ac:dyDescent="0.3">
      <c r="A7102" s="91"/>
      <c r="B7102" s="70"/>
      <c r="C7102" s="70"/>
      <c r="D7102" s="70"/>
      <c r="E7102" s="70"/>
      <c r="F7102" s="70"/>
      <c r="G7102" s="94"/>
      <c r="H7102" s="131"/>
      <c r="I7102" s="3"/>
    </row>
    <row r="7103" spans="1:9" s="93" customFormat="1" ht="9" customHeight="1" x14ac:dyDescent="0.3">
      <c r="A7103" s="91"/>
      <c r="B7103" s="70"/>
      <c r="C7103" s="70"/>
      <c r="D7103" s="70"/>
      <c r="E7103" s="70"/>
      <c r="F7103" s="70"/>
      <c r="G7103" s="94"/>
      <c r="H7103" s="131"/>
      <c r="I7103" s="3"/>
    </row>
    <row r="7104" spans="1:9" s="93" customFormat="1" ht="9" customHeight="1" x14ac:dyDescent="0.3">
      <c r="A7104" s="91"/>
      <c r="B7104" s="70"/>
      <c r="C7104" s="70"/>
      <c r="D7104" s="70"/>
      <c r="E7104" s="70"/>
      <c r="F7104" s="70"/>
      <c r="G7104" s="94"/>
      <c r="H7104" s="131"/>
      <c r="I7104" s="3"/>
    </row>
    <row r="7105" spans="1:9" s="93" customFormat="1" ht="9" customHeight="1" x14ac:dyDescent="0.3">
      <c r="A7105" s="91"/>
      <c r="B7105" s="70"/>
      <c r="C7105" s="70"/>
      <c r="D7105" s="70"/>
      <c r="E7105" s="70"/>
      <c r="F7105" s="70"/>
      <c r="G7105" s="94"/>
      <c r="H7105" s="131"/>
      <c r="I7105" s="3"/>
    </row>
    <row r="7106" spans="1:9" s="93" customFormat="1" ht="9" customHeight="1" x14ac:dyDescent="0.3">
      <c r="A7106" s="91"/>
      <c r="B7106" s="70"/>
      <c r="C7106" s="70"/>
      <c r="D7106" s="70"/>
      <c r="E7106" s="70"/>
      <c r="F7106" s="70"/>
      <c r="G7106" s="94"/>
      <c r="H7106" s="131"/>
      <c r="I7106" s="3"/>
    </row>
    <row r="7107" spans="1:9" s="93" customFormat="1" ht="9" customHeight="1" x14ac:dyDescent="0.3">
      <c r="A7107" s="91"/>
      <c r="B7107" s="70"/>
      <c r="C7107" s="70"/>
      <c r="D7107" s="70"/>
      <c r="E7107" s="70"/>
      <c r="F7107" s="70"/>
      <c r="G7107" s="94"/>
      <c r="H7107" s="131"/>
      <c r="I7107" s="3"/>
    </row>
    <row r="7108" spans="1:9" s="93" customFormat="1" ht="9" customHeight="1" x14ac:dyDescent="0.3">
      <c r="A7108" s="91"/>
      <c r="B7108" s="70"/>
      <c r="C7108" s="70"/>
      <c r="D7108" s="70"/>
      <c r="E7108" s="70"/>
      <c r="F7108" s="70"/>
      <c r="G7108" s="94"/>
      <c r="H7108" s="131"/>
      <c r="I7108" s="3"/>
    </row>
    <row r="7109" spans="1:9" s="93" customFormat="1" ht="9" customHeight="1" x14ac:dyDescent="0.3">
      <c r="A7109" s="91"/>
      <c r="B7109" s="70"/>
      <c r="C7109" s="70"/>
      <c r="D7109" s="70"/>
      <c r="E7109" s="70"/>
      <c r="F7109" s="70"/>
      <c r="G7109" s="94"/>
      <c r="H7109" s="131"/>
      <c r="I7109" s="3"/>
    </row>
    <row r="7110" spans="1:9" s="93" customFormat="1" ht="9" customHeight="1" x14ac:dyDescent="0.3">
      <c r="A7110" s="91"/>
      <c r="B7110" s="70"/>
      <c r="C7110" s="70"/>
      <c r="D7110" s="70"/>
      <c r="E7110" s="70"/>
      <c r="F7110" s="70"/>
      <c r="G7110" s="94"/>
      <c r="H7110" s="131"/>
      <c r="I7110" s="3"/>
    </row>
    <row r="7111" spans="1:9" s="93" customFormat="1" ht="9" customHeight="1" x14ac:dyDescent="0.3">
      <c r="A7111" s="91"/>
      <c r="B7111" s="70"/>
      <c r="C7111" s="70"/>
      <c r="D7111" s="70"/>
      <c r="E7111" s="70"/>
      <c r="F7111" s="70"/>
      <c r="G7111" s="94"/>
      <c r="H7111" s="131"/>
      <c r="I7111" s="3"/>
    </row>
    <row r="7112" spans="1:9" s="93" customFormat="1" ht="9" customHeight="1" x14ac:dyDescent="0.3">
      <c r="A7112" s="91"/>
      <c r="B7112" s="70"/>
      <c r="C7112" s="70"/>
      <c r="D7112" s="70"/>
      <c r="E7112" s="70"/>
      <c r="F7112" s="70"/>
      <c r="G7112" s="94"/>
      <c r="H7112" s="131"/>
      <c r="I7112" s="3"/>
    </row>
    <row r="7113" spans="1:9" s="93" customFormat="1" ht="9" customHeight="1" x14ac:dyDescent="0.3">
      <c r="A7113" s="91"/>
      <c r="B7113" s="70"/>
      <c r="C7113" s="70"/>
      <c r="D7113" s="70"/>
      <c r="E7113" s="70"/>
      <c r="F7113" s="70"/>
      <c r="G7113" s="94"/>
      <c r="H7113" s="131"/>
      <c r="I7113" s="3"/>
    </row>
    <row r="7114" spans="1:9" s="93" customFormat="1" ht="9" customHeight="1" x14ac:dyDescent="0.3">
      <c r="A7114" s="91"/>
      <c r="B7114" s="70"/>
      <c r="C7114" s="70"/>
      <c r="D7114" s="70"/>
      <c r="E7114" s="70"/>
      <c r="F7114" s="70"/>
      <c r="G7114" s="94"/>
      <c r="H7114" s="131"/>
      <c r="I7114" s="3"/>
    </row>
    <row r="7115" spans="1:9" s="93" customFormat="1" ht="9" customHeight="1" x14ac:dyDescent="0.3">
      <c r="A7115" s="91"/>
      <c r="B7115" s="70"/>
      <c r="C7115" s="70"/>
      <c r="D7115" s="70"/>
      <c r="E7115" s="70"/>
      <c r="F7115" s="70"/>
      <c r="G7115" s="94"/>
      <c r="H7115" s="131"/>
      <c r="I7115" s="3"/>
    </row>
    <row r="7116" spans="1:9" s="93" customFormat="1" ht="9" customHeight="1" x14ac:dyDescent="0.3">
      <c r="A7116" s="91"/>
      <c r="B7116" s="70"/>
      <c r="C7116" s="70"/>
      <c r="D7116" s="70"/>
      <c r="E7116" s="70"/>
      <c r="F7116" s="70"/>
      <c r="G7116" s="94"/>
      <c r="H7116" s="131"/>
      <c r="I7116" s="3"/>
    </row>
    <row r="7117" spans="1:9" s="93" customFormat="1" ht="9" customHeight="1" x14ac:dyDescent="0.3">
      <c r="A7117" s="91"/>
      <c r="B7117" s="70"/>
      <c r="C7117" s="70"/>
      <c r="D7117" s="70"/>
      <c r="E7117" s="70"/>
      <c r="F7117" s="70"/>
      <c r="G7117" s="94"/>
      <c r="H7117" s="131"/>
      <c r="I7117" s="3"/>
    </row>
    <row r="7118" spans="1:9" s="93" customFormat="1" ht="9" customHeight="1" x14ac:dyDescent="0.3">
      <c r="A7118" s="91"/>
      <c r="B7118" s="70"/>
      <c r="C7118" s="70"/>
      <c r="D7118" s="70"/>
      <c r="E7118" s="70"/>
      <c r="F7118" s="70"/>
      <c r="G7118" s="94"/>
      <c r="H7118" s="131"/>
      <c r="I7118" s="3"/>
    </row>
    <row r="7119" spans="1:9" s="93" customFormat="1" ht="9" customHeight="1" x14ac:dyDescent="0.3">
      <c r="A7119" s="91"/>
      <c r="B7119" s="70"/>
      <c r="C7119" s="70"/>
      <c r="D7119" s="70"/>
      <c r="E7119" s="70"/>
      <c r="F7119" s="70"/>
      <c r="G7119" s="94"/>
      <c r="H7119" s="131"/>
      <c r="I7119" s="3"/>
    </row>
    <row r="7120" spans="1:9" s="93" customFormat="1" ht="9" customHeight="1" x14ac:dyDescent="0.3">
      <c r="A7120" s="91"/>
      <c r="B7120" s="70"/>
      <c r="C7120" s="70"/>
      <c r="D7120" s="70"/>
      <c r="E7120" s="70"/>
      <c r="F7120" s="70"/>
      <c r="G7120" s="94"/>
      <c r="H7120" s="131"/>
      <c r="I7120" s="3"/>
    </row>
    <row r="7121" spans="1:9" s="93" customFormat="1" ht="9" customHeight="1" x14ac:dyDescent="0.3">
      <c r="A7121" s="91"/>
      <c r="B7121" s="70"/>
      <c r="C7121" s="70"/>
      <c r="D7121" s="70"/>
      <c r="E7121" s="70"/>
      <c r="F7121" s="70"/>
      <c r="G7121" s="94"/>
      <c r="H7121" s="131"/>
      <c r="I7121" s="3"/>
    </row>
    <row r="7122" spans="1:9" s="93" customFormat="1" ht="9" customHeight="1" x14ac:dyDescent="0.3">
      <c r="A7122" s="91"/>
      <c r="B7122" s="70"/>
      <c r="C7122" s="70"/>
      <c r="D7122" s="70"/>
      <c r="E7122" s="70"/>
      <c r="F7122" s="70"/>
      <c r="G7122" s="94"/>
      <c r="H7122" s="131"/>
      <c r="I7122" s="3"/>
    </row>
    <row r="7123" spans="1:9" s="93" customFormat="1" ht="9" customHeight="1" x14ac:dyDescent="0.3">
      <c r="A7123" s="91"/>
      <c r="B7123" s="70"/>
      <c r="C7123" s="70"/>
      <c r="D7123" s="70"/>
      <c r="E7123" s="70"/>
      <c r="F7123" s="70"/>
      <c r="G7123" s="94"/>
      <c r="H7123" s="131"/>
      <c r="I7123" s="3"/>
    </row>
    <row r="7124" spans="1:9" s="93" customFormat="1" ht="9" customHeight="1" x14ac:dyDescent="0.3">
      <c r="A7124" s="91"/>
      <c r="B7124" s="70"/>
      <c r="C7124" s="70"/>
      <c r="D7124" s="70"/>
      <c r="E7124" s="70"/>
      <c r="F7124" s="70"/>
      <c r="G7124" s="94"/>
      <c r="H7124" s="131"/>
      <c r="I7124" s="3"/>
    </row>
    <row r="7125" spans="1:9" s="93" customFormat="1" ht="9" customHeight="1" x14ac:dyDescent="0.3">
      <c r="A7125" s="91"/>
      <c r="B7125" s="70"/>
      <c r="C7125" s="70"/>
      <c r="D7125" s="70"/>
      <c r="E7125" s="70"/>
      <c r="F7125" s="70"/>
      <c r="G7125" s="94"/>
      <c r="H7125" s="131"/>
      <c r="I7125" s="3"/>
    </row>
    <row r="7126" spans="1:9" s="93" customFormat="1" ht="9" customHeight="1" x14ac:dyDescent="0.3">
      <c r="A7126" s="91"/>
      <c r="B7126" s="70"/>
      <c r="C7126" s="70"/>
      <c r="D7126" s="70"/>
      <c r="E7126" s="70"/>
      <c r="F7126" s="70"/>
      <c r="G7126" s="94"/>
      <c r="H7126" s="131"/>
      <c r="I7126" s="3"/>
    </row>
    <row r="7127" spans="1:9" s="93" customFormat="1" ht="9" customHeight="1" x14ac:dyDescent="0.3">
      <c r="A7127" s="91"/>
      <c r="B7127" s="70"/>
      <c r="C7127" s="70"/>
      <c r="D7127" s="70"/>
      <c r="E7127" s="70"/>
      <c r="F7127" s="70"/>
      <c r="G7127" s="94"/>
      <c r="H7127" s="131"/>
      <c r="I7127" s="3"/>
    </row>
    <row r="7128" spans="1:9" s="93" customFormat="1" ht="9" customHeight="1" x14ac:dyDescent="0.3">
      <c r="A7128" s="91"/>
      <c r="B7128" s="70"/>
      <c r="C7128" s="70"/>
      <c r="D7128" s="70"/>
      <c r="E7128" s="70"/>
      <c r="F7128" s="70"/>
      <c r="G7128" s="94"/>
      <c r="H7128" s="131"/>
      <c r="I7128" s="3"/>
    </row>
    <row r="7129" spans="1:9" s="93" customFormat="1" ht="9" customHeight="1" x14ac:dyDescent="0.3">
      <c r="A7129" s="91"/>
      <c r="B7129" s="70"/>
      <c r="C7129" s="70"/>
      <c r="D7129" s="70"/>
      <c r="E7129" s="70"/>
      <c r="F7129" s="70"/>
      <c r="G7129" s="94"/>
      <c r="H7129" s="131"/>
      <c r="I7129" s="3"/>
    </row>
    <row r="7130" spans="1:9" s="93" customFormat="1" ht="9" customHeight="1" x14ac:dyDescent="0.3">
      <c r="A7130" s="91"/>
      <c r="B7130" s="70"/>
      <c r="C7130" s="70"/>
      <c r="D7130" s="70"/>
      <c r="E7130" s="70"/>
      <c r="F7130" s="70"/>
      <c r="G7130" s="94"/>
      <c r="H7130" s="131"/>
      <c r="I7130" s="3"/>
    </row>
    <row r="7131" spans="1:9" s="93" customFormat="1" ht="9" customHeight="1" x14ac:dyDescent="0.3">
      <c r="A7131" s="91"/>
      <c r="B7131" s="70"/>
      <c r="C7131" s="70"/>
      <c r="D7131" s="70"/>
      <c r="E7131" s="70"/>
      <c r="F7131" s="70"/>
      <c r="G7131" s="94"/>
      <c r="H7131" s="131"/>
      <c r="I7131" s="3"/>
    </row>
    <row r="7132" spans="1:9" s="93" customFormat="1" ht="9" customHeight="1" x14ac:dyDescent="0.3">
      <c r="A7132" s="91"/>
      <c r="B7132" s="70"/>
      <c r="C7132" s="70"/>
      <c r="D7132" s="70"/>
      <c r="E7132" s="70"/>
      <c r="F7132" s="70"/>
      <c r="G7132" s="94"/>
      <c r="H7132" s="131"/>
      <c r="I7132" s="3"/>
    </row>
    <row r="7133" spans="1:9" s="93" customFormat="1" ht="9" customHeight="1" x14ac:dyDescent="0.3">
      <c r="A7133" s="91"/>
      <c r="B7133" s="70"/>
      <c r="C7133" s="70"/>
      <c r="D7133" s="70"/>
      <c r="E7133" s="70"/>
      <c r="F7133" s="70"/>
      <c r="G7133" s="94"/>
      <c r="H7133" s="131"/>
      <c r="I7133" s="3"/>
    </row>
    <row r="7134" spans="1:9" s="93" customFormat="1" ht="9" customHeight="1" x14ac:dyDescent="0.3">
      <c r="A7134" s="91"/>
      <c r="B7134" s="70"/>
      <c r="C7134" s="70"/>
      <c r="D7134" s="70"/>
      <c r="E7134" s="70"/>
      <c r="F7134" s="70"/>
      <c r="G7134" s="94"/>
      <c r="H7134" s="131"/>
      <c r="I7134" s="3"/>
    </row>
    <row r="7135" spans="1:9" s="93" customFormat="1" ht="9" customHeight="1" x14ac:dyDescent="0.3">
      <c r="A7135" s="91"/>
      <c r="B7135" s="70"/>
      <c r="C7135" s="70"/>
      <c r="D7135" s="70"/>
      <c r="E7135" s="70"/>
      <c r="F7135" s="70"/>
      <c r="G7135" s="94"/>
      <c r="H7135" s="131"/>
      <c r="I7135" s="3"/>
    </row>
    <row r="7136" spans="1:9" s="93" customFormat="1" ht="9" customHeight="1" x14ac:dyDescent="0.3">
      <c r="A7136" s="91"/>
      <c r="B7136" s="70"/>
      <c r="C7136" s="70"/>
      <c r="D7136" s="70"/>
      <c r="E7136" s="70"/>
      <c r="F7136" s="70"/>
      <c r="G7136" s="94"/>
      <c r="H7136" s="131"/>
      <c r="I7136" s="3"/>
    </row>
    <row r="7137" spans="1:9" s="93" customFormat="1" ht="9" customHeight="1" x14ac:dyDescent="0.3">
      <c r="A7137" s="91"/>
      <c r="B7137" s="70"/>
      <c r="C7137" s="70"/>
      <c r="D7137" s="70"/>
      <c r="E7137" s="70"/>
      <c r="F7137" s="70"/>
      <c r="G7137" s="94"/>
      <c r="H7137" s="131"/>
      <c r="I7137" s="3"/>
    </row>
    <row r="7138" spans="1:9" s="93" customFormat="1" ht="9" customHeight="1" x14ac:dyDescent="0.3">
      <c r="A7138" s="91"/>
      <c r="B7138" s="70"/>
      <c r="C7138" s="70"/>
      <c r="D7138" s="70"/>
      <c r="E7138" s="70"/>
      <c r="F7138" s="70"/>
      <c r="G7138" s="94"/>
      <c r="H7138" s="131"/>
      <c r="I7138" s="3"/>
    </row>
    <row r="7139" spans="1:9" s="93" customFormat="1" ht="9" customHeight="1" x14ac:dyDescent="0.3">
      <c r="A7139" s="91"/>
      <c r="B7139" s="70"/>
      <c r="C7139" s="70"/>
      <c r="D7139" s="70"/>
      <c r="E7139" s="70"/>
      <c r="F7139" s="70"/>
      <c r="G7139" s="94"/>
      <c r="H7139" s="131"/>
      <c r="I7139" s="3"/>
    </row>
    <row r="7140" spans="1:9" s="93" customFormat="1" ht="9" customHeight="1" x14ac:dyDescent="0.3">
      <c r="A7140" s="91"/>
      <c r="B7140" s="70"/>
      <c r="C7140" s="70"/>
      <c r="D7140" s="70"/>
      <c r="E7140" s="70"/>
      <c r="F7140" s="70"/>
      <c r="G7140" s="94"/>
      <c r="H7140" s="131"/>
      <c r="I7140" s="3"/>
    </row>
    <row r="7141" spans="1:9" s="93" customFormat="1" ht="9" customHeight="1" x14ac:dyDescent="0.3">
      <c r="A7141" s="91"/>
      <c r="B7141" s="70"/>
      <c r="C7141" s="70"/>
      <c r="D7141" s="70"/>
      <c r="E7141" s="70"/>
      <c r="F7141" s="70"/>
      <c r="G7141" s="94"/>
      <c r="H7141" s="131"/>
      <c r="I7141" s="3"/>
    </row>
    <row r="7142" spans="1:9" s="93" customFormat="1" ht="9" customHeight="1" x14ac:dyDescent="0.3">
      <c r="A7142" s="91"/>
      <c r="B7142" s="70"/>
      <c r="C7142" s="70"/>
      <c r="D7142" s="70"/>
      <c r="E7142" s="70"/>
      <c r="F7142" s="70"/>
      <c r="G7142" s="94"/>
      <c r="H7142" s="131"/>
      <c r="I7142" s="3"/>
    </row>
    <row r="7143" spans="1:9" s="93" customFormat="1" ht="9" customHeight="1" x14ac:dyDescent="0.3">
      <c r="A7143" s="91"/>
      <c r="B7143" s="70"/>
      <c r="C7143" s="70"/>
      <c r="D7143" s="70"/>
      <c r="E7143" s="70"/>
      <c r="F7143" s="70"/>
      <c r="G7143" s="94"/>
      <c r="H7143" s="131"/>
      <c r="I7143" s="3"/>
    </row>
    <row r="7144" spans="1:9" s="93" customFormat="1" ht="9" customHeight="1" x14ac:dyDescent="0.3">
      <c r="A7144" s="91"/>
      <c r="B7144" s="70"/>
      <c r="C7144" s="70"/>
      <c r="D7144" s="70"/>
      <c r="E7144" s="70"/>
      <c r="F7144" s="70"/>
      <c r="G7144" s="94"/>
      <c r="H7144" s="131"/>
      <c r="I7144" s="3"/>
    </row>
    <row r="7145" spans="1:9" s="93" customFormat="1" ht="9" customHeight="1" x14ac:dyDescent="0.3">
      <c r="A7145" s="91"/>
      <c r="B7145" s="70"/>
      <c r="C7145" s="70"/>
      <c r="D7145" s="70"/>
      <c r="E7145" s="70"/>
      <c r="F7145" s="70"/>
      <c r="G7145" s="94"/>
      <c r="H7145" s="131"/>
      <c r="I7145" s="3"/>
    </row>
    <row r="7146" spans="1:9" s="93" customFormat="1" ht="9" customHeight="1" x14ac:dyDescent="0.3">
      <c r="A7146" s="91"/>
      <c r="B7146" s="70"/>
      <c r="C7146" s="70"/>
      <c r="D7146" s="70"/>
      <c r="E7146" s="70"/>
      <c r="F7146" s="70"/>
      <c r="G7146" s="94"/>
      <c r="H7146" s="131"/>
      <c r="I7146" s="3"/>
    </row>
    <row r="7147" spans="1:9" s="93" customFormat="1" ht="9" customHeight="1" x14ac:dyDescent="0.3">
      <c r="A7147" s="91"/>
      <c r="B7147" s="70"/>
      <c r="C7147" s="70"/>
      <c r="D7147" s="70"/>
      <c r="E7147" s="70"/>
      <c r="F7147" s="70"/>
      <c r="G7147" s="94"/>
      <c r="H7147" s="131"/>
      <c r="I7147" s="3"/>
    </row>
    <row r="7148" spans="1:9" s="93" customFormat="1" ht="9" customHeight="1" x14ac:dyDescent="0.3">
      <c r="A7148" s="91"/>
      <c r="B7148" s="70"/>
      <c r="C7148" s="70"/>
      <c r="D7148" s="70"/>
      <c r="E7148" s="70"/>
      <c r="F7148" s="70"/>
      <c r="G7148" s="94"/>
      <c r="H7148" s="131"/>
      <c r="I7148" s="3"/>
    </row>
    <row r="7149" spans="1:9" s="93" customFormat="1" ht="9" customHeight="1" x14ac:dyDescent="0.3">
      <c r="A7149" s="91"/>
      <c r="B7149" s="70"/>
      <c r="C7149" s="70"/>
      <c r="D7149" s="70"/>
      <c r="E7149" s="70"/>
      <c r="F7149" s="70"/>
      <c r="G7149" s="94"/>
      <c r="H7149" s="131"/>
      <c r="I7149" s="3"/>
    </row>
    <row r="7150" spans="1:9" s="93" customFormat="1" ht="9" customHeight="1" x14ac:dyDescent="0.3">
      <c r="A7150" s="91"/>
      <c r="B7150" s="70"/>
      <c r="C7150" s="70"/>
      <c r="D7150" s="70"/>
      <c r="E7150" s="70"/>
      <c r="F7150" s="70"/>
      <c r="G7150" s="94"/>
      <c r="H7150" s="131"/>
      <c r="I7150" s="3"/>
    </row>
    <row r="7151" spans="1:9" s="93" customFormat="1" ht="9" customHeight="1" x14ac:dyDescent="0.3">
      <c r="A7151" s="91"/>
      <c r="B7151" s="70"/>
      <c r="C7151" s="70"/>
      <c r="D7151" s="70"/>
      <c r="E7151" s="70"/>
      <c r="F7151" s="70"/>
      <c r="G7151" s="94"/>
      <c r="H7151" s="131"/>
      <c r="I7151" s="3"/>
    </row>
    <row r="7152" spans="1:9" s="93" customFormat="1" ht="9" customHeight="1" x14ac:dyDescent="0.3">
      <c r="A7152" s="91"/>
      <c r="B7152" s="70"/>
      <c r="C7152" s="70"/>
      <c r="D7152" s="70"/>
      <c r="E7152" s="70"/>
      <c r="F7152" s="70"/>
      <c r="G7152" s="94"/>
      <c r="H7152" s="131"/>
      <c r="I7152" s="3"/>
    </row>
    <row r="7153" spans="1:9" s="93" customFormat="1" ht="9" customHeight="1" x14ac:dyDescent="0.3">
      <c r="A7153" s="91"/>
      <c r="B7153" s="70"/>
      <c r="C7153" s="70"/>
      <c r="D7153" s="70"/>
      <c r="E7153" s="70"/>
      <c r="F7153" s="70"/>
      <c r="G7153" s="94"/>
      <c r="H7153" s="131"/>
      <c r="I7153" s="3"/>
    </row>
    <row r="7154" spans="1:9" s="93" customFormat="1" ht="9" customHeight="1" x14ac:dyDescent="0.3">
      <c r="A7154" s="91"/>
      <c r="B7154" s="70"/>
      <c r="C7154" s="70"/>
      <c r="D7154" s="70"/>
      <c r="E7154" s="70"/>
      <c r="F7154" s="70"/>
      <c r="G7154" s="94"/>
      <c r="H7154" s="131"/>
      <c r="I7154" s="3"/>
    </row>
    <row r="7155" spans="1:9" s="93" customFormat="1" ht="9" customHeight="1" x14ac:dyDescent="0.3">
      <c r="A7155" s="91"/>
      <c r="B7155" s="70"/>
      <c r="C7155" s="70"/>
      <c r="D7155" s="70"/>
      <c r="E7155" s="70"/>
      <c r="F7155" s="70"/>
      <c r="G7155" s="94"/>
      <c r="H7155" s="131"/>
      <c r="I7155" s="3"/>
    </row>
    <row r="7156" spans="1:9" s="93" customFormat="1" ht="9" customHeight="1" x14ac:dyDescent="0.3">
      <c r="A7156" s="91"/>
      <c r="B7156" s="70"/>
      <c r="C7156" s="70"/>
      <c r="D7156" s="70"/>
      <c r="E7156" s="70"/>
      <c r="F7156" s="70"/>
      <c r="G7156" s="94"/>
      <c r="H7156" s="131"/>
      <c r="I7156" s="3"/>
    </row>
    <row r="7157" spans="1:9" s="93" customFormat="1" ht="9" customHeight="1" x14ac:dyDescent="0.3">
      <c r="A7157" s="91"/>
      <c r="B7157" s="70"/>
      <c r="C7157" s="70"/>
      <c r="D7157" s="70"/>
      <c r="E7157" s="70"/>
      <c r="F7157" s="70"/>
      <c r="G7157" s="94"/>
      <c r="H7157" s="131"/>
      <c r="I7157" s="3"/>
    </row>
    <row r="7158" spans="1:9" s="93" customFormat="1" ht="9" customHeight="1" x14ac:dyDescent="0.3">
      <c r="A7158" s="91"/>
      <c r="B7158" s="70"/>
      <c r="C7158" s="70"/>
      <c r="D7158" s="70"/>
      <c r="E7158" s="70"/>
      <c r="F7158" s="70"/>
      <c r="G7158" s="94"/>
      <c r="H7158" s="131"/>
      <c r="I7158" s="3"/>
    </row>
    <row r="7159" spans="1:9" s="93" customFormat="1" ht="9" customHeight="1" x14ac:dyDescent="0.3">
      <c r="A7159" s="91"/>
      <c r="B7159" s="70"/>
      <c r="C7159" s="70"/>
      <c r="D7159" s="70"/>
      <c r="E7159" s="70"/>
      <c r="F7159" s="70"/>
      <c r="G7159" s="94"/>
      <c r="H7159" s="131"/>
      <c r="I7159" s="3"/>
    </row>
    <row r="7160" spans="1:9" s="93" customFormat="1" ht="9" customHeight="1" x14ac:dyDescent="0.3">
      <c r="A7160" s="91"/>
      <c r="B7160" s="70"/>
      <c r="C7160" s="70"/>
      <c r="D7160" s="70"/>
      <c r="E7160" s="70"/>
      <c r="F7160" s="70"/>
      <c r="G7160" s="94"/>
      <c r="H7160" s="131"/>
      <c r="I7160" s="3"/>
    </row>
    <row r="7161" spans="1:9" s="93" customFormat="1" ht="9" customHeight="1" x14ac:dyDescent="0.3">
      <c r="A7161" s="91"/>
      <c r="B7161" s="70"/>
      <c r="C7161" s="70"/>
      <c r="D7161" s="70"/>
      <c r="E7161" s="70"/>
      <c r="F7161" s="70"/>
      <c r="G7161" s="94"/>
      <c r="H7161" s="131"/>
      <c r="I7161" s="3"/>
    </row>
    <row r="7162" spans="1:9" s="93" customFormat="1" ht="9" customHeight="1" x14ac:dyDescent="0.3">
      <c r="A7162" s="91"/>
      <c r="B7162" s="70"/>
      <c r="C7162" s="70"/>
      <c r="D7162" s="70"/>
      <c r="E7162" s="70"/>
      <c r="F7162" s="70"/>
      <c r="G7162" s="94"/>
      <c r="H7162" s="131"/>
      <c r="I7162" s="3"/>
    </row>
    <row r="7163" spans="1:9" s="93" customFormat="1" ht="9" customHeight="1" x14ac:dyDescent="0.3">
      <c r="A7163" s="91"/>
      <c r="B7163" s="70"/>
      <c r="C7163" s="70"/>
      <c r="D7163" s="70"/>
      <c r="E7163" s="70"/>
      <c r="F7163" s="70"/>
      <c r="G7163" s="94"/>
      <c r="H7163" s="131"/>
      <c r="I7163" s="3"/>
    </row>
    <row r="7164" spans="1:9" s="93" customFormat="1" ht="9" customHeight="1" x14ac:dyDescent="0.3">
      <c r="A7164" s="91"/>
      <c r="B7164" s="70"/>
      <c r="C7164" s="70"/>
      <c r="D7164" s="70"/>
      <c r="E7164" s="70"/>
      <c r="F7164" s="70"/>
      <c r="G7164" s="94"/>
      <c r="H7164" s="131"/>
      <c r="I7164" s="3"/>
    </row>
    <row r="7165" spans="1:9" s="93" customFormat="1" ht="9" customHeight="1" x14ac:dyDescent="0.3">
      <c r="A7165" s="91"/>
      <c r="B7165" s="70"/>
      <c r="C7165" s="70"/>
      <c r="D7165" s="70"/>
      <c r="E7165" s="70"/>
      <c r="F7165" s="70"/>
      <c r="G7165" s="94"/>
      <c r="H7165" s="131"/>
      <c r="I7165" s="3"/>
    </row>
    <row r="7166" spans="1:9" s="93" customFormat="1" ht="9" customHeight="1" x14ac:dyDescent="0.3">
      <c r="A7166" s="91"/>
      <c r="B7166" s="70"/>
      <c r="C7166" s="70"/>
      <c r="D7166" s="70"/>
      <c r="E7166" s="70"/>
      <c r="F7166" s="70"/>
      <c r="G7166" s="94"/>
      <c r="H7166" s="131"/>
      <c r="I7166" s="3"/>
    </row>
    <row r="7167" spans="1:9" s="93" customFormat="1" ht="9" customHeight="1" x14ac:dyDescent="0.3">
      <c r="A7167" s="91"/>
      <c r="B7167" s="70"/>
      <c r="C7167" s="70"/>
      <c r="D7167" s="70"/>
      <c r="E7167" s="70"/>
      <c r="F7167" s="70"/>
      <c r="G7167" s="94"/>
      <c r="H7167" s="131"/>
      <c r="I7167" s="3"/>
    </row>
    <row r="7168" spans="1:9" s="93" customFormat="1" ht="9" customHeight="1" x14ac:dyDescent="0.3">
      <c r="A7168" s="91"/>
      <c r="B7168" s="70"/>
      <c r="C7168" s="70"/>
      <c r="D7168" s="70"/>
      <c r="E7168" s="70"/>
      <c r="F7168" s="70"/>
      <c r="G7168" s="94"/>
      <c r="H7168" s="131"/>
      <c r="I7168" s="3"/>
    </row>
    <row r="7169" spans="1:9" s="93" customFormat="1" ht="9" customHeight="1" x14ac:dyDescent="0.3">
      <c r="A7169" s="91"/>
      <c r="B7169" s="70"/>
      <c r="C7169" s="70"/>
      <c r="D7169" s="70"/>
      <c r="E7169" s="70"/>
      <c r="F7169" s="70"/>
      <c r="G7169" s="94"/>
      <c r="H7169" s="131"/>
      <c r="I7169" s="3"/>
    </row>
    <row r="7170" spans="1:9" s="93" customFormat="1" ht="9" customHeight="1" x14ac:dyDescent="0.3">
      <c r="A7170" s="91"/>
      <c r="B7170" s="70"/>
      <c r="C7170" s="70"/>
      <c r="D7170" s="70"/>
      <c r="E7170" s="70"/>
      <c r="F7170" s="70"/>
      <c r="G7170" s="94"/>
      <c r="H7170" s="131"/>
      <c r="I7170" s="3"/>
    </row>
    <row r="7171" spans="1:9" s="93" customFormat="1" ht="9" customHeight="1" x14ac:dyDescent="0.3">
      <c r="A7171" s="91"/>
      <c r="B7171" s="70"/>
      <c r="C7171" s="70"/>
      <c r="D7171" s="70"/>
      <c r="E7171" s="70"/>
      <c r="F7171" s="70"/>
      <c r="G7171" s="94"/>
      <c r="H7171" s="131"/>
      <c r="I7171" s="3"/>
    </row>
    <row r="7172" spans="1:9" s="93" customFormat="1" ht="9" customHeight="1" x14ac:dyDescent="0.3">
      <c r="A7172" s="91"/>
      <c r="B7172" s="70"/>
      <c r="C7172" s="70"/>
      <c r="D7172" s="70"/>
      <c r="E7172" s="70"/>
      <c r="F7172" s="70"/>
      <c r="G7172" s="94"/>
      <c r="H7172" s="131"/>
      <c r="I7172" s="3"/>
    </row>
    <row r="7173" spans="1:9" s="93" customFormat="1" ht="9" customHeight="1" x14ac:dyDescent="0.3">
      <c r="A7173" s="91"/>
      <c r="B7173" s="70"/>
      <c r="C7173" s="70"/>
      <c r="D7173" s="70"/>
      <c r="E7173" s="70"/>
      <c r="F7173" s="70"/>
      <c r="G7173" s="94"/>
      <c r="H7173" s="131"/>
      <c r="I7173" s="3"/>
    </row>
    <row r="7174" spans="1:9" s="93" customFormat="1" ht="9" customHeight="1" x14ac:dyDescent="0.3">
      <c r="A7174" s="91"/>
      <c r="B7174" s="70"/>
      <c r="C7174" s="70"/>
      <c r="D7174" s="70"/>
      <c r="E7174" s="70"/>
      <c r="F7174" s="70"/>
      <c r="G7174" s="94"/>
      <c r="H7174" s="131"/>
      <c r="I7174" s="3"/>
    </row>
    <row r="7175" spans="1:9" s="93" customFormat="1" ht="9" customHeight="1" x14ac:dyDescent="0.3">
      <c r="A7175" s="91"/>
      <c r="B7175" s="70"/>
      <c r="C7175" s="70"/>
      <c r="D7175" s="70"/>
      <c r="E7175" s="70"/>
      <c r="F7175" s="70"/>
      <c r="G7175" s="94"/>
      <c r="H7175" s="131"/>
      <c r="I7175" s="3"/>
    </row>
    <row r="7176" spans="1:9" s="93" customFormat="1" ht="9" customHeight="1" x14ac:dyDescent="0.3">
      <c r="A7176" s="91"/>
      <c r="B7176" s="70"/>
      <c r="C7176" s="70"/>
      <c r="D7176" s="70"/>
      <c r="E7176" s="70"/>
      <c r="F7176" s="70"/>
      <c r="G7176" s="94"/>
      <c r="H7176" s="131"/>
      <c r="I7176" s="3"/>
    </row>
    <row r="7177" spans="1:9" s="93" customFormat="1" ht="9" customHeight="1" x14ac:dyDescent="0.3">
      <c r="A7177" s="91"/>
      <c r="B7177" s="70"/>
      <c r="C7177" s="70"/>
      <c r="D7177" s="70"/>
      <c r="E7177" s="70"/>
      <c r="F7177" s="70"/>
      <c r="G7177" s="94"/>
      <c r="H7177" s="131"/>
      <c r="I7177" s="3"/>
    </row>
    <row r="7178" spans="1:9" s="93" customFormat="1" ht="9" customHeight="1" x14ac:dyDescent="0.3">
      <c r="A7178" s="91"/>
      <c r="B7178" s="70"/>
      <c r="C7178" s="70"/>
      <c r="D7178" s="70"/>
      <c r="E7178" s="70"/>
      <c r="F7178" s="70"/>
      <c r="G7178" s="94"/>
      <c r="H7178" s="131"/>
      <c r="I7178" s="3"/>
    </row>
    <row r="7179" spans="1:9" s="93" customFormat="1" ht="9" customHeight="1" x14ac:dyDescent="0.3">
      <c r="A7179" s="91"/>
      <c r="B7179" s="70"/>
      <c r="C7179" s="70"/>
      <c r="D7179" s="70"/>
      <c r="E7179" s="70"/>
      <c r="F7179" s="70"/>
      <c r="G7179" s="94"/>
      <c r="H7179" s="131"/>
      <c r="I7179" s="3"/>
    </row>
    <row r="7180" spans="1:9" s="93" customFormat="1" ht="9" customHeight="1" x14ac:dyDescent="0.3">
      <c r="A7180" s="91"/>
      <c r="B7180" s="70"/>
      <c r="C7180" s="70"/>
      <c r="D7180" s="70"/>
      <c r="E7180" s="70"/>
      <c r="F7180" s="70"/>
      <c r="G7180" s="94"/>
      <c r="H7180" s="131"/>
      <c r="I7180" s="3"/>
    </row>
    <row r="7181" spans="1:9" s="93" customFormat="1" ht="9" customHeight="1" x14ac:dyDescent="0.3">
      <c r="A7181" s="91"/>
      <c r="B7181" s="70"/>
      <c r="C7181" s="70"/>
      <c r="D7181" s="70"/>
      <c r="E7181" s="70"/>
      <c r="F7181" s="70"/>
      <c r="G7181" s="94"/>
      <c r="H7181" s="131"/>
      <c r="I7181" s="3"/>
    </row>
    <row r="7182" spans="1:9" s="93" customFormat="1" ht="9" customHeight="1" x14ac:dyDescent="0.3">
      <c r="A7182" s="91"/>
      <c r="B7182" s="70"/>
      <c r="C7182" s="70"/>
      <c r="D7182" s="70"/>
      <c r="E7182" s="70"/>
      <c r="F7182" s="70"/>
      <c r="G7182" s="94"/>
      <c r="H7182" s="131"/>
      <c r="I7182" s="3"/>
    </row>
    <row r="7183" spans="1:9" s="93" customFormat="1" ht="9" customHeight="1" x14ac:dyDescent="0.3">
      <c r="A7183" s="91"/>
      <c r="B7183" s="70"/>
      <c r="C7183" s="70"/>
      <c r="D7183" s="70"/>
      <c r="E7183" s="70"/>
      <c r="F7183" s="70"/>
      <c r="G7183" s="94"/>
      <c r="H7183" s="131"/>
      <c r="I7183" s="3"/>
    </row>
    <row r="7184" spans="1:9" s="93" customFormat="1" ht="9" customHeight="1" x14ac:dyDescent="0.3">
      <c r="A7184" s="91"/>
      <c r="B7184" s="70"/>
      <c r="C7184" s="70"/>
      <c r="D7184" s="70"/>
      <c r="E7184" s="70"/>
      <c r="F7184" s="70"/>
      <c r="G7184" s="94"/>
      <c r="H7184" s="131"/>
      <c r="I7184" s="3"/>
    </row>
    <row r="7185" spans="1:9" s="93" customFormat="1" ht="9" customHeight="1" x14ac:dyDescent="0.3">
      <c r="A7185" s="91"/>
      <c r="B7185" s="70"/>
      <c r="C7185" s="70"/>
      <c r="D7185" s="70"/>
      <c r="E7185" s="70"/>
      <c r="F7185" s="70"/>
      <c r="G7185" s="94"/>
      <c r="H7185" s="131"/>
      <c r="I7185" s="3"/>
    </row>
    <row r="7186" spans="1:9" s="93" customFormat="1" ht="9" customHeight="1" x14ac:dyDescent="0.3">
      <c r="A7186" s="91"/>
      <c r="B7186" s="70"/>
      <c r="C7186" s="70"/>
      <c r="D7186" s="70"/>
      <c r="E7186" s="70"/>
      <c r="F7186" s="70"/>
      <c r="G7186" s="94"/>
      <c r="H7186" s="131"/>
      <c r="I7186" s="3"/>
    </row>
    <row r="7187" spans="1:9" s="93" customFormat="1" ht="9" customHeight="1" x14ac:dyDescent="0.3">
      <c r="A7187" s="91"/>
      <c r="B7187" s="70"/>
      <c r="C7187" s="70"/>
      <c r="D7187" s="70"/>
      <c r="E7187" s="70"/>
      <c r="F7187" s="70"/>
      <c r="G7187" s="94"/>
      <c r="H7187" s="131"/>
      <c r="I7187" s="3"/>
    </row>
    <row r="7188" spans="1:9" s="93" customFormat="1" ht="9" customHeight="1" x14ac:dyDescent="0.3">
      <c r="A7188" s="91"/>
      <c r="B7188" s="70"/>
      <c r="C7188" s="70"/>
      <c r="D7188" s="70"/>
      <c r="E7188" s="70"/>
      <c r="F7188" s="70"/>
      <c r="G7188" s="94"/>
      <c r="H7188" s="131"/>
      <c r="I7188" s="3"/>
    </row>
    <row r="7189" spans="1:9" s="93" customFormat="1" ht="9" customHeight="1" x14ac:dyDescent="0.3">
      <c r="A7189" s="91"/>
      <c r="B7189" s="70"/>
      <c r="C7189" s="70"/>
      <c r="D7189" s="70"/>
      <c r="E7189" s="70"/>
      <c r="F7189" s="70"/>
      <c r="G7189" s="94"/>
      <c r="H7189" s="131"/>
      <c r="I7189" s="3"/>
    </row>
    <row r="7190" spans="1:9" s="93" customFormat="1" ht="9" customHeight="1" x14ac:dyDescent="0.3">
      <c r="A7190" s="91"/>
      <c r="B7190" s="70"/>
      <c r="C7190" s="70"/>
      <c r="D7190" s="70"/>
      <c r="E7190" s="70"/>
      <c r="F7190" s="70"/>
      <c r="G7190" s="94"/>
      <c r="H7190" s="131"/>
      <c r="I7190" s="3"/>
    </row>
    <row r="7191" spans="1:9" s="93" customFormat="1" ht="9" customHeight="1" x14ac:dyDescent="0.3">
      <c r="A7191" s="91"/>
      <c r="B7191" s="70"/>
      <c r="C7191" s="70"/>
      <c r="D7191" s="70"/>
      <c r="E7191" s="70"/>
      <c r="F7191" s="70"/>
      <c r="G7191" s="94"/>
      <c r="H7191" s="131"/>
      <c r="I7191" s="3"/>
    </row>
    <row r="7192" spans="1:9" s="93" customFormat="1" ht="9" customHeight="1" x14ac:dyDescent="0.3">
      <c r="A7192" s="91"/>
      <c r="B7192" s="70"/>
      <c r="C7192" s="70"/>
      <c r="D7192" s="70"/>
      <c r="E7192" s="70"/>
      <c r="F7192" s="70"/>
      <c r="G7192" s="94"/>
      <c r="H7192" s="131"/>
      <c r="I7192" s="3"/>
    </row>
    <row r="7193" spans="1:9" s="93" customFormat="1" ht="9" customHeight="1" x14ac:dyDescent="0.3">
      <c r="A7193" s="91"/>
      <c r="B7193" s="70"/>
      <c r="C7193" s="70"/>
      <c r="D7193" s="70"/>
      <c r="E7193" s="70"/>
      <c r="F7193" s="70"/>
      <c r="G7193" s="94"/>
      <c r="H7193" s="131"/>
      <c r="I7193" s="3"/>
    </row>
    <row r="7194" spans="1:9" s="93" customFormat="1" ht="9" customHeight="1" x14ac:dyDescent="0.3">
      <c r="A7194" s="91"/>
      <c r="B7194" s="70"/>
      <c r="C7194" s="70"/>
      <c r="D7194" s="70"/>
      <c r="E7194" s="70"/>
      <c r="F7194" s="70"/>
      <c r="G7194" s="94"/>
      <c r="H7194" s="131"/>
      <c r="I7194" s="3"/>
    </row>
    <row r="7195" spans="1:9" s="93" customFormat="1" ht="9" customHeight="1" x14ac:dyDescent="0.3">
      <c r="A7195" s="91"/>
      <c r="B7195" s="70"/>
      <c r="C7195" s="70"/>
      <c r="D7195" s="70"/>
      <c r="E7195" s="70"/>
      <c r="F7195" s="70"/>
      <c r="G7195" s="94"/>
      <c r="H7195" s="131"/>
      <c r="I7195" s="3"/>
    </row>
    <row r="7196" spans="1:9" s="93" customFormat="1" ht="9" customHeight="1" x14ac:dyDescent="0.3">
      <c r="A7196" s="91"/>
      <c r="B7196" s="70"/>
      <c r="C7196" s="70"/>
      <c r="D7196" s="70"/>
      <c r="E7196" s="70"/>
      <c r="F7196" s="70"/>
      <c r="G7196" s="94"/>
      <c r="H7196" s="131"/>
      <c r="I7196" s="3"/>
    </row>
    <row r="7197" spans="1:9" s="93" customFormat="1" ht="9" customHeight="1" x14ac:dyDescent="0.3">
      <c r="A7197" s="91"/>
      <c r="B7197" s="70"/>
      <c r="C7197" s="70"/>
      <c r="D7197" s="70"/>
      <c r="E7197" s="70"/>
      <c r="F7197" s="70"/>
      <c r="G7197" s="94"/>
      <c r="H7197" s="131"/>
      <c r="I7197" s="3"/>
    </row>
    <row r="7198" spans="1:9" s="93" customFormat="1" ht="9" customHeight="1" x14ac:dyDescent="0.3">
      <c r="A7198" s="91"/>
      <c r="B7198" s="70"/>
      <c r="C7198" s="70"/>
      <c r="D7198" s="70"/>
      <c r="E7198" s="70"/>
      <c r="F7198" s="70"/>
      <c r="G7198" s="94"/>
      <c r="H7198" s="131"/>
      <c r="I7198" s="3"/>
    </row>
    <row r="7199" spans="1:9" s="93" customFormat="1" ht="9" customHeight="1" x14ac:dyDescent="0.3">
      <c r="A7199" s="91"/>
      <c r="B7199" s="70"/>
      <c r="C7199" s="70"/>
      <c r="D7199" s="70"/>
      <c r="E7199" s="70"/>
      <c r="F7199" s="70"/>
      <c r="G7199" s="94"/>
      <c r="H7199" s="131"/>
      <c r="I7199" s="3"/>
    </row>
    <row r="7200" spans="1:9" s="93" customFormat="1" ht="9" customHeight="1" x14ac:dyDescent="0.3">
      <c r="A7200" s="91"/>
      <c r="B7200" s="70"/>
      <c r="C7200" s="70"/>
      <c r="D7200" s="70"/>
      <c r="E7200" s="70"/>
      <c r="F7200" s="70"/>
      <c r="G7200" s="94"/>
      <c r="H7200" s="131"/>
      <c r="I7200" s="3"/>
    </row>
    <row r="7201" spans="1:9" s="93" customFormat="1" ht="9" customHeight="1" x14ac:dyDescent="0.3">
      <c r="A7201" s="91"/>
      <c r="B7201" s="70"/>
      <c r="C7201" s="70"/>
      <c r="D7201" s="70"/>
      <c r="E7201" s="70"/>
      <c r="F7201" s="70"/>
      <c r="G7201" s="94"/>
      <c r="H7201" s="131"/>
      <c r="I7201" s="3"/>
    </row>
    <row r="7202" spans="1:9" s="93" customFormat="1" ht="9" customHeight="1" x14ac:dyDescent="0.3">
      <c r="A7202" s="91"/>
      <c r="B7202" s="70"/>
      <c r="C7202" s="70"/>
      <c r="D7202" s="70"/>
      <c r="E7202" s="70"/>
      <c r="F7202" s="70"/>
      <c r="G7202" s="94"/>
      <c r="H7202" s="131"/>
      <c r="I7202" s="3"/>
    </row>
    <row r="7203" spans="1:9" s="93" customFormat="1" ht="9" customHeight="1" x14ac:dyDescent="0.3">
      <c r="A7203" s="91"/>
      <c r="B7203" s="70"/>
      <c r="C7203" s="70"/>
      <c r="D7203" s="70"/>
      <c r="E7203" s="70"/>
      <c r="F7203" s="70"/>
      <c r="G7203" s="94"/>
      <c r="H7203" s="131"/>
      <c r="I7203" s="3"/>
    </row>
    <row r="7204" spans="1:9" s="93" customFormat="1" ht="9" customHeight="1" x14ac:dyDescent="0.3">
      <c r="A7204" s="91"/>
      <c r="B7204" s="70"/>
      <c r="C7204" s="70"/>
      <c r="D7204" s="70"/>
      <c r="E7204" s="70"/>
      <c r="F7204" s="70"/>
      <c r="G7204" s="94"/>
      <c r="H7204" s="131"/>
      <c r="I7204" s="3"/>
    </row>
    <row r="7205" spans="1:9" s="93" customFormat="1" ht="9" customHeight="1" x14ac:dyDescent="0.3">
      <c r="A7205" s="91"/>
      <c r="B7205" s="70"/>
      <c r="C7205" s="70"/>
      <c r="D7205" s="70"/>
      <c r="E7205" s="70"/>
      <c r="F7205" s="70"/>
      <c r="G7205" s="94"/>
      <c r="H7205" s="131"/>
      <c r="I7205" s="3"/>
    </row>
    <row r="7206" spans="1:9" s="93" customFormat="1" ht="9" customHeight="1" x14ac:dyDescent="0.3">
      <c r="A7206" s="91"/>
      <c r="B7206" s="70"/>
      <c r="C7206" s="70"/>
      <c r="D7206" s="70"/>
      <c r="E7206" s="70"/>
      <c r="F7206" s="70"/>
      <c r="G7206" s="94"/>
      <c r="H7206" s="131"/>
      <c r="I7206" s="3"/>
    </row>
    <row r="7207" spans="1:9" s="93" customFormat="1" ht="9" customHeight="1" x14ac:dyDescent="0.3">
      <c r="A7207" s="91"/>
      <c r="B7207" s="70"/>
      <c r="C7207" s="70"/>
      <c r="D7207" s="70"/>
      <c r="E7207" s="70"/>
      <c r="F7207" s="70"/>
      <c r="G7207" s="94"/>
      <c r="H7207" s="131"/>
      <c r="I7207" s="3"/>
    </row>
    <row r="7208" spans="1:9" s="93" customFormat="1" ht="9" customHeight="1" x14ac:dyDescent="0.3">
      <c r="A7208" s="91"/>
      <c r="B7208" s="70"/>
      <c r="C7208" s="70"/>
      <c r="D7208" s="70"/>
      <c r="E7208" s="70"/>
      <c r="F7208" s="70"/>
      <c r="G7208" s="94"/>
      <c r="H7208" s="131"/>
      <c r="I7208" s="3"/>
    </row>
    <row r="7209" spans="1:9" s="93" customFormat="1" ht="9" customHeight="1" x14ac:dyDescent="0.3">
      <c r="A7209" s="91"/>
      <c r="B7209" s="70"/>
      <c r="C7209" s="70"/>
      <c r="D7209" s="70"/>
      <c r="E7209" s="70"/>
      <c r="F7209" s="70"/>
      <c r="G7209" s="94"/>
      <c r="H7209" s="131"/>
      <c r="I7209" s="3"/>
    </row>
    <row r="7210" spans="1:9" s="93" customFormat="1" ht="9" customHeight="1" x14ac:dyDescent="0.3">
      <c r="A7210" s="91"/>
      <c r="B7210" s="70"/>
      <c r="C7210" s="70"/>
      <c r="D7210" s="70"/>
      <c r="E7210" s="70"/>
      <c r="F7210" s="70"/>
      <c r="G7210" s="94"/>
      <c r="H7210" s="131"/>
      <c r="I7210" s="3"/>
    </row>
    <row r="7211" spans="1:9" s="93" customFormat="1" ht="9" customHeight="1" x14ac:dyDescent="0.3">
      <c r="A7211" s="91"/>
      <c r="B7211" s="70"/>
      <c r="C7211" s="70"/>
      <c r="D7211" s="70"/>
      <c r="E7211" s="70"/>
      <c r="F7211" s="70"/>
      <c r="G7211" s="94"/>
      <c r="H7211" s="131"/>
      <c r="I7211" s="3"/>
    </row>
    <row r="7212" spans="1:9" s="93" customFormat="1" ht="9" customHeight="1" x14ac:dyDescent="0.3">
      <c r="A7212" s="91"/>
      <c r="B7212" s="70"/>
      <c r="C7212" s="70"/>
      <c r="D7212" s="70"/>
      <c r="E7212" s="70"/>
      <c r="F7212" s="70"/>
      <c r="G7212" s="94"/>
      <c r="H7212" s="131"/>
      <c r="I7212" s="3"/>
    </row>
    <row r="7213" spans="1:9" s="93" customFormat="1" ht="9" customHeight="1" x14ac:dyDescent="0.3">
      <c r="A7213" s="91"/>
      <c r="B7213" s="70"/>
      <c r="C7213" s="70"/>
      <c r="D7213" s="70"/>
      <c r="E7213" s="70"/>
      <c r="F7213" s="70"/>
      <c r="G7213" s="94"/>
      <c r="H7213" s="131"/>
      <c r="I7213" s="3"/>
    </row>
    <row r="7214" spans="1:9" s="93" customFormat="1" ht="9" customHeight="1" x14ac:dyDescent="0.3">
      <c r="A7214" s="91"/>
      <c r="B7214" s="70"/>
      <c r="C7214" s="70"/>
      <c r="D7214" s="70"/>
      <c r="E7214" s="70"/>
      <c r="F7214" s="70"/>
      <c r="G7214" s="94"/>
      <c r="H7214" s="131"/>
      <c r="I7214" s="3"/>
    </row>
    <row r="7215" spans="1:9" s="93" customFormat="1" ht="9" customHeight="1" x14ac:dyDescent="0.3">
      <c r="A7215" s="91"/>
      <c r="B7215" s="70"/>
      <c r="C7215" s="70"/>
      <c r="D7215" s="70"/>
      <c r="E7215" s="70"/>
      <c r="F7215" s="70"/>
      <c r="G7215" s="94"/>
      <c r="H7215" s="131"/>
      <c r="I7215" s="3"/>
    </row>
    <row r="7216" spans="1:9" s="93" customFormat="1" ht="9" customHeight="1" x14ac:dyDescent="0.3">
      <c r="A7216" s="91"/>
      <c r="B7216" s="70"/>
      <c r="C7216" s="70"/>
      <c r="D7216" s="70"/>
      <c r="E7216" s="70"/>
      <c r="F7216" s="70"/>
      <c r="G7216" s="94"/>
      <c r="H7216" s="131"/>
      <c r="I7216" s="3"/>
    </row>
    <row r="7217" spans="1:9" s="93" customFormat="1" ht="9" customHeight="1" x14ac:dyDescent="0.3">
      <c r="A7217" s="91"/>
      <c r="B7217" s="70"/>
      <c r="C7217" s="70"/>
      <c r="D7217" s="70"/>
      <c r="E7217" s="70"/>
      <c r="F7217" s="70"/>
      <c r="G7217" s="94"/>
      <c r="H7217" s="131"/>
      <c r="I7217" s="3"/>
    </row>
    <row r="7218" spans="1:9" s="93" customFormat="1" ht="9" customHeight="1" x14ac:dyDescent="0.3">
      <c r="A7218" s="91"/>
      <c r="B7218" s="70"/>
      <c r="C7218" s="70"/>
      <c r="D7218" s="70"/>
      <c r="E7218" s="70"/>
      <c r="F7218" s="70"/>
      <c r="G7218" s="94"/>
      <c r="H7218" s="131"/>
      <c r="I7218" s="3"/>
    </row>
    <row r="7219" spans="1:9" s="93" customFormat="1" ht="9" customHeight="1" x14ac:dyDescent="0.3">
      <c r="A7219" s="91"/>
      <c r="B7219" s="70"/>
      <c r="C7219" s="70"/>
      <c r="D7219" s="70"/>
      <c r="E7219" s="70"/>
      <c r="F7219" s="70"/>
      <c r="G7219" s="94"/>
      <c r="H7219" s="131"/>
      <c r="I7219" s="3"/>
    </row>
    <row r="7220" spans="1:9" s="93" customFormat="1" ht="9" customHeight="1" x14ac:dyDescent="0.3">
      <c r="A7220" s="91"/>
      <c r="B7220" s="70"/>
      <c r="C7220" s="70"/>
      <c r="D7220" s="70"/>
      <c r="E7220" s="70"/>
      <c r="F7220" s="70"/>
      <c r="G7220" s="94"/>
      <c r="H7220" s="131"/>
      <c r="I7220" s="3"/>
    </row>
    <row r="7221" spans="1:9" s="93" customFormat="1" ht="9" customHeight="1" x14ac:dyDescent="0.3">
      <c r="A7221" s="91"/>
      <c r="B7221" s="70"/>
      <c r="C7221" s="70"/>
      <c r="D7221" s="70"/>
      <c r="E7221" s="70"/>
      <c r="F7221" s="70"/>
      <c r="G7221" s="94"/>
      <c r="H7221" s="131"/>
      <c r="I7221" s="3"/>
    </row>
    <row r="7222" spans="1:9" s="93" customFormat="1" ht="9" customHeight="1" x14ac:dyDescent="0.3">
      <c r="A7222" s="91"/>
      <c r="B7222" s="70"/>
      <c r="C7222" s="70"/>
      <c r="D7222" s="70"/>
      <c r="E7222" s="70"/>
      <c r="F7222" s="70"/>
      <c r="G7222" s="94"/>
      <c r="H7222" s="131"/>
      <c r="I7222" s="3"/>
    </row>
    <row r="7223" spans="1:9" s="93" customFormat="1" ht="9" customHeight="1" x14ac:dyDescent="0.3">
      <c r="A7223" s="91"/>
      <c r="B7223" s="70"/>
      <c r="C7223" s="70"/>
      <c r="D7223" s="70"/>
      <c r="E7223" s="70"/>
      <c r="F7223" s="70"/>
      <c r="G7223" s="94"/>
      <c r="H7223" s="131"/>
      <c r="I7223" s="3"/>
    </row>
    <row r="7224" spans="1:9" s="93" customFormat="1" ht="9" customHeight="1" x14ac:dyDescent="0.3">
      <c r="A7224" s="91"/>
      <c r="B7224" s="70"/>
      <c r="C7224" s="70"/>
      <c r="D7224" s="70"/>
      <c r="E7224" s="70"/>
      <c r="F7224" s="70"/>
      <c r="G7224" s="94"/>
      <c r="H7224" s="131"/>
      <c r="I7224" s="3"/>
    </row>
    <row r="7225" spans="1:9" s="93" customFormat="1" ht="9" customHeight="1" x14ac:dyDescent="0.3">
      <c r="A7225" s="91"/>
      <c r="B7225" s="70"/>
      <c r="C7225" s="70"/>
      <c r="D7225" s="70"/>
      <c r="E7225" s="70"/>
      <c r="F7225" s="70"/>
      <c r="G7225" s="94"/>
      <c r="H7225" s="131"/>
      <c r="I7225" s="3"/>
    </row>
    <row r="7226" spans="1:9" s="93" customFormat="1" ht="9" customHeight="1" x14ac:dyDescent="0.3">
      <c r="A7226" s="91"/>
      <c r="B7226" s="70"/>
      <c r="C7226" s="70"/>
      <c r="D7226" s="70"/>
      <c r="E7226" s="70"/>
      <c r="F7226" s="70"/>
      <c r="G7226" s="94"/>
      <c r="H7226" s="131"/>
      <c r="I7226" s="3"/>
    </row>
    <row r="7227" spans="1:9" s="93" customFormat="1" ht="9" customHeight="1" x14ac:dyDescent="0.3">
      <c r="A7227" s="91"/>
      <c r="B7227" s="70"/>
      <c r="C7227" s="70"/>
      <c r="D7227" s="70"/>
      <c r="E7227" s="70"/>
      <c r="F7227" s="70"/>
      <c r="G7227" s="94"/>
      <c r="H7227" s="131"/>
      <c r="I7227" s="3"/>
    </row>
    <row r="7228" spans="1:9" s="93" customFormat="1" ht="9" customHeight="1" x14ac:dyDescent="0.3">
      <c r="A7228" s="91"/>
      <c r="B7228" s="70"/>
      <c r="C7228" s="70"/>
      <c r="D7228" s="70"/>
      <c r="E7228" s="70"/>
      <c r="F7228" s="70"/>
      <c r="G7228" s="94"/>
      <c r="H7228" s="131"/>
      <c r="I7228" s="3"/>
    </row>
    <row r="7229" spans="1:9" s="93" customFormat="1" ht="9" customHeight="1" x14ac:dyDescent="0.3">
      <c r="A7229" s="91"/>
      <c r="B7229" s="70"/>
      <c r="C7229" s="70"/>
      <c r="D7229" s="70"/>
      <c r="E7229" s="70"/>
      <c r="F7229" s="70"/>
      <c r="G7229" s="94"/>
      <c r="H7229" s="131"/>
      <c r="I7229" s="3"/>
    </row>
    <row r="7230" spans="1:9" s="93" customFormat="1" ht="9" customHeight="1" x14ac:dyDescent="0.3">
      <c r="A7230" s="91"/>
      <c r="B7230" s="70"/>
      <c r="C7230" s="70"/>
      <c r="D7230" s="70"/>
      <c r="E7230" s="70"/>
      <c r="F7230" s="70"/>
      <c r="G7230" s="94"/>
      <c r="H7230" s="131"/>
      <c r="I7230" s="3"/>
    </row>
    <row r="7231" spans="1:9" s="93" customFormat="1" ht="9" customHeight="1" x14ac:dyDescent="0.3">
      <c r="A7231" s="91"/>
      <c r="B7231" s="70"/>
      <c r="C7231" s="70"/>
      <c r="D7231" s="70"/>
      <c r="E7231" s="70"/>
      <c r="F7231" s="70"/>
      <c r="G7231" s="94"/>
      <c r="H7231" s="131"/>
      <c r="I7231" s="3"/>
    </row>
    <row r="7232" spans="1:9" s="93" customFormat="1" ht="9" customHeight="1" x14ac:dyDescent="0.3">
      <c r="A7232" s="91"/>
      <c r="B7232" s="70"/>
      <c r="C7232" s="70"/>
      <c r="D7232" s="70"/>
      <c r="E7232" s="70"/>
      <c r="F7232" s="70"/>
      <c r="G7232" s="94"/>
      <c r="H7232" s="131"/>
      <c r="I7232" s="3"/>
    </row>
    <row r="7233" spans="1:9" s="93" customFormat="1" ht="9" customHeight="1" x14ac:dyDescent="0.3">
      <c r="A7233" s="91"/>
      <c r="B7233" s="70"/>
      <c r="C7233" s="70"/>
      <c r="D7233" s="70"/>
      <c r="E7233" s="70"/>
      <c r="F7233" s="70"/>
      <c r="G7233" s="94"/>
      <c r="H7233" s="131"/>
      <c r="I7233" s="3"/>
    </row>
    <row r="7234" spans="1:9" s="93" customFormat="1" ht="9" customHeight="1" x14ac:dyDescent="0.3">
      <c r="A7234" s="91"/>
      <c r="B7234" s="70"/>
      <c r="C7234" s="70"/>
      <c r="D7234" s="70"/>
      <c r="E7234" s="70"/>
      <c r="F7234" s="70"/>
      <c r="G7234" s="94"/>
      <c r="H7234" s="131"/>
      <c r="I7234" s="3"/>
    </row>
    <row r="7235" spans="1:9" s="93" customFormat="1" ht="9" customHeight="1" x14ac:dyDescent="0.3">
      <c r="A7235" s="91"/>
      <c r="B7235" s="70"/>
      <c r="C7235" s="70"/>
      <c r="D7235" s="70"/>
      <c r="E7235" s="70"/>
      <c r="F7235" s="70"/>
      <c r="G7235" s="94"/>
      <c r="H7235" s="131"/>
      <c r="I7235" s="3"/>
    </row>
    <row r="7236" spans="1:9" s="93" customFormat="1" ht="9" customHeight="1" x14ac:dyDescent="0.3">
      <c r="A7236" s="91"/>
      <c r="B7236" s="70"/>
      <c r="C7236" s="70"/>
      <c r="D7236" s="70"/>
      <c r="E7236" s="70"/>
      <c r="F7236" s="70"/>
      <c r="G7236" s="94"/>
      <c r="H7236" s="131"/>
      <c r="I7236" s="3"/>
    </row>
    <row r="7237" spans="1:9" s="93" customFormat="1" ht="9" customHeight="1" x14ac:dyDescent="0.3">
      <c r="A7237" s="91"/>
      <c r="B7237" s="70"/>
      <c r="C7237" s="70"/>
      <c r="D7237" s="70"/>
      <c r="E7237" s="70"/>
      <c r="F7237" s="70"/>
      <c r="G7237" s="94"/>
      <c r="H7237" s="131"/>
      <c r="I7237" s="3"/>
    </row>
    <row r="7238" spans="1:9" s="93" customFormat="1" ht="9" customHeight="1" x14ac:dyDescent="0.3">
      <c r="A7238" s="91"/>
      <c r="B7238" s="70"/>
      <c r="C7238" s="70"/>
      <c r="D7238" s="70"/>
      <c r="E7238" s="70"/>
      <c r="F7238" s="70"/>
      <c r="G7238" s="94"/>
      <c r="H7238" s="131"/>
      <c r="I7238" s="3"/>
    </row>
    <row r="7239" spans="1:9" s="93" customFormat="1" ht="9" customHeight="1" x14ac:dyDescent="0.3">
      <c r="A7239" s="91"/>
      <c r="B7239" s="70"/>
      <c r="C7239" s="70"/>
      <c r="D7239" s="70"/>
      <c r="E7239" s="70"/>
      <c r="F7239" s="70"/>
      <c r="G7239" s="94"/>
      <c r="H7239" s="131"/>
      <c r="I7239" s="3"/>
    </row>
    <row r="7240" spans="1:9" s="93" customFormat="1" ht="9" customHeight="1" x14ac:dyDescent="0.3">
      <c r="A7240" s="91"/>
      <c r="B7240" s="70"/>
      <c r="C7240" s="70"/>
      <c r="D7240" s="70"/>
      <c r="E7240" s="70"/>
      <c r="F7240" s="70"/>
      <c r="G7240" s="94"/>
      <c r="H7240" s="131"/>
      <c r="I7240" s="3"/>
    </row>
    <row r="7241" spans="1:9" s="93" customFormat="1" ht="9" customHeight="1" x14ac:dyDescent="0.3">
      <c r="A7241" s="91"/>
      <c r="B7241" s="70"/>
      <c r="C7241" s="70"/>
      <c r="D7241" s="70"/>
      <c r="E7241" s="70"/>
      <c r="F7241" s="70"/>
      <c r="G7241" s="94"/>
      <c r="H7241" s="131"/>
      <c r="I7241" s="3"/>
    </row>
    <row r="7242" spans="1:9" s="93" customFormat="1" ht="9" customHeight="1" x14ac:dyDescent="0.3">
      <c r="A7242" s="91"/>
      <c r="B7242" s="70"/>
      <c r="C7242" s="70"/>
      <c r="D7242" s="70"/>
      <c r="E7242" s="70"/>
      <c r="F7242" s="70"/>
      <c r="G7242" s="94"/>
      <c r="H7242" s="131"/>
      <c r="I7242" s="3"/>
    </row>
    <row r="7243" spans="1:9" s="93" customFormat="1" ht="9" customHeight="1" x14ac:dyDescent="0.3">
      <c r="A7243" s="91"/>
      <c r="B7243" s="70"/>
      <c r="C7243" s="70"/>
      <c r="D7243" s="70"/>
      <c r="E7243" s="70"/>
      <c r="F7243" s="70"/>
      <c r="G7243" s="94"/>
      <c r="H7243" s="131"/>
      <c r="I7243" s="3"/>
    </row>
    <row r="7244" spans="1:9" s="93" customFormat="1" ht="9" customHeight="1" x14ac:dyDescent="0.3">
      <c r="A7244" s="91"/>
      <c r="B7244" s="70"/>
      <c r="C7244" s="70"/>
      <c r="D7244" s="70"/>
      <c r="E7244" s="70"/>
      <c r="F7244" s="70"/>
      <c r="G7244" s="94"/>
      <c r="H7244" s="131"/>
      <c r="I7244" s="3"/>
    </row>
    <row r="7245" spans="1:9" s="93" customFormat="1" ht="9" customHeight="1" x14ac:dyDescent="0.3">
      <c r="A7245" s="91"/>
      <c r="B7245" s="70"/>
      <c r="C7245" s="70"/>
      <c r="D7245" s="70"/>
      <c r="E7245" s="70"/>
      <c r="F7245" s="70"/>
      <c r="G7245" s="94"/>
      <c r="H7245" s="131"/>
      <c r="I7245" s="3"/>
    </row>
    <row r="7246" spans="1:9" s="93" customFormat="1" ht="9" customHeight="1" x14ac:dyDescent="0.3">
      <c r="A7246" s="91"/>
      <c r="B7246" s="70"/>
      <c r="C7246" s="70"/>
      <c r="D7246" s="70"/>
      <c r="E7246" s="70"/>
      <c r="F7246" s="70"/>
      <c r="G7246" s="94"/>
      <c r="H7246" s="131"/>
      <c r="I7246" s="3"/>
    </row>
    <row r="7247" spans="1:9" s="93" customFormat="1" ht="9" customHeight="1" x14ac:dyDescent="0.3">
      <c r="A7247" s="91"/>
      <c r="B7247" s="70"/>
      <c r="C7247" s="70"/>
      <c r="D7247" s="70"/>
      <c r="E7247" s="70"/>
      <c r="F7247" s="70"/>
      <c r="G7247" s="94"/>
      <c r="H7247" s="131"/>
      <c r="I7247" s="3"/>
    </row>
    <row r="7248" spans="1:9" s="93" customFormat="1" ht="9" customHeight="1" x14ac:dyDescent="0.3">
      <c r="A7248" s="91"/>
      <c r="B7248" s="70"/>
      <c r="C7248" s="70"/>
      <c r="D7248" s="70"/>
      <c r="E7248" s="70"/>
      <c r="F7248" s="70"/>
      <c r="G7248" s="94"/>
      <c r="H7248" s="131"/>
      <c r="I7248" s="3"/>
    </row>
    <row r="7249" spans="1:9" s="93" customFormat="1" ht="9" customHeight="1" x14ac:dyDescent="0.3">
      <c r="A7249" s="91"/>
      <c r="B7249" s="70"/>
      <c r="C7249" s="70"/>
      <c r="D7249" s="70"/>
      <c r="E7249" s="70"/>
      <c r="F7249" s="70"/>
      <c r="G7249" s="94"/>
      <c r="H7249" s="131"/>
      <c r="I7249" s="3"/>
    </row>
    <row r="7250" spans="1:9" s="93" customFormat="1" ht="9" customHeight="1" x14ac:dyDescent="0.3">
      <c r="A7250" s="91"/>
      <c r="B7250" s="70"/>
      <c r="C7250" s="70"/>
      <c r="D7250" s="70"/>
      <c r="E7250" s="70"/>
      <c r="F7250" s="70"/>
      <c r="G7250" s="94"/>
      <c r="H7250" s="131"/>
      <c r="I7250" s="3"/>
    </row>
    <row r="7251" spans="1:9" s="93" customFormat="1" ht="9" customHeight="1" x14ac:dyDescent="0.3">
      <c r="A7251" s="91"/>
      <c r="B7251" s="70"/>
      <c r="C7251" s="70"/>
      <c r="D7251" s="70"/>
      <c r="E7251" s="70"/>
      <c r="F7251" s="70"/>
      <c r="G7251" s="94"/>
      <c r="H7251" s="131"/>
      <c r="I7251" s="3"/>
    </row>
    <row r="7252" spans="1:9" s="93" customFormat="1" ht="9" customHeight="1" x14ac:dyDescent="0.3">
      <c r="A7252" s="91"/>
      <c r="B7252" s="70"/>
      <c r="C7252" s="70"/>
      <c r="D7252" s="70"/>
      <c r="E7252" s="70"/>
      <c r="F7252" s="70"/>
      <c r="G7252" s="94"/>
      <c r="H7252" s="131"/>
      <c r="I7252" s="3"/>
    </row>
    <row r="7253" spans="1:9" s="93" customFormat="1" ht="9" customHeight="1" x14ac:dyDescent="0.3">
      <c r="A7253" s="91"/>
      <c r="B7253" s="70"/>
      <c r="C7253" s="70"/>
      <c r="D7253" s="70"/>
      <c r="E7253" s="70"/>
      <c r="F7253" s="70"/>
      <c r="G7253" s="94"/>
      <c r="H7253" s="131"/>
      <c r="I7253" s="3"/>
    </row>
    <row r="7254" spans="1:9" s="93" customFormat="1" ht="9" customHeight="1" x14ac:dyDescent="0.3">
      <c r="A7254" s="91"/>
      <c r="B7254" s="70"/>
      <c r="C7254" s="70"/>
      <c r="D7254" s="70"/>
      <c r="E7254" s="70"/>
      <c r="F7254" s="70"/>
      <c r="G7254" s="94"/>
      <c r="H7254" s="131"/>
      <c r="I7254" s="3"/>
    </row>
    <row r="7255" spans="1:9" s="93" customFormat="1" ht="9" customHeight="1" x14ac:dyDescent="0.3">
      <c r="A7255" s="91"/>
      <c r="B7255" s="70"/>
      <c r="C7255" s="70"/>
      <c r="D7255" s="70"/>
      <c r="E7255" s="70"/>
      <c r="F7255" s="70"/>
      <c r="G7255" s="94"/>
      <c r="H7255" s="131"/>
      <c r="I7255" s="3"/>
    </row>
    <row r="7256" spans="1:9" s="93" customFormat="1" ht="9" customHeight="1" x14ac:dyDescent="0.3">
      <c r="A7256" s="91"/>
      <c r="B7256" s="70"/>
      <c r="C7256" s="70"/>
      <c r="D7256" s="70"/>
      <c r="E7256" s="70"/>
      <c r="F7256" s="70"/>
      <c r="G7256" s="94"/>
      <c r="H7256" s="131"/>
      <c r="I7256" s="3"/>
    </row>
    <row r="7257" spans="1:9" s="93" customFormat="1" ht="9" customHeight="1" x14ac:dyDescent="0.3">
      <c r="A7257" s="91"/>
      <c r="B7257" s="70"/>
      <c r="C7257" s="70"/>
      <c r="D7257" s="70"/>
      <c r="E7257" s="70"/>
      <c r="F7257" s="70"/>
      <c r="G7257" s="94"/>
      <c r="H7257" s="131"/>
      <c r="I7257" s="3"/>
    </row>
    <row r="7258" spans="1:9" s="93" customFormat="1" ht="9" customHeight="1" x14ac:dyDescent="0.3">
      <c r="A7258" s="91"/>
      <c r="B7258" s="70"/>
      <c r="C7258" s="70"/>
      <c r="D7258" s="70"/>
      <c r="E7258" s="70"/>
      <c r="F7258" s="70"/>
      <c r="G7258" s="94"/>
      <c r="H7258" s="131"/>
      <c r="I7258" s="3"/>
    </row>
    <row r="7259" spans="1:9" s="93" customFormat="1" ht="9" customHeight="1" x14ac:dyDescent="0.3">
      <c r="A7259" s="91"/>
      <c r="B7259" s="70"/>
      <c r="C7259" s="70"/>
      <c r="D7259" s="70"/>
      <c r="E7259" s="70"/>
      <c r="F7259" s="70"/>
      <c r="G7259" s="94"/>
      <c r="H7259" s="131"/>
      <c r="I7259" s="3"/>
    </row>
    <row r="7260" spans="1:9" s="93" customFormat="1" ht="9" customHeight="1" x14ac:dyDescent="0.3">
      <c r="A7260" s="91"/>
      <c r="B7260" s="70"/>
      <c r="C7260" s="70"/>
      <c r="D7260" s="70"/>
      <c r="E7260" s="70"/>
      <c r="F7260" s="70"/>
      <c r="G7260" s="94"/>
      <c r="H7260" s="131"/>
      <c r="I7260" s="3"/>
    </row>
    <row r="7261" spans="1:9" s="93" customFormat="1" ht="9" customHeight="1" x14ac:dyDescent="0.3">
      <c r="A7261" s="91"/>
      <c r="B7261" s="70"/>
      <c r="C7261" s="70"/>
      <c r="D7261" s="70"/>
      <c r="E7261" s="70"/>
      <c r="F7261" s="70"/>
      <c r="G7261" s="94"/>
      <c r="H7261" s="131"/>
      <c r="I7261" s="3"/>
    </row>
    <row r="7262" spans="1:9" s="93" customFormat="1" ht="9" customHeight="1" x14ac:dyDescent="0.3">
      <c r="A7262" s="91"/>
      <c r="B7262" s="70"/>
      <c r="C7262" s="70"/>
      <c r="D7262" s="70"/>
      <c r="E7262" s="70"/>
      <c r="F7262" s="70"/>
      <c r="G7262" s="94"/>
      <c r="H7262" s="131"/>
      <c r="I7262" s="3"/>
    </row>
    <row r="7263" spans="1:9" s="93" customFormat="1" ht="9" customHeight="1" x14ac:dyDescent="0.3">
      <c r="A7263" s="91"/>
      <c r="B7263" s="70"/>
      <c r="C7263" s="70"/>
      <c r="D7263" s="70"/>
      <c r="E7263" s="70"/>
      <c r="F7263" s="70"/>
      <c r="G7263" s="94"/>
      <c r="H7263" s="131"/>
      <c r="I7263" s="3"/>
    </row>
    <row r="7264" spans="1:9" s="93" customFormat="1" ht="9" customHeight="1" x14ac:dyDescent="0.3">
      <c r="A7264" s="91"/>
      <c r="B7264" s="70"/>
      <c r="C7264" s="70"/>
      <c r="D7264" s="70"/>
      <c r="E7264" s="70"/>
      <c r="F7264" s="70"/>
      <c r="G7264" s="94"/>
      <c r="H7264" s="131"/>
      <c r="I7264" s="3"/>
    </row>
    <row r="7265" spans="1:9" s="93" customFormat="1" ht="9" customHeight="1" x14ac:dyDescent="0.3">
      <c r="A7265" s="91"/>
      <c r="B7265" s="70"/>
      <c r="C7265" s="70"/>
      <c r="D7265" s="70"/>
      <c r="E7265" s="70"/>
      <c r="F7265" s="70"/>
      <c r="G7265" s="94"/>
      <c r="H7265" s="131"/>
      <c r="I7265" s="3"/>
    </row>
    <row r="7266" spans="1:9" s="93" customFormat="1" ht="9" customHeight="1" x14ac:dyDescent="0.3">
      <c r="A7266" s="91"/>
      <c r="B7266" s="70"/>
      <c r="C7266" s="70"/>
      <c r="D7266" s="70"/>
      <c r="E7266" s="70"/>
      <c r="F7266" s="70"/>
      <c r="G7266" s="94"/>
      <c r="H7266" s="131"/>
      <c r="I7266" s="3"/>
    </row>
    <row r="7267" spans="1:9" s="93" customFormat="1" ht="9" customHeight="1" x14ac:dyDescent="0.3">
      <c r="A7267" s="91"/>
      <c r="B7267" s="70"/>
      <c r="C7267" s="70"/>
      <c r="D7267" s="70"/>
      <c r="E7267" s="70"/>
      <c r="F7267" s="70"/>
      <c r="G7267" s="94"/>
      <c r="H7267" s="131"/>
      <c r="I7267" s="3"/>
    </row>
    <row r="7268" spans="1:9" s="93" customFormat="1" ht="9" customHeight="1" x14ac:dyDescent="0.3">
      <c r="A7268" s="91"/>
      <c r="B7268" s="70"/>
      <c r="C7268" s="70"/>
      <c r="D7268" s="70"/>
      <c r="E7268" s="70"/>
      <c r="F7268" s="70"/>
      <c r="G7268" s="94"/>
      <c r="H7268" s="131"/>
      <c r="I7268" s="3"/>
    </row>
    <row r="7269" spans="1:9" s="93" customFormat="1" ht="9" customHeight="1" x14ac:dyDescent="0.3">
      <c r="A7269" s="91"/>
      <c r="B7269" s="70"/>
      <c r="C7269" s="70"/>
      <c r="D7269" s="70"/>
      <c r="E7269" s="70"/>
      <c r="F7269" s="70"/>
      <c r="G7269" s="94"/>
      <c r="H7269" s="131"/>
      <c r="I7269" s="3"/>
    </row>
    <row r="7270" spans="1:9" s="93" customFormat="1" ht="9" customHeight="1" x14ac:dyDescent="0.3">
      <c r="A7270" s="91"/>
      <c r="B7270" s="70"/>
      <c r="C7270" s="70"/>
      <c r="D7270" s="70"/>
      <c r="E7270" s="70"/>
      <c r="F7270" s="70"/>
      <c r="G7270" s="94"/>
      <c r="H7270" s="131"/>
      <c r="I7270" s="3"/>
    </row>
    <row r="7271" spans="1:9" s="93" customFormat="1" ht="9" customHeight="1" x14ac:dyDescent="0.3">
      <c r="A7271" s="91"/>
      <c r="B7271" s="70"/>
      <c r="C7271" s="70"/>
      <c r="D7271" s="70"/>
      <c r="E7271" s="70"/>
      <c r="F7271" s="70"/>
      <c r="G7271" s="94"/>
      <c r="H7271" s="131"/>
      <c r="I7271" s="3"/>
    </row>
    <row r="7272" spans="1:9" s="93" customFormat="1" ht="9" customHeight="1" x14ac:dyDescent="0.3">
      <c r="A7272" s="91"/>
      <c r="B7272" s="70"/>
      <c r="C7272" s="70"/>
      <c r="D7272" s="70"/>
      <c r="E7272" s="70"/>
      <c r="F7272" s="70"/>
      <c r="G7272" s="94"/>
      <c r="H7272" s="131"/>
      <c r="I7272" s="3"/>
    </row>
    <row r="7273" spans="1:9" s="93" customFormat="1" ht="9" customHeight="1" x14ac:dyDescent="0.3">
      <c r="A7273" s="91"/>
      <c r="B7273" s="70"/>
      <c r="C7273" s="70"/>
      <c r="D7273" s="70"/>
      <c r="E7273" s="70"/>
      <c r="F7273" s="70"/>
      <c r="G7273" s="94"/>
      <c r="H7273" s="131"/>
      <c r="I7273" s="3"/>
    </row>
    <row r="7274" spans="1:9" s="93" customFormat="1" ht="9" customHeight="1" x14ac:dyDescent="0.3">
      <c r="A7274" s="91"/>
      <c r="B7274" s="70"/>
      <c r="C7274" s="70"/>
      <c r="D7274" s="70"/>
      <c r="E7274" s="70"/>
      <c r="F7274" s="70"/>
      <c r="G7274" s="94"/>
      <c r="H7274" s="131"/>
      <c r="I7274" s="3"/>
    </row>
    <row r="7275" spans="1:9" s="93" customFormat="1" ht="9" customHeight="1" x14ac:dyDescent="0.3">
      <c r="A7275" s="91"/>
      <c r="B7275" s="70"/>
      <c r="C7275" s="70"/>
      <c r="D7275" s="70"/>
      <c r="E7275" s="70"/>
      <c r="F7275" s="70"/>
      <c r="G7275" s="94"/>
      <c r="H7275" s="131"/>
      <c r="I7275" s="3"/>
    </row>
    <row r="7276" spans="1:9" s="93" customFormat="1" ht="9" customHeight="1" x14ac:dyDescent="0.3">
      <c r="A7276" s="91"/>
      <c r="B7276" s="70"/>
      <c r="C7276" s="70"/>
      <c r="D7276" s="70"/>
      <c r="E7276" s="70"/>
      <c r="F7276" s="70"/>
      <c r="G7276" s="94"/>
      <c r="H7276" s="131"/>
      <c r="I7276" s="3"/>
    </row>
    <row r="7277" spans="1:9" s="93" customFormat="1" ht="9" customHeight="1" x14ac:dyDescent="0.3">
      <c r="A7277" s="91"/>
      <c r="B7277" s="70"/>
      <c r="C7277" s="70"/>
      <c r="D7277" s="70"/>
      <c r="E7277" s="70"/>
      <c r="F7277" s="70"/>
      <c r="G7277" s="94"/>
      <c r="H7277" s="131"/>
      <c r="I7277" s="3"/>
    </row>
    <row r="7278" spans="1:9" s="93" customFormat="1" ht="9" customHeight="1" x14ac:dyDescent="0.3">
      <c r="A7278" s="91"/>
      <c r="B7278" s="70"/>
      <c r="C7278" s="70"/>
      <c r="D7278" s="70"/>
      <c r="E7278" s="70"/>
      <c r="F7278" s="70"/>
      <c r="G7278" s="94"/>
      <c r="H7278" s="131"/>
      <c r="I7278" s="3"/>
    </row>
    <row r="7279" spans="1:9" s="93" customFormat="1" ht="9" customHeight="1" x14ac:dyDescent="0.3">
      <c r="A7279" s="91"/>
      <c r="B7279" s="70"/>
      <c r="C7279" s="70"/>
      <c r="D7279" s="70"/>
      <c r="E7279" s="70"/>
      <c r="F7279" s="70"/>
      <c r="G7279" s="94"/>
      <c r="H7279" s="131"/>
      <c r="I7279" s="3"/>
    </row>
    <row r="7280" spans="1:9" s="93" customFormat="1" ht="9" customHeight="1" x14ac:dyDescent="0.3">
      <c r="A7280" s="91"/>
      <c r="B7280" s="70"/>
      <c r="C7280" s="70"/>
      <c r="D7280" s="70"/>
      <c r="E7280" s="70"/>
      <c r="F7280" s="70"/>
      <c r="G7280" s="94"/>
      <c r="H7280" s="131"/>
      <c r="I7280" s="3"/>
    </row>
    <row r="7281" spans="1:9" s="93" customFormat="1" ht="9" customHeight="1" x14ac:dyDescent="0.3">
      <c r="A7281" s="91"/>
      <c r="B7281" s="70"/>
      <c r="C7281" s="70"/>
      <c r="D7281" s="70"/>
      <c r="E7281" s="70"/>
      <c r="F7281" s="70"/>
      <c r="G7281" s="94"/>
      <c r="H7281" s="131"/>
      <c r="I7281" s="3"/>
    </row>
    <row r="7282" spans="1:9" s="93" customFormat="1" ht="9" customHeight="1" x14ac:dyDescent="0.3">
      <c r="A7282" s="91"/>
      <c r="B7282" s="70"/>
      <c r="C7282" s="70"/>
      <c r="D7282" s="70"/>
      <c r="E7282" s="70"/>
      <c r="F7282" s="70"/>
      <c r="G7282" s="94"/>
      <c r="H7282" s="131"/>
      <c r="I7282" s="3"/>
    </row>
    <row r="7283" spans="1:9" s="93" customFormat="1" ht="9" customHeight="1" x14ac:dyDescent="0.3">
      <c r="A7283" s="91"/>
      <c r="B7283" s="70"/>
      <c r="C7283" s="70"/>
      <c r="D7283" s="70"/>
      <c r="E7283" s="70"/>
      <c r="F7283" s="70"/>
      <c r="G7283" s="94"/>
      <c r="H7283" s="131"/>
      <c r="I7283" s="3"/>
    </row>
    <row r="7284" spans="1:9" s="93" customFormat="1" ht="9" customHeight="1" x14ac:dyDescent="0.3">
      <c r="A7284" s="91"/>
      <c r="B7284" s="70"/>
      <c r="C7284" s="70"/>
      <c r="D7284" s="70"/>
      <c r="E7284" s="70"/>
      <c r="F7284" s="70"/>
      <c r="G7284" s="94"/>
      <c r="H7284" s="131"/>
      <c r="I7284" s="3"/>
    </row>
    <row r="7285" spans="1:9" s="93" customFormat="1" ht="9" customHeight="1" x14ac:dyDescent="0.3">
      <c r="A7285" s="91"/>
      <c r="B7285" s="70"/>
      <c r="C7285" s="70"/>
      <c r="D7285" s="70"/>
      <c r="E7285" s="70"/>
      <c r="F7285" s="70"/>
      <c r="G7285" s="94"/>
      <c r="H7285" s="131"/>
      <c r="I7285" s="3"/>
    </row>
    <row r="7286" spans="1:9" s="93" customFormat="1" ht="9" customHeight="1" x14ac:dyDescent="0.3">
      <c r="A7286" s="91"/>
      <c r="B7286" s="70"/>
      <c r="C7286" s="70"/>
      <c r="D7286" s="70"/>
      <c r="E7286" s="70"/>
      <c r="F7286" s="70"/>
      <c r="G7286" s="94"/>
      <c r="H7286" s="131"/>
      <c r="I7286" s="3"/>
    </row>
    <row r="7287" spans="1:9" s="93" customFormat="1" ht="9" customHeight="1" x14ac:dyDescent="0.3">
      <c r="A7287" s="91"/>
      <c r="B7287" s="70"/>
      <c r="C7287" s="70"/>
      <c r="D7287" s="70"/>
      <c r="E7287" s="70"/>
      <c r="F7287" s="70"/>
      <c r="G7287" s="94"/>
      <c r="H7287" s="131"/>
      <c r="I7287" s="3"/>
    </row>
    <row r="7288" spans="1:9" s="93" customFormat="1" ht="9" customHeight="1" x14ac:dyDescent="0.3">
      <c r="A7288" s="91"/>
      <c r="B7288" s="70"/>
      <c r="C7288" s="70"/>
      <c r="D7288" s="70"/>
      <c r="E7288" s="70"/>
      <c r="F7288" s="70"/>
      <c r="G7288" s="94"/>
      <c r="H7288" s="131"/>
      <c r="I7288" s="3"/>
    </row>
    <row r="7289" spans="1:9" s="93" customFormat="1" ht="9" customHeight="1" x14ac:dyDescent="0.3">
      <c r="A7289" s="91"/>
      <c r="B7289" s="70"/>
      <c r="C7289" s="70"/>
      <c r="D7289" s="70"/>
      <c r="E7289" s="70"/>
      <c r="F7289" s="70"/>
      <c r="G7289" s="94"/>
      <c r="H7289" s="131"/>
      <c r="I7289" s="3"/>
    </row>
    <row r="7290" spans="1:9" s="93" customFormat="1" ht="9" customHeight="1" x14ac:dyDescent="0.3">
      <c r="A7290" s="91"/>
      <c r="B7290" s="70"/>
      <c r="C7290" s="70"/>
      <c r="D7290" s="70"/>
      <c r="E7290" s="70"/>
      <c r="F7290" s="70"/>
      <c r="G7290" s="94"/>
      <c r="H7290" s="131"/>
      <c r="I7290" s="3"/>
    </row>
    <row r="7291" spans="1:9" s="93" customFormat="1" ht="9" customHeight="1" x14ac:dyDescent="0.3">
      <c r="A7291" s="91"/>
      <c r="B7291" s="70"/>
      <c r="C7291" s="70"/>
      <c r="D7291" s="70"/>
      <c r="E7291" s="70"/>
      <c r="F7291" s="70"/>
      <c r="G7291" s="94"/>
      <c r="H7291" s="131"/>
      <c r="I7291" s="3"/>
    </row>
    <row r="7292" spans="1:9" s="93" customFormat="1" ht="9" customHeight="1" x14ac:dyDescent="0.3">
      <c r="A7292" s="91"/>
      <c r="B7292" s="70"/>
      <c r="C7292" s="70"/>
      <c r="D7292" s="70"/>
      <c r="E7292" s="70"/>
      <c r="F7292" s="70"/>
      <c r="G7292" s="94"/>
      <c r="H7292" s="131"/>
      <c r="I7292" s="3"/>
    </row>
    <row r="7293" spans="1:9" s="93" customFormat="1" ht="9" customHeight="1" x14ac:dyDescent="0.3">
      <c r="A7293" s="91"/>
      <c r="B7293" s="70"/>
      <c r="C7293" s="70"/>
      <c r="D7293" s="70"/>
      <c r="E7293" s="70"/>
      <c r="F7293" s="70"/>
      <c r="G7293" s="94"/>
      <c r="H7293" s="131"/>
      <c r="I7293" s="3"/>
    </row>
    <row r="7294" spans="1:9" s="93" customFormat="1" ht="9" customHeight="1" x14ac:dyDescent="0.3">
      <c r="A7294" s="91"/>
      <c r="B7294" s="70"/>
      <c r="C7294" s="70"/>
      <c r="D7294" s="70"/>
      <c r="E7294" s="70"/>
      <c r="F7294" s="70"/>
      <c r="G7294" s="94"/>
      <c r="H7294" s="131"/>
      <c r="I7294" s="3"/>
    </row>
    <row r="7295" spans="1:9" s="93" customFormat="1" ht="9" customHeight="1" x14ac:dyDescent="0.3">
      <c r="A7295" s="91"/>
      <c r="B7295" s="70"/>
      <c r="C7295" s="70"/>
      <c r="D7295" s="70"/>
      <c r="E7295" s="70"/>
      <c r="F7295" s="70"/>
      <c r="G7295" s="94"/>
      <c r="H7295" s="131"/>
      <c r="I7295" s="3"/>
    </row>
    <row r="7296" spans="1:9" s="93" customFormat="1" ht="9" customHeight="1" x14ac:dyDescent="0.3">
      <c r="A7296" s="91"/>
      <c r="B7296" s="70"/>
      <c r="C7296" s="70"/>
      <c r="D7296" s="70"/>
      <c r="E7296" s="70"/>
      <c r="F7296" s="70"/>
      <c r="G7296" s="94"/>
      <c r="H7296" s="131"/>
      <c r="I7296" s="3"/>
    </row>
    <row r="7297" spans="1:9" s="93" customFormat="1" ht="9" customHeight="1" x14ac:dyDescent="0.3">
      <c r="A7297" s="91"/>
      <c r="B7297" s="70"/>
      <c r="C7297" s="70"/>
      <c r="D7297" s="70"/>
      <c r="E7297" s="70"/>
      <c r="F7297" s="70"/>
      <c r="G7297" s="94"/>
      <c r="H7297" s="131"/>
      <c r="I7297" s="3"/>
    </row>
    <row r="7298" spans="1:9" s="93" customFormat="1" ht="9" customHeight="1" x14ac:dyDescent="0.3">
      <c r="A7298" s="91"/>
      <c r="B7298" s="70"/>
      <c r="C7298" s="70"/>
      <c r="D7298" s="70"/>
      <c r="E7298" s="70"/>
      <c r="F7298" s="70"/>
      <c r="G7298" s="94"/>
      <c r="H7298" s="131"/>
      <c r="I7298" s="3"/>
    </row>
    <row r="7299" spans="1:9" s="93" customFormat="1" ht="9" customHeight="1" x14ac:dyDescent="0.3">
      <c r="A7299" s="91"/>
      <c r="B7299" s="70"/>
      <c r="C7299" s="70"/>
      <c r="D7299" s="70"/>
      <c r="E7299" s="70"/>
      <c r="F7299" s="70"/>
      <c r="G7299" s="94"/>
      <c r="H7299" s="131"/>
      <c r="I7299" s="3"/>
    </row>
    <row r="7300" spans="1:9" s="93" customFormat="1" ht="9" customHeight="1" x14ac:dyDescent="0.3">
      <c r="A7300" s="91"/>
      <c r="B7300" s="70"/>
      <c r="C7300" s="70"/>
      <c r="D7300" s="70"/>
      <c r="E7300" s="70"/>
      <c r="F7300" s="70"/>
      <c r="G7300" s="94"/>
      <c r="H7300" s="131"/>
      <c r="I7300" s="3"/>
    </row>
    <row r="7301" spans="1:9" s="93" customFormat="1" ht="9" customHeight="1" x14ac:dyDescent="0.3">
      <c r="A7301" s="91"/>
      <c r="B7301" s="70"/>
      <c r="C7301" s="70"/>
      <c r="D7301" s="70"/>
      <c r="E7301" s="70"/>
      <c r="F7301" s="70"/>
      <c r="G7301" s="94"/>
      <c r="H7301" s="131"/>
      <c r="I7301" s="3"/>
    </row>
    <row r="7302" spans="1:9" s="93" customFormat="1" ht="9" customHeight="1" x14ac:dyDescent="0.3">
      <c r="A7302" s="91"/>
      <c r="B7302" s="70"/>
      <c r="C7302" s="70"/>
      <c r="D7302" s="70"/>
      <c r="E7302" s="70"/>
      <c r="F7302" s="70"/>
      <c r="G7302" s="94"/>
      <c r="H7302" s="131"/>
      <c r="I7302" s="3"/>
    </row>
    <row r="7303" spans="1:9" s="93" customFormat="1" ht="9" customHeight="1" x14ac:dyDescent="0.3">
      <c r="A7303" s="91"/>
      <c r="B7303" s="70"/>
      <c r="C7303" s="70"/>
      <c r="D7303" s="70"/>
      <c r="E7303" s="70"/>
      <c r="F7303" s="70"/>
      <c r="G7303" s="94"/>
      <c r="H7303" s="131"/>
      <c r="I7303" s="3"/>
    </row>
    <row r="7304" spans="1:9" s="93" customFormat="1" ht="9" customHeight="1" x14ac:dyDescent="0.3">
      <c r="A7304" s="91"/>
      <c r="B7304" s="70"/>
      <c r="C7304" s="70"/>
      <c r="D7304" s="70"/>
      <c r="E7304" s="70"/>
      <c r="F7304" s="70"/>
      <c r="G7304" s="94"/>
      <c r="H7304" s="131"/>
      <c r="I7304" s="3"/>
    </row>
    <row r="7305" spans="1:9" s="93" customFormat="1" ht="9" customHeight="1" x14ac:dyDescent="0.3">
      <c r="A7305" s="91"/>
      <c r="B7305" s="70"/>
      <c r="C7305" s="70"/>
      <c r="D7305" s="70"/>
      <c r="E7305" s="70"/>
      <c r="F7305" s="70"/>
      <c r="G7305" s="94"/>
      <c r="H7305" s="131"/>
      <c r="I7305" s="3"/>
    </row>
    <row r="7306" spans="1:9" s="93" customFormat="1" ht="9" customHeight="1" x14ac:dyDescent="0.3">
      <c r="A7306" s="91"/>
      <c r="B7306" s="70"/>
      <c r="C7306" s="70"/>
      <c r="D7306" s="70"/>
      <c r="E7306" s="70"/>
      <c r="F7306" s="70"/>
      <c r="G7306" s="94"/>
      <c r="H7306" s="131"/>
      <c r="I7306" s="3"/>
    </row>
    <row r="7307" spans="1:9" s="93" customFormat="1" ht="9" customHeight="1" x14ac:dyDescent="0.3">
      <c r="A7307" s="91"/>
      <c r="B7307" s="70"/>
      <c r="C7307" s="70"/>
      <c r="D7307" s="70"/>
      <c r="E7307" s="70"/>
      <c r="F7307" s="70"/>
      <c r="G7307" s="94"/>
      <c r="H7307" s="131"/>
      <c r="I7307" s="3"/>
    </row>
    <row r="7308" spans="1:9" s="93" customFormat="1" ht="9" customHeight="1" x14ac:dyDescent="0.3">
      <c r="A7308" s="91"/>
      <c r="B7308" s="70"/>
      <c r="C7308" s="70"/>
      <c r="D7308" s="70"/>
      <c r="E7308" s="70"/>
      <c r="F7308" s="70"/>
      <c r="G7308" s="94"/>
      <c r="H7308" s="131"/>
      <c r="I7308" s="3"/>
    </row>
    <row r="7309" spans="1:9" s="93" customFormat="1" ht="9" customHeight="1" x14ac:dyDescent="0.3">
      <c r="A7309" s="91"/>
      <c r="B7309" s="70"/>
      <c r="C7309" s="70"/>
      <c r="D7309" s="70"/>
      <c r="E7309" s="70"/>
      <c r="F7309" s="70"/>
      <c r="G7309" s="94"/>
      <c r="H7309" s="131"/>
      <c r="I7309" s="3"/>
    </row>
    <row r="7310" spans="1:9" s="93" customFormat="1" ht="9" customHeight="1" x14ac:dyDescent="0.3">
      <c r="A7310" s="91"/>
      <c r="B7310" s="70"/>
      <c r="C7310" s="70"/>
      <c r="D7310" s="70"/>
      <c r="E7310" s="70"/>
      <c r="F7310" s="70"/>
      <c r="G7310" s="94"/>
      <c r="H7310" s="131"/>
      <c r="I7310" s="3"/>
    </row>
    <row r="7311" spans="1:9" s="93" customFormat="1" ht="9" customHeight="1" x14ac:dyDescent="0.3">
      <c r="A7311" s="91"/>
      <c r="B7311" s="70"/>
      <c r="C7311" s="70"/>
      <c r="D7311" s="70"/>
      <c r="E7311" s="70"/>
      <c r="F7311" s="70"/>
      <c r="G7311" s="94"/>
      <c r="H7311" s="131"/>
      <c r="I7311" s="3"/>
    </row>
    <row r="7312" spans="1:9" s="93" customFormat="1" ht="9" customHeight="1" x14ac:dyDescent="0.3">
      <c r="A7312" s="91"/>
      <c r="B7312" s="70"/>
      <c r="C7312" s="70"/>
      <c r="D7312" s="70"/>
      <c r="E7312" s="70"/>
      <c r="F7312" s="70"/>
      <c r="G7312" s="94"/>
      <c r="H7312" s="131"/>
      <c r="I7312" s="3"/>
    </row>
    <row r="7313" spans="1:9" s="93" customFormat="1" ht="9" customHeight="1" x14ac:dyDescent="0.3">
      <c r="A7313" s="91"/>
      <c r="B7313" s="70"/>
      <c r="C7313" s="70"/>
      <c r="D7313" s="70"/>
      <c r="E7313" s="70"/>
      <c r="F7313" s="70"/>
      <c r="G7313" s="94"/>
      <c r="H7313" s="131"/>
      <c r="I7313" s="3"/>
    </row>
    <row r="7314" spans="1:9" s="93" customFormat="1" ht="9" customHeight="1" x14ac:dyDescent="0.3">
      <c r="A7314" s="91"/>
      <c r="B7314" s="70"/>
      <c r="C7314" s="70"/>
      <c r="D7314" s="70"/>
      <c r="E7314" s="70"/>
      <c r="F7314" s="70"/>
      <c r="G7314" s="94"/>
      <c r="H7314" s="131"/>
      <c r="I7314" s="3"/>
    </row>
    <row r="7315" spans="1:9" s="93" customFormat="1" ht="9" customHeight="1" x14ac:dyDescent="0.3">
      <c r="A7315" s="91"/>
      <c r="B7315" s="70"/>
      <c r="C7315" s="70"/>
      <c r="D7315" s="70"/>
      <c r="E7315" s="70"/>
      <c r="F7315" s="70"/>
      <c r="G7315" s="94"/>
      <c r="H7315" s="131"/>
      <c r="I7315" s="3"/>
    </row>
    <row r="7316" spans="1:9" s="93" customFormat="1" ht="9" customHeight="1" x14ac:dyDescent="0.3">
      <c r="A7316" s="91"/>
      <c r="B7316" s="70"/>
      <c r="C7316" s="70"/>
      <c r="D7316" s="70"/>
      <c r="E7316" s="70"/>
      <c r="F7316" s="70"/>
      <c r="G7316" s="94"/>
      <c r="H7316" s="131"/>
      <c r="I7316" s="3"/>
    </row>
    <row r="7317" spans="1:9" s="93" customFormat="1" ht="9" customHeight="1" x14ac:dyDescent="0.3">
      <c r="A7317" s="91"/>
      <c r="B7317" s="70"/>
      <c r="C7317" s="70"/>
      <c r="D7317" s="70"/>
      <c r="E7317" s="70"/>
      <c r="F7317" s="70"/>
      <c r="G7317" s="94"/>
      <c r="H7317" s="131"/>
      <c r="I7317" s="3"/>
    </row>
    <row r="7318" spans="1:9" s="93" customFormat="1" ht="9" customHeight="1" x14ac:dyDescent="0.3">
      <c r="A7318" s="91"/>
      <c r="B7318" s="70"/>
      <c r="C7318" s="70"/>
      <c r="D7318" s="70"/>
      <c r="E7318" s="70"/>
      <c r="F7318" s="70"/>
      <c r="G7318" s="94"/>
      <c r="H7318" s="131"/>
      <c r="I7318" s="3"/>
    </row>
    <row r="7319" spans="1:9" s="93" customFormat="1" ht="9" customHeight="1" x14ac:dyDescent="0.3">
      <c r="A7319" s="91"/>
      <c r="B7319" s="70"/>
      <c r="C7319" s="70"/>
      <c r="D7319" s="70"/>
      <c r="E7319" s="70"/>
      <c r="F7319" s="70"/>
      <c r="G7319" s="94"/>
      <c r="H7319" s="131"/>
      <c r="I7319" s="3"/>
    </row>
    <row r="7320" spans="1:9" s="93" customFormat="1" ht="9" customHeight="1" x14ac:dyDescent="0.3">
      <c r="A7320" s="91"/>
      <c r="B7320" s="70"/>
      <c r="C7320" s="70"/>
      <c r="D7320" s="70"/>
      <c r="E7320" s="70"/>
      <c r="F7320" s="70"/>
      <c r="G7320" s="94"/>
      <c r="H7320" s="131"/>
      <c r="I7320" s="3"/>
    </row>
    <row r="7321" spans="1:9" s="93" customFormat="1" ht="9" customHeight="1" x14ac:dyDescent="0.3">
      <c r="A7321" s="91"/>
      <c r="B7321" s="70"/>
      <c r="C7321" s="70"/>
      <c r="D7321" s="70"/>
      <c r="E7321" s="70"/>
      <c r="F7321" s="70"/>
      <c r="G7321" s="94"/>
      <c r="H7321" s="131"/>
      <c r="I7321" s="3"/>
    </row>
    <row r="7322" spans="1:9" s="93" customFormat="1" ht="9" customHeight="1" x14ac:dyDescent="0.3">
      <c r="A7322" s="91"/>
      <c r="B7322" s="70"/>
      <c r="C7322" s="70"/>
      <c r="D7322" s="70"/>
      <c r="E7322" s="70"/>
      <c r="F7322" s="70"/>
      <c r="G7322" s="94"/>
      <c r="H7322" s="131"/>
      <c r="I7322" s="3"/>
    </row>
    <row r="7323" spans="1:9" s="93" customFormat="1" ht="9" customHeight="1" x14ac:dyDescent="0.3">
      <c r="A7323" s="91"/>
      <c r="B7323" s="70"/>
      <c r="C7323" s="70"/>
      <c r="D7323" s="70"/>
      <c r="E7323" s="70"/>
      <c r="F7323" s="70"/>
      <c r="G7323" s="94"/>
      <c r="H7323" s="131"/>
      <c r="I7323" s="3"/>
    </row>
    <row r="7324" spans="1:9" s="93" customFormat="1" ht="9" customHeight="1" x14ac:dyDescent="0.3">
      <c r="A7324" s="91"/>
      <c r="B7324" s="70"/>
      <c r="C7324" s="70"/>
      <c r="D7324" s="70"/>
      <c r="E7324" s="70"/>
      <c r="F7324" s="70"/>
      <c r="G7324" s="94"/>
      <c r="H7324" s="131"/>
      <c r="I7324" s="3"/>
    </row>
    <row r="7325" spans="1:9" s="93" customFormat="1" ht="9" customHeight="1" x14ac:dyDescent="0.3">
      <c r="A7325" s="91"/>
      <c r="B7325" s="70"/>
      <c r="C7325" s="70"/>
      <c r="D7325" s="70"/>
      <c r="E7325" s="70"/>
      <c r="F7325" s="70"/>
      <c r="G7325" s="94"/>
      <c r="H7325" s="131"/>
      <c r="I7325" s="3"/>
    </row>
    <row r="7326" spans="1:9" s="93" customFormat="1" ht="9" customHeight="1" x14ac:dyDescent="0.3">
      <c r="A7326" s="91"/>
      <c r="B7326" s="70"/>
      <c r="C7326" s="70"/>
      <c r="D7326" s="70"/>
      <c r="E7326" s="70"/>
      <c r="F7326" s="70"/>
      <c r="G7326" s="94"/>
      <c r="H7326" s="131"/>
      <c r="I7326" s="3"/>
    </row>
    <row r="7327" spans="1:9" s="93" customFormat="1" ht="9" customHeight="1" x14ac:dyDescent="0.3">
      <c r="A7327" s="91"/>
      <c r="B7327" s="70"/>
      <c r="C7327" s="70"/>
      <c r="D7327" s="70"/>
      <c r="E7327" s="70"/>
      <c r="F7327" s="70"/>
      <c r="G7327" s="94"/>
      <c r="H7327" s="131"/>
      <c r="I7327" s="3"/>
    </row>
    <row r="7328" spans="1:9" s="93" customFormat="1" ht="9" customHeight="1" x14ac:dyDescent="0.3">
      <c r="A7328" s="91"/>
      <c r="B7328" s="70"/>
      <c r="C7328" s="70"/>
      <c r="D7328" s="70"/>
      <c r="E7328" s="70"/>
      <c r="F7328" s="70"/>
      <c r="G7328" s="94"/>
      <c r="H7328" s="131"/>
      <c r="I7328" s="3"/>
    </row>
    <row r="7329" spans="1:9" s="93" customFormat="1" ht="9" customHeight="1" x14ac:dyDescent="0.3">
      <c r="A7329" s="91"/>
      <c r="B7329" s="70"/>
      <c r="C7329" s="70"/>
      <c r="D7329" s="70"/>
      <c r="E7329" s="70"/>
      <c r="F7329" s="70"/>
      <c r="G7329" s="94"/>
      <c r="H7329" s="131"/>
      <c r="I7329" s="3"/>
    </row>
    <row r="7330" spans="1:9" s="93" customFormat="1" ht="9" customHeight="1" x14ac:dyDescent="0.3">
      <c r="A7330" s="91"/>
      <c r="B7330" s="70"/>
      <c r="C7330" s="70"/>
      <c r="D7330" s="70"/>
      <c r="E7330" s="70"/>
      <c r="F7330" s="70"/>
      <c r="G7330" s="94"/>
      <c r="H7330" s="131"/>
      <c r="I7330" s="3"/>
    </row>
    <row r="7331" spans="1:9" s="93" customFormat="1" ht="9" customHeight="1" x14ac:dyDescent="0.3">
      <c r="A7331" s="91"/>
      <c r="B7331" s="70"/>
      <c r="C7331" s="70"/>
      <c r="D7331" s="70"/>
      <c r="E7331" s="70"/>
      <c r="F7331" s="70"/>
      <c r="G7331" s="94"/>
      <c r="H7331" s="131"/>
      <c r="I7331" s="3"/>
    </row>
    <row r="7332" spans="1:9" s="93" customFormat="1" ht="9" customHeight="1" x14ac:dyDescent="0.3">
      <c r="A7332" s="91"/>
      <c r="B7332" s="70"/>
      <c r="C7332" s="70"/>
      <c r="D7332" s="70"/>
      <c r="E7332" s="70"/>
      <c r="F7332" s="70"/>
      <c r="G7332" s="94"/>
      <c r="H7332" s="131"/>
      <c r="I7332" s="3"/>
    </row>
    <row r="7333" spans="1:9" s="93" customFormat="1" ht="9" customHeight="1" x14ac:dyDescent="0.3">
      <c r="A7333" s="91"/>
      <c r="B7333" s="70"/>
      <c r="C7333" s="70"/>
      <c r="D7333" s="70"/>
      <c r="E7333" s="70"/>
      <c r="F7333" s="70"/>
      <c r="G7333" s="94"/>
      <c r="H7333" s="131"/>
      <c r="I7333" s="3"/>
    </row>
    <row r="7334" spans="1:9" s="93" customFormat="1" ht="9" customHeight="1" x14ac:dyDescent="0.3">
      <c r="A7334" s="91"/>
      <c r="B7334" s="70"/>
      <c r="C7334" s="70"/>
      <c r="D7334" s="70"/>
      <c r="E7334" s="70"/>
      <c r="F7334" s="70"/>
      <c r="G7334" s="94"/>
      <c r="H7334" s="131"/>
      <c r="I7334" s="3"/>
    </row>
    <row r="7335" spans="1:9" s="93" customFormat="1" ht="9" customHeight="1" x14ac:dyDescent="0.3">
      <c r="A7335" s="91"/>
      <c r="B7335" s="70"/>
      <c r="C7335" s="70"/>
      <c r="D7335" s="70"/>
      <c r="E7335" s="70"/>
      <c r="F7335" s="70"/>
      <c r="G7335" s="94"/>
      <c r="H7335" s="131"/>
      <c r="I7335" s="3"/>
    </row>
    <row r="7336" spans="1:9" s="93" customFormat="1" ht="9" customHeight="1" x14ac:dyDescent="0.3">
      <c r="A7336" s="91"/>
      <c r="B7336" s="70"/>
      <c r="C7336" s="70"/>
      <c r="D7336" s="70"/>
      <c r="E7336" s="70"/>
      <c r="F7336" s="70"/>
      <c r="G7336" s="94"/>
      <c r="H7336" s="131"/>
      <c r="I7336" s="3"/>
    </row>
    <row r="7337" spans="1:9" s="93" customFormat="1" ht="9" customHeight="1" x14ac:dyDescent="0.3">
      <c r="A7337" s="91"/>
      <c r="B7337" s="70"/>
      <c r="C7337" s="70"/>
      <c r="D7337" s="70"/>
      <c r="E7337" s="70"/>
      <c r="F7337" s="70"/>
      <c r="G7337" s="94"/>
      <c r="H7337" s="131"/>
      <c r="I7337" s="3"/>
    </row>
    <row r="7338" spans="1:9" s="93" customFormat="1" ht="9" customHeight="1" x14ac:dyDescent="0.3">
      <c r="A7338" s="91"/>
      <c r="B7338" s="70"/>
      <c r="C7338" s="70"/>
      <c r="D7338" s="70"/>
      <c r="E7338" s="70"/>
      <c r="F7338" s="70"/>
      <c r="G7338" s="94"/>
      <c r="H7338" s="131"/>
      <c r="I7338" s="3"/>
    </row>
    <row r="7339" spans="1:9" s="93" customFormat="1" ht="9" customHeight="1" x14ac:dyDescent="0.3">
      <c r="A7339" s="91"/>
      <c r="B7339" s="70"/>
      <c r="C7339" s="70"/>
      <c r="D7339" s="70"/>
      <c r="E7339" s="70"/>
      <c r="F7339" s="70"/>
      <c r="G7339" s="94"/>
      <c r="H7339" s="131"/>
      <c r="I7339" s="3"/>
    </row>
    <row r="7340" spans="1:9" s="93" customFormat="1" ht="9" customHeight="1" x14ac:dyDescent="0.3">
      <c r="A7340" s="91"/>
      <c r="B7340" s="70"/>
      <c r="C7340" s="70"/>
      <c r="D7340" s="70"/>
      <c r="E7340" s="70"/>
      <c r="F7340" s="70"/>
      <c r="G7340" s="94"/>
      <c r="H7340" s="131"/>
      <c r="I7340" s="3"/>
    </row>
    <row r="7341" spans="1:9" s="93" customFormat="1" ht="9" customHeight="1" x14ac:dyDescent="0.3">
      <c r="A7341" s="91"/>
      <c r="B7341" s="70"/>
      <c r="C7341" s="70"/>
      <c r="D7341" s="70"/>
      <c r="E7341" s="70"/>
      <c r="F7341" s="70"/>
      <c r="G7341" s="94"/>
      <c r="H7341" s="131"/>
      <c r="I7341" s="3"/>
    </row>
    <row r="7342" spans="1:9" s="93" customFormat="1" ht="9" customHeight="1" x14ac:dyDescent="0.3">
      <c r="A7342" s="91"/>
      <c r="B7342" s="70"/>
      <c r="C7342" s="70"/>
      <c r="D7342" s="70"/>
      <c r="E7342" s="70"/>
      <c r="F7342" s="70"/>
      <c r="G7342" s="94"/>
      <c r="H7342" s="131"/>
      <c r="I7342" s="3"/>
    </row>
    <row r="7343" spans="1:9" s="93" customFormat="1" ht="9" customHeight="1" x14ac:dyDescent="0.3">
      <c r="A7343" s="91"/>
      <c r="B7343" s="70"/>
      <c r="C7343" s="70"/>
      <c r="D7343" s="70"/>
      <c r="E7343" s="70"/>
      <c r="F7343" s="70"/>
      <c r="G7343" s="94"/>
      <c r="H7343" s="131"/>
      <c r="I7343" s="3"/>
    </row>
    <row r="7344" spans="1:9" s="93" customFormat="1" ht="9" customHeight="1" x14ac:dyDescent="0.3">
      <c r="A7344" s="91"/>
      <c r="B7344" s="70"/>
      <c r="C7344" s="70"/>
      <c r="D7344" s="70"/>
      <c r="E7344" s="70"/>
      <c r="F7344" s="70"/>
      <c r="G7344" s="94"/>
      <c r="H7344" s="131"/>
      <c r="I7344" s="3"/>
    </row>
    <row r="7345" spans="1:9" s="93" customFormat="1" ht="9" customHeight="1" x14ac:dyDescent="0.3">
      <c r="A7345" s="91"/>
      <c r="B7345" s="70"/>
      <c r="C7345" s="70"/>
      <c r="D7345" s="70"/>
      <c r="E7345" s="70"/>
      <c r="F7345" s="70"/>
      <c r="G7345" s="94"/>
      <c r="H7345" s="131"/>
      <c r="I7345" s="3"/>
    </row>
    <row r="7346" spans="1:9" s="93" customFormat="1" ht="9" customHeight="1" x14ac:dyDescent="0.3">
      <c r="A7346" s="91"/>
      <c r="B7346" s="70"/>
      <c r="C7346" s="70"/>
      <c r="D7346" s="70"/>
      <c r="E7346" s="70"/>
      <c r="F7346" s="70"/>
      <c r="G7346" s="94"/>
      <c r="H7346" s="131"/>
      <c r="I7346" s="3"/>
    </row>
    <row r="7347" spans="1:9" s="93" customFormat="1" ht="9" customHeight="1" x14ac:dyDescent="0.3">
      <c r="A7347" s="91"/>
      <c r="B7347" s="70"/>
      <c r="C7347" s="70"/>
      <c r="D7347" s="70"/>
      <c r="E7347" s="70"/>
      <c r="F7347" s="70"/>
      <c r="G7347" s="94"/>
      <c r="H7347" s="131"/>
      <c r="I7347" s="3"/>
    </row>
    <row r="7348" spans="1:9" s="93" customFormat="1" ht="9" customHeight="1" x14ac:dyDescent="0.3">
      <c r="A7348" s="91"/>
      <c r="B7348" s="70"/>
      <c r="C7348" s="70"/>
      <c r="D7348" s="70"/>
      <c r="E7348" s="70"/>
      <c r="F7348" s="70"/>
      <c r="G7348" s="94"/>
      <c r="H7348" s="131"/>
      <c r="I7348" s="3"/>
    </row>
    <row r="7349" spans="1:9" s="93" customFormat="1" ht="9" customHeight="1" x14ac:dyDescent="0.3">
      <c r="A7349" s="91"/>
      <c r="B7349" s="70"/>
      <c r="C7349" s="70"/>
      <c r="D7349" s="70"/>
      <c r="E7349" s="70"/>
      <c r="F7349" s="70"/>
      <c r="G7349" s="94"/>
      <c r="H7349" s="131"/>
      <c r="I7349" s="3"/>
    </row>
    <row r="7350" spans="1:9" s="93" customFormat="1" ht="9" customHeight="1" x14ac:dyDescent="0.3">
      <c r="A7350" s="91"/>
      <c r="B7350" s="70"/>
      <c r="C7350" s="70"/>
      <c r="D7350" s="70"/>
      <c r="E7350" s="70"/>
      <c r="F7350" s="70"/>
      <c r="G7350" s="94"/>
      <c r="H7350" s="131"/>
      <c r="I7350" s="3"/>
    </row>
    <row r="7351" spans="1:9" s="93" customFormat="1" ht="9" customHeight="1" x14ac:dyDescent="0.3">
      <c r="A7351" s="91"/>
      <c r="B7351" s="70"/>
      <c r="C7351" s="70"/>
      <c r="D7351" s="70"/>
      <c r="E7351" s="70"/>
      <c r="F7351" s="70"/>
      <c r="G7351" s="94"/>
      <c r="H7351" s="131"/>
      <c r="I7351" s="3"/>
    </row>
    <row r="7352" spans="1:9" s="93" customFormat="1" ht="9" customHeight="1" x14ac:dyDescent="0.3">
      <c r="A7352" s="91"/>
      <c r="B7352" s="70"/>
      <c r="C7352" s="70"/>
      <c r="D7352" s="70"/>
      <c r="E7352" s="70"/>
      <c r="F7352" s="70"/>
      <c r="G7352" s="94"/>
      <c r="H7352" s="131"/>
      <c r="I7352" s="3"/>
    </row>
    <row r="7353" spans="1:9" s="93" customFormat="1" ht="9" customHeight="1" x14ac:dyDescent="0.3">
      <c r="A7353" s="91"/>
      <c r="B7353" s="70"/>
      <c r="C7353" s="70"/>
      <c r="D7353" s="70"/>
      <c r="E7353" s="70"/>
      <c r="F7353" s="70"/>
      <c r="G7353" s="94"/>
      <c r="H7353" s="131"/>
      <c r="I7353" s="3"/>
    </row>
    <row r="7354" spans="1:9" s="93" customFormat="1" ht="9" customHeight="1" x14ac:dyDescent="0.3">
      <c r="A7354" s="91"/>
      <c r="B7354" s="70"/>
      <c r="C7354" s="70"/>
      <c r="D7354" s="70"/>
      <c r="E7354" s="70"/>
      <c r="F7354" s="70"/>
      <c r="G7354" s="94"/>
      <c r="H7354" s="131"/>
      <c r="I7354" s="3"/>
    </row>
    <row r="7355" spans="1:9" s="93" customFormat="1" ht="9" customHeight="1" x14ac:dyDescent="0.3">
      <c r="A7355" s="91"/>
      <c r="B7355" s="70"/>
      <c r="C7355" s="70"/>
      <c r="D7355" s="70"/>
      <c r="E7355" s="70"/>
      <c r="F7355" s="70"/>
      <c r="G7355" s="94"/>
      <c r="H7355" s="131"/>
      <c r="I7355" s="3"/>
    </row>
    <row r="7356" spans="1:9" s="93" customFormat="1" ht="9" customHeight="1" x14ac:dyDescent="0.3">
      <c r="A7356" s="91"/>
      <c r="B7356" s="70"/>
      <c r="C7356" s="70"/>
      <c r="D7356" s="70"/>
      <c r="E7356" s="70"/>
      <c r="F7356" s="70"/>
      <c r="G7356" s="94"/>
      <c r="H7356" s="131"/>
      <c r="I7356" s="3"/>
    </row>
    <row r="7357" spans="1:9" s="93" customFormat="1" ht="9" customHeight="1" x14ac:dyDescent="0.3">
      <c r="A7357" s="91"/>
      <c r="B7357" s="70"/>
      <c r="C7357" s="70"/>
      <c r="D7357" s="70"/>
      <c r="E7357" s="70"/>
      <c r="F7357" s="70"/>
      <c r="G7357" s="94"/>
      <c r="H7357" s="131"/>
      <c r="I7357" s="3"/>
    </row>
    <row r="7358" spans="1:9" s="93" customFormat="1" ht="9" customHeight="1" x14ac:dyDescent="0.3">
      <c r="A7358" s="91"/>
      <c r="B7358" s="70"/>
      <c r="C7358" s="70"/>
      <c r="D7358" s="70"/>
      <c r="E7358" s="70"/>
      <c r="F7358" s="70"/>
      <c r="G7358" s="94"/>
      <c r="H7358" s="131"/>
      <c r="I7358" s="3"/>
    </row>
    <row r="7359" spans="1:9" s="93" customFormat="1" ht="9" customHeight="1" x14ac:dyDescent="0.3">
      <c r="A7359" s="91"/>
      <c r="B7359" s="70"/>
      <c r="C7359" s="70"/>
      <c r="D7359" s="70"/>
      <c r="E7359" s="70"/>
      <c r="F7359" s="70"/>
      <c r="G7359" s="94"/>
      <c r="H7359" s="131"/>
      <c r="I7359" s="3"/>
    </row>
    <row r="7360" spans="1:9" s="93" customFormat="1" ht="9" customHeight="1" x14ac:dyDescent="0.3">
      <c r="A7360" s="91"/>
      <c r="B7360" s="70"/>
      <c r="C7360" s="70"/>
      <c r="D7360" s="70"/>
      <c r="E7360" s="70"/>
      <c r="F7360" s="70"/>
      <c r="G7360" s="94"/>
      <c r="H7360" s="131"/>
      <c r="I7360" s="3"/>
    </row>
    <row r="7361" spans="1:9" s="93" customFormat="1" ht="9" customHeight="1" x14ac:dyDescent="0.3">
      <c r="A7361" s="91"/>
      <c r="B7361" s="70"/>
      <c r="C7361" s="70"/>
      <c r="D7361" s="70"/>
      <c r="E7361" s="70"/>
      <c r="F7361" s="70"/>
      <c r="G7361" s="94"/>
      <c r="H7361" s="131"/>
      <c r="I7361" s="3"/>
    </row>
    <row r="7362" spans="1:9" s="93" customFormat="1" ht="9" customHeight="1" x14ac:dyDescent="0.3">
      <c r="A7362" s="91"/>
      <c r="B7362" s="70"/>
      <c r="C7362" s="70"/>
      <c r="D7362" s="70"/>
      <c r="E7362" s="70"/>
      <c r="F7362" s="70"/>
      <c r="G7362" s="94"/>
      <c r="H7362" s="131"/>
      <c r="I7362" s="3"/>
    </row>
    <row r="7363" spans="1:9" s="93" customFormat="1" ht="9" customHeight="1" x14ac:dyDescent="0.3">
      <c r="A7363" s="91"/>
      <c r="B7363" s="70"/>
      <c r="C7363" s="70"/>
      <c r="D7363" s="70"/>
      <c r="E7363" s="70"/>
      <c r="F7363" s="70"/>
      <c r="G7363" s="94"/>
      <c r="H7363" s="131"/>
      <c r="I7363" s="3"/>
    </row>
    <row r="7364" spans="1:9" s="93" customFormat="1" ht="9" customHeight="1" x14ac:dyDescent="0.3">
      <c r="A7364" s="91"/>
      <c r="B7364" s="70"/>
      <c r="C7364" s="70"/>
      <c r="D7364" s="70"/>
      <c r="E7364" s="70"/>
      <c r="F7364" s="70"/>
      <c r="G7364" s="94"/>
      <c r="H7364" s="131"/>
      <c r="I7364" s="3"/>
    </row>
    <row r="7365" spans="1:9" s="93" customFormat="1" ht="9" customHeight="1" x14ac:dyDescent="0.3">
      <c r="A7365" s="91"/>
      <c r="B7365" s="70"/>
      <c r="C7365" s="70"/>
      <c r="D7365" s="70"/>
      <c r="E7365" s="70"/>
      <c r="F7365" s="70"/>
      <c r="G7365" s="94"/>
      <c r="H7365" s="131"/>
      <c r="I7365" s="3"/>
    </row>
    <row r="7366" spans="1:9" s="93" customFormat="1" ht="9" customHeight="1" x14ac:dyDescent="0.3">
      <c r="A7366" s="91"/>
      <c r="B7366" s="70"/>
      <c r="C7366" s="70"/>
      <c r="D7366" s="70"/>
      <c r="E7366" s="70"/>
      <c r="F7366" s="70"/>
      <c r="G7366" s="94"/>
      <c r="H7366" s="131"/>
      <c r="I7366" s="3"/>
    </row>
    <row r="7367" spans="1:9" s="93" customFormat="1" ht="9" customHeight="1" x14ac:dyDescent="0.3">
      <c r="A7367" s="91"/>
      <c r="B7367" s="70"/>
      <c r="C7367" s="70"/>
      <c r="D7367" s="70"/>
      <c r="E7367" s="70"/>
      <c r="F7367" s="70"/>
      <c r="G7367" s="94"/>
      <c r="H7367" s="131"/>
      <c r="I7367" s="3"/>
    </row>
    <row r="7368" spans="1:9" s="93" customFormat="1" ht="9" customHeight="1" x14ac:dyDescent="0.3">
      <c r="A7368" s="91"/>
      <c r="B7368" s="70"/>
      <c r="C7368" s="70"/>
      <c r="D7368" s="70"/>
      <c r="E7368" s="70"/>
      <c r="F7368" s="70"/>
      <c r="G7368" s="94"/>
      <c r="H7368" s="131"/>
      <c r="I7368" s="3"/>
    </row>
    <row r="7369" spans="1:9" s="93" customFormat="1" ht="9" customHeight="1" x14ac:dyDescent="0.3">
      <c r="A7369" s="91"/>
      <c r="B7369" s="70"/>
      <c r="C7369" s="70"/>
      <c r="D7369" s="70"/>
      <c r="E7369" s="70"/>
      <c r="F7369" s="70"/>
      <c r="G7369" s="94"/>
      <c r="H7369" s="131"/>
      <c r="I7369" s="3"/>
    </row>
    <row r="7370" spans="1:9" s="93" customFormat="1" ht="9" customHeight="1" x14ac:dyDescent="0.3">
      <c r="A7370" s="91"/>
      <c r="B7370" s="70"/>
      <c r="C7370" s="70"/>
      <c r="D7370" s="70"/>
      <c r="E7370" s="70"/>
      <c r="F7370" s="70"/>
      <c r="G7370" s="94"/>
      <c r="H7370" s="131"/>
      <c r="I7370" s="3"/>
    </row>
    <row r="7371" spans="1:9" s="93" customFormat="1" ht="9" customHeight="1" x14ac:dyDescent="0.3">
      <c r="A7371" s="91"/>
      <c r="B7371" s="70"/>
      <c r="C7371" s="70"/>
      <c r="D7371" s="70"/>
      <c r="E7371" s="70"/>
      <c r="F7371" s="70"/>
      <c r="G7371" s="94"/>
      <c r="H7371" s="131"/>
      <c r="I7371" s="3"/>
    </row>
    <row r="7372" spans="1:9" s="93" customFormat="1" ht="9" customHeight="1" x14ac:dyDescent="0.3">
      <c r="A7372" s="91"/>
      <c r="B7372" s="70"/>
      <c r="C7372" s="70"/>
      <c r="D7372" s="70"/>
      <c r="E7372" s="70"/>
      <c r="F7372" s="70"/>
      <c r="G7372" s="94"/>
      <c r="H7372" s="131"/>
      <c r="I7372" s="3"/>
    </row>
    <row r="7373" spans="1:9" s="93" customFormat="1" ht="9" customHeight="1" x14ac:dyDescent="0.3">
      <c r="A7373" s="91"/>
      <c r="B7373" s="70"/>
      <c r="C7373" s="70"/>
      <c r="D7373" s="70"/>
      <c r="E7373" s="70"/>
      <c r="F7373" s="70"/>
      <c r="G7373" s="94"/>
      <c r="H7373" s="131"/>
      <c r="I7373" s="3"/>
    </row>
    <row r="7374" spans="1:9" s="93" customFormat="1" ht="9" customHeight="1" x14ac:dyDescent="0.3">
      <c r="A7374" s="91"/>
      <c r="B7374" s="70"/>
      <c r="C7374" s="70"/>
      <c r="D7374" s="70"/>
      <c r="E7374" s="70"/>
      <c r="F7374" s="70"/>
      <c r="G7374" s="94"/>
      <c r="H7374" s="131"/>
      <c r="I7374" s="3"/>
    </row>
    <row r="7375" spans="1:9" s="93" customFormat="1" ht="9" customHeight="1" x14ac:dyDescent="0.3">
      <c r="A7375" s="91"/>
      <c r="B7375" s="70"/>
      <c r="C7375" s="70"/>
      <c r="D7375" s="70"/>
      <c r="E7375" s="70"/>
      <c r="F7375" s="70"/>
      <c r="G7375" s="94"/>
      <c r="H7375" s="131"/>
      <c r="I7375" s="3"/>
    </row>
    <row r="7376" spans="1:9" s="93" customFormat="1" ht="9" customHeight="1" x14ac:dyDescent="0.3">
      <c r="A7376" s="91"/>
      <c r="B7376" s="70"/>
      <c r="C7376" s="70"/>
      <c r="D7376" s="70"/>
      <c r="E7376" s="70"/>
      <c r="F7376" s="70"/>
      <c r="G7376" s="94"/>
      <c r="H7376" s="131"/>
      <c r="I7376" s="3"/>
    </row>
    <row r="7377" spans="1:9" s="93" customFormat="1" ht="9" customHeight="1" x14ac:dyDescent="0.3">
      <c r="A7377" s="91"/>
      <c r="B7377" s="70"/>
      <c r="C7377" s="70"/>
      <c r="D7377" s="70"/>
      <c r="E7377" s="70"/>
      <c r="F7377" s="70"/>
      <c r="G7377" s="94"/>
      <c r="H7377" s="131"/>
      <c r="I7377" s="3"/>
    </row>
    <row r="7378" spans="1:9" s="93" customFormat="1" ht="9" customHeight="1" x14ac:dyDescent="0.3">
      <c r="A7378" s="91"/>
      <c r="B7378" s="70"/>
      <c r="C7378" s="70"/>
      <c r="D7378" s="70"/>
      <c r="E7378" s="70"/>
      <c r="F7378" s="70"/>
      <c r="G7378" s="94"/>
      <c r="H7378" s="131"/>
      <c r="I7378" s="3"/>
    </row>
    <row r="7379" spans="1:9" s="93" customFormat="1" ht="9" customHeight="1" x14ac:dyDescent="0.3">
      <c r="A7379" s="91"/>
      <c r="B7379" s="70"/>
      <c r="C7379" s="70"/>
      <c r="D7379" s="70"/>
      <c r="E7379" s="70"/>
      <c r="F7379" s="70"/>
      <c r="G7379" s="94"/>
      <c r="H7379" s="131"/>
      <c r="I7379" s="3"/>
    </row>
    <row r="7380" spans="1:9" s="93" customFormat="1" ht="9" customHeight="1" x14ac:dyDescent="0.3">
      <c r="A7380" s="91"/>
      <c r="B7380" s="70"/>
      <c r="C7380" s="70"/>
      <c r="D7380" s="70"/>
      <c r="E7380" s="70"/>
      <c r="F7380" s="70"/>
      <c r="G7380" s="94"/>
      <c r="H7380" s="131"/>
      <c r="I7380" s="3"/>
    </row>
    <row r="7381" spans="1:9" s="93" customFormat="1" ht="9" customHeight="1" x14ac:dyDescent="0.3">
      <c r="A7381" s="91"/>
      <c r="B7381" s="70"/>
      <c r="C7381" s="70"/>
      <c r="D7381" s="70"/>
      <c r="E7381" s="70"/>
      <c r="F7381" s="70"/>
      <c r="G7381" s="94"/>
      <c r="H7381" s="131"/>
      <c r="I7381" s="3"/>
    </row>
    <row r="7382" spans="1:9" s="93" customFormat="1" ht="9" customHeight="1" x14ac:dyDescent="0.3">
      <c r="A7382" s="91"/>
      <c r="B7382" s="70"/>
      <c r="C7382" s="70"/>
      <c r="D7382" s="70"/>
      <c r="E7382" s="70"/>
      <c r="F7382" s="70"/>
      <c r="G7382" s="94"/>
      <c r="H7382" s="131"/>
      <c r="I7382" s="3"/>
    </row>
    <row r="7383" spans="1:9" s="93" customFormat="1" ht="9" customHeight="1" x14ac:dyDescent="0.3">
      <c r="A7383" s="91"/>
      <c r="B7383" s="70"/>
      <c r="C7383" s="70"/>
      <c r="D7383" s="70"/>
      <c r="E7383" s="70"/>
      <c r="F7383" s="70"/>
      <c r="G7383" s="94"/>
      <c r="H7383" s="131"/>
      <c r="I7383" s="3"/>
    </row>
    <row r="7384" spans="1:9" s="93" customFormat="1" ht="9" customHeight="1" x14ac:dyDescent="0.3">
      <c r="A7384" s="91"/>
      <c r="B7384" s="70"/>
      <c r="C7384" s="70"/>
      <c r="D7384" s="70"/>
      <c r="E7384" s="70"/>
      <c r="F7384" s="70"/>
      <c r="G7384" s="94"/>
      <c r="H7384" s="131"/>
      <c r="I7384" s="3"/>
    </row>
    <row r="7385" spans="1:9" s="93" customFormat="1" ht="9" customHeight="1" x14ac:dyDescent="0.3">
      <c r="A7385" s="91"/>
      <c r="B7385" s="70"/>
      <c r="C7385" s="70"/>
      <c r="D7385" s="70"/>
      <c r="E7385" s="70"/>
      <c r="F7385" s="70"/>
      <c r="G7385" s="94"/>
      <c r="H7385" s="131"/>
      <c r="I7385" s="3"/>
    </row>
    <row r="7386" spans="1:9" s="93" customFormat="1" ht="9" customHeight="1" x14ac:dyDescent="0.3">
      <c r="A7386" s="91"/>
      <c r="B7386" s="70"/>
      <c r="C7386" s="70"/>
      <c r="D7386" s="70"/>
      <c r="E7386" s="70"/>
      <c r="F7386" s="70"/>
      <c r="G7386" s="94"/>
      <c r="H7386" s="131"/>
      <c r="I7386" s="3"/>
    </row>
    <row r="7387" spans="1:9" s="93" customFormat="1" ht="9" customHeight="1" x14ac:dyDescent="0.3">
      <c r="A7387" s="91"/>
      <c r="B7387" s="70"/>
      <c r="C7387" s="70"/>
      <c r="D7387" s="70"/>
      <c r="E7387" s="70"/>
      <c r="F7387" s="70"/>
      <c r="G7387" s="94"/>
      <c r="H7387" s="131"/>
      <c r="I7387" s="3"/>
    </row>
    <row r="7388" spans="1:9" s="93" customFormat="1" ht="9" customHeight="1" x14ac:dyDescent="0.3">
      <c r="A7388" s="91"/>
      <c r="B7388" s="70"/>
      <c r="C7388" s="70"/>
      <c r="D7388" s="70"/>
      <c r="E7388" s="70"/>
      <c r="F7388" s="70"/>
      <c r="G7388" s="94"/>
      <c r="H7388" s="131"/>
      <c r="I7388" s="3"/>
    </row>
    <row r="7389" spans="1:9" s="93" customFormat="1" ht="9" customHeight="1" x14ac:dyDescent="0.3">
      <c r="A7389" s="91"/>
      <c r="B7389" s="70"/>
      <c r="C7389" s="70"/>
      <c r="D7389" s="70"/>
      <c r="E7389" s="70"/>
      <c r="F7389" s="70"/>
      <c r="G7389" s="94"/>
      <c r="H7389" s="131"/>
      <c r="I7389" s="3"/>
    </row>
    <row r="7390" spans="1:9" s="93" customFormat="1" ht="9" customHeight="1" x14ac:dyDescent="0.3">
      <c r="A7390" s="91"/>
      <c r="B7390" s="70"/>
      <c r="C7390" s="70"/>
      <c r="D7390" s="70"/>
      <c r="E7390" s="70"/>
      <c r="F7390" s="70"/>
      <c r="G7390" s="94"/>
      <c r="H7390" s="131"/>
      <c r="I7390" s="3"/>
    </row>
    <row r="7391" spans="1:9" s="93" customFormat="1" ht="9" customHeight="1" x14ac:dyDescent="0.3">
      <c r="A7391" s="91"/>
      <c r="B7391" s="70"/>
      <c r="C7391" s="70"/>
      <c r="D7391" s="70"/>
      <c r="E7391" s="70"/>
      <c r="F7391" s="70"/>
      <c r="G7391" s="94"/>
      <c r="H7391" s="131"/>
      <c r="I7391" s="3"/>
    </row>
    <row r="7392" spans="1:9" s="93" customFormat="1" ht="9" customHeight="1" x14ac:dyDescent="0.3">
      <c r="A7392" s="91"/>
      <c r="B7392" s="70"/>
      <c r="C7392" s="70"/>
      <c r="D7392" s="70"/>
      <c r="E7392" s="70"/>
      <c r="F7392" s="70"/>
      <c r="G7392" s="94"/>
      <c r="H7392" s="131"/>
      <c r="I7392" s="3"/>
    </row>
    <row r="7393" spans="1:9" s="93" customFormat="1" ht="9" customHeight="1" x14ac:dyDescent="0.3">
      <c r="A7393" s="91"/>
      <c r="B7393" s="70"/>
      <c r="C7393" s="70"/>
      <c r="D7393" s="70"/>
      <c r="E7393" s="70"/>
      <c r="F7393" s="70"/>
      <c r="G7393" s="94"/>
      <c r="H7393" s="131"/>
      <c r="I7393" s="3"/>
    </row>
    <row r="7394" spans="1:9" s="93" customFormat="1" ht="9" customHeight="1" x14ac:dyDescent="0.3">
      <c r="A7394" s="91"/>
      <c r="B7394" s="70"/>
      <c r="C7394" s="70"/>
      <c r="D7394" s="70"/>
      <c r="E7394" s="70"/>
      <c r="F7394" s="70"/>
      <c r="G7394" s="94"/>
      <c r="H7394" s="131"/>
      <c r="I7394" s="3"/>
    </row>
    <row r="7395" spans="1:9" s="93" customFormat="1" ht="9" customHeight="1" x14ac:dyDescent="0.3">
      <c r="A7395" s="91"/>
      <c r="B7395" s="70"/>
      <c r="C7395" s="70"/>
      <c r="D7395" s="70"/>
      <c r="E7395" s="70"/>
      <c r="F7395" s="70"/>
      <c r="G7395" s="94"/>
      <c r="H7395" s="131"/>
      <c r="I7395" s="3"/>
    </row>
    <row r="7396" spans="1:9" s="93" customFormat="1" ht="9" customHeight="1" x14ac:dyDescent="0.3">
      <c r="A7396" s="91"/>
      <c r="B7396" s="70"/>
      <c r="C7396" s="70"/>
      <c r="D7396" s="70"/>
      <c r="E7396" s="70"/>
      <c r="F7396" s="70"/>
      <c r="G7396" s="94"/>
      <c r="H7396" s="131"/>
      <c r="I7396" s="3"/>
    </row>
    <row r="7397" spans="1:9" s="93" customFormat="1" ht="9" customHeight="1" x14ac:dyDescent="0.3">
      <c r="A7397" s="91"/>
      <c r="B7397" s="70"/>
      <c r="C7397" s="70"/>
      <c r="D7397" s="70"/>
      <c r="E7397" s="70"/>
      <c r="F7397" s="70"/>
      <c r="G7397" s="94"/>
      <c r="H7397" s="131"/>
      <c r="I7397" s="3"/>
    </row>
    <row r="7398" spans="1:9" s="93" customFormat="1" ht="9" customHeight="1" x14ac:dyDescent="0.3">
      <c r="A7398" s="91"/>
      <c r="B7398" s="70"/>
      <c r="C7398" s="70"/>
      <c r="D7398" s="70"/>
      <c r="E7398" s="70"/>
      <c r="F7398" s="70"/>
      <c r="G7398" s="94"/>
      <c r="H7398" s="131"/>
      <c r="I7398" s="3"/>
    </row>
    <row r="7399" spans="1:9" s="93" customFormat="1" ht="9" customHeight="1" x14ac:dyDescent="0.3">
      <c r="A7399" s="91"/>
      <c r="B7399" s="70"/>
      <c r="C7399" s="70"/>
      <c r="D7399" s="70"/>
      <c r="E7399" s="70"/>
      <c r="F7399" s="70"/>
      <c r="G7399" s="94"/>
      <c r="H7399" s="131"/>
      <c r="I7399" s="3"/>
    </row>
    <row r="7400" spans="1:9" s="93" customFormat="1" ht="9" customHeight="1" x14ac:dyDescent="0.3">
      <c r="A7400" s="91"/>
      <c r="B7400" s="70"/>
      <c r="C7400" s="70"/>
      <c r="D7400" s="70"/>
      <c r="E7400" s="70"/>
      <c r="F7400" s="70"/>
      <c r="G7400" s="94"/>
      <c r="H7400" s="131"/>
      <c r="I7400" s="3"/>
    </row>
    <row r="7401" spans="1:9" s="93" customFormat="1" ht="9" customHeight="1" x14ac:dyDescent="0.3">
      <c r="A7401" s="91"/>
      <c r="B7401" s="70"/>
      <c r="C7401" s="70"/>
      <c r="D7401" s="70"/>
      <c r="E7401" s="70"/>
      <c r="F7401" s="70"/>
      <c r="G7401" s="94"/>
      <c r="H7401" s="131"/>
      <c r="I7401" s="3"/>
    </row>
    <row r="7402" spans="1:9" s="93" customFormat="1" ht="9" customHeight="1" x14ac:dyDescent="0.3">
      <c r="A7402" s="91"/>
      <c r="B7402" s="70"/>
      <c r="C7402" s="70"/>
      <c r="D7402" s="70"/>
      <c r="E7402" s="70"/>
      <c r="F7402" s="70"/>
      <c r="G7402" s="94"/>
      <c r="H7402" s="131"/>
      <c r="I7402" s="3"/>
    </row>
    <row r="7403" spans="1:9" s="93" customFormat="1" ht="9" customHeight="1" x14ac:dyDescent="0.3">
      <c r="A7403" s="91"/>
      <c r="B7403" s="70"/>
      <c r="C7403" s="70"/>
      <c r="D7403" s="70"/>
      <c r="E7403" s="70"/>
      <c r="F7403" s="70"/>
      <c r="G7403" s="94"/>
      <c r="H7403" s="131"/>
      <c r="I7403" s="3"/>
    </row>
    <row r="7404" spans="1:9" s="93" customFormat="1" ht="9" customHeight="1" x14ac:dyDescent="0.3">
      <c r="A7404" s="91"/>
      <c r="B7404" s="70"/>
      <c r="C7404" s="70"/>
      <c r="D7404" s="70"/>
      <c r="E7404" s="70"/>
      <c r="F7404" s="70"/>
      <c r="G7404" s="94"/>
      <c r="H7404" s="131"/>
      <c r="I7404" s="3"/>
    </row>
    <row r="7405" spans="1:9" s="93" customFormat="1" ht="9" customHeight="1" x14ac:dyDescent="0.3">
      <c r="A7405" s="91"/>
      <c r="B7405" s="70"/>
      <c r="C7405" s="70"/>
      <c r="D7405" s="70"/>
      <c r="E7405" s="70"/>
      <c r="F7405" s="70"/>
      <c r="G7405" s="94"/>
      <c r="H7405" s="131"/>
      <c r="I7405" s="3"/>
    </row>
    <row r="7406" spans="1:9" s="93" customFormat="1" ht="9" customHeight="1" x14ac:dyDescent="0.3">
      <c r="A7406" s="91"/>
      <c r="B7406" s="70"/>
      <c r="C7406" s="70"/>
      <c r="D7406" s="70"/>
      <c r="E7406" s="70"/>
      <c r="F7406" s="70"/>
      <c r="G7406" s="94"/>
      <c r="H7406" s="131"/>
      <c r="I7406" s="3"/>
    </row>
    <row r="7407" spans="1:9" s="93" customFormat="1" ht="9" customHeight="1" x14ac:dyDescent="0.3">
      <c r="A7407" s="91"/>
      <c r="B7407" s="70"/>
      <c r="C7407" s="70"/>
      <c r="D7407" s="70"/>
      <c r="E7407" s="70"/>
      <c r="F7407" s="70"/>
      <c r="G7407" s="94"/>
      <c r="H7407" s="131"/>
      <c r="I7407" s="3"/>
    </row>
    <row r="7408" spans="1:9" s="93" customFormat="1" ht="9" customHeight="1" x14ac:dyDescent="0.3">
      <c r="A7408" s="91"/>
      <c r="B7408" s="70"/>
      <c r="C7408" s="70"/>
      <c r="D7408" s="70"/>
      <c r="E7408" s="70"/>
      <c r="F7408" s="70"/>
      <c r="G7408" s="94"/>
      <c r="H7408" s="131"/>
      <c r="I7408" s="3"/>
    </row>
    <row r="7409" spans="1:9" s="93" customFormat="1" ht="9" customHeight="1" x14ac:dyDescent="0.3">
      <c r="A7409" s="91"/>
      <c r="B7409" s="70"/>
      <c r="C7409" s="70"/>
      <c r="D7409" s="70"/>
      <c r="E7409" s="70"/>
      <c r="F7409" s="70"/>
      <c r="G7409" s="94"/>
      <c r="H7409" s="131"/>
      <c r="I7409" s="3"/>
    </row>
    <row r="7410" spans="1:9" s="93" customFormat="1" ht="9" customHeight="1" x14ac:dyDescent="0.3">
      <c r="A7410" s="91"/>
      <c r="B7410" s="70"/>
      <c r="C7410" s="70"/>
      <c r="D7410" s="70"/>
      <c r="E7410" s="70"/>
      <c r="F7410" s="70"/>
      <c r="G7410" s="94"/>
      <c r="H7410" s="131"/>
      <c r="I7410" s="3"/>
    </row>
    <row r="7411" spans="1:9" s="93" customFormat="1" ht="9" customHeight="1" x14ac:dyDescent="0.3">
      <c r="A7411" s="91"/>
      <c r="B7411" s="70"/>
      <c r="C7411" s="70"/>
      <c r="D7411" s="70"/>
      <c r="E7411" s="70"/>
      <c r="F7411" s="70"/>
      <c r="G7411" s="94"/>
      <c r="H7411" s="131"/>
      <c r="I7411" s="3"/>
    </row>
    <row r="7412" spans="1:9" s="93" customFormat="1" ht="9" customHeight="1" x14ac:dyDescent="0.3">
      <c r="A7412" s="91"/>
      <c r="B7412" s="70"/>
      <c r="C7412" s="70"/>
      <c r="D7412" s="70"/>
      <c r="E7412" s="70"/>
      <c r="F7412" s="70"/>
      <c r="G7412" s="94"/>
      <c r="H7412" s="131"/>
      <c r="I7412" s="3"/>
    </row>
    <row r="7413" spans="1:9" s="93" customFormat="1" ht="9" customHeight="1" x14ac:dyDescent="0.3">
      <c r="A7413" s="91"/>
      <c r="B7413" s="70"/>
      <c r="C7413" s="70"/>
      <c r="D7413" s="70"/>
      <c r="E7413" s="70"/>
      <c r="F7413" s="70"/>
      <c r="G7413" s="94"/>
      <c r="H7413" s="131"/>
      <c r="I7413" s="3"/>
    </row>
    <row r="7414" spans="1:9" s="93" customFormat="1" ht="9" customHeight="1" x14ac:dyDescent="0.3">
      <c r="A7414" s="91"/>
      <c r="B7414" s="70"/>
      <c r="C7414" s="70"/>
      <c r="D7414" s="70"/>
      <c r="E7414" s="70"/>
      <c r="F7414" s="70"/>
      <c r="G7414" s="94"/>
      <c r="H7414" s="131"/>
      <c r="I7414" s="3"/>
    </row>
    <row r="7415" spans="1:9" s="93" customFormat="1" ht="9" customHeight="1" x14ac:dyDescent="0.3">
      <c r="A7415" s="91"/>
      <c r="B7415" s="70"/>
      <c r="C7415" s="70"/>
      <c r="D7415" s="70"/>
      <c r="E7415" s="70"/>
      <c r="F7415" s="70"/>
      <c r="G7415" s="94"/>
      <c r="H7415" s="131"/>
      <c r="I7415" s="3"/>
    </row>
    <row r="7416" spans="1:9" s="93" customFormat="1" ht="9" customHeight="1" x14ac:dyDescent="0.3">
      <c r="A7416" s="91"/>
      <c r="B7416" s="70"/>
      <c r="C7416" s="70"/>
      <c r="D7416" s="70"/>
      <c r="E7416" s="70"/>
      <c r="F7416" s="70"/>
      <c r="G7416" s="94"/>
      <c r="H7416" s="131"/>
      <c r="I7416" s="3"/>
    </row>
    <row r="7417" spans="1:9" s="93" customFormat="1" ht="9" customHeight="1" x14ac:dyDescent="0.3">
      <c r="A7417" s="91"/>
      <c r="B7417" s="70"/>
      <c r="C7417" s="70"/>
      <c r="D7417" s="70"/>
      <c r="E7417" s="70"/>
      <c r="F7417" s="70"/>
      <c r="G7417" s="94"/>
      <c r="H7417" s="131"/>
      <c r="I7417" s="3"/>
    </row>
    <row r="7418" spans="1:9" s="93" customFormat="1" ht="9" customHeight="1" x14ac:dyDescent="0.3">
      <c r="A7418" s="91"/>
      <c r="B7418" s="70"/>
      <c r="C7418" s="70"/>
      <c r="D7418" s="70"/>
      <c r="E7418" s="70"/>
      <c r="F7418" s="70"/>
      <c r="G7418" s="94"/>
      <c r="H7418" s="131"/>
      <c r="I7418" s="3"/>
    </row>
    <row r="7419" spans="1:9" s="93" customFormat="1" ht="9" customHeight="1" x14ac:dyDescent="0.3">
      <c r="A7419" s="91"/>
      <c r="B7419" s="70"/>
      <c r="C7419" s="70"/>
      <c r="D7419" s="70"/>
      <c r="E7419" s="70"/>
      <c r="F7419" s="70"/>
      <c r="G7419" s="94"/>
      <c r="H7419" s="131"/>
      <c r="I7419" s="3"/>
    </row>
    <row r="7420" spans="1:9" s="93" customFormat="1" ht="9" customHeight="1" x14ac:dyDescent="0.3">
      <c r="A7420" s="91"/>
      <c r="B7420" s="70"/>
      <c r="C7420" s="70"/>
      <c r="D7420" s="70"/>
      <c r="E7420" s="70"/>
      <c r="F7420" s="70"/>
      <c r="G7420" s="94"/>
      <c r="H7420" s="131"/>
      <c r="I7420" s="3"/>
    </row>
    <row r="7421" spans="1:9" s="93" customFormat="1" ht="9" customHeight="1" x14ac:dyDescent="0.3">
      <c r="A7421" s="91"/>
      <c r="B7421" s="70"/>
      <c r="C7421" s="70"/>
      <c r="D7421" s="70"/>
      <c r="E7421" s="70"/>
      <c r="F7421" s="70"/>
      <c r="G7421" s="94"/>
      <c r="H7421" s="131"/>
      <c r="I7421" s="3"/>
    </row>
    <row r="7422" spans="1:9" s="93" customFormat="1" ht="9" customHeight="1" x14ac:dyDescent="0.3">
      <c r="A7422" s="91"/>
      <c r="B7422" s="70"/>
      <c r="C7422" s="70"/>
      <c r="D7422" s="70"/>
      <c r="E7422" s="70"/>
      <c r="F7422" s="70"/>
      <c r="G7422" s="94"/>
      <c r="H7422" s="131"/>
      <c r="I7422" s="3"/>
    </row>
    <row r="7423" spans="1:9" s="93" customFormat="1" ht="9" customHeight="1" x14ac:dyDescent="0.3">
      <c r="A7423" s="91"/>
      <c r="B7423" s="70"/>
      <c r="C7423" s="70"/>
      <c r="D7423" s="70"/>
      <c r="E7423" s="70"/>
      <c r="F7423" s="70"/>
      <c r="G7423" s="94"/>
      <c r="H7423" s="131"/>
      <c r="I7423" s="3"/>
    </row>
    <row r="7424" spans="1:9" s="93" customFormat="1" ht="9" customHeight="1" x14ac:dyDescent="0.3">
      <c r="A7424" s="91"/>
      <c r="B7424" s="70"/>
      <c r="C7424" s="70"/>
      <c r="D7424" s="70"/>
      <c r="E7424" s="70"/>
      <c r="F7424" s="70"/>
      <c r="G7424" s="94"/>
      <c r="H7424" s="131"/>
      <c r="I7424" s="3"/>
    </row>
    <row r="7425" spans="1:9" s="93" customFormat="1" ht="9" customHeight="1" x14ac:dyDescent="0.3">
      <c r="A7425" s="91"/>
      <c r="B7425" s="70"/>
      <c r="C7425" s="70"/>
      <c r="D7425" s="70"/>
      <c r="E7425" s="70"/>
      <c r="F7425" s="70"/>
      <c r="G7425" s="94"/>
      <c r="H7425" s="131"/>
      <c r="I7425" s="3"/>
    </row>
    <row r="7426" spans="1:9" s="93" customFormat="1" ht="9" customHeight="1" x14ac:dyDescent="0.3">
      <c r="A7426" s="91"/>
      <c r="B7426" s="70"/>
      <c r="C7426" s="70"/>
      <c r="D7426" s="70"/>
      <c r="E7426" s="70"/>
      <c r="F7426" s="70"/>
      <c r="G7426" s="94"/>
      <c r="H7426" s="131"/>
      <c r="I7426" s="3"/>
    </row>
    <row r="7427" spans="1:9" s="93" customFormat="1" ht="9" customHeight="1" x14ac:dyDescent="0.3">
      <c r="A7427" s="91"/>
      <c r="B7427" s="70"/>
      <c r="C7427" s="70"/>
      <c r="D7427" s="70"/>
      <c r="E7427" s="70"/>
      <c r="F7427" s="70"/>
      <c r="G7427" s="94"/>
      <c r="H7427" s="131"/>
      <c r="I7427" s="3"/>
    </row>
    <row r="7428" spans="1:9" s="93" customFormat="1" ht="9" customHeight="1" x14ac:dyDescent="0.3">
      <c r="A7428" s="91"/>
      <c r="B7428" s="70"/>
      <c r="C7428" s="70"/>
      <c r="D7428" s="70"/>
      <c r="E7428" s="70"/>
      <c r="F7428" s="70"/>
      <c r="G7428" s="94"/>
      <c r="H7428" s="131"/>
      <c r="I7428" s="3"/>
    </row>
    <row r="7429" spans="1:9" s="93" customFormat="1" ht="9" customHeight="1" x14ac:dyDescent="0.3">
      <c r="A7429" s="91"/>
      <c r="B7429" s="70"/>
      <c r="C7429" s="70"/>
      <c r="D7429" s="70"/>
      <c r="E7429" s="70"/>
      <c r="F7429" s="70"/>
      <c r="G7429" s="94"/>
      <c r="H7429" s="131"/>
      <c r="I7429" s="3"/>
    </row>
    <row r="7430" spans="1:9" s="93" customFormat="1" ht="9" customHeight="1" x14ac:dyDescent="0.3">
      <c r="A7430" s="91"/>
      <c r="B7430" s="70"/>
      <c r="C7430" s="70"/>
      <c r="D7430" s="70"/>
      <c r="E7430" s="70"/>
      <c r="F7430" s="70"/>
      <c r="G7430" s="94"/>
      <c r="H7430" s="131"/>
      <c r="I7430" s="3"/>
    </row>
    <row r="7431" spans="1:9" s="93" customFormat="1" ht="9" customHeight="1" x14ac:dyDescent="0.3">
      <c r="A7431" s="91"/>
      <c r="B7431" s="70"/>
      <c r="C7431" s="70"/>
      <c r="D7431" s="70"/>
      <c r="E7431" s="70"/>
      <c r="F7431" s="70"/>
      <c r="G7431" s="94"/>
      <c r="H7431" s="131"/>
      <c r="I7431" s="3"/>
    </row>
    <row r="7432" spans="1:9" s="93" customFormat="1" ht="9" customHeight="1" x14ac:dyDescent="0.3">
      <c r="A7432" s="91"/>
      <c r="B7432" s="70"/>
      <c r="C7432" s="70"/>
      <c r="D7432" s="70"/>
      <c r="E7432" s="70"/>
      <c r="F7432" s="70"/>
      <c r="G7432" s="94"/>
      <c r="H7432" s="131"/>
      <c r="I7432" s="3"/>
    </row>
    <row r="7433" spans="1:9" s="93" customFormat="1" ht="9" customHeight="1" x14ac:dyDescent="0.3">
      <c r="A7433" s="91"/>
      <c r="B7433" s="70"/>
      <c r="C7433" s="70"/>
      <c r="D7433" s="70"/>
      <c r="E7433" s="70"/>
      <c r="F7433" s="70"/>
      <c r="G7433" s="94"/>
      <c r="H7433" s="131"/>
      <c r="I7433" s="3"/>
    </row>
    <row r="7434" spans="1:9" s="93" customFormat="1" ht="9" customHeight="1" x14ac:dyDescent="0.3">
      <c r="A7434" s="91"/>
      <c r="B7434" s="70"/>
      <c r="C7434" s="70"/>
      <c r="D7434" s="70"/>
      <c r="E7434" s="70"/>
      <c r="F7434" s="70"/>
      <c r="G7434" s="94"/>
      <c r="H7434" s="131"/>
      <c r="I7434" s="3"/>
    </row>
    <row r="7435" spans="1:9" s="93" customFormat="1" ht="9" customHeight="1" x14ac:dyDescent="0.3">
      <c r="A7435" s="91"/>
      <c r="B7435" s="70"/>
      <c r="C7435" s="70"/>
      <c r="D7435" s="70"/>
      <c r="E7435" s="70"/>
      <c r="F7435" s="70"/>
      <c r="G7435" s="94"/>
      <c r="H7435" s="131"/>
      <c r="I7435" s="3"/>
    </row>
    <row r="7436" spans="1:9" s="93" customFormat="1" ht="9" customHeight="1" x14ac:dyDescent="0.3">
      <c r="A7436" s="91"/>
      <c r="B7436" s="70"/>
      <c r="C7436" s="70"/>
      <c r="D7436" s="70"/>
      <c r="E7436" s="70"/>
      <c r="F7436" s="70"/>
      <c r="G7436" s="94"/>
      <c r="H7436" s="131"/>
      <c r="I7436" s="3"/>
    </row>
    <row r="7437" spans="1:9" s="93" customFormat="1" ht="9" customHeight="1" x14ac:dyDescent="0.3">
      <c r="A7437" s="91"/>
      <c r="B7437" s="70"/>
      <c r="C7437" s="70"/>
      <c r="D7437" s="70"/>
      <c r="E7437" s="70"/>
      <c r="F7437" s="70"/>
      <c r="G7437" s="94"/>
      <c r="H7437" s="131"/>
      <c r="I7437" s="3"/>
    </row>
    <row r="7438" spans="1:9" s="93" customFormat="1" ht="9" customHeight="1" x14ac:dyDescent="0.3">
      <c r="A7438" s="91"/>
      <c r="B7438" s="70"/>
      <c r="C7438" s="70"/>
      <c r="D7438" s="70"/>
      <c r="E7438" s="70"/>
      <c r="F7438" s="70"/>
      <c r="G7438" s="94"/>
      <c r="H7438" s="131"/>
      <c r="I7438" s="3"/>
    </row>
    <row r="7439" spans="1:9" s="93" customFormat="1" ht="9" customHeight="1" x14ac:dyDescent="0.3">
      <c r="A7439" s="91"/>
      <c r="B7439" s="70"/>
      <c r="C7439" s="70"/>
      <c r="D7439" s="70"/>
      <c r="E7439" s="70"/>
      <c r="F7439" s="70"/>
      <c r="G7439" s="94"/>
      <c r="H7439" s="131"/>
      <c r="I7439" s="3"/>
    </row>
    <row r="7440" spans="1:9" s="93" customFormat="1" ht="9" customHeight="1" x14ac:dyDescent="0.3">
      <c r="A7440" s="91"/>
      <c r="B7440" s="70"/>
      <c r="C7440" s="70"/>
      <c r="D7440" s="70"/>
      <c r="E7440" s="70"/>
      <c r="F7440" s="70"/>
      <c r="G7440" s="94"/>
      <c r="H7440" s="131"/>
      <c r="I7440" s="3"/>
    </row>
    <row r="7441" spans="1:9" s="93" customFormat="1" ht="9" customHeight="1" x14ac:dyDescent="0.3">
      <c r="A7441" s="91"/>
      <c r="B7441" s="70"/>
      <c r="C7441" s="70"/>
      <c r="D7441" s="70"/>
      <c r="E7441" s="70"/>
      <c r="F7441" s="70"/>
      <c r="G7441" s="94"/>
      <c r="H7441" s="131"/>
      <c r="I7441" s="3"/>
    </row>
    <row r="7442" spans="1:9" s="93" customFormat="1" ht="9" customHeight="1" x14ac:dyDescent="0.3">
      <c r="A7442" s="91"/>
      <c r="B7442" s="70"/>
      <c r="C7442" s="70"/>
      <c r="D7442" s="70"/>
      <c r="E7442" s="70"/>
      <c r="F7442" s="70"/>
      <c r="G7442" s="94"/>
      <c r="H7442" s="131"/>
      <c r="I7442" s="3"/>
    </row>
    <row r="7443" spans="1:9" s="93" customFormat="1" ht="9" customHeight="1" x14ac:dyDescent="0.3">
      <c r="A7443" s="91"/>
      <c r="B7443" s="70"/>
      <c r="C7443" s="70"/>
      <c r="D7443" s="70"/>
      <c r="E7443" s="70"/>
      <c r="F7443" s="70"/>
      <c r="G7443" s="94"/>
      <c r="H7443" s="131"/>
      <c r="I7443" s="3"/>
    </row>
    <row r="7444" spans="1:9" s="93" customFormat="1" ht="9" customHeight="1" x14ac:dyDescent="0.3">
      <c r="A7444" s="91"/>
      <c r="B7444" s="70"/>
      <c r="C7444" s="70"/>
      <c r="D7444" s="70"/>
      <c r="E7444" s="70"/>
      <c r="F7444" s="70"/>
      <c r="G7444" s="94"/>
      <c r="H7444" s="131"/>
      <c r="I7444" s="3"/>
    </row>
    <row r="7445" spans="1:9" s="93" customFormat="1" ht="9" customHeight="1" x14ac:dyDescent="0.3">
      <c r="A7445" s="91"/>
      <c r="B7445" s="70"/>
      <c r="C7445" s="70"/>
      <c r="D7445" s="70"/>
      <c r="E7445" s="70"/>
      <c r="F7445" s="70"/>
      <c r="G7445" s="94"/>
      <c r="H7445" s="131"/>
      <c r="I7445" s="3"/>
    </row>
    <row r="7446" spans="1:9" s="93" customFormat="1" ht="9" customHeight="1" x14ac:dyDescent="0.3">
      <c r="A7446" s="91"/>
      <c r="B7446" s="70"/>
      <c r="C7446" s="70"/>
      <c r="D7446" s="70"/>
      <c r="E7446" s="70"/>
      <c r="F7446" s="70"/>
      <c r="G7446" s="94"/>
      <c r="H7446" s="131"/>
      <c r="I7446" s="3"/>
    </row>
    <row r="7447" spans="1:9" s="93" customFormat="1" ht="9" customHeight="1" x14ac:dyDescent="0.3">
      <c r="A7447" s="91"/>
      <c r="B7447" s="70"/>
      <c r="C7447" s="70"/>
      <c r="D7447" s="70"/>
      <c r="E7447" s="70"/>
      <c r="F7447" s="70"/>
      <c r="G7447" s="94"/>
      <c r="H7447" s="131"/>
      <c r="I7447" s="3"/>
    </row>
    <row r="7448" spans="1:9" s="93" customFormat="1" ht="9" customHeight="1" x14ac:dyDescent="0.3">
      <c r="A7448" s="91"/>
      <c r="B7448" s="70"/>
      <c r="C7448" s="70"/>
      <c r="D7448" s="70"/>
      <c r="E7448" s="70"/>
      <c r="F7448" s="70"/>
      <c r="G7448" s="94"/>
      <c r="H7448" s="131"/>
      <c r="I7448" s="3"/>
    </row>
    <row r="7449" spans="1:9" s="93" customFormat="1" ht="9" customHeight="1" x14ac:dyDescent="0.3">
      <c r="A7449" s="91"/>
      <c r="B7449" s="70"/>
      <c r="C7449" s="70"/>
      <c r="D7449" s="70"/>
      <c r="E7449" s="70"/>
      <c r="F7449" s="70"/>
      <c r="G7449" s="94"/>
      <c r="H7449" s="131"/>
      <c r="I7449" s="3"/>
    </row>
    <row r="7450" spans="1:9" s="93" customFormat="1" ht="9" customHeight="1" x14ac:dyDescent="0.3">
      <c r="A7450" s="91"/>
      <c r="B7450" s="70"/>
      <c r="C7450" s="70"/>
      <c r="D7450" s="70"/>
      <c r="E7450" s="70"/>
      <c r="F7450" s="70"/>
      <c r="G7450" s="94"/>
      <c r="H7450" s="131"/>
      <c r="I7450" s="3"/>
    </row>
    <row r="7451" spans="1:9" s="93" customFormat="1" ht="9" customHeight="1" x14ac:dyDescent="0.3">
      <c r="A7451" s="91"/>
      <c r="B7451" s="70"/>
      <c r="C7451" s="70"/>
      <c r="D7451" s="70"/>
      <c r="E7451" s="70"/>
      <c r="F7451" s="70"/>
      <c r="G7451" s="94"/>
      <c r="H7451" s="131"/>
      <c r="I7451" s="3"/>
    </row>
    <row r="7452" spans="1:9" s="93" customFormat="1" ht="9" customHeight="1" x14ac:dyDescent="0.3">
      <c r="A7452" s="91"/>
      <c r="B7452" s="70"/>
      <c r="C7452" s="70"/>
      <c r="D7452" s="70"/>
      <c r="E7452" s="70"/>
      <c r="F7452" s="70"/>
      <c r="G7452" s="94"/>
      <c r="H7452" s="131"/>
      <c r="I7452" s="3"/>
    </row>
    <row r="7453" spans="1:9" s="93" customFormat="1" ht="9" customHeight="1" x14ac:dyDescent="0.3">
      <c r="A7453" s="91"/>
      <c r="B7453" s="70"/>
      <c r="C7453" s="70"/>
      <c r="D7453" s="70"/>
      <c r="E7453" s="70"/>
      <c r="F7453" s="70"/>
      <c r="G7453" s="94"/>
      <c r="H7453" s="131"/>
      <c r="I7453" s="3"/>
    </row>
    <row r="7454" spans="1:9" s="93" customFormat="1" ht="9" customHeight="1" x14ac:dyDescent="0.3">
      <c r="A7454" s="91"/>
      <c r="B7454" s="70"/>
      <c r="C7454" s="70"/>
      <c r="D7454" s="70"/>
      <c r="E7454" s="70"/>
      <c r="F7454" s="70"/>
      <c r="G7454" s="94"/>
      <c r="H7454" s="131"/>
      <c r="I7454" s="3"/>
    </row>
    <row r="7455" spans="1:9" s="93" customFormat="1" ht="9" customHeight="1" x14ac:dyDescent="0.3">
      <c r="A7455" s="91"/>
      <c r="B7455" s="70"/>
      <c r="C7455" s="70"/>
      <c r="D7455" s="70"/>
      <c r="E7455" s="70"/>
      <c r="F7455" s="70"/>
      <c r="G7455" s="94"/>
      <c r="H7455" s="131"/>
      <c r="I7455" s="3"/>
    </row>
    <row r="7456" spans="1:9" s="93" customFormat="1" ht="9" customHeight="1" x14ac:dyDescent="0.3">
      <c r="A7456" s="91"/>
      <c r="B7456" s="70"/>
      <c r="C7456" s="70"/>
      <c r="D7456" s="70"/>
      <c r="E7456" s="70"/>
      <c r="F7456" s="70"/>
      <c r="G7456" s="94"/>
      <c r="H7456" s="131"/>
      <c r="I7456" s="3"/>
    </row>
    <row r="7457" spans="1:9" s="93" customFormat="1" ht="9" customHeight="1" x14ac:dyDescent="0.3">
      <c r="A7457" s="91"/>
      <c r="B7457" s="70"/>
      <c r="C7457" s="70"/>
      <c r="D7457" s="70"/>
      <c r="E7457" s="70"/>
      <c r="F7457" s="70"/>
      <c r="G7457" s="94"/>
      <c r="H7457" s="131"/>
      <c r="I7457" s="3"/>
    </row>
    <row r="7458" spans="1:9" s="93" customFormat="1" ht="9" customHeight="1" x14ac:dyDescent="0.3">
      <c r="A7458" s="91"/>
      <c r="B7458" s="70"/>
      <c r="C7458" s="70"/>
      <c r="D7458" s="70"/>
      <c r="E7458" s="70"/>
      <c r="F7458" s="70"/>
      <c r="G7458" s="94"/>
      <c r="H7458" s="131"/>
      <c r="I7458" s="3"/>
    </row>
    <row r="7459" spans="1:9" s="93" customFormat="1" ht="9" customHeight="1" x14ac:dyDescent="0.3">
      <c r="A7459" s="91"/>
      <c r="B7459" s="70"/>
      <c r="C7459" s="70"/>
      <c r="D7459" s="70"/>
      <c r="E7459" s="70"/>
      <c r="F7459" s="70"/>
      <c r="G7459" s="94"/>
      <c r="H7459" s="131"/>
      <c r="I7459" s="3"/>
    </row>
    <row r="7460" spans="1:9" s="93" customFormat="1" ht="9" customHeight="1" x14ac:dyDescent="0.3">
      <c r="A7460" s="91"/>
      <c r="B7460" s="70"/>
      <c r="C7460" s="70"/>
      <c r="D7460" s="70"/>
      <c r="E7460" s="70"/>
      <c r="F7460" s="70"/>
      <c r="G7460" s="94"/>
      <c r="H7460" s="131"/>
      <c r="I7460" s="3"/>
    </row>
    <row r="7461" spans="1:9" s="93" customFormat="1" ht="9" customHeight="1" x14ac:dyDescent="0.3">
      <c r="A7461" s="91"/>
      <c r="B7461" s="70"/>
      <c r="C7461" s="70"/>
      <c r="D7461" s="70"/>
      <c r="E7461" s="70"/>
      <c r="F7461" s="70"/>
      <c r="G7461" s="94"/>
      <c r="H7461" s="131"/>
      <c r="I7461" s="3"/>
    </row>
    <row r="7462" spans="1:9" s="93" customFormat="1" ht="9" customHeight="1" x14ac:dyDescent="0.3">
      <c r="A7462" s="91"/>
      <c r="B7462" s="70"/>
      <c r="C7462" s="70"/>
      <c r="D7462" s="70"/>
      <c r="E7462" s="70"/>
      <c r="F7462" s="70"/>
      <c r="G7462" s="94"/>
      <c r="H7462" s="131"/>
      <c r="I7462" s="3"/>
    </row>
    <row r="7463" spans="1:9" s="93" customFormat="1" ht="9" customHeight="1" x14ac:dyDescent="0.3">
      <c r="A7463" s="91"/>
      <c r="B7463" s="70"/>
      <c r="C7463" s="70"/>
      <c r="D7463" s="70"/>
      <c r="E7463" s="70"/>
      <c r="F7463" s="70"/>
      <c r="G7463" s="94"/>
      <c r="H7463" s="131"/>
      <c r="I7463" s="3"/>
    </row>
    <row r="7464" spans="1:9" s="93" customFormat="1" ht="9" customHeight="1" x14ac:dyDescent="0.3">
      <c r="A7464" s="91"/>
      <c r="B7464" s="70"/>
      <c r="C7464" s="70"/>
      <c r="D7464" s="70"/>
      <c r="E7464" s="70"/>
      <c r="F7464" s="70"/>
      <c r="G7464" s="94"/>
      <c r="H7464" s="131"/>
      <c r="I7464" s="3"/>
    </row>
    <row r="7465" spans="1:9" s="93" customFormat="1" ht="9" customHeight="1" x14ac:dyDescent="0.3">
      <c r="A7465" s="91"/>
      <c r="B7465" s="70"/>
      <c r="C7465" s="70"/>
      <c r="D7465" s="70"/>
      <c r="E7465" s="70"/>
      <c r="F7465" s="70"/>
      <c r="G7465" s="94"/>
      <c r="H7465" s="131"/>
      <c r="I7465" s="3"/>
    </row>
    <row r="7466" spans="1:9" s="93" customFormat="1" ht="9" customHeight="1" x14ac:dyDescent="0.3">
      <c r="A7466" s="91"/>
      <c r="B7466" s="70"/>
      <c r="C7466" s="70"/>
      <c r="D7466" s="70"/>
      <c r="E7466" s="70"/>
      <c r="F7466" s="70"/>
      <c r="G7466" s="94"/>
      <c r="H7466" s="131"/>
      <c r="I7466" s="3"/>
    </row>
    <row r="7467" spans="1:9" s="93" customFormat="1" ht="9" customHeight="1" x14ac:dyDescent="0.3">
      <c r="A7467" s="91"/>
      <c r="B7467" s="70"/>
      <c r="C7467" s="70"/>
      <c r="D7467" s="70"/>
      <c r="E7467" s="70"/>
      <c r="F7467" s="70"/>
      <c r="G7467" s="94"/>
      <c r="H7467" s="131"/>
      <c r="I7467" s="3"/>
    </row>
    <row r="7468" spans="1:9" s="93" customFormat="1" ht="9" customHeight="1" x14ac:dyDescent="0.3">
      <c r="A7468" s="91"/>
      <c r="B7468" s="70"/>
      <c r="C7468" s="70"/>
      <c r="D7468" s="70"/>
      <c r="E7468" s="70"/>
      <c r="F7468" s="70"/>
      <c r="G7468" s="94"/>
      <c r="H7468" s="131"/>
      <c r="I7468" s="3"/>
    </row>
    <row r="7469" spans="1:9" s="93" customFormat="1" ht="9" customHeight="1" x14ac:dyDescent="0.3">
      <c r="A7469" s="91"/>
      <c r="B7469" s="70"/>
      <c r="C7469" s="70"/>
      <c r="D7469" s="70"/>
      <c r="E7469" s="70"/>
      <c r="F7469" s="70"/>
      <c r="G7469" s="94"/>
      <c r="H7469" s="131"/>
      <c r="I7469" s="3"/>
    </row>
    <row r="7470" spans="1:9" s="93" customFormat="1" ht="9" customHeight="1" x14ac:dyDescent="0.3">
      <c r="A7470" s="91"/>
      <c r="B7470" s="70"/>
      <c r="C7470" s="70"/>
      <c r="D7470" s="70"/>
      <c r="E7470" s="70"/>
      <c r="F7470" s="70"/>
      <c r="G7470" s="94"/>
      <c r="H7470" s="131"/>
      <c r="I7470" s="3"/>
    </row>
    <row r="7471" spans="1:9" s="93" customFormat="1" ht="9" customHeight="1" x14ac:dyDescent="0.3">
      <c r="A7471" s="91"/>
      <c r="B7471" s="70"/>
      <c r="C7471" s="70"/>
      <c r="D7471" s="70"/>
      <c r="E7471" s="70"/>
      <c r="F7471" s="70"/>
      <c r="G7471" s="94"/>
      <c r="H7471" s="131"/>
      <c r="I7471" s="3"/>
    </row>
    <row r="7472" spans="1:9" s="93" customFormat="1" ht="9" customHeight="1" x14ac:dyDescent="0.3">
      <c r="A7472" s="91"/>
      <c r="B7472" s="70"/>
      <c r="C7472" s="70"/>
      <c r="D7472" s="70"/>
      <c r="E7472" s="70"/>
      <c r="F7472" s="70"/>
      <c r="G7472" s="94"/>
      <c r="H7472" s="131"/>
      <c r="I7472" s="3"/>
    </row>
    <row r="7473" spans="1:9" s="93" customFormat="1" ht="9" customHeight="1" x14ac:dyDescent="0.3">
      <c r="A7473" s="91"/>
      <c r="B7473" s="70"/>
      <c r="C7473" s="70"/>
      <c r="D7473" s="70"/>
      <c r="E7473" s="70"/>
      <c r="F7473" s="70"/>
      <c r="G7473" s="94"/>
      <c r="H7473" s="131"/>
      <c r="I7473" s="3"/>
    </row>
    <row r="7474" spans="1:9" s="93" customFormat="1" ht="9" customHeight="1" x14ac:dyDescent="0.3">
      <c r="A7474" s="91"/>
      <c r="B7474" s="70"/>
      <c r="C7474" s="70"/>
      <c r="D7474" s="70"/>
      <c r="E7474" s="70"/>
      <c r="F7474" s="70"/>
      <c r="G7474" s="94"/>
      <c r="H7474" s="131"/>
      <c r="I7474" s="3"/>
    </row>
    <row r="7475" spans="1:9" s="93" customFormat="1" ht="9" customHeight="1" x14ac:dyDescent="0.3">
      <c r="A7475" s="91"/>
      <c r="B7475" s="70"/>
      <c r="C7475" s="70"/>
      <c r="D7475" s="70"/>
      <c r="E7475" s="70"/>
      <c r="F7475" s="70"/>
      <c r="G7475" s="94"/>
      <c r="H7475" s="131"/>
      <c r="I7475" s="3"/>
    </row>
    <row r="7476" spans="1:9" s="93" customFormat="1" ht="9" customHeight="1" x14ac:dyDescent="0.3">
      <c r="A7476" s="91"/>
      <c r="B7476" s="70"/>
      <c r="C7476" s="70"/>
      <c r="D7476" s="70"/>
      <c r="E7476" s="70"/>
      <c r="F7476" s="70"/>
      <c r="G7476" s="94"/>
      <c r="H7476" s="131"/>
      <c r="I7476" s="3"/>
    </row>
    <row r="7477" spans="1:9" s="93" customFormat="1" ht="9" customHeight="1" x14ac:dyDescent="0.3">
      <c r="A7477" s="91"/>
      <c r="B7477" s="70"/>
      <c r="C7477" s="70"/>
      <c r="D7477" s="70"/>
      <c r="E7477" s="70"/>
      <c r="F7477" s="70"/>
      <c r="G7477" s="94"/>
      <c r="H7477" s="131"/>
      <c r="I7477" s="3"/>
    </row>
    <row r="7478" spans="1:9" s="93" customFormat="1" ht="9" customHeight="1" x14ac:dyDescent="0.3">
      <c r="A7478" s="91"/>
      <c r="B7478" s="70"/>
      <c r="C7478" s="70"/>
      <c r="D7478" s="70"/>
      <c r="E7478" s="70"/>
      <c r="F7478" s="70"/>
      <c r="G7478" s="94"/>
      <c r="H7478" s="131"/>
      <c r="I7478" s="3"/>
    </row>
    <row r="7479" spans="1:9" s="93" customFormat="1" ht="9" customHeight="1" x14ac:dyDescent="0.3">
      <c r="A7479" s="91"/>
      <c r="B7479" s="70"/>
      <c r="C7479" s="70"/>
      <c r="D7479" s="70"/>
      <c r="E7479" s="70"/>
      <c r="F7479" s="70"/>
      <c r="G7479" s="94"/>
      <c r="H7479" s="131"/>
      <c r="I7479" s="3"/>
    </row>
    <row r="7480" spans="1:9" s="93" customFormat="1" ht="9" customHeight="1" x14ac:dyDescent="0.3">
      <c r="A7480" s="91"/>
      <c r="B7480" s="70"/>
      <c r="C7480" s="70"/>
      <c r="D7480" s="70"/>
      <c r="E7480" s="70"/>
      <c r="F7480" s="70"/>
      <c r="G7480" s="94"/>
      <c r="H7480" s="131"/>
      <c r="I7480" s="3"/>
    </row>
    <row r="7481" spans="1:9" s="93" customFormat="1" ht="9" customHeight="1" x14ac:dyDescent="0.3">
      <c r="A7481" s="91"/>
      <c r="B7481" s="70"/>
      <c r="C7481" s="70"/>
      <c r="D7481" s="70"/>
      <c r="E7481" s="70"/>
      <c r="F7481" s="70"/>
      <c r="G7481" s="94"/>
      <c r="H7481" s="131"/>
      <c r="I7481" s="3"/>
    </row>
    <row r="7482" spans="1:9" s="93" customFormat="1" ht="9" customHeight="1" x14ac:dyDescent="0.3">
      <c r="A7482" s="91"/>
      <c r="B7482" s="70"/>
      <c r="C7482" s="70"/>
      <c r="D7482" s="70"/>
      <c r="E7482" s="70"/>
      <c r="F7482" s="70"/>
      <c r="G7482" s="94"/>
      <c r="H7482" s="131"/>
      <c r="I7482" s="3"/>
    </row>
    <row r="7483" spans="1:9" s="93" customFormat="1" ht="9" customHeight="1" x14ac:dyDescent="0.3">
      <c r="A7483" s="91"/>
      <c r="B7483" s="70"/>
      <c r="C7483" s="70"/>
      <c r="D7483" s="70"/>
      <c r="E7483" s="70"/>
      <c r="F7483" s="70"/>
      <c r="G7483" s="94"/>
      <c r="H7483" s="131"/>
      <c r="I7483" s="3"/>
    </row>
    <row r="7484" spans="1:9" s="93" customFormat="1" ht="9" customHeight="1" x14ac:dyDescent="0.3">
      <c r="A7484" s="91"/>
      <c r="B7484" s="70"/>
      <c r="C7484" s="70"/>
      <c r="D7484" s="70"/>
      <c r="E7484" s="70"/>
      <c r="F7484" s="70"/>
      <c r="G7484" s="94"/>
      <c r="H7484" s="131"/>
      <c r="I7484" s="3"/>
    </row>
    <row r="7485" spans="1:9" s="93" customFormat="1" ht="9" customHeight="1" x14ac:dyDescent="0.3">
      <c r="A7485" s="91"/>
      <c r="B7485" s="70"/>
      <c r="C7485" s="70"/>
      <c r="D7485" s="70"/>
      <c r="E7485" s="70"/>
      <c r="F7485" s="70"/>
      <c r="G7485" s="94"/>
      <c r="H7485" s="131"/>
      <c r="I7485" s="3"/>
    </row>
    <row r="7486" spans="1:9" s="93" customFormat="1" ht="9" customHeight="1" x14ac:dyDescent="0.3">
      <c r="A7486" s="91"/>
      <c r="B7486" s="70"/>
      <c r="C7486" s="70"/>
      <c r="D7486" s="70"/>
      <c r="E7486" s="70"/>
      <c r="F7486" s="70"/>
      <c r="G7486" s="94"/>
      <c r="H7486" s="131"/>
      <c r="I7486" s="3"/>
    </row>
    <row r="7487" spans="1:9" s="93" customFormat="1" ht="9" customHeight="1" x14ac:dyDescent="0.3">
      <c r="A7487" s="91"/>
      <c r="B7487" s="70"/>
      <c r="C7487" s="70"/>
      <c r="D7487" s="70"/>
      <c r="E7487" s="70"/>
      <c r="F7487" s="70"/>
      <c r="G7487" s="94"/>
      <c r="H7487" s="131"/>
      <c r="I7487" s="3"/>
    </row>
    <row r="7488" spans="1:9" s="93" customFormat="1" ht="9" customHeight="1" x14ac:dyDescent="0.3">
      <c r="A7488" s="91"/>
      <c r="B7488" s="70"/>
      <c r="C7488" s="70"/>
      <c r="D7488" s="70"/>
      <c r="E7488" s="70"/>
      <c r="F7488" s="70"/>
      <c r="G7488" s="94"/>
      <c r="H7488" s="131"/>
      <c r="I7488" s="3"/>
    </row>
    <row r="7489" spans="1:9" s="93" customFormat="1" ht="9" customHeight="1" x14ac:dyDescent="0.3">
      <c r="A7489" s="91"/>
      <c r="B7489" s="70"/>
      <c r="C7489" s="70"/>
      <c r="D7489" s="70"/>
      <c r="E7489" s="70"/>
      <c r="F7489" s="70"/>
      <c r="G7489" s="94"/>
      <c r="H7489" s="131"/>
      <c r="I7489" s="3"/>
    </row>
    <row r="7490" spans="1:9" s="93" customFormat="1" ht="9" customHeight="1" x14ac:dyDescent="0.3">
      <c r="A7490" s="91"/>
      <c r="B7490" s="70"/>
      <c r="C7490" s="70"/>
      <c r="D7490" s="70"/>
      <c r="E7490" s="70"/>
      <c r="F7490" s="70"/>
      <c r="G7490" s="94"/>
      <c r="H7490" s="131"/>
      <c r="I7490" s="3"/>
    </row>
    <row r="7491" spans="1:9" s="93" customFormat="1" ht="9" customHeight="1" x14ac:dyDescent="0.3">
      <c r="A7491" s="91"/>
      <c r="B7491" s="70"/>
      <c r="C7491" s="70"/>
      <c r="D7491" s="70"/>
      <c r="E7491" s="70"/>
      <c r="F7491" s="70"/>
      <c r="G7491" s="94"/>
      <c r="H7491" s="131"/>
      <c r="I7491" s="3"/>
    </row>
    <row r="7492" spans="1:9" s="93" customFormat="1" ht="9" customHeight="1" x14ac:dyDescent="0.3">
      <c r="A7492" s="91"/>
      <c r="B7492" s="70"/>
      <c r="C7492" s="70"/>
      <c r="D7492" s="70"/>
      <c r="E7492" s="70"/>
      <c r="F7492" s="70"/>
      <c r="G7492" s="94"/>
      <c r="H7492" s="131"/>
      <c r="I7492" s="3"/>
    </row>
    <row r="7493" spans="1:9" s="93" customFormat="1" ht="9" customHeight="1" x14ac:dyDescent="0.3">
      <c r="A7493" s="91"/>
      <c r="B7493" s="70"/>
      <c r="C7493" s="70"/>
      <c r="D7493" s="70"/>
      <c r="E7493" s="70"/>
      <c r="F7493" s="70"/>
      <c r="G7493" s="94"/>
      <c r="H7493" s="131"/>
      <c r="I7493" s="3"/>
    </row>
    <row r="7494" spans="1:9" s="93" customFormat="1" ht="9" customHeight="1" x14ac:dyDescent="0.3">
      <c r="A7494" s="91"/>
      <c r="B7494" s="70"/>
      <c r="C7494" s="70"/>
      <c r="D7494" s="70"/>
      <c r="E7494" s="70"/>
      <c r="F7494" s="70"/>
      <c r="G7494" s="94"/>
      <c r="H7494" s="131"/>
      <c r="I7494" s="3"/>
    </row>
    <row r="7495" spans="1:9" s="93" customFormat="1" ht="9" customHeight="1" x14ac:dyDescent="0.3">
      <c r="A7495" s="91"/>
      <c r="B7495" s="70"/>
      <c r="C7495" s="70"/>
      <c r="D7495" s="70"/>
      <c r="E7495" s="70"/>
      <c r="F7495" s="70"/>
      <c r="G7495" s="94"/>
      <c r="H7495" s="131"/>
      <c r="I7495" s="3"/>
    </row>
    <row r="7496" spans="1:9" s="93" customFormat="1" ht="9" customHeight="1" x14ac:dyDescent="0.3">
      <c r="A7496" s="91"/>
      <c r="B7496" s="70"/>
      <c r="C7496" s="70"/>
      <c r="D7496" s="70"/>
      <c r="E7496" s="70"/>
      <c r="F7496" s="70"/>
      <c r="G7496" s="94"/>
      <c r="H7496" s="131"/>
      <c r="I7496" s="3"/>
    </row>
    <row r="7497" spans="1:9" s="93" customFormat="1" ht="9" customHeight="1" x14ac:dyDescent="0.3">
      <c r="A7497" s="91"/>
      <c r="B7497" s="70"/>
      <c r="C7497" s="70"/>
      <c r="D7497" s="70"/>
      <c r="E7497" s="70"/>
      <c r="F7497" s="70"/>
      <c r="G7497" s="94"/>
      <c r="H7497" s="131"/>
      <c r="I7497" s="3"/>
    </row>
    <row r="7498" spans="1:9" s="93" customFormat="1" ht="9" customHeight="1" x14ac:dyDescent="0.3">
      <c r="A7498" s="91"/>
      <c r="B7498" s="70"/>
      <c r="C7498" s="70"/>
      <c r="D7498" s="70"/>
      <c r="E7498" s="70"/>
      <c r="F7498" s="70"/>
      <c r="G7498" s="94"/>
      <c r="H7498" s="131"/>
      <c r="I7498" s="3"/>
    </row>
    <row r="7499" spans="1:9" s="93" customFormat="1" ht="9" customHeight="1" x14ac:dyDescent="0.3">
      <c r="A7499" s="91"/>
      <c r="B7499" s="70"/>
      <c r="C7499" s="70"/>
      <c r="D7499" s="70"/>
      <c r="E7499" s="70"/>
      <c r="F7499" s="70"/>
      <c r="G7499" s="94"/>
      <c r="H7499" s="131"/>
      <c r="I7499" s="3"/>
    </row>
    <row r="7500" spans="1:9" s="93" customFormat="1" ht="9" customHeight="1" x14ac:dyDescent="0.3">
      <c r="A7500" s="91"/>
      <c r="B7500" s="70"/>
      <c r="C7500" s="70"/>
      <c r="D7500" s="70"/>
      <c r="E7500" s="70"/>
      <c r="F7500" s="70"/>
      <c r="G7500" s="94"/>
      <c r="H7500" s="131"/>
      <c r="I7500" s="3"/>
    </row>
    <row r="7501" spans="1:9" s="93" customFormat="1" ht="9" customHeight="1" x14ac:dyDescent="0.3">
      <c r="A7501" s="91"/>
      <c r="B7501" s="70"/>
      <c r="C7501" s="70"/>
      <c r="D7501" s="70"/>
      <c r="E7501" s="70"/>
      <c r="F7501" s="70"/>
      <c r="G7501" s="94"/>
      <c r="H7501" s="131"/>
      <c r="I7501" s="3"/>
    </row>
    <row r="7502" spans="1:9" s="93" customFormat="1" ht="9" customHeight="1" x14ac:dyDescent="0.3">
      <c r="A7502" s="91"/>
      <c r="B7502" s="70"/>
      <c r="C7502" s="70"/>
      <c r="D7502" s="70"/>
      <c r="E7502" s="70"/>
      <c r="F7502" s="70"/>
      <c r="G7502" s="94"/>
      <c r="H7502" s="131"/>
      <c r="I7502" s="3"/>
    </row>
    <row r="7503" spans="1:9" s="93" customFormat="1" ht="9" customHeight="1" x14ac:dyDescent="0.3">
      <c r="A7503" s="91"/>
      <c r="B7503" s="70"/>
      <c r="C7503" s="70"/>
      <c r="D7503" s="70"/>
      <c r="E7503" s="70"/>
      <c r="F7503" s="70"/>
      <c r="G7503" s="94"/>
      <c r="H7503" s="131"/>
      <c r="I7503" s="3"/>
    </row>
    <row r="7504" spans="1:9" s="93" customFormat="1" ht="9" customHeight="1" x14ac:dyDescent="0.3">
      <c r="A7504" s="91"/>
      <c r="B7504" s="70"/>
      <c r="C7504" s="70"/>
      <c r="D7504" s="70"/>
      <c r="E7504" s="70"/>
      <c r="F7504" s="70"/>
      <c r="G7504" s="94"/>
      <c r="H7504" s="131"/>
      <c r="I7504" s="3"/>
    </row>
    <row r="7505" spans="1:9" s="93" customFormat="1" ht="9" customHeight="1" x14ac:dyDescent="0.3">
      <c r="A7505" s="91"/>
      <c r="B7505" s="70"/>
      <c r="C7505" s="70"/>
      <c r="D7505" s="70"/>
      <c r="E7505" s="70"/>
      <c r="F7505" s="70"/>
      <c r="G7505" s="94"/>
      <c r="H7505" s="131"/>
      <c r="I7505" s="3"/>
    </row>
    <row r="7506" spans="1:9" s="93" customFormat="1" ht="9" customHeight="1" x14ac:dyDescent="0.3">
      <c r="A7506" s="91"/>
      <c r="B7506" s="70"/>
      <c r="C7506" s="70"/>
      <c r="D7506" s="70"/>
      <c r="E7506" s="70"/>
      <c r="F7506" s="70"/>
      <c r="G7506" s="94"/>
      <c r="H7506" s="131"/>
      <c r="I7506" s="3"/>
    </row>
    <row r="7507" spans="1:9" s="93" customFormat="1" ht="9" customHeight="1" x14ac:dyDescent="0.3">
      <c r="A7507" s="91"/>
      <c r="B7507" s="70"/>
      <c r="C7507" s="70"/>
      <c r="D7507" s="70"/>
      <c r="E7507" s="70"/>
      <c r="F7507" s="70"/>
      <c r="G7507" s="94"/>
      <c r="H7507" s="131"/>
      <c r="I7507" s="3"/>
    </row>
    <row r="7508" spans="1:9" s="93" customFormat="1" ht="9" customHeight="1" x14ac:dyDescent="0.3">
      <c r="A7508" s="91"/>
      <c r="B7508" s="70"/>
      <c r="C7508" s="70"/>
      <c r="D7508" s="70"/>
      <c r="E7508" s="70"/>
      <c r="F7508" s="70"/>
      <c r="G7508" s="94"/>
      <c r="H7508" s="131"/>
      <c r="I7508" s="3"/>
    </row>
    <row r="7509" spans="1:9" s="93" customFormat="1" ht="9" customHeight="1" x14ac:dyDescent="0.3">
      <c r="A7509" s="91"/>
      <c r="B7509" s="70"/>
      <c r="C7509" s="70"/>
      <c r="D7509" s="70"/>
      <c r="E7509" s="70"/>
      <c r="F7509" s="70"/>
      <c r="G7509" s="94"/>
      <c r="H7509" s="131"/>
      <c r="I7509" s="3"/>
    </row>
    <row r="7510" spans="1:9" s="93" customFormat="1" ht="9" customHeight="1" x14ac:dyDescent="0.3">
      <c r="A7510" s="91"/>
      <c r="B7510" s="70"/>
      <c r="C7510" s="70"/>
      <c r="D7510" s="70"/>
      <c r="E7510" s="70"/>
      <c r="F7510" s="70"/>
      <c r="G7510" s="94"/>
      <c r="H7510" s="131"/>
      <c r="I7510" s="3"/>
    </row>
    <row r="7511" spans="1:9" s="93" customFormat="1" ht="9" customHeight="1" x14ac:dyDescent="0.3">
      <c r="A7511" s="91"/>
      <c r="B7511" s="70"/>
      <c r="C7511" s="70"/>
      <c r="D7511" s="70"/>
      <c r="E7511" s="70"/>
      <c r="F7511" s="70"/>
      <c r="G7511" s="94"/>
      <c r="H7511" s="131"/>
      <c r="I7511" s="3"/>
    </row>
    <row r="7512" spans="1:9" s="93" customFormat="1" ht="9" customHeight="1" x14ac:dyDescent="0.3">
      <c r="A7512" s="91"/>
      <c r="B7512" s="70"/>
      <c r="C7512" s="70"/>
      <c r="D7512" s="70"/>
      <c r="E7512" s="70"/>
      <c r="F7512" s="70"/>
      <c r="G7512" s="94"/>
      <c r="H7512" s="131"/>
      <c r="I7512" s="3"/>
    </row>
    <row r="7513" spans="1:9" s="93" customFormat="1" ht="9" customHeight="1" x14ac:dyDescent="0.3">
      <c r="A7513" s="91"/>
      <c r="B7513" s="70"/>
      <c r="C7513" s="70"/>
      <c r="D7513" s="70"/>
      <c r="E7513" s="70"/>
      <c r="F7513" s="70"/>
      <c r="G7513" s="94"/>
      <c r="H7513" s="131"/>
      <c r="I7513" s="3"/>
    </row>
    <row r="7514" spans="1:9" s="93" customFormat="1" ht="9" customHeight="1" x14ac:dyDescent="0.3">
      <c r="A7514" s="91"/>
      <c r="B7514" s="70"/>
      <c r="C7514" s="70"/>
      <c r="D7514" s="70"/>
      <c r="E7514" s="70"/>
      <c r="F7514" s="70"/>
      <c r="G7514" s="94"/>
      <c r="H7514" s="131"/>
      <c r="I7514" s="3"/>
    </row>
    <row r="7515" spans="1:9" s="93" customFormat="1" ht="9" customHeight="1" x14ac:dyDescent="0.3">
      <c r="A7515" s="91"/>
      <c r="B7515" s="70"/>
      <c r="C7515" s="70"/>
      <c r="D7515" s="70"/>
      <c r="E7515" s="70"/>
      <c r="F7515" s="70"/>
      <c r="G7515" s="94"/>
      <c r="H7515" s="131"/>
      <c r="I7515" s="3"/>
    </row>
    <row r="7516" spans="1:9" s="93" customFormat="1" ht="9" customHeight="1" x14ac:dyDescent="0.3">
      <c r="A7516" s="91"/>
      <c r="B7516" s="70"/>
      <c r="C7516" s="70"/>
      <c r="D7516" s="70"/>
      <c r="E7516" s="70"/>
      <c r="F7516" s="70"/>
      <c r="G7516" s="94"/>
      <c r="H7516" s="131"/>
      <c r="I7516" s="3"/>
    </row>
    <row r="7517" spans="1:9" s="93" customFormat="1" ht="9" customHeight="1" x14ac:dyDescent="0.3">
      <c r="A7517" s="91"/>
      <c r="B7517" s="70"/>
      <c r="C7517" s="70"/>
      <c r="D7517" s="70"/>
      <c r="E7517" s="70"/>
      <c r="F7517" s="70"/>
      <c r="G7517" s="94"/>
      <c r="H7517" s="131"/>
      <c r="I7517" s="3"/>
    </row>
    <row r="7518" spans="1:9" s="93" customFormat="1" ht="9" customHeight="1" x14ac:dyDescent="0.3">
      <c r="A7518" s="91"/>
      <c r="B7518" s="70"/>
      <c r="C7518" s="70"/>
      <c r="D7518" s="70"/>
      <c r="E7518" s="70"/>
      <c r="F7518" s="70"/>
      <c r="G7518" s="94"/>
      <c r="H7518" s="131"/>
      <c r="I7518" s="3"/>
    </row>
    <row r="7519" spans="1:9" s="93" customFormat="1" ht="9" customHeight="1" x14ac:dyDescent="0.3">
      <c r="A7519" s="91"/>
      <c r="B7519" s="70"/>
      <c r="C7519" s="70"/>
      <c r="D7519" s="70"/>
      <c r="E7519" s="70"/>
      <c r="F7519" s="70"/>
      <c r="G7519" s="94"/>
      <c r="H7519" s="131"/>
      <c r="I7519" s="3"/>
    </row>
    <row r="7520" spans="1:9" s="93" customFormat="1" ht="9" customHeight="1" x14ac:dyDescent="0.3">
      <c r="A7520" s="91"/>
      <c r="B7520" s="70"/>
      <c r="C7520" s="70"/>
      <c r="D7520" s="70"/>
      <c r="E7520" s="70"/>
      <c r="F7520" s="70"/>
      <c r="G7520" s="94"/>
      <c r="H7520" s="131"/>
      <c r="I7520" s="3"/>
    </row>
    <row r="7521" spans="1:9" s="93" customFormat="1" ht="9" customHeight="1" x14ac:dyDescent="0.3">
      <c r="A7521" s="91"/>
      <c r="B7521" s="70"/>
      <c r="C7521" s="70"/>
      <c r="D7521" s="70"/>
      <c r="E7521" s="70"/>
      <c r="F7521" s="70"/>
      <c r="G7521" s="94"/>
      <c r="H7521" s="131"/>
      <c r="I7521" s="3"/>
    </row>
    <row r="7522" spans="1:9" s="93" customFormat="1" ht="9" customHeight="1" x14ac:dyDescent="0.3">
      <c r="A7522" s="91"/>
      <c r="B7522" s="70"/>
      <c r="C7522" s="70"/>
      <c r="D7522" s="70"/>
      <c r="E7522" s="70"/>
      <c r="F7522" s="70"/>
      <c r="G7522" s="94"/>
      <c r="H7522" s="131"/>
      <c r="I7522" s="3"/>
    </row>
    <row r="7523" spans="1:9" s="93" customFormat="1" ht="9" customHeight="1" x14ac:dyDescent="0.3">
      <c r="A7523" s="91"/>
      <c r="B7523" s="70"/>
      <c r="C7523" s="70"/>
      <c r="D7523" s="70"/>
      <c r="E7523" s="70"/>
      <c r="F7523" s="70"/>
      <c r="G7523" s="94"/>
      <c r="H7523" s="131"/>
      <c r="I7523" s="3"/>
    </row>
    <row r="7524" spans="1:9" s="93" customFormat="1" ht="9" customHeight="1" x14ac:dyDescent="0.3">
      <c r="A7524" s="91"/>
      <c r="B7524" s="70"/>
      <c r="C7524" s="70"/>
      <c r="D7524" s="70"/>
      <c r="E7524" s="70"/>
      <c r="F7524" s="70"/>
      <c r="G7524" s="94"/>
      <c r="H7524" s="131"/>
      <c r="I7524" s="3"/>
    </row>
    <row r="7525" spans="1:9" s="93" customFormat="1" ht="9" customHeight="1" x14ac:dyDescent="0.3">
      <c r="A7525" s="91"/>
      <c r="B7525" s="70"/>
      <c r="C7525" s="70"/>
      <c r="D7525" s="70"/>
      <c r="E7525" s="70"/>
      <c r="F7525" s="70"/>
      <c r="G7525" s="94"/>
      <c r="H7525" s="131"/>
      <c r="I7525" s="3"/>
    </row>
    <row r="7526" spans="1:9" s="93" customFormat="1" ht="9" customHeight="1" x14ac:dyDescent="0.3">
      <c r="A7526" s="91"/>
      <c r="B7526" s="70"/>
      <c r="C7526" s="70"/>
      <c r="D7526" s="70"/>
      <c r="E7526" s="70"/>
      <c r="F7526" s="70"/>
      <c r="G7526" s="94"/>
      <c r="H7526" s="131"/>
      <c r="I7526" s="3"/>
    </row>
    <row r="7527" spans="1:9" s="93" customFormat="1" ht="9" customHeight="1" x14ac:dyDescent="0.3">
      <c r="A7527" s="91"/>
      <c r="B7527" s="70"/>
      <c r="C7527" s="70"/>
      <c r="D7527" s="70"/>
      <c r="E7527" s="70"/>
      <c r="F7527" s="70"/>
      <c r="G7527" s="94"/>
      <c r="H7527" s="131"/>
      <c r="I7527" s="3"/>
    </row>
    <row r="7528" spans="1:9" s="93" customFormat="1" ht="9" customHeight="1" x14ac:dyDescent="0.3">
      <c r="A7528" s="91"/>
      <c r="B7528" s="70"/>
      <c r="C7528" s="70"/>
      <c r="D7528" s="70"/>
      <c r="E7528" s="70"/>
      <c r="F7528" s="70"/>
      <c r="G7528" s="94"/>
      <c r="H7528" s="131"/>
      <c r="I7528" s="3"/>
    </row>
    <row r="7529" spans="1:9" s="93" customFormat="1" ht="9" customHeight="1" x14ac:dyDescent="0.3">
      <c r="A7529" s="91"/>
      <c r="B7529" s="70"/>
      <c r="C7529" s="70"/>
      <c r="D7529" s="70"/>
      <c r="E7529" s="70"/>
      <c r="F7529" s="70"/>
      <c r="G7529" s="94"/>
      <c r="H7529" s="131"/>
      <c r="I7529" s="3"/>
    </row>
    <row r="7530" spans="1:9" s="93" customFormat="1" ht="9" customHeight="1" x14ac:dyDescent="0.3">
      <c r="A7530" s="91"/>
      <c r="B7530" s="70"/>
      <c r="C7530" s="70"/>
      <c r="D7530" s="70"/>
      <c r="E7530" s="70"/>
      <c r="F7530" s="70"/>
      <c r="G7530" s="94"/>
      <c r="H7530" s="131"/>
      <c r="I7530" s="3"/>
    </row>
    <row r="7531" spans="1:9" s="93" customFormat="1" ht="9" customHeight="1" x14ac:dyDescent="0.3">
      <c r="A7531" s="91"/>
      <c r="B7531" s="70"/>
      <c r="C7531" s="70"/>
      <c r="D7531" s="70"/>
      <c r="E7531" s="70"/>
      <c r="F7531" s="70"/>
      <c r="G7531" s="94"/>
      <c r="H7531" s="131"/>
      <c r="I7531" s="3"/>
    </row>
    <row r="7532" spans="1:9" s="93" customFormat="1" ht="9" customHeight="1" x14ac:dyDescent="0.3">
      <c r="A7532" s="91"/>
      <c r="B7532" s="70"/>
      <c r="C7532" s="70"/>
      <c r="D7532" s="70"/>
      <c r="E7532" s="70"/>
      <c r="F7532" s="70"/>
      <c r="G7532" s="94"/>
      <c r="H7532" s="131"/>
      <c r="I7532" s="3"/>
    </row>
    <row r="7533" spans="1:9" s="93" customFormat="1" ht="9" customHeight="1" x14ac:dyDescent="0.3">
      <c r="A7533" s="91"/>
      <c r="B7533" s="70"/>
      <c r="C7533" s="70"/>
      <c r="D7533" s="70"/>
      <c r="E7533" s="70"/>
      <c r="F7533" s="70"/>
      <c r="G7533" s="94"/>
      <c r="H7533" s="131"/>
      <c r="I7533" s="3"/>
    </row>
    <row r="7534" spans="1:9" s="93" customFormat="1" ht="9" customHeight="1" x14ac:dyDescent="0.3">
      <c r="A7534" s="91"/>
      <c r="B7534" s="70"/>
      <c r="C7534" s="70"/>
      <c r="D7534" s="70"/>
      <c r="E7534" s="70"/>
      <c r="F7534" s="70"/>
      <c r="G7534" s="94"/>
      <c r="H7534" s="131"/>
      <c r="I7534" s="3"/>
    </row>
    <row r="7535" spans="1:9" s="93" customFormat="1" ht="9" customHeight="1" x14ac:dyDescent="0.3">
      <c r="A7535" s="91"/>
      <c r="B7535" s="70"/>
      <c r="C7535" s="70"/>
      <c r="D7535" s="70"/>
      <c r="E7535" s="70"/>
      <c r="F7535" s="70"/>
      <c r="G7535" s="94"/>
      <c r="H7535" s="131"/>
      <c r="I7535" s="3"/>
    </row>
    <row r="7536" spans="1:9" s="93" customFormat="1" ht="9" customHeight="1" x14ac:dyDescent="0.3">
      <c r="A7536" s="91"/>
      <c r="B7536" s="70"/>
      <c r="C7536" s="70"/>
      <c r="D7536" s="70"/>
      <c r="E7536" s="70"/>
      <c r="F7536" s="70"/>
      <c r="G7536" s="94"/>
      <c r="H7536" s="131"/>
      <c r="I7536" s="3"/>
    </row>
    <row r="7537" spans="1:9" s="93" customFormat="1" ht="9" customHeight="1" x14ac:dyDescent="0.3">
      <c r="A7537" s="91"/>
      <c r="B7537" s="70"/>
      <c r="C7537" s="70"/>
      <c r="D7537" s="70"/>
      <c r="E7537" s="70"/>
      <c r="F7537" s="70"/>
      <c r="G7537" s="94"/>
      <c r="H7537" s="131"/>
      <c r="I7537" s="3"/>
    </row>
    <row r="7538" spans="1:9" s="93" customFormat="1" ht="9" customHeight="1" x14ac:dyDescent="0.3">
      <c r="A7538" s="91"/>
      <c r="B7538" s="70"/>
      <c r="C7538" s="70"/>
      <c r="D7538" s="70"/>
      <c r="E7538" s="70"/>
      <c r="F7538" s="70"/>
      <c r="G7538" s="94"/>
      <c r="H7538" s="131"/>
      <c r="I7538" s="3"/>
    </row>
    <row r="7539" spans="1:9" s="93" customFormat="1" ht="9" customHeight="1" x14ac:dyDescent="0.3">
      <c r="A7539" s="91"/>
      <c r="B7539" s="70"/>
      <c r="C7539" s="70"/>
      <c r="D7539" s="70"/>
      <c r="E7539" s="70"/>
      <c r="F7539" s="70"/>
      <c r="G7539" s="94"/>
      <c r="H7539" s="131"/>
      <c r="I7539" s="3"/>
    </row>
    <row r="7540" spans="1:9" s="93" customFormat="1" ht="9" customHeight="1" x14ac:dyDescent="0.3">
      <c r="A7540" s="91"/>
      <c r="B7540" s="70"/>
      <c r="C7540" s="70"/>
      <c r="D7540" s="70"/>
      <c r="E7540" s="70"/>
      <c r="F7540" s="70"/>
      <c r="G7540" s="94"/>
      <c r="H7540" s="131"/>
      <c r="I7540" s="3"/>
    </row>
    <row r="7541" spans="1:9" s="93" customFormat="1" ht="9" customHeight="1" x14ac:dyDescent="0.3">
      <c r="A7541" s="91"/>
      <c r="B7541" s="70"/>
      <c r="C7541" s="70"/>
      <c r="D7541" s="70"/>
      <c r="E7541" s="70"/>
      <c r="F7541" s="70"/>
      <c r="G7541" s="94"/>
      <c r="H7541" s="131"/>
      <c r="I7541" s="3"/>
    </row>
    <row r="7542" spans="1:9" s="93" customFormat="1" ht="9" customHeight="1" x14ac:dyDescent="0.3">
      <c r="A7542" s="91"/>
      <c r="B7542" s="70"/>
      <c r="C7542" s="70"/>
      <c r="D7542" s="70"/>
      <c r="E7542" s="70"/>
      <c r="F7542" s="70"/>
      <c r="G7542" s="94"/>
      <c r="H7542" s="131"/>
      <c r="I7542" s="3"/>
    </row>
    <row r="7543" spans="1:9" s="93" customFormat="1" ht="9" customHeight="1" x14ac:dyDescent="0.3">
      <c r="A7543" s="91"/>
      <c r="B7543" s="70"/>
      <c r="C7543" s="70"/>
      <c r="D7543" s="70"/>
      <c r="E7543" s="70"/>
      <c r="F7543" s="70"/>
      <c r="G7543" s="94"/>
      <c r="H7543" s="131"/>
      <c r="I7543" s="3"/>
    </row>
    <row r="7544" spans="1:9" s="93" customFormat="1" ht="9" customHeight="1" x14ac:dyDescent="0.3">
      <c r="A7544" s="91"/>
      <c r="B7544" s="70"/>
      <c r="C7544" s="70"/>
      <c r="D7544" s="70"/>
      <c r="E7544" s="70"/>
      <c r="F7544" s="70"/>
      <c r="G7544" s="94"/>
      <c r="H7544" s="131"/>
      <c r="I7544" s="3"/>
    </row>
    <row r="7545" spans="1:9" s="93" customFormat="1" ht="9" customHeight="1" x14ac:dyDescent="0.3">
      <c r="A7545" s="91"/>
      <c r="B7545" s="70"/>
      <c r="C7545" s="70"/>
      <c r="D7545" s="70"/>
      <c r="E7545" s="70"/>
      <c r="F7545" s="70"/>
      <c r="G7545" s="94"/>
      <c r="H7545" s="131"/>
      <c r="I7545" s="3"/>
    </row>
    <row r="7546" spans="1:9" s="93" customFormat="1" ht="9" customHeight="1" x14ac:dyDescent="0.3">
      <c r="A7546" s="91"/>
      <c r="B7546" s="70"/>
      <c r="C7546" s="70"/>
      <c r="D7546" s="70"/>
      <c r="E7546" s="70"/>
      <c r="F7546" s="70"/>
      <c r="G7546" s="94"/>
      <c r="H7546" s="131"/>
      <c r="I7546" s="3"/>
    </row>
    <row r="7547" spans="1:9" s="93" customFormat="1" ht="9" customHeight="1" x14ac:dyDescent="0.3">
      <c r="A7547" s="91"/>
      <c r="B7547" s="70"/>
      <c r="C7547" s="70"/>
      <c r="D7547" s="70"/>
      <c r="E7547" s="70"/>
      <c r="F7547" s="70"/>
      <c r="G7547" s="94"/>
      <c r="H7547" s="131"/>
      <c r="I7547" s="3"/>
    </row>
    <row r="7548" spans="1:9" s="93" customFormat="1" ht="9" customHeight="1" x14ac:dyDescent="0.3">
      <c r="A7548" s="91"/>
      <c r="B7548" s="70"/>
      <c r="C7548" s="70"/>
      <c r="D7548" s="70"/>
      <c r="E7548" s="70"/>
      <c r="F7548" s="70"/>
      <c r="G7548" s="94"/>
      <c r="H7548" s="131"/>
      <c r="I7548" s="3"/>
    </row>
    <row r="7549" spans="1:9" s="93" customFormat="1" ht="9" customHeight="1" x14ac:dyDescent="0.3">
      <c r="A7549" s="91"/>
      <c r="B7549" s="70"/>
      <c r="C7549" s="70"/>
      <c r="D7549" s="70"/>
      <c r="E7549" s="70"/>
      <c r="F7549" s="70"/>
      <c r="G7549" s="94"/>
      <c r="H7549" s="131"/>
      <c r="I7549" s="3"/>
    </row>
    <row r="7550" spans="1:9" s="93" customFormat="1" ht="9" customHeight="1" x14ac:dyDescent="0.3">
      <c r="A7550" s="91"/>
      <c r="B7550" s="70"/>
      <c r="C7550" s="70"/>
      <c r="D7550" s="70"/>
      <c r="E7550" s="70"/>
      <c r="F7550" s="70"/>
      <c r="G7550" s="94"/>
      <c r="H7550" s="131"/>
      <c r="I7550" s="3"/>
    </row>
    <row r="7551" spans="1:9" s="93" customFormat="1" ht="9" customHeight="1" x14ac:dyDescent="0.3">
      <c r="A7551" s="91"/>
      <c r="B7551" s="70"/>
      <c r="C7551" s="70"/>
      <c r="D7551" s="70"/>
      <c r="E7551" s="70"/>
      <c r="F7551" s="70"/>
      <c r="G7551" s="94"/>
      <c r="H7551" s="131"/>
      <c r="I7551" s="3"/>
    </row>
    <row r="7552" spans="1:9" s="93" customFormat="1" ht="9" customHeight="1" x14ac:dyDescent="0.3">
      <c r="A7552" s="91"/>
      <c r="B7552" s="70"/>
      <c r="C7552" s="70"/>
      <c r="D7552" s="70"/>
      <c r="E7552" s="70"/>
      <c r="F7552" s="70"/>
      <c r="G7552" s="94"/>
      <c r="H7552" s="131"/>
      <c r="I7552" s="3"/>
    </row>
    <row r="7553" spans="1:9" s="93" customFormat="1" ht="9" customHeight="1" x14ac:dyDescent="0.3">
      <c r="A7553" s="91"/>
      <c r="B7553" s="70"/>
      <c r="C7553" s="70"/>
      <c r="D7553" s="70"/>
      <c r="E7553" s="70"/>
      <c r="F7553" s="70"/>
      <c r="G7553" s="94"/>
      <c r="H7553" s="131"/>
      <c r="I7553" s="3"/>
    </row>
    <row r="7554" spans="1:9" s="93" customFormat="1" ht="9" customHeight="1" x14ac:dyDescent="0.3">
      <c r="A7554" s="91"/>
      <c r="B7554" s="70"/>
      <c r="C7554" s="70"/>
      <c r="D7554" s="70"/>
      <c r="E7554" s="70"/>
      <c r="F7554" s="70"/>
      <c r="G7554" s="94"/>
      <c r="H7554" s="131"/>
      <c r="I7554" s="3"/>
    </row>
    <row r="7555" spans="1:9" s="93" customFormat="1" ht="9" customHeight="1" x14ac:dyDescent="0.3">
      <c r="A7555" s="91"/>
      <c r="B7555" s="70"/>
      <c r="C7555" s="70"/>
      <c r="D7555" s="70"/>
      <c r="E7555" s="70"/>
      <c r="F7555" s="70"/>
      <c r="G7555" s="94"/>
      <c r="H7555" s="131"/>
      <c r="I7555" s="3"/>
    </row>
    <row r="7556" spans="1:9" s="93" customFormat="1" ht="9" customHeight="1" x14ac:dyDescent="0.3">
      <c r="A7556" s="91"/>
      <c r="B7556" s="70"/>
      <c r="C7556" s="70"/>
      <c r="D7556" s="70"/>
      <c r="E7556" s="70"/>
      <c r="F7556" s="70"/>
      <c r="G7556" s="94"/>
      <c r="H7556" s="131"/>
      <c r="I7556" s="3"/>
    </row>
    <row r="7557" spans="1:9" s="93" customFormat="1" ht="9" customHeight="1" x14ac:dyDescent="0.3">
      <c r="A7557" s="91"/>
      <c r="B7557" s="70"/>
      <c r="C7557" s="70"/>
      <c r="D7557" s="70"/>
      <c r="E7557" s="70"/>
      <c r="F7557" s="70"/>
      <c r="G7557" s="94"/>
      <c r="H7557" s="131"/>
      <c r="I7557" s="3"/>
    </row>
    <row r="7558" spans="1:9" s="93" customFormat="1" ht="9" customHeight="1" x14ac:dyDescent="0.3">
      <c r="A7558" s="91"/>
      <c r="B7558" s="70"/>
      <c r="C7558" s="70"/>
      <c r="D7558" s="70"/>
      <c r="E7558" s="70"/>
      <c r="F7558" s="70"/>
      <c r="G7558" s="94"/>
      <c r="H7558" s="131"/>
      <c r="I7558" s="3"/>
    </row>
    <row r="7559" spans="1:9" s="93" customFormat="1" ht="9" customHeight="1" x14ac:dyDescent="0.3">
      <c r="A7559" s="91"/>
      <c r="B7559" s="70"/>
      <c r="C7559" s="70"/>
      <c r="D7559" s="70"/>
      <c r="E7559" s="70"/>
      <c r="F7559" s="70"/>
      <c r="G7559" s="94"/>
      <c r="H7559" s="131"/>
      <c r="I7559" s="3"/>
    </row>
    <row r="7560" spans="1:9" s="93" customFormat="1" ht="9" customHeight="1" x14ac:dyDescent="0.3">
      <c r="A7560" s="91"/>
      <c r="B7560" s="70"/>
      <c r="C7560" s="70"/>
      <c r="D7560" s="70"/>
      <c r="E7560" s="70"/>
      <c r="F7560" s="70"/>
      <c r="G7560" s="94"/>
      <c r="H7560" s="131"/>
      <c r="I7560" s="3"/>
    </row>
    <row r="7561" spans="1:9" s="93" customFormat="1" ht="9" customHeight="1" x14ac:dyDescent="0.3">
      <c r="A7561" s="91"/>
      <c r="B7561" s="70"/>
      <c r="C7561" s="70"/>
      <c r="D7561" s="70"/>
      <c r="E7561" s="70"/>
      <c r="F7561" s="70"/>
      <c r="G7561" s="94"/>
      <c r="H7561" s="131"/>
      <c r="I7561" s="3"/>
    </row>
    <row r="7562" spans="1:9" s="93" customFormat="1" ht="9" customHeight="1" x14ac:dyDescent="0.3">
      <c r="A7562" s="91"/>
      <c r="B7562" s="70"/>
      <c r="C7562" s="70"/>
      <c r="D7562" s="70"/>
      <c r="E7562" s="70"/>
      <c r="F7562" s="70"/>
      <c r="G7562" s="94"/>
      <c r="H7562" s="131"/>
      <c r="I7562" s="3"/>
    </row>
    <row r="7563" spans="1:9" s="93" customFormat="1" ht="9" customHeight="1" x14ac:dyDescent="0.3">
      <c r="A7563" s="91"/>
      <c r="B7563" s="70"/>
      <c r="C7563" s="70"/>
      <c r="D7563" s="70"/>
      <c r="E7563" s="70"/>
      <c r="F7563" s="70"/>
      <c r="G7563" s="94"/>
      <c r="H7563" s="131"/>
      <c r="I7563" s="3"/>
    </row>
    <row r="7564" spans="1:9" s="93" customFormat="1" ht="9" customHeight="1" x14ac:dyDescent="0.3">
      <c r="A7564" s="91"/>
      <c r="B7564" s="70"/>
      <c r="C7564" s="70"/>
      <c r="D7564" s="70"/>
      <c r="E7564" s="70"/>
      <c r="F7564" s="70"/>
      <c r="G7564" s="94"/>
      <c r="H7564" s="131"/>
      <c r="I7564" s="3"/>
    </row>
    <row r="7565" spans="1:9" s="93" customFormat="1" ht="9" customHeight="1" x14ac:dyDescent="0.3">
      <c r="A7565" s="91"/>
      <c r="B7565" s="70"/>
      <c r="C7565" s="70"/>
      <c r="D7565" s="70"/>
      <c r="E7565" s="70"/>
      <c r="F7565" s="70"/>
      <c r="G7565" s="94"/>
      <c r="H7565" s="131"/>
      <c r="I7565" s="3"/>
    </row>
    <row r="7566" spans="1:9" s="93" customFormat="1" ht="9" customHeight="1" x14ac:dyDescent="0.3">
      <c r="A7566" s="91"/>
      <c r="B7566" s="70"/>
      <c r="C7566" s="70"/>
      <c r="D7566" s="70"/>
      <c r="E7566" s="70"/>
      <c r="F7566" s="70"/>
      <c r="G7566" s="94"/>
      <c r="H7566" s="131"/>
      <c r="I7566" s="3"/>
    </row>
    <row r="7567" spans="1:9" s="93" customFormat="1" ht="9" customHeight="1" x14ac:dyDescent="0.3">
      <c r="A7567" s="91"/>
      <c r="B7567" s="70"/>
      <c r="C7567" s="70"/>
      <c r="D7567" s="70"/>
      <c r="E7567" s="70"/>
      <c r="F7567" s="70"/>
      <c r="G7567" s="94"/>
      <c r="H7567" s="131"/>
      <c r="I7567" s="3"/>
    </row>
    <row r="7568" spans="1:9" s="93" customFormat="1" ht="9" customHeight="1" x14ac:dyDescent="0.3">
      <c r="A7568" s="91"/>
      <c r="B7568" s="70"/>
      <c r="C7568" s="70"/>
      <c r="D7568" s="70"/>
      <c r="E7568" s="70"/>
      <c r="F7568" s="70"/>
      <c r="G7568" s="94"/>
      <c r="H7568" s="131"/>
      <c r="I7568" s="3"/>
    </row>
    <row r="7569" spans="1:9" s="93" customFormat="1" ht="9" customHeight="1" x14ac:dyDescent="0.3">
      <c r="A7569" s="91"/>
      <c r="B7569" s="70"/>
      <c r="C7569" s="70"/>
      <c r="D7569" s="70"/>
      <c r="E7569" s="70"/>
      <c r="F7569" s="70"/>
      <c r="G7569" s="94"/>
      <c r="H7569" s="131"/>
      <c r="I7569" s="3"/>
    </row>
    <row r="7570" spans="1:9" s="93" customFormat="1" ht="9" customHeight="1" x14ac:dyDescent="0.3">
      <c r="A7570" s="91"/>
      <c r="B7570" s="70"/>
      <c r="C7570" s="70"/>
      <c r="D7570" s="70"/>
      <c r="E7570" s="70"/>
      <c r="F7570" s="70"/>
      <c r="G7570" s="94"/>
      <c r="H7570" s="131"/>
      <c r="I7570" s="3"/>
    </row>
    <row r="7571" spans="1:9" s="93" customFormat="1" ht="9" customHeight="1" x14ac:dyDescent="0.3">
      <c r="A7571" s="91"/>
      <c r="B7571" s="70"/>
      <c r="C7571" s="70"/>
      <c r="D7571" s="70"/>
      <c r="E7571" s="70"/>
      <c r="F7571" s="70"/>
      <c r="G7571" s="94"/>
      <c r="H7571" s="131"/>
      <c r="I7571" s="3"/>
    </row>
    <row r="7572" spans="1:9" s="93" customFormat="1" ht="9" customHeight="1" x14ac:dyDescent="0.3">
      <c r="A7572" s="91"/>
      <c r="B7572" s="70"/>
      <c r="C7572" s="70"/>
      <c r="D7572" s="70"/>
      <c r="E7572" s="70"/>
      <c r="F7572" s="70"/>
      <c r="G7572" s="94"/>
      <c r="H7572" s="131"/>
      <c r="I7572" s="3"/>
    </row>
    <row r="7573" spans="1:9" s="93" customFormat="1" ht="9" customHeight="1" x14ac:dyDescent="0.3">
      <c r="A7573" s="91"/>
      <c r="B7573" s="70"/>
      <c r="C7573" s="70"/>
      <c r="D7573" s="70"/>
      <c r="E7573" s="70"/>
      <c r="F7573" s="70"/>
      <c r="G7573" s="94"/>
      <c r="H7573" s="131"/>
      <c r="I7573" s="3"/>
    </row>
    <row r="7574" spans="1:9" s="93" customFormat="1" ht="9" customHeight="1" x14ac:dyDescent="0.3">
      <c r="A7574" s="91"/>
      <c r="B7574" s="70"/>
      <c r="C7574" s="70"/>
      <c r="D7574" s="70"/>
      <c r="E7574" s="70"/>
      <c r="F7574" s="70"/>
      <c r="G7574" s="94"/>
      <c r="H7574" s="131"/>
      <c r="I7574" s="3"/>
    </row>
    <row r="7575" spans="1:9" s="93" customFormat="1" ht="9" customHeight="1" x14ac:dyDescent="0.3">
      <c r="A7575" s="91"/>
      <c r="B7575" s="70"/>
      <c r="C7575" s="70"/>
      <c r="D7575" s="70"/>
      <c r="E7575" s="70"/>
      <c r="F7575" s="70"/>
      <c r="G7575" s="94"/>
      <c r="H7575" s="131"/>
      <c r="I7575" s="3"/>
    </row>
    <row r="7576" spans="1:9" s="93" customFormat="1" ht="9" customHeight="1" x14ac:dyDescent="0.3">
      <c r="A7576" s="91"/>
      <c r="B7576" s="70"/>
      <c r="C7576" s="70"/>
      <c r="D7576" s="70"/>
      <c r="E7576" s="70"/>
      <c r="F7576" s="70"/>
      <c r="G7576" s="94"/>
      <c r="H7576" s="131"/>
      <c r="I7576" s="3"/>
    </row>
    <row r="7577" spans="1:9" s="93" customFormat="1" ht="9" customHeight="1" x14ac:dyDescent="0.3">
      <c r="A7577" s="91"/>
      <c r="B7577" s="70"/>
      <c r="C7577" s="70"/>
      <c r="D7577" s="70"/>
      <c r="E7577" s="70"/>
      <c r="F7577" s="70"/>
      <c r="G7577" s="94"/>
      <c r="H7577" s="131"/>
      <c r="I7577" s="3"/>
    </row>
    <row r="7578" spans="1:9" s="93" customFormat="1" ht="9" customHeight="1" x14ac:dyDescent="0.3">
      <c r="A7578" s="91"/>
      <c r="B7578" s="70"/>
      <c r="C7578" s="70"/>
      <c r="D7578" s="70"/>
      <c r="E7578" s="70"/>
      <c r="F7578" s="70"/>
      <c r="G7578" s="94"/>
      <c r="H7578" s="131"/>
      <c r="I7578" s="3"/>
    </row>
    <row r="7579" spans="1:9" s="93" customFormat="1" ht="9" customHeight="1" x14ac:dyDescent="0.3">
      <c r="A7579" s="91"/>
      <c r="B7579" s="70"/>
      <c r="C7579" s="70"/>
      <c r="D7579" s="70"/>
      <c r="E7579" s="70"/>
      <c r="F7579" s="70"/>
      <c r="G7579" s="94"/>
      <c r="H7579" s="131"/>
      <c r="I7579" s="3"/>
    </row>
    <row r="7580" spans="1:9" s="93" customFormat="1" ht="9" customHeight="1" x14ac:dyDescent="0.3">
      <c r="A7580" s="91"/>
      <c r="B7580" s="70"/>
      <c r="C7580" s="70"/>
      <c r="D7580" s="70"/>
      <c r="E7580" s="70"/>
      <c r="F7580" s="70"/>
      <c r="G7580" s="94"/>
      <c r="H7580" s="131"/>
      <c r="I7580" s="3"/>
    </row>
    <row r="7581" spans="1:9" s="93" customFormat="1" ht="9" customHeight="1" x14ac:dyDescent="0.3">
      <c r="A7581" s="91"/>
      <c r="B7581" s="70"/>
      <c r="C7581" s="70"/>
      <c r="D7581" s="70"/>
      <c r="E7581" s="70"/>
      <c r="F7581" s="70"/>
      <c r="G7581" s="94"/>
      <c r="H7581" s="131"/>
      <c r="I7581" s="3"/>
    </row>
    <row r="7582" spans="1:9" s="93" customFormat="1" ht="9" customHeight="1" x14ac:dyDescent="0.3">
      <c r="A7582" s="91"/>
      <c r="B7582" s="70"/>
      <c r="C7582" s="70"/>
      <c r="D7582" s="70"/>
      <c r="E7582" s="70"/>
      <c r="F7582" s="70"/>
      <c r="G7582" s="94"/>
      <c r="H7582" s="131"/>
      <c r="I7582" s="3"/>
    </row>
    <row r="7583" spans="1:9" s="93" customFormat="1" ht="9" customHeight="1" x14ac:dyDescent="0.3">
      <c r="A7583" s="91"/>
      <c r="B7583" s="70"/>
      <c r="C7583" s="70"/>
      <c r="D7583" s="70"/>
      <c r="E7583" s="70"/>
      <c r="F7583" s="70"/>
      <c r="G7583" s="94"/>
      <c r="H7583" s="131"/>
      <c r="I7583" s="3"/>
    </row>
    <row r="7584" spans="1:9" s="93" customFormat="1" ht="9" customHeight="1" x14ac:dyDescent="0.3">
      <c r="A7584" s="91"/>
      <c r="B7584" s="70"/>
      <c r="C7584" s="70"/>
      <c r="D7584" s="70"/>
      <c r="E7584" s="70"/>
      <c r="F7584" s="70"/>
      <c r="G7584" s="94"/>
      <c r="H7584" s="131"/>
      <c r="I7584" s="3"/>
    </row>
    <row r="7585" spans="1:9" s="93" customFormat="1" ht="9" customHeight="1" x14ac:dyDescent="0.3">
      <c r="A7585" s="91"/>
      <c r="B7585" s="70"/>
      <c r="C7585" s="70"/>
      <c r="D7585" s="70"/>
      <c r="E7585" s="70"/>
      <c r="F7585" s="70"/>
      <c r="G7585" s="94"/>
      <c r="H7585" s="131"/>
      <c r="I7585" s="3"/>
    </row>
    <row r="7586" spans="1:9" s="93" customFormat="1" ht="9" customHeight="1" x14ac:dyDescent="0.3">
      <c r="A7586" s="91"/>
      <c r="B7586" s="70"/>
      <c r="C7586" s="70"/>
      <c r="D7586" s="70"/>
      <c r="E7586" s="70"/>
      <c r="F7586" s="70"/>
      <c r="G7586" s="94"/>
      <c r="H7586" s="131"/>
      <c r="I7586" s="3"/>
    </row>
    <row r="7587" spans="1:9" s="93" customFormat="1" ht="9" customHeight="1" x14ac:dyDescent="0.3">
      <c r="A7587" s="91"/>
      <c r="B7587" s="70"/>
      <c r="C7587" s="70"/>
      <c r="D7587" s="70"/>
      <c r="E7587" s="70"/>
      <c r="F7587" s="70"/>
      <c r="G7587" s="94"/>
      <c r="H7587" s="131"/>
      <c r="I7587" s="3"/>
    </row>
    <row r="7588" spans="1:9" s="93" customFormat="1" ht="9" customHeight="1" x14ac:dyDescent="0.3">
      <c r="A7588" s="91"/>
      <c r="B7588" s="70"/>
      <c r="C7588" s="70"/>
      <c r="D7588" s="70"/>
      <c r="E7588" s="70"/>
      <c r="F7588" s="70"/>
      <c r="G7588" s="94"/>
      <c r="H7588" s="131"/>
      <c r="I7588" s="3"/>
    </row>
    <row r="7589" spans="1:9" s="93" customFormat="1" ht="9" customHeight="1" x14ac:dyDescent="0.3">
      <c r="A7589" s="91"/>
      <c r="B7589" s="70"/>
      <c r="C7589" s="70"/>
      <c r="D7589" s="70"/>
      <c r="E7589" s="70"/>
      <c r="F7589" s="70"/>
      <c r="G7589" s="94"/>
      <c r="H7589" s="131"/>
      <c r="I7589" s="3"/>
    </row>
    <row r="7590" spans="1:9" s="93" customFormat="1" ht="9" customHeight="1" x14ac:dyDescent="0.3">
      <c r="A7590" s="91"/>
      <c r="B7590" s="70"/>
      <c r="C7590" s="70"/>
      <c r="D7590" s="70"/>
      <c r="E7590" s="70"/>
      <c r="F7590" s="70"/>
      <c r="G7590" s="94"/>
      <c r="H7590" s="131"/>
      <c r="I7590" s="3"/>
    </row>
    <row r="7591" spans="1:9" s="93" customFormat="1" ht="9" customHeight="1" x14ac:dyDescent="0.3">
      <c r="A7591" s="91"/>
      <c r="B7591" s="70"/>
      <c r="C7591" s="70"/>
      <c r="D7591" s="70"/>
      <c r="E7591" s="70"/>
      <c r="F7591" s="70"/>
      <c r="G7591" s="94"/>
      <c r="H7591" s="131"/>
      <c r="I7591" s="3"/>
    </row>
    <row r="7592" spans="1:9" s="93" customFormat="1" ht="9" customHeight="1" x14ac:dyDescent="0.3">
      <c r="A7592" s="91"/>
      <c r="B7592" s="70"/>
      <c r="C7592" s="70"/>
      <c r="D7592" s="70"/>
      <c r="E7592" s="70"/>
      <c r="F7592" s="70"/>
      <c r="G7592" s="94"/>
      <c r="H7592" s="131"/>
      <c r="I7592" s="3"/>
    </row>
    <row r="7593" spans="1:9" s="93" customFormat="1" ht="9" customHeight="1" x14ac:dyDescent="0.3">
      <c r="A7593" s="91"/>
      <c r="B7593" s="70"/>
      <c r="C7593" s="70"/>
      <c r="D7593" s="70"/>
      <c r="E7593" s="70"/>
      <c r="F7593" s="70"/>
      <c r="G7593" s="94"/>
      <c r="H7593" s="131"/>
      <c r="I7593" s="3"/>
    </row>
    <row r="7594" spans="1:9" s="93" customFormat="1" ht="9" customHeight="1" x14ac:dyDescent="0.3">
      <c r="A7594" s="91"/>
      <c r="B7594" s="70"/>
      <c r="C7594" s="70"/>
      <c r="D7594" s="70"/>
      <c r="E7594" s="70"/>
      <c r="F7594" s="70"/>
      <c r="G7594" s="94"/>
      <c r="H7594" s="131"/>
      <c r="I7594" s="3"/>
    </row>
    <row r="7595" spans="1:9" s="93" customFormat="1" ht="9" customHeight="1" x14ac:dyDescent="0.3">
      <c r="A7595" s="91"/>
      <c r="B7595" s="70"/>
      <c r="C7595" s="70"/>
      <c r="D7595" s="70"/>
      <c r="E7595" s="70"/>
      <c r="F7595" s="70"/>
      <c r="G7595" s="94"/>
      <c r="H7595" s="131"/>
      <c r="I7595" s="3"/>
    </row>
    <row r="7596" spans="1:9" s="93" customFormat="1" ht="9" customHeight="1" x14ac:dyDescent="0.3">
      <c r="A7596" s="91"/>
      <c r="B7596" s="70"/>
      <c r="C7596" s="70"/>
      <c r="D7596" s="70"/>
      <c r="E7596" s="70"/>
      <c r="F7596" s="70"/>
      <c r="G7596" s="94"/>
      <c r="H7596" s="131"/>
      <c r="I7596" s="3"/>
    </row>
    <row r="7597" spans="1:9" s="93" customFormat="1" ht="9" customHeight="1" x14ac:dyDescent="0.3">
      <c r="A7597" s="91"/>
      <c r="B7597" s="70"/>
      <c r="C7597" s="70"/>
      <c r="D7597" s="70"/>
      <c r="E7597" s="70"/>
      <c r="F7597" s="70"/>
      <c r="G7597" s="94"/>
      <c r="H7597" s="131"/>
      <c r="I7597" s="3"/>
    </row>
    <row r="7598" spans="1:9" s="93" customFormat="1" ht="9" customHeight="1" x14ac:dyDescent="0.3">
      <c r="A7598" s="91"/>
      <c r="B7598" s="70"/>
      <c r="C7598" s="70"/>
      <c r="D7598" s="70"/>
      <c r="E7598" s="70"/>
      <c r="F7598" s="70"/>
      <c r="G7598" s="94"/>
      <c r="H7598" s="131"/>
      <c r="I7598" s="3"/>
    </row>
    <row r="7599" spans="1:9" s="93" customFormat="1" ht="9" customHeight="1" x14ac:dyDescent="0.3">
      <c r="A7599" s="91"/>
      <c r="B7599" s="70"/>
      <c r="C7599" s="70"/>
      <c r="D7599" s="70"/>
      <c r="E7599" s="70"/>
      <c r="F7599" s="70"/>
      <c r="G7599" s="94"/>
      <c r="H7599" s="131"/>
      <c r="I7599" s="3"/>
    </row>
    <row r="7600" spans="1:9" s="93" customFormat="1" ht="9" customHeight="1" x14ac:dyDescent="0.3">
      <c r="A7600" s="91"/>
      <c r="B7600" s="70"/>
      <c r="C7600" s="70"/>
      <c r="D7600" s="70"/>
      <c r="E7600" s="70"/>
      <c r="F7600" s="70"/>
      <c r="G7600" s="94"/>
      <c r="H7600" s="131"/>
      <c r="I7600" s="3"/>
    </row>
    <row r="7601" spans="1:9" s="93" customFormat="1" ht="9" customHeight="1" x14ac:dyDescent="0.3">
      <c r="A7601" s="91"/>
      <c r="B7601" s="70"/>
      <c r="C7601" s="70"/>
      <c r="D7601" s="70"/>
      <c r="E7601" s="70"/>
      <c r="F7601" s="70"/>
      <c r="G7601" s="94"/>
      <c r="H7601" s="131"/>
      <c r="I7601" s="3"/>
    </row>
    <row r="7602" spans="1:9" s="93" customFormat="1" ht="9" customHeight="1" x14ac:dyDescent="0.3">
      <c r="A7602" s="91"/>
      <c r="B7602" s="70"/>
      <c r="C7602" s="70"/>
      <c r="D7602" s="70"/>
      <c r="E7602" s="70"/>
      <c r="F7602" s="70"/>
      <c r="G7602" s="94"/>
      <c r="H7602" s="131"/>
      <c r="I7602" s="3"/>
    </row>
    <row r="7603" spans="1:9" s="93" customFormat="1" ht="9" customHeight="1" x14ac:dyDescent="0.3">
      <c r="A7603" s="91"/>
      <c r="B7603" s="70"/>
      <c r="C7603" s="70"/>
      <c r="D7603" s="70"/>
      <c r="E7603" s="70"/>
      <c r="F7603" s="70"/>
      <c r="G7603" s="94"/>
      <c r="H7603" s="131"/>
      <c r="I7603" s="3"/>
    </row>
    <row r="7604" spans="1:9" s="93" customFormat="1" ht="9" customHeight="1" x14ac:dyDescent="0.3">
      <c r="A7604" s="91"/>
      <c r="B7604" s="70"/>
      <c r="C7604" s="70"/>
      <c r="D7604" s="70"/>
      <c r="E7604" s="70"/>
      <c r="F7604" s="70"/>
      <c r="G7604" s="94"/>
      <c r="H7604" s="131"/>
      <c r="I7604" s="3"/>
    </row>
    <row r="7605" spans="1:9" s="93" customFormat="1" ht="9" customHeight="1" x14ac:dyDescent="0.3">
      <c r="A7605" s="91"/>
      <c r="B7605" s="70"/>
      <c r="C7605" s="70"/>
      <c r="D7605" s="70"/>
      <c r="E7605" s="70"/>
      <c r="F7605" s="70"/>
      <c r="G7605" s="94"/>
      <c r="H7605" s="131"/>
      <c r="I7605" s="3"/>
    </row>
    <row r="7606" spans="1:9" s="93" customFormat="1" ht="9" customHeight="1" x14ac:dyDescent="0.3">
      <c r="A7606" s="91"/>
      <c r="B7606" s="70"/>
      <c r="C7606" s="70"/>
      <c r="D7606" s="70"/>
      <c r="E7606" s="70"/>
      <c r="F7606" s="70"/>
      <c r="G7606" s="94"/>
      <c r="H7606" s="131"/>
      <c r="I7606" s="3"/>
    </row>
    <row r="7607" spans="1:9" s="93" customFormat="1" ht="9" customHeight="1" x14ac:dyDescent="0.3">
      <c r="A7607" s="91"/>
      <c r="B7607" s="70"/>
      <c r="C7607" s="70"/>
      <c r="D7607" s="70"/>
      <c r="E7607" s="70"/>
      <c r="F7607" s="70"/>
      <c r="G7607" s="94"/>
      <c r="H7607" s="131"/>
      <c r="I7607" s="3"/>
    </row>
    <row r="7608" spans="1:9" s="93" customFormat="1" ht="9" customHeight="1" x14ac:dyDescent="0.3">
      <c r="A7608" s="91"/>
      <c r="B7608" s="70"/>
      <c r="C7608" s="70"/>
      <c r="D7608" s="70"/>
      <c r="E7608" s="70"/>
      <c r="F7608" s="70"/>
      <c r="G7608" s="94"/>
      <c r="H7608" s="131"/>
      <c r="I7608" s="3"/>
    </row>
    <row r="7609" spans="1:9" s="93" customFormat="1" ht="9" customHeight="1" x14ac:dyDescent="0.3">
      <c r="A7609" s="91"/>
      <c r="B7609" s="70"/>
      <c r="C7609" s="70"/>
      <c r="D7609" s="70"/>
      <c r="E7609" s="70"/>
      <c r="F7609" s="70"/>
      <c r="G7609" s="94"/>
      <c r="H7609" s="131"/>
      <c r="I7609" s="3"/>
    </row>
    <row r="7610" spans="1:9" s="93" customFormat="1" ht="9" customHeight="1" x14ac:dyDescent="0.3">
      <c r="A7610" s="91"/>
      <c r="B7610" s="70"/>
      <c r="C7610" s="70"/>
      <c r="D7610" s="70"/>
      <c r="E7610" s="70"/>
      <c r="F7610" s="70"/>
      <c r="G7610" s="94"/>
      <c r="H7610" s="131"/>
      <c r="I7610" s="3"/>
    </row>
    <row r="7611" spans="1:9" s="93" customFormat="1" ht="9" customHeight="1" x14ac:dyDescent="0.3">
      <c r="A7611" s="91"/>
      <c r="B7611" s="70"/>
      <c r="C7611" s="70"/>
      <c r="D7611" s="70"/>
      <c r="E7611" s="70"/>
      <c r="F7611" s="70"/>
      <c r="G7611" s="94"/>
      <c r="H7611" s="131"/>
      <c r="I7611" s="3"/>
    </row>
    <row r="7612" spans="1:9" s="93" customFormat="1" ht="9" customHeight="1" x14ac:dyDescent="0.3">
      <c r="A7612" s="91"/>
      <c r="B7612" s="70"/>
      <c r="C7612" s="70"/>
      <c r="D7612" s="70"/>
      <c r="E7612" s="70"/>
      <c r="F7612" s="70"/>
      <c r="G7612" s="94"/>
      <c r="H7612" s="131"/>
      <c r="I7612" s="3"/>
    </row>
    <row r="7613" spans="1:9" s="93" customFormat="1" ht="9" customHeight="1" x14ac:dyDescent="0.3">
      <c r="A7613" s="91"/>
      <c r="B7613" s="70"/>
      <c r="C7613" s="70"/>
      <c r="D7613" s="70"/>
      <c r="E7613" s="70"/>
      <c r="F7613" s="70"/>
      <c r="G7613" s="94"/>
      <c r="H7613" s="131"/>
      <c r="I7613" s="3"/>
    </row>
    <row r="7614" spans="1:9" s="93" customFormat="1" ht="9" customHeight="1" x14ac:dyDescent="0.3">
      <c r="A7614" s="91"/>
      <c r="B7614" s="70"/>
      <c r="C7614" s="70"/>
      <c r="D7614" s="70"/>
      <c r="E7614" s="70"/>
      <c r="F7614" s="70"/>
      <c r="G7614" s="94"/>
      <c r="H7614" s="131"/>
      <c r="I7614" s="3"/>
    </row>
    <row r="7615" spans="1:9" s="93" customFormat="1" ht="9" customHeight="1" x14ac:dyDescent="0.3">
      <c r="A7615" s="91"/>
      <c r="B7615" s="70"/>
      <c r="C7615" s="70"/>
      <c r="D7615" s="70"/>
      <c r="E7615" s="70"/>
      <c r="F7615" s="70"/>
      <c r="G7615" s="94"/>
      <c r="H7615" s="131"/>
      <c r="I7615" s="3"/>
    </row>
    <row r="7616" spans="1:9" s="93" customFormat="1" ht="9" customHeight="1" x14ac:dyDescent="0.3">
      <c r="A7616" s="91"/>
      <c r="B7616" s="70"/>
      <c r="C7616" s="70"/>
      <c r="D7616" s="70"/>
      <c r="E7616" s="70"/>
      <c r="F7616" s="70"/>
      <c r="G7616" s="94"/>
      <c r="H7616" s="131"/>
      <c r="I7616" s="3"/>
    </row>
    <row r="7617" spans="1:9" s="93" customFormat="1" ht="9" customHeight="1" x14ac:dyDescent="0.3">
      <c r="A7617" s="91"/>
      <c r="B7617" s="70"/>
      <c r="C7617" s="70"/>
      <c r="D7617" s="70"/>
      <c r="E7617" s="70"/>
      <c r="F7617" s="70"/>
      <c r="G7617" s="94"/>
      <c r="H7617" s="131"/>
      <c r="I7617" s="3"/>
    </row>
    <row r="7618" spans="1:9" s="93" customFormat="1" ht="9" customHeight="1" x14ac:dyDescent="0.3">
      <c r="A7618" s="91"/>
      <c r="B7618" s="70"/>
      <c r="C7618" s="70"/>
      <c r="D7618" s="70"/>
      <c r="E7618" s="70"/>
      <c r="F7618" s="70"/>
      <c r="G7618" s="94"/>
      <c r="H7618" s="131"/>
      <c r="I7618" s="3"/>
    </row>
    <row r="7619" spans="1:9" s="93" customFormat="1" ht="9" customHeight="1" x14ac:dyDescent="0.3">
      <c r="A7619" s="91"/>
      <c r="B7619" s="70"/>
      <c r="C7619" s="70"/>
      <c r="D7619" s="70"/>
      <c r="E7619" s="70"/>
      <c r="F7619" s="70"/>
      <c r="G7619" s="94"/>
      <c r="H7619" s="131"/>
      <c r="I7619" s="3"/>
    </row>
    <row r="7620" spans="1:9" s="93" customFormat="1" ht="9" customHeight="1" x14ac:dyDescent="0.3">
      <c r="A7620" s="91"/>
      <c r="B7620" s="70"/>
      <c r="C7620" s="70"/>
      <c r="D7620" s="70"/>
      <c r="E7620" s="70"/>
      <c r="F7620" s="70"/>
      <c r="G7620" s="94"/>
      <c r="H7620" s="131"/>
      <c r="I7620" s="3"/>
    </row>
    <row r="7621" spans="1:9" s="93" customFormat="1" ht="9" customHeight="1" x14ac:dyDescent="0.3">
      <c r="A7621" s="91"/>
      <c r="B7621" s="70"/>
      <c r="C7621" s="70"/>
      <c r="D7621" s="70"/>
      <c r="E7621" s="70"/>
      <c r="F7621" s="70"/>
      <c r="G7621" s="94"/>
      <c r="H7621" s="131"/>
      <c r="I7621" s="3"/>
    </row>
    <row r="7622" spans="1:9" s="93" customFormat="1" ht="9" customHeight="1" x14ac:dyDescent="0.3">
      <c r="A7622" s="91"/>
      <c r="B7622" s="70"/>
      <c r="C7622" s="70"/>
      <c r="D7622" s="70"/>
      <c r="E7622" s="70"/>
      <c r="F7622" s="70"/>
      <c r="G7622" s="94"/>
      <c r="H7622" s="131"/>
      <c r="I7622" s="3"/>
    </row>
    <row r="7623" spans="1:9" s="93" customFormat="1" ht="9" customHeight="1" x14ac:dyDescent="0.3">
      <c r="A7623" s="91"/>
      <c r="B7623" s="70"/>
      <c r="C7623" s="70"/>
      <c r="D7623" s="70"/>
      <c r="E7623" s="70"/>
      <c r="F7623" s="70"/>
      <c r="G7623" s="94"/>
      <c r="H7623" s="131"/>
      <c r="I7623" s="3"/>
    </row>
    <row r="7624" spans="1:9" s="93" customFormat="1" ht="9" customHeight="1" x14ac:dyDescent="0.3">
      <c r="A7624" s="91"/>
      <c r="B7624" s="70"/>
      <c r="C7624" s="70"/>
      <c r="D7624" s="70"/>
      <c r="E7624" s="70"/>
      <c r="F7624" s="70"/>
      <c r="G7624" s="94"/>
      <c r="H7624" s="131"/>
      <c r="I7624" s="3"/>
    </row>
    <row r="7625" spans="1:9" s="93" customFormat="1" ht="9" customHeight="1" x14ac:dyDescent="0.3">
      <c r="A7625" s="91"/>
      <c r="B7625" s="70"/>
      <c r="C7625" s="70"/>
      <c r="D7625" s="70"/>
      <c r="E7625" s="70"/>
      <c r="F7625" s="70"/>
      <c r="G7625" s="94"/>
      <c r="H7625" s="131"/>
      <c r="I7625" s="3"/>
    </row>
    <row r="7626" spans="1:9" s="93" customFormat="1" ht="9" customHeight="1" x14ac:dyDescent="0.3">
      <c r="A7626" s="91"/>
      <c r="B7626" s="70"/>
      <c r="C7626" s="70"/>
      <c r="D7626" s="70"/>
      <c r="E7626" s="70"/>
      <c r="F7626" s="70"/>
      <c r="G7626" s="94"/>
      <c r="H7626" s="131"/>
      <c r="I7626" s="3"/>
    </row>
    <row r="7627" spans="1:9" s="93" customFormat="1" ht="9" customHeight="1" x14ac:dyDescent="0.3">
      <c r="A7627" s="91"/>
      <c r="B7627" s="70"/>
      <c r="C7627" s="70"/>
      <c r="D7627" s="70"/>
      <c r="E7627" s="70"/>
      <c r="F7627" s="70"/>
      <c r="G7627" s="94"/>
      <c r="H7627" s="131"/>
      <c r="I7627" s="3"/>
    </row>
    <row r="7628" spans="1:9" s="93" customFormat="1" ht="9" customHeight="1" x14ac:dyDescent="0.3">
      <c r="A7628" s="91"/>
      <c r="B7628" s="70"/>
      <c r="C7628" s="70"/>
      <c r="D7628" s="70"/>
      <c r="E7628" s="70"/>
      <c r="F7628" s="70"/>
      <c r="G7628" s="94"/>
      <c r="H7628" s="131"/>
      <c r="I7628" s="3"/>
    </row>
    <row r="7629" spans="1:9" s="93" customFormat="1" ht="9" customHeight="1" x14ac:dyDescent="0.3">
      <c r="A7629" s="91"/>
      <c r="B7629" s="70"/>
      <c r="C7629" s="70"/>
      <c r="D7629" s="70"/>
      <c r="E7629" s="70"/>
      <c r="F7629" s="70"/>
      <c r="G7629" s="94"/>
      <c r="H7629" s="131"/>
      <c r="I7629" s="3"/>
    </row>
    <row r="7630" spans="1:9" s="93" customFormat="1" ht="9" customHeight="1" x14ac:dyDescent="0.3">
      <c r="A7630" s="91"/>
      <c r="B7630" s="70"/>
      <c r="C7630" s="70"/>
      <c r="D7630" s="70"/>
      <c r="E7630" s="70"/>
      <c r="F7630" s="70"/>
      <c r="G7630" s="94"/>
      <c r="H7630" s="131"/>
      <c r="I7630" s="3"/>
    </row>
    <row r="7631" spans="1:9" s="93" customFormat="1" ht="9" customHeight="1" x14ac:dyDescent="0.3">
      <c r="A7631" s="91"/>
      <c r="B7631" s="70"/>
      <c r="C7631" s="70"/>
      <c r="D7631" s="70"/>
      <c r="E7631" s="70"/>
      <c r="F7631" s="70"/>
      <c r="G7631" s="94"/>
      <c r="H7631" s="131"/>
      <c r="I7631" s="3"/>
    </row>
    <row r="7632" spans="1:9" s="93" customFormat="1" ht="9" customHeight="1" x14ac:dyDescent="0.3">
      <c r="A7632" s="91"/>
      <c r="B7632" s="70"/>
      <c r="C7632" s="70"/>
      <c r="D7632" s="70"/>
      <c r="E7632" s="70"/>
      <c r="F7632" s="70"/>
      <c r="G7632" s="94"/>
      <c r="H7632" s="131"/>
      <c r="I7632" s="3"/>
    </row>
    <row r="7633" spans="1:9" s="93" customFormat="1" ht="9" customHeight="1" x14ac:dyDescent="0.3">
      <c r="A7633" s="91"/>
      <c r="B7633" s="70"/>
      <c r="C7633" s="70"/>
      <c r="D7633" s="70"/>
      <c r="E7633" s="70"/>
      <c r="F7633" s="70"/>
      <c r="G7633" s="94"/>
      <c r="H7633" s="131"/>
      <c r="I7633" s="3"/>
    </row>
    <row r="7634" spans="1:9" s="93" customFormat="1" ht="9" customHeight="1" x14ac:dyDescent="0.3">
      <c r="A7634" s="91"/>
      <c r="B7634" s="70"/>
      <c r="C7634" s="70"/>
      <c r="D7634" s="70"/>
      <c r="E7634" s="70"/>
      <c r="F7634" s="70"/>
      <c r="G7634" s="94"/>
      <c r="H7634" s="131"/>
      <c r="I7634" s="3"/>
    </row>
    <row r="7635" spans="1:9" s="93" customFormat="1" ht="9" customHeight="1" x14ac:dyDescent="0.3">
      <c r="A7635" s="91"/>
      <c r="B7635" s="70"/>
      <c r="C7635" s="70"/>
      <c r="D7635" s="70"/>
      <c r="E7635" s="70"/>
      <c r="F7635" s="70"/>
      <c r="G7635" s="94"/>
      <c r="H7635" s="131"/>
      <c r="I7635" s="3"/>
    </row>
    <row r="7636" spans="1:9" s="93" customFormat="1" ht="9" customHeight="1" x14ac:dyDescent="0.3">
      <c r="A7636" s="91"/>
      <c r="B7636" s="70"/>
      <c r="C7636" s="70"/>
      <c r="D7636" s="70"/>
      <c r="E7636" s="70"/>
      <c r="F7636" s="70"/>
      <c r="G7636" s="94"/>
      <c r="H7636" s="131"/>
      <c r="I7636" s="3"/>
    </row>
    <row r="7637" spans="1:9" s="93" customFormat="1" ht="9" customHeight="1" x14ac:dyDescent="0.3">
      <c r="A7637" s="91"/>
      <c r="B7637" s="70"/>
      <c r="C7637" s="70"/>
      <c r="D7637" s="70"/>
      <c r="E7637" s="70"/>
      <c r="F7637" s="70"/>
      <c r="G7637" s="94"/>
      <c r="H7637" s="131"/>
      <c r="I7637" s="3"/>
    </row>
    <row r="7638" spans="1:9" s="93" customFormat="1" ht="9" customHeight="1" x14ac:dyDescent="0.3">
      <c r="A7638" s="91"/>
      <c r="B7638" s="70"/>
      <c r="C7638" s="70"/>
      <c r="D7638" s="70"/>
      <c r="E7638" s="70"/>
      <c r="F7638" s="70"/>
      <c r="G7638" s="94"/>
      <c r="H7638" s="131"/>
      <c r="I7638" s="3"/>
    </row>
    <row r="7639" spans="1:9" s="93" customFormat="1" ht="9" customHeight="1" x14ac:dyDescent="0.3">
      <c r="A7639" s="91"/>
      <c r="B7639" s="70"/>
      <c r="C7639" s="70"/>
      <c r="D7639" s="70"/>
      <c r="E7639" s="70"/>
      <c r="F7639" s="70"/>
      <c r="G7639" s="94"/>
      <c r="H7639" s="131"/>
      <c r="I7639" s="3"/>
    </row>
    <row r="7640" spans="1:9" s="93" customFormat="1" ht="9" customHeight="1" x14ac:dyDescent="0.3">
      <c r="A7640" s="91"/>
      <c r="B7640" s="70"/>
      <c r="C7640" s="70"/>
      <c r="D7640" s="70"/>
      <c r="E7640" s="70"/>
      <c r="F7640" s="70"/>
      <c r="G7640" s="94"/>
      <c r="H7640" s="131"/>
      <c r="I7640" s="3"/>
    </row>
    <row r="7641" spans="1:9" s="93" customFormat="1" ht="9" customHeight="1" x14ac:dyDescent="0.3">
      <c r="A7641" s="91"/>
      <c r="B7641" s="70"/>
      <c r="C7641" s="70"/>
      <c r="D7641" s="70"/>
      <c r="E7641" s="70"/>
      <c r="F7641" s="70"/>
      <c r="G7641" s="94"/>
      <c r="H7641" s="131"/>
      <c r="I7641" s="3"/>
    </row>
    <row r="7642" spans="1:9" s="93" customFormat="1" ht="9" customHeight="1" x14ac:dyDescent="0.3">
      <c r="A7642" s="91"/>
      <c r="B7642" s="70"/>
      <c r="C7642" s="70"/>
      <c r="D7642" s="70"/>
      <c r="E7642" s="70"/>
      <c r="F7642" s="70"/>
      <c r="G7642" s="94"/>
      <c r="H7642" s="131"/>
      <c r="I7642" s="3"/>
    </row>
    <row r="7643" spans="1:9" s="93" customFormat="1" ht="9" customHeight="1" x14ac:dyDescent="0.3">
      <c r="A7643" s="91"/>
      <c r="B7643" s="70"/>
      <c r="C7643" s="70"/>
      <c r="D7643" s="70"/>
      <c r="E7643" s="70"/>
      <c r="F7643" s="70"/>
      <c r="G7643" s="94"/>
      <c r="H7643" s="131"/>
      <c r="I7643" s="3"/>
    </row>
    <row r="7644" spans="1:9" s="93" customFormat="1" ht="9" customHeight="1" x14ac:dyDescent="0.3">
      <c r="A7644" s="91"/>
      <c r="B7644" s="70"/>
      <c r="C7644" s="70"/>
      <c r="D7644" s="70"/>
      <c r="E7644" s="70"/>
      <c r="F7644" s="70"/>
      <c r="G7644" s="94"/>
      <c r="H7644" s="131"/>
      <c r="I7644" s="3"/>
    </row>
    <row r="7645" spans="1:9" s="93" customFormat="1" ht="9" customHeight="1" x14ac:dyDescent="0.3">
      <c r="A7645" s="91"/>
      <c r="B7645" s="70"/>
      <c r="C7645" s="70"/>
      <c r="D7645" s="70"/>
      <c r="E7645" s="70"/>
      <c r="F7645" s="70"/>
      <c r="G7645" s="94"/>
      <c r="H7645" s="131"/>
      <c r="I7645" s="3"/>
    </row>
    <row r="7646" spans="1:9" s="93" customFormat="1" ht="9" customHeight="1" x14ac:dyDescent="0.3">
      <c r="A7646" s="91"/>
      <c r="B7646" s="70"/>
      <c r="C7646" s="70"/>
      <c r="D7646" s="70"/>
      <c r="E7646" s="70"/>
      <c r="F7646" s="70"/>
      <c r="G7646" s="94"/>
      <c r="H7646" s="131"/>
      <c r="I7646" s="3"/>
    </row>
    <row r="7647" spans="1:9" s="93" customFormat="1" ht="9" customHeight="1" x14ac:dyDescent="0.3">
      <c r="A7647" s="91"/>
      <c r="B7647" s="70"/>
      <c r="C7647" s="70"/>
      <c r="D7647" s="70"/>
      <c r="E7647" s="70"/>
      <c r="F7647" s="70"/>
      <c r="G7647" s="94"/>
      <c r="H7647" s="131"/>
      <c r="I7647" s="3"/>
    </row>
    <row r="7648" spans="1:9" s="93" customFormat="1" ht="9" customHeight="1" x14ac:dyDescent="0.3">
      <c r="A7648" s="91"/>
      <c r="B7648" s="70"/>
      <c r="C7648" s="70"/>
      <c r="D7648" s="70"/>
      <c r="E7648" s="70"/>
      <c r="F7648" s="70"/>
      <c r="G7648" s="94"/>
      <c r="H7648" s="131"/>
      <c r="I7648" s="3"/>
    </row>
    <row r="7649" spans="1:9" s="93" customFormat="1" ht="9" customHeight="1" x14ac:dyDescent="0.3">
      <c r="A7649" s="91"/>
      <c r="B7649" s="70"/>
      <c r="C7649" s="70"/>
      <c r="D7649" s="70"/>
      <c r="E7649" s="70"/>
      <c r="F7649" s="70"/>
      <c r="G7649" s="94"/>
      <c r="H7649" s="131"/>
      <c r="I7649" s="3"/>
    </row>
    <row r="7650" spans="1:9" s="93" customFormat="1" ht="9" customHeight="1" x14ac:dyDescent="0.3">
      <c r="A7650" s="91"/>
      <c r="B7650" s="70"/>
      <c r="C7650" s="70"/>
      <c r="D7650" s="70"/>
      <c r="E7650" s="70"/>
      <c r="F7650" s="70"/>
      <c r="G7650" s="94"/>
      <c r="H7650" s="131"/>
      <c r="I7650" s="3"/>
    </row>
    <row r="7651" spans="1:9" s="93" customFormat="1" ht="9" customHeight="1" x14ac:dyDescent="0.3">
      <c r="A7651" s="91"/>
      <c r="B7651" s="70"/>
      <c r="C7651" s="70"/>
      <c r="D7651" s="70"/>
      <c r="E7651" s="70"/>
      <c r="F7651" s="70"/>
      <c r="G7651" s="94"/>
      <c r="H7651" s="131"/>
      <c r="I7651" s="3"/>
    </row>
    <row r="7652" spans="1:9" s="93" customFormat="1" ht="9" customHeight="1" x14ac:dyDescent="0.3">
      <c r="A7652" s="91"/>
      <c r="B7652" s="70"/>
      <c r="C7652" s="70"/>
      <c r="D7652" s="70"/>
      <c r="E7652" s="70"/>
      <c r="F7652" s="70"/>
      <c r="G7652" s="94"/>
      <c r="H7652" s="131"/>
      <c r="I7652" s="3"/>
    </row>
    <row r="7653" spans="1:9" s="93" customFormat="1" ht="9" customHeight="1" x14ac:dyDescent="0.3">
      <c r="A7653" s="91"/>
      <c r="B7653" s="70"/>
      <c r="C7653" s="70"/>
      <c r="D7653" s="70"/>
      <c r="E7653" s="70"/>
      <c r="F7653" s="70"/>
      <c r="G7653" s="94"/>
      <c r="H7653" s="131"/>
      <c r="I7653" s="3"/>
    </row>
    <row r="7654" spans="1:9" s="93" customFormat="1" ht="9" customHeight="1" x14ac:dyDescent="0.3">
      <c r="A7654" s="91"/>
      <c r="B7654" s="70"/>
      <c r="C7654" s="70"/>
      <c r="D7654" s="70"/>
      <c r="E7654" s="70"/>
      <c r="F7654" s="70"/>
      <c r="G7654" s="94"/>
      <c r="H7654" s="131"/>
      <c r="I7654" s="3"/>
    </row>
    <row r="7655" spans="1:9" s="93" customFormat="1" ht="9" customHeight="1" x14ac:dyDescent="0.3">
      <c r="A7655" s="91"/>
      <c r="B7655" s="70"/>
      <c r="C7655" s="70"/>
      <c r="D7655" s="70"/>
      <c r="E7655" s="70"/>
      <c r="F7655" s="70"/>
      <c r="G7655" s="94"/>
      <c r="H7655" s="131"/>
      <c r="I7655" s="3"/>
    </row>
    <row r="7656" spans="1:9" s="93" customFormat="1" ht="9" customHeight="1" x14ac:dyDescent="0.3">
      <c r="A7656" s="91"/>
      <c r="B7656" s="70"/>
      <c r="C7656" s="70"/>
      <c r="D7656" s="70"/>
      <c r="E7656" s="70"/>
      <c r="F7656" s="70"/>
      <c r="G7656" s="94"/>
      <c r="H7656" s="131"/>
      <c r="I7656" s="3"/>
    </row>
    <row r="7657" spans="1:9" s="93" customFormat="1" ht="9" customHeight="1" x14ac:dyDescent="0.3">
      <c r="A7657" s="91"/>
      <c r="B7657" s="70"/>
      <c r="C7657" s="70"/>
      <c r="D7657" s="70"/>
      <c r="E7657" s="70"/>
      <c r="F7657" s="70"/>
      <c r="G7657" s="94"/>
      <c r="H7657" s="131"/>
      <c r="I7657" s="3"/>
    </row>
    <row r="7658" spans="1:9" s="93" customFormat="1" ht="9" customHeight="1" x14ac:dyDescent="0.3">
      <c r="A7658" s="91"/>
      <c r="B7658" s="70"/>
      <c r="C7658" s="70"/>
      <c r="D7658" s="70"/>
      <c r="E7658" s="70"/>
      <c r="F7658" s="70"/>
      <c r="G7658" s="94"/>
      <c r="H7658" s="131"/>
      <c r="I7658" s="3"/>
    </row>
    <row r="7659" spans="1:9" s="93" customFormat="1" ht="9" customHeight="1" x14ac:dyDescent="0.3">
      <c r="A7659" s="91"/>
      <c r="B7659" s="70"/>
      <c r="C7659" s="70"/>
      <c r="D7659" s="70"/>
      <c r="E7659" s="70"/>
      <c r="F7659" s="70"/>
      <c r="G7659" s="94"/>
      <c r="H7659" s="131"/>
      <c r="I7659" s="3"/>
    </row>
    <row r="7660" spans="1:9" s="93" customFormat="1" ht="9" customHeight="1" x14ac:dyDescent="0.3">
      <c r="A7660" s="91"/>
      <c r="B7660" s="70"/>
      <c r="C7660" s="70"/>
      <c r="D7660" s="70"/>
      <c r="E7660" s="70"/>
      <c r="F7660" s="70"/>
      <c r="G7660" s="94"/>
      <c r="H7660" s="131"/>
      <c r="I7660" s="3"/>
    </row>
    <row r="7661" spans="1:9" s="93" customFormat="1" ht="9" customHeight="1" x14ac:dyDescent="0.3">
      <c r="A7661" s="91"/>
      <c r="B7661" s="70"/>
      <c r="C7661" s="70"/>
      <c r="D7661" s="70"/>
      <c r="E7661" s="70"/>
      <c r="F7661" s="70"/>
      <c r="G7661" s="94"/>
      <c r="H7661" s="131"/>
      <c r="I7661" s="3"/>
    </row>
    <row r="7662" spans="1:9" s="93" customFormat="1" ht="9" customHeight="1" x14ac:dyDescent="0.3">
      <c r="A7662" s="91"/>
      <c r="B7662" s="70"/>
      <c r="C7662" s="70"/>
      <c r="D7662" s="70"/>
      <c r="E7662" s="70"/>
      <c r="F7662" s="70"/>
      <c r="G7662" s="94"/>
      <c r="H7662" s="131"/>
      <c r="I7662" s="3"/>
    </row>
    <row r="7663" spans="1:9" s="93" customFormat="1" ht="9" customHeight="1" x14ac:dyDescent="0.3">
      <c r="A7663" s="91"/>
      <c r="B7663" s="70"/>
      <c r="C7663" s="70"/>
      <c r="D7663" s="70"/>
      <c r="E7663" s="70"/>
      <c r="F7663" s="70"/>
      <c r="G7663" s="94"/>
      <c r="H7663" s="131"/>
      <c r="I7663" s="3"/>
    </row>
    <row r="7664" spans="1:9" s="93" customFormat="1" ht="9" customHeight="1" x14ac:dyDescent="0.3">
      <c r="A7664" s="91"/>
      <c r="B7664" s="70"/>
      <c r="C7664" s="70"/>
      <c r="D7664" s="70"/>
      <c r="E7664" s="70"/>
      <c r="F7664" s="70"/>
      <c r="G7664" s="94"/>
      <c r="H7664" s="131"/>
      <c r="I7664" s="3"/>
    </row>
    <row r="7665" spans="1:9" s="93" customFormat="1" ht="9" customHeight="1" x14ac:dyDescent="0.3">
      <c r="A7665" s="91"/>
      <c r="B7665" s="70"/>
      <c r="C7665" s="70"/>
      <c r="D7665" s="70"/>
      <c r="E7665" s="70"/>
      <c r="F7665" s="70"/>
      <c r="G7665" s="94"/>
      <c r="H7665" s="131"/>
      <c r="I7665" s="3"/>
    </row>
    <row r="7666" spans="1:9" s="93" customFormat="1" ht="9" customHeight="1" x14ac:dyDescent="0.3">
      <c r="A7666" s="91"/>
      <c r="B7666" s="70"/>
      <c r="C7666" s="70"/>
      <c r="D7666" s="70"/>
      <c r="E7666" s="70"/>
      <c r="F7666" s="70"/>
      <c r="G7666" s="94"/>
      <c r="H7666" s="131"/>
      <c r="I7666" s="3"/>
    </row>
    <row r="7667" spans="1:9" s="93" customFormat="1" ht="9" customHeight="1" x14ac:dyDescent="0.3">
      <c r="A7667" s="91"/>
      <c r="B7667" s="70"/>
      <c r="C7667" s="70"/>
      <c r="D7667" s="70"/>
      <c r="E7667" s="70"/>
      <c r="F7667" s="70"/>
      <c r="G7667" s="94"/>
      <c r="H7667" s="131"/>
      <c r="I7667" s="3"/>
    </row>
    <row r="7668" spans="1:9" s="93" customFormat="1" ht="9" customHeight="1" x14ac:dyDescent="0.3">
      <c r="A7668" s="91"/>
      <c r="B7668" s="70"/>
      <c r="C7668" s="70"/>
      <c r="D7668" s="70"/>
      <c r="E7668" s="70"/>
      <c r="F7668" s="70"/>
      <c r="G7668" s="94"/>
      <c r="H7668" s="131"/>
      <c r="I7668" s="3"/>
    </row>
    <row r="7669" spans="1:9" s="93" customFormat="1" ht="9" customHeight="1" x14ac:dyDescent="0.3">
      <c r="A7669" s="91"/>
      <c r="B7669" s="70"/>
      <c r="C7669" s="70"/>
      <c r="D7669" s="70"/>
      <c r="E7669" s="70"/>
      <c r="F7669" s="70"/>
      <c r="G7669" s="94"/>
      <c r="H7669" s="131"/>
      <c r="I7669" s="3"/>
    </row>
    <row r="7670" spans="1:9" s="93" customFormat="1" ht="9" customHeight="1" x14ac:dyDescent="0.3">
      <c r="A7670" s="91"/>
      <c r="B7670" s="70"/>
      <c r="C7670" s="70"/>
      <c r="D7670" s="70"/>
      <c r="E7670" s="70"/>
      <c r="F7670" s="70"/>
      <c r="G7670" s="94"/>
      <c r="H7670" s="131"/>
      <c r="I7670" s="3"/>
    </row>
    <row r="7671" spans="1:9" s="93" customFormat="1" ht="9" customHeight="1" x14ac:dyDescent="0.3">
      <c r="A7671" s="91"/>
      <c r="B7671" s="70"/>
      <c r="C7671" s="70"/>
      <c r="D7671" s="70"/>
      <c r="E7671" s="70"/>
      <c r="F7671" s="70"/>
      <c r="G7671" s="94"/>
      <c r="H7671" s="131"/>
      <c r="I7671" s="3"/>
    </row>
    <row r="7672" spans="1:9" s="93" customFormat="1" ht="9" customHeight="1" x14ac:dyDescent="0.3">
      <c r="A7672" s="91"/>
      <c r="B7672" s="70"/>
      <c r="C7672" s="70"/>
      <c r="D7672" s="70"/>
      <c r="E7672" s="70"/>
      <c r="F7672" s="70"/>
      <c r="G7672" s="94"/>
      <c r="H7672" s="131"/>
      <c r="I7672" s="3"/>
    </row>
    <row r="7673" spans="1:9" s="93" customFormat="1" ht="9" customHeight="1" x14ac:dyDescent="0.3">
      <c r="A7673" s="91"/>
      <c r="B7673" s="70"/>
      <c r="C7673" s="70"/>
      <c r="D7673" s="70"/>
      <c r="E7673" s="70"/>
      <c r="F7673" s="70"/>
      <c r="G7673" s="94"/>
      <c r="H7673" s="131"/>
      <c r="I7673" s="3"/>
    </row>
    <row r="7674" spans="1:9" s="93" customFormat="1" ht="9" customHeight="1" x14ac:dyDescent="0.3">
      <c r="A7674" s="91"/>
      <c r="B7674" s="70"/>
      <c r="C7674" s="70"/>
      <c r="D7674" s="70"/>
      <c r="E7674" s="70"/>
      <c r="F7674" s="70"/>
      <c r="G7674" s="94"/>
      <c r="H7674" s="131"/>
      <c r="I7674" s="3"/>
    </row>
    <row r="7675" spans="1:9" s="93" customFormat="1" ht="9" customHeight="1" x14ac:dyDescent="0.3">
      <c r="A7675" s="91"/>
      <c r="B7675" s="70"/>
      <c r="C7675" s="70"/>
      <c r="D7675" s="70"/>
      <c r="E7675" s="70"/>
      <c r="F7675" s="70"/>
      <c r="G7675" s="94"/>
      <c r="H7675" s="131"/>
      <c r="I7675" s="3"/>
    </row>
    <row r="7676" spans="1:9" s="93" customFormat="1" ht="9" customHeight="1" x14ac:dyDescent="0.3">
      <c r="A7676" s="91"/>
      <c r="B7676" s="70"/>
      <c r="C7676" s="70"/>
      <c r="D7676" s="70"/>
      <c r="E7676" s="70"/>
      <c r="F7676" s="70"/>
      <c r="G7676" s="94"/>
      <c r="H7676" s="131"/>
      <c r="I7676" s="3"/>
    </row>
    <row r="7677" spans="1:9" s="93" customFormat="1" ht="9" customHeight="1" x14ac:dyDescent="0.3">
      <c r="A7677" s="91"/>
      <c r="B7677" s="70"/>
      <c r="C7677" s="70"/>
      <c r="D7677" s="70"/>
      <c r="E7677" s="70"/>
      <c r="F7677" s="70"/>
      <c r="G7677" s="94"/>
      <c r="H7677" s="131"/>
      <c r="I7677" s="3"/>
    </row>
    <row r="7678" spans="1:9" s="93" customFormat="1" ht="9" customHeight="1" x14ac:dyDescent="0.3">
      <c r="A7678" s="91"/>
      <c r="B7678" s="70"/>
      <c r="C7678" s="70"/>
      <c r="D7678" s="70"/>
      <c r="E7678" s="70"/>
      <c r="F7678" s="70"/>
      <c r="G7678" s="94"/>
      <c r="H7678" s="131"/>
      <c r="I7678" s="3"/>
    </row>
    <row r="7679" spans="1:9" s="93" customFormat="1" ht="9" customHeight="1" x14ac:dyDescent="0.3">
      <c r="A7679" s="91"/>
      <c r="B7679" s="70"/>
      <c r="C7679" s="70"/>
      <c r="D7679" s="70"/>
      <c r="E7679" s="70"/>
      <c r="F7679" s="70"/>
      <c r="G7679" s="94"/>
      <c r="H7679" s="131"/>
      <c r="I7679" s="3"/>
    </row>
    <row r="7680" spans="1:9" s="93" customFormat="1" ht="9" customHeight="1" x14ac:dyDescent="0.3">
      <c r="A7680" s="91"/>
      <c r="B7680" s="70"/>
      <c r="C7680" s="70"/>
      <c r="D7680" s="70"/>
      <c r="E7680" s="70"/>
      <c r="F7680" s="70"/>
      <c r="G7680" s="94"/>
      <c r="H7680" s="131"/>
      <c r="I7680" s="3"/>
    </row>
    <row r="7681" spans="1:9" s="93" customFormat="1" ht="9" customHeight="1" x14ac:dyDescent="0.3">
      <c r="A7681" s="91"/>
      <c r="B7681" s="70"/>
      <c r="C7681" s="70"/>
      <c r="D7681" s="70"/>
      <c r="E7681" s="70"/>
      <c r="F7681" s="70"/>
      <c r="G7681" s="94"/>
      <c r="H7681" s="131"/>
      <c r="I7681" s="3"/>
    </row>
    <row r="7682" spans="1:9" s="93" customFormat="1" ht="9" customHeight="1" x14ac:dyDescent="0.3">
      <c r="A7682" s="91"/>
      <c r="B7682" s="70"/>
      <c r="C7682" s="70"/>
      <c r="D7682" s="70"/>
      <c r="E7682" s="70"/>
      <c r="F7682" s="70"/>
      <c r="G7682" s="94"/>
      <c r="H7682" s="131"/>
      <c r="I7682" s="3"/>
    </row>
    <row r="7683" spans="1:9" s="93" customFormat="1" ht="9" customHeight="1" x14ac:dyDescent="0.3">
      <c r="A7683" s="91"/>
      <c r="B7683" s="70"/>
      <c r="C7683" s="70"/>
      <c r="D7683" s="70"/>
      <c r="E7683" s="70"/>
      <c r="F7683" s="70"/>
      <c r="G7683" s="94"/>
      <c r="H7683" s="131"/>
      <c r="I7683" s="3"/>
    </row>
    <row r="7684" spans="1:9" s="93" customFormat="1" ht="9" customHeight="1" x14ac:dyDescent="0.3">
      <c r="A7684" s="91"/>
      <c r="B7684" s="70"/>
      <c r="C7684" s="70"/>
      <c r="D7684" s="70"/>
      <c r="E7684" s="70"/>
      <c r="F7684" s="70"/>
      <c r="G7684" s="94"/>
      <c r="H7684" s="131"/>
      <c r="I7684" s="3"/>
    </row>
    <row r="7685" spans="1:9" s="93" customFormat="1" ht="9" customHeight="1" x14ac:dyDescent="0.3">
      <c r="A7685" s="91"/>
      <c r="B7685" s="70"/>
      <c r="C7685" s="70"/>
      <c r="D7685" s="70"/>
      <c r="E7685" s="70"/>
      <c r="F7685" s="70"/>
      <c r="G7685" s="94"/>
      <c r="H7685" s="131"/>
      <c r="I7685" s="3"/>
    </row>
    <row r="7686" spans="1:9" s="93" customFormat="1" ht="9" customHeight="1" x14ac:dyDescent="0.3">
      <c r="A7686" s="91"/>
      <c r="B7686" s="70"/>
      <c r="C7686" s="70"/>
      <c r="D7686" s="70"/>
      <c r="E7686" s="70"/>
      <c r="F7686" s="70"/>
      <c r="G7686" s="94"/>
      <c r="H7686" s="131"/>
      <c r="I7686" s="3"/>
    </row>
    <row r="7687" spans="1:9" s="93" customFormat="1" ht="9" customHeight="1" x14ac:dyDescent="0.3">
      <c r="A7687" s="91"/>
      <c r="B7687" s="70"/>
      <c r="C7687" s="70"/>
      <c r="D7687" s="70"/>
      <c r="E7687" s="70"/>
      <c r="F7687" s="70"/>
      <c r="G7687" s="94"/>
      <c r="H7687" s="131"/>
      <c r="I7687" s="3"/>
    </row>
    <row r="7688" spans="1:9" s="93" customFormat="1" ht="9" customHeight="1" x14ac:dyDescent="0.3">
      <c r="A7688" s="91"/>
      <c r="B7688" s="70"/>
      <c r="C7688" s="70"/>
      <c r="D7688" s="70"/>
      <c r="E7688" s="70"/>
      <c r="F7688" s="70"/>
      <c r="G7688" s="94"/>
      <c r="H7688" s="131"/>
      <c r="I7688" s="3"/>
    </row>
    <row r="7689" spans="1:9" s="93" customFormat="1" ht="9" customHeight="1" x14ac:dyDescent="0.3">
      <c r="A7689" s="91"/>
      <c r="B7689" s="70"/>
      <c r="C7689" s="70"/>
      <c r="D7689" s="70"/>
      <c r="E7689" s="70"/>
      <c r="F7689" s="70"/>
      <c r="G7689" s="94"/>
      <c r="H7689" s="131"/>
      <c r="I7689" s="3"/>
    </row>
    <row r="7690" spans="1:9" s="93" customFormat="1" ht="9" customHeight="1" x14ac:dyDescent="0.3">
      <c r="A7690" s="91"/>
      <c r="B7690" s="70"/>
      <c r="C7690" s="70"/>
      <c r="D7690" s="70"/>
      <c r="E7690" s="70"/>
      <c r="F7690" s="70"/>
      <c r="G7690" s="94"/>
      <c r="H7690" s="131"/>
      <c r="I7690" s="3"/>
    </row>
    <row r="7691" spans="1:9" s="93" customFormat="1" ht="9" customHeight="1" x14ac:dyDescent="0.3">
      <c r="A7691" s="91"/>
      <c r="B7691" s="70"/>
      <c r="C7691" s="70"/>
      <c r="D7691" s="70"/>
      <c r="E7691" s="70"/>
      <c r="F7691" s="70"/>
      <c r="G7691" s="94"/>
      <c r="H7691" s="131"/>
      <c r="I7691" s="3"/>
    </row>
    <row r="7692" spans="1:9" s="93" customFormat="1" ht="9" customHeight="1" x14ac:dyDescent="0.3">
      <c r="A7692" s="91"/>
      <c r="B7692" s="70"/>
      <c r="C7692" s="70"/>
      <c r="D7692" s="70"/>
      <c r="E7692" s="70"/>
      <c r="F7692" s="70"/>
      <c r="G7692" s="94"/>
      <c r="H7692" s="131"/>
      <c r="I7692" s="3"/>
    </row>
    <row r="7693" spans="1:9" s="93" customFormat="1" ht="9" customHeight="1" x14ac:dyDescent="0.3">
      <c r="A7693" s="91"/>
      <c r="B7693" s="70"/>
      <c r="C7693" s="70"/>
      <c r="D7693" s="70"/>
      <c r="E7693" s="70"/>
      <c r="F7693" s="70"/>
      <c r="G7693" s="94"/>
      <c r="H7693" s="131"/>
      <c r="I7693" s="3"/>
    </row>
    <row r="7694" spans="1:9" s="93" customFormat="1" ht="9" customHeight="1" x14ac:dyDescent="0.3">
      <c r="A7694" s="91"/>
      <c r="B7694" s="70"/>
      <c r="C7694" s="70"/>
      <c r="D7694" s="70"/>
      <c r="E7694" s="70"/>
      <c r="F7694" s="70"/>
      <c r="G7694" s="94"/>
      <c r="H7694" s="131"/>
      <c r="I7694" s="3"/>
    </row>
    <row r="7695" spans="1:9" s="93" customFormat="1" ht="9" customHeight="1" x14ac:dyDescent="0.3">
      <c r="A7695" s="91"/>
      <c r="B7695" s="70"/>
      <c r="C7695" s="70"/>
      <c r="D7695" s="70"/>
      <c r="E7695" s="70"/>
      <c r="F7695" s="70"/>
      <c r="G7695" s="94"/>
      <c r="H7695" s="131"/>
      <c r="I7695" s="3"/>
    </row>
    <row r="7696" spans="1:9" s="93" customFormat="1" ht="9" customHeight="1" x14ac:dyDescent="0.3">
      <c r="A7696" s="91"/>
      <c r="B7696" s="70"/>
      <c r="C7696" s="70"/>
      <c r="D7696" s="70"/>
      <c r="E7696" s="70"/>
      <c r="F7696" s="70"/>
      <c r="G7696" s="94"/>
      <c r="H7696" s="131"/>
      <c r="I7696" s="3"/>
    </row>
    <row r="7697" spans="1:9" s="93" customFormat="1" ht="9" customHeight="1" x14ac:dyDescent="0.3">
      <c r="A7697" s="91"/>
      <c r="B7697" s="70"/>
      <c r="C7697" s="70"/>
      <c r="D7697" s="70"/>
      <c r="E7697" s="70"/>
      <c r="F7697" s="70"/>
      <c r="G7697" s="94"/>
      <c r="H7697" s="131"/>
      <c r="I7697" s="3"/>
    </row>
    <row r="7698" spans="1:9" s="93" customFormat="1" ht="9" customHeight="1" x14ac:dyDescent="0.3">
      <c r="A7698" s="91"/>
      <c r="B7698" s="70"/>
      <c r="C7698" s="70"/>
      <c r="D7698" s="70"/>
      <c r="E7698" s="70"/>
      <c r="F7698" s="70"/>
      <c r="G7698" s="94"/>
      <c r="H7698" s="131"/>
      <c r="I7698" s="3"/>
    </row>
    <row r="7699" spans="1:9" s="93" customFormat="1" ht="9" customHeight="1" x14ac:dyDescent="0.3">
      <c r="A7699" s="91"/>
      <c r="B7699" s="70"/>
      <c r="C7699" s="70"/>
      <c r="D7699" s="70"/>
      <c r="E7699" s="70"/>
      <c r="F7699" s="70"/>
      <c r="G7699" s="94"/>
      <c r="H7699" s="131"/>
      <c r="I7699" s="3"/>
    </row>
    <row r="7700" spans="1:9" s="93" customFormat="1" ht="9" customHeight="1" x14ac:dyDescent="0.3">
      <c r="A7700" s="91"/>
      <c r="B7700" s="70"/>
      <c r="C7700" s="70"/>
      <c r="D7700" s="70"/>
      <c r="E7700" s="70"/>
      <c r="F7700" s="70"/>
      <c r="G7700" s="94"/>
      <c r="H7700" s="131"/>
      <c r="I7700" s="3"/>
    </row>
    <row r="7701" spans="1:9" s="93" customFormat="1" ht="9" customHeight="1" x14ac:dyDescent="0.3">
      <c r="A7701" s="91"/>
      <c r="B7701" s="70"/>
      <c r="C7701" s="70"/>
      <c r="D7701" s="70"/>
      <c r="E7701" s="70"/>
      <c r="F7701" s="70"/>
      <c r="G7701" s="94"/>
      <c r="H7701" s="131"/>
      <c r="I7701" s="3"/>
    </row>
    <row r="7702" spans="1:9" s="93" customFormat="1" ht="9" customHeight="1" x14ac:dyDescent="0.3">
      <c r="A7702" s="91"/>
      <c r="B7702" s="70"/>
      <c r="C7702" s="70"/>
      <c r="D7702" s="70"/>
      <c r="E7702" s="70"/>
      <c r="F7702" s="70"/>
      <c r="G7702" s="94"/>
      <c r="H7702" s="131"/>
      <c r="I7702" s="3"/>
    </row>
    <row r="7703" spans="1:9" s="93" customFormat="1" ht="9" customHeight="1" x14ac:dyDescent="0.3">
      <c r="A7703" s="91"/>
      <c r="B7703" s="70"/>
      <c r="C7703" s="70"/>
      <c r="D7703" s="70"/>
      <c r="E7703" s="70"/>
      <c r="F7703" s="70"/>
      <c r="G7703" s="94"/>
      <c r="H7703" s="131"/>
      <c r="I7703" s="3"/>
    </row>
    <row r="7704" spans="1:9" s="93" customFormat="1" ht="9" customHeight="1" x14ac:dyDescent="0.3">
      <c r="A7704" s="91"/>
      <c r="B7704" s="70"/>
      <c r="C7704" s="70"/>
      <c r="D7704" s="70"/>
      <c r="E7704" s="70"/>
      <c r="F7704" s="70"/>
      <c r="G7704" s="94"/>
      <c r="H7704" s="131"/>
      <c r="I7704" s="3"/>
    </row>
    <row r="7705" spans="1:9" s="93" customFormat="1" ht="9" customHeight="1" x14ac:dyDescent="0.3">
      <c r="A7705" s="91"/>
      <c r="B7705" s="70"/>
      <c r="C7705" s="70"/>
      <c r="D7705" s="70"/>
      <c r="E7705" s="70"/>
      <c r="F7705" s="70"/>
      <c r="G7705" s="94"/>
      <c r="H7705" s="131"/>
      <c r="I7705" s="3"/>
    </row>
    <row r="7706" spans="1:9" s="93" customFormat="1" ht="9" customHeight="1" x14ac:dyDescent="0.3">
      <c r="A7706" s="91"/>
      <c r="B7706" s="70"/>
      <c r="C7706" s="70"/>
      <c r="D7706" s="70"/>
      <c r="E7706" s="70"/>
      <c r="F7706" s="70"/>
      <c r="G7706" s="94"/>
      <c r="H7706" s="131"/>
      <c r="I7706" s="3"/>
    </row>
    <row r="7707" spans="1:9" s="93" customFormat="1" ht="9" customHeight="1" x14ac:dyDescent="0.3">
      <c r="A7707" s="91"/>
      <c r="B7707" s="70"/>
      <c r="C7707" s="70"/>
      <c r="D7707" s="70"/>
      <c r="E7707" s="70"/>
      <c r="F7707" s="70"/>
      <c r="G7707" s="94"/>
      <c r="H7707" s="131"/>
      <c r="I7707" s="3"/>
    </row>
    <row r="7708" spans="1:9" s="93" customFormat="1" ht="9" customHeight="1" x14ac:dyDescent="0.3">
      <c r="A7708" s="91"/>
      <c r="B7708" s="70"/>
      <c r="C7708" s="70"/>
      <c r="D7708" s="70"/>
      <c r="E7708" s="70"/>
      <c r="F7708" s="70"/>
      <c r="G7708" s="94"/>
      <c r="H7708" s="131"/>
      <c r="I7708" s="3"/>
    </row>
    <row r="7709" spans="1:9" s="93" customFormat="1" ht="9" customHeight="1" x14ac:dyDescent="0.3">
      <c r="A7709" s="91"/>
      <c r="B7709" s="70"/>
      <c r="C7709" s="70"/>
      <c r="D7709" s="70"/>
      <c r="E7709" s="70"/>
      <c r="F7709" s="70"/>
      <c r="G7709" s="94"/>
      <c r="H7709" s="131"/>
      <c r="I7709" s="3"/>
    </row>
    <row r="7710" spans="1:9" s="93" customFormat="1" ht="9" customHeight="1" x14ac:dyDescent="0.3">
      <c r="A7710" s="91"/>
      <c r="B7710" s="70"/>
      <c r="C7710" s="70"/>
      <c r="D7710" s="70"/>
      <c r="E7710" s="70"/>
      <c r="F7710" s="70"/>
      <c r="G7710" s="94"/>
      <c r="H7710" s="131"/>
      <c r="I7710" s="3"/>
    </row>
    <row r="7711" spans="1:9" s="93" customFormat="1" ht="9" customHeight="1" x14ac:dyDescent="0.3">
      <c r="A7711" s="91"/>
      <c r="B7711" s="70"/>
      <c r="C7711" s="70"/>
      <c r="D7711" s="70"/>
      <c r="E7711" s="70"/>
      <c r="F7711" s="70"/>
      <c r="G7711" s="94"/>
      <c r="H7711" s="131"/>
      <c r="I7711" s="3"/>
    </row>
    <row r="7712" spans="1:9" s="93" customFormat="1" ht="9" customHeight="1" x14ac:dyDescent="0.3">
      <c r="A7712" s="91"/>
      <c r="B7712" s="70"/>
      <c r="C7712" s="70"/>
      <c r="D7712" s="70"/>
      <c r="E7712" s="70"/>
      <c r="F7712" s="70"/>
      <c r="G7712" s="94"/>
      <c r="H7712" s="131"/>
      <c r="I7712" s="3"/>
    </row>
    <row r="7713" spans="1:9" s="93" customFormat="1" ht="9" customHeight="1" x14ac:dyDescent="0.3">
      <c r="A7713" s="91"/>
      <c r="B7713" s="70"/>
      <c r="C7713" s="70"/>
      <c r="D7713" s="70"/>
      <c r="E7713" s="70"/>
      <c r="F7713" s="70"/>
      <c r="G7713" s="94"/>
      <c r="H7713" s="131"/>
      <c r="I7713" s="3"/>
    </row>
    <row r="7714" spans="1:9" s="93" customFormat="1" ht="9" customHeight="1" x14ac:dyDescent="0.3">
      <c r="A7714" s="91"/>
      <c r="B7714" s="70"/>
      <c r="C7714" s="70"/>
      <c r="D7714" s="70"/>
      <c r="E7714" s="70"/>
      <c r="F7714" s="70"/>
      <c r="G7714" s="94"/>
      <c r="H7714" s="131"/>
      <c r="I7714" s="3"/>
    </row>
    <row r="7715" spans="1:9" s="93" customFormat="1" ht="9" customHeight="1" x14ac:dyDescent="0.3">
      <c r="A7715" s="91"/>
      <c r="B7715" s="70"/>
      <c r="C7715" s="70"/>
      <c r="D7715" s="70"/>
      <c r="E7715" s="70"/>
      <c r="F7715" s="70"/>
      <c r="G7715" s="94"/>
      <c r="H7715" s="131"/>
      <c r="I7715" s="3"/>
    </row>
    <row r="7716" spans="1:9" s="93" customFormat="1" ht="9" customHeight="1" x14ac:dyDescent="0.3">
      <c r="A7716" s="91"/>
      <c r="B7716" s="70"/>
      <c r="C7716" s="70"/>
      <c r="D7716" s="70"/>
      <c r="E7716" s="70"/>
      <c r="F7716" s="70"/>
      <c r="G7716" s="94"/>
      <c r="H7716" s="131"/>
      <c r="I7716" s="3"/>
    </row>
    <row r="7717" spans="1:9" s="93" customFormat="1" ht="9" customHeight="1" x14ac:dyDescent="0.3">
      <c r="A7717" s="91"/>
      <c r="B7717" s="70"/>
      <c r="C7717" s="70"/>
      <c r="D7717" s="70"/>
      <c r="E7717" s="70"/>
      <c r="F7717" s="70"/>
      <c r="G7717" s="94"/>
      <c r="H7717" s="131"/>
      <c r="I7717" s="3"/>
    </row>
    <row r="7718" spans="1:9" s="93" customFormat="1" ht="9" customHeight="1" x14ac:dyDescent="0.3">
      <c r="A7718" s="91"/>
      <c r="B7718" s="70"/>
      <c r="C7718" s="70"/>
      <c r="D7718" s="70"/>
      <c r="E7718" s="70"/>
      <c r="F7718" s="70"/>
      <c r="G7718" s="94"/>
      <c r="H7718" s="131"/>
      <c r="I7718" s="3"/>
    </row>
    <row r="7719" spans="1:9" s="93" customFormat="1" ht="9" customHeight="1" x14ac:dyDescent="0.3">
      <c r="A7719" s="91"/>
      <c r="B7719" s="70"/>
      <c r="C7719" s="70"/>
      <c r="D7719" s="70"/>
      <c r="E7719" s="70"/>
      <c r="F7719" s="70"/>
      <c r="G7719" s="94"/>
      <c r="H7719" s="131"/>
      <c r="I7719" s="3"/>
    </row>
    <row r="7720" spans="1:9" s="93" customFormat="1" ht="9" customHeight="1" x14ac:dyDescent="0.3">
      <c r="A7720" s="91"/>
      <c r="B7720" s="70"/>
      <c r="C7720" s="70"/>
      <c r="D7720" s="70"/>
      <c r="E7720" s="70"/>
      <c r="F7720" s="70"/>
      <c r="G7720" s="94"/>
      <c r="H7720" s="131"/>
      <c r="I7720" s="3"/>
    </row>
    <row r="7721" spans="1:9" s="93" customFormat="1" ht="9" customHeight="1" x14ac:dyDescent="0.3">
      <c r="A7721" s="91"/>
      <c r="B7721" s="70"/>
      <c r="C7721" s="70"/>
      <c r="D7721" s="70"/>
      <c r="E7721" s="70"/>
      <c r="F7721" s="70"/>
      <c r="G7721" s="94"/>
      <c r="H7721" s="131"/>
      <c r="I7721" s="3"/>
    </row>
    <row r="7722" spans="1:9" s="93" customFormat="1" ht="9" customHeight="1" x14ac:dyDescent="0.3">
      <c r="A7722" s="91"/>
      <c r="B7722" s="70"/>
      <c r="C7722" s="70"/>
      <c r="D7722" s="70"/>
      <c r="E7722" s="70"/>
      <c r="F7722" s="70"/>
      <c r="G7722" s="94"/>
      <c r="H7722" s="131"/>
      <c r="I7722" s="3"/>
    </row>
    <row r="7723" spans="1:9" s="93" customFormat="1" ht="9" customHeight="1" x14ac:dyDescent="0.3">
      <c r="A7723" s="91"/>
      <c r="B7723" s="70"/>
      <c r="C7723" s="70"/>
      <c r="D7723" s="70"/>
      <c r="E7723" s="70"/>
      <c r="F7723" s="70"/>
      <c r="G7723" s="94"/>
      <c r="H7723" s="131"/>
      <c r="I7723" s="3"/>
    </row>
    <row r="7724" spans="1:9" s="93" customFormat="1" ht="9" customHeight="1" x14ac:dyDescent="0.3">
      <c r="A7724" s="91"/>
      <c r="B7724" s="70"/>
      <c r="C7724" s="70"/>
      <c r="D7724" s="70"/>
      <c r="E7724" s="70"/>
      <c r="F7724" s="70"/>
      <c r="G7724" s="94"/>
      <c r="H7724" s="131"/>
      <c r="I7724" s="3"/>
    </row>
    <row r="7725" spans="1:9" s="93" customFormat="1" ht="9" customHeight="1" x14ac:dyDescent="0.3">
      <c r="A7725" s="91"/>
      <c r="B7725" s="70"/>
      <c r="C7725" s="70"/>
      <c r="D7725" s="70"/>
      <c r="E7725" s="70"/>
      <c r="F7725" s="70"/>
      <c r="G7725" s="94"/>
      <c r="H7725" s="131"/>
      <c r="I7725" s="3"/>
    </row>
    <row r="7726" spans="1:9" s="93" customFormat="1" ht="9" customHeight="1" x14ac:dyDescent="0.3">
      <c r="A7726" s="91"/>
      <c r="B7726" s="70"/>
      <c r="C7726" s="70"/>
      <c r="D7726" s="70"/>
      <c r="E7726" s="70"/>
      <c r="F7726" s="70"/>
      <c r="G7726" s="94"/>
      <c r="H7726" s="131"/>
      <c r="I7726" s="3"/>
    </row>
    <row r="7727" spans="1:9" s="93" customFormat="1" ht="9" customHeight="1" x14ac:dyDescent="0.3">
      <c r="A7727" s="91"/>
      <c r="B7727" s="70"/>
      <c r="C7727" s="70"/>
      <c r="D7727" s="70"/>
      <c r="E7727" s="70"/>
      <c r="F7727" s="70"/>
      <c r="G7727" s="94"/>
      <c r="H7727" s="131"/>
      <c r="I7727" s="3"/>
    </row>
    <row r="7728" spans="1:9" s="93" customFormat="1" ht="9" customHeight="1" x14ac:dyDescent="0.3">
      <c r="A7728" s="91"/>
      <c r="B7728" s="70"/>
      <c r="C7728" s="70"/>
      <c r="D7728" s="70"/>
      <c r="E7728" s="70"/>
      <c r="F7728" s="70"/>
      <c r="G7728" s="94"/>
      <c r="H7728" s="131"/>
      <c r="I7728" s="3"/>
    </row>
    <row r="7729" spans="1:9" s="93" customFormat="1" ht="9" customHeight="1" x14ac:dyDescent="0.3">
      <c r="A7729" s="91"/>
      <c r="B7729" s="70"/>
      <c r="C7729" s="70"/>
      <c r="D7729" s="70"/>
      <c r="E7729" s="70"/>
      <c r="F7729" s="70"/>
      <c r="G7729" s="94"/>
      <c r="H7729" s="131"/>
      <c r="I7729" s="3"/>
    </row>
    <row r="7730" spans="1:9" s="93" customFormat="1" ht="9" customHeight="1" x14ac:dyDescent="0.3">
      <c r="A7730" s="91"/>
      <c r="B7730" s="70"/>
      <c r="C7730" s="70"/>
      <c r="D7730" s="70"/>
      <c r="E7730" s="70"/>
      <c r="F7730" s="70"/>
      <c r="G7730" s="94"/>
      <c r="H7730" s="131"/>
      <c r="I7730" s="3"/>
    </row>
    <row r="7731" spans="1:9" s="93" customFormat="1" ht="9" customHeight="1" x14ac:dyDescent="0.3">
      <c r="A7731" s="91"/>
      <c r="B7731" s="70"/>
      <c r="C7731" s="70"/>
      <c r="D7731" s="70"/>
      <c r="E7731" s="70"/>
      <c r="F7731" s="70"/>
      <c r="G7731" s="94"/>
      <c r="H7731" s="131"/>
      <c r="I7731" s="3"/>
    </row>
    <row r="7732" spans="1:9" s="93" customFormat="1" ht="9" customHeight="1" x14ac:dyDescent="0.3">
      <c r="A7732" s="91"/>
      <c r="B7732" s="70"/>
      <c r="C7732" s="70"/>
      <c r="D7732" s="70"/>
      <c r="E7732" s="70"/>
      <c r="F7732" s="70"/>
      <c r="G7732" s="94"/>
      <c r="H7732" s="131"/>
      <c r="I7732" s="3"/>
    </row>
    <row r="7733" spans="1:9" s="93" customFormat="1" ht="9" customHeight="1" x14ac:dyDescent="0.3">
      <c r="A7733" s="91"/>
      <c r="B7733" s="70"/>
      <c r="C7733" s="70"/>
      <c r="D7733" s="70"/>
      <c r="E7733" s="70"/>
      <c r="F7733" s="70"/>
      <c r="G7733" s="94"/>
      <c r="H7733" s="131"/>
      <c r="I7733" s="3"/>
    </row>
    <row r="7734" spans="1:9" s="93" customFormat="1" ht="9" customHeight="1" x14ac:dyDescent="0.3">
      <c r="A7734" s="91"/>
      <c r="B7734" s="70"/>
      <c r="C7734" s="70"/>
      <c r="D7734" s="70"/>
      <c r="E7734" s="70"/>
      <c r="F7734" s="70"/>
      <c r="G7734" s="94"/>
      <c r="H7734" s="131"/>
      <c r="I7734" s="3"/>
    </row>
    <row r="7735" spans="1:9" s="93" customFormat="1" ht="9" customHeight="1" x14ac:dyDescent="0.3">
      <c r="A7735" s="91"/>
      <c r="B7735" s="70"/>
      <c r="C7735" s="70"/>
      <c r="D7735" s="70"/>
      <c r="E7735" s="70"/>
      <c r="F7735" s="70"/>
      <c r="G7735" s="94"/>
      <c r="H7735" s="131"/>
      <c r="I7735" s="3"/>
    </row>
    <row r="7736" spans="1:9" s="93" customFormat="1" ht="9" customHeight="1" x14ac:dyDescent="0.3">
      <c r="A7736" s="91"/>
      <c r="B7736" s="70"/>
      <c r="C7736" s="70"/>
      <c r="D7736" s="70"/>
      <c r="E7736" s="70"/>
      <c r="F7736" s="70"/>
      <c r="G7736" s="94"/>
      <c r="H7736" s="131"/>
      <c r="I7736" s="3"/>
    </row>
    <row r="7737" spans="1:9" s="93" customFormat="1" ht="9" customHeight="1" x14ac:dyDescent="0.3">
      <c r="A7737" s="91"/>
      <c r="B7737" s="70"/>
      <c r="C7737" s="70"/>
      <c r="D7737" s="70"/>
      <c r="E7737" s="70"/>
      <c r="F7737" s="70"/>
      <c r="G7737" s="94"/>
      <c r="H7737" s="131"/>
      <c r="I7737" s="3"/>
    </row>
    <row r="7738" spans="1:9" s="93" customFormat="1" ht="9" customHeight="1" x14ac:dyDescent="0.3">
      <c r="A7738" s="91"/>
      <c r="B7738" s="70"/>
      <c r="C7738" s="70"/>
      <c r="D7738" s="70"/>
      <c r="E7738" s="70"/>
      <c r="F7738" s="70"/>
      <c r="G7738" s="94"/>
      <c r="H7738" s="131"/>
      <c r="I7738" s="3"/>
    </row>
    <row r="7739" spans="1:9" s="93" customFormat="1" ht="9" customHeight="1" x14ac:dyDescent="0.3">
      <c r="A7739" s="91"/>
      <c r="B7739" s="70"/>
      <c r="C7739" s="70"/>
      <c r="D7739" s="70"/>
      <c r="E7739" s="70"/>
      <c r="F7739" s="70"/>
      <c r="G7739" s="94"/>
      <c r="H7739" s="131"/>
      <c r="I7739" s="3"/>
    </row>
    <row r="7740" spans="1:9" s="93" customFormat="1" ht="9" customHeight="1" x14ac:dyDescent="0.3">
      <c r="A7740" s="91"/>
      <c r="B7740" s="70"/>
      <c r="C7740" s="70"/>
      <c r="D7740" s="70"/>
      <c r="E7740" s="70"/>
      <c r="F7740" s="70"/>
      <c r="G7740" s="94"/>
      <c r="H7740" s="131"/>
      <c r="I7740" s="3"/>
    </row>
    <row r="7741" spans="1:9" s="93" customFormat="1" ht="9" customHeight="1" x14ac:dyDescent="0.3">
      <c r="A7741" s="91"/>
      <c r="B7741" s="70"/>
      <c r="C7741" s="70"/>
      <c r="D7741" s="70"/>
      <c r="E7741" s="70"/>
      <c r="F7741" s="70"/>
      <c r="G7741" s="94"/>
      <c r="H7741" s="131"/>
      <c r="I7741" s="3"/>
    </row>
    <row r="7742" spans="1:9" s="93" customFormat="1" ht="9" customHeight="1" x14ac:dyDescent="0.3">
      <c r="A7742" s="91"/>
      <c r="B7742" s="70"/>
      <c r="C7742" s="70"/>
      <c r="D7742" s="70"/>
      <c r="E7742" s="70"/>
      <c r="F7742" s="70"/>
      <c r="G7742" s="94"/>
      <c r="H7742" s="131"/>
      <c r="I7742" s="3"/>
    </row>
    <row r="7743" spans="1:9" s="93" customFormat="1" ht="9" customHeight="1" x14ac:dyDescent="0.3">
      <c r="A7743" s="91"/>
      <c r="B7743" s="70"/>
      <c r="C7743" s="70"/>
      <c r="D7743" s="70"/>
      <c r="E7743" s="70"/>
      <c r="F7743" s="70"/>
      <c r="G7743" s="94"/>
      <c r="H7743" s="131"/>
      <c r="I7743" s="3"/>
    </row>
    <row r="7744" spans="1:9" s="93" customFormat="1" ht="9" customHeight="1" x14ac:dyDescent="0.3">
      <c r="A7744" s="91"/>
      <c r="B7744" s="70"/>
      <c r="C7744" s="70"/>
      <c r="D7744" s="70"/>
      <c r="E7744" s="70"/>
      <c r="F7744" s="70"/>
      <c r="G7744" s="94"/>
      <c r="H7744" s="131"/>
      <c r="I7744" s="3"/>
    </row>
    <row r="7745" spans="1:9" s="93" customFormat="1" ht="9" customHeight="1" x14ac:dyDescent="0.3">
      <c r="A7745" s="91"/>
      <c r="B7745" s="70"/>
      <c r="C7745" s="70"/>
      <c r="D7745" s="70"/>
      <c r="E7745" s="70"/>
      <c r="F7745" s="70"/>
      <c r="G7745" s="94"/>
      <c r="H7745" s="131"/>
      <c r="I7745" s="3"/>
    </row>
    <row r="7746" spans="1:9" s="93" customFormat="1" ht="9" customHeight="1" x14ac:dyDescent="0.3">
      <c r="A7746" s="91"/>
      <c r="B7746" s="70"/>
      <c r="C7746" s="70"/>
      <c r="D7746" s="70"/>
      <c r="E7746" s="70"/>
      <c r="F7746" s="70"/>
      <c r="G7746" s="94"/>
      <c r="H7746" s="131"/>
      <c r="I7746" s="3"/>
    </row>
    <row r="7747" spans="1:9" s="93" customFormat="1" ht="9" customHeight="1" x14ac:dyDescent="0.3">
      <c r="A7747" s="91"/>
      <c r="B7747" s="70"/>
      <c r="C7747" s="70"/>
      <c r="D7747" s="70"/>
      <c r="E7747" s="70"/>
      <c r="F7747" s="70"/>
      <c r="G7747" s="94"/>
      <c r="H7747" s="131"/>
      <c r="I7747" s="3"/>
    </row>
    <row r="7748" spans="1:9" s="93" customFormat="1" ht="9" customHeight="1" x14ac:dyDescent="0.3">
      <c r="A7748" s="91"/>
      <c r="B7748" s="70"/>
      <c r="C7748" s="70"/>
      <c r="D7748" s="70"/>
      <c r="E7748" s="70"/>
      <c r="F7748" s="70"/>
      <c r="G7748" s="94"/>
      <c r="H7748" s="131"/>
      <c r="I7748" s="3"/>
    </row>
    <row r="7749" spans="1:9" s="93" customFormat="1" ht="9" customHeight="1" x14ac:dyDescent="0.3">
      <c r="A7749" s="91"/>
      <c r="B7749" s="70"/>
      <c r="C7749" s="70"/>
      <c r="D7749" s="70"/>
      <c r="E7749" s="70"/>
      <c r="F7749" s="70"/>
      <c r="G7749" s="94"/>
      <c r="H7749" s="131"/>
      <c r="I7749" s="3"/>
    </row>
    <row r="7750" spans="1:9" s="93" customFormat="1" ht="9" customHeight="1" x14ac:dyDescent="0.3">
      <c r="A7750" s="91"/>
      <c r="B7750" s="70"/>
      <c r="C7750" s="70"/>
      <c r="D7750" s="70"/>
      <c r="E7750" s="70"/>
      <c r="F7750" s="70"/>
      <c r="G7750" s="94"/>
      <c r="H7750" s="131"/>
      <c r="I7750" s="3"/>
    </row>
    <row r="7751" spans="1:9" s="93" customFormat="1" ht="9" customHeight="1" x14ac:dyDescent="0.3">
      <c r="A7751" s="91"/>
      <c r="B7751" s="70"/>
      <c r="C7751" s="70"/>
      <c r="D7751" s="70"/>
      <c r="E7751" s="70"/>
      <c r="F7751" s="70"/>
      <c r="G7751" s="94"/>
      <c r="H7751" s="131"/>
      <c r="I7751" s="3"/>
    </row>
    <row r="7752" spans="1:9" s="93" customFormat="1" ht="9" customHeight="1" x14ac:dyDescent="0.3">
      <c r="A7752" s="91"/>
      <c r="B7752" s="70"/>
      <c r="C7752" s="70"/>
      <c r="D7752" s="70"/>
      <c r="E7752" s="70"/>
      <c r="F7752" s="70"/>
      <c r="G7752" s="94"/>
      <c r="H7752" s="131"/>
      <c r="I7752" s="3"/>
    </row>
    <row r="7753" spans="1:9" s="93" customFormat="1" ht="9" customHeight="1" x14ac:dyDescent="0.3">
      <c r="A7753" s="91"/>
      <c r="B7753" s="70"/>
      <c r="C7753" s="70"/>
      <c r="D7753" s="70"/>
      <c r="E7753" s="70"/>
      <c r="F7753" s="70"/>
      <c r="G7753" s="94"/>
      <c r="H7753" s="131"/>
      <c r="I7753" s="3"/>
    </row>
    <row r="7754" spans="1:9" s="93" customFormat="1" ht="9" customHeight="1" x14ac:dyDescent="0.3">
      <c r="A7754" s="91"/>
      <c r="B7754" s="70"/>
      <c r="C7754" s="70"/>
      <c r="D7754" s="70"/>
      <c r="E7754" s="70"/>
      <c r="F7754" s="70"/>
      <c r="G7754" s="94"/>
      <c r="H7754" s="131"/>
      <c r="I7754" s="3"/>
    </row>
    <row r="7755" spans="1:9" s="93" customFormat="1" ht="9" customHeight="1" x14ac:dyDescent="0.3">
      <c r="A7755" s="91"/>
      <c r="B7755" s="70"/>
      <c r="C7755" s="70"/>
      <c r="D7755" s="70"/>
      <c r="E7755" s="70"/>
      <c r="F7755" s="70"/>
      <c r="G7755" s="94"/>
      <c r="H7755" s="131"/>
      <c r="I7755" s="3"/>
    </row>
    <row r="7756" spans="1:9" s="93" customFormat="1" ht="9" customHeight="1" x14ac:dyDescent="0.3">
      <c r="A7756" s="91"/>
      <c r="B7756" s="70"/>
      <c r="C7756" s="70"/>
      <c r="D7756" s="70"/>
      <c r="E7756" s="70"/>
      <c r="F7756" s="70"/>
      <c r="G7756" s="94"/>
      <c r="H7756" s="131"/>
      <c r="I7756" s="3"/>
    </row>
    <row r="7757" spans="1:9" s="93" customFormat="1" ht="9" customHeight="1" x14ac:dyDescent="0.3">
      <c r="A7757" s="91"/>
      <c r="B7757" s="70"/>
      <c r="C7757" s="70"/>
      <c r="D7757" s="70"/>
      <c r="E7757" s="70"/>
      <c r="F7757" s="70"/>
      <c r="G7757" s="94"/>
      <c r="H7757" s="131"/>
      <c r="I7757" s="3"/>
    </row>
    <row r="7758" spans="1:9" s="93" customFormat="1" ht="9" customHeight="1" x14ac:dyDescent="0.3">
      <c r="A7758" s="91"/>
      <c r="B7758" s="70"/>
      <c r="C7758" s="70"/>
      <c r="D7758" s="70"/>
      <c r="E7758" s="70"/>
      <c r="F7758" s="70"/>
      <c r="G7758" s="94"/>
      <c r="H7758" s="131"/>
      <c r="I7758" s="3"/>
    </row>
    <row r="7759" spans="1:9" s="93" customFormat="1" ht="9" customHeight="1" x14ac:dyDescent="0.3">
      <c r="A7759" s="91"/>
      <c r="B7759" s="70"/>
      <c r="C7759" s="70"/>
      <c r="D7759" s="70"/>
      <c r="E7759" s="70"/>
      <c r="F7759" s="70"/>
      <c r="G7759" s="94"/>
      <c r="H7759" s="131"/>
      <c r="I7759" s="3"/>
    </row>
    <row r="7760" spans="1:9" s="93" customFormat="1" ht="9" customHeight="1" x14ac:dyDescent="0.3">
      <c r="A7760" s="91"/>
      <c r="B7760" s="70"/>
      <c r="C7760" s="70"/>
      <c r="D7760" s="70"/>
      <c r="E7760" s="70"/>
      <c r="F7760" s="70"/>
      <c r="G7760" s="94"/>
      <c r="H7760" s="131"/>
      <c r="I7760" s="3"/>
    </row>
    <row r="7761" spans="1:9" s="93" customFormat="1" ht="9" customHeight="1" x14ac:dyDescent="0.3">
      <c r="A7761" s="91"/>
      <c r="B7761" s="70"/>
      <c r="C7761" s="70"/>
      <c r="D7761" s="70"/>
      <c r="E7761" s="70"/>
      <c r="F7761" s="70"/>
      <c r="G7761" s="94"/>
      <c r="H7761" s="131"/>
      <c r="I7761" s="3"/>
    </row>
    <row r="7762" spans="1:9" s="93" customFormat="1" ht="9" customHeight="1" x14ac:dyDescent="0.3">
      <c r="A7762" s="91"/>
      <c r="B7762" s="70"/>
      <c r="C7762" s="70"/>
      <c r="D7762" s="70"/>
      <c r="E7762" s="70"/>
      <c r="F7762" s="70"/>
      <c r="G7762" s="94"/>
      <c r="H7762" s="131"/>
      <c r="I7762" s="3"/>
    </row>
    <row r="7763" spans="1:9" s="93" customFormat="1" ht="9" customHeight="1" x14ac:dyDescent="0.3">
      <c r="A7763" s="91"/>
      <c r="B7763" s="70"/>
      <c r="C7763" s="70"/>
      <c r="D7763" s="70"/>
      <c r="E7763" s="70"/>
      <c r="F7763" s="70"/>
      <c r="G7763" s="94"/>
      <c r="H7763" s="131"/>
      <c r="I7763" s="3"/>
    </row>
    <row r="7764" spans="1:9" s="93" customFormat="1" ht="9" customHeight="1" x14ac:dyDescent="0.3">
      <c r="A7764" s="91"/>
      <c r="B7764" s="70"/>
      <c r="C7764" s="70"/>
      <c r="D7764" s="70"/>
      <c r="E7764" s="70"/>
      <c r="F7764" s="70"/>
      <c r="G7764" s="94"/>
      <c r="H7764" s="131"/>
      <c r="I7764" s="3"/>
    </row>
    <row r="7765" spans="1:9" s="93" customFormat="1" ht="9" customHeight="1" x14ac:dyDescent="0.3">
      <c r="A7765" s="91"/>
      <c r="B7765" s="70"/>
      <c r="C7765" s="70"/>
      <c r="D7765" s="70"/>
      <c r="E7765" s="70"/>
      <c r="F7765" s="70"/>
      <c r="G7765" s="94"/>
      <c r="H7765" s="131"/>
      <c r="I7765" s="3"/>
    </row>
    <row r="7766" spans="1:9" s="93" customFormat="1" ht="9" customHeight="1" x14ac:dyDescent="0.3">
      <c r="A7766" s="91"/>
      <c r="B7766" s="70"/>
      <c r="C7766" s="70"/>
      <c r="D7766" s="70"/>
      <c r="E7766" s="70"/>
      <c r="F7766" s="70"/>
      <c r="G7766" s="94"/>
      <c r="H7766" s="131"/>
      <c r="I7766" s="3"/>
    </row>
    <row r="7767" spans="1:9" s="93" customFormat="1" ht="9" customHeight="1" x14ac:dyDescent="0.3">
      <c r="A7767" s="91"/>
      <c r="B7767" s="70"/>
      <c r="C7767" s="70"/>
      <c r="D7767" s="70"/>
      <c r="E7767" s="70"/>
      <c r="F7767" s="70"/>
      <c r="G7767" s="94"/>
      <c r="H7767" s="131"/>
      <c r="I7767" s="3"/>
    </row>
    <row r="7768" spans="1:9" s="93" customFormat="1" ht="9" customHeight="1" x14ac:dyDescent="0.3">
      <c r="A7768" s="91"/>
      <c r="B7768" s="70"/>
      <c r="C7768" s="70"/>
      <c r="D7768" s="70"/>
      <c r="E7768" s="70"/>
      <c r="F7768" s="70"/>
      <c r="G7768" s="94"/>
      <c r="H7768" s="131"/>
      <c r="I7768" s="3"/>
    </row>
    <row r="7769" spans="1:9" s="93" customFormat="1" ht="9" customHeight="1" x14ac:dyDescent="0.3">
      <c r="A7769" s="91"/>
      <c r="B7769" s="70"/>
      <c r="C7769" s="70"/>
      <c r="D7769" s="70"/>
      <c r="E7769" s="70"/>
      <c r="F7769" s="70"/>
      <c r="G7769" s="94"/>
      <c r="H7769" s="131"/>
      <c r="I7769" s="3"/>
    </row>
    <row r="7770" spans="1:9" s="93" customFormat="1" ht="9" customHeight="1" x14ac:dyDescent="0.3">
      <c r="A7770" s="91"/>
      <c r="B7770" s="70"/>
      <c r="C7770" s="70"/>
      <c r="D7770" s="70"/>
      <c r="E7770" s="70"/>
      <c r="F7770" s="70"/>
      <c r="G7770" s="94"/>
      <c r="H7770" s="131"/>
      <c r="I7770" s="3"/>
    </row>
    <row r="7771" spans="1:9" s="93" customFormat="1" ht="9" customHeight="1" x14ac:dyDescent="0.3">
      <c r="A7771" s="91"/>
      <c r="B7771" s="70"/>
      <c r="C7771" s="70"/>
      <c r="D7771" s="70"/>
      <c r="E7771" s="70"/>
      <c r="F7771" s="70"/>
      <c r="G7771" s="94"/>
      <c r="H7771" s="131"/>
      <c r="I7771" s="3"/>
    </row>
    <row r="7772" spans="1:9" s="93" customFormat="1" ht="9" customHeight="1" x14ac:dyDescent="0.3">
      <c r="A7772" s="91"/>
      <c r="B7772" s="70"/>
      <c r="C7772" s="70"/>
      <c r="D7772" s="70"/>
      <c r="E7772" s="70"/>
      <c r="F7772" s="70"/>
      <c r="G7772" s="94"/>
      <c r="H7772" s="131"/>
      <c r="I7772" s="3"/>
    </row>
    <row r="7773" spans="1:9" s="93" customFormat="1" ht="9" customHeight="1" x14ac:dyDescent="0.3">
      <c r="A7773" s="91"/>
      <c r="B7773" s="70"/>
      <c r="C7773" s="70"/>
      <c r="D7773" s="70"/>
      <c r="E7773" s="70"/>
      <c r="F7773" s="70"/>
      <c r="G7773" s="94"/>
      <c r="H7773" s="131"/>
      <c r="I7773" s="3"/>
    </row>
    <row r="7774" spans="1:9" s="93" customFormat="1" ht="9" customHeight="1" x14ac:dyDescent="0.3">
      <c r="A7774" s="91"/>
      <c r="B7774" s="70"/>
      <c r="C7774" s="70"/>
      <c r="D7774" s="70"/>
      <c r="E7774" s="70"/>
      <c r="F7774" s="70"/>
      <c r="G7774" s="94"/>
      <c r="H7774" s="131"/>
      <c r="I7774" s="3"/>
    </row>
    <row r="7775" spans="1:9" s="93" customFormat="1" ht="9" customHeight="1" x14ac:dyDescent="0.3">
      <c r="A7775" s="91"/>
      <c r="B7775" s="70"/>
      <c r="C7775" s="70"/>
      <c r="D7775" s="70"/>
      <c r="E7775" s="70"/>
      <c r="F7775" s="70"/>
      <c r="G7775" s="94"/>
      <c r="H7775" s="131"/>
      <c r="I7775" s="3"/>
    </row>
    <row r="7776" spans="1:9" s="93" customFormat="1" ht="9" customHeight="1" x14ac:dyDescent="0.3">
      <c r="A7776" s="91"/>
      <c r="B7776" s="70"/>
      <c r="C7776" s="70"/>
      <c r="D7776" s="70"/>
      <c r="E7776" s="70"/>
      <c r="F7776" s="70"/>
      <c r="G7776" s="94"/>
      <c r="H7776" s="131"/>
      <c r="I7776" s="3"/>
    </row>
    <row r="7777" spans="1:9" s="93" customFormat="1" ht="9" customHeight="1" x14ac:dyDescent="0.3">
      <c r="A7777" s="91"/>
      <c r="B7777" s="70"/>
      <c r="C7777" s="70"/>
      <c r="D7777" s="70"/>
      <c r="E7777" s="70"/>
      <c r="F7777" s="70"/>
      <c r="G7777" s="94"/>
      <c r="H7777" s="131"/>
      <c r="I7777" s="3"/>
    </row>
    <row r="7778" spans="1:9" s="93" customFormat="1" ht="9" customHeight="1" x14ac:dyDescent="0.3">
      <c r="A7778" s="91"/>
      <c r="B7778" s="70"/>
      <c r="C7778" s="70"/>
      <c r="D7778" s="70"/>
      <c r="E7778" s="70"/>
      <c r="F7778" s="70"/>
      <c r="G7778" s="94"/>
      <c r="H7778" s="131"/>
      <c r="I7778" s="3"/>
    </row>
    <row r="7779" spans="1:9" s="93" customFormat="1" ht="9" customHeight="1" x14ac:dyDescent="0.3">
      <c r="A7779" s="91"/>
      <c r="B7779" s="70"/>
      <c r="C7779" s="70"/>
      <c r="D7779" s="70"/>
      <c r="E7779" s="70"/>
      <c r="F7779" s="70"/>
      <c r="G7779" s="94"/>
      <c r="H7779" s="131"/>
      <c r="I7779" s="3"/>
    </row>
    <row r="7780" spans="1:9" s="93" customFormat="1" ht="9" customHeight="1" x14ac:dyDescent="0.3">
      <c r="A7780" s="91"/>
      <c r="B7780" s="70"/>
      <c r="C7780" s="70"/>
      <c r="D7780" s="70"/>
      <c r="E7780" s="70"/>
      <c r="F7780" s="70"/>
      <c r="G7780" s="94"/>
      <c r="H7780" s="131"/>
      <c r="I7780" s="3"/>
    </row>
    <row r="7781" spans="1:9" s="93" customFormat="1" ht="9" customHeight="1" x14ac:dyDescent="0.3">
      <c r="A7781" s="91"/>
      <c r="B7781" s="70"/>
      <c r="C7781" s="70"/>
      <c r="D7781" s="70"/>
      <c r="E7781" s="70"/>
      <c r="F7781" s="70"/>
      <c r="G7781" s="94"/>
      <c r="H7781" s="131"/>
      <c r="I7781" s="3"/>
    </row>
    <row r="7782" spans="1:9" s="93" customFormat="1" ht="9" customHeight="1" x14ac:dyDescent="0.3">
      <c r="A7782" s="91"/>
      <c r="B7782" s="70"/>
      <c r="C7782" s="70"/>
      <c r="D7782" s="70"/>
      <c r="E7782" s="70"/>
      <c r="F7782" s="70"/>
      <c r="G7782" s="94"/>
      <c r="H7782" s="131"/>
      <c r="I7782" s="3"/>
    </row>
    <row r="7783" spans="1:9" s="93" customFormat="1" ht="9" customHeight="1" x14ac:dyDescent="0.3">
      <c r="A7783" s="91"/>
      <c r="B7783" s="70"/>
      <c r="C7783" s="70"/>
      <c r="D7783" s="70"/>
      <c r="E7783" s="70"/>
      <c r="F7783" s="70"/>
      <c r="G7783" s="94"/>
      <c r="H7783" s="131"/>
      <c r="I7783" s="3"/>
    </row>
    <row r="7784" spans="1:9" s="93" customFormat="1" ht="9" customHeight="1" x14ac:dyDescent="0.3">
      <c r="A7784" s="91"/>
      <c r="B7784" s="70"/>
      <c r="C7784" s="70"/>
      <c r="D7784" s="70"/>
      <c r="E7784" s="70"/>
      <c r="F7784" s="70"/>
      <c r="G7784" s="94"/>
      <c r="H7784" s="131"/>
      <c r="I7784" s="3"/>
    </row>
    <row r="7785" spans="1:9" s="93" customFormat="1" ht="9" customHeight="1" x14ac:dyDescent="0.3">
      <c r="A7785" s="91"/>
      <c r="B7785" s="70"/>
      <c r="C7785" s="70"/>
      <c r="D7785" s="70"/>
      <c r="E7785" s="70"/>
      <c r="F7785" s="70"/>
      <c r="G7785" s="94"/>
      <c r="H7785" s="131"/>
      <c r="I7785" s="3"/>
    </row>
    <row r="7786" spans="1:9" s="93" customFormat="1" ht="9" customHeight="1" x14ac:dyDescent="0.3">
      <c r="A7786" s="91"/>
      <c r="B7786" s="70"/>
      <c r="C7786" s="70"/>
      <c r="D7786" s="70"/>
      <c r="E7786" s="70"/>
      <c r="F7786" s="70"/>
      <c r="G7786" s="94"/>
      <c r="H7786" s="131"/>
      <c r="I7786" s="3"/>
    </row>
    <row r="7787" spans="1:9" s="93" customFormat="1" ht="9" customHeight="1" x14ac:dyDescent="0.3">
      <c r="A7787" s="91"/>
      <c r="B7787" s="70"/>
      <c r="C7787" s="70"/>
      <c r="D7787" s="70"/>
      <c r="E7787" s="70"/>
      <c r="F7787" s="70"/>
      <c r="G7787" s="94"/>
      <c r="H7787" s="131"/>
      <c r="I7787" s="3"/>
    </row>
    <row r="7788" spans="1:9" s="93" customFormat="1" ht="9" customHeight="1" x14ac:dyDescent="0.3">
      <c r="A7788" s="91"/>
      <c r="B7788" s="70"/>
      <c r="C7788" s="70"/>
      <c r="D7788" s="70"/>
      <c r="E7788" s="70"/>
      <c r="F7788" s="70"/>
      <c r="G7788" s="94"/>
      <c r="H7788" s="131"/>
      <c r="I7788" s="3"/>
    </row>
    <row r="7789" spans="1:9" s="93" customFormat="1" ht="9" customHeight="1" x14ac:dyDescent="0.3">
      <c r="A7789" s="91"/>
      <c r="B7789" s="70"/>
      <c r="C7789" s="70"/>
      <c r="D7789" s="70"/>
      <c r="E7789" s="70"/>
      <c r="F7789" s="70"/>
      <c r="G7789" s="94"/>
      <c r="H7789" s="131"/>
      <c r="I7789" s="3"/>
    </row>
    <row r="7790" spans="1:9" s="93" customFormat="1" ht="9" customHeight="1" x14ac:dyDescent="0.3">
      <c r="A7790" s="91"/>
      <c r="B7790" s="70"/>
      <c r="C7790" s="70"/>
      <c r="D7790" s="70"/>
      <c r="E7790" s="70"/>
      <c r="F7790" s="70"/>
      <c r="G7790" s="94"/>
      <c r="H7790" s="131"/>
      <c r="I7790" s="3"/>
    </row>
    <row r="7791" spans="1:9" s="93" customFormat="1" ht="9" customHeight="1" x14ac:dyDescent="0.3">
      <c r="A7791" s="91"/>
      <c r="B7791" s="70"/>
      <c r="C7791" s="70"/>
      <c r="D7791" s="70"/>
      <c r="E7791" s="70"/>
      <c r="F7791" s="70"/>
      <c r="G7791" s="94"/>
      <c r="H7791" s="131"/>
      <c r="I7791" s="3"/>
    </row>
    <row r="7792" spans="1:9" s="93" customFormat="1" ht="9" customHeight="1" x14ac:dyDescent="0.3">
      <c r="A7792" s="91"/>
      <c r="B7792" s="70"/>
      <c r="C7792" s="70"/>
      <c r="D7792" s="70"/>
      <c r="E7792" s="70"/>
      <c r="F7792" s="70"/>
      <c r="G7792" s="94"/>
      <c r="H7792" s="131"/>
      <c r="I7792" s="3"/>
    </row>
    <row r="7793" spans="1:9" s="93" customFormat="1" ht="9" customHeight="1" x14ac:dyDescent="0.3">
      <c r="A7793" s="91"/>
      <c r="B7793" s="70"/>
      <c r="C7793" s="70"/>
      <c r="D7793" s="70"/>
      <c r="E7793" s="70"/>
      <c r="F7793" s="70"/>
      <c r="G7793" s="94"/>
      <c r="H7793" s="131"/>
      <c r="I7793" s="3"/>
    </row>
    <row r="7794" spans="1:9" s="93" customFormat="1" ht="9" customHeight="1" x14ac:dyDescent="0.3">
      <c r="A7794" s="91"/>
      <c r="B7794" s="70"/>
      <c r="C7794" s="70"/>
      <c r="D7794" s="70"/>
      <c r="E7794" s="70"/>
      <c r="F7794" s="70"/>
      <c r="G7794" s="94"/>
      <c r="H7794" s="131"/>
      <c r="I7794" s="3"/>
    </row>
    <row r="7795" spans="1:9" s="93" customFormat="1" ht="9" customHeight="1" x14ac:dyDescent="0.3">
      <c r="A7795" s="91"/>
      <c r="B7795" s="70"/>
      <c r="C7795" s="70"/>
      <c r="D7795" s="70"/>
      <c r="E7795" s="70"/>
      <c r="F7795" s="70"/>
      <c r="G7795" s="94"/>
      <c r="H7795" s="131"/>
      <c r="I7795" s="3"/>
    </row>
    <row r="7796" spans="1:9" s="93" customFormat="1" ht="9" customHeight="1" x14ac:dyDescent="0.3">
      <c r="A7796" s="91"/>
      <c r="B7796" s="70"/>
      <c r="C7796" s="70"/>
      <c r="D7796" s="70"/>
      <c r="E7796" s="70"/>
      <c r="F7796" s="70"/>
      <c r="G7796" s="94"/>
      <c r="H7796" s="131"/>
      <c r="I7796" s="3"/>
    </row>
    <row r="7797" spans="1:9" s="93" customFormat="1" ht="9" customHeight="1" x14ac:dyDescent="0.3">
      <c r="A7797" s="91"/>
      <c r="B7797" s="70"/>
      <c r="C7797" s="70"/>
      <c r="D7797" s="70"/>
      <c r="E7797" s="70"/>
      <c r="F7797" s="70"/>
      <c r="G7797" s="94"/>
      <c r="H7797" s="131"/>
      <c r="I7797" s="3"/>
    </row>
    <row r="7798" spans="1:9" s="93" customFormat="1" ht="9" customHeight="1" x14ac:dyDescent="0.3">
      <c r="A7798" s="91"/>
      <c r="B7798" s="70"/>
      <c r="C7798" s="70"/>
      <c r="D7798" s="70"/>
      <c r="E7798" s="70"/>
      <c r="F7798" s="70"/>
      <c r="G7798" s="94"/>
      <c r="H7798" s="131"/>
      <c r="I7798" s="3"/>
    </row>
    <row r="7799" spans="1:9" s="93" customFormat="1" ht="9" customHeight="1" x14ac:dyDescent="0.3">
      <c r="A7799" s="91"/>
      <c r="B7799" s="70"/>
      <c r="C7799" s="70"/>
      <c r="D7799" s="70"/>
      <c r="E7799" s="70"/>
      <c r="F7799" s="70"/>
      <c r="G7799" s="94"/>
      <c r="H7799" s="131"/>
      <c r="I7799" s="3"/>
    </row>
    <row r="7800" spans="1:9" s="93" customFormat="1" ht="9" customHeight="1" x14ac:dyDescent="0.3">
      <c r="A7800" s="91"/>
      <c r="B7800" s="70"/>
      <c r="C7800" s="70"/>
      <c r="D7800" s="70"/>
      <c r="E7800" s="70"/>
      <c r="F7800" s="70"/>
      <c r="G7800" s="94"/>
      <c r="H7800" s="131"/>
      <c r="I7800" s="3"/>
    </row>
    <row r="7801" spans="1:9" s="93" customFormat="1" ht="9" customHeight="1" x14ac:dyDescent="0.3">
      <c r="A7801" s="91"/>
      <c r="B7801" s="70"/>
      <c r="C7801" s="70"/>
      <c r="D7801" s="70"/>
      <c r="E7801" s="70"/>
      <c r="F7801" s="70"/>
      <c r="G7801" s="94"/>
      <c r="H7801" s="131"/>
      <c r="I7801" s="3"/>
    </row>
    <row r="7802" spans="1:9" s="93" customFormat="1" ht="9" customHeight="1" x14ac:dyDescent="0.3">
      <c r="A7802" s="91"/>
      <c r="B7802" s="70"/>
      <c r="C7802" s="70"/>
      <c r="D7802" s="70"/>
      <c r="E7802" s="70"/>
      <c r="F7802" s="70"/>
      <c r="G7802" s="94"/>
      <c r="H7802" s="131"/>
      <c r="I7802" s="3"/>
    </row>
    <row r="7803" spans="1:9" s="93" customFormat="1" ht="9" customHeight="1" x14ac:dyDescent="0.3">
      <c r="A7803" s="91"/>
      <c r="B7803" s="70"/>
      <c r="C7803" s="70"/>
      <c r="D7803" s="70"/>
      <c r="E7803" s="70"/>
      <c r="F7803" s="70"/>
      <c r="G7803" s="94"/>
      <c r="H7803" s="131"/>
      <c r="I7803" s="3"/>
    </row>
    <row r="7804" spans="1:9" s="93" customFormat="1" ht="9" customHeight="1" x14ac:dyDescent="0.3">
      <c r="A7804" s="91"/>
      <c r="B7804" s="70"/>
      <c r="C7804" s="70"/>
      <c r="D7804" s="70"/>
      <c r="E7804" s="70"/>
      <c r="F7804" s="70"/>
      <c r="G7804" s="94"/>
      <c r="H7804" s="131"/>
      <c r="I7804" s="3"/>
    </row>
    <row r="7805" spans="1:9" s="93" customFormat="1" ht="9" customHeight="1" x14ac:dyDescent="0.3">
      <c r="A7805" s="91"/>
      <c r="B7805" s="70"/>
      <c r="C7805" s="70"/>
      <c r="D7805" s="70"/>
      <c r="E7805" s="70"/>
      <c r="F7805" s="70"/>
      <c r="G7805" s="94"/>
      <c r="H7805" s="131"/>
      <c r="I7805" s="3"/>
    </row>
    <row r="7806" spans="1:9" s="93" customFormat="1" ht="9" customHeight="1" x14ac:dyDescent="0.3">
      <c r="A7806" s="91"/>
      <c r="B7806" s="70"/>
      <c r="C7806" s="70"/>
      <c r="D7806" s="70"/>
      <c r="E7806" s="70"/>
      <c r="F7806" s="70"/>
      <c r="G7806" s="94"/>
      <c r="H7806" s="131"/>
      <c r="I7806" s="3"/>
    </row>
    <row r="7807" spans="1:9" s="93" customFormat="1" ht="9" customHeight="1" x14ac:dyDescent="0.3">
      <c r="A7807" s="91"/>
      <c r="B7807" s="70"/>
      <c r="C7807" s="70"/>
      <c r="D7807" s="70"/>
      <c r="E7807" s="70"/>
      <c r="F7807" s="70"/>
      <c r="G7807" s="94"/>
      <c r="H7807" s="131"/>
      <c r="I7807" s="3"/>
    </row>
    <row r="7808" spans="1:9" s="93" customFormat="1" ht="9" customHeight="1" x14ac:dyDescent="0.3">
      <c r="A7808" s="91"/>
      <c r="B7808" s="70"/>
      <c r="C7808" s="70"/>
      <c r="D7808" s="70"/>
      <c r="E7808" s="70"/>
      <c r="F7808" s="70"/>
      <c r="G7808" s="94"/>
      <c r="H7808" s="131"/>
      <c r="I7808" s="3"/>
    </row>
    <row r="7809" spans="1:9" s="93" customFormat="1" ht="9" customHeight="1" x14ac:dyDescent="0.3">
      <c r="A7809" s="91"/>
      <c r="B7809" s="70"/>
      <c r="C7809" s="70"/>
      <c r="D7809" s="70"/>
      <c r="E7809" s="70"/>
      <c r="F7809" s="70"/>
      <c r="G7809" s="94"/>
      <c r="H7809" s="131"/>
      <c r="I7809" s="3"/>
    </row>
    <row r="7810" spans="1:9" s="93" customFormat="1" ht="9" customHeight="1" x14ac:dyDescent="0.3">
      <c r="A7810" s="91"/>
      <c r="B7810" s="70"/>
      <c r="C7810" s="70"/>
      <c r="D7810" s="70"/>
      <c r="E7810" s="70"/>
      <c r="F7810" s="70"/>
      <c r="G7810" s="94"/>
      <c r="H7810" s="131"/>
      <c r="I7810" s="3"/>
    </row>
    <row r="7811" spans="1:9" s="93" customFormat="1" ht="9" customHeight="1" x14ac:dyDescent="0.3">
      <c r="A7811" s="91"/>
      <c r="B7811" s="70"/>
      <c r="C7811" s="70"/>
      <c r="D7811" s="70"/>
      <c r="E7811" s="70"/>
      <c r="F7811" s="70"/>
      <c r="G7811" s="94"/>
      <c r="H7811" s="131"/>
      <c r="I7811" s="3"/>
    </row>
    <row r="7812" spans="1:9" s="93" customFormat="1" ht="9" customHeight="1" x14ac:dyDescent="0.3">
      <c r="A7812" s="91"/>
      <c r="B7812" s="70"/>
      <c r="C7812" s="70"/>
      <c r="D7812" s="70"/>
      <c r="E7812" s="70"/>
      <c r="F7812" s="70"/>
      <c r="G7812" s="94"/>
      <c r="H7812" s="131"/>
      <c r="I7812" s="3"/>
    </row>
    <row r="7813" spans="1:9" s="93" customFormat="1" ht="9" customHeight="1" x14ac:dyDescent="0.3">
      <c r="A7813" s="91"/>
      <c r="B7813" s="70"/>
      <c r="C7813" s="70"/>
      <c r="D7813" s="70"/>
      <c r="E7813" s="70"/>
      <c r="F7813" s="70"/>
      <c r="G7813" s="94"/>
      <c r="H7813" s="131"/>
      <c r="I7813" s="3"/>
    </row>
    <row r="7814" spans="1:9" s="93" customFormat="1" ht="9" customHeight="1" x14ac:dyDescent="0.3">
      <c r="A7814" s="91"/>
      <c r="B7814" s="70"/>
      <c r="C7814" s="70"/>
      <c r="D7814" s="70"/>
      <c r="E7814" s="70"/>
      <c r="F7814" s="70"/>
      <c r="G7814" s="94"/>
      <c r="H7814" s="131"/>
      <c r="I7814" s="3"/>
    </row>
    <row r="7815" spans="1:9" s="93" customFormat="1" ht="9" customHeight="1" x14ac:dyDescent="0.3">
      <c r="A7815" s="91"/>
      <c r="B7815" s="70"/>
      <c r="C7815" s="70"/>
      <c r="D7815" s="70"/>
      <c r="E7815" s="70"/>
      <c r="F7815" s="70"/>
      <c r="G7815" s="94"/>
      <c r="H7815" s="131"/>
      <c r="I7815" s="3"/>
    </row>
    <row r="7816" spans="1:9" s="93" customFormat="1" ht="9" customHeight="1" x14ac:dyDescent="0.3">
      <c r="A7816" s="91"/>
      <c r="B7816" s="70"/>
      <c r="C7816" s="70"/>
      <c r="D7816" s="70"/>
      <c r="E7816" s="70"/>
      <c r="F7816" s="70"/>
      <c r="G7816" s="94"/>
      <c r="H7816" s="131"/>
      <c r="I7816" s="3"/>
    </row>
    <row r="7817" spans="1:9" s="93" customFormat="1" ht="9" customHeight="1" x14ac:dyDescent="0.3">
      <c r="A7817" s="91"/>
      <c r="B7817" s="70"/>
      <c r="C7817" s="70"/>
      <c r="D7817" s="70"/>
      <c r="E7817" s="70"/>
      <c r="F7817" s="70"/>
      <c r="G7817" s="94"/>
      <c r="H7817" s="131"/>
      <c r="I7817" s="3"/>
    </row>
    <row r="7818" spans="1:9" s="93" customFormat="1" ht="9" customHeight="1" x14ac:dyDescent="0.3">
      <c r="A7818" s="91"/>
      <c r="B7818" s="70"/>
      <c r="C7818" s="70"/>
      <c r="D7818" s="70"/>
      <c r="E7818" s="70"/>
      <c r="F7818" s="70"/>
      <c r="G7818" s="94"/>
      <c r="H7818" s="131"/>
      <c r="I7818" s="3"/>
    </row>
    <row r="7819" spans="1:9" s="93" customFormat="1" ht="9" customHeight="1" x14ac:dyDescent="0.3">
      <c r="A7819" s="91"/>
      <c r="B7819" s="70"/>
      <c r="C7819" s="70"/>
      <c r="D7819" s="70"/>
      <c r="E7819" s="70"/>
      <c r="F7819" s="70"/>
      <c r="G7819" s="94"/>
      <c r="H7819" s="131"/>
      <c r="I7819" s="3"/>
    </row>
    <row r="7820" spans="1:9" s="93" customFormat="1" ht="9" customHeight="1" x14ac:dyDescent="0.3">
      <c r="A7820" s="91"/>
      <c r="B7820" s="70"/>
      <c r="C7820" s="70"/>
      <c r="D7820" s="70"/>
      <c r="E7820" s="70"/>
      <c r="F7820" s="70"/>
      <c r="G7820" s="94"/>
      <c r="H7820" s="131"/>
      <c r="I7820" s="3"/>
    </row>
    <row r="7821" spans="1:9" s="93" customFormat="1" ht="9" customHeight="1" x14ac:dyDescent="0.3">
      <c r="A7821" s="91"/>
      <c r="B7821" s="70"/>
      <c r="C7821" s="70"/>
      <c r="D7821" s="70"/>
      <c r="E7821" s="70"/>
      <c r="F7821" s="70"/>
      <c r="G7821" s="94"/>
      <c r="H7821" s="131"/>
      <c r="I7821" s="3"/>
    </row>
    <row r="7822" spans="1:9" s="93" customFormat="1" ht="9" customHeight="1" x14ac:dyDescent="0.3">
      <c r="A7822" s="91"/>
      <c r="B7822" s="70"/>
      <c r="C7822" s="70"/>
      <c r="D7822" s="70"/>
      <c r="E7822" s="70"/>
      <c r="F7822" s="70"/>
      <c r="G7822" s="94"/>
      <c r="H7822" s="131"/>
      <c r="I7822" s="3"/>
    </row>
    <row r="7823" spans="1:9" s="93" customFormat="1" ht="9" customHeight="1" x14ac:dyDescent="0.3">
      <c r="A7823" s="91"/>
      <c r="B7823" s="70"/>
      <c r="C7823" s="70"/>
      <c r="D7823" s="70"/>
      <c r="E7823" s="70"/>
      <c r="F7823" s="70"/>
      <c r="G7823" s="94"/>
      <c r="H7823" s="131"/>
      <c r="I7823" s="3"/>
    </row>
    <row r="7824" spans="1:9" s="93" customFormat="1" ht="9" customHeight="1" x14ac:dyDescent="0.3">
      <c r="A7824" s="91"/>
      <c r="B7824" s="70"/>
      <c r="C7824" s="70"/>
      <c r="D7824" s="70"/>
      <c r="E7824" s="70"/>
      <c r="F7824" s="70"/>
      <c r="G7824" s="94"/>
      <c r="H7824" s="131"/>
      <c r="I7824" s="3"/>
    </row>
    <row r="7825" spans="1:9" s="93" customFormat="1" ht="9" customHeight="1" x14ac:dyDescent="0.3">
      <c r="A7825" s="91"/>
      <c r="B7825" s="70"/>
      <c r="C7825" s="70"/>
      <c r="D7825" s="70"/>
      <c r="E7825" s="70"/>
      <c r="F7825" s="70"/>
      <c r="G7825" s="94"/>
      <c r="H7825" s="131"/>
      <c r="I7825" s="3"/>
    </row>
    <row r="7826" spans="1:9" s="93" customFormat="1" ht="9" customHeight="1" x14ac:dyDescent="0.3">
      <c r="A7826" s="91"/>
      <c r="B7826" s="70"/>
      <c r="C7826" s="70"/>
      <c r="D7826" s="70"/>
      <c r="E7826" s="70"/>
      <c r="F7826" s="70"/>
      <c r="G7826" s="94"/>
      <c r="H7826" s="131"/>
      <c r="I7826" s="3"/>
    </row>
    <row r="7827" spans="1:9" s="93" customFormat="1" ht="9" customHeight="1" x14ac:dyDescent="0.3">
      <c r="A7827" s="91"/>
      <c r="B7827" s="70"/>
      <c r="C7827" s="70"/>
      <c r="D7827" s="70"/>
      <c r="E7827" s="70"/>
      <c r="F7827" s="70"/>
      <c r="G7827" s="94"/>
      <c r="H7827" s="131"/>
      <c r="I7827" s="3"/>
    </row>
    <row r="7828" spans="1:9" s="93" customFormat="1" ht="9" customHeight="1" x14ac:dyDescent="0.3">
      <c r="A7828" s="91"/>
      <c r="B7828" s="70"/>
      <c r="C7828" s="70"/>
      <c r="D7828" s="70"/>
      <c r="E7828" s="70"/>
      <c r="F7828" s="70"/>
      <c r="G7828" s="94"/>
      <c r="H7828" s="131"/>
      <c r="I7828" s="3"/>
    </row>
    <row r="7829" spans="1:9" s="93" customFormat="1" ht="9" customHeight="1" x14ac:dyDescent="0.3">
      <c r="A7829" s="91"/>
      <c r="B7829" s="70"/>
      <c r="C7829" s="70"/>
      <c r="D7829" s="70"/>
      <c r="E7829" s="70"/>
      <c r="F7829" s="70"/>
      <c r="G7829" s="94"/>
      <c r="H7829" s="131"/>
      <c r="I7829" s="3"/>
    </row>
    <row r="7830" spans="1:9" s="93" customFormat="1" ht="9" customHeight="1" x14ac:dyDescent="0.3">
      <c r="A7830" s="91"/>
      <c r="B7830" s="70"/>
      <c r="C7830" s="70"/>
      <c r="D7830" s="70"/>
      <c r="E7830" s="70"/>
      <c r="F7830" s="70"/>
      <c r="G7830" s="94"/>
      <c r="H7830" s="131"/>
      <c r="I7830" s="3"/>
    </row>
    <row r="7831" spans="1:9" s="93" customFormat="1" ht="9" customHeight="1" x14ac:dyDescent="0.3">
      <c r="A7831" s="91"/>
      <c r="B7831" s="70"/>
      <c r="C7831" s="70"/>
      <c r="D7831" s="70"/>
      <c r="E7831" s="70"/>
      <c r="F7831" s="70"/>
      <c r="G7831" s="94"/>
      <c r="H7831" s="131"/>
      <c r="I7831" s="3"/>
    </row>
    <row r="7832" spans="1:9" s="93" customFormat="1" ht="9" customHeight="1" x14ac:dyDescent="0.3">
      <c r="A7832" s="91"/>
      <c r="B7832" s="70"/>
      <c r="C7832" s="70"/>
      <c r="D7832" s="70"/>
      <c r="E7832" s="70"/>
      <c r="F7832" s="70"/>
      <c r="G7832" s="94"/>
      <c r="H7832" s="131"/>
      <c r="I7832" s="3"/>
    </row>
    <row r="7833" spans="1:9" s="93" customFormat="1" ht="9" customHeight="1" x14ac:dyDescent="0.3">
      <c r="A7833" s="91"/>
      <c r="B7833" s="70"/>
      <c r="C7833" s="70"/>
      <c r="D7833" s="70"/>
      <c r="E7833" s="70"/>
      <c r="F7833" s="70"/>
      <c r="G7833" s="94"/>
      <c r="H7833" s="131"/>
      <c r="I7833" s="3"/>
    </row>
    <row r="7834" spans="1:9" s="93" customFormat="1" ht="9" customHeight="1" x14ac:dyDescent="0.3">
      <c r="A7834" s="91"/>
      <c r="B7834" s="70"/>
      <c r="C7834" s="70"/>
      <c r="D7834" s="70"/>
      <c r="E7834" s="70"/>
      <c r="F7834" s="70"/>
      <c r="G7834" s="94"/>
      <c r="H7834" s="131"/>
      <c r="I7834" s="3"/>
    </row>
    <row r="7835" spans="1:9" s="93" customFormat="1" ht="9" customHeight="1" x14ac:dyDescent="0.3">
      <c r="A7835" s="91"/>
      <c r="B7835" s="70"/>
      <c r="C7835" s="70"/>
      <c r="D7835" s="70"/>
      <c r="E7835" s="70"/>
      <c r="F7835" s="70"/>
      <c r="G7835" s="94"/>
      <c r="H7835" s="131"/>
      <c r="I7835" s="3"/>
    </row>
    <row r="7836" spans="1:9" s="93" customFormat="1" ht="9" customHeight="1" x14ac:dyDescent="0.3">
      <c r="A7836" s="91"/>
      <c r="B7836" s="70"/>
      <c r="C7836" s="70"/>
      <c r="D7836" s="70"/>
      <c r="E7836" s="70"/>
      <c r="F7836" s="70"/>
      <c r="G7836" s="94"/>
      <c r="H7836" s="131"/>
      <c r="I7836" s="3"/>
    </row>
    <row r="7837" spans="1:9" s="93" customFormat="1" ht="9" customHeight="1" x14ac:dyDescent="0.3">
      <c r="A7837" s="91"/>
      <c r="B7837" s="70"/>
      <c r="C7837" s="70"/>
      <c r="D7837" s="70"/>
      <c r="E7837" s="70"/>
      <c r="F7837" s="70"/>
      <c r="G7837" s="94"/>
      <c r="H7837" s="131"/>
      <c r="I7837" s="3"/>
    </row>
    <row r="7838" spans="1:9" s="93" customFormat="1" ht="9" customHeight="1" x14ac:dyDescent="0.3">
      <c r="A7838" s="91"/>
      <c r="B7838" s="70"/>
      <c r="C7838" s="70"/>
      <c r="D7838" s="70"/>
      <c r="E7838" s="70"/>
      <c r="F7838" s="70"/>
      <c r="G7838" s="94"/>
      <c r="H7838" s="131"/>
      <c r="I7838" s="3"/>
    </row>
    <row r="7839" spans="1:9" s="93" customFormat="1" ht="9" customHeight="1" x14ac:dyDescent="0.3">
      <c r="A7839" s="91"/>
      <c r="B7839" s="70"/>
      <c r="C7839" s="70"/>
      <c r="D7839" s="70"/>
      <c r="E7839" s="70"/>
      <c r="F7839" s="70"/>
      <c r="G7839" s="94"/>
      <c r="H7839" s="131"/>
      <c r="I7839" s="3"/>
    </row>
    <row r="7840" spans="1:9" s="93" customFormat="1" ht="9" customHeight="1" x14ac:dyDescent="0.3">
      <c r="A7840" s="91"/>
      <c r="B7840" s="70"/>
      <c r="C7840" s="70"/>
      <c r="D7840" s="70"/>
      <c r="E7840" s="70"/>
      <c r="F7840" s="70"/>
      <c r="G7840" s="94"/>
      <c r="H7840" s="131"/>
      <c r="I7840" s="3"/>
    </row>
    <row r="7841" spans="1:9" s="93" customFormat="1" ht="9" customHeight="1" x14ac:dyDescent="0.3">
      <c r="A7841" s="91"/>
      <c r="B7841" s="70"/>
      <c r="C7841" s="70"/>
      <c r="D7841" s="70"/>
      <c r="E7841" s="70"/>
      <c r="F7841" s="70"/>
      <c r="G7841" s="94"/>
      <c r="H7841" s="131"/>
      <c r="I7841" s="3"/>
    </row>
    <row r="7842" spans="1:9" s="93" customFormat="1" ht="9" customHeight="1" x14ac:dyDescent="0.3">
      <c r="A7842" s="91"/>
      <c r="B7842" s="70"/>
      <c r="C7842" s="70"/>
      <c r="D7842" s="70"/>
      <c r="E7842" s="70"/>
      <c r="F7842" s="70"/>
      <c r="G7842" s="94"/>
      <c r="H7842" s="131"/>
      <c r="I7842" s="3"/>
    </row>
    <row r="7843" spans="1:9" s="93" customFormat="1" ht="9" customHeight="1" x14ac:dyDescent="0.3">
      <c r="A7843" s="91"/>
      <c r="B7843" s="70"/>
      <c r="C7843" s="70"/>
      <c r="D7843" s="70"/>
      <c r="E7843" s="70"/>
      <c r="F7843" s="70"/>
      <c r="G7843" s="94"/>
      <c r="H7843" s="131"/>
      <c r="I7843" s="3"/>
    </row>
    <row r="7844" spans="1:9" s="93" customFormat="1" ht="9" customHeight="1" x14ac:dyDescent="0.3">
      <c r="A7844" s="91"/>
      <c r="B7844" s="70"/>
      <c r="C7844" s="70"/>
      <c r="D7844" s="70"/>
      <c r="E7844" s="70"/>
      <c r="F7844" s="70"/>
      <c r="G7844" s="94"/>
      <c r="H7844" s="131"/>
      <c r="I7844" s="3"/>
    </row>
    <row r="7845" spans="1:9" s="93" customFormat="1" ht="9" customHeight="1" x14ac:dyDescent="0.3">
      <c r="A7845" s="91"/>
      <c r="B7845" s="70"/>
      <c r="C7845" s="70"/>
      <c r="D7845" s="70"/>
      <c r="E7845" s="70"/>
      <c r="F7845" s="70"/>
      <c r="G7845" s="94"/>
      <c r="H7845" s="131"/>
      <c r="I7845" s="3"/>
    </row>
    <row r="7846" spans="1:9" s="93" customFormat="1" ht="9" customHeight="1" x14ac:dyDescent="0.3">
      <c r="A7846" s="91"/>
      <c r="B7846" s="70"/>
      <c r="C7846" s="70"/>
      <c r="D7846" s="70"/>
      <c r="E7846" s="70"/>
      <c r="F7846" s="70"/>
      <c r="G7846" s="94"/>
      <c r="H7846" s="131"/>
      <c r="I7846" s="3"/>
    </row>
    <row r="7847" spans="1:9" s="93" customFormat="1" ht="9" customHeight="1" x14ac:dyDescent="0.3">
      <c r="A7847" s="91"/>
      <c r="B7847" s="70"/>
      <c r="C7847" s="70"/>
      <c r="D7847" s="70"/>
      <c r="E7847" s="70"/>
      <c r="F7847" s="70"/>
      <c r="G7847" s="94"/>
      <c r="H7847" s="131"/>
      <c r="I7847" s="3"/>
    </row>
    <row r="7848" spans="1:9" s="93" customFormat="1" ht="9" customHeight="1" x14ac:dyDescent="0.3">
      <c r="A7848" s="91"/>
      <c r="B7848" s="70"/>
      <c r="C7848" s="70"/>
      <c r="D7848" s="70"/>
      <c r="E7848" s="70"/>
      <c r="F7848" s="70"/>
      <c r="G7848" s="94"/>
      <c r="H7848" s="131"/>
      <c r="I7848" s="3"/>
    </row>
    <row r="7849" spans="1:9" s="93" customFormat="1" ht="9" customHeight="1" x14ac:dyDescent="0.3">
      <c r="A7849" s="91"/>
      <c r="B7849" s="70"/>
      <c r="C7849" s="70"/>
      <c r="D7849" s="70"/>
      <c r="E7849" s="70"/>
      <c r="F7849" s="70"/>
      <c r="G7849" s="94"/>
      <c r="H7849" s="131"/>
      <c r="I7849" s="3"/>
    </row>
    <row r="7850" spans="1:9" s="93" customFormat="1" ht="9" customHeight="1" x14ac:dyDescent="0.3">
      <c r="A7850" s="91"/>
      <c r="B7850" s="70"/>
      <c r="C7850" s="70"/>
      <c r="D7850" s="70"/>
      <c r="E7850" s="70"/>
      <c r="F7850" s="70"/>
      <c r="G7850" s="94"/>
      <c r="H7850" s="131"/>
      <c r="I7850" s="3"/>
    </row>
    <row r="7851" spans="1:9" s="93" customFormat="1" ht="9" customHeight="1" x14ac:dyDescent="0.3">
      <c r="A7851" s="91"/>
      <c r="B7851" s="70"/>
      <c r="C7851" s="70"/>
      <c r="D7851" s="70"/>
      <c r="E7851" s="70"/>
      <c r="F7851" s="70"/>
      <c r="G7851" s="94"/>
      <c r="H7851" s="131"/>
      <c r="I7851" s="3"/>
    </row>
    <row r="7852" spans="1:9" s="93" customFormat="1" ht="9" customHeight="1" x14ac:dyDescent="0.3">
      <c r="A7852" s="91"/>
      <c r="B7852" s="70"/>
      <c r="C7852" s="70"/>
      <c r="D7852" s="70"/>
      <c r="E7852" s="70"/>
      <c r="F7852" s="70"/>
      <c r="G7852" s="94"/>
      <c r="H7852" s="131"/>
      <c r="I7852" s="3"/>
    </row>
    <row r="7853" spans="1:9" s="93" customFormat="1" ht="9" customHeight="1" x14ac:dyDescent="0.3">
      <c r="A7853" s="91"/>
      <c r="B7853" s="70"/>
      <c r="C7853" s="70"/>
      <c r="D7853" s="70"/>
      <c r="E7853" s="70"/>
      <c r="F7853" s="70"/>
      <c r="G7853" s="94"/>
      <c r="H7853" s="131"/>
      <c r="I7853" s="3"/>
    </row>
    <row r="7854" spans="1:9" s="93" customFormat="1" ht="9" customHeight="1" x14ac:dyDescent="0.3">
      <c r="A7854" s="91"/>
      <c r="B7854" s="70"/>
      <c r="C7854" s="70"/>
      <c r="D7854" s="70"/>
      <c r="E7854" s="70"/>
      <c r="F7854" s="70"/>
      <c r="G7854" s="94"/>
      <c r="H7854" s="131"/>
      <c r="I7854" s="3"/>
    </row>
    <row r="7855" spans="1:9" s="93" customFormat="1" ht="9" customHeight="1" x14ac:dyDescent="0.3">
      <c r="A7855" s="91"/>
      <c r="B7855" s="70"/>
      <c r="C7855" s="70"/>
      <c r="D7855" s="70"/>
      <c r="E7855" s="70"/>
      <c r="F7855" s="70"/>
      <c r="G7855" s="94"/>
      <c r="H7855" s="131"/>
      <c r="I7855" s="3"/>
    </row>
    <row r="7856" spans="1:9" s="93" customFormat="1" ht="9" customHeight="1" x14ac:dyDescent="0.3">
      <c r="A7856" s="91"/>
      <c r="B7856" s="70"/>
      <c r="C7856" s="70"/>
      <c r="D7856" s="70"/>
      <c r="E7856" s="70"/>
      <c r="F7856" s="70"/>
      <c r="G7856" s="94"/>
      <c r="H7856" s="131"/>
      <c r="I7856" s="3"/>
    </row>
    <row r="7857" spans="1:9" s="93" customFormat="1" ht="9" customHeight="1" x14ac:dyDescent="0.3">
      <c r="A7857" s="91"/>
      <c r="B7857" s="70"/>
      <c r="C7857" s="70"/>
      <c r="D7857" s="70"/>
      <c r="E7857" s="70"/>
      <c r="F7857" s="70"/>
      <c r="G7857" s="94"/>
      <c r="H7857" s="131"/>
      <c r="I7857" s="3"/>
    </row>
    <row r="7858" spans="1:9" s="93" customFormat="1" ht="9" customHeight="1" x14ac:dyDescent="0.3">
      <c r="A7858" s="91"/>
      <c r="B7858" s="70"/>
      <c r="C7858" s="70"/>
      <c r="D7858" s="70"/>
      <c r="E7858" s="70"/>
      <c r="F7858" s="70"/>
      <c r="G7858" s="94"/>
      <c r="H7858" s="131"/>
      <c r="I7858" s="3"/>
    </row>
    <row r="7859" spans="1:9" s="93" customFormat="1" ht="9" customHeight="1" x14ac:dyDescent="0.3">
      <c r="A7859" s="91"/>
      <c r="B7859" s="70"/>
      <c r="C7859" s="70"/>
      <c r="D7859" s="70"/>
      <c r="E7859" s="70"/>
      <c r="F7859" s="70"/>
      <c r="G7859" s="94"/>
      <c r="H7859" s="131"/>
      <c r="I7859" s="3"/>
    </row>
    <row r="7860" spans="1:9" s="93" customFormat="1" ht="9" customHeight="1" x14ac:dyDescent="0.3">
      <c r="A7860" s="91"/>
      <c r="B7860" s="70"/>
      <c r="C7860" s="70"/>
      <c r="D7860" s="70"/>
      <c r="E7860" s="70"/>
      <c r="F7860" s="70"/>
      <c r="G7860" s="94"/>
      <c r="H7860" s="131"/>
      <c r="I7860" s="3"/>
    </row>
    <row r="7861" spans="1:9" s="93" customFormat="1" ht="9" customHeight="1" x14ac:dyDescent="0.3">
      <c r="A7861" s="91"/>
      <c r="B7861" s="70"/>
      <c r="C7861" s="70"/>
      <c r="D7861" s="70"/>
      <c r="E7861" s="70"/>
      <c r="F7861" s="70"/>
      <c r="G7861" s="94"/>
      <c r="H7861" s="131"/>
      <c r="I7861" s="3"/>
    </row>
    <row r="7862" spans="1:9" s="93" customFormat="1" ht="9" customHeight="1" x14ac:dyDescent="0.3">
      <c r="A7862" s="91"/>
      <c r="B7862" s="70"/>
      <c r="C7862" s="70"/>
      <c r="D7862" s="70"/>
      <c r="E7862" s="70"/>
      <c r="F7862" s="70"/>
      <c r="G7862" s="94"/>
      <c r="H7862" s="131"/>
      <c r="I7862" s="3"/>
    </row>
    <row r="7863" spans="1:9" s="93" customFormat="1" ht="9" customHeight="1" x14ac:dyDescent="0.3">
      <c r="A7863" s="91"/>
      <c r="B7863" s="70"/>
      <c r="C7863" s="70"/>
      <c r="D7863" s="70"/>
      <c r="E7863" s="70"/>
      <c r="F7863" s="70"/>
      <c r="G7863" s="94"/>
      <c r="H7863" s="131"/>
      <c r="I7863" s="3"/>
    </row>
    <row r="7864" spans="1:9" s="93" customFormat="1" ht="9" customHeight="1" x14ac:dyDescent="0.3">
      <c r="A7864" s="91"/>
      <c r="B7864" s="70"/>
      <c r="C7864" s="70"/>
      <c r="D7864" s="70"/>
      <c r="E7864" s="70"/>
      <c r="F7864" s="70"/>
      <c r="G7864" s="94"/>
      <c r="H7864" s="131"/>
      <c r="I7864" s="3"/>
    </row>
    <row r="7865" spans="1:9" s="93" customFormat="1" ht="9" customHeight="1" x14ac:dyDescent="0.3">
      <c r="A7865" s="91"/>
      <c r="B7865" s="70"/>
      <c r="C7865" s="70"/>
      <c r="D7865" s="70"/>
      <c r="E7865" s="70"/>
      <c r="F7865" s="70"/>
      <c r="G7865" s="94"/>
      <c r="H7865" s="131"/>
      <c r="I7865" s="3"/>
    </row>
    <row r="7866" spans="1:9" s="93" customFormat="1" ht="9" customHeight="1" x14ac:dyDescent="0.3">
      <c r="A7866" s="91"/>
      <c r="B7866" s="70"/>
      <c r="C7866" s="70"/>
      <c r="D7866" s="70"/>
      <c r="E7866" s="70"/>
      <c r="F7866" s="70"/>
      <c r="G7866" s="94"/>
      <c r="H7866" s="131"/>
      <c r="I7866" s="3"/>
    </row>
    <row r="7867" spans="1:9" s="93" customFormat="1" ht="9" customHeight="1" x14ac:dyDescent="0.3">
      <c r="A7867" s="91"/>
      <c r="B7867" s="70"/>
      <c r="C7867" s="70"/>
      <c r="D7867" s="70"/>
      <c r="E7867" s="70"/>
      <c r="F7867" s="70"/>
      <c r="G7867" s="94"/>
      <c r="H7867" s="131"/>
      <c r="I7867" s="3"/>
    </row>
    <row r="7868" spans="1:9" s="93" customFormat="1" ht="9" customHeight="1" x14ac:dyDescent="0.3">
      <c r="A7868" s="91"/>
      <c r="B7868" s="70"/>
      <c r="C7868" s="70"/>
      <c r="D7868" s="70"/>
      <c r="E7868" s="70"/>
      <c r="F7868" s="70"/>
      <c r="G7868" s="94"/>
      <c r="H7868" s="131"/>
      <c r="I7868" s="3"/>
    </row>
    <row r="7869" spans="1:9" s="93" customFormat="1" ht="9" customHeight="1" x14ac:dyDescent="0.3">
      <c r="A7869" s="91"/>
      <c r="B7869" s="70"/>
      <c r="C7869" s="70"/>
      <c r="D7869" s="70"/>
      <c r="E7869" s="70"/>
      <c r="F7869" s="70"/>
      <c r="G7869" s="94"/>
      <c r="H7869" s="131"/>
      <c r="I7869" s="3"/>
    </row>
    <row r="7870" spans="1:9" s="93" customFormat="1" ht="9" customHeight="1" x14ac:dyDescent="0.3">
      <c r="A7870" s="91"/>
      <c r="B7870" s="70"/>
      <c r="C7870" s="70"/>
      <c r="D7870" s="70"/>
      <c r="E7870" s="70"/>
      <c r="F7870" s="70"/>
      <c r="G7870" s="94"/>
      <c r="H7870" s="131"/>
      <c r="I7870" s="3"/>
    </row>
    <row r="7871" spans="1:9" s="93" customFormat="1" ht="9" customHeight="1" x14ac:dyDescent="0.3">
      <c r="A7871" s="91"/>
      <c r="B7871" s="70"/>
      <c r="C7871" s="70"/>
      <c r="D7871" s="70"/>
      <c r="E7871" s="70"/>
      <c r="F7871" s="70"/>
      <c r="G7871" s="94"/>
      <c r="H7871" s="131"/>
      <c r="I7871" s="3"/>
    </row>
    <row r="7872" spans="1:9" s="93" customFormat="1" ht="9" customHeight="1" x14ac:dyDescent="0.3">
      <c r="A7872" s="91"/>
      <c r="B7872" s="70"/>
      <c r="C7872" s="70"/>
      <c r="D7872" s="70"/>
      <c r="E7872" s="70"/>
      <c r="F7872" s="70"/>
      <c r="G7872" s="94"/>
      <c r="H7872" s="131"/>
      <c r="I7872" s="3"/>
    </row>
    <row r="7873" spans="1:9" s="93" customFormat="1" ht="9" customHeight="1" x14ac:dyDescent="0.3">
      <c r="A7873" s="91"/>
      <c r="B7873" s="70"/>
      <c r="C7873" s="70"/>
      <c r="D7873" s="70"/>
      <c r="E7873" s="70"/>
      <c r="F7873" s="70"/>
      <c r="G7873" s="94"/>
      <c r="H7873" s="131"/>
      <c r="I7873" s="3"/>
    </row>
    <row r="7874" spans="1:9" s="93" customFormat="1" ht="9" customHeight="1" x14ac:dyDescent="0.3">
      <c r="A7874" s="91"/>
      <c r="B7874" s="70"/>
      <c r="C7874" s="70"/>
      <c r="D7874" s="70"/>
      <c r="E7874" s="70"/>
      <c r="F7874" s="70"/>
      <c r="G7874" s="94"/>
      <c r="H7874" s="131"/>
      <c r="I7874" s="3"/>
    </row>
    <row r="7875" spans="1:9" s="93" customFormat="1" ht="9" customHeight="1" x14ac:dyDescent="0.3">
      <c r="A7875" s="91"/>
      <c r="B7875" s="70"/>
      <c r="C7875" s="70"/>
      <c r="D7875" s="70"/>
      <c r="E7875" s="70"/>
      <c r="F7875" s="70"/>
      <c r="G7875" s="94"/>
      <c r="H7875" s="131"/>
      <c r="I7875" s="3"/>
    </row>
    <row r="7876" spans="1:9" s="93" customFormat="1" ht="9" customHeight="1" x14ac:dyDescent="0.3">
      <c r="A7876" s="91"/>
      <c r="B7876" s="70"/>
      <c r="C7876" s="70"/>
      <c r="D7876" s="70"/>
      <c r="E7876" s="70"/>
      <c r="F7876" s="70"/>
      <c r="G7876" s="94"/>
      <c r="H7876" s="131"/>
      <c r="I7876" s="3"/>
    </row>
    <row r="7877" spans="1:9" s="93" customFormat="1" ht="9" customHeight="1" x14ac:dyDescent="0.3">
      <c r="A7877" s="91"/>
      <c r="B7877" s="70"/>
      <c r="C7877" s="70"/>
      <c r="D7877" s="70"/>
      <c r="E7877" s="70"/>
      <c r="F7877" s="70"/>
      <c r="G7877" s="94"/>
      <c r="H7877" s="131"/>
      <c r="I7877" s="3"/>
    </row>
    <row r="7878" spans="1:9" s="93" customFormat="1" ht="9" customHeight="1" x14ac:dyDescent="0.3">
      <c r="A7878" s="91"/>
      <c r="B7878" s="70"/>
      <c r="C7878" s="70"/>
      <c r="D7878" s="70"/>
      <c r="E7878" s="70"/>
      <c r="F7878" s="70"/>
      <c r="G7878" s="94"/>
      <c r="H7878" s="131"/>
      <c r="I7878" s="3"/>
    </row>
    <row r="7879" spans="1:9" s="93" customFormat="1" ht="9" customHeight="1" x14ac:dyDescent="0.3">
      <c r="A7879" s="91"/>
      <c r="B7879" s="70"/>
      <c r="C7879" s="70"/>
      <c r="D7879" s="70"/>
      <c r="E7879" s="70"/>
      <c r="F7879" s="70"/>
      <c r="G7879" s="94"/>
      <c r="H7879" s="131"/>
      <c r="I7879" s="3"/>
    </row>
    <row r="7880" spans="1:9" s="93" customFormat="1" ht="9" customHeight="1" x14ac:dyDescent="0.3">
      <c r="A7880" s="91"/>
      <c r="B7880" s="70"/>
      <c r="C7880" s="70"/>
      <c r="D7880" s="70"/>
      <c r="E7880" s="70"/>
      <c r="F7880" s="70"/>
      <c r="G7880" s="94"/>
      <c r="H7880" s="131"/>
      <c r="I7880" s="3"/>
    </row>
    <row r="7881" spans="1:9" s="93" customFormat="1" ht="9" customHeight="1" x14ac:dyDescent="0.3">
      <c r="A7881" s="91"/>
      <c r="B7881" s="70"/>
      <c r="C7881" s="70"/>
      <c r="D7881" s="70"/>
      <c r="E7881" s="70"/>
      <c r="F7881" s="70"/>
      <c r="G7881" s="94"/>
      <c r="H7881" s="131"/>
      <c r="I7881" s="3"/>
    </row>
    <row r="7882" spans="1:9" s="93" customFormat="1" ht="9" customHeight="1" x14ac:dyDescent="0.3">
      <c r="A7882" s="91"/>
      <c r="B7882" s="70"/>
      <c r="C7882" s="70"/>
      <c r="D7882" s="70"/>
      <c r="E7882" s="70"/>
      <c r="F7882" s="70"/>
      <c r="G7882" s="94"/>
      <c r="H7882" s="131"/>
      <c r="I7882" s="3"/>
    </row>
    <row r="7883" spans="1:9" s="93" customFormat="1" ht="9" customHeight="1" x14ac:dyDescent="0.3">
      <c r="A7883" s="91"/>
      <c r="B7883" s="70"/>
      <c r="C7883" s="70"/>
      <c r="D7883" s="70"/>
      <c r="E7883" s="70"/>
      <c r="F7883" s="70"/>
      <c r="G7883" s="94"/>
      <c r="H7883" s="131"/>
      <c r="I7883" s="3"/>
    </row>
    <row r="7884" spans="1:9" s="93" customFormat="1" ht="9" customHeight="1" x14ac:dyDescent="0.3">
      <c r="A7884" s="91"/>
      <c r="B7884" s="70"/>
      <c r="C7884" s="70"/>
      <c r="D7884" s="70"/>
      <c r="E7884" s="70"/>
      <c r="F7884" s="70"/>
      <c r="G7884" s="94"/>
      <c r="H7884" s="131"/>
      <c r="I7884" s="3"/>
    </row>
    <row r="7885" spans="1:9" s="93" customFormat="1" ht="9" customHeight="1" x14ac:dyDescent="0.3">
      <c r="A7885" s="91"/>
      <c r="B7885" s="70"/>
      <c r="C7885" s="70"/>
      <c r="D7885" s="70"/>
      <c r="E7885" s="70"/>
      <c r="F7885" s="70"/>
      <c r="G7885" s="94"/>
      <c r="H7885" s="131"/>
      <c r="I7885" s="3"/>
    </row>
    <row r="7886" spans="1:9" s="93" customFormat="1" ht="9" customHeight="1" x14ac:dyDescent="0.3">
      <c r="A7886" s="91"/>
      <c r="B7886" s="70"/>
      <c r="C7886" s="70"/>
      <c r="D7886" s="70"/>
      <c r="E7886" s="70"/>
      <c r="F7886" s="70"/>
      <c r="G7886" s="94"/>
      <c r="H7886" s="131"/>
      <c r="I7886" s="3"/>
    </row>
    <row r="7887" spans="1:9" s="93" customFormat="1" ht="9" customHeight="1" x14ac:dyDescent="0.3">
      <c r="A7887" s="91"/>
      <c r="B7887" s="70"/>
      <c r="C7887" s="70"/>
      <c r="D7887" s="70"/>
      <c r="E7887" s="70"/>
      <c r="F7887" s="70"/>
      <c r="G7887" s="94"/>
      <c r="H7887" s="131"/>
      <c r="I7887" s="3"/>
    </row>
    <row r="7888" spans="1:9" s="93" customFormat="1" ht="9" customHeight="1" x14ac:dyDescent="0.3">
      <c r="A7888" s="91"/>
      <c r="B7888" s="70"/>
      <c r="C7888" s="70"/>
      <c r="D7888" s="70"/>
      <c r="E7888" s="70"/>
      <c r="F7888" s="70"/>
      <c r="G7888" s="94"/>
      <c r="H7888" s="131"/>
      <c r="I7888" s="3"/>
    </row>
    <row r="7889" spans="1:9" s="93" customFormat="1" ht="9" customHeight="1" x14ac:dyDescent="0.3">
      <c r="A7889" s="91"/>
      <c r="B7889" s="70"/>
      <c r="C7889" s="70"/>
      <c r="D7889" s="70"/>
      <c r="E7889" s="70"/>
      <c r="F7889" s="70"/>
      <c r="G7889" s="94"/>
      <c r="H7889" s="131"/>
      <c r="I7889" s="3"/>
    </row>
    <row r="7890" spans="1:9" s="93" customFormat="1" ht="9" customHeight="1" x14ac:dyDescent="0.3">
      <c r="A7890" s="91"/>
      <c r="B7890" s="70"/>
      <c r="C7890" s="70"/>
      <c r="D7890" s="70"/>
      <c r="E7890" s="70"/>
      <c r="F7890" s="70"/>
      <c r="G7890" s="94"/>
      <c r="H7890" s="131"/>
      <c r="I7890" s="3"/>
    </row>
    <row r="7891" spans="1:9" s="93" customFormat="1" ht="9" customHeight="1" x14ac:dyDescent="0.3">
      <c r="A7891" s="91"/>
      <c r="B7891" s="70"/>
      <c r="C7891" s="70"/>
      <c r="D7891" s="70"/>
      <c r="E7891" s="70"/>
      <c r="F7891" s="70"/>
      <c r="G7891" s="94"/>
      <c r="H7891" s="131"/>
      <c r="I7891" s="3"/>
    </row>
    <row r="7892" spans="1:9" s="93" customFormat="1" ht="9" customHeight="1" x14ac:dyDescent="0.3">
      <c r="A7892" s="91"/>
      <c r="B7892" s="70"/>
      <c r="C7892" s="70"/>
      <c r="D7892" s="70"/>
      <c r="E7892" s="70"/>
      <c r="F7892" s="70"/>
      <c r="G7892" s="94"/>
      <c r="H7892" s="131"/>
      <c r="I7892" s="3"/>
    </row>
    <row r="7893" spans="1:9" s="93" customFormat="1" ht="9" customHeight="1" x14ac:dyDescent="0.3">
      <c r="A7893" s="91"/>
      <c r="B7893" s="70"/>
      <c r="C7893" s="70"/>
      <c r="D7893" s="70"/>
      <c r="E7893" s="70"/>
      <c r="F7893" s="70"/>
      <c r="G7893" s="94"/>
      <c r="H7893" s="131"/>
      <c r="I7893" s="3"/>
    </row>
    <row r="7894" spans="1:9" s="93" customFormat="1" ht="9" customHeight="1" x14ac:dyDescent="0.3">
      <c r="A7894" s="91"/>
      <c r="B7894" s="70"/>
      <c r="C7894" s="70"/>
      <c r="D7894" s="70"/>
      <c r="E7894" s="70"/>
      <c r="F7894" s="70"/>
      <c r="G7894" s="94"/>
      <c r="H7894" s="131"/>
      <c r="I7894" s="3"/>
    </row>
    <row r="7895" spans="1:9" s="93" customFormat="1" ht="9" customHeight="1" x14ac:dyDescent="0.3">
      <c r="A7895" s="91"/>
      <c r="B7895" s="70"/>
      <c r="C7895" s="70"/>
      <c r="D7895" s="70"/>
      <c r="E7895" s="70"/>
      <c r="F7895" s="70"/>
      <c r="G7895" s="94"/>
      <c r="H7895" s="131"/>
      <c r="I7895" s="3"/>
    </row>
    <row r="7896" spans="1:9" s="93" customFormat="1" ht="9" customHeight="1" x14ac:dyDescent="0.3">
      <c r="A7896" s="91"/>
      <c r="B7896" s="70"/>
      <c r="C7896" s="70"/>
      <c r="D7896" s="70"/>
      <c r="E7896" s="70"/>
      <c r="F7896" s="70"/>
      <c r="G7896" s="94"/>
      <c r="H7896" s="131"/>
      <c r="I7896" s="3"/>
    </row>
    <row r="7897" spans="1:9" s="93" customFormat="1" ht="9" customHeight="1" x14ac:dyDescent="0.3">
      <c r="A7897" s="91"/>
      <c r="B7897" s="70"/>
      <c r="C7897" s="70"/>
      <c r="D7897" s="70"/>
      <c r="E7897" s="70"/>
      <c r="F7897" s="70"/>
      <c r="G7897" s="94"/>
      <c r="H7897" s="131"/>
      <c r="I7897" s="3"/>
    </row>
    <row r="7898" spans="1:9" s="93" customFormat="1" ht="9" customHeight="1" x14ac:dyDescent="0.3">
      <c r="A7898" s="91"/>
      <c r="B7898" s="70"/>
      <c r="C7898" s="70"/>
      <c r="D7898" s="70"/>
      <c r="E7898" s="70"/>
      <c r="F7898" s="70"/>
      <c r="G7898" s="94"/>
      <c r="H7898" s="131"/>
      <c r="I7898" s="3"/>
    </row>
    <row r="7899" spans="1:9" s="93" customFormat="1" ht="9" customHeight="1" x14ac:dyDescent="0.3">
      <c r="A7899" s="91"/>
      <c r="B7899" s="70"/>
      <c r="C7899" s="70"/>
      <c r="D7899" s="70"/>
      <c r="E7899" s="70"/>
      <c r="F7899" s="70"/>
      <c r="G7899" s="94"/>
      <c r="H7899" s="131"/>
      <c r="I7899" s="3"/>
    </row>
    <row r="7900" spans="1:9" s="93" customFormat="1" ht="9" customHeight="1" x14ac:dyDescent="0.3">
      <c r="A7900" s="91"/>
      <c r="B7900" s="70"/>
      <c r="C7900" s="70"/>
      <c r="D7900" s="70"/>
      <c r="E7900" s="70"/>
      <c r="F7900" s="70"/>
      <c r="G7900" s="94"/>
      <c r="H7900" s="131"/>
      <c r="I7900" s="3"/>
    </row>
    <row r="7901" spans="1:9" s="93" customFormat="1" ht="9" customHeight="1" x14ac:dyDescent="0.3">
      <c r="A7901" s="91"/>
      <c r="B7901" s="70"/>
      <c r="C7901" s="70"/>
      <c r="D7901" s="70"/>
      <c r="E7901" s="70"/>
      <c r="F7901" s="70"/>
      <c r="G7901" s="94"/>
      <c r="H7901" s="131"/>
      <c r="I7901" s="3"/>
    </row>
    <row r="7902" spans="1:9" s="93" customFormat="1" ht="9" customHeight="1" x14ac:dyDescent="0.3">
      <c r="A7902" s="91"/>
      <c r="B7902" s="70"/>
      <c r="C7902" s="70"/>
      <c r="D7902" s="70"/>
      <c r="E7902" s="70"/>
      <c r="F7902" s="70"/>
      <c r="G7902" s="94"/>
      <c r="H7902" s="131"/>
      <c r="I7902" s="3"/>
    </row>
    <row r="7903" spans="1:9" s="93" customFormat="1" ht="9" customHeight="1" x14ac:dyDescent="0.3">
      <c r="A7903" s="91"/>
      <c r="B7903" s="70"/>
      <c r="C7903" s="70"/>
      <c r="D7903" s="70"/>
      <c r="E7903" s="70"/>
      <c r="F7903" s="70"/>
      <c r="G7903" s="94"/>
      <c r="H7903" s="131"/>
      <c r="I7903" s="3"/>
    </row>
    <row r="7904" spans="1:9" s="93" customFormat="1" ht="9" customHeight="1" x14ac:dyDescent="0.3">
      <c r="A7904" s="91"/>
      <c r="B7904" s="70"/>
      <c r="C7904" s="70"/>
      <c r="D7904" s="70"/>
      <c r="E7904" s="70"/>
      <c r="F7904" s="70"/>
      <c r="G7904" s="94"/>
      <c r="H7904" s="131"/>
      <c r="I7904" s="3"/>
    </row>
    <row r="7905" spans="1:9" s="93" customFormat="1" ht="9" customHeight="1" x14ac:dyDescent="0.3">
      <c r="A7905" s="91"/>
      <c r="B7905" s="70"/>
      <c r="C7905" s="70"/>
      <c r="D7905" s="70"/>
      <c r="E7905" s="70"/>
      <c r="F7905" s="70"/>
      <c r="G7905" s="94"/>
      <c r="H7905" s="131"/>
      <c r="I7905" s="3"/>
    </row>
    <row r="7906" spans="1:9" s="93" customFormat="1" ht="9" customHeight="1" x14ac:dyDescent="0.3">
      <c r="A7906" s="91"/>
      <c r="B7906" s="70"/>
      <c r="C7906" s="70"/>
      <c r="D7906" s="70"/>
      <c r="E7906" s="70"/>
      <c r="F7906" s="70"/>
      <c r="G7906" s="94"/>
      <c r="H7906" s="131"/>
      <c r="I7906" s="3"/>
    </row>
    <row r="7907" spans="1:9" s="93" customFormat="1" ht="9" customHeight="1" x14ac:dyDescent="0.3">
      <c r="A7907" s="91"/>
      <c r="B7907" s="70"/>
      <c r="C7907" s="70"/>
      <c r="D7907" s="70"/>
      <c r="E7907" s="70"/>
      <c r="F7907" s="70"/>
      <c r="G7907" s="94"/>
      <c r="H7907" s="131"/>
      <c r="I7907" s="3"/>
    </row>
    <row r="7908" spans="1:9" s="93" customFormat="1" ht="9" customHeight="1" x14ac:dyDescent="0.3">
      <c r="A7908" s="91"/>
      <c r="B7908" s="70"/>
      <c r="C7908" s="70"/>
      <c r="D7908" s="70"/>
      <c r="E7908" s="70"/>
      <c r="F7908" s="70"/>
      <c r="G7908" s="94"/>
      <c r="H7908" s="131"/>
      <c r="I7908" s="3"/>
    </row>
    <row r="7909" spans="1:9" s="93" customFormat="1" ht="9" customHeight="1" x14ac:dyDescent="0.3">
      <c r="A7909" s="91"/>
      <c r="B7909" s="70"/>
      <c r="C7909" s="70"/>
      <c r="D7909" s="70"/>
      <c r="E7909" s="70"/>
      <c r="F7909" s="70"/>
      <c r="G7909" s="94"/>
      <c r="H7909" s="131"/>
      <c r="I7909" s="3"/>
    </row>
    <row r="7910" spans="1:9" s="93" customFormat="1" ht="9" customHeight="1" x14ac:dyDescent="0.3">
      <c r="A7910" s="91"/>
      <c r="B7910" s="70"/>
      <c r="C7910" s="70"/>
      <c r="D7910" s="70"/>
      <c r="E7910" s="70"/>
      <c r="F7910" s="70"/>
      <c r="G7910" s="94"/>
      <c r="H7910" s="131"/>
      <c r="I7910" s="3"/>
    </row>
    <row r="7911" spans="1:9" s="93" customFormat="1" ht="9" customHeight="1" x14ac:dyDescent="0.3">
      <c r="A7911" s="91"/>
      <c r="B7911" s="70"/>
      <c r="C7911" s="70"/>
      <c r="D7911" s="70"/>
      <c r="E7911" s="70"/>
      <c r="F7911" s="70"/>
      <c r="G7911" s="94"/>
      <c r="H7911" s="131"/>
      <c r="I7911" s="3"/>
    </row>
    <row r="7912" spans="1:9" s="93" customFormat="1" ht="9" customHeight="1" x14ac:dyDescent="0.3">
      <c r="A7912" s="91"/>
      <c r="B7912" s="70"/>
      <c r="C7912" s="70"/>
      <c r="D7912" s="70"/>
      <c r="E7912" s="70"/>
      <c r="F7912" s="70"/>
      <c r="G7912" s="94"/>
      <c r="H7912" s="131"/>
      <c r="I7912" s="3"/>
    </row>
    <row r="7913" spans="1:9" s="93" customFormat="1" ht="9" customHeight="1" x14ac:dyDescent="0.3">
      <c r="A7913" s="91"/>
      <c r="B7913" s="70"/>
      <c r="C7913" s="70"/>
      <c r="D7913" s="70"/>
      <c r="E7913" s="70"/>
      <c r="F7913" s="70"/>
      <c r="G7913" s="94"/>
      <c r="H7913" s="131"/>
      <c r="I7913" s="3"/>
    </row>
    <row r="7914" spans="1:9" s="93" customFormat="1" ht="9" customHeight="1" x14ac:dyDescent="0.3">
      <c r="A7914" s="91"/>
      <c r="B7914" s="70"/>
      <c r="C7914" s="70"/>
      <c r="D7914" s="70"/>
      <c r="E7914" s="70"/>
      <c r="F7914" s="70"/>
      <c r="G7914" s="94"/>
      <c r="H7914" s="131"/>
      <c r="I7914" s="3"/>
    </row>
    <row r="7915" spans="1:9" s="93" customFormat="1" ht="9" customHeight="1" x14ac:dyDescent="0.3">
      <c r="A7915" s="91"/>
      <c r="B7915" s="70"/>
      <c r="C7915" s="70"/>
      <c r="D7915" s="70"/>
      <c r="E7915" s="70"/>
      <c r="F7915" s="70"/>
      <c r="G7915" s="94"/>
      <c r="H7915" s="131"/>
      <c r="I7915" s="3"/>
    </row>
    <row r="7916" spans="1:9" s="93" customFormat="1" ht="9" customHeight="1" x14ac:dyDescent="0.3">
      <c r="A7916" s="91"/>
      <c r="B7916" s="70"/>
      <c r="C7916" s="70"/>
      <c r="D7916" s="70"/>
      <c r="E7916" s="70"/>
      <c r="F7916" s="70"/>
      <c r="G7916" s="94"/>
      <c r="H7916" s="131"/>
      <c r="I7916" s="3"/>
    </row>
    <row r="7917" spans="1:9" s="93" customFormat="1" ht="9" customHeight="1" x14ac:dyDescent="0.3">
      <c r="A7917" s="91"/>
      <c r="B7917" s="70"/>
      <c r="C7917" s="70"/>
      <c r="D7917" s="70"/>
      <c r="E7917" s="70"/>
      <c r="F7917" s="70"/>
      <c r="G7917" s="94"/>
      <c r="H7917" s="131"/>
      <c r="I7917" s="3"/>
    </row>
    <row r="7918" spans="1:9" s="93" customFormat="1" ht="9" customHeight="1" x14ac:dyDescent="0.3">
      <c r="A7918" s="91"/>
      <c r="B7918" s="70"/>
      <c r="C7918" s="70"/>
      <c r="D7918" s="70"/>
      <c r="E7918" s="70"/>
      <c r="F7918" s="70"/>
      <c r="G7918" s="94"/>
      <c r="H7918" s="131"/>
      <c r="I7918" s="3"/>
    </row>
    <row r="7919" spans="1:9" s="93" customFormat="1" ht="9" customHeight="1" x14ac:dyDescent="0.3">
      <c r="A7919" s="91"/>
      <c r="B7919" s="70"/>
      <c r="C7919" s="70"/>
      <c r="D7919" s="70"/>
      <c r="E7919" s="70"/>
      <c r="F7919" s="70"/>
      <c r="G7919" s="94"/>
      <c r="H7919" s="131"/>
      <c r="I7919" s="3"/>
    </row>
    <row r="7920" spans="1:9" s="93" customFormat="1" ht="9" customHeight="1" x14ac:dyDescent="0.3">
      <c r="A7920" s="91"/>
      <c r="B7920" s="70"/>
      <c r="C7920" s="70"/>
      <c r="D7920" s="70"/>
      <c r="E7920" s="70"/>
      <c r="F7920" s="70"/>
      <c r="G7920" s="94"/>
      <c r="H7920" s="131"/>
      <c r="I7920" s="3"/>
    </row>
    <row r="7921" spans="1:9" s="93" customFormat="1" ht="9" customHeight="1" x14ac:dyDescent="0.3">
      <c r="A7921" s="91"/>
      <c r="B7921" s="70"/>
      <c r="C7921" s="70"/>
      <c r="D7921" s="70"/>
      <c r="E7921" s="70"/>
      <c r="F7921" s="70"/>
      <c r="G7921" s="94"/>
      <c r="H7921" s="131"/>
      <c r="I7921" s="3"/>
    </row>
    <row r="7922" spans="1:9" s="93" customFormat="1" ht="9" customHeight="1" x14ac:dyDescent="0.3">
      <c r="A7922" s="91"/>
      <c r="B7922" s="70"/>
      <c r="C7922" s="70"/>
      <c r="D7922" s="70"/>
      <c r="E7922" s="70"/>
      <c r="F7922" s="70"/>
      <c r="G7922" s="94"/>
      <c r="H7922" s="131"/>
      <c r="I7922" s="3"/>
    </row>
    <row r="7923" spans="1:9" s="93" customFormat="1" ht="9" customHeight="1" x14ac:dyDescent="0.3">
      <c r="A7923" s="91"/>
      <c r="B7923" s="70"/>
      <c r="C7923" s="70"/>
      <c r="D7923" s="70"/>
      <c r="E7923" s="70"/>
      <c r="F7923" s="70"/>
      <c r="G7923" s="94"/>
      <c r="H7923" s="131"/>
      <c r="I7923" s="3"/>
    </row>
    <row r="7924" spans="1:9" s="93" customFormat="1" ht="9" customHeight="1" x14ac:dyDescent="0.3">
      <c r="A7924" s="91"/>
      <c r="B7924" s="70"/>
      <c r="C7924" s="70"/>
      <c r="D7924" s="70"/>
      <c r="E7924" s="70"/>
      <c r="F7924" s="70"/>
      <c r="G7924" s="94"/>
      <c r="H7924" s="131"/>
      <c r="I7924" s="3"/>
    </row>
    <row r="7925" spans="1:9" s="93" customFormat="1" ht="9" customHeight="1" x14ac:dyDescent="0.3">
      <c r="A7925" s="91"/>
      <c r="B7925" s="70"/>
      <c r="C7925" s="70"/>
      <c r="D7925" s="70"/>
      <c r="E7925" s="70"/>
      <c r="F7925" s="70"/>
      <c r="G7925" s="94"/>
      <c r="H7925" s="131"/>
      <c r="I7925" s="3"/>
    </row>
    <row r="7926" spans="1:9" s="93" customFormat="1" ht="9" customHeight="1" x14ac:dyDescent="0.3">
      <c r="A7926" s="91"/>
      <c r="B7926" s="70"/>
      <c r="C7926" s="70"/>
      <c r="D7926" s="70"/>
      <c r="E7926" s="70"/>
      <c r="F7926" s="70"/>
      <c r="G7926" s="94"/>
      <c r="H7926" s="131"/>
      <c r="I7926" s="3"/>
    </row>
    <row r="7927" spans="1:9" s="93" customFormat="1" ht="9" customHeight="1" x14ac:dyDescent="0.3">
      <c r="A7927" s="91"/>
      <c r="B7927" s="70"/>
      <c r="C7927" s="70"/>
      <c r="D7927" s="70"/>
      <c r="E7927" s="70"/>
      <c r="F7927" s="70"/>
      <c r="G7927" s="94"/>
      <c r="H7927" s="131"/>
      <c r="I7927" s="3"/>
    </row>
    <row r="7928" spans="1:9" s="93" customFormat="1" ht="9" customHeight="1" x14ac:dyDescent="0.3">
      <c r="A7928" s="91"/>
      <c r="B7928" s="70"/>
      <c r="C7928" s="70"/>
      <c r="D7928" s="70"/>
      <c r="E7928" s="70"/>
      <c r="F7928" s="70"/>
      <c r="G7928" s="94"/>
      <c r="H7928" s="131"/>
      <c r="I7928" s="3"/>
    </row>
    <row r="7929" spans="1:9" s="93" customFormat="1" ht="9" customHeight="1" x14ac:dyDescent="0.3">
      <c r="A7929" s="91"/>
      <c r="B7929" s="70"/>
      <c r="C7929" s="70"/>
      <c r="D7929" s="70"/>
      <c r="E7929" s="70"/>
      <c r="F7929" s="70"/>
      <c r="G7929" s="94"/>
      <c r="H7929" s="131"/>
      <c r="I7929" s="3"/>
    </row>
    <row r="7930" spans="1:9" s="93" customFormat="1" ht="9" customHeight="1" x14ac:dyDescent="0.3">
      <c r="A7930" s="91"/>
      <c r="B7930" s="70"/>
      <c r="C7930" s="70"/>
      <c r="D7930" s="70"/>
      <c r="E7930" s="70"/>
      <c r="F7930" s="70"/>
      <c r="G7930" s="94"/>
      <c r="H7930" s="131"/>
      <c r="I7930" s="3"/>
    </row>
    <row r="7931" spans="1:9" s="93" customFormat="1" ht="9" customHeight="1" x14ac:dyDescent="0.3">
      <c r="A7931" s="91"/>
      <c r="B7931" s="70"/>
      <c r="C7931" s="70"/>
      <c r="D7931" s="70"/>
      <c r="E7931" s="70"/>
      <c r="F7931" s="70"/>
      <c r="G7931" s="94"/>
      <c r="H7931" s="131"/>
      <c r="I7931" s="3"/>
    </row>
    <row r="7932" spans="1:9" s="93" customFormat="1" ht="9" customHeight="1" x14ac:dyDescent="0.3">
      <c r="A7932" s="91"/>
      <c r="B7932" s="70"/>
      <c r="C7932" s="70"/>
      <c r="D7932" s="70"/>
      <c r="E7932" s="70"/>
      <c r="F7932" s="70"/>
      <c r="G7932" s="94"/>
      <c r="H7932" s="131"/>
      <c r="I7932" s="3"/>
    </row>
    <row r="7933" spans="1:9" s="93" customFormat="1" ht="9" customHeight="1" x14ac:dyDescent="0.3">
      <c r="A7933" s="91"/>
      <c r="B7933" s="70"/>
      <c r="C7933" s="70"/>
      <c r="D7933" s="70"/>
      <c r="E7933" s="70"/>
      <c r="F7933" s="70"/>
      <c r="G7933" s="94"/>
      <c r="H7933" s="131"/>
      <c r="I7933" s="3"/>
    </row>
    <row r="7934" spans="1:9" s="93" customFormat="1" ht="9" customHeight="1" x14ac:dyDescent="0.3">
      <c r="A7934" s="91"/>
      <c r="B7934" s="70"/>
      <c r="C7934" s="70"/>
      <c r="D7934" s="70"/>
      <c r="E7934" s="70"/>
      <c r="F7934" s="70"/>
      <c r="G7934" s="94"/>
      <c r="H7934" s="131"/>
      <c r="I7934" s="3"/>
    </row>
    <row r="7935" spans="1:9" s="93" customFormat="1" ht="9" customHeight="1" x14ac:dyDescent="0.3">
      <c r="A7935" s="91"/>
      <c r="B7935" s="70"/>
      <c r="C7935" s="70"/>
      <c r="D7935" s="70"/>
      <c r="E7935" s="70"/>
      <c r="F7935" s="70"/>
      <c r="G7935" s="94"/>
      <c r="H7935" s="131"/>
      <c r="I7935" s="3"/>
    </row>
    <row r="7936" spans="1:9" s="93" customFormat="1" ht="9" customHeight="1" x14ac:dyDescent="0.3">
      <c r="A7936" s="91"/>
      <c r="B7936" s="70"/>
      <c r="C7936" s="70"/>
      <c r="D7936" s="70"/>
      <c r="E7936" s="70"/>
      <c r="F7936" s="70"/>
      <c r="G7936" s="94"/>
      <c r="H7936" s="131"/>
      <c r="I7936" s="3"/>
    </row>
    <row r="7937" spans="1:9" s="93" customFormat="1" ht="9" customHeight="1" x14ac:dyDescent="0.3">
      <c r="A7937" s="91"/>
      <c r="B7937" s="70"/>
      <c r="C7937" s="70"/>
      <c r="D7937" s="70"/>
      <c r="E7937" s="70"/>
      <c r="F7937" s="70"/>
      <c r="G7937" s="94"/>
      <c r="H7937" s="131"/>
      <c r="I7937" s="3"/>
    </row>
    <row r="7938" spans="1:9" s="93" customFormat="1" ht="9" customHeight="1" x14ac:dyDescent="0.3">
      <c r="A7938" s="91"/>
      <c r="B7938" s="70"/>
      <c r="C7938" s="70"/>
      <c r="D7938" s="70"/>
      <c r="E7938" s="70"/>
      <c r="F7938" s="70"/>
      <c r="G7938" s="94"/>
      <c r="H7938" s="131"/>
      <c r="I7938" s="3"/>
    </row>
    <row r="7939" spans="1:9" s="93" customFormat="1" ht="9" customHeight="1" x14ac:dyDescent="0.3">
      <c r="A7939" s="91"/>
      <c r="B7939" s="70"/>
      <c r="C7939" s="70"/>
      <c r="D7939" s="70"/>
      <c r="E7939" s="70"/>
      <c r="F7939" s="70"/>
      <c r="G7939" s="94"/>
      <c r="H7939" s="131"/>
      <c r="I7939" s="3"/>
    </row>
    <row r="7940" spans="1:9" s="93" customFormat="1" ht="9" customHeight="1" x14ac:dyDescent="0.3">
      <c r="A7940" s="91"/>
      <c r="B7940" s="70"/>
      <c r="C7940" s="70"/>
      <c r="D7940" s="70"/>
      <c r="E7940" s="70"/>
      <c r="F7940" s="70"/>
      <c r="G7940" s="94"/>
      <c r="H7940" s="131"/>
      <c r="I7940" s="3"/>
    </row>
    <row r="7941" spans="1:9" s="93" customFormat="1" ht="9" customHeight="1" x14ac:dyDescent="0.3">
      <c r="A7941" s="91"/>
      <c r="B7941" s="70"/>
      <c r="C7941" s="70"/>
      <c r="D7941" s="70"/>
      <c r="E7941" s="70"/>
      <c r="F7941" s="70"/>
      <c r="G7941" s="94"/>
      <c r="H7941" s="131"/>
      <c r="I7941" s="3"/>
    </row>
    <row r="7942" spans="1:9" s="93" customFormat="1" ht="9" customHeight="1" x14ac:dyDescent="0.3">
      <c r="A7942" s="91"/>
      <c r="B7942" s="70"/>
      <c r="C7942" s="70"/>
      <c r="D7942" s="70"/>
      <c r="E7942" s="70"/>
      <c r="F7942" s="70"/>
      <c r="G7942" s="94"/>
      <c r="H7942" s="131"/>
      <c r="I7942" s="3"/>
    </row>
    <row r="7943" spans="1:9" s="93" customFormat="1" ht="9" customHeight="1" x14ac:dyDescent="0.3">
      <c r="A7943" s="91"/>
      <c r="B7943" s="70"/>
      <c r="C7943" s="70"/>
      <c r="D7943" s="70"/>
      <c r="E7943" s="70"/>
      <c r="F7943" s="70"/>
      <c r="G7943" s="94"/>
      <c r="H7943" s="131"/>
      <c r="I7943" s="3"/>
    </row>
    <row r="7944" spans="1:9" s="93" customFormat="1" ht="9" customHeight="1" x14ac:dyDescent="0.3">
      <c r="A7944" s="91"/>
      <c r="B7944" s="70"/>
      <c r="C7944" s="70"/>
      <c r="D7944" s="70"/>
      <c r="E7944" s="70"/>
      <c r="F7944" s="70"/>
      <c r="G7944" s="94"/>
      <c r="H7944" s="131"/>
      <c r="I7944" s="3"/>
    </row>
    <row r="7945" spans="1:9" s="93" customFormat="1" ht="9" customHeight="1" x14ac:dyDescent="0.3">
      <c r="A7945" s="91"/>
      <c r="B7945" s="70"/>
      <c r="C7945" s="70"/>
      <c r="D7945" s="70"/>
      <c r="E7945" s="70"/>
      <c r="F7945" s="70"/>
      <c r="G7945" s="94"/>
      <c r="H7945" s="131"/>
      <c r="I7945" s="3"/>
    </row>
    <row r="7946" spans="1:9" s="93" customFormat="1" ht="9" customHeight="1" x14ac:dyDescent="0.3">
      <c r="A7946" s="91"/>
      <c r="B7946" s="70"/>
      <c r="C7946" s="70"/>
      <c r="D7946" s="70"/>
      <c r="E7946" s="70"/>
      <c r="F7946" s="70"/>
      <c r="G7946" s="94"/>
      <c r="H7946" s="131"/>
      <c r="I7946" s="3"/>
    </row>
    <row r="7947" spans="1:9" s="93" customFormat="1" ht="9" customHeight="1" x14ac:dyDescent="0.3">
      <c r="A7947" s="91"/>
      <c r="B7947" s="70"/>
      <c r="C7947" s="70"/>
      <c r="D7947" s="70"/>
      <c r="E7947" s="70"/>
      <c r="F7947" s="70"/>
      <c r="G7947" s="94"/>
      <c r="H7947" s="131"/>
      <c r="I7947" s="3"/>
    </row>
    <row r="7948" spans="1:9" s="93" customFormat="1" ht="9" customHeight="1" x14ac:dyDescent="0.3">
      <c r="A7948" s="91"/>
      <c r="B7948" s="70"/>
      <c r="C7948" s="70"/>
      <c r="D7948" s="70"/>
      <c r="E7948" s="70"/>
      <c r="F7948" s="70"/>
      <c r="G7948" s="94"/>
      <c r="H7948" s="131"/>
      <c r="I7948" s="3"/>
    </row>
    <row r="7949" spans="1:9" s="93" customFormat="1" ht="9" customHeight="1" x14ac:dyDescent="0.3">
      <c r="A7949" s="91"/>
      <c r="B7949" s="70"/>
      <c r="C7949" s="70"/>
      <c r="D7949" s="70"/>
      <c r="E7949" s="70"/>
      <c r="F7949" s="70"/>
      <c r="G7949" s="94"/>
      <c r="H7949" s="131"/>
      <c r="I7949" s="3"/>
    </row>
    <row r="7950" spans="1:9" s="93" customFormat="1" ht="9" customHeight="1" x14ac:dyDescent="0.3">
      <c r="A7950" s="91"/>
      <c r="B7950" s="70"/>
      <c r="C7950" s="70"/>
      <c r="D7950" s="70"/>
      <c r="E7950" s="70"/>
      <c r="F7950" s="70"/>
      <c r="G7950" s="94"/>
      <c r="H7950" s="131"/>
      <c r="I7950" s="3"/>
    </row>
    <row r="7951" spans="1:9" s="93" customFormat="1" ht="9" customHeight="1" x14ac:dyDescent="0.3">
      <c r="A7951" s="91"/>
      <c r="B7951" s="70"/>
      <c r="C7951" s="70"/>
      <c r="D7951" s="70"/>
      <c r="E7951" s="70"/>
      <c r="F7951" s="70"/>
      <c r="G7951" s="94"/>
      <c r="H7951" s="131"/>
      <c r="I7951" s="3"/>
    </row>
    <row r="7952" spans="1:9" s="93" customFormat="1" ht="9" customHeight="1" x14ac:dyDescent="0.3">
      <c r="A7952" s="91"/>
      <c r="B7952" s="70"/>
      <c r="C7952" s="70"/>
      <c r="D7952" s="70"/>
      <c r="E7952" s="70"/>
      <c r="F7952" s="70"/>
      <c r="G7952" s="94"/>
      <c r="H7952" s="131"/>
      <c r="I7952" s="3"/>
    </row>
    <row r="7953" spans="1:9" s="93" customFormat="1" ht="9" customHeight="1" x14ac:dyDescent="0.3">
      <c r="A7953" s="91"/>
      <c r="B7953" s="70"/>
      <c r="C7953" s="70"/>
      <c r="D7953" s="70"/>
      <c r="E7953" s="70"/>
      <c r="F7953" s="70"/>
      <c r="G7953" s="94"/>
      <c r="H7953" s="131"/>
      <c r="I7953" s="3"/>
    </row>
    <row r="7954" spans="1:9" s="93" customFormat="1" ht="9" customHeight="1" x14ac:dyDescent="0.3">
      <c r="A7954" s="91"/>
      <c r="B7954" s="70"/>
      <c r="C7954" s="70"/>
      <c r="D7954" s="70"/>
      <c r="E7954" s="70"/>
      <c r="F7954" s="70"/>
      <c r="G7954" s="94"/>
      <c r="H7954" s="131"/>
      <c r="I7954" s="3"/>
    </row>
    <row r="7955" spans="1:9" s="93" customFormat="1" ht="9" customHeight="1" x14ac:dyDescent="0.3">
      <c r="A7955" s="91"/>
      <c r="B7955" s="70"/>
      <c r="C7955" s="70"/>
      <c r="D7955" s="70"/>
      <c r="E7955" s="70"/>
      <c r="F7955" s="70"/>
      <c r="G7955" s="94"/>
      <c r="H7955" s="131"/>
      <c r="I7955" s="3"/>
    </row>
    <row r="7956" spans="1:9" s="93" customFormat="1" ht="9" customHeight="1" x14ac:dyDescent="0.3">
      <c r="A7956" s="91"/>
      <c r="B7956" s="70"/>
      <c r="C7956" s="70"/>
      <c r="D7956" s="70"/>
      <c r="E7956" s="70"/>
      <c r="F7956" s="70"/>
      <c r="G7956" s="94"/>
      <c r="H7956" s="131"/>
      <c r="I7956" s="3"/>
    </row>
    <row r="7957" spans="1:9" s="93" customFormat="1" ht="9" customHeight="1" x14ac:dyDescent="0.3">
      <c r="A7957" s="91"/>
      <c r="B7957" s="70"/>
      <c r="C7957" s="70"/>
      <c r="D7957" s="70"/>
      <c r="E7957" s="70"/>
      <c r="F7957" s="70"/>
      <c r="G7957" s="94"/>
      <c r="H7957" s="131"/>
      <c r="I7957" s="3"/>
    </row>
    <row r="7958" spans="1:9" s="93" customFormat="1" ht="9" customHeight="1" x14ac:dyDescent="0.3">
      <c r="A7958" s="91"/>
      <c r="B7958" s="70"/>
      <c r="C7958" s="70"/>
      <c r="D7958" s="70"/>
      <c r="E7958" s="70"/>
      <c r="F7958" s="70"/>
      <c r="G7958" s="94"/>
      <c r="H7958" s="131"/>
      <c r="I7958" s="3"/>
    </row>
    <row r="7959" spans="1:9" s="93" customFormat="1" ht="9" customHeight="1" x14ac:dyDescent="0.3">
      <c r="A7959" s="91"/>
      <c r="B7959" s="70"/>
      <c r="C7959" s="70"/>
      <c r="D7959" s="70"/>
      <c r="E7959" s="70"/>
      <c r="F7959" s="70"/>
      <c r="G7959" s="94"/>
      <c r="H7959" s="131"/>
      <c r="I7959" s="3"/>
    </row>
    <row r="7960" spans="1:9" s="93" customFormat="1" ht="9" customHeight="1" x14ac:dyDescent="0.3">
      <c r="A7960" s="91"/>
      <c r="B7960" s="70"/>
      <c r="C7960" s="70"/>
      <c r="D7960" s="70"/>
      <c r="E7960" s="70"/>
      <c r="F7960" s="70"/>
      <c r="G7960" s="94"/>
      <c r="H7960" s="131"/>
      <c r="I7960" s="3"/>
    </row>
    <row r="7961" spans="1:9" s="93" customFormat="1" ht="9" customHeight="1" x14ac:dyDescent="0.3">
      <c r="A7961" s="91"/>
      <c r="B7961" s="70"/>
      <c r="C7961" s="70"/>
      <c r="D7961" s="70"/>
      <c r="E7961" s="70"/>
      <c r="F7961" s="70"/>
      <c r="G7961" s="94"/>
      <c r="H7961" s="131"/>
      <c r="I7961" s="3"/>
    </row>
    <row r="7962" spans="1:9" s="93" customFormat="1" ht="9" customHeight="1" x14ac:dyDescent="0.3">
      <c r="A7962" s="91"/>
      <c r="B7962" s="70"/>
      <c r="C7962" s="70"/>
      <c r="D7962" s="70"/>
      <c r="E7962" s="70"/>
      <c r="F7962" s="70"/>
      <c r="G7962" s="94"/>
      <c r="H7962" s="131"/>
      <c r="I7962" s="3"/>
    </row>
    <row r="7963" spans="1:9" s="93" customFormat="1" ht="9" customHeight="1" x14ac:dyDescent="0.3">
      <c r="A7963" s="91"/>
      <c r="B7963" s="70"/>
      <c r="C7963" s="70"/>
      <c r="D7963" s="70"/>
      <c r="E7963" s="70"/>
      <c r="F7963" s="70"/>
      <c r="G7963" s="94"/>
      <c r="H7963" s="131"/>
      <c r="I7963" s="3"/>
    </row>
    <row r="7964" spans="1:9" s="93" customFormat="1" ht="9" customHeight="1" x14ac:dyDescent="0.3">
      <c r="A7964" s="91"/>
      <c r="B7964" s="70"/>
      <c r="C7964" s="70"/>
      <c r="D7964" s="70"/>
      <c r="E7964" s="70"/>
      <c r="F7964" s="70"/>
      <c r="G7964" s="94"/>
      <c r="H7964" s="131"/>
      <c r="I7964" s="3"/>
    </row>
    <row r="7965" spans="1:9" s="93" customFormat="1" ht="9" customHeight="1" x14ac:dyDescent="0.3">
      <c r="A7965" s="91"/>
      <c r="B7965" s="70"/>
      <c r="C7965" s="70"/>
      <c r="D7965" s="70"/>
      <c r="E7965" s="70"/>
      <c r="F7965" s="70"/>
      <c r="G7965" s="94"/>
      <c r="H7965" s="131"/>
      <c r="I7965" s="3"/>
    </row>
    <row r="7966" spans="1:9" s="93" customFormat="1" ht="9" customHeight="1" x14ac:dyDescent="0.3">
      <c r="A7966" s="91"/>
      <c r="B7966" s="70"/>
      <c r="C7966" s="70"/>
      <c r="D7966" s="70"/>
      <c r="E7966" s="70"/>
      <c r="F7966" s="70"/>
      <c r="G7966" s="94"/>
      <c r="H7966" s="131"/>
      <c r="I7966" s="3"/>
    </row>
    <row r="7967" spans="1:9" s="93" customFormat="1" ht="9" customHeight="1" x14ac:dyDescent="0.3">
      <c r="A7967" s="91"/>
      <c r="B7967" s="70"/>
      <c r="C7967" s="70"/>
      <c r="D7967" s="70"/>
      <c r="E7967" s="70"/>
      <c r="F7967" s="70"/>
      <c r="G7967" s="94"/>
      <c r="H7967" s="131"/>
      <c r="I7967" s="3"/>
    </row>
    <row r="7968" spans="1:9" s="93" customFormat="1" ht="9" customHeight="1" x14ac:dyDescent="0.3">
      <c r="A7968" s="91"/>
      <c r="B7968" s="70"/>
      <c r="C7968" s="70"/>
      <c r="D7968" s="70"/>
      <c r="E7968" s="70"/>
      <c r="F7968" s="70"/>
      <c r="G7968" s="94"/>
      <c r="H7968" s="131"/>
      <c r="I7968" s="3"/>
    </row>
    <row r="7969" spans="1:9" s="93" customFormat="1" ht="9" customHeight="1" x14ac:dyDescent="0.3">
      <c r="A7969" s="91"/>
      <c r="B7969" s="70"/>
      <c r="C7969" s="70"/>
      <c r="D7969" s="70"/>
      <c r="E7969" s="70"/>
      <c r="F7969" s="70"/>
      <c r="G7969" s="94"/>
      <c r="H7969" s="131"/>
      <c r="I7969" s="3"/>
    </row>
    <row r="7970" spans="1:9" s="93" customFormat="1" ht="9" customHeight="1" x14ac:dyDescent="0.3">
      <c r="A7970" s="91"/>
      <c r="B7970" s="70"/>
      <c r="C7970" s="70"/>
      <c r="D7970" s="70"/>
      <c r="E7970" s="70"/>
      <c r="F7970" s="70"/>
      <c r="G7970" s="94"/>
      <c r="H7970" s="131"/>
      <c r="I7970" s="3"/>
    </row>
    <row r="7971" spans="1:9" s="93" customFormat="1" ht="9" customHeight="1" x14ac:dyDescent="0.3">
      <c r="A7971" s="91"/>
      <c r="B7971" s="70"/>
      <c r="C7971" s="70"/>
      <c r="D7971" s="70"/>
      <c r="E7971" s="70"/>
      <c r="F7971" s="70"/>
      <c r="G7971" s="94"/>
      <c r="H7971" s="131"/>
      <c r="I7971" s="3"/>
    </row>
    <row r="7972" spans="1:9" s="93" customFormat="1" ht="9" customHeight="1" x14ac:dyDescent="0.3">
      <c r="A7972" s="91"/>
      <c r="B7972" s="70"/>
      <c r="C7972" s="70"/>
      <c r="D7972" s="70"/>
      <c r="E7972" s="70"/>
      <c r="F7972" s="70"/>
      <c r="G7972" s="94"/>
      <c r="H7972" s="131"/>
      <c r="I7972" s="3"/>
    </row>
    <row r="7973" spans="1:9" s="93" customFormat="1" ht="9" customHeight="1" x14ac:dyDescent="0.3">
      <c r="A7973" s="91"/>
      <c r="B7973" s="70"/>
      <c r="C7973" s="70"/>
      <c r="D7973" s="70"/>
      <c r="E7973" s="70"/>
      <c r="F7973" s="70"/>
      <c r="G7973" s="94"/>
      <c r="H7973" s="131"/>
      <c r="I7973" s="3"/>
    </row>
    <row r="7974" spans="1:9" s="93" customFormat="1" ht="9" customHeight="1" x14ac:dyDescent="0.3">
      <c r="A7974" s="91"/>
      <c r="B7974" s="70"/>
      <c r="C7974" s="70"/>
      <c r="D7974" s="70"/>
      <c r="E7974" s="70"/>
      <c r="F7974" s="70"/>
      <c r="G7974" s="94"/>
      <c r="H7974" s="131"/>
      <c r="I7974" s="3"/>
    </row>
    <row r="7975" spans="1:9" s="93" customFormat="1" ht="9" customHeight="1" x14ac:dyDescent="0.3">
      <c r="A7975" s="91"/>
      <c r="B7975" s="70"/>
      <c r="C7975" s="70"/>
      <c r="D7975" s="70"/>
      <c r="E7975" s="70"/>
      <c r="F7975" s="70"/>
      <c r="G7975" s="94"/>
      <c r="H7975" s="131"/>
      <c r="I7975" s="3"/>
    </row>
    <row r="7976" spans="1:9" s="93" customFormat="1" ht="9" customHeight="1" x14ac:dyDescent="0.3">
      <c r="A7976" s="91"/>
      <c r="B7976" s="70"/>
      <c r="C7976" s="70"/>
      <c r="D7976" s="70"/>
      <c r="E7976" s="70"/>
      <c r="F7976" s="70"/>
      <c r="G7976" s="94"/>
      <c r="H7976" s="131"/>
      <c r="I7976" s="3"/>
    </row>
    <row r="7977" spans="1:9" s="93" customFormat="1" ht="9" customHeight="1" x14ac:dyDescent="0.3">
      <c r="A7977" s="91"/>
      <c r="B7977" s="70"/>
      <c r="C7977" s="70"/>
      <c r="D7977" s="70"/>
      <c r="E7977" s="70"/>
      <c r="F7977" s="70"/>
      <c r="G7977" s="94"/>
      <c r="H7977" s="131"/>
      <c r="I7977" s="3"/>
    </row>
    <row r="7978" spans="1:9" s="93" customFormat="1" ht="9" customHeight="1" x14ac:dyDescent="0.3">
      <c r="A7978" s="91"/>
      <c r="B7978" s="70"/>
      <c r="C7978" s="70"/>
      <c r="D7978" s="70"/>
      <c r="E7978" s="70"/>
      <c r="F7978" s="70"/>
      <c r="G7978" s="94"/>
      <c r="H7978" s="131"/>
      <c r="I7978" s="3"/>
    </row>
    <row r="7979" spans="1:9" s="93" customFormat="1" ht="9" customHeight="1" x14ac:dyDescent="0.3">
      <c r="A7979" s="91"/>
      <c r="B7979" s="70"/>
      <c r="C7979" s="70"/>
      <c r="D7979" s="70"/>
      <c r="E7979" s="70"/>
      <c r="F7979" s="70"/>
      <c r="G7979" s="94"/>
      <c r="H7979" s="131"/>
      <c r="I7979" s="3"/>
    </row>
    <row r="7980" spans="1:9" s="93" customFormat="1" ht="9" customHeight="1" x14ac:dyDescent="0.3">
      <c r="A7980" s="91"/>
      <c r="B7980" s="70"/>
      <c r="C7980" s="70"/>
      <c r="D7980" s="70"/>
      <c r="E7980" s="70"/>
      <c r="F7980" s="70"/>
      <c r="G7980" s="94"/>
      <c r="H7980" s="131"/>
      <c r="I7980" s="3"/>
    </row>
    <row r="7981" spans="1:9" s="93" customFormat="1" ht="9" customHeight="1" x14ac:dyDescent="0.3">
      <c r="A7981" s="91"/>
      <c r="B7981" s="70"/>
      <c r="C7981" s="70"/>
      <c r="D7981" s="70"/>
      <c r="E7981" s="70"/>
      <c r="F7981" s="70"/>
      <c r="G7981" s="94"/>
      <c r="H7981" s="131"/>
      <c r="I7981" s="3"/>
    </row>
    <row r="7982" spans="1:9" s="93" customFormat="1" ht="9" customHeight="1" x14ac:dyDescent="0.3">
      <c r="A7982" s="91"/>
      <c r="B7982" s="70"/>
      <c r="C7982" s="70"/>
      <c r="D7982" s="70"/>
      <c r="E7982" s="70"/>
      <c r="F7982" s="70"/>
      <c r="G7982" s="94"/>
      <c r="H7982" s="131"/>
      <c r="I7982" s="3"/>
    </row>
    <row r="7983" spans="1:9" s="93" customFormat="1" ht="9" customHeight="1" x14ac:dyDescent="0.3">
      <c r="A7983" s="91"/>
      <c r="B7983" s="70"/>
      <c r="C7983" s="70"/>
      <c r="D7983" s="70"/>
      <c r="E7983" s="70"/>
      <c r="F7983" s="70"/>
      <c r="G7983" s="94"/>
      <c r="H7983" s="131"/>
      <c r="I7983" s="3"/>
    </row>
    <row r="7984" spans="1:9" s="93" customFormat="1" ht="9" customHeight="1" x14ac:dyDescent="0.3">
      <c r="A7984" s="91"/>
      <c r="B7984" s="70"/>
      <c r="C7984" s="70"/>
      <c r="D7984" s="70"/>
      <c r="E7984" s="70"/>
      <c r="F7984" s="70"/>
      <c r="G7984" s="94"/>
      <c r="H7984" s="131"/>
      <c r="I7984" s="3"/>
    </row>
    <row r="7985" spans="1:9" s="93" customFormat="1" ht="9" customHeight="1" x14ac:dyDescent="0.3">
      <c r="A7985" s="91"/>
      <c r="B7985" s="70"/>
      <c r="C7985" s="70"/>
      <c r="D7985" s="70"/>
      <c r="E7985" s="70"/>
      <c r="F7985" s="70"/>
      <c r="G7985" s="94"/>
      <c r="H7985" s="131"/>
      <c r="I7985" s="3"/>
    </row>
    <row r="7986" spans="1:9" s="93" customFormat="1" ht="9" customHeight="1" x14ac:dyDescent="0.3">
      <c r="A7986" s="91"/>
      <c r="B7986" s="70"/>
      <c r="C7986" s="70"/>
      <c r="D7986" s="70"/>
      <c r="E7986" s="70"/>
      <c r="F7986" s="70"/>
      <c r="G7986" s="94"/>
      <c r="H7986" s="131"/>
      <c r="I7986" s="3"/>
    </row>
    <row r="7987" spans="1:9" s="93" customFormat="1" ht="9" customHeight="1" x14ac:dyDescent="0.3">
      <c r="A7987" s="91"/>
      <c r="B7987" s="70"/>
      <c r="C7987" s="70"/>
      <c r="D7987" s="70"/>
      <c r="E7987" s="70"/>
      <c r="F7987" s="70"/>
      <c r="G7987" s="94"/>
      <c r="H7987" s="131"/>
      <c r="I7987" s="3"/>
    </row>
    <row r="7988" spans="1:9" s="93" customFormat="1" ht="9" customHeight="1" x14ac:dyDescent="0.3">
      <c r="A7988" s="91"/>
      <c r="B7988" s="70"/>
      <c r="C7988" s="70"/>
      <c r="D7988" s="70"/>
      <c r="E7988" s="70"/>
      <c r="F7988" s="70"/>
      <c r="G7988" s="94"/>
      <c r="H7988" s="131"/>
      <c r="I7988" s="3"/>
    </row>
    <row r="7989" spans="1:9" s="93" customFormat="1" ht="9" customHeight="1" x14ac:dyDescent="0.3">
      <c r="A7989" s="91"/>
      <c r="B7989" s="70"/>
      <c r="C7989" s="70"/>
      <c r="D7989" s="70"/>
      <c r="E7989" s="70"/>
      <c r="F7989" s="70"/>
      <c r="G7989" s="94"/>
      <c r="H7989" s="131"/>
      <c r="I7989" s="3"/>
    </row>
    <row r="7990" spans="1:9" s="93" customFormat="1" ht="9" customHeight="1" x14ac:dyDescent="0.3">
      <c r="A7990" s="91"/>
      <c r="B7990" s="70"/>
      <c r="C7990" s="70"/>
      <c r="D7990" s="70"/>
      <c r="E7990" s="70"/>
      <c r="F7990" s="70"/>
      <c r="G7990" s="94"/>
      <c r="H7990" s="131"/>
      <c r="I7990" s="3"/>
    </row>
    <row r="7991" spans="1:9" s="93" customFormat="1" ht="9" customHeight="1" x14ac:dyDescent="0.3">
      <c r="A7991" s="91"/>
      <c r="B7991" s="70"/>
      <c r="C7991" s="70"/>
      <c r="D7991" s="70"/>
      <c r="E7991" s="70"/>
      <c r="F7991" s="70"/>
      <c r="G7991" s="94"/>
      <c r="H7991" s="131"/>
      <c r="I7991" s="3"/>
    </row>
    <row r="7992" spans="1:9" s="93" customFormat="1" ht="9" customHeight="1" x14ac:dyDescent="0.3">
      <c r="A7992" s="91"/>
      <c r="B7992" s="70"/>
      <c r="C7992" s="70"/>
      <c r="D7992" s="70"/>
      <c r="E7992" s="70"/>
      <c r="F7992" s="70"/>
      <c r="G7992" s="94"/>
      <c r="H7992" s="131"/>
      <c r="I7992" s="3"/>
    </row>
    <row r="7993" spans="1:9" s="93" customFormat="1" ht="9" customHeight="1" x14ac:dyDescent="0.3">
      <c r="A7993" s="91"/>
      <c r="B7993" s="70"/>
      <c r="C7993" s="70"/>
      <c r="D7993" s="70"/>
      <c r="E7993" s="70"/>
      <c r="F7993" s="70"/>
      <c r="G7993" s="94"/>
      <c r="H7993" s="131"/>
      <c r="I7993" s="3"/>
    </row>
    <row r="7994" spans="1:9" s="93" customFormat="1" ht="9" customHeight="1" x14ac:dyDescent="0.3">
      <c r="A7994" s="91"/>
      <c r="B7994" s="70"/>
      <c r="C7994" s="70"/>
      <c r="D7994" s="70"/>
      <c r="E7994" s="70"/>
      <c r="F7994" s="70"/>
      <c r="G7994" s="94"/>
      <c r="H7994" s="131"/>
      <c r="I7994" s="3"/>
    </row>
    <row r="7995" spans="1:9" s="93" customFormat="1" ht="9" customHeight="1" x14ac:dyDescent="0.3">
      <c r="A7995" s="91"/>
      <c r="B7995" s="70"/>
      <c r="C7995" s="70"/>
      <c r="D7995" s="70"/>
      <c r="E7995" s="70"/>
      <c r="F7995" s="70"/>
      <c r="G7995" s="94"/>
      <c r="H7995" s="131"/>
      <c r="I7995" s="3"/>
    </row>
    <row r="7996" spans="1:9" s="93" customFormat="1" ht="9" customHeight="1" x14ac:dyDescent="0.3">
      <c r="A7996" s="91"/>
      <c r="B7996" s="70"/>
      <c r="C7996" s="70"/>
      <c r="D7996" s="70"/>
      <c r="E7996" s="70"/>
      <c r="F7996" s="70"/>
      <c r="G7996" s="94"/>
      <c r="H7996" s="131"/>
      <c r="I7996" s="3"/>
    </row>
    <row r="7997" spans="1:9" s="93" customFormat="1" ht="9" customHeight="1" x14ac:dyDescent="0.3">
      <c r="A7997" s="91"/>
      <c r="B7997" s="70"/>
      <c r="C7997" s="70"/>
      <c r="D7997" s="70"/>
      <c r="E7997" s="70"/>
      <c r="F7997" s="70"/>
      <c r="G7997" s="94"/>
      <c r="H7997" s="131"/>
      <c r="I7997" s="3"/>
    </row>
    <row r="7998" spans="1:9" s="93" customFormat="1" ht="9" customHeight="1" x14ac:dyDescent="0.3">
      <c r="A7998" s="91"/>
      <c r="B7998" s="70"/>
      <c r="C7998" s="70"/>
      <c r="D7998" s="70"/>
      <c r="E7998" s="70"/>
      <c r="F7998" s="70"/>
      <c r="G7998" s="94"/>
      <c r="H7998" s="131"/>
      <c r="I7998" s="3"/>
    </row>
    <row r="7999" spans="1:9" s="93" customFormat="1" ht="9" customHeight="1" x14ac:dyDescent="0.3">
      <c r="A7999" s="91"/>
      <c r="B7999" s="70"/>
      <c r="C7999" s="70"/>
      <c r="D7999" s="70"/>
      <c r="E7999" s="70"/>
      <c r="F7999" s="70"/>
      <c r="G7999" s="94"/>
      <c r="H7999" s="131"/>
      <c r="I7999" s="3"/>
    </row>
    <row r="8000" spans="1:9" s="93" customFormat="1" ht="9" customHeight="1" x14ac:dyDescent="0.3">
      <c r="A8000" s="91"/>
      <c r="B8000" s="70"/>
      <c r="C8000" s="70"/>
      <c r="D8000" s="70"/>
      <c r="E8000" s="70"/>
      <c r="F8000" s="70"/>
      <c r="G8000" s="94"/>
      <c r="H8000" s="131"/>
      <c r="I8000" s="3"/>
    </row>
    <row r="8001" spans="1:9" s="93" customFormat="1" ht="9" customHeight="1" x14ac:dyDescent="0.3">
      <c r="A8001" s="91"/>
      <c r="B8001" s="70"/>
      <c r="C8001" s="70"/>
      <c r="D8001" s="70"/>
      <c r="E8001" s="70"/>
      <c r="F8001" s="70"/>
      <c r="G8001" s="94"/>
      <c r="H8001" s="131"/>
      <c r="I8001" s="3"/>
    </row>
    <row r="8002" spans="1:9" s="93" customFormat="1" ht="9" customHeight="1" x14ac:dyDescent="0.3">
      <c r="A8002" s="91"/>
      <c r="B8002" s="70"/>
      <c r="C8002" s="70"/>
      <c r="D8002" s="70"/>
      <c r="E8002" s="70"/>
      <c r="F8002" s="70"/>
      <c r="G8002" s="94"/>
      <c r="H8002" s="131"/>
      <c r="I8002" s="3"/>
    </row>
    <row r="8003" spans="1:9" s="93" customFormat="1" ht="9" customHeight="1" x14ac:dyDescent="0.3">
      <c r="A8003" s="91"/>
      <c r="B8003" s="70"/>
      <c r="C8003" s="70"/>
      <c r="D8003" s="70"/>
      <c r="E8003" s="70"/>
      <c r="F8003" s="70"/>
      <c r="G8003" s="94"/>
      <c r="H8003" s="131"/>
      <c r="I8003" s="3"/>
    </row>
    <row r="8004" spans="1:9" s="93" customFormat="1" ht="9" customHeight="1" x14ac:dyDescent="0.3">
      <c r="A8004" s="91"/>
      <c r="B8004" s="70"/>
      <c r="C8004" s="70"/>
      <c r="D8004" s="70"/>
      <c r="E8004" s="70"/>
      <c r="F8004" s="70"/>
      <c r="G8004" s="94"/>
      <c r="H8004" s="131"/>
      <c r="I8004" s="3"/>
    </row>
    <row r="8005" spans="1:9" s="93" customFormat="1" ht="9" customHeight="1" x14ac:dyDescent="0.3">
      <c r="A8005" s="91"/>
      <c r="B8005" s="70"/>
      <c r="C8005" s="70"/>
      <c r="D8005" s="70"/>
      <c r="E8005" s="70"/>
      <c r="F8005" s="70"/>
      <c r="G8005" s="94"/>
      <c r="H8005" s="131"/>
      <c r="I8005" s="3"/>
    </row>
    <row r="8006" spans="1:9" s="93" customFormat="1" ht="9" customHeight="1" x14ac:dyDescent="0.3">
      <c r="A8006" s="91"/>
      <c r="B8006" s="70"/>
      <c r="C8006" s="70"/>
      <c r="D8006" s="70"/>
      <c r="E8006" s="70"/>
      <c r="F8006" s="70"/>
      <c r="G8006" s="94"/>
      <c r="H8006" s="131"/>
      <c r="I8006" s="3"/>
    </row>
    <row r="8007" spans="1:9" s="93" customFormat="1" ht="9" customHeight="1" x14ac:dyDescent="0.3">
      <c r="A8007" s="91"/>
      <c r="B8007" s="70"/>
      <c r="C8007" s="70"/>
      <c r="D8007" s="70"/>
      <c r="E8007" s="70"/>
      <c r="F8007" s="70"/>
      <c r="G8007" s="94"/>
      <c r="H8007" s="131"/>
      <c r="I8007" s="3"/>
    </row>
    <row r="8008" spans="1:9" s="93" customFormat="1" ht="9" customHeight="1" x14ac:dyDescent="0.3">
      <c r="A8008" s="91"/>
      <c r="B8008" s="70"/>
      <c r="C8008" s="70"/>
      <c r="D8008" s="70"/>
      <c r="E8008" s="70"/>
      <c r="F8008" s="70"/>
      <c r="G8008" s="94"/>
      <c r="H8008" s="131"/>
      <c r="I8008" s="3"/>
    </row>
    <row r="8009" spans="1:9" s="93" customFormat="1" ht="9" customHeight="1" x14ac:dyDescent="0.3">
      <c r="A8009" s="91"/>
      <c r="B8009" s="70"/>
      <c r="C8009" s="70"/>
      <c r="D8009" s="70"/>
      <c r="E8009" s="70"/>
      <c r="F8009" s="70"/>
      <c r="G8009" s="94"/>
      <c r="H8009" s="131"/>
      <c r="I8009" s="3"/>
    </row>
    <row r="8010" spans="1:9" s="93" customFormat="1" ht="9" customHeight="1" x14ac:dyDescent="0.3">
      <c r="A8010" s="91"/>
      <c r="B8010" s="70"/>
      <c r="C8010" s="70"/>
      <c r="D8010" s="70"/>
      <c r="E8010" s="70"/>
      <c r="F8010" s="70"/>
      <c r="G8010" s="94"/>
      <c r="H8010" s="131"/>
      <c r="I8010" s="3"/>
    </row>
    <row r="8011" spans="1:9" s="93" customFormat="1" ht="9" customHeight="1" x14ac:dyDescent="0.3">
      <c r="A8011" s="91"/>
      <c r="B8011" s="70"/>
      <c r="C8011" s="70"/>
      <c r="D8011" s="70"/>
      <c r="E8011" s="70"/>
      <c r="F8011" s="70"/>
      <c r="G8011" s="94"/>
      <c r="H8011" s="131"/>
      <c r="I8011" s="3"/>
    </row>
    <row r="8012" spans="1:9" s="93" customFormat="1" ht="9" customHeight="1" x14ac:dyDescent="0.3">
      <c r="A8012" s="91"/>
      <c r="B8012" s="70"/>
      <c r="C8012" s="70"/>
      <c r="D8012" s="70"/>
      <c r="E8012" s="70"/>
      <c r="F8012" s="70"/>
      <c r="G8012" s="94"/>
      <c r="H8012" s="131"/>
      <c r="I8012" s="3"/>
    </row>
    <row r="8013" spans="1:9" s="93" customFormat="1" ht="9" customHeight="1" x14ac:dyDescent="0.3">
      <c r="A8013" s="91"/>
      <c r="B8013" s="70"/>
      <c r="C8013" s="70"/>
      <c r="D8013" s="70"/>
      <c r="E8013" s="70"/>
      <c r="F8013" s="70"/>
      <c r="G8013" s="94"/>
      <c r="H8013" s="131"/>
      <c r="I8013" s="3"/>
    </row>
    <row r="8014" spans="1:9" s="93" customFormat="1" ht="9" customHeight="1" x14ac:dyDescent="0.3">
      <c r="A8014" s="91"/>
      <c r="B8014" s="70"/>
      <c r="C8014" s="70"/>
      <c r="D8014" s="70"/>
      <c r="E8014" s="70"/>
      <c r="F8014" s="70"/>
      <c r="G8014" s="94"/>
      <c r="H8014" s="131"/>
      <c r="I8014" s="3"/>
    </row>
    <row r="8015" spans="1:9" s="93" customFormat="1" ht="9" customHeight="1" x14ac:dyDescent="0.3">
      <c r="A8015" s="91"/>
      <c r="B8015" s="70"/>
      <c r="C8015" s="70"/>
      <c r="D8015" s="70"/>
      <c r="E8015" s="70"/>
      <c r="F8015" s="70"/>
      <c r="G8015" s="94"/>
      <c r="H8015" s="131"/>
      <c r="I8015" s="3"/>
    </row>
    <row r="8016" spans="1:9" s="93" customFormat="1" ht="9" customHeight="1" x14ac:dyDescent="0.3">
      <c r="A8016" s="91"/>
      <c r="B8016" s="70"/>
      <c r="C8016" s="70"/>
      <c r="D8016" s="70"/>
      <c r="E8016" s="70"/>
      <c r="F8016" s="70"/>
      <c r="G8016" s="94"/>
      <c r="H8016" s="131"/>
      <c r="I8016" s="3"/>
    </row>
    <row r="8017" spans="1:9" s="93" customFormat="1" ht="9" customHeight="1" x14ac:dyDescent="0.3">
      <c r="A8017" s="91"/>
      <c r="B8017" s="70"/>
      <c r="C8017" s="70"/>
      <c r="D8017" s="70"/>
      <c r="E8017" s="70"/>
      <c r="F8017" s="70"/>
      <c r="G8017" s="94"/>
      <c r="H8017" s="131"/>
      <c r="I8017" s="3"/>
    </row>
    <row r="8018" spans="1:9" s="93" customFormat="1" ht="9" customHeight="1" x14ac:dyDescent="0.3">
      <c r="A8018" s="91"/>
      <c r="B8018" s="70"/>
      <c r="C8018" s="70"/>
      <c r="D8018" s="70"/>
      <c r="E8018" s="70"/>
      <c r="F8018" s="70"/>
      <c r="G8018" s="94"/>
      <c r="H8018" s="131"/>
      <c r="I8018" s="3"/>
    </row>
    <row r="8019" spans="1:9" s="93" customFormat="1" ht="9" customHeight="1" x14ac:dyDescent="0.3">
      <c r="A8019" s="91"/>
      <c r="B8019" s="70"/>
      <c r="C8019" s="70"/>
      <c r="D8019" s="70"/>
      <c r="E8019" s="70"/>
      <c r="F8019" s="70"/>
      <c r="G8019" s="94"/>
      <c r="H8019" s="131"/>
      <c r="I8019" s="3"/>
    </row>
    <row r="8020" spans="1:9" s="93" customFormat="1" ht="9" customHeight="1" x14ac:dyDescent="0.3">
      <c r="A8020" s="91"/>
      <c r="B8020" s="70"/>
      <c r="C8020" s="70"/>
      <c r="D8020" s="70"/>
      <c r="E8020" s="70"/>
      <c r="F8020" s="70"/>
      <c r="G8020" s="94"/>
      <c r="H8020" s="131"/>
      <c r="I8020" s="3"/>
    </row>
    <row r="8021" spans="1:9" s="93" customFormat="1" ht="9" customHeight="1" x14ac:dyDescent="0.3">
      <c r="A8021" s="91"/>
      <c r="B8021" s="70"/>
      <c r="C8021" s="70"/>
      <c r="D8021" s="70"/>
      <c r="E8021" s="70"/>
      <c r="F8021" s="70"/>
      <c r="G8021" s="94"/>
      <c r="H8021" s="131"/>
      <c r="I8021" s="3"/>
    </row>
    <row r="8022" spans="1:9" s="93" customFormat="1" ht="9" customHeight="1" x14ac:dyDescent="0.3">
      <c r="A8022" s="91"/>
      <c r="B8022" s="70"/>
      <c r="C8022" s="70"/>
      <c r="D8022" s="70"/>
      <c r="E8022" s="70"/>
      <c r="F8022" s="70"/>
      <c r="G8022" s="94"/>
      <c r="H8022" s="131"/>
      <c r="I8022" s="3"/>
    </row>
    <row r="8023" spans="1:9" s="93" customFormat="1" ht="9" customHeight="1" x14ac:dyDescent="0.3">
      <c r="A8023" s="91"/>
      <c r="B8023" s="70"/>
      <c r="C8023" s="70"/>
      <c r="D8023" s="70"/>
      <c r="E8023" s="70"/>
      <c r="F8023" s="70"/>
      <c r="G8023" s="94"/>
      <c r="H8023" s="131"/>
      <c r="I8023" s="3"/>
    </row>
    <row r="8024" spans="1:9" s="93" customFormat="1" ht="9" customHeight="1" x14ac:dyDescent="0.3">
      <c r="A8024" s="91"/>
      <c r="B8024" s="70"/>
      <c r="C8024" s="70"/>
      <c r="D8024" s="70"/>
      <c r="E8024" s="70"/>
      <c r="F8024" s="70"/>
      <c r="G8024" s="94"/>
      <c r="H8024" s="131"/>
      <c r="I8024" s="3"/>
    </row>
    <row r="8025" spans="1:9" s="93" customFormat="1" ht="9" customHeight="1" x14ac:dyDescent="0.3">
      <c r="A8025" s="91"/>
      <c r="B8025" s="70"/>
      <c r="C8025" s="70"/>
      <c r="D8025" s="70"/>
      <c r="E8025" s="70"/>
      <c r="F8025" s="70"/>
      <c r="G8025" s="94"/>
      <c r="H8025" s="131"/>
      <c r="I8025" s="3"/>
    </row>
    <row r="8026" spans="1:9" s="93" customFormat="1" ht="9" customHeight="1" x14ac:dyDescent="0.3">
      <c r="A8026" s="91"/>
      <c r="B8026" s="70"/>
      <c r="C8026" s="70"/>
      <c r="D8026" s="70"/>
      <c r="E8026" s="70"/>
      <c r="F8026" s="70"/>
      <c r="G8026" s="94"/>
      <c r="H8026" s="131"/>
      <c r="I8026" s="3"/>
    </row>
    <row r="8027" spans="1:9" s="93" customFormat="1" ht="9" customHeight="1" x14ac:dyDescent="0.3">
      <c r="A8027" s="91"/>
      <c r="B8027" s="70"/>
      <c r="C8027" s="70"/>
      <c r="D8027" s="70"/>
      <c r="E8027" s="70"/>
      <c r="F8027" s="70"/>
      <c r="G8027" s="94"/>
      <c r="H8027" s="131"/>
      <c r="I8027" s="3"/>
    </row>
    <row r="8028" spans="1:9" s="93" customFormat="1" ht="9" customHeight="1" x14ac:dyDescent="0.3">
      <c r="A8028" s="91"/>
      <c r="B8028" s="70"/>
      <c r="C8028" s="70"/>
      <c r="D8028" s="70"/>
      <c r="E8028" s="70"/>
      <c r="F8028" s="70"/>
      <c r="G8028" s="94"/>
      <c r="H8028" s="131"/>
      <c r="I8028" s="3"/>
    </row>
    <row r="8029" spans="1:9" s="93" customFormat="1" ht="9" customHeight="1" x14ac:dyDescent="0.3">
      <c r="A8029" s="91"/>
      <c r="B8029" s="70"/>
      <c r="C8029" s="70"/>
      <c r="D8029" s="70"/>
      <c r="E8029" s="70"/>
      <c r="F8029" s="70"/>
      <c r="G8029" s="94"/>
      <c r="H8029" s="131"/>
      <c r="I8029" s="3"/>
    </row>
    <row r="8030" spans="1:9" s="93" customFormat="1" ht="9" customHeight="1" x14ac:dyDescent="0.3">
      <c r="A8030" s="91"/>
      <c r="B8030" s="70"/>
      <c r="C8030" s="70"/>
      <c r="D8030" s="70"/>
      <c r="E8030" s="70"/>
      <c r="F8030" s="70"/>
      <c r="G8030" s="94"/>
      <c r="H8030" s="131"/>
      <c r="I8030" s="3"/>
    </row>
    <row r="8031" spans="1:9" s="93" customFormat="1" ht="9" customHeight="1" x14ac:dyDescent="0.3">
      <c r="A8031" s="91"/>
      <c r="B8031" s="70"/>
      <c r="C8031" s="70"/>
      <c r="D8031" s="70"/>
      <c r="E8031" s="70"/>
      <c r="F8031" s="70"/>
      <c r="G8031" s="94"/>
      <c r="H8031" s="131"/>
      <c r="I8031" s="3"/>
    </row>
    <row r="8032" spans="1:9" s="93" customFormat="1" ht="9" customHeight="1" x14ac:dyDescent="0.3">
      <c r="A8032" s="91"/>
      <c r="B8032" s="70"/>
      <c r="C8032" s="70"/>
      <c r="D8032" s="70"/>
      <c r="E8032" s="70"/>
      <c r="F8032" s="70"/>
      <c r="G8032" s="94"/>
      <c r="H8032" s="131"/>
      <c r="I8032" s="3"/>
    </row>
    <row r="8033" spans="1:9" s="93" customFormat="1" ht="9" customHeight="1" x14ac:dyDescent="0.3">
      <c r="A8033" s="91"/>
      <c r="B8033" s="70"/>
      <c r="C8033" s="70"/>
      <c r="D8033" s="70"/>
      <c r="E8033" s="70"/>
      <c r="F8033" s="70"/>
      <c r="G8033" s="94"/>
      <c r="H8033" s="131"/>
      <c r="I8033" s="3"/>
    </row>
    <row r="8034" spans="1:9" s="93" customFormat="1" ht="9" customHeight="1" x14ac:dyDescent="0.3">
      <c r="A8034" s="91"/>
      <c r="B8034" s="70"/>
      <c r="C8034" s="70"/>
      <c r="D8034" s="70"/>
      <c r="E8034" s="70"/>
      <c r="F8034" s="70"/>
      <c r="G8034" s="94"/>
      <c r="H8034" s="131"/>
      <c r="I8034" s="3"/>
    </row>
    <row r="8035" spans="1:9" s="93" customFormat="1" ht="9" customHeight="1" x14ac:dyDescent="0.3">
      <c r="A8035" s="91"/>
      <c r="B8035" s="70"/>
      <c r="C8035" s="70"/>
      <c r="D8035" s="70"/>
      <c r="E8035" s="70"/>
      <c r="F8035" s="70"/>
      <c r="G8035" s="94"/>
      <c r="H8035" s="131"/>
      <c r="I8035" s="3"/>
    </row>
    <row r="8036" spans="1:9" s="93" customFormat="1" ht="9" customHeight="1" x14ac:dyDescent="0.3">
      <c r="A8036" s="91"/>
      <c r="B8036" s="70"/>
      <c r="C8036" s="70"/>
      <c r="D8036" s="70"/>
      <c r="E8036" s="70"/>
      <c r="F8036" s="70"/>
      <c r="G8036" s="94"/>
      <c r="H8036" s="131"/>
      <c r="I8036" s="3"/>
    </row>
    <row r="8037" spans="1:9" s="93" customFormat="1" ht="9" customHeight="1" x14ac:dyDescent="0.3">
      <c r="A8037" s="91"/>
      <c r="B8037" s="70"/>
      <c r="C8037" s="70"/>
      <c r="D8037" s="70"/>
      <c r="E8037" s="70"/>
      <c r="F8037" s="70"/>
      <c r="G8037" s="94"/>
      <c r="H8037" s="131"/>
      <c r="I8037" s="3"/>
    </row>
    <row r="8038" spans="1:9" s="93" customFormat="1" ht="9" customHeight="1" x14ac:dyDescent="0.3">
      <c r="A8038" s="91"/>
      <c r="B8038" s="70"/>
      <c r="C8038" s="70"/>
      <c r="D8038" s="70"/>
      <c r="E8038" s="70"/>
      <c r="F8038" s="70"/>
      <c r="G8038" s="94"/>
      <c r="H8038" s="131"/>
      <c r="I8038" s="3"/>
    </row>
    <row r="8039" spans="1:9" s="93" customFormat="1" ht="9" customHeight="1" x14ac:dyDescent="0.3">
      <c r="A8039" s="91"/>
      <c r="B8039" s="70"/>
      <c r="C8039" s="70"/>
      <c r="D8039" s="70"/>
      <c r="E8039" s="70"/>
      <c r="F8039" s="70"/>
      <c r="G8039" s="94"/>
      <c r="H8039" s="131"/>
      <c r="I8039" s="3"/>
    </row>
    <row r="8040" spans="1:9" s="93" customFormat="1" ht="9" customHeight="1" x14ac:dyDescent="0.3">
      <c r="A8040" s="91"/>
      <c r="B8040" s="70"/>
      <c r="C8040" s="70"/>
      <c r="D8040" s="70"/>
      <c r="E8040" s="70"/>
      <c r="F8040" s="70"/>
      <c r="G8040" s="94"/>
      <c r="H8040" s="131"/>
      <c r="I8040" s="3"/>
    </row>
    <row r="8041" spans="1:9" s="93" customFormat="1" ht="9" customHeight="1" x14ac:dyDescent="0.3">
      <c r="A8041" s="91"/>
      <c r="B8041" s="70"/>
      <c r="C8041" s="70"/>
      <c r="D8041" s="70"/>
      <c r="E8041" s="70"/>
      <c r="F8041" s="70"/>
      <c r="G8041" s="94"/>
      <c r="H8041" s="131"/>
      <c r="I8041" s="3"/>
    </row>
    <row r="8042" spans="1:9" s="93" customFormat="1" ht="9" customHeight="1" x14ac:dyDescent="0.3">
      <c r="A8042" s="91"/>
      <c r="B8042" s="70"/>
      <c r="C8042" s="70"/>
      <c r="D8042" s="70"/>
      <c r="E8042" s="70"/>
      <c r="F8042" s="70"/>
      <c r="G8042" s="94"/>
      <c r="H8042" s="131"/>
      <c r="I8042" s="3"/>
    </row>
    <row r="8043" spans="1:9" s="93" customFormat="1" ht="9" customHeight="1" x14ac:dyDescent="0.3">
      <c r="A8043" s="91"/>
      <c r="B8043" s="70"/>
      <c r="C8043" s="70"/>
      <c r="D8043" s="70"/>
      <c r="E8043" s="70"/>
      <c r="F8043" s="70"/>
      <c r="G8043" s="94"/>
      <c r="H8043" s="131"/>
      <c r="I8043" s="3"/>
    </row>
    <row r="8044" spans="1:9" s="93" customFormat="1" ht="9" customHeight="1" x14ac:dyDescent="0.3">
      <c r="A8044" s="91"/>
      <c r="B8044" s="70"/>
      <c r="C8044" s="70"/>
      <c r="D8044" s="70"/>
      <c r="E8044" s="70"/>
      <c r="F8044" s="70"/>
      <c r="G8044" s="94"/>
      <c r="H8044" s="131"/>
      <c r="I8044" s="3"/>
    </row>
    <row r="8045" spans="1:9" s="93" customFormat="1" ht="9" customHeight="1" x14ac:dyDescent="0.3">
      <c r="A8045" s="91"/>
      <c r="B8045" s="70"/>
      <c r="C8045" s="70"/>
      <c r="D8045" s="70"/>
      <c r="E8045" s="70"/>
      <c r="F8045" s="70"/>
      <c r="G8045" s="94"/>
      <c r="H8045" s="131"/>
      <c r="I8045" s="3"/>
    </row>
    <row r="8046" spans="1:9" s="93" customFormat="1" ht="9" customHeight="1" x14ac:dyDescent="0.3">
      <c r="A8046" s="91"/>
      <c r="B8046" s="70"/>
      <c r="C8046" s="70"/>
      <c r="D8046" s="70"/>
      <c r="E8046" s="70"/>
      <c r="F8046" s="70"/>
      <c r="G8046" s="94"/>
      <c r="H8046" s="131"/>
      <c r="I8046" s="3"/>
    </row>
    <row r="8047" spans="1:9" s="93" customFormat="1" ht="9" customHeight="1" x14ac:dyDescent="0.3">
      <c r="A8047" s="91"/>
      <c r="B8047" s="70"/>
      <c r="C8047" s="70"/>
      <c r="D8047" s="70"/>
      <c r="E8047" s="70"/>
      <c r="F8047" s="70"/>
      <c r="G8047" s="94"/>
      <c r="H8047" s="131"/>
      <c r="I8047" s="3"/>
    </row>
    <row r="8048" spans="1:9" s="93" customFormat="1" ht="9" customHeight="1" x14ac:dyDescent="0.3">
      <c r="A8048" s="91"/>
      <c r="B8048" s="70"/>
      <c r="C8048" s="70"/>
      <c r="D8048" s="70"/>
      <c r="E8048" s="70"/>
      <c r="F8048" s="70"/>
      <c r="G8048" s="94"/>
      <c r="H8048" s="131"/>
      <c r="I8048" s="3"/>
    </row>
    <row r="8049" spans="1:9" s="93" customFormat="1" ht="9" customHeight="1" x14ac:dyDescent="0.3">
      <c r="A8049" s="91"/>
      <c r="B8049" s="70"/>
      <c r="C8049" s="70"/>
      <c r="D8049" s="70"/>
      <c r="E8049" s="70"/>
      <c r="F8049" s="70"/>
      <c r="G8049" s="94"/>
      <c r="H8049" s="131"/>
      <c r="I8049" s="3"/>
    </row>
    <row r="8050" spans="1:9" s="93" customFormat="1" ht="9" customHeight="1" x14ac:dyDescent="0.3">
      <c r="A8050" s="91"/>
      <c r="B8050" s="70"/>
      <c r="C8050" s="70"/>
      <c r="D8050" s="70"/>
      <c r="E8050" s="70"/>
      <c r="F8050" s="70"/>
      <c r="G8050" s="94"/>
      <c r="H8050" s="131"/>
      <c r="I8050" s="3"/>
    </row>
    <row r="8051" spans="1:9" s="93" customFormat="1" ht="9" customHeight="1" x14ac:dyDescent="0.3">
      <c r="A8051" s="91"/>
      <c r="B8051" s="70"/>
      <c r="C8051" s="70"/>
      <c r="D8051" s="70"/>
      <c r="E8051" s="70"/>
      <c r="F8051" s="70"/>
      <c r="G8051" s="94"/>
      <c r="H8051" s="131"/>
      <c r="I8051" s="3"/>
    </row>
    <row r="8052" spans="1:9" s="93" customFormat="1" ht="9" customHeight="1" x14ac:dyDescent="0.3">
      <c r="A8052" s="91"/>
      <c r="B8052" s="70"/>
      <c r="C8052" s="70"/>
      <c r="D8052" s="70"/>
      <c r="E8052" s="70"/>
      <c r="F8052" s="70"/>
      <c r="G8052" s="94"/>
      <c r="H8052" s="131"/>
      <c r="I8052" s="3"/>
    </row>
    <row r="8053" spans="1:9" s="93" customFormat="1" ht="9" customHeight="1" x14ac:dyDescent="0.3">
      <c r="A8053" s="91"/>
      <c r="B8053" s="70"/>
      <c r="C8053" s="70"/>
      <c r="D8053" s="70"/>
      <c r="E8053" s="70"/>
      <c r="F8053" s="70"/>
      <c r="G8053" s="94"/>
      <c r="H8053" s="131"/>
      <c r="I8053" s="3"/>
    </row>
    <row r="8054" spans="1:9" s="93" customFormat="1" ht="9" customHeight="1" x14ac:dyDescent="0.3">
      <c r="A8054" s="91"/>
      <c r="B8054" s="70"/>
      <c r="C8054" s="70"/>
      <c r="D8054" s="70"/>
      <c r="E8054" s="70"/>
      <c r="F8054" s="70"/>
      <c r="G8054" s="94"/>
      <c r="H8054" s="131"/>
      <c r="I8054" s="3"/>
    </row>
    <row r="8055" spans="1:9" s="93" customFormat="1" ht="9" customHeight="1" x14ac:dyDescent="0.3">
      <c r="A8055" s="91"/>
      <c r="B8055" s="70"/>
      <c r="C8055" s="70"/>
      <c r="D8055" s="70"/>
      <c r="E8055" s="70"/>
      <c r="F8055" s="70"/>
      <c r="G8055" s="94"/>
      <c r="H8055" s="131"/>
      <c r="I8055" s="3"/>
    </row>
    <row r="8056" spans="1:9" s="93" customFormat="1" ht="9" customHeight="1" x14ac:dyDescent="0.3">
      <c r="A8056" s="91"/>
      <c r="B8056" s="70"/>
      <c r="C8056" s="70"/>
      <c r="D8056" s="70"/>
      <c r="E8056" s="70"/>
      <c r="F8056" s="70"/>
      <c r="G8056" s="94"/>
      <c r="H8056" s="131"/>
      <c r="I8056" s="3"/>
    </row>
    <row r="8057" spans="1:9" s="93" customFormat="1" ht="9" customHeight="1" x14ac:dyDescent="0.3">
      <c r="A8057" s="91"/>
      <c r="B8057" s="70"/>
      <c r="C8057" s="70"/>
      <c r="D8057" s="70"/>
      <c r="E8057" s="70"/>
      <c r="F8057" s="70"/>
      <c r="G8057" s="94"/>
      <c r="H8057" s="131"/>
      <c r="I8057" s="3"/>
    </row>
    <row r="8058" spans="1:9" s="93" customFormat="1" ht="9" customHeight="1" x14ac:dyDescent="0.3">
      <c r="A8058" s="91"/>
      <c r="B8058" s="70"/>
      <c r="C8058" s="70"/>
      <c r="D8058" s="70"/>
      <c r="E8058" s="70"/>
      <c r="F8058" s="70"/>
      <c r="G8058" s="94"/>
      <c r="H8058" s="131"/>
      <c r="I8058" s="3"/>
    </row>
    <row r="8059" spans="1:9" s="93" customFormat="1" ht="9" customHeight="1" x14ac:dyDescent="0.3">
      <c r="A8059" s="91"/>
      <c r="B8059" s="70"/>
      <c r="C8059" s="70"/>
      <c r="D8059" s="70"/>
      <c r="E8059" s="70"/>
      <c r="F8059" s="70"/>
      <c r="G8059" s="94"/>
      <c r="H8059" s="131"/>
      <c r="I8059" s="3"/>
    </row>
    <row r="8060" spans="1:9" s="93" customFormat="1" ht="9" customHeight="1" x14ac:dyDescent="0.3">
      <c r="A8060" s="91"/>
      <c r="B8060" s="70"/>
      <c r="C8060" s="70"/>
      <c r="D8060" s="70"/>
      <c r="E8060" s="70"/>
      <c r="F8060" s="70"/>
      <c r="G8060" s="94"/>
      <c r="H8060" s="131"/>
      <c r="I8060" s="3"/>
    </row>
    <row r="8061" spans="1:9" s="93" customFormat="1" ht="9" customHeight="1" x14ac:dyDescent="0.3">
      <c r="A8061" s="91"/>
      <c r="B8061" s="70"/>
      <c r="C8061" s="70"/>
      <c r="D8061" s="70"/>
      <c r="E8061" s="70"/>
      <c r="F8061" s="70"/>
      <c r="G8061" s="94"/>
      <c r="H8061" s="131"/>
      <c r="I8061" s="3"/>
    </row>
    <row r="8062" spans="1:9" s="93" customFormat="1" ht="9" customHeight="1" x14ac:dyDescent="0.3">
      <c r="A8062" s="91"/>
      <c r="B8062" s="70"/>
      <c r="C8062" s="70"/>
      <c r="D8062" s="70"/>
      <c r="E8062" s="70"/>
      <c r="F8062" s="70"/>
      <c r="G8062" s="94"/>
      <c r="H8062" s="131"/>
      <c r="I8062" s="3"/>
    </row>
    <row r="8063" spans="1:9" s="93" customFormat="1" ht="9" customHeight="1" x14ac:dyDescent="0.3">
      <c r="A8063" s="91"/>
      <c r="B8063" s="70"/>
      <c r="C8063" s="70"/>
      <c r="D8063" s="70"/>
      <c r="E8063" s="70"/>
      <c r="F8063" s="70"/>
      <c r="G8063" s="94"/>
      <c r="H8063" s="131"/>
      <c r="I8063" s="3"/>
    </row>
    <row r="8064" spans="1:9" s="93" customFormat="1" ht="9" customHeight="1" x14ac:dyDescent="0.3">
      <c r="A8064" s="91"/>
      <c r="B8064" s="70"/>
      <c r="C8064" s="70"/>
      <c r="D8064" s="70"/>
      <c r="E8064" s="70"/>
      <c r="F8064" s="70"/>
      <c r="G8064" s="94"/>
      <c r="H8064" s="131"/>
      <c r="I8064" s="3"/>
    </row>
    <row r="8065" spans="1:9" s="93" customFormat="1" ht="9" customHeight="1" x14ac:dyDescent="0.3">
      <c r="A8065" s="91"/>
      <c r="B8065" s="70"/>
      <c r="C8065" s="70"/>
      <c r="D8065" s="70"/>
      <c r="E8065" s="70"/>
      <c r="F8065" s="70"/>
      <c r="G8065" s="94"/>
      <c r="H8065" s="131"/>
      <c r="I8065" s="3"/>
    </row>
    <row r="8066" spans="1:9" s="93" customFormat="1" ht="9" customHeight="1" x14ac:dyDescent="0.3">
      <c r="A8066" s="91"/>
      <c r="B8066" s="70"/>
      <c r="C8066" s="70"/>
      <c r="D8066" s="70"/>
      <c r="E8066" s="70"/>
      <c r="F8066" s="70"/>
      <c r="G8066" s="94"/>
      <c r="H8066" s="131"/>
      <c r="I8066" s="3"/>
    </row>
    <row r="8067" spans="1:9" s="93" customFormat="1" ht="9" customHeight="1" x14ac:dyDescent="0.3">
      <c r="A8067" s="91"/>
      <c r="B8067" s="70"/>
      <c r="C8067" s="70"/>
      <c r="D8067" s="70"/>
      <c r="E8067" s="70"/>
      <c r="F8067" s="70"/>
      <c r="G8067" s="94"/>
      <c r="H8067" s="131"/>
      <c r="I8067" s="3"/>
    </row>
    <row r="8068" spans="1:9" s="93" customFormat="1" ht="9" customHeight="1" x14ac:dyDescent="0.3">
      <c r="A8068" s="91"/>
      <c r="B8068" s="70"/>
      <c r="C8068" s="70"/>
      <c r="D8068" s="70"/>
      <c r="E8068" s="70"/>
      <c r="F8068" s="70"/>
      <c r="G8068" s="94"/>
      <c r="H8068" s="131"/>
      <c r="I8068" s="3"/>
    </row>
    <row r="8069" spans="1:9" s="93" customFormat="1" ht="9" customHeight="1" x14ac:dyDescent="0.3">
      <c r="A8069" s="91"/>
      <c r="B8069" s="70"/>
      <c r="C8069" s="70"/>
      <c r="D8069" s="70"/>
      <c r="E8069" s="70"/>
      <c r="F8069" s="70"/>
      <c r="G8069" s="94"/>
      <c r="H8069" s="131"/>
      <c r="I8069" s="3"/>
    </row>
    <row r="8070" spans="1:9" s="93" customFormat="1" ht="9" customHeight="1" x14ac:dyDescent="0.3">
      <c r="A8070" s="91"/>
      <c r="B8070" s="70"/>
      <c r="C8070" s="70"/>
      <c r="D8070" s="70"/>
      <c r="E8070" s="70"/>
      <c r="F8070" s="70"/>
      <c r="G8070" s="94"/>
      <c r="H8070" s="131"/>
      <c r="I8070" s="3"/>
    </row>
    <row r="8071" spans="1:9" s="93" customFormat="1" ht="9" customHeight="1" x14ac:dyDescent="0.3">
      <c r="A8071" s="91"/>
      <c r="B8071" s="70"/>
      <c r="C8071" s="70"/>
      <c r="D8071" s="70"/>
      <c r="E8071" s="70"/>
      <c r="F8071" s="70"/>
      <c r="G8071" s="94"/>
      <c r="H8071" s="131"/>
      <c r="I8071" s="3"/>
    </row>
    <row r="8072" spans="1:9" s="93" customFormat="1" ht="9" customHeight="1" x14ac:dyDescent="0.3">
      <c r="A8072" s="91"/>
      <c r="B8072" s="70"/>
      <c r="C8072" s="70"/>
      <c r="D8072" s="70"/>
      <c r="E8072" s="70"/>
      <c r="F8072" s="70"/>
      <c r="G8072" s="94"/>
      <c r="H8072" s="131"/>
      <c r="I8072" s="3"/>
    </row>
    <row r="8073" spans="1:9" s="93" customFormat="1" ht="9" customHeight="1" x14ac:dyDescent="0.3">
      <c r="A8073" s="91"/>
      <c r="B8073" s="70"/>
      <c r="C8073" s="70"/>
      <c r="D8073" s="70"/>
      <c r="E8073" s="70"/>
      <c r="F8073" s="70"/>
      <c r="G8073" s="94"/>
      <c r="H8073" s="131"/>
      <c r="I8073" s="3"/>
    </row>
    <row r="8074" spans="1:9" s="93" customFormat="1" ht="9" customHeight="1" x14ac:dyDescent="0.3">
      <c r="A8074" s="91"/>
      <c r="B8074" s="70"/>
      <c r="C8074" s="70"/>
      <c r="D8074" s="70"/>
      <c r="E8074" s="70"/>
      <c r="F8074" s="70"/>
      <c r="G8074" s="94"/>
      <c r="H8074" s="131"/>
      <c r="I8074" s="3"/>
    </row>
    <row r="8075" spans="1:9" s="93" customFormat="1" ht="9" customHeight="1" x14ac:dyDescent="0.3">
      <c r="A8075" s="91"/>
      <c r="B8075" s="70"/>
      <c r="C8075" s="70"/>
      <c r="D8075" s="70"/>
      <c r="E8075" s="70"/>
      <c r="F8075" s="70"/>
      <c r="G8075" s="94"/>
      <c r="H8075" s="131"/>
      <c r="I8075" s="3"/>
    </row>
    <row r="8076" spans="1:9" s="93" customFormat="1" ht="9" customHeight="1" x14ac:dyDescent="0.3">
      <c r="A8076" s="91"/>
      <c r="B8076" s="70"/>
      <c r="C8076" s="70"/>
      <c r="D8076" s="70"/>
      <c r="E8076" s="70"/>
      <c r="F8076" s="70"/>
      <c r="G8076" s="94"/>
      <c r="H8076" s="131"/>
      <c r="I8076" s="3"/>
    </row>
    <row r="8077" spans="1:9" s="93" customFormat="1" ht="9" customHeight="1" x14ac:dyDescent="0.3">
      <c r="A8077" s="91"/>
      <c r="B8077" s="70"/>
      <c r="C8077" s="70"/>
      <c r="D8077" s="70"/>
      <c r="E8077" s="70"/>
      <c r="F8077" s="70"/>
      <c r="G8077" s="94"/>
      <c r="H8077" s="131"/>
      <c r="I8077" s="3"/>
    </row>
    <row r="8078" spans="1:9" s="93" customFormat="1" ht="9" customHeight="1" x14ac:dyDescent="0.3">
      <c r="A8078" s="91"/>
      <c r="B8078" s="70"/>
      <c r="C8078" s="70"/>
      <c r="D8078" s="70"/>
      <c r="E8078" s="70"/>
      <c r="F8078" s="70"/>
      <c r="G8078" s="94"/>
      <c r="H8078" s="131"/>
      <c r="I8078" s="3"/>
    </row>
    <row r="8079" spans="1:9" s="93" customFormat="1" ht="9" customHeight="1" x14ac:dyDescent="0.3">
      <c r="A8079" s="91"/>
      <c r="B8079" s="70"/>
      <c r="C8079" s="70"/>
      <c r="D8079" s="70"/>
      <c r="E8079" s="70"/>
      <c r="F8079" s="70"/>
      <c r="G8079" s="94"/>
      <c r="H8079" s="131"/>
      <c r="I8079" s="3"/>
    </row>
    <row r="8080" spans="1:9" s="93" customFormat="1" ht="9" customHeight="1" x14ac:dyDescent="0.3">
      <c r="A8080" s="91"/>
      <c r="B8080" s="70"/>
      <c r="C8080" s="70"/>
      <c r="D8080" s="70"/>
      <c r="E8080" s="70"/>
      <c r="F8080" s="70"/>
      <c r="G8080" s="94"/>
      <c r="H8080" s="131"/>
      <c r="I8080" s="3"/>
    </row>
    <row r="8081" spans="1:9" s="93" customFormat="1" ht="9" customHeight="1" x14ac:dyDescent="0.3">
      <c r="A8081" s="91"/>
      <c r="B8081" s="70"/>
      <c r="C8081" s="70"/>
      <c r="D8081" s="70"/>
      <c r="E8081" s="70"/>
      <c r="F8081" s="70"/>
      <c r="G8081" s="94"/>
      <c r="H8081" s="131"/>
      <c r="I8081" s="3"/>
    </row>
    <row r="8082" spans="1:9" s="93" customFormat="1" ht="9" customHeight="1" x14ac:dyDescent="0.3">
      <c r="A8082" s="91"/>
      <c r="B8082" s="70"/>
      <c r="C8082" s="70"/>
      <c r="D8082" s="70"/>
      <c r="E8082" s="70"/>
      <c r="F8082" s="70"/>
      <c r="G8082" s="94"/>
      <c r="H8082" s="131"/>
      <c r="I8082" s="3"/>
    </row>
    <row r="8083" spans="1:9" s="93" customFormat="1" ht="9" customHeight="1" x14ac:dyDescent="0.3">
      <c r="A8083" s="91"/>
      <c r="B8083" s="70"/>
      <c r="C8083" s="70"/>
      <c r="D8083" s="70"/>
      <c r="E8083" s="70"/>
      <c r="F8083" s="70"/>
      <c r="G8083" s="94"/>
      <c r="H8083" s="131"/>
      <c r="I8083" s="3"/>
    </row>
    <row r="8084" spans="1:9" s="93" customFormat="1" ht="9" customHeight="1" x14ac:dyDescent="0.3">
      <c r="A8084" s="91"/>
      <c r="B8084" s="70"/>
      <c r="C8084" s="70"/>
      <c r="D8084" s="70"/>
      <c r="E8084" s="70"/>
      <c r="F8084" s="70"/>
      <c r="G8084" s="94"/>
      <c r="H8084" s="131"/>
      <c r="I8084" s="3"/>
    </row>
    <row r="8085" spans="1:9" s="93" customFormat="1" ht="9" customHeight="1" x14ac:dyDescent="0.3">
      <c r="A8085" s="91"/>
      <c r="B8085" s="70"/>
      <c r="C8085" s="70"/>
      <c r="D8085" s="70"/>
      <c r="E8085" s="70"/>
      <c r="F8085" s="70"/>
      <c r="G8085" s="94"/>
      <c r="H8085" s="131"/>
      <c r="I8085" s="3"/>
    </row>
    <row r="8086" spans="1:9" s="93" customFormat="1" ht="9" customHeight="1" x14ac:dyDescent="0.3">
      <c r="A8086" s="91"/>
      <c r="B8086" s="70"/>
      <c r="C8086" s="70"/>
      <c r="D8086" s="70"/>
      <c r="E8086" s="70"/>
      <c r="F8086" s="70"/>
      <c r="G8086" s="94"/>
      <c r="H8086" s="131"/>
      <c r="I8086" s="3"/>
    </row>
    <row r="8087" spans="1:9" s="93" customFormat="1" ht="9" customHeight="1" x14ac:dyDescent="0.3">
      <c r="A8087" s="91"/>
      <c r="B8087" s="70"/>
      <c r="C8087" s="70"/>
      <c r="D8087" s="70"/>
      <c r="E8087" s="70"/>
      <c r="F8087" s="70"/>
      <c r="G8087" s="94"/>
      <c r="H8087" s="131"/>
      <c r="I8087" s="3"/>
    </row>
    <row r="8088" spans="1:9" s="93" customFormat="1" ht="9" customHeight="1" x14ac:dyDescent="0.3">
      <c r="A8088" s="91"/>
      <c r="B8088" s="70"/>
      <c r="C8088" s="70"/>
      <c r="D8088" s="70"/>
      <c r="E8088" s="70"/>
      <c r="F8088" s="70"/>
      <c r="G8088" s="94"/>
      <c r="H8088" s="131"/>
      <c r="I8088" s="3"/>
    </row>
    <row r="8089" spans="1:9" s="93" customFormat="1" ht="9" customHeight="1" x14ac:dyDescent="0.3">
      <c r="A8089" s="91"/>
      <c r="B8089" s="70"/>
      <c r="C8089" s="70"/>
      <c r="D8089" s="70"/>
      <c r="E8089" s="70"/>
      <c r="F8089" s="70"/>
      <c r="G8089" s="94"/>
      <c r="H8089" s="131"/>
      <c r="I8089" s="3"/>
    </row>
    <row r="8090" spans="1:9" s="93" customFormat="1" ht="9" customHeight="1" x14ac:dyDescent="0.3">
      <c r="A8090" s="91"/>
      <c r="B8090" s="70"/>
      <c r="C8090" s="70"/>
      <c r="D8090" s="70"/>
      <c r="E8090" s="70"/>
      <c r="F8090" s="70"/>
      <c r="G8090" s="94"/>
      <c r="H8090" s="131"/>
      <c r="I8090" s="3"/>
    </row>
    <row r="8091" spans="1:9" s="93" customFormat="1" ht="9" customHeight="1" x14ac:dyDescent="0.3">
      <c r="A8091" s="91"/>
      <c r="B8091" s="70"/>
      <c r="C8091" s="70"/>
      <c r="D8091" s="70"/>
      <c r="E8091" s="70"/>
      <c r="F8091" s="70"/>
      <c r="G8091" s="94"/>
      <c r="H8091" s="131"/>
      <c r="I8091" s="3"/>
    </row>
    <row r="8092" spans="1:9" s="93" customFormat="1" ht="9" customHeight="1" x14ac:dyDescent="0.3">
      <c r="A8092" s="91"/>
      <c r="B8092" s="70"/>
      <c r="C8092" s="70"/>
      <c r="D8092" s="70"/>
      <c r="E8092" s="70"/>
      <c r="F8092" s="70"/>
      <c r="G8092" s="94"/>
      <c r="H8092" s="131"/>
      <c r="I8092" s="3"/>
    </row>
    <row r="8093" spans="1:9" s="93" customFormat="1" ht="9" customHeight="1" x14ac:dyDescent="0.3">
      <c r="A8093" s="91"/>
      <c r="B8093" s="70"/>
      <c r="C8093" s="70"/>
      <c r="D8093" s="70"/>
      <c r="E8093" s="70"/>
      <c r="F8093" s="70"/>
      <c r="G8093" s="94"/>
      <c r="H8093" s="131"/>
      <c r="I8093" s="3"/>
    </row>
    <row r="8094" spans="1:9" s="93" customFormat="1" ht="9" customHeight="1" x14ac:dyDescent="0.3">
      <c r="A8094" s="91"/>
      <c r="B8094" s="70"/>
      <c r="C8094" s="70"/>
      <c r="D8094" s="70"/>
      <c r="E8094" s="70"/>
      <c r="F8094" s="70"/>
      <c r="G8094" s="94"/>
      <c r="H8094" s="131"/>
      <c r="I8094" s="3"/>
    </row>
    <row r="8095" spans="1:9" s="93" customFormat="1" ht="9" customHeight="1" x14ac:dyDescent="0.3">
      <c r="A8095" s="91"/>
      <c r="B8095" s="70"/>
      <c r="C8095" s="70"/>
      <c r="D8095" s="70"/>
      <c r="E8095" s="70"/>
      <c r="F8095" s="70"/>
      <c r="G8095" s="94"/>
      <c r="H8095" s="131"/>
      <c r="I8095" s="3"/>
    </row>
    <row r="8096" spans="1:9" s="93" customFormat="1" ht="9" customHeight="1" x14ac:dyDescent="0.3">
      <c r="A8096" s="91"/>
      <c r="B8096" s="70"/>
      <c r="C8096" s="70"/>
      <c r="D8096" s="70"/>
      <c r="E8096" s="70"/>
      <c r="F8096" s="70"/>
      <c r="G8096" s="94"/>
      <c r="H8096" s="131"/>
      <c r="I8096" s="3"/>
    </row>
    <row r="8097" spans="1:9" s="93" customFormat="1" ht="9" customHeight="1" x14ac:dyDescent="0.3">
      <c r="A8097" s="91"/>
      <c r="B8097" s="70"/>
      <c r="C8097" s="70"/>
      <c r="D8097" s="70"/>
      <c r="E8097" s="70"/>
      <c r="F8097" s="70"/>
      <c r="G8097" s="94"/>
      <c r="H8097" s="131"/>
      <c r="I8097" s="3"/>
    </row>
    <row r="8098" spans="1:9" s="93" customFormat="1" ht="9" customHeight="1" x14ac:dyDescent="0.3">
      <c r="A8098" s="91"/>
      <c r="B8098" s="70"/>
      <c r="C8098" s="70"/>
      <c r="D8098" s="70"/>
      <c r="E8098" s="70"/>
      <c r="F8098" s="70"/>
      <c r="G8098" s="94"/>
      <c r="H8098" s="131"/>
      <c r="I8098" s="3"/>
    </row>
    <row r="8099" spans="1:9" s="93" customFormat="1" ht="9" customHeight="1" x14ac:dyDescent="0.3">
      <c r="A8099" s="91"/>
      <c r="B8099" s="70"/>
      <c r="C8099" s="70"/>
      <c r="D8099" s="70"/>
      <c r="E8099" s="70"/>
      <c r="F8099" s="70"/>
      <c r="G8099" s="94"/>
      <c r="H8099" s="131"/>
      <c r="I8099" s="3"/>
    </row>
    <row r="8100" spans="1:9" s="93" customFormat="1" ht="9" customHeight="1" x14ac:dyDescent="0.3">
      <c r="A8100" s="91"/>
      <c r="B8100" s="70"/>
      <c r="C8100" s="70"/>
      <c r="D8100" s="70"/>
      <c r="E8100" s="70"/>
      <c r="F8100" s="70"/>
      <c r="G8100" s="94"/>
      <c r="H8100" s="131"/>
      <c r="I8100" s="3"/>
    </row>
    <row r="8101" spans="1:9" s="93" customFormat="1" ht="9" customHeight="1" x14ac:dyDescent="0.3">
      <c r="A8101" s="91"/>
      <c r="B8101" s="70"/>
      <c r="C8101" s="70"/>
      <c r="D8101" s="70"/>
      <c r="E8101" s="70"/>
      <c r="F8101" s="70"/>
      <c r="G8101" s="94"/>
      <c r="H8101" s="131"/>
      <c r="I8101" s="3"/>
    </row>
    <row r="8102" spans="1:9" s="93" customFormat="1" ht="9" customHeight="1" x14ac:dyDescent="0.3">
      <c r="A8102" s="91"/>
      <c r="B8102" s="70"/>
      <c r="C8102" s="70"/>
      <c r="D8102" s="70"/>
      <c r="E8102" s="70"/>
      <c r="F8102" s="70"/>
      <c r="G8102" s="94"/>
      <c r="H8102" s="131"/>
      <c r="I8102" s="3"/>
    </row>
    <row r="8103" spans="1:9" s="93" customFormat="1" ht="9" customHeight="1" x14ac:dyDescent="0.3">
      <c r="A8103" s="91"/>
      <c r="B8103" s="70"/>
      <c r="C8103" s="70"/>
      <c r="D8103" s="70"/>
      <c r="E8103" s="70"/>
      <c r="F8103" s="70"/>
      <c r="G8103" s="94"/>
      <c r="H8103" s="131"/>
      <c r="I8103" s="3"/>
    </row>
    <row r="8104" spans="1:9" s="93" customFormat="1" ht="9" customHeight="1" x14ac:dyDescent="0.3">
      <c r="A8104" s="91"/>
      <c r="B8104" s="70"/>
      <c r="C8104" s="70"/>
      <c r="D8104" s="70"/>
      <c r="E8104" s="70"/>
      <c r="F8104" s="70"/>
      <c r="G8104" s="94"/>
      <c r="H8104" s="131"/>
      <c r="I8104" s="3"/>
    </row>
    <row r="8105" spans="1:9" s="93" customFormat="1" ht="9" customHeight="1" x14ac:dyDescent="0.3">
      <c r="A8105" s="91"/>
      <c r="B8105" s="70"/>
      <c r="C8105" s="70"/>
      <c r="D8105" s="70"/>
      <c r="E8105" s="70"/>
      <c r="F8105" s="70"/>
      <c r="G8105" s="94"/>
      <c r="H8105" s="131"/>
      <c r="I8105" s="3"/>
    </row>
    <row r="8106" spans="1:9" s="93" customFormat="1" ht="9" customHeight="1" x14ac:dyDescent="0.3">
      <c r="A8106" s="91"/>
      <c r="B8106" s="70"/>
      <c r="C8106" s="70"/>
      <c r="D8106" s="70"/>
      <c r="E8106" s="70"/>
      <c r="F8106" s="70"/>
      <c r="G8106" s="94"/>
      <c r="H8106" s="131"/>
      <c r="I8106" s="3"/>
    </row>
    <row r="8107" spans="1:9" s="93" customFormat="1" ht="9" customHeight="1" x14ac:dyDescent="0.3">
      <c r="A8107" s="91"/>
      <c r="B8107" s="70"/>
      <c r="C8107" s="70"/>
      <c r="D8107" s="70"/>
      <c r="E8107" s="70"/>
      <c r="F8107" s="70"/>
      <c r="G8107" s="94"/>
      <c r="H8107" s="131"/>
      <c r="I8107" s="3"/>
    </row>
    <row r="8108" spans="1:9" s="93" customFormat="1" ht="9" customHeight="1" x14ac:dyDescent="0.3">
      <c r="A8108" s="91"/>
      <c r="B8108" s="70"/>
      <c r="C8108" s="70"/>
      <c r="D8108" s="70"/>
      <c r="E8108" s="70"/>
      <c r="F8108" s="70"/>
      <c r="G8108" s="94"/>
      <c r="H8108" s="131"/>
      <c r="I8108" s="3"/>
    </row>
    <row r="8109" spans="1:9" s="93" customFormat="1" ht="9" customHeight="1" x14ac:dyDescent="0.3">
      <c r="A8109" s="91"/>
      <c r="B8109" s="70"/>
      <c r="C8109" s="70"/>
      <c r="D8109" s="70"/>
      <c r="E8109" s="70"/>
      <c r="F8109" s="70"/>
      <c r="G8109" s="94"/>
      <c r="H8109" s="131"/>
      <c r="I8109" s="3"/>
    </row>
    <row r="8110" spans="1:9" s="93" customFormat="1" ht="9" customHeight="1" x14ac:dyDescent="0.3">
      <c r="A8110" s="91"/>
      <c r="B8110" s="70"/>
      <c r="C8110" s="70"/>
      <c r="D8110" s="70"/>
      <c r="E8110" s="70"/>
      <c r="F8110" s="70"/>
      <c r="G8110" s="94"/>
      <c r="H8110" s="131"/>
      <c r="I8110" s="3"/>
    </row>
    <row r="8111" spans="1:9" s="93" customFormat="1" ht="9" customHeight="1" x14ac:dyDescent="0.3">
      <c r="A8111" s="91"/>
      <c r="B8111" s="70"/>
      <c r="C8111" s="70"/>
      <c r="D8111" s="70"/>
      <c r="E8111" s="70"/>
      <c r="F8111" s="70"/>
      <c r="G8111" s="94"/>
      <c r="H8111" s="131"/>
      <c r="I8111" s="3"/>
    </row>
    <row r="8112" spans="1:9" s="93" customFormat="1" ht="9" customHeight="1" x14ac:dyDescent="0.3">
      <c r="A8112" s="91"/>
      <c r="B8112" s="70"/>
      <c r="C8112" s="70"/>
      <c r="D8112" s="70"/>
      <c r="E8112" s="70"/>
      <c r="F8112" s="70"/>
      <c r="G8112" s="94"/>
      <c r="H8112" s="131"/>
      <c r="I8112" s="3"/>
    </row>
    <row r="8113" spans="1:9" s="93" customFormat="1" ht="9" customHeight="1" x14ac:dyDescent="0.3">
      <c r="A8113" s="91"/>
      <c r="B8113" s="70"/>
      <c r="C8113" s="70"/>
      <c r="D8113" s="70"/>
      <c r="E8113" s="70"/>
      <c r="F8113" s="70"/>
      <c r="G8113" s="94"/>
      <c r="H8113" s="131"/>
      <c r="I8113" s="3"/>
    </row>
    <row r="8114" spans="1:9" s="93" customFormat="1" ht="9" customHeight="1" x14ac:dyDescent="0.3">
      <c r="A8114" s="91"/>
      <c r="B8114" s="70"/>
      <c r="C8114" s="70"/>
      <c r="D8114" s="70"/>
      <c r="E8114" s="70"/>
      <c r="F8114" s="70"/>
      <c r="G8114" s="94"/>
      <c r="H8114" s="131"/>
      <c r="I8114" s="3"/>
    </row>
    <row r="8115" spans="1:9" s="93" customFormat="1" ht="9" customHeight="1" x14ac:dyDescent="0.3">
      <c r="A8115" s="91"/>
      <c r="B8115" s="70"/>
      <c r="C8115" s="70"/>
      <c r="D8115" s="70"/>
      <c r="E8115" s="70"/>
      <c r="F8115" s="70"/>
      <c r="G8115" s="94"/>
      <c r="H8115" s="131"/>
      <c r="I8115" s="3"/>
    </row>
    <row r="8116" spans="1:9" s="93" customFormat="1" ht="9" customHeight="1" x14ac:dyDescent="0.3">
      <c r="A8116" s="91"/>
      <c r="B8116" s="70"/>
      <c r="C8116" s="70"/>
      <c r="D8116" s="70"/>
      <c r="E8116" s="70"/>
      <c r="F8116" s="70"/>
      <c r="G8116" s="94"/>
      <c r="H8116" s="131"/>
      <c r="I8116" s="3"/>
    </row>
    <row r="8117" spans="1:9" s="93" customFormat="1" ht="9" customHeight="1" x14ac:dyDescent="0.3">
      <c r="A8117" s="91"/>
      <c r="B8117" s="70"/>
      <c r="C8117" s="70"/>
      <c r="D8117" s="70"/>
      <c r="E8117" s="70"/>
      <c r="F8117" s="70"/>
      <c r="G8117" s="94"/>
      <c r="H8117" s="131"/>
      <c r="I8117" s="3"/>
    </row>
    <row r="8118" spans="1:9" s="93" customFormat="1" ht="9" customHeight="1" x14ac:dyDescent="0.3">
      <c r="A8118" s="91"/>
      <c r="B8118" s="70"/>
      <c r="C8118" s="70"/>
      <c r="D8118" s="70"/>
      <c r="E8118" s="70"/>
      <c r="F8118" s="70"/>
      <c r="G8118" s="94"/>
      <c r="H8118" s="131"/>
      <c r="I8118" s="3"/>
    </row>
    <row r="8119" spans="1:9" s="93" customFormat="1" ht="9" customHeight="1" x14ac:dyDescent="0.3">
      <c r="A8119" s="91"/>
      <c r="B8119" s="70"/>
      <c r="C8119" s="70"/>
      <c r="D8119" s="70"/>
      <c r="E8119" s="70"/>
      <c r="F8119" s="70"/>
      <c r="G8119" s="94"/>
      <c r="H8119" s="131"/>
      <c r="I8119" s="3"/>
    </row>
    <row r="8120" spans="1:9" s="93" customFormat="1" ht="9" customHeight="1" x14ac:dyDescent="0.3">
      <c r="A8120" s="91"/>
      <c r="B8120" s="70"/>
      <c r="C8120" s="70"/>
      <c r="D8120" s="70"/>
      <c r="E8120" s="70"/>
      <c r="F8120" s="70"/>
      <c r="G8120" s="94"/>
      <c r="H8120" s="131"/>
      <c r="I8120" s="3"/>
    </row>
    <row r="8121" spans="1:9" s="93" customFormat="1" ht="9" customHeight="1" x14ac:dyDescent="0.3">
      <c r="A8121" s="91"/>
      <c r="B8121" s="70"/>
      <c r="C8121" s="70"/>
      <c r="D8121" s="70"/>
      <c r="E8121" s="70"/>
      <c r="F8121" s="70"/>
      <c r="G8121" s="94"/>
      <c r="H8121" s="131"/>
      <c r="I8121" s="3"/>
    </row>
    <row r="8122" spans="1:9" s="93" customFormat="1" ht="9" customHeight="1" x14ac:dyDescent="0.3">
      <c r="A8122" s="91"/>
      <c r="B8122" s="70"/>
      <c r="C8122" s="70"/>
      <c r="D8122" s="70"/>
      <c r="E8122" s="70"/>
      <c r="F8122" s="70"/>
      <c r="G8122" s="94"/>
      <c r="H8122" s="131"/>
      <c r="I8122" s="3"/>
    </row>
    <row r="8123" spans="1:9" s="93" customFormat="1" ht="9" customHeight="1" x14ac:dyDescent="0.3">
      <c r="A8123" s="91"/>
      <c r="B8123" s="70"/>
      <c r="C8123" s="70"/>
      <c r="D8123" s="70"/>
      <c r="E8123" s="70"/>
      <c r="F8123" s="70"/>
      <c r="G8123" s="94"/>
      <c r="H8123" s="131"/>
      <c r="I8123" s="3"/>
    </row>
    <row r="8124" spans="1:9" s="93" customFormat="1" ht="9" customHeight="1" x14ac:dyDescent="0.3">
      <c r="A8124" s="91"/>
      <c r="B8124" s="70"/>
      <c r="C8124" s="70"/>
      <c r="D8124" s="70"/>
      <c r="E8124" s="70"/>
      <c r="F8124" s="70"/>
      <c r="G8124" s="94"/>
      <c r="H8124" s="131"/>
      <c r="I8124" s="3"/>
    </row>
    <row r="8125" spans="1:9" s="93" customFormat="1" ht="9" customHeight="1" x14ac:dyDescent="0.3">
      <c r="A8125" s="91"/>
      <c r="B8125" s="70"/>
      <c r="C8125" s="70"/>
      <c r="D8125" s="70"/>
      <c r="E8125" s="70"/>
      <c r="F8125" s="70"/>
      <c r="G8125" s="94"/>
      <c r="H8125" s="131"/>
      <c r="I8125" s="3"/>
    </row>
    <row r="8126" spans="1:9" s="93" customFormat="1" ht="9" customHeight="1" x14ac:dyDescent="0.3">
      <c r="A8126" s="91"/>
      <c r="B8126" s="70"/>
      <c r="C8126" s="70"/>
      <c r="D8126" s="70"/>
      <c r="E8126" s="70"/>
      <c r="F8126" s="70"/>
      <c r="G8126" s="94"/>
      <c r="H8126" s="131"/>
      <c r="I8126" s="3"/>
    </row>
    <row r="8127" spans="1:9" s="93" customFormat="1" ht="9" customHeight="1" x14ac:dyDescent="0.3">
      <c r="A8127" s="91"/>
      <c r="B8127" s="70"/>
      <c r="C8127" s="70"/>
      <c r="D8127" s="70"/>
      <c r="E8127" s="70"/>
      <c r="F8127" s="70"/>
      <c r="G8127" s="94"/>
      <c r="H8127" s="131"/>
      <c r="I8127" s="3"/>
    </row>
    <row r="8128" spans="1:9" s="93" customFormat="1" ht="9" customHeight="1" x14ac:dyDescent="0.3">
      <c r="A8128" s="91"/>
      <c r="B8128" s="70"/>
      <c r="C8128" s="70"/>
      <c r="D8128" s="70"/>
      <c r="E8128" s="70"/>
      <c r="F8128" s="70"/>
      <c r="G8128" s="94"/>
      <c r="H8128" s="131"/>
      <c r="I8128" s="3"/>
    </row>
    <row r="8129" spans="1:9" s="93" customFormat="1" ht="9" customHeight="1" x14ac:dyDescent="0.3">
      <c r="A8129" s="91"/>
      <c r="B8129" s="70"/>
      <c r="C8129" s="70"/>
      <c r="D8129" s="70"/>
      <c r="E8129" s="70"/>
      <c r="F8129" s="70"/>
      <c r="G8129" s="94"/>
      <c r="H8129" s="131"/>
      <c r="I8129" s="3"/>
    </row>
    <row r="8130" spans="1:9" s="93" customFormat="1" ht="9" customHeight="1" x14ac:dyDescent="0.3">
      <c r="A8130" s="91"/>
      <c r="B8130" s="70"/>
      <c r="C8130" s="70"/>
      <c r="D8130" s="70"/>
      <c r="E8130" s="70"/>
      <c r="F8130" s="70"/>
      <c r="G8130" s="94"/>
      <c r="H8130" s="131"/>
      <c r="I8130" s="3"/>
    </row>
    <row r="8131" spans="1:9" s="93" customFormat="1" ht="9" customHeight="1" x14ac:dyDescent="0.3">
      <c r="A8131" s="91"/>
      <c r="B8131" s="70"/>
      <c r="C8131" s="70"/>
      <c r="D8131" s="70"/>
      <c r="E8131" s="70"/>
      <c r="F8131" s="70"/>
      <c r="G8131" s="94"/>
      <c r="H8131" s="131"/>
      <c r="I8131" s="3"/>
    </row>
    <row r="8132" spans="1:9" s="93" customFormat="1" ht="9" customHeight="1" x14ac:dyDescent="0.3">
      <c r="A8132" s="91"/>
      <c r="B8132" s="70"/>
      <c r="C8132" s="70"/>
      <c r="D8132" s="70"/>
      <c r="E8132" s="70"/>
      <c r="F8132" s="70"/>
      <c r="G8132" s="94"/>
      <c r="H8132" s="131"/>
      <c r="I8132" s="3"/>
    </row>
    <row r="8133" spans="1:9" s="93" customFormat="1" ht="9" customHeight="1" x14ac:dyDescent="0.3">
      <c r="A8133" s="91"/>
      <c r="B8133" s="70"/>
      <c r="C8133" s="70"/>
      <c r="D8133" s="70"/>
      <c r="E8133" s="70"/>
      <c r="F8133" s="70"/>
      <c r="G8133" s="94"/>
      <c r="H8133" s="131"/>
      <c r="I8133" s="3"/>
    </row>
    <row r="8134" spans="1:9" s="93" customFormat="1" ht="9" customHeight="1" x14ac:dyDescent="0.3">
      <c r="A8134" s="91"/>
      <c r="B8134" s="70"/>
      <c r="C8134" s="70"/>
      <c r="D8134" s="70"/>
      <c r="E8134" s="70"/>
      <c r="F8134" s="70"/>
      <c r="G8134" s="94"/>
      <c r="H8134" s="131"/>
      <c r="I8134" s="3"/>
    </row>
    <row r="8135" spans="1:9" s="93" customFormat="1" ht="9" customHeight="1" x14ac:dyDescent="0.3">
      <c r="A8135" s="91"/>
      <c r="B8135" s="70"/>
      <c r="C8135" s="70"/>
      <c r="D8135" s="70"/>
      <c r="E8135" s="70"/>
      <c r="F8135" s="70"/>
      <c r="G8135" s="94"/>
      <c r="H8135" s="131"/>
      <c r="I8135" s="3"/>
    </row>
    <row r="8136" spans="1:9" s="93" customFormat="1" ht="9" customHeight="1" x14ac:dyDescent="0.3">
      <c r="A8136" s="91"/>
      <c r="B8136" s="70"/>
      <c r="C8136" s="70"/>
      <c r="D8136" s="70"/>
      <c r="E8136" s="70"/>
      <c r="F8136" s="70"/>
      <c r="G8136" s="94"/>
      <c r="H8136" s="131"/>
      <c r="I8136" s="3"/>
    </row>
    <row r="8137" spans="1:9" s="93" customFormat="1" ht="9" customHeight="1" x14ac:dyDescent="0.3">
      <c r="A8137" s="91"/>
      <c r="B8137" s="70"/>
      <c r="C8137" s="70"/>
      <c r="D8137" s="70"/>
      <c r="E8137" s="70"/>
      <c r="F8137" s="70"/>
      <c r="G8137" s="94"/>
      <c r="H8137" s="131"/>
      <c r="I8137" s="3"/>
    </row>
    <row r="8138" spans="1:9" s="93" customFormat="1" ht="9" customHeight="1" x14ac:dyDescent="0.3">
      <c r="A8138" s="91"/>
      <c r="B8138" s="70"/>
      <c r="C8138" s="70"/>
      <c r="D8138" s="70"/>
      <c r="E8138" s="70"/>
      <c r="F8138" s="70"/>
      <c r="G8138" s="94"/>
      <c r="H8138" s="131"/>
      <c r="I8138" s="3"/>
    </row>
    <row r="8139" spans="1:9" s="93" customFormat="1" ht="9" customHeight="1" x14ac:dyDescent="0.3">
      <c r="A8139" s="91"/>
      <c r="B8139" s="70"/>
      <c r="C8139" s="70"/>
      <c r="D8139" s="70"/>
      <c r="E8139" s="70"/>
      <c r="F8139" s="70"/>
      <c r="G8139" s="94"/>
      <c r="H8139" s="131"/>
      <c r="I8139" s="3"/>
    </row>
    <row r="8140" spans="1:9" s="93" customFormat="1" ht="9" customHeight="1" x14ac:dyDescent="0.3">
      <c r="A8140" s="91"/>
      <c r="B8140" s="70"/>
      <c r="C8140" s="70"/>
      <c r="D8140" s="70"/>
      <c r="E8140" s="70"/>
      <c r="F8140" s="70"/>
      <c r="G8140" s="94"/>
      <c r="H8140" s="131"/>
      <c r="I8140" s="3"/>
    </row>
    <row r="8141" spans="1:9" s="93" customFormat="1" ht="9" customHeight="1" x14ac:dyDescent="0.3">
      <c r="A8141" s="91"/>
      <c r="B8141" s="70"/>
      <c r="C8141" s="70"/>
      <c r="D8141" s="70"/>
      <c r="E8141" s="70"/>
      <c r="F8141" s="70"/>
      <c r="G8141" s="94"/>
      <c r="H8141" s="131"/>
      <c r="I8141" s="3"/>
    </row>
    <row r="8142" spans="1:9" s="93" customFormat="1" ht="9" customHeight="1" x14ac:dyDescent="0.3">
      <c r="A8142" s="91"/>
      <c r="B8142" s="70"/>
      <c r="C8142" s="70"/>
      <c r="D8142" s="70"/>
      <c r="E8142" s="70"/>
      <c r="F8142" s="70"/>
      <c r="G8142" s="94"/>
      <c r="H8142" s="131"/>
      <c r="I8142" s="3"/>
    </row>
    <row r="8143" spans="1:9" s="93" customFormat="1" ht="9" customHeight="1" x14ac:dyDescent="0.3">
      <c r="A8143" s="91"/>
      <c r="B8143" s="70"/>
      <c r="C8143" s="70"/>
      <c r="D8143" s="70"/>
      <c r="E8143" s="70"/>
      <c r="F8143" s="70"/>
      <c r="G8143" s="94"/>
      <c r="H8143" s="131"/>
      <c r="I8143" s="3"/>
    </row>
    <row r="8144" spans="1:9" s="93" customFormat="1" ht="9" customHeight="1" x14ac:dyDescent="0.3">
      <c r="A8144" s="91"/>
      <c r="B8144" s="70"/>
      <c r="C8144" s="70"/>
      <c r="D8144" s="70"/>
      <c r="E8144" s="70"/>
      <c r="F8144" s="70"/>
      <c r="G8144" s="94"/>
      <c r="H8144" s="131"/>
      <c r="I8144" s="3"/>
    </row>
    <row r="8145" spans="1:9" s="93" customFormat="1" ht="9" customHeight="1" x14ac:dyDescent="0.3">
      <c r="A8145" s="91"/>
      <c r="B8145" s="70"/>
      <c r="C8145" s="70"/>
      <c r="D8145" s="70"/>
      <c r="E8145" s="70"/>
      <c r="F8145" s="70"/>
      <c r="G8145" s="94"/>
      <c r="H8145" s="131"/>
      <c r="I8145" s="3"/>
    </row>
    <row r="8146" spans="1:9" s="93" customFormat="1" ht="9" customHeight="1" x14ac:dyDescent="0.3">
      <c r="A8146" s="91"/>
      <c r="B8146" s="70"/>
      <c r="C8146" s="70"/>
      <c r="D8146" s="70"/>
      <c r="E8146" s="70"/>
      <c r="F8146" s="70"/>
      <c r="G8146" s="94"/>
      <c r="H8146" s="131"/>
      <c r="I8146" s="3"/>
    </row>
    <row r="8147" spans="1:9" s="93" customFormat="1" ht="9" customHeight="1" x14ac:dyDescent="0.3">
      <c r="A8147" s="91"/>
      <c r="B8147" s="70"/>
      <c r="C8147" s="70"/>
      <c r="D8147" s="70"/>
      <c r="E8147" s="70"/>
      <c r="F8147" s="70"/>
      <c r="G8147" s="94"/>
      <c r="H8147" s="131"/>
      <c r="I8147" s="3"/>
    </row>
    <row r="8148" spans="1:9" s="93" customFormat="1" ht="9" customHeight="1" x14ac:dyDescent="0.3">
      <c r="A8148" s="91"/>
      <c r="B8148" s="70"/>
      <c r="C8148" s="70"/>
      <c r="D8148" s="70"/>
      <c r="E8148" s="70"/>
      <c r="F8148" s="70"/>
      <c r="G8148" s="94"/>
      <c r="H8148" s="131"/>
      <c r="I8148" s="3"/>
    </row>
    <row r="8149" spans="1:9" s="93" customFormat="1" ht="9" customHeight="1" x14ac:dyDescent="0.3">
      <c r="A8149" s="91"/>
      <c r="B8149" s="70"/>
      <c r="C8149" s="70"/>
      <c r="D8149" s="70"/>
      <c r="E8149" s="70"/>
      <c r="F8149" s="70"/>
      <c r="G8149" s="94"/>
      <c r="H8149" s="131"/>
      <c r="I8149" s="3"/>
    </row>
    <row r="8150" spans="1:9" s="93" customFormat="1" ht="9" customHeight="1" x14ac:dyDescent="0.3">
      <c r="A8150" s="91"/>
      <c r="B8150" s="70"/>
      <c r="C8150" s="70"/>
      <c r="D8150" s="70"/>
      <c r="E8150" s="70"/>
      <c r="F8150" s="70"/>
      <c r="G8150" s="94"/>
      <c r="H8150" s="131"/>
      <c r="I8150" s="3"/>
    </row>
    <row r="8151" spans="1:9" s="93" customFormat="1" ht="9" customHeight="1" x14ac:dyDescent="0.3">
      <c r="A8151" s="91"/>
      <c r="B8151" s="70"/>
      <c r="C8151" s="70"/>
      <c r="D8151" s="70"/>
      <c r="E8151" s="70"/>
      <c r="F8151" s="70"/>
      <c r="G8151" s="94"/>
      <c r="H8151" s="131"/>
      <c r="I8151" s="3"/>
    </row>
    <row r="8152" spans="1:9" s="93" customFormat="1" ht="9" customHeight="1" x14ac:dyDescent="0.3">
      <c r="A8152" s="91"/>
      <c r="B8152" s="70"/>
      <c r="C8152" s="70"/>
      <c r="D8152" s="70"/>
      <c r="E8152" s="70"/>
      <c r="F8152" s="70"/>
      <c r="G8152" s="94"/>
      <c r="H8152" s="131"/>
      <c r="I8152" s="3"/>
    </row>
    <row r="8153" spans="1:9" s="93" customFormat="1" ht="9" customHeight="1" x14ac:dyDescent="0.3">
      <c r="A8153" s="91"/>
      <c r="B8153" s="70"/>
      <c r="C8153" s="70"/>
      <c r="D8153" s="70"/>
      <c r="E8153" s="70"/>
      <c r="F8153" s="70"/>
      <c r="G8153" s="94"/>
      <c r="H8153" s="131"/>
      <c r="I8153" s="3"/>
    </row>
    <row r="8154" spans="1:9" s="93" customFormat="1" ht="9" customHeight="1" x14ac:dyDescent="0.3">
      <c r="A8154" s="91"/>
      <c r="B8154" s="70"/>
      <c r="C8154" s="70"/>
      <c r="D8154" s="70"/>
      <c r="E8154" s="70"/>
      <c r="F8154" s="70"/>
      <c r="G8154" s="94"/>
      <c r="H8154" s="131"/>
      <c r="I8154" s="3"/>
    </row>
    <row r="8155" spans="1:9" s="93" customFormat="1" ht="9" customHeight="1" x14ac:dyDescent="0.3">
      <c r="A8155" s="91"/>
      <c r="B8155" s="70"/>
      <c r="C8155" s="70"/>
      <c r="D8155" s="70"/>
      <c r="E8155" s="70"/>
      <c r="F8155" s="70"/>
      <c r="G8155" s="94"/>
      <c r="H8155" s="131"/>
      <c r="I8155" s="3"/>
    </row>
    <row r="8156" spans="1:9" s="93" customFormat="1" ht="9" customHeight="1" x14ac:dyDescent="0.3">
      <c r="A8156" s="91"/>
      <c r="B8156" s="70"/>
      <c r="C8156" s="70"/>
      <c r="D8156" s="70"/>
      <c r="E8156" s="70"/>
      <c r="F8156" s="70"/>
      <c r="G8156" s="94"/>
      <c r="H8156" s="131"/>
      <c r="I8156" s="3"/>
    </row>
    <row r="8157" spans="1:9" s="93" customFormat="1" ht="9" customHeight="1" x14ac:dyDescent="0.3">
      <c r="A8157" s="91"/>
      <c r="B8157" s="70"/>
      <c r="C8157" s="70"/>
      <c r="D8157" s="70"/>
      <c r="E8157" s="70"/>
      <c r="F8157" s="70"/>
      <c r="G8157" s="94"/>
      <c r="H8157" s="131"/>
      <c r="I8157" s="3"/>
    </row>
    <row r="8158" spans="1:9" s="93" customFormat="1" ht="9" customHeight="1" x14ac:dyDescent="0.3">
      <c r="A8158" s="91"/>
      <c r="B8158" s="70"/>
      <c r="C8158" s="70"/>
      <c r="D8158" s="70"/>
      <c r="E8158" s="70"/>
      <c r="F8158" s="70"/>
      <c r="G8158" s="94"/>
      <c r="H8158" s="131"/>
      <c r="I8158" s="3"/>
    </row>
    <row r="8159" spans="1:9" s="93" customFormat="1" ht="9" customHeight="1" x14ac:dyDescent="0.3">
      <c r="A8159" s="91"/>
      <c r="B8159" s="70"/>
      <c r="C8159" s="70"/>
      <c r="D8159" s="70"/>
      <c r="E8159" s="70"/>
      <c r="F8159" s="70"/>
      <c r="G8159" s="94"/>
      <c r="H8159" s="131"/>
      <c r="I8159" s="3"/>
    </row>
    <row r="8160" spans="1:9" s="93" customFormat="1" ht="9" customHeight="1" x14ac:dyDescent="0.3">
      <c r="A8160" s="91"/>
      <c r="B8160" s="70"/>
      <c r="C8160" s="70"/>
      <c r="D8160" s="70"/>
      <c r="E8160" s="70"/>
      <c r="F8160" s="70"/>
      <c r="G8160" s="94"/>
      <c r="H8160" s="131"/>
      <c r="I8160" s="3"/>
    </row>
    <row r="8161" spans="1:9" s="93" customFormat="1" ht="9" customHeight="1" x14ac:dyDescent="0.3">
      <c r="A8161" s="91"/>
      <c r="B8161" s="70"/>
      <c r="C8161" s="70"/>
      <c r="D8161" s="70"/>
      <c r="E8161" s="70"/>
      <c r="F8161" s="70"/>
      <c r="G8161" s="94"/>
      <c r="H8161" s="131"/>
      <c r="I8161" s="3"/>
    </row>
    <row r="8162" spans="1:9" s="93" customFormat="1" ht="9" customHeight="1" x14ac:dyDescent="0.3">
      <c r="A8162" s="91"/>
      <c r="B8162" s="70"/>
      <c r="C8162" s="70"/>
      <c r="D8162" s="70"/>
      <c r="E8162" s="70"/>
      <c r="F8162" s="70"/>
      <c r="G8162" s="94"/>
      <c r="H8162" s="131"/>
      <c r="I8162" s="3"/>
    </row>
    <row r="8163" spans="1:9" s="93" customFormat="1" ht="9" customHeight="1" x14ac:dyDescent="0.3">
      <c r="A8163" s="91"/>
      <c r="B8163" s="70"/>
      <c r="C8163" s="70"/>
      <c r="D8163" s="70"/>
      <c r="E8163" s="70"/>
      <c r="F8163" s="70"/>
      <c r="G8163" s="94"/>
      <c r="H8163" s="131"/>
      <c r="I8163" s="3"/>
    </row>
    <row r="8164" spans="1:9" s="93" customFormat="1" ht="9" customHeight="1" x14ac:dyDescent="0.3">
      <c r="A8164" s="91"/>
      <c r="B8164" s="70"/>
      <c r="C8164" s="70"/>
      <c r="D8164" s="70"/>
      <c r="E8164" s="70"/>
      <c r="F8164" s="70"/>
      <c r="G8164" s="94"/>
      <c r="H8164" s="131"/>
      <c r="I8164" s="3"/>
    </row>
    <row r="8165" spans="1:9" s="93" customFormat="1" ht="9" customHeight="1" x14ac:dyDescent="0.3">
      <c r="A8165" s="91"/>
      <c r="B8165" s="70"/>
      <c r="C8165" s="70"/>
      <c r="D8165" s="70"/>
      <c r="E8165" s="70"/>
      <c r="F8165" s="70"/>
      <c r="G8165" s="94"/>
      <c r="H8165" s="131"/>
      <c r="I8165" s="3"/>
    </row>
    <row r="8166" spans="1:9" s="93" customFormat="1" ht="9" customHeight="1" x14ac:dyDescent="0.3">
      <c r="A8166" s="91"/>
      <c r="B8166" s="70"/>
      <c r="C8166" s="70"/>
      <c r="D8166" s="70"/>
      <c r="E8166" s="70"/>
      <c r="F8166" s="70"/>
      <c r="G8166" s="94"/>
      <c r="H8166" s="131"/>
      <c r="I8166" s="3"/>
    </row>
    <row r="8167" spans="1:9" s="93" customFormat="1" ht="9" customHeight="1" x14ac:dyDescent="0.3">
      <c r="A8167" s="91"/>
      <c r="B8167" s="70"/>
      <c r="C8167" s="70"/>
      <c r="D8167" s="70"/>
      <c r="E8167" s="70"/>
      <c r="F8167" s="70"/>
      <c r="G8167" s="94"/>
      <c r="H8167" s="131"/>
      <c r="I8167" s="3"/>
    </row>
    <row r="8168" spans="1:9" s="93" customFormat="1" ht="9" customHeight="1" x14ac:dyDescent="0.3">
      <c r="A8168" s="91"/>
      <c r="B8168" s="70"/>
      <c r="C8168" s="70"/>
      <c r="D8168" s="70"/>
      <c r="E8168" s="70"/>
      <c r="F8168" s="70"/>
      <c r="G8168" s="94"/>
      <c r="H8168" s="131"/>
      <c r="I8168" s="3"/>
    </row>
    <row r="8169" spans="1:9" s="93" customFormat="1" ht="9" customHeight="1" x14ac:dyDescent="0.3">
      <c r="A8169" s="91"/>
      <c r="B8169" s="70"/>
      <c r="C8169" s="70"/>
      <c r="D8169" s="70"/>
      <c r="E8169" s="70"/>
      <c r="F8169" s="70"/>
      <c r="G8169" s="94"/>
      <c r="H8169" s="131"/>
      <c r="I8169" s="3"/>
    </row>
    <row r="8170" spans="1:9" s="93" customFormat="1" ht="9" customHeight="1" x14ac:dyDescent="0.3">
      <c r="A8170" s="91"/>
      <c r="B8170" s="70"/>
      <c r="C8170" s="70"/>
      <c r="D8170" s="70"/>
      <c r="E8170" s="70"/>
      <c r="F8170" s="70"/>
      <c r="G8170" s="94"/>
      <c r="H8170" s="131"/>
      <c r="I8170" s="3"/>
    </row>
    <row r="8171" spans="1:9" s="93" customFormat="1" ht="9" customHeight="1" x14ac:dyDescent="0.3">
      <c r="A8171" s="91"/>
      <c r="B8171" s="70"/>
      <c r="C8171" s="70"/>
      <c r="D8171" s="70"/>
      <c r="E8171" s="70"/>
      <c r="F8171" s="70"/>
      <c r="G8171" s="94"/>
      <c r="H8171" s="131"/>
      <c r="I8171" s="3"/>
    </row>
    <row r="8172" spans="1:9" s="93" customFormat="1" ht="9" customHeight="1" x14ac:dyDescent="0.3">
      <c r="A8172" s="91"/>
      <c r="B8172" s="70"/>
      <c r="C8172" s="70"/>
      <c r="D8172" s="70"/>
      <c r="E8172" s="70"/>
      <c r="F8172" s="70"/>
      <c r="G8172" s="94"/>
      <c r="H8172" s="131"/>
      <c r="I8172" s="3"/>
    </row>
    <row r="8173" spans="1:9" s="93" customFormat="1" ht="9" customHeight="1" x14ac:dyDescent="0.3">
      <c r="A8173" s="91"/>
      <c r="B8173" s="70"/>
      <c r="C8173" s="70"/>
      <c r="D8173" s="70"/>
      <c r="E8173" s="70"/>
      <c r="F8173" s="70"/>
      <c r="G8173" s="94"/>
      <c r="H8173" s="131"/>
      <c r="I8173" s="3"/>
    </row>
    <row r="8174" spans="1:9" s="93" customFormat="1" ht="9" customHeight="1" x14ac:dyDescent="0.3">
      <c r="A8174" s="91"/>
      <c r="B8174" s="70"/>
      <c r="C8174" s="70"/>
      <c r="D8174" s="70"/>
      <c r="E8174" s="70"/>
      <c r="F8174" s="70"/>
      <c r="G8174" s="94"/>
      <c r="H8174" s="131"/>
      <c r="I8174" s="3"/>
    </row>
    <row r="8175" spans="1:9" s="93" customFormat="1" ht="9" customHeight="1" x14ac:dyDescent="0.3">
      <c r="A8175" s="91"/>
      <c r="B8175" s="70"/>
      <c r="C8175" s="70"/>
      <c r="D8175" s="70"/>
      <c r="E8175" s="70"/>
      <c r="F8175" s="70"/>
      <c r="G8175" s="94"/>
      <c r="H8175" s="131"/>
      <c r="I8175" s="3"/>
    </row>
    <row r="8176" spans="1:9" s="93" customFormat="1" ht="9" customHeight="1" x14ac:dyDescent="0.3">
      <c r="A8176" s="91"/>
      <c r="B8176" s="70"/>
      <c r="C8176" s="70"/>
      <c r="D8176" s="70"/>
      <c r="E8176" s="70"/>
      <c r="F8176" s="70"/>
      <c r="G8176" s="94"/>
      <c r="H8176" s="131"/>
      <c r="I8176" s="3"/>
    </row>
    <row r="8177" spans="1:9" s="93" customFormat="1" ht="9" customHeight="1" x14ac:dyDescent="0.3">
      <c r="A8177" s="91"/>
      <c r="B8177" s="70"/>
      <c r="C8177" s="70"/>
      <c r="D8177" s="70"/>
      <c r="E8177" s="70"/>
      <c r="F8177" s="70"/>
      <c r="G8177" s="94"/>
      <c r="H8177" s="131"/>
      <c r="I8177" s="3"/>
    </row>
    <row r="8178" spans="1:9" s="93" customFormat="1" ht="9" customHeight="1" x14ac:dyDescent="0.3">
      <c r="A8178" s="91"/>
      <c r="B8178" s="70"/>
      <c r="C8178" s="70"/>
      <c r="D8178" s="70"/>
      <c r="E8178" s="70"/>
      <c r="F8178" s="70"/>
      <c r="G8178" s="94"/>
      <c r="H8178" s="131"/>
      <c r="I8178" s="3"/>
    </row>
    <row r="8179" spans="1:9" s="93" customFormat="1" ht="9" customHeight="1" x14ac:dyDescent="0.3">
      <c r="A8179" s="91"/>
      <c r="B8179" s="70"/>
      <c r="C8179" s="70"/>
      <c r="D8179" s="70"/>
      <c r="E8179" s="70"/>
      <c r="F8179" s="70"/>
      <c r="G8179" s="94"/>
      <c r="H8179" s="131"/>
      <c r="I8179" s="3"/>
    </row>
    <row r="8180" spans="1:9" s="93" customFormat="1" ht="9" customHeight="1" x14ac:dyDescent="0.3">
      <c r="A8180" s="91"/>
      <c r="B8180" s="70"/>
      <c r="C8180" s="70"/>
      <c r="D8180" s="70"/>
      <c r="E8180" s="70"/>
      <c r="F8180" s="70"/>
      <c r="G8180" s="94"/>
      <c r="H8180" s="131"/>
      <c r="I8180" s="3"/>
    </row>
    <row r="8181" spans="1:9" s="93" customFormat="1" ht="9" customHeight="1" x14ac:dyDescent="0.3">
      <c r="A8181" s="91"/>
      <c r="B8181" s="70"/>
      <c r="C8181" s="70"/>
      <c r="D8181" s="70"/>
      <c r="E8181" s="70"/>
      <c r="F8181" s="70"/>
      <c r="G8181" s="94"/>
      <c r="H8181" s="131"/>
      <c r="I8181" s="3"/>
    </row>
    <row r="8182" spans="1:9" s="93" customFormat="1" ht="9" customHeight="1" x14ac:dyDescent="0.3">
      <c r="A8182" s="91"/>
      <c r="B8182" s="70"/>
      <c r="C8182" s="70"/>
      <c r="D8182" s="70"/>
      <c r="E8182" s="70"/>
      <c r="F8182" s="70"/>
      <c r="G8182" s="94"/>
      <c r="H8182" s="131"/>
      <c r="I8182" s="3"/>
    </row>
    <row r="8183" spans="1:9" s="93" customFormat="1" ht="9" customHeight="1" x14ac:dyDescent="0.3">
      <c r="A8183" s="91"/>
      <c r="B8183" s="70"/>
      <c r="C8183" s="70"/>
      <c r="D8183" s="70"/>
      <c r="E8183" s="70"/>
      <c r="F8183" s="70"/>
      <c r="G8183" s="94"/>
      <c r="H8183" s="131"/>
      <c r="I8183" s="3"/>
    </row>
    <row r="8184" spans="1:9" s="93" customFormat="1" ht="9" customHeight="1" x14ac:dyDescent="0.3">
      <c r="A8184" s="91"/>
      <c r="B8184" s="70"/>
      <c r="C8184" s="70"/>
      <c r="D8184" s="70"/>
      <c r="E8184" s="70"/>
      <c r="F8184" s="70"/>
      <c r="G8184" s="94"/>
      <c r="H8184" s="131"/>
      <c r="I8184" s="3"/>
    </row>
    <row r="8185" spans="1:9" s="93" customFormat="1" ht="9" customHeight="1" x14ac:dyDescent="0.3">
      <c r="A8185" s="91"/>
      <c r="B8185" s="70"/>
      <c r="C8185" s="70"/>
      <c r="D8185" s="70"/>
      <c r="E8185" s="70"/>
      <c r="F8185" s="70"/>
      <c r="G8185" s="94"/>
      <c r="H8185" s="131"/>
      <c r="I8185" s="3"/>
    </row>
    <row r="8186" spans="1:9" s="93" customFormat="1" ht="9" customHeight="1" x14ac:dyDescent="0.3">
      <c r="A8186" s="91"/>
      <c r="B8186" s="70"/>
      <c r="C8186" s="70"/>
      <c r="D8186" s="70"/>
      <c r="E8186" s="70"/>
      <c r="F8186" s="70"/>
      <c r="G8186" s="94"/>
      <c r="H8186" s="131"/>
      <c r="I8186" s="3"/>
    </row>
    <row r="8187" spans="1:9" s="93" customFormat="1" ht="9" customHeight="1" x14ac:dyDescent="0.3">
      <c r="A8187" s="91"/>
      <c r="B8187" s="70"/>
      <c r="C8187" s="70"/>
      <c r="D8187" s="70"/>
      <c r="E8187" s="70"/>
      <c r="F8187" s="70"/>
      <c r="G8187" s="94"/>
      <c r="H8187" s="131"/>
      <c r="I8187" s="3"/>
    </row>
    <row r="8188" spans="1:9" s="93" customFormat="1" ht="9" customHeight="1" x14ac:dyDescent="0.3">
      <c r="A8188" s="91"/>
      <c r="B8188" s="70"/>
      <c r="C8188" s="70"/>
      <c r="D8188" s="70"/>
      <c r="E8188" s="70"/>
      <c r="F8188" s="70"/>
      <c r="G8188" s="94"/>
      <c r="H8188" s="131"/>
      <c r="I8188" s="3"/>
    </row>
    <row r="8189" spans="1:9" s="93" customFormat="1" ht="9" customHeight="1" x14ac:dyDescent="0.3">
      <c r="A8189" s="91"/>
      <c r="B8189" s="70"/>
      <c r="C8189" s="70"/>
      <c r="D8189" s="70"/>
      <c r="E8189" s="70"/>
      <c r="F8189" s="70"/>
      <c r="G8189" s="94"/>
      <c r="H8189" s="131"/>
      <c r="I8189" s="3"/>
    </row>
    <row r="8190" spans="1:9" s="93" customFormat="1" ht="9" customHeight="1" x14ac:dyDescent="0.3">
      <c r="A8190" s="91"/>
      <c r="B8190" s="70"/>
      <c r="C8190" s="70"/>
      <c r="D8190" s="70"/>
      <c r="E8190" s="70"/>
      <c r="F8190" s="70"/>
      <c r="G8190" s="94"/>
      <c r="H8190" s="131"/>
      <c r="I8190" s="3"/>
    </row>
    <row r="8191" spans="1:9" s="93" customFormat="1" ht="9" customHeight="1" x14ac:dyDescent="0.3">
      <c r="A8191" s="91"/>
      <c r="B8191" s="70"/>
      <c r="C8191" s="70"/>
      <c r="D8191" s="70"/>
      <c r="E8191" s="70"/>
      <c r="F8191" s="70"/>
      <c r="G8191" s="94"/>
      <c r="H8191" s="131"/>
      <c r="I8191" s="3"/>
    </row>
    <row r="8192" spans="1:9" s="93" customFormat="1" ht="9" customHeight="1" x14ac:dyDescent="0.3">
      <c r="A8192" s="91"/>
      <c r="B8192" s="70"/>
      <c r="C8192" s="70"/>
      <c r="D8192" s="70"/>
      <c r="E8192" s="70"/>
      <c r="F8192" s="70"/>
      <c r="G8192" s="94"/>
      <c r="H8192" s="131"/>
      <c r="I8192" s="3"/>
    </row>
    <row r="8193" spans="1:9" s="93" customFormat="1" ht="9" customHeight="1" x14ac:dyDescent="0.3">
      <c r="A8193" s="91"/>
      <c r="B8193" s="70"/>
      <c r="C8193" s="70"/>
      <c r="D8193" s="70"/>
      <c r="E8193" s="70"/>
      <c r="F8193" s="70"/>
      <c r="G8193" s="94"/>
      <c r="H8193" s="131"/>
      <c r="I8193" s="3"/>
    </row>
    <row r="8194" spans="1:9" s="93" customFormat="1" ht="9" customHeight="1" x14ac:dyDescent="0.3">
      <c r="A8194" s="91"/>
      <c r="B8194" s="70"/>
      <c r="C8194" s="70"/>
      <c r="D8194" s="70"/>
      <c r="E8194" s="70"/>
      <c r="F8194" s="70"/>
      <c r="G8194" s="94"/>
      <c r="H8194" s="131"/>
      <c r="I8194" s="3"/>
    </row>
    <row r="8195" spans="1:9" s="93" customFormat="1" ht="9" customHeight="1" x14ac:dyDescent="0.3">
      <c r="A8195" s="91"/>
      <c r="B8195" s="70"/>
      <c r="C8195" s="70"/>
      <c r="D8195" s="70"/>
      <c r="E8195" s="70"/>
      <c r="F8195" s="70"/>
      <c r="G8195" s="94"/>
      <c r="H8195" s="131"/>
      <c r="I8195" s="3"/>
    </row>
    <row r="8196" spans="1:9" s="93" customFormat="1" ht="9" customHeight="1" x14ac:dyDescent="0.3">
      <c r="A8196" s="91"/>
      <c r="B8196" s="70"/>
      <c r="C8196" s="70"/>
      <c r="D8196" s="70"/>
      <c r="E8196" s="70"/>
      <c r="F8196" s="70"/>
      <c r="G8196" s="94"/>
      <c r="H8196" s="131"/>
      <c r="I8196" s="3"/>
    </row>
    <row r="8197" spans="1:9" s="93" customFormat="1" ht="9" customHeight="1" x14ac:dyDescent="0.3">
      <c r="A8197" s="91"/>
      <c r="B8197" s="70"/>
      <c r="C8197" s="70"/>
      <c r="D8197" s="70"/>
      <c r="E8197" s="70"/>
      <c r="F8197" s="70"/>
      <c r="G8197" s="94"/>
      <c r="H8197" s="131"/>
      <c r="I8197" s="3"/>
    </row>
    <row r="8198" spans="1:9" s="93" customFormat="1" ht="9" customHeight="1" x14ac:dyDescent="0.3">
      <c r="A8198" s="91"/>
      <c r="B8198" s="70"/>
      <c r="C8198" s="70"/>
      <c r="D8198" s="70"/>
      <c r="E8198" s="70"/>
      <c r="F8198" s="70"/>
      <c r="G8198" s="94"/>
      <c r="H8198" s="131"/>
      <c r="I8198" s="3"/>
    </row>
    <row r="8199" spans="1:9" s="93" customFormat="1" ht="9" customHeight="1" x14ac:dyDescent="0.3">
      <c r="A8199" s="91"/>
      <c r="B8199" s="70"/>
      <c r="C8199" s="70"/>
      <c r="D8199" s="70"/>
      <c r="E8199" s="70"/>
      <c r="F8199" s="70"/>
      <c r="G8199" s="94"/>
      <c r="H8199" s="131"/>
      <c r="I8199" s="3"/>
    </row>
    <row r="8200" spans="1:9" s="93" customFormat="1" ht="9" customHeight="1" x14ac:dyDescent="0.3">
      <c r="A8200" s="91"/>
      <c r="B8200" s="70"/>
      <c r="C8200" s="70"/>
      <c r="D8200" s="70"/>
      <c r="E8200" s="70"/>
      <c r="F8200" s="70"/>
      <c r="G8200" s="94"/>
      <c r="H8200" s="131"/>
      <c r="I8200" s="3"/>
    </row>
    <row r="8201" spans="1:9" s="93" customFormat="1" ht="9" customHeight="1" x14ac:dyDescent="0.3">
      <c r="A8201" s="91"/>
      <c r="B8201" s="70"/>
      <c r="C8201" s="70"/>
      <c r="D8201" s="70"/>
      <c r="E8201" s="70"/>
      <c r="F8201" s="70"/>
      <c r="G8201" s="94"/>
      <c r="H8201" s="131"/>
      <c r="I8201" s="3"/>
    </row>
    <row r="8202" spans="1:9" s="93" customFormat="1" ht="9" customHeight="1" x14ac:dyDescent="0.3">
      <c r="A8202" s="91"/>
      <c r="B8202" s="70"/>
      <c r="C8202" s="70"/>
      <c r="D8202" s="70"/>
      <c r="E8202" s="70"/>
      <c r="F8202" s="70"/>
      <c r="G8202" s="94"/>
      <c r="H8202" s="131"/>
      <c r="I8202" s="3"/>
    </row>
    <row r="8203" spans="1:9" s="93" customFormat="1" ht="9" customHeight="1" x14ac:dyDescent="0.3">
      <c r="A8203" s="91"/>
      <c r="B8203" s="70"/>
      <c r="C8203" s="70"/>
      <c r="D8203" s="70"/>
      <c r="E8203" s="70"/>
      <c r="F8203" s="70"/>
      <c r="G8203" s="94"/>
      <c r="H8203" s="131"/>
      <c r="I8203" s="3"/>
    </row>
    <row r="8204" spans="1:9" s="93" customFormat="1" ht="9" customHeight="1" x14ac:dyDescent="0.3">
      <c r="A8204" s="91"/>
      <c r="B8204" s="70"/>
      <c r="C8204" s="70"/>
      <c r="D8204" s="70"/>
      <c r="E8204" s="70"/>
      <c r="F8204" s="70"/>
      <c r="G8204" s="94"/>
      <c r="H8204" s="131"/>
      <c r="I8204" s="3"/>
    </row>
    <row r="8205" spans="1:9" s="93" customFormat="1" ht="9" customHeight="1" x14ac:dyDescent="0.3">
      <c r="A8205" s="91"/>
      <c r="B8205" s="70"/>
      <c r="C8205" s="70"/>
      <c r="D8205" s="70"/>
      <c r="E8205" s="70"/>
      <c r="F8205" s="70"/>
      <c r="G8205" s="94"/>
      <c r="H8205" s="131"/>
      <c r="I8205" s="3"/>
    </row>
    <row r="8206" spans="1:9" s="93" customFormat="1" ht="9" customHeight="1" x14ac:dyDescent="0.3">
      <c r="A8206" s="91"/>
      <c r="B8206" s="70"/>
      <c r="C8206" s="70"/>
      <c r="D8206" s="70"/>
      <c r="E8206" s="70"/>
      <c r="F8206" s="70"/>
      <c r="G8206" s="94"/>
      <c r="H8206" s="131"/>
      <c r="I8206" s="3"/>
    </row>
    <row r="8207" spans="1:9" s="93" customFormat="1" ht="9" customHeight="1" x14ac:dyDescent="0.3">
      <c r="A8207" s="91"/>
      <c r="B8207" s="70"/>
      <c r="C8207" s="70"/>
      <c r="D8207" s="70"/>
      <c r="E8207" s="70"/>
      <c r="F8207" s="70"/>
      <c r="G8207" s="94"/>
      <c r="H8207" s="131"/>
      <c r="I8207" s="3"/>
    </row>
    <row r="8208" spans="1:9" s="93" customFormat="1" ht="9" customHeight="1" x14ac:dyDescent="0.3">
      <c r="A8208" s="91"/>
      <c r="B8208" s="70"/>
      <c r="C8208" s="70"/>
      <c r="D8208" s="70"/>
      <c r="E8208" s="70"/>
      <c r="F8208" s="70"/>
      <c r="G8208" s="94"/>
      <c r="H8208" s="131"/>
      <c r="I8208" s="3"/>
    </row>
    <row r="8209" spans="1:9" s="93" customFormat="1" ht="9" customHeight="1" x14ac:dyDescent="0.3">
      <c r="A8209" s="91"/>
      <c r="B8209" s="70"/>
      <c r="C8209" s="70"/>
      <c r="D8209" s="70"/>
      <c r="E8209" s="70"/>
      <c r="F8209" s="70"/>
      <c r="G8209" s="94"/>
      <c r="H8209" s="131"/>
      <c r="I8209" s="3"/>
    </row>
    <row r="8210" spans="1:9" s="93" customFormat="1" ht="9" customHeight="1" x14ac:dyDescent="0.3">
      <c r="A8210" s="91"/>
      <c r="B8210" s="70"/>
      <c r="C8210" s="70"/>
      <c r="D8210" s="70"/>
      <c r="E8210" s="70"/>
      <c r="F8210" s="70"/>
      <c r="G8210" s="94"/>
      <c r="H8210" s="131"/>
      <c r="I8210" s="3"/>
    </row>
    <row r="8211" spans="1:9" s="93" customFormat="1" ht="9" customHeight="1" x14ac:dyDescent="0.3">
      <c r="A8211" s="91"/>
      <c r="B8211" s="70"/>
      <c r="C8211" s="70"/>
      <c r="D8211" s="70"/>
      <c r="E8211" s="70"/>
      <c r="F8211" s="70"/>
      <c r="G8211" s="94"/>
      <c r="H8211" s="131"/>
      <c r="I8211" s="3"/>
    </row>
    <row r="8212" spans="1:9" s="93" customFormat="1" ht="9" customHeight="1" x14ac:dyDescent="0.3">
      <c r="A8212" s="91"/>
      <c r="B8212" s="70"/>
      <c r="C8212" s="70"/>
      <c r="D8212" s="70"/>
      <c r="E8212" s="70"/>
      <c r="F8212" s="70"/>
      <c r="G8212" s="94"/>
      <c r="H8212" s="131"/>
      <c r="I8212" s="3"/>
    </row>
    <row r="8213" spans="1:9" s="93" customFormat="1" ht="9" customHeight="1" x14ac:dyDescent="0.3">
      <c r="A8213" s="91"/>
      <c r="B8213" s="70"/>
      <c r="C8213" s="70"/>
      <c r="D8213" s="70"/>
      <c r="E8213" s="70"/>
      <c r="F8213" s="70"/>
      <c r="G8213" s="94"/>
      <c r="H8213" s="131"/>
      <c r="I8213" s="3"/>
    </row>
    <row r="8214" spans="1:9" s="93" customFormat="1" ht="9" customHeight="1" x14ac:dyDescent="0.3">
      <c r="A8214" s="91"/>
      <c r="B8214" s="70"/>
      <c r="C8214" s="70"/>
      <c r="D8214" s="70"/>
      <c r="E8214" s="70"/>
      <c r="F8214" s="70"/>
      <c r="G8214" s="94"/>
      <c r="H8214" s="131"/>
      <c r="I8214" s="3"/>
    </row>
    <row r="8215" spans="1:9" s="93" customFormat="1" ht="9" customHeight="1" x14ac:dyDescent="0.3">
      <c r="A8215" s="91"/>
      <c r="B8215" s="70"/>
      <c r="C8215" s="70"/>
      <c r="D8215" s="70"/>
      <c r="E8215" s="70"/>
      <c r="F8215" s="70"/>
      <c r="G8215" s="94"/>
      <c r="H8215" s="131"/>
      <c r="I8215" s="3"/>
    </row>
    <row r="8216" spans="1:9" s="93" customFormat="1" ht="9" customHeight="1" x14ac:dyDescent="0.3">
      <c r="A8216" s="91"/>
      <c r="B8216" s="70"/>
      <c r="C8216" s="70"/>
      <c r="D8216" s="70"/>
      <c r="E8216" s="70"/>
      <c r="F8216" s="70"/>
      <c r="G8216" s="94"/>
      <c r="H8216" s="131"/>
      <c r="I8216" s="3"/>
    </row>
    <row r="8217" spans="1:9" s="93" customFormat="1" ht="9" customHeight="1" x14ac:dyDescent="0.3">
      <c r="A8217" s="91"/>
      <c r="B8217" s="70"/>
      <c r="C8217" s="70"/>
      <c r="D8217" s="70"/>
      <c r="E8217" s="70"/>
      <c r="F8217" s="70"/>
      <c r="G8217" s="94"/>
      <c r="H8217" s="131"/>
      <c r="I8217" s="3"/>
    </row>
    <row r="8218" spans="1:9" s="93" customFormat="1" ht="9" customHeight="1" x14ac:dyDescent="0.3">
      <c r="A8218" s="91"/>
      <c r="B8218" s="70"/>
      <c r="C8218" s="70"/>
      <c r="D8218" s="70"/>
      <c r="E8218" s="70"/>
      <c r="F8218" s="70"/>
      <c r="G8218" s="94"/>
      <c r="H8218" s="131"/>
      <c r="I8218" s="3"/>
    </row>
    <row r="8219" spans="1:9" s="93" customFormat="1" ht="9" customHeight="1" x14ac:dyDescent="0.3">
      <c r="A8219" s="91"/>
      <c r="B8219" s="70"/>
      <c r="C8219" s="70"/>
      <c r="D8219" s="70"/>
      <c r="E8219" s="70"/>
      <c r="F8219" s="70"/>
      <c r="G8219" s="94"/>
      <c r="H8219" s="131"/>
      <c r="I8219" s="3"/>
    </row>
    <row r="8220" spans="1:9" s="93" customFormat="1" ht="9" customHeight="1" x14ac:dyDescent="0.3">
      <c r="A8220" s="91"/>
      <c r="B8220" s="70"/>
      <c r="C8220" s="70"/>
      <c r="D8220" s="70"/>
      <c r="E8220" s="70"/>
      <c r="F8220" s="70"/>
      <c r="G8220" s="94"/>
      <c r="H8220" s="131"/>
      <c r="I8220" s="3"/>
    </row>
    <row r="8221" spans="1:9" s="93" customFormat="1" ht="9" customHeight="1" x14ac:dyDescent="0.3">
      <c r="A8221" s="91"/>
      <c r="B8221" s="70"/>
      <c r="C8221" s="70"/>
      <c r="D8221" s="70"/>
      <c r="E8221" s="70"/>
      <c r="F8221" s="70"/>
      <c r="G8221" s="94"/>
      <c r="H8221" s="131"/>
      <c r="I8221" s="3"/>
    </row>
    <row r="8222" spans="1:9" s="93" customFormat="1" ht="9" customHeight="1" x14ac:dyDescent="0.3">
      <c r="A8222" s="91"/>
      <c r="B8222" s="70"/>
      <c r="C8222" s="70"/>
      <c r="D8222" s="70"/>
      <c r="E8222" s="70"/>
      <c r="F8222" s="70"/>
      <c r="G8222" s="94"/>
      <c r="H8222" s="131"/>
      <c r="I8222" s="3"/>
    </row>
    <row r="8223" spans="1:9" s="93" customFormat="1" ht="9" customHeight="1" x14ac:dyDescent="0.3">
      <c r="A8223" s="91"/>
      <c r="B8223" s="70"/>
      <c r="C8223" s="70"/>
      <c r="D8223" s="70"/>
      <c r="E8223" s="70"/>
      <c r="F8223" s="70"/>
      <c r="G8223" s="94"/>
      <c r="H8223" s="131"/>
      <c r="I8223" s="3"/>
    </row>
    <row r="8224" spans="1:9" s="93" customFormat="1" ht="9" customHeight="1" x14ac:dyDescent="0.3">
      <c r="A8224" s="91"/>
      <c r="B8224" s="70"/>
      <c r="C8224" s="70"/>
      <c r="D8224" s="70"/>
      <c r="E8224" s="70"/>
      <c r="F8224" s="70"/>
      <c r="G8224" s="94"/>
      <c r="H8224" s="131"/>
      <c r="I8224" s="3"/>
    </row>
    <row r="8225" spans="1:9" s="93" customFormat="1" ht="9" customHeight="1" x14ac:dyDescent="0.3">
      <c r="A8225" s="91"/>
      <c r="B8225" s="70"/>
      <c r="C8225" s="70"/>
      <c r="D8225" s="70"/>
      <c r="E8225" s="70"/>
      <c r="F8225" s="70"/>
      <c r="G8225" s="94"/>
      <c r="H8225" s="131"/>
      <c r="I8225" s="3"/>
    </row>
    <row r="8226" spans="1:9" s="93" customFormat="1" ht="9" customHeight="1" x14ac:dyDescent="0.3">
      <c r="A8226" s="91"/>
      <c r="B8226" s="70"/>
      <c r="C8226" s="70"/>
      <c r="D8226" s="70"/>
      <c r="E8226" s="70"/>
      <c r="F8226" s="70"/>
      <c r="G8226" s="94"/>
      <c r="H8226" s="131"/>
      <c r="I8226" s="3"/>
    </row>
    <row r="8227" spans="1:9" s="93" customFormat="1" ht="9" customHeight="1" x14ac:dyDescent="0.3">
      <c r="A8227" s="91"/>
      <c r="B8227" s="70"/>
      <c r="C8227" s="70"/>
      <c r="D8227" s="70"/>
      <c r="E8227" s="70"/>
      <c r="F8227" s="70"/>
      <c r="G8227" s="94"/>
      <c r="H8227" s="131"/>
      <c r="I8227" s="3"/>
    </row>
    <row r="8228" spans="1:9" s="93" customFormat="1" ht="9" customHeight="1" x14ac:dyDescent="0.3">
      <c r="A8228" s="91"/>
      <c r="B8228" s="70"/>
      <c r="C8228" s="70"/>
      <c r="D8228" s="70"/>
      <c r="E8228" s="70"/>
      <c r="F8228" s="70"/>
      <c r="G8228" s="94"/>
      <c r="H8228" s="131"/>
      <c r="I8228" s="3"/>
    </row>
    <row r="8229" spans="1:9" s="93" customFormat="1" ht="9" customHeight="1" x14ac:dyDescent="0.3">
      <c r="A8229" s="91"/>
      <c r="B8229" s="70"/>
      <c r="C8229" s="70"/>
      <c r="D8229" s="70"/>
      <c r="E8229" s="70"/>
      <c r="F8229" s="70"/>
      <c r="G8229" s="94"/>
      <c r="H8229" s="131"/>
      <c r="I8229" s="3"/>
    </row>
    <row r="8230" spans="1:9" s="93" customFormat="1" ht="9" customHeight="1" x14ac:dyDescent="0.3">
      <c r="A8230" s="91"/>
      <c r="B8230" s="70"/>
      <c r="C8230" s="70"/>
      <c r="D8230" s="70"/>
      <c r="E8230" s="70"/>
      <c r="F8230" s="70"/>
      <c r="G8230" s="94"/>
      <c r="H8230" s="131"/>
      <c r="I8230" s="3"/>
    </row>
    <row r="8231" spans="1:9" s="93" customFormat="1" ht="9" customHeight="1" x14ac:dyDescent="0.3">
      <c r="A8231" s="91"/>
      <c r="B8231" s="70"/>
      <c r="C8231" s="70"/>
      <c r="D8231" s="70"/>
      <c r="E8231" s="70"/>
      <c r="F8231" s="70"/>
      <c r="G8231" s="94"/>
      <c r="H8231" s="131"/>
      <c r="I8231" s="3"/>
    </row>
    <row r="8232" spans="1:9" s="93" customFormat="1" ht="9" customHeight="1" x14ac:dyDescent="0.3">
      <c r="A8232" s="91"/>
      <c r="B8232" s="70"/>
      <c r="C8232" s="70"/>
      <c r="D8232" s="70"/>
      <c r="E8232" s="70"/>
      <c r="F8232" s="70"/>
      <c r="G8232" s="94"/>
      <c r="H8232" s="131"/>
      <c r="I8232" s="3"/>
    </row>
    <row r="8233" spans="1:9" s="93" customFormat="1" ht="9" customHeight="1" x14ac:dyDescent="0.3">
      <c r="A8233" s="91"/>
      <c r="B8233" s="70"/>
      <c r="C8233" s="70"/>
      <c r="D8233" s="70"/>
      <c r="E8233" s="70"/>
      <c r="F8233" s="70"/>
      <c r="G8233" s="94"/>
      <c r="H8233" s="131"/>
      <c r="I8233" s="3"/>
    </row>
    <row r="8234" spans="1:9" s="93" customFormat="1" ht="9" customHeight="1" x14ac:dyDescent="0.3">
      <c r="A8234" s="91"/>
      <c r="B8234" s="70"/>
      <c r="C8234" s="70"/>
      <c r="D8234" s="70"/>
      <c r="E8234" s="70"/>
      <c r="F8234" s="70"/>
      <c r="G8234" s="94"/>
      <c r="H8234" s="131"/>
      <c r="I8234" s="3"/>
    </row>
    <row r="8235" spans="1:9" s="93" customFormat="1" ht="9" customHeight="1" x14ac:dyDescent="0.3">
      <c r="A8235" s="91"/>
      <c r="B8235" s="70"/>
      <c r="C8235" s="70"/>
      <c r="D8235" s="70"/>
      <c r="E8235" s="70"/>
      <c r="F8235" s="70"/>
      <c r="G8235" s="94"/>
      <c r="H8235" s="131"/>
      <c r="I8235" s="3"/>
    </row>
    <row r="8236" spans="1:9" s="93" customFormat="1" ht="9" customHeight="1" x14ac:dyDescent="0.3">
      <c r="A8236" s="91"/>
      <c r="B8236" s="70"/>
      <c r="C8236" s="70"/>
      <c r="D8236" s="70"/>
      <c r="E8236" s="70"/>
      <c r="F8236" s="70"/>
      <c r="G8236" s="94"/>
      <c r="H8236" s="131"/>
      <c r="I8236" s="3"/>
    </row>
    <row r="8237" spans="1:9" s="93" customFormat="1" ht="9" customHeight="1" x14ac:dyDescent="0.3">
      <c r="A8237" s="91"/>
      <c r="B8237" s="70"/>
      <c r="C8237" s="70"/>
      <c r="D8237" s="70"/>
      <c r="E8237" s="70"/>
      <c r="F8237" s="70"/>
      <c r="G8237" s="94"/>
      <c r="H8237" s="131"/>
      <c r="I8237" s="3"/>
    </row>
    <row r="8238" spans="1:9" s="93" customFormat="1" ht="9" customHeight="1" x14ac:dyDescent="0.3">
      <c r="A8238" s="91"/>
      <c r="B8238" s="70"/>
      <c r="C8238" s="70"/>
      <c r="D8238" s="70"/>
      <c r="E8238" s="70"/>
      <c r="F8238" s="70"/>
      <c r="G8238" s="94"/>
      <c r="H8238" s="131"/>
      <c r="I8238" s="3"/>
    </row>
    <row r="8239" spans="1:9" s="93" customFormat="1" ht="9" customHeight="1" x14ac:dyDescent="0.3">
      <c r="A8239" s="91"/>
      <c r="B8239" s="70"/>
      <c r="C8239" s="70"/>
      <c r="D8239" s="70"/>
      <c r="E8239" s="70"/>
      <c r="F8239" s="70"/>
      <c r="G8239" s="94"/>
      <c r="H8239" s="131"/>
      <c r="I8239" s="3"/>
    </row>
    <row r="8240" spans="1:9" s="93" customFormat="1" ht="9" customHeight="1" x14ac:dyDescent="0.3">
      <c r="A8240" s="91"/>
      <c r="B8240" s="70"/>
      <c r="C8240" s="70"/>
      <c r="D8240" s="70"/>
      <c r="E8240" s="70"/>
      <c r="F8240" s="70"/>
      <c r="G8240" s="94"/>
      <c r="H8240" s="131"/>
      <c r="I8240" s="3"/>
    </row>
    <row r="8241" spans="1:9" s="93" customFormat="1" ht="9" customHeight="1" x14ac:dyDescent="0.3">
      <c r="A8241" s="91"/>
      <c r="B8241" s="70"/>
      <c r="C8241" s="70"/>
      <c r="D8241" s="70"/>
      <c r="E8241" s="70"/>
      <c r="F8241" s="70"/>
      <c r="G8241" s="94"/>
      <c r="H8241" s="131"/>
      <c r="I8241" s="3"/>
    </row>
    <row r="8242" spans="1:9" s="93" customFormat="1" ht="9" customHeight="1" x14ac:dyDescent="0.3">
      <c r="A8242" s="91"/>
      <c r="B8242" s="70"/>
      <c r="C8242" s="70"/>
      <c r="D8242" s="70"/>
      <c r="E8242" s="70"/>
      <c r="F8242" s="70"/>
      <c r="G8242" s="94"/>
      <c r="H8242" s="131"/>
      <c r="I8242" s="3"/>
    </row>
    <row r="8243" spans="1:9" s="93" customFormat="1" ht="9" customHeight="1" x14ac:dyDescent="0.3">
      <c r="A8243" s="91"/>
      <c r="B8243" s="70"/>
      <c r="C8243" s="70"/>
      <c r="D8243" s="70"/>
      <c r="E8243" s="70"/>
      <c r="F8243" s="70"/>
      <c r="G8243" s="94"/>
      <c r="H8243" s="131"/>
      <c r="I8243" s="3"/>
    </row>
    <row r="8244" spans="1:9" s="93" customFormat="1" ht="9" customHeight="1" x14ac:dyDescent="0.3">
      <c r="A8244" s="91"/>
      <c r="B8244" s="70"/>
      <c r="C8244" s="70"/>
      <c r="D8244" s="70"/>
      <c r="E8244" s="70"/>
      <c r="F8244" s="70"/>
      <c r="G8244" s="94"/>
      <c r="H8244" s="131"/>
      <c r="I8244" s="3"/>
    </row>
    <row r="8245" spans="1:9" s="93" customFormat="1" ht="9" customHeight="1" x14ac:dyDescent="0.3">
      <c r="A8245" s="91"/>
      <c r="B8245" s="70"/>
      <c r="C8245" s="70"/>
      <c r="D8245" s="70"/>
      <c r="E8245" s="70"/>
      <c r="F8245" s="70"/>
      <c r="G8245" s="94"/>
      <c r="H8245" s="131"/>
      <c r="I8245" s="3"/>
    </row>
    <row r="8246" spans="1:9" s="93" customFormat="1" ht="9" customHeight="1" x14ac:dyDescent="0.3">
      <c r="A8246" s="91"/>
      <c r="B8246" s="70"/>
      <c r="C8246" s="70"/>
      <c r="D8246" s="70"/>
      <c r="E8246" s="70"/>
      <c r="F8246" s="70"/>
      <c r="G8246" s="94"/>
      <c r="H8246" s="131"/>
      <c r="I8246" s="3"/>
    </row>
    <row r="8247" spans="1:9" s="93" customFormat="1" ht="9" customHeight="1" x14ac:dyDescent="0.3">
      <c r="A8247" s="91"/>
      <c r="B8247" s="70"/>
      <c r="C8247" s="70"/>
      <c r="D8247" s="70"/>
      <c r="E8247" s="70"/>
      <c r="F8247" s="70"/>
      <c r="G8247" s="94"/>
      <c r="H8247" s="131"/>
      <c r="I8247" s="3"/>
    </row>
    <row r="8248" spans="1:9" s="93" customFormat="1" ht="9" customHeight="1" x14ac:dyDescent="0.3">
      <c r="A8248" s="91"/>
      <c r="B8248" s="70"/>
      <c r="C8248" s="70"/>
      <c r="D8248" s="70"/>
      <c r="E8248" s="70"/>
      <c r="F8248" s="70"/>
      <c r="G8248" s="94"/>
      <c r="H8248" s="131"/>
      <c r="I8248" s="3"/>
    </row>
    <row r="8249" spans="1:9" s="93" customFormat="1" ht="9" customHeight="1" x14ac:dyDescent="0.3">
      <c r="A8249" s="91"/>
      <c r="B8249" s="70"/>
      <c r="C8249" s="70"/>
      <c r="D8249" s="70"/>
      <c r="E8249" s="70"/>
      <c r="F8249" s="70"/>
      <c r="G8249" s="94"/>
      <c r="H8249" s="131"/>
      <c r="I8249" s="3"/>
    </row>
    <row r="8250" spans="1:9" s="93" customFormat="1" ht="9" customHeight="1" x14ac:dyDescent="0.3">
      <c r="A8250" s="91"/>
      <c r="B8250" s="70"/>
      <c r="C8250" s="70"/>
      <c r="D8250" s="70"/>
      <c r="E8250" s="70"/>
      <c r="F8250" s="70"/>
      <c r="G8250" s="94"/>
      <c r="H8250" s="131"/>
      <c r="I8250" s="3"/>
    </row>
    <row r="8251" spans="1:9" s="93" customFormat="1" ht="9" customHeight="1" x14ac:dyDescent="0.3">
      <c r="A8251" s="91"/>
      <c r="B8251" s="70"/>
      <c r="C8251" s="70"/>
      <c r="D8251" s="70"/>
      <c r="E8251" s="70"/>
      <c r="F8251" s="70"/>
      <c r="G8251" s="94"/>
      <c r="H8251" s="131"/>
      <c r="I8251" s="3"/>
    </row>
    <row r="8252" spans="1:9" s="93" customFormat="1" ht="9" customHeight="1" x14ac:dyDescent="0.3">
      <c r="A8252" s="91"/>
      <c r="B8252" s="70"/>
      <c r="C8252" s="70"/>
      <c r="D8252" s="70"/>
      <c r="E8252" s="70"/>
      <c r="F8252" s="70"/>
      <c r="G8252" s="94"/>
      <c r="H8252" s="131"/>
      <c r="I8252" s="3"/>
    </row>
    <row r="8253" spans="1:9" s="93" customFormat="1" ht="9" customHeight="1" x14ac:dyDescent="0.3">
      <c r="A8253" s="91"/>
      <c r="B8253" s="70"/>
      <c r="C8253" s="70"/>
      <c r="D8253" s="70"/>
      <c r="E8253" s="70"/>
      <c r="F8253" s="70"/>
      <c r="G8253" s="94"/>
      <c r="H8253" s="131"/>
      <c r="I8253" s="3"/>
    </row>
    <row r="8254" spans="1:9" s="93" customFormat="1" ht="9" customHeight="1" x14ac:dyDescent="0.3">
      <c r="A8254" s="91"/>
      <c r="B8254" s="70"/>
      <c r="C8254" s="70"/>
      <c r="D8254" s="70"/>
      <c r="E8254" s="70"/>
      <c r="F8254" s="70"/>
      <c r="G8254" s="94"/>
      <c r="H8254" s="131"/>
      <c r="I8254" s="3"/>
    </row>
    <row r="8255" spans="1:9" s="93" customFormat="1" ht="9" customHeight="1" x14ac:dyDescent="0.3">
      <c r="A8255" s="91"/>
      <c r="B8255" s="70"/>
      <c r="C8255" s="70"/>
      <c r="D8255" s="70"/>
      <c r="E8255" s="70"/>
      <c r="F8255" s="70"/>
      <c r="G8255" s="94"/>
      <c r="H8255" s="131"/>
      <c r="I8255" s="3"/>
    </row>
    <row r="8256" spans="1:9" s="93" customFormat="1" ht="9" customHeight="1" x14ac:dyDescent="0.3">
      <c r="A8256" s="91"/>
      <c r="B8256" s="70"/>
      <c r="C8256" s="70"/>
      <c r="D8256" s="70"/>
      <c r="E8256" s="70"/>
      <c r="F8256" s="70"/>
      <c r="G8256" s="94"/>
      <c r="H8256" s="131"/>
      <c r="I8256" s="3"/>
    </row>
    <row r="8257" spans="1:9" s="93" customFormat="1" ht="9" customHeight="1" x14ac:dyDescent="0.3">
      <c r="A8257" s="91"/>
      <c r="B8257" s="70"/>
      <c r="C8257" s="70"/>
      <c r="D8257" s="70"/>
      <c r="E8257" s="70"/>
      <c r="F8257" s="70"/>
      <c r="G8257" s="94"/>
      <c r="H8257" s="131"/>
      <c r="I8257" s="3"/>
    </row>
    <row r="8258" spans="1:9" s="93" customFormat="1" ht="9" customHeight="1" x14ac:dyDescent="0.3">
      <c r="A8258" s="91"/>
      <c r="B8258" s="70"/>
      <c r="C8258" s="70"/>
      <c r="D8258" s="70"/>
      <c r="E8258" s="70"/>
      <c r="F8258" s="70"/>
      <c r="G8258" s="94"/>
      <c r="H8258" s="131"/>
      <c r="I8258" s="3"/>
    </row>
    <row r="8259" spans="1:9" s="93" customFormat="1" ht="9" customHeight="1" x14ac:dyDescent="0.3">
      <c r="A8259" s="91"/>
      <c r="B8259" s="70"/>
      <c r="C8259" s="70"/>
      <c r="D8259" s="70"/>
      <c r="E8259" s="70"/>
      <c r="F8259" s="70"/>
      <c r="G8259" s="94"/>
      <c r="H8259" s="131"/>
      <c r="I8259" s="3"/>
    </row>
    <row r="8260" spans="1:9" s="93" customFormat="1" ht="9" customHeight="1" x14ac:dyDescent="0.3">
      <c r="A8260" s="91"/>
      <c r="B8260" s="70"/>
      <c r="C8260" s="70"/>
      <c r="D8260" s="70"/>
      <c r="E8260" s="70"/>
      <c r="F8260" s="70"/>
      <c r="G8260" s="94"/>
      <c r="H8260" s="131"/>
      <c r="I8260" s="3"/>
    </row>
    <row r="8261" spans="1:9" s="93" customFormat="1" ht="9" customHeight="1" x14ac:dyDescent="0.3">
      <c r="A8261" s="91"/>
      <c r="B8261" s="70"/>
      <c r="C8261" s="70"/>
      <c r="D8261" s="70"/>
      <c r="E8261" s="70"/>
      <c r="F8261" s="70"/>
      <c r="G8261" s="94"/>
      <c r="H8261" s="131"/>
      <c r="I8261" s="3"/>
    </row>
    <row r="8262" spans="1:9" s="93" customFormat="1" ht="9" customHeight="1" x14ac:dyDescent="0.3">
      <c r="A8262" s="91"/>
      <c r="B8262" s="70"/>
      <c r="C8262" s="70"/>
      <c r="D8262" s="70"/>
      <c r="E8262" s="70"/>
      <c r="F8262" s="70"/>
      <c r="G8262" s="94"/>
      <c r="H8262" s="131"/>
      <c r="I8262" s="3"/>
    </row>
    <row r="8263" spans="1:9" s="93" customFormat="1" ht="9" customHeight="1" x14ac:dyDescent="0.3">
      <c r="A8263" s="91"/>
      <c r="B8263" s="70"/>
      <c r="C8263" s="70"/>
      <c r="D8263" s="70"/>
      <c r="E8263" s="70"/>
      <c r="F8263" s="70"/>
      <c r="G8263" s="94"/>
      <c r="H8263" s="131"/>
      <c r="I8263" s="3"/>
    </row>
    <row r="8264" spans="1:9" s="93" customFormat="1" ht="9" customHeight="1" x14ac:dyDescent="0.3">
      <c r="A8264" s="91"/>
      <c r="B8264" s="70"/>
      <c r="C8264" s="70"/>
      <c r="D8264" s="70"/>
      <c r="E8264" s="70"/>
      <c r="F8264" s="70"/>
      <c r="G8264" s="94"/>
      <c r="H8264" s="131"/>
      <c r="I8264" s="3"/>
    </row>
    <row r="8265" spans="1:9" s="93" customFormat="1" ht="9" customHeight="1" x14ac:dyDescent="0.3">
      <c r="A8265" s="91"/>
      <c r="B8265" s="70"/>
      <c r="C8265" s="70"/>
      <c r="D8265" s="70"/>
      <c r="E8265" s="70"/>
      <c r="F8265" s="70"/>
      <c r="G8265" s="94"/>
      <c r="H8265" s="131"/>
      <c r="I8265" s="3"/>
    </row>
    <row r="8266" spans="1:9" s="93" customFormat="1" ht="9" customHeight="1" x14ac:dyDescent="0.3">
      <c r="A8266" s="91"/>
      <c r="B8266" s="70"/>
      <c r="C8266" s="70"/>
      <c r="D8266" s="70"/>
      <c r="E8266" s="70"/>
      <c r="F8266" s="70"/>
      <c r="G8266" s="94"/>
      <c r="H8266" s="131"/>
      <c r="I8266" s="3"/>
    </row>
    <row r="8267" spans="1:9" s="93" customFormat="1" ht="9" customHeight="1" x14ac:dyDescent="0.3">
      <c r="A8267" s="91"/>
      <c r="B8267" s="70"/>
      <c r="C8267" s="70"/>
      <c r="D8267" s="70"/>
      <c r="E8267" s="70"/>
      <c r="F8267" s="70"/>
      <c r="G8267" s="94"/>
      <c r="H8267" s="131"/>
      <c r="I8267" s="3"/>
    </row>
    <row r="8268" spans="1:9" s="93" customFormat="1" ht="9" customHeight="1" x14ac:dyDescent="0.3">
      <c r="A8268" s="91"/>
      <c r="B8268" s="70"/>
      <c r="C8268" s="70"/>
      <c r="D8268" s="70"/>
      <c r="E8268" s="70"/>
      <c r="F8268" s="70"/>
      <c r="G8268" s="94"/>
      <c r="H8268" s="131"/>
      <c r="I8268" s="3"/>
    </row>
    <row r="8269" spans="1:9" s="93" customFormat="1" ht="9" customHeight="1" x14ac:dyDescent="0.3">
      <c r="A8269" s="91"/>
      <c r="B8269" s="70"/>
      <c r="C8269" s="70"/>
      <c r="D8269" s="70"/>
      <c r="E8269" s="70"/>
      <c r="F8269" s="70"/>
      <c r="G8269" s="94"/>
      <c r="H8269" s="131"/>
      <c r="I8269" s="3"/>
    </row>
    <row r="8270" spans="1:9" s="93" customFormat="1" ht="9" customHeight="1" x14ac:dyDescent="0.3">
      <c r="A8270" s="91"/>
      <c r="B8270" s="70"/>
      <c r="C8270" s="70"/>
      <c r="D8270" s="70"/>
      <c r="E8270" s="70"/>
      <c r="F8270" s="70"/>
      <c r="G8270" s="94"/>
      <c r="H8270" s="131"/>
      <c r="I8270" s="3"/>
    </row>
    <row r="8271" spans="1:9" s="93" customFormat="1" ht="9" customHeight="1" x14ac:dyDescent="0.3">
      <c r="A8271" s="91"/>
      <c r="B8271" s="70"/>
      <c r="C8271" s="70"/>
      <c r="D8271" s="70"/>
      <c r="E8271" s="70"/>
      <c r="F8271" s="70"/>
      <c r="G8271" s="94"/>
      <c r="H8271" s="131"/>
      <c r="I8271" s="3"/>
    </row>
    <row r="8272" spans="1:9" s="93" customFormat="1" ht="9" customHeight="1" x14ac:dyDescent="0.3">
      <c r="A8272" s="91"/>
      <c r="B8272" s="70"/>
      <c r="C8272" s="70"/>
      <c r="D8272" s="70"/>
      <c r="E8272" s="70"/>
      <c r="F8272" s="70"/>
      <c r="G8272" s="94"/>
      <c r="H8272" s="131"/>
      <c r="I8272" s="3"/>
    </row>
    <row r="8273" spans="1:9" s="93" customFormat="1" ht="9" customHeight="1" x14ac:dyDescent="0.3">
      <c r="A8273" s="91"/>
      <c r="B8273" s="70"/>
      <c r="C8273" s="70"/>
      <c r="D8273" s="70"/>
      <c r="E8273" s="70"/>
      <c r="F8273" s="70"/>
      <c r="G8273" s="94"/>
      <c r="H8273" s="131"/>
      <c r="I8273" s="3"/>
    </row>
    <row r="8274" spans="1:9" s="93" customFormat="1" ht="9" customHeight="1" x14ac:dyDescent="0.3">
      <c r="A8274" s="91"/>
      <c r="B8274" s="70"/>
      <c r="C8274" s="70"/>
      <c r="D8274" s="70"/>
      <c r="E8274" s="70"/>
      <c r="F8274" s="70"/>
      <c r="G8274" s="94"/>
      <c r="H8274" s="131"/>
      <c r="I8274" s="3"/>
    </row>
    <row r="8275" spans="1:9" s="93" customFormat="1" ht="9" customHeight="1" x14ac:dyDescent="0.3">
      <c r="A8275" s="91"/>
      <c r="B8275" s="70"/>
      <c r="C8275" s="70"/>
      <c r="D8275" s="70"/>
      <c r="E8275" s="70"/>
      <c r="F8275" s="70"/>
      <c r="G8275" s="94"/>
      <c r="H8275" s="131"/>
      <c r="I8275" s="3"/>
    </row>
    <row r="8276" spans="1:9" s="93" customFormat="1" ht="9" customHeight="1" x14ac:dyDescent="0.3">
      <c r="A8276" s="91"/>
      <c r="B8276" s="70"/>
      <c r="C8276" s="70"/>
      <c r="D8276" s="70"/>
      <c r="E8276" s="70"/>
      <c r="F8276" s="70"/>
      <c r="G8276" s="94"/>
      <c r="H8276" s="131"/>
      <c r="I8276" s="3"/>
    </row>
    <row r="8277" spans="1:9" s="93" customFormat="1" ht="9" customHeight="1" x14ac:dyDescent="0.3">
      <c r="A8277" s="91"/>
      <c r="B8277" s="70"/>
      <c r="C8277" s="70"/>
      <c r="D8277" s="70"/>
      <c r="E8277" s="70"/>
      <c r="F8277" s="70"/>
      <c r="G8277" s="94"/>
      <c r="H8277" s="131"/>
      <c r="I8277" s="3"/>
    </row>
    <row r="8278" spans="1:9" s="93" customFormat="1" ht="9" customHeight="1" x14ac:dyDescent="0.3">
      <c r="A8278" s="91"/>
      <c r="B8278" s="70"/>
      <c r="C8278" s="70"/>
      <c r="D8278" s="70"/>
      <c r="E8278" s="70"/>
      <c r="F8278" s="70"/>
      <c r="G8278" s="94"/>
      <c r="H8278" s="131"/>
      <c r="I8278" s="3"/>
    </row>
    <row r="8279" spans="1:9" s="93" customFormat="1" ht="9" customHeight="1" x14ac:dyDescent="0.3">
      <c r="A8279" s="91"/>
      <c r="B8279" s="70"/>
      <c r="C8279" s="70"/>
      <c r="D8279" s="70"/>
      <c r="E8279" s="70"/>
      <c r="F8279" s="70"/>
      <c r="G8279" s="94"/>
      <c r="H8279" s="131"/>
      <c r="I8279" s="3"/>
    </row>
    <row r="8280" spans="1:9" s="93" customFormat="1" ht="9" customHeight="1" x14ac:dyDescent="0.3">
      <c r="A8280" s="91"/>
      <c r="B8280" s="70"/>
      <c r="C8280" s="70"/>
      <c r="D8280" s="70"/>
      <c r="E8280" s="70"/>
      <c r="F8280" s="70"/>
      <c r="G8280" s="94"/>
      <c r="H8280" s="131"/>
      <c r="I8280" s="3"/>
    </row>
    <row r="8281" spans="1:9" s="93" customFormat="1" ht="9" customHeight="1" x14ac:dyDescent="0.3">
      <c r="A8281" s="91"/>
      <c r="B8281" s="70"/>
      <c r="C8281" s="70"/>
      <c r="D8281" s="70"/>
      <c r="E8281" s="70"/>
      <c r="F8281" s="70"/>
      <c r="G8281" s="94"/>
      <c r="H8281" s="131"/>
      <c r="I8281" s="3"/>
    </row>
    <row r="8282" spans="1:9" s="93" customFormat="1" ht="9" customHeight="1" x14ac:dyDescent="0.3">
      <c r="A8282" s="91"/>
      <c r="B8282" s="70"/>
      <c r="C8282" s="70"/>
      <c r="D8282" s="70"/>
      <c r="E8282" s="70"/>
      <c r="F8282" s="70"/>
      <c r="G8282" s="94"/>
      <c r="H8282" s="131"/>
      <c r="I8282" s="3"/>
    </row>
    <row r="8283" spans="1:9" s="93" customFormat="1" ht="9" customHeight="1" x14ac:dyDescent="0.3">
      <c r="A8283" s="91"/>
      <c r="B8283" s="70"/>
      <c r="C8283" s="70"/>
      <c r="D8283" s="70"/>
      <c r="E8283" s="70"/>
      <c r="F8283" s="70"/>
      <c r="G8283" s="94"/>
      <c r="H8283" s="131"/>
      <c r="I8283" s="3"/>
    </row>
    <row r="8284" spans="1:9" s="93" customFormat="1" ht="9" customHeight="1" x14ac:dyDescent="0.3">
      <c r="A8284" s="91"/>
      <c r="B8284" s="70"/>
      <c r="C8284" s="70"/>
      <c r="D8284" s="70"/>
      <c r="E8284" s="70"/>
      <c r="F8284" s="70"/>
      <c r="G8284" s="94"/>
      <c r="H8284" s="131"/>
      <c r="I8284" s="3"/>
    </row>
    <row r="8285" spans="1:9" s="93" customFormat="1" ht="9" customHeight="1" x14ac:dyDescent="0.3">
      <c r="A8285" s="91"/>
      <c r="B8285" s="70"/>
      <c r="C8285" s="70"/>
      <c r="D8285" s="70"/>
      <c r="E8285" s="70"/>
      <c r="F8285" s="70"/>
      <c r="G8285" s="94"/>
      <c r="H8285" s="131"/>
      <c r="I8285" s="3"/>
    </row>
    <row r="8286" spans="1:9" s="93" customFormat="1" ht="9" customHeight="1" x14ac:dyDescent="0.3">
      <c r="A8286" s="91"/>
      <c r="B8286" s="70"/>
      <c r="C8286" s="70"/>
      <c r="D8286" s="70"/>
      <c r="E8286" s="70"/>
      <c r="F8286" s="70"/>
      <c r="G8286" s="94"/>
      <c r="H8286" s="131"/>
      <c r="I8286" s="3"/>
    </row>
    <row r="8287" spans="1:9" s="93" customFormat="1" ht="9" customHeight="1" x14ac:dyDescent="0.3">
      <c r="A8287" s="91"/>
      <c r="B8287" s="70"/>
      <c r="C8287" s="70"/>
      <c r="D8287" s="70"/>
      <c r="E8287" s="70"/>
      <c r="F8287" s="70"/>
      <c r="G8287" s="94"/>
      <c r="H8287" s="131"/>
      <c r="I8287" s="3"/>
    </row>
    <row r="8288" spans="1:9" s="93" customFormat="1" ht="9" customHeight="1" x14ac:dyDescent="0.3">
      <c r="A8288" s="91"/>
      <c r="B8288" s="70"/>
      <c r="C8288" s="70"/>
      <c r="D8288" s="70"/>
      <c r="E8288" s="70"/>
      <c r="F8288" s="70"/>
      <c r="G8288" s="94"/>
      <c r="H8288" s="131"/>
      <c r="I8288" s="3"/>
    </row>
    <row r="8289" spans="1:9" s="93" customFormat="1" ht="9" customHeight="1" x14ac:dyDescent="0.3">
      <c r="A8289" s="91"/>
      <c r="B8289" s="70"/>
      <c r="C8289" s="70"/>
      <c r="D8289" s="70"/>
      <c r="E8289" s="70"/>
      <c r="F8289" s="70"/>
      <c r="G8289" s="94"/>
      <c r="H8289" s="131"/>
      <c r="I8289" s="3"/>
    </row>
    <row r="8290" spans="1:9" s="93" customFormat="1" ht="9" customHeight="1" x14ac:dyDescent="0.3">
      <c r="A8290" s="91"/>
      <c r="B8290" s="70"/>
      <c r="C8290" s="70"/>
      <c r="D8290" s="70"/>
      <c r="E8290" s="70"/>
      <c r="F8290" s="70"/>
      <c r="G8290" s="94"/>
      <c r="H8290" s="131"/>
      <c r="I8290" s="3"/>
    </row>
    <row r="8291" spans="1:9" s="93" customFormat="1" ht="9" customHeight="1" x14ac:dyDescent="0.3">
      <c r="A8291" s="91"/>
      <c r="B8291" s="70"/>
      <c r="C8291" s="70"/>
      <c r="D8291" s="70"/>
      <c r="E8291" s="70"/>
      <c r="F8291" s="70"/>
      <c r="G8291" s="94"/>
      <c r="H8291" s="131"/>
      <c r="I8291" s="3"/>
    </row>
    <row r="8292" spans="1:9" s="93" customFormat="1" ht="9" customHeight="1" x14ac:dyDescent="0.3">
      <c r="A8292" s="91"/>
      <c r="B8292" s="70"/>
      <c r="C8292" s="70"/>
      <c r="D8292" s="70"/>
      <c r="E8292" s="70"/>
      <c r="F8292" s="70"/>
      <c r="G8292" s="94"/>
      <c r="H8292" s="131"/>
      <c r="I8292" s="3"/>
    </row>
    <row r="8293" spans="1:9" s="93" customFormat="1" ht="9" customHeight="1" x14ac:dyDescent="0.3">
      <c r="A8293" s="91"/>
      <c r="B8293" s="70"/>
      <c r="C8293" s="70"/>
      <c r="D8293" s="70"/>
      <c r="E8293" s="70"/>
      <c r="F8293" s="70"/>
      <c r="G8293" s="94"/>
      <c r="H8293" s="131"/>
      <c r="I8293" s="3"/>
    </row>
    <row r="8294" spans="1:9" s="93" customFormat="1" ht="9" customHeight="1" x14ac:dyDescent="0.3">
      <c r="A8294" s="91"/>
      <c r="B8294" s="70"/>
      <c r="C8294" s="70"/>
      <c r="D8294" s="70"/>
      <c r="E8294" s="70"/>
      <c r="F8294" s="70"/>
      <c r="G8294" s="94"/>
      <c r="H8294" s="131"/>
      <c r="I8294" s="3"/>
    </row>
    <row r="8295" spans="1:9" s="93" customFormat="1" ht="9" customHeight="1" x14ac:dyDescent="0.3">
      <c r="A8295" s="91"/>
      <c r="B8295" s="70"/>
      <c r="C8295" s="70"/>
      <c r="D8295" s="70"/>
      <c r="E8295" s="70"/>
      <c r="F8295" s="70"/>
      <c r="G8295" s="94"/>
      <c r="H8295" s="131"/>
      <c r="I8295" s="3"/>
    </row>
    <row r="8296" spans="1:9" s="93" customFormat="1" ht="9" customHeight="1" x14ac:dyDescent="0.3">
      <c r="A8296" s="91"/>
      <c r="B8296" s="70"/>
      <c r="C8296" s="70"/>
      <c r="D8296" s="70"/>
      <c r="E8296" s="70"/>
      <c r="F8296" s="70"/>
      <c r="G8296" s="94"/>
      <c r="H8296" s="131"/>
      <c r="I8296" s="3"/>
    </row>
    <row r="8297" spans="1:9" s="93" customFormat="1" ht="9" customHeight="1" x14ac:dyDescent="0.3">
      <c r="A8297" s="91"/>
      <c r="B8297" s="70"/>
      <c r="C8297" s="70"/>
      <c r="D8297" s="70"/>
      <c r="E8297" s="70"/>
      <c r="F8297" s="70"/>
      <c r="G8297" s="94"/>
      <c r="H8297" s="131"/>
      <c r="I8297" s="3"/>
    </row>
    <row r="8298" spans="1:9" s="93" customFormat="1" ht="9" customHeight="1" x14ac:dyDescent="0.3">
      <c r="A8298" s="91"/>
      <c r="B8298" s="70"/>
      <c r="C8298" s="70"/>
      <c r="D8298" s="70"/>
      <c r="E8298" s="70"/>
      <c r="F8298" s="70"/>
      <c r="G8298" s="94"/>
      <c r="H8298" s="131"/>
      <c r="I8298" s="3"/>
    </row>
    <row r="8299" spans="1:9" s="93" customFormat="1" ht="9" customHeight="1" x14ac:dyDescent="0.3">
      <c r="A8299" s="91"/>
      <c r="B8299" s="70"/>
      <c r="C8299" s="70"/>
      <c r="D8299" s="70"/>
      <c r="E8299" s="70"/>
      <c r="F8299" s="70"/>
      <c r="G8299" s="94"/>
      <c r="H8299" s="131"/>
      <c r="I8299" s="3"/>
    </row>
    <row r="8300" spans="1:9" s="93" customFormat="1" ht="9" customHeight="1" x14ac:dyDescent="0.3">
      <c r="A8300" s="91"/>
      <c r="B8300" s="70"/>
      <c r="C8300" s="70"/>
      <c r="D8300" s="70"/>
      <c r="E8300" s="70"/>
      <c r="F8300" s="70"/>
      <c r="G8300" s="94"/>
      <c r="H8300" s="131"/>
      <c r="I8300" s="3"/>
    </row>
    <row r="8301" spans="1:9" s="93" customFormat="1" ht="9" customHeight="1" x14ac:dyDescent="0.3">
      <c r="A8301" s="91"/>
      <c r="B8301" s="70"/>
      <c r="C8301" s="70"/>
      <c r="D8301" s="70"/>
      <c r="E8301" s="70"/>
      <c r="F8301" s="70"/>
      <c r="G8301" s="94"/>
      <c r="H8301" s="131"/>
      <c r="I8301" s="3"/>
    </row>
    <row r="8302" spans="1:9" s="93" customFormat="1" ht="9" customHeight="1" x14ac:dyDescent="0.3">
      <c r="A8302" s="91"/>
      <c r="B8302" s="70"/>
      <c r="C8302" s="70"/>
      <c r="D8302" s="70"/>
      <c r="E8302" s="70"/>
      <c r="F8302" s="70"/>
      <c r="G8302" s="94"/>
      <c r="H8302" s="131"/>
      <c r="I8302" s="3"/>
    </row>
    <row r="8303" spans="1:9" s="93" customFormat="1" ht="9" customHeight="1" x14ac:dyDescent="0.3">
      <c r="A8303" s="91"/>
      <c r="B8303" s="70"/>
      <c r="C8303" s="70"/>
      <c r="D8303" s="70"/>
      <c r="E8303" s="70"/>
      <c r="F8303" s="70"/>
      <c r="G8303" s="94"/>
      <c r="H8303" s="131"/>
      <c r="I8303" s="3"/>
    </row>
    <row r="8304" spans="1:9" s="93" customFormat="1" ht="9" customHeight="1" x14ac:dyDescent="0.3">
      <c r="A8304" s="91"/>
      <c r="B8304" s="70"/>
      <c r="C8304" s="70"/>
      <c r="D8304" s="70"/>
      <c r="E8304" s="70"/>
      <c r="F8304" s="70"/>
      <c r="G8304" s="94"/>
      <c r="H8304" s="131"/>
      <c r="I8304" s="3"/>
    </row>
    <row r="8305" spans="1:9" s="93" customFormat="1" ht="9" customHeight="1" x14ac:dyDescent="0.3">
      <c r="A8305" s="91"/>
      <c r="B8305" s="70"/>
      <c r="C8305" s="70"/>
      <c r="D8305" s="70"/>
      <c r="E8305" s="70"/>
      <c r="F8305" s="70"/>
      <c r="G8305" s="94"/>
      <c r="H8305" s="131"/>
      <c r="I8305" s="3"/>
    </row>
    <row r="8306" spans="1:9" s="93" customFormat="1" ht="9" customHeight="1" x14ac:dyDescent="0.3">
      <c r="A8306" s="91"/>
      <c r="B8306" s="70"/>
      <c r="C8306" s="70"/>
      <c r="D8306" s="70"/>
      <c r="E8306" s="70"/>
      <c r="F8306" s="70"/>
      <c r="G8306" s="94"/>
      <c r="H8306" s="131"/>
      <c r="I8306" s="3"/>
    </row>
    <row r="8307" spans="1:9" s="93" customFormat="1" ht="9" customHeight="1" x14ac:dyDescent="0.3">
      <c r="A8307" s="91"/>
      <c r="B8307" s="70"/>
      <c r="C8307" s="70"/>
      <c r="D8307" s="70"/>
      <c r="E8307" s="70"/>
      <c r="F8307" s="70"/>
      <c r="G8307" s="94"/>
      <c r="H8307" s="131"/>
      <c r="I8307" s="3"/>
    </row>
    <row r="8308" spans="1:9" s="93" customFormat="1" ht="9" customHeight="1" x14ac:dyDescent="0.3">
      <c r="A8308" s="91"/>
      <c r="B8308" s="70"/>
      <c r="C8308" s="70"/>
      <c r="D8308" s="70"/>
      <c r="E8308" s="70"/>
      <c r="F8308" s="70"/>
      <c r="G8308" s="94"/>
      <c r="H8308" s="131"/>
      <c r="I8308" s="3"/>
    </row>
    <row r="8309" spans="1:9" s="93" customFormat="1" ht="9" customHeight="1" x14ac:dyDescent="0.3">
      <c r="A8309" s="91"/>
      <c r="B8309" s="70"/>
      <c r="C8309" s="70"/>
      <c r="D8309" s="70"/>
      <c r="E8309" s="70"/>
      <c r="F8309" s="70"/>
      <c r="G8309" s="94"/>
      <c r="H8309" s="131"/>
      <c r="I8309" s="3"/>
    </row>
    <row r="8310" spans="1:9" s="93" customFormat="1" ht="9" customHeight="1" x14ac:dyDescent="0.3">
      <c r="A8310" s="91"/>
      <c r="B8310" s="70"/>
      <c r="C8310" s="70"/>
      <c r="D8310" s="70"/>
      <c r="E8310" s="70"/>
      <c r="F8310" s="70"/>
      <c r="G8310" s="94"/>
      <c r="H8310" s="131"/>
      <c r="I8310" s="3"/>
    </row>
    <row r="8311" spans="1:9" s="93" customFormat="1" ht="9" customHeight="1" x14ac:dyDescent="0.3">
      <c r="A8311" s="91"/>
      <c r="B8311" s="70"/>
      <c r="C8311" s="70"/>
      <c r="D8311" s="70"/>
      <c r="E8311" s="70"/>
      <c r="F8311" s="70"/>
      <c r="G8311" s="94"/>
      <c r="H8311" s="131"/>
      <c r="I8311" s="3"/>
    </row>
    <row r="8312" spans="1:9" s="93" customFormat="1" ht="9" customHeight="1" x14ac:dyDescent="0.3">
      <c r="A8312" s="91"/>
      <c r="B8312" s="70"/>
      <c r="C8312" s="70"/>
      <c r="D8312" s="70"/>
      <c r="E8312" s="70"/>
      <c r="F8312" s="70"/>
      <c r="G8312" s="94"/>
      <c r="H8312" s="131"/>
      <c r="I8312" s="3"/>
    </row>
    <row r="8313" spans="1:9" s="93" customFormat="1" ht="9" customHeight="1" x14ac:dyDescent="0.3">
      <c r="A8313" s="91"/>
      <c r="B8313" s="70"/>
      <c r="C8313" s="70"/>
      <c r="D8313" s="70"/>
      <c r="E8313" s="70"/>
      <c r="F8313" s="70"/>
      <c r="G8313" s="94"/>
      <c r="H8313" s="131"/>
      <c r="I8313" s="3"/>
    </row>
    <row r="8314" spans="1:9" s="93" customFormat="1" ht="9" customHeight="1" x14ac:dyDescent="0.3">
      <c r="A8314" s="91"/>
      <c r="B8314" s="70"/>
      <c r="C8314" s="70"/>
      <c r="D8314" s="70"/>
      <c r="E8314" s="70"/>
      <c r="F8314" s="70"/>
      <c r="G8314" s="94"/>
      <c r="H8314" s="131"/>
      <c r="I8314" s="3"/>
    </row>
    <row r="8315" spans="1:9" s="93" customFormat="1" ht="9" customHeight="1" x14ac:dyDescent="0.3">
      <c r="A8315" s="91"/>
      <c r="B8315" s="70"/>
      <c r="C8315" s="70"/>
      <c r="D8315" s="70"/>
      <c r="E8315" s="70"/>
      <c r="F8315" s="70"/>
      <c r="G8315" s="94"/>
      <c r="H8315" s="131"/>
      <c r="I8315" s="3"/>
    </row>
    <row r="8316" spans="1:9" s="93" customFormat="1" ht="9" customHeight="1" x14ac:dyDescent="0.3">
      <c r="A8316" s="91"/>
      <c r="B8316" s="70"/>
      <c r="C8316" s="70"/>
      <c r="D8316" s="70"/>
      <c r="E8316" s="70"/>
      <c r="F8316" s="70"/>
      <c r="G8316" s="94"/>
      <c r="H8316" s="131"/>
      <c r="I8316" s="3"/>
    </row>
    <row r="8317" spans="1:9" s="93" customFormat="1" ht="9" customHeight="1" x14ac:dyDescent="0.3">
      <c r="A8317" s="91"/>
      <c r="B8317" s="70"/>
      <c r="C8317" s="70"/>
      <c r="D8317" s="70"/>
      <c r="E8317" s="70"/>
      <c r="F8317" s="70"/>
      <c r="G8317" s="94"/>
      <c r="H8317" s="131"/>
      <c r="I8317" s="3"/>
    </row>
    <row r="8318" spans="1:9" s="93" customFormat="1" ht="9" customHeight="1" x14ac:dyDescent="0.3">
      <c r="A8318" s="91"/>
      <c r="B8318" s="70"/>
      <c r="C8318" s="70"/>
      <c r="D8318" s="70"/>
      <c r="E8318" s="70"/>
      <c r="F8318" s="70"/>
      <c r="G8318" s="94"/>
      <c r="H8318" s="131"/>
      <c r="I8318" s="3"/>
    </row>
    <row r="8319" spans="1:9" s="93" customFormat="1" ht="9" customHeight="1" x14ac:dyDescent="0.3">
      <c r="A8319" s="91"/>
      <c r="B8319" s="70"/>
      <c r="C8319" s="70"/>
      <c r="D8319" s="70"/>
      <c r="E8319" s="70"/>
      <c r="F8319" s="70"/>
      <c r="G8319" s="94"/>
      <c r="H8319" s="131"/>
      <c r="I8319" s="3"/>
    </row>
    <row r="8320" spans="1:9" s="93" customFormat="1" ht="9" customHeight="1" x14ac:dyDescent="0.3">
      <c r="A8320" s="91"/>
      <c r="B8320" s="70"/>
      <c r="C8320" s="70"/>
      <c r="D8320" s="70"/>
      <c r="E8320" s="70"/>
      <c r="F8320" s="70"/>
      <c r="G8320" s="94"/>
      <c r="H8320" s="131"/>
      <c r="I8320" s="3"/>
    </row>
    <row r="8321" spans="1:9" s="93" customFormat="1" ht="9" customHeight="1" x14ac:dyDescent="0.3">
      <c r="A8321" s="91"/>
      <c r="B8321" s="70"/>
      <c r="C8321" s="70"/>
      <c r="D8321" s="70"/>
      <c r="E8321" s="70"/>
      <c r="F8321" s="70"/>
      <c r="G8321" s="94"/>
      <c r="H8321" s="131"/>
      <c r="I8321" s="3"/>
    </row>
    <row r="8322" spans="1:9" s="93" customFormat="1" ht="9" customHeight="1" x14ac:dyDescent="0.3">
      <c r="A8322" s="91"/>
      <c r="B8322" s="70"/>
      <c r="C8322" s="70"/>
      <c r="D8322" s="70"/>
      <c r="E8322" s="70"/>
      <c r="F8322" s="70"/>
      <c r="G8322" s="94"/>
      <c r="H8322" s="131"/>
      <c r="I8322" s="3"/>
    </row>
    <row r="8323" spans="1:9" s="93" customFormat="1" ht="9" customHeight="1" x14ac:dyDescent="0.3">
      <c r="A8323" s="91"/>
      <c r="B8323" s="70"/>
      <c r="C8323" s="70"/>
      <c r="D8323" s="70"/>
      <c r="E8323" s="70"/>
      <c r="F8323" s="70"/>
      <c r="G8323" s="94"/>
      <c r="H8323" s="131"/>
      <c r="I8323" s="3"/>
    </row>
    <row r="8324" spans="1:9" s="93" customFormat="1" ht="9" customHeight="1" x14ac:dyDescent="0.3">
      <c r="A8324" s="91"/>
      <c r="B8324" s="70"/>
      <c r="C8324" s="70"/>
      <c r="D8324" s="70"/>
      <c r="E8324" s="70"/>
      <c r="F8324" s="70"/>
      <c r="G8324" s="94"/>
      <c r="H8324" s="131"/>
      <c r="I8324" s="3"/>
    </row>
    <row r="8325" spans="1:9" s="93" customFormat="1" ht="9" customHeight="1" x14ac:dyDescent="0.3">
      <c r="A8325" s="91"/>
      <c r="B8325" s="70"/>
      <c r="C8325" s="70"/>
      <c r="D8325" s="70"/>
      <c r="E8325" s="70"/>
      <c r="F8325" s="70"/>
      <c r="G8325" s="94"/>
      <c r="H8325" s="131"/>
      <c r="I8325" s="3"/>
    </row>
    <row r="8326" spans="1:9" s="93" customFormat="1" ht="9" customHeight="1" x14ac:dyDescent="0.3">
      <c r="A8326" s="91"/>
      <c r="B8326" s="70"/>
      <c r="C8326" s="70"/>
      <c r="D8326" s="70"/>
      <c r="E8326" s="70"/>
      <c r="F8326" s="70"/>
      <c r="G8326" s="94"/>
      <c r="H8326" s="131"/>
      <c r="I8326" s="3"/>
    </row>
    <row r="8327" spans="1:9" s="93" customFormat="1" ht="9" customHeight="1" x14ac:dyDescent="0.3">
      <c r="A8327" s="91"/>
      <c r="B8327" s="70"/>
      <c r="C8327" s="70"/>
      <c r="D8327" s="70"/>
      <c r="E8327" s="70"/>
      <c r="F8327" s="70"/>
      <c r="G8327" s="94"/>
      <c r="H8327" s="131"/>
      <c r="I8327" s="3"/>
    </row>
    <row r="8328" spans="1:9" s="93" customFormat="1" ht="9" customHeight="1" x14ac:dyDescent="0.3">
      <c r="A8328" s="91"/>
      <c r="B8328" s="70"/>
      <c r="C8328" s="70"/>
      <c r="D8328" s="70"/>
      <c r="E8328" s="70"/>
      <c r="F8328" s="70"/>
      <c r="G8328" s="94"/>
      <c r="H8328" s="131"/>
      <c r="I8328" s="3"/>
    </row>
    <row r="8329" spans="1:9" s="93" customFormat="1" ht="9" customHeight="1" x14ac:dyDescent="0.3">
      <c r="A8329" s="91"/>
      <c r="B8329" s="70"/>
      <c r="C8329" s="70"/>
      <c r="D8329" s="70"/>
      <c r="E8329" s="70"/>
      <c r="F8329" s="70"/>
      <c r="G8329" s="94"/>
      <c r="H8329" s="131"/>
      <c r="I8329" s="3"/>
    </row>
    <row r="8330" spans="1:9" s="93" customFormat="1" ht="9" customHeight="1" x14ac:dyDescent="0.3">
      <c r="A8330" s="91"/>
      <c r="B8330" s="70"/>
      <c r="C8330" s="70"/>
      <c r="D8330" s="70"/>
      <c r="E8330" s="70"/>
      <c r="F8330" s="70"/>
      <c r="G8330" s="94"/>
      <c r="H8330" s="131"/>
      <c r="I8330" s="3"/>
    </row>
    <row r="8331" spans="1:9" s="93" customFormat="1" ht="9" customHeight="1" x14ac:dyDescent="0.3">
      <c r="A8331" s="91"/>
      <c r="B8331" s="70"/>
      <c r="C8331" s="70"/>
      <c r="D8331" s="70"/>
      <c r="E8331" s="70"/>
      <c r="F8331" s="70"/>
      <c r="G8331" s="94"/>
      <c r="H8331" s="131"/>
      <c r="I8331" s="3"/>
    </row>
    <row r="8332" spans="1:9" s="93" customFormat="1" ht="9" customHeight="1" x14ac:dyDescent="0.3">
      <c r="A8332" s="91"/>
      <c r="B8332" s="70"/>
      <c r="C8332" s="70"/>
      <c r="D8332" s="70"/>
      <c r="E8332" s="70"/>
      <c r="F8332" s="70"/>
      <c r="G8332" s="94"/>
      <c r="H8332" s="131"/>
      <c r="I8332" s="3"/>
    </row>
    <row r="8333" spans="1:9" s="93" customFormat="1" ht="9" customHeight="1" x14ac:dyDescent="0.3">
      <c r="A8333" s="91"/>
      <c r="B8333" s="70"/>
      <c r="C8333" s="70"/>
      <c r="D8333" s="70"/>
      <c r="E8333" s="70"/>
      <c r="F8333" s="70"/>
      <c r="G8333" s="94"/>
      <c r="H8333" s="131"/>
      <c r="I8333" s="3"/>
    </row>
    <row r="8334" spans="1:9" s="93" customFormat="1" ht="9" customHeight="1" x14ac:dyDescent="0.3">
      <c r="A8334" s="91"/>
      <c r="B8334" s="70"/>
      <c r="C8334" s="70"/>
      <c r="D8334" s="70"/>
      <c r="E8334" s="70"/>
      <c r="F8334" s="70"/>
      <c r="G8334" s="94"/>
      <c r="H8334" s="131"/>
      <c r="I8334" s="3"/>
    </row>
    <row r="8335" spans="1:9" s="93" customFormat="1" ht="9" customHeight="1" x14ac:dyDescent="0.3">
      <c r="A8335" s="91"/>
      <c r="B8335" s="70"/>
      <c r="C8335" s="70"/>
      <c r="D8335" s="70"/>
      <c r="E8335" s="70"/>
      <c r="F8335" s="70"/>
      <c r="G8335" s="94"/>
      <c r="H8335" s="131"/>
      <c r="I8335" s="3"/>
    </row>
    <row r="8336" spans="1:9" s="93" customFormat="1" ht="9" customHeight="1" x14ac:dyDescent="0.3">
      <c r="A8336" s="91"/>
      <c r="B8336" s="70"/>
      <c r="C8336" s="70"/>
      <c r="D8336" s="70"/>
      <c r="E8336" s="70"/>
      <c r="F8336" s="70"/>
      <c r="G8336" s="94"/>
      <c r="H8336" s="131"/>
      <c r="I8336" s="3"/>
    </row>
    <row r="8337" spans="1:9" s="93" customFormat="1" ht="9" customHeight="1" x14ac:dyDescent="0.3">
      <c r="A8337" s="91"/>
      <c r="B8337" s="70"/>
      <c r="C8337" s="70"/>
      <c r="D8337" s="70"/>
      <c r="E8337" s="70"/>
      <c r="F8337" s="70"/>
      <c r="G8337" s="94"/>
      <c r="H8337" s="131"/>
      <c r="I8337" s="3"/>
    </row>
    <row r="8338" spans="1:9" s="93" customFormat="1" ht="9" customHeight="1" x14ac:dyDescent="0.3">
      <c r="A8338" s="91"/>
      <c r="B8338" s="70"/>
      <c r="C8338" s="70"/>
      <c r="D8338" s="70"/>
      <c r="E8338" s="70"/>
      <c r="F8338" s="70"/>
      <c r="G8338" s="94"/>
      <c r="H8338" s="131"/>
      <c r="I8338" s="3"/>
    </row>
    <row r="8339" spans="1:9" s="93" customFormat="1" ht="9" customHeight="1" x14ac:dyDescent="0.3">
      <c r="A8339" s="91"/>
      <c r="B8339" s="70"/>
      <c r="C8339" s="70"/>
      <c r="D8339" s="70"/>
      <c r="E8339" s="70"/>
      <c r="F8339" s="70"/>
      <c r="G8339" s="94"/>
      <c r="H8339" s="131"/>
      <c r="I8339" s="3"/>
    </row>
    <row r="8340" spans="1:9" s="93" customFormat="1" ht="9" customHeight="1" x14ac:dyDescent="0.3">
      <c r="A8340" s="91"/>
      <c r="B8340" s="70"/>
      <c r="C8340" s="70"/>
      <c r="D8340" s="70"/>
      <c r="E8340" s="70"/>
      <c r="F8340" s="70"/>
      <c r="G8340" s="94"/>
      <c r="H8340" s="131"/>
      <c r="I8340" s="3"/>
    </row>
    <row r="8341" spans="1:9" s="93" customFormat="1" ht="9" customHeight="1" x14ac:dyDescent="0.3">
      <c r="A8341" s="91"/>
      <c r="B8341" s="70"/>
      <c r="C8341" s="70"/>
      <c r="D8341" s="70"/>
      <c r="E8341" s="70"/>
      <c r="F8341" s="70"/>
      <c r="G8341" s="94"/>
      <c r="H8341" s="131"/>
      <c r="I8341" s="3"/>
    </row>
    <row r="8342" spans="1:9" s="93" customFormat="1" ht="9" customHeight="1" x14ac:dyDescent="0.3">
      <c r="A8342" s="91"/>
      <c r="B8342" s="70"/>
      <c r="C8342" s="70"/>
      <c r="D8342" s="70"/>
      <c r="E8342" s="70"/>
      <c r="F8342" s="70"/>
      <c r="G8342" s="94"/>
      <c r="H8342" s="131"/>
      <c r="I8342" s="3"/>
    </row>
    <row r="8343" spans="1:9" s="93" customFormat="1" ht="9" customHeight="1" x14ac:dyDescent="0.3">
      <c r="A8343" s="91"/>
      <c r="B8343" s="70"/>
      <c r="C8343" s="70"/>
      <c r="D8343" s="70"/>
      <c r="E8343" s="70"/>
      <c r="F8343" s="70"/>
      <c r="G8343" s="94"/>
      <c r="H8343" s="131"/>
      <c r="I8343" s="3"/>
    </row>
    <row r="8344" spans="1:9" s="93" customFormat="1" ht="9" customHeight="1" x14ac:dyDescent="0.3">
      <c r="A8344" s="91"/>
      <c r="B8344" s="70"/>
      <c r="C8344" s="70"/>
      <c r="D8344" s="70"/>
      <c r="E8344" s="70"/>
      <c r="F8344" s="70"/>
      <c r="G8344" s="94"/>
      <c r="H8344" s="131"/>
      <c r="I8344" s="3"/>
    </row>
    <row r="8345" spans="1:9" s="93" customFormat="1" ht="9" customHeight="1" x14ac:dyDescent="0.3">
      <c r="A8345" s="91"/>
      <c r="B8345" s="70"/>
      <c r="C8345" s="70"/>
      <c r="D8345" s="70"/>
      <c r="E8345" s="70"/>
      <c r="F8345" s="70"/>
      <c r="G8345" s="94"/>
      <c r="H8345" s="131"/>
      <c r="I8345" s="3"/>
    </row>
    <row r="8346" spans="1:9" s="93" customFormat="1" ht="9" customHeight="1" x14ac:dyDescent="0.3">
      <c r="A8346" s="91"/>
      <c r="B8346" s="70"/>
      <c r="C8346" s="70"/>
      <c r="D8346" s="70"/>
      <c r="E8346" s="70"/>
      <c r="F8346" s="70"/>
      <c r="G8346" s="94"/>
      <c r="H8346" s="131"/>
      <c r="I8346" s="3"/>
    </row>
    <row r="8347" spans="1:9" s="93" customFormat="1" ht="9" customHeight="1" x14ac:dyDescent="0.3">
      <c r="A8347" s="91"/>
      <c r="B8347" s="70"/>
      <c r="C8347" s="70"/>
      <c r="D8347" s="70"/>
      <c r="E8347" s="70"/>
      <c r="F8347" s="70"/>
      <c r="G8347" s="94"/>
      <c r="H8347" s="131"/>
      <c r="I8347" s="3"/>
    </row>
    <row r="8348" spans="1:9" s="93" customFormat="1" ht="9" customHeight="1" x14ac:dyDescent="0.3">
      <c r="A8348" s="91"/>
      <c r="B8348" s="70"/>
      <c r="C8348" s="70"/>
      <c r="D8348" s="70"/>
      <c r="E8348" s="70"/>
      <c r="F8348" s="70"/>
      <c r="G8348" s="94"/>
      <c r="H8348" s="131"/>
      <c r="I8348" s="3"/>
    </row>
    <row r="8349" spans="1:9" s="93" customFormat="1" ht="9" customHeight="1" x14ac:dyDescent="0.3">
      <c r="A8349" s="91"/>
      <c r="B8349" s="70"/>
      <c r="C8349" s="70"/>
      <c r="D8349" s="70"/>
      <c r="E8349" s="70"/>
      <c r="F8349" s="70"/>
      <c r="G8349" s="94"/>
      <c r="H8349" s="131"/>
      <c r="I8349" s="3"/>
    </row>
    <row r="8350" spans="1:9" s="93" customFormat="1" ht="9" customHeight="1" x14ac:dyDescent="0.3">
      <c r="A8350" s="91"/>
      <c r="B8350" s="70"/>
      <c r="C8350" s="70"/>
      <c r="D8350" s="70"/>
      <c r="E8350" s="70"/>
      <c r="F8350" s="70"/>
      <c r="G8350" s="94"/>
      <c r="H8350" s="131"/>
      <c r="I8350" s="3"/>
    </row>
    <row r="8351" spans="1:9" s="93" customFormat="1" ht="9" customHeight="1" x14ac:dyDescent="0.3">
      <c r="A8351" s="91"/>
      <c r="B8351" s="70"/>
      <c r="C8351" s="70"/>
      <c r="D8351" s="70"/>
      <c r="E8351" s="70"/>
      <c r="F8351" s="70"/>
      <c r="G8351" s="94"/>
      <c r="H8351" s="131"/>
      <c r="I8351" s="3"/>
    </row>
    <row r="8352" spans="1:9" s="93" customFormat="1" ht="9" customHeight="1" x14ac:dyDescent="0.3">
      <c r="A8352" s="91"/>
      <c r="B8352" s="70"/>
      <c r="C8352" s="70"/>
      <c r="D8352" s="70"/>
      <c r="E8352" s="70"/>
      <c r="F8352" s="70"/>
      <c r="G8352" s="94"/>
      <c r="H8352" s="131"/>
      <c r="I8352" s="3"/>
    </row>
    <row r="8353" spans="1:9" s="93" customFormat="1" ht="9" customHeight="1" x14ac:dyDescent="0.3">
      <c r="A8353" s="91"/>
      <c r="B8353" s="70"/>
      <c r="C8353" s="70"/>
      <c r="D8353" s="70"/>
      <c r="E8353" s="70"/>
      <c r="F8353" s="70"/>
      <c r="G8353" s="94"/>
      <c r="H8353" s="131"/>
      <c r="I8353" s="3"/>
    </row>
    <row r="8354" spans="1:9" s="93" customFormat="1" ht="9" customHeight="1" x14ac:dyDescent="0.3">
      <c r="A8354" s="91"/>
      <c r="B8354" s="70"/>
      <c r="C8354" s="70"/>
      <c r="D8354" s="70"/>
      <c r="E8354" s="70"/>
      <c r="F8354" s="70"/>
      <c r="G8354" s="94"/>
      <c r="H8354" s="131"/>
      <c r="I8354" s="3"/>
    </row>
    <row r="8355" spans="1:9" s="93" customFormat="1" ht="9" customHeight="1" x14ac:dyDescent="0.3">
      <c r="A8355" s="91"/>
      <c r="B8355" s="70"/>
      <c r="C8355" s="70"/>
      <c r="D8355" s="70"/>
      <c r="E8355" s="70"/>
      <c r="F8355" s="70"/>
      <c r="G8355" s="94"/>
      <c r="H8355" s="131"/>
      <c r="I8355" s="3"/>
    </row>
    <row r="8356" spans="1:9" s="93" customFormat="1" ht="9" customHeight="1" x14ac:dyDescent="0.3">
      <c r="A8356" s="91"/>
      <c r="B8356" s="70"/>
      <c r="C8356" s="70"/>
      <c r="D8356" s="70"/>
      <c r="E8356" s="70"/>
      <c r="F8356" s="70"/>
      <c r="G8356" s="94"/>
      <c r="H8356" s="131"/>
      <c r="I8356" s="3"/>
    </row>
    <row r="8357" spans="1:9" s="93" customFormat="1" ht="9" customHeight="1" x14ac:dyDescent="0.3">
      <c r="A8357" s="91"/>
      <c r="B8357" s="70"/>
      <c r="C8357" s="70"/>
      <c r="D8357" s="70"/>
      <c r="E8357" s="70"/>
      <c r="F8357" s="70"/>
      <c r="G8357" s="94"/>
      <c r="H8357" s="131"/>
      <c r="I8357" s="3"/>
    </row>
    <row r="8358" spans="1:9" s="93" customFormat="1" ht="9" customHeight="1" x14ac:dyDescent="0.3">
      <c r="A8358" s="91"/>
      <c r="B8358" s="70"/>
      <c r="C8358" s="70"/>
      <c r="D8358" s="70"/>
      <c r="E8358" s="70"/>
      <c r="F8358" s="70"/>
      <c r="G8358" s="94"/>
      <c r="H8358" s="131"/>
      <c r="I8358" s="3"/>
    </row>
    <row r="8359" spans="1:9" s="93" customFormat="1" ht="9" customHeight="1" x14ac:dyDescent="0.3">
      <c r="A8359" s="91"/>
      <c r="B8359" s="70"/>
      <c r="C8359" s="70"/>
      <c r="D8359" s="70"/>
      <c r="E8359" s="70"/>
      <c r="F8359" s="70"/>
      <c r="G8359" s="94"/>
      <c r="H8359" s="131"/>
      <c r="I8359" s="3"/>
    </row>
    <row r="8360" spans="1:9" s="93" customFormat="1" ht="9" customHeight="1" x14ac:dyDescent="0.3">
      <c r="A8360" s="91"/>
      <c r="B8360" s="70"/>
      <c r="C8360" s="70"/>
      <c r="D8360" s="70"/>
      <c r="E8360" s="70"/>
      <c r="F8360" s="70"/>
      <c r="G8360" s="94"/>
      <c r="H8360" s="131"/>
      <c r="I8360" s="3"/>
    </row>
    <row r="8361" spans="1:9" s="93" customFormat="1" ht="9" customHeight="1" x14ac:dyDescent="0.3">
      <c r="A8361" s="91"/>
      <c r="B8361" s="70"/>
      <c r="C8361" s="70"/>
      <c r="D8361" s="70"/>
      <c r="E8361" s="70"/>
      <c r="F8361" s="70"/>
      <c r="G8361" s="94"/>
      <c r="H8361" s="131"/>
      <c r="I8361" s="3"/>
    </row>
    <row r="8362" spans="1:9" s="93" customFormat="1" ht="9" customHeight="1" x14ac:dyDescent="0.3">
      <c r="A8362" s="91"/>
      <c r="B8362" s="70"/>
      <c r="C8362" s="70"/>
      <c r="D8362" s="70"/>
      <c r="E8362" s="70"/>
      <c r="F8362" s="70"/>
      <c r="G8362" s="94"/>
      <c r="H8362" s="131"/>
      <c r="I8362" s="3"/>
    </row>
    <row r="8363" spans="1:9" s="93" customFormat="1" ht="9" customHeight="1" x14ac:dyDescent="0.3">
      <c r="A8363" s="91"/>
      <c r="B8363" s="70"/>
      <c r="C8363" s="70"/>
      <c r="D8363" s="70"/>
      <c r="E8363" s="70"/>
      <c r="F8363" s="70"/>
      <c r="G8363" s="94"/>
      <c r="H8363" s="131"/>
      <c r="I8363" s="3"/>
    </row>
    <row r="8364" spans="1:9" s="93" customFormat="1" ht="9" customHeight="1" x14ac:dyDescent="0.3">
      <c r="A8364" s="91"/>
      <c r="B8364" s="70"/>
      <c r="C8364" s="70"/>
      <c r="D8364" s="70"/>
      <c r="E8364" s="70"/>
      <c r="F8364" s="70"/>
      <c r="G8364" s="94"/>
      <c r="H8364" s="131"/>
      <c r="I8364" s="3"/>
    </row>
    <row r="8365" spans="1:9" s="93" customFormat="1" ht="9" customHeight="1" x14ac:dyDescent="0.3">
      <c r="A8365" s="91"/>
      <c r="B8365" s="70"/>
      <c r="C8365" s="70"/>
      <c r="D8365" s="70"/>
      <c r="E8365" s="70"/>
      <c r="F8365" s="70"/>
      <c r="G8365" s="94"/>
      <c r="H8365" s="131"/>
      <c r="I8365" s="3"/>
    </row>
    <row r="8366" spans="1:9" s="93" customFormat="1" ht="9" customHeight="1" x14ac:dyDescent="0.3">
      <c r="A8366" s="91"/>
      <c r="B8366" s="70"/>
      <c r="C8366" s="70"/>
      <c r="D8366" s="70"/>
      <c r="E8366" s="70"/>
      <c r="F8366" s="70"/>
      <c r="G8366" s="94"/>
      <c r="H8366" s="131"/>
      <c r="I8366" s="3"/>
    </row>
    <row r="8367" spans="1:9" s="93" customFormat="1" ht="9" customHeight="1" x14ac:dyDescent="0.3">
      <c r="A8367" s="91"/>
      <c r="B8367" s="70"/>
      <c r="C8367" s="70"/>
      <c r="D8367" s="70"/>
      <c r="E8367" s="70"/>
      <c r="F8367" s="70"/>
      <c r="G8367" s="94"/>
      <c r="H8367" s="131"/>
      <c r="I8367" s="3"/>
    </row>
    <row r="8368" spans="1:9" s="93" customFormat="1" ht="9" customHeight="1" x14ac:dyDescent="0.3">
      <c r="A8368" s="91"/>
      <c r="B8368" s="70"/>
      <c r="C8368" s="70"/>
      <c r="D8368" s="70"/>
      <c r="E8368" s="70"/>
      <c r="F8368" s="70"/>
      <c r="G8368" s="94"/>
      <c r="H8368" s="131"/>
      <c r="I8368" s="3"/>
    </row>
    <row r="8369" spans="1:9" s="93" customFormat="1" ht="9" customHeight="1" x14ac:dyDescent="0.3">
      <c r="A8369" s="91"/>
      <c r="B8369" s="70"/>
      <c r="C8369" s="70"/>
      <c r="D8369" s="70"/>
      <c r="E8369" s="70"/>
      <c r="F8369" s="70"/>
      <c r="G8369" s="94"/>
      <c r="H8369" s="131"/>
      <c r="I8369" s="3"/>
    </row>
    <row r="8370" spans="1:9" s="93" customFormat="1" ht="9" customHeight="1" x14ac:dyDescent="0.3">
      <c r="A8370" s="91"/>
      <c r="B8370" s="70"/>
      <c r="C8370" s="70"/>
      <c r="D8370" s="70"/>
      <c r="E8370" s="70"/>
      <c r="F8370" s="70"/>
      <c r="G8370" s="94"/>
      <c r="H8370" s="131"/>
      <c r="I8370" s="3"/>
    </row>
    <row r="8371" spans="1:9" s="93" customFormat="1" ht="9" customHeight="1" x14ac:dyDescent="0.3">
      <c r="A8371" s="91"/>
      <c r="B8371" s="70"/>
      <c r="C8371" s="70"/>
      <c r="D8371" s="70"/>
      <c r="E8371" s="70"/>
      <c r="F8371" s="70"/>
      <c r="G8371" s="94"/>
      <c r="H8371" s="131"/>
      <c r="I8371" s="3"/>
    </row>
    <row r="8372" spans="1:9" s="93" customFormat="1" ht="9" customHeight="1" x14ac:dyDescent="0.3">
      <c r="A8372" s="91"/>
      <c r="B8372" s="70"/>
      <c r="C8372" s="70"/>
      <c r="D8372" s="70"/>
      <c r="E8372" s="70"/>
      <c r="F8372" s="70"/>
      <c r="G8372" s="94"/>
      <c r="H8372" s="131"/>
      <c r="I8372" s="3"/>
    </row>
    <row r="8373" spans="1:9" s="93" customFormat="1" ht="9" customHeight="1" x14ac:dyDescent="0.3">
      <c r="A8373" s="91"/>
      <c r="B8373" s="70"/>
      <c r="C8373" s="70"/>
      <c r="D8373" s="70"/>
      <c r="E8373" s="70"/>
      <c r="F8373" s="70"/>
      <c r="G8373" s="94"/>
      <c r="H8373" s="131"/>
      <c r="I8373" s="3"/>
    </row>
    <row r="8374" spans="1:9" s="93" customFormat="1" ht="9" customHeight="1" x14ac:dyDescent="0.3">
      <c r="A8374" s="91"/>
      <c r="B8374" s="70"/>
      <c r="C8374" s="70"/>
      <c r="D8374" s="70"/>
      <c r="E8374" s="70"/>
      <c r="F8374" s="70"/>
      <c r="G8374" s="94"/>
      <c r="H8374" s="131"/>
      <c r="I8374" s="3"/>
    </row>
    <row r="8375" spans="1:9" s="93" customFormat="1" ht="9" customHeight="1" x14ac:dyDescent="0.3">
      <c r="A8375" s="91"/>
      <c r="B8375" s="70"/>
      <c r="C8375" s="70"/>
      <c r="D8375" s="70"/>
      <c r="E8375" s="70"/>
      <c r="F8375" s="70"/>
      <c r="G8375" s="94"/>
      <c r="H8375" s="131"/>
      <c r="I8375" s="3"/>
    </row>
    <row r="8376" spans="1:9" s="93" customFormat="1" ht="9" customHeight="1" x14ac:dyDescent="0.3">
      <c r="A8376" s="91"/>
      <c r="B8376" s="70"/>
      <c r="C8376" s="70"/>
      <c r="D8376" s="70"/>
      <c r="E8376" s="70"/>
      <c r="F8376" s="70"/>
      <c r="G8376" s="94"/>
      <c r="H8376" s="131"/>
      <c r="I8376" s="3"/>
    </row>
    <row r="8377" spans="1:9" s="93" customFormat="1" ht="9" customHeight="1" x14ac:dyDescent="0.3">
      <c r="A8377" s="91"/>
      <c r="B8377" s="70"/>
      <c r="C8377" s="70"/>
      <c r="D8377" s="70"/>
      <c r="E8377" s="70"/>
      <c r="F8377" s="70"/>
      <c r="G8377" s="94"/>
      <c r="H8377" s="131"/>
      <c r="I8377" s="3"/>
    </row>
    <row r="8378" spans="1:9" s="93" customFormat="1" ht="9" customHeight="1" x14ac:dyDescent="0.3">
      <c r="A8378" s="91"/>
      <c r="B8378" s="70"/>
      <c r="C8378" s="70"/>
      <c r="D8378" s="70"/>
      <c r="E8378" s="70"/>
      <c r="F8378" s="70"/>
      <c r="G8378" s="94"/>
      <c r="H8378" s="131"/>
      <c r="I8378" s="3"/>
    </row>
    <row r="8379" spans="1:9" s="93" customFormat="1" ht="9" customHeight="1" x14ac:dyDescent="0.3">
      <c r="A8379" s="91"/>
      <c r="B8379" s="70"/>
      <c r="C8379" s="70"/>
      <c r="D8379" s="70"/>
      <c r="E8379" s="70"/>
      <c r="F8379" s="70"/>
      <c r="G8379" s="94"/>
      <c r="H8379" s="131"/>
      <c r="I8379" s="3"/>
    </row>
    <row r="8380" spans="1:9" s="93" customFormat="1" ht="9" customHeight="1" x14ac:dyDescent="0.3">
      <c r="A8380" s="91"/>
      <c r="B8380" s="70"/>
      <c r="C8380" s="70"/>
      <c r="D8380" s="70"/>
      <c r="E8380" s="70"/>
      <c r="F8380" s="70"/>
      <c r="G8380" s="94"/>
      <c r="H8380" s="131"/>
      <c r="I8380" s="3"/>
    </row>
    <row r="8381" spans="1:9" s="93" customFormat="1" ht="9" customHeight="1" x14ac:dyDescent="0.3">
      <c r="A8381" s="91"/>
      <c r="B8381" s="70"/>
      <c r="C8381" s="70"/>
      <c r="D8381" s="70"/>
      <c r="E8381" s="70"/>
      <c r="F8381" s="70"/>
      <c r="G8381" s="94"/>
      <c r="H8381" s="131"/>
      <c r="I8381" s="3"/>
    </row>
    <row r="8382" spans="1:9" s="93" customFormat="1" ht="9" customHeight="1" x14ac:dyDescent="0.3">
      <c r="A8382" s="91"/>
      <c r="B8382" s="70"/>
      <c r="C8382" s="70"/>
      <c r="D8382" s="70"/>
      <c r="E8382" s="70"/>
      <c r="F8382" s="70"/>
      <c r="G8382" s="94"/>
      <c r="H8382" s="131"/>
      <c r="I8382" s="3"/>
    </row>
    <row r="8383" spans="1:9" s="93" customFormat="1" ht="9" customHeight="1" x14ac:dyDescent="0.3">
      <c r="A8383" s="91"/>
      <c r="B8383" s="70"/>
      <c r="C8383" s="70"/>
      <c r="D8383" s="70"/>
      <c r="E8383" s="70"/>
      <c r="F8383" s="70"/>
      <c r="G8383" s="94"/>
      <c r="H8383" s="131"/>
      <c r="I8383" s="3"/>
    </row>
    <row r="8384" spans="1:9" s="93" customFormat="1" ht="9" customHeight="1" x14ac:dyDescent="0.3">
      <c r="A8384" s="91"/>
      <c r="B8384" s="70"/>
      <c r="C8384" s="70"/>
      <c r="D8384" s="70"/>
      <c r="E8384" s="70"/>
      <c r="F8384" s="70"/>
      <c r="G8384" s="94"/>
      <c r="H8384" s="131"/>
      <c r="I8384" s="3"/>
    </row>
    <row r="8385" spans="1:9" s="93" customFormat="1" ht="9" customHeight="1" x14ac:dyDescent="0.3">
      <c r="A8385" s="91"/>
      <c r="B8385" s="70"/>
      <c r="C8385" s="70"/>
      <c r="D8385" s="70"/>
      <c r="E8385" s="70"/>
      <c r="F8385" s="70"/>
      <c r="G8385" s="94"/>
      <c r="H8385" s="131"/>
      <c r="I8385" s="3"/>
    </row>
    <row r="8386" spans="1:9" s="93" customFormat="1" ht="9" customHeight="1" x14ac:dyDescent="0.3">
      <c r="A8386" s="91"/>
      <c r="B8386" s="70"/>
      <c r="C8386" s="70"/>
      <c r="D8386" s="70"/>
      <c r="E8386" s="70"/>
      <c r="F8386" s="70"/>
      <c r="G8386" s="94"/>
      <c r="H8386" s="131"/>
      <c r="I8386" s="3"/>
    </row>
    <row r="8387" spans="1:9" s="93" customFormat="1" ht="9" customHeight="1" x14ac:dyDescent="0.3">
      <c r="A8387" s="91"/>
      <c r="B8387" s="70"/>
      <c r="C8387" s="70"/>
      <c r="D8387" s="70"/>
      <c r="E8387" s="70"/>
      <c r="F8387" s="70"/>
      <c r="G8387" s="94"/>
      <c r="H8387" s="131"/>
      <c r="I8387" s="3"/>
    </row>
    <row r="8388" spans="1:9" s="93" customFormat="1" ht="9" customHeight="1" x14ac:dyDescent="0.3">
      <c r="A8388" s="91"/>
      <c r="B8388" s="70"/>
      <c r="C8388" s="70"/>
      <c r="D8388" s="70"/>
      <c r="E8388" s="70"/>
      <c r="F8388" s="70"/>
      <c r="G8388" s="94"/>
      <c r="H8388" s="131"/>
      <c r="I8388" s="3"/>
    </row>
    <row r="8389" spans="1:9" s="93" customFormat="1" ht="9" customHeight="1" x14ac:dyDescent="0.3">
      <c r="A8389" s="91"/>
      <c r="B8389" s="70"/>
      <c r="C8389" s="70"/>
      <c r="D8389" s="70"/>
      <c r="E8389" s="70"/>
      <c r="F8389" s="70"/>
      <c r="G8389" s="94"/>
      <c r="H8389" s="131"/>
      <c r="I8389" s="3"/>
    </row>
    <row r="8390" spans="1:9" s="93" customFormat="1" ht="9" customHeight="1" x14ac:dyDescent="0.3">
      <c r="A8390" s="91"/>
      <c r="B8390" s="70"/>
      <c r="C8390" s="70"/>
      <c r="D8390" s="70"/>
      <c r="E8390" s="70"/>
      <c r="F8390" s="70"/>
      <c r="G8390" s="94"/>
      <c r="H8390" s="131"/>
      <c r="I8390" s="3"/>
    </row>
    <row r="8391" spans="1:9" s="93" customFormat="1" ht="9" customHeight="1" x14ac:dyDescent="0.3">
      <c r="A8391" s="91"/>
      <c r="B8391" s="70"/>
      <c r="C8391" s="70"/>
      <c r="D8391" s="70"/>
      <c r="E8391" s="70"/>
      <c r="F8391" s="70"/>
      <c r="G8391" s="94"/>
      <c r="H8391" s="131"/>
      <c r="I8391" s="3"/>
    </row>
    <row r="8392" spans="1:9" s="93" customFormat="1" ht="9" customHeight="1" x14ac:dyDescent="0.3">
      <c r="A8392" s="91"/>
      <c r="B8392" s="70"/>
      <c r="C8392" s="70"/>
      <c r="D8392" s="70"/>
      <c r="E8392" s="70"/>
      <c r="F8392" s="70"/>
      <c r="G8392" s="94"/>
      <c r="H8392" s="131"/>
      <c r="I8392" s="3"/>
    </row>
    <row r="8393" spans="1:9" s="93" customFormat="1" ht="9" customHeight="1" x14ac:dyDescent="0.3">
      <c r="A8393" s="91"/>
      <c r="B8393" s="70"/>
      <c r="C8393" s="70"/>
      <c r="D8393" s="70"/>
      <c r="E8393" s="70"/>
      <c r="F8393" s="70"/>
      <c r="G8393" s="94"/>
      <c r="H8393" s="131"/>
      <c r="I8393" s="3"/>
    </row>
    <row r="8394" spans="1:9" s="93" customFormat="1" ht="9" customHeight="1" x14ac:dyDescent="0.3">
      <c r="A8394" s="91"/>
      <c r="B8394" s="70"/>
      <c r="C8394" s="70"/>
      <c r="D8394" s="70"/>
      <c r="E8394" s="70"/>
      <c r="F8394" s="70"/>
      <c r="G8394" s="94"/>
      <c r="H8394" s="131"/>
      <c r="I8394" s="3"/>
    </row>
    <row r="8395" spans="1:9" s="93" customFormat="1" ht="9" customHeight="1" x14ac:dyDescent="0.3">
      <c r="A8395" s="91"/>
      <c r="B8395" s="70"/>
      <c r="C8395" s="70"/>
      <c r="D8395" s="70"/>
      <c r="E8395" s="70"/>
      <c r="F8395" s="70"/>
      <c r="G8395" s="94"/>
      <c r="H8395" s="131"/>
      <c r="I8395" s="3"/>
    </row>
    <row r="8396" spans="1:9" s="93" customFormat="1" ht="9" customHeight="1" x14ac:dyDescent="0.3">
      <c r="A8396" s="91"/>
      <c r="B8396" s="70"/>
      <c r="C8396" s="70"/>
      <c r="D8396" s="70"/>
      <c r="E8396" s="70"/>
      <c r="F8396" s="70"/>
      <c r="G8396" s="94"/>
      <c r="H8396" s="131"/>
      <c r="I8396" s="3"/>
    </row>
    <row r="8397" spans="1:9" s="93" customFormat="1" ht="9" customHeight="1" x14ac:dyDescent="0.3">
      <c r="A8397" s="91"/>
      <c r="B8397" s="70"/>
      <c r="C8397" s="70"/>
      <c r="D8397" s="70"/>
      <c r="E8397" s="70"/>
      <c r="F8397" s="70"/>
      <c r="G8397" s="94"/>
      <c r="H8397" s="131"/>
      <c r="I8397" s="3"/>
    </row>
    <row r="8398" spans="1:9" s="93" customFormat="1" ht="9" customHeight="1" x14ac:dyDescent="0.3">
      <c r="A8398" s="91"/>
      <c r="B8398" s="70"/>
      <c r="C8398" s="70"/>
      <c r="D8398" s="70"/>
      <c r="E8398" s="70"/>
      <c r="F8398" s="70"/>
      <c r="G8398" s="94"/>
      <c r="H8398" s="131"/>
      <c r="I8398" s="3"/>
    </row>
    <row r="8399" spans="1:9" s="93" customFormat="1" ht="9" customHeight="1" x14ac:dyDescent="0.3">
      <c r="A8399" s="91"/>
      <c r="B8399" s="70"/>
      <c r="C8399" s="70"/>
      <c r="D8399" s="70"/>
      <c r="E8399" s="70"/>
      <c r="F8399" s="70"/>
      <c r="G8399" s="94"/>
      <c r="H8399" s="131"/>
      <c r="I8399" s="3"/>
    </row>
    <row r="8400" spans="1:9" s="93" customFormat="1" ht="9" customHeight="1" x14ac:dyDescent="0.3">
      <c r="A8400" s="91"/>
      <c r="B8400" s="70"/>
      <c r="C8400" s="70"/>
      <c r="D8400" s="70"/>
      <c r="E8400" s="70"/>
      <c r="F8400" s="70"/>
      <c r="G8400" s="94"/>
      <c r="H8400" s="131"/>
      <c r="I8400" s="3"/>
    </row>
    <row r="8401" spans="1:9" s="93" customFormat="1" ht="9" customHeight="1" x14ac:dyDescent="0.3">
      <c r="A8401" s="91"/>
      <c r="B8401" s="70"/>
      <c r="C8401" s="70"/>
      <c r="D8401" s="70"/>
      <c r="E8401" s="70"/>
      <c r="F8401" s="70"/>
      <c r="G8401" s="94"/>
      <c r="H8401" s="131"/>
      <c r="I8401" s="3"/>
    </row>
    <row r="8402" spans="1:9" s="93" customFormat="1" ht="9" customHeight="1" x14ac:dyDescent="0.3">
      <c r="A8402" s="91"/>
      <c r="B8402" s="70"/>
      <c r="C8402" s="70"/>
      <c r="D8402" s="70"/>
      <c r="E8402" s="70"/>
      <c r="F8402" s="70"/>
      <c r="G8402" s="94"/>
      <c r="H8402" s="131"/>
      <c r="I8402" s="3"/>
    </row>
    <row r="8403" spans="1:9" s="93" customFormat="1" ht="9" customHeight="1" x14ac:dyDescent="0.3">
      <c r="A8403" s="91"/>
      <c r="B8403" s="70"/>
      <c r="C8403" s="70"/>
      <c r="D8403" s="70"/>
      <c r="E8403" s="70"/>
      <c r="F8403" s="70"/>
      <c r="G8403" s="94"/>
      <c r="H8403" s="131"/>
      <c r="I8403" s="3"/>
    </row>
    <row r="8404" spans="1:9" s="93" customFormat="1" ht="9" customHeight="1" x14ac:dyDescent="0.3">
      <c r="A8404" s="91"/>
      <c r="B8404" s="70"/>
      <c r="C8404" s="70"/>
      <c r="D8404" s="70"/>
      <c r="E8404" s="70"/>
      <c r="F8404" s="70"/>
      <c r="G8404" s="94"/>
      <c r="H8404" s="131"/>
      <c r="I8404" s="3"/>
    </row>
    <row r="8405" spans="1:9" s="93" customFormat="1" ht="9" customHeight="1" x14ac:dyDescent="0.3">
      <c r="A8405" s="91"/>
      <c r="B8405" s="70"/>
      <c r="C8405" s="70"/>
      <c r="D8405" s="70"/>
      <c r="E8405" s="70"/>
      <c r="F8405" s="70"/>
      <c r="G8405" s="94"/>
      <c r="H8405" s="131"/>
      <c r="I8405" s="3"/>
    </row>
    <row r="8406" spans="1:9" s="93" customFormat="1" ht="9" customHeight="1" x14ac:dyDescent="0.3">
      <c r="A8406" s="91"/>
      <c r="B8406" s="70"/>
      <c r="C8406" s="70"/>
      <c r="D8406" s="70"/>
      <c r="E8406" s="70"/>
      <c r="F8406" s="70"/>
      <c r="G8406" s="94"/>
      <c r="H8406" s="131"/>
      <c r="I8406" s="3"/>
    </row>
    <row r="8407" spans="1:9" s="93" customFormat="1" ht="9" customHeight="1" x14ac:dyDescent="0.3">
      <c r="A8407" s="91"/>
      <c r="B8407" s="70"/>
      <c r="C8407" s="70"/>
      <c r="D8407" s="70"/>
      <c r="E8407" s="70"/>
      <c r="F8407" s="70"/>
      <c r="G8407" s="94"/>
      <c r="H8407" s="131"/>
      <c r="I8407" s="3"/>
    </row>
    <row r="8408" spans="1:9" s="93" customFormat="1" ht="9" customHeight="1" x14ac:dyDescent="0.3">
      <c r="A8408" s="91"/>
      <c r="B8408" s="70"/>
      <c r="C8408" s="70"/>
      <c r="D8408" s="70"/>
      <c r="E8408" s="70"/>
      <c r="F8408" s="70"/>
      <c r="G8408" s="94"/>
      <c r="H8408" s="131"/>
      <c r="I8408" s="3"/>
    </row>
    <row r="8409" spans="1:9" s="93" customFormat="1" ht="9" customHeight="1" x14ac:dyDescent="0.3">
      <c r="A8409" s="91"/>
      <c r="B8409" s="70"/>
      <c r="C8409" s="70"/>
      <c r="D8409" s="70"/>
      <c r="E8409" s="70"/>
      <c r="F8409" s="70"/>
      <c r="G8409" s="94"/>
      <c r="H8409" s="131"/>
      <c r="I8409" s="3"/>
    </row>
    <row r="8410" spans="1:9" s="93" customFormat="1" ht="9" customHeight="1" x14ac:dyDescent="0.3">
      <c r="A8410" s="91"/>
      <c r="B8410" s="70"/>
      <c r="C8410" s="70"/>
      <c r="D8410" s="70"/>
      <c r="E8410" s="70"/>
      <c r="F8410" s="70"/>
      <c r="G8410" s="94"/>
      <c r="H8410" s="131"/>
      <c r="I8410" s="3"/>
    </row>
    <row r="8411" spans="1:9" s="93" customFormat="1" ht="9" customHeight="1" x14ac:dyDescent="0.3">
      <c r="A8411" s="91"/>
      <c r="B8411" s="70"/>
      <c r="C8411" s="70"/>
      <c r="D8411" s="70"/>
      <c r="E8411" s="70"/>
      <c r="F8411" s="70"/>
      <c r="G8411" s="94"/>
      <c r="H8411" s="131"/>
      <c r="I8411" s="3"/>
    </row>
    <row r="8412" spans="1:9" s="93" customFormat="1" ht="9" customHeight="1" x14ac:dyDescent="0.3">
      <c r="A8412" s="91"/>
      <c r="B8412" s="70"/>
      <c r="C8412" s="70"/>
      <c r="D8412" s="70"/>
      <c r="E8412" s="70"/>
      <c r="F8412" s="70"/>
      <c r="G8412" s="94"/>
      <c r="H8412" s="131"/>
      <c r="I8412" s="3"/>
    </row>
    <row r="8413" spans="1:9" s="93" customFormat="1" ht="9" customHeight="1" x14ac:dyDescent="0.3">
      <c r="A8413" s="91"/>
      <c r="B8413" s="70"/>
      <c r="C8413" s="70"/>
      <c r="D8413" s="70"/>
      <c r="E8413" s="70"/>
      <c r="F8413" s="70"/>
      <c r="G8413" s="94"/>
      <c r="H8413" s="131"/>
      <c r="I8413" s="3"/>
    </row>
    <row r="8414" spans="1:9" s="93" customFormat="1" ht="9" customHeight="1" x14ac:dyDescent="0.3">
      <c r="A8414" s="91"/>
      <c r="B8414" s="70"/>
      <c r="C8414" s="70"/>
      <c r="D8414" s="70"/>
      <c r="E8414" s="70"/>
      <c r="F8414" s="70"/>
      <c r="G8414" s="94"/>
      <c r="H8414" s="131"/>
      <c r="I8414" s="3"/>
    </row>
    <row r="8415" spans="1:9" s="93" customFormat="1" ht="9" customHeight="1" x14ac:dyDescent="0.3">
      <c r="A8415" s="91"/>
      <c r="B8415" s="70"/>
      <c r="C8415" s="70"/>
      <c r="D8415" s="70"/>
      <c r="E8415" s="70"/>
      <c r="F8415" s="70"/>
      <c r="G8415" s="94"/>
      <c r="H8415" s="131"/>
      <c r="I8415" s="3"/>
    </row>
    <row r="8416" spans="1:9" s="93" customFormat="1" ht="9" customHeight="1" x14ac:dyDescent="0.3">
      <c r="A8416" s="91"/>
      <c r="B8416" s="70"/>
      <c r="C8416" s="70"/>
      <c r="D8416" s="70"/>
      <c r="E8416" s="70"/>
      <c r="F8416" s="70"/>
      <c r="G8416" s="94"/>
      <c r="H8416" s="131"/>
      <c r="I8416" s="3"/>
    </row>
    <row r="8417" spans="1:9" s="93" customFormat="1" ht="9" customHeight="1" x14ac:dyDescent="0.3">
      <c r="A8417" s="91"/>
      <c r="B8417" s="70"/>
      <c r="C8417" s="70"/>
      <c r="D8417" s="70"/>
      <c r="E8417" s="70"/>
      <c r="F8417" s="70"/>
      <c r="G8417" s="94"/>
      <c r="H8417" s="131"/>
      <c r="I8417" s="3"/>
    </row>
    <row r="8418" spans="1:9" s="93" customFormat="1" ht="9" customHeight="1" x14ac:dyDescent="0.3">
      <c r="A8418" s="91"/>
      <c r="B8418" s="70"/>
      <c r="C8418" s="70"/>
      <c r="D8418" s="70"/>
      <c r="E8418" s="70"/>
      <c r="F8418" s="70"/>
      <c r="G8418" s="94"/>
      <c r="H8418" s="131"/>
      <c r="I8418" s="3"/>
    </row>
    <row r="8419" spans="1:9" s="93" customFormat="1" ht="9" customHeight="1" x14ac:dyDescent="0.3">
      <c r="A8419" s="91"/>
      <c r="B8419" s="70"/>
      <c r="C8419" s="70"/>
      <c r="D8419" s="70"/>
      <c r="E8419" s="70"/>
      <c r="F8419" s="70"/>
      <c r="G8419" s="94"/>
      <c r="H8419" s="131"/>
      <c r="I8419" s="3"/>
    </row>
    <row r="8420" spans="1:9" s="93" customFormat="1" ht="9" customHeight="1" x14ac:dyDescent="0.3">
      <c r="A8420" s="91"/>
      <c r="B8420" s="70"/>
      <c r="C8420" s="70"/>
      <c r="D8420" s="70"/>
      <c r="E8420" s="70"/>
      <c r="F8420" s="70"/>
      <c r="G8420" s="94"/>
      <c r="H8420" s="131"/>
      <c r="I8420" s="3"/>
    </row>
    <row r="8421" spans="1:9" s="93" customFormat="1" ht="9" customHeight="1" x14ac:dyDescent="0.3">
      <c r="A8421" s="91"/>
      <c r="B8421" s="70"/>
      <c r="C8421" s="70"/>
      <c r="D8421" s="70"/>
      <c r="E8421" s="70"/>
      <c r="F8421" s="70"/>
      <c r="G8421" s="94"/>
      <c r="H8421" s="131"/>
      <c r="I8421" s="3"/>
    </row>
    <row r="8422" spans="1:9" s="93" customFormat="1" ht="9" customHeight="1" x14ac:dyDescent="0.3">
      <c r="A8422" s="91"/>
      <c r="B8422" s="70"/>
      <c r="C8422" s="70"/>
      <c r="D8422" s="70"/>
      <c r="E8422" s="70"/>
      <c r="F8422" s="70"/>
      <c r="G8422" s="94"/>
      <c r="H8422" s="131"/>
      <c r="I8422" s="3"/>
    </row>
    <row r="8423" spans="1:9" s="93" customFormat="1" ht="9" customHeight="1" x14ac:dyDescent="0.3">
      <c r="A8423" s="91"/>
      <c r="B8423" s="70"/>
      <c r="C8423" s="70"/>
      <c r="D8423" s="70"/>
      <c r="E8423" s="70"/>
      <c r="F8423" s="70"/>
      <c r="G8423" s="94"/>
      <c r="H8423" s="131"/>
      <c r="I8423" s="3"/>
    </row>
    <row r="8424" spans="1:9" s="93" customFormat="1" ht="9" customHeight="1" x14ac:dyDescent="0.3">
      <c r="A8424" s="91"/>
      <c r="B8424" s="70"/>
      <c r="C8424" s="70"/>
      <c r="D8424" s="70"/>
      <c r="E8424" s="70"/>
      <c r="F8424" s="70"/>
      <c r="G8424" s="94"/>
      <c r="H8424" s="131"/>
      <c r="I8424" s="3"/>
    </row>
    <row r="8425" spans="1:9" s="93" customFormat="1" ht="9" customHeight="1" x14ac:dyDescent="0.3">
      <c r="A8425" s="91"/>
      <c r="B8425" s="70"/>
      <c r="C8425" s="70"/>
      <c r="D8425" s="70"/>
      <c r="E8425" s="70"/>
      <c r="F8425" s="70"/>
      <c r="G8425" s="94"/>
      <c r="H8425" s="131"/>
      <c r="I8425" s="3"/>
    </row>
    <row r="8426" spans="1:9" s="93" customFormat="1" ht="9" customHeight="1" x14ac:dyDescent="0.3">
      <c r="A8426" s="91"/>
      <c r="B8426" s="70"/>
      <c r="C8426" s="70"/>
      <c r="D8426" s="70"/>
      <c r="E8426" s="70"/>
      <c r="F8426" s="70"/>
      <c r="G8426" s="94"/>
      <c r="H8426" s="131"/>
      <c r="I8426" s="3"/>
    </row>
    <row r="8427" spans="1:9" s="93" customFormat="1" ht="9" customHeight="1" x14ac:dyDescent="0.3">
      <c r="A8427" s="91"/>
      <c r="B8427" s="70"/>
      <c r="C8427" s="70"/>
      <c r="D8427" s="70"/>
      <c r="E8427" s="70"/>
      <c r="F8427" s="70"/>
      <c r="G8427" s="94"/>
      <c r="H8427" s="131"/>
      <c r="I8427" s="3"/>
    </row>
    <row r="8428" spans="1:9" s="93" customFormat="1" ht="9" customHeight="1" x14ac:dyDescent="0.3">
      <c r="A8428" s="91"/>
      <c r="B8428" s="70"/>
      <c r="C8428" s="70"/>
      <c r="D8428" s="70"/>
      <c r="E8428" s="70"/>
      <c r="F8428" s="70"/>
      <c r="G8428" s="94"/>
      <c r="H8428" s="131"/>
      <c r="I8428" s="3"/>
    </row>
    <row r="8429" spans="1:9" s="93" customFormat="1" ht="9" customHeight="1" x14ac:dyDescent="0.3">
      <c r="A8429" s="91"/>
      <c r="B8429" s="70"/>
      <c r="C8429" s="70"/>
      <c r="D8429" s="70"/>
      <c r="E8429" s="70"/>
      <c r="F8429" s="70"/>
      <c r="G8429" s="94"/>
      <c r="H8429" s="131"/>
      <c r="I8429" s="3"/>
    </row>
    <row r="8430" spans="1:9" s="93" customFormat="1" ht="9" customHeight="1" x14ac:dyDescent="0.3">
      <c r="A8430" s="91"/>
      <c r="B8430" s="70"/>
      <c r="C8430" s="70"/>
      <c r="D8430" s="70"/>
      <c r="E8430" s="70"/>
      <c r="F8430" s="70"/>
      <c r="G8430" s="94"/>
      <c r="H8430" s="131"/>
      <c r="I8430" s="3"/>
    </row>
    <row r="8431" spans="1:9" s="93" customFormat="1" ht="9" customHeight="1" x14ac:dyDescent="0.3">
      <c r="A8431" s="91"/>
      <c r="B8431" s="70"/>
      <c r="C8431" s="70"/>
      <c r="D8431" s="70"/>
      <c r="E8431" s="70"/>
      <c r="F8431" s="70"/>
      <c r="G8431" s="94"/>
      <c r="H8431" s="131"/>
      <c r="I8431" s="3"/>
    </row>
    <row r="8432" spans="1:9" s="93" customFormat="1" ht="9" customHeight="1" x14ac:dyDescent="0.3">
      <c r="A8432" s="91"/>
      <c r="B8432" s="70"/>
      <c r="C8432" s="70"/>
      <c r="D8432" s="70"/>
      <c r="E8432" s="70"/>
      <c r="F8432" s="70"/>
      <c r="G8432" s="94"/>
      <c r="H8432" s="131"/>
      <c r="I8432" s="3"/>
    </row>
    <row r="8433" spans="1:9" s="93" customFormat="1" ht="9" customHeight="1" x14ac:dyDescent="0.3">
      <c r="A8433" s="91"/>
      <c r="B8433" s="70"/>
      <c r="C8433" s="70"/>
      <c r="D8433" s="70"/>
      <c r="E8433" s="70"/>
      <c r="F8433" s="70"/>
      <c r="G8433" s="94"/>
      <c r="H8433" s="131"/>
      <c r="I8433" s="3"/>
    </row>
    <row r="8434" spans="1:9" s="93" customFormat="1" ht="9" customHeight="1" x14ac:dyDescent="0.3">
      <c r="A8434" s="91"/>
      <c r="B8434" s="70"/>
      <c r="C8434" s="70"/>
      <c r="D8434" s="70"/>
      <c r="E8434" s="70"/>
      <c r="F8434" s="70"/>
      <c r="G8434" s="94"/>
      <c r="H8434" s="131"/>
      <c r="I8434" s="3"/>
    </row>
    <row r="8435" spans="1:9" s="93" customFormat="1" ht="9" customHeight="1" x14ac:dyDescent="0.3">
      <c r="A8435" s="91"/>
      <c r="B8435" s="70"/>
      <c r="C8435" s="70"/>
      <c r="D8435" s="70"/>
      <c r="E8435" s="70"/>
      <c r="F8435" s="70"/>
      <c r="G8435" s="94"/>
      <c r="H8435" s="131"/>
      <c r="I8435" s="3"/>
    </row>
    <row r="8436" spans="1:9" s="93" customFormat="1" ht="9" customHeight="1" x14ac:dyDescent="0.3">
      <c r="A8436" s="91"/>
      <c r="B8436" s="70"/>
      <c r="C8436" s="70"/>
      <c r="D8436" s="70"/>
      <c r="E8436" s="70"/>
      <c r="F8436" s="70"/>
      <c r="G8436" s="94"/>
      <c r="H8436" s="131"/>
      <c r="I8436" s="3"/>
    </row>
    <row r="8437" spans="1:9" s="93" customFormat="1" ht="9" customHeight="1" x14ac:dyDescent="0.3">
      <c r="A8437" s="91"/>
      <c r="B8437" s="70"/>
      <c r="C8437" s="70"/>
      <c r="D8437" s="70"/>
      <c r="E8437" s="70"/>
      <c r="F8437" s="70"/>
      <c r="G8437" s="94"/>
      <c r="H8437" s="131"/>
      <c r="I8437" s="3"/>
    </row>
    <row r="8438" spans="1:9" s="93" customFormat="1" ht="9" customHeight="1" x14ac:dyDescent="0.3">
      <c r="A8438" s="91"/>
      <c r="B8438" s="70"/>
      <c r="C8438" s="70"/>
      <c r="D8438" s="70"/>
      <c r="E8438" s="70"/>
      <c r="F8438" s="70"/>
      <c r="G8438" s="94"/>
      <c r="H8438" s="131"/>
      <c r="I8438" s="3"/>
    </row>
    <row r="8439" spans="1:9" s="93" customFormat="1" ht="9" customHeight="1" x14ac:dyDescent="0.3">
      <c r="A8439" s="91"/>
      <c r="B8439" s="70"/>
      <c r="C8439" s="70"/>
      <c r="D8439" s="70"/>
      <c r="E8439" s="70"/>
      <c r="F8439" s="70"/>
      <c r="G8439" s="94"/>
      <c r="H8439" s="131"/>
      <c r="I8439" s="3"/>
    </row>
    <row r="8440" spans="1:9" s="93" customFormat="1" ht="9" customHeight="1" x14ac:dyDescent="0.3">
      <c r="A8440" s="91"/>
      <c r="B8440" s="70"/>
      <c r="C8440" s="70"/>
      <c r="D8440" s="70"/>
      <c r="E8440" s="70"/>
      <c r="F8440" s="70"/>
      <c r="G8440" s="94"/>
      <c r="H8440" s="131"/>
      <c r="I8440" s="3"/>
    </row>
    <row r="8441" spans="1:9" s="93" customFormat="1" ht="9" customHeight="1" x14ac:dyDescent="0.3">
      <c r="A8441" s="91"/>
      <c r="B8441" s="70"/>
      <c r="C8441" s="70"/>
      <c r="D8441" s="70"/>
      <c r="E8441" s="70"/>
      <c r="F8441" s="70"/>
      <c r="G8441" s="94"/>
      <c r="H8441" s="131"/>
      <c r="I8441" s="3"/>
    </row>
    <row r="8442" spans="1:9" s="93" customFormat="1" ht="9" customHeight="1" x14ac:dyDescent="0.3">
      <c r="A8442" s="91"/>
      <c r="B8442" s="70"/>
      <c r="C8442" s="70"/>
      <c r="D8442" s="70"/>
      <c r="E8442" s="70"/>
      <c r="F8442" s="70"/>
      <c r="G8442" s="94"/>
      <c r="H8442" s="131"/>
      <c r="I8442" s="3"/>
    </row>
    <row r="8443" spans="1:9" s="93" customFormat="1" ht="9" customHeight="1" x14ac:dyDescent="0.3">
      <c r="A8443" s="91"/>
      <c r="B8443" s="70"/>
      <c r="C8443" s="70"/>
      <c r="D8443" s="70"/>
      <c r="E8443" s="70"/>
      <c r="F8443" s="70"/>
      <c r="G8443" s="94"/>
      <c r="H8443" s="131"/>
      <c r="I8443" s="3"/>
    </row>
    <row r="8444" spans="1:9" s="93" customFormat="1" ht="9" customHeight="1" x14ac:dyDescent="0.3">
      <c r="A8444" s="91"/>
      <c r="B8444" s="70"/>
      <c r="C8444" s="70"/>
      <c r="D8444" s="70"/>
      <c r="E8444" s="70"/>
      <c r="F8444" s="70"/>
      <c r="G8444" s="94"/>
      <c r="H8444" s="131"/>
      <c r="I8444" s="3"/>
    </row>
    <row r="8445" spans="1:9" s="93" customFormat="1" ht="9" customHeight="1" x14ac:dyDescent="0.3">
      <c r="A8445" s="91"/>
      <c r="B8445" s="70"/>
      <c r="C8445" s="70"/>
      <c r="D8445" s="70"/>
      <c r="E8445" s="70"/>
      <c r="F8445" s="70"/>
      <c r="G8445" s="94"/>
      <c r="H8445" s="131"/>
      <c r="I8445" s="3"/>
    </row>
    <row r="8446" spans="1:9" s="93" customFormat="1" ht="9" customHeight="1" x14ac:dyDescent="0.3">
      <c r="A8446" s="91"/>
      <c r="B8446" s="70"/>
      <c r="C8446" s="70"/>
      <c r="D8446" s="70"/>
      <c r="E8446" s="70"/>
      <c r="F8446" s="70"/>
      <c r="G8446" s="94"/>
      <c r="H8446" s="131"/>
      <c r="I8446" s="3"/>
    </row>
    <row r="8447" spans="1:9" s="93" customFormat="1" ht="9" customHeight="1" x14ac:dyDescent="0.3">
      <c r="A8447" s="91"/>
      <c r="B8447" s="70"/>
      <c r="C8447" s="70"/>
      <c r="D8447" s="70"/>
      <c r="E8447" s="70"/>
      <c r="F8447" s="70"/>
      <c r="G8447" s="94"/>
      <c r="H8447" s="131"/>
      <c r="I8447" s="3"/>
    </row>
    <row r="8448" spans="1:9" s="93" customFormat="1" ht="9" customHeight="1" x14ac:dyDescent="0.3">
      <c r="A8448" s="91"/>
      <c r="B8448" s="70"/>
      <c r="C8448" s="70"/>
      <c r="D8448" s="70"/>
      <c r="E8448" s="70"/>
      <c r="F8448" s="70"/>
      <c r="G8448" s="94"/>
      <c r="H8448" s="131"/>
      <c r="I8448" s="3"/>
    </row>
    <row r="8449" spans="1:9" s="93" customFormat="1" ht="9" customHeight="1" x14ac:dyDescent="0.3">
      <c r="A8449" s="91"/>
      <c r="B8449" s="70"/>
      <c r="C8449" s="70"/>
      <c r="D8449" s="70"/>
      <c r="E8449" s="70"/>
      <c r="F8449" s="70"/>
      <c r="G8449" s="94"/>
      <c r="H8449" s="131"/>
      <c r="I8449" s="3"/>
    </row>
    <row r="8450" spans="1:9" s="93" customFormat="1" ht="9" customHeight="1" x14ac:dyDescent="0.3">
      <c r="A8450" s="91"/>
      <c r="B8450" s="70"/>
      <c r="C8450" s="70"/>
      <c r="D8450" s="70"/>
      <c r="E8450" s="70"/>
      <c r="F8450" s="70"/>
      <c r="G8450" s="94"/>
      <c r="H8450" s="131"/>
      <c r="I8450" s="3"/>
    </row>
    <row r="8451" spans="1:9" s="93" customFormat="1" ht="9" customHeight="1" x14ac:dyDescent="0.3">
      <c r="A8451" s="91"/>
      <c r="B8451" s="70"/>
      <c r="C8451" s="70"/>
      <c r="D8451" s="70"/>
      <c r="E8451" s="70"/>
      <c r="F8451" s="70"/>
      <c r="G8451" s="94"/>
      <c r="H8451" s="131"/>
      <c r="I8451" s="3"/>
    </row>
    <row r="8452" spans="1:9" s="93" customFormat="1" ht="9" customHeight="1" x14ac:dyDescent="0.3">
      <c r="A8452" s="91"/>
      <c r="B8452" s="70"/>
      <c r="C8452" s="70"/>
      <c r="D8452" s="70"/>
      <c r="E8452" s="70"/>
      <c r="F8452" s="70"/>
      <c r="G8452" s="94"/>
      <c r="H8452" s="131"/>
      <c r="I8452" s="3"/>
    </row>
    <row r="8453" spans="1:9" s="93" customFormat="1" ht="9" customHeight="1" x14ac:dyDescent="0.3">
      <c r="A8453" s="91"/>
      <c r="B8453" s="70"/>
      <c r="C8453" s="70"/>
      <c r="D8453" s="70"/>
      <c r="E8453" s="70"/>
      <c r="F8453" s="70"/>
      <c r="G8453" s="94"/>
      <c r="H8453" s="131"/>
      <c r="I8453" s="3"/>
    </row>
    <row r="8454" spans="1:9" s="93" customFormat="1" ht="9" customHeight="1" x14ac:dyDescent="0.3">
      <c r="A8454" s="91"/>
      <c r="B8454" s="70"/>
      <c r="C8454" s="70"/>
      <c r="D8454" s="70"/>
      <c r="E8454" s="70"/>
      <c r="F8454" s="70"/>
      <c r="G8454" s="94"/>
      <c r="H8454" s="131"/>
      <c r="I8454" s="3"/>
    </row>
    <row r="8455" spans="1:9" s="93" customFormat="1" ht="9" customHeight="1" x14ac:dyDescent="0.3">
      <c r="A8455" s="91"/>
      <c r="B8455" s="70"/>
      <c r="C8455" s="70"/>
      <c r="D8455" s="70"/>
      <c r="E8455" s="70"/>
      <c r="F8455" s="70"/>
      <c r="G8455" s="94"/>
      <c r="H8455" s="131"/>
      <c r="I8455" s="3"/>
    </row>
    <row r="8456" spans="1:9" s="93" customFormat="1" ht="9" customHeight="1" x14ac:dyDescent="0.3">
      <c r="A8456" s="91"/>
      <c r="B8456" s="70"/>
      <c r="C8456" s="70"/>
      <c r="D8456" s="70"/>
      <c r="E8456" s="70"/>
      <c r="F8456" s="70"/>
      <c r="G8456" s="94"/>
      <c r="H8456" s="131"/>
      <c r="I8456" s="3"/>
    </row>
    <row r="8457" spans="1:9" s="93" customFormat="1" ht="9" customHeight="1" x14ac:dyDescent="0.3">
      <c r="A8457" s="91"/>
      <c r="B8457" s="70"/>
      <c r="C8457" s="70"/>
      <c r="D8457" s="70"/>
      <c r="E8457" s="70"/>
      <c r="F8457" s="70"/>
      <c r="G8457" s="94"/>
      <c r="H8457" s="131"/>
      <c r="I8457" s="3"/>
    </row>
    <row r="8458" spans="1:9" s="93" customFormat="1" ht="9" customHeight="1" x14ac:dyDescent="0.3">
      <c r="A8458" s="91"/>
      <c r="B8458" s="70"/>
      <c r="C8458" s="70"/>
      <c r="D8458" s="70"/>
      <c r="E8458" s="70"/>
      <c r="F8458" s="70"/>
      <c r="G8458" s="94"/>
      <c r="H8458" s="131"/>
      <c r="I8458" s="3"/>
    </row>
    <row r="8459" spans="1:9" s="93" customFormat="1" ht="9" customHeight="1" x14ac:dyDescent="0.3">
      <c r="A8459" s="91"/>
      <c r="B8459" s="70"/>
      <c r="C8459" s="70"/>
      <c r="D8459" s="70"/>
      <c r="E8459" s="70"/>
      <c r="F8459" s="70"/>
      <c r="G8459" s="94"/>
      <c r="H8459" s="131"/>
      <c r="I8459" s="3"/>
    </row>
    <row r="8460" spans="1:9" s="93" customFormat="1" ht="9" customHeight="1" x14ac:dyDescent="0.3">
      <c r="A8460" s="91"/>
      <c r="B8460" s="70"/>
      <c r="C8460" s="70"/>
      <c r="D8460" s="70"/>
      <c r="E8460" s="70"/>
      <c r="F8460" s="70"/>
      <c r="G8460" s="94"/>
      <c r="H8460" s="131"/>
      <c r="I8460" s="3"/>
    </row>
    <row r="8461" spans="1:9" s="93" customFormat="1" ht="9" customHeight="1" x14ac:dyDescent="0.3">
      <c r="A8461" s="91"/>
      <c r="B8461" s="70"/>
      <c r="C8461" s="70"/>
      <c r="D8461" s="70"/>
      <c r="E8461" s="70"/>
      <c r="F8461" s="70"/>
      <c r="G8461" s="94"/>
      <c r="H8461" s="131"/>
      <c r="I8461" s="3"/>
    </row>
    <row r="8462" spans="1:9" s="93" customFormat="1" ht="9" customHeight="1" x14ac:dyDescent="0.3">
      <c r="A8462" s="91"/>
      <c r="B8462" s="70"/>
      <c r="C8462" s="70"/>
      <c r="D8462" s="70"/>
      <c r="E8462" s="70"/>
      <c r="F8462" s="70"/>
      <c r="G8462" s="94"/>
      <c r="H8462" s="131"/>
      <c r="I8462" s="3"/>
    </row>
    <row r="8463" spans="1:9" s="93" customFormat="1" ht="9" customHeight="1" x14ac:dyDescent="0.3">
      <c r="A8463" s="91"/>
      <c r="B8463" s="70"/>
      <c r="C8463" s="70"/>
      <c r="D8463" s="70"/>
      <c r="E8463" s="70"/>
      <c r="F8463" s="70"/>
      <c r="G8463" s="94"/>
      <c r="H8463" s="131"/>
      <c r="I8463" s="3"/>
    </row>
    <row r="8464" spans="1:9" s="93" customFormat="1" ht="9" customHeight="1" x14ac:dyDescent="0.3">
      <c r="A8464" s="91"/>
      <c r="B8464" s="70"/>
      <c r="C8464" s="70"/>
      <c r="D8464" s="70"/>
      <c r="E8464" s="70"/>
      <c r="F8464" s="70"/>
      <c r="G8464" s="94"/>
      <c r="H8464" s="131"/>
      <c r="I8464" s="3"/>
    </row>
    <row r="8465" spans="1:9" s="93" customFormat="1" ht="9" customHeight="1" x14ac:dyDescent="0.3">
      <c r="A8465" s="91"/>
      <c r="B8465" s="70"/>
      <c r="C8465" s="70"/>
      <c r="D8465" s="70"/>
      <c r="E8465" s="70"/>
      <c r="F8465" s="70"/>
      <c r="G8465" s="94"/>
      <c r="H8465" s="131"/>
      <c r="I8465" s="3"/>
    </row>
    <row r="8466" spans="1:9" s="93" customFormat="1" ht="9" customHeight="1" x14ac:dyDescent="0.3">
      <c r="A8466" s="91"/>
      <c r="B8466" s="70"/>
      <c r="C8466" s="70"/>
      <c r="D8466" s="70"/>
      <c r="E8466" s="70"/>
      <c r="F8466" s="70"/>
      <c r="G8466" s="94"/>
      <c r="H8466" s="131"/>
      <c r="I8466" s="3"/>
    </row>
    <row r="8467" spans="1:9" s="93" customFormat="1" ht="9" customHeight="1" x14ac:dyDescent="0.3">
      <c r="A8467" s="91"/>
      <c r="B8467" s="70"/>
      <c r="C8467" s="70"/>
      <c r="D8467" s="70"/>
      <c r="E8467" s="70"/>
      <c r="F8467" s="70"/>
      <c r="G8467" s="94"/>
      <c r="H8467" s="131"/>
      <c r="I8467" s="3"/>
    </row>
    <row r="8468" spans="1:9" s="93" customFormat="1" ht="9" customHeight="1" x14ac:dyDescent="0.3">
      <c r="A8468" s="91"/>
      <c r="B8468" s="70"/>
      <c r="C8468" s="70"/>
      <c r="D8468" s="70"/>
      <c r="E8468" s="70"/>
      <c r="F8468" s="70"/>
      <c r="G8468" s="94"/>
      <c r="H8468" s="131"/>
      <c r="I8468" s="3"/>
    </row>
    <row r="8469" spans="1:9" s="93" customFormat="1" ht="9" customHeight="1" x14ac:dyDescent="0.3">
      <c r="A8469" s="91"/>
      <c r="B8469" s="70"/>
      <c r="C8469" s="70"/>
      <c r="D8469" s="70"/>
      <c r="E8469" s="70"/>
      <c r="F8469" s="70"/>
      <c r="G8469" s="94"/>
      <c r="H8469" s="131"/>
      <c r="I8469" s="3"/>
    </row>
    <row r="8470" spans="1:9" s="93" customFormat="1" ht="9" customHeight="1" x14ac:dyDescent="0.3">
      <c r="A8470" s="91"/>
      <c r="B8470" s="70"/>
      <c r="C8470" s="70"/>
      <c r="D8470" s="70"/>
      <c r="E8470" s="70"/>
      <c r="F8470" s="70"/>
      <c r="G8470" s="94"/>
      <c r="H8470" s="131"/>
      <c r="I8470" s="3"/>
    </row>
    <row r="8471" spans="1:9" s="93" customFormat="1" ht="9" customHeight="1" x14ac:dyDescent="0.3">
      <c r="A8471" s="91"/>
      <c r="B8471" s="70"/>
      <c r="C8471" s="70"/>
      <c r="D8471" s="70"/>
      <c r="E8471" s="70"/>
      <c r="F8471" s="70"/>
      <c r="G8471" s="94"/>
      <c r="H8471" s="131"/>
      <c r="I8471" s="3"/>
    </row>
    <row r="8472" spans="1:9" s="93" customFormat="1" ht="9" customHeight="1" x14ac:dyDescent="0.3">
      <c r="A8472" s="91"/>
      <c r="B8472" s="70"/>
      <c r="C8472" s="70"/>
      <c r="D8472" s="70"/>
      <c r="E8472" s="70"/>
      <c r="F8472" s="70"/>
      <c r="G8472" s="94"/>
      <c r="H8472" s="131"/>
      <c r="I8472" s="3"/>
    </row>
    <row r="8473" spans="1:9" s="93" customFormat="1" ht="9" customHeight="1" x14ac:dyDescent="0.3">
      <c r="A8473" s="91"/>
      <c r="B8473" s="70"/>
      <c r="C8473" s="70"/>
      <c r="D8473" s="70"/>
      <c r="E8473" s="70"/>
      <c r="F8473" s="70"/>
      <c r="G8473" s="94"/>
      <c r="H8473" s="131"/>
      <c r="I8473" s="3"/>
    </row>
    <row r="8474" spans="1:9" s="93" customFormat="1" ht="9" customHeight="1" x14ac:dyDescent="0.3">
      <c r="A8474" s="91"/>
      <c r="B8474" s="70"/>
      <c r="C8474" s="70"/>
      <c r="D8474" s="70"/>
      <c r="E8474" s="70"/>
      <c r="F8474" s="70"/>
      <c r="G8474" s="94"/>
      <c r="H8474" s="131"/>
      <c r="I8474" s="3"/>
    </row>
    <row r="8475" spans="1:9" s="93" customFormat="1" ht="9" customHeight="1" x14ac:dyDescent="0.3">
      <c r="A8475" s="91"/>
      <c r="B8475" s="70"/>
      <c r="C8475" s="70"/>
      <c r="D8475" s="70"/>
      <c r="E8475" s="70"/>
      <c r="F8475" s="70"/>
      <c r="G8475" s="94"/>
      <c r="H8475" s="131"/>
      <c r="I8475" s="3"/>
    </row>
    <row r="8476" spans="1:9" s="93" customFormat="1" ht="9" customHeight="1" x14ac:dyDescent="0.3">
      <c r="A8476" s="91"/>
      <c r="B8476" s="70"/>
      <c r="C8476" s="70"/>
      <c r="D8476" s="70"/>
      <c r="E8476" s="70"/>
      <c r="F8476" s="70"/>
      <c r="G8476" s="94"/>
      <c r="H8476" s="131"/>
      <c r="I8476" s="3"/>
    </row>
    <row r="8477" spans="1:9" s="93" customFormat="1" ht="9" customHeight="1" x14ac:dyDescent="0.3">
      <c r="A8477" s="91"/>
      <c r="B8477" s="70"/>
      <c r="C8477" s="70"/>
      <c r="D8477" s="70"/>
      <c r="E8477" s="70"/>
      <c r="F8477" s="70"/>
      <c r="G8477" s="94"/>
      <c r="H8477" s="131"/>
      <c r="I8477" s="3"/>
    </row>
    <row r="8478" spans="1:9" s="93" customFormat="1" ht="9" customHeight="1" x14ac:dyDescent="0.3">
      <c r="A8478" s="91"/>
      <c r="B8478" s="70"/>
      <c r="C8478" s="70"/>
      <c r="D8478" s="70"/>
      <c r="E8478" s="70"/>
      <c r="F8478" s="70"/>
      <c r="G8478" s="94"/>
      <c r="H8478" s="131"/>
      <c r="I8478" s="3"/>
    </row>
    <row r="8479" spans="1:9" s="93" customFormat="1" ht="9" customHeight="1" x14ac:dyDescent="0.3">
      <c r="A8479" s="91"/>
      <c r="B8479" s="70"/>
      <c r="C8479" s="70"/>
      <c r="D8479" s="70"/>
      <c r="E8479" s="70"/>
      <c r="F8479" s="70"/>
      <c r="G8479" s="94"/>
      <c r="H8479" s="131"/>
      <c r="I8479" s="3"/>
    </row>
    <row r="8480" spans="1:9" s="93" customFormat="1" ht="9" customHeight="1" x14ac:dyDescent="0.3">
      <c r="A8480" s="91"/>
      <c r="B8480" s="70"/>
      <c r="C8480" s="70"/>
      <c r="D8480" s="70"/>
      <c r="E8480" s="70"/>
      <c r="F8480" s="70"/>
      <c r="G8480" s="94"/>
      <c r="H8480" s="131"/>
      <c r="I8480" s="3"/>
    </row>
    <row r="8481" spans="1:9" s="93" customFormat="1" ht="9" customHeight="1" x14ac:dyDescent="0.3">
      <c r="A8481" s="91"/>
      <c r="B8481" s="70"/>
      <c r="C8481" s="70"/>
      <c r="D8481" s="70"/>
      <c r="E8481" s="70"/>
      <c r="F8481" s="70"/>
      <c r="G8481" s="94"/>
      <c r="H8481" s="131"/>
      <c r="I8481" s="3"/>
    </row>
    <row r="8482" spans="1:9" s="93" customFormat="1" ht="9" customHeight="1" x14ac:dyDescent="0.3">
      <c r="A8482" s="91"/>
      <c r="B8482" s="70"/>
      <c r="C8482" s="70"/>
      <c r="D8482" s="70"/>
      <c r="E8482" s="70"/>
      <c r="F8482" s="70"/>
      <c r="G8482" s="94"/>
      <c r="H8482" s="131"/>
      <c r="I8482" s="3"/>
    </row>
    <row r="8483" spans="1:9" s="93" customFormat="1" ht="9" customHeight="1" x14ac:dyDescent="0.3">
      <c r="A8483" s="91"/>
      <c r="B8483" s="70"/>
      <c r="C8483" s="70"/>
      <c r="D8483" s="70"/>
      <c r="E8483" s="70"/>
      <c r="F8483" s="70"/>
      <c r="G8483" s="94"/>
      <c r="H8483" s="131"/>
      <c r="I8483" s="3"/>
    </row>
    <row r="8484" spans="1:9" s="93" customFormat="1" ht="9" customHeight="1" x14ac:dyDescent="0.3">
      <c r="A8484" s="91"/>
      <c r="B8484" s="70"/>
      <c r="C8484" s="70"/>
      <c r="D8484" s="70"/>
      <c r="E8484" s="70"/>
      <c r="F8484" s="70"/>
      <c r="G8484" s="94"/>
      <c r="H8484" s="131"/>
      <c r="I8484" s="3"/>
    </row>
    <row r="8485" spans="1:9" s="93" customFormat="1" ht="9" customHeight="1" x14ac:dyDescent="0.3">
      <c r="A8485" s="91"/>
      <c r="B8485" s="70"/>
      <c r="C8485" s="70"/>
      <c r="D8485" s="70"/>
      <c r="E8485" s="70"/>
      <c r="F8485" s="70"/>
      <c r="G8485" s="94"/>
      <c r="H8485" s="131"/>
      <c r="I8485" s="3"/>
    </row>
    <row r="8486" spans="1:9" s="93" customFormat="1" ht="9" customHeight="1" x14ac:dyDescent="0.3">
      <c r="A8486" s="91"/>
      <c r="B8486" s="70"/>
      <c r="C8486" s="70"/>
      <c r="D8486" s="70"/>
      <c r="E8486" s="70"/>
      <c r="F8486" s="70"/>
      <c r="G8486" s="94"/>
      <c r="H8486" s="131"/>
      <c r="I8486" s="3"/>
    </row>
    <row r="8487" spans="1:9" s="93" customFormat="1" ht="9" customHeight="1" x14ac:dyDescent="0.3">
      <c r="A8487" s="91"/>
      <c r="B8487" s="70"/>
      <c r="C8487" s="70"/>
      <c r="D8487" s="70"/>
      <c r="E8487" s="70"/>
      <c r="F8487" s="70"/>
      <c r="G8487" s="94"/>
      <c r="H8487" s="131"/>
      <c r="I8487" s="3"/>
    </row>
    <row r="8488" spans="1:9" s="93" customFormat="1" ht="9" customHeight="1" x14ac:dyDescent="0.3">
      <c r="A8488" s="91"/>
      <c r="B8488" s="70"/>
      <c r="C8488" s="70"/>
      <c r="D8488" s="70"/>
      <c r="E8488" s="70"/>
      <c r="F8488" s="70"/>
      <c r="G8488" s="94"/>
      <c r="H8488" s="131"/>
      <c r="I8488" s="3"/>
    </row>
    <row r="8489" spans="1:9" s="93" customFormat="1" ht="9" customHeight="1" x14ac:dyDescent="0.3">
      <c r="A8489" s="91"/>
      <c r="B8489" s="70"/>
      <c r="C8489" s="70"/>
      <c r="D8489" s="70"/>
      <c r="E8489" s="70"/>
      <c r="F8489" s="70"/>
      <c r="G8489" s="94"/>
      <c r="H8489" s="131"/>
      <c r="I8489" s="3"/>
    </row>
    <row r="8490" spans="1:9" s="93" customFormat="1" ht="9" customHeight="1" x14ac:dyDescent="0.3">
      <c r="A8490" s="91"/>
      <c r="B8490" s="70"/>
      <c r="C8490" s="70"/>
      <c r="D8490" s="70"/>
      <c r="E8490" s="70"/>
      <c r="F8490" s="70"/>
      <c r="G8490" s="94"/>
      <c r="H8490" s="131"/>
      <c r="I8490" s="3"/>
    </row>
    <row r="8491" spans="1:9" s="93" customFormat="1" ht="9" customHeight="1" x14ac:dyDescent="0.3">
      <c r="A8491" s="91"/>
      <c r="B8491" s="70"/>
      <c r="C8491" s="70"/>
      <c r="D8491" s="70"/>
      <c r="E8491" s="70"/>
      <c r="F8491" s="70"/>
      <c r="G8491" s="94"/>
      <c r="H8491" s="131"/>
      <c r="I8491" s="3"/>
    </row>
    <row r="8492" spans="1:9" s="93" customFormat="1" ht="9" customHeight="1" x14ac:dyDescent="0.3">
      <c r="A8492" s="91"/>
      <c r="B8492" s="70"/>
      <c r="C8492" s="70"/>
      <c r="D8492" s="70"/>
      <c r="E8492" s="70"/>
      <c r="F8492" s="70"/>
      <c r="G8492" s="94"/>
      <c r="H8492" s="131"/>
      <c r="I8492" s="3"/>
    </row>
    <row r="8493" spans="1:9" s="93" customFormat="1" ht="9" customHeight="1" x14ac:dyDescent="0.3">
      <c r="A8493" s="91"/>
      <c r="B8493" s="70"/>
      <c r="C8493" s="70"/>
      <c r="D8493" s="70"/>
      <c r="E8493" s="70"/>
      <c r="F8493" s="70"/>
      <c r="G8493" s="94"/>
      <c r="H8493" s="131"/>
      <c r="I8493" s="3"/>
    </row>
    <row r="8494" spans="1:9" s="93" customFormat="1" ht="9" customHeight="1" x14ac:dyDescent="0.3">
      <c r="A8494" s="91"/>
      <c r="B8494" s="70"/>
      <c r="C8494" s="70"/>
      <c r="D8494" s="70"/>
      <c r="E8494" s="70"/>
      <c r="F8494" s="70"/>
      <c r="G8494" s="94"/>
      <c r="H8494" s="131"/>
      <c r="I8494" s="3"/>
    </row>
    <row r="8495" spans="1:9" s="93" customFormat="1" ht="9" customHeight="1" x14ac:dyDescent="0.3">
      <c r="A8495" s="91"/>
      <c r="B8495" s="70"/>
      <c r="C8495" s="70"/>
      <c r="D8495" s="70"/>
      <c r="E8495" s="70"/>
      <c r="F8495" s="70"/>
      <c r="G8495" s="94"/>
      <c r="H8495" s="131"/>
      <c r="I8495" s="3"/>
    </row>
    <row r="8496" spans="1:9" s="93" customFormat="1" ht="9" customHeight="1" x14ac:dyDescent="0.3">
      <c r="A8496" s="91"/>
      <c r="B8496" s="70"/>
      <c r="C8496" s="70"/>
      <c r="D8496" s="70"/>
      <c r="E8496" s="70"/>
      <c r="F8496" s="70"/>
      <c r="G8496" s="94"/>
      <c r="H8496" s="131"/>
      <c r="I8496" s="3"/>
    </row>
    <row r="8497" spans="1:9" s="93" customFormat="1" ht="9" customHeight="1" x14ac:dyDescent="0.3">
      <c r="A8497" s="91"/>
      <c r="B8497" s="70"/>
      <c r="C8497" s="70"/>
      <c r="D8497" s="70"/>
      <c r="E8497" s="70"/>
      <c r="F8497" s="70"/>
      <c r="G8497" s="94"/>
      <c r="H8497" s="131"/>
      <c r="I8497" s="3"/>
    </row>
    <row r="8498" spans="1:9" s="93" customFormat="1" ht="9" customHeight="1" x14ac:dyDescent="0.3">
      <c r="A8498" s="91"/>
      <c r="B8498" s="70"/>
      <c r="C8498" s="70"/>
      <c r="D8498" s="70"/>
      <c r="E8498" s="70"/>
      <c r="F8498" s="70"/>
      <c r="G8498" s="94"/>
      <c r="H8498" s="131"/>
      <c r="I8498" s="3"/>
    </row>
    <row r="8499" spans="1:9" s="93" customFormat="1" ht="9" customHeight="1" x14ac:dyDescent="0.3">
      <c r="A8499" s="91"/>
      <c r="B8499" s="70"/>
      <c r="C8499" s="70"/>
      <c r="D8499" s="70"/>
      <c r="E8499" s="70"/>
      <c r="F8499" s="70"/>
      <c r="G8499" s="94"/>
      <c r="H8499" s="131"/>
      <c r="I8499" s="3"/>
    </row>
    <row r="8500" spans="1:9" s="93" customFormat="1" ht="9" customHeight="1" x14ac:dyDescent="0.3">
      <c r="A8500" s="91"/>
      <c r="B8500" s="70"/>
      <c r="C8500" s="70"/>
      <c r="D8500" s="70"/>
      <c r="E8500" s="70"/>
      <c r="F8500" s="70"/>
      <c r="G8500" s="94"/>
      <c r="H8500" s="131"/>
      <c r="I8500" s="3"/>
    </row>
    <row r="8501" spans="1:9" s="93" customFormat="1" ht="9" customHeight="1" x14ac:dyDescent="0.3">
      <c r="A8501" s="91"/>
      <c r="B8501" s="70"/>
      <c r="C8501" s="70"/>
      <c r="D8501" s="70"/>
      <c r="E8501" s="70"/>
      <c r="F8501" s="70"/>
      <c r="G8501" s="94"/>
      <c r="H8501" s="131"/>
      <c r="I8501" s="3"/>
    </row>
    <row r="8502" spans="1:9" s="93" customFormat="1" ht="9" customHeight="1" x14ac:dyDescent="0.3">
      <c r="A8502" s="91"/>
      <c r="B8502" s="70"/>
      <c r="C8502" s="70"/>
      <c r="D8502" s="70"/>
      <c r="E8502" s="70"/>
      <c r="F8502" s="70"/>
      <c r="G8502" s="94"/>
      <c r="H8502" s="131"/>
      <c r="I8502" s="3"/>
    </row>
    <row r="8503" spans="1:9" s="93" customFormat="1" ht="9" customHeight="1" x14ac:dyDescent="0.3">
      <c r="A8503" s="91"/>
      <c r="B8503" s="70"/>
      <c r="C8503" s="70"/>
      <c r="D8503" s="70"/>
      <c r="E8503" s="70"/>
      <c r="F8503" s="70"/>
      <c r="G8503" s="94"/>
      <c r="H8503" s="131"/>
      <c r="I8503" s="3"/>
    </row>
    <row r="8504" spans="1:9" s="93" customFormat="1" ht="9" customHeight="1" x14ac:dyDescent="0.3">
      <c r="A8504" s="91"/>
      <c r="B8504" s="70"/>
      <c r="C8504" s="70"/>
      <c r="D8504" s="70"/>
      <c r="E8504" s="70"/>
      <c r="F8504" s="70"/>
      <c r="G8504" s="94"/>
      <c r="H8504" s="131"/>
      <c r="I8504" s="3"/>
    </row>
    <row r="8505" spans="1:9" s="93" customFormat="1" ht="9" customHeight="1" x14ac:dyDescent="0.3">
      <c r="A8505" s="91"/>
      <c r="B8505" s="70"/>
      <c r="C8505" s="70"/>
      <c r="D8505" s="70"/>
      <c r="E8505" s="70"/>
      <c r="F8505" s="70"/>
      <c r="G8505" s="94"/>
      <c r="H8505" s="131"/>
      <c r="I8505" s="3"/>
    </row>
    <row r="8506" spans="1:9" s="93" customFormat="1" ht="9" customHeight="1" x14ac:dyDescent="0.3">
      <c r="A8506" s="91"/>
      <c r="B8506" s="70"/>
      <c r="C8506" s="70"/>
      <c r="D8506" s="70"/>
      <c r="E8506" s="70"/>
      <c r="F8506" s="70"/>
      <c r="G8506" s="94"/>
      <c r="H8506" s="131"/>
      <c r="I8506" s="3"/>
    </row>
    <row r="8507" spans="1:9" s="93" customFormat="1" ht="9" customHeight="1" x14ac:dyDescent="0.3">
      <c r="A8507" s="91"/>
      <c r="B8507" s="70"/>
      <c r="C8507" s="70"/>
      <c r="D8507" s="70"/>
      <c r="E8507" s="70"/>
      <c r="F8507" s="70"/>
      <c r="G8507" s="94"/>
      <c r="H8507" s="131"/>
      <c r="I8507" s="3"/>
    </row>
    <row r="8508" spans="1:9" s="93" customFormat="1" ht="9" customHeight="1" x14ac:dyDescent="0.3">
      <c r="A8508" s="91"/>
      <c r="B8508" s="70"/>
      <c r="C8508" s="70"/>
      <c r="D8508" s="70"/>
      <c r="E8508" s="70"/>
      <c r="F8508" s="70"/>
      <c r="G8508" s="94"/>
      <c r="H8508" s="131"/>
      <c r="I8508" s="3"/>
    </row>
    <row r="8509" spans="1:9" s="93" customFormat="1" ht="9" customHeight="1" x14ac:dyDescent="0.3">
      <c r="A8509" s="91"/>
      <c r="B8509" s="70"/>
      <c r="C8509" s="70"/>
      <c r="D8509" s="70"/>
      <c r="E8509" s="70"/>
      <c r="F8509" s="70"/>
      <c r="G8509" s="94"/>
      <c r="H8509" s="131"/>
      <c r="I8509" s="3"/>
    </row>
    <row r="8510" spans="1:9" s="93" customFormat="1" ht="9" customHeight="1" x14ac:dyDescent="0.3">
      <c r="A8510" s="91"/>
      <c r="B8510" s="70"/>
      <c r="C8510" s="70"/>
      <c r="D8510" s="70"/>
      <c r="E8510" s="70"/>
      <c r="F8510" s="70"/>
      <c r="G8510" s="94"/>
      <c r="H8510" s="131"/>
      <c r="I8510" s="3"/>
    </row>
    <row r="8511" spans="1:9" s="93" customFormat="1" ht="9" customHeight="1" x14ac:dyDescent="0.3">
      <c r="A8511" s="91"/>
      <c r="B8511" s="70"/>
      <c r="C8511" s="70"/>
      <c r="D8511" s="70"/>
      <c r="E8511" s="70"/>
      <c r="F8511" s="70"/>
      <c r="G8511" s="94"/>
      <c r="H8511" s="131"/>
      <c r="I8511" s="3"/>
    </row>
    <row r="8512" spans="1:9" s="93" customFormat="1" ht="9" customHeight="1" x14ac:dyDescent="0.3">
      <c r="A8512" s="91"/>
      <c r="B8512" s="70"/>
      <c r="C8512" s="70"/>
      <c r="D8512" s="70"/>
      <c r="E8512" s="70"/>
      <c r="F8512" s="70"/>
      <c r="G8512" s="94"/>
      <c r="H8512" s="131"/>
      <c r="I8512" s="3"/>
    </row>
    <row r="8513" spans="1:9" s="93" customFormat="1" ht="9" customHeight="1" x14ac:dyDescent="0.3">
      <c r="A8513" s="91"/>
      <c r="B8513" s="70"/>
      <c r="C8513" s="70"/>
      <c r="D8513" s="70"/>
      <c r="E8513" s="70"/>
      <c r="F8513" s="70"/>
      <c r="G8513" s="94"/>
      <c r="H8513" s="131"/>
      <c r="I8513" s="3"/>
    </row>
    <row r="8514" spans="1:9" s="93" customFormat="1" ht="9" customHeight="1" x14ac:dyDescent="0.3">
      <c r="A8514" s="91"/>
      <c r="B8514" s="70"/>
      <c r="C8514" s="70"/>
      <c r="D8514" s="70"/>
      <c r="E8514" s="70"/>
      <c r="F8514" s="70"/>
      <c r="G8514" s="94"/>
      <c r="H8514" s="131"/>
      <c r="I8514" s="3"/>
    </row>
    <row r="8515" spans="1:9" s="93" customFormat="1" ht="9" customHeight="1" x14ac:dyDescent="0.3">
      <c r="A8515" s="91"/>
      <c r="B8515" s="70"/>
      <c r="C8515" s="70"/>
      <c r="D8515" s="70"/>
      <c r="E8515" s="70"/>
      <c r="F8515" s="70"/>
      <c r="G8515" s="94"/>
      <c r="H8515" s="131"/>
      <c r="I8515" s="3"/>
    </row>
    <row r="8516" spans="1:9" s="93" customFormat="1" ht="9" customHeight="1" x14ac:dyDescent="0.3">
      <c r="A8516" s="91"/>
      <c r="B8516" s="70"/>
      <c r="C8516" s="70"/>
      <c r="D8516" s="70"/>
      <c r="E8516" s="70"/>
      <c r="F8516" s="70"/>
      <c r="G8516" s="94"/>
      <c r="H8516" s="131"/>
      <c r="I8516" s="3"/>
    </row>
    <row r="8517" spans="1:9" s="93" customFormat="1" ht="9" customHeight="1" x14ac:dyDescent="0.3">
      <c r="A8517" s="91"/>
      <c r="B8517" s="70"/>
      <c r="C8517" s="70"/>
      <c r="D8517" s="70"/>
      <c r="E8517" s="70"/>
      <c r="F8517" s="70"/>
      <c r="G8517" s="94"/>
      <c r="H8517" s="131"/>
      <c r="I8517" s="3"/>
    </row>
    <row r="8518" spans="1:9" s="93" customFormat="1" ht="9" customHeight="1" x14ac:dyDescent="0.3">
      <c r="A8518" s="91"/>
      <c r="B8518" s="70"/>
      <c r="C8518" s="70"/>
      <c r="D8518" s="70"/>
      <c r="E8518" s="70"/>
      <c r="F8518" s="70"/>
      <c r="G8518" s="94"/>
      <c r="H8518" s="131"/>
      <c r="I8518" s="3"/>
    </row>
    <row r="8519" spans="1:9" s="93" customFormat="1" ht="9" customHeight="1" x14ac:dyDescent="0.3">
      <c r="A8519" s="91"/>
      <c r="B8519" s="70"/>
      <c r="C8519" s="70"/>
      <c r="D8519" s="70"/>
      <c r="E8519" s="70"/>
      <c r="F8519" s="70"/>
      <c r="G8519" s="94"/>
      <c r="H8519" s="131"/>
      <c r="I8519" s="3"/>
    </row>
    <row r="8520" spans="1:9" s="93" customFormat="1" ht="9" customHeight="1" x14ac:dyDescent="0.3">
      <c r="A8520" s="91"/>
      <c r="B8520" s="70"/>
      <c r="C8520" s="70"/>
      <c r="D8520" s="70"/>
      <c r="E8520" s="70"/>
      <c r="F8520" s="70"/>
      <c r="G8520" s="94"/>
      <c r="H8520" s="131"/>
      <c r="I8520" s="3"/>
    </row>
    <row r="8521" spans="1:9" s="93" customFormat="1" ht="9" customHeight="1" x14ac:dyDescent="0.3">
      <c r="A8521" s="91"/>
      <c r="B8521" s="70"/>
      <c r="C8521" s="70"/>
      <c r="D8521" s="70"/>
      <c r="E8521" s="70"/>
      <c r="F8521" s="70"/>
      <c r="G8521" s="94"/>
      <c r="H8521" s="131"/>
      <c r="I8521" s="3"/>
    </row>
    <row r="8522" spans="1:9" s="93" customFormat="1" ht="9" customHeight="1" x14ac:dyDescent="0.3">
      <c r="A8522" s="91"/>
      <c r="B8522" s="70"/>
      <c r="C8522" s="70"/>
      <c r="D8522" s="70"/>
      <c r="E8522" s="70"/>
      <c r="F8522" s="70"/>
      <c r="G8522" s="94"/>
      <c r="H8522" s="131"/>
      <c r="I8522" s="3"/>
    </row>
    <row r="8523" spans="1:9" s="93" customFormat="1" ht="9" customHeight="1" x14ac:dyDescent="0.3">
      <c r="A8523" s="91"/>
      <c r="B8523" s="70"/>
      <c r="C8523" s="70"/>
      <c r="D8523" s="70"/>
      <c r="E8523" s="70"/>
      <c r="F8523" s="70"/>
      <c r="G8523" s="94"/>
      <c r="H8523" s="131"/>
      <c r="I8523" s="3"/>
    </row>
    <row r="8524" spans="1:9" s="93" customFormat="1" ht="9" customHeight="1" x14ac:dyDescent="0.3">
      <c r="A8524" s="91"/>
      <c r="B8524" s="70"/>
      <c r="C8524" s="70"/>
      <c r="D8524" s="70"/>
      <c r="E8524" s="70"/>
      <c r="F8524" s="70"/>
      <c r="G8524" s="94"/>
      <c r="H8524" s="131"/>
      <c r="I8524" s="3"/>
    </row>
    <row r="8525" spans="1:9" s="93" customFormat="1" ht="9" customHeight="1" x14ac:dyDescent="0.3">
      <c r="A8525" s="91"/>
      <c r="B8525" s="70"/>
      <c r="C8525" s="70"/>
      <c r="D8525" s="70"/>
      <c r="E8525" s="70"/>
      <c r="F8525" s="70"/>
      <c r="G8525" s="94"/>
      <c r="H8525" s="131"/>
      <c r="I8525" s="3"/>
    </row>
    <row r="8526" spans="1:9" s="93" customFormat="1" ht="9" customHeight="1" x14ac:dyDescent="0.3">
      <c r="A8526" s="91"/>
      <c r="B8526" s="70"/>
      <c r="C8526" s="70"/>
      <c r="D8526" s="70"/>
      <c r="E8526" s="70"/>
      <c r="F8526" s="70"/>
      <c r="G8526" s="94"/>
      <c r="H8526" s="131"/>
      <c r="I8526" s="3"/>
    </row>
    <row r="8527" spans="1:9" s="93" customFormat="1" ht="9" customHeight="1" x14ac:dyDescent="0.3">
      <c r="A8527" s="91"/>
      <c r="B8527" s="70"/>
      <c r="C8527" s="70"/>
      <c r="D8527" s="70"/>
      <c r="E8527" s="70"/>
      <c r="F8527" s="70"/>
      <c r="G8527" s="94"/>
      <c r="H8527" s="131"/>
      <c r="I8527" s="3"/>
    </row>
    <row r="8528" spans="1:9" s="93" customFormat="1" ht="9" customHeight="1" x14ac:dyDescent="0.3">
      <c r="A8528" s="91"/>
      <c r="B8528" s="70"/>
      <c r="C8528" s="70"/>
      <c r="D8528" s="70"/>
      <c r="E8528" s="70"/>
      <c r="F8528" s="70"/>
      <c r="G8528" s="94"/>
      <c r="H8528" s="131"/>
      <c r="I8528" s="3"/>
    </row>
    <row r="8529" spans="1:9" s="93" customFormat="1" ht="9" customHeight="1" x14ac:dyDescent="0.3">
      <c r="A8529" s="91"/>
      <c r="B8529" s="70"/>
      <c r="C8529" s="70"/>
      <c r="D8529" s="70"/>
      <c r="E8529" s="70"/>
      <c r="F8529" s="70"/>
      <c r="G8529" s="94"/>
      <c r="H8529" s="131"/>
      <c r="I8529" s="3"/>
    </row>
    <row r="8530" spans="1:9" s="93" customFormat="1" ht="9" customHeight="1" x14ac:dyDescent="0.3">
      <c r="A8530" s="91"/>
      <c r="B8530" s="70"/>
      <c r="C8530" s="70"/>
      <c r="D8530" s="70"/>
      <c r="E8530" s="70"/>
      <c r="F8530" s="70"/>
      <c r="G8530" s="94"/>
      <c r="H8530" s="131"/>
      <c r="I8530" s="3"/>
    </row>
    <row r="8531" spans="1:9" s="93" customFormat="1" ht="9" customHeight="1" x14ac:dyDescent="0.3">
      <c r="A8531" s="91"/>
      <c r="B8531" s="70"/>
      <c r="C8531" s="70"/>
      <c r="D8531" s="70"/>
      <c r="E8531" s="70"/>
      <c r="F8531" s="70"/>
      <c r="G8531" s="94"/>
      <c r="H8531" s="131"/>
      <c r="I8531" s="3"/>
    </row>
    <row r="8532" spans="1:9" s="93" customFormat="1" ht="9" customHeight="1" x14ac:dyDescent="0.3">
      <c r="A8532" s="91"/>
      <c r="B8532" s="70"/>
      <c r="C8532" s="70"/>
      <c r="D8532" s="70"/>
      <c r="E8532" s="70"/>
      <c r="F8532" s="70"/>
      <c r="G8532" s="94"/>
      <c r="H8532" s="131"/>
      <c r="I8532" s="3"/>
    </row>
    <row r="8533" spans="1:9" s="93" customFormat="1" ht="9" customHeight="1" x14ac:dyDescent="0.3">
      <c r="A8533" s="91"/>
      <c r="B8533" s="70"/>
      <c r="C8533" s="70"/>
      <c r="D8533" s="70"/>
      <c r="E8533" s="70"/>
      <c r="F8533" s="70"/>
      <c r="G8533" s="94"/>
      <c r="H8533" s="131"/>
      <c r="I8533" s="3"/>
    </row>
    <row r="8534" spans="1:9" s="93" customFormat="1" ht="9" customHeight="1" x14ac:dyDescent="0.3">
      <c r="A8534" s="91"/>
      <c r="B8534" s="70"/>
      <c r="C8534" s="70"/>
      <c r="D8534" s="70"/>
      <c r="E8534" s="70"/>
      <c r="F8534" s="70"/>
      <c r="G8534" s="94"/>
      <c r="H8534" s="131"/>
      <c r="I8534" s="3"/>
    </row>
    <row r="8535" spans="1:9" s="93" customFormat="1" ht="9" customHeight="1" x14ac:dyDescent="0.3">
      <c r="A8535" s="91"/>
      <c r="B8535" s="70"/>
      <c r="C8535" s="70"/>
      <c r="D8535" s="70"/>
      <c r="E8535" s="70"/>
      <c r="F8535" s="70"/>
      <c r="G8535" s="94"/>
      <c r="H8535" s="131"/>
      <c r="I8535" s="3"/>
    </row>
    <row r="8536" spans="1:9" s="93" customFormat="1" ht="9" customHeight="1" x14ac:dyDescent="0.3">
      <c r="A8536" s="91"/>
      <c r="B8536" s="70"/>
      <c r="C8536" s="70"/>
      <c r="D8536" s="70"/>
      <c r="E8536" s="70"/>
      <c r="F8536" s="70"/>
      <c r="G8536" s="94"/>
      <c r="H8536" s="131"/>
      <c r="I8536" s="3"/>
    </row>
    <row r="8537" spans="1:9" s="93" customFormat="1" ht="9" customHeight="1" x14ac:dyDescent="0.3">
      <c r="A8537" s="91"/>
      <c r="B8537" s="70"/>
      <c r="C8537" s="70"/>
      <c r="D8537" s="70"/>
      <c r="E8537" s="70"/>
      <c r="F8537" s="70"/>
      <c r="G8537" s="94"/>
      <c r="H8537" s="131"/>
      <c r="I8537" s="3"/>
    </row>
    <row r="8538" spans="1:9" s="93" customFormat="1" ht="9" customHeight="1" x14ac:dyDescent="0.3">
      <c r="A8538" s="91"/>
      <c r="B8538" s="70"/>
      <c r="C8538" s="70"/>
      <c r="D8538" s="70"/>
      <c r="E8538" s="70"/>
      <c r="F8538" s="70"/>
      <c r="G8538" s="94"/>
      <c r="H8538" s="131"/>
      <c r="I8538" s="3"/>
    </row>
    <row r="8539" spans="1:9" s="93" customFormat="1" ht="9" customHeight="1" x14ac:dyDescent="0.3">
      <c r="A8539" s="91"/>
      <c r="B8539" s="70"/>
      <c r="C8539" s="70"/>
      <c r="D8539" s="70"/>
      <c r="E8539" s="70"/>
      <c r="F8539" s="70"/>
      <c r="G8539" s="94"/>
      <c r="H8539" s="131"/>
      <c r="I8539" s="3"/>
    </row>
    <row r="8540" spans="1:9" s="93" customFormat="1" ht="9" customHeight="1" x14ac:dyDescent="0.3">
      <c r="A8540" s="91"/>
      <c r="B8540" s="70"/>
      <c r="C8540" s="70"/>
      <c r="D8540" s="70"/>
      <c r="E8540" s="70"/>
      <c r="F8540" s="70"/>
      <c r="G8540" s="94"/>
      <c r="H8540" s="131"/>
      <c r="I8540" s="3"/>
    </row>
    <row r="8541" spans="1:9" s="93" customFormat="1" ht="9" customHeight="1" x14ac:dyDescent="0.3">
      <c r="A8541" s="91"/>
      <c r="B8541" s="70"/>
      <c r="C8541" s="70"/>
      <c r="D8541" s="70"/>
      <c r="E8541" s="70"/>
      <c r="F8541" s="70"/>
      <c r="G8541" s="94"/>
      <c r="H8541" s="131"/>
      <c r="I8541" s="3"/>
    </row>
    <row r="8542" spans="1:9" s="93" customFormat="1" ht="9" customHeight="1" x14ac:dyDescent="0.3">
      <c r="A8542" s="91"/>
      <c r="B8542" s="70"/>
      <c r="C8542" s="70"/>
      <c r="D8542" s="70"/>
      <c r="E8542" s="70"/>
      <c r="F8542" s="70"/>
      <c r="G8542" s="94"/>
      <c r="H8542" s="131"/>
      <c r="I8542" s="3"/>
    </row>
    <row r="8543" spans="1:9" s="93" customFormat="1" ht="9" customHeight="1" x14ac:dyDescent="0.3">
      <c r="A8543" s="91"/>
      <c r="B8543" s="70"/>
      <c r="C8543" s="70"/>
      <c r="D8543" s="70"/>
      <c r="E8543" s="70"/>
      <c r="F8543" s="70"/>
      <c r="G8543" s="94"/>
      <c r="H8543" s="131"/>
      <c r="I8543" s="3"/>
    </row>
    <row r="8544" spans="1:9" s="93" customFormat="1" ht="9" customHeight="1" x14ac:dyDescent="0.3">
      <c r="A8544" s="91"/>
      <c r="B8544" s="70"/>
      <c r="C8544" s="70"/>
      <c r="D8544" s="70"/>
      <c r="E8544" s="70"/>
      <c r="F8544" s="70"/>
      <c r="G8544" s="94"/>
      <c r="H8544" s="131"/>
      <c r="I8544" s="3"/>
    </row>
    <row r="8545" spans="1:9" s="93" customFormat="1" ht="9" customHeight="1" x14ac:dyDescent="0.3">
      <c r="A8545" s="91"/>
      <c r="B8545" s="70"/>
      <c r="C8545" s="70"/>
      <c r="D8545" s="70"/>
      <c r="E8545" s="70"/>
      <c r="F8545" s="70"/>
      <c r="G8545" s="94"/>
      <c r="H8545" s="131"/>
      <c r="I8545" s="3"/>
    </row>
    <row r="8546" spans="1:9" s="93" customFormat="1" ht="9" customHeight="1" x14ac:dyDescent="0.3">
      <c r="A8546" s="91"/>
      <c r="B8546" s="70"/>
      <c r="C8546" s="70"/>
      <c r="D8546" s="70"/>
      <c r="E8546" s="70"/>
      <c r="F8546" s="70"/>
      <c r="G8546" s="94"/>
      <c r="H8546" s="131"/>
      <c r="I8546" s="3"/>
    </row>
    <row r="8547" spans="1:9" s="93" customFormat="1" ht="9" customHeight="1" x14ac:dyDescent="0.3">
      <c r="A8547" s="91"/>
      <c r="B8547" s="70"/>
      <c r="C8547" s="70"/>
      <c r="D8547" s="70"/>
      <c r="E8547" s="70"/>
      <c r="F8547" s="70"/>
      <c r="G8547" s="94"/>
      <c r="H8547" s="131"/>
      <c r="I8547" s="3"/>
    </row>
    <row r="8548" spans="1:9" s="93" customFormat="1" ht="9" customHeight="1" x14ac:dyDescent="0.3">
      <c r="A8548" s="91"/>
      <c r="B8548" s="70"/>
      <c r="C8548" s="70"/>
      <c r="D8548" s="70"/>
      <c r="E8548" s="70"/>
      <c r="F8548" s="70"/>
      <c r="G8548" s="94"/>
      <c r="H8548" s="131"/>
      <c r="I8548" s="3"/>
    </row>
    <row r="8549" spans="1:9" s="93" customFormat="1" ht="9" customHeight="1" x14ac:dyDescent="0.3">
      <c r="A8549" s="91"/>
      <c r="B8549" s="70"/>
      <c r="C8549" s="70"/>
      <c r="D8549" s="70"/>
      <c r="E8549" s="70"/>
      <c r="F8549" s="70"/>
      <c r="G8549" s="94"/>
      <c r="H8549" s="131"/>
      <c r="I8549" s="3"/>
    </row>
    <row r="8550" spans="1:9" s="93" customFormat="1" ht="9" customHeight="1" x14ac:dyDescent="0.3">
      <c r="A8550" s="91"/>
      <c r="B8550" s="70"/>
      <c r="C8550" s="70"/>
      <c r="D8550" s="70"/>
      <c r="E8550" s="70"/>
      <c r="F8550" s="70"/>
      <c r="G8550" s="94"/>
      <c r="H8550" s="131"/>
      <c r="I8550" s="3"/>
    </row>
    <row r="8551" spans="1:9" s="93" customFormat="1" ht="9" customHeight="1" x14ac:dyDescent="0.3">
      <c r="A8551" s="91"/>
      <c r="B8551" s="70"/>
      <c r="C8551" s="70"/>
      <c r="D8551" s="70"/>
      <c r="E8551" s="70"/>
      <c r="F8551" s="70"/>
      <c r="G8551" s="94"/>
      <c r="H8551" s="131"/>
      <c r="I8551" s="3"/>
    </row>
    <row r="8552" spans="1:9" s="93" customFormat="1" ht="9" customHeight="1" x14ac:dyDescent="0.3">
      <c r="A8552" s="91"/>
      <c r="B8552" s="70"/>
      <c r="C8552" s="70"/>
      <c r="D8552" s="70"/>
      <c r="E8552" s="70"/>
      <c r="F8552" s="70"/>
      <c r="G8552" s="94"/>
      <c r="H8552" s="131"/>
      <c r="I8552" s="3"/>
    </row>
    <row r="8553" spans="1:9" s="93" customFormat="1" ht="9" customHeight="1" x14ac:dyDescent="0.3">
      <c r="A8553" s="91"/>
      <c r="B8553" s="70"/>
      <c r="C8553" s="70"/>
      <c r="D8553" s="70"/>
      <c r="E8553" s="70"/>
      <c r="F8553" s="70"/>
      <c r="G8553" s="94"/>
      <c r="H8553" s="131"/>
      <c r="I8553" s="3"/>
    </row>
    <row r="8554" spans="1:9" s="93" customFormat="1" ht="9" customHeight="1" x14ac:dyDescent="0.3">
      <c r="A8554" s="91"/>
      <c r="B8554" s="70"/>
      <c r="C8554" s="70"/>
      <c r="D8554" s="70"/>
      <c r="E8554" s="70"/>
      <c r="F8554" s="70"/>
      <c r="G8554" s="94"/>
      <c r="H8554" s="131"/>
      <c r="I8554" s="3"/>
    </row>
    <row r="8555" spans="1:9" s="93" customFormat="1" ht="9" customHeight="1" x14ac:dyDescent="0.3">
      <c r="A8555" s="91"/>
      <c r="B8555" s="70"/>
      <c r="C8555" s="70"/>
      <c r="D8555" s="70"/>
      <c r="E8555" s="70"/>
      <c r="F8555" s="70"/>
      <c r="G8555" s="94"/>
      <c r="H8555" s="131"/>
      <c r="I8555" s="3"/>
    </row>
    <row r="8556" spans="1:9" s="93" customFormat="1" ht="9" customHeight="1" x14ac:dyDescent="0.3">
      <c r="A8556" s="91"/>
      <c r="B8556" s="70"/>
      <c r="C8556" s="70"/>
      <c r="D8556" s="70"/>
      <c r="E8556" s="70"/>
      <c r="F8556" s="70"/>
      <c r="G8556" s="94"/>
      <c r="H8556" s="131"/>
      <c r="I8556" s="3"/>
    </row>
    <row r="8557" spans="1:9" s="93" customFormat="1" ht="9" customHeight="1" x14ac:dyDescent="0.3">
      <c r="A8557" s="91"/>
      <c r="B8557" s="70"/>
      <c r="C8557" s="70"/>
      <c r="D8557" s="70"/>
      <c r="E8557" s="70"/>
      <c r="F8557" s="70"/>
      <c r="G8557" s="94"/>
      <c r="H8557" s="131"/>
      <c r="I8557" s="3"/>
    </row>
    <row r="8558" spans="1:9" s="93" customFormat="1" ht="9" customHeight="1" x14ac:dyDescent="0.3">
      <c r="A8558" s="91"/>
      <c r="B8558" s="70"/>
      <c r="C8558" s="70"/>
      <c r="D8558" s="70"/>
      <c r="E8558" s="70"/>
      <c r="F8558" s="70"/>
      <c r="G8558" s="94"/>
      <c r="H8558" s="131"/>
      <c r="I8558" s="3"/>
    </row>
    <row r="8559" spans="1:9" s="93" customFormat="1" ht="9" customHeight="1" x14ac:dyDescent="0.3">
      <c r="A8559" s="91"/>
      <c r="B8559" s="70"/>
      <c r="C8559" s="70"/>
      <c r="D8559" s="70"/>
      <c r="E8559" s="70"/>
      <c r="F8559" s="70"/>
      <c r="G8559" s="94"/>
      <c r="H8559" s="131"/>
      <c r="I8559" s="3"/>
    </row>
    <row r="8560" spans="1:9" s="93" customFormat="1" ht="9" customHeight="1" x14ac:dyDescent="0.3">
      <c r="A8560" s="91"/>
      <c r="B8560" s="70"/>
      <c r="C8560" s="70"/>
      <c r="D8560" s="70"/>
      <c r="E8560" s="70"/>
      <c r="F8560" s="70"/>
      <c r="G8560" s="94"/>
      <c r="H8560" s="131"/>
      <c r="I8560" s="3"/>
    </row>
    <row r="8561" spans="1:9" s="93" customFormat="1" ht="9" customHeight="1" x14ac:dyDescent="0.3">
      <c r="A8561" s="91"/>
      <c r="B8561" s="70"/>
      <c r="C8561" s="70"/>
      <c r="D8561" s="70"/>
      <c r="E8561" s="70"/>
      <c r="F8561" s="70"/>
      <c r="G8561" s="94"/>
      <c r="H8561" s="131"/>
      <c r="I8561" s="3"/>
    </row>
    <row r="8562" spans="1:9" s="93" customFormat="1" ht="9" customHeight="1" x14ac:dyDescent="0.3">
      <c r="A8562" s="91"/>
      <c r="B8562" s="70"/>
      <c r="C8562" s="70"/>
      <c r="D8562" s="70"/>
      <c r="E8562" s="70"/>
      <c r="F8562" s="70"/>
      <c r="G8562" s="94"/>
      <c r="H8562" s="131"/>
      <c r="I8562" s="3"/>
    </row>
    <row r="8563" spans="1:9" s="93" customFormat="1" ht="9" customHeight="1" x14ac:dyDescent="0.3">
      <c r="A8563" s="91"/>
      <c r="B8563" s="70"/>
      <c r="C8563" s="70"/>
      <c r="D8563" s="70"/>
      <c r="E8563" s="70"/>
      <c r="F8563" s="70"/>
      <c r="G8563" s="94"/>
      <c r="H8563" s="131"/>
      <c r="I8563" s="3"/>
    </row>
    <row r="8564" spans="1:9" s="93" customFormat="1" ht="9" customHeight="1" x14ac:dyDescent="0.3">
      <c r="A8564" s="91"/>
      <c r="B8564" s="70"/>
      <c r="C8564" s="70"/>
      <c r="D8564" s="70"/>
      <c r="E8564" s="70"/>
      <c r="F8564" s="70"/>
      <c r="G8564" s="94"/>
      <c r="H8564" s="131"/>
      <c r="I8564" s="3"/>
    </row>
    <row r="8565" spans="1:9" s="93" customFormat="1" ht="9" customHeight="1" x14ac:dyDescent="0.3">
      <c r="A8565" s="91"/>
      <c r="B8565" s="70"/>
      <c r="C8565" s="70"/>
      <c r="D8565" s="70"/>
      <c r="E8565" s="70"/>
      <c r="F8565" s="70"/>
      <c r="G8565" s="94"/>
      <c r="H8565" s="131"/>
      <c r="I8565" s="3"/>
    </row>
    <row r="8566" spans="1:9" s="93" customFormat="1" ht="9" customHeight="1" x14ac:dyDescent="0.3">
      <c r="A8566" s="91"/>
      <c r="B8566" s="70"/>
      <c r="C8566" s="70"/>
      <c r="D8566" s="70"/>
      <c r="E8566" s="70"/>
      <c r="F8566" s="70"/>
      <c r="G8566" s="94"/>
      <c r="H8566" s="131"/>
      <c r="I8566" s="3"/>
    </row>
    <row r="8567" spans="1:9" s="93" customFormat="1" ht="9" customHeight="1" x14ac:dyDescent="0.3">
      <c r="A8567" s="91"/>
      <c r="B8567" s="70"/>
      <c r="C8567" s="70"/>
      <c r="D8567" s="70"/>
      <c r="E8567" s="70"/>
      <c r="F8567" s="70"/>
      <c r="G8567" s="94"/>
      <c r="H8567" s="131"/>
      <c r="I8567" s="3"/>
    </row>
    <row r="8568" spans="1:9" s="93" customFormat="1" ht="9" customHeight="1" x14ac:dyDescent="0.3">
      <c r="A8568" s="91"/>
      <c r="B8568" s="70"/>
      <c r="C8568" s="70"/>
      <c r="D8568" s="70"/>
      <c r="E8568" s="70"/>
      <c r="F8568" s="70"/>
      <c r="G8568" s="94"/>
      <c r="H8568" s="131"/>
      <c r="I8568" s="3"/>
    </row>
    <row r="8569" spans="1:9" s="93" customFormat="1" ht="9" customHeight="1" x14ac:dyDescent="0.3">
      <c r="A8569" s="91"/>
      <c r="B8569" s="70"/>
      <c r="C8569" s="70"/>
      <c r="D8569" s="70"/>
      <c r="E8569" s="70"/>
      <c r="F8569" s="70"/>
      <c r="G8569" s="94"/>
      <c r="H8569" s="131"/>
      <c r="I8569" s="3"/>
    </row>
    <row r="8570" spans="1:9" s="93" customFormat="1" ht="9" customHeight="1" x14ac:dyDescent="0.3">
      <c r="A8570" s="91"/>
      <c r="B8570" s="70"/>
      <c r="C8570" s="70"/>
      <c r="D8570" s="70"/>
      <c r="E8570" s="70"/>
      <c r="F8570" s="70"/>
      <c r="G8570" s="94"/>
      <c r="H8570" s="131"/>
      <c r="I8570" s="3"/>
    </row>
    <row r="8571" spans="1:9" s="93" customFormat="1" ht="9" customHeight="1" x14ac:dyDescent="0.3">
      <c r="A8571" s="91"/>
      <c r="B8571" s="70"/>
      <c r="C8571" s="70"/>
      <c r="D8571" s="70"/>
      <c r="E8571" s="70"/>
      <c r="F8571" s="70"/>
      <c r="G8571" s="94"/>
      <c r="H8571" s="131"/>
      <c r="I8571" s="3"/>
    </row>
    <row r="8572" spans="1:9" s="93" customFormat="1" ht="9" customHeight="1" x14ac:dyDescent="0.3">
      <c r="A8572" s="91"/>
      <c r="B8572" s="70"/>
      <c r="C8572" s="70"/>
      <c r="D8572" s="70"/>
      <c r="E8572" s="70"/>
      <c r="F8572" s="70"/>
      <c r="G8572" s="94"/>
      <c r="H8572" s="131"/>
      <c r="I8572" s="3"/>
    </row>
    <row r="8573" spans="1:9" s="93" customFormat="1" ht="9" customHeight="1" x14ac:dyDescent="0.3">
      <c r="A8573" s="91"/>
      <c r="B8573" s="70"/>
      <c r="C8573" s="70"/>
      <c r="D8573" s="70"/>
      <c r="E8573" s="70"/>
      <c r="F8573" s="70"/>
      <c r="G8573" s="94"/>
      <c r="H8573" s="131"/>
      <c r="I8573" s="3"/>
    </row>
    <row r="8574" spans="1:9" s="93" customFormat="1" ht="9" customHeight="1" x14ac:dyDescent="0.3">
      <c r="A8574" s="91"/>
      <c r="B8574" s="70"/>
      <c r="C8574" s="70"/>
      <c r="D8574" s="70"/>
      <c r="E8574" s="70"/>
      <c r="F8574" s="70"/>
      <c r="G8574" s="94"/>
      <c r="H8574" s="131"/>
      <c r="I8574" s="3"/>
    </row>
    <row r="8575" spans="1:9" s="93" customFormat="1" ht="9" customHeight="1" x14ac:dyDescent="0.3">
      <c r="A8575" s="91"/>
      <c r="B8575" s="70"/>
      <c r="C8575" s="70"/>
      <c r="D8575" s="70"/>
      <c r="E8575" s="70"/>
      <c r="F8575" s="70"/>
      <c r="G8575" s="94"/>
      <c r="H8575" s="131"/>
      <c r="I8575" s="3"/>
    </row>
    <row r="8576" spans="1:9" s="93" customFormat="1" ht="9" customHeight="1" x14ac:dyDescent="0.3">
      <c r="A8576" s="91"/>
      <c r="B8576" s="70"/>
      <c r="C8576" s="70"/>
      <c r="D8576" s="70"/>
      <c r="E8576" s="70"/>
      <c r="F8576" s="70"/>
      <c r="G8576" s="94"/>
      <c r="H8576" s="131"/>
      <c r="I8576" s="3"/>
    </row>
    <row r="8577" spans="1:9" s="93" customFormat="1" ht="9" customHeight="1" x14ac:dyDescent="0.3">
      <c r="A8577" s="91"/>
      <c r="B8577" s="70"/>
      <c r="C8577" s="70"/>
      <c r="D8577" s="70"/>
      <c r="E8577" s="70"/>
      <c r="F8577" s="70"/>
      <c r="G8577" s="94"/>
      <c r="H8577" s="131"/>
      <c r="I8577" s="3"/>
    </row>
    <row r="8578" spans="1:9" s="93" customFormat="1" ht="9" customHeight="1" x14ac:dyDescent="0.3">
      <c r="A8578" s="91"/>
      <c r="B8578" s="70"/>
      <c r="C8578" s="70"/>
      <c r="D8578" s="70"/>
      <c r="E8578" s="70"/>
      <c r="F8578" s="70"/>
      <c r="G8578" s="94"/>
      <c r="H8578" s="131"/>
      <c r="I8578" s="3"/>
    </row>
    <row r="8579" spans="1:9" s="93" customFormat="1" ht="9" customHeight="1" x14ac:dyDescent="0.3">
      <c r="A8579" s="91"/>
      <c r="B8579" s="70"/>
      <c r="C8579" s="70"/>
      <c r="D8579" s="70"/>
      <c r="E8579" s="70"/>
      <c r="F8579" s="70"/>
      <c r="G8579" s="94"/>
      <c r="H8579" s="131"/>
      <c r="I8579" s="3"/>
    </row>
    <row r="8580" spans="1:9" s="93" customFormat="1" ht="9" customHeight="1" x14ac:dyDescent="0.3">
      <c r="A8580" s="91"/>
      <c r="B8580" s="70"/>
      <c r="C8580" s="70"/>
      <c r="D8580" s="70"/>
      <c r="E8580" s="70"/>
      <c r="F8580" s="70"/>
      <c r="G8580" s="94"/>
      <c r="H8580" s="131"/>
      <c r="I8580" s="3"/>
    </row>
    <row r="8581" spans="1:9" s="93" customFormat="1" ht="9" customHeight="1" x14ac:dyDescent="0.3">
      <c r="A8581" s="91"/>
      <c r="B8581" s="70"/>
      <c r="C8581" s="70"/>
      <c r="D8581" s="70"/>
      <c r="E8581" s="70"/>
      <c r="F8581" s="70"/>
      <c r="G8581" s="94"/>
      <c r="H8581" s="131"/>
      <c r="I8581" s="3"/>
    </row>
    <row r="8582" spans="1:9" s="93" customFormat="1" ht="9" customHeight="1" x14ac:dyDescent="0.3">
      <c r="A8582" s="91"/>
      <c r="B8582" s="70"/>
      <c r="C8582" s="70"/>
      <c r="D8582" s="70"/>
      <c r="E8582" s="70"/>
      <c r="F8582" s="70"/>
      <c r="G8582" s="94"/>
      <c r="H8582" s="131"/>
      <c r="I8582" s="3"/>
    </row>
    <row r="8583" spans="1:9" s="93" customFormat="1" ht="9" customHeight="1" x14ac:dyDescent="0.3">
      <c r="A8583" s="91"/>
      <c r="B8583" s="70"/>
      <c r="C8583" s="70"/>
      <c r="D8583" s="70"/>
      <c r="E8583" s="70"/>
      <c r="F8583" s="70"/>
      <c r="G8583" s="94"/>
      <c r="H8583" s="131"/>
      <c r="I8583" s="3"/>
    </row>
    <row r="8584" spans="1:9" s="93" customFormat="1" ht="9" customHeight="1" x14ac:dyDescent="0.3">
      <c r="A8584" s="91"/>
      <c r="B8584" s="70"/>
      <c r="C8584" s="70"/>
      <c r="D8584" s="70"/>
      <c r="E8584" s="70"/>
      <c r="F8584" s="70"/>
      <c r="G8584" s="94"/>
      <c r="H8584" s="131"/>
      <c r="I8584" s="3"/>
    </row>
    <row r="8585" spans="1:9" s="93" customFormat="1" ht="9" customHeight="1" x14ac:dyDescent="0.3">
      <c r="A8585" s="91"/>
      <c r="B8585" s="70"/>
      <c r="C8585" s="70"/>
      <c r="D8585" s="70"/>
      <c r="E8585" s="70"/>
      <c r="F8585" s="70"/>
      <c r="G8585" s="94"/>
      <c r="H8585" s="131"/>
      <c r="I8585" s="3"/>
    </row>
    <row r="8586" spans="1:9" s="93" customFormat="1" ht="9" customHeight="1" x14ac:dyDescent="0.3">
      <c r="A8586" s="91"/>
      <c r="B8586" s="70"/>
      <c r="C8586" s="70"/>
      <c r="D8586" s="70"/>
      <c r="E8586" s="70"/>
      <c r="F8586" s="70"/>
      <c r="G8586" s="94"/>
      <c r="H8586" s="131"/>
      <c r="I8586" s="3"/>
    </row>
    <row r="8587" spans="1:9" s="93" customFormat="1" ht="9" customHeight="1" x14ac:dyDescent="0.3">
      <c r="A8587" s="91"/>
      <c r="B8587" s="70"/>
      <c r="C8587" s="70"/>
      <c r="D8587" s="70"/>
      <c r="E8587" s="70"/>
      <c r="F8587" s="70"/>
      <c r="G8587" s="94"/>
      <c r="H8587" s="131"/>
      <c r="I8587" s="3"/>
    </row>
    <row r="8588" spans="1:9" s="93" customFormat="1" ht="9" customHeight="1" x14ac:dyDescent="0.3">
      <c r="A8588" s="91"/>
      <c r="B8588" s="70"/>
      <c r="C8588" s="70"/>
      <c r="D8588" s="70"/>
      <c r="E8588" s="70"/>
      <c r="F8588" s="70"/>
      <c r="G8588" s="94"/>
      <c r="H8588" s="131"/>
      <c r="I8588" s="3"/>
    </row>
    <row r="8589" spans="1:9" s="93" customFormat="1" ht="9" customHeight="1" x14ac:dyDescent="0.3">
      <c r="A8589" s="91"/>
      <c r="B8589" s="70"/>
      <c r="C8589" s="70"/>
      <c r="D8589" s="70"/>
      <c r="E8589" s="70"/>
      <c r="F8589" s="70"/>
      <c r="G8589" s="94"/>
      <c r="H8589" s="131"/>
      <c r="I8589" s="3"/>
    </row>
    <row r="8590" spans="1:9" s="93" customFormat="1" ht="9" customHeight="1" x14ac:dyDescent="0.3">
      <c r="A8590" s="91"/>
      <c r="B8590" s="70"/>
      <c r="C8590" s="70"/>
      <c r="D8590" s="70"/>
      <c r="E8590" s="70"/>
      <c r="F8590" s="70"/>
      <c r="G8590" s="94"/>
      <c r="H8590" s="131"/>
      <c r="I8590" s="3"/>
    </row>
    <row r="8591" spans="1:9" s="93" customFormat="1" ht="9" customHeight="1" x14ac:dyDescent="0.3">
      <c r="A8591" s="91"/>
      <c r="B8591" s="70"/>
      <c r="C8591" s="70"/>
      <c r="D8591" s="70"/>
      <c r="E8591" s="70"/>
      <c r="F8591" s="70"/>
      <c r="G8591" s="94"/>
      <c r="H8591" s="131"/>
      <c r="I8591" s="3"/>
    </row>
    <row r="8592" spans="1:9" s="93" customFormat="1" ht="9" customHeight="1" x14ac:dyDescent="0.3">
      <c r="A8592" s="91"/>
      <c r="B8592" s="70"/>
      <c r="C8592" s="70"/>
      <c r="D8592" s="70"/>
      <c r="E8592" s="70"/>
      <c r="F8592" s="70"/>
      <c r="G8592" s="94"/>
      <c r="H8592" s="131"/>
      <c r="I8592" s="3"/>
    </row>
    <row r="8593" spans="1:9" s="93" customFormat="1" ht="9" customHeight="1" x14ac:dyDescent="0.3">
      <c r="A8593" s="91"/>
      <c r="B8593" s="70"/>
      <c r="C8593" s="70"/>
      <c r="D8593" s="70"/>
      <c r="E8593" s="70"/>
      <c r="F8593" s="70"/>
      <c r="G8593" s="94"/>
      <c r="H8593" s="131"/>
      <c r="I8593" s="3"/>
    </row>
    <row r="8594" spans="1:9" s="93" customFormat="1" ht="9" customHeight="1" x14ac:dyDescent="0.3">
      <c r="A8594" s="91"/>
      <c r="B8594" s="70"/>
      <c r="C8594" s="70"/>
      <c r="D8594" s="70"/>
      <c r="E8594" s="70"/>
      <c r="F8594" s="70"/>
      <c r="G8594" s="94"/>
      <c r="H8594" s="131"/>
      <c r="I8594" s="3"/>
    </row>
    <row r="8595" spans="1:9" s="93" customFormat="1" ht="9" customHeight="1" x14ac:dyDescent="0.3">
      <c r="A8595" s="91"/>
      <c r="B8595" s="70"/>
      <c r="C8595" s="70"/>
      <c r="D8595" s="70"/>
      <c r="E8595" s="70"/>
      <c r="F8595" s="70"/>
      <c r="G8595" s="94"/>
      <c r="H8595" s="131"/>
      <c r="I8595" s="3"/>
    </row>
    <row r="8596" spans="1:9" s="93" customFormat="1" ht="9" customHeight="1" x14ac:dyDescent="0.3">
      <c r="A8596" s="91"/>
      <c r="B8596" s="70"/>
      <c r="C8596" s="70"/>
      <c r="D8596" s="70"/>
      <c r="E8596" s="70"/>
      <c r="F8596" s="70"/>
      <c r="G8596" s="94"/>
      <c r="H8596" s="131"/>
      <c r="I8596" s="3"/>
    </row>
    <row r="8597" spans="1:9" s="93" customFormat="1" ht="9" customHeight="1" x14ac:dyDescent="0.3">
      <c r="A8597" s="91"/>
      <c r="B8597" s="70"/>
      <c r="C8597" s="70"/>
      <c r="D8597" s="70"/>
      <c r="E8597" s="70"/>
      <c r="F8597" s="70"/>
      <c r="G8597" s="94"/>
      <c r="H8597" s="131"/>
      <c r="I8597" s="3"/>
    </row>
    <row r="8598" spans="1:9" s="93" customFormat="1" ht="9" customHeight="1" x14ac:dyDescent="0.3">
      <c r="A8598" s="91"/>
      <c r="B8598" s="70"/>
      <c r="C8598" s="70"/>
      <c r="D8598" s="70"/>
      <c r="E8598" s="70"/>
      <c r="F8598" s="70"/>
      <c r="G8598" s="94"/>
      <c r="H8598" s="131"/>
      <c r="I8598" s="3"/>
    </row>
    <row r="8599" spans="1:9" s="93" customFormat="1" ht="9" customHeight="1" x14ac:dyDescent="0.3">
      <c r="A8599" s="91"/>
      <c r="B8599" s="70"/>
      <c r="C8599" s="70"/>
      <c r="D8599" s="70"/>
      <c r="E8599" s="70"/>
      <c r="F8599" s="70"/>
      <c r="G8599" s="94"/>
      <c r="H8599" s="131"/>
      <c r="I8599" s="3"/>
    </row>
    <row r="8600" spans="1:9" s="93" customFormat="1" ht="9" customHeight="1" x14ac:dyDescent="0.3">
      <c r="A8600" s="91"/>
      <c r="B8600" s="70"/>
      <c r="C8600" s="70"/>
      <c r="D8600" s="70"/>
      <c r="E8600" s="70"/>
      <c r="F8600" s="70"/>
      <c r="G8600" s="94"/>
      <c r="H8600" s="131"/>
      <c r="I8600" s="3"/>
    </row>
    <row r="8601" spans="1:9" s="93" customFormat="1" ht="9" customHeight="1" x14ac:dyDescent="0.3">
      <c r="A8601" s="91"/>
      <c r="B8601" s="70"/>
      <c r="C8601" s="70"/>
      <c r="D8601" s="70"/>
      <c r="E8601" s="70"/>
      <c r="F8601" s="70"/>
      <c r="G8601" s="94"/>
      <c r="H8601" s="131"/>
      <c r="I8601" s="3"/>
    </row>
    <row r="8602" spans="1:9" s="93" customFormat="1" ht="9" customHeight="1" x14ac:dyDescent="0.3">
      <c r="A8602" s="91"/>
      <c r="B8602" s="70"/>
      <c r="C8602" s="70"/>
      <c r="D8602" s="70"/>
      <c r="E8602" s="70"/>
      <c r="F8602" s="70"/>
      <c r="G8602" s="94"/>
      <c r="H8602" s="131"/>
      <c r="I8602" s="3"/>
    </row>
    <row r="8603" spans="1:9" s="93" customFormat="1" ht="9" customHeight="1" x14ac:dyDescent="0.3">
      <c r="A8603" s="91"/>
      <c r="B8603" s="70"/>
      <c r="C8603" s="70"/>
      <c r="D8603" s="70"/>
      <c r="E8603" s="70"/>
      <c r="F8603" s="70"/>
      <c r="G8603" s="94"/>
      <c r="H8603" s="131"/>
      <c r="I8603" s="3"/>
    </row>
    <row r="8604" spans="1:9" s="93" customFormat="1" ht="9" customHeight="1" x14ac:dyDescent="0.3">
      <c r="A8604" s="91"/>
      <c r="B8604" s="70"/>
      <c r="C8604" s="70"/>
      <c r="D8604" s="70"/>
      <c r="E8604" s="70"/>
      <c r="F8604" s="70"/>
      <c r="G8604" s="94"/>
      <c r="H8604" s="131"/>
      <c r="I8604" s="3"/>
    </row>
    <row r="8605" spans="1:9" s="93" customFormat="1" ht="9" customHeight="1" x14ac:dyDescent="0.3">
      <c r="A8605" s="91"/>
      <c r="B8605" s="70"/>
      <c r="C8605" s="70"/>
      <c r="D8605" s="70"/>
      <c r="E8605" s="70"/>
      <c r="F8605" s="70"/>
      <c r="G8605" s="94"/>
      <c r="H8605" s="131"/>
      <c r="I8605" s="3"/>
    </row>
    <row r="8606" spans="1:9" s="93" customFormat="1" ht="9" customHeight="1" x14ac:dyDescent="0.3">
      <c r="A8606" s="91"/>
      <c r="B8606" s="70"/>
      <c r="C8606" s="70"/>
      <c r="D8606" s="70"/>
      <c r="E8606" s="70"/>
      <c r="F8606" s="70"/>
      <c r="G8606" s="94"/>
      <c r="H8606" s="131"/>
      <c r="I8606" s="3"/>
    </row>
    <row r="8607" spans="1:9" s="93" customFormat="1" ht="9" customHeight="1" x14ac:dyDescent="0.3">
      <c r="A8607" s="91"/>
      <c r="B8607" s="70"/>
      <c r="C8607" s="70"/>
      <c r="D8607" s="70"/>
      <c r="E8607" s="70"/>
      <c r="F8607" s="70"/>
      <c r="G8607" s="94"/>
      <c r="H8607" s="131"/>
      <c r="I8607" s="3"/>
    </row>
    <row r="8608" spans="1:9" s="93" customFormat="1" ht="9" customHeight="1" x14ac:dyDescent="0.3">
      <c r="A8608" s="91"/>
      <c r="B8608" s="70"/>
      <c r="C8608" s="70"/>
      <c r="D8608" s="70"/>
      <c r="E8608" s="70"/>
      <c r="F8608" s="70"/>
      <c r="G8608" s="94"/>
      <c r="H8608" s="131"/>
      <c r="I8608" s="3"/>
    </row>
    <row r="8609" spans="1:9" s="93" customFormat="1" ht="9" customHeight="1" x14ac:dyDescent="0.3">
      <c r="A8609" s="91"/>
      <c r="B8609" s="70"/>
      <c r="C8609" s="70"/>
      <c r="D8609" s="70"/>
      <c r="E8609" s="70"/>
      <c r="F8609" s="70"/>
      <c r="G8609" s="94"/>
      <c r="H8609" s="131"/>
      <c r="I8609" s="3"/>
    </row>
    <row r="8610" spans="1:9" s="93" customFormat="1" ht="9" customHeight="1" x14ac:dyDescent="0.3">
      <c r="A8610" s="91"/>
      <c r="B8610" s="70"/>
      <c r="C8610" s="70"/>
      <c r="D8610" s="70"/>
      <c r="E8610" s="70"/>
      <c r="F8610" s="70"/>
      <c r="G8610" s="94"/>
      <c r="H8610" s="131"/>
      <c r="I8610" s="3"/>
    </row>
    <row r="8611" spans="1:9" s="93" customFormat="1" ht="9" customHeight="1" x14ac:dyDescent="0.3">
      <c r="A8611" s="91"/>
      <c r="B8611" s="70"/>
      <c r="C8611" s="70"/>
      <c r="D8611" s="70"/>
      <c r="E8611" s="70"/>
      <c r="F8611" s="70"/>
      <c r="G8611" s="94"/>
      <c r="H8611" s="131"/>
      <c r="I8611" s="3"/>
    </row>
    <row r="8612" spans="1:9" s="93" customFormat="1" ht="9" customHeight="1" x14ac:dyDescent="0.3">
      <c r="A8612" s="91"/>
      <c r="B8612" s="70"/>
      <c r="C8612" s="70"/>
      <c r="D8612" s="70"/>
      <c r="E8612" s="70"/>
      <c r="F8612" s="70"/>
      <c r="G8612" s="94"/>
      <c r="H8612" s="131"/>
      <c r="I8612" s="3"/>
    </row>
    <row r="8613" spans="1:9" s="93" customFormat="1" ht="9" customHeight="1" x14ac:dyDescent="0.3">
      <c r="A8613" s="91"/>
      <c r="B8613" s="70"/>
      <c r="C8613" s="70"/>
      <c r="D8613" s="70"/>
      <c r="E8613" s="70"/>
      <c r="F8613" s="70"/>
      <c r="G8613" s="94"/>
      <c r="H8613" s="131"/>
      <c r="I8613" s="3"/>
    </row>
    <row r="8614" spans="1:9" s="93" customFormat="1" ht="9" customHeight="1" x14ac:dyDescent="0.3">
      <c r="A8614" s="91"/>
      <c r="B8614" s="70"/>
      <c r="C8614" s="70"/>
      <c r="D8614" s="70"/>
      <c r="E8614" s="70"/>
      <c r="F8614" s="70"/>
      <c r="G8614" s="94"/>
      <c r="H8614" s="131"/>
      <c r="I8614" s="3"/>
    </row>
    <row r="8615" spans="1:9" s="93" customFormat="1" ht="9" customHeight="1" x14ac:dyDescent="0.3">
      <c r="A8615" s="91"/>
      <c r="B8615" s="70"/>
      <c r="C8615" s="70"/>
      <c r="D8615" s="70"/>
      <c r="E8615" s="70"/>
      <c r="F8615" s="70"/>
      <c r="G8615" s="94"/>
      <c r="H8615" s="131"/>
      <c r="I8615" s="3"/>
    </row>
    <row r="8616" spans="1:9" s="93" customFormat="1" ht="9" customHeight="1" x14ac:dyDescent="0.3">
      <c r="A8616" s="91"/>
      <c r="B8616" s="70"/>
      <c r="C8616" s="70"/>
      <c r="D8616" s="70"/>
      <c r="E8616" s="70"/>
      <c r="F8616" s="70"/>
      <c r="G8616" s="94"/>
      <c r="H8616" s="131"/>
      <c r="I8616" s="3"/>
    </row>
    <row r="8617" spans="1:9" s="93" customFormat="1" ht="9" customHeight="1" x14ac:dyDescent="0.3">
      <c r="A8617" s="91"/>
      <c r="B8617" s="70"/>
      <c r="C8617" s="70"/>
      <c r="D8617" s="70"/>
      <c r="E8617" s="70"/>
      <c r="F8617" s="70"/>
      <c r="G8617" s="94"/>
      <c r="H8617" s="131"/>
      <c r="I8617" s="3"/>
    </row>
    <row r="8618" spans="1:9" s="93" customFormat="1" ht="9" customHeight="1" x14ac:dyDescent="0.3">
      <c r="A8618" s="91"/>
      <c r="B8618" s="70"/>
      <c r="C8618" s="70"/>
      <c r="D8618" s="70"/>
      <c r="E8618" s="70"/>
      <c r="F8618" s="70"/>
      <c r="G8618" s="94"/>
      <c r="H8618" s="131"/>
      <c r="I8618" s="3"/>
    </row>
    <row r="8619" spans="1:9" s="93" customFormat="1" ht="9" customHeight="1" x14ac:dyDescent="0.3">
      <c r="A8619" s="91"/>
      <c r="B8619" s="70"/>
      <c r="C8619" s="70"/>
      <c r="D8619" s="70"/>
      <c r="E8619" s="70"/>
      <c r="F8619" s="70"/>
      <c r="G8619" s="94"/>
      <c r="H8619" s="131"/>
      <c r="I8619" s="3"/>
    </row>
    <row r="8620" spans="1:9" s="93" customFormat="1" ht="9" customHeight="1" x14ac:dyDescent="0.3">
      <c r="A8620" s="91"/>
      <c r="B8620" s="70"/>
      <c r="C8620" s="70"/>
      <c r="D8620" s="70"/>
      <c r="E8620" s="70"/>
      <c r="F8620" s="70"/>
      <c r="G8620" s="94"/>
      <c r="H8620" s="131"/>
      <c r="I8620" s="3"/>
    </row>
    <row r="8621" spans="1:9" s="93" customFormat="1" ht="9" customHeight="1" x14ac:dyDescent="0.3">
      <c r="A8621" s="91"/>
      <c r="B8621" s="70"/>
      <c r="C8621" s="70"/>
      <c r="D8621" s="70"/>
      <c r="E8621" s="70"/>
      <c r="F8621" s="70"/>
      <c r="G8621" s="94"/>
      <c r="H8621" s="131"/>
      <c r="I8621" s="3"/>
    </row>
    <row r="8622" spans="1:9" s="93" customFormat="1" ht="9" customHeight="1" x14ac:dyDescent="0.3">
      <c r="A8622" s="91"/>
      <c r="B8622" s="70"/>
      <c r="C8622" s="70"/>
      <c r="D8622" s="70"/>
      <c r="E8622" s="70"/>
      <c r="F8622" s="70"/>
      <c r="G8622" s="94"/>
      <c r="H8622" s="131"/>
      <c r="I8622" s="3"/>
    </row>
    <row r="8623" spans="1:9" s="93" customFormat="1" ht="9" customHeight="1" x14ac:dyDescent="0.3">
      <c r="A8623" s="91"/>
      <c r="B8623" s="70"/>
      <c r="C8623" s="70"/>
      <c r="D8623" s="70"/>
      <c r="E8623" s="70"/>
      <c r="F8623" s="70"/>
      <c r="G8623" s="94"/>
      <c r="H8623" s="131"/>
      <c r="I8623" s="3"/>
    </row>
    <row r="8624" spans="1:9" s="93" customFormat="1" ht="9" customHeight="1" x14ac:dyDescent="0.3">
      <c r="A8624" s="91"/>
      <c r="B8624" s="70"/>
      <c r="C8624" s="70"/>
      <c r="D8624" s="70"/>
      <c r="E8624" s="70"/>
      <c r="F8624" s="70"/>
      <c r="G8624" s="94"/>
      <c r="H8624" s="131"/>
      <c r="I8624" s="3"/>
    </row>
    <row r="8625" spans="1:9" s="93" customFormat="1" ht="9" customHeight="1" x14ac:dyDescent="0.3">
      <c r="A8625" s="91"/>
      <c r="B8625" s="70"/>
      <c r="C8625" s="70"/>
      <c r="D8625" s="70"/>
      <c r="E8625" s="70"/>
      <c r="F8625" s="70"/>
      <c r="G8625" s="94"/>
      <c r="H8625" s="131"/>
      <c r="I8625" s="3"/>
    </row>
    <row r="8626" spans="1:9" s="93" customFormat="1" ht="9" customHeight="1" x14ac:dyDescent="0.3">
      <c r="A8626" s="91"/>
      <c r="B8626" s="70"/>
      <c r="C8626" s="70"/>
      <c r="D8626" s="70"/>
      <c r="E8626" s="70"/>
      <c r="F8626" s="70"/>
      <c r="G8626" s="94"/>
      <c r="H8626" s="131"/>
      <c r="I8626" s="3"/>
    </row>
    <row r="8627" spans="1:9" s="93" customFormat="1" ht="9" customHeight="1" x14ac:dyDescent="0.3">
      <c r="A8627" s="91"/>
      <c r="B8627" s="70"/>
      <c r="C8627" s="70"/>
      <c r="D8627" s="70"/>
      <c r="E8627" s="70"/>
      <c r="F8627" s="70"/>
      <c r="G8627" s="94"/>
      <c r="H8627" s="131"/>
      <c r="I8627" s="3"/>
    </row>
    <row r="8628" spans="1:9" s="93" customFormat="1" ht="9" customHeight="1" x14ac:dyDescent="0.3">
      <c r="A8628" s="91"/>
      <c r="B8628" s="70"/>
      <c r="C8628" s="70"/>
      <c r="D8628" s="70"/>
      <c r="E8628" s="70"/>
      <c r="F8628" s="70"/>
      <c r="G8628" s="94"/>
      <c r="H8628" s="131"/>
      <c r="I8628" s="3"/>
    </row>
    <row r="8629" spans="1:9" s="93" customFormat="1" ht="9" customHeight="1" x14ac:dyDescent="0.3">
      <c r="A8629" s="91"/>
      <c r="B8629" s="70"/>
      <c r="C8629" s="70"/>
      <c r="D8629" s="70"/>
      <c r="E8629" s="70"/>
      <c r="F8629" s="70"/>
      <c r="G8629" s="94"/>
      <c r="H8629" s="131"/>
      <c r="I8629" s="3"/>
    </row>
    <row r="8630" spans="1:9" s="93" customFormat="1" ht="9" customHeight="1" x14ac:dyDescent="0.3">
      <c r="A8630" s="91"/>
      <c r="B8630" s="70"/>
      <c r="C8630" s="70"/>
      <c r="D8630" s="70"/>
      <c r="E8630" s="70"/>
      <c r="F8630" s="70"/>
      <c r="G8630" s="94"/>
      <c r="H8630" s="131"/>
      <c r="I8630" s="3"/>
    </row>
    <row r="8631" spans="1:9" s="93" customFormat="1" ht="9" customHeight="1" x14ac:dyDescent="0.3">
      <c r="A8631" s="91"/>
      <c r="B8631" s="70"/>
      <c r="C8631" s="70"/>
      <c r="D8631" s="70"/>
      <c r="E8631" s="70"/>
      <c r="F8631" s="70"/>
      <c r="G8631" s="94"/>
      <c r="H8631" s="131"/>
      <c r="I8631" s="3"/>
    </row>
    <row r="8632" spans="1:9" s="93" customFormat="1" ht="9" customHeight="1" x14ac:dyDescent="0.3">
      <c r="A8632" s="91"/>
      <c r="B8632" s="70"/>
      <c r="C8632" s="70"/>
      <c r="D8632" s="70"/>
      <c r="E8632" s="70"/>
      <c r="F8632" s="70"/>
      <c r="G8632" s="94"/>
      <c r="H8632" s="131"/>
      <c r="I8632" s="3"/>
    </row>
    <row r="8633" spans="1:9" s="93" customFormat="1" ht="9" customHeight="1" x14ac:dyDescent="0.3">
      <c r="A8633" s="91"/>
      <c r="B8633" s="70"/>
      <c r="C8633" s="70"/>
      <c r="D8633" s="70"/>
      <c r="E8633" s="70"/>
      <c r="F8633" s="70"/>
      <c r="G8633" s="94"/>
      <c r="H8633" s="131"/>
      <c r="I8633" s="3"/>
    </row>
    <row r="8634" spans="1:9" s="93" customFormat="1" ht="9" customHeight="1" x14ac:dyDescent="0.3">
      <c r="A8634" s="91"/>
      <c r="B8634" s="70"/>
      <c r="C8634" s="70"/>
      <c r="D8634" s="70"/>
      <c r="E8634" s="70"/>
      <c r="F8634" s="70"/>
      <c r="G8634" s="94"/>
      <c r="H8634" s="131"/>
      <c r="I8634" s="3"/>
    </row>
    <row r="8635" spans="1:9" s="93" customFormat="1" ht="9" customHeight="1" x14ac:dyDescent="0.3">
      <c r="A8635" s="91"/>
      <c r="B8635" s="70"/>
      <c r="C8635" s="70"/>
      <c r="D8635" s="70"/>
      <c r="E8635" s="70"/>
      <c r="F8635" s="70"/>
      <c r="G8635" s="94"/>
      <c r="H8635" s="131"/>
      <c r="I8635" s="3"/>
    </row>
    <row r="8636" spans="1:9" s="93" customFormat="1" ht="9" customHeight="1" x14ac:dyDescent="0.3">
      <c r="A8636" s="91"/>
      <c r="B8636" s="70"/>
      <c r="C8636" s="70"/>
      <c r="D8636" s="70"/>
      <c r="E8636" s="70"/>
      <c r="F8636" s="70"/>
      <c r="G8636" s="94"/>
      <c r="H8636" s="131"/>
      <c r="I8636" s="3"/>
    </row>
    <row r="8637" spans="1:9" s="93" customFormat="1" ht="9" customHeight="1" x14ac:dyDescent="0.3">
      <c r="A8637" s="91"/>
      <c r="B8637" s="70"/>
      <c r="C8637" s="70"/>
      <c r="D8637" s="70"/>
      <c r="E8637" s="70"/>
      <c r="F8637" s="70"/>
      <c r="G8637" s="94"/>
      <c r="H8637" s="131"/>
      <c r="I8637" s="3"/>
    </row>
    <row r="8638" spans="1:9" s="93" customFormat="1" ht="9" customHeight="1" x14ac:dyDescent="0.3">
      <c r="A8638" s="91"/>
      <c r="B8638" s="70"/>
      <c r="C8638" s="70"/>
      <c r="D8638" s="70"/>
      <c r="E8638" s="70"/>
      <c r="F8638" s="70"/>
      <c r="G8638" s="94"/>
      <c r="H8638" s="131"/>
      <c r="I8638" s="3"/>
    </row>
    <row r="8639" spans="1:9" s="93" customFormat="1" ht="9" customHeight="1" x14ac:dyDescent="0.3">
      <c r="A8639" s="91"/>
      <c r="B8639" s="70"/>
      <c r="C8639" s="70"/>
      <c r="D8639" s="70"/>
      <c r="E8639" s="70"/>
      <c r="F8639" s="70"/>
      <c r="G8639" s="94"/>
      <c r="H8639" s="131"/>
      <c r="I8639" s="3"/>
    </row>
    <row r="8640" spans="1:9" s="93" customFormat="1" ht="9" customHeight="1" x14ac:dyDescent="0.3">
      <c r="A8640" s="91"/>
      <c r="B8640" s="70"/>
      <c r="C8640" s="70"/>
      <c r="D8640" s="70"/>
      <c r="E8640" s="70"/>
      <c r="F8640" s="70"/>
      <c r="G8640" s="94"/>
      <c r="H8640" s="131"/>
      <c r="I8640" s="3"/>
    </row>
    <row r="8641" spans="1:9" s="93" customFormat="1" ht="9" customHeight="1" x14ac:dyDescent="0.3">
      <c r="A8641" s="91"/>
      <c r="B8641" s="70"/>
      <c r="C8641" s="70"/>
      <c r="D8641" s="70"/>
      <c r="E8641" s="70"/>
      <c r="F8641" s="70"/>
      <c r="G8641" s="94"/>
      <c r="H8641" s="131"/>
      <c r="I8641" s="3"/>
    </row>
    <row r="8642" spans="1:9" s="93" customFormat="1" ht="9" customHeight="1" x14ac:dyDescent="0.3">
      <c r="A8642" s="91"/>
      <c r="B8642" s="70"/>
      <c r="C8642" s="70"/>
      <c r="D8642" s="70"/>
      <c r="E8642" s="70"/>
      <c r="F8642" s="70"/>
      <c r="G8642" s="94"/>
      <c r="H8642" s="131"/>
      <c r="I8642" s="3"/>
    </row>
    <row r="8643" spans="1:9" s="93" customFormat="1" ht="9" customHeight="1" x14ac:dyDescent="0.3">
      <c r="A8643" s="91"/>
      <c r="B8643" s="70"/>
      <c r="C8643" s="70"/>
      <c r="D8643" s="70"/>
      <c r="E8643" s="70"/>
      <c r="F8643" s="70"/>
      <c r="G8643" s="94"/>
      <c r="H8643" s="131"/>
      <c r="I8643" s="3"/>
    </row>
    <row r="8644" spans="1:9" s="93" customFormat="1" ht="9" customHeight="1" x14ac:dyDescent="0.3">
      <c r="A8644" s="91"/>
      <c r="B8644" s="70"/>
      <c r="C8644" s="70"/>
      <c r="D8644" s="70"/>
      <c r="E8644" s="70"/>
      <c r="F8644" s="70"/>
      <c r="G8644" s="94"/>
      <c r="H8644" s="131"/>
      <c r="I8644" s="3"/>
    </row>
    <row r="8645" spans="1:9" s="93" customFormat="1" ht="9" customHeight="1" x14ac:dyDescent="0.3">
      <c r="A8645" s="91"/>
      <c r="B8645" s="70"/>
      <c r="C8645" s="70"/>
      <c r="D8645" s="70"/>
      <c r="E8645" s="70"/>
      <c r="F8645" s="70"/>
      <c r="G8645" s="94"/>
      <c r="H8645" s="131"/>
      <c r="I8645" s="3"/>
    </row>
    <row r="8646" spans="1:9" s="93" customFormat="1" ht="9" customHeight="1" x14ac:dyDescent="0.3">
      <c r="A8646" s="91"/>
      <c r="B8646" s="70"/>
      <c r="C8646" s="70"/>
      <c r="D8646" s="70"/>
      <c r="E8646" s="70"/>
      <c r="F8646" s="70"/>
      <c r="G8646" s="94"/>
      <c r="H8646" s="131"/>
      <c r="I8646" s="3"/>
    </row>
    <row r="8647" spans="1:9" s="93" customFormat="1" ht="9" customHeight="1" x14ac:dyDescent="0.3">
      <c r="A8647" s="91"/>
      <c r="B8647" s="70"/>
      <c r="C8647" s="70"/>
      <c r="D8647" s="70"/>
      <c r="E8647" s="70"/>
      <c r="F8647" s="70"/>
      <c r="G8647" s="94"/>
      <c r="H8647" s="131"/>
      <c r="I8647" s="3"/>
    </row>
    <row r="8648" spans="1:9" s="93" customFormat="1" ht="9" customHeight="1" x14ac:dyDescent="0.3">
      <c r="A8648" s="91"/>
      <c r="B8648" s="70"/>
      <c r="C8648" s="70"/>
      <c r="D8648" s="70"/>
      <c r="E8648" s="70"/>
      <c r="F8648" s="70"/>
      <c r="G8648" s="94"/>
      <c r="H8648" s="131"/>
      <c r="I8648" s="3"/>
    </row>
    <row r="8649" spans="1:9" s="93" customFormat="1" ht="9" customHeight="1" x14ac:dyDescent="0.3">
      <c r="A8649" s="91"/>
      <c r="B8649" s="70"/>
      <c r="C8649" s="70"/>
      <c r="D8649" s="70"/>
      <c r="E8649" s="70"/>
      <c r="F8649" s="70"/>
      <c r="G8649" s="94"/>
      <c r="H8649" s="131"/>
      <c r="I8649" s="3"/>
    </row>
    <row r="8650" spans="1:9" s="93" customFormat="1" ht="9" customHeight="1" x14ac:dyDescent="0.3">
      <c r="A8650" s="91"/>
      <c r="B8650" s="70"/>
      <c r="C8650" s="70"/>
      <c r="D8650" s="70"/>
      <c r="E8650" s="70"/>
      <c r="F8650" s="70"/>
      <c r="G8650" s="94"/>
      <c r="H8650" s="131"/>
      <c r="I8650" s="3"/>
    </row>
    <row r="8651" spans="1:9" s="93" customFormat="1" ht="9" customHeight="1" x14ac:dyDescent="0.3">
      <c r="A8651" s="91"/>
      <c r="B8651" s="70"/>
      <c r="C8651" s="70"/>
      <c r="D8651" s="70"/>
      <c r="E8651" s="70"/>
      <c r="F8651" s="70"/>
      <c r="G8651" s="94"/>
      <c r="H8651" s="131"/>
      <c r="I8651" s="3"/>
    </row>
    <row r="8652" spans="1:9" s="93" customFormat="1" ht="9" customHeight="1" x14ac:dyDescent="0.3">
      <c r="A8652" s="91"/>
      <c r="B8652" s="70"/>
      <c r="C8652" s="70"/>
      <c r="D8652" s="70"/>
      <c r="E8652" s="70"/>
      <c r="F8652" s="70"/>
      <c r="G8652" s="94"/>
      <c r="H8652" s="131"/>
      <c r="I8652" s="3"/>
    </row>
    <row r="8653" spans="1:9" s="93" customFormat="1" ht="9" customHeight="1" x14ac:dyDescent="0.3">
      <c r="A8653" s="91"/>
      <c r="B8653" s="70"/>
      <c r="C8653" s="70"/>
      <c r="D8653" s="70"/>
      <c r="E8653" s="70"/>
      <c r="F8653" s="70"/>
      <c r="G8653" s="94"/>
      <c r="H8653" s="131"/>
      <c r="I8653" s="3"/>
    </row>
    <row r="8654" spans="1:9" s="93" customFormat="1" ht="9" customHeight="1" x14ac:dyDescent="0.3">
      <c r="A8654" s="91"/>
      <c r="B8654" s="70"/>
      <c r="C8654" s="70"/>
      <c r="D8654" s="70"/>
      <c r="E8654" s="70"/>
      <c r="F8654" s="70"/>
      <c r="G8654" s="94"/>
      <c r="H8654" s="131"/>
      <c r="I8654" s="3"/>
    </row>
    <row r="8655" spans="1:9" s="93" customFormat="1" ht="9" customHeight="1" x14ac:dyDescent="0.3">
      <c r="A8655" s="91"/>
      <c r="B8655" s="70"/>
      <c r="C8655" s="70"/>
      <c r="D8655" s="70"/>
      <c r="E8655" s="70"/>
      <c r="F8655" s="70"/>
      <c r="G8655" s="94"/>
      <c r="H8655" s="131"/>
      <c r="I8655" s="3"/>
    </row>
    <row r="8656" spans="1:9" s="93" customFormat="1" ht="9" customHeight="1" x14ac:dyDescent="0.3">
      <c r="A8656" s="91"/>
      <c r="B8656" s="70"/>
      <c r="C8656" s="70"/>
      <c r="D8656" s="70"/>
      <c r="E8656" s="70"/>
      <c r="F8656" s="70"/>
      <c r="G8656" s="94"/>
      <c r="H8656" s="131"/>
      <c r="I8656" s="3"/>
    </row>
    <row r="8657" spans="1:9" s="93" customFormat="1" ht="9" customHeight="1" x14ac:dyDescent="0.3">
      <c r="A8657" s="91"/>
      <c r="B8657" s="70"/>
      <c r="C8657" s="70"/>
      <c r="D8657" s="70"/>
      <c r="E8657" s="70"/>
      <c r="F8657" s="70"/>
      <c r="G8657" s="94"/>
      <c r="H8657" s="131"/>
      <c r="I8657" s="3"/>
    </row>
    <row r="8658" spans="1:9" s="93" customFormat="1" ht="9" customHeight="1" x14ac:dyDescent="0.3">
      <c r="A8658" s="91"/>
      <c r="B8658" s="70"/>
      <c r="C8658" s="70"/>
      <c r="D8658" s="70"/>
      <c r="E8658" s="70"/>
      <c r="F8658" s="70"/>
      <c r="G8658" s="94"/>
      <c r="H8658" s="131"/>
      <c r="I8658" s="3"/>
    </row>
    <row r="8659" spans="1:9" s="93" customFormat="1" ht="9" customHeight="1" x14ac:dyDescent="0.3">
      <c r="A8659" s="91"/>
      <c r="B8659" s="70"/>
      <c r="C8659" s="70"/>
      <c r="D8659" s="70"/>
      <c r="E8659" s="70"/>
      <c r="F8659" s="70"/>
      <c r="G8659" s="94"/>
      <c r="H8659" s="131"/>
      <c r="I8659" s="3"/>
    </row>
    <row r="8660" spans="1:9" s="93" customFormat="1" ht="9" customHeight="1" x14ac:dyDescent="0.3">
      <c r="A8660" s="91"/>
      <c r="B8660" s="70"/>
      <c r="C8660" s="70"/>
      <c r="D8660" s="70"/>
      <c r="E8660" s="70"/>
      <c r="F8660" s="70"/>
      <c r="G8660" s="94"/>
      <c r="H8660" s="131"/>
      <c r="I8660" s="3"/>
    </row>
    <row r="8661" spans="1:9" s="93" customFormat="1" ht="9" customHeight="1" x14ac:dyDescent="0.3">
      <c r="A8661" s="91"/>
      <c r="B8661" s="70"/>
      <c r="C8661" s="70"/>
      <c r="D8661" s="70"/>
      <c r="E8661" s="70"/>
      <c r="F8661" s="70"/>
      <c r="G8661" s="94"/>
      <c r="H8661" s="131"/>
      <c r="I8661" s="3"/>
    </row>
    <row r="8662" spans="1:9" s="93" customFormat="1" ht="9" customHeight="1" x14ac:dyDescent="0.3">
      <c r="A8662" s="91"/>
      <c r="B8662" s="70"/>
      <c r="C8662" s="70"/>
      <c r="D8662" s="70"/>
      <c r="E8662" s="70"/>
      <c r="F8662" s="70"/>
      <c r="G8662" s="94"/>
      <c r="H8662" s="131"/>
      <c r="I8662" s="3"/>
    </row>
    <row r="8663" spans="1:9" s="93" customFormat="1" ht="9" customHeight="1" x14ac:dyDescent="0.3">
      <c r="A8663" s="91"/>
      <c r="B8663" s="70"/>
      <c r="C8663" s="70"/>
      <c r="D8663" s="70"/>
      <c r="E8663" s="70"/>
      <c r="F8663" s="70"/>
      <c r="G8663" s="94"/>
      <c r="H8663" s="131"/>
      <c r="I8663" s="3"/>
    </row>
    <row r="8664" spans="1:9" s="93" customFormat="1" ht="9" customHeight="1" x14ac:dyDescent="0.3">
      <c r="A8664" s="91"/>
      <c r="B8664" s="70"/>
      <c r="C8664" s="70"/>
      <c r="D8664" s="70"/>
      <c r="E8664" s="70"/>
      <c r="F8664" s="70"/>
      <c r="G8664" s="94"/>
      <c r="H8664" s="131"/>
      <c r="I8664" s="3"/>
    </row>
    <row r="8665" spans="1:9" s="93" customFormat="1" ht="9" customHeight="1" x14ac:dyDescent="0.3">
      <c r="A8665" s="91"/>
      <c r="B8665" s="70"/>
      <c r="C8665" s="70"/>
      <c r="D8665" s="70"/>
      <c r="E8665" s="70"/>
      <c r="F8665" s="70"/>
      <c r="G8665" s="94"/>
      <c r="H8665" s="131"/>
      <c r="I8665" s="3"/>
    </row>
    <row r="8666" spans="1:9" s="93" customFormat="1" ht="9" customHeight="1" x14ac:dyDescent="0.3">
      <c r="A8666" s="91"/>
      <c r="B8666" s="70"/>
      <c r="C8666" s="70"/>
      <c r="D8666" s="70"/>
      <c r="E8666" s="70"/>
      <c r="F8666" s="70"/>
      <c r="G8666" s="94"/>
      <c r="H8666" s="131"/>
      <c r="I8666" s="3"/>
    </row>
    <row r="8667" spans="1:9" s="93" customFormat="1" ht="9" customHeight="1" x14ac:dyDescent="0.3">
      <c r="A8667" s="91"/>
      <c r="B8667" s="70"/>
      <c r="C8667" s="70"/>
      <c r="D8667" s="70"/>
      <c r="E8667" s="70"/>
      <c r="F8667" s="70"/>
      <c r="G8667" s="94"/>
      <c r="H8667" s="131"/>
      <c r="I8667" s="3"/>
    </row>
    <row r="8668" spans="1:9" s="93" customFormat="1" ht="9" customHeight="1" x14ac:dyDescent="0.3">
      <c r="A8668" s="91"/>
      <c r="B8668" s="70"/>
      <c r="C8668" s="70"/>
      <c r="D8668" s="70"/>
      <c r="E8668" s="70"/>
      <c r="F8668" s="70"/>
      <c r="G8668" s="94"/>
      <c r="H8668" s="131"/>
      <c r="I8668" s="3"/>
    </row>
    <row r="8669" spans="1:9" s="93" customFormat="1" ht="9" customHeight="1" x14ac:dyDescent="0.3">
      <c r="A8669" s="91"/>
      <c r="B8669" s="70"/>
      <c r="C8669" s="70"/>
      <c r="D8669" s="70"/>
      <c r="E8669" s="70"/>
      <c r="F8669" s="70"/>
      <c r="G8669" s="94"/>
      <c r="H8669" s="131"/>
      <c r="I8669" s="3"/>
    </row>
    <row r="8670" spans="1:9" s="93" customFormat="1" ht="9" customHeight="1" x14ac:dyDescent="0.3">
      <c r="A8670" s="91"/>
      <c r="B8670" s="70"/>
      <c r="C8670" s="70"/>
      <c r="D8670" s="70"/>
      <c r="E8670" s="70"/>
      <c r="F8670" s="70"/>
      <c r="G8670" s="94"/>
      <c r="H8670" s="131"/>
      <c r="I8670" s="3"/>
    </row>
    <row r="8671" spans="1:9" s="93" customFormat="1" ht="9" customHeight="1" x14ac:dyDescent="0.3">
      <c r="A8671" s="91"/>
      <c r="B8671" s="70"/>
      <c r="C8671" s="70"/>
      <c r="D8671" s="70"/>
      <c r="E8671" s="70"/>
      <c r="F8671" s="70"/>
      <c r="G8671" s="94"/>
      <c r="H8671" s="131"/>
      <c r="I8671" s="3"/>
    </row>
    <row r="8672" spans="1:9" s="93" customFormat="1" ht="9" customHeight="1" x14ac:dyDescent="0.3">
      <c r="A8672" s="91"/>
      <c r="B8672" s="70"/>
      <c r="C8672" s="70"/>
      <c r="D8672" s="70"/>
      <c r="E8672" s="70"/>
      <c r="F8672" s="70"/>
      <c r="G8672" s="94"/>
      <c r="H8672" s="131"/>
      <c r="I8672" s="3"/>
    </row>
    <row r="8673" spans="1:9" s="93" customFormat="1" ht="9" customHeight="1" x14ac:dyDescent="0.3">
      <c r="A8673" s="91"/>
      <c r="B8673" s="70"/>
      <c r="C8673" s="70"/>
      <c r="D8673" s="70"/>
      <c r="E8673" s="70"/>
      <c r="F8673" s="70"/>
      <c r="G8673" s="94"/>
      <c r="H8673" s="131"/>
      <c r="I8673" s="3"/>
    </row>
    <row r="8674" spans="1:9" s="93" customFormat="1" ht="9" customHeight="1" x14ac:dyDescent="0.3">
      <c r="A8674" s="91"/>
      <c r="B8674" s="70"/>
      <c r="C8674" s="70"/>
      <c r="D8674" s="70"/>
      <c r="E8674" s="70"/>
      <c r="F8674" s="70"/>
      <c r="G8674" s="94"/>
      <c r="H8674" s="131"/>
      <c r="I8674" s="3"/>
    </row>
    <row r="8675" spans="1:9" s="93" customFormat="1" ht="9" customHeight="1" x14ac:dyDescent="0.3">
      <c r="A8675" s="91"/>
      <c r="B8675" s="70"/>
      <c r="C8675" s="70"/>
      <c r="D8675" s="70"/>
      <c r="E8675" s="70"/>
      <c r="F8675" s="70"/>
      <c r="G8675" s="94"/>
      <c r="H8675" s="131"/>
      <c r="I8675" s="3"/>
    </row>
    <row r="8676" spans="1:9" s="93" customFormat="1" ht="9" customHeight="1" x14ac:dyDescent="0.3">
      <c r="A8676" s="91"/>
      <c r="B8676" s="70"/>
      <c r="C8676" s="70"/>
      <c r="D8676" s="70"/>
      <c r="E8676" s="70"/>
      <c r="F8676" s="70"/>
      <c r="G8676" s="94"/>
      <c r="H8676" s="131"/>
      <c r="I8676" s="3"/>
    </row>
    <row r="8677" spans="1:9" s="93" customFormat="1" ht="9" customHeight="1" x14ac:dyDescent="0.3">
      <c r="A8677" s="91"/>
      <c r="B8677" s="70"/>
      <c r="C8677" s="70"/>
      <c r="D8677" s="70"/>
      <c r="E8677" s="70"/>
      <c r="F8677" s="70"/>
      <c r="G8677" s="94"/>
      <c r="H8677" s="131"/>
      <c r="I8677" s="3"/>
    </row>
    <row r="8678" spans="1:9" s="93" customFormat="1" ht="9" customHeight="1" x14ac:dyDescent="0.3">
      <c r="A8678" s="91"/>
      <c r="B8678" s="70"/>
      <c r="C8678" s="70"/>
      <c r="D8678" s="70"/>
      <c r="E8678" s="70"/>
      <c r="F8678" s="70"/>
      <c r="G8678" s="94"/>
      <c r="H8678" s="131"/>
      <c r="I8678" s="3"/>
    </row>
    <row r="8679" spans="1:9" s="93" customFormat="1" ht="9" customHeight="1" x14ac:dyDescent="0.3">
      <c r="A8679" s="91"/>
      <c r="B8679" s="70"/>
      <c r="C8679" s="70"/>
      <c r="D8679" s="70"/>
      <c r="E8679" s="70"/>
      <c r="F8679" s="70"/>
      <c r="G8679" s="94"/>
      <c r="H8679" s="131"/>
      <c r="I8679" s="3"/>
    </row>
    <row r="8680" spans="1:9" s="93" customFormat="1" ht="9" customHeight="1" x14ac:dyDescent="0.3">
      <c r="A8680" s="91"/>
      <c r="B8680" s="70"/>
      <c r="C8680" s="70"/>
      <c r="D8680" s="70"/>
      <c r="E8680" s="70"/>
      <c r="F8680" s="70"/>
      <c r="G8680" s="94"/>
      <c r="H8680" s="131"/>
      <c r="I8680" s="3"/>
    </row>
    <row r="8681" spans="1:9" s="93" customFormat="1" ht="9" customHeight="1" x14ac:dyDescent="0.3">
      <c r="A8681" s="91"/>
      <c r="B8681" s="70"/>
      <c r="C8681" s="70"/>
      <c r="D8681" s="70"/>
      <c r="E8681" s="70"/>
      <c r="F8681" s="70"/>
      <c r="G8681" s="94"/>
      <c r="H8681" s="131"/>
      <c r="I8681" s="3"/>
    </row>
    <row r="8682" spans="1:9" s="93" customFormat="1" ht="9" customHeight="1" x14ac:dyDescent="0.3">
      <c r="A8682" s="91"/>
      <c r="B8682" s="70"/>
      <c r="C8682" s="70"/>
      <c r="D8682" s="70"/>
      <c r="E8682" s="70"/>
      <c r="F8682" s="70"/>
      <c r="G8682" s="94"/>
      <c r="H8682" s="131"/>
      <c r="I8682" s="3"/>
    </row>
    <row r="8683" spans="1:9" s="93" customFormat="1" ht="9" customHeight="1" x14ac:dyDescent="0.3">
      <c r="A8683" s="91"/>
      <c r="B8683" s="70"/>
      <c r="C8683" s="70"/>
      <c r="D8683" s="70"/>
      <c r="E8683" s="70"/>
      <c r="F8683" s="70"/>
      <c r="G8683" s="94"/>
      <c r="H8683" s="131"/>
      <c r="I8683" s="3"/>
    </row>
    <row r="8684" spans="1:9" s="93" customFormat="1" ht="9" customHeight="1" x14ac:dyDescent="0.3">
      <c r="A8684" s="91"/>
      <c r="B8684" s="70"/>
      <c r="C8684" s="70"/>
      <c r="D8684" s="70"/>
      <c r="E8684" s="70"/>
      <c r="F8684" s="70"/>
      <c r="G8684" s="94"/>
      <c r="H8684" s="131"/>
      <c r="I8684" s="3"/>
    </row>
    <row r="8685" spans="1:9" s="93" customFormat="1" ht="9" customHeight="1" x14ac:dyDescent="0.3">
      <c r="A8685" s="91"/>
      <c r="B8685" s="70"/>
      <c r="C8685" s="70"/>
      <c r="D8685" s="70"/>
      <c r="E8685" s="70"/>
      <c r="F8685" s="70"/>
      <c r="G8685" s="94"/>
      <c r="H8685" s="131"/>
      <c r="I8685" s="3"/>
    </row>
    <row r="8686" spans="1:9" s="93" customFormat="1" ht="9" customHeight="1" x14ac:dyDescent="0.3">
      <c r="A8686" s="91"/>
      <c r="B8686" s="70"/>
      <c r="C8686" s="70"/>
      <c r="D8686" s="70"/>
      <c r="E8686" s="70"/>
      <c r="F8686" s="70"/>
      <c r="G8686" s="94"/>
      <c r="H8686" s="131"/>
      <c r="I8686" s="3"/>
    </row>
    <row r="8687" spans="1:9" s="93" customFormat="1" ht="9" customHeight="1" x14ac:dyDescent="0.3">
      <c r="A8687" s="91"/>
      <c r="B8687" s="70"/>
      <c r="C8687" s="70"/>
      <c r="D8687" s="70"/>
      <c r="E8687" s="70"/>
      <c r="F8687" s="70"/>
      <c r="G8687" s="94"/>
      <c r="H8687" s="131"/>
      <c r="I8687" s="3"/>
    </row>
    <row r="8688" spans="1:9" s="93" customFormat="1" ht="9" customHeight="1" x14ac:dyDescent="0.3">
      <c r="A8688" s="91"/>
      <c r="B8688" s="70"/>
      <c r="C8688" s="70"/>
      <c r="D8688" s="70"/>
      <c r="E8688" s="70"/>
      <c r="F8688" s="70"/>
      <c r="G8688" s="94"/>
      <c r="H8688" s="131"/>
      <c r="I8688" s="3"/>
    </row>
    <row r="8689" spans="1:9" s="93" customFormat="1" ht="9" customHeight="1" x14ac:dyDescent="0.3">
      <c r="A8689" s="91"/>
      <c r="B8689" s="70"/>
      <c r="C8689" s="70"/>
      <c r="D8689" s="70"/>
      <c r="E8689" s="70"/>
      <c r="F8689" s="70"/>
      <c r="G8689" s="94"/>
      <c r="H8689" s="131"/>
      <c r="I8689" s="3"/>
    </row>
    <row r="8690" spans="1:9" s="93" customFormat="1" ht="9" customHeight="1" x14ac:dyDescent="0.3">
      <c r="A8690" s="91"/>
      <c r="B8690" s="70"/>
      <c r="C8690" s="70"/>
      <c r="D8690" s="70"/>
      <c r="E8690" s="70"/>
      <c r="F8690" s="70"/>
      <c r="G8690" s="94"/>
      <c r="H8690" s="131"/>
      <c r="I8690" s="3"/>
    </row>
    <row r="8691" spans="1:9" s="93" customFormat="1" ht="9" customHeight="1" x14ac:dyDescent="0.3">
      <c r="A8691" s="91"/>
      <c r="B8691" s="70"/>
      <c r="C8691" s="70"/>
      <c r="D8691" s="70"/>
      <c r="E8691" s="70"/>
      <c r="F8691" s="70"/>
      <c r="G8691" s="94"/>
      <c r="H8691" s="131"/>
      <c r="I8691" s="3"/>
    </row>
    <row r="8692" spans="1:9" s="93" customFormat="1" ht="9" customHeight="1" x14ac:dyDescent="0.3">
      <c r="A8692" s="91"/>
      <c r="B8692" s="70"/>
      <c r="C8692" s="70"/>
      <c r="D8692" s="70"/>
      <c r="E8692" s="70"/>
      <c r="F8692" s="70"/>
      <c r="G8692" s="94"/>
      <c r="H8692" s="131"/>
      <c r="I8692" s="3"/>
    </row>
    <row r="8693" spans="1:9" s="93" customFormat="1" ht="9" customHeight="1" x14ac:dyDescent="0.3">
      <c r="A8693" s="91"/>
      <c r="B8693" s="70"/>
      <c r="C8693" s="70"/>
      <c r="D8693" s="70"/>
      <c r="E8693" s="70"/>
      <c r="F8693" s="70"/>
      <c r="G8693" s="94"/>
      <c r="H8693" s="131"/>
      <c r="I8693" s="3"/>
    </row>
    <row r="8694" spans="1:9" s="93" customFormat="1" ht="9" customHeight="1" x14ac:dyDescent="0.3">
      <c r="A8694" s="91"/>
      <c r="B8694" s="70"/>
      <c r="C8694" s="70"/>
      <c r="D8694" s="70"/>
      <c r="E8694" s="70"/>
      <c r="F8694" s="70"/>
      <c r="G8694" s="94"/>
      <c r="H8694" s="131"/>
      <c r="I8694" s="3"/>
    </row>
    <row r="8695" spans="1:9" s="93" customFormat="1" ht="9" customHeight="1" x14ac:dyDescent="0.3">
      <c r="A8695" s="91"/>
      <c r="B8695" s="70"/>
      <c r="C8695" s="70"/>
      <c r="D8695" s="70"/>
      <c r="E8695" s="70"/>
      <c r="F8695" s="70"/>
      <c r="G8695" s="94"/>
      <c r="H8695" s="131"/>
      <c r="I8695" s="3"/>
    </row>
    <row r="8696" spans="1:9" s="93" customFormat="1" ht="9" customHeight="1" x14ac:dyDescent="0.3">
      <c r="A8696" s="91"/>
      <c r="B8696" s="70"/>
      <c r="C8696" s="70"/>
      <c r="D8696" s="70"/>
      <c r="E8696" s="70"/>
      <c r="F8696" s="70"/>
      <c r="G8696" s="94"/>
      <c r="H8696" s="131"/>
      <c r="I8696" s="3"/>
    </row>
    <row r="8697" spans="1:9" s="93" customFormat="1" ht="9" customHeight="1" x14ac:dyDescent="0.3">
      <c r="A8697" s="91"/>
      <c r="B8697" s="70"/>
      <c r="C8697" s="70"/>
      <c r="D8697" s="70"/>
      <c r="E8697" s="70"/>
      <c r="F8697" s="70"/>
      <c r="G8697" s="94"/>
      <c r="H8697" s="131"/>
      <c r="I8697" s="3"/>
    </row>
    <row r="8698" spans="1:9" s="93" customFormat="1" ht="9" customHeight="1" x14ac:dyDescent="0.3">
      <c r="A8698" s="91"/>
      <c r="B8698" s="70"/>
      <c r="C8698" s="70"/>
      <c r="D8698" s="70"/>
      <c r="E8698" s="70"/>
      <c r="F8698" s="70"/>
      <c r="G8698" s="94"/>
      <c r="H8698" s="131"/>
      <c r="I8698" s="3"/>
    </row>
    <row r="8699" spans="1:9" s="93" customFormat="1" ht="9" customHeight="1" x14ac:dyDescent="0.3">
      <c r="A8699" s="91"/>
      <c r="B8699" s="70"/>
      <c r="C8699" s="70"/>
      <c r="D8699" s="70"/>
      <c r="E8699" s="70"/>
      <c r="F8699" s="70"/>
      <c r="G8699" s="94"/>
      <c r="H8699" s="131"/>
      <c r="I8699" s="3"/>
    </row>
    <row r="8700" spans="1:9" s="93" customFormat="1" ht="9" customHeight="1" x14ac:dyDescent="0.3">
      <c r="A8700" s="91"/>
      <c r="B8700" s="70"/>
      <c r="C8700" s="70"/>
      <c r="D8700" s="70"/>
      <c r="E8700" s="70"/>
      <c r="F8700" s="70"/>
      <c r="G8700" s="94"/>
      <c r="H8700" s="131"/>
      <c r="I8700" s="3"/>
    </row>
    <row r="8701" spans="1:9" s="93" customFormat="1" ht="9" customHeight="1" x14ac:dyDescent="0.3">
      <c r="A8701" s="91"/>
      <c r="B8701" s="70"/>
      <c r="C8701" s="70"/>
      <c r="D8701" s="70"/>
      <c r="E8701" s="70"/>
      <c r="F8701" s="70"/>
      <c r="G8701" s="94"/>
      <c r="H8701" s="131"/>
      <c r="I8701" s="3"/>
    </row>
    <row r="8702" spans="1:9" s="93" customFormat="1" ht="9" customHeight="1" x14ac:dyDescent="0.3">
      <c r="A8702" s="91"/>
      <c r="B8702" s="70"/>
      <c r="C8702" s="70"/>
      <c r="D8702" s="70"/>
      <c r="E8702" s="70"/>
      <c r="F8702" s="70"/>
      <c r="G8702" s="94"/>
      <c r="H8702" s="131"/>
      <c r="I8702" s="3"/>
    </row>
    <row r="8703" spans="1:9" s="93" customFormat="1" ht="9" customHeight="1" x14ac:dyDescent="0.3">
      <c r="A8703" s="91"/>
      <c r="B8703" s="70"/>
      <c r="C8703" s="70"/>
      <c r="D8703" s="70"/>
      <c r="E8703" s="70"/>
      <c r="F8703" s="70"/>
      <c r="G8703" s="94"/>
      <c r="H8703" s="131"/>
      <c r="I8703" s="3"/>
    </row>
    <row r="8704" spans="1:9" s="93" customFormat="1" ht="9" customHeight="1" x14ac:dyDescent="0.3">
      <c r="A8704" s="91"/>
      <c r="B8704" s="70"/>
      <c r="C8704" s="70"/>
      <c r="D8704" s="70"/>
      <c r="E8704" s="70"/>
      <c r="F8704" s="70"/>
      <c r="G8704" s="94"/>
      <c r="H8704" s="131"/>
      <c r="I8704" s="3"/>
    </row>
    <row r="8705" spans="1:9" s="93" customFormat="1" ht="9" customHeight="1" x14ac:dyDescent="0.3">
      <c r="A8705" s="91"/>
      <c r="B8705" s="70"/>
      <c r="C8705" s="70"/>
      <c r="D8705" s="70"/>
      <c r="E8705" s="70"/>
      <c r="F8705" s="70"/>
      <c r="G8705" s="94"/>
      <c r="H8705" s="131"/>
      <c r="I8705" s="3"/>
    </row>
    <row r="8706" spans="1:9" s="93" customFormat="1" ht="9" customHeight="1" x14ac:dyDescent="0.3">
      <c r="A8706" s="91"/>
      <c r="B8706" s="70"/>
      <c r="C8706" s="70"/>
      <c r="D8706" s="70"/>
      <c r="E8706" s="70"/>
      <c r="F8706" s="70"/>
      <c r="G8706" s="94"/>
      <c r="H8706" s="131"/>
      <c r="I8706" s="3"/>
    </row>
    <row r="8707" spans="1:9" s="93" customFormat="1" ht="9" customHeight="1" x14ac:dyDescent="0.3">
      <c r="A8707" s="91"/>
      <c r="B8707" s="70"/>
      <c r="C8707" s="70"/>
      <c r="D8707" s="70"/>
      <c r="E8707" s="70"/>
      <c r="F8707" s="70"/>
      <c r="G8707" s="94"/>
      <c r="H8707" s="131"/>
      <c r="I8707" s="3"/>
    </row>
    <row r="8708" spans="1:9" s="93" customFormat="1" ht="9" customHeight="1" x14ac:dyDescent="0.3">
      <c r="A8708" s="91"/>
      <c r="B8708" s="70"/>
      <c r="C8708" s="70"/>
      <c r="D8708" s="70"/>
      <c r="E8708" s="70"/>
      <c r="F8708" s="70"/>
      <c r="G8708" s="94"/>
      <c r="H8708" s="131"/>
      <c r="I8708" s="3"/>
    </row>
    <row r="8709" spans="1:9" s="93" customFormat="1" ht="9" customHeight="1" x14ac:dyDescent="0.3">
      <c r="A8709" s="91"/>
      <c r="B8709" s="70"/>
      <c r="C8709" s="70"/>
      <c r="D8709" s="70"/>
      <c r="E8709" s="70"/>
      <c r="F8709" s="70"/>
      <c r="G8709" s="94"/>
      <c r="H8709" s="131"/>
      <c r="I8709" s="3"/>
    </row>
    <row r="8710" spans="1:9" s="93" customFormat="1" ht="9" customHeight="1" x14ac:dyDescent="0.3">
      <c r="A8710" s="91"/>
      <c r="B8710" s="70"/>
      <c r="C8710" s="70"/>
      <c r="D8710" s="70"/>
      <c r="E8710" s="70"/>
      <c r="F8710" s="70"/>
      <c r="G8710" s="94"/>
      <c r="H8710" s="131"/>
      <c r="I8710" s="3"/>
    </row>
    <row r="8711" spans="1:9" s="93" customFormat="1" ht="9" customHeight="1" x14ac:dyDescent="0.3">
      <c r="A8711" s="91"/>
      <c r="B8711" s="70"/>
      <c r="C8711" s="70"/>
      <c r="D8711" s="70"/>
      <c r="E8711" s="70"/>
      <c r="F8711" s="70"/>
      <c r="G8711" s="94"/>
      <c r="H8711" s="131"/>
      <c r="I8711" s="3"/>
    </row>
    <row r="8712" spans="1:9" s="93" customFormat="1" ht="9" customHeight="1" x14ac:dyDescent="0.3">
      <c r="A8712" s="91"/>
      <c r="B8712" s="70"/>
      <c r="C8712" s="70"/>
      <c r="D8712" s="70"/>
      <c r="E8712" s="70"/>
      <c r="F8712" s="70"/>
      <c r="G8712" s="94"/>
      <c r="H8712" s="131"/>
      <c r="I8712" s="3"/>
    </row>
    <row r="8713" spans="1:9" s="93" customFormat="1" ht="9" customHeight="1" x14ac:dyDescent="0.3">
      <c r="A8713" s="91"/>
      <c r="B8713" s="70"/>
      <c r="C8713" s="70"/>
      <c r="D8713" s="70"/>
      <c r="E8713" s="70"/>
      <c r="F8713" s="70"/>
      <c r="G8713" s="94"/>
      <c r="H8713" s="131"/>
      <c r="I8713" s="3"/>
    </row>
    <row r="8714" spans="1:9" s="93" customFormat="1" ht="9" customHeight="1" x14ac:dyDescent="0.3">
      <c r="A8714" s="91"/>
      <c r="B8714" s="70"/>
      <c r="C8714" s="70"/>
      <c r="D8714" s="70"/>
      <c r="E8714" s="70"/>
      <c r="F8714" s="70"/>
      <c r="G8714" s="94"/>
      <c r="H8714" s="131"/>
      <c r="I8714" s="3"/>
    </row>
    <row r="8715" spans="1:9" s="93" customFormat="1" ht="9" customHeight="1" x14ac:dyDescent="0.3">
      <c r="A8715" s="91"/>
      <c r="B8715" s="70"/>
      <c r="C8715" s="70"/>
      <c r="D8715" s="70"/>
      <c r="E8715" s="70"/>
      <c r="F8715" s="70"/>
      <c r="G8715" s="94"/>
      <c r="H8715" s="131"/>
      <c r="I8715" s="3"/>
    </row>
    <row r="8716" spans="1:9" s="93" customFormat="1" ht="9" customHeight="1" x14ac:dyDescent="0.3">
      <c r="A8716" s="91"/>
      <c r="B8716" s="70"/>
      <c r="C8716" s="70"/>
      <c r="D8716" s="70"/>
      <c r="E8716" s="70"/>
      <c r="F8716" s="70"/>
      <c r="G8716" s="94"/>
      <c r="H8716" s="131"/>
      <c r="I8716" s="3"/>
    </row>
    <row r="8717" spans="1:9" s="93" customFormat="1" ht="9" customHeight="1" x14ac:dyDescent="0.3">
      <c r="A8717" s="91"/>
      <c r="B8717" s="70"/>
      <c r="C8717" s="70"/>
      <c r="D8717" s="70"/>
      <c r="E8717" s="70"/>
      <c r="F8717" s="70"/>
      <c r="G8717" s="94"/>
      <c r="H8717" s="131"/>
      <c r="I8717" s="3"/>
    </row>
    <row r="8718" spans="1:9" s="93" customFormat="1" ht="9" customHeight="1" x14ac:dyDescent="0.3">
      <c r="A8718" s="91"/>
      <c r="B8718" s="70"/>
      <c r="C8718" s="70"/>
      <c r="D8718" s="70"/>
      <c r="E8718" s="70"/>
      <c r="F8718" s="70"/>
      <c r="G8718" s="94"/>
      <c r="H8718" s="131"/>
      <c r="I8718" s="3"/>
    </row>
    <row r="8719" spans="1:9" s="93" customFormat="1" ht="9" customHeight="1" x14ac:dyDescent="0.3">
      <c r="A8719" s="91"/>
      <c r="B8719" s="70"/>
      <c r="C8719" s="70"/>
      <c r="D8719" s="70"/>
      <c r="E8719" s="70"/>
      <c r="F8719" s="70"/>
      <c r="G8719" s="94"/>
      <c r="H8719" s="131"/>
      <c r="I8719" s="3"/>
    </row>
    <row r="8720" spans="1:9" s="93" customFormat="1" ht="9" customHeight="1" x14ac:dyDescent="0.3">
      <c r="A8720" s="91"/>
      <c r="B8720" s="70"/>
      <c r="C8720" s="70"/>
      <c r="D8720" s="70"/>
      <c r="E8720" s="70"/>
      <c r="F8720" s="70"/>
      <c r="G8720" s="94"/>
      <c r="H8720" s="131"/>
      <c r="I8720" s="3"/>
    </row>
    <row r="8721" spans="1:9" s="93" customFormat="1" ht="9" customHeight="1" x14ac:dyDescent="0.3">
      <c r="A8721" s="91"/>
      <c r="B8721" s="70"/>
      <c r="C8721" s="70"/>
      <c r="D8721" s="70"/>
      <c r="E8721" s="70"/>
      <c r="F8721" s="70"/>
      <c r="G8721" s="94"/>
      <c r="H8721" s="131"/>
      <c r="I8721" s="3"/>
    </row>
    <row r="8722" spans="1:9" s="93" customFormat="1" ht="9" customHeight="1" x14ac:dyDescent="0.3">
      <c r="A8722" s="91"/>
      <c r="B8722" s="70"/>
      <c r="C8722" s="70"/>
      <c r="D8722" s="70"/>
      <c r="E8722" s="70"/>
      <c r="F8722" s="70"/>
      <c r="G8722" s="94"/>
      <c r="H8722" s="131"/>
      <c r="I8722" s="3"/>
    </row>
    <row r="8723" spans="1:9" s="93" customFormat="1" ht="9" customHeight="1" x14ac:dyDescent="0.3">
      <c r="A8723" s="91"/>
      <c r="B8723" s="70"/>
      <c r="C8723" s="70"/>
      <c r="D8723" s="70"/>
      <c r="E8723" s="70"/>
      <c r="F8723" s="70"/>
      <c r="G8723" s="94"/>
      <c r="H8723" s="131"/>
      <c r="I8723" s="3"/>
    </row>
    <row r="8724" spans="1:9" s="93" customFormat="1" ht="9" customHeight="1" x14ac:dyDescent="0.3">
      <c r="A8724" s="91"/>
      <c r="B8724" s="70"/>
      <c r="C8724" s="70"/>
      <c r="D8724" s="70"/>
      <c r="E8724" s="70"/>
      <c r="F8724" s="70"/>
      <c r="G8724" s="94"/>
      <c r="H8724" s="131"/>
      <c r="I8724" s="3"/>
    </row>
    <row r="8725" spans="1:9" s="93" customFormat="1" ht="9" customHeight="1" x14ac:dyDescent="0.3">
      <c r="A8725" s="91"/>
      <c r="B8725" s="70"/>
      <c r="C8725" s="70"/>
      <c r="D8725" s="70"/>
      <c r="E8725" s="70"/>
      <c r="F8725" s="70"/>
      <c r="G8725" s="94"/>
      <c r="H8725" s="131"/>
      <c r="I8725" s="3"/>
    </row>
    <row r="8726" spans="1:9" s="93" customFormat="1" ht="9" customHeight="1" x14ac:dyDescent="0.3">
      <c r="A8726" s="91"/>
      <c r="B8726" s="70"/>
      <c r="C8726" s="70"/>
      <c r="D8726" s="70"/>
      <c r="E8726" s="70"/>
      <c r="F8726" s="70"/>
      <c r="G8726" s="94"/>
      <c r="H8726" s="131"/>
      <c r="I8726" s="3"/>
    </row>
    <row r="8727" spans="1:9" s="93" customFormat="1" ht="9" customHeight="1" x14ac:dyDescent="0.3">
      <c r="A8727" s="91"/>
      <c r="B8727" s="70"/>
      <c r="C8727" s="70"/>
      <c r="D8727" s="70"/>
      <c r="E8727" s="70"/>
      <c r="F8727" s="70"/>
      <c r="G8727" s="94"/>
      <c r="H8727" s="131"/>
      <c r="I8727" s="3"/>
    </row>
    <row r="8728" spans="1:9" s="93" customFormat="1" ht="9" customHeight="1" x14ac:dyDescent="0.3">
      <c r="A8728" s="91"/>
      <c r="B8728" s="70"/>
      <c r="C8728" s="70"/>
      <c r="D8728" s="70"/>
      <c r="E8728" s="70"/>
      <c r="F8728" s="70"/>
      <c r="G8728" s="94"/>
      <c r="H8728" s="131"/>
      <c r="I8728" s="3"/>
    </row>
    <row r="8729" spans="1:9" s="93" customFormat="1" ht="9" customHeight="1" x14ac:dyDescent="0.3">
      <c r="A8729" s="91"/>
      <c r="B8729" s="70"/>
      <c r="C8729" s="70"/>
      <c r="D8729" s="70"/>
      <c r="E8729" s="70"/>
      <c r="F8729" s="70"/>
      <c r="G8729" s="94"/>
      <c r="H8729" s="131"/>
      <c r="I8729" s="3"/>
    </row>
    <row r="8730" spans="1:9" s="93" customFormat="1" ht="9" customHeight="1" x14ac:dyDescent="0.3">
      <c r="A8730" s="91"/>
      <c r="B8730" s="70"/>
      <c r="C8730" s="70"/>
      <c r="D8730" s="70"/>
      <c r="E8730" s="70"/>
      <c r="F8730" s="70"/>
      <c r="G8730" s="94"/>
      <c r="H8730" s="131"/>
      <c r="I8730" s="3"/>
    </row>
    <row r="8731" spans="1:9" s="93" customFormat="1" ht="9" customHeight="1" x14ac:dyDescent="0.3">
      <c r="A8731" s="91"/>
      <c r="B8731" s="70"/>
      <c r="C8731" s="70"/>
      <c r="D8731" s="70"/>
      <c r="E8731" s="70"/>
      <c r="F8731" s="70"/>
      <c r="G8731" s="94"/>
      <c r="H8731" s="131"/>
      <c r="I8731" s="3"/>
    </row>
    <row r="8732" spans="1:9" s="93" customFormat="1" ht="9" customHeight="1" x14ac:dyDescent="0.3">
      <c r="A8732" s="91"/>
      <c r="B8732" s="70"/>
      <c r="C8732" s="70"/>
      <c r="D8732" s="70"/>
      <c r="E8732" s="70"/>
      <c r="F8732" s="70"/>
      <c r="G8732" s="94"/>
      <c r="H8732" s="131"/>
      <c r="I8732" s="3"/>
    </row>
    <row r="8733" spans="1:9" s="93" customFormat="1" ht="9" customHeight="1" x14ac:dyDescent="0.3">
      <c r="A8733" s="91"/>
      <c r="B8733" s="70"/>
      <c r="C8733" s="70"/>
      <c r="D8733" s="70"/>
      <c r="E8733" s="70"/>
      <c r="F8733" s="70"/>
      <c r="G8733" s="94"/>
      <c r="H8733" s="131"/>
      <c r="I8733" s="3"/>
    </row>
    <row r="8734" spans="1:9" s="93" customFormat="1" ht="9" customHeight="1" x14ac:dyDescent="0.3">
      <c r="A8734" s="91"/>
      <c r="B8734" s="70"/>
      <c r="C8734" s="70"/>
      <c r="D8734" s="70"/>
      <c r="E8734" s="70"/>
      <c r="F8734" s="70"/>
      <c r="G8734" s="94"/>
      <c r="H8734" s="131"/>
      <c r="I8734" s="3"/>
    </row>
    <row r="8735" spans="1:9" s="93" customFormat="1" ht="9" customHeight="1" x14ac:dyDescent="0.3">
      <c r="A8735" s="91"/>
      <c r="B8735" s="70"/>
      <c r="C8735" s="70"/>
      <c r="D8735" s="70"/>
      <c r="E8735" s="70"/>
      <c r="F8735" s="70"/>
      <c r="G8735" s="94"/>
      <c r="H8735" s="131"/>
      <c r="I8735" s="3"/>
    </row>
    <row r="8736" spans="1:9" s="93" customFormat="1" ht="9" customHeight="1" x14ac:dyDescent="0.3">
      <c r="A8736" s="91"/>
      <c r="B8736" s="70"/>
      <c r="C8736" s="70"/>
      <c r="D8736" s="70"/>
      <c r="E8736" s="70"/>
      <c r="F8736" s="70"/>
      <c r="G8736" s="94"/>
      <c r="H8736" s="131"/>
      <c r="I8736" s="3"/>
    </row>
    <row r="8737" spans="1:9" s="93" customFormat="1" ht="9" customHeight="1" x14ac:dyDescent="0.3">
      <c r="A8737" s="91"/>
      <c r="B8737" s="70"/>
      <c r="C8737" s="70"/>
      <c r="D8737" s="70"/>
      <c r="E8737" s="70"/>
      <c r="F8737" s="70"/>
      <c r="G8737" s="94"/>
      <c r="H8737" s="131"/>
      <c r="I8737" s="3"/>
    </row>
    <row r="8738" spans="1:9" s="93" customFormat="1" ht="9" customHeight="1" x14ac:dyDescent="0.3">
      <c r="A8738" s="91"/>
      <c r="B8738" s="70"/>
      <c r="C8738" s="70"/>
      <c r="D8738" s="70"/>
      <c r="E8738" s="70"/>
      <c r="F8738" s="70"/>
      <c r="G8738" s="94"/>
      <c r="H8738" s="131"/>
      <c r="I8738" s="3"/>
    </row>
    <row r="8739" spans="1:9" s="93" customFormat="1" ht="9" customHeight="1" x14ac:dyDescent="0.3">
      <c r="A8739" s="91"/>
      <c r="B8739" s="70"/>
      <c r="C8739" s="70"/>
      <c r="D8739" s="70"/>
      <c r="E8739" s="70"/>
      <c r="F8739" s="70"/>
      <c r="G8739" s="94"/>
      <c r="H8739" s="131"/>
      <c r="I8739" s="3"/>
    </row>
    <row r="8740" spans="1:9" s="93" customFormat="1" ht="9" customHeight="1" x14ac:dyDescent="0.3">
      <c r="A8740" s="91"/>
      <c r="B8740" s="70"/>
      <c r="C8740" s="70"/>
      <c r="D8740" s="70"/>
      <c r="E8740" s="70"/>
      <c r="F8740" s="70"/>
      <c r="G8740" s="94"/>
      <c r="H8740" s="131"/>
      <c r="I8740" s="3"/>
    </row>
    <row r="8741" spans="1:9" s="93" customFormat="1" ht="9" customHeight="1" x14ac:dyDescent="0.3">
      <c r="A8741" s="91"/>
      <c r="B8741" s="70"/>
      <c r="C8741" s="70"/>
      <c r="D8741" s="70"/>
      <c r="E8741" s="70"/>
      <c r="F8741" s="70"/>
      <c r="G8741" s="94"/>
      <c r="H8741" s="131"/>
      <c r="I8741" s="3"/>
    </row>
    <row r="8742" spans="1:9" s="93" customFormat="1" ht="9" customHeight="1" x14ac:dyDescent="0.3">
      <c r="A8742" s="91"/>
      <c r="B8742" s="70"/>
      <c r="C8742" s="70"/>
      <c r="D8742" s="70"/>
      <c r="E8742" s="70"/>
      <c r="F8742" s="70"/>
      <c r="G8742" s="94"/>
      <c r="H8742" s="131"/>
      <c r="I8742" s="3"/>
    </row>
    <row r="8743" spans="1:9" s="93" customFormat="1" ht="9" customHeight="1" x14ac:dyDescent="0.3">
      <c r="A8743" s="91"/>
      <c r="B8743" s="70"/>
      <c r="C8743" s="70"/>
      <c r="D8743" s="70"/>
      <c r="E8743" s="70"/>
      <c r="F8743" s="70"/>
      <c r="G8743" s="94"/>
      <c r="H8743" s="131"/>
      <c r="I8743" s="3"/>
    </row>
    <row r="8744" spans="1:9" s="93" customFormat="1" ht="9" customHeight="1" x14ac:dyDescent="0.3">
      <c r="A8744" s="91"/>
      <c r="B8744" s="70"/>
      <c r="C8744" s="70"/>
      <c r="D8744" s="70"/>
      <c r="E8744" s="70"/>
      <c r="F8744" s="70"/>
      <c r="G8744" s="94"/>
      <c r="H8744" s="131"/>
      <c r="I8744" s="3"/>
    </row>
    <row r="8745" spans="1:9" s="93" customFormat="1" ht="9" customHeight="1" x14ac:dyDescent="0.3">
      <c r="A8745" s="91"/>
      <c r="B8745" s="70"/>
      <c r="C8745" s="70"/>
      <c r="D8745" s="70"/>
      <c r="E8745" s="70"/>
      <c r="F8745" s="70"/>
      <c r="G8745" s="94"/>
      <c r="H8745" s="131"/>
      <c r="I8745" s="3"/>
    </row>
    <row r="8746" spans="1:9" s="93" customFormat="1" ht="9" customHeight="1" x14ac:dyDescent="0.3">
      <c r="A8746" s="91"/>
      <c r="B8746" s="70"/>
      <c r="C8746" s="70"/>
      <c r="D8746" s="70"/>
      <c r="E8746" s="70"/>
      <c r="F8746" s="70"/>
      <c r="G8746" s="94"/>
      <c r="H8746" s="131"/>
      <c r="I8746" s="3"/>
    </row>
    <row r="8747" spans="1:9" s="93" customFormat="1" ht="9" customHeight="1" x14ac:dyDescent="0.3">
      <c r="A8747" s="91"/>
      <c r="B8747" s="70"/>
      <c r="C8747" s="70"/>
      <c r="D8747" s="70"/>
      <c r="E8747" s="70"/>
      <c r="F8747" s="70"/>
      <c r="G8747" s="94"/>
      <c r="H8747" s="131"/>
      <c r="I8747" s="3"/>
    </row>
    <row r="8748" spans="1:9" s="93" customFormat="1" ht="9" customHeight="1" x14ac:dyDescent="0.3">
      <c r="A8748" s="91"/>
      <c r="B8748" s="70"/>
      <c r="C8748" s="70"/>
      <c r="D8748" s="70"/>
      <c r="E8748" s="70"/>
      <c r="F8748" s="70"/>
      <c r="G8748" s="94"/>
      <c r="H8748" s="131"/>
      <c r="I8748" s="3"/>
    </row>
    <row r="8749" spans="1:9" s="93" customFormat="1" ht="9" customHeight="1" x14ac:dyDescent="0.3">
      <c r="A8749" s="91"/>
      <c r="B8749" s="70"/>
      <c r="C8749" s="70"/>
      <c r="D8749" s="70"/>
      <c r="E8749" s="70"/>
      <c r="F8749" s="70"/>
      <c r="G8749" s="94"/>
      <c r="H8749" s="131"/>
      <c r="I8749" s="3"/>
    </row>
    <row r="8750" spans="1:9" s="93" customFormat="1" ht="9" customHeight="1" x14ac:dyDescent="0.3">
      <c r="A8750" s="91"/>
      <c r="B8750" s="70"/>
      <c r="C8750" s="70"/>
      <c r="D8750" s="70"/>
      <c r="E8750" s="70"/>
      <c r="F8750" s="70"/>
      <c r="G8750" s="94"/>
      <c r="H8750" s="131"/>
      <c r="I8750" s="3"/>
    </row>
    <row r="8751" spans="1:9" s="93" customFormat="1" ht="9" customHeight="1" x14ac:dyDescent="0.3">
      <c r="A8751" s="91"/>
      <c r="B8751" s="70"/>
      <c r="C8751" s="70"/>
      <c r="D8751" s="70"/>
      <c r="E8751" s="70"/>
      <c r="F8751" s="70"/>
      <c r="G8751" s="94"/>
      <c r="H8751" s="131"/>
      <c r="I8751" s="3"/>
    </row>
    <row r="8752" spans="1:9" s="93" customFormat="1" ht="9" customHeight="1" x14ac:dyDescent="0.3">
      <c r="A8752" s="91"/>
      <c r="B8752" s="70"/>
      <c r="C8752" s="70"/>
      <c r="D8752" s="70"/>
      <c r="E8752" s="70"/>
      <c r="F8752" s="70"/>
      <c r="G8752" s="94"/>
      <c r="H8752" s="131"/>
      <c r="I8752" s="3"/>
    </row>
    <row r="8753" spans="1:9" s="93" customFormat="1" ht="9" customHeight="1" x14ac:dyDescent="0.3">
      <c r="A8753" s="91"/>
      <c r="B8753" s="70"/>
      <c r="C8753" s="70"/>
      <c r="D8753" s="70"/>
      <c r="E8753" s="70"/>
      <c r="F8753" s="70"/>
      <c r="G8753" s="94"/>
      <c r="H8753" s="131"/>
      <c r="I8753" s="3"/>
    </row>
    <row r="8754" spans="1:9" s="93" customFormat="1" ht="9" customHeight="1" x14ac:dyDescent="0.3">
      <c r="A8754" s="91"/>
      <c r="B8754" s="70"/>
      <c r="C8754" s="70"/>
      <c r="D8754" s="70"/>
      <c r="E8754" s="70"/>
      <c r="F8754" s="70"/>
      <c r="G8754" s="94"/>
      <c r="H8754" s="131"/>
      <c r="I8754" s="3"/>
    </row>
    <row r="8755" spans="1:9" s="93" customFormat="1" ht="9" customHeight="1" x14ac:dyDescent="0.3">
      <c r="A8755" s="91"/>
      <c r="B8755" s="70"/>
      <c r="C8755" s="70"/>
      <c r="D8755" s="70"/>
      <c r="E8755" s="70"/>
      <c r="F8755" s="70"/>
      <c r="G8755" s="94"/>
      <c r="H8755" s="131"/>
      <c r="I8755" s="3"/>
    </row>
    <row r="8756" spans="1:9" s="93" customFormat="1" ht="9" customHeight="1" x14ac:dyDescent="0.3">
      <c r="A8756" s="91"/>
      <c r="B8756" s="70"/>
      <c r="C8756" s="70"/>
      <c r="D8756" s="70"/>
      <c r="E8756" s="70"/>
      <c r="F8756" s="70"/>
      <c r="G8756" s="94"/>
      <c r="H8756" s="131"/>
      <c r="I8756" s="3"/>
    </row>
    <row r="8757" spans="1:9" s="93" customFormat="1" ht="9" customHeight="1" x14ac:dyDescent="0.3">
      <c r="A8757" s="91"/>
      <c r="B8757" s="70"/>
      <c r="C8757" s="70"/>
      <c r="D8757" s="70"/>
      <c r="E8757" s="70"/>
      <c r="F8757" s="70"/>
      <c r="G8757" s="94"/>
      <c r="H8757" s="131"/>
      <c r="I8757" s="3"/>
    </row>
    <row r="8758" spans="1:9" s="93" customFormat="1" ht="9" customHeight="1" x14ac:dyDescent="0.3">
      <c r="A8758" s="91"/>
      <c r="B8758" s="70"/>
      <c r="C8758" s="70"/>
      <c r="D8758" s="70"/>
      <c r="E8758" s="70"/>
      <c r="F8758" s="70"/>
      <c r="G8758" s="94"/>
      <c r="H8758" s="131"/>
      <c r="I8758" s="3"/>
    </row>
    <row r="8759" spans="1:9" s="93" customFormat="1" ht="9" customHeight="1" x14ac:dyDescent="0.3">
      <c r="A8759" s="91"/>
      <c r="B8759" s="70"/>
      <c r="C8759" s="70"/>
      <c r="D8759" s="70"/>
      <c r="E8759" s="70"/>
      <c r="F8759" s="70"/>
      <c r="G8759" s="94"/>
      <c r="H8759" s="131"/>
      <c r="I8759" s="3"/>
    </row>
    <row r="8760" spans="1:9" s="93" customFormat="1" ht="9" customHeight="1" x14ac:dyDescent="0.3">
      <c r="A8760" s="91"/>
      <c r="B8760" s="70"/>
      <c r="C8760" s="70"/>
      <c r="D8760" s="70"/>
      <c r="E8760" s="70"/>
      <c r="F8760" s="70"/>
      <c r="G8760" s="94"/>
      <c r="H8760" s="131"/>
      <c r="I8760" s="3"/>
    </row>
    <row r="8761" spans="1:9" s="93" customFormat="1" ht="9" customHeight="1" x14ac:dyDescent="0.3">
      <c r="A8761" s="91"/>
      <c r="B8761" s="70"/>
      <c r="C8761" s="70"/>
      <c r="D8761" s="70"/>
      <c r="E8761" s="70"/>
      <c r="F8761" s="70"/>
      <c r="G8761" s="94"/>
      <c r="H8761" s="131"/>
      <c r="I8761" s="3"/>
    </row>
    <row r="8762" spans="1:9" s="93" customFormat="1" ht="9" customHeight="1" x14ac:dyDescent="0.3">
      <c r="A8762" s="91"/>
      <c r="B8762" s="70"/>
      <c r="C8762" s="70"/>
      <c r="D8762" s="70"/>
      <c r="E8762" s="70"/>
      <c r="F8762" s="70"/>
      <c r="G8762" s="94"/>
      <c r="H8762" s="131"/>
      <c r="I8762" s="3"/>
    </row>
    <row r="8763" spans="1:9" s="93" customFormat="1" ht="9" customHeight="1" x14ac:dyDescent="0.3">
      <c r="A8763" s="91"/>
      <c r="B8763" s="70"/>
      <c r="C8763" s="70"/>
      <c r="D8763" s="70"/>
      <c r="E8763" s="70"/>
      <c r="F8763" s="70"/>
      <c r="G8763" s="94"/>
      <c r="H8763" s="131"/>
      <c r="I8763" s="3"/>
    </row>
    <row r="8764" spans="1:9" s="93" customFormat="1" ht="9" customHeight="1" x14ac:dyDescent="0.3">
      <c r="A8764" s="91"/>
      <c r="B8764" s="70"/>
      <c r="C8764" s="70"/>
      <c r="D8764" s="70"/>
      <c r="E8764" s="70"/>
      <c r="F8764" s="70"/>
      <c r="G8764" s="94"/>
      <c r="H8764" s="131"/>
      <c r="I8764" s="3"/>
    </row>
    <row r="8765" spans="1:9" s="93" customFormat="1" ht="9" customHeight="1" x14ac:dyDescent="0.3">
      <c r="A8765" s="91"/>
      <c r="B8765" s="70"/>
      <c r="C8765" s="70"/>
      <c r="D8765" s="70"/>
      <c r="E8765" s="70"/>
      <c r="F8765" s="70"/>
      <c r="G8765" s="94"/>
      <c r="H8765" s="131"/>
      <c r="I8765" s="3"/>
    </row>
    <row r="8766" spans="1:9" s="93" customFormat="1" ht="9" customHeight="1" x14ac:dyDescent="0.3">
      <c r="A8766" s="91"/>
      <c r="B8766" s="70"/>
      <c r="C8766" s="70"/>
      <c r="D8766" s="70"/>
      <c r="E8766" s="70"/>
      <c r="F8766" s="70"/>
      <c r="G8766" s="94"/>
      <c r="H8766" s="131"/>
      <c r="I8766" s="3"/>
    </row>
    <row r="8767" spans="1:9" s="93" customFormat="1" ht="9" customHeight="1" x14ac:dyDescent="0.3">
      <c r="A8767" s="91"/>
      <c r="B8767" s="70"/>
      <c r="C8767" s="70"/>
      <c r="D8767" s="70"/>
      <c r="E8767" s="70"/>
      <c r="F8767" s="70"/>
      <c r="G8767" s="94"/>
      <c r="H8767" s="131"/>
      <c r="I8767" s="3"/>
    </row>
    <row r="8768" spans="1:9" s="93" customFormat="1" ht="9" customHeight="1" x14ac:dyDescent="0.3">
      <c r="A8768" s="91"/>
      <c r="B8768" s="70"/>
      <c r="C8768" s="70"/>
      <c r="D8768" s="70"/>
      <c r="E8768" s="70"/>
      <c r="F8768" s="70"/>
      <c r="G8768" s="94"/>
      <c r="H8768" s="131"/>
      <c r="I8768" s="3"/>
    </row>
    <row r="8769" spans="1:9" s="93" customFormat="1" ht="9" customHeight="1" x14ac:dyDescent="0.3">
      <c r="A8769" s="91"/>
      <c r="B8769" s="70"/>
      <c r="C8769" s="70"/>
      <c r="D8769" s="70"/>
      <c r="E8769" s="70"/>
      <c r="F8769" s="70"/>
      <c r="G8769" s="94"/>
      <c r="H8769" s="131"/>
      <c r="I8769" s="3"/>
    </row>
    <row r="8770" spans="1:9" s="93" customFormat="1" ht="9" customHeight="1" x14ac:dyDescent="0.3">
      <c r="A8770" s="91"/>
      <c r="B8770" s="70"/>
      <c r="C8770" s="70"/>
      <c r="D8770" s="70"/>
      <c r="E8770" s="70"/>
      <c r="F8770" s="70"/>
      <c r="G8770" s="94"/>
      <c r="H8770" s="131"/>
      <c r="I8770" s="3"/>
    </row>
    <row r="8771" spans="1:9" s="93" customFormat="1" ht="9" customHeight="1" x14ac:dyDescent="0.3">
      <c r="A8771" s="91"/>
      <c r="B8771" s="70"/>
      <c r="C8771" s="70"/>
      <c r="D8771" s="70"/>
      <c r="E8771" s="70"/>
      <c r="F8771" s="70"/>
      <c r="G8771" s="94"/>
      <c r="H8771" s="131"/>
      <c r="I8771" s="3"/>
    </row>
    <row r="8772" spans="1:9" s="93" customFormat="1" ht="9" customHeight="1" x14ac:dyDescent="0.3">
      <c r="A8772" s="91"/>
      <c r="B8772" s="70"/>
      <c r="C8772" s="70"/>
      <c r="D8772" s="70"/>
      <c r="E8772" s="70"/>
      <c r="F8772" s="70"/>
      <c r="G8772" s="94"/>
      <c r="H8772" s="131"/>
      <c r="I8772" s="3"/>
    </row>
    <row r="8773" spans="1:9" s="93" customFormat="1" ht="9" customHeight="1" x14ac:dyDescent="0.3">
      <c r="A8773" s="91"/>
      <c r="B8773" s="70"/>
      <c r="C8773" s="70"/>
      <c r="D8773" s="70"/>
      <c r="E8773" s="70"/>
      <c r="F8773" s="70"/>
      <c r="G8773" s="94"/>
      <c r="H8773" s="131"/>
      <c r="I8773" s="3"/>
    </row>
    <row r="8774" spans="1:9" s="93" customFormat="1" ht="9" customHeight="1" x14ac:dyDescent="0.3">
      <c r="A8774" s="91"/>
      <c r="B8774" s="70"/>
      <c r="C8774" s="70"/>
      <c r="D8774" s="70"/>
      <c r="E8774" s="70"/>
      <c r="F8774" s="70"/>
      <c r="G8774" s="94"/>
      <c r="H8774" s="131"/>
      <c r="I8774" s="3"/>
    </row>
    <row r="8775" spans="1:9" s="93" customFormat="1" ht="9" customHeight="1" x14ac:dyDescent="0.3">
      <c r="A8775" s="91"/>
      <c r="B8775" s="70"/>
      <c r="C8775" s="70"/>
      <c r="D8775" s="70"/>
      <c r="E8775" s="70"/>
      <c r="F8775" s="70"/>
      <c r="G8775" s="94"/>
      <c r="H8775" s="131"/>
      <c r="I8775" s="3"/>
    </row>
    <row r="8776" spans="1:9" s="93" customFormat="1" ht="9" customHeight="1" x14ac:dyDescent="0.3">
      <c r="A8776" s="91"/>
      <c r="B8776" s="70"/>
      <c r="C8776" s="70"/>
      <c r="D8776" s="70"/>
      <c r="E8776" s="70"/>
      <c r="F8776" s="70"/>
      <c r="G8776" s="94"/>
      <c r="H8776" s="131"/>
      <c r="I8776" s="3"/>
    </row>
    <row r="8777" spans="1:9" s="93" customFormat="1" ht="9" customHeight="1" x14ac:dyDescent="0.3">
      <c r="A8777" s="91"/>
      <c r="B8777" s="70"/>
      <c r="C8777" s="70"/>
      <c r="D8777" s="70"/>
      <c r="E8777" s="70"/>
      <c r="F8777" s="70"/>
      <c r="G8777" s="94"/>
      <c r="H8777" s="131"/>
      <c r="I8777" s="3"/>
    </row>
    <row r="8778" spans="1:9" s="93" customFormat="1" ht="9" customHeight="1" x14ac:dyDescent="0.3">
      <c r="A8778" s="91"/>
      <c r="B8778" s="70"/>
      <c r="C8778" s="70"/>
      <c r="D8778" s="70"/>
      <c r="E8778" s="70"/>
      <c r="F8778" s="70"/>
      <c r="G8778" s="94"/>
      <c r="H8778" s="131"/>
      <c r="I8778" s="3"/>
    </row>
    <row r="8779" spans="1:9" s="93" customFormat="1" ht="9" customHeight="1" x14ac:dyDescent="0.3">
      <c r="A8779" s="91"/>
      <c r="B8779" s="70"/>
      <c r="C8779" s="70"/>
      <c r="D8779" s="70"/>
      <c r="E8779" s="70"/>
      <c r="F8779" s="70"/>
      <c r="G8779" s="94"/>
      <c r="H8779" s="131"/>
      <c r="I8779" s="3"/>
    </row>
    <row r="8780" spans="1:9" s="93" customFormat="1" ht="9" customHeight="1" x14ac:dyDescent="0.3">
      <c r="A8780" s="91"/>
      <c r="B8780" s="70"/>
      <c r="C8780" s="70"/>
      <c r="D8780" s="70"/>
      <c r="E8780" s="70"/>
      <c r="F8780" s="70"/>
      <c r="G8780" s="94"/>
      <c r="H8780" s="131"/>
      <c r="I8780" s="3"/>
    </row>
    <row r="8781" spans="1:9" s="93" customFormat="1" ht="9" customHeight="1" x14ac:dyDescent="0.3">
      <c r="A8781" s="91"/>
      <c r="B8781" s="70"/>
      <c r="C8781" s="70"/>
      <c r="D8781" s="70"/>
      <c r="E8781" s="70"/>
      <c r="F8781" s="70"/>
      <c r="G8781" s="94"/>
      <c r="H8781" s="131"/>
      <c r="I8781" s="3"/>
    </row>
    <row r="8782" spans="1:9" s="93" customFormat="1" ht="9" customHeight="1" x14ac:dyDescent="0.3">
      <c r="A8782" s="91"/>
      <c r="B8782" s="70"/>
      <c r="C8782" s="70"/>
      <c r="D8782" s="70"/>
      <c r="E8782" s="70"/>
      <c r="F8782" s="70"/>
      <c r="G8782" s="94"/>
      <c r="H8782" s="131"/>
      <c r="I8782" s="3"/>
    </row>
    <row r="8783" spans="1:9" s="93" customFormat="1" ht="9" customHeight="1" x14ac:dyDescent="0.3">
      <c r="A8783" s="91"/>
      <c r="B8783" s="70"/>
      <c r="C8783" s="70"/>
      <c r="D8783" s="70"/>
      <c r="E8783" s="70"/>
      <c r="F8783" s="70"/>
      <c r="G8783" s="94"/>
      <c r="H8783" s="131"/>
      <c r="I8783" s="3"/>
    </row>
    <row r="8784" spans="1:9" s="93" customFormat="1" ht="9" customHeight="1" x14ac:dyDescent="0.3">
      <c r="A8784" s="91"/>
      <c r="B8784" s="70"/>
      <c r="C8784" s="70"/>
      <c r="D8784" s="70"/>
      <c r="E8784" s="70"/>
      <c r="F8784" s="70"/>
      <c r="G8784" s="94"/>
      <c r="H8784" s="131"/>
      <c r="I8784" s="3"/>
    </row>
    <row r="8785" spans="1:9" s="93" customFormat="1" ht="9" customHeight="1" x14ac:dyDescent="0.3">
      <c r="A8785" s="91"/>
      <c r="B8785" s="70"/>
      <c r="C8785" s="70"/>
      <c r="D8785" s="70"/>
      <c r="E8785" s="70"/>
      <c r="F8785" s="70"/>
      <c r="G8785" s="94"/>
      <c r="H8785" s="131"/>
      <c r="I8785" s="3"/>
    </row>
    <row r="8786" spans="1:9" s="93" customFormat="1" ht="9" customHeight="1" x14ac:dyDescent="0.3">
      <c r="A8786" s="91"/>
      <c r="B8786" s="70"/>
      <c r="C8786" s="70"/>
      <c r="D8786" s="70"/>
      <c r="E8786" s="70"/>
      <c r="F8786" s="70"/>
      <c r="G8786" s="94"/>
      <c r="H8786" s="131"/>
      <c r="I8786" s="3"/>
    </row>
    <row r="8787" spans="1:9" s="93" customFormat="1" ht="9" customHeight="1" x14ac:dyDescent="0.3">
      <c r="A8787" s="91"/>
      <c r="B8787" s="70"/>
      <c r="C8787" s="70"/>
      <c r="D8787" s="70"/>
      <c r="E8787" s="70"/>
      <c r="F8787" s="70"/>
      <c r="G8787" s="94"/>
      <c r="H8787" s="131"/>
      <c r="I8787" s="3"/>
    </row>
    <row r="8788" spans="1:9" s="93" customFormat="1" ht="9" customHeight="1" x14ac:dyDescent="0.3">
      <c r="A8788" s="91"/>
      <c r="B8788" s="70"/>
      <c r="C8788" s="70"/>
      <c r="D8788" s="70"/>
      <c r="E8788" s="70"/>
      <c r="F8788" s="70"/>
      <c r="G8788" s="94"/>
      <c r="H8788" s="131"/>
      <c r="I8788" s="3"/>
    </row>
    <row r="8789" spans="1:9" s="93" customFormat="1" ht="9" customHeight="1" x14ac:dyDescent="0.3">
      <c r="A8789" s="91"/>
      <c r="B8789" s="70"/>
      <c r="C8789" s="70"/>
      <c r="D8789" s="70"/>
      <c r="E8789" s="70"/>
      <c r="F8789" s="70"/>
      <c r="G8789" s="94"/>
      <c r="H8789" s="131"/>
      <c r="I8789" s="3"/>
    </row>
    <row r="8790" spans="1:9" s="93" customFormat="1" ht="9" customHeight="1" x14ac:dyDescent="0.3">
      <c r="A8790" s="91"/>
      <c r="B8790" s="70"/>
      <c r="C8790" s="70"/>
      <c r="D8790" s="70"/>
      <c r="E8790" s="70"/>
      <c r="F8790" s="70"/>
      <c r="G8790" s="94"/>
      <c r="H8790" s="131"/>
      <c r="I8790" s="3"/>
    </row>
    <row r="8791" spans="1:9" s="93" customFormat="1" ht="9" customHeight="1" x14ac:dyDescent="0.3">
      <c r="A8791" s="91"/>
      <c r="B8791" s="70"/>
      <c r="C8791" s="70"/>
      <c r="D8791" s="70"/>
      <c r="E8791" s="70"/>
      <c r="F8791" s="70"/>
      <c r="G8791" s="94"/>
      <c r="H8791" s="131"/>
      <c r="I8791" s="3"/>
    </row>
    <row r="8792" spans="1:9" s="93" customFormat="1" ht="9" customHeight="1" x14ac:dyDescent="0.3">
      <c r="A8792" s="91"/>
      <c r="B8792" s="70"/>
      <c r="C8792" s="70"/>
      <c r="D8792" s="70"/>
      <c r="E8792" s="70"/>
      <c r="F8792" s="70"/>
      <c r="G8792" s="94"/>
      <c r="H8792" s="131"/>
      <c r="I8792" s="3"/>
    </row>
    <row r="8793" spans="1:9" s="93" customFormat="1" ht="9" customHeight="1" x14ac:dyDescent="0.3">
      <c r="A8793" s="91"/>
      <c r="B8793" s="70"/>
      <c r="C8793" s="70"/>
      <c r="D8793" s="70"/>
      <c r="E8793" s="70"/>
      <c r="F8793" s="70"/>
      <c r="G8793" s="94"/>
      <c r="H8793" s="131"/>
      <c r="I8793" s="3"/>
    </row>
    <row r="8794" spans="1:9" s="93" customFormat="1" ht="9" customHeight="1" x14ac:dyDescent="0.3">
      <c r="A8794" s="91"/>
      <c r="B8794" s="70"/>
      <c r="C8794" s="70"/>
      <c r="D8794" s="70"/>
      <c r="E8794" s="70"/>
      <c r="F8794" s="70"/>
      <c r="G8794" s="94"/>
      <c r="H8794" s="131"/>
      <c r="I8794" s="3"/>
    </row>
    <row r="8795" spans="1:9" s="93" customFormat="1" ht="9" customHeight="1" x14ac:dyDescent="0.3">
      <c r="A8795" s="91"/>
      <c r="B8795" s="70"/>
      <c r="C8795" s="70"/>
      <c r="D8795" s="70"/>
      <c r="E8795" s="70"/>
      <c r="F8795" s="70"/>
      <c r="G8795" s="94"/>
      <c r="H8795" s="131"/>
      <c r="I8795" s="3"/>
    </row>
    <row r="8796" spans="1:9" s="93" customFormat="1" ht="9" customHeight="1" x14ac:dyDescent="0.3">
      <c r="A8796" s="91"/>
      <c r="B8796" s="70"/>
      <c r="C8796" s="70"/>
      <c r="D8796" s="70"/>
      <c r="E8796" s="70"/>
      <c r="F8796" s="70"/>
      <c r="G8796" s="94"/>
      <c r="H8796" s="131"/>
      <c r="I8796" s="3"/>
    </row>
    <row r="8797" spans="1:9" s="93" customFormat="1" ht="9" customHeight="1" x14ac:dyDescent="0.3">
      <c r="A8797" s="91"/>
      <c r="B8797" s="70"/>
      <c r="C8797" s="70"/>
      <c r="D8797" s="70"/>
      <c r="E8797" s="70"/>
      <c r="F8797" s="70"/>
      <c r="G8797" s="94"/>
      <c r="H8797" s="131"/>
      <c r="I8797" s="3"/>
    </row>
    <row r="8798" spans="1:9" s="93" customFormat="1" ht="9" customHeight="1" x14ac:dyDescent="0.3">
      <c r="A8798" s="91"/>
      <c r="B8798" s="70"/>
      <c r="C8798" s="70"/>
      <c r="D8798" s="70"/>
      <c r="E8798" s="70"/>
      <c r="F8798" s="70"/>
      <c r="G8798" s="94"/>
      <c r="H8798" s="131"/>
      <c r="I8798" s="3"/>
    </row>
    <row r="8799" spans="1:9" s="93" customFormat="1" ht="9" customHeight="1" x14ac:dyDescent="0.3">
      <c r="A8799" s="91"/>
      <c r="B8799" s="70"/>
      <c r="C8799" s="70"/>
      <c r="D8799" s="70"/>
      <c r="E8799" s="70"/>
      <c r="F8799" s="70"/>
      <c r="G8799" s="94"/>
      <c r="H8799" s="131"/>
      <c r="I8799" s="3"/>
    </row>
    <row r="8800" spans="1:9" s="93" customFormat="1" ht="9" customHeight="1" x14ac:dyDescent="0.3">
      <c r="A8800" s="91"/>
      <c r="B8800" s="70"/>
      <c r="C8800" s="70"/>
      <c r="D8800" s="70"/>
      <c r="E8800" s="70"/>
      <c r="F8800" s="70"/>
      <c r="G8800" s="94"/>
      <c r="H8800" s="131"/>
      <c r="I8800" s="3"/>
    </row>
    <row r="8801" spans="1:9" s="93" customFormat="1" ht="9" customHeight="1" x14ac:dyDescent="0.3">
      <c r="A8801" s="91"/>
      <c r="B8801" s="70"/>
      <c r="C8801" s="70"/>
      <c r="D8801" s="70"/>
      <c r="E8801" s="70"/>
      <c r="F8801" s="70"/>
      <c r="G8801" s="94"/>
      <c r="H8801" s="131"/>
      <c r="I8801" s="3"/>
    </row>
    <row r="8802" spans="1:9" s="93" customFormat="1" ht="9" customHeight="1" x14ac:dyDescent="0.3">
      <c r="A8802" s="91"/>
      <c r="B8802" s="70"/>
      <c r="C8802" s="70"/>
      <c r="D8802" s="70"/>
      <c r="E8802" s="70"/>
      <c r="F8802" s="70"/>
      <c r="G8802" s="94"/>
      <c r="H8802" s="131"/>
      <c r="I8802" s="3"/>
    </row>
    <row r="8803" spans="1:9" s="93" customFormat="1" ht="9" customHeight="1" x14ac:dyDescent="0.3">
      <c r="A8803" s="91"/>
      <c r="B8803" s="70"/>
      <c r="C8803" s="70"/>
      <c r="D8803" s="70"/>
      <c r="E8803" s="70"/>
      <c r="F8803" s="70"/>
      <c r="G8803" s="94"/>
      <c r="H8803" s="131"/>
      <c r="I8803" s="3"/>
    </row>
    <row r="8804" spans="1:9" s="93" customFormat="1" ht="9" customHeight="1" x14ac:dyDescent="0.3">
      <c r="A8804" s="91"/>
      <c r="B8804" s="70"/>
      <c r="C8804" s="70"/>
      <c r="D8804" s="70"/>
      <c r="E8804" s="70"/>
      <c r="F8804" s="70"/>
      <c r="G8804" s="94"/>
      <c r="H8804" s="131"/>
      <c r="I8804" s="3"/>
    </row>
    <row r="8805" spans="1:9" s="93" customFormat="1" ht="9" customHeight="1" x14ac:dyDescent="0.3">
      <c r="A8805" s="91"/>
      <c r="B8805" s="70"/>
      <c r="C8805" s="70"/>
      <c r="D8805" s="70"/>
      <c r="E8805" s="70"/>
      <c r="F8805" s="70"/>
      <c r="G8805" s="94"/>
      <c r="H8805" s="131"/>
      <c r="I8805" s="3"/>
    </row>
    <row r="8806" spans="1:9" s="93" customFormat="1" ht="9" customHeight="1" x14ac:dyDescent="0.3">
      <c r="A8806" s="91"/>
      <c r="B8806" s="70"/>
      <c r="C8806" s="70"/>
      <c r="D8806" s="70"/>
      <c r="E8806" s="70"/>
      <c r="F8806" s="70"/>
      <c r="G8806" s="94"/>
      <c r="H8806" s="131"/>
      <c r="I8806" s="3"/>
    </row>
    <row r="8807" spans="1:9" s="93" customFormat="1" ht="9" customHeight="1" x14ac:dyDescent="0.3">
      <c r="A8807" s="91"/>
      <c r="B8807" s="70"/>
      <c r="C8807" s="70"/>
      <c r="D8807" s="70"/>
      <c r="E8807" s="70"/>
      <c r="F8807" s="70"/>
      <c r="G8807" s="94"/>
      <c r="H8807" s="131"/>
      <c r="I8807" s="3"/>
    </row>
    <row r="8808" spans="1:9" s="93" customFormat="1" ht="9" customHeight="1" x14ac:dyDescent="0.3">
      <c r="A8808" s="91"/>
      <c r="B8808" s="70"/>
      <c r="C8808" s="70"/>
      <c r="D8808" s="70"/>
      <c r="E8808" s="70"/>
      <c r="F8808" s="70"/>
      <c r="G8808" s="94"/>
      <c r="H8808" s="131"/>
      <c r="I8808" s="3"/>
    </row>
    <row r="8809" spans="1:9" s="93" customFormat="1" ht="9" customHeight="1" x14ac:dyDescent="0.3">
      <c r="A8809" s="91"/>
      <c r="B8809" s="70"/>
      <c r="C8809" s="70"/>
      <c r="D8809" s="70"/>
      <c r="E8809" s="70"/>
      <c r="F8809" s="70"/>
      <c r="G8809" s="94"/>
      <c r="H8809" s="131"/>
      <c r="I8809" s="3"/>
    </row>
    <row r="8810" spans="1:9" s="93" customFormat="1" ht="9" customHeight="1" x14ac:dyDescent="0.3">
      <c r="A8810" s="91"/>
      <c r="B8810" s="70"/>
      <c r="C8810" s="70"/>
      <c r="D8810" s="70"/>
      <c r="E8810" s="70"/>
      <c r="F8810" s="70"/>
      <c r="G8810" s="94"/>
      <c r="H8810" s="131"/>
      <c r="I8810" s="3"/>
    </row>
    <row r="8811" spans="1:9" s="93" customFormat="1" ht="9" customHeight="1" x14ac:dyDescent="0.3">
      <c r="A8811" s="91"/>
      <c r="B8811" s="70"/>
      <c r="C8811" s="70"/>
      <c r="D8811" s="70"/>
      <c r="E8811" s="70"/>
      <c r="F8811" s="70"/>
      <c r="G8811" s="94"/>
      <c r="H8811" s="131"/>
      <c r="I8811" s="3"/>
    </row>
    <row r="8812" spans="1:9" s="93" customFormat="1" ht="9" customHeight="1" x14ac:dyDescent="0.3">
      <c r="A8812" s="91"/>
      <c r="B8812" s="70"/>
      <c r="C8812" s="70"/>
      <c r="D8812" s="70"/>
      <c r="E8812" s="70"/>
      <c r="F8812" s="70"/>
      <c r="G8812" s="94"/>
      <c r="H8812" s="131"/>
      <c r="I8812" s="3"/>
    </row>
    <row r="8813" spans="1:9" s="93" customFormat="1" ht="9" customHeight="1" x14ac:dyDescent="0.3">
      <c r="A8813" s="91"/>
      <c r="B8813" s="70"/>
      <c r="C8813" s="70"/>
      <c r="D8813" s="70"/>
      <c r="E8813" s="70"/>
      <c r="F8813" s="70"/>
      <c r="G8813" s="94"/>
      <c r="H8813" s="131"/>
      <c r="I8813" s="3"/>
    </row>
    <row r="8814" spans="1:9" s="93" customFormat="1" ht="9" customHeight="1" x14ac:dyDescent="0.3">
      <c r="A8814" s="91"/>
      <c r="B8814" s="70"/>
      <c r="C8814" s="70"/>
      <c r="D8814" s="70"/>
      <c r="E8814" s="70"/>
      <c r="F8814" s="70"/>
      <c r="G8814" s="94"/>
      <c r="H8814" s="131"/>
      <c r="I8814" s="3"/>
    </row>
    <row r="8815" spans="1:9" s="93" customFormat="1" ht="9" customHeight="1" x14ac:dyDescent="0.3">
      <c r="A8815" s="91"/>
      <c r="B8815" s="70"/>
      <c r="C8815" s="70"/>
      <c r="D8815" s="70"/>
      <c r="E8815" s="70"/>
      <c r="F8815" s="70"/>
      <c r="G8815" s="94"/>
      <c r="H8815" s="131"/>
      <c r="I8815" s="3"/>
    </row>
    <row r="8816" spans="1:9" s="93" customFormat="1" ht="9" customHeight="1" x14ac:dyDescent="0.3">
      <c r="A8816" s="91"/>
      <c r="B8816" s="70"/>
      <c r="C8816" s="70"/>
      <c r="D8816" s="70"/>
      <c r="E8816" s="70"/>
      <c r="F8816" s="70"/>
      <c r="G8816" s="94"/>
      <c r="H8816" s="131"/>
      <c r="I8816" s="3"/>
    </row>
    <row r="8817" spans="1:9" s="93" customFormat="1" ht="9" customHeight="1" x14ac:dyDescent="0.3">
      <c r="A8817" s="91"/>
      <c r="B8817" s="70"/>
      <c r="C8817" s="70"/>
      <c r="D8817" s="70"/>
      <c r="E8817" s="70"/>
      <c r="F8817" s="70"/>
      <c r="G8817" s="94"/>
      <c r="H8817" s="131"/>
      <c r="I8817" s="3"/>
    </row>
    <row r="8818" spans="1:9" s="93" customFormat="1" ht="9" customHeight="1" x14ac:dyDescent="0.3">
      <c r="A8818" s="91"/>
      <c r="B8818" s="70"/>
      <c r="C8818" s="70"/>
      <c r="D8818" s="70"/>
      <c r="E8818" s="70"/>
      <c r="F8818" s="70"/>
      <c r="G8818" s="94"/>
      <c r="H8818" s="131"/>
      <c r="I8818" s="3"/>
    </row>
    <row r="8819" spans="1:9" s="93" customFormat="1" ht="9" customHeight="1" x14ac:dyDescent="0.3">
      <c r="A8819" s="91"/>
      <c r="B8819" s="70"/>
      <c r="C8819" s="70"/>
      <c r="D8819" s="70"/>
      <c r="E8819" s="70"/>
      <c r="F8819" s="70"/>
      <c r="G8819" s="94"/>
      <c r="H8819" s="131"/>
      <c r="I8819" s="3"/>
    </row>
    <row r="8820" spans="1:9" s="93" customFormat="1" ht="9" customHeight="1" x14ac:dyDescent="0.3">
      <c r="A8820" s="91"/>
      <c r="B8820" s="70"/>
      <c r="C8820" s="70"/>
      <c r="D8820" s="70"/>
      <c r="E8820" s="70"/>
      <c r="F8820" s="70"/>
      <c r="G8820" s="94"/>
      <c r="H8820" s="131"/>
      <c r="I8820" s="3"/>
    </row>
    <row r="8821" spans="1:9" s="93" customFormat="1" ht="9" customHeight="1" x14ac:dyDescent="0.3">
      <c r="A8821" s="91"/>
      <c r="B8821" s="70"/>
      <c r="C8821" s="70"/>
      <c r="D8821" s="70"/>
      <c r="E8821" s="70"/>
      <c r="F8821" s="70"/>
      <c r="G8821" s="94"/>
      <c r="H8821" s="131"/>
      <c r="I8821" s="3"/>
    </row>
    <row r="8822" spans="1:9" s="93" customFormat="1" ht="9" customHeight="1" x14ac:dyDescent="0.3">
      <c r="A8822" s="91"/>
      <c r="B8822" s="70"/>
      <c r="C8822" s="70"/>
      <c r="D8822" s="70"/>
      <c r="E8822" s="70"/>
      <c r="F8822" s="70"/>
      <c r="G8822" s="94"/>
      <c r="H8822" s="131"/>
      <c r="I8822" s="3"/>
    </row>
    <row r="8823" spans="1:9" s="93" customFormat="1" ht="9" customHeight="1" x14ac:dyDescent="0.3">
      <c r="A8823" s="91"/>
      <c r="B8823" s="70"/>
      <c r="C8823" s="70"/>
      <c r="D8823" s="70"/>
      <c r="E8823" s="70"/>
      <c r="F8823" s="70"/>
      <c r="G8823" s="94"/>
      <c r="H8823" s="131"/>
      <c r="I8823" s="3"/>
    </row>
    <row r="8824" spans="1:9" s="93" customFormat="1" ht="9" customHeight="1" x14ac:dyDescent="0.3">
      <c r="A8824" s="91"/>
      <c r="B8824" s="70"/>
      <c r="C8824" s="70"/>
      <c r="D8824" s="70"/>
      <c r="E8824" s="70"/>
      <c r="F8824" s="70"/>
      <c r="G8824" s="94"/>
      <c r="H8824" s="131"/>
      <c r="I8824" s="3"/>
    </row>
    <row r="8825" spans="1:9" s="93" customFormat="1" ht="9" customHeight="1" x14ac:dyDescent="0.3">
      <c r="A8825" s="91"/>
      <c r="B8825" s="70"/>
      <c r="C8825" s="70"/>
      <c r="D8825" s="70"/>
      <c r="E8825" s="70"/>
      <c r="F8825" s="70"/>
      <c r="G8825" s="94"/>
      <c r="H8825" s="131"/>
      <c r="I8825" s="3"/>
    </row>
    <row r="8826" spans="1:9" s="93" customFormat="1" ht="9" customHeight="1" x14ac:dyDescent="0.3">
      <c r="A8826" s="91"/>
      <c r="B8826" s="70"/>
      <c r="C8826" s="70"/>
      <c r="D8826" s="70"/>
      <c r="E8826" s="70"/>
      <c r="F8826" s="70"/>
      <c r="G8826" s="94"/>
      <c r="H8826" s="131"/>
      <c r="I8826" s="3"/>
    </row>
    <row r="8827" spans="1:9" s="93" customFormat="1" ht="9" customHeight="1" x14ac:dyDescent="0.3">
      <c r="A8827" s="91"/>
      <c r="B8827" s="70"/>
      <c r="C8827" s="70"/>
      <c r="D8827" s="70"/>
      <c r="E8827" s="70"/>
      <c r="F8827" s="70"/>
      <c r="G8827" s="94"/>
      <c r="H8827" s="131"/>
      <c r="I8827" s="3"/>
    </row>
    <row r="8828" spans="1:9" s="93" customFormat="1" ht="9" customHeight="1" x14ac:dyDescent="0.3">
      <c r="A8828" s="91"/>
      <c r="B8828" s="70"/>
      <c r="C8828" s="70"/>
      <c r="D8828" s="70"/>
      <c r="E8828" s="70"/>
      <c r="F8828" s="70"/>
      <c r="G8828" s="94"/>
      <c r="H8828" s="131"/>
      <c r="I8828" s="3"/>
    </row>
    <row r="8829" spans="1:9" s="93" customFormat="1" ht="9" customHeight="1" x14ac:dyDescent="0.3">
      <c r="A8829" s="91"/>
      <c r="B8829" s="70"/>
      <c r="C8829" s="70"/>
      <c r="D8829" s="70"/>
      <c r="E8829" s="70"/>
      <c r="F8829" s="70"/>
      <c r="G8829" s="94"/>
      <c r="H8829" s="131"/>
      <c r="I8829" s="3"/>
    </row>
    <row r="8830" spans="1:9" s="93" customFormat="1" ht="9" customHeight="1" x14ac:dyDescent="0.3">
      <c r="A8830" s="91"/>
      <c r="B8830" s="70"/>
      <c r="C8830" s="70"/>
      <c r="D8830" s="70"/>
      <c r="E8830" s="70"/>
      <c r="F8830" s="70"/>
      <c r="G8830" s="94"/>
      <c r="H8830" s="131"/>
      <c r="I8830" s="3"/>
    </row>
    <row r="8831" spans="1:9" s="93" customFormat="1" ht="9" customHeight="1" x14ac:dyDescent="0.3">
      <c r="A8831" s="91"/>
      <c r="B8831" s="70"/>
      <c r="C8831" s="70"/>
      <c r="D8831" s="70"/>
      <c r="E8831" s="70"/>
      <c r="F8831" s="70"/>
      <c r="G8831" s="94"/>
      <c r="H8831" s="131"/>
      <c r="I8831" s="3"/>
    </row>
    <row r="8832" spans="1:9" s="93" customFormat="1" ht="9" customHeight="1" x14ac:dyDescent="0.3">
      <c r="A8832" s="91"/>
      <c r="B8832" s="70"/>
      <c r="C8832" s="70"/>
      <c r="D8832" s="70"/>
      <c r="E8832" s="70"/>
      <c r="F8832" s="70"/>
      <c r="G8832" s="94"/>
      <c r="H8832" s="131"/>
      <c r="I8832" s="3"/>
    </row>
    <row r="8833" spans="1:9" s="93" customFormat="1" ht="9" customHeight="1" x14ac:dyDescent="0.3">
      <c r="A8833" s="91"/>
      <c r="B8833" s="70"/>
      <c r="C8833" s="70"/>
      <c r="D8833" s="70"/>
      <c r="E8833" s="70"/>
      <c r="F8833" s="70"/>
      <c r="G8833" s="94"/>
      <c r="H8833" s="131"/>
      <c r="I8833" s="3"/>
    </row>
    <row r="8834" spans="1:9" s="93" customFormat="1" ht="9" customHeight="1" x14ac:dyDescent="0.3">
      <c r="A8834" s="91"/>
      <c r="B8834" s="70"/>
      <c r="C8834" s="70"/>
      <c r="D8834" s="70"/>
      <c r="E8834" s="70"/>
      <c r="F8834" s="70"/>
      <c r="G8834" s="94"/>
      <c r="H8834" s="131"/>
      <c r="I8834" s="3"/>
    </row>
    <row r="8835" spans="1:9" s="93" customFormat="1" ht="9" customHeight="1" x14ac:dyDescent="0.3">
      <c r="A8835" s="91"/>
      <c r="B8835" s="70"/>
      <c r="C8835" s="70"/>
      <c r="D8835" s="70"/>
      <c r="E8835" s="70"/>
      <c r="F8835" s="70"/>
      <c r="G8835" s="94"/>
      <c r="H8835" s="131"/>
      <c r="I8835" s="3"/>
    </row>
    <row r="8836" spans="1:9" s="93" customFormat="1" ht="9" customHeight="1" x14ac:dyDescent="0.3">
      <c r="A8836" s="91"/>
      <c r="B8836" s="70"/>
      <c r="C8836" s="70"/>
      <c r="D8836" s="70"/>
      <c r="E8836" s="70"/>
      <c r="F8836" s="70"/>
      <c r="G8836" s="94"/>
      <c r="H8836" s="131"/>
      <c r="I8836" s="3"/>
    </row>
    <row r="8837" spans="1:9" s="93" customFormat="1" ht="9" customHeight="1" x14ac:dyDescent="0.3">
      <c r="A8837" s="91"/>
      <c r="B8837" s="70"/>
      <c r="C8837" s="70"/>
      <c r="D8837" s="70"/>
      <c r="E8837" s="70"/>
      <c r="F8837" s="70"/>
      <c r="G8837" s="94"/>
      <c r="H8837" s="131"/>
      <c r="I8837" s="3"/>
    </row>
    <row r="8838" spans="1:9" s="93" customFormat="1" ht="9" customHeight="1" x14ac:dyDescent="0.3">
      <c r="A8838" s="91"/>
      <c r="B8838" s="70"/>
      <c r="C8838" s="70"/>
      <c r="D8838" s="70"/>
      <c r="E8838" s="70"/>
      <c r="F8838" s="70"/>
      <c r="G8838" s="94"/>
      <c r="H8838" s="131"/>
      <c r="I8838" s="3"/>
    </row>
    <row r="8839" spans="1:9" s="93" customFormat="1" ht="9" customHeight="1" x14ac:dyDescent="0.3">
      <c r="A8839" s="91"/>
      <c r="B8839" s="70"/>
      <c r="C8839" s="70"/>
      <c r="D8839" s="70"/>
      <c r="E8839" s="70"/>
      <c r="F8839" s="70"/>
      <c r="G8839" s="94"/>
      <c r="H8839" s="131"/>
      <c r="I8839" s="3"/>
    </row>
    <row r="8840" spans="1:9" s="93" customFormat="1" ht="9" customHeight="1" x14ac:dyDescent="0.3">
      <c r="A8840" s="91"/>
      <c r="B8840" s="70"/>
      <c r="C8840" s="70"/>
      <c r="D8840" s="70"/>
      <c r="E8840" s="70"/>
      <c r="F8840" s="70"/>
      <c r="G8840" s="94"/>
      <c r="H8840" s="131"/>
      <c r="I8840" s="3"/>
    </row>
    <row r="8841" spans="1:9" s="93" customFormat="1" ht="9" customHeight="1" x14ac:dyDescent="0.3">
      <c r="A8841" s="91"/>
      <c r="B8841" s="70"/>
      <c r="C8841" s="70"/>
      <c r="D8841" s="70"/>
      <c r="E8841" s="70"/>
      <c r="F8841" s="70"/>
      <c r="G8841" s="94"/>
      <c r="H8841" s="131"/>
      <c r="I8841" s="3"/>
    </row>
    <row r="8842" spans="1:9" s="93" customFormat="1" ht="9" customHeight="1" x14ac:dyDescent="0.3">
      <c r="A8842" s="91"/>
      <c r="B8842" s="70"/>
      <c r="C8842" s="70"/>
      <c r="D8842" s="70"/>
      <c r="E8842" s="70"/>
      <c r="F8842" s="70"/>
      <c r="G8842" s="94"/>
      <c r="H8842" s="131"/>
      <c r="I8842" s="3"/>
    </row>
    <row r="8843" spans="1:9" s="93" customFormat="1" ht="9" customHeight="1" x14ac:dyDescent="0.3">
      <c r="A8843" s="91"/>
      <c r="B8843" s="70"/>
      <c r="C8843" s="70"/>
      <c r="D8843" s="70"/>
      <c r="E8843" s="70"/>
      <c r="F8843" s="70"/>
      <c r="G8843" s="94"/>
      <c r="H8843" s="131"/>
      <c r="I8843" s="3"/>
    </row>
    <row r="8844" spans="1:9" s="93" customFormat="1" ht="9" customHeight="1" x14ac:dyDescent="0.3">
      <c r="A8844" s="91"/>
      <c r="B8844" s="70"/>
      <c r="C8844" s="70"/>
      <c r="D8844" s="70"/>
      <c r="E8844" s="70"/>
      <c r="F8844" s="70"/>
      <c r="G8844" s="94"/>
      <c r="H8844" s="131"/>
      <c r="I8844" s="3"/>
    </row>
    <row r="8845" spans="1:9" s="93" customFormat="1" ht="9" customHeight="1" x14ac:dyDescent="0.3">
      <c r="A8845" s="91"/>
      <c r="B8845" s="70"/>
      <c r="C8845" s="70"/>
      <c r="D8845" s="70"/>
      <c r="E8845" s="70"/>
      <c r="F8845" s="70"/>
      <c r="G8845" s="94"/>
      <c r="H8845" s="131"/>
      <c r="I8845" s="3"/>
    </row>
    <row r="8846" spans="1:9" s="93" customFormat="1" ht="9" customHeight="1" x14ac:dyDescent="0.3">
      <c r="A8846" s="91"/>
      <c r="B8846" s="70"/>
      <c r="C8846" s="70"/>
      <c r="D8846" s="70"/>
      <c r="E8846" s="70"/>
      <c r="F8846" s="70"/>
      <c r="G8846" s="94"/>
      <c r="H8846" s="131"/>
      <c r="I8846" s="3"/>
    </row>
    <row r="8847" spans="1:9" s="93" customFormat="1" ht="9" customHeight="1" x14ac:dyDescent="0.3">
      <c r="A8847" s="91"/>
      <c r="B8847" s="70"/>
      <c r="C8847" s="70"/>
      <c r="D8847" s="70"/>
      <c r="E8847" s="70"/>
      <c r="F8847" s="70"/>
      <c r="G8847" s="94"/>
      <c r="H8847" s="131"/>
      <c r="I8847" s="3"/>
    </row>
    <row r="8848" spans="1:9" s="93" customFormat="1" ht="9" customHeight="1" x14ac:dyDescent="0.3">
      <c r="A8848" s="91"/>
      <c r="B8848" s="70"/>
      <c r="C8848" s="70"/>
      <c r="D8848" s="70"/>
      <c r="E8848" s="70"/>
      <c r="F8848" s="70"/>
      <c r="G8848" s="94"/>
      <c r="H8848" s="131"/>
      <c r="I8848" s="3"/>
    </row>
    <row r="8849" spans="1:9" s="93" customFormat="1" ht="9" customHeight="1" x14ac:dyDescent="0.3">
      <c r="A8849" s="91"/>
      <c r="B8849" s="70"/>
      <c r="C8849" s="70"/>
      <c r="D8849" s="70"/>
      <c r="E8849" s="70"/>
      <c r="F8849" s="70"/>
      <c r="G8849" s="94"/>
      <c r="H8849" s="131"/>
      <c r="I8849" s="3"/>
    </row>
    <row r="8850" spans="1:9" s="93" customFormat="1" ht="9" customHeight="1" x14ac:dyDescent="0.3">
      <c r="A8850" s="91"/>
      <c r="B8850" s="70"/>
      <c r="C8850" s="70"/>
      <c r="D8850" s="70"/>
      <c r="E8850" s="70"/>
      <c r="F8850" s="70"/>
      <c r="G8850" s="94"/>
      <c r="H8850" s="131"/>
      <c r="I8850" s="3"/>
    </row>
    <row r="8851" spans="1:9" s="93" customFormat="1" ht="9" customHeight="1" x14ac:dyDescent="0.3">
      <c r="A8851" s="91"/>
      <c r="B8851" s="70"/>
      <c r="C8851" s="70"/>
      <c r="D8851" s="70"/>
      <c r="E8851" s="70"/>
      <c r="F8851" s="70"/>
      <c r="G8851" s="94"/>
      <c r="H8851" s="131"/>
      <c r="I8851" s="3"/>
    </row>
    <row r="8852" spans="1:9" s="93" customFormat="1" ht="9" customHeight="1" x14ac:dyDescent="0.3">
      <c r="A8852" s="91"/>
      <c r="B8852" s="70"/>
      <c r="C8852" s="70"/>
      <c r="D8852" s="70"/>
      <c r="E8852" s="70"/>
      <c r="F8852" s="70"/>
      <c r="G8852" s="94"/>
      <c r="H8852" s="131"/>
      <c r="I8852" s="3"/>
    </row>
    <row r="8853" spans="1:9" s="93" customFormat="1" ht="9" customHeight="1" x14ac:dyDescent="0.3">
      <c r="A8853" s="91"/>
      <c r="B8853" s="70"/>
      <c r="C8853" s="70"/>
      <c r="D8853" s="70"/>
      <c r="E8853" s="70"/>
      <c r="F8853" s="70"/>
      <c r="G8853" s="94"/>
      <c r="H8853" s="131"/>
      <c r="I8853" s="3"/>
    </row>
    <row r="8854" spans="1:9" s="93" customFormat="1" ht="9" customHeight="1" x14ac:dyDescent="0.3">
      <c r="A8854" s="91"/>
      <c r="B8854" s="70"/>
      <c r="C8854" s="70"/>
      <c r="D8854" s="70"/>
      <c r="E8854" s="70"/>
      <c r="F8854" s="70"/>
      <c r="G8854" s="94"/>
      <c r="H8854" s="131"/>
      <c r="I8854" s="3"/>
    </row>
    <row r="8855" spans="1:9" s="93" customFormat="1" ht="9" customHeight="1" x14ac:dyDescent="0.3">
      <c r="A8855" s="91"/>
      <c r="B8855" s="70"/>
      <c r="C8855" s="70"/>
      <c r="D8855" s="70"/>
      <c r="E8855" s="70"/>
      <c r="F8855" s="70"/>
      <c r="G8855" s="94"/>
      <c r="H8855" s="131"/>
      <c r="I8855" s="3"/>
    </row>
    <row r="8856" spans="1:9" s="93" customFormat="1" ht="9" customHeight="1" x14ac:dyDescent="0.3">
      <c r="A8856" s="91"/>
      <c r="B8856" s="70"/>
      <c r="C8856" s="70"/>
      <c r="D8856" s="70"/>
      <c r="E8856" s="70"/>
      <c r="F8856" s="70"/>
      <c r="G8856" s="94"/>
      <c r="H8856" s="131"/>
      <c r="I8856" s="3"/>
    </row>
    <row r="8857" spans="1:9" s="93" customFormat="1" ht="9" customHeight="1" x14ac:dyDescent="0.3">
      <c r="A8857" s="91"/>
      <c r="B8857" s="70"/>
      <c r="C8857" s="70"/>
      <c r="D8857" s="70"/>
      <c r="E8857" s="70"/>
      <c r="F8857" s="70"/>
      <c r="G8857" s="94"/>
      <c r="H8857" s="131"/>
      <c r="I8857" s="3"/>
    </row>
    <row r="8858" spans="1:9" s="93" customFormat="1" ht="9" customHeight="1" x14ac:dyDescent="0.3">
      <c r="A8858" s="91"/>
      <c r="B8858" s="70"/>
      <c r="C8858" s="70"/>
      <c r="D8858" s="70"/>
      <c r="E8858" s="70"/>
      <c r="F8858" s="70"/>
      <c r="G8858" s="94"/>
      <c r="H8858" s="131"/>
      <c r="I8858" s="3"/>
    </row>
    <row r="8859" spans="1:9" s="93" customFormat="1" ht="9" customHeight="1" x14ac:dyDescent="0.3">
      <c r="A8859" s="91"/>
      <c r="B8859" s="70"/>
      <c r="C8859" s="70"/>
      <c r="D8859" s="70"/>
      <c r="E8859" s="70"/>
      <c r="F8859" s="70"/>
      <c r="G8859" s="94"/>
      <c r="H8859" s="131"/>
      <c r="I8859" s="3"/>
    </row>
    <row r="8860" spans="1:9" s="93" customFormat="1" ht="9" customHeight="1" x14ac:dyDescent="0.3">
      <c r="A8860" s="91"/>
      <c r="B8860" s="70"/>
      <c r="C8860" s="70"/>
      <c r="D8860" s="70"/>
      <c r="E8860" s="70"/>
      <c r="F8860" s="70"/>
      <c r="G8860" s="94"/>
      <c r="H8860" s="131"/>
      <c r="I8860" s="3"/>
    </row>
    <row r="8861" spans="1:9" s="93" customFormat="1" ht="9" customHeight="1" x14ac:dyDescent="0.3">
      <c r="A8861" s="91"/>
      <c r="B8861" s="70"/>
      <c r="C8861" s="70"/>
      <c r="D8861" s="70"/>
      <c r="E8861" s="70"/>
      <c r="F8861" s="70"/>
      <c r="G8861" s="94"/>
      <c r="H8861" s="131"/>
      <c r="I8861" s="3"/>
    </row>
    <row r="8862" spans="1:9" s="93" customFormat="1" ht="9" customHeight="1" x14ac:dyDescent="0.3">
      <c r="A8862" s="91"/>
      <c r="B8862" s="70"/>
      <c r="C8862" s="70"/>
      <c r="D8862" s="70"/>
      <c r="E8862" s="70"/>
      <c r="F8862" s="70"/>
      <c r="G8862" s="94"/>
      <c r="H8862" s="131"/>
      <c r="I8862" s="3"/>
    </row>
    <row r="8863" spans="1:9" s="93" customFormat="1" ht="9" customHeight="1" x14ac:dyDescent="0.3">
      <c r="A8863" s="91"/>
      <c r="B8863" s="70"/>
      <c r="C8863" s="70"/>
      <c r="D8863" s="70"/>
      <c r="E8863" s="70"/>
      <c r="F8863" s="70"/>
      <c r="G8863" s="94"/>
      <c r="H8863" s="131"/>
      <c r="I8863" s="3"/>
    </row>
    <row r="8864" spans="1:9" s="93" customFormat="1" ht="9" customHeight="1" x14ac:dyDescent="0.3">
      <c r="A8864" s="91"/>
      <c r="B8864" s="70"/>
      <c r="C8864" s="70"/>
      <c r="D8864" s="70"/>
      <c r="E8864" s="70"/>
      <c r="F8864" s="70"/>
      <c r="G8864" s="94"/>
      <c r="H8864" s="131"/>
      <c r="I8864" s="3"/>
    </row>
    <row r="8865" spans="1:63" s="93" customFormat="1" ht="9" customHeight="1" x14ac:dyDescent="0.3">
      <c r="A8865" s="91"/>
      <c r="B8865" s="70"/>
      <c r="C8865" s="70"/>
      <c r="D8865" s="70"/>
      <c r="E8865" s="70"/>
      <c r="F8865" s="70"/>
      <c r="G8865" s="94"/>
      <c r="H8865" s="131"/>
      <c r="I8865" s="3"/>
    </row>
    <row r="8866" spans="1:63" s="93" customFormat="1" ht="9" customHeight="1" x14ac:dyDescent="0.3">
      <c r="A8866" s="91"/>
      <c r="B8866" s="70"/>
      <c r="C8866" s="70"/>
      <c r="D8866" s="70"/>
      <c r="E8866" s="70"/>
      <c r="F8866" s="70"/>
      <c r="G8866" s="94"/>
      <c r="H8866" s="131"/>
      <c r="I8866" s="3"/>
      <c r="BK8866"/>
    </row>
    <row r="8867" spans="1:63" s="93" customFormat="1" ht="9" customHeight="1" x14ac:dyDescent="0.3">
      <c r="A8867" s="91"/>
      <c r="B8867" s="70"/>
      <c r="C8867" s="70"/>
      <c r="D8867" s="70"/>
      <c r="E8867" s="70"/>
      <c r="F8867" s="70"/>
      <c r="G8867" s="94"/>
      <c r="H8867" s="131"/>
      <c r="I8867" s="3"/>
      <c r="BK8867"/>
    </row>
    <row r="8868" spans="1:63" s="93" customFormat="1" ht="9" customHeight="1" x14ac:dyDescent="0.3">
      <c r="A8868" s="91"/>
      <c r="B8868" s="70"/>
      <c r="C8868" s="70"/>
      <c r="D8868" s="70"/>
      <c r="E8868" s="70"/>
      <c r="F8868" s="70"/>
      <c r="G8868" s="94"/>
      <c r="H8868" s="131"/>
      <c r="I8868" s="3"/>
      <c r="BK8868"/>
    </row>
    <row r="8869" spans="1:63" s="93" customFormat="1" ht="9" customHeight="1" x14ac:dyDescent="0.3">
      <c r="A8869" s="91"/>
      <c r="B8869" s="70"/>
      <c r="C8869" s="70"/>
      <c r="D8869" s="70"/>
      <c r="E8869" s="70"/>
      <c r="F8869" s="70"/>
      <c r="G8869" s="94"/>
      <c r="H8869" s="131"/>
      <c r="I8869" s="3"/>
      <c r="BK8869"/>
    </row>
    <row r="8870" spans="1:63" s="93" customFormat="1" ht="9" customHeight="1" x14ac:dyDescent="0.3">
      <c r="A8870" s="91"/>
      <c r="B8870" s="70"/>
      <c r="C8870" s="70"/>
      <c r="D8870" s="70"/>
      <c r="E8870" s="70"/>
      <c r="F8870" s="70"/>
      <c r="G8870" s="94"/>
      <c r="H8870" s="131"/>
      <c r="I8870" s="3"/>
      <c r="BK8870"/>
    </row>
    <row r="8871" spans="1:63" s="93" customFormat="1" ht="9" customHeight="1" x14ac:dyDescent="0.3">
      <c r="A8871" s="91"/>
      <c r="B8871" s="70"/>
      <c r="C8871" s="70"/>
      <c r="D8871" s="70"/>
      <c r="E8871" s="70"/>
      <c r="F8871" s="70"/>
      <c r="G8871" s="94"/>
      <c r="H8871" s="131"/>
      <c r="I8871" s="3"/>
      <c r="BK8871"/>
    </row>
    <row r="8872" spans="1:63" s="93" customFormat="1" ht="9" customHeight="1" x14ac:dyDescent="0.3">
      <c r="A8872" s="91"/>
      <c r="B8872" s="70"/>
      <c r="C8872" s="70"/>
      <c r="D8872" s="70"/>
      <c r="E8872" s="70"/>
      <c r="F8872" s="70"/>
      <c r="G8872" s="94"/>
      <c r="H8872" s="131"/>
      <c r="I8872" s="3"/>
      <c r="BK8872"/>
    </row>
    <row r="8873" spans="1:63" s="93" customFormat="1" ht="9" customHeight="1" x14ac:dyDescent="0.3">
      <c r="A8873" s="91"/>
      <c r="B8873" s="70"/>
      <c r="C8873" s="70"/>
      <c r="D8873" s="70"/>
      <c r="E8873" s="70"/>
      <c r="F8873" s="70"/>
      <c r="G8873" s="94"/>
      <c r="H8873" s="131"/>
      <c r="I8873" s="3"/>
      <c r="BI8873"/>
      <c r="BJ8873"/>
      <c r="BK8873"/>
    </row>
    <row r="8874" spans="1:63" s="93" customFormat="1" ht="9" customHeight="1" x14ac:dyDescent="0.3">
      <c r="A8874" s="91"/>
      <c r="B8874" s="70"/>
      <c r="C8874" s="70"/>
      <c r="D8874" s="70"/>
      <c r="E8874" s="70"/>
      <c r="F8874" s="70"/>
      <c r="G8874" s="94"/>
      <c r="H8874" s="131"/>
      <c r="I8874" s="3"/>
      <c r="BI8874"/>
      <c r="BJ8874"/>
      <c r="BK8874"/>
    </row>
    <row r="8875" spans="1:63" s="93" customFormat="1" ht="9" customHeight="1" x14ac:dyDescent="0.3">
      <c r="A8875" s="91"/>
      <c r="B8875" s="70"/>
      <c r="C8875" s="70"/>
      <c r="D8875" s="70"/>
      <c r="E8875" s="70"/>
      <c r="F8875" s="70"/>
      <c r="G8875" s="94"/>
      <c r="H8875" s="131"/>
      <c r="I8875" s="3"/>
      <c r="J8875"/>
      <c r="K8875"/>
      <c r="BI8875"/>
      <c r="BJ8875"/>
      <c r="BK8875"/>
    </row>
    <row r="8876" spans="1:63" s="93" customFormat="1" ht="9" customHeight="1" x14ac:dyDescent="0.3">
      <c r="A8876" s="91"/>
      <c r="B8876" s="70"/>
      <c r="C8876" s="70"/>
      <c r="D8876" s="70"/>
      <c r="E8876" s="70"/>
      <c r="F8876" s="70"/>
      <c r="G8876" s="94"/>
      <c r="H8876" s="131"/>
      <c r="I8876" s="3"/>
      <c r="J8876"/>
      <c r="K8876"/>
      <c r="BI8876"/>
      <c r="BJ8876"/>
      <c r="BK8876"/>
    </row>
    <row r="8877" spans="1:63" s="93" customFormat="1" ht="9" customHeight="1" x14ac:dyDescent="0.3">
      <c r="A8877" s="91"/>
      <c r="B8877" s="70"/>
      <c r="C8877" s="70"/>
      <c r="D8877" s="70"/>
      <c r="E8877" s="70"/>
      <c r="F8877" s="70"/>
      <c r="G8877" s="94"/>
      <c r="H8877" s="131"/>
      <c r="I8877" s="3"/>
      <c r="J8877"/>
      <c r="K8877"/>
      <c r="BI8877"/>
      <c r="BJ8877"/>
      <c r="BK8877"/>
    </row>
    <row r="8878" spans="1:63" s="93" customFormat="1" ht="9" customHeight="1" x14ac:dyDescent="0.3">
      <c r="A8878" s="91"/>
      <c r="B8878" s="70"/>
      <c r="C8878" s="70"/>
      <c r="D8878" s="70"/>
      <c r="E8878" s="70"/>
      <c r="F8878" s="70"/>
      <c r="G8878" s="94"/>
      <c r="H8878" s="131"/>
      <c r="I8878" s="3"/>
      <c r="J8878"/>
      <c r="K8878"/>
      <c r="BI8878"/>
      <c r="BJ8878"/>
      <c r="BK8878"/>
    </row>
    <row r="8879" spans="1:63" s="93" customFormat="1" ht="9" customHeight="1" x14ac:dyDescent="0.3">
      <c r="A8879" s="91"/>
      <c r="B8879" s="70"/>
      <c r="C8879" s="70"/>
      <c r="D8879" s="70"/>
      <c r="E8879" s="70"/>
      <c r="F8879" s="70"/>
      <c r="G8879" s="94"/>
      <c r="H8879" s="131"/>
      <c r="I8879" s="3"/>
      <c r="J8879"/>
      <c r="K8879"/>
      <c r="BI8879"/>
      <c r="BJ8879"/>
      <c r="BK8879"/>
    </row>
    <row r="8880" spans="1:63" s="93" customFormat="1" ht="9" customHeight="1" x14ac:dyDescent="0.3">
      <c r="A8880" s="91"/>
      <c r="B8880" s="70"/>
      <c r="C8880" s="70"/>
      <c r="D8880" s="70"/>
      <c r="E8880" s="70"/>
      <c r="F8880" s="70"/>
      <c r="G8880" s="94"/>
      <c r="H8880" s="131"/>
      <c r="I8880" s="3"/>
      <c r="J8880"/>
      <c r="K8880"/>
      <c r="BI8880"/>
      <c r="BJ8880"/>
      <c r="BK8880"/>
    </row>
    <row r="8881" spans="1:63" s="93" customFormat="1" ht="9" customHeight="1" x14ac:dyDescent="0.3">
      <c r="A8881" s="91"/>
      <c r="B8881" s="70"/>
      <c r="C8881" s="70"/>
      <c r="D8881" s="70"/>
      <c r="E8881" s="70"/>
      <c r="F8881" s="70"/>
      <c r="G8881" s="94"/>
      <c r="H8881" s="131"/>
      <c r="I8881" s="3"/>
      <c r="J8881"/>
      <c r="K8881"/>
      <c r="BI8881"/>
      <c r="BJ8881"/>
      <c r="BK8881"/>
    </row>
    <row r="8882" spans="1:63" s="93" customFormat="1" ht="9" customHeight="1" x14ac:dyDescent="0.3">
      <c r="A8882" s="91"/>
      <c r="B8882" s="70"/>
      <c r="C8882" s="70"/>
      <c r="D8882" s="70"/>
      <c r="E8882" s="70"/>
      <c r="F8882" s="70"/>
      <c r="G8882" s="94"/>
      <c r="H8882" s="131"/>
      <c r="I8882" s="3"/>
      <c r="J8882"/>
      <c r="K8882"/>
      <c r="BI8882"/>
      <c r="BJ8882"/>
      <c r="BK8882"/>
    </row>
    <row r="8883" spans="1:63" s="93" customFormat="1" ht="9" customHeight="1" x14ac:dyDescent="0.3">
      <c r="A8883" s="91"/>
      <c r="B8883" s="70"/>
      <c r="C8883" s="70"/>
      <c r="D8883" s="70"/>
      <c r="E8883" s="70"/>
      <c r="F8883" s="70"/>
      <c r="G8883" s="94"/>
      <c r="H8883" s="131"/>
      <c r="I8883" s="3"/>
      <c r="J8883"/>
      <c r="K8883"/>
      <c r="BI8883"/>
      <c r="BJ8883"/>
      <c r="BK8883"/>
    </row>
    <row r="8884" spans="1:63" s="93" customFormat="1" ht="9" customHeight="1" x14ac:dyDescent="0.3">
      <c r="A8884" s="91"/>
      <c r="B8884" s="70"/>
      <c r="C8884" s="70"/>
      <c r="D8884" s="70"/>
      <c r="E8884" s="70"/>
      <c r="F8884" s="70"/>
      <c r="G8884" s="94"/>
      <c r="H8884" s="131"/>
      <c r="I8884" s="3"/>
      <c r="J8884"/>
      <c r="K8884"/>
      <c r="BI8884"/>
      <c r="BJ8884"/>
      <c r="BK8884"/>
    </row>
    <row r="8885" spans="1:63" s="93" customFormat="1" ht="9" customHeight="1" x14ac:dyDescent="0.3">
      <c r="A8885" s="91"/>
      <c r="B8885" s="70"/>
      <c r="C8885" s="70"/>
      <c r="D8885" s="70"/>
      <c r="E8885" s="70"/>
      <c r="F8885" s="70"/>
      <c r="G8885" s="94"/>
      <c r="H8885" s="131"/>
      <c r="I8885" s="3"/>
      <c r="J8885"/>
      <c r="K8885"/>
      <c r="BI8885"/>
      <c r="BJ8885"/>
      <c r="BK8885"/>
    </row>
    <row r="8886" spans="1:63" s="93" customFormat="1" ht="9" customHeight="1" x14ac:dyDescent="0.3">
      <c r="A8886" s="91"/>
      <c r="B8886" s="70"/>
      <c r="C8886" s="70"/>
      <c r="D8886" s="70"/>
      <c r="E8886" s="70"/>
      <c r="F8886" s="70"/>
      <c r="G8886" s="94"/>
      <c r="H8886" s="131"/>
      <c r="I8886" s="3"/>
      <c r="J8886"/>
      <c r="K8886"/>
      <c r="BI8886"/>
      <c r="BJ8886"/>
      <c r="BK8886"/>
    </row>
    <row r="8887" spans="1:63" s="93" customFormat="1" ht="9" customHeight="1" x14ac:dyDescent="0.3">
      <c r="A8887" s="91"/>
      <c r="B8887" s="70"/>
      <c r="C8887" s="70"/>
      <c r="D8887" s="70"/>
      <c r="E8887" s="70"/>
      <c r="F8887" s="70"/>
      <c r="G8887" s="94"/>
      <c r="H8887" s="131"/>
      <c r="I8887" s="3"/>
      <c r="J8887"/>
      <c r="K8887"/>
      <c r="BI8887"/>
      <c r="BJ8887"/>
      <c r="BK8887"/>
    </row>
    <row r="8888" spans="1:63" s="93" customFormat="1" ht="9" customHeight="1" x14ac:dyDescent="0.3">
      <c r="A8888" s="91"/>
      <c r="B8888" s="70"/>
      <c r="C8888" s="70"/>
      <c r="D8888" s="70"/>
      <c r="E8888" s="70"/>
      <c r="F8888" s="70"/>
      <c r="G8888" s="94"/>
      <c r="H8888" s="131"/>
      <c r="I8888" s="3"/>
      <c r="J8888"/>
      <c r="K8888"/>
      <c r="BI8888"/>
      <c r="BJ8888"/>
      <c r="BK8888"/>
    </row>
    <row r="8889" spans="1:63" s="93" customFormat="1" ht="9" customHeight="1" x14ac:dyDescent="0.3">
      <c r="A8889" s="91"/>
      <c r="B8889" s="70"/>
      <c r="C8889" s="70"/>
      <c r="D8889" s="70"/>
      <c r="E8889" s="70"/>
      <c r="F8889" s="70"/>
      <c r="G8889" s="94"/>
      <c r="H8889" s="131"/>
      <c r="I8889" s="3"/>
      <c r="J8889"/>
      <c r="K8889"/>
      <c r="BI8889"/>
      <c r="BJ8889"/>
      <c r="BK8889"/>
    </row>
    <row r="8890" spans="1:63" s="93" customFormat="1" ht="9" customHeight="1" x14ac:dyDescent="0.3">
      <c r="A8890" s="91"/>
      <c r="B8890" s="70"/>
      <c r="C8890" s="70"/>
      <c r="D8890" s="70"/>
      <c r="E8890" s="70"/>
      <c r="F8890" s="70"/>
      <c r="G8890" s="94"/>
      <c r="H8890" s="131"/>
      <c r="I8890" s="3"/>
      <c r="J8890"/>
      <c r="K8890"/>
      <c r="AV8890"/>
      <c r="AW8890"/>
      <c r="AX8890"/>
      <c r="AY8890"/>
      <c r="AZ8890"/>
      <c r="BA8890"/>
      <c r="BB8890"/>
      <c r="BC8890"/>
      <c r="BD8890"/>
      <c r="BE8890"/>
      <c r="BF8890"/>
      <c r="BG8890"/>
      <c r="BH8890"/>
      <c r="BI8890"/>
      <c r="BJ8890"/>
      <c r="BK8890"/>
    </row>
    <row r="8891" spans="1:63" s="93" customFormat="1" ht="9" customHeight="1" x14ac:dyDescent="0.3">
      <c r="A8891" s="91"/>
      <c r="B8891" s="70"/>
      <c r="C8891" s="70"/>
      <c r="D8891" s="70"/>
      <c r="E8891" s="70"/>
      <c r="F8891" s="70"/>
      <c r="G8891" s="94"/>
      <c r="H8891" s="131"/>
      <c r="I8891" s="3"/>
      <c r="J8891"/>
      <c r="K8891"/>
      <c r="M8891"/>
      <c r="AV8891"/>
      <c r="AW8891"/>
      <c r="AX8891"/>
      <c r="AY8891"/>
      <c r="AZ8891"/>
      <c r="BA8891"/>
      <c r="BB8891"/>
      <c r="BC8891"/>
      <c r="BD8891"/>
      <c r="BE8891"/>
      <c r="BF8891"/>
      <c r="BG8891"/>
      <c r="BH8891"/>
      <c r="BI8891"/>
      <c r="BJ8891"/>
      <c r="BK8891"/>
    </row>
    <row r="8892" spans="1:63" s="93" customFormat="1" ht="9" customHeight="1" x14ac:dyDescent="0.3">
      <c r="A8892" s="91"/>
      <c r="B8892" s="70"/>
      <c r="C8892" s="70"/>
      <c r="D8892" s="70"/>
      <c r="E8892" s="70"/>
      <c r="F8892" s="70"/>
      <c r="G8892" s="94"/>
      <c r="H8892" s="131"/>
      <c r="I8892" s="3"/>
      <c r="J8892"/>
      <c r="K8892"/>
      <c r="L8892"/>
      <c r="M8892"/>
      <c r="AV8892"/>
      <c r="AW8892"/>
      <c r="AX8892"/>
      <c r="AY8892"/>
      <c r="AZ8892"/>
      <c r="BA8892"/>
      <c r="BB8892"/>
      <c r="BC8892"/>
      <c r="BD8892"/>
      <c r="BE8892"/>
      <c r="BF8892"/>
      <c r="BG8892"/>
      <c r="BH8892"/>
      <c r="BI8892"/>
      <c r="BJ8892"/>
      <c r="BK8892"/>
    </row>
    <row r="8893" spans="1:63" s="93" customFormat="1" ht="9" customHeight="1" x14ac:dyDescent="0.3">
      <c r="A8893" s="91"/>
      <c r="B8893" s="70"/>
      <c r="C8893" s="70"/>
      <c r="D8893" s="70"/>
      <c r="E8893" s="70"/>
      <c r="F8893" s="70"/>
      <c r="G8893" s="94"/>
      <c r="H8893" s="131"/>
      <c r="I8893" s="3"/>
      <c r="J8893"/>
      <c r="K8893"/>
      <c r="L8893"/>
      <c r="M8893"/>
      <c r="AV8893"/>
      <c r="AW8893"/>
      <c r="AX8893"/>
      <c r="AY8893"/>
      <c r="AZ8893"/>
      <c r="BA8893"/>
      <c r="BB8893"/>
      <c r="BC8893"/>
      <c r="BD8893"/>
      <c r="BE8893"/>
      <c r="BF8893"/>
      <c r="BG8893"/>
      <c r="BH8893"/>
      <c r="BI8893"/>
      <c r="BJ8893"/>
      <c r="BK8893"/>
    </row>
    <row r="8894" spans="1:63" s="93" customFormat="1" ht="9" customHeight="1" x14ac:dyDescent="0.3">
      <c r="A8894" s="91"/>
      <c r="B8894" s="70"/>
      <c r="C8894" s="70"/>
      <c r="D8894" s="70"/>
      <c r="E8894" s="70"/>
      <c r="F8894" s="70"/>
      <c r="G8894" s="94"/>
      <c r="H8894" s="131"/>
      <c r="I8894" s="3"/>
      <c r="J8894"/>
      <c r="K8894"/>
      <c r="L8894"/>
      <c r="M8894"/>
      <c r="AV8894"/>
      <c r="AW8894"/>
      <c r="AX8894"/>
      <c r="AY8894"/>
      <c r="AZ8894"/>
      <c r="BA8894"/>
      <c r="BB8894"/>
      <c r="BC8894"/>
      <c r="BD8894"/>
      <c r="BE8894"/>
      <c r="BF8894"/>
      <c r="BG8894"/>
      <c r="BH8894"/>
      <c r="BI8894"/>
      <c r="BJ8894"/>
      <c r="BK8894"/>
    </row>
    <row r="8895" spans="1:63" s="93" customFormat="1" ht="9" customHeight="1" x14ac:dyDescent="0.3">
      <c r="A8895" s="91"/>
      <c r="B8895" s="70"/>
      <c r="C8895" s="70"/>
      <c r="D8895" s="70"/>
      <c r="E8895" s="70"/>
      <c r="F8895" s="70"/>
      <c r="G8895" s="94"/>
      <c r="H8895" s="131"/>
      <c r="I8895" s="3"/>
      <c r="J8895"/>
      <c r="K8895"/>
      <c r="L8895"/>
      <c r="M8895"/>
      <c r="AV8895"/>
      <c r="AW8895"/>
      <c r="AX8895"/>
      <c r="AY8895"/>
      <c r="AZ8895"/>
      <c r="BA8895"/>
      <c r="BB8895"/>
      <c r="BC8895"/>
      <c r="BD8895"/>
      <c r="BE8895"/>
      <c r="BF8895"/>
      <c r="BG8895"/>
      <c r="BH8895"/>
      <c r="BI8895"/>
      <c r="BJ8895"/>
      <c r="BK8895"/>
    </row>
    <row r="8896" spans="1:63" s="93" customFormat="1" ht="9" customHeight="1" x14ac:dyDescent="0.3">
      <c r="A8896" s="91"/>
      <c r="B8896" s="70"/>
      <c r="C8896" s="70"/>
      <c r="D8896" s="70"/>
      <c r="E8896" s="70"/>
      <c r="F8896" s="70"/>
      <c r="G8896" s="94"/>
      <c r="H8896" s="131"/>
      <c r="I8896" s="3"/>
      <c r="J8896"/>
      <c r="K8896"/>
      <c r="L8896"/>
      <c r="M8896"/>
      <c r="AV8896"/>
      <c r="AW8896"/>
      <c r="AX8896"/>
      <c r="AY8896"/>
      <c r="AZ8896"/>
      <c r="BA8896"/>
      <c r="BB8896"/>
      <c r="BC8896"/>
      <c r="BD8896"/>
      <c r="BE8896"/>
      <c r="BF8896"/>
      <c r="BG8896"/>
      <c r="BH8896"/>
      <c r="BI8896"/>
      <c r="BJ8896"/>
      <c r="BK8896"/>
    </row>
    <row r="8897" spans="1:63" s="93" customFormat="1" ht="9" customHeight="1" x14ac:dyDescent="0.3">
      <c r="A8897" s="91"/>
      <c r="B8897" s="70"/>
      <c r="C8897" s="70"/>
      <c r="D8897" s="70"/>
      <c r="E8897" s="70"/>
      <c r="F8897" s="70"/>
      <c r="G8897" s="94"/>
      <c r="H8897" s="131"/>
      <c r="I8897" s="3"/>
      <c r="J8897"/>
      <c r="K8897"/>
      <c r="L8897"/>
      <c r="M8897"/>
      <c r="AV8897"/>
      <c r="AW8897"/>
      <c r="AX8897"/>
      <c r="AY8897"/>
      <c r="AZ8897"/>
      <c r="BA8897"/>
      <c r="BB8897"/>
      <c r="BC8897"/>
      <c r="BD8897"/>
      <c r="BE8897"/>
      <c r="BF8897"/>
      <c r="BG8897"/>
      <c r="BH8897"/>
      <c r="BI8897"/>
      <c r="BJ8897"/>
      <c r="BK8897"/>
    </row>
    <row r="8898" spans="1:63" s="93" customFormat="1" ht="9" customHeight="1" x14ac:dyDescent="0.3">
      <c r="A8898" s="91"/>
      <c r="B8898" s="70"/>
      <c r="C8898" s="70"/>
      <c r="D8898" s="70"/>
      <c r="E8898" s="70"/>
      <c r="F8898" s="70"/>
      <c r="G8898" s="94"/>
      <c r="H8898" s="131"/>
      <c r="I8898" s="3"/>
      <c r="J8898"/>
      <c r="K8898"/>
      <c r="L8898"/>
      <c r="M8898"/>
      <c r="AV8898"/>
      <c r="AW8898"/>
      <c r="AX8898"/>
      <c r="AY8898"/>
      <c r="AZ8898"/>
      <c r="BA8898"/>
      <c r="BB8898"/>
      <c r="BC8898"/>
      <c r="BD8898"/>
      <c r="BE8898"/>
      <c r="BF8898"/>
      <c r="BG8898"/>
      <c r="BH8898"/>
      <c r="BI8898"/>
      <c r="BJ8898"/>
      <c r="BK8898"/>
    </row>
    <row r="8899" spans="1:63" s="93" customFormat="1" ht="9" customHeight="1" x14ac:dyDescent="0.3">
      <c r="A8899" s="91"/>
      <c r="B8899" s="70"/>
      <c r="C8899" s="70"/>
      <c r="D8899" s="70"/>
      <c r="E8899" s="70"/>
      <c r="F8899" s="70"/>
      <c r="G8899" s="94"/>
      <c r="H8899" s="131"/>
      <c r="I8899" s="3"/>
      <c r="J8899"/>
      <c r="K8899"/>
      <c r="L8899"/>
      <c r="M8899"/>
      <c r="AV8899"/>
      <c r="AW8899"/>
      <c r="AX8899"/>
      <c r="AY8899"/>
      <c r="AZ8899"/>
      <c r="BA8899"/>
      <c r="BB8899"/>
      <c r="BC8899"/>
      <c r="BD8899"/>
      <c r="BE8899"/>
      <c r="BF8899"/>
      <c r="BG8899"/>
      <c r="BH8899"/>
      <c r="BI8899"/>
      <c r="BJ8899"/>
      <c r="BK8899"/>
    </row>
    <row r="8900" spans="1:63" s="93" customFormat="1" ht="9" customHeight="1" x14ac:dyDescent="0.3">
      <c r="A8900" s="91"/>
      <c r="B8900" s="70"/>
      <c r="C8900" s="70"/>
      <c r="D8900" s="70"/>
      <c r="E8900" s="70"/>
      <c r="F8900" s="70"/>
      <c r="G8900" s="94"/>
      <c r="H8900" s="131"/>
      <c r="I8900" s="3"/>
      <c r="J8900"/>
      <c r="K8900"/>
      <c r="L8900"/>
      <c r="M8900"/>
      <c r="AV8900"/>
      <c r="AW8900"/>
      <c r="AX8900"/>
      <c r="AY8900"/>
      <c r="AZ8900"/>
      <c r="BA8900"/>
      <c r="BB8900"/>
      <c r="BC8900"/>
      <c r="BD8900"/>
      <c r="BE8900"/>
      <c r="BF8900"/>
      <c r="BG8900"/>
      <c r="BH8900"/>
      <c r="BI8900"/>
      <c r="BJ8900"/>
      <c r="BK8900"/>
    </row>
    <row r="8901" spans="1:63" s="93" customFormat="1" ht="9" customHeight="1" x14ac:dyDescent="0.3">
      <c r="A8901" s="91"/>
      <c r="B8901" s="70"/>
      <c r="C8901" s="70"/>
      <c r="D8901" s="70"/>
      <c r="E8901" s="70"/>
      <c r="F8901" s="70"/>
      <c r="G8901" s="94"/>
      <c r="H8901" s="131"/>
      <c r="I8901" s="3"/>
      <c r="J8901"/>
      <c r="K8901"/>
      <c r="L8901"/>
      <c r="M8901"/>
      <c r="AV8901"/>
      <c r="AW8901"/>
      <c r="AX8901"/>
      <c r="AY8901"/>
      <c r="AZ8901"/>
      <c r="BA8901"/>
      <c r="BB8901"/>
      <c r="BC8901"/>
      <c r="BD8901"/>
      <c r="BE8901"/>
      <c r="BF8901"/>
      <c r="BG8901"/>
      <c r="BH8901"/>
      <c r="BI8901"/>
      <c r="BJ8901"/>
      <c r="BK8901"/>
    </row>
    <row r="8902" spans="1:63" s="93" customFormat="1" ht="9" customHeight="1" x14ac:dyDescent="0.3">
      <c r="A8902" s="91"/>
      <c r="B8902" s="70"/>
      <c r="C8902" s="70"/>
      <c r="D8902" s="70"/>
      <c r="E8902" s="70"/>
      <c r="F8902" s="70"/>
      <c r="G8902" s="94"/>
      <c r="H8902" s="131"/>
      <c r="I8902" s="3"/>
      <c r="J8902"/>
      <c r="K8902"/>
      <c r="L8902"/>
      <c r="M8902"/>
      <c r="AV8902"/>
      <c r="AW8902"/>
      <c r="AX8902"/>
      <c r="AY8902"/>
      <c r="AZ8902"/>
      <c r="BA8902"/>
      <c r="BB8902"/>
      <c r="BC8902"/>
      <c r="BD8902"/>
      <c r="BE8902"/>
      <c r="BF8902"/>
      <c r="BG8902"/>
      <c r="BH8902"/>
      <c r="BI8902"/>
      <c r="BJ8902"/>
      <c r="BK8902"/>
    </row>
    <row r="8903" spans="1:63" s="93" customFormat="1" ht="9" customHeight="1" x14ac:dyDescent="0.3">
      <c r="A8903" s="91"/>
      <c r="B8903" s="70"/>
      <c r="C8903" s="70"/>
      <c r="D8903" s="70"/>
      <c r="E8903" s="70"/>
      <c r="F8903" s="70"/>
      <c r="G8903" s="94"/>
      <c r="H8903" s="131"/>
      <c r="I8903" s="3"/>
      <c r="J8903"/>
      <c r="K8903"/>
      <c r="L8903"/>
      <c r="M8903"/>
      <c r="AV8903"/>
      <c r="AW8903"/>
      <c r="AX8903"/>
      <c r="AY8903"/>
      <c r="AZ8903"/>
      <c r="BA8903"/>
      <c r="BB8903"/>
      <c r="BC8903"/>
      <c r="BD8903"/>
      <c r="BE8903"/>
      <c r="BF8903"/>
      <c r="BG8903"/>
      <c r="BH8903"/>
      <c r="BI8903"/>
      <c r="BJ8903"/>
      <c r="BK8903"/>
    </row>
    <row r="8904" spans="1:63" s="93" customFormat="1" ht="9" customHeight="1" x14ac:dyDescent="0.3">
      <c r="A8904" s="91"/>
      <c r="B8904" s="70"/>
      <c r="C8904" s="70"/>
      <c r="D8904" s="70"/>
      <c r="E8904" s="70"/>
      <c r="F8904" s="70"/>
      <c r="G8904" s="94"/>
      <c r="H8904" s="131"/>
      <c r="I8904" s="3"/>
      <c r="J8904"/>
      <c r="K8904"/>
      <c r="L8904"/>
      <c r="M8904"/>
      <c r="AV8904"/>
      <c r="AW8904"/>
      <c r="AX8904"/>
      <c r="AY8904"/>
      <c r="AZ8904"/>
      <c r="BA8904"/>
      <c r="BB8904"/>
      <c r="BC8904"/>
      <c r="BD8904"/>
      <c r="BE8904"/>
      <c r="BF8904"/>
      <c r="BG8904"/>
      <c r="BH8904"/>
      <c r="BI8904"/>
      <c r="BJ8904"/>
      <c r="BK8904"/>
    </row>
    <row r="8905" spans="1:63" s="93" customFormat="1" ht="9" customHeight="1" x14ac:dyDescent="0.3">
      <c r="A8905" s="91"/>
      <c r="B8905" s="70"/>
      <c r="C8905" s="70"/>
      <c r="D8905" s="70"/>
      <c r="E8905" s="70"/>
      <c r="F8905" s="70"/>
      <c r="G8905" s="94"/>
      <c r="H8905" s="131"/>
      <c r="I8905" s="3"/>
      <c r="J8905"/>
      <c r="K8905"/>
      <c r="L8905"/>
      <c r="M8905"/>
      <c r="N8905"/>
      <c r="O8905"/>
      <c r="P8905"/>
      <c r="Q8905"/>
      <c r="R8905"/>
      <c r="S8905"/>
      <c r="T8905"/>
      <c r="U8905"/>
      <c r="V8905"/>
      <c r="W8905"/>
      <c r="X8905"/>
      <c r="Y8905"/>
      <c r="Z8905"/>
      <c r="AA8905"/>
      <c r="AB8905"/>
      <c r="AC8905"/>
      <c r="AD8905"/>
      <c r="AE8905"/>
      <c r="AF8905"/>
      <c r="AG8905"/>
      <c r="AH8905"/>
      <c r="AI8905"/>
      <c r="AJ8905"/>
      <c r="AK8905"/>
      <c r="AL8905"/>
      <c r="AM8905"/>
      <c r="AN8905"/>
      <c r="AO8905"/>
      <c r="AP8905"/>
      <c r="AQ8905"/>
      <c r="AR8905"/>
      <c r="AS8905"/>
      <c r="AT8905"/>
      <c r="AU8905"/>
      <c r="AV8905"/>
      <c r="AW8905"/>
      <c r="AX8905"/>
      <c r="AY8905"/>
      <c r="AZ8905"/>
      <c r="BA8905"/>
      <c r="BB8905"/>
      <c r="BC8905"/>
      <c r="BD8905"/>
      <c r="BE8905"/>
      <c r="BF8905"/>
      <c r="BG8905"/>
      <c r="BH8905"/>
      <c r="BI8905"/>
      <c r="BJ8905"/>
      <c r="BK8905"/>
    </row>
    <row r="8906" spans="1:63" s="93" customFormat="1" ht="9" customHeight="1" x14ac:dyDescent="0.3">
      <c r="A8906" s="91"/>
      <c r="B8906" s="70"/>
      <c r="C8906" s="70"/>
      <c r="D8906" s="70"/>
      <c r="E8906" s="70"/>
      <c r="F8906" s="70"/>
      <c r="G8906" s="94"/>
      <c r="H8906" s="131"/>
      <c r="I8906" s="3"/>
      <c r="J8906"/>
      <c r="K8906"/>
      <c r="L8906"/>
      <c r="M8906"/>
      <c r="N8906"/>
      <c r="O8906"/>
      <c r="P8906"/>
      <c r="Q8906"/>
      <c r="R8906"/>
      <c r="S8906"/>
      <c r="T8906"/>
      <c r="U8906"/>
      <c r="V8906"/>
      <c r="W8906"/>
      <c r="X8906"/>
      <c r="Y8906"/>
      <c r="Z8906"/>
      <c r="AA8906"/>
      <c r="AB8906"/>
      <c r="AC8906"/>
      <c r="AD8906"/>
      <c r="AE8906"/>
      <c r="AF8906"/>
      <c r="AG8906"/>
      <c r="AH8906"/>
      <c r="AI8906"/>
      <c r="AJ8906"/>
      <c r="AK8906"/>
      <c r="AL8906"/>
      <c r="AM8906"/>
      <c r="AN8906"/>
      <c r="AO8906"/>
      <c r="AP8906"/>
      <c r="AQ8906"/>
      <c r="AR8906"/>
      <c r="AS8906"/>
      <c r="AT8906"/>
      <c r="AU8906"/>
      <c r="AV8906"/>
      <c r="AW8906"/>
      <c r="AX8906"/>
      <c r="AY8906"/>
      <c r="AZ8906"/>
      <c r="BA8906"/>
      <c r="BB8906"/>
      <c r="BC8906"/>
      <c r="BD8906"/>
      <c r="BE8906"/>
      <c r="BF8906"/>
      <c r="BG8906"/>
      <c r="BH8906"/>
      <c r="BI8906"/>
      <c r="BJ8906"/>
      <c r="BK8906"/>
    </row>
    <row r="8907" spans="1:63" s="93" customFormat="1" ht="9" customHeight="1" x14ac:dyDescent="0.3">
      <c r="A8907" s="91"/>
      <c r="B8907" s="70"/>
      <c r="C8907" s="70"/>
      <c r="D8907" s="70"/>
      <c r="E8907" s="70"/>
      <c r="F8907" s="70"/>
      <c r="G8907" s="94"/>
      <c r="H8907" s="131"/>
      <c r="I8907" s="3"/>
      <c r="J8907"/>
      <c r="K8907"/>
      <c r="L8907"/>
      <c r="M8907"/>
      <c r="N8907"/>
      <c r="O8907"/>
      <c r="P8907"/>
      <c r="Q8907"/>
      <c r="R8907"/>
      <c r="S8907"/>
      <c r="T8907"/>
      <c r="U8907"/>
      <c r="V8907"/>
      <c r="W8907"/>
      <c r="X8907"/>
      <c r="Y8907"/>
      <c r="Z8907"/>
      <c r="AA8907"/>
      <c r="AB8907"/>
      <c r="AC8907"/>
      <c r="AD8907"/>
      <c r="AE8907"/>
      <c r="AF8907"/>
      <c r="AG8907"/>
      <c r="AH8907"/>
      <c r="AI8907"/>
      <c r="AJ8907"/>
      <c r="AK8907"/>
      <c r="AL8907"/>
      <c r="AM8907"/>
      <c r="AN8907"/>
      <c r="AO8907"/>
      <c r="AP8907"/>
      <c r="AQ8907"/>
      <c r="AR8907"/>
      <c r="AS8907"/>
      <c r="AT8907"/>
      <c r="AU8907"/>
      <c r="AV8907"/>
      <c r="AW8907"/>
      <c r="AX8907"/>
      <c r="AY8907"/>
      <c r="AZ8907"/>
      <c r="BA8907"/>
      <c r="BB8907"/>
      <c r="BC8907"/>
      <c r="BD8907"/>
      <c r="BE8907"/>
      <c r="BF8907"/>
      <c r="BG8907"/>
      <c r="BH8907"/>
      <c r="BI8907"/>
      <c r="BJ8907"/>
      <c r="BK8907"/>
    </row>
    <row r="8908" spans="1:63" s="93" customFormat="1" ht="9" customHeight="1" x14ac:dyDescent="0.3">
      <c r="A8908" s="91"/>
      <c r="B8908" s="70"/>
      <c r="C8908" s="70"/>
      <c r="D8908" s="70"/>
      <c r="E8908" s="70"/>
      <c r="F8908" s="70"/>
      <c r="G8908" s="94"/>
      <c r="H8908" s="131"/>
      <c r="I8908" s="3"/>
      <c r="J8908"/>
      <c r="K8908"/>
      <c r="L8908"/>
      <c r="M8908"/>
      <c r="N8908"/>
      <c r="O8908"/>
      <c r="P8908"/>
      <c r="Q8908"/>
      <c r="R8908"/>
      <c r="S8908"/>
      <c r="T8908"/>
      <c r="U8908"/>
      <c r="V8908"/>
      <c r="W8908"/>
      <c r="X8908"/>
      <c r="Y8908"/>
      <c r="Z8908"/>
      <c r="AA8908"/>
      <c r="AB8908"/>
      <c r="AC8908"/>
      <c r="AD8908"/>
      <c r="AE8908"/>
      <c r="AF8908"/>
      <c r="AG8908"/>
      <c r="AH8908"/>
      <c r="AI8908"/>
      <c r="AJ8908"/>
      <c r="AK8908"/>
      <c r="AL8908"/>
      <c r="AM8908"/>
      <c r="AN8908"/>
      <c r="AO8908"/>
      <c r="AP8908"/>
      <c r="AQ8908"/>
      <c r="AR8908"/>
      <c r="AS8908"/>
      <c r="AT8908"/>
      <c r="AU8908"/>
      <c r="AV8908"/>
      <c r="AW8908"/>
      <c r="AX8908"/>
      <c r="AY8908"/>
      <c r="AZ8908"/>
      <c r="BA8908"/>
      <c r="BB8908"/>
      <c r="BC8908"/>
      <c r="BD8908"/>
      <c r="BE8908"/>
      <c r="BF8908"/>
      <c r="BG8908"/>
      <c r="BH8908"/>
      <c r="BI8908"/>
      <c r="BJ8908"/>
      <c r="BK8908"/>
    </row>
    <row r="8909" spans="1:63" s="93" customFormat="1" ht="9" customHeight="1" x14ac:dyDescent="0.3">
      <c r="A8909" s="91"/>
      <c r="B8909" s="70"/>
      <c r="C8909" s="70"/>
      <c r="D8909" s="70"/>
      <c r="E8909" s="70"/>
      <c r="F8909" s="70"/>
      <c r="G8909" s="94"/>
      <c r="H8909" s="131"/>
      <c r="I8909" s="3"/>
      <c r="J8909"/>
      <c r="K8909"/>
      <c r="L8909"/>
      <c r="M8909"/>
      <c r="N8909"/>
      <c r="O8909"/>
      <c r="P8909"/>
      <c r="Q8909"/>
      <c r="R8909"/>
      <c r="S8909"/>
      <c r="T8909"/>
      <c r="U8909"/>
      <c r="V8909"/>
      <c r="W8909"/>
      <c r="X8909"/>
      <c r="Y8909"/>
      <c r="Z8909"/>
      <c r="AA8909"/>
      <c r="AB8909"/>
      <c r="AC8909"/>
      <c r="AD8909"/>
      <c r="AE8909"/>
      <c r="AF8909"/>
      <c r="AG8909"/>
      <c r="AH8909"/>
      <c r="AI8909"/>
      <c r="AJ8909"/>
      <c r="AK8909"/>
      <c r="AL8909"/>
      <c r="AM8909"/>
      <c r="AN8909"/>
      <c r="AO8909"/>
      <c r="AP8909"/>
      <c r="AQ8909"/>
      <c r="AR8909"/>
      <c r="AS8909"/>
      <c r="AT8909"/>
      <c r="AU8909"/>
      <c r="AV8909"/>
      <c r="AW8909"/>
      <c r="AX8909"/>
      <c r="AY8909"/>
      <c r="AZ8909"/>
      <c r="BA8909"/>
      <c r="BB8909"/>
      <c r="BC8909"/>
      <c r="BD8909"/>
      <c r="BE8909"/>
      <c r="BF8909"/>
      <c r="BG8909"/>
      <c r="BH8909"/>
      <c r="BI8909"/>
      <c r="BJ8909"/>
      <c r="BK8909"/>
    </row>
    <row r="8910" spans="1:63" s="93" customFormat="1" ht="9" customHeight="1" x14ac:dyDescent="0.3">
      <c r="A8910" s="91"/>
      <c r="B8910" s="70"/>
      <c r="C8910" s="70"/>
      <c r="D8910" s="70"/>
      <c r="E8910" s="70"/>
      <c r="F8910" s="70"/>
      <c r="G8910" s="94"/>
      <c r="H8910" s="131"/>
      <c r="I8910" s="3"/>
      <c r="J8910"/>
      <c r="K8910"/>
      <c r="L8910"/>
      <c r="M8910"/>
      <c r="N8910"/>
      <c r="O8910"/>
      <c r="P8910"/>
      <c r="Q8910"/>
      <c r="R8910"/>
      <c r="S8910"/>
      <c r="T8910"/>
      <c r="U8910"/>
      <c r="V8910"/>
      <c r="W8910"/>
      <c r="X8910"/>
      <c r="Y8910"/>
      <c r="Z8910"/>
      <c r="AA8910"/>
      <c r="AB8910"/>
      <c r="AC8910"/>
      <c r="AD8910"/>
      <c r="AE8910"/>
      <c r="AF8910"/>
      <c r="AG8910"/>
      <c r="AH8910"/>
      <c r="AI8910"/>
      <c r="AJ8910"/>
      <c r="AK8910"/>
      <c r="AL8910"/>
      <c r="AM8910"/>
      <c r="AN8910"/>
      <c r="AO8910"/>
      <c r="AP8910"/>
      <c r="AQ8910"/>
      <c r="AR8910"/>
      <c r="AS8910"/>
      <c r="AT8910"/>
      <c r="AU8910"/>
      <c r="AV8910"/>
      <c r="AW8910"/>
      <c r="AX8910"/>
      <c r="AY8910"/>
      <c r="AZ8910"/>
      <c r="BA8910"/>
      <c r="BB8910"/>
      <c r="BC8910"/>
      <c r="BD8910"/>
      <c r="BE8910"/>
      <c r="BF8910"/>
      <c r="BG8910"/>
      <c r="BH8910"/>
      <c r="BI8910"/>
      <c r="BJ8910"/>
      <c r="BK8910"/>
    </row>
    <row r="8911" spans="1:63" s="93" customFormat="1" ht="9" customHeight="1" x14ac:dyDescent="0.3">
      <c r="A8911" s="91"/>
      <c r="B8911" s="70"/>
      <c r="C8911" s="70"/>
      <c r="D8911" s="70"/>
      <c r="E8911" s="70"/>
      <c r="F8911" s="70"/>
      <c r="G8911" s="94"/>
      <c r="H8911" s="131"/>
      <c r="I8911" s="3"/>
      <c r="J8911"/>
      <c r="K8911"/>
      <c r="L8911"/>
      <c r="M8911"/>
      <c r="N8911"/>
      <c r="O8911"/>
      <c r="P8911"/>
      <c r="Q8911"/>
      <c r="R8911"/>
      <c r="S8911"/>
      <c r="T8911"/>
      <c r="U8911"/>
      <c r="V8911"/>
      <c r="W8911"/>
      <c r="X8911"/>
      <c r="Y8911"/>
      <c r="Z8911"/>
      <c r="AA8911"/>
      <c r="AB8911"/>
      <c r="AC8911"/>
      <c r="AD8911"/>
      <c r="AE8911"/>
      <c r="AF8911"/>
      <c r="AG8911"/>
      <c r="AH8911"/>
      <c r="AI8911"/>
      <c r="AJ8911"/>
      <c r="AK8911"/>
      <c r="AL8911"/>
      <c r="AM8911"/>
      <c r="AN8911"/>
      <c r="AO8911"/>
      <c r="AP8911"/>
      <c r="AQ8911"/>
      <c r="AR8911"/>
      <c r="AS8911"/>
      <c r="AT8911"/>
      <c r="AU8911"/>
      <c r="AV8911"/>
      <c r="AW8911"/>
      <c r="AX8911"/>
      <c r="AY8911"/>
      <c r="AZ8911"/>
      <c r="BA8911"/>
      <c r="BB8911"/>
      <c r="BC8911"/>
      <c r="BD8911"/>
      <c r="BE8911"/>
      <c r="BF8911"/>
      <c r="BG8911"/>
      <c r="BH8911"/>
      <c r="BI8911"/>
      <c r="BJ8911"/>
      <c r="BK8911"/>
    </row>
    <row r="8912" spans="1:63" s="93" customFormat="1" ht="9" customHeight="1" x14ac:dyDescent="0.3">
      <c r="A8912" s="91"/>
      <c r="B8912" s="70"/>
      <c r="C8912" s="70"/>
      <c r="D8912" s="70"/>
      <c r="E8912" s="70"/>
      <c r="F8912" s="70"/>
      <c r="G8912" s="94"/>
      <c r="H8912" s="131"/>
      <c r="I8912" s="3"/>
      <c r="J8912"/>
      <c r="K8912"/>
      <c r="L8912"/>
      <c r="M8912"/>
      <c r="N8912"/>
      <c r="O8912"/>
      <c r="P8912"/>
      <c r="Q8912"/>
      <c r="R8912"/>
      <c r="S8912"/>
      <c r="T8912"/>
      <c r="U8912"/>
      <c r="V8912"/>
      <c r="W8912"/>
      <c r="X8912"/>
      <c r="Y8912"/>
      <c r="Z8912"/>
      <c r="AA8912"/>
      <c r="AB8912"/>
      <c r="AC8912"/>
      <c r="AD8912"/>
      <c r="AE8912"/>
      <c r="AF8912"/>
      <c r="AG8912"/>
      <c r="AH8912"/>
      <c r="AI8912"/>
      <c r="AJ8912"/>
      <c r="AK8912"/>
      <c r="AL8912"/>
      <c r="AM8912"/>
      <c r="AN8912"/>
      <c r="AO8912"/>
      <c r="AP8912"/>
      <c r="AQ8912"/>
      <c r="AR8912"/>
      <c r="AS8912"/>
      <c r="AT8912"/>
      <c r="AU8912"/>
      <c r="AV8912"/>
      <c r="AW8912"/>
      <c r="AX8912"/>
      <c r="AY8912"/>
      <c r="AZ8912"/>
      <c r="BA8912"/>
      <c r="BB8912"/>
      <c r="BC8912"/>
      <c r="BD8912"/>
      <c r="BE8912"/>
      <c r="BF8912"/>
      <c r="BG8912"/>
      <c r="BH8912"/>
      <c r="BI8912"/>
      <c r="BJ8912"/>
      <c r="BK8912"/>
    </row>
    <row r="8913" spans="1:63" s="93" customFormat="1" ht="9" customHeight="1" x14ac:dyDescent="0.3">
      <c r="A8913" s="91"/>
      <c r="B8913" s="70"/>
      <c r="C8913" s="70"/>
      <c r="D8913" s="70"/>
      <c r="E8913" s="70"/>
      <c r="F8913" s="70"/>
      <c r="G8913" s="94"/>
      <c r="H8913" s="131"/>
      <c r="I8913" s="3"/>
      <c r="J8913"/>
      <c r="K8913"/>
      <c r="L8913"/>
      <c r="M8913"/>
      <c r="N8913"/>
      <c r="O8913"/>
      <c r="P8913"/>
      <c r="Q8913"/>
      <c r="R8913"/>
      <c r="S8913"/>
      <c r="T8913"/>
      <c r="U8913"/>
      <c r="V8913"/>
      <c r="W8913"/>
      <c r="X8913"/>
      <c r="Y8913"/>
      <c r="Z8913"/>
      <c r="AA8913"/>
      <c r="AB8913"/>
      <c r="AC8913"/>
      <c r="AD8913"/>
      <c r="AE8913"/>
      <c r="AF8913"/>
      <c r="AG8913"/>
      <c r="AH8913"/>
      <c r="AI8913"/>
      <c r="AJ8913"/>
      <c r="AK8913"/>
      <c r="AL8913"/>
      <c r="AM8913"/>
      <c r="AN8913"/>
      <c r="AO8913"/>
      <c r="AP8913"/>
      <c r="AQ8913"/>
      <c r="AR8913"/>
      <c r="AS8913"/>
      <c r="AT8913"/>
      <c r="AU8913"/>
      <c r="AV8913"/>
      <c r="AW8913"/>
      <c r="AX8913"/>
      <c r="AY8913"/>
      <c r="AZ8913"/>
      <c r="BA8913"/>
      <c r="BB8913"/>
      <c r="BC8913"/>
      <c r="BD8913"/>
      <c r="BE8913"/>
      <c r="BF8913"/>
      <c r="BG8913"/>
      <c r="BH8913"/>
      <c r="BI8913"/>
      <c r="BJ8913"/>
      <c r="BK8913"/>
    </row>
    <row r="8914" spans="1:63" s="93" customFormat="1" ht="9" customHeight="1" x14ac:dyDescent="0.3">
      <c r="A8914" s="91"/>
      <c r="B8914" s="70"/>
      <c r="C8914" s="70"/>
      <c r="D8914" s="70"/>
      <c r="E8914" s="70"/>
      <c r="F8914" s="70"/>
      <c r="G8914" s="94"/>
      <c r="H8914" s="131"/>
      <c r="I8914" s="3"/>
      <c r="J8914"/>
      <c r="K8914"/>
      <c r="L8914"/>
      <c r="M8914"/>
      <c r="N8914"/>
      <c r="O8914"/>
      <c r="P8914"/>
      <c r="Q8914"/>
      <c r="R8914"/>
      <c r="S8914"/>
      <c r="T8914"/>
      <c r="U8914"/>
      <c r="V8914"/>
      <c r="W8914"/>
      <c r="X8914"/>
      <c r="Y8914"/>
      <c r="Z8914"/>
      <c r="AA8914"/>
      <c r="AB8914"/>
      <c r="AC8914"/>
      <c r="AD8914"/>
      <c r="AE8914"/>
      <c r="AF8914"/>
      <c r="AG8914"/>
      <c r="AH8914"/>
      <c r="AI8914"/>
      <c r="AJ8914"/>
      <c r="AK8914"/>
      <c r="AL8914"/>
      <c r="AM8914"/>
      <c r="AN8914"/>
      <c r="AO8914"/>
      <c r="AP8914"/>
      <c r="AQ8914"/>
      <c r="AR8914"/>
      <c r="AS8914"/>
      <c r="AT8914"/>
      <c r="AU8914"/>
      <c r="AV8914"/>
      <c r="AW8914"/>
      <c r="AX8914"/>
      <c r="AY8914"/>
      <c r="AZ8914"/>
      <c r="BA8914"/>
      <c r="BB8914"/>
      <c r="BC8914"/>
      <c r="BD8914"/>
      <c r="BE8914"/>
      <c r="BF8914"/>
      <c r="BG8914"/>
      <c r="BH8914"/>
      <c r="BI8914"/>
      <c r="BJ8914"/>
      <c r="BK8914"/>
    </row>
    <row r="8915" spans="1:63" s="93" customFormat="1" ht="9" customHeight="1" x14ac:dyDescent="0.3">
      <c r="A8915" s="91"/>
      <c r="B8915" s="70"/>
      <c r="C8915" s="70"/>
      <c r="D8915" s="70"/>
      <c r="E8915" s="70"/>
      <c r="F8915" s="70"/>
      <c r="G8915" s="94"/>
      <c r="H8915" s="131"/>
      <c r="I8915" s="3"/>
      <c r="J8915"/>
      <c r="K8915"/>
      <c r="L8915"/>
      <c r="M8915"/>
      <c r="N8915"/>
      <c r="O8915"/>
      <c r="P8915"/>
      <c r="Q8915"/>
      <c r="R8915"/>
      <c r="S8915"/>
      <c r="T8915"/>
      <c r="U8915"/>
      <c r="V8915"/>
      <c r="W8915"/>
      <c r="X8915"/>
      <c r="Y8915"/>
      <c r="Z8915"/>
      <c r="AA8915"/>
      <c r="AB8915"/>
      <c r="AC8915"/>
      <c r="AD8915"/>
      <c r="AE8915"/>
      <c r="AF8915"/>
      <c r="AG8915"/>
      <c r="AH8915"/>
      <c r="AI8915"/>
      <c r="AJ8915"/>
      <c r="AK8915"/>
      <c r="AL8915"/>
      <c r="AM8915"/>
      <c r="AN8915"/>
      <c r="AO8915"/>
      <c r="AP8915"/>
      <c r="AQ8915"/>
      <c r="AR8915"/>
      <c r="AS8915"/>
      <c r="AT8915"/>
      <c r="AU8915"/>
      <c r="AV8915"/>
      <c r="AW8915"/>
      <c r="AX8915"/>
      <c r="AY8915"/>
      <c r="AZ8915"/>
      <c r="BA8915"/>
      <c r="BB8915"/>
      <c r="BC8915"/>
      <c r="BD8915"/>
      <c r="BE8915"/>
      <c r="BF8915"/>
      <c r="BG8915"/>
      <c r="BH8915"/>
      <c r="BI8915"/>
      <c r="BJ8915"/>
      <c r="BK8915"/>
    </row>
    <row r="8916" spans="1:63" s="93" customFormat="1" ht="9" customHeight="1" x14ac:dyDescent="0.3">
      <c r="A8916" s="91"/>
      <c r="B8916" s="70"/>
      <c r="C8916" s="70"/>
      <c r="D8916" s="70"/>
      <c r="E8916" s="70"/>
      <c r="F8916" s="70"/>
      <c r="G8916" s="94"/>
      <c r="H8916" s="131"/>
      <c r="I8916" s="3"/>
      <c r="J8916"/>
      <c r="K8916"/>
      <c r="L8916"/>
      <c r="M8916"/>
      <c r="N8916"/>
      <c r="O8916"/>
      <c r="P8916"/>
      <c r="Q8916"/>
      <c r="R8916"/>
      <c r="S8916"/>
      <c r="T8916"/>
      <c r="U8916"/>
      <c r="V8916"/>
      <c r="W8916"/>
      <c r="X8916"/>
      <c r="Y8916"/>
      <c r="Z8916"/>
      <c r="AA8916"/>
      <c r="AB8916"/>
      <c r="AC8916"/>
      <c r="AD8916"/>
      <c r="AE8916"/>
      <c r="AF8916"/>
      <c r="AG8916"/>
      <c r="AH8916"/>
      <c r="AI8916"/>
      <c r="AJ8916"/>
      <c r="AK8916"/>
      <c r="AL8916"/>
      <c r="AM8916"/>
      <c r="AN8916"/>
      <c r="AO8916"/>
      <c r="AP8916"/>
      <c r="AQ8916"/>
      <c r="AR8916"/>
      <c r="AS8916"/>
      <c r="AT8916"/>
      <c r="AU8916"/>
      <c r="AV8916"/>
      <c r="AW8916"/>
      <c r="AX8916"/>
      <c r="AY8916"/>
      <c r="AZ8916"/>
      <c r="BA8916"/>
      <c r="BB8916"/>
      <c r="BC8916"/>
      <c r="BD8916"/>
      <c r="BE8916"/>
      <c r="BF8916"/>
      <c r="BG8916"/>
      <c r="BH8916"/>
      <c r="BI8916"/>
      <c r="BJ8916"/>
      <c r="BK8916"/>
    </row>
    <row r="8917" spans="1:63" s="93" customFormat="1" ht="9" customHeight="1" x14ac:dyDescent="0.3">
      <c r="A8917" s="91"/>
      <c r="B8917" s="70"/>
      <c r="C8917" s="70"/>
      <c r="D8917" s="70"/>
      <c r="E8917" s="70"/>
      <c r="F8917" s="70"/>
      <c r="G8917" s="94"/>
      <c r="H8917" s="131"/>
      <c r="I8917" s="3"/>
      <c r="J8917"/>
      <c r="K8917"/>
      <c r="L8917"/>
      <c r="M8917"/>
      <c r="N8917"/>
      <c r="O8917"/>
      <c r="P8917"/>
      <c r="Q8917"/>
      <c r="R8917"/>
      <c r="S8917"/>
      <c r="T8917"/>
      <c r="U8917"/>
      <c r="V8917"/>
      <c r="W8917"/>
      <c r="X8917"/>
      <c r="Y8917"/>
      <c r="Z8917"/>
      <c r="AA8917"/>
      <c r="AB8917"/>
      <c r="AC8917"/>
      <c r="AD8917"/>
      <c r="AE8917"/>
      <c r="AF8917"/>
      <c r="AG8917"/>
      <c r="AH8917"/>
      <c r="AI8917"/>
      <c r="AJ8917"/>
      <c r="AK8917"/>
      <c r="AL8917"/>
      <c r="AM8917"/>
      <c r="AN8917"/>
      <c r="AO8917"/>
      <c r="AP8917"/>
      <c r="AQ8917"/>
      <c r="AR8917"/>
      <c r="AS8917"/>
      <c r="AT8917"/>
      <c r="AU8917"/>
      <c r="AV8917"/>
      <c r="AW8917"/>
      <c r="AX8917"/>
      <c r="AY8917"/>
      <c r="AZ8917"/>
      <c r="BA8917"/>
      <c r="BB8917"/>
      <c r="BC8917"/>
      <c r="BD8917"/>
      <c r="BE8917"/>
      <c r="BF8917"/>
      <c r="BG8917"/>
      <c r="BH8917"/>
      <c r="BI8917"/>
      <c r="BJ8917"/>
      <c r="BK8917"/>
    </row>
    <row r="8918" spans="1:63" s="93" customFormat="1" ht="9" customHeight="1" x14ac:dyDescent="0.3">
      <c r="A8918" s="91"/>
      <c r="B8918" s="70"/>
      <c r="C8918" s="70"/>
      <c r="D8918" s="70"/>
      <c r="E8918" s="70"/>
      <c r="F8918" s="70"/>
      <c r="G8918" s="94"/>
      <c r="H8918" s="131"/>
      <c r="I8918" s="3"/>
      <c r="J8918"/>
      <c r="K8918"/>
      <c r="L8918"/>
      <c r="M8918"/>
      <c r="N8918"/>
      <c r="O8918"/>
      <c r="P8918"/>
      <c r="Q8918"/>
      <c r="R8918"/>
      <c r="S8918"/>
      <c r="T8918"/>
      <c r="U8918"/>
      <c r="V8918"/>
      <c r="W8918"/>
      <c r="X8918"/>
      <c r="Y8918"/>
      <c r="Z8918"/>
      <c r="AA8918"/>
      <c r="AB8918"/>
      <c r="AC8918"/>
      <c r="AD8918"/>
      <c r="AE8918"/>
      <c r="AF8918"/>
      <c r="AG8918"/>
      <c r="AH8918"/>
      <c r="AI8918"/>
      <c r="AJ8918"/>
      <c r="AK8918"/>
      <c r="AL8918"/>
      <c r="AM8918"/>
      <c r="AN8918"/>
      <c r="AO8918"/>
      <c r="AP8918"/>
      <c r="AQ8918"/>
      <c r="AR8918"/>
      <c r="AS8918"/>
      <c r="AT8918"/>
      <c r="AU8918"/>
      <c r="AV8918"/>
      <c r="AW8918"/>
      <c r="AX8918"/>
      <c r="AY8918"/>
      <c r="AZ8918"/>
      <c r="BA8918"/>
      <c r="BB8918"/>
      <c r="BC8918"/>
      <c r="BD8918"/>
      <c r="BE8918"/>
      <c r="BF8918"/>
      <c r="BG8918"/>
      <c r="BH8918"/>
      <c r="BI8918"/>
      <c r="BJ8918"/>
      <c r="BK8918"/>
    </row>
    <row r="8919" spans="1:63" s="93" customFormat="1" ht="9" customHeight="1" x14ac:dyDescent="0.3">
      <c r="A8919" s="91"/>
      <c r="B8919" s="70"/>
      <c r="C8919" s="70"/>
      <c r="D8919" s="70"/>
      <c r="E8919" s="70"/>
      <c r="F8919" s="70"/>
      <c r="G8919" s="94"/>
      <c r="H8919" s="131"/>
      <c r="I8919" s="3"/>
      <c r="J8919"/>
      <c r="K8919"/>
      <c r="L8919"/>
      <c r="M8919"/>
      <c r="N8919"/>
      <c r="O8919"/>
      <c r="P8919"/>
      <c r="Q8919"/>
      <c r="R8919"/>
      <c r="S8919"/>
      <c r="T8919"/>
      <c r="U8919"/>
      <c r="V8919"/>
      <c r="W8919"/>
      <c r="X8919"/>
      <c r="Y8919"/>
      <c r="Z8919"/>
      <c r="AA8919"/>
      <c r="AB8919"/>
      <c r="AC8919"/>
      <c r="AD8919"/>
      <c r="AE8919"/>
      <c r="AF8919"/>
      <c r="AG8919"/>
      <c r="AH8919"/>
      <c r="AI8919"/>
      <c r="AJ8919"/>
      <c r="AK8919"/>
      <c r="AL8919"/>
      <c r="AM8919"/>
      <c r="AN8919"/>
      <c r="AO8919"/>
      <c r="AP8919"/>
      <c r="AQ8919"/>
      <c r="AR8919"/>
      <c r="AS8919"/>
      <c r="AT8919"/>
      <c r="AU8919"/>
      <c r="AV8919"/>
      <c r="AW8919"/>
      <c r="AX8919"/>
      <c r="AY8919"/>
      <c r="AZ8919"/>
      <c r="BA8919"/>
      <c r="BB8919"/>
      <c r="BC8919"/>
      <c r="BD8919"/>
      <c r="BE8919"/>
      <c r="BF8919"/>
      <c r="BG8919"/>
      <c r="BH8919"/>
      <c r="BI8919"/>
      <c r="BJ8919"/>
      <c r="BK8919"/>
    </row>
    <row r="8920" spans="1:63" s="93" customFormat="1" ht="9" customHeight="1" x14ac:dyDescent="0.3">
      <c r="A8920" s="91"/>
      <c r="B8920" s="70"/>
      <c r="C8920" s="70"/>
      <c r="D8920" s="70"/>
      <c r="E8920" s="70"/>
      <c r="F8920" s="70"/>
      <c r="G8920" s="94"/>
      <c r="H8920" s="131"/>
      <c r="I8920" s="3"/>
      <c r="J8920"/>
      <c r="K8920"/>
      <c r="L8920"/>
      <c r="M8920"/>
      <c r="N8920"/>
      <c r="O8920"/>
      <c r="P8920"/>
      <c r="Q8920"/>
      <c r="R8920"/>
      <c r="S8920"/>
      <c r="T8920"/>
      <c r="U8920"/>
      <c r="V8920"/>
      <c r="W8920"/>
      <c r="X8920"/>
      <c r="Y8920"/>
      <c r="Z8920"/>
      <c r="AA8920"/>
      <c r="AB8920"/>
      <c r="AC8920"/>
      <c r="AD8920"/>
      <c r="AE8920"/>
      <c r="AF8920"/>
      <c r="AG8920"/>
      <c r="AH8920"/>
      <c r="AI8920"/>
      <c r="AJ8920"/>
      <c r="AK8920"/>
      <c r="AL8920"/>
      <c r="AM8920"/>
      <c r="AN8920"/>
      <c r="AO8920"/>
      <c r="AP8920"/>
      <c r="AQ8920"/>
      <c r="AR8920"/>
      <c r="AS8920"/>
      <c r="AT8920"/>
      <c r="AU8920"/>
      <c r="AV8920"/>
      <c r="AW8920"/>
      <c r="AX8920"/>
      <c r="AY8920"/>
      <c r="AZ8920"/>
      <c r="BA8920"/>
      <c r="BB8920"/>
      <c r="BC8920"/>
      <c r="BD8920"/>
      <c r="BE8920"/>
      <c r="BF8920"/>
      <c r="BG8920"/>
      <c r="BH8920"/>
      <c r="BI8920"/>
      <c r="BJ8920"/>
      <c r="BK8920"/>
    </row>
    <row r="8921" spans="1:63" s="93" customFormat="1" ht="9" customHeight="1" x14ac:dyDescent="0.3">
      <c r="A8921" s="91"/>
      <c r="B8921" s="70"/>
      <c r="C8921" s="70"/>
      <c r="D8921" s="70"/>
      <c r="E8921" s="70"/>
      <c r="F8921" s="70"/>
      <c r="G8921" s="94"/>
      <c r="H8921" s="131"/>
      <c r="I8921" s="3"/>
      <c r="J8921"/>
      <c r="K8921"/>
      <c r="L8921"/>
      <c r="M8921"/>
      <c r="N8921"/>
      <c r="O8921"/>
      <c r="P8921"/>
      <c r="Q8921"/>
      <c r="R8921"/>
      <c r="S8921"/>
      <c r="T8921"/>
      <c r="U8921"/>
      <c r="V8921"/>
      <c r="W8921"/>
      <c r="X8921"/>
      <c r="Y8921"/>
      <c r="Z8921"/>
      <c r="AA8921"/>
      <c r="AB8921"/>
      <c r="AC8921"/>
      <c r="AD8921"/>
      <c r="AE8921"/>
      <c r="AF8921"/>
      <c r="AG8921"/>
      <c r="AH8921"/>
      <c r="AI8921"/>
      <c r="AJ8921"/>
      <c r="AK8921"/>
      <c r="AL8921"/>
      <c r="AM8921"/>
      <c r="AN8921"/>
      <c r="AO8921"/>
      <c r="AP8921"/>
      <c r="AQ8921"/>
      <c r="AR8921"/>
      <c r="AS8921"/>
      <c r="AT8921"/>
      <c r="AU8921"/>
      <c r="AV8921"/>
      <c r="AW8921"/>
      <c r="AX8921"/>
      <c r="AY8921"/>
      <c r="AZ8921"/>
      <c r="BA8921"/>
      <c r="BB8921"/>
      <c r="BC8921"/>
      <c r="BD8921"/>
      <c r="BE8921"/>
      <c r="BF8921"/>
      <c r="BG8921"/>
      <c r="BH8921"/>
      <c r="BI8921"/>
      <c r="BJ8921"/>
      <c r="BK8921"/>
    </row>
    <row r="8922" spans="1:63" s="93" customFormat="1" ht="9" customHeight="1" x14ac:dyDescent="0.3">
      <c r="A8922" s="91"/>
      <c r="B8922" s="70"/>
      <c r="C8922" s="70"/>
      <c r="D8922" s="70"/>
      <c r="E8922" s="70"/>
      <c r="F8922" s="70"/>
      <c r="G8922" s="94"/>
      <c r="H8922" s="131"/>
      <c r="I8922" s="3"/>
      <c r="J8922"/>
      <c r="K8922"/>
      <c r="L8922"/>
      <c r="M8922"/>
      <c r="N8922"/>
      <c r="O8922"/>
      <c r="P8922"/>
      <c r="Q8922"/>
      <c r="R8922"/>
      <c r="S8922"/>
      <c r="T8922"/>
      <c r="U8922"/>
      <c r="V8922"/>
      <c r="W8922"/>
      <c r="X8922"/>
      <c r="Y8922"/>
      <c r="Z8922"/>
      <c r="AA8922"/>
      <c r="AB8922"/>
      <c r="AC8922"/>
      <c r="AD8922"/>
      <c r="AE8922"/>
      <c r="AF8922"/>
      <c r="AG8922"/>
      <c r="AH8922"/>
      <c r="AI8922"/>
      <c r="AJ8922"/>
      <c r="AK8922"/>
      <c r="AL8922"/>
      <c r="AM8922"/>
      <c r="AN8922"/>
      <c r="AO8922"/>
      <c r="AP8922"/>
      <c r="AQ8922"/>
      <c r="AR8922"/>
      <c r="AS8922"/>
      <c r="AT8922"/>
      <c r="AU8922"/>
      <c r="AV8922"/>
      <c r="AW8922"/>
      <c r="AX8922"/>
      <c r="AY8922"/>
      <c r="AZ8922"/>
      <c r="BA8922"/>
      <c r="BB8922"/>
      <c r="BC8922"/>
      <c r="BD8922"/>
      <c r="BE8922"/>
      <c r="BF8922"/>
      <c r="BG8922"/>
      <c r="BH8922"/>
      <c r="BI8922"/>
      <c r="BJ8922"/>
      <c r="BK8922"/>
    </row>
    <row r="8923" spans="1:63" s="93" customFormat="1" ht="9" customHeight="1" x14ac:dyDescent="0.3">
      <c r="A8923" s="91"/>
      <c r="B8923" s="70"/>
      <c r="C8923" s="70"/>
      <c r="D8923" s="70"/>
      <c r="E8923" s="70"/>
      <c r="F8923" s="70"/>
      <c r="G8923" s="94"/>
      <c r="H8923" s="131"/>
      <c r="I8923" s="3"/>
      <c r="J8923"/>
      <c r="K8923"/>
      <c r="L8923"/>
      <c r="M8923"/>
      <c r="N8923"/>
      <c r="O8923"/>
      <c r="P8923"/>
      <c r="Q8923"/>
      <c r="R8923"/>
      <c r="S8923"/>
      <c r="T8923"/>
      <c r="U8923"/>
      <c r="V8923"/>
      <c r="W8923"/>
      <c r="X8923"/>
      <c r="Y8923"/>
      <c r="Z8923"/>
      <c r="AA8923"/>
      <c r="AB8923"/>
      <c r="AC8923"/>
      <c r="AD8923"/>
      <c r="AE8923"/>
      <c r="AF8923"/>
      <c r="AG8923"/>
      <c r="AH8923"/>
      <c r="AI8923"/>
      <c r="AJ8923"/>
      <c r="AK8923"/>
      <c r="AL8923"/>
      <c r="AM8923"/>
      <c r="AN8923"/>
      <c r="AO8923"/>
      <c r="AP8923"/>
      <c r="AQ8923"/>
      <c r="AR8923"/>
      <c r="AS8923"/>
      <c r="AT8923"/>
      <c r="AU8923"/>
      <c r="AV8923"/>
      <c r="AW8923"/>
      <c r="AX8923"/>
      <c r="AY8923"/>
      <c r="AZ8923"/>
      <c r="BA8923"/>
      <c r="BB8923"/>
      <c r="BC8923"/>
      <c r="BD8923"/>
      <c r="BE8923"/>
      <c r="BF8923"/>
      <c r="BG8923"/>
      <c r="BH8923"/>
      <c r="BI8923"/>
      <c r="BJ8923"/>
      <c r="BK8923"/>
    </row>
    <row r="8924" spans="1:63" s="93" customFormat="1" ht="9" customHeight="1" x14ac:dyDescent="0.3">
      <c r="A8924" s="91"/>
      <c r="B8924" s="70"/>
      <c r="C8924" s="70"/>
      <c r="D8924" s="70"/>
      <c r="E8924" s="70"/>
      <c r="F8924" s="70"/>
      <c r="G8924" s="94"/>
      <c r="H8924" s="131"/>
      <c r="I8924" s="3"/>
      <c r="J8924"/>
      <c r="K8924"/>
      <c r="L8924"/>
      <c r="M8924"/>
      <c r="N8924"/>
      <c r="O8924"/>
      <c r="P8924"/>
      <c r="Q8924"/>
      <c r="R8924"/>
      <c r="S8924"/>
      <c r="T8924"/>
      <c r="U8924"/>
      <c r="V8924"/>
      <c r="W8924"/>
      <c r="X8924"/>
      <c r="Y8924"/>
      <c r="Z8924"/>
      <c r="AA8924"/>
      <c r="AB8924"/>
      <c r="AC8924"/>
      <c r="AD8924"/>
      <c r="AE8924"/>
      <c r="AF8924"/>
      <c r="AG8924"/>
      <c r="AH8924"/>
      <c r="AI8924"/>
      <c r="AJ8924"/>
      <c r="AK8924"/>
      <c r="AL8924"/>
      <c r="AM8924"/>
      <c r="AN8924"/>
      <c r="AO8924"/>
      <c r="AP8924"/>
      <c r="AQ8924"/>
      <c r="AR8924"/>
      <c r="AS8924"/>
      <c r="AT8924"/>
      <c r="AU8924"/>
      <c r="AV8924"/>
      <c r="AW8924"/>
      <c r="AX8924"/>
      <c r="AY8924"/>
      <c r="AZ8924"/>
      <c r="BA8924"/>
      <c r="BB8924"/>
      <c r="BC8924"/>
      <c r="BD8924"/>
      <c r="BE8924"/>
      <c r="BF8924"/>
      <c r="BG8924"/>
      <c r="BH8924"/>
      <c r="BI8924"/>
      <c r="BJ8924"/>
      <c r="BK8924"/>
    </row>
    <row r="8925" spans="1:63" s="93" customFormat="1" ht="9" customHeight="1" x14ac:dyDescent="0.3">
      <c r="A8925" s="91"/>
      <c r="B8925" s="70"/>
      <c r="C8925" s="70"/>
      <c r="D8925" s="70"/>
      <c r="E8925" s="70"/>
      <c r="F8925" s="70"/>
      <c r="G8925" s="94"/>
      <c r="H8925" s="131"/>
      <c r="I8925" s="3"/>
      <c r="J8925"/>
      <c r="K8925"/>
      <c r="L8925"/>
      <c r="M8925"/>
      <c r="N8925"/>
      <c r="O8925"/>
      <c r="P8925"/>
      <c r="Q8925"/>
      <c r="R8925"/>
      <c r="S8925"/>
      <c r="T8925"/>
      <c r="U8925"/>
      <c r="V8925"/>
      <c r="W8925"/>
      <c r="X8925"/>
      <c r="Y8925"/>
      <c r="Z8925"/>
      <c r="AA8925"/>
      <c r="AB8925"/>
      <c r="AC8925"/>
      <c r="AD8925"/>
      <c r="AE8925"/>
      <c r="AF8925"/>
      <c r="AG8925"/>
      <c r="AH8925"/>
      <c r="AI8925"/>
      <c r="AJ8925"/>
      <c r="AK8925"/>
      <c r="AL8925"/>
      <c r="AM8925"/>
      <c r="AN8925"/>
      <c r="AO8925"/>
      <c r="AP8925"/>
      <c r="AQ8925"/>
      <c r="AR8925"/>
      <c r="AS8925"/>
      <c r="AT8925"/>
      <c r="AU8925"/>
      <c r="AV8925"/>
      <c r="AW8925"/>
      <c r="AX8925"/>
      <c r="AY8925"/>
      <c r="AZ8925"/>
      <c r="BA8925"/>
      <c r="BB8925"/>
      <c r="BC8925"/>
      <c r="BD8925"/>
      <c r="BE8925"/>
      <c r="BF8925"/>
      <c r="BG8925"/>
      <c r="BH8925"/>
      <c r="BI8925"/>
      <c r="BJ8925"/>
      <c r="BK8925"/>
    </row>
    <row r="8926" spans="1:63" s="93" customFormat="1" ht="9" customHeight="1" x14ac:dyDescent="0.3">
      <c r="A8926" s="91"/>
      <c r="B8926" s="70"/>
      <c r="C8926" s="70"/>
      <c r="D8926" s="70"/>
      <c r="E8926" s="70"/>
      <c r="F8926" s="70"/>
      <c r="G8926" s="94"/>
      <c r="H8926" s="131"/>
      <c r="I8926" s="3"/>
      <c r="J8926"/>
      <c r="K8926"/>
      <c r="L8926"/>
      <c r="M8926"/>
      <c r="N8926"/>
      <c r="O8926"/>
      <c r="P8926"/>
      <c r="Q8926"/>
      <c r="R8926"/>
      <c r="S8926"/>
      <c r="T8926"/>
      <c r="U8926"/>
      <c r="V8926"/>
      <c r="W8926"/>
      <c r="X8926"/>
      <c r="Y8926"/>
      <c r="Z8926"/>
      <c r="AA8926"/>
      <c r="AB8926"/>
      <c r="AC8926"/>
      <c r="AD8926"/>
      <c r="AE8926"/>
      <c r="AF8926"/>
      <c r="AG8926"/>
      <c r="AH8926"/>
      <c r="AI8926"/>
      <c r="AJ8926"/>
      <c r="AK8926"/>
      <c r="AL8926"/>
      <c r="AM8926"/>
      <c r="AN8926"/>
      <c r="AO8926"/>
      <c r="AP8926"/>
      <c r="AQ8926"/>
      <c r="AR8926"/>
      <c r="AS8926"/>
      <c r="AT8926"/>
      <c r="AU8926"/>
      <c r="AV8926"/>
      <c r="AW8926"/>
      <c r="AX8926"/>
      <c r="AY8926"/>
      <c r="AZ8926"/>
      <c r="BA8926"/>
      <c r="BB8926"/>
      <c r="BC8926"/>
      <c r="BD8926"/>
      <c r="BE8926"/>
      <c r="BF8926"/>
      <c r="BG8926"/>
      <c r="BH8926"/>
      <c r="BI8926"/>
      <c r="BJ8926"/>
      <c r="BK8926"/>
    </row>
    <row r="8927" spans="1:63" s="93" customFormat="1" ht="9" customHeight="1" x14ac:dyDescent="0.3">
      <c r="A8927" s="91"/>
      <c r="B8927" s="70"/>
      <c r="C8927" s="70"/>
      <c r="D8927" s="70"/>
      <c r="E8927" s="70"/>
      <c r="F8927" s="70"/>
      <c r="G8927" s="94"/>
      <c r="H8927" s="131"/>
      <c r="I8927" s="3"/>
      <c r="J8927"/>
      <c r="K8927"/>
      <c r="L8927"/>
      <c r="M8927"/>
      <c r="N8927"/>
      <c r="O8927"/>
      <c r="P8927"/>
      <c r="Q8927"/>
      <c r="R8927"/>
      <c r="S8927"/>
      <c r="T8927"/>
      <c r="U8927"/>
      <c r="V8927"/>
      <c r="W8927"/>
      <c r="X8927"/>
      <c r="Y8927"/>
      <c r="Z8927"/>
      <c r="AA8927"/>
      <c r="AB8927"/>
      <c r="AC8927"/>
      <c r="AD8927"/>
      <c r="AE8927"/>
      <c r="AF8927"/>
      <c r="AG8927"/>
      <c r="AH8927"/>
      <c r="AI8927"/>
      <c r="AJ8927"/>
      <c r="AK8927"/>
      <c r="AL8927"/>
      <c r="AM8927"/>
      <c r="AN8927"/>
      <c r="AO8927"/>
      <c r="AP8927"/>
      <c r="AQ8927"/>
      <c r="AR8927"/>
      <c r="AS8927"/>
      <c r="AT8927"/>
      <c r="AU8927"/>
      <c r="AV8927"/>
      <c r="AW8927"/>
      <c r="AX8927"/>
      <c r="AY8927"/>
      <c r="AZ8927"/>
      <c r="BA8927"/>
      <c r="BB8927"/>
      <c r="BC8927"/>
      <c r="BD8927"/>
      <c r="BE8927"/>
      <c r="BF8927"/>
      <c r="BG8927"/>
      <c r="BH8927"/>
      <c r="BI8927"/>
      <c r="BJ8927"/>
      <c r="BK8927"/>
    </row>
    <row r="8928" spans="1:63" s="93" customFormat="1" ht="9" customHeight="1" x14ac:dyDescent="0.3">
      <c r="A8928" s="91"/>
      <c r="B8928" s="70"/>
      <c r="C8928" s="70"/>
      <c r="D8928" s="70"/>
      <c r="E8928" s="70"/>
      <c r="F8928" s="70"/>
      <c r="G8928" s="94"/>
      <c r="H8928" s="131"/>
      <c r="I8928" s="3"/>
      <c r="J8928"/>
      <c r="K8928"/>
      <c r="L8928"/>
      <c r="M8928"/>
      <c r="N8928"/>
      <c r="O8928"/>
      <c r="P8928"/>
      <c r="Q8928"/>
      <c r="R8928"/>
      <c r="S8928"/>
      <c r="T8928"/>
      <c r="U8928"/>
      <c r="V8928"/>
      <c r="W8928"/>
      <c r="X8928"/>
      <c r="Y8928"/>
      <c r="Z8928"/>
      <c r="AA8928"/>
      <c r="AB8928"/>
      <c r="AC8928"/>
      <c r="AD8928"/>
      <c r="AE8928"/>
      <c r="AF8928"/>
      <c r="AG8928"/>
      <c r="AH8928"/>
      <c r="AI8928"/>
      <c r="AJ8928"/>
      <c r="AK8928"/>
      <c r="AL8928"/>
      <c r="AM8928"/>
      <c r="AN8928"/>
      <c r="AO8928"/>
      <c r="AP8928"/>
      <c r="AQ8928"/>
      <c r="AR8928"/>
      <c r="AS8928"/>
      <c r="AT8928"/>
      <c r="AU8928"/>
      <c r="AV8928"/>
      <c r="AW8928"/>
      <c r="AX8928"/>
      <c r="AY8928"/>
      <c r="AZ8928"/>
      <c r="BA8928"/>
      <c r="BB8928"/>
      <c r="BC8928"/>
      <c r="BD8928"/>
      <c r="BE8928"/>
      <c r="BF8928"/>
      <c r="BG8928"/>
      <c r="BH8928"/>
      <c r="BI8928"/>
      <c r="BJ8928"/>
      <c r="BK8928"/>
    </row>
    <row r="8929" spans="1:63" s="93" customFormat="1" ht="9" customHeight="1" x14ac:dyDescent="0.3">
      <c r="A8929" s="91"/>
      <c r="B8929" s="70"/>
      <c r="C8929" s="70"/>
      <c r="D8929" s="70"/>
      <c r="E8929" s="70"/>
      <c r="F8929" s="70"/>
      <c r="G8929" s="94"/>
      <c r="H8929" s="131"/>
      <c r="I8929" s="3"/>
      <c r="J8929"/>
      <c r="K8929"/>
      <c r="L8929"/>
      <c r="M8929"/>
      <c r="N8929"/>
      <c r="O8929"/>
      <c r="P8929"/>
      <c r="Q8929"/>
      <c r="R8929"/>
      <c r="S8929"/>
      <c r="T8929"/>
      <c r="U8929"/>
      <c r="V8929"/>
      <c r="W8929"/>
      <c r="X8929"/>
      <c r="Y8929"/>
      <c r="Z8929"/>
      <c r="AA8929"/>
      <c r="AB8929"/>
      <c r="AC8929"/>
      <c r="AD8929"/>
      <c r="AE8929"/>
      <c r="AF8929"/>
      <c r="AG8929"/>
      <c r="AH8929"/>
      <c r="AI8929"/>
      <c r="AJ8929"/>
      <c r="AK8929"/>
      <c r="AL8929"/>
      <c r="AM8929"/>
      <c r="AN8929"/>
      <c r="AO8929"/>
      <c r="AP8929"/>
      <c r="AQ8929"/>
      <c r="AR8929"/>
      <c r="AS8929"/>
      <c r="AT8929"/>
      <c r="AU8929"/>
      <c r="AV8929"/>
      <c r="AW8929"/>
      <c r="AX8929"/>
      <c r="AY8929"/>
      <c r="AZ8929"/>
      <c r="BA8929"/>
      <c r="BB8929"/>
      <c r="BC8929"/>
      <c r="BD8929"/>
      <c r="BE8929"/>
      <c r="BF8929"/>
      <c r="BG8929"/>
      <c r="BH8929"/>
      <c r="BI8929"/>
      <c r="BJ8929"/>
      <c r="BK8929"/>
    </row>
    <row r="8930" spans="1:63" s="93" customFormat="1" ht="9" customHeight="1" x14ac:dyDescent="0.3">
      <c r="A8930" s="91"/>
      <c r="B8930" s="70"/>
      <c r="C8930" s="70"/>
      <c r="D8930" s="70"/>
      <c r="E8930" s="70"/>
      <c r="F8930" s="70"/>
      <c r="G8930" s="94"/>
      <c r="H8930" s="131"/>
      <c r="I8930" s="3"/>
      <c r="J8930"/>
      <c r="K8930"/>
      <c r="L8930"/>
      <c r="M8930"/>
      <c r="N8930"/>
      <c r="O8930"/>
      <c r="P8930"/>
      <c r="Q8930"/>
      <c r="R8930"/>
      <c r="S8930"/>
      <c r="T8930"/>
      <c r="U8930"/>
      <c r="V8930"/>
      <c r="W8930"/>
      <c r="X8930"/>
      <c r="Y8930"/>
      <c r="Z8930"/>
      <c r="AA8930"/>
      <c r="AB8930"/>
      <c r="AC8930"/>
      <c r="AD8930"/>
      <c r="AE8930"/>
      <c r="AF8930"/>
      <c r="AG8930"/>
      <c r="AH8930"/>
      <c r="AI8930"/>
      <c r="AJ8930"/>
      <c r="AK8930"/>
      <c r="AL8930"/>
      <c r="AM8930"/>
      <c r="AN8930"/>
      <c r="AO8930"/>
      <c r="AP8930"/>
      <c r="AQ8930"/>
      <c r="AR8930"/>
      <c r="AS8930"/>
      <c r="AT8930"/>
      <c r="AU8930"/>
      <c r="AV8930"/>
      <c r="AW8930"/>
      <c r="AX8930"/>
      <c r="AY8930"/>
      <c r="AZ8930"/>
      <c r="BA8930"/>
      <c r="BB8930"/>
      <c r="BC8930"/>
      <c r="BD8930"/>
      <c r="BE8930"/>
      <c r="BF8930"/>
      <c r="BG8930"/>
      <c r="BH8930"/>
      <c r="BI8930"/>
      <c r="BJ8930"/>
      <c r="BK8930"/>
    </row>
    <row r="8931" spans="1:63" s="93" customFormat="1" ht="9" customHeight="1" x14ac:dyDescent="0.3">
      <c r="A8931" s="91"/>
      <c r="B8931" s="70"/>
      <c r="C8931" s="70"/>
      <c r="D8931" s="70"/>
      <c r="E8931" s="70"/>
      <c r="F8931" s="70"/>
      <c r="G8931" s="94"/>
      <c r="H8931" s="131"/>
      <c r="I8931" s="3"/>
      <c r="J8931"/>
      <c r="K8931"/>
      <c r="L8931"/>
      <c r="M8931"/>
      <c r="N8931"/>
      <c r="O8931"/>
      <c r="P8931"/>
      <c r="Q8931"/>
      <c r="R8931"/>
      <c r="S8931"/>
      <c r="T8931"/>
      <c r="U8931"/>
      <c r="V8931"/>
      <c r="W8931"/>
      <c r="X8931"/>
      <c r="Y8931"/>
      <c r="Z8931"/>
      <c r="AA8931"/>
      <c r="AB8931"/>
      <c r="AC8931"/>
      <c r="AD8931"/>
      <c r="AE8931"/>
      <c r="AF8931"/>
      <c r="AG8931"/>
      <c r="AH8931"/>
      <c r="AI8931"/>
      <c r="AJ8931"/>
      <c r="AK8931"/>
      <c r="AL8931"/>
      <c r="AM8931"/>
      <c r="AN8931"/>
      <c r="AO8931"/>
      <c r="AP8931"/>
      <c r="AQ8931"/>
      <c r="AR8931"/>
      <c r="AS8931"/>
      <c r="AT8931"/>
      <c r="AU8931"/>
      <c r="AV8931"/>
      <c r="AW8931"/>
      <c r="AX8931"/>
      <c r="AY8931"/>
      <c r="AZ8931"/>
      <c r="BA8931"/>
      <c r="BB8931"/>
      <c r="BC8931"/>
      <c r="BD8931"/>
      <c r="BE8931"/>
      <c r="BF8931"/>
      <c r="BG8931"/>
      <c r="BH8931"/>
      <c r="BI8931"/>
      <c r="BJ8931"/>
      <c r="BK8931"/>
    </row>
    <row r="8932" spans="1:63" s="93" customFormat="1" ht="9" customHeight="1" x14ac:dyDescent="0.3">
      <c r="A8932" s="91"/>
      <c r="B8932" s="70"/>
      <c r="C8932" s="70"/>
      <c r="D8932" s="70"/>
      <c r="E8932" s="70"/>
      <c r="F8932" s="70"/>
      <c r="G8932" s="94"/>
      <c r="H8932" s="131"/>
      <c r="I8932" s="3"/>
      <c r="J8932"/>
      <c r="K8932"/>
      <c r="L8932"/>
      <c r="M8932"/>
      <c r="N8932"/>
      <c r="O8932"/>
      <c r="P8932"/>
      <c r="Q8932"/>
      <c r="R8932"/>
      <c r="S8932"/>
      <c r="T8932"/>
      <c r="U8932"/>
      <c r="V8932"/>
      <c r="W8932"/>
      <c r="X8932"/>
      <c r="Y8932"/>
      <c r="Z8932"/>
      <c r="AA8932"/>
      <c r="AB8932"/>
      <c r="AC8932"/>
      <c r="AD8932"/>
      <c r="AE8932"/>
      <c r="AF8932"/>
      <c r="AG8932"/>
      <c r="AH8932"/>
      <c r="AI8932"/>
      <c r="AJ8932"/>
      <c r="AK8932"/>
      <c r="AL8932"/>
      <c r="AM8932"/>
      <c r="AN8932"/>
      <c r="AO8932"/>
      <c r="AP8932"/>
      <c r="AQ8932"/>
      <c r="AR8932"/>
      <c r="AS8932"/>
      <c r="AT8932"/>
      <c r="AU8932"/>
      <c r="AV8932"/>
      <c r="AW8932"/>
      <c r="AX8932"/>
      <c r="AY8932"/>
      <c r="AZ8932"/>
      <c r="BA8932"/>
      <c r="BB8932"/>
      <c r="BC8932"/>
      <c r="BD8932"/>
      <c r="BE8932"/>
      <c r="BF8932"/>
      <c r="BG8932"/>
      <c r="BH8932"/>
      <c r="BI8932"/>
      <c r="BJ8932"/>
      <c r="BK8932"/>
    </row>
    <row r="8933" spans="1:63" s="93" customFormat="1" ht="9" customHeight="1" x14ac:dyDescent="0.3">
      <c r="A8933" s="91"/>
      <c r="B8933" s="70"/>
      <c r="C8933" s="70"/>
      <c r="D8933" s="70"/>
      <c r="E8933" s="70"/>
      <c r="F8933" s="70"/>
      <c r="G8933" s="94"/>
      <c r="H8933" s="131"/>
      <c r="I8933" s="3"/>
      <c r="J8933"/>
      <c r="K8933"/>
      <c r="L8933"/>
      <c r="M8933"/>
      <c r="N8933"/>
      <c r="O8933"/>
      <c r="P8933"/>
      <c r="Q8933"/>
      <c r="R8933"/>
      <c r="S8933"/>
      <c r="T8933"/>
      <c r="U8933"/>
      <c r="V8933"/>
      <c r="W8933"/>
      <c r="X8933"/>
      <c r="Y8933"/>
      <c r="Z8933"/>
      <c r="AA8933"/>
      <c r="AB8933"/>
      <c r="AC8933"/>
      <c r="AD8933"/>
      <c r="AE8933"/>
      <c r="AF8933"/>
      <c r="AG8933"/>
      <c r="AH8933"/>
      <c r="AI8933"/>
      <c r="AJ8933"/>
      <c r="AK8933"/>
      <c r="AL8933"/>
      <c r="AM8933"/>
      <c r="AN8933"/>
      <c r="AO8933"/>
      <c r="AP8933"/>
      <c r="AQ8933"/>
      <c r="AR8933"/>
      <c r="AS8933"/>
      <c r="AT8933"/>
      <c r="AU8933"/>
      <c r="AV8933"/>
      <c r="AW8933"/>
      <c r="AX8933"/>
      <c r="AY8933"/>
      <c r="AZ8933"/>
      <c r="BA8933"/>
      <c r="BB8933"/>
      <c r="BC8933"/>
      <c r="BD8933"/>
      <c r="BE8933"/>
      <c r="BF8933"/>
      <c r="BG8933"/>
      <c r="BH8933"/>
      <c r="BI8933"/>
      <c r="BJ8933"/>
      <c r="BK8933"/>
    </row>
    <row r="8934" spans="1:63" s="93" customFormat="1" ht="9" customHeight="1" x14ac:dyDescent="0.3">
      <c r="A8934" s="91"/>
      <c r="B8934" s="70"/>
      <c r="C8934" s="70"/>
      <c r="D8934" s="70"/>
      <c r="E8934" s="70"/>
      <c r="F8934" s="70"/>
      <c r="G8934" s="94"/>
      <c r="H8934" s="131"/>
      <c r="I8934" s="3"/>
      <c r="J8934"/>
      <c r="K8934"/>
      <c r="L8934"/>
      <c r="M8934"/>
      <c r="N8934"/>
      <c r="O8934"/>
      <c r="P8934"/>
      <c r="Q8934"/>
      <c r="R8934"/>
      <c r="S8934"/>
      <c r="T8934"/>
      <c r="U8934"/>
      <c r="V8934"/>
      <c r="W8934"/>
      <c r="X8934"/>
      <c r="Y8934"/>
      <c r="Z8934"/>
      <c r="AA8934"/>
      <c r="AB8934"/>
      <c r="AC8934"/>
      <c r="AD8934"/>
      <c r="AE8934"/>
      <c r="AF8934"/>
      <c r="AG8934"/>
      <c r="AH8934"/>
      <c r="AI8934"/>
      <c r="AJ8934"/>
      <c r="AK8934"/>
      <c r="AL8934"/>
      <c r="AM8934"/>
      <c r="AN8934"/>
      <c r="AO8934"/>
      <c r="AP8934"/>
      <c r="AQ8934"/>
      <c r="AR8934"/>
      <c r="AS8934"/>
      <c r="AT8934"/>
      <c r="AU8934"/>
      <c r="AV8934"/>
      <c r="AW8934"/>
      <c r="AX8934"/>
      <c r="AY8934"/>
      <c r="AZ8934"/>
      <c r="BA8934"/>
      <c r="BB8934"/>
      <c r="BC8934"/>
      <c r="BD8934"/>
      <c r="BE8934"/>
      <c r="BF8934"/>
      <c r="BG8934"/>
      <c r="BH8934"/>
      <c r="BI8934"/>
      <c r="BJ8934"/>
      <c r="BK8934"/>
    </row>
    <row r="8935" spans="1:63" s="93" customFormat="1" ht="9" customHeight="1" x14ac:dyDescent="0.3">
      <c r="A8935" s="91"/>
      <c r="B8935" s="70"/>
      <c r="C8935" s="70"/>
      <c r="D8935" s="70"/>
      <c r="E8935" s="70"/>
      <c r="F8935" s="70"/>
      <c r="G8935" s="94"/>
      <c r="H8935" s="131"/>
      <c r="I8935" s="3"/>
      <c r="J8935"/>
      <c r="K8935"/>
      <c r="L8935"/>
      <c r="M8935"/>
      <c r="N8935"/>
      <c r="O8935"/>
      <c r="P8935"/>
      <c r="Q8935"/>
      <c r="R8935"/>
      <c r="S8935"/>
      <c r="T8935"/>
      <c r="U8935"/>
      <c r="V8935"/>
      <c r="W8935"/>
      <c r="X8935"/>
      <c r="Y8935"/>
      <c r="Z8935"/>
      <c r="AA8935"/>
      <c r="AB8935"/>
      <c r="AC8935"/>
      <c r="AD8935"/>
      <c r="AE8935"/>
      <c r="AF8935"/>
      <c r="AG8935"/>
      <c r="AH8935"/>
      <c r="AI8935"/>
      <c r="AJ8935"/>
      <c r="AK8935"/>
      <c r="AL8935"/>
      <c r="AM8935"/>
      <c r="AN8935"/>
      <c r="AO8935"/>
      <c r="AP8935"/>
      <c r="AQ8935"/>
      <c r="AR8935"/>
      <c r="AS8935"/>
      <c r="AT8935"/>
      <c r="AU8935"/>
      <c r="AV8935"/>
      <c r="AW8935"/>
      <c r="AX8935"/>
      <c r="AY8935"/>
      <c r="AZ8935"/>
      <c r="BA8935"/>
      <c r="BB8935"/>
      <c r="BC8935"/>
      <c r="BD8935"/>
      <c r="BE8935"/>
      <c r="BF8935"/>
      <c r="BG8935"/>
      <c r="BH8935"/>
      <c r="BI8935"/>
      <c r="BJ8935"/>
      <c r="BK8935"/>
    </row>
    <row r="8936" spans="1:63" s="93" customFormat="1" ht="9" customHeight="1" x14ac:dyDescent="0.3">
      <c r="A8936" s="91"/>
      <c r="B8936" s="70"/>
      <c r="C8936" s="70"/>
      <c r="D8936" s="70"/>
      <c r="E8936" s="70"/>
      <c r="F8936" s="70"/>
      <c r="G8936" s="94"/>
      <c r="H8936" s="131"/>
      <c r="I8936" s="3"/>
      <c r="J8936"/>
      <c r="K8936"/>
      <c r="L8936"/>
      <c r="M8936"/>
      <c r="N8936"/>
      <c r="O8936"/>
      <c r="P8936"/>
      <c r="Q8936"/>
      <c r="R8936"/>
      <c r="S8936"/>
      <c r="T8936"/>
      <c r="U8936"/>
      <c r="V8936"/>
      <c r="W8936"/>
      <c r="X8936"/>
      <c r="Y8936"/>
      <c r="Z8936"/>
      <c r="AA8936"/>
      <c r="AB8936"/>
      <c r="AC8936"/>
      <c r="AD8936"/>
      <c r="AE8936"/>
      <c r="AF8936"/>
      <c r="AG8936"/>
      <c r="AH8936"/>
      <c r="AI8936"/>
      <c r="AJ8936"/>
      <c r="AK8936"/>
      <c r="AL8936"/>
      <c r="AM8936"/>
      <c r="AN8936"/>
      <c r="AO8936"/>
      <c r="AP8936"/>
      <c r="AQ8936"/>
      <c r="AR8936"/>
      <c r="AS8936"/>
      <c r="AT8936"/>
      <c r="AU8936"/>
      <c r="AV8936"/>
      <c r="AW8936"/>
      <c r="AX8936"/>
      <c r="AY8936"/>
      <c r="AZ8936"/>
      <c r="BA8936"/>
      <c r="BB8936"/>
      <c r="BC8936"/>
      <c r="BD8936"/>
      <c r="BE8936"/>
      <c r="BF8936"/>
      <c r="BG8936"/>
      <c r="BH8936"/>
      <c r="BI8936"/>
      <c r="BJ8936"/>
      <c r="BK8936"/>
    </row>
    <row r="8937" spans="1:63" s="93" customFormat="1" ht="9" customHeight="1" x14ac:dyDescent="0.3">
      <c r="A8937" s="91"/>
      <c r="B8937" s="70"/>
      <c r="C8937" s="70"/>
      <c r="D8937" s="70"/>
      <c r="E8937" s="70"/>
      <c r="F8937" s="70"/>
      <c r="G8937" s="94"/>
      <c r="H8937" s="131"/>
      <c r="I8937" s="3"/>
      <c r="J8937"/>
      <c r="K8937"/>
      <c r="L8937"/>
      <c r="M8937"/>
      <c r="N8937"/>
      <c r="O8937"/>
      <c r="P8937"/>
      <c r="Q8937"/>
      <c r="R8937"/>
      <c r="S8937"/>
      <c r="T8937"/>
      <c r="U8937"/>
      <c r="V8937"/>
      <c r="W8937"/>
      <c r="X8937"/>
      <c r="Y8937"/>
      <c r="Z8937"/>
      <c r="AA8937"/>
      <c r="AB8937"/>
      <c r="AC8937"/>
      <c r="AD8937"/>
      <c r="AE8937"/>
      <c r="AF8937"/>
      <c r="AG8937"/>
      <c r="AH8937"/>
      <c r="AI8937"/>
      <c r="AJ8937"/>
      <c r="AK8937"/>
      <c r="AL8937"/>
      <c r="AM8937"/>
      <c r="AN8937"/>
      <c r="AO8937"/>
      <c r="AP8937"/>
      <c r="AQ8937"/>
      <c r="AR8937"/>
      <c r="AS8937"/>
      <c r="AT8937"/>
      <c r="AU8937"/>
      <c r="AV8937"/>
      <c r="AW8937"/>
      <c r="AX8937"/>
      <c r="AY8937"/>
      <c r="AZ8937"/>
      <c r="BA8937"/>
      <c r="BB8937"/>
      <c r="BC8937"/>
      <c r="BD8937"/>
      <c r="BE8937"/>
      <c r="BF8937"/>
      <c r="BG8937"/>
      <c r="BH8937"/>
      <c r="BI8937"/>
      <c r="BJ8937"/>
      <c r="BK8937"/>
    </row>
    <row r="8938" spans="1:63" s="93" customFormat="1" ht="9" customHeight="1" x14ac:dyDescent="0.3">
      <c r="A8938" s="91"/>
      <c r="B8938" s="70"/>
      <c r="C8938" s="70"/>
      <c r="D8938" s="70"/>
      <c r="E8938" s="70"/>
      <c r="F8938" s="70"/>
      <c r="G8938" s="94"/>
      <c r="H8938" s="131"/>
      <c r="I8938" s="3"/>
      <c r="J8938"/>
      <c r="K8938"/>
      <c r="L8938"/>
      <c r="M8938"/>
      <c r="N8938"/>
      <c r="O8938"/>
      <c r="P8938"/>
      <c r="Q8938"/>
      <c r="R8938"/>
      <c r="S8938"/>
      <c r="T8938"/>
      <c r="U8938"/>
      <c r="V8938"/>
      <c r="W8938"/>
      <c r="X8938"/>
      <c r="Y8938"/>
      <c r="Z8938"/>
      <c r="AA8938"/>
      <c r="AB8938"/>
      <c r="AC8938"/>
      <c r="AD8938"/>
      <c r="AE8938"/>
      <c r="AF8938"/>
      <c r="AG8938"/>
      <c r="AH8938"/>
      <c r="AI8938"/>
      <c r="AJ8938"/>
      <c r="AK8938"/>
      <c r="AL8938"/>
      <c r="AM8938"/>
      <c r="AN8938"/>
      <c r="AO8938"/>
      <c r="AP8938"/>
      <c r="AQ8938"/>
      <c r="AR8938"/>
      <c r="AS8938"/>
      <c r="AT8938"/>
      <c r="AU8938"/>
      <c r="AV8938"/>
      <c r="AW8938"/>
      <c r="AX8938"/>
      <c r="AY8938"/>
      <c r="AZ8938"/>
      <c r="BA8938"/>
      <c r="BB8938"/>
      <c r="BC8938"/>
      <c r="BD8938"/>
      <c r="BE8938"/>
      <c r="BF8938"/>
      <c r="BG8938"/>
      <c r="BH8938"/>
      <c r="BI8938"/>
      <c r="BJ8938"/>
      <c r="BK8938"/>
    </row>
    <row r="8939" spans="1:63" s="93" customFormat="1" ht="9" customHeight="1" x14ac:dyDescent="0.3">
      <c r="A8939" s="91"/>
      <c r="B8939" s="70"/>
      <c r="C8939" s="70"/>
      <c r="D8939" s="70"/>
      <c r="E8939" s="70"/>
      <c r="F8939" s="70"/>
      <c r="G8939" s="94"/>
      <c r="H8939" s="131"/>
      <c r="I8939" s="3"/>
      <c r="J8939"/>
      <c r="K8939"/>
      <c r="L8939"/>
      <c r="M8939"/>
      <c r="N8939"/>
      <c r="O8939"/>
      <c r="P8939"/>
      <c r="Q8939"/>
      <c r="R8939"/>
      <c r="S8939"/>
      <c r="T8939"/>
      <c r="U8939"/>
      <c r="V8939"/>
      <c r="W8939"/>
      <c r="X8939"/>
      <c r="Y8939"/>
      <c r="Z8939"/>
      <c r="AA8939"/>
      <c r="AB8939"/>
      <c r="AC8939"/>
      <c r="AD8939"/>
      <c r="AE8939"/>
      <c r="AF8939"/>
      <c r="AG8939"/>
      <c r="AH8939"/>
      <c r="AI8939"/>
      <c r="AJ8939"/>
      <c r="AK8939"/>
      <c r="AL8939"/>
      <c r="AM8939"/>
      <c r="AN8939"/>
      <c r="AO8939"/>
      <c r="AP8939"/>
      <c r="AQ8939"/>
      <c r="AR8939"/>
      <c r="AS8939"/>
      <c r="AT8939"/>
      <c r="AU8939"/>
      <c r="AV8939"/>
      <c r="AW8939"/>
      <c r="AX8939"/>
      <c r="AY8939"/>
      <c r="AZ8939"/>
      <c r="BA8939"/>
      <c r="BB8939"/>
      <c r="BC8939"/>
      <c r="BD8939"/>
      <c r="BE8939"/>
      <c r="BF8939"/>
      <c r="BG8939"/>
      <c r="BH8939"/>
      <c r="BI8939"/>
      <c r="BJ8939"/>
      <c r="BK8939"/>
    </row>
    <row r="8940" spans="1:63" s="93" customFormat="1" ht="9" customHeight="1" x14ac:dyDescent="0.3">
      <c r="A8940" s="91"/>
      <c r="B8940" s="70"/>
      <c r="C8940" s="70"/>
      <c r="D8940" s="70"/>
      <c r="E8940" s="70"/>
      <c r="F8940" s="70"/>
      <c r="G8940" s="94"/>
      <c r="H8940" s="131"/>
      <c r="I8940" s="3"/>
      <c r="J8940"/>
      <c r="K8940"/>
      <c r="L8940"/>
      <c r="M8940"/>
      <c r="N8940"/>
      <c r="O8940"/>
      <c r="P8940"/>
      <c r="Q8940"/>
      <c r="R8940"/>
      <c r="S8940"/>
      <c r="T8940"/>
      <c r="U8940"/>
      <c r="V8940"/>
      <c r="W8940"/>
      <c r="X8940"/>
      <c r="Y8940"/>
      <c r="Z8940"/>
      <c r="AA8940"/>
      <c r="AB8940"/>
      <c r="AC8940"/>
      <c r="AD8940"/>
      <c r="AE8940"/>
      <c r="AF8940"/>
      <c r="AG8940"/>
      <c r="AH8940"/>
      <c r="AI8940"/>
      <c r="AJ8940"/>
      <c r="AK8940"/>
      <c r="AL8940"/>
      <c r="AM8940"/>
      <c r="AN8940"/>
      <c r="AO8940"/>
      <c r="AP8940"/>
      <c r="AQ8940"/>
      <c r="AR8940"/>
      <c r="AS8940"/>
      <c r="AT8940"/>
      <c r="AU8940"/>
      <c r="AV8940"/>
      <c r="AW8940"/>
      <c r="AX8940"/>
      <c r="AY8940"/>
      <c r="AZ8940"/>
      <c r="BA8940"/>
      <c r="BB8940"/>
      <c r="BC8940"/>
      <c r="BD8940"/>
      <c r="BE8940"/>
      <c r="BF8940"/>
      <c r="BG8940"/>
      <c r="BH8940"/>
      <c r="BI8940"/>
      <c r="BJ8940"/>
      <c r="BK8940"/>
    </row>
    <row r="8941" spans="1:63" s="93" customFormat="1" ht="9" customHeight="1" x14ac:dyDescent="0.3">
      <c r="A8941" s="91"/>
      <c r="B8941" s="70"/>
      <c r="C8941" s="70"/>
      <c r="D8941" s="70"/>
      <c r="E8941" s="70"/>
      <c r="F8941" s="70"/>
      <c r="G8941" s="94"/>
      <c r="H8941" s="131"/>
      <c r="I8941" s="3"/>
      <c r="J8941"/>
      <c r="K8941"/>
      <c r="L8941"/>
      <c r="M8941"/>
      <c r="N8941"/>
      <c r="O8941"/>
      <c r="P8941"/>
      <c r="Q8941"/>
      <c r="R8941"/>
      <c r="S8941"/>
      <c r="T8941"/>
      <c r="U8941"/>
      <c r="V8941"/>
      <c r="W8941"/>
      <c r="X8941"/>
      <c r="Y8941"/>
      <c r="Z8941"/>
      <c r="AA8941"/>
      <c r="AB8941"/>
      <c r="AC8941"/>
      <c r="AD8941"/>
      <c r="AE8941"/>
      <c r="AF8941"/>
      <c r="AG8941"/>
      <c r="AH8941"/>
      <c r="AI8941"/>
      <c r="AJ8941"/>
      <c r="AK8941"/>
      <c r="AL8941"/>
      <c r="AM8941"/>
      <c r="AN8941"/>
      <c r="AO8941"/>
      <c r="AP8941"/>
      <c r="AQ8941"/>
      <c r="AR8941"/>
      <c r="AS8941"/>
      <c r="AT8941"/>
      <c r="AU8941"/>
      <c r="AV8941"/>
      <c r="AW8941"/>
      <c r="AX8941"/>
      <c r="AY8941"/>
      <c r="AZ8941"/>
      <c r="BA8941"/>
      <c r="BB8941"/>
      <c r="BC8941"/>
      <c r="BD8941"/>
      <c r="BE8941"/>
      <c r="BF8941"/>
      <c r="BG8941"/>
      <c r="BH8941"/>
      <c r="BI8941"/>
      <c r="BJ8941"/>
      <c r="BK8941"/>
    </row>
    <row r="8942" spans="1:63" s="93" customFormat="1" ht="9" customHeight="1" x14ac:dyDescent="0.3">
      <c r="A8942" s="91"/>
      <c r="B8942" s="70"/>
      <c r="C8942" s="70"/>
      <c r="D8942" s="70"/>
      <c r="E8942" s="70"/>
      <c r="F8942" s="70"/>
      <c r="G8942" s="94"/>
      <c r="H8942" s="131"/>
      <c r="I8942" s="3"/>
      <c r="J8942"/>
      <c r="K8942"/>
      <c r="L8942"/>
      <c r="M8942"/>
      <c r="N8942"/>
      <c r="O8942"/>
      <c r="P8942"/>
      <c r="Q8942"/>
      <c r="R8942"/>
      <c r="S8942"/>
      <c r="T8942"/>
      <c r="U8942"/>
      <c r="V8942"/>
      <c r="W8942"/>
      <c r="X8942"/>
      <c r="Y8942"/>
      <c r="Z8942"/>
      <c r="AA8942"/>
      <c r="AB8942"/>
      <c r="AC8942"/>
      <c r="AD8942"/>
      <c r="AE8942"/>
      <c r="AF8942"/>
      <c r="AG8942"/>
      <c r="AH8942"/>
      <c r="AI8942"/>
      <c r="AJ8942"/>
      <c r="AK8942"/>
      <c r="AL8942"/>
      <c r="AM8942"/>
      <c r="AN8942"/>
      <c r="AO8942"/>
      <c r="AP8942"/>
      <c r="AQ8942"/>
      <c r="AR8942"/>
      <c r="AS8942"/>
      <c r="AT8942"/>
      <c r="AU8942"/>
      <c r="AV8942"/>
      <c r="AW8942"/>
      <c r="AX8942"/>
      <c r="AY8942"/>
      <c r="AZ8942"/>
      <c r="BA8942"/>
      <c r="BB8942"/>
      <c r="BC8942"/>
      <c r="BD8942"/>
      <c r="BE8942"/>
      <c r="BF8942"/>
      <c r="BG8942"/>
      <c r="BH8942"/>
      <c r="BI8942"/>
      <c r="BJ8942"/>
      <c r="BK8942"/>
    </row>
    <row r="8943" spans="1:63" s="93" customFormat="1" ht="9" customHeight="1" x14ac:dyDescent="0.3">
      <c r="A8943" s="91"/>
      <c r="B8943" s="70"/>
      <c r="C8943" s="70"/>
      <c r="D8943" s="70"/>
      <c r="E8943" s="70"/>
      <c r="F8943" s="70"/>
      <c r="G8943" s="94"/>
      <c r="H8943" s="131"/>
      <c r="I8943" s="3"/>
      <c r="J8943"/>
      <c r="K8943"/>
      <c r="L8943"/>
      <c r="M8943"/>
      <c r="N8943"/>
      <c r="O8943"/>
      <c r="P8943"/>
      <c r="Q8943"/>
      <c r="R8943"/>
      <c r="S8943"/>
      <c r="T8943"/>
      <c r="U8943"/>
      <c r="V8943"/>
      <c r="W8943"/>
      <c r="X8943"/>
      <c r="Y8943"/>
      <c r="Z8943"/>
      <c r="AA8943"/>
      <c r="AB8943"/>
      <c r="AC8943"/>
      <c r="AD8943"/>
      <c r="AE8943"/>
      <c r="AF8943"/>
      <c r="AG8943"/>
      <c r="AH8943"/>
      <c r="AI8943"/>
      <c r="AJ8943"/>
      <c r="AK8943"/>
      <c r="AL8943"/>
      <c r="AM8943"/>
      <c r="AN8943"/>
      <c r="AO8943"/>
      <c r="AP8943"/>
      <c r="AQ8943"/>
      <c r="AR8943"/>
      <c r="AS8943"/>
      <c r="AT8943"/>
      <c r="AU8943"/>
      <c r="AV8943"/>
      <c r="AW8943"/>
      <c r="AX8943"/>
      <c r="AY8943"/>
      <c r="AZ8943"/>
      <c r="BA8943"/>
      <c r="BB8943"/>
      <c r="BC8943"/>
      <c r="BD8943"/>
      <c r="BE8943"/>
      <c r="BF8943"/>
      <c r="BG8943"/>
      <c r="BH8943"/>
      <c r="BI8943"/>
      <c r="BJ8943"/>
      <c r="BK8943"/>
    </row>
    <row r="8944" spans="1:63" s="93" customFormat="1" ht="9" customHeight="1" x14ac:dyDescent="0.3">
      <c r="A8944" s="91"/>
      <c r="B8944" s="70"/>
      <c r="C8944" s="70"/>
      <c r="D8944" s="70"/>
      <c r="E8944" s="70"/>
      <c r="F8944" s="70"/>
      <c r="G8944" s="94"/>
      <c r="H8944" s="131"/>
      <c r="I8944" s="3"/>
      <c r="J8944"/>
      <c r="K8944"/>
      <c r="L8944"/>
      <c r="M8944"/>
      <c r="N8944"/>
      <c r="O8944"/>
      <c r="P8944"/>
      <c r="Q8944"/>
      <c r="R8944"/>
      <c r="S8944"/>
      <c r="T8944"/>
      <c r="U8944"/>
      <c r="V8944"/>
      <c r="W8944"/>
      <c r="X8944"/>
      <c r="Y8944"/>
      <c r="Z8944"/>
      <c r="AA8944"/>
      <c r="AB8944"/>
      <c r="AC8944"/>
      <c r="AD8944"/>
      <c r="AE8944"/>
      <c r="AF8944"/>
      <c r="AG8944"/>
      <c r="AH8944"/>
      <c r="AI8944"/>
      <c r="AJ8944"/>
      <c r="AK8944"/>
      <c r="AL8944"/>
      <c r="AM8944"/>
      <c r="AN8944"/>
      <c r="AO8944"/>
      <c r="AP8944"/>
      <c r="AQ8944"/>
      <c r="AR8944"/>
      <c r="AS8944"/>
      <c r="AT8944"/>
      <c r="AU8944"/>
      <c r="AV8944"/>
      <c r="AW8944"/>
      <c r="AX8944"/>
      <c r="AY8944"/>
      <c r="AZ8944"/>
      <c r="BA8944"/>
      <c r="BB8944"/>
      <c r="BC8944"/>
      <c r="BD8944"/>
      <c r="BE8944"/>
      <c r="BF8944"/>
      <c r="BG8944"/>
      <c r="BH8944"/>
      <c r="BI8944"/>
      <c r="BJ8944"/>
      <c r="BK8944"/>
    </row>
    <row r="8945" spans="1:63" s="93" customFormat="1" ht="9" customHeight="1" x14ac:dyDescent="0.3">
      <c r="A8945" s="91"/>
      <c r="B8945" s="70"/>
      <c r="C8945" s="70"/>
      <c r="D8945" s="70"/>
      <c r="E8945" s="70"/>
      <c r="F8945" s="70"/>
      <c r="G8945" s="94"/>
      <c r="H8945" s="131"/>
      <c r="I8945" s="3"/>
      <c r="J8945"/>
      <c r="K8945"/>
      <c r="L8945"/>
      <c r="M8945"/>
      <c r="N8945"/>
      <c r="O8945"/>
      <c r="P8945"/>
      <c r="Q8945"/>
      <c r="R8945"/>
      <c r="S8945"/>
      <c r="T8945"/>
      <c r="U8945"/>
      <c r="V8945"/>
      <c r="W8945"/>
      <c r="X8945"/>
      <c r="Y8945"/>
      <c r="Z8945"/>
      <c r="AA8945"/>
      <c r="AB8945"/>
      <c r="AC8945"/>
      <c r="AD8945"/>
      <c r="AE8945"/>
      <c r="AF8945"/>
      <c r="AG8945"/>
      <c r="AH8945"/>
      <c r="AI8945"/>
      <c r="AJ8945"/>
      <c r="AK8945"/>
      <c r="AL8945"/>
      <c r="AM8945"/>
      <c r="AN8945"/>
      <c r="AO8945"/>
      <c r="AP8945"/>
      <c r="AQ8945"/>
      <c r="AR8945"/>
      <c r="AS8945"/>
      <c r="AT8945"/>
      <c r="AU8945"/>
      <c r="AV8945"/>
      <c r="AW8945"/>
      <c r="AX8945"/>
      <c r="AY8945"/>
      <c r="AZ8945"/>
      <c r="BA8945"/>
      <c r="BB8945"/>
      <c r="BC8945"/>
      <c r="BD8945"/>
      <c r="BE8945"/>
      <c r="BF8945"/>
      <c r="BG8945"/>
      <c r="BH8945"/>
      <c r="BI8945"/>
      <c r="BJ8945"/>
      <c r="BK8945"/>
    </row>
    <row r="8946" spans="1:63" s="93" customFormat="1" ht="9" customHeight="1" x14ac:dyDescent="0.3">
      <c r="A8946" s="91"/>
      <c r="B8946" s="70"/>
      <c r="C8946" s="70"/>
      <c r="D8946" s="70"/>
      <c r="E8946" s="70"/>
      <c r="F8946" s="70"/>
      <c r="G8946" s="94"/>
      <c r="H8946" s="131"/>
      <c r="I8946" s="3"/>
      <c r="J8946"/>
      <c r="K8946"/>
      <c r="L8946"/>
      <c r="M8946"/>
      <c r="N8946"/>
      <c r="O8946"/>
      <c r="P8946"/>
      <c r="Q8946"/>
      <c r="R8946"/>
      <c r="S8946"/>
      <c r="T8946"/>
      <c r="U8946"/>
      <c r="V8946"/>
      <c r="W8946"/>
      <c r="X8946"/>
      <c r="Y8946"/>
      <c r="Z8946"/>
      <c r="AA8946"/>
      <c r="AB8946"/>
      <c r="AC8946"/>
      <c r="AD8946"/>
      <c r="AE8946"/>
      <c r="AF8946"/>
      <c r="AG8946"/>
      <c r="AH8946"/>
      <c r="AI8946"/>
      <c r="AJ8946"/>
      <c r="AK8946"/>
      <c r="AL8946"/>
      <c r="AM8946"/>
      <c r="AN8946"/>
      <c r="AO8946"/>
      <c r="AP8946"/>
      <c r="AQ8946"/>
      <c r="AR8946"/>
      <c r="AS8946"/>
      <c r="AT8946"/>
      <c r="AU8946"/>
      <c r="AV8946"/>
      <c r="AW8946"/>
      <c r="AX8946"/>
      <c r="AY8946"/>
      <c r="AZ8946"/>
      <c r="BA8946"/>
      <c r="BB8946"/>
      <c r="BC8946"/>
      <c r="BD8946"/>
      <c r="BE8946"/>
      <c r="BF8946"/>
      <c r="BG8946"/>
      <c r="BH8946"/>
      <c r="BI8946"/>
      <c r="BJ8946"/>
      <c r="BK8946"/>
    </row>
    <row r="8947" spans="1:63" s="93" customFormat="1" ht="9" customHeight="1" x14ac:dyDescent="0.3">
      <c r="A8947" s="91"/>
      <c r="B8947" s="70"/>
      <c r="C8947" s="70"/>
      <c r="D8947" s="70"/>
      <c r="E8947" s="70"/>
      <c r="F8947" s="70"/>
      <c r="G8947" s="94"/>
      <c r="H8947" s="131"/>
      <c r="I8947" s="3"/>
      <c r="J8947"/>
      <c r="K8947"/>
      <c r="L8947"/>
      <c r="M8947"/>
      <c r="N8947"/>
      <c r="O8947"/>
      <c r="P8947"/>
      <c r="Q8947"/>
      <c r="R8947"/>
      <c r="S8947"/>
      <c r="T8947"/>
      <c r="U8947"/>
      <c r="V8947"/>
      <c r="W8947"/>
      <c r="X8947"/>
      <c r="Y8947"/>
      <c r="Z8947"/>
      <c r="AA8947"/>
      <c r="AB8947"/>
      <c r="AC8947"/>
      <c r="AD8947"/>
      <c r="AE8947"/>
      <c r="AF8947"/>
      <c r="AG8947"/>
      <c r="AH8947"/>
      <c r="AI8947"/>
      <c r="AJ8947"/>
      <c r="AK8947"/>
      <c r="AL8947"/>
      <c r="AM8947"/>
      <c r="AN8947"/>
      <c r="AO8947"/>
      <c r="AP8947"/>
      <c r="AQ8947"/>
      <c r="AR8947"/>
      <c r="AS8947"/>
      <c r="AT8947"/>
      <c r="AU8947"/>
      <c r="AV8947"/>
      <c r="AW8947"/>
      <c r="AX8947"/>
      <c r="AY8947"/>
      <c r="AZ8947"/>
      <c r="BA8947"/>
      <c r="BB8947"/>
      <c r="BC8947"/>
      <c r="BD8947"/>
      <c r="BE8947"/>
      <c r="BF8947"/>
      <c r="BG8947"/>
      <c r="BH8947"/>
      <c r="BI8947"/>
      <c r="BJ8947"/>
      <c r="BK8947"/>
    </row>
    <row r="8948" spans="1:63" s="93" customFormat="1" ht="9" customHeight="1" x14ac:dyDescent="0.3">
      <c r="A8948" s="91"/>
      <c r="B8948" s="70"/>
      <c r="C8948" s="70"/>
      <c r="D8948" s="70"/>
      <c r="E8948" s="70"/>
      <c r="F8948" s="70"/>
      <c r="G8948" s="94"/>
      <c r="H8948" s="131"/>
      <c r="I8948" s="3"/>
      <c r="J8948"/>
      <c r="K8948"/>
      <c r="L8948"/>
      <c r="M8948"/>
      <c r="N8948"/>
      <c r="O8948"/>
      <c r="P8948"/>
      <c r="Q8948"/>
      <c r="R8948"/>
      <c r="S8948"/>
      <c r="T8948"/>
      <c r="U8948"/>
      <c r="V8948"/>
      <c r="W8948"/>
      <c r="X8948"/>
      <c r="Y8948"/>
      <c r="Z8948"/>
      <c r="AA8948"/>
      <c r="AB8948"/>
      <c r="AC8948"/>
      <c r="AD8948"/>
      <c r="AE8948"/>
      <c r="AF8948"/>
      <c r="AG8948"/>
      <c r="AH8948"/>
      <c r="AI8948"/>
      <c r="AJ8948"/>
      <c r="AK8948"/>
      <c r="AL8948"/>
      <c r="AM8948"/>
      <c r="AN8948"/>
      <c r="AO8948"/>
      <c r="AP8948"/>
      <c r="AQ8948"/>
      <c r="AR8948"/>
      <c r="AS8948"/>
      <c r="AT8948"/>
      <c r="AU8948"/>
      <c r="AV8948"/>
      <c r="AW8948"/>
      <c r="AX8948"/>
      <c r="AY8948"/>
      <c r="AZ8948"/>
      <c r="BA8948"/>
      <c r="BB8948"/>
      <c r="BC8948"/>
      <c r="BD8948"/>
      <c r="BE8948"/>
      <c r="BF8948"/>
      <c r="BG8948"/>
      <c r="BH8948"/>
      <c r="BI8948"/>
      <c r="BJ8948"/>
      <c r="BK8948"/>
    </row>
    <row r="8949" spans="1:63" s="93" customFormat="1" ht="9" customHeight="1" x14ac:dyDescent="0.3">
      <c r="A8949" s="91"/>
      <c r="B8949" s="70"/>
      <c r="C8949" s="70"/>
      <c r="D8949" s="70"/>
      <c r="E8949" s="70"/>
      <c r="F8949" s="70"/>
      <c r="G8949" s="94"/>
      <c r="H8949" s="131"/>
      <c r="I8949" s="3"/>
      <c r="J8949"/>
      <c r="K8949"/>
      <c r="L8949"/>
      <c r="M8949"/>
      <c r="N8949"/>
      <c r="O8949"/>
      <c r="P8949"/>
      <c r="Q8949"/>
      <c r="R8949"/>
      <c r="S8949"/>
      <c r="T8949"/>
      <c r="U8949"/>
      <c r="V8949"/>
      <c r="W8949"/>
      <c r="X8949"/>
      <c r="Y8949"/>
      <c r="Z8949"/>
      <c r="AA8949"/>
      <c r="AB8949"/>
      <c r="AC8949"/>
      <c r="AD8949"/>
      <c r="AE8949"/>
      <c r="AF8949"/>
      <c r="AG8949"/>
      <c r="AH8949"/>
      <c r="AI8949"/>
      <c r="AJ8949"/>
      <c r="AK8949"/>
      <c r="AL8949"/>
      <c r="AM8949"/>
      <c r="AN8949"/>
      <c r="AO8949"/>
      <c r="AP8949"/>
      <c r="AQ8949"/>
      <c r="AR8949"/>
      <c r="AS8949"/>
      <c r="AT8949"/>
      <c r="AU8949"/>
      <c r="AV8949"/>
      <c r="AW8949"/>
      <c r="AX8949"/>
      <c r="AY8949"/>
      <c r="AZ8949"/>
      <c r="BA8949"/>
      <c r="BB8949"/>
      <c r="BC8949"/>
      <c r="BD8949"/>
      <c r="BE8949"/>
      <c r="BF8949"/>
      <c r="BG8949"/>
      <c r="BH8949"/>
      <c r="BI8949"/>
      <c r="BJ8949"/>
      <c r="BK8949"/>
    </row>
    <row r="8950" spans="1:63" s="93" customFormat="1" ht="9" customHeight="1" x14ac:dyDescent="0.3">
      <c r="A8950" s="91"/>
      <c r="B8950" s="70"/>
      <c r="C8950" s="70"/>
      <c r="D8950" s="70"/>
      <c r="E8950" s="70"/>
      <c r="F8950" s="70"/>
      <c r="G8950" s="94"/>
      <c r="H8950" s="131"/>
      <c r="I8950" s="3"/>
      <c r="J8950"/>
      <c r="K8950"/>
      <c r="L8950"/>
      <c r="M8950"/>
      <c r="N8950"/>
      <c r="O8950"/>
      <c r="P8950"/>
      <c r="Q8950"/>
      <c r="R8950"/>
      <c r="S8950"/>
      <c r="T8950"/>
      <c r="U8950"/>
      <c r="V8950"/>
      <c r="W8950"/>
      <c r="X8950"/>
      <c r="Y8950"/>
      <c r="Z8950"/>
      <c r="AA8950"/>
      <c r="AB8950"/>
      <c r="AC8950"/>
      <c r="AD8950"/>
      <c r="AE8950"/>
      <c r="AF8950"/>
      <c r="AG8950"/>
      <c r="AH8950"/>
      <c r="AI8950"/>
      <c r="AJ8950"/>
      <c r="AK8950"/>
      <c r="AL8950"/>
      <c r="AM8950"/>
      <c r="AN8950"/>
      <c r="AO8950"/>
      <c r="AP8950"/>
      <c r="AQ8950"/>
      <c r="AR8950"/>
      <c r="AS8950"/>
      <c r="AT8950"/>
      <c r="AU8950"/>
      <c r="AV8950"/>
      <c r="AW8950"/>
      <c r="AX8950"/>
      <c r="AY8950"/>
      <c r="AZ8950"/>
      <c r="BA8950"/>
      <c r="BB8950"/>
      <c r="BC8950"/>
      <c r="BD8950"/>
      <c r="BE8950"/>
      <c r="BF8950"/>
      <c r="BG8950"/>
      <c r="BH8950"/>
      <c r="BI8950"/>
      <c r="BJ8950"/>
      <c r="BK8950"/>
    </row>
    <row r="8951" spans="1:63" s="93" customFormat="1" ht="9" customHeight="1" x14ac:dyDescent="0.3">
      <c r="A8951" s="91"/>
      <c r="B8951" s="70"/>
      <c r="C8951" s="70"/>
      <c r="D8951" s="70"/>
      <c r="E8951" s="70"/>
      <c r="F8951" s="70"/>
      <c r="G8951" s="94"/>
      <c r="H8951" s="131"/>
      <c r="I8951" s="3"/>
      <c r="J8951"/>
      <c r="K8951"/>
      <c r="L8951"/>
      <c r="M8951"/>
      <c r="N8951"/>
      <c r="O8951"/>
      <c r="P8951"/>
      <c r="Q8951"/>
      <c r="R8951"/>
      <c r="S8951"/>
      <c r="T8951"/>
      <c r="U8951"/>
      <c r="V8951"/>
      <c r="W8951"/>
      <c r="X8951"/>
      <c r="Y8951"/>
      <c r="Z8951"/>
      <c r="AA8951"/>
      <c r="AB8951"/>
      <c r="AC8951"/>
      <c r="AD8951"/>
      <c r="AE8951"/>
      <c r="AF8951"/>
      <c r="AG8951"/>
      <c r="AH8951"/>
      <c r="AI8951"/>
      <c r="AJ8951"/>
      <c r="AK8951"/>
      <c r="AL8951"/>
      <c r="AM8951"/>
      <c r="AN8951"/>
      <c r="AO8951"/>
      <c r="AP8951"/>
      <c r="AQ8951"/>
      <c r="AR8951"/>
      <c r="AS8951"/>
      <c r="AT8951"/>
      <c r="AU8951"/>
      <c r="AV8951"/>
      <c r="AW8951"/>
      <c r="AX8951"/>
      <c r="AY8951"/>
      <c r="AZ8951"/>
      <c r="BA8951"/>
      <c r="BB8951"/>
      <c r="BC8951"/>
      <c r="BD8951"/>
      <c r="BE8951"/>
      <c r="BF8951"/>
      <c r="BG8951"/>
      <c r="BH8951"/>
      <c r="BI8951"/>
      <c r="BJ8951"/>
      <c r="BK8951"/>
    </row>
    <row r="8952" spans="1:63" s="93" customFormat="1" ht="9" customHeight="1" x14ac:dyDescent="0.3">
      <c r="A8952" s="91"/>
      <c r="B8952" s="70"/>
      <c r="C8952" s="70"/>
      <c r="D8952" s="70"/>
      <c r="E8952" s="70"/>
      <c r="F8952" s="70"/>
      <c r="G8952" s="94"/>
      <c r="H8952" s="131"/>
      <c r="I8952" s="3"/>
      <c r="J8952"/>
      <c r="K8952"/>
      <c r="L8952"/>
      <c r="M8952"/>
      <c r="N8952"/>
      <c r="O8952"/>
      <c r="P8952"/>
      <c r="Q8952"/>
      <c r="R8952"/>
      <c r="S8952"/>
      <c r="T8952"/>
      <c r="U8952"/>
      <c r="V8952"/>
      <c r="W8952"/>
      <c r="X8952"/>
      <c r="Y8952"/>
      <c r="Z8952"/>
      <c r="AA8952"/>
      <c r="AB8952"/>
      <c r="AC8952"/>
      <c r="AD8952"/>
      <c r="AE8952"/>
      <c r="AF8952"/>
      <c r="AG8952"/>
      <c r="AH8952"/>
      <c r="AI8952"/>
      <c r="AJ8952"/>
      <c r="AK8952"/>
      <c r="AL8952"/>
      <c r="AM8952"/>
      <c r="AN8952"/>
      <c r="AO8952"/>
      <c r="AP8952"/>
      <c r="AQ8952"/>
      <c r="AR8952"/>
      <c r="AS8952"/>
      <c r="AT8952"/>
      <c r="AU8952"/>
      <c r="AV8952"/>
      <c r="AW8952"/>
      <c r="AX8952"/>
      <c r="AY8952"/>
      <c r="AZ8952"/>
      <c r="BA8952"/>
      <c r="BB8952"/>
      <c r="BC8952"/>
      <c r="BD8952"/>
      <c r="BE8952"/>
      <c r="BF8952"/>
      <c r="BG8952"/>
      <c r="BH8952"/>
      <c r="BI8952"/>
      <c r="BJ8952"/>
      <c r="BK8952"/>
    </row>
    <row r="8953" spans="1:63" s="93" customFormat="1" ht="9" customHeight="1" x14ac:dyDescent="0.3">
      <c r="A8953" s="91"/>
      <c r="B8953" s="70"/>
      <c r="C8953" s="70"/>
      <c r="D8953" s="70"/>
      <c r="E8953" s="70"/>
      <c r="F8953" s="70"/>
      <c r="G8953" s="94"/>
      <c r="H8953" s="131"/>
      <c r="I8953" s="3"/>
      <c r="J8953"/>
      <c r="K8953"/>
      <c r="L8953"/>
      <c r="M8953"/>
      <c r="N8953"/>
      <c r="O8953"/>
      <c r="P8953"/>
      <c r="Q8953"/>
      <c r="R8953"/>
      <c r="S8953"/>
      <c r="T8953"/>
      <c r="U8953"/>
      <c r="V8953"/>
      <c r="W8953"/>
      <c r="X8953"/>
      <c r="Y8953"/>
      <c r="Z8953"/>
      <c r="AA8953"/>
      <c r="AB8953"/>
      <c r="AC8953"/>
      <c r="AD8953"/>
      <c r="AE8953"/>
      <c r="AF8953"/>
      <c r="AG8953"/>
      <c r="AH8953"/>
      <c r="AI8953"/>
      <c r="AJ8953"/>
      <c r="AK8953"/>
      <c r="AL8953"/>
      <c r="AM8953"/>
      <c r="AN8953"/>
      <c r="AO8953"/>
      <c r="AP8953"/>
      <c r="AQ8953"/>
      <c r="AR8953"/>
      <c r="AS8953"/>
      <c r="AT8953"/>
      <c r="AU8953"/>
      <c r="AV8953"/>
      <c r="AW8953"/>
      <c r="AX8953"/>
      <c r="AY8953"/>
      <c r="AZ8953"/>
      <c r="BA8953"/>
      <c r="BB8953"/>
      <c r="BC8953"/>
      <c r="BD8953"/>
      <c r="BE8953"/>
      <c r="BF8953"/>
      <c r="BG8953"/>
      <c r="BH8953"/>
      <c r="BI8953"/>
      <c r="BJ8953"/>
      <c r="BK8953"/>
    </row>
    <row r="8954" spans="1:63" s="93" customFormat="1" ht="9" customHeight="1" x14ac:dyDescent="0.3">
      <c r="A8954" s="91"/>
      <c r="B8954" s="70"/>
      <c r="C8954" s="70"/>
      <c r="D8954" s="70"/>
      <c r="E8954" s="70"/>
      <c r="F8954" s="70"/>
      <c r="G8954" s="94"/>
      <c r="H8954" s="131"/>
      <c r="I8954" s="3"/>
      <c r="J8954"/>
      <c r="K8954"/>
      <c r="L8954"/>
      <c r="M8954"/>
      <c r="N8954"/>
      <c r="O8954"/>
      <c r="P8954"/>
      <c r="Q8954"/>
      <c r="R8954"/>
      <c r="S8954"/>
      <c r="T8954"/>
      <c r="U8954"/>
      <c r="V8954"/>
      <c r="W8954"/>
      <c r="X8954"/>
      <c r="Y8954"/>
      <c r="Z8954"/>
      <c r="AA8954"/>
      <c r="AB8954"/>
      <c r="AC8954"/>
      <c r="AD8954"/>
      <c r="AE8954"/>
      <c r="AF8954"/>
      <c r="AG8954"/>
      <c r="AH8954"/>
      <c r="AI8954"/>
      <c r="AJ8954"/>
      <c r="AK8954"/>
      <c r="AL8954"/>
      <c r="AM8954"/>
      <c r="AN8954"/>
      <c r="AO8954"/>
      <c r="AP8954"/>
      <c r="AQ8954"/>
      <c r="AR8954"/>
      <c r="AS8954"/>
      <c r="AT8954"/>
      <c r="AU8954"/>
      <c r="AV8954"/>
      <c r="AW8954"/>
      <c r="AX8954"/>
      <c r="AY8954"/>
      <c r="AZ8954"/>
      <c r="BA8954"/>
      <c r="BB8954"/>
      <c r="BC8954"/>
      <c r="BD8954"/>
      <c r="BE8954"/>
      <c r="BF8954"/>
      <c r="BG8954"/>
      <c r="BH8954"/>
      <c r="BI8954"/>
      <c r="BJ8954"/>
      <c r="BK8954"/>
    </row>
    <row r="8955" spans="1:63" s="93" customFormat="1" ht="9" customHeight="1" x14ac:dyDescent="0.3">
      <c r="A8955" s="91"/>
      <c r="B8955" s="70"/>
      <c r="C8955" s="70"/>
      <c r="D8955" s="70"/>
      <c r="E8955" s="70"/>
      <c r="F8955" s="70"/>
      <c r="G8955" s="94"/>
      <c r="H8955" s="131"/>
      <c r="I8955" s="3"/>
      <c r="J8955"/>
      <c r="K8955"/>
      <c r="L8955"/>
      <c r="M8955"/>
      <c r="N8955"/>
      <c r="O8955"/>
      <c r="P8955"/>
      <c r="Q8955"/>
      <c r="R8955"/>
      <c r="S8955"/>
      <c r="T8955"/>
      <c r="U8955"/>
      <c r="V8955"/>
      <c r="W8955"/>
      <c r="X8955"/>
      <c r="Y8955"/>
      <c r="Z8955"/>
      <c r="AA8955"/>
      <c r="AB8955"/>
      <c r="AC8955"/>
      <c r="AD8955"/>
      <c r="AE8955"/>
      <c r="AF8955"/>
      <c r="AG8955"/>
      <c r="AH8955"/>
      <c r="AI8955"/>
      <c r="AJ8955"/>
      <c r="AK8955"/>
      <c r="AL8955"/>
      <c r="AM8955"/>
      <c r="AN8955"/>
      <c r="AO8955"/>
      <c r="AP8955"/>
      <c r="AQ8955"/>
      <c r="AR8955"/>
      <c r="AS8955"/>
      <c r="AT8955"/>
      <c r="AU8955"/>
      <c r="AV8955"/>
      <c r="AW8955"/>
      <c r="AX8955"/>
      <c r="AY8955"/>
      <c r="AZ8955"/>
      <c r="BA8955"/>
      <c r="BB8955"/>
      <c r="BC8955"/>
      <c r="BD8955"/>
      <c r="BE8955"/>
      <c r="BF8955"/>
      <c r="BG8955"/>
      <c r="BH8955"/>
      <c r="BI8955"/>
      <c r="BJ8955"/>
      <c r="BK8955"/>
    </row>
    <row r="8956" spans="1:63" s="93" customFormat="1" ht="9" customHeight="1" x14ac:dyDescent="0.3">
      <c r="A8956" s="91"/>
      <c r="B8956" s="70"/>
      <c r="C8956" s="70"/>
      <c r="D8956" s="70"/>
      <c r="E8956" s="70"/>
      <c r="F8956" s="70"/>
      <c r="G8956" s="94"/>
      <c r="H8956" s="131"/>
      <c r="I8956" s="3"/>
      <c r="J8956"/>
      <c r="K8956"/>
      <c r="L8956"/>
      <c r="M8956"/>
      <c r="N8956"/>
      <c r="O8956"/>
      <c r="P8956"/>
      <c r="Q8956"/>
      <c r="R8956"/>
      <c r="S8956"/>
      <c r="T8956"/>
      <c r="U8956"/>
      <c r="V8956"/>
      <c r="W8956"/>
      <c r="X8956"/>
      <c r="Y8956"/>
      <c r="Z8956"/>
      <c r="AA8956"/>
      <c r="AB8956"/>
      <c r="AC8956"/>
      <c r="AD8956"/>
      <c r="AE8956"/>
      <c r="AF8956"/>
      <c r="AG8956"/>
      <c r="AH8956"/>
      <c r="AI8956"/>
      <c r="AJ8956"/>
      <c r="AK8956"/>
      <c r="AL8956"/>
      <c r="AM8956"/>
      <c r="AN8956"/>
      <c r="AO8956"/>
      <c r="AP8956"/>
      <c r="AQ8956"/>
      <c r="AR8956"/>
      <c r="AS8956"/>
      <c r="AT8956"/>
      <c r="AU8956"/>
      <c r="AV8956"/>
      <c r="AW8956"/>
      <c r="AX8956"/>
      <c r="AY8956"/>
      <c r="AZ8956"/>
      <c r="BA8956"/>
      <c r="BB8956"/>
      <c r="BC8956"/>
      <c r="BD8956"/>
      <c r="BE8956"/>
      <c r="BF8956"/>
      <c r="BG8956"/>
      <c r="BH8956"/>
      <c r="BI8956"/>
      <c r="BJ8956"/>
      <c r="BK8956"/>
    </row>
    <row r="8957" spans="1:63" s="93" customFormat="1" ht="9" customHeight="1" x14ac:dyDescent="0.3">
      <c r="A8957" s="91"/>
      <c r="B8957" s="70"/>
      <c r="C8957" s="70"/>
      <c r="D8957" s="70"/>
      <c r="E8957" s="70"/>
      <c r="F8957" s="70"/>
      <c r="G8957" s="94"/>
      <c r="H8957" s="131"/>
      <c r="I8957" s="3"/>
      <c r="J8957"/>
      <c r="K8957"/>
      <c r="L8957"/>
      <c r="M8957"/>
      <c r="N8957"/>
      <c r="O8957"/>
      <c r="P8957"/>
      <c r="Q8957"/>
      <c r="R8957"/>
      <c r="S8957"/>
      <c r="T8957"/>
      <c r="U8957"/>
      <c r="V8957"/>
      <c r="W8957"/>
      <c r="X8957"/>
      <c r="Y8957"/>
      <c r="Z8957"/>
      <c r="AA8957"/>
      <c r="AB8957"/>
      <c r="AC8957"/>
      <c r="AD8957"/>
      <c r="AE8957"/>
      <c r="AF8957"/>
      <c r="AG8957"/>
      <c r="AH8957"/>
      <c r="AI8957"/>
      <c r="AJ8957"/>
      <c r="AK8957"/>
      <c r="AL8957"/>
      <c r="AM8957"/>
      <c r="AN8957"/>
      <c r="AO8957"/>
      <c r="AP8957"/>
      <c r="AQ8957"/>
      <c r="AR8957"/>
      <c r="AS8957"/>
      <c r="AT8957"/>
      <c r="AU8957"/>
      <c r="AV8957"/>
      <c r="AW8957"/>
      <c r="AX8957"/>
      <c r="AY8957"/>
      <c r="AZ8957"/>
      <c r="BA8957"/>
      <c r="BB8957"/>
      <c r="BC8957"/>
      <c r="BD8957"/>
      <c r="BE8957"/>
      <c r="BF8957"/>
      <c r="BG8957"/>
      <c r="BH8957"/>
      <c r="BI8957"/>
      <c r="BJ8957"/>
      <c r="BK8957"/>
    </row>
    <row r="8958" spans="1:63" s="93" customFormat="1" ht="9" customHeight="1" x14ac:dyDescent="0.3">
      <c r="A8958" s="91"/>
      <c r="B8958" s="70"/>
      <c r="C8958" s="70"/>
      <c r="D8958" s="70"/>
      <c r="E8958" s="70"/>
      <c r="F8958" s="70"/>
      <c r="G8958" s="94"/>
      <c r="H8958" s="131"/>
      <c r="I8958" s="3"/>
      <c r="J8958"/>
      <c r="K8958"/>
      <c r="L8958"/>
      <c r="M8958"/>
      <c r="N8958"/>
      <c r="O8958"/>
      <c r="P8958"/>
      <c r="Q8958"/>
      <c r="R8958"/>
      <c r="S8958"/>
      <c r="T8958"/>
      <c r="U8958"/>
      <c r="V8958"/>
      <c r="W8958"/>
      <c r="X8958"/>
      <c r="Y8958"/>
      <c r="Z8958"/>
      <c r="AA8958"/>
      <c r="AB8958"/>
      <c r="AC8958"/>
      <c r="AD8958"/>
      <c r="AE8958"/>
      <c r="AF8958"/>
      <c r="AG8958"/>
      <c r="AH8958"/>
      <c r="AI8958"/>
      <c r="AJ8958"/>
      <c r="AK8958"/>
      <c r="AL8958"/>
      <c r="AM8958"/>
      <c r="AN8958"/>
      <c r="AO8958"/>
      <c r="AP8958"/>
      <c r="AQ8958"/>
      <c r="AR8958"/>
      <c r="AS8958"/>
      <c r="AT8958"/>
      <c r="AU8958"/>
      <c r="AV8958"/>
      <c r="AW8958"/>
      <c r="AX8958"/>
      <c r="AY8958"/>
      <c r="AZ8958"/>
      <c r="BA8958"/>
      <c r="BB8958"/>
      <c r="BC8958"/>
      <c r="BD8958"/>
      <c r="BE8958"/>
      <c r="BF8958"/>
      <c r="BG8958"/>
      <c r="BH8958"/>
      <c r="BI8958"/>
      <c r="BJ8958"/>
      <c r="BK8958"/>
    </row>
    <row r="8959" spans="1:63" s="93" customFormat="1" ht="9" customHeight="1" x14ac:dyDescent="0.3">
      <c r="A8959" s="91"/>
      <c r="B8959" s="70"/>
      <c r="C8959" s="70"/>
      <c r="D8959" s="70"/>
      <c r="E8959" s="70"/>
      <c r="F8959" s="70"/>
      <c r="G8959" s="94"/>
      <c r="H8959" s="131"/>
      <c r="I8959" s="3"/>
      <c r="J8959"/>
      <c r="K8959"/>
      <c r="L8959"/>
      <c r="M8959"/>
      <c r="N8959"/>
      <c r="O8959"/>
      <c r="P8959"/>
      <c r="Q8959"/>
      <c r="R8959"/>
      <c r="S8959"/>
      <c r="T8959"/>
      <c r="U8959"/>
      <c r="V8959"/>
      <c r="W8959"/>
      <c r="X8959"/>
      <c r="Y8959"/>
      <c r="Z8959"/>
      <c r="AA8959"/>
      <c r="AB8959"/>
      <c r="AC8959"/>
      <c r="AD8959"/>
      <c r="AE8959"/>
      <c r="AF8959"/>
      <c r="AG8959"/>
      <c r="AH8959"/>
      <c r="AI8959"/>
      <c r="AJ8959"/>
      <c r="AK8959"/>
      <c r="AL8959"/>
      <c r="AM8959"/>
      <c r="AN8959"/>
      <c r="AO8959"/>
      <c r="AP8959"/>
      <c r="AQ8959"/>
      <c r="AR8959"/>
      <c r="AS8959"/>
      <c r="AT8959"/>
      <c r="AU8959"/>
      <c r="AV8959"/>
      <c r="AW8959"/>
      <c r="AX8959"/>
      <c r="AY8959"/>
      <c r="AZ8959"/>
      <c r="BA8959"/>
      <c r="BB8959"/>
      <c r="BC8959"/>
      <c r="BD8959"/>
      <c r="BE8959"/>
      <c r="BF8959"/>
      <c r="BG8959"/>
      <c r="BH8959"/>
      <c r="BI8959"/>
      <c r="BJ8959"/>
      <c r="BK8959"/>
    </row>
    <row r="8960" spans="1:63" s="93" customFormat="1" ht="9" customHeight="1" x14ac:dyDescent="0.3">
      <c r="A8960" s="91"/>
      <c r="B8960" s="70"/>
      <c r="C8960" s="70"/>
      <c r="D8960" s="70"/>
      <c r="E8960" s="70"/>
      <c r="F8960" s="70"/>
      <c r="G8960" s="94"/>
      <c r="H8960" s="131"/>
      <c r="I8960" s="3"/>
      <c r="J8960"/>
      <c r="K8960"/>
      <c r="L8960"/>
      <c r="M8960"/>
      <c r="N8960"/>
      <c r="O8960"/>
      <c r="P8960"/>
      <c r="Q8960"/>
      <c r="R8960"/>
      <c r="S8960"/>
      <c r="T8960"/>
      <c r="U8960"/>
      <c r="V8960"/>
      <c r="W8960"/>
      <c r="X8960"/>
      <c r="Y8960"/>
      <c r="Z8960"/>
      <c r="AA8960"/>
      <c r="AB8960"/>
      <c r="AC8960"/>
      <c r="AD8960"/>
      <c r="AE8960"/>
      <c r="AF8960"/>
      <c r="AG8960"/>
      <c r="AH8960"/>
      <c r="AI8960"/>
      <c r="AJ8960"/>
      <c r="AK8960"/>
      <c r="AL8960"/>
      <c r="AM8960"/>
      <c r="AN8960"/>
      <c r="AO8960"/>
      <c r="AP8960"/>
      <c r="AQ8960"/>
      <c r="AR8960"/>
      <c r="AS8960"/>
      <c r="AT8960"/>
      <c r="AU8960"/>
      <c r="AV8960"/>
      <c r="AW8960"/>
      <c r="AX8960"/>
      <c r="AY8960"/>
      <c r="AZ8960"/>
      <c r="BA8960"/>
      <c r="BB8960"/>
      <c r="BC8960"/>
      <c r="BD8960"/>
      <c r="BE8960"/>
      <c r="BF8960"/>
      <c r="BG8960"/>
      <c r="BH8960"/>
      <c r="BI8960"/>
      <c r="BJ8960"/>
      <c r="BK8960"/>
    </row>
    <row r="8961" spans="1:63" s="93" customFormat="1" ht="9" customHeight="1" x14ac:dyDescent="0.3">
      <c r="A8961" s="91"/>
      <c r="B8961" s="70"/>
      <c r="C8961" s="70"/>
      <c r="D8961" s="70"/>
      <c r="E8961" s="70"/>
      <c r="F8961" s="70"/>
      <c r="G8961" s="94"/>
      <c r="H8961" s="131"/>
      <c r="I8961" s="3"/>
      <c r="J8961"/>
      <c r="K8961"/>
      <c r="L8961"/>
      <c r="M8961"/>
      <c r="N8961"/>
      <c r="O8961"/>
      <c r="P8961"/>
      <c r="Q8961"/>
      <c r="R8961"/>
      <c r="S8961"/>
      <c r="T8961"/>
      <c r="U8961"/>
      <c r="V8961"/>
      <c r="W8961"/>
      <c r="X8961"/>
      <c r="Y8961"/>
      <c r="Z8961"/>
      <c r="AA8961"/>
      <c r="AB8961"/>
      <c r="AC8961"/>
      <c r="AD8961"/>
      <c r="AE8961"/>
      <c r="AF8961"/>
      <c r="AG8961"/>
      <c r="AH8961"/>
      <c r="AI8961"/>
      <c r="AJ8961"/>
      <c r="AK8961"/>
      <c r="AL8961"/>
      <c r="AM8961"/>
      <c r="AN8961"/>
      <c r="AO8961"/>
      <c r="AP8961"/>
      <c r="AQ8961"/>
      <c r="AR8961"/>
      <c r="AS8961"/>
      <c r="AT8961"/>
      <c r="AU8961"/>
      <c r="AV8961"/>
      <c r="AW8961"/>
      <c r="AX8961"/>
      <c r="AY8961"/>
      <c r="AZ8961"/>
      <c r="BA8961"/>
      <c r="BB8961"/>
      <c r="BC8961"/>
      <c r="BD8961"/>
      <c r="BE8961"/>
      <c r="BF8961"/>
      <c r="BG8961"/>
      <c r="BH8961"/>
      <c r="BI8961"/>
      <c r="BJ8961"/>
      <c r="BK8961"/>
    </row>
    <row r="8962" spans="1:63" s="93" customFormat="1" ht="9" customHeight="1" x14ac:dyDescent="0.3">
      <c r="A8962" s="91"/>
      <c r="B8962" s="70"/>
      <c r="C8962" s="70"/>
      <c r="D8962" s="70"/>
      <c r="E8962" s="70"/>
      <c r="F8962" s="70"/>
      <c r="G8962" s="94"/>
      <c r="H8962" s="131"/>
      <c r="I8962" s="3"/>
      <c r="J8962"/>
      <c r="K8962"/>
      <c r="L8962"/>
      <c r="M8962"/>
      <c r="N8962"/>
      <c r="O8962"/>
      <c r="P8962"/>
      <c r="Q8962"/>
      <c r="R8962"/>
      <c r="S8962"/>
      <c r="T8962"/>
      <c r="U8962"/>
      <c r="V8962"/>
      <c r="W8962"/>
      <c r="X8962"/>
      <c r="Y8962"/>
      <c r="Z8962"/>
      <c r="AA8962"/>
      <c r="AB8962"/>
      <c r="AC8962"/>
      <c r="AD8962"/>
      <c r="AE8962"/>
      <c r="AF8962"/>
      <c r="AG8962"/>
      <c r="AH8962"/>
      <c r="AI8962"/>
      <c r="AJ8962"/>
      <c r="AK8962"/>
      <c r="AL8962"/>
      <c r="AM8962"/>
      <c r="AN8962"/>
      <c r="AO8962"/>
      <c r="AP8962"/>
      <c r="AQ8962"/>
      <c r="AR8962"/>
      <c r="AS8962"/>
      <c r="AT8962"/>
      <c r="AU8962"/>
      <c r="AV8962"/>
      <c r="AW8962"/>
      <c r="AX8962"/>
      <c r="AY8962"/>
      <c r="AZ8962"/>
      <c r="BA8962"/>
      <c r="BB8962"/>
      <c r="BC8962"/>
      <c r="BD8962"/>
      <c r="BE8962"/>
      <c r="BF8962"/>
      <c r="BG8962"/>
      <c r="BH8962"/>
      <c r="BI8962"/>
      <c r="BJ8962"/>
      <c r="BK8962"/>
    </row>
    <row r="8963" spans="1:63" s="93" customFormat="1" ht="9" customHeight="1" x14ac:dyDescent="0.3">
      <c r="A8963" s="91"/>
      <c r="B8963" s="70"/>
      <c r="C8963" s="70"/>
      <c r="D8963" s="70"/>
      <c r="E8963" s="70"/>
      <c r="F8963" s="70"/>
      <c r="G8963" s="94"/>
      <c r="H8963" s="131"/>
      <c r="I8963" s="3"/>
      <c r="J8963"/>
      <c r="K8963"/>
      <c r="L8963"/>
      <c r="M8963"/>
      <c r="N8963"/>
      <c r="O8963"/>
      <c r="P8963"/>
      <c r="Q8963"/>
      <c r="R8963"/>
      <c r="S8963"/>
      <c r="T8963"/>
      <c r="U8963"/>
      <c r="V8963"/>
      <c r="W8963"/>
      <c r="X8963"/>
      <c r="Y8963"/>
      <c r="Z8963"/>
      <c r="AA8963"/>
      <c r="AB8963"/>
      <c r="AC8963"/>
      <c r="AD8963"/>
      <c r="AE8963"/>
      <c r="AF8963"/>
      <c r="AG8963"/>
      <c r="AH8963"/>
      <c r="AI8963"/>
      <c r="AJ8963"/>
      <c r="AK8963"/>
      <c r="AL8963"/>
      <c r="AM8963"/>
      <c r="AN8963"/>
      <c r="AO8963"/>
      <c r="AP8963"/>
      <c r="AQ8963"/>
      <c r="AR8963"/>
      <c r="AS8963"/>
      <c r="AT8963"/>
      <c r="AU8963"/>
      <c r="AV8963"/>
      <c r="AW8963"/>
      <c r="AX8963"/>
      <c r="AY8963"/>
      <c r="AZ8963"/>
      <c r="BA8963"/>
      <c r="BB8963"/>
      <c r="BC8963"/>
      <c r="BD8963"/>
      <c r="BE8963"/>
      <c r="BF8963"/>
      <c r="BG8963"/>
      <c r="BH8963"/>
      <c r="BI8963"/>
      <c r="BJ8963"/>
      <c r="BK8963"/>
    </row>
    <row r="8964" spans="1:63" s="93" customFormat="1" ht="9" customHeight="1" x14ac:dyDescent="0.3">
      <c r="A8964" s="91"/>
      <c r="B8964" s="70"/>
      <c r="C8964" s="70"/>
      <c r="D8964" s="70"/>
      <c r="E8964" s="70"/>
      <c r="F8964" s="70"/>
      <c r="G8964" s="94"/>
      <c r="H8964" s="131"/>
      <c r="I8964" s="3"/>
      <c r="J8964"/>
      <c r="K8964"/>
      <c r="L8964"/>
      <c r="M8964"/>
      <c r="N8964"/>
      <c r="O8964"/>
      <c r="P8964"/>
      <c r="Q8964"/>
      <c r="R8964"/>
      <c r="S8964"/>
      <c r="T8964"/>
      <c r="U8964"/>
      <c r="V8964"/>
      <c r="W8964"/>
      <c r="X8964"/>
      <c r="Y8964"/>
      <c r="Z8964"/>
      <c r="AA8964"/>
      <c r="AB8964"/>
      <c r="AC8964"/>
      <c r="AD8964"/>
      <c r="AE8964"/>
      <c r="AF8964"/>
      <c r="AG8964"/>
      <c r="AH8964"/>
      <c r="AI8964"/>
      <c r="AJ8964"/>
      <c r="AK8964"/>
      <c r="AL8964"/>
      <c r="AM8964"/>
      <c r="AN8964"/>
      <c r="AO8964"/>
      <c r="AP8964"/>
      <c r="AQ8964"/>
      <c r="AR8964"/>
      <c r="AS8964"/>
      <c r="AT8964"/>
      <c r="AU8964"/>
      <c r="AV8964"/>
      <c r="AW8964"/>
      <c r="AX8964"/>
      <c r="AY8964"/>
      <c r="AZ8964"/>
      <c r="BA8964"/>
      <c r="BB8964"/>
      <c r="BC8964"/>
      <c r="BD8964"/>
      <c r="BE8964"/>
      <c r="BF8964"/>
      <c r="BG8964"/>
      <c r="BH8964"/>
      <c r="BI8964"/>
      <c r="BJ8964"/>
      <c r="BK8964"/>
    </row>
    <row r="8965" spans="1:63" s="93" customFormat="1" ht="9" customHeight="1" x14ac:dyDescent="0.3">
      <c r="A8965" s="91"/>
      <c r="B8965" s="70"/>
      <c r="C8965" s="70"/>
      <c r="D8965" s="70"/>
      <c r="E8965" s="70"/>
      <c r="F8965" s="70"/>
      <c r="G8965" s="94"/>
      <c r="H8965" s="131"/>
      <c r="I8965" s="3"/>
      <c r="J8965"/>
      <c r="K8965"/>
      <c r="L8965"/>
      <c r="M8965"/>
      <c r="N8965"/>
      <c r="O8965"/>
      <c r="P8965"/>
      <c r="Q8965"/>
      <c r="R8965"/>
      <c r="S8965"/>
      <c r="T8965"/>
      <c r="U8965"/>
      <c r="V8965"/>
      <c r="W8965"/>
      <c r="X8965"/>
      <c r="Y8965"/>
      <c r="Z8965"/>
      <c r="AA8965"/>
      <c r="AB8965"/>
      <c r="AC8965"/>
      <c r="AD8965"/>
      <c r="AE8965"/>
      <c r="AF8965"/>
      <c r="AG8965"/>
      <c r="AH8965"/>
      <c r="AI8965"/>
      <c r="AJ8965"/>
      <c r="AK8965"/>
      <c r="AL8965"/>
      <c r="AM8965"/>
      <c r="AN8965"/>
      <c r="AO8965"/>
      <c r="AP8965"/>
      <c r="AQ8965"/>
      <c r="AR8965"/>
      <c r="AS8965"/>
      <c r="AT8965"/>
      <c r="AU8965"/>
      <c r="AV8965"/>
      <c r="AW8965"/>
      <c r="AX8965"/>
      <c r="AY8965"/>
      <c r="AZ8965"/>
      <c r="BA8965"/>
      <c r="BB8965"/>
      <c r="BC8965"/>
      <c r="BD8965"/>
      <c r="BE8965"/>
      <c r="BF8965"/>
      <c r="BG8965"/>
      <c r="BH8965"/>
      <c r="BI8965"/>
      <c r="BJ8965"/>
      <c r="BK8965"/>
    </row>
    <row r="8966" spans="1:63" s="93" customFormat="1" ht="9" customHeight="1" x14ac:dyDescent="0.3">
      <c r="A8966" s="91"/>
      <c r="B8966" s="70"/>
      <c r="C8966" s="70"/>
      <c r="D8966" s="70"/>
      <c r="E8966" s="70"/>
      <c r="F8966" s="70"/>
      <c r="G8966" s="94"/>
      <c r="H8966" s="131"/>
      <c r="I8966" s="3"/>
      <c r="J8966"/>
      <c r="K8966"/>
      <c r="L8966"/>
      <c r="M8966"/>
      <c r="N8966"/>
      <c r="O8966"/>
      <c r="P8966"/>
      <c r="Q8966"/>
      <c r="R8966"/>
      <c r="S8966"/>
      <c r="T8966"/>
      <c r="U8966"/>
      <c r="V8966"/>
      <c r="W8966"/>
      <c r="X8966"/>
      <c r="Y8966"/>
      <c r="Z8966"/>
      <c r="AA8966"/>
      <c r="AB8966"/>
      <c r="AC8966"/>
      <c r="AD8966"/>
      <c r="AE8966"/>
      <c r="AF8966"/>
      <c r="AG8966"/>
      <c r="AH8966"/>
      <c r="AI8966"/>
      <c r="AJ8966"/>
      <c r="AK8966"/>
      <c r="AL8966"/>
      <c r="AM8966"/>
      <c r="AN8966"/>
      <c r="AO8966"/>
      <c r="AP8966"/>
      <c r="AQ8966"/>
      <c r="AR8966"/>
      <c r="AS8966"/>
      <c r="AT8966"/>
      <c r="AU8966"/>
      <c r="AV8966"/>
      <c r="AW8966"/>
      <c r="AX8966"/>
      <c r="AY8966"/>
      <c r="AZ8966"/>
      <c r="BA8966"/>
      <c r="BB8966"/>
      <c r="BC8966"/>
      <c r="BD8966"/>
      <c r="BE8966"/>
      <c r="BF8966"/>
      <c r="BG8966"/>
      <c r="BH8966"/>
      <c r="BI8966"/>
      <c r="BJ8966"/>
      <c r="BK8966"/>
    </row>
    <row r="8967" spans="1:63" s="93" customFormat="1" ht="9" customHeight="1" x14ac:dyDescent="0.3">
      <c r="A8967" s="91"/>
      <c r="B8967" s="70"/>
      <c r="C8967" s="70"/>
      <c r="D8967" s="70"/>
      <c r="E8967" s="70"/>
      <c r="F8967" s="70"/>
      <c r="G8967" s="94"/>
      <c r="H8967" s="131"/>
      <c r="I8967" s="3"/>
      <c r="J8967"/>
      <c r="K8967"/>
      <c r="L8967"/>
      <c r="M8967"/>
      <c r="N8967"/>
      <c r="O8967"/>
      <c r="P8967"/>
      <c r="Q8967"/>
      <c r="R8967"/>
      <c r="S8967"/>
      <c r="T8967"/>
      <c r="U8967"/>
      <c r="V8967"/>
      <c r="W8967"/>
      <c r="X8967"/>
      <c r="Y8967"/>
      <c r="Z8967"/>
      <c r="AA8967"/>
      <c r="AB8967"/>
      <c r="AC8967"/>
      <c r="AD8967"/>
      <c r="AE8967"/>
      <c r="AF8967"/>
      <c r="AG8967"/>
      <c r="AH8967"/>
      <c r="AI8967"/>
      <c r="AJ8967"/>
      <c r="AK8967"/>
      <c r="AL8967"/>
      <c r="AM8967"/>
      <c r="AN8967"/>
      <c r="AO8967"/>
      <c r="AP8967"/>
      <c r="AQ8967"/>
      <c r="AR8967"/>
      <c r="AS8967"/>
      <c r="AT8967"/>
      <c r="AU8967"/>
      <c r="AV8967"/>
      <c r="AW8967"/>
      <c r="AX8967"/>
      <c r="AY8967"/>
      <c r="AZ8967"/>
      <c r="BA8967"/>
      <c r="BB8967"/>
      <c r="BC8967"/>
      <c r="BD8967"/>
      <c r="BE8967"/>
      <c r="BF8967"/>
      <c r="BG8967"/>
      <c r="BH8967"/>
      <c r="BI8967"/>
      <c r="BJ8967"/>
      <c r="BK8967"/>
    </row>
    <row r="8968" spans="1:63" s="93" customFormat="1" ht="9" customHeight="1" x14ac:dyDescent="0.3">
      <c r="A8968" s="91"/>
      <c r="B8968" s="70"/>
      <c r="C8968" s="70"/>
      <c r="D8968" s="70"/>
      <c r="E8968" s="70"/>
      <c r="F8968" s="70"/>
      <c r="G8968" s="94"/>
      <c r="H8968" s="131"/>
      <c r="I8968" s="3"/>
      <c r="J8968"/>
      <c r="K8968"/>
      <c r="L8968"/>
      <c r="M8968"/>
      <c r="N8968"/>
      <c r="O8968"/>
      <c r="P8968"/>
      <c r="Q8968"/>
      <c r="R8968"/>
      <c r="S8968"/>
      <c r="T8968"/>
      <c r="U8968"/>
      <c r="V8968"/>
      <c r="W8968"/>
      <c r="X8968"/>
      <c r="Y8968"/>
      <c r="Z8968"/>
      <c r="AA8968"/>
      <c r="AB8968"/>
      <c r="AC8968"/>
      <c r="AD8968"/>
      <c r="AE8968"/>
      <c r="AF8968"/>
      <c r="AG8968"/>
      <c r="AH8968"/>
      <c r="AI8968"/>
      <c r="AJ8968"/>
      <c r="AK8968"/>
      <c r="AL8968"/>
      <c r="AM8968"/>
      <c r="AN8968"/>
      <c r="AO8968"/>
      <c r="AP8968"/>
      <c r="AQ8968"/>
      <c r="AR8968"/>
      <c r="AS8968"/>
      <c r="AT8968"/>
      <c r="AU8968"/>
      <c r="AV8968"/>
      <c r="AW8968"/>
      <c r="AX8968"/>
      <c r="AY8968"/>
      <c r="AZ8968"/>
      <c r="BA8968"/>
      <c r="BB8968"/>
      <c r="BC8968"/>
      <c r="BD8968"/>
      <c r="BE8968"/>
      <c r="BF8968"/>
      <c r="BG8968"/>
      <c r="BH8968"/>
      <c r="BI8968"/>
      <c r="BJ8968"/>
      <c r="BK8968"/>
    </row>
    <row r="8969" spans="1:63" s="93" customFormat="1" ht="9" customHeight="1" x14ac:dyDescent="0.3">
      <c r="A8969" s="91"/>
      <c r="B8969" s="70"/>
      <c r="C8969" s="70"/>
      <c r="D8969" s="70"/>
      <c r="E8969" s="70"/>
      <c r="F8969" s="70"/>
      <c r="G8969" s="94"/>
      <c r="H8969" s="131"/>
      <c r="I8969" s="3"/>
      <c r="J8969"/>
      <c r="K8969"/>
      <c r="L8969"/>
      <c r="M8969"/>
      <c r="N8969"/>
      <c r="O8969"/>
      <c r="P8969"/>
      <c r="Q8969"/>
      <c r="R8969"/>
      <c r="S8969"/>
      <c r="T8969"/>
      <c r="U8969"/>
      <c r="V8969"/>
      <c r="W8969"/>
      <c r="X8969"/>
      <c r="Y8969"/>
      <c r="Z8969"/>
      <c r="AA8969"/>
      <c r="AB8969"/>
      <c r="AC8969"/>
      <c r="AD8969"/>
      <c r="AE8969"/>
      <c r="AF8969"/>
      <c r="AG8969"/>
      <c r="AH8969"/>
      <c r="AI8969"/>
      <c r="AJ8969"/>
      <c r="AK8969"/>
      <c r="AL8969"/>
      <c r="AM8969"/>
      <c r="AN8969"/>
      <c r="AO8969"/>
      <c r="AP8969"/>
      <c r="AQ8969"/>
      <c r="AR8969"/>
      <c r="AS8969"/>
      <c r="AT8969"/>
      <c r="AU8969"/>
      <c r="AV8969"/>
      <c r="AW8969"/>
      <c r="AX8969"/>
      <c r="AY8969"/>
      <c r="AZ8969"/>
      <c r="BA8969"/>
      <c r="BB8969"/>
      <c r="BC8969"/>
      <c r="BD8969"/>
      <c r="BE8969"/>
      <c r="BF8969"/>
      <c r="BG8969"/>
      <c r="BH8969"/>
      <c r="BI8969"/>
      <c r="BJ8969"/>
      <c r="BK8969"/>
    </row>
    <row r="8970" spans="1:63" s="93" customFormat="1" ht="9" customHeight="1" x14ac:dyDescent="0.3">
      <c r="A8970" s="91"/>
      <c r="B8970" s="70"/>
      <c r="C8970" s="70"/>
      <c r="D8970" s="70"/>
      <c r="E8970" s="70"/>
      <c r="F8970" s="70"/>
      <c r="G8970" s="94"/>
      <c r="H8970" s="131"/>
      <c r="I8970" s="3"/>
      <c r="J8970"/>
      <c r="K8970"/>
      <c r="L8970"/>
      <c r="M8970"/>
      <c r="N8970"/>
      <c r="O8970"/>
      <c r="P8970"/>
      <c r="Q8970"/>
      <c r="R8970"/>
      <c r="S8970"/>
      <c r="T8970"/>
      <c r="U8970"/>
      <c r="V8970"/>
      <c r="W8970"/>
      <c r="X8970"/>
      <c r="Y8970"/>
      <c r="Z8970"/>
      <c r="AA8970"/>
      <c r="AB8970"/>
      <c r="AC8970"/>
      <c r="AD8970"/>
      <c r="AE8970"/>
      <c r="AF8970"/>
      <c r="AG8970"/>
      <c r="AH8970"/>
      <c r="AI8970"/>
      <c r="AJ8970"/>
      <c r="AK8970"/>
      <c r="AL8970"/>
      <c r="AM8970"/>
      <c r="AN8970"/>
      <c r="AO8970"/>
      <c r="AP8970"/>
      <c r="AQ8970"/>
      <c r="AR8970"/>
      <c r="AS8970"/>
      <c r="AT8970"/>
      <c r="AU8970"/>
      <c r="AV8970"/>
      <c r="AW8970"/>
      <c r="AX8970"/>
      <c r="AY8970"/>
      <c r="AZ8970"/>
      <c r="BA8970"/>
      <c r="BB8970"/>
      <c r="BC8970"/>
      <c r="BD8970"/>
      <c r="BE8970"/>
      <c r="BF8970"/>
      <c r="BG8970"/>
      <c r="BH8970"/>
      <c r="BI8970"/>
      <c r="BJ8970"/>
      <c r="BK8970"/>
    </row>
    <row r="8971" spans="1:63" s="93" customFormat="1" ht="9" customHeight="1" x14ac:dyDescent="0.3">
      <c r="A8971" s="91"/>
      <c r="B8971" s="70"/>
      <c r="C8971" s="70"/>
      <c r="D8971" s="70"/>
      <c r="E8971" s="70"/>
      <c r="F8971" s="70"/>
      <c r="G8971" s="94"/>
      <c r="H8971" s="131"/>
      <c r="I8971" s="3"/>
      <c r="J8971"/>
      <c r="K8971"/>
      <c r="L8971"/>
      <c r="M8971"/>
      <c r="N8971"/>
      <c r="O8971"/>
      <c r="P8971"/>
      <c r="Q8971"/>
      <c r="R8971"/>
      <c r="S8971"/>
      <c r="T8971"/>
      <c r="U8971"/>
      <c r="V8971"/>
      <c r="W8971"/>
      <c r="X8971"/>
      <c r="Y8971"/>
      <c r="Z8971"/>
      <c r="AA8971"/>
      <c r="AB8971"/>
      <c r="AC8971"/>
      <c r="AD8971"/>
      <c r="AE8971"/>
      <c r="AF8971"/>
      <c r="AG8971"/>
      <c r="AH8971"/>
      <c r="AI8971"/>
      <c r="AJ8971"/>
      <c r="AK8971"/>
      <c r="AL8971"/>
      <c r="AM8971"/>
      <c r="AN8971"/>
      <c r="AO8971"/>
      <c r="AP8971"/>
      <c r="AQ8971"/>
      <c r="AR8971"/>
      <c r="AS8971"/>
      <c r="AT8971"/>
      <c r="AU8971"/>
      <c r="AV8971"/>
      <c r="AW8971"/>
      <c r="AX8971"/>
      <c r="AY8971"/>
      <c r="AZ8971"/>
      <c r="BA8971"/>
      <c r="BB8971"/>
      <c r="BC8971"/>
      <c r="BD8971"/>
      <c r="BE8971"/>
      <c r="BF8971"/>
      <c r="BG8971"/>
      <c r="BH8971"/>
      <c r="BI8971"/>
      <c r="BJ8971"/>
      <c r="BK8971"/>
    </row>
    <row r="8972" spans="1:63" s="93" customFormat="1" ht="9" customHeight="1" x14ac:dyDescent="0.3">
      <c r="A8972" s="91"/>
      <c r="B8972" s="70"/>
      <c r="C8972" s="70"/>
      <c r="D8972" s="70"/>
      <c r="E8972" s="70"/>
      <c r="F8972" s="70"/>
      <c r="G8972" s="94"/>
      <c r="H8972" s="131"/>
      <c r="I8972" s="3"/>
      <c r="J8972"/>
      <c r="K8972"/>
      <c r="L8972"/>
      <c r="M8972"/>
      <c r="N8972"/>
      <c r="O8972"/>
      <c r="P8972"/>
      <c r="Q8972"/>
      <c r="R8972"/>
      <c r="S8972"/>
      <c r="T8972"/>
      <c r="U8972"/>
      <c r="V8972"/>
      <c r="W8972"/>
      <c r="X8972"/>
      <c r="Y8972"/>
      <c r="Z8972"/>
      <c r="AA8972"/>
      <c r="AB8972"/>
      <c r="AC8972"/>
      <c r="AD8972"/>
      <c r="AE8972"/>
      <c r="AF8972"/>
      <c r="AG8972"/>
      <c r="AH8972"/>
      <c r="AI8972"/>
      <c r="AJ8972"/>
      <c r="AK8972"/>
      <c r="AL8972"/>
      <c r="AM8972"/>
      <c r="AN8972"/>
      <c r="AO8972"/>
      <c r="AP8972"/>
      <c r="AQ8972"/>
      <c r="AR8972"/>
      <c r="AS8972"/>
      <c r="AT8972"/>
      <c r="AU8972"/>
      <c r="AV8972"/>
      <c r="AW8972"/>
      <c r="AX8972"/>
      <c r="AY8972"/>
      <c r="AZ8972"/>
      <c r="BA8972"/>
      <c r="BB8972"/>
      <c r="BC8972"/>
      <c r="BD8972"/>
      <c r="BE8972"/>
      <c r="BF8972"/>
      <c r="BG8972"/>
      <c r="BH8972"/>
      <c r="BI8972"/>
      <c r="BJ8972"/>
      <c r="BK8972"/>
    </row>
    <row r="8973" spans="1:63" s="93" customFormat="1" ht="9" customHeight="1" x14ac:dyDescent="0.3">
      <c r="A8973" s="91"/>
      <c r="B8973" s="70"/>
      <c r="C8973" s="70"/>
      <c r="D8973" s="70"/>
      <c r="E8973" s="70"/>
      <c r="F8973" s="70"/>
      <c r="G8973" s="94"/>
      <c r="H8973" s="131"/>
      <c r="I8973" s="3"/>
      <c r="J8973"/>
      <c r="K8973"/>
      <c r="L8973"/>
      <c r="M8973"/>
      <c r="N8973"/>
      <c r="O8973"/>
      <c r="P8973"/>
      <c r="Q8973"/>
      <c r="R8973"/>
      <c r="S8973"/>
      <c r="T8973"/>
      <c r="U8973"/>
      <c r="V8973"/>
      <c r="W8973"/>
      <c r="X8973"/>
      <c r="Y8973"/>
      <c r="Z8973"/>
      <c r="AA8973"/>
      <c r="AB8973"/>
      <c r="AC8973"/>
      <c r="AD8973"/>
      <c r="AE8973"/>
      <c r="AF8973"/>
      <c r="AG8973"/>
      <c r="AH8973"/>
      <c r="AI8973"/>
      <c r="AJ8973"/>
      <c r="AK8973"/>
      <c r="AL8973"/>
      <c r="AM8973"/>
      <c r="AN8973"/>
      <c r="AO8973"/>
      <c r="AP8973"/>
      <c r="AQ8973"/>
      <c r="AR8973"/>
      <c r="AS8973"/>
      <c r="AT8973"/>
      <c r="AU8973"/>
      <c r="AV8973"/>
      <c r="AW8973"/>
      <c r="AX8973"/>
      <c r="AY8973"/>
      <c r="AZ8973"/>
      <c r="BA8973"/>
      <c r="BB8973"/>
      <c r="BC8973"/>
      <c r="BD8973"/>
      <c r="BE8973"/>
      <c r="BF8973"/>
      <c r="BG8973"/>
      <c r="BH8973"/>
      <c r="BI8973"/>
      <c r="BJ8973"/>
      <c r="BK8973"/>
    </row>
    <row r="8974" spans="1:63" s="93" customFormat="1" ht="9" customHeight="1" x14ac:dyDescent="0.3">
      <c r="A8974" s="91"/>
      <c r="B8974" s="70"/>
      <c r="C8974" s="70"/>
      <c r="D8974" s="70"/>
      <c r="E8974" s="70"/>
      <c r="F8974" s="70"/>
      <c r="G8974" s="94"/>
      <c r="H8974" s="131"/>
      <c r="I8974" s="3"/>
      <c r="J8974"/>
      <c r="K8974"/>
      <c r="L8974"/>
      <c r="M8974"/>
      <c r="N8974"/>
      <c r="O8974"/>
      <c r="P8974"/>
      <c r="Q8974"/>
      <c r="R8974"/>
      <c r="S8974"/>
      <c r="T8974"/>
      <c r="U8974"/>
      <c r="V8974"/>
      <c r="W8974"/>
      <c r="X8974"/>
      <c r="Y8974"/>
      <c r="Z8974"/>
      <c r="AA8974"/>
      <c r="AB8974"/>
      <c r="AC8974"/>
      <c r="AD8974"/>
      <c r="AE8974"/>
      <c r="AF8974"/>
      <c r="AG8974"/>
      <c r="AH8974"/>
      <c r="AI8974"/>
      <c r="AJ8974"/>
      <c r="AK8974"/>
      <c r="AL8974"/>
      <c r="AM8974"/>
      <c r="AN8974"/>
      <c r="AO8974"/>
      <c r="AP8974"/>
      <c r="AQ8974"/>
      <c r="AR8974"/>
      <c r="AS8974"/>
      <c r="AT8974"/>
      <c r="AU8974"/>
      <c r="AV8974"/>
      <c r="AW8974"/>
      <c r="AX8974"/>
      <c r="AY8974"/>
      <c r="AZ8974"/>
      <c r="BA8974"/>
      <c r="BB8974"/>
      <c r="BC8974"/>
      <c r="BD8974"/>
      <c r="BE8974"/>
      <c r="BF8974"/>
      <c r="BG8974"/>
      <c r="BH8974"/>
      <c r="BI8974"/>
      <c r="BJ8974"/>
      <c r="BK8974"/>
    </row>
    <row r="8975" spans="1:63" s="93" customFormat="1" ht="9" customHeight="1" x14ac:dyDescent="0.3">
      <c r="A8975" s="91"/>
      <c r="B8975" s="70"/>
      <c r="C8975" s="70"/>
      <c r="D8975" s="70"/>
      <c r="E8975" s="70"/>
      <c r="F8975" s="70"/>
      <c r="G8975" s="94"/>
      <c r="H8975" s="131"/>
      <c r="I8975" s="3"/>
      <c r="J8975"/>
      <c r="K8975"/>
      <c r="L8975"/>
      <c r="M8975"/>
      <c r="N8975"/>
      <c r="O8975"/>
      <c r="P8975"/>
      <c r="Q8975"/>
      <c r="R8975"/>
      <c r="S8975"/>
      <c r="T8975"/>
      <c r="U8975"/>
      <c r="V8975"/>
      <c r="W8975"/>
      <c r="X8975"/>
      <c r="Y8975"/>
      <c r="Z8975"/>
      <c r="AA8975"/>
      <c r="AB8975"/>
      <c r="AC8975"/>
      <c r="AD8975"/>
      <c r="AE8975"/>
      <c r="AF8975"/>
      <c r="AG8975"/>
      <c r="AH8975"/>
      <c r="AI8975"/>
      <c r="AJ8975"/>
      <c r="AK8975"/>
      <c r="AL8975"/>
      <c r="AM8975"/>
      <c r="AN8975"/>
      <c r="AO8975"/>
      <c r="AP8975"/>
      <c r="AQ8975"/>
      <c r="AR8975"/>
      <c r="AS8975"/>
      <c r="AT8975"/>
      <c r="AU8975"/>
      <c r="AV8975"/>
      <c r="AW8975"/>
      <c r="AX8975"/>
      <c r="AY8975"/>
      <c r="AZ8975"/>
      <c r="BA8975"/>
      <c r="BB8975"/>
      <c r="BC8975"/>
      <c r="BD8975"/>
      <c r="BE8975"/>
      <c r="BF8975"/>
      <c r="BG8975"/>
      <c r="BH8975"/>
      <c r="BI8975"/>
      <c r="BJ8975"/>
      <c r="BK8975"/>
    </row>
    <row r="8976" spans="1:63" s="93" customFormat="1" ht="9" customHeight="1" x14ac:dyDescent="0.3">
      <c r="A8976" s="91"/>
      <c r="B8976" s="70"/>
      <c r="C8976" s="70"/>
      <c r="D8976" s="70"/>
      <c r="E8976" s="70"/>
      <c r="F8976" s="70"/>
      <c r="G8976" s="94"/>
      <c r="H8976" s="131"/>
      <c r="I8976" s="3"/>
      <c r="J8976"/>
      <c r="K8976"/>
      <c r="L8976"/>
      <c r="M8976"/>
      <c r="N8976"/>
      <c r="O8976"/>
      <c r="P8976"/>
      <c r="Q8976"/>
      <c r="R8976"/>
      <c r="S8976"/>
      <c r="T8976"/>
      <c r="U8976"/>
      <c r="V8976"/>
      <c r="W8976"/>
      <c r="X8976"/>
      <c r="Y8976"/>
      <c r="Z8976"/>
      <c r="AA8976"/>
      <c r="AB8976"/>
      <c r="AC8976"/>
      <c r="AD8976"/>
      <c r="AE8976"/>
      <c r="AF8976"/>
      <c r="AG8976"/>
      <c r="AH8976"/>
      <c r="AI8976"/>
      <c r="AJ8976"/>
      <c r="AK8976"/>
      <c r="AL8976"/>
      <c r="AM8976"/>
      <c r="AN8976"/>
      <c r="AO8976"/>
      <c r="AP8976"/>
      <c r="AQ8976"/>
      <c r="AR8976"/>
      <c r="AS8976"/>
      <c r="AT8976"/>
      <c r="AU8976"/>
      <c r="AV8976"/>
      <c r="AW8976"/>
      <c r="AX8976"/>
      <c r="AY8976"/>
      <c r="AZ8976"/>
      <c r="BA8976"/>
      <c r="BB8976"/>
      <c r="BC8976"/>
      <c r="BD8976"/>
      <c r="BE8976"/>
      <c r="BF8976"/>
      <c r="BG8976"/>
      <c r="BH8976"/>
      <c r="BI8976"/>
      <c r="BJ8976"/>
      <c r="BK8976"/>
    </row>
    <row r="8977" spans="1:63" s="93" customFormat="1" ht="9" customHeight="1" x14ac:dyDescent="0.3">
      <c r="A8977" s="91"/>
      <c r="B8977" s="70"/>
      <c r="C8977" s="70"/>
      <c r="D8977" s="70"/>
      <c r="E8977" s="70"/>
      <c r="F8977" s="70"/>
      <c r="G8977" s="94"/>
      <c r="H8977" s="131"/>
      <c r="I8977" s="3"/>
      <c r="J8977"/>
      <c r="K8977"/>
      <c r="L8977"/>
      <c r="M8977"/>
      <c r="N8977"/>
      <c r="O8977"/>
      <c r="P8977"/>
      <c r="Q8977"/>
      <c r="R8977"/>
      <c r="S8977"/>
      <c r="T8977"/>
      <c r="U8977"/>
      <c r="V8977"/>
      <c r="W8977"/>
      <c r="X8977"/>
      <c r="Y8977"/>
      <c r="Z8977"/>
      <c r="AA8977"/>
      <c r="AB8977"/>
      <c r="AC8977"/>
      <c r="AD8977"/>
      <c r="AE8977"/>
      <c r="AF8977"/>
      <c r="AG8977"/>
      <c r="AH8977"/>
      <c r="AI8977"/>
      <c r="AJ8977"/>
      <c r="AK8977"/>
      <c r="AL8977"/>
      <c r="AM8977"/>
      <c r="AN8977"/>
      <c r="AO8977"/>
      <c r="AP8977"/>
      <c r="AQ8977"/>
      <c r="AR8977"/>
      <c r="AS8977"/>
      <c r="AT8977"/>
      <c r="AU8977"/>
      <c r="AV8977"/>
      <c r="AW8977"/>
      <c r="AX8977"/>
      <c r="AY8977"/>
      <c r="AZ8977"/>
      <c r="BA8977"/>
      <c r="BB8977"/>
      <c r="BC8977"/>
      <c r="BD8977"/>
      <c r="BE8977"/>
      <c r="BF8977"/>
      <c r="BG8977"/>
      <c r="BH8977"/>
      <c r="BI8977"/>
      <c r="BJ8977"/>
      <c r="BK8977"/>
    </row>
    <row r="8978" spans="1:63" s="93" customFormat="1" ht="9" customHeight="1" x14ac:dyDescent="0.3">
      <c r="A8978" s="91"/>
      <c r="B8978" s="70"/>
      <c r="C8978" s="70"/>
      <c r="D8978" s="70"/>
      <c r="E8978" s="70"/>
      <c r="F8978" s="70"/>
      <c r="G8978" s="94"/>
      <c r="H8978" s="131"/>
      <c r="I8978" s="3"/>
      <c r="J8978"/>
      <c r="K8978"/>
      <c r="L8978"/>
      <c r="M8978"/>
      <c r="N8978"/>
      <c r="O8978"/>
      <c r="P8978"/>
      <c r="Q8978"/>
      <c r="R8978"/>
      <c r="S8978"/>
      <c r="T8978"/>
      <c r="U8978"/>
      <c r="V8978"/>
      <c r="W8978"/>
      <c r="X8978"/>
      <c r="Y8978"/>
      <c r="Z8978"/>
      <c r="AA8978"/>
      <c r="AB8978"/>
      <c r="AC8978"/>
      <c r="AD8978"/>
      <c r="AE8978"/>
      <c r="AF8978"/>
      <c r="AG8978"/>
      <c r="AH8978"/>
      <c r="AI8978"/>
      <c r="AJ8978"/>
      <c r="AK8978"/>
      <c r="AL8978"/>
      <c r="AM8978"/>
      <c r="AN8978"/>
      <c r="AO8978"/>
      <c r="AP8978"/>
      <c r="AQ8978"/>
      <c r="AR8978"/>
      <c r="AS8978"/>
      <c r="AT8978"/>
      <c r="AU8978"/>
      <c r="AV8978"/>
      <c r="AW8978"/>
      <c r="AX8978"/>
      <c r="AY8978"/>
      <c r="AZ8978"/>
      <c r="BA8978"/>
      <c r="BB8978"/>
      <c r="BC8978"/>
      <c r="BD8978"/>
      <c r="BE8978"/>
      <c r="BF8978"/>
      <c r="BG8978"/>
      <c r="BH8978"/>
      <c r="BI8978"/>
      <c r="BJ8978"/>
      <c r="BK8978"/>
    </row>
    <row r="8979" spans="1:63" s="93" customFormat="1" ht="9" customHeight="1" x14ac:dyDescent="0.3">
      <c r="A8979" s="91"/>
      <c r="B8979" s="70"/>
      <c r="C8979" s="70"/>
      <c r="D8979" s="70"/>
      <c r="E8979" s="70"/>
      <c r="F8979" s="70"/>
      <c r="G8979" s="94"/>
      <c r="H8979" s="131"/>
      <c r="I8979" s="3"/>
      <c r="J8979"/>
      <c r="K8979"/>
      <c r="L8979"/>
      <c r="M8979"/>
      <c r="N8979"/>
      <c r="O8979"/>
      <c r="P8979"/>
      <c r="Q8979"/>
      <c r="R8979"/>
      <c r="S8979"/>
      <c r="T8979"/>
      <c r="U8979"/>
      <c r="V8979"/>
      <c r="W8979"/>
      <c r="X8979"/>
      <c r="Y8979"/>
      <c r="Z8979"/>
      <c r="AA8979"/>
      <c r="AB8979"/>
      <c r="AC8979"/>
      <c r="AD8979"/>
      <c r="AE8979"/>
      <c r="AF8979"/>
      <c r="AG8979"/>
      <c r="AH8979"/>
      <c r="AI8979"/>
      <c r="AJ8979"/>
      <c r="AK8979"/>
      <c r="AL8979"/>
      <c r="AM8979"/>
      <c r="AN8979"/>
      <c r="AO8979"/>
      <c r="AP8979"/>
      <c r="AQ8979"/>
      <c r="AR8979"/>
      <c r="AS8979"/>
      <c r="AT8979"/>
      <c r="AU8979"/>
      <c r="AV8979"/>
      <c r="AW8979"/>
      <c r="AX8979"/>
      <c r="AY8979"/>
      <c r="AZ8979"/>
      <c r="BA8979"/>
      <c r="BB8979"/>
      <c r="BC8979"/>
      <c r="BD8979"/>
      <c r="BE8979"/>
      <c r="BF8979"/>
      <c r="BG8979"/>
      <c r="BH8979"/>
      <c r="BI8979"/>
      <c r="BJ8979"/>
      <c r="BK8979"/>
    </row>
    <row r="8980" spans="1:63" s="93" customFormat="1" ht="9" customHeight="1" x14ac:dyDescent="0.3">
      <c r="A8980" s="91"/>
      <c r="B8980" s="70"/>
      <c r="C8980" s="70"/>
      <c r="D8980" s="70"/>
      <c r="E8980" s="70"/>
      <c r="F8980" s="70"/>
      <c r="G8980" s="94"/>
      <c r="H8980" s="131"/>
      <c r="I8980" s="3"/>
      <c r="J8980"/>
      <c r="K8980"/>
      <c r="L8980"/>
      <c r="M8980"/>
      <c r="N8980"/>
      <c r="O8980"/>
      <c r="P8980"/>
      <c r="Q8980"/>
      <c r="R8980"/>
      <c r="S8980"/>
      <c r="T8980"/>
      <c r="U8980"/>
      <c r="V8980"/>
      <c r="W8980"/>
      <c r="X8980"/>
      <c r="Y8980"/>
      <c r="Z8980"/>
      <c r="AA8980"/>
      <c r="AB8980"/>
      <c r="AC8980"/>
      <c r="AD8980"/>
      <c r="AE8980"/>
      <c r="AF8980"/>
      <c r="AG8980"/>
      <c r="AH8980"/>
      <c r="AI8980"/>
      <c r="AJ8980"/>
      <c r="AK8980"/>
      <c r="AL8980"/>
      <c r="AM8980"/>
      <c r="AN8980"/>
      <c r="AO8980"/>
      <c r="AP8980"/>
      <c r="AQ8980"/>
      <c r="AR8980"/>
      <c r="AS8980"/>
      <c r="AT8980"/>
      <c r="AU8980"/>
      <c r="AV8980"/>
      <c r="AW8980"/>
      <c r="AX8980"/>
      <c r="AY8980"/>
      <c r="AZ8980"/>
      <c r="BA8980"/>
      <c r="BB8980"/>
      <c r="BC8980"/>
      <c r="BD8980"/>
      <c r="BE8980"/>
      <c r="BF8980"/>
      <c r="BG8980"/>
      <c r="BH8980"/>
      <c r="BI8980"/>
      <c r="BJ8980"/>
      <c r="BK8980"/>
    </row>
    <row r="8981" spans="1:63" s="93" customFormat="1" ht="9" customHeight="1" x14ac:dyDescent="0.3">
      <c r="A8981" s="91"/>
      <c r="B8981" s="70"/>
      <c r="C8981" s="70"/>
      <c r="D8981" s="70"/>
      <c r="E8981" s="70"/>
      <c r="F8981" s="70"/>
      <c r="G8981" s="94"/>
      <c r="H8981" s="131"/>
      <c r="I8981" s="3"/>
      <c r="J8981"/>
      <c r="K8981"/>
      <c r="L8981"/>
      <c r="M8981"/>
      <c r="N8981"/>
      <c r="O8981"/>
      <c r="P8981"/>
      <c r="Q8981"/>
      <c r="R8981"/>
      <c r="S8981"/>
      <c r="T8981"/>
      <c r="U8981"/>
      <c r="V8981"/>
      <c r="W8981"/>
      <c r="X8981"/>
      <c r="Y8981"/>
      <c r="Z8981"/>
      <c r="AA8981"/>
      <c r="AB8981"/>
      <c r="AC8981"/>
      <c r="AD8981"/>
      <c r="AE8981"/>
      <c r="AF8981"/>
      <c r="AG8981"/>
      <c r="AH8981"/>
      <c r="AI8981"/>
      <c r="AJ8981"/>
      <c r="AK8981"/>
      <c r="AL8981"/>
      <c r="AM8981"/>
      <c r="AN8981"/>
      <c r="AO8981"/>
      <c r="AP8981"/>
      <c r="AQ8981"/>
      <c r="AR8981"/>
      <c r="AS8981"/>
      <c r="AT8981"/>
      <c r="AU8981"/>
      <c r="AV8981"/>
      <c r="AW8981"/>
      <c r="AX8981"/>
      <c r="AY8981"/>
      <c r="AZ8981"/>
      <c r="BA8981"/>
      <c r="BB8981"/>
      <c r="BC8981"/>
      <c r="BD8981"/>
      <c r="BE8981"/>
      <c r="BF8981"/>
      <c r="BG8981"/>
      <c r="BH8981"/>
      <c r="BI8981"/>
      <c r="BJ8981"/>
      <c r="BK8981"/>
    </row>
    <row r="8982" spans="1:63" s="93" customFormat="1" ht="9" customHeight="1" x14ac:dyDescent="0.3">
      <c r="A8982" s="91"/>
      <c r="B8982" s="70"/>
      <c r="C8982" s="70"/>
      <c r="D8982" s="70"/>
      <c r="E8982" s="70"/>
      <c r="F8982" s="70"/>
      <c r="G8982" s="94"/>
      <c r="H8982" s="131"/>
      <c r="I8982" s="3"/>
      <c r="J8982"/>
      <c r="K8982"/>
      <c r="L8982"/>
      <c r="M8982"/>
      <c r="N8982"/>
      <c r="O8982"/>
      <c r="P8982"/>
      <c r="Q8982"/>
      <c r="R8982"/>
      <c r="S8982"/>
      <c r="T8982"/>
      <c r="U8982"/>
      <c r="V8982"/>
      <c r="W8982"/>
      <c r="X8982"/>
      <c r="Y8982"/>
      <c r="Z8982"/>
      <c r="AA8982"/>
      <c r="AB8982"/>
      <c r="AC8982"/>
      <c r="AD8982"/>
      <c r="AE8982"/>
      <c r="AF8982"/>
      <c r="AG8982"/>
      <c r="AH8982"/>
      <c r="AI8982"/>
      <c r="AJ8982"/>
      <c r="AK8982"/>
      <c r="AL8982"/>
      <c r="AM8982"/>
      <c r="AN8982"/>
      <c r="AO8982"/>
      <c r="AP8982"/>
      <c r="AQ8982"/>
      <c r="AR8982"/>
      <c r="AS8982"/>
      <c r="AT8982"/>
      <c r="AU8982"/>
      <c r="AV8982"/>
      <c r="AW8982"/>
      <c r="AX8982"/>
      <c r="AY8982"/>
      <c r="AZ8982"/>
      <c r="BA8982"/>
      <c r="BB8982"/>
      <c r="BC8982"/>
      <c r="BD8982"/>
      <c r="BE8982"/>
      <c r="BF8982"/>
      <c r="BG8982"/>
      <c r="BH8982"/>
      <c r="BI8982"/>
      <c r="BJ8982"/>
      <c r="BK8982"/>
    </row>
    <row r="8983" spans="1:63" s="93" customFormat="1" ht="9" customHeight="1" x14ac:dyDescent="0.3">
      <c r="A8983" s="91"/>
      <c r="B8983" s="70"/>
      <c r="C8983" s="70"/>
      <c r="D8983" s="70"/>
      <c r="E8983" s="70"/>
      <c r="F8983" s="70"/>
      <c r="G8983" s="94"/>
      <c r="H8983" s="131"/>
      <c r="I8983" s="3"/>
      <c r="J8983"/>
      <c r="K8983"/>
      <c r="L8983"/>
      <c r="M8983"/>
      <c r="N8983"/>
      <c r="O8983"/>
      <c r="P8983"/>
      <c r="Q8983"/>
      <c r="R8983"/>
      <c r="S8983"/>
      <c r="T8983"/>
      <c r="U8983"/>
      <c r="V8983"/>
      <c r="W8983"/>
      <c r="X8983"/>
      <c r="Y8983"/>
      <c r="Z8983"/>
      <c r="AA8983"/>
      <c r="AB8983"/>
      <c r="AC8983"/>
      <c r="AD8983"/>
      <c r="AE8983"/>
      <c r="AF8983"/>
      <c r="AG8983"/>
      <c r="AH8983"/>
      <c r="AI8983"/>
      <c r="AJ8983"/>
      <c r="AK8983"/>
      <c r="AL8983"/>
      <c r="AM8983"/>
      <c r="AN8983"/>
      <c r="AO8983"/>
      <c r="AP8983"/>
      <c r="AQ8983"/>
      <c r="AR8983"/>
      <c r="AS8983"/>
      <c r="AT8983"/>
      <c r="AU8983"/>
      <c r="AV8983"/>
      <c r="AW8983"/>
      <c r="AX8983"/>
      <c r="AY8983"/>
      <c r="AZ8983"/>
      <c r="BA8983"/>
      <c r="BB8983"/>
      <c r="BC8983"/>
      <c r="BD8983"/>
      <c r="BE8983"/>
      <c r="BF8983"/>
      <c r="BG8983"/>
      <c r="BH8983"/>
      <c r="BI8983"/>
      <c r="BJ8983"/>
      <c r="BK8983"/>
    </row>
    <row r="8984" spans="1:63" s="93" customFormat="1" ht="9" customHeight="1" x14ac:dyDescent="0.3">
      <c r="A8984" s="91"/>
      <c r="B8984" s="70"/>
      <c r="C8984" s="70"/>
      <c r="D8984" s="70"/>
      <c r="E8984" s="70"/>
      <c r="F8984" s="70"/>
      <c r="G8984" s="94"/>
      <c r="H8984" s="131"/>
      <c r="I8984" s="3"/>
      <c r="J8984"/>
      <c r="K8984"/>
      <c r="L8984"/>
      <c r="M8984"/>
      <c r="N8984"/>
      <c r="O8984"/>
      <c r="P8984"/>
      <c r="Q8984"/>
      <c r="R8984"/>
      <c r="S8984"/>
      <c r="T8984"/>
      <c r="U8984"/>
      <c r="V8984"/>
      <c r="W8984"/>
      <c r="X8984"/>
      <c r="Y8984"/>
      <c r="Z8984"/>
      <c r="AA8984"/>
      <c r="AB8984"/>
      <c r="AC8984"/>
      <c r="AD8984"/>
      <c r="AE8984"/>
      <c r="AF8984"/>
      <c r="AG8984"/>
      <c r="AH8984"/>
      <c r="AI8984"/>
      <c r="AJ8984"/>
      <c r="AK8984"/>
      <c r="AL8984"/>
      <c r="AM8984"/>
      <c r="AN8984"/>
      <c r="AO8984"/>
      <c r="AP8984"/>
      <c r="AQ8984"/>
      <c r="AR8984"/>
      <c r="AS8984"/>
      <c r="AT8984"/>
      <c r="AU8984"/>
      <c r="AV8984"/>
      <c r="AW8984"/>
      <c r="AX8984"/>
      <c r="AY8984"/>
      <c r="AZ8984"/>
      <c r="BA8984"/>
      <c r="BB8984"/>
      <c r="BC8984"/>
      <c r="BD8984"/>
      <c r="BE8984"/>
      <c r="BF8984"/>
      <c r="BG8984"/>
      <c r="BH8984"/>
      <c r="BI8984"/>
      <c r="BJ8984"/>
      <c r="BK8984"/>
    </row>
    <row r="8985" spans="1:63" s="93" customFormat="1" ht="9" customHeight="1" x14ac:dyDescent="0.3">
      <c r="A8985" s="91"/>
      <c r="B8985" s="70"/>
      <c r="C8985" s="70"/>
      <c r="D8985" s="70"/>
      <c r="E8985" s="70"/>
      <c r="F8985" s="70"/>
      <c r="G8985" s="94"/>
      <c r="H8985" s="131"/>
      <c r="I8985" s="3"/>
      <c r="J8985"/>
      <c r="K8985"/>
      <c r="L8985"/>
      <c r="M8985"/>
      <c r="N8985"/>
      <c r="O8985"/>
      <c r="P8985"/>
      <c r="Q8985"/>
      <c r="R8985"/>
      <c r="S8985"/>
      <c r="T8985"/>
      <c r="U8985"/>
      <c r="V8985"/>
      <c r="W8985"/>
      <c r="X8985"/>
      <c r="Y8985"/>
      <c r="Z8985"/>
      <c r="AA8985"/>
      <c r="AB8985"/>
      <c r="AC8985"/>
      <c r="AD8985"/>
      <c r="AE8985"/>
      <c r="AF8985"/>
      <c r="AG8985"/>
      <c r="AH8985"/>
      <c r="AI8985"/>
      <c r="AJ8985"/>
      <c r="AK8985"/>
      <c r="AL8985"/>
      <c r="AM8985"/>
      <c r="AN8985"/>
      <c r="AO8985"/>
      <c r="AP8985"/>
      <c r="AQ8985"/>
      <c r="AR8985"/>
      <c r="AS8985"/>
      <c r="AT8985"/>
      <c r="AU8985"/>
      <c r="AV8985"/>
      <c r="AW8985"/>
      <c r="AX8985"/>
      <c r="AY8985"/>
      <c r="AZ8985"/>
      <c r="BA8985"/>
      <c r="BB8985"/>
      <c r="BC8985"/>
      <c r="BD8985"/>
      <c r="BE8985"/>
      <c r="BF8985"/>
      <c r="BG8985"/>
      <c r="BH8985"/>
      <c r="BI8985"/>
      <c r="BJ8985"/>
      <c r="BK8985"/>
    </row>
    <row r="8986" spans="1:63" s="93" customFormat="1" ht="9" customHeight="1" x14ac:dyDescent="0.3">
      <c r="A8986" s="91"/>
      <c r="B8986" s="70"/>
      <c r="C8986" s="70"/>
      <c r="D8986" s="70"/>
      <c r="E8986" s="70"/>
      <c r="F8986" s="70"/>
      <c r="G8986" s="94"/>
      <c r="H8986" s="131"/>
      <c r="I8986" s="3"/>
      <c r="J8986"/>
      <c r="K8986"/>
      <c r="L8986"/>
      <c r="M8986"/>
      <c r="N8986"/>
      <c r="O8986"/>
      <c r="P8986"/>
      <c r="Q8986"/>
      <c r="R8986"/>
      <c r="S8986"/>
      <c r="T8986"/>
      <c r="U8986"/>
      <c r="V8986"/>
      <c r="W8986"/>
      <c r="X8986"/>
      <c r="Y8986"/>
      <c r="Z8986"/>
      <c r="AA8986"/>
      <c r="AB8986"/>
      <c r="AC8986"/>
      <c r="AD8986"/>
      <c r="AE8986"/>
      <c r="AF8986"/>
      <c r="AG8986"/>
      <c r="AH8986"/>
      <c r="AI8986"/>
      <c r="AJ8986"/>
      <c r="AK8986"/>
      <c r="AL8986"/>
      <c r="AM8986"/>
      <c r="AN8986"/>
      <c r="AO8986"/>
      <c r="AP8986"/>
      <c r="AQ8986"/>
      <c r="AR8986"/>
      <c r="AS8986"/>
      <c r="AT8986"/>
      <c r="AU8986"/>
      <c r="AV8986"/>
      <c r="AW8986"/>
      <c r="AX8986"/>
      <c r="AY8986"/>
      <c r="AZ8986"/>
      <c r="BA8986"/>
      <c r="BB8986"/>
      <c r="BC8986"/>
      <c r="BD8986"/>
      <c r="BE8986"/>
      <c r="BF8986"/>
      <c r="BG8986"/>
      <c r="BH8986"/>
      <c r="BI8986"/>
      <c r="BJ8986"/>
      <c r="BK8986"/>
    </row>
    <row r="8987" spans="1:63" s="93" customFormat="1" ht="9" customHeight="1" x14ac:dyDescent="0.3">
      <c r="A8987" s="91"/>
      <c r="B8987" s="70"/>
      <c r="C8987" s="70"/>
      <c r="D8987" s="70"/>
      <c r="E8987" s="70"/>
      <c r="F8987" s="70"/>
      <c r="G8987" s="94"/>
      <c r="H8987" s="131"/>
      <c r="I8987" s="3"/>
      <c r="J8987"/>
      <c r="K8987"/>
      <c r="L8987"/>
      <c r="M8987"/>
      <c r="N8987"/>
      <c r="O8987"/>
      <c r="P8987"/>
      <c r="Q8987"/>
      <c r="R8987"/>
      <c r="S8987"/>
      <c r="T8987"/>
      <c r="U8987"/>
      <c r="V8987"/>
      <c r="W8987"/>
      <c r="X8987"/>
      <c r="Y8987"/>
      <c r="Z8987"/>
      <c r="AA8987"/>
      <c r="AB8987"/>
      <c r="AC8987"/>
      <c r="AD8987"/>
      <c r="AE8987"/>
      <c r="AF8987"/>
      <c r="AG8987"/>
      <c r="AH8987"/>
      <c r="AI8987"/>
      <c r="AJ8987"/>
      <c r="AK8987"/>
      <c r="AL8987"/>
      <c r="AM8987"/>
      <c r="AN8987"/>
      <c r="AO8987"/>
      <c r="AP8987"/>
      <c r="AQ8987"/>
      <c r="AR8987"/>
      <c r="AS8987"/>
      <c r="AT8987"/>
      <c r="AU8987"/>
      <c r="AV8987"/>
      <c r="AW8987"/>
      <c r="AX8987"/>
      <c r="AY8987"/>
      <c r="AZ8987"/>
      <c r="BA8987"/>
      <c r="BB8987"/>
      <c r="BC8987"/>
      <c r="BD8987"/>
      <c r="BE8987"/>
      <c r="BF8987"/>
      <c r="BG8987"/>
      <c r="BH8987"/>
      <c r="BI8987"/>
      <c r="BJ8987"/>
      <c r="BK8987"/>
    </row>
    <row r="8988" spans="1:63" s="93" customFormat="1" ht="9" customHeight="1" x14ac:dyDescent="0.3">
      <c r="A8988" s="91"/>
      <c r="B8988" s="70"/>
      <c r="C8988" s="70"/>
      <c r="D8988" s="70"/>
      <c r="E8988" s="70"/>
      <c r="F8988" s="70"/>
      <c r="G8988" s="94"/>
      <c r="H8988" s="131"/>
      <c r="I8988" s="3"/>
      <c r="J8988"/>
      <c r="K8988"/>
      <c r="L8988"/>
      <c r="M8988"/>
      <c r="N8988"/>
      <c r="O8988"/>
      <c r="P8988"/>
      <c r="Q8988"/>
      <c r="R8988"/>
      <c r="S8988"/>
      <c r="T8988"/>
      <c r="U8988"/>
      <c r="V8988"/>
      <c r="W8988"/>
      <c r="X8988"/>
      <c r="Y8988"/>
      <c r="Z8988"/>
      <c r="AA8988"/>
      <c r="AB8988"/>
      <c r="AC8988"/>
      <c r="AD8988"/>
      <c r="AE8988"/>
      <c r="AF8988"/>
      <c r="AG8988"/>
      <c r="AH8988"/>
      <c r="AI8988"/>
      <c r="AJ8988"/>
      <c r="AK8988"/>
      <c r="AL8988"/>
      <c r="AM8988"/>
      <c r="AN8988"/>
      <c r="AO8988"/>
      <c r="AP8988"/>
      <c r="AQ8988"/>
      <c r="AR8988"/>
      <c r="AS8988"/>
      <c r="AT8988"/>
      <c r="AU8988"/>
      <c r="AV8988"/>
      <c r="AW8988"/>
      <c r="AX8988"/>
      <c r="AY8988"/>
      <c r="AZ8988"/>
      <c r="BA8988"/>
      <c r="BB8988"/>
      <c r="BC8988"/>
      <c r="BD8988"/>
      <c r="BE8988"/>
      <c r="BF8988"/>
      <c r="BG8988"/>
      <c r="BH8988"/>
      <c r="BI8988"/>
      <c r="BJ8988"/>
      <c r="BK8988"/>
    </row>
    <row r="8989" spans="1:63" s="93" customFormat="1" ht="9" customHeight="1" x14ac:dyDescent="0.3">
      <c r="A8989" s="91"/>
      <c r="B8989" s="70"/>
      <c r="C8989" s="70"/>
      <c r="D8989" s="70"/>
      <c r="E8989" s="70"/>
      <c r="F8989" s="70"/>
      <c r="G8989" s="94"/>
      <c r="H8989" s="131"/>
      <c r="I8989" s="3"/>
      <c r="J8989"/>
      <c r="K8989"/>
      <c r="L8989"/>
      <c r="M8989"/>
      <c r="N8989"/>
      <c r="O8989"/>
      <c r="P8989"/>
      <c r="Q8989"/>
      <c r="R8989"/>
      <c r="S8989"/>
      <c r="T8989"/>
      <c r="U8989"/>
      <c r="V8989"/>
      <c r="W8989"/>
      <c r="X8989"/>
      <c r="Y8989"/>
      <c r="Z8989"/>
      <c r="AA8989"/>
      <c r="AB8989"/>
      <c r="AC8989"/>
      <c r="AD8989"/>
      <c r="AE8989"/>
      <c r="AF8989"/>
      <c r="AG8989"/>
      <c r="AH8989"/>
      <c r="AI8989"/>
      <c r="AJ8989"/>
      <c r="AK8989"/>
      <c r="AL8989"/>
      <c r="AM8989"/>
      <c r="AN8989"/>
      <c r="AO8989"/>
      <c r="AP8989"/>
      <c r="AQ8989"/>
      <c r="AR8989"/>
      <c r="AS8989"/>
      <c r="AT8989"/>
      <c r="AU8989"/>
      <c r="AV8989"/>
      <c r="AW8989"/>
      <c r="AX8989"/>
      <c r="AY8989"/>
      <c r="AZ8989"/>
      <c r="BA8989"/>
      <c r="BB8989"/>
      <c r="BC8989"/>
      <c r="BD8989"/>
      <c r="BE8989"/>
      <c r="BF8989"/>
      <c r="BG8989"/>
      <c r="BH8989"/>
      <c r="BI8989"/>
      <c r="BJ8989"/>
      <c r="BK8989"/>
    </row>
    <row r="8990" spans="1:63" s="93" customFormat="1" ht="9" customHeight="1" x14ac:dyDescent="0.3">
      <c r="A8990" s="91"/>
      <c r="B8990" s="70"/>
      <c r="C8990" s="70"/>
      <c r="D8990" s="70"/>
      <c r="E8990" s="70"/>
      <c r="F8990" s="70"/>
      <c r="G8990" s="94"/>
      <c r="H8990" s="131"/>
      <c r="I8990" s="3"/>
      <c r="J8990"/>
      <c r="K8990"/>
      <c r="L8990"/>
      <c r="M8990"/>
      <c r="N8990"/>
      <c r="O8990"/>
      <c r="P8990"/>
      <c r="Q8990"/>
      <c r="R8990"/>
      <c r="S8990"/>
      <c r="T8990"/>
      <c r="U8990"/>
      <c r="V8990"/>
      <c r="W8990"/>
      <c r="X8990"/>
      <c r="Y8990"/>
      <c r="Z8990"/>
      <c r="AA8990"/>
      <c r="AB8990"/>
      <c r="AC8990"/>
      <c r="AD8990"/>
      <c r="AE8990"/>
      <c r="AF8990"/>
      <c r="AG8990"/>
      <c r="AH8990"/>
      <c r="AI8990"/>
      <c r="AJ8990"/>
      <c r="AK8990"/>
      <c r="AL8990"/>
      <c r="AM8990"/>
      <c r="AN8990"/>
      <c r="AO8990"/>
      <c r="AP8990"/>
      <c r="AQ8990"/>
      <c r="AR8990"/>
      <c r="AS8990"/>
      <c r="AT8990"/>
      <c r="AU8990"/>
      <c r="AV8990"/>
      <c r="AW8990"/>
      <c r="AX8990"/>
      <c r="AY8990"/>
      <c r="AZ8990"/>
      <c r="BA8990"/>
      <c r="BB8990"/>
      <c r="BC8990"/>
      <c r="BD8990"/>
      <c r="BE8990"/>
      <c r="BF8990"/>
      <c r="BG8990"/>
      <c r="BH8990"/>
      <c r="BI8990"/>
      <c r="BJ8990"/>
      <c r="BK8990"/>
    </row>
    <row r="8991" spans="1:63" s="93" customFormat="1" ht="9" customHeight="1" x14ac:dyDescent="0.3">
      <c r="A8991" s="91"/>
      <c r="B8991" s="70"/>
      <c r="C8991" s="70"/>
      <c r="D8991" s="70"/>
      <c r="E8991" s="70"/>
      <c r="F8991" s="70"/>
      <c r="G8991" s="94"/>
      <c r="H8991" s="131"/>
      <c r="I8991" s="3"/>
      <c r="J8991"/>
      <c r="K8991"/>
      <c r="L8991"/>
      <c r="M8991"/>
      <c r="N8991"/>
      <c r="O8991"/>
      <c r="P8991"/>
      <c r="Q8991"/>
      <c r="R8991"/>
      <c r="S8991"/>
      <c r="T8991"/>
      <c r="U8991"/>
      <c r="V8991"/>
      <c r="W8991"/>
      <c r="X8991"/>
      <c r="Y8991"/>
      <c r="Z8991"/>
      <c r="AA8991"/>
      <c r="AB8991"/>
      <c r="AC8991"/>
      <c r="AD8991"/>
      <c r="AE8991"/>
      <c r="AF8991"/>
      <c r="AG8991"/>
      <c r="AH8991"/>
      <c r="AI8991"/>
      <c r="AJ8991"/>
      <c r="AK8991"/>
      <c r="AL8991"/>
      <c r="AM8991"/>
      <c r="AN8991"/>
      <c r="AO8991"/>
      <c r="AP8991"/>
      <c r="AQ8991"/>
      <c r="AR8991"/>
      <c r="AS8991"/>
      <c r="AT8991"/>
      <c r="AU8991"/>
      <c r="AV8991"/>
      <c r="AW8991"/>
      <c r="AX8991"/>
      <c r="AY8991"/>
      <c r="AZ8991"/>
      <c r="BA8991"/>
      <c r="BB8991"/>
      <c r="BC8991"/>
      <c r="BD8991"/>
      <c r="BE8991"/>
      <c r="BF8991"/>
      <c r="BG8991"/>
      <c r="BH8991"/>
      <c r="BI8991"/>
      <c r="BJ8991"/>
      <c r="BK8991"/>
    </row>
    <row r="8992" spans="1:63" s="93" customFormat="1" ht="9" customHeight="1" x14ac:dyDescent="0.3">
      <c r="A8992" s="91"/>
      <c r="B8992" s="70"/>
      <c r="C8992" s="70"/>
      <c r="D8992" s="70"/>
      <c r="E8992" s="70"/>
      <c r="F8992" s="70"/>
      <c r="G8992" s="94"/>
      <c r="H8992" s="131"/>
      <c r="I8992" s="3"/>
      <c r="J8992"/>
      <c r="K8992"/>
      <c r="L8992"/>
      <c r="M8992"/>
      <c r="N8992"/>
      <c r="O8992"/>
      <c r="P8992"/>
      <c r="Q8992"/>
      <c r="R8992"/>
      <c r="S8992"/>
      <c r="T8992"/>
      <c r="U8992"/>
      <c r="V8992"/>
      <c r="W8992"/>
      <c r="X8992"/>
      <c r="Y8992"/>
      <c r="Z8992"/>
      <c r="AA8992"/>
      <c r="AB8992"/>
      <c r="AC8992"/>
      <c r="AD8992"/>
      <c r="AE8992"/>
      <c r="AF8992"/>
      <c r="AG8992"/>
      <c r="AH8992"/>
      <c r="AI8992"/>
      <c r="AJ8992"/>
      <c r="AK8992"/>
      <c r="AL8992"/>
      <c r="AM8992"/>
      <c r="AN8992"/>
      <c r="AO8992"/>
      <c r="AP8992"/>
      <c r="AQ8992"/>
      <c r="AR8992"/>
      <c r="AS8992"/>
      <c r="AT8992"/>
      <c r="AU8992"/>
      <c r="AV8992"/>
      <c r="AW8992"/>
      <c r="AX8992"/>
      <c r="AY8992"/>
      <c r="AZ8992"/>
      <c r="BA8992"/>
      <c r="BB8992"/>
      <c r="BC8992"/>
      <c r="BD8992"/>
      <c r="BE8992"/>
      <c r="BF8992"/>
      <c r="BG8992"/>
      <c r="BH8992"/>
      <c r="BI8992"/>
      <c r="BJ8992"/>
      <c r="BK8992"/>
    </row>
    <row r="8993" spans="1:63" s="93" customFormat="1" ht="9" customHeight="1" x14ac:dyDescent="0.3">
      <c r="A8993" s="91"/>
      <c r="B8993" s="70"/>
      <c r="C8993" s="70"/>
      <c r="D8993" s="70"/>
      <c r="E8993" s="70"/>
      <c r="F8993" s="70"/>
      <c r="G8993" s="94"/>
      <c r="H8993" s="131"/>
      <c r="I8993" s="3"/>
      <c r="J8993"/>
      <c r="K8993"/>
      <c r="L8993"/>
      <c r="M8993"/>
      <c r="N8993"/>
      <c r="O8993"/>
      <c r="P8993"/>
      <c r="Q8993"/>
      <c r="R8993"/>
      <c r="S8993"/>
      <c r="T8993"/>
      <c r="U8993"/>
      <c r="V8993"/>
      <c r="W8993"/>
      <c r="X8993"/>
      <c r="Y8993"/>
      <c r="Z8993"/>
      <c r="AA8993"/>
      <c r="AB8993"/>
      <c r="AC8993"/>
      <c r="AD8993"/>
      <c r="AE8993"/>
      <c r="AF8993"/>
      <c r="AG8993"/>
      <c r="AH8993"/>
      <c r="AI8993"/>
      <c r="AJ8993"/>
      <c r="AK8993"/>
      <c r="AL8993"/>
      <c r="AM8993"/>
      <c r="AN8993"/>
      <c r="AO8993"/>
      <c r="AP8993"/>
      <c r="AQ8993"/>
      <c r="AR8993"/>
      <c r="AS8993"/>
      <c r="AT8993"/>
      <c r="AU8993"/>
      <c r="AV8993"/>
      <c r="AW8993"/>
      <c r="AX8993"/>
      <c r="AY8993"/>
      <c r="AZ8993"/>
      <c r="BA8993"/>
      <c r="BB8993"/>
      <c r="BC8993"/>
      <c r="BD8993"/>
      <c r="BE8993"/>
      <c r="BF8993"/>
      <c r="BG8993"/>
      <c r="BH8993"/>
      <c r="BI8993"/>
      <c r="BJ8993"/>
      <c r="BK8993"/>
    </row>
    <row r="8994" spans="1:63" s="93" customFormat="1" ht="9" customHeight="1" x14ac:dyDescent="0.3">
      <c r="A8994" s="91"/>
      <c r="B8994" s="70"/>
      <c r="C8994" s="70"/>
      <c r="D8994" s="70"/>
      <c r="E8994" s="70"/>
      <c r="F8994" s="70"/>
      <c r="G8994" s="94"/>
      <c r="H8994" s="131"/>
      <c r="I8994" s="3"/>
      <c r="J8994"/>
      <c r="K8994"/>
      <c r="L8994"/>
      <c r="M8994"/>
      <c r="N8994"/>
      <c r="O8994"/>
      <c r="P8994"/>
      <c r="Q8994"/>
      <c r="R8994"/>
      <c r="S8994"/>
      <c r="T8994"/>
      <c r="U8994"/>
      <c r="V8994"/>
      <c r="W8994"/>
      <c r="X8994"/>
      <c r="Y8994"/>
      <c r="Z8994"/>
      <c r="AA8994"/>
      <c r="AB8994"/>
      <c r="AC8994"/>
      <c r="AD8994"/>
      <c r="AE8994"/>
      <c r="AF8994"/>
      <c r="AG8994"/>
      <c r="AH8994"/>
      <c r="AI8994"/>
      <c r="AJ8994"/>
      <c r="AK8994"/>
      <c r="AL8994"/>
      <c r="AM8994"/>
      <c r="AN8994"/>
      <c r="AO8994"/>
      <c r="AP8994"/>
      <c r="AQ8994"/>
      <c r="AR8994"/>
      <c r="AS8994"/>
      <c r="AT8994"/>
      <c r="AU8994"/>
      <c r="AV8994"/>
      <c r="AW8994"/>
      <c r="AX8994"/>
      <c r="AY8994"/>
      <c r="AZ8994"/>
      <c r="BA8994"/>
      <c r="BB8994"/>
      <c r="BC8994"/>
      <c r="BD8994"/>
      <c r="BE8994"/>
      <c r="BF8994"/>
      <c r="BG8994"/>
      <c r="BH8994"/>
      <c r="BI8994"/>
      <c r="BJ8994"/>
      <c r="BK8994"/>
    </row>
    <row r="8995" spans="1:63" s="93" customFormat="1" ht="9" customHeight="1" x14ac:dyDescent="0.3">
      <c r="A8995" s="91"/>
      <c r="B8995" s="70"/>
      <c r="C8995" s="70"/>
      <c r="D8995" s="70"/>
      <c r="E8995" s="70"/>
      <c r="F8995" s="70"/>
      <c r="G8995" s="94"/>
      <c r="H8995" s="131"/>
      <c r="I8995" s="3"/>
      <c r="J8995"/>
      <c r="K8995"/>
      <c r="L8995"/>
      <c r="M8995"/>
      <c r="N8995"/>
      <c r="O8995"/>
      <c r="P8995"/>
      <c r="Q8995"/>
      <c r="R8995"/>
      <c r="S8995"/>
      <c r="T8995"/>
      <c r="U8995"/>
      <c r="V8995"/>
      <c r="W8995"/>
      <c r="X8995"/>
      <c r="Y8995"/>
      <c r="Z8995"/>
      <c r="AA8995"/>
      <c r="AB8995"/>
      <c r="AC8995"/>
      <c r="AD8995"/>
      <c r="AE8995"/>
      <c r="AF8995"/>
      <c r="AG8995"/>
      <c r="AH8995"/>
      <c r="AI8995"/>
      <c r="AJ8995"/>
      <c r="AK8995"/>
      <c r="AL8995"/>
      <c r="AM8995"/>
      <c r="AN8995"/>
      <c r="AO8995"/>
      <c r="AP8995"/>
      <c r="AQ8995"/>
      <c r="AR8995"/>
      <c r="AS8995"/>
      <c r="AT8995"/>
      <c r="AU8995"/>
      <c r="AV8995"/>
      <c r="AW8995"/>
      <c r="AX8995"/>
      <c r="AY8995"/>
      <c r="AZ8995"/>
      <c r="BA8995"/>
      <c r="BB8995"/>
      <c r="BC8995"/>
      <c r="BD8995"/>
      <c r="BE8995"/>
      <c r="BF8995"/>
      <c r="BG8995"/>
      <c r="BH8995"/>
      <c r="BI8995"/>
      <c r="BJ8995"/>
      <c r="BK8995"/>
    </row>
    <row r="8996" spans="1:63" s="93" customFormat="1" ht="9" customHeight="1" x14ac:dyDescent="0.3">
      <c r="A8996" s="91"/>
      <c r="B8996" s="70"/>
      <c r="C8996" s="70"/>
      <c r="D8996" s="70"/>
      <c r="E8996" s="70"/>
      <c r="F8996" s="70"/>
      <c r="G8996" s="94"/>
      <c r="H8996" s="131"/>
      <c r="I8996" s="3"/>
      <c r="J8996"/>
      <c r="K8996"/>
      <c r="L8996"/>
      <c r="M8996"/>
      <c r="N8996"/>
      <c r="O8996"/>
      <c r="P8996"/>
      <c r="Q8996"/>
      <c r="R8996"/>
      <c r="S8996"/>
      <c r="T8996"/>
      <c r="U8996"/>
      <c r="V8996"/>
      <c r="W8996"/>
      <c r="X8996"/>
      <c r="Y8996"/>
      <c r="Z8996"/>
      <c r="AA8996"/>
      <c r="AB8996"/>
      <c r="AC8996"/>
      <c r="AD8996"/>
      <c r="AE8996"/>
      <c r="AF8996"/>
      <c r="AG8996"/>
      <c r="AH8996"/>
      <c r="AI8996"/>
      <c r="AJ8996"/>
      <c r="AK8996"/>
      <c r="AL8996"/>
      <c r="AM8996"/>
      <c r="AN8996"/>
      <c r="AO8996"/>
      <c r="AP8996"/>
      <c r="AQ8996"/>
      <c r="AR8996"/>
      <c r="AS8996"/>
      <c r="AT8996"/>
      <c r="AU8996"/>
      <c r="AV8996"/>
      <c r="AW8996"/>
      <c r="AX8996"/>
      <c r="AY8996"/>
      <c r="AZ8996"/>
      <c r="BA8996"/>
      <c r="BB8996"/>
      <c r="BC8996"/>
      <c r="BD8996"/>
      <c r="BE8996"/>
      <c r="BF8996"/>
      <c r="BG8996"/>
      <c r="BH8996"/>
      <c r="BI8996"/>
      <c r="BJ8996"/>
      <c r="BK8996"/>
    </row>
    <row r="8997" spans="1:63" s="93" customFormat="1" ht="9" customHeight="1" x14ac:dyDescent="0.3">
      <c r="A8997" s="91"/>
      <c r="B8997" s="70"/>
      <c r="C8997" s="70"/>
      <c r="D8997" s="70"/>
      <c r="E8997" s="70"/>
      <c r="F8997" s="70"/>
      <c r="G8997" s="94"/>
      <c r="H8997" s="131"/>
      <c r="I8997" s="3"/>
      <c r="J8997"/>
      <c r="K8997"/>
      <c r="L8997"/>
      <c r="M8997"/>
      <c r="N8997"/>
      <c r="O8997"/>
      <c r="P8997"/>
      <c r="Q8997"/>
      <c r="R8997"/>
      <c r="S8997"/>
      <c r="T8997"/>
      <c r="U8997"/>
      <c r="V8997"/>
      <c r="W8997"/>
      <c r="X8997"/>
      <c r="Y8997"/>
      <c r="Z8997"/>
      <c r="AA8997"/>
      <c r="AB8997"/>
      <c r="AC8997"/>
      <c r="AD8997"/>
      <c r="AE8997"/>
      <c r="AF8997"/>
      <c r="AG8997"/>
      <c r="AH8997"/>
      <c r="AI8997"/>
      <c r="AJ8997"/>
      <c r="AK8997"/>
      <c r="AL8997"/>
      <c r="AM8997"/>
      <c r="AN8997"/>
      <c r="AO8997"/>
      <c r="AP8997"/>
      <c r="AQ8997"/>
      <c r="AR8997"/>
      <c r="AS8997"/>
      <c r="AT8997"/>
      <c r="AU8997"/>
      <c r="AV8997"/>
      <c r="AW8997"/>
      <c r="AX8997"/>
      <c r="AY8997"/>
      <c r="AZ8997"/>
      <c r="BA8997"/>
      <c r="BB8997"/>
      <c r="BC8997"/>
      <c r="BD8997"/>
      <c r="BE8997"/>
      <c r="BF8997"/>
      <c r="BG8997"/>
      <c r="BH8997"/>
      <c r="BI8997"/>
      <c r="BJ8997"/>
      <c r="BK8997"/>
    </row>
    <row r="8998" spans="1:63" s="93" customFormat="1" ht="9" customHeight="1" x14ac:dyDescent="0.3">
      <c r="A8998" s="91"/>
      <c r="B8998" s="70"/>
      <c r="C8998" s="70"/>
      <c r="D8998" s="70"/>
      <c r="E8998" s="70"/>
      <c r="F8998" s="70"/>
      <c r="G8998" s="94"/>
      <c r="H8998" s="131"/>
      <c r="I8998" s="3"/>
      <c r="J8998"/>
      <c r="K8998"/>
      <c r="L8998"/>
      <c r="M8998"/>
      <c r="N8998"/>
      <c r="O8998"/>
      <c r="P8998"/>
      <c r="Q8998"/>
      <c r="R8998"/>
      <c r="S8998"/>
      <c r="T8998"/>
      <c r="U8998"/>
      <c r="V8998"/>
      <c r="W8998"/>
      <c r="X8998"/>
      <c r="Y8998"/>
      <c r="Z8998"/>
      <c r="AA8998"/>
      <c r="AB8998"/>
      <c r="AC8998"/>
      <c r="AD8998"/>
      <c r="AE8998"/>
      <c r="AF8998"/>
      <c r="AG8998"/>
      <c r="AH8998"/>
      <c r="AI8998"/>
      <c r="AJ8998"/>
      <c r="AK8998"/>
      <c r="AL8998"/>
      <c r="AM8998"/>
      <c r="AN8998"/>
      <c r="AO8998"/>
      <c r="AP8998"/>
      <c r="AQ8998"/>
      <c r="AR8998"/>
      <c r="AS8998"/>
      <c r="AT8998"/>
      <c r="AU8998"/>
      <c r="AV8998"/>
      <c r="AW8998"/>
      <c r="AX8998"/>
      <c r="AY8998"/>
      <c r="AZ8998"/>
      <c r="BA8998"/>
      <c r="BB8998"/>
      <c r="BC8998"/>
      <c r="BD8998"/>
      <c r="BE8998"/>
      <c r="BF8998"/>
      <c r="BG8998"/>
      <c r="BH8998"/>
      <c r="BI8998"/>
      <c r="BJ8998"/>
      <c r="BK8998"/>
    </row>
    <row r="8999" spans="1:63" s="93" customFormat="1" ht="9" customHeight="1" x14ac:dyDescent="0.3">
      <c r="A8999" s="91"/>
      <c r="B8999" s="70"/>
      <c r="C8999" s="70"/>
      <c r="D8999" s="70"/>
      <c r="E8999" s="70"/>
      <c r="F8999" s="70"/>
      <c r="G8999" s="94"/>
      <c r="H8999" s="131"/>
      <c r="I8999" s="3"/>
      <c r="J8999"/>
      <c r="K8999"/>
      <c r="L8999"/>
      <c r="M8999"/>
      <c r="N8999"/>
      <c r="O8999"/>
      <c r="P8999"/>
      <c r="Q8999"/>
      <c r="R8999"/>
      <c r="S8999"/>
      <c r="T8999"/>
      <c r="U8999"/>
      <c r="V8999"/>
      <c r="W8999"/>
      <c r="X8999"/>
      <c r="Y8999"/>
      <c r="Z8999"/>
      <c r="AA8999"/>
      <c r="AB8999"/>
      <c r="AC8999"/>
      <c r="AD8999"/>
      <c r="AE8999"/>
      <c r="AF8999"/>
      <c r="AG8999"/>
      <c r="AH8999"/>
      <c r="AI8999"/>
      <c r="AJ8999"/>
      <c r="AK8999"/>
      <c r="AL8999"/>
      <c r="AM8999"/>
      <c r="AN8999"/>
      <c r="AO8999"/>
      <c r="AP8999"/>
      <c r="AQ8999"/>
      <c r="AR8999"/>
      <c r="AS8999"/>
      <c r="AT8999"/>
      <c r="AU8999"/>
      <c r="AV8999"/>
      <c r="AW8999"/>
      <c r="AX8999"/>
      <c r="AY8999"/>
      <c r="AZ8999"/>
      <c r="BA8999"/>
      <c r="BB8999"/>
      <c r="BC8999"/>
      <c r="BD8999"/>
      <c r="BE8999"/>
      <c r="BF8999"/>
      <c r="BG8999"/>
      <c r="BH8999"/>
      <c r="BI8999"/>
      <c r="BJ8999"/>
      <c r="BK8999"/>
    </row>
    <row r="9000" spans="1:63" s="93" customFormat="1" ht="9" customHeight="1" x14ac:dyDescent="0.3">
      <c r="A9000" s="91"/>
      <c r="B9000" s="70"/>
      <c r="C9000" s="70"/>
      <c r="D9000" s="70"/>
      <c r="E9000" s="70"/>
      <c r="F9000" s="70"/>
      <c r="G9000" s="94"/>
      <c r="H9000" s="131"/>
      <c r="I9000" s="3"/>
      <c r="J9000"/>
      <c r="K9000"/>
      <c r="L9000"/>
      <c r="M9000"/>
      <c r="N9000"/>
      <c r="O9000"/>
      <c r="P9000"/>
      <c r="Q9000"/>
      <c r="R9000"/>
      <c r="S9000"/>
      <c r="T9000"/>
      <c r="U9000"/>
      <c r="V9000"/>
      <c r="W9000"/>
      <c r="X9000"/>
      <c r="Y9000"/>
      <c r="Z9000"/>
      <c r="AA9000"/>
      <c r="AB9000"/>
      <c r="AC9000"/>
      <c r="AD9000"/>
      <c r="AE9000"/>
      <c r="AF9000"/>
      <c r="AG9000"/>
      <c r="AH9000"/>
      <c r="AI9000"/>
      <c r="AJ9000"/>
      <c r="AK9000"/>
      <c r="AL9000"/>
      <c r="AM9000"/>
      <c r="AN9000"/>
      <c r="AO9000"/>
      <c r="AP9000"/>
      <c r="AQ9000"/>
      <c r="AR9000"/>
      <c r="AS9000"/>
      <c r="AT9000"/>
      <c r="AU9000"/>
      <c r="AV9000"/>
      <c r="AW9000"/>
      <c r="AX9000"/>
      <c r="AY9000"/>
      <c r="AZ9000"/>
      <c r="BA9000"/>
      <c r="BB9000"/>
      <c r="BC9000"/>
      <c r="BD9000"/>
      <c r="BE9000"/>
      <c r="BF9000"/>
      <c r="BG9000"/>
      <c r="BH9000"/>
      <c r="BI9000"/>
      <c r="BJ9000"/>
      <c r="BK9000"/>
    </row>
    <row r="9001" spans="1:63" s="93" customFormat="1" ht="9" customHeight="1" x14ac:dyDescent="0.3">
      <c r="A9001" s="91"/>
      <c r="B9001" s="70"/>
      <c r="C9001" s="70"/>
      <c r="D9001" s="70"/>
      <c r="E9001" s="70"/>
      <c r="F9001" s="70"/>
      <c r="G9001" s="94"/>
      <c r="H9001" s="131"/>
      <c r="I9001" s="3"/>
      <c r="J9001"/>
      <c r="K9001"/>
      <c r="L9001"/>
      <c r="M9001"/>
      <c r="N9001"/>
      <c r="O9001"/>
      <c r="P9001"/>
      <c r="Q9001"/>
      <c r="R9001"/>
      <c r="S9001"/>
      <c r="T9001"/>
      <c r="U9001"/>
      <c r="V9001"/>
      <c r="W9001"/>
      <c r="X9001"/>
      <c r="Y9001"/>
      <c r="Z9001"/>
      <c r="AA9001"/>
      <c r="AB9001"/>
      <c r="AC9001"/>
      <c r="AD9001"/>
      <c r="AE9001"/>
      <c r="AF9001"/>
      <c r="AG9001"/>
      <c r="AH9001"/>
      <c r="AI9001"/>
      <c r="AJ9001"/>
      <c r="AK9001"/>
      <c r="AL9001"/>
      <c r="AM9001"/>
      <c r="AN9001"/>
      <c r="AO9001"/>
      <c r="AP9001"/>
      <c r="AQ9001"/>
      <c r="AR9001"/>
      <c r="AS9001"/>
      <c r="AT9001"/>
      <c r="AU9001"/>
      <c r="AV9001"/>
      <c r="AW9001"/>
      <c r="AX9001"/>
      <c r="AY9001"/>
      <c r="AZ9001"/>
      <c r="BA9001"/>
      <c r="BB9001"/>
      <c r="BC9001"/>
      <c r="BD9001"/>
      <c r="BE9001"/>
      <c r="BF9001"/>
      <c r="BG9001"/>
      <c r="BH9001"/>
      <c r="BI9001"/>
      <c r="BJ9001"/>
      <c r="BK9001"/>
    </row>
    <row r="9002" spans="1:63" s="93" customFormat="1" ht="9" customHeight="1" x14ac:dyDescent="0.3">
      <c r="A9002" s="91"/>
      <c r="B9002" s="70"/>
      <c r="C9002" s="70"/>
      <c r="D9002" s="70"/>
      <c r="E9002" s="70"/>
      <c r="F9002" s="70"/>
      <c r="G9002" s="94"/>
      <c r="H9002" s="131"/>
      <c r="I9002" s="3"/>
      <c r="J9002"/>
      <c r="K9002"/>
      <c r="L9002"/>
      <c r="M9002"/>
      <c r="N9002"/>
      <c r="O9002"/>
      <c r="P9002"/>
      <c r="Q9002"/>
      <c r="R9002"/>
      <c r="S9002"/>
      <c r="T9002"/>
      <c r="U9002"/>
      <c r="V9002"/>
      <c r="W9002"/>
      <c r="X9002"/>
      <c r="Y9002"/>
      <c r="Z9002"/>
      <c r="AA9002"/>
      <c r="AB9002"/>
      <c r="AC9002"/>
      <c r="AD9002"/>
      <c r="AE9002"/>
      <c r="AF9002"/>
      <c r="AG9002"/>
      <c r="AH9002"/>
      <c r="AI9002"/>
      <c r="AJ9002"/>
      <c r="AK9002"/>
      <c r="AL9002"/>
      <c r="AM9002"/>
      <c r="AN9002"/>
      <c r="AO9002"/>
      <c r="AP9002"/>
      <c r="AQ9002"/>
      <c r="AR9002"/>
      <c r="AS9002"/>
      <c r="AT9002"/>
      <c r="AU9002"/>
      <c r="AV9002"/>
      <c r="AW9002"/>
      <c r="AX9002"/>
      <c r="AY9002"/>
      <c r="AZ9002"/>
      <c r="BA9002"/>
      <c r="BB9002"/>
      <c r="BC9002"/>
      <c r="BD9002"/>
      <c r="BE9002"/>
      <c r="BF9002"/>
      <c r="BG9002"/>
      <c r="BH9002"/>
      <c r="BI9002"/>
      <c r="BJ9002"/>
      <c r="BK9002"/>
    </row>
    <row r="9003" spans="1:63" s="93" customFormat="1" ht="9" customHeight="1" x14ac:dyDescent="0.3">
      <c r="A9003" s="91"/>
      <c r="B9003" s="70"/>
      <c r="C9003" s="70"/>
      <c r="D9003" s="70"/>
      <c r="E9003" s="70"/>
      <c r="F9003" s="70"/>
      <c r="G9003" s="94"/>
      <c r="H9003" s="131"/>
      <c r="I9003" s="3"/>
      <c r="J9003"/>
      <c r="K9003"/>
      <c r="L9003"/>
      <c r="M9003"/>
      <c r="N9003"/>
      <c r="O9003"/>
      <c r="P9003"/>
      <c r="Q9003"/>
      <c r="R9003"/>
      <c r="S9003"/>
      <c r="T9003"/>
      <c r="U9003"/>
      <c r="V9003"/>
      <c r="W9003"/>
      <c r="X9003"/>
      <c r="Y9003"/>
      <c r="Z9003"/>
      <c r="AA9003"/>
      <c r="AB9003"/>
      <c r="AC9003"/>
      <c r="AD9003"/>
      <c r="AE9003"/>
      <c r="AF9003"/>
      <c r="AG9003"/>
      <c r="AH9003"/>
      <c r="AI9003"/>
      <c r="AJ9003"/>
      <c r="AK9003"/>
      <c r="AL9003"/>
      <c r="AM9003"/>
      <c r="AN9003"/>
      <c r="AO9003"/>
      <c r="AP9003"/>
      <c r="AQ9003"/>
      <c r="AR9003"/>
      <c r="AS9003"/>
      <c r="AT9003"/>
      <c r="AU9003"/>
      <c r="AV9003"/>
      <c r="AW9003"/>
      <c r="AX9003"/>
      <c r="AY9003"/>
      <c r="AZ9003"/>
      <c r="BA9003"/>
      <c r="BB9003"/>
      <c r="BC9003"/>
      <c r="BD9003"/>
      <c r="BE9003"/>
      <c r="BF9003"/>
      <c r="BG9003"/>
      <c r="BH9003"/>
      <c r="BI9003"/>
      <c r="BJ9003"/>
      <c r="BK9003"/>
    </row>
    <row r="9004" spans="1:63" s="93" customFormat="1" ht="9" customHeight="1" x14ac:dyDescent="0.3">
      <c r="A9004" s="91"/>
      <c r="B9004" s="70"/>
      <c r="C9004" s="70"/>
      <c r="D9004" s="70"/>
      <c r="E9004" s="70"/>
      <c r="F9004" s="70"/>
      <c r="G9004" s="94"/>
      <c r="H9004" s="131"/>
      <c r="I9004" s="3"/>
      <c r="J9004"/>
      <c r="K9004"/>
      <c r="L9004"/>
      <c r="M9004"/>
      <c r="N9004"/>
      <c r="O9004"/>
      <c r="P9004"/>
      <c r="Q9004"/>
      <c r="R9004"/>
      <c r="S9004"/>
      <c r="T9004"/>
      <c r="U9004"/>
      <c r="V9004"/>
      <c r="W9004"/>
      <c r="X9004"/>
      <c r="Y9004"/>
      <c r="Z9004"/>
      <c r="AA9004"/>
      <c r="AB9004"/>
      <c r="AC9004"/>
      <c r="AD9004"/>
      <c r="AE9004"/>
      <c r="AF9004"/>
      <c r="AG9004"/>
      <c r="AH9004"/>
      <c r="AI9004"/>
      <c r="AJ9004"/>
      <c r="AK9004"/>
      <c r="AL9004"/>
      <c r="AM9004"/>
      <c r="AN9004"/>
      <c r="AO9004"/>
      <c r="AP9004"/>
      <c r="AQ9004"/>
      <c r="AR9004"/>
      <c r="AS9004"/>
      <c r="AT9004"/>
      <c r="AU9004"/>
      <c r="AV9004"/>
      <c r="AW9004"/>
      <c r="AX9004"/>
      <c r="AY9004"/>
      <c r="AZ9004"/>
      <c r="BA9004"/>
      <c r="BB9004"/>
      <c r="BC9004"/>
      <c r="BD9004"/>
      <c r="BE9004"/>
      <c r="BF9004"/>
      <c r="BG9004"/>
      <c r="BH9004"/>
      <c r="BI9004"/>
      <c r="BJ9004"/>
      <c r="BK9004"/>
    </row>
    <row r="9005" spans="1:63" s="93" customFormat="1" ht="9" customHeight="1" x14ac:dyDescent="0.3">
      <c r="A9005" s="91"/>
      <c r="B9005" s="70"/>
      <c r="C9005" s="70"/>
      <c r="D9005" s="70"/>
      <c r="E9005" s="70"/>
      <c r="F9005" s="70"/>
      <c r="G9005" s="94"/>
      <c r="H9005" s="131"/>
      <c r="I9005" s="3"/>
      <c r="J9005"/>
      <c r="K9005"/>
      <c r="L9005"/>
      <c r="M9005"/>
      <c r="N9005"/>
      <c r="O9005"/>
      <c r="P9005"/>
      <c r="Q9005"/>
      <c r="R9005"/>
      <c r="S9005"/>
      <c r="T9005"/>
      <c r="U9005"/>
      <c r="V9005"/>
      <c r="W9005"/>
      <c r="X9005"/>
      <c r="Y9005"/>
      <c r="Z9005"/>
      <c r="AA9005"/>
      <c r="AB9005"/>
      <c r="AC9005"/>
      <c r="AD9005"/>
      <c r="AE9005"/>
      <c r="AF9005"/>
      <c r="AG9005"/>
      <c r="AH9005"/>
      <c r="AI9005"/>
      <c r="AJ9005"/>
      <c r="AK9005"/>
      <c r="AL9005"/>
      <c r="AM9005"/>
      <c r="AN9005"/>
      <c r="AO9005"/>
      <c r="AP9005"/>
      <c r="AQ9005"/>
      <c r="AR9005"/>
      <c r="AS9005"/>
      <c r="AT9005"/>
      <c r="AU9005"/>
      <c r="AV9005"/>
      <c r="AW9005"/>
      <c r="AX9005"/>
      <c r="AY9005"/>
      <c r="AZ9005"/>
      <c r="BA9005"/>
      <c r="BB9005"/>
      <c r="BC9005"/>
      <c r="BD9005"/>
      <c r="BE9005"/>
      <c r="BF9005"/>
      <c r="BG9005"/>
      <c r="BH9005"/>
      <c r="BI9005"/>
      <c r="BJ9005"/>
      <c r="BK9005"/>
    </row>
    <row r="9006" spans="1:63" s="93" customFormat="1" ht="9" customHeight="1" x14ac:dyDescent="0.3">
      <c r="A9006" s="91"/>
      <c r="B9006" s="70"/>
      <c r="C9006" s="70"/>
      <c r="D9006" s="70"/>
      <c r="E9006" s="70"/>
      <c r="F9006" s="70"/>
      <c r="G9006" s="94"/>
      <c r="H9006" s="131"/>
      <c r="I9006" s="3"/>
      <c r="J9006"/>
      <c r="K9006"/>
      <c r="L9006"/>
      <c r="M9006"/>
      <c r="N9006"/>
      <c r="O9006"/>
      <c r="P9006"/>
      <c r="Q9006"/>
      <c r="R9006"/>
      <c r="S9006"/>
      <c r="T9006"/>
      <c r="U9006"/>
      <c r="V9006"/>
      <c r="W9006"/>
      <c r="X9006"/>
      <c r="Y9006"/>
      <c r="Z9006"/>
      <c r="AA9006"/>
      <c r="AB9006"/>
      <c r="AC9006"/>
      <c r="AD9006"/>
      <c r="AE9006"/>
      <c r="AF9006"/>
      <c r="AG9006"/>
      <c r="AH9006"/>
      <c r="AI9006"/>
      <c r="AJ9006"/>
      <c r="AK9006"/>
      <c r="AL9006"/>
      <c r="AM9006"/>
      <c r="AN9006"/>
      <c r="AO9006"/>
      <c r="AP9006"/>
      <c r="AQ9006"/>
      <c r="AR9006"/>
      <c r="AS9006"/>
      <c r="AT9006"/>
      <c r="AU9006"/>
      <c r="AV9006"/>
      <c r="AW9006"/>
      <c r="AX9006"/>
      <c r="AY9006"/>
      <c r="AZ9006"/>
      <c r="BA9006"/>
      <c r="BB9006"/>
      <c r="BC9006"/>
      <c r="BD9006"/>
      <c r="BE9006"/>
      <c r="BF9006"/>
      <c r="BG9006"/>
      <c r="BH9006"/>
      <c r="BI9006"/>
      <c r="BJ9006"/>
      <c r="BK9006"/>
    </row>
    <row r="9007" spans="1:63" s="93" customFormat="1" ht="9" customHeight="1" x14ac:dyDescent="0.3">
      <c r="A9007" s="91"/>
      <c r="B9007" s="70"/>
      <c r="C9007" s="70"/>
      <c r="D9007" s="70"/>
      <c r="E9007" s="70"/>
      <c r="F9007" s="70"/>
      <c r="G9007" s="94"/>
      <c r="H9007" s="131"/>
      <c r="I9007" s="3"/>
      <c r="J9007"/>
      <c r="K9007"/>
      <c r="L9007"/>
      <c r="M9007"/>
      <c r="N9007"/>
      <c r="O9007"/>
      <c r="P9007"/>
      <c r="Q9007"/>
      <c r="R9007"/>
      <c r="S9007"/>
      <c r="T9007"/>
      <c r="U9007"/>
      <c r="V9007"/>
      <c r="W9007"/>
      <c r="X9007"/>
      <c r="Y9007"/>
      <c r="Z9007"/>
      <c r="AA9007"/>
      <c r="AB9007"/>
      <c r="AC9007"/>
      <c r="AD9007"/>
      <c r="AE9007"/>
      <c r="AF9007"/>
      <c r="AG9007"/>
      <c r="AH9007"/>
      <c r="AI9007"/>
      <c r="AJ9007"/>
      <c r="AK9007"/>
      <c r="AL9007"/>
      <c r="AM9007"/>
      <c r="AN9007"/>
      <c r="AO9007"/>
      <c r="AP9007"/>
      <c r="AQ9007"/>
      <c r="AR9007"/>
      <c r="AS9007"/>
      <c r="AT9007"/>
      <c r="AU9007"/>
      <c r="AV9007"/>
      <c r="AW9007"/>
      <c r="AX9007"/>
      <c r="AY9007"/>
      <c r="AZ9007"/>
      <c r="BA9007"/>
      <c r="BB9007"/>
      <c r="BC9007"/>
      <c r="BD9007"/>
      <c r="BE9007"/>
      <c r="BF9007"/>
      <c r="BG9007"/>
      <c r="BH9007"/>
      <c r="BI9007"/>
      <c r="BJ9007"/>
      <c r="BK9007"/>
    </row>
    <row r="9008" spans="1:63" s="93" customFormat="1" ht="9" customHeight="1" x14ac:dyDescent="0.3">
      <c r="A9008" s="91"/>
      <c r="B9008" s="70"/>
      <c r="C9008" s="70"/>
      <c r="D9008" s="70"/>
      <c r="E9008" s="70"/>
      <c r="F9008" s="70"/>
      <c r="G9008" s="94"/>
      <c r="H9008" s="131"/>
      <c r="I9008" s="3"/>
      <c r="J9008"/>
      <c r="K9008"/>
      <c r="L9008"/>
      <c r="M9008"/>
      <c r="N9008"/>
      <c r="O9008"/>
      <c r="P9008"/>
      <c r="Q9008"/>
      <c r="R9008"/>
      <c r="S9008"/>
      <c r="T9008"/>
      <c r="U9008"/>
      <c r="V9008"/>
      <c r="W9008"/>
      <c r="X9008"/>
      <c r="Y9008"/>
      <c r="Z9008"/>
      <c r="AA9008"/>
      <c r="AB9008"/>
      <c r="AC9008"/>
      <c r="AD9008"/>
      <c r="AE9008"/>
      <c r="AF9008"/>
      <c r="AG9008"/>
      <c r="AH9008"/>
      <c r="AI9008"/>
      <c r="AJ9008"/>
      <c r="AK9008"/>
      <c r="AL9008"/>
      <c r="AM9008"/>
      <c r="AN9008"/>
      <c r="AO9008"/>
      <c r="AP9008"/>
      <c r="AQ9008"/>
      <c r="AR9008"/>
      <c r="AS9008"/>
      <c r="AT9008"/>
      <c r="AU9008"/>
      <c r="AV9008"/>
      <c r="AW9008"/>
      <c r="AX9008"/>
      <c r="AY9008"/>
      <c r="AZ9008"/>
      <c r="BA9008"/>
      <c r="BB9008"/>
      <c r="BC9008"/>
      <c r="BD9008"/>
      <c r="BE9008"/>
      <c r="BF9008"/>
      <c r="BG9008"/>
      <c r="BH9008"/>
      <c r="BI9008"/>
      <c r="BJ9008"/>
      <c r="BK9008"/>
    </row>
    <row r="9009" spans="1:63" s="93" customFormat="1" ht="9" customHeight="1" x14ac:dyDescent="0.3">
      <c r="A9009" s="91"/>
      <c r="B9009" s="70"/>
      <c r="C9009" s="70"/>
      <c r="D9009" s="70"/>
      <c r="E9009" s="70"/>
      <c r="F9009" s="70"/>
      <c r="G9009" s="94"/>
      <c r="H9009" s="131"/>
      <c r="I9009" s="3"/>
      <c r="J9009"/>
      <c r="K9009"/>
      <c r="L9009"/>
      <c r="M9009"/>
      <c r="N9009"/>
      <c r="O9009"/>
      <c r="P9009"/>
      <c r="Q9009"/>
      <c r="R9009"/>
      <c r="S9009"/>
      <c r="T9009"/>
      <c r="U9009"/>
      <c r="V9009"/>
      <c r="W9009"/>
      <c r="X9009"/>
      <c r="Y9009"/>
      <c r="Z9009"/>
      <c r="AA9009"/>
      <c r="AB9009"/>
      <c r="AC9009"/>
      <c r="AD9009"/>
      <c r="AE9009"/>
      <c r="AF9009"/>
      <c r="AG9009"/>
      <c r="AH9009"/>
      <c r="AI9009"/>
      <c r="AJ9009"/>
      <c r="AK9009"/>
      <c r="AL9009"/>
      <c r="AM9009"/>
      <c r="AN9009"/>
      <c r="AO9009"/>
      <c r="AP9009"/>
      <c r="AQ9009"/>
      <c r="AR9009"/>
      <c r="AS9009"/>
      <c r="AT9009"/>
      <c r="AU9009"/>
      <c r="AV9009"/>
      <c r="AW9009"/>
      <c r="AX9009"/>
      <c r="AY9009"/>
      <c r="AZ9009"/>
      <c r="BA9009"/>
      <c r="BB9009"/>
      <c r="BC9009"/>
      <c r="BD9009"/>
      <c r="BE9009"/>
      <c r="BF9009"/>
      <c r="BG9009"/>
      <c r="BH9009"/>
      <c r="BI9009"/>
      <c r="BJ9009"/>
      <c r="BK9009"/>
    </row>
    <row r="9010" spans="1:63" s="93" customFormat="1" ht="9" customHeight="1" x14ac:dyDescent="0.3">
      <c r="A9010" s="91"/>
      <c r="B9010" s="70"/>
      <c r="C9010" s="70"/>
      <c r="D9010" s="70"/>
      <c r="E9010" s="70"/>
      <c r="F9010" s="70"/>
      <c r="G9010" s="94"/>
      <c r="H9010" s="131"/>
      <c r="I9010" s="3"/>
      <c r="J9010"/>
      <c r="K9010"/>
      <c r="L9010"/>
      <c r="M9010"/>
      <c r="N9010"/>
      <c r="O9010"/>
      <c r="P9010"/>
      <c r="Q9010"/>
      <c r="R9010"/>
      <c r="S9010"/>
      <c r="T9010"/>
      <c r="U9010"/>
      <c r="V9010"/>
      <c r="W9010"/>
      <c r="X9010"/>
      <c r="Y9010"/>
      <c r="Z9010"/>
      <c r="AA9010"/>
      <c r="AB9010"/>
      <c r="AC9010"/>
      <c r="AD9010"/>
      <c r="AE9010"/>
      <c r="AF9010"/>
      <c r="AG9010"/>
      <c r="AH9010"/>
      <c r="AI9010"/>
      <c r="AJ9010"/>
      <c r="AK9010"/>
      <c r="AL9010"/>
      <c r="AM9010"/>
      <c r="AN9010"/>
      <c r="AO9010"/>
      <c r="AP9010"/>
      <c r="AQ9010"/>
      <c r="AR9010"/>
      <c r="AS9010"/>
      <c r="AT9010"/>
      <c r="AU9010"/>
      <c r="AV9010"/>
      <c r="AW9010"/>
      <c r="AX9010"/>
      <c r="AY9010"/>
      <c r="AZ9010"/>
      <c r="BA9010"/>
      <c r="BB9010"/>
      <c r="BC9010"/>
      <c r="BD9010"/>
      <c r="BE9010"/>
      <c r="BF9010"/>
      <c r="BG9010"/>
      <c r="BH9010"/>
      <c r="BI9010"/>
      <c r="BJ9010"/>
      <c r="BK9010"/>
    </row>
    <row r="9011" spans="1:63" s="93" customFormat="1" ht="9" customHeight="1" x14ac:dyDescent="0.3">
      <c r="A9011" s="91"/>
      <c r="B9011" s="70"/>
      <c r="C9011" s="70"/>
      <c r="D9011" s="70"/>
      <c r="E9011" s="70"/>
      <c r="F9011" s="70"/>
      <c r="G9011" s="94"/>
      <c r="H9011" s="131"/>
      <c r="I9011" s="3"/>
      <c r="J9011"/>
      <c r="K9011"/>
      <c r="L9011"/>
      <c r="M9011"/>
      <c r="N9011"/>
      <c r="O9011"/>
      <c r="P9011"/>
      <c r="Q9011"/>
      <c r="R9011"/>
      <c r="S9011"/>
      <c r="T9011"/>
      <c r="U9011"/>
      <c r="V9011"/>
      <c r="W9011"/>
      <c r="X9011"/>
      <c r="Y9011"/>
      <c r="Z9011"/>
      <c r="AA9011"/>
      <c r="AB9011"/>
      <c r="AC9011"/>
      <c r="AD9011"/>
      <c r="AE9011"/>
      <c r="AF9011"/>
      <c r="AG9011"/>
      <c r="AH9011"/>
      <c r="AI9011"/>
      <c r="AJ9011"/>
      <c r="AK9011"/>
      <c r="AL9011"/>
      <c r="AM9011"/>
      <c r="AN9011"/>
      <c r="AO9011"/>
      <c r="AP9011"/>
      <c r="AQ9011"/>
      <c r="AR9011"/>
      <c r="AS9011"/>
      <c r="AT9011"/>
      <c r="AU9011"/>
      <c r="AV9011"/>
      <c r="AW9011"/>
      <c r="AX9011"/>
      <c r="AY9011"/>
      <c r="AZ9011"/>
      <c r="BA9011"/>
      <c r="BB9011"/>
      <c r="BC9011"/>
      <c r="BD9011"/>
      <c r="BE9011"/>
      <c r="BF9011"/>
      <c r="BG9011"/>
      <c r="BH9011"/>
      <c r="BI9011"/>
      <c r="BJ9011"/>
      <c r="BK9011"/>
    </row>
    <row r="9012" spans="1:63" s="93" customFormat="1" ht="9" customHeight="1" x14ac:dyDescent="0.3">
      <c r="A9012" s="91"/>
      <c r="B9012" s="70"/>
      <c r="C9012" s="70"/>
      <c r="D9012" s="70"/>
      <c r="E9012" s="70"/>
      <c r="F9012" s="70"/>
      <c r="G9012" s="94"/>
      <c r="H9012" s="131"/>
      <c r="I9012" s="3"/>
      <c r="J9012"/>
      <c r="K9012"/>
      <c r="L9012"/>
      <c r="M9012"/>
      <c r="N9012"/>
      <c r="O9012"/>
      <c r="P9012"/>
      <c r="Q9012"/>
      <c r="R9012"/>
      <c r="S9012"/>
      <c r="T9012"/>
      <c r="U9012"/>
      <c r="V9012"/>
      <c r="W9012"/>
      <c r="X9012"/>
      <c r="Y9012"/>
      <c r="Z9012"/>
      <c r="AA9012"/>
      <c r="AB9012"/>
      <c r="AC9012"/>
      <c r="AD9012"/>
      <c r="AE9012"/>
      <c r="AF9012"/>
      <c r="AG9012"/>
      <c r="AH9012"/>
      <c r="AI9012"/>
      <c r="AJ9012"/>
      <c r="AK9012"/>
      <c r="AL9012"/>
      <c r="AM9012"/>
      <c r="AN9012"/>
      <c r="AO9012"/>
      <c r="AP9012"/>
      <c r="AQ9012"/>
      <c r="AR9012"/>
      <c r="AS9012"/>
      <c r="AT9012"/>
      <c r="AU9012"/>
      <c r="AV9012"/>
      <c r="AW9012"/>
      <c r="AX9012"/>
      <c r="AY9012"/>
      <c r="AZ9012"/>
      <c r="BA9012"/>
      <c r="BB9012"/>
      <c r="BC9012"/>
      <c r="BD9012"/>
      <c r="BE9012"/>
      <c r="BF9012"/>
      <c r="BG9012"/>
      <c r="BH9012"/>
      <c r="BI9012"/>
      <c r="BJ9012"/>
      <c r="BK9012"/>
    </row>
    <row r="9013" spans="1:63" s="93" customFormat="1" ht="9" customHeight="1" x14ac:dyDescent="0.3">
      <c r="A9013" s="91"/>
      <c r="B9013" s="70"/>
      <c r="C9013" s="70"/>
      <c r="D9013" s="70"/>
      <c r="E9013" s="70"/>
      <c r="F9013" s="70"/>
      <c r="G9013" s="94"/>
      <c r="H9013" s="131"/>
      <c r="I9013" s="3"/>
      <c r="J9013"/>
      <c r="K9013"/>
      <c r="L9013"/>
      <c r="M9013"/>
      <c r="N9013"/>
      <c r="O9013"/>
      <c r="P9013"/>
      <c r="Q9013"/>
      <c r="R9013"/>
      <c r="S9013"/>
      <c r="T9013"/>
      <c r="U9013"/>
      <c r="V9013"/>
      <c r="W9013"/>
      <c r="X9013"/>
      <c r="Y9013"/>
      <c r="Z9013"/>
      <c r="AA9013"/>
      <c r="AB9013"/>
      <c r="AC9013"/>
      <c r="AD9013"/>
      <c r="AE9013"/>
      <c r="AF9013"/>
      <c r="AG9013"/>
      <c r="AH9013"/>
      <c r="AI9013"/>
      <c r="AJ9013"/>
      <c r="AK9013"/>
      <c r="AL9013"/>
      <c r="AM9013"/>
      <c r="AN9013"/>
      <c r="AO9013"/>
      <c r="AP9013"/>
      <c r="AQ9013"/>
      <c r="AR9013"/>
      <c r="AS9013"/>
      <c r="AT9013"/>
      <c r="AU9013"/>
      <c r="AV9013"/>
      <c r="AW9013"/>
      <c r="AX9013"/>
      <c r="AY9013"/>
      <c r="AZ9013"/>
      <c r="BA9013"/>
      <c r="BB9013"/>
      <c r="BC9013"/>
      <c r="BD9013"/>
      <c r="BE9013"/>
      <c r="BF9013"/>
      <c r="BG9013"/>
      <c r="BH9013"/>
      <c r="BI9013"/>
      <c r="BJ9013"/>
      <c r="BK9013"/>
    </row>
    <row r="9014" spans="1:63" s="93" customFormat="1" ht="9" customHeight="1" x14ac:dyDescent="0.3">
      <c r="A9014" s="91"/>
      <c r="B9014" s="70"/>
      <c r="C9014" s="70"/>
      <c r="D9014" s="70"/>
      <c r="E9014" s="70"/>
      <c r="F9014" s="70"/>
      <c r="G9014" s="94"/>
      <c r="H9014" s="131"/>
      <c r="I9014" s="3"/>
      <c r="J9014"/>
      <c r="K9014"/>
      <c r="L9014"/>
      <c r="M9014"/>
      <c r="N9014"/>
      <c r="O9014"/>
      <c r="P9014"/>
      <c r="Q9014"/>
      <c r="R9014"/>
      <c r="S9014"/>
      <c r="T9014"/>
      <c r="U9014"/>
      <c r="V9014"/>
      <c r="W9014"/>
      <c r="X9014"/>
      <c r="Y9014"/>
      <c r="Z9014"/>
      <c r="AA9014"/>
      <c r="AB9014"/>
      <c r="AC9014"/>
      <c r="AD9014"/>
      <c r="AE9014"/>
      <c r="AF9014"/>
      <c r="AG9014"/>
      <c r="AH9014"/>
      <c r="AI9014"/>
      <c r="AJ9014"/>
      <c r="AK9014"/>
      <c r="AL9014"/>
      <c r="AM9014"/>
      <c r="AN9014"/>
      <c r="AO9014"/>
      <c r="AP9014"/>
      <c r="AQ9014"/>
      <c r="AR9014"/>
      <c r="AS9014"/>
      <c r="AT9014"/>
      <c r="AU9014"/>
      <c r="AV9014"/>
      <c r="AW9014"/>
      <c r="AX9014"/>
      <c r="AY9014"/>
      <c r="AZ9014"/>
      <c r="BA9014"/>
      <c r="BB9014"/>
      <c r="BC9014"/>
      <c r="BD9014"/>
      <c r="BE9014"/>
      <c r="BF9014"/>
      <c r="BG9014"/>
      <c r="BH9014"/>
      <c r="BI9014"/>
      <c r="BJ9014"/>
      <c r="BK9014"/>
    </row>
    <row r="9015" spans="1:63" s="93" customFormat="1" ht="9" customHeight="1" x14ac:dyDescent="0.3">
      <c r="A9015" s="91"/>
      <c r="B9015" s="70"/>
      <c r="C9015" s="70"/>
      <c r="D9015" s="70"/>
      <c r="E9015" s="70"/>
      <c r="F9015" s="70"/>
      <c r="G9015" s="94"/>
      <c r="H9015" s="131"/>
      <c r="I9015" s="3"/>
      <c r="J9015"/>
      <c r="K9015"/>
      <c r="L9015"/>
      <c r="M9015"/>
      <c r="N9015"/>
      <c r="O9015"/>
      <c r="P9015"/>
      <c r="Q9015"/>
      <c r="R9015"/>
      <c r="S9015"/>
      <c r="T9015"/>
      <c r="U9015"/>
      <c r="V9015"/>
      <c r="W9015"/>
      <c r="X9015"/>
      <c r="Y9015"/>
      <c r="Z9015"/>
      <c r="AA9015"/>
      <c r="AB9015"/>
      <c r="AC9015"/>
      <c r="AD9015"/>
      <c r="AE9015"/>
      <c r="AF9015"/>
      <c r="AG9015"/>
      <c r="AH9015"/>
      <c r="AI9015"/>
      <c r="AJ9015"/>
      <c r="AK9015"/>
      <c r="AL9015"/>
      <c r="AM9015"/>
      <c r="AN9015"/>
      <c r="AO9015"/>
      <c r="AP9015"/>
      <c r="AQ9015"/>
      <c r="AR9015"/>
      <c r="AS9015"/>
      <c r="AT9015"/>
      <c r="AU9015"/>
      <c r="AV9015"/>
      <c r="AW9015"/>
      <c r="AX9015"/>
      <c r="AY9015"/>
      <c r="AZ9015"/>
      <c r="BA9015"/>
      <c r="BB9015"/>
      <c r="BC9015"/>
      <c r="BD9015"/>
      <c r="BE9015"/>
      <c r="BF9015"/>
      <c r="BG9015"/>
      <c r="BH9015"/>
      <c r="BI9015"/>
      <c r="BJ9015"/>
      <c r="BK9015"/>
    </row>
    <row r="9016" spans="1:63" s="93" customFormat="1" ht="9" customHeight="1" x14ac:dyDescent="0.3">
      <c r="A9016" s="91"/>
      <c r="B9016" s="70"/>
      <c r="C9016" s="70"/>
      <c r="D9016" s="70"/>
      <c r="E9016" s="70"/>
      <c r="F9016" s="70"/>
      <c r="G9016" s="94"/>
      <c r="H9016" s="131"/>
      <c r="I9016" s="3"/>
      <c r="J9016"/>
      <c r="K9016"/>
      <c r="L9016"/>
      <c r="M9016"/>
      <c r="N9016"/>
      <c r="O9016"/>
      <c r="P9016"/>
      <c r="Q9016"/>
      <c r="R9016"/>
      <c r="S9016"/>
      <c r="T9016"/>
      <c r="U9016"/>
      <c r="V9016"/>
      <c r="W9016"/>
      <c r="X9016"/>
      <c r="Y9016"/>
      <c r="Z9016"/>
      <c r="AA9016"/>
      <c r="AB9016"/>
      <c r="AC9016"/>
      <c r="AD9016"/>
      <c r="AE9016"/>
      <c r="AF9016"/>
      <c r="AG9016"/>
      <c r="AH9016"/>
      <c r="AI9016"/>
      <c r="AJ9016"/>
      <c r="AK9016"/>
      <c r="AL9016"/>
      <c r="AM9016"/>
      <c r="AN9016"/>
      <c r="AO9016"/>
      <c r="AP9016"/>
      <c r="AQ9016"/>
      <c r="AR9016"/>
      <c r="AS9016"/>
      <c r="AT9016"/>
      <c r="AU9016"/>
      <c r="AV9016"/>
      <c r="AW9016"/>
      <c r="AX9016"/>
      <c r="AY9016"/>
      <c r="AZ9016"/>
      <c r="BA9016"/>
      <c r="BB9016"/>
      <c r="BC9016"/>
      <c r="BD9016"/>
      <c r="BE9016"/>
      <c r="BF9016"/>
      <c r="BG9016"/>
      <c r="BH9016"/>
      <c r="BI9016"/>
      <c r="BJ9016"/>
      <c r="BK9016"/>
    </row>
    <row r="9017" spans="1:63" s="93" customFormat="1" ht="9" customHeight="1" x14ac:dyDescent="0.3">
      <c r="A9017" s="91"/>
      <c r="B9017" s="70"/>
      <c r="C9017" s="70"/>
      <c r="D9017" s="70"/>
      <c r="E9017" s="70"/>
      <c r="F9017" s="70"/>
      <c r="G9017" s="94"/>
      <c r="H9017" s="131"/>
      <c r="I9017" s="3"/>
      <c r="J9017"/>
      <c r="K9017"/>
      <c r="L9017"/>
      <c r="M9017"/>
      <c r="N9017"/>
      <c r="O9017"/>
      <c r="P9017"/>
      <c r="Q9017"/>
      <c r="R9017"/>
      <c r="S9017"/>
      <c r="T9017"/>
      <c r="U9017"/>
      <c r="V9017"/>
      <c r="W9017"/>
      <c r="X9017"/>
      <c r="Y9017"/>
      <c r="Z9017"/>
      <c r="AA9017"/>
      <c r="AB9017"/>
      <c r="AC9017"/>
      <c r="AD9017"/>
      <c r="AE9017"/>
      <c r="AF9017"/>
      <c r="AG9017"/>
      <c r="AH9017"/>
      <c r="AI9017"/>
      <c r="AJ9017"/>
      <c r="AK9017"/>
      <c r="AL9017"/>
      <c r="AM9017"/>
      <c r="AN9017"/>
      <c r="AO9017"/>
      <c r="AP9017"/>
      <c r="AQ9017"/>
      <c r="AR9017"/>
      <c r="AS9017"/>
      <c r="AT9017"/>
      <c r="AU9017"/>
      <c r="AV9017"/>
      <c r="AW9017"/>
      <c r="AX9017"/>
      <c r="AY9017"/>
      <c r="AZ9017"/>
      <c r="BA9017"/>
      <c r="BB9017"/>
      <c r="BC9017"/>
      <c r="BD9017"/>
      <c r="BE9017"/>
      <c r="BF9017"/>
      <c r="BG9017"/>
      <c r="BH9017"/>
      <c r="BI9017"/>
      <c r="BJ9017"/>
      <c r="BK9017"/>
    </row>
    <row r="9018" spans="1:63" s="93" customFormat="1" ht="9" customHeight="1" x14ac:dyDescent="0.3">
      <c r="A9018" s="91"/>
      <c r="B9018" s="70"/>
      <c r="C9018" s="70"/>
      <c r="D9018" s="70"/>
      <c r="E9018" s="70"/>
      <c r="F9018" s="70"/>
      <c r="G9018" s="94"/>
      <c r="H9018" s="131"/>
      <c r="I9018" s="3"/>
      <c r="J9018"/>
      <c r="K9018"/>
      <c r="L9018"/>
      <c r="M9018"/>
      <c r="N9018"/>
      <c r="O9018"/>
      <c r="P9018"/>
      <c r="Q9018"/>
      <c r="R9018"/>
      <c r="S9018"/>
      <c r="T9018"/>
      <c r="U9018"/>
      <c r="V9018"/>
      <c r="W9018"/>
      <c r="X9018"/>
      <c r="Y9018"/>
      <c r="Z9018"/>
      <c r="AA9018"/>
      <c r="AB9018"/>
      <c r="AC9018"/>
      <c r="AD9018"/>
      <c r="AE9018"/>
      <c r="AF9018"/>
      <c r="AG9018"/>
      <c r="AH9018"/>
      <c r="AI9018"/>
      <c r="AJ9018"/>
      <c r="AK9018"/>
      <c r="AL9018"/>
      <c r="AM9018"/>
      <c r="AN9018"/>
      <c r="AO9018"/>
      <c r="AP9018"/>
      <c r="AQ9018"/>
      <c r="AR9018"/>
      <c r="AS9018"/>
      <c r="AT9018"/>
      <c r="AU9018"/>
      <c r="AV9018"/>
      <c r="AW9018"/>
      <c r="AX9018"/>
      <c r="AY9018"/>
      <c r="AZ9018"/>
      <c r="BA9018"/>
      <c r="BB9018"/>
      <c r="BC9018"/>
      <c r="BD9018"/>
      <c r="BE9018"/>
      <c r="BF9018"/>
      <c r="BG9018"/>
      <c r="BH9018"/>
      <c r="BI9018"/>
      <c r="BJ9018"/>
      <c r="BK9018"/>
    </row>
    <row r="9019" spans="1:63" s="93" customFormat="1" ht="9" customHeight="1" x14ac:dyDescent="0.3">
      <c r="A9019" s="91"/>
      <c r="B9019" s="70"/>
      <c r="C9019" s="70"/>
      <c r="D9019" s="70"/>
      <c r="E9019" s="70"/>
      <c r="F9019" s="70"/>
      <c r="G9019" s="94"/>
      <c r="H9019" s="131"/>
      <c r="I9019" s="3"/>
      <c r="J9019"/>
      <c r="K9019"/>
      <c r="L9019"/>
      <c r="M9019"/>
      <c r="N9019"/>
      <c r="O9019"/>
      <c r="P9019"/>
      <c r="Q9019"/>
      <c r="R9019"/>
      <c r="S9019"/>
      <c r="T9019"/>
      <c r="U9019"/>
      <c r="V9019"/>
      <c r="W9019"/>
      <c r="X9019"/>
      <c r="Y9019"/>
      <c r="Z9019"/>
      <c r="AA9019"/>
      <c r="AB9019"/>
      <c r="AC9019"/>
      <c r="AD9019"/>
      <c r="AE9019"/>
      <c r="AF9019"/>
      <c r="AG9019"/>
      <c r="AH9019"/>
      <c r="AI9019"/>
      <c r="AJ9019"/>
      <c r="AK9019"/>
      <c r="AL9019"/>
      <c r="AM9019"/>
      <c r="AN9019"/>
      <c r="AO9019"/>
      <c r="AP9019"/>
      <c r="AQ9019"/>
      <c r="AR9019"/>
      <c r="AS9019"/>
      <c r="AT9019"/>
      <c r="AU9019"/>
      <c r="AV9019"/>
      <c r="AW9019"/>
      <c r="AX9019"/>
      <c r="AY9019"/>
      <c r="AZ9019"/>
      <c r="BA9019"/>
      <c r="BB9019"/>
      <c r="BC9019"/>
      <c r="BD9019"/>
      <c r="BE9019"/>
      <c r="BF9019"/>
      <c r="BG9019"/>
      <c r="BH9019"/>
      <c r="BI9019"/>
      <c r="BJ9019"/>
      <c r="BK9019"/>
    </row>
    <row r="9020" spans="1:63" s="93" customFormat="1" ht="9" customHeight="1" x14ac:dyDescent="0.3">
      <c r="A9020" s="91"/>
      <c r="B9020" s="70"/>
      <c r="C9020" s="70"/>
      <c r="D9020" s="70"/>
      <c r="E9020" s="70"/>
      <c r="F9020" s="70"/>
      <c r="G9020" s="94"/>
      <c r="H9020" s="131"/>
      <c r="I9020" s="3"/>
      <c r="J9020"/>
      <c r="K9020"/>
      <c r="L9020"/>
      <c r="M9020"/>
      <c r="N9020"/>
      <c r="O9020"/>
      <c r="P9020"/>
      <c r="Q9020"/>
      <c r="R9020"/>
      <c r="S9020"/>
      <c r="T9020"/>
      <c r="U9020"/>
      <c r="V9020"/>
      <c r="W9020"/>
      <c r="X9020"/>
      <c r="Y9020"/>
      <c r="Z9020"/>
      <c r="AA9020"/>
      <c r="AB9020"/>
      <c r="AC9020"/>
      <c r="AD9020"/>
      <c r="AE9020"/>
      <c r="AF9020"/>
      <c r="AG9020"/>
      <c r="AH9020"/>
      <c r="AI9020"/>
      <c r="AJ9020"/>
      <c r="AK9020"/>
      <c r="AL9020"/>
      <c r="AM9020"/>
      <c r="AN9020"/>
      <c r="AO9020"/>
      <c r="AP9020"/>
      <c r="AQ9020"/>
      <c r="AR9020"/>
      <c r="AS9020"/>
      <c r="AT9020"/>
      <c r="AU9020"/>
      <c r="AV9020"/>
      <c r="AW9020"/>
      <c r="AX9020"/>
      <c r="AY9020"/>
      <c r="AZ9020"/>
      <c r="BA9020"/>
      <c r="BB9020"/>
      <c r="BC9020"/>
      <c r="BD9020"/>
      <c r="BE9020"/>
      <c r="BF9020"/>
      <c r="BG9020"/>
      <c r="BH9020"/>
      <c r="BI9020"/>
      <c r="BJ9020"/>
      <c r="BK9020"/>
    </row>
    <row r="9021" spans="1:63" s="93" customFormat="1" ht="9" customHeight="1" x14ac:dyDescent="0.3">
      <c r="A9021" s="91"/>
      <c r="B9021" s="70"/>
      <c r="C9021" s="70"/>
      <c r="D9021" s="70"/>
      <c r="E9021" s="70"/>
      <c r="F9021" s="70"/>
      <c r="G9021" s="94"/>
      <c r="H9021" s="131"/>
      <c r="I9021" s="3"/>
      <c r="J9021"/>
      <c r="K9021"/>
      <c r="L9021"/>
      <c r="M9021"/>
      <c r="N9021"/>
      <c r="O9021"/>
      <c r="P9021"/>
      <c r="Q9021"/>
      <c r="R9021"/>
      <c r="S9021"/>
      <c r="T9021"/>
      <c r="U9021"/>
      <c r="V9021"/>
      <c r="W9021"/>
      <c r="X9021"/>
      <c r="Y9021"/>
      <c r="Z9021"/>
      <c r="AA9021"/>
      <c r="AB9021"/>
      <c r="AC9021"/>
      <c r="AD9021"/>
      <c r="AE9021"/>
      <c r="AF9021"/>
      <c r="AG9021"/>
      <c r="AH9021"/>
      <c r="AI9021"/>
      <c r="AJ9021"/>
      <c r="AK9021"/>
      <c r="AL9021"/>
      <c r="AM9021"/>
      <c r="AN9021"/>
      <c r="AO9021"/>
      <c r="AP9021"/>
      <c r="AQ9021"/>
      <c r="AR9021"/>
      <c r="AS9021"/>
      <c r="AT9021"/>
      <c r="AU9021"/>
      <c r="AV9021"/>
      <c r="AW9021"/>
      <c r="AX9021"/>
      <c r="AY9021"/>
      <c r="AZ9021"/>
      <c r="BA9021"/>
      <c r="BB9021"/>
      <c r="BC9021"/>
      <c r="BD9021"/>
      <c r="BE9021"/>
      <c r="BF9021"/>
      <c r="BG9021"/>
      <c r="BH9021"/>
      <c r="BI9021"/>
      <c r="BJ9021"/>
      <c r="BK9021"/>
    </row>
    <row r="9022" spans="1:63" s="93" customFormat="1" ht="9" customHeight="1" x14ac:dyDescent="0.3">
      <c r="A9022" s="91"/>
      <c r="B9022" s="70"/>
      <c r="C9022" s="70"/>
      <c r="D9022" s="70"/>
      <c r="E9022" s="70"/>
      <c r="F9022" s="70"/>
      <c r="G9022" s="94"/>
      <c r="H9022" s="131"/>
      <c r="I9022" s="3"/>
      <c r="J9022"/>
      <c r="K9022"/>
      <c r="L9022"/>
      <c r="M9022"/>
      <c r="N9022"/>
      <c r="O9022"/>
      <c r="P9022"/>
      <c r="Q9022"/>
      <c r="R9022"/>
      <c r="S9022"/>
      <c r="T9022"/>
      <c r="U9022"/>
      <c r="V9022"/>
      <c r="W9022"/>
      <c r="X9022"/>
      <c r="Y9022"/>
      <c r="Z9022"/>
      <c r="AA9022"/>
      <c r="AB9022"/>
      <c r="AC9022"/>
      <c r="AD9022"/>
      <c r="AE9022"/>
      <c r="AF9022"/>
      <c r="AG9022"/>
      <c r="AH9022"/>
      <c r="AI9022"/>
      <c r="AJ9022"/>
      <c r="AK9022"/>
      <c r="AL9022"/>
      <c r="AM9022"/>
      <c r="AN9022"/>
      <c r="AO9022"/>
      <c r="AP9022"/>
      <c r="AQ9022"/>
      <c r="AR9022"/>
      <c r="AS9022"/>
      <c r="AT9022"/>
      <c r="AU9022"/>
      <c r="AV9022"/>
      <c r="AW9022"/>
      <c r="AX9022"/>
      <c r="AY9022"/>
      <c r="AZ9022"/>
      <c r="BA9022"/>
      <c r="BB9022"/>
      <c r="BC9022"/>
      <c r="BD9022"/>
      <c r="BE9022"/>
      <c r="BF9022"/>
      <c r="BG9022"/>
      <c r="BH9022"/>
      <c r="BI9022"/>
      <c r="BJ9022"/>
      <c r="BK9022"/>
    </row>
    <row r="9023" spans="1:63" s="93" customFormat="1" ht="9" customHeight="1" x14ac:dyDescent="0.3">
      <c r="A9023" s="91"/>
      <c r="B9023" s="70"/>
      <c r="C9023" s="70"/>
      <c r="D9023" s="70"/>
      <c r="E9023" s="70"/>
      <c r="F9023" s="70"/>
      <c r="G9023" s="94"/>
      <c r="H9023" s="131"/>
      <c r="I9023" s="3"/>
      <c r="J9023"/>
      <c r="K9023"/>
      <c r="L9023"/>
      <c r="M9023"/>
      <c r="N9023"/>
      <c r="O9023"/>
      <c r="P9023"/>
      <c r="Q9023"/>
      <c r="R9023"/>
      <c r="S9023"/>
      <c r="T9023"/>
      <c r="U9023"/>
      <c r="V9023"/>
      <c r="W9023"/>
      <c r="X9023"/>
      <c r="Y9023"/>
      <c r="Z9023"/>
      <c r="AA9023"/>
      <c r="AB9023"/>
      <c r="AC9023"/>
      <c r="AD9023"/>
      <c r="AE9023"/>
      <c r="AF9023"/>
      <c r="AG9023"/>
      <c r="AH9023"/>
      <c r="AI9023"/>
      <c r="AJ9023"/>
      <c r="AK9023"/>
      <c r="AL9023"/>
      <c r="AM9023"/>
      <c r="AN9023"/>
      <c r="AO9023"/>
      <c r="AP9023"/>
      <c r="AQ9023"/>
      <c r="AR9023"/>
      <c r="AS9023"/>
      <c r="AT9023"/>
      <c r="AU9023"/>
      <c r="AV9023"/>
      <c r="AW9023"/>
      <c r="AX9023"/>
      <c r="AY9023"/>
      <c r="AZ9023"/>
      <c r="BA9023"/>
      <c r="BB9023"/>
      <c r="BC9023"/>
      <c r="BD9023"/>
      <c r="BE9023"/>
      <c r="BF9023"/>
      <c r="BG9023"/>
      <c r="BH9023"/>
      <c r="BI9023"/>
      <c r="BJ9023"/>
      <c r="BK9023"/>
    </row>
    <row r="9024" spans="1:63" s="93" customFormat="1" ht="9" customHeight="1" x14ac:dyDescent="0.3">
      <c r="A9024" s="91"/>
      <c r="B9024" s="70"/>
      <c r="C9024" s="70"/>
      <c r="D9024" s="70"/>
      <c r="E9024" s="70"/>
      <c r="F9024" s="70"/>
      <c r="G9024" s="94"/>
      <c r="H9024" s="131"/>
      <c r="I9024" s="3"/>
      <c r="J9024"/>
      <c r="K9024"/>
      <c r="L9024"/>
      <c r="M9024"/>
      <c r="N9024"/>
      <c r="O9024"/>
      <c r="P9024"/>
      <c r="Q9024"/>
      <c r="R9024"/>
      <c r="S9024"/>
      <c r="T9024"/>
      <c r="U9024"/>
      <c r="V9024"/>
      <c r="W9024"/>
      <c r="X9024"/>
      <c r="Y9024"/>
      <c r="Z9024"/>
      <c r="AA9024"/>
      <c r="AB9024"/>
      <c r="AC9024"/>
      <c r="AD9024"/>
      <c r="AE9024"/>
      <c r="AF9024"/>
      <c r="AG9024"/>
      <c r="AH9024"/>
      <c r="AI9024"/>
      <c r="AJ9024"/>
      <c r="AK9024"/>
      <c r="AL9024"/>
      <c r="AM9024"/>
      <c r="AN9024"/>
      <c r="AO9024"/>
      <c r="AP9024"/>
      <c r="AQ9024"/>
      <c r="AR9024"/>
      <c r="AS9024"/>
      <c r="AT9024"/>
      <c r="AU9024"/>
      <c r="AV9024"/>
      <c r="AW9024"/>
      <c r="AX9024"/>
      <c r="AY9024"/>
      <c r="AZ9024"/>
      <c r="BA9024"/>
      <c r="BB9024"/>
      <c r="BC9024"/>
      <c r="BD9024"/>
      <c r="BE9024"/>
      <c r="BF9024"/>
      <c r="BG9024"/>
      <c r="BH9024"/>
      <c r="BI9024"/>
      <c r="BJ9024"/>
      <c r="BK9024"/>
    </row>
    <row r="9025" spans="1:63" s="93" customFormat="1" ht="9" customHeight="1" x14ac:dyDescent="0.3">
      <c r="A9025" s="91"/>
      <c r="B9025" s="70"/>
      <c r="C9025" s="70"/>
      <c r="D9025" s="70"/>
      <c r="E9025" s="70"/>
      <c r="F9025" s="70"/>
      <c r="G9025" s="94"/>
      <c r="H9025" s="131"/>
      <c r="I9025" s="3"/>
      <c r="J9025"/>
      <c r="K9025"/>
      <c r="L9025"/>
      <c r="M9025"/>
      <c r="N9025"/>
      <c r="O9025"/>
      <c r="P9025"/>
      <c r="Q9025"/>
      <c r="R9025"/>
      <c r="S9025"/>
      <c r="T9025"/>
      <c r="U9025"/>
      <c r="V9025"/>
      <c r="W9025"/>
      <c r="X9025"/>
      <c r="Y9025"/>
      <c r="Z9025"/>
      <c r="AA9025"/>
      <c r="AB9025"/>
      <c r="AC9025"/>
      <c r="AD9025"/>
      <c r="AE9025"/>
      <c r="AF9025"/>
      <c r="AG9025"/>
      <c r="AH9025"/>
      <c r="AI9025"/>
      <c r="AJ9025"/>
      <c r="AK9025"/>
      <c r="AL9025"/>
      <c r="AM9025"/>
      <c r="AN9025"/>
      <c r="AO9025"/>
      <c r="AP9025"/>
      <c r="AQ9025"/>
      <c r="AR9025"/>
      <c r="AS9025"/>
      <c r="AT9025"/>
      <c r="AU9025"/>
      <c r="AV9025"/>
      <c r="AW9025"/>
      <c r="AX9025"/>
      <c r="AY9025"/>
      <c r="AZ9025"/>
      <c r="BA9025"/>
      <c r="BB9025"/>
      <c r="BC9025"/>
      <c r="BD9025"/>
      <c r="BE9025"/>
      <c r="BF9025"/>
      <c r="BG9025"/>
      <c r="BH9025"/>
      <c r="BI9025"/>
      <c r="BJ9025"/>
      <c r="BK9025"/>
    </row>
    <row r="9026" spans="1:63" s="93" customFormat="1" ht="9" customHeight="1" x14ac:dyDescent="0.3">
      <c r="A9026" s="91"/>
      <c r="B9026" s="70"/>
      <c r="C9026" s="70"/>
      <c r="D9026" s="70"/>
      <c r="E9026" s="70"/>
      <c r="F9026" s="70"/>
      <c r="G9026" s="94"/>
      <c r="H9026" s="131"/>
      <c r="I9026" s="3"/>
      <c r="J9026"/>
      <c r="K9026"/>
      <c r="L9026"/>
      <c r="M9026"/>
      <c r="N9026"/>
      <c r="O9026"/>
      <c r="P9026"/>
      <c r="Q9026"/>
      <c r="R9026"/>
      <c r="S9026"/>
      <c r="T9026"/>
      <c r="U9026"/>
      <c r="V9026"/>
      <c r="W9026"/>
      <c r="X9026"/>
      <c r="Y9026"/>
      <c r="Z9026"/>
      <c r="AA9026"/>
      <c r="AB9026"/>
      <c r="AC9026"/>
      <c r="AD9026"/>
      <c r="AE9026"/>
      <c r="AF9026"/>
      <c r="AG9026"/>
      <c r="AH9026"/>
      <c r="AI9026"/>
      <c r="AJ9026"/>
      <c r="AK9026"/>
      <c r="AL9026"/>
      <c r="AM9026"/>
      <c r="AN9026"/>
      <c r="AO9026"/>
      <c r="AP9026"/>
      <c r="AQ9026"/>
      <c r="AR9026"/>
      <c r="AS9026"/>
      <c r="AT9026"/>
      <c r="AU9026"/>
      <c r="AV9026"/>
      <c r="AW9026"/>
      <c r="AX9026"/>
      <c r="AY9026"/>
      <c r="AZ9026"/>
      <c r="BA9026"/>
      <c r="BB9026"/>
      <c r="BC9026"/>
      <c r="BD9026"/>
      <c r="BE9026"/>
      <c r="BF9026"/>
      <c r="BG9026"/>
      <c r="BH9026"/>
      <c r="BI9026"/>
      <c r="BJ9026"/>
      <c r="BK9026"/>
    </row>
    <row r="9027" spans="1:63" s="93" customFormat="1" ht="9" customHeight="1" x14ac:dyDescent="0.3">
      <c r="A9027" s="91"/>
      <c r="B9027" s="70"/>
      <c r="C9027" s="70"/>
      <c r="D9027" s="70"/>
      <c r="E9027" s="70"/>
      <c r="F9027" s="70"/>
      <c r="G9027" s="94"/>
      <c r="H9027" s="131"/>
      <c r="I9027" s="3"/>
      <c r="J9027"/>
      <c r="K9027"/>
      <c r="L9027"/>
      <c r="M9027"/>
      <c r="N9027"/>
      <c r="O9027"/>
      <c r="P9027"/>
      <c r="Q9027"/>
      <c r="R9027"/>
      <c r="S9027"/>
      <c r="T9027"/>
      <c r="U9027"/>
      <c r="V9027"/>
      <c r="W9027"/>
      <c r="X9027"/>
      <c r="Y9027"/>
      <c r="Z9027"/>
      <c r="AA9027"/>
      <c r="AB9027"/>
      <c r="AC9027"/>
      <c r="AD9027"/>
      <c r="AE9027"/>
      <c r="AF9027"/>
      <c r="AG9027"/>
      <c r="AH9027"/>
      <c r="AI9027"/>
      <c r="AJ9027"/>
      <c r="AK9027"/>
      <c r="AL9027"/>
      <c r="AM9027"/>
      <c r="AN9027"/>
      <c r="AO9027"/>
      <c r="AP9027"/>
      <c r="AQ9027"/>
      <c r="AR9027"/>
      <c r="AS9027"/>
      <c r="AT9027"/>
      <c r="AU9027"/>
      <c r="AV9027"/>
      <c r="AW9027"/>
      <c r="AX9027"/>
      <c r="AY9027"/>
      <c r="AZ9027"/>
      <c r="BA9027"/>
      <c r="BB9027"/>
      <c r="BC9027"/>
      <c r="BD9027"/>
      <c r="BE9027"/>
      <c r="BF9027"/>
      <c r="BG9027"/>
      <c r="BH9027"/>
      <c r="BI9027"/>
      <c r="BJ9027"/>
      <c r="BK9027"/>
    </row>
    <row r="9028" spans="1:63" s="93" customFormat="1" ht="9" customHeight="1" x14ac:dyDescent="0.3">
      <c r="A9028" s="91"/>
      <c r="B9028" s="70"/>
      <c r="C9028" s="70"/>
      <c r="D9028" s="70"/>
      <c r="E9028" s="70"/>
      <c r="F9028" s="70"/>
      <c r="G9028" s="94"/>
      <c r="H9028" s="131"/>
      <c r="I9028" s="3"/>
      <c r="J9028"/>
      <c r="K9028"/>
      <c r="L9028"/>
      <c r="M9028"/>
      <c r="N9028"/>
      <c r="O9028"/>
      <c r="P9028"/>
      <c r="Q9028"/>
      <c r="R9028"/>
      <c r="S9028"/>
      <c r="T9028"/>
      <c r="U9028"/>
      <c r="V9028"/>
      <c r="W9028"/>
      <c r="X9028"/>
      <c r="Y9028"/>
      <c r="Z9028"/>
      <c r="AA9028"/>
      <c r="AB9028"/>
      <c r="AC9028"/>
      <c r="AD9028"/>
      <c r="AE9028"/>
      <c r="AF9028"/>
      <c r="AG9028"/>
      <c r="AH9028"/>
      <c r="AI9028"/>
      <c r="AJ9028"/>
      <c r="AK9028"/>
      <c r="AL9028"/>
      <c r="AM9028"/>
      <c r="AN9028"/>
      <c r="AO9028"/>
      <c r="AP9028"/>
      <c r="AQ9028"/>
      <c r="AR9028"/>
      <c r="AS9028"/>
      <c r="AT9028"/>
      <c r="AU9028"/>
      <c r="AV9028"/>
      <c r="AW9028"/>
      <c r="AX9028"/>
      <c r="AY9028"/>
      <c r="AZ9028"/>
      <c r="BA9028"/>
      <c r="BB9028"/>
      <c r="BC9028"/>
      <c r="BD9028"/>
      <c r="BE9028"/>
      <c r="BF9028"/>
      <c r="BG9028"/>
      <c r="BH9028"/>
      <c r="BI9028"/>
      <c r="BJ9028"/>
      <c r="BK9028"/>
    </row>
    <row r="9029" spans="1:63" s="93" customFormat="1" ht="9" customHeight="1" x14ac:dyDescent="0.3">
      <c r="A9029" s="91"/>
      <c r="B9029" s="70"/>
      <c r="C9029" s="70"/>
      <c r="D9029" s="70"/>
      <c r="E9029" s="70"/>
      <c r="F9029" s="70"/>
      <c r="G9029" s="94"/>
      <c r="H9029" s="131"/>
      <c r="I9029" s="3"/>
      <c r="J9029"/>
      <c r="K9029"/>
      <c r="L9029"/>
      <c r="M9029"/>
      <c r="N9029"/>
      <c r="O9029"/>
      <c r="P9029"/>
      <c r="Q9029"/>
      <c r="R9029"/>
      <c r="S9029"/>
      <c r="T9029"/>
      <c r="U9029"/>
      <c r="V9029"/>
      <c r="W9029"/>
      <c r="X9029"/>
      <c r="Y9029"/>
      <c r="Z9029"/>
      <c r="AA9029"/>
      <c r="AB9029"/>
      <c r="AC9029"/>
      <c r="AD9029"/>
      <c r="AE9029"/>
      <c r="AF9029"/>
      <c r="AG9029"/>
      <c r="AH9029"/>
      <c r="AI9029"/>
      <c r="AJ9029"/>
      <c r="AK9029"/>
      <c r="AL9029"/>
      <c r="AM9029"/>
      <c r="AN9029"/>
      <c r="AO9029"/>
      <c r="AP9029"/>
      <c r="AQ9029"/>
      <c r="AR9029"/>
      <c r="AS9029"/>
      <c r="AT9029"/>
      <c r="AU9029"/>
      <c r="AV9029"/>
      <c r="AW9029"/>
      <c r="AX9029"/>
      <c r="AY9029"/>
      <c r="AZ9029"/>
      <c r="BA9029"/>
      <c r="BB9029"/>
      <c r="BC9029"/>
      <c r="BD9029"/>
      <c r="BE9029"/>
      <c r="BF9029"/>
      <c r="BG9029"/>
      <c r="BH9029"/>
      <c r="BI9029"/>
      <c r="BJ9029"/>
      <c r="BK9029"/>
    </row>
    <row r="9030" spans="1:63" s="93" customFormat="1" ht="9" customHeight="1" x14ac:dyDescent="0.3">
      <c r="A9030" s="91"/>
      <c r="B9030" s="70"/>
      <c r="C9030" s="70"/>
      <c r="D9030" s="70"/>
      <c r="E9030" s="70"/>
      <c r="F9030" s="70"/>
      <c r="G9030" s="94"/>
      <c r="H9030" s="131"/>
      <c r="I9030" s="3"/>
      <c r="J9030"/>
      <c r="K9030"/>
      <c r="L9030"/>
      <c r="M9030"/>
      <c r="N9030"/>
      <c r="O9030"/>
      <c r="P9030"/>
      <c r="Q9030"/>
      <c r="R9030"/>
      <c r="S9030"/>
      <c r="T9030"/>
      <c r="U9030"/>
      <c r="V9030"/>
      <c r="W9030"/>
      <c r="X9030"/>
      <c r="Y9030"/>
      <c r="Z9030"/>
      <c r="AA9030"/>
      <c r="AB9030"/>
      <c r="AC9030"/>
      <c r="AD9030"/>
      <c r="AE9030"/>
      <c r="AF9030"/>
      <c r="AG9030"/>
      <c r="AH9030"/>
      <c r="AI9030"/>
      <c r="AJ9030"/>
      <c r="AK9030"/>
      <c r="AL9030"/>
      <c r="AM9030"/>
      <c r="AN9030"/>
      <c r="AO9030"/>
      <c r="AP9030"/>
      <c r="AQ9030"/>
      <c r="AR9030"/>
      <c r="AS9030"/>
      <c r="AT9030"/>
      <c r="AU9030"/>
      <c r="AV9030"/>
      <c r="AW9030"/>
      <c r="AX9030"/>
      <c r="AY9030"/>
      <c r="AZ9030"/>
      <c r="BA9030"/>
      <c r="BB9030"/>
      <c r="BC9030"/>
      <c r="BD9030"/>
      <c r="BE9030"/>
      <c r="BF9030"/>
      <c r="BG9030"/>
      <c r="BH9030"/>
      <c r="BI9030"/>
      <c r="BJ9030"/>
      <c r="BK9030"/>
    </row>
    <row r="9031" spans="1:63" s="93" customFormat="1" ht="9" customHeight="1" x14ac:dyDescent="0.3">
      <c r="A9031" s="91"/>
      <c r="B9031" s="70"/>
      <c r="C9031" s="70"/>
      <c r="D9031" s="70"/>
      <c r="E9031" s="70"/>
      <c r="F9031" s="70"/>
      <c r="G9031" s="94"/>
      <c r="H9031" s="131"/>
      <c r="I9031" s="3"/>
      <c r="J9031"/>
      <c r="K9031"/>
      <c r="L9031"/>
      <c r="M9031"/>
      <c r="N9031"/>
      <c r="O9031"/>
      <c r="P9031"/>
      <c r="Q9031"/>
      <c r="R9031"/>
      <c r="S9031"/>
      <c r="T9031"/>
      <c r="U9031"/>
      <c r="V9031"/>
      <c r="W9031"/>
      <c r="X9031"/>
      <c r="Y9031"/>
      <c r="Z9031"/>
      <c r="AA9031"/>
      <c r="AB9031"/>
      <c r="AC9031"/>
      <c r="AD9031"/>
      <c r="AE9031"/>
      <c r="AF9031"/>
      <c r="AG9031"/>
      <c r="AH9031"/>
      <c r="AI9031"/>
      <c r="AJ9031"/>
      <c r="AK9031"/>
      <c r="AL9031"/>
      <c r="AM9031"/>
      <c r="AN9031"/>
      <c r="AO9031"/>
      <c r="AP9031"/>
      <c r="AQ9031"/>
      <c r="AR9031"/>
      <c r="AS9031"/>
      <c r="AT9031"/>
      <c r="AU9031"/>
      <c r="AV9031"/>
      <c r="AW9031"/>
      <c r="AX9031"/>
      <c r="AY9031"/>
      <c r="AZ9031"/>
      <c r="BA9031"/>
      <c r="BB9031"/>
      <c r="BC9031"/>
      <c r="BD9031"/>
      <c r="BE9031"/>
      <c r="BF9031"/>
      <c r="BG9031"/>
      <c r="BH9031"/>
      <c r="BI9031"/>
      <c r="BJ9031"/>
      <c r="BK9031"/>
    </row>
    <row r="9032" spans="1:63" s="93" customFormat="1" ht="9" customHeight="1" x14ac:dyDescent="0.3">
      <c r="A9032" s="91"/>
      <c r="B9032" s="70"/>
      <c r="C9032" s="70"/>
      <c r="D9032" s="70"/>
      <c r="E9032" s="70"/>
      <c r="F9032" s="70"/>
      <c r="G9032" s="94"/>
      <c r="H9032" s="131"/>
      <c r="I9032" s="3"/>
      <c r="J9032"/>
      <c r="K9032"/>
      <c r="L9032"/>
      <c r="M9032"/>
      <c r="N9032"/>
      <c r="O9032"/>
      <c r="P9032"/>
      <c r="Q9032"/>
      <c r="R9032"/>
      <c r="S9032"/>
      <c r="T9032"/>
      <c r="U9032"/>
      <c r="V9032"/>
      <c r="W9032"/>
      <c r="X9032"/>
      <c r="Y9032"/>
      <c r="Z9032"/>
      <c r="AA9032"/>
      <c r="AB9032"/>
      <c r="AC9032"/>
      <c r="AD9032"/>
      <c r="AE9032"/>
      <c r="AF9032"/>
      <c r="AG9032"/>
      <c r="AH9032"/>
      <c r="AI9032"/>
      <c r="AJ9032"/>
      <c r="AK9032"/>
      <c r="AL9032"/>
      <c r="AM9032"/>
      <c r="AN9032"/>
      <c r="AO9032"/>
      <c r="AP9032"/>
      <c r="AQ9032"/>
      <c r="AR9032"/>
      <c r="AS9032"/>
      <c r="AT9032"/>
      <c r="AU9032"/>
      <c r="AV9032"/>
      <c r="AW9032"/>
      <c r="AX9032"/>
      <c r="AY9032"/>
      <c r="AZ9032"/>
      <c r="BA9032"/>
      <c r="BB9032"/>
      <c r="BC9032"/>
      <c r="BD9032"/>
      <c r="BE9032"/>
      <c r="BF9032"/>
      <c r="BG9032"/>
      <c r="BH9032"/>
      <c r="BI9032"/>
      <c r="BJ9032"/>
      <c r="BK9032"/>
    </row>
    <row r="9033" spans="1:63" s="93" customFormat="1" ht="9" customHeight="1" x14ac:dyDescent="0.3">
      <c r="A9033" s="91"/>
      <c r="B9033" s="70"/>
      <c r="C9033" s="70"/>
      <c r="D9033" s="70"/>
      <c r="E9033" s="70"/>
      <c r="F9033" s="70"/>
      <c r="G9033" s="94"/>
      <c r="H9033" s="131"/>
      <c r="I9033" s="3"/>
      <c r="J9033"/>
      <c r="K9033"/>
      <c r="L9033"/>
      <c r="M9033"/>
      <c r="N9033"/>
      <c r="O9033"/>
      <c r="P9033"/>
      <c r="Q9033"/>
      <c r="R9033"/>
      <c r="S9033"/>
      <c r="T9033"/>
      <c r="U9033"/>
      <c r="V9033"/>
      <c r="W9033"/>
      <c r="X9033"/>
      <c r="Y9033"/>
      <c r="Z9033"/>
      <c r="AA9033"/>
      <c r="AB9033"/>
      <c r="AC9033"/>
      <c r="AD9033"/>
      <c r="AE9033"/>
      <c r="AF9033"/>
      <c r="AG9033"/>
      <c r="AH9033"/>
      <c r="AI9033"/>
      <c r="AJ9033"/>
      <c r="AK9033"/>
      <c r="AL9033"/>
      <c r="AM9033"/>
      <c r="AN9033"/>
      <c r="AO9033"/>
      <c r="AP9033"/>
      <c r="AQ9033"/>
      <c r="AR9033"/>
      <c r="AS9033"/>
      <c r="AT9033"/>
      <c r="AU9033"/>
      <c r="AV9033"/>
      <c r="AW9033"/>
      <c r="AX9033"/>
      <c r="AY9033"/>
      <c r="AZ9033"/>
      <c r="BA9033"/>
      <c r="BB9033"/>
      <c r="BC9033"/>
      <c r="BD9033"/>
      <c r="BE9033"/>
      <c r="BF9033"/>
      <c r="BG9033"/>
      <c r="BH9033"/>
      <c r="BI9033"/>
      <c r="BJ9033"/>
      <c r="BK9033"/>
    </row>
    <row r="9034" spans="1:63" s="93" customFormat="1" ht="9" customHeight="1" x14ac:dyDescent="0.3">
      <c r="A9034" s="91"/>
      <c r="B9034" s="70"/>
      <c r="C9034" s="70"/>
      <c r="D9034" s="70"/>
      <c r="E9034" s="70"/>
      <c r="F9034" s="70"/>
      <c r="G9034" s="94"/>
      <c r="H9034" s="131"/>
      <c r="I9034" s="3"/>
      <c r="J9034"/>
      <c r="K9034"/>
      <c r="L9034"/>
      <c r="M9034"/>
      <c r="N9034"/>
      <c r="O9034"/>
      <c r="P9034"/>
      <c r="Q9034"/>
      <c r="R9034"/>
      <c r="S9034"/>
      <c r="T9034"/>
      <c r="U9034"/>
      <c r="V9034"/>
      <c r="W9034"/>
      <c r="X9034"/>
      <c r="Y9034"/>
      <c r="Z9034"/>
      <c r="AA9034"/>
      <c r="AB9034"/>
      <c r="AC9034"/>
      <c r="AD9034"/>
      <c r="AE9034"/>
      <c r="AF9034"/>
      <c r="AG9034"/>
      <c r="AH9034"/>
      <c r="AI9034"/>
      <c r="AJ9034"/>
      <c r="AK9034"/>
      <c r="AL9034"/>
      <c r="AM9034"/>
      <c r="AN9034"/>
      <c r="AO9034"/>
      <c r="AP9034"/>
      <c r="AQ9034"/>
      <c r="AR9034"/>
      <c r="AS9034"/>
      <c r="AT9034"/>
      <c r="AU9034"/>
      <c r="AV9034"/>
      <c r="AW9034"/>
      <c r="AX9034"/>
      <c r="AY9034"/>
      <c r="AZ9034"/>
      <c r="BA9034"/>
      <c r="BB9034"/>
      <c r="BC9034"/>
      <c r="BD9034"/>
      <c r="BE9034"/>
      <c r="BF9034"/>
      <c r="BG9034"/>
      <c r="BH9034"/>
      <c r="BI9034"/>
      <c r="BJ9034"/>
      <c r="BK9034"/>
    </row>
    <row r="9035" spans="1:63" s="93" customFormat="1" ht="9" customHeight="1" x14ac:dyDescent="0.3">
      <c r="A9035" s="91"/>
      <c r="B9035" s="70"/>
      <c r="C9035" s="70"/>
      <c r="D9035" s="70"/>
      <c r="E9035" s="70"/>
      <c r="F9035" s="70"/>
      <c r="G9035" s="94"/>
      <c r="H9035" s="131"/>
      <c r="I9035" s="3"/>
      <c r="J9035"/>
      <c r="K9035"/>
      <c r="L9035"/>
      <c r="M9035"/>
      <c r="N9035"/>
      <c r="O9035"/>
      <c r="P9035"/>
      <c r="Q9035"/>
      <c r="R9035"/>
      <c r="S9035"/>
      <c r="T9035"/>
      <c r="U9035"/>
      <c r="V9035"/>
      <c r="W9035"/>
      <c r="X9035"/>
      <c r="Y9035"/>
      <c r="Z9035"/>
      <c r="AA9035"/>
      <c r="AB9035"/>
      <c r="AC9035"/>
      <c r="AD9035"/>
      <c r="AE9035"/>
      <c r="AF9035"/>
      <c r="AG9035"/>
      <c r="AH9035"/>
      <c r="AI9035"/>
      <c r="AJ9035"/>
      <c r="AK9035"/>
      <c r="AL9035"/>
      <c r="AM9035"/>
      <c r="AN9035"/>
      <c r="AO9035"/>
      <c r="AP9035"/>
      <c r="AQ9035"/>
      <c r="AR9035"/>
      <c r="AS9035"/>
      <c r="AT9035"/>
      <c r="AU9035"/>
      <c r="AV9035"/>
      <c r="AW9035"/>
      <c r="AX9035"/>
      <c r="AY9035"/>
      <c r="AZ9035"/>
      <c r="BA9035"/>
      <c r="BB9035"/>
      <c r="BC9035"/>
      <c r="BD9035"/>
      <c r="BE9035"/>
      <c r="BF9035"/>
      <c r="BG9035"/>
      <c r="BH9035"/>
      <c r="BI9035"/>
      <c r="BJ9035"/>
      <c r="BK9035"/>
    </row>
    <row r="9036" spans="1:63" s="93" customFormat="1" ht="9" customHeight="1" x14ac:dyDescent="0.3">
      <c r="A9036" s="91"/>
      <c r="B9036" s="70"/>
      <c r="C9036" s="70"/>
      <c r="D9036" s="70"/>
      <c r="E9036" s="70"/>
      <c r="F9036" s="70"/>
      <c r="G9036" s="94"/>
      <c r="H9036" s="131"/>
      <c r="I9036" s="3"/>
      <c r="J9036"/>
      <c r="K9036"/>
      <c r="L9036"/>
      <c r="M9036"/>
      <c r="N9036"/>
      <c r="O9036"/>
      <c r="P9036"/>
      <c r="Q9036"/>
      <c r="R9036"/>
      <c r="S9036"/>
      <c r="T9036"/>
      <c r="U9036"/>
      <c r="V9036"/>
      <c r="W9036"/>
      <c r="X9036"/>
      <c r="Y9036"/>
      <c r="Z9036"/>
      <c r="AA9036"/>
      <c r="AB9036"/>
      <c r="AC9036"/>
      <c r="AD9036"/>
      <c r="AE9036"/>
      <c r="AF9036"/>
      <c r="AG9036"/>
      <c r="AH9036"/>
      <c r="AI9036"/>
      <c r="AJ9036"/>
      <c r="AK9036"/>
      <c r="AL9036"/>
      <c r="AM9036"/>
      <c r="AN9036"/>
      <c r="AO9036"/>
      <c r="AP9036"/>
      <c r="AQ9036"/>
      <c r="AR9036"/>
      <c r="AS9036"/>
      <c r="AT9036"/>
      <c r="AU9036"/>
      <c r="AV9036"/>
      <c r="AW9036"/>
      <c r="AX9036"/>
      <c r="AY9036"/>
      <c r="AZ9036"/>
      <c r="BA9036"/>
      <c r="BB9036"/>
      <c r="BC9036"/>
      <c r="BD9036"/>
      <c r="BE9036"/>
      <c r="BF9036"/>
      <c r="BG9036"/>
      <c r="BH9036"/>
      <c r="BI9036"/>
      <c r="BJ9036"/>
      <c r="BK9036"/>
    </row>
    <row r="9037" spans="1:63" s="93" customFormat="1" ht="9" customHeight="1" x14ac:dyDescent="0.3">
      <c r="A9037" s="91"/>
      <c r="B9037" s="70"/>
      <c r="C9037" s="70"/>
      <c r="D9037" s="70"/>
      <c r="E9037" s="70"/>
      <c r="F9037" s="70"/>
      <c r="G9037" s="94"/>
      <c r="H9037" s="131"/>
      <c r="I9037" s="3"/>
      <c r="J9037"/>
      <c r="K9037"/>
      <c r="L9037"/>
      <c r="M9037"/>
      <c r="N9037"/>
      <c r="O9037"/>
      <c r="P9037"/>
      <c r="Q9037"/>
      <c r="R9037"/>
      <c r="S9037"/>
      <c r="T9037"/>
      <c r="U9037"/>
      <c r="V9037"/>
      <c r="W9037"/>
      <c r="X9037"/>
      <c r="Y9037"/>
      <c r="Z9037"/>
      <c r="AA9037"/>
      <c r="AB9037"/>
      <c r="AC9037"/>
      <c r="AD9037"/>
      <c r="AE9037"/>
      <c r="AF9037"/>
      <c r="AG9037"/>
      <c r="AH9037"/>
      <c r="AI9037"/>
      <c r="AJ9037"/>
      <c r="AK9037"/>
      <c r="AL9037"/>
      <c r="AM9037"/>
      <c r="AN9037"/>
      <c r="AO9037"/>
      <c r="AP9037"/>
      <c r="AQ9037"/>
      <c r="AR9037"/>
      <c r="AS9037"/>
      <c r="AT9037"/>
      <c r="AU9037"/>
      <c r="AV9037"/>
      <c r="AW9037"/>
      <c r="AX9037"/>
      <c r="AY9037"/>
      <c r="AZ9037"/>
      <c r="BA9037"/>
      <c r="BB9037"/>
      <c r="BC9037"/>
      <c r="BD9037"/>
      <c r="BE9037"/>
      <c r="BF9037"/>
      <c r="BG9037"/>
      <c r="BH9037"/>
      <c r="BI9037"/>
      <c r="BJ9037"/>
      <c r="BK9037"/>
    </row>
    <row r="9038" spans="1:63" s="93" customFormat="1" ht="9" customHeight="1" x14ac:dyDescent="0.3">
      <c r="A9038" s="91"/>
      <c r="B9038" s="70"/>
      <c r="C9038" s="70"/>
      <c r="D9038" s="70"/>
      <c r="E9038" s="70"/>
      <c r="F9038" s="70"/>
      <c r="G9038" s="94"/>
      <c r="H9038" s="131"/>
      <c r="I9038" s="3"/>
      <c r="J9038"/>
      <c r="K9038"/>
      <c r="L9038"/>
      <c r="M9038"/>
      <c r="N9038"/>
      <c r="O9038"/>
      <c r="P9038"/>
      <c r="Q9038"/>
      <c r="R9038"/>
      <c r="S9038"/>
      <c r="T9038"/>
      <c r="U9038"/>
      <c r="V9038"/>
      <c r="W9038"/>
      <c r="X9038"/>
      <c r="Y9038"/>
      <c r="Z9038"/>
      <c r="AA9038"/>
      <c r="AB9038"/>
      <c r="AC9038"/>
      <c r="AD9038"/>
      <c r="AE9038"/>
      <c r="AF9038"/>
      <c r="AG9038"/>
      <c r="AH9038"/>
      <c r="AI9038"/>
      <c r="AJ9038"/>
      <c r="AK9038"/>
      <c r="AL9038"/>
      <c r="AM9038"/>
      <c r="AN9038"/>
      <c r="AO9038"/>
      <c r="AP9038"/>
      <c r="AQ9038"/>
      <c r="AR9038"/>
      <c r="AS9038"/>
      <c r="AT9038"/>
      <c r="AU9038"/>
      <c r="AV9038"/>
      <c r="AW9038"/>
      <c r="AX9038"/>
      <c r="AY9038"/>
      <c r="AZ9038"/>
      <c r="BA9038"/>
      <c r="BB9038"/>
      <c r="BC9038"/>
      <c r="BD9038"/>
      <c r="BE9038"/>
      <c r="BF9038"/>
      <c r="BG9038"/>
      <c r="BH9038"/>
      <c r="BI9038"/>
      <c r="BJ9038"/>
      <c r="BK9038"/>
    </row>
    <row r="9039" spans="1:63" s="93" customFormat="1" ht="9" customHeight="1" x14ac:dyDescent="0.3">
      <c r="A9039" s="91"/>
      <c r="B9039" s="70"/>
      <c r="C9039" s="70"/>
      <c r="D9039" s="70"/>
      <c r="E9039" s="70"/>
      <c r="F9039" s="70"/>
      <c r="G9039" s="94"/>
      <c r="H9039" s="131"/>
      <c r="I9039" s="3"/>
      <c r="J9039"/>
      <c r="K9039"/>
      <c r="L9039"/>
      <c r="M9039"/>
      <c r="N9039"/>
      <c r="O9039"/>
      <c r="P9039"/>
      <c r="Q9039"/>
      <c r="R9039"/>
      <c r="S9039"/>
      <c r="T9039"/>
      <c r="U9039"/>
      <c r="V9039"/>
      <c r="W9039"/>
      <c r="X9039"/>
      <c r="Y9039"/>
      <c r="Z9039"/>
      <c r="AA9039"/>
      <c r="AB9039"/>
      <c r="AC9039"/>
      <c r="AD9039"/>
      <c r="AE9039"/>
      <c r="AF9039"/>
      <c r="AG9039"/>
      <c r="AH9039"/>
      <c r="AI9039"/>
      <c r="AJ9039"/>
      <c r="AK9039"/>
      <c r="AL9039"/>
      <c r="AM9039"/>
      <c r="AN9039"/>
      <c r="AO9039"/>
      <c r="AP9039"/>
      <c r="AQ9039"/>
      <c r="AR9039"/>
      <c r="AS9039"/>
      <c r="AT9039"/>
      <c r="AU9039"/>
      <c r="AV9039"/>
      <c r="AW9039"/>
      <c r="AX9039"/>
      <c r="AY9039"/>
      <c r="AZ9039"/>
      <c r="BA9039"/>
      <c r="BB9039"/>
      <c r="BC9039"/>
      <c r="BD9039"/>
      <c r="BE9039"/>
      <c r="BF9039"/>
      <c r="BG9039"/>
      <c r="BH9039"/>
      <c r="BI9039"/>
      <c r="BJ9039"/>
      <c r="BK9039"/>
    </row>
    <row r="9040" spans="1:63" s="93" customFormat="1" ht="9" customHeight="1" x14ac:dyDescent="0.3">
      <c r="A9040" s="91"/>
      <c r="B9040" s="70"/>
      <c r="C9040" s="70"/>
      <c r="D9040" s="70"/>
      <c r="E9040" s="70"/>
      <c r="F9040" s="70"/>
      <c r="G9040" s="94"/>
      <c r="H9040" s="131"/>
      <c r="I9040" s="3"/>
      <c r="J9040"/>
      <c r="K9040"/>
      <c r="L9040"/>
      <c r="M9040"/>
      <c r="N9040"/>
      <c r="O9040"/>
      <c r="P9040"/>
      <c r="Q9040"/>
      <c r="R9040"/>
      <c r="S9040"/>
      <c r="T9040"/>
      <c r="U9040"/>
      <c r="V9040"/>
      <c r="W9040"/>
      <c r="X9040"/>
      <c r="Y9040"/>
      <c r="Z9040"/>
      <c r="AA9040"/>
      <c r="AB9040"/>
      <c r="AC9040"/>
      <c r="AD9040"/>
      <c r="AE9040"/>
      <c r="AF9040"/>
      <c r="AG9040"/>
      <c r="AH9040"/>
      <c r="AI9040"/>
      <c r="AJ9040"/>
      <c r="AK9040"/>
      <c r="AL9040"/>
      <c r="AM9040"/>
      <c r="AN9040"/>
      <c r="AO9040"/>
      <c r="AP9040"/>
      <c r="AQ9040"/>
      <c r="AR9040"/>
      <c r="AS9040"/>
      <c r="AT9040"/>
      <c r="AU9040"/>
      <c r="AV9040"/>
      <c r="AW9040"/>
      <c r="AX9040"/>
      <c r="AY9040"/>
      <c r="AZ9040"/>
      <c r="BA9040"/>
      <c r="BB9040"/>
      <c r="BC9040"/>
      <c r="BD9040"/>
      <c r="BE9040"/>
      <c r="BF9040"/>
      <c r="BG9040"/>
      <c r="BH9040"/>
      <c r="BI9040"/>
      <c r="BJ9040"/>
      <c r="BK9040"/>
    </row>
    <row r="9041" spans="1:63" s="93" customFormat="1" ht="9" customHeight="1" x14ac:dyDescent="0.3">
      <c r="A9041" s="91"/>
      <c r="B9041" s="70"/>
      <c r="C9041" s="70"/>
      <c r="D9041" s="70"/>
      <c r="E9041" s="70"/>
      <c r="F9041" s="70"/>
      <c r="G9041" s="94"/>
      <c r="H9041" s="131"/>
      <c r="I9041" s="3"/>
      <c r="J9041"/>
      <c r="K9041"/>
      <c r="L9041"/>
      <c r="M9041"/>
      <c r="N9041"/>
      <c r="O9041"/>
      <c r="P9041"/>
      <c r="Q9041"/>
      <c r="R9041"/>
      <c r="S9041"/>
      <c r="T9041"/>
      <c r="U9041"/>
      <c r="V9041"/>
      <c r="W9041"/>
      <c r="X9041"/>
      <c r="Y9041"/>
      <c r="Z9041"/>
      <c r="AA9041"/>
      <c r="AB9041"/>
      <c r="AC9041"/>
      <c r="AD9041"/>
      <c r="AE9041"/>
      <c r="AF9041"/>
      <c r="AG9041"/>
      <c r="AH9041"/>
      <c r="AI9041"/>
      <c r="AJ9041"/>
      <c r="AK9041"/>
      <c r="AL9041"/>
      <c r="AM9041"/>
      <c r="AN9041"/>
      <c r="AO9041"/>
      <c r="AP9041"/>
      <c r="AQ9041"/>
      <c r="AR9041"/>
      <c r="AS9041"/>
      <c r="AT9041"/>
      <c r="AU9041"/>
      <c r="AV9041"/>
      <c r="AW9041"/>
      <c r="AX9041"/>
      <c r="AY9041"/>
      <c r="AZ9041"/>
      <c r="BA9041"/>
      <c r="BB9041"/>
      <c r="BC9041"/>
      <c r="BD9041"/>
      <c r="BE9041"/>
      <c r="BF9041"/>
      <c r="BG9041"/>
      <c r="BH9041"/>
      <c r="BI9041"/>
      <c r="BJ9041"/>
      <c r="BK9041"/>
    </row>
    <row r="9042" spans="1:63" s="93" customFormat="1" ht="9" customHeight="1" x14ac:dyDescent="0.3">
      <c r="A9042" s="91"/>
      <c r="B9042" s="70"/>
      <c r="C9042" s="70"/>
      <c r="D9042" s="70"/>
      <c r="E9042" s="70"/>
      <c r="F9042" s="70"/>
      <c r="G9042" s="94"/>
      <c r="H9042" s="131"/>
      <c r="I9042" s="3"/>
      <c r="J9042"/>
      <c r="K9042"/>
      <c r="L9042"/>
      <c r="M9042"/>
      <c r="N9042"/>
      <c r="O9042"/>
      <c r="P9042"/>
      <c r="Q9042"/>
      <c r="R9042"/>
      <c r="S9042"/>
      <c r="T9042"/>
      <c r="U9042"/>
      <c r="V9042"/>
      <c r="W9042"/>
      <c r="X9042"/>
      <c r="Y9042"/>
      <c r="Z9042"/>
      <c r="AA9042"/>
      <c r="AB9042"/>
      <c r="AC9042"/>
      <c r="AD9042"/>
      <c r="AE9042"/>
      <c r="AF9042"/>
      <c r="AG9042"/>
      <c r="AH9042"/>
      <c r="AI9042"/>
      <c r="AJ9042"/>
      <c r="AK9042"/>
      <c r="AL9042"/>
      <c r="AM9042"/>
      <c r="AN9042"/>
      <c r="AO9042"/>
      <c r="AP9042"/>
      <c r="AQ9042"/>
      <c r="AR9042"/>
      <c r="AS9042"/>
      <c r="AT9042"/>
      <c r="AU9042"/>
      <c r="AV9042"/>
      <c r="AW9042"/>
      <c r="AX9042"/>
      <c r="AY9042"/>
      <c r="AZ9042"/>
      <c r="BA9042"/>
      <c r="BB9042"/>
      <c r="BC9042"/>
      <c r="BD9042"/>
      <c r="BE9042"/>
      <c r="BF9042"/>
      <c r="BG9042"/>
      <c r="BH9042"/>
      <c r="BI9042"/>
      <c r="BJ9042"/>
      <c r="BK9042"/>
    </row>
    <row r="9043" spans="1:63" s="93" customFormat="1" ht="9" customHeight="1" x14ac:dyDescent="0.3">
      <c r="A9043" s="91"/>
      <c r="B9043" s="70"/>
      <c r="C9043" s="70"/>
      <c r="D9043" s="70"/>
      <c r="E9043" s="70"/>
      <c r="F9043" s="70"/>
      <c r="G9043" s="94"/>
      <c r="H9043" s="131"/>
      <c r="I9043" s="3"/>
      <c r="J9043"/>
      <c r="K9043"/>
      <c r="L9043"/>
      <c r="M9043"/>
      <c r="N9043"/>
      <c r="O9043"/>
      <c r="P9043"/>
      <c r="Q9043"/>
      <c r="R9043"/>
      <c r="S9043"/>
      <c r="T9043"/>
      <c r="U9043"/>
      <c r="V9043"/>
      <c r="W9043"/>
      <c r="X9043"/>
      <c r="Y9043"/>
      <c r="Z9043"/>
      <c r="AA9043"/>
      <c r="AB9043"/>
      <c r="AC9043"/>
      <c r="AD9043"/>
      <c r="AE9043"/>
      <c r="AF9043"/>
      <c r="AG9043"/>
      <c r="AH9043"/>
      <c r="AI9043"/>
      <c r="AJ9043"/>
      <c r="AK9043"/>
      <c r="AL9043"/>
      <c r="AM9043"/>
      <c r="AN9043"/>
      <c r="AO9043"/>
      <c r="AP9043"/>
      <c r="AQ9043"/>
      <c r="AR9043"/>
      <c r="AS9043"/>
      <c r="AT9043"/>
      <c r="AU9043"/>
      <c r="AV9043"/>
      <c r="AW9043"/>
      <c r="AX9043"/>
      <c r="AY9043"/>
      <c r="AZ9043"/>
      <c r="BA9043"/>
      <c r="BB9043"/>
      <c r="BC9043"/>
      <c r="BD9043"/>
      <c r="BE9043"/>
      <c r="BF9043"/>
      <c r="BG9043"/>
      <c r="BH9043"/>
      <c r="BI9043"/>
      <c r="BJ9043"/>
      <c r="BK9043"/>
    </row>
    <row r="9044" spans="1:63" s="93" customFormat="1" ht="9" customHeight="1" x14ac:dyDescent="0.3">
      <c r="A9044" s="91"/>
      <c r="B9044" s="70"/>
      <c r="C9044" s="70"/>
      <c r="D9044" s="70"/>
      <c r="E9044" s="70"/>
      <c r="F9044" s="70"/>
      <c r="G9044" s="94"/>
      <c r="H9044" s="131"/>
      <c r="I9044" s="3"/>
      <c r="J9044"/>
      <c r="K9044"/>
      <c r="L9044"/>
      <c r="M9044"/>
      <c r="N9044"/>
      <c r="O9044"/>
      <c r="P9044"/>
      <c r="Q9044"/>
      <c r="R9044"/>
      <c r="S9044"/>
      <c r="T9044"/>
      <c r="U9044"/>
      <c r="V9044"/>
      <c r="W9044"/>
      <c r="X9044"/>
      <c r="Y9044"/>
      <c r="Z9044"/>
      <c r="AA9044"/>
      <c r="AB9044"/>
      <c r="AC9044"/>
      <c r="AD9044"/>
      <c r="AE9044"/>
      <c r="AF9044"/>
      <c r="AG9044"/>
      <c r="AH9044"/>
      <c r="AI9044"/>
      <c r="AJ9044"/>
      <c r="AK9044"/>
      <c r="AL9044"/>
      <c r="AM9044"/>
      <c r="AN9044"/>
      <c r="AO9044"/>
      <c r="AP9044"/>
      <c r="AQ9044"/>
      <c r="AR9044"/>
      <c r="AS9044"/>
      <c r="AT9044"/>
      <c r="AU9044"/>
      <c r="AV9044"/>
      <c r="AW9044"/>
      <c r="AX9044"/>
      <c r="AY9044"/>
      <c r="AZ9044"/>
      <c r="BA9044"/>
      <c r="BB9044"/>
      <c r="BC9044"/>
      <c r="BD9044"/>
      <c r="BE9044"/>
      <c r="BF9044"/>
      <c r="BG9044"/>
      <c r="BH9044"/>
      <c r="BI9044"/>
      <c r="BJ9044"/>
      <c r="BK9044"/>
    </row>
    <row r="9045" spans="1:63" s="93" customFormat="1" ht="9" customHeight="1" x14ac:dyDescent="0.3">
      <c r="A9045" s="91"/>
      <c r="B9045" s="70"/>
      <c r="C9045" s="70"/>
      <c r="D9045" s="70"/>
      <c r="E9045" s="70"/>
      <c r="F9045" s="70"/>
      <c r="G9045" s="94"/>
      <c r="H9045" s="131"/>
      <c r="I9045" s="3"/>
      <c r="J9045"/>
      <c r="K9045"/>
      <c r="L9045"/>
      <c r="M9045"/>
      <c r="N9045"/>
      <c r="O9045"/>
      <c r="P9045"/>
      <c r="Q9045"/>
      <c r="R9045"/>
      <c r="S9045"/>
      <c r="T9045"/>
      <c r="U9045"/>
      <c r="V9045"/>
      <c r="W9045"/>
      <c r="X9045"/>
      <c r="Y9045"/>
      <c r="Z9045"/>
      <c r="AA9045"/>
      <c r="AB9045"/>
      <c r="AC9045"/>
      <c r="AD9045"/>
      <c r="AE9045"/>
      <c r="AF9045"/>
      <c r="AG9045"/>
      <c r="AH9045"/>
      <c r="AI9045"/>
      <c r="AJ9045"/>
      <c r="AK9045"/>
      <c r="AL9045"/>
      <c r="AM9045"/>
      <c r="AN9045"/>
      <c r="AO9045"/>
      <c r="AP9045"/>
      <c r="AQ9045"/>
      <c r="AR9045"/>
      <c r="AS9045"/>
      <c r="AT9045"/>
      <c r="AU9045"/>
      <c r="AV9045"/>
      <c r="AW9045"/>
      <c r="AX9045"/>
      <c r="AY9045"/>
      <c r="AZ9045"/>
      <c r="BA9045"/>
      <c r="BB9045"/>
      <c r="BC9045"/>
      <c r="BD9045"/>
      <c r="BE9045"/>
      <c r="BF9045"/>
      <c r="BG9045"/>
      <c r="BH9045"/>
      <c r="BI9045"/>
      <c r="BJ9045"/>
      <c r="BK9045"/>
    </row>
    <row r="9046" spans="1:63" s="93" customFormat="1" ht="9" customHeight="1" x14ac:dyDescent="0.3">
      <c r="A9046" s="91"/>
      <c r="B9046" s="70"/>
      <c r="C9046" s="70"/>
      <c r="D9046" s="70"/>
      <c r="E9046" s="70"/>
      <c r="F9046" s="70"/>
      <c r="G9046" s="94"/>
      <c r="H9046" s="131"/>
      <c r="I9046" s="3"/>
      <c r="J9046"/>
      <c r="K9046"/>
      <c r="L9046"/>
      <c r="M9046"/>
      <c r="N9046"/>
      <c r="O9046"/>
      <c r="P9046"/>
      <c r="Q9046"/>
      <c r="R9046"/>
      <c r="S9046"/>
      <c r="T9046"/>
      <c r="U9046"/>
      <c r="V9046"/>
      <c r="W9046"/>
      <c r="X9046"/>
      <c r="Y9046"/>
      <c r="Z9046"/>
      <c r="AA9046"/>
      <c r="AB9046"/>
      <c r="AC9046"/>
      <c r="AD9046"/>
      <c r="AE9046"/>
      <c r="AF9046"/>
      <c r="AG9046"/>
      <c r="AH9046"/>
      <c r="AI9046"/>
      <c r="AJ9046"/>
      <c r="AK9046"/>
      <c r="AL9046"/>
      <c r="AM9046"/>
      <c r="AN9046"/>
      <c r="AO9046"/>
      <c r="AP9046"/>
      <c r="AQ9046"/>
      <c r="AR9046"/>
      <c r="AS9046"/>
      <c r="AT9046"/>
      <c r="AU9046"/>
      <c r="AV9046"/>
      <c r="AW9046"/>
      <c r="AX9046"/>
      <c r="AY9046"/>
      <c r="AZ9046"/>
      <c r="BA9046"/>
      <c r="BB9046"/>
      <c r="BC9046"/>
      <c r="BD9046"/>
      <c r="BE9046"/>
      <c r="BF9046"/>
      <c r="BG9046"/>
      <c r="BH9046"/>
      <c r="BI9046"/>
      <c r="BJ9046"/>
      <c r="BK9046"/>
    </row>
    <row r="9047" spans="1:63" s="93" customFormat="1" ht="9" customHeight="1" x14ac:dyDescent="0.3">
      <c r="A9047" s="91"/>
      <c r="B9047" s="70"/>
      <c r="C9047" s="70"/>
      <c r="D9047" s="70"/>
      <c r="E9047" s="70"/>
      <c r="F9047" s="70"/>
      <c r="G9047" s="94"/>
      <c r="H9047" s="131"/>
      <c r="I9047" s="3"/>
      <c r="J9047"/>
      <c r="K9047"/>
      <c r="L9047"/>
      <c r="M9047"/>
      <c r="N9047"/>
      <c r="O9047"/>
      <c r="P9047"/>
      <c r="Q9047"/>
      <c r="R9047"/>
      <c r="S9047"/>
      <c r="T9047"/>
      <c r="U9047"/>
      <c r="V9047"/>
      <c r="W9047"/>
      <c r="X9047"/>
      <c r="Y9047"/>
      <c r="Z9047"/>
      <c r="AA9047"/>
      <c r="AB9047"/>
      <c r="AC9047"/>
      <c r="AD9047"/>
      <c r="AE9047"/>
      <c r="AF9047"/>
      <c r="AG9047"/>
      <c r="AH9047"/>
      <c r="AI9047"/>
      <c r="AJ9047"/>
      <c r="AK9047"/>
      <c r="AL9047"/>
      <c r="AM9047"/>
      <c r="AN9047"/>
      <c r="AO9047"/>
      <c r="AP9047"/>
      <c r="AQ9047"/>
      <c r="AR9047"/>
      <c r="AS9047"/>
      <c r="AT9047"/>
      <c r="AU9047"/>
      <c r="AV9047"/>
      <c r="AW9047"/>
      <c r="AX9047"/>
      <c r="AY9047"/>
      <c r="AZ9047"/>
      <c r="BA9047"/>
      <c r="BB9047"/>
      <c r="BC9047"/>
      <c r="BD9047"/>
      <c r="BE9047"/>
      <c r="BF9047"/>
      <c r="BG9047"/>
      <c r="BH9047"/>
      <c r="BI9047"/>
      <c r="BJ9047"/>
      <c r="BK9047"/>
    </row>
    <row r="9048" spans="1:63" s="93" customFormat="1" ht="9" customHeight="1" x14ac:dyDescent="0.3">
      <c r="A9048" s="91"/>
      <c r="B9048" s="70"/>
      <c r="C9048" s="70"/>
      <c r="D9048" s="70"/>
      <c r="E9048" s="70"/>
      <c r="F9048" s="70"/>
      <c r="G9048" s="94"/>
      <c r="H9048" s="131"/>
      <c r="I9048" s="3"/>
      <c r="J9048"/>
      <c r="K9048"/>
      <c r="L9048"/>
      <c r="M9048"/>
      <c r="N9048"/>
      <c r="O9048"/>
      <c r="P9048"/>
      <c r="Q9048"/>
      <c r="R9048"/>
      <c r="S9048"/>
      <c r="T9048"/>
      <c r="U9048"/>
      <c r="V9048"/>
      <c r="W9048"/>
      <c r="X9048"/>
      <c r="Y9048"/>
      <c r="Z9048"/>
      <c r="AA9048"/>
      <c r="AB9048"/>
      <c r="AC9048"/>
      <c r="AD9048"/>
      <c r="AE9048"/>
      <c r="AF9048"/>
      <c r="AG9048"/>
      <c r="AH9048"/>
      <c r="AI9048"/>
      <c r="AJ9048"/>
      <c r="AK9048"/>
      <c r="AL9048"/>
      <c r="AM9048"/>
      <c r="AN9048"/>
      <c r="AO9048"/>
      <c r="AP9048"/>
      <c r="AQ9048"/>
      <c r="AR9048"/>
      <c r="AS9048"/>
      <c r="AT9048"/>
      <c r="AU9048"/>
      <c r="AV9048"/>
      <c r="AW9048"/>
      <c r="AX9048"/>
      <c r="AY9048"/>
      <c r="AZ9048"/>
      <c r="BA9048"/>
      <c r="BB9048"/>
      <c r="BC9048"/>
      <c r="BD9048"/>
      <c r="BE9048"/>
      <c r="BF9048"/>
      <c r="BG9048"/>
      <c r="BH9048"/>
      <c r="BI9048"/>
      <c r="BJ9048"/>
      <c r="BK9048"/>
    </row>
    <row r="9049" spans="1:63" s="93" customFormat="1" ht="9" customHeight="1" x14ac:dyDescent="0.3">
      <c r="A9049" s="91"/>
      <c r="B9049" s="70"/>
      <c r="C9049" s="70"/>
      <c r="D9049" s="70"/>
      <c r="E9049" s="70"/>
      <c r="F9049" s="70"/>
      <c r="G9049" s="94"/>
      <c r="H9049" s="131"/>
      <c r="I9049" s="3"/>
      <c r="J9049"/>
      <c r="K9049"/>
      <c r="L9049"/>
      <c r="M9049"/>
      <c r="N9049"/>
      <c r="O9049"/>
      <c r="P9049"/>
      <c r="Q9049"/>
      <c r="R9049"/>
      <c r="S9049"/>
      <c r="T9049"/>
      <c r="U9049"/>
      <c r="V9049"/>
      <c r="W9049"/>
      <c r="X9049"/>
      <c r="Y9049"/>
      <c r="Z9049"/>
      <c r="AA9049"/>
      <c r="AB9049"/>
      <c r="AC9049"/>
      <c r="AD9049"/>
      <c r="AE9049"/>
      <c r="AF9049"/>
      <c r="AG9049"/>
      <c r="AH9049"/>
      <c r="AI9049"/>
      <c r="AJ9049"/>
      <c r="AK9049"/>
      <c r="AL9049"/>
      <c r="AM9049"/>
      <c r="AN9049"/>
      <c r="AO9049"/>
      <c r="AP9049"/>
      <c r="AQ9049"/>
      <c r="AR9049"/>
      <c r="AS9049"/>
      <c r="AT9049"/>
      <c r="AU9049"/>
      <c r="AV9049"/>
      <c r="AW9049"/>
      <c r="AX9049"/>
      <c r="AY9049"/>
      <c r="AZ9049"/>
      <c r="BA9049"/>
      <c r="BB9049"/>
      <c r="BC9049"/>
      <c r="BD9049"/>
      <c r="BE9049"/>
      <c r="BF9049"/>
      <c r="BG9049"/>
      <c r="BH9049"/>
      <c r="BI9049"/>
      <c r="BJ9049"/>
      <c r="BK9049"/>
    </row>
    <row r="9050" spans="1:63" s="93" customFormat="1" ht="9" customHeight="1" x14ac:dyDescent="0.3">
      <c r="A9050" s="91"/>
      <c r="B9050" s="70"/>
      <c r="C9050" s="70"/>
      <c r="D9050" s="70"/>
      <c r="E9050" s="70"/>
      <c r="F9050" s="70"/>
      <c r="G9050" s="94"/>
      <c r="H9050" s="131"/>
      <c r="I9050" s="3"/>
      <c r="J9050"/>
      <c r="K9050"/>
      <c r="L9050"/>
      <c r="M9050"/>
      <c r="N9050"/>
      <c r="O9050"/>
      <c r="P9050"/>
      <c r="Q9050"/>
      <c r="R9050"/>
      <c r="S9050"/>
      <c r="T9050"/>
      <c r="U9050"/>
      <c r="V9050"/>
      <c r="W9050"/>
      <c r="X9050"/>
      <c r="Y9050"/>
      <c r="Z9050"/>
      <c r="AA9050"/>
      <c r="AB9050"/>
      <c r="AC9050"/>
      <c r="AD9050"/>
      <c r="AE9050"/>
      <c r="AF9050"/>
      <c r="AG9050"/>
      <c r="AH9050"/>
      <c r="AI9050"/>
      <c r="AJ9050"/>
      <c r="AK9050"/>
      <c r="AL9050"/>
      <c r="AM9050"/>
      <c r="AN9050"/>
      <c r="AO9050"/>
      <c r="AP9050"/>
      <c r="AQ9050"/>
      <c r="AR9050"/>
      <c r="AS9050"/>
      <c r="AT9050"/>
      <c r="AU9050"/>
      <c r="AV9050"/>
      <c r="AW9050"/>
      <c r="AX9050"/>
      <c r="AY9050"/>
      <c r="AZ9050"/>
      <c r="BA9050"/>
      <c r="BB9050"/>
      <c r="BC9050"/>
      <c r="BD9050"/>
      <c r="BE9050"/>
      <c r="BF9050"/>
      <c r="BG9050"/>
      <c r="BH9050"/>
      <c r="BI9050"/>
      <c r="BJ9050"/>
      <c r="BK9050"/>
    </row>
    <row r="9051" spans="1:63" s="93" customFormat="1" ht="9" customHeight="1" x14ac:dyDescent="0.3">
      <c r="A9051" s="91"/>
      <c r="B9051" s="70"/>
      <c r="C9051" s="70"/>
      <c r="D9051" s="70"/>
      <c r="E9051" s="70"/>
      <c r="F9051" s="70"/>
      <c r="G9051" s="94"/>
      <c r="H9051" s="131"/>
      <c r="I9051" s="3"/>
      <c r="J9051"/>
      <c r="K9051"/>
      <c r="L9051"/>
      <c r="M9051"/>
      <c r="N9051"/>
      <c r="O9051"/>
      <c r="P9051"/>
      <c r="Q9051"/>
      <c r="R9051"/>
      <c r="S9051"/>
      <c r="T9051"/>
      <c r="U9051"/>
      <c r="V9051"/>
      <c r="W9051"/>
      <c r="X9051"/>
      <c r="Y9051"/>
      <c r="Z9051"/>
      <c r="AA9051"/>
      <c r="AB9051"/>
      <c r="AC9051"/>
      <c r="AD9051"/>
      <c r="AE9051"/>
      <c r="AF9051"/>
      <c r="AG9051"/>
      <c r="AH9051"/>
      <c r="AI9051"/>
      <c r="AJ9051"/>
      <c r="AK9051"/>
      <c r="AL9051"/>
      <c r="AM9051"/>
      <c r="AN9051"/>
      <c r="AO9051"/>
      <c r="AP9051"/>
      <c r="AQ9051"/>
      <c r="AR9051"/>
      <c r="AS9051"/>
      <c r="AT9051"/>
      <c r="AU9051"/>
      <c r="AV9051"/>
      <c r="AW9051"/>
      <c r="AX9051"/>
      <c r="AY9051"/>
      <c r="AZ9051"/>
      <c r="BA9051"/>
      <c r="BB9051"/>
      <c r="BC9051"/>
      <c r="BD9051"/>
      <c r="BE9051"/>
      <c r="BF9051"/>
      <c r="BG9051"/>
      <c r="BH9051"/>
      <c r="BI9051"/>
      <c r="BJ9051"/>
      <c r="BK9051"/>
    </row>
    <row r="9052" spans="1:63" s="93" customFormat="1" ht="9" customHeight="1" x14ac:dyDescent="0.3">
      <c r="A9052" s="91"/>
      <c r="B9052" s="70"/>
      <c r="C9052" s="70"/>
      <c r="D9052" s="70"/>
      <c r="E9052" s="70"/>
      <c r="F9052" s="70"/>
      <c r="G9052" s="94"/>
      <c r="H9052" s="131"/>
      <c r="I9052" s="3"/>
      <c r="J9052"/>
      <c r="K9052"/>
      <c r="L9052"/>
      <c r="M9052"/>
      <c r="N9052"/>
      <c r="O9052"/>
      <c r="P9052"/>
      <c r="Q9052"/>
      <c r="R9052"/>
      <c r="S9052"/>
      <c r="T9052"/>
      <c r="U9052"/>
      <c r="V9052"/>
      <c r="W9052"/>
      <c r="X9052"/>
      <c r="Y9052"/>
      <c r="Z9052"/>
      <c r="AA9052"/>
      <c r="AB9052"/>
      <c r="AC9052"/>
      <c r="AD9052"/>
      <c r="AE9052"/>
      <c r="AF9052"/>
      <c r="AG9052"/>
      <c r="AH9052"/>
      <c r="AI9052"/>
      <c r="AJ9052"/>
      <c r="AK9052"/>
      <c r="AL9052"/>
      <c r="AM9052"/>
      <c r="AN9052"/>
      <c r="AO9052"/>
      <c r="AP9052"/>
      <c r="AQ9052"/>
      <c r="AR9052"/>
      <c r="AS9052"/>
      <c r="AT9052"/>
      <c r="AU9052"/>
      <c r="AV9052"/>
      <c r="AW9052"/>
      <c r="AX9052"/>
      <c r="AY9052"/>
      <c r="AZ9052"/>
      <c r="BA9052"/>
      <c r="BB9052"/>
      <c r="BC9052"/>
      <c r="BD9052"/>
      <c r="BE9052"/>
      <c r="BF9052"/>
      <c r="BG9052"/>
      <c r="BH9052"/>
      <c r="BI9052"/>
      <c r="BJ9052"/>
      <c r="BK9052"/>
    </row>
    <row r="9053" spans="1:63" s="93" customFormat="1" ht="9" customHeight="1" x14ac:dyDescent="0.3">
      <c r="A9053" s="91"/>
      <c r="B9053" s="70"/>
      <c r="C9053" s="70"/>
      <c r="D9053" s="70"/>
      <c r="E9053" s="70"/>
      <c r="F9053" s="70"/>
      <c r="G9053" s="94"/>
      <c r="H9053" s="131"/>
      <c r="I9053" s="3"/>
      <c r="J9053"/>
      <c r="K9053"/>
      <c r="L9053"/>
      <c r="M9053"/>
      <c r="N9053"/>
      <c r="O9053"/>
      <c r="P9053"/>
      <c r="Q9053"/>
      <c r="R9053"/>
      <c r="S9053"/>
      <c r="T9053"/>
      <c r="U9053"/>
      <c r="V9053"/>
      <c r="W9053"/>
      <c r="X9053"/>
      <c r="Y9053"/>
      <c r="Z9053"/>
      <c r="AA9053"/>
      <c r="AB9053"/>
      <c r="AC9053"/>
      <c r="AD9053"/>
      <c r="AE9053"/>
      <c r="AF9053"/>
      <c r="AG9053"/>
      <c r="AH9053"/>
      <c r="AI9053"/>
      <c r="AJ9053"/>
      <c r="AK9053"/>
      <c r="AL9053"/>
      <c r="AM9053"/>
      <c r="AN9053"/>
      <c r="AO9053"/>
      <c r="AP9053"/>
      <c r="AQ9053"/>
      <c r="AR9053"/>
      <c r="AS9053"/>
      <c r="AT9053"/>
      <c r="AU9053"/>
      <c r="AV9053"/>
      <c r="AW9053"/>
      <c r="AX9053"/>
      <c r="AY9053"/>
      <c r="AZ9053"/>
      <c r="BA9053"/>
      <c r="BB9053"/>
      <c r="BC9053"/>
      <c r="BD9053"/>
      <c r="BE9053"/>
      <c r="BF9053"/>
      <c r="BG9053"/>
      <c r="BH9053"/>
      <c r="BI9053"/>
      <c r="BJ9053"/>
      <c r="BK9053"/>
    </row>
    <row r="9054" spans="1:63" s="93" customFormat="1" ht="9" customHeight="1" x14ac:dyDescent="0.3">
      <c r="A9054" s="91"/>
      <c r="B9054" s="70"/>
      <c r="C9054" s="70"/>
      <c r="D9054" s="70"/>
      <c r="E9054" s="70"/>
      <c r="F9054" s="70"/>
      <c r="G9054" s="94"/>
      <c r="H9054" s="131"/>
      <c r="I9054" s="3"/>
      <c r="J9054"/>
      <c r="K9054"/>
      <c r="L9054"/>
      <c r="M9054"/>
      <c r="N9054"/>
      <c r="O9054"/>
      <c r="P9054"/>
      <c r="Q9054"/>
      <c r="R9054"/>
      <c r="S9054"/>
      <c r="T9054"/>
      <c r="U9054"/>
      <c r="V9054"/>
      <c r="W9054"/>
      <c r="X9054"/>
      <c r="Y9054"/>
      <c r="Z9054"/>
      <c r="AA9054"/>
      <c r="AB9054"/>
      <c r="AC9054"/>
      <c r="AD9054"/>
      <c r="AE9054"/>
      <c r="AF9054"/>
      <c r="AG9054"/>
      <c r="AH9054"/>
      <c r="AI9054"/>
      <c r="AJ9054"/>
      <c r="AK9054"/>
      <c r="AL9054"/>
      <c r="AM9054"/>
      <c r="AN9054"/>
      <c r="AO9054"/>
      <c r="AP9054"/>
      <c r="AQ9054"/>
      <c r="AR9054"/>
      <c r="AS9054"/>
      <c r="AT9054"/>
      <c r="AU9054"/>
      <c r="AV9054"/>
      <c r="AW9054"/>
      <c r="AX9054"/>
      <c r="AY9054"/>
      <c r="AZ9054"/>
      <c r="BA9054"/>
      <c r="BB9054"/>
      <c r="BC9054"/>
      <c r="BD9054"/>
      <c r="BE9054"/>
      <c r="BF9054"/>
      <c r="BG9054"/>
      <c r="BH9054"/>
      <c r="BI9054"/>
      <c r="BJ9054"/>
      <c r="BK9054"/>
    </row>
    <row r="9055" spans="1:63" s="93" customFormat="1" ht="9" customHeight="1" x14ac:dyDescent="0.3">
      <c r="A9055" s="91"/>
      <c r="B9055" s="70"/>
      <c r="C9055" s="70"/>
      <c r="D9055" s="70"/>
      <c r="E9055" s="70"/>
      <c r="F9055" s="70"/>
      <c r="G9055" s="94"/>
      <c r="H9055" s="131"/>
      <c r="I9055" s="3"/>
      <c r="J9055"/>
      <c r="K9055"/>
      <c r="L9055"/>
      <c r="M9055"/>
      <c r="N9055"/>
      <c r="O9055"/>
      <c r="P9055"/>
      <c r="Q9055"/>
      <c r="R9055"/>
      <c r="S9055"/>
      <c r="T9055"/>
      <c r="U9055"/>
      <c r="V9055"/>
      <c r="W9055"/>
      <c r="X9055"/>
      <c r="Y9055"/>
      <c r="Z9055"/>
      <c r="AA9055"/>
      <c r="AB9055"/>
      <c r="AC9055"/>
      <c r="AD9055"/>
      <c r="AE9055"/>
      <c r="AF9055"/>
      <c r="AG9055"/>
      <c r="AH9055"/>
      <c r="AI9055"/>
      <c r="AJ9055"/>
      <c r="AK9055"/>
      <c r="AL9055"/>
      <c r="AM9055"/>
      <c r="AN9055"/>
      <c r="AO9055"/>
      <c r="AP9055"/>
      <c r="AQ9055"/>
      <c r="AR9055"/>
      <c r="AS9055"/>
      <c r="AT9055"/>
      <c r="AU9055"/>
      <c r="AV9055"/>
      <c r="AW9055"/>
      <c r="AX9055"/>
      <c r="AY9055"/>
      <c r="AZ9055"/>
      <c r="BA9055"/>
      <c r="BB9055"/>
      <c r="BC9055"/>
      <c r="BD9055"/>
      <c r="BE9055"/>
      <c r="BF9055"/>
      <c r="BG9055"/>
      <c r="BH9055"/>
      <c r="BI9055"/>
      <c r="BJ9055"/>
      <c r="BK9055"/>
    </row>
    <row r="9056" spans="1:63" s="93" customFormat="1" ht="9" customHeight="1" x14ac:dyDescent="0.3">
      <c r="A9056" s="91"/>
      <c r="B9056" s="70"/>
      <c r="C9056" s="70"/>
      <c r="D9056" s="70"/>
      <c r="E9056" s="70"/>
      <c r="F9056" s="70"/>
      <c r="G9056" s="94"/>
      <c r="H9056" s="131"/>
      <c r="I9056" s="3"/>
      <c r="J9056"/>
      <c r="K9056"/>
      <c r="L9056"/>
      <c r="M9056"/>
      <c r="N9056"/>
      <c r="O9056"/>
      <c r="P9056"/>
      <c r="Q9056"/>
      <c r="R9056"/>
      <c r="S9056"/>
      <c r="T9056"/>
      <c r="U9056"/>
      <c r="V9056"/>
      <c r="W9056"/>
      <c r="X9056"/>
      <c r="Y9056"/>
      <c r="Z9056"/>
      <c r="AA9056"/>
      <c r="AB9056"/>
      <c r="AC9056"/>
      <c r="AD9056"/>
      <c r="AE9056"/>
      <c r="AF9056"/>
      <c r="AG9056"/>
      <c r="AH9056"/>
      <c r="AI9056"/>
      <c r="AJ9056"/>
      <c r="AK9056"/>
      <c r="AL9056"/>
      <c r="AM9056"/>
      <c r="AN9056"/>
      <c r="AO9056"/>
      <c r="AP9056"/>
      <c r="AQ9056"/>
      <c r="AR9056"/>
      <c r="AS9056"/>
      <c r="AT9056"/>
      <c r="AU9056"/>
      <c r="AV9056"/>
      <c r="AW9056"/>
      <c r="AX9056"/>
      <c r="AY9056"/>
      <c r="AZ9056"/>
      <c r="BA9056"/>
      <c r="BB9056"/>
      <c r="BC9056"/>
      <c r="BD9056"/>
      <c r="BE9056"/>
      <c r="BF9056"/>
      <c r="BG9056"/>
      <c r="BH9056"/>
      <c r="BI9056"/>
      <c r="BJ9056"/>
      <c r="BK9056"/>
    </row>
    <row r="9057" spans="1:63" s="93" customFormat="1" ht="9" customHeight="1" x14ac:dyDescent="0.3">
      <c r="A9057" s="91"/>
      <c r="B9057" s="70"/>
      <c r="C9057" s="70"/>
      <c r="D9057" s="70"/>
      <c r="E9057" s="70"/>
      <c r="F9057" s="70"/>
      <c r="G9057" s="94"/>
      <c r="H9057" s="131"/>
      <c r="I9057" s="3"/>
      <c r="J9057"/>
      <c r="K9057"/>
      <c r="L9057"/>
      <c r="M9057"/>
      <c r="N9057"/>
      <c r="O9057"/>
      <c r="P9057"/>
      <c r="Q9057"/>
      <c r="R9057"/>
      <c r="S9057"/>
      <c r="T9057"/>
      <c r="U9057"/>
      <c r="V9057"/>
      <c r="W9057"/>
      <c r="X9057"/>
      <c r="Y9057"/>
      <c r="Z9057"/>
      <c r="AA9057"/>
      <c r="AB9057"/>
      <c r="AC9057"/>
      <c r="AD9057"/>
      <c r="AE9057"/>
      <c r="AF9057"/>
      <c r="AG9057"/>
      <c r="AH9057"/>
      <c r="AI9057"/>
      <c r="AJ9057"/>
      <c r="AK9057"/>
      <c r="AL9057"/>
      <c r="AM9057"/>
      <c r="AN9057"/>
      <c r="AO9057"/>
      <c r="AP9057"/>
      <c r="AQ9057"/>
      <c r="AR9057"/>
      <c r="AS9057"/>
      <c r="AT9057"/>
      <c r="AU9057"/>
      <c r="AV9057"/>
      <c r="AW9057"/>
      <c r="AX9057"/>
      <c r="AY9057"/>
      <c r="AZ9057"/>
      <c r="BA9057"/>
      <c r="BB9057"/>
      <c r="BC9057"/>
      <c r="BD9057"/>
      <c r="BE9057"/>
      <c r="BF9057"/>
      <c r="BG9057"/>
      <c r="BH9057"/>
      <c r="BI9057"/>
      <c r="BJ9057"/>
      <c r="BK9057"/>
    </row>
    <row r="9058" spans="1:63" s="93" customFormat="1" ht="9" customHeight="1" x14ac:dyDescent="0.3">
      <c r="A9058" s="91"/>
      <c r="B9058" s="70"/>
      <c r="C9058" s="70"/>
      <c r="D9058" s="70"/>
      <c r="E9058" s="70"/>
      <c r="F9058" s="70"/>
      <c r="G9058" s="94"/>
      <c r="H9058" s="131"/>
      <c r="I9058" s="3"/>
      <c r="J9058"/>
      <c r="K9058"/>
      <c r="L9058"/>
      <c r="M9058"/>
      <c r="N9058"/>
      <c r="O9058"/>
      <c r="P9058"/>
      <c r="Q9058"/>
      <c r="R9058"/>
      <c r="S9058"/>
      <c r="T9058"/>
      <c r="U9058"/>
      <c r="V9058"/>
      <c r="W9058"/>
      <c r="X9058"/>
      <c r="Y9058"/>
      <c r="Z9058"/>
      <c r="AA9058"/>
      <c r="AB9058"/>
      <c r="AC9058"/>
      <c r="AD9058"/>
      <c r="AE9058"/>
      <c r="AF9058"/>
      <c r="AG9058"/>
      <c r="AH9058"/>
      <c r="AI9058"/>
      <c r="AJ9058"/>
      <c r="AK9058"/>
      <c r="AL9058"/>
      <c r="AM9058"/>
      <c r="AN9058"/>
      <c r="AO9058"/>
      <c r="AP9058"/>
      <c r="AQ9058"/>
      <c r="AR9058"/>
      <c r="AS9058"/>
      <c r="AT9058"/>
      <c r="AU9058"/>
      <c r="AV9058"/>
      <c r="AW9058"/>
      <c r="AX9058"/>
      <c r="AY9058"/>
      <c r="AZ9058"/>
      <c r="BA9058"/>
      <c r="BB9058"/>
      <c r="BC9058"/>
      <c r="BD9058"/>
      <c r="BE9058"/>
      <c r="BF9058"/>
      <c r="BG9058"/>
      <c r="BH9058"/>
      <c r="BI9058"/>
      <c r="BJ9058"/>
      <c r="BK9058"/>
    </row>
    <row r="9059" spans="1:63" s="93" customFormat="1" ht="9" customHeight="1" x14ac:dyDescent="0.3">
      <c r="A9059" s="91"/>
      <c r="B9059" s="70"/>
      <c r="C9059" s="70"/>
      <c r="D9059" s="70"/>
      <c r="E9059" s="70"/>
      <c r="F9059" s="70"/>
      <c r="G9059" s="94"/>
      <c r="H9059" s="131"/>
      <c r="I9059" s="3"/>
      <c r="J9059"/>
      <c r="K9059"/>
      <c r="L9059"/>
      <c r="M9059"/>
      <c r="N9059"/>
      <c r="O9059"/>
      <c r="P9059"/>
      <c r="Q9059"/>
      <c r="R9059"/>
      <c r="S9059"/>
      <c r="T9059"/>
      <c r="U9059"/>
      <c r="V9059"/>
      <c r="W9059"/>
      <c r="X9059"/>
      <c r="Y9059"/>
      <c r="Z9059"/>
      <c r="AA9059"/>
      <c r="AB9059"/>
      <c r="AC9059"/>
      <c r="AD9059"/>
      <c r="AE9059"/>
      <c r="AF9059"/>
      <c r="AG9059"/>
      <c r="AH9059"/>
      <c r="AI9059"/>
      <c r="AJ9059"/>
      <c r="AK9059"/>
      <c r="AL9059"/>
      <c r="AM9059"/>
      <c r="AN9059"/>
      <c r="AO9059"/>
      <c r="AP9059"/>
      <c r="AQ9059"/>
      <c r="AR9059"/>
      <c r="AS9059"/>
      <c r="AT9059"/>
      <c r="AU9059"/>
      <c r="AV9059"/>
      <c r="AW9059"/>
      <c r="AX9059"/>
      <c r="AY9059"/>
      <c r="AZ9059"/>
      <c r="BA9059"/>
      <c r="BB9059"/>
      <c r="BC9059"/>
      <c r="BD9059"/>
      <c r="BE9059"/>
      <c r="BF9059"/>
      <c r="BG9059"/>
      <c r="BH9059"/>
      <c r="BI9059"/>
      <c r="BJ9059"/>
      <c r="BK9059"/>
    </row>
    <row r="9060" spans="1:63" s="93" customFormat="1" ht="9" customHeight="1" x14ac:dyDescent="0.3">
      <c r="A9060" s="91"/>
      <c r="B9060" s="70"/>
      <c r="C9060" s="70"/>
      <c r="D9060" s="70"/>
      <c r="E9060" s="70"/>
      <c r="F9060" s="70"/>
      <c r="G9060" s="94"/>
      <c r="H9060" s="131"/>
      <c r="I9060" s="3"/>
      <c r="J9060"/>
      <c r="K9060"/>
      <c r="L9060"/>
      <c r="M9060"/>
      <c r="N9060"/>
      <c r="O9060"/>
      <c r="P9060"/>
      <c r="Q9060"/>
      <c r="R9060"/>
      <c r="S9060"/>
      <c r="T9060"/>
      <c r="U9060"/>
      <c r="V9060"/>
      <c r="W9060"/>
      <c r="X9060"/>
      <c r="Y9060"/>
      <c r="Z9060"/>
      <c r="AA9060"/>
      <c r="AB9060"/>
      <c r="AC9060"/>
      <c r="AD9060"/>
      <c r="AE9060"/>
      <c r="AF9060"/>
      <c r="AG9060"/>
      <c r="AH9060"/>
      <c r="AI9060"/>
      <c r="AJ9060"/>
      <c r="AK9060"/>
      <c r="AL9060"/>
      <c r="AM9060"/>
      <c r="AN9060"/>
      <c r="AO9060"/>
      <c r="AP9060"/>
      <c r="AQ9060"/>
      <c r="AR9060"/>
      <c r="AS9060"/>
      <c r="AT9060"/>
      <c r="AU9060"/>
      <c r="AV9060"/>
      <c r="AW9060"/>
      <c r="AX9060"/>
      <c r="AY9060"/>
      <c r="AZ9060"/>
      <c r="BA9060"/>
      <c r="BB9060"/>
      <c r="BC9060"/>
      <c r="BD9060"/>
      <c r="BE9060"/>
      <c r="BF9060"/>
      <c r="BG9060"/>
      <c r="BH9060"/>
      <c r="BI9060"/>
      <c r="BJ9060"/>
      <c r="BK9060"/>
    </row>
    <row r="9061" spans="1:63" s="93" customFormat="1" ht="9" customHeight="1" x14ac:dyDescent="0.3">
      <c r="A9061" s="91"/>
      <c r="B9061" s="70"/>
      <c r="C9061" s="70"/>
      <c r="D9061" s="70"/>
      <c r="E9061" s="70"/>
      <c r="F9061" s="70"/>
      <c r="G9061" s="94"/>
      <c r="H9061" s="131"/>
      <c r="I9061" s="3"/>
      <c r="J9061"/>
      <c r="K9061"/>
      <c r="L9061"/>
      <c r="M9061"/>
      <c r="N9061"/>
      <c r="O9061"/>
      <c r="P9061"/>
      <c r="Q9061"/>
      <c r="R9061"/>
      <c r="S9061"/>
      <c r="T9061"/>
      <c r="U9061"/>
      <c r="V9061"/>
      <c r="W9061"/>
      <c r="X9061"/>
      <c r="Y9061"/>
      <c r="Z9061"/>
      <c r="AA9061"/>
      <c r="AB9061"/>
      <c r="AC9061"/>
      <c r="AD9061"/>
      <c r="AE9061"/>
      <c r="AF9061"/>
      <c r="AG9061"/>
      <c r="AH9061"/>
      <c r="AI9061"/>
      <c r="AJ9061"/>
      <c r="AK9061"/>
      <c r="AL9061"/>
      <c r="AM9061"/>
      <c r="AN9061"/>
      <c r="AO9061"/>
      <c r="AP9061"/>
      <c r="AQ9061"/>
      <c r="AR9061"/>
      <c r="AS9061"/>
      <c r="AT9061"/>
      <c r="AU9061"/>
      <c r="AV9061"/>
      <c r="AW9061"/>
      <c r="AX9061"/>
      <c r="AY9061"/>
      <c r="AZ9061"/>
      <c r="BA9061"/>
      <c r="BB9061"/>
      <c r="BC9061"/>
      <c r="BD9061"/>
      <c r="BE9061"/>
      <c r="BF9061"/>
      <c r="BG9061"/>
      <c r="BH9061"/>
      <c r="BI9061"/>
      <c r="BJ9061"/>
      <c r="BK9061"/>
    </row>
    <row r="9062" spans="1:63" s="93" customFormat="1" ht="9" customHeight="1" x14ac:dyDescent="0.3">
      <c r="A9062" s="91"/>
      <c r="B9062" s="70"/>
      <c r="C9062" s="70"/>
      <c r="D9062" s="70"/>
      <c r="E9062" s="70"/>
      <c r="F9062" s="70"/>
      <c r="G9062" s="94"/>
      <c r="H9062" s="131"/>
      <c r="I9062" s="3"/>
      <c r="J9062"/>
      <c r="K9062"/>
      <c r="L9062"/>
      <c r="M9062"/>
      <c r="N9062"/>
      <c r="O9062"/>
      <c r="P9062"/>
      <c r="Q9062"/>
      <c r="R9062"/>
      <c r="S9062"/>
      <c r="T9062"/>
      <c r="U9062"/>
      <c r="V9062"/>
      <c r="W9062"/>
      <c r="X9062"/>
      <c r="Y9062"/>
      <c r="Z9062"/>
      <c r="AA9062"/>
      <c r="AB9062"/>
      <c r="AC9062"/>
      <c r="AD9062"/>
      <c r="AE9062"/>
      <c r="AF9062"/>
      <c r="AG9062"/>
      <c r="AH9062"/>
      <c r="AI9062"/>
      <c r="AJ9062"/>
      <c r="AK9062"/>
      <c r="AL9062"/>
      <c r="AM9062"/>
      <c r="AN9062"/>
      <c r="AO9062"/>
      <c r="AP9062"/>
      <c r="AQ9062"/>
      <c r="AR9062"/>
      <c r="AS9062"/>
      <c r="AT9062"/>
      <c r="AU9062"/>
      <c r="AV9062"/>
      <c r="AW9062"/>
      <c r="AX9062"/>
      <c r="AY9062"/>
      <c r="AZ9062"/>
      <c r="BA9062"/>
      <c r="BB9062"/>
      <c r="BC9062"/>
      <c r="BD9062"/>
      <c r="BE9062"/>
      <c r="BF9062"/>
      <c r="BG9062"/>
      <c r="BH9062"/>
      <c r="BI9062"/>
      <c r="BJ9062"/>
      <c r="BK9062"/>
    </row>
    <row r="9063" spans="1:63" s="93" customFormat="1" ht="9" customHeight="1" x14ac:dyDescent="0.3">
      <c r="A9063" s="91"/>
      <c r="B9063" s="70"/>
      <c r="C9063" s="70"/>
      <c r="D9063" s="70"/>
      <c r="E9063" s="70"/>
      <c r="F9063" s="70"/>
      <c r="G9063" s="94"/>
      <c r="H9063" s="131"/>
      <c r="I9063" s="3"/>
      <c r="J9063"/>
      <c r="K9063"/>
      <c r="L9063"/>
      <c r="M9063"/>
      <c r="N9063"/>
      <c r="O9063"/>
      <c r="P9063"/>
      <c r="Q9063"/>
      <c r="R9063"/>
      <c r="S9063"/>
      <c r="T9063"/>
      <c r="U9063"/>
      <c r="V9063"/>
      <c r="W9063"/>
      <c r="X9063"/>
      <c r="Y9063"/>
      <c r="Z9063"/>
      <c r="AA9063"/>
      <c r="AB9063"/>
      <c r="AC9063"/>
      <c r="AD9063"/>
      <c r="AE9063"/>
      <c r="AF9063"/>
      <c r="AG9063"/>
      <c r="AH9063"/>
      <c r="AI9063"/>
      <c r="AJ9063"/>
      <c r="AK9063"/>
      <c r="AL9063"/>
      <c r="AM9063"/>
      <c r="AN9063"/>
      <c r="AO9063"/>
      <c r="AP9063"/>
      <c r="AQ9063"/>
      <c r="AR9063"/>
      <c r="AS9063"/>
      <c r="AT9063"/>
      <c r="AU9063"/>
      <c r="AV9063"/>
      <c r="AW9063"/>
      <c r="AX9063"/>
      <c r="AY9063"/>
      <c r="AZ9063"/>
      <c r="BA9063"/>
      <c r="BB9063"/>
      <c r="BC9063"/>
      <c r="BD9063"/>
      <c r="BE9063"/>
      <c r="BF9063"/>
      <c r="BG9063"/>
      <c r="BH9063"/>
      <c r="BI9063"/>
      <c r="BJ9063"/>
      <c r="BK9063"/>
    </row>
    <row r="9064" spans="1:63" s="93" customFormat="1" ht="9" customHeight="1" x14ac:dyDescent="0.3">
      <c r="A9064" s="91"/>
      <c r="B9064" s="70"/>
      <c r="C9064" s="70"/>
      <c r="D9064" s="70"/>
      <c r="E9064" s="70"/>
      <c r="F9064" s="70"/>
      <c r="G9064" s="94"/>
      <c r="H9064" s="131"/>
      <c r="I9064" s="3"/>
      <c r="J9064"/>
      <c r="K9064"/>
      <c r="L9064"/>
      <c r="M9064"/>
      <c r="N9064"/>
      <c r="O9064"/>
      <c r="P9064"/>
      <c r="Q9064"/>
      <c r="R9064"/>
      <c r="S9064"/>
      <c r="T9064"/>
      <c r="U9064"/>
      <c r="V9064"/>
      <c r="W9064"/>
      <c r="X9064"/>
      <c r="Y9064"/>
      <c r="Z9064"/>
      <c r="AA9064"/>
      <c r="AB9064"/>
      <c r="AC9064"/>
      <c r="AD9064"/>
      <c r="AE9064"/>
      <c r="AF9064"/>
      <c r="AG9064"/>
      <c r="AH9064"/>
      <c r="AI9064"/>
      <c r="AJ9064"/>
      <c r="AK9064"/>
      <c r="AL9064"/>
      <c r="AM9064"/>
      <c r="AN9064"/>
      <c r="AO9064"/>
      <c r="AP9064"/>
      <c r="AQ9064"/>
      <c r="AR9064"/>
      <c r="AS9064"/>
      <c r="AT9064"/>
      <c r="AU9064"/>
      <c r="AV9064"/>
      <c r="AW9064"/>
      <c r="AX9064"/>
      <c r="AY9064"/>
      <c r="AZ9064"/>
      <c r="BA9064"/>
      <c r="BB9064"/>
      <c r="BC9064"/>
      <c r="BD9064"/>
      <c r="BE9064"/>
      <c r="BF9064"/>
      <c r="BG9064"/>
      <c r="BH9064"/>
      <c r="BI9064"/>
      <c r="BJ9064"/>
      <c r="BK9064"/>
    </row>
    <row r="9065" spans="1:63" s="93" customFormat="1" ht="9" customHeight="1" x14ac:dyDescent="0.3">
      <c r="A9065" s="91"/>
      <c r="B9065" s="70"/>
      <c r="C9065" s="70"/>
      <c r="D9065" s="70"/>
      <c r="E9065" s="70"/>
      <c r="F9065" s="70"/>
      <c r="G9065" s="94"/>
      <c r="H9065" s="131"/>
      <c r="I9065" s="3"/>
      <c r="J9065"/>
      <c r="K9065"/>
      <c r="L9065"/>
      <c r="M9065"/>
      <c r="N9065"/>
      <c r="O9065"/>
      <c r="P9065"/>
      <c r="Q9065"/>
      <c r="R9065"/>
      <c r="S9065"/>
      <c r="T9065"/>
      <c r="U9065"/>
      <c r="V9065"/>
      <c r="W9065"/>
      <c r="X9065"/>
      <c r="Y9065"/>
      <c r="Z9065"/>
      <c r="AA9065"/>
      <c r="AB9065"/>
      <c r="AC9065"/>
      <c r="AD9065"/>
      <c r="AE9065"/>
      <c r="AF9065"/>
      <c r="AG9065"/>
      <c r="AH9065"/>
      <c r="AI9065"/>
      <c r="AJ9065"/>
      <c r="AK9065"/>
      <c r="AL9065"/>
      <c r="AM9065"/>
      <c r="AN9065"/>
      <c r="AO9065"/>
      <c r="AP9065"/>
      <c r="AQ9065"/>
      <c r="AR9065"/>
      <c r="AS9065"/>
      <c r="AT9065"/>
      <c r="AU9065"/>
      <c r="AV9065"/>
      <c r="AW9065"/>
      <c r="AX9065"/>
      <c r="AY9065"/>
      <c r="AZ9065"/>
      <c r="BA9065"/>
      <c r="BB9065"/>
      <c r="BC9065"/>
      <c r="BD9065"/>
      <c r="BE9065"/>
      <c r="BF9065"/>
      <c r="BG9065"/>
      <c r="BH9065"/>
      <c r="BI9065"/>
      <c r="BJ9065"/>
      <c r="BK9065"/>
    </row>
    <row r="9066" spans="1:63" s="93" customFormat="1" ht="9" customHeight="1" x14ac:dyDescent="0.3">
      <c r="A9066" s="91"/>
      <c r="B9066" s="70"/>
      <c r="C9066" s="70"/>
      <c r="D9066" s="70"/>
      <c r="E9066" s="70"/>
      <c r="F9066" s="70"/>
      <c r="G9066" s="94"/>
      <c r="H9066" s="131"/>
      <c r="I9066" s="3"/>
      <c r="J9066"/>
      <c r="K9066"/>
      <c r="L9066"/>
      <c r="M9066"/>
      <c r="N9066"/>
      <c r="O9066"/>
      <c r="P9066"/>
      <c r="Q9066"/>
      <c r="R9066"/>
      <c r="S9066"/>
      <c r="T9066"/>
      <c r="U9066"/>
      <c r="V9066"/>
      <c r="W9066"/>
      <c r="X9066"/>
      <c r="Y9066"/>
      <c r="Z9066"/>
      <c r="AA9066"/>
      <c r="AB9066"/>
      <c r="AC9066"/>
      <c r="AD9066"/>
      <c r="AE9066"/>
      <c r="AF9066"/>
      <c r="AG9066"/>
      <c r="AH9066"/>
      <c r="AI9066"/>
      <c r="AJ9066"/>
      <c r="AK9066"/>
      <c r="AL9066"/>
      <c r="AM9066"/>
      <c r="AN9066"/>
      <c r="AO9066"/>
      <c r="AP9066"/>
      <c r="AQ9066"/>
      <c r="AR9066"/>
      <c r="AS9066"/>
      <c r="AT9066"/>
      <c r="AU9066"/>
      <c r="AV9066"/>
      <c r="AW9066"/>
      <c r="AX9066"/>
      <c r="AY9066"/>
      <c r="AZ9066"/>
      <c r="BA9066"/>
      <c r="BB9066"/>
      <c r="BC9066"/>
      <c r="BD9066"/>
      <c r="BE9066"/>
      <c r="BF9066"/>
      <c r="BG9066"/>
      <c r="BH9066"/>
      <c r="BI9066"/>
      <c r="BJ9066"/>
      <c r="BK9066"/>
    </row>
    <row r="9067" spans="1:63" s="93" customFormat="1" ht="9" customHeight="1" x14ac:dyDescent="0.3">
      <c r="A9067" s="91"/>
      <c r="B9067" s="70"/>
      <c r="C9067" s="70"/>
      <c r="D9067" s="70"/>
      <c r="E9067" s="70"/>
      <c r="F9067" s="70"/>
      <c r="G9067" s="94"/>
      <c r="H9067" s="131"/>
      <c r="I9067" s="3"/>
      <c r="J9067"/>
      <c r="K9067"/>
      <c r="L9067"/>
      <c r="M9067"/>
      <c r="N9067"/>
      <c r="O9067"/>
      <c r="P9067"/>
      <c r="Q9067"/>
      <c r="R9067"/>
      <c r="S9067"/>
      <c r="T9067"/>
      <c r="U9067"/>
      <c r="V9067"/>
      <c r="W9067"/>
      <c r="X9067"/>
      <c r="Y9067"/>
      <c r="Z9067"/>
      <c r="AA9067"/>
      <c r="AB9067"/>
      <c r="AC9067"/>
      <c r="AD9067"/>
      <c r="AE9067"/>
      <c r="AF9067"/>
      <c r="AG9067"/>
      <c r="AH9067"/>
      <c r="AI9067"/>
      <c r="AJ9067"/>
      <c r="AK9067"/>
      <c r="AL9067"/>
      <c r="AM9067"/>
      <c r="AN9067"/>
      <c r="AO9067"/>
      <c r="AP9067"/>
      <c r="AQ9067"/>
      <c r="AR9067"/>
      <c r="AS9067"/>
      <c r="AT9067"/>
      <c r="AU9067"/>
      <c r="AV9067"/>
      <c r="AW9067"/>
      <c r="AX9067"/>
      <c r="AY9067"/>
      <c r="AZ9067"/>
      <c r="BA9067"/>
      <c r="BB9067"/>
      <c r="BC9067"/>
      <c r="BD9067"/>
      <c r="BE9067"/>
      <c r="BF9067"/>
      <c r="BG9067"/>
      <c r="BH9067"/>
      <c r="BI9067"/>
      <c r="BJ9067"/>
      <c r="BK9067"/>
    </row>
    <row r="9068" spans="1:63" s="93" customFormat="1" ht="9" customHeight="1" x14ac:dyDescent="0.3">
      <c r="A9068" s="91"/>
      <c r="B9068" s="70"/>
      <c r="C9068" s="70"/>
      <c r="D9068" s="70"/>
      <c r="E9068" s="70"/>
      <c r="F9068" s="70"/>
      <c r="G9068" s="94"/>
      <c r="H9068" s="131"/>
      <c r="I9068" s="3"/>
      <c r="J9068"/>
      <c r="K9068"/>
      <c r="L9068"/>
      <c r="M9068"/>
      <c r="N9068"/>
      <c r="O9068"/>
      <c r="P9068"/>
      <c r="Q9068"/>
      <c r="R9068"/>
      <c r="S9068"/>
      <c r="T9068"/>
      <c r="U9068"/>
      <c r="V9068"/>
      <c r="W9068"/>
      <c r="X9068"/>
      <c r="Y9068"/>
      <c r="Z9068"/>
      <c r="AA9068"/>
      <c r="AB9068"/>
      <c r="AC9068"/>
      <c r="AD9068"/>
      <c r="AE9068"/>
      <c r="AF9068"/>
      <c r="AG9068"/>
      <c r="AH9068"/>
      <c r="AI9068"/>
      <c r="AJ9068"/>
      <c r="AK9068"/>
      <c r="AL9068"/>
      <c r="AM9068"/>
      <c r="AN9068"/>
      <c r="AO9068"/>
      <c r="AP9068"/>
      <c r="AQ9068"/>
      <c r="AR9068"/>
      <c r="AS9068"/>
      <c r="AT9068"/>
      <c r="AU9068"/>
      <c r="AV9068"/>
      <c r="AW9068"/>
      <c r="AX9068"/>
      <c r="AY9068"/>
      <c r="AZ9068"/>
      <c r="BA9068"/>
      <c r="BB9068"/>
      <c r="BC9068"/>
      <c r="BD9068"/>
      <c r="BE9068"/>
      <c r="BF9068"/>
      <c r="BG9068"/>
      <c r="BH9068"/>
      <c r="BI9068"/>
      <c r="BJ9068"/>
      <c r="BK9068"/>
    </row>
    <row r="9069" spans="1:63" s="93" customFormat="1" ht="9" customHeight="1" x14ac:dyDescent="0.3">
      <c r="A9069" s="91"/>
      <c r="B9069" s="70"/>
      <c r="C9069" s="70"/>
      <c r="D9069" s="70"/>
      <c r="E9069" s="70"/>
      <c r="F9069" s="70"/>
      <c r="G9069" s="94"/>
      <c r="H9069" s="131"/>
      <c r="I9069" s="3"/>
      <c r="J9069"/>
      <c r="K9069"/>
      <c r="L9069"/>
      <c r="M9069"/>
      <c r="N9069"/>
      <c r="O9069"/>
      <c r="P9069"/>
      <c r="Q9069"/>
      <c r="R9069"/>
      <c r="S9069"/>
      <c r="T9069"/>
      <c r="U9069"/>
      <c r="V9069"/>
      <c r="W9069"/>
      <c r="X9069"/>
      <c r="Y9069"/>
      <c r="Z9069"/>
      <c r="AA9069"/>
      <c r="AB9069"/>
      <c r="AC9069"/>
      <c r="AD9069"/>
      <c r="AE9069"/>
      <c r="AF9069"/>
      <c r="AG9069"/>
      <c r="AH9069"/>
      <c r="AI9069"/>
      <c r="AJ9069"/>
      <c r="AK9069"/>
      <c r="AL9069"/>
      <c r="AM9069"/>
      <c r="AN9069"/>
      <c r="AO9069"/>
      <c r="AP9069"/>
      <c r="AQ9069"/>
      <c r="AR9069"/>
      <c r="AS9069"/>
      <c r="AT9069"/>
      <c r="AU9069"/>
      <c r="AV9069"/>
      <c r="AW9069"/>
      <c r="AX9069"/>
      <c r="AY9069"/>
      <c r="AZ9069"/>
      <c r="BA9069"/>
      <c r="BB9069"/>
      <c r="BC9069"/>
      <c r="BD9069"/>
      <c r="BE9069"/>
      <c r="BF9069"/>
      <c r="BG9069"/>
      <c r="BH9069"/>
      <c r="BI9069"/>
      <c r="BJ9069"/>
      <c r="BK9069"/>
    </row>
    <row r="9070" spans="1:63" s="93" customFormat="1" ht="9" customHeight="1" x14ac:dyDescent="0.3">
      <c r="A9070" s="91"/>
      <c r="B9070" s="70"/>
      <c r="C9070" s="70"/>
      <c r="D9070" s="70"/>
      <c r="E9070" s="70"/>
      <c r="F9070" s="70"/>
      <c r="G9070" s="94"/>
      <c r="H9070" s="131"/>
      <c r="I9070" s="3"/>
      <c r="J9070"/>
      <c r="K9070"/>
      <c r="L9070"/>
      <c r="M9070"/>
      <c r="N9070"/>
      <c r="O9070"/>
      <c r="P9070"/>
      <c r="Q9070"/>
      <c r="R9070"/>
      <c r="S9070"/>
      <c r="T9070"/>
      <c r="U9070"/>
      <c r="V9070"/>
      <c r="W9070"/>
      <c r="X9070"/>
      <c r="Y9070"/>
      <c r="Z9070"/>
      <c r="AA9070"/>
      <c r="AB9070"/>
      <c r="AC9070"/>
      <c r="AD9070"/>
      <c r="AE9070"/>
      <c r="AF9070"/>
      <c r="AG9070"/>
      <c r="AH9070"/>
      <c r="AI9070"/>
      <c r="AJ9070"/>
      <c r="AK9070"/>
      <c r="AL9070"/>
      <c r="AM9070"/>
      <c r="AN9070"/>
      <c r="AO9070"/>
      <c r="AP9070"/>
      <c r="AQ9070"/>
      <c r="AR9070"/>
      <c r="AS9070"/>
      <c r="AT9070"/>
      <c r="AU9070"/>
      <c r="AV9070"/>
      <c r="AW9070"/>
      <c r="AX9070"/>
      <c r="AY9070"/>
      <c r="AZ9070"/>
      <c r="BA9070"/>
      <c r="BB9070"/>
      <c r="BC9070"/>
      <c r="BD9070"/>
      <c r="BE9070"/>
      <c r="BF9070"/>
      <c r="BG9070"/>
      <c r="BH9070"/>
      <c r="BI9070"/>
      <c r="BJ9070"/>
      <c r="BK9070"/>
    </row>
    <row r="9071" spans="1:63" s="93" customFormat="1" ht="9" customHeight="1" x14ac:dyDescent="0.3">
      <c r="A9071" s="91"/>
      <c r="B9071" s="70"/>
      <c r="C9071" s="70"/>
      <c r="D9071" s="70"/>
      <c r="E9071" s="70"/>
      <c r="F9071" s="70"/>
      <c r="G9071" s="94"/>
      <c r="H9071" s="131"/>
      <c r="I9071" s="3"/>
      <c r="J9071"/>
      <c r="K9071"/>
      <c r="L9071"/>
      <c r="M9071"/>
      <c r="N9071"/>
      <c r="O9071"/>
      <c r="P9071"/>
      <c r="Q9071"/>
      <c r="R9071"/>
      <c r="S9071"/>
      <c r="T9071"/>
      <c r="U9071"/>
      <c r="V9071"/>
      <c r="W9071"/>
      <c r="X9071"/>
      <c r="Y9071"/>
      <c r="Z9071"/>
      <c r="AA9071"/>
      <c r="AB9071"/>
      <c r="AC9071"/>
      <c r="AD9071"/>
      <c r="AE9071"/>
      <c r="AF9071"/>
      <c r="AG9071"/>
      <c r="AH9071"/>
      <c r="AI9071"/>
      <c r="AJ9071"/>
      <c r="AK9071"/>
      <c r="AL9071"/>
      <c r="AM9071"/>
      <c r="AN9071"/>
      <c r="AO9071"/>
      <c r="AP9071"/>
      <c r="AQ9071"/>
      <c r="AR9071"/>
      <c r="AS9071"/>
      <c r="AT9071"/>
      <c r="AU9071"/>
      <c r="AV9071"/>
      <c r="AW9071"/>
      <c r="AX9071"/>
      <c r="AY9071"/>
      <c r="AZ9071"/>
      <c r="BA9071"/>
      <c r="BB9071"/>
      <c r="BC9071"/>
      <c r="BD9071"/>
      <c r="BE9071"/>
      <c r="BF9071"/>
      <c r="BG9071"/>
      <c r="BH9071"/>
      <c r="BI9071"/>
      <c r="BJ9071"/>
      <c r="BK9071"/>
    </row>
    <row r="9072" spans="1:63" s="93" customFormat="1" ht="9" customHeight="1" x14ac:dyDescent="0.3">
      <c r="A9072" s="91"/>
      <c r="B9072" s="70"/>
      <c r="C9072" s="70"/>
      <c r="D9072" s="70"/>
      <c r="E9072" s="70"/>
      <c r="F9072" s="70"/>
      <c r="G9072" s="94"/>
      <c r="H9072" s="131"/>
      <c r="I9072" s="3"/>
      <c r="J9072"/>
      <c r="K9072"/>
      <c r="L9072"/>
      <c r="M9072"/>
      <c r="N9072"/>
      <c r="O9072"/>
      <c r="P9072"/>
      <c r="Q9072"/>
      <c r="R9072"/>
      <c r="S9072"/>
      <c r="T9072"/>
      <c r="U9072"/>
      <c r="V9072"/>
      <c r="W9072"/>
      <c r="X9072"/>
      <c r="Y9072"/>
      <c r="Z9072"/>
      <c r="AA9072"/>
      <c r="AB9072"/>
      <c r="AC9072"/>
      <c r="AD9072"/>
      <c r="AE9072"/>
      <c r="AF9072"/>
      <c r="AG9072"/>
      <c r="AH9072"/>
      <c r="AI9072"/>
      <c r="AJ9072"/>
      <c r="AK9072"/>
      <c r="AL9072"/>
      <c r="AM9072"/>
      <c r="AN9072"/>
      <c r="AO9072"/>
      <c r="AP9072"/>
      <c r="AQ9072"/>
      <c r="AR9072"/>
      <c r="AS9072"/>
      <c r="AT9072"/>
      <c r="AU9072"/>
      <c r="AV9072"/>
      <c r="AW9072"/>
      <c r="AX9072"/>
      <c r="AY9072"/>
      <c r="AZ9072"/>
      <c r="BA9072"/>
      <c r="BB9072"/>
      <c r="BC9072"/>
      <c r="BD9072"/>
      <c r="BE9072"/>
      <c r="BF9072"/>
      <c r="BG9072"/>
      <c r="BH9072"/>
      <c r="BI9072"/>
      <c r="BJ9072"/>
      <c r="BK9072"/>
    </row>
    <row r="9073" spans="1:63" s="93" customFormat="1" ht="9" customHeight="1" x14ac:dyDescent="0.3">
      <c r="A9073" s="91"/>
      <c r="B9073" s="70"/>
      <c r="C9073" s="70"/>
      <c r="D9073" s="70"/>
      <c r="E9073" s="70"/>
      <c r="F9073" s="70"/>
      <c r="G9073" s="94"/>
      <c r="H9073" s="131"/>
      <c r="I9073" s="3"/>
      <c r="J9073"/>
      <c r="K9073"/>
      <c r="L9073"/>
      <c r="M9073"/>
      <c r="N9073"/>
      <c r="O9073"/>
      <c r="P9073"/>
      <c r="Q9073"/>
      <c r="R9073"/>
      <c r="S9073"/>
      <c r="T9073"/>
      <c r="U9073"/>
      <c r="V9073"/>
      <c r="W9073"/>
      <c r="X9073"/>
      <c r="Y9073"/>
      <c r="Z9073"/>
      <c r="AA9073"/>
      <c r="AB9073"/>
      <c r="AC9073"/>
      <c r="AD9073"/>
      <c r="AE9073"/>
      <c r="AF9073"/>
      <c r="AG9073"/>
      <c r="AH9073"/>
      <c r="AI9073"/>
      <c r="AJ9073"/>
      <c r="AK9073"/>
      <c r="AL9073"/>
      <c r="AM9073"/>
      <c r="AN9073"/>
      <c r="AO9073"/>
      <c r="AP9073"/>
      <c r="AQ9073"/>
      <c r="AR9073"/>
      <c r="AS9073"/>
      <c r="AT9073"/>
      <c r="AU9073"/>
      <c r="AV9073"/>
      <c r="AW9073"/>
      <c r="AX9073"/>
      <c r="AY9073"/>
      <c r="AZ9073"/>
      <c r="BA9073"/>
      <c r="BB9073"/>
      <c r="BC9073"/>
      <c r="BD9073"/>
      <c r="BE9073"/>
      <c r="BF9073"/>
      <c r="BG9073"/>
      <c r="BH9073"/>
      <c r="BI9073"/>
      <c r="BJ9073"/>
      <c r="BK9073"/>
    </row>
    <row r="9074" spans="1:63" s="93" customFormat="1" ht="9" customHeight="1" x14ac:dyDescent="0.3">
      <c r="A9074" s="91"/>
      <c r="B9074" s="70"/>
      <c r="C9074" s="70"/>
      <c r="D9074" s="70"/>
      <c r="E9074" s="70"/>
      <c r="F9074" s="70"/>
      <c r="G9074" s="94"/>
      <c r="H9074" s="131"/>
      <c r="I9074" s="3"/>
      <c r="J9074"/>
      <c r="K9074"/>
      <c r="L9074"/>
      <c r="M9074"/>
      <c r="N9074"/>
      <c r="O9074"/>
      <c r="P9074"/>
      <c r="Q9074"/>
      <c r="R9074"/>
      <c r="S9074"/>
      <c r="T9074"/>
      <c r="U9074"/>
      <c r="V9074"/>
      <c r="W9074"/>
      <c r="X9074"/>
      <c r="Y9074"/>
      <c r="Z9074"/>
      <c r="AA9074"/>
      <c r="AB9074"/>
      <c r="AC9074"/>
      <c r="AD9074"/>
      <c r="AE9074"/>
      <c r="AF9074"/>
      <c r="AG9074"/>
      <c r="AH9074"/>
      <c r="AI9074"/>
      <c r="AJ9074"/>
      <c r="AK9074"/>
      <c r="AL9074"/>
      <c r="AM9074"/>
      <c r="AN9074"/>
      <c r="AO9074"/>
      <c r="AP9074"/>
      <c r="AQ9074"/>
      <c r="AR9074"/>
      <c r="AS9074"/>
      <c r="AT9074"/>
      <c r="AU9074"/>
      <c r="AV9074"/>
      <c r="AW9074"/>
      <c r="AX9074"/>
      <c r="AY9074"/>
      <c r="AZ9074"/>
      <c r="BA9074"/>
      <c r="BB9074"/>
      <c r="BC9074"/>
      <c r="BD9074"/>
      <c r="BE9074"/>
      <c r="BF9074"/>
      <c r="BG9074"/>
      <c r="BH9074"/>
      <c r="BI9074"/>
      <c r="BJ9074"/>
      <c r="BK9074"/>
    </row>
    <row r="9075" spans="1:63" s="93" customFormat="1" ht="9" customHeight="1" x14ac:dyDescent="0.3">
      <c r="A9075" s="91"/>
      <c r="B9075" s="70"/>
      <c r="C9075" s="70"/>
      <c r="D9075" s="70"/>
      <c r="E9075" s="70"/>
      <c r="F9075" s="70"/>
      <c r="G9075" s="94"/>
      <c r="H9075" s="131"/>
      <c r="I9075" s="3"/>
      <c r="J9075"/>
      <c r="K9075"/>
      <c r="L9075"/>
      <c r="M9075"/>
      <c r="N9075"/>
      <c r="O9075"/>
      <c r="P9075"/>
      <c r="Q9075"/>
      <c r="R9075"/>
      <c r="S9075"/>
      <c r="T9075"/>
      <c r="U9075"/>
      <c r="V9075"/>
      <c r="W9075"/>
      <c r="X9075"/>
      <c r="Y9075"/>
      <c r="Z9075"/>
      <c r="AA9075"/>
      <c r="AB9075"/>
      <c r="AC9075"/>
      <c r="AD9075"/>
      <c r="AE9075"/>
      <c r="AF9075"/>
      <c r="AG9075"/>
      <c r="AH9075"/>
      <c r="AI9075"/>
      <c r="AJ9075"/>
      <c r="AK9075"/>
      <c r="AL9075"/>
      <c r="AM9075"/>
      <c r="AN9075"/>
      <c r="AO9075"/>
      <c r="AP9075"/>
      <c r="AQ9075"/>
      <c r="AR9075"/>
      <c r="AS9075"/>
      <c r="AT9075"/>
      <c r="AU9075"/>
      <c r="AV9075"/>
      <c r="AW9075"/>
      <c r="AX9075"/>
      <c r="AY9075"/>
      <c r="AZ9075"/>
      <c r="BA9075"/>
      <c r="BB9075"/>
      <c r="BC9075"/>
      <c r="BD9075"/>
      <c r="BE9075"/>
      <c r="BF9075"/>
      <c r="BG9075"/>
      <c r="BH9075"/>
      <c r="BI9075"/>
      <c r="BJ9075"/>
      <c r="BK9075"/>
    </row>
    <row r="9076" spans="1:63" s="93" customFormat="1" ht="9" customHeight="1" x14ac:dyDescent="0.3">
      <c r="A9076" s="91"/>
      <c r="B9076" s="70"/>
      <c r="C9076" s="70"/>
      <c r="D9076" s="70"/>
      <c r="E9076" s="70"/>
      <c r="F9076" s="70"/>
      <c r="G9076" s="94"/>
      <c r="H9076" s="131"/>
      <c r="I9076" s="3"/>
      <c r="J9076"/>
      <c r="K9076"/>
      <c r="L9076"/>
      <c r="M9076"/>
      <c r="N9076"/>
      <c r="O9076"/>
      <c r="P9076"/>
      <c r="Q9076"/>
      <c r="R9076"/>
      <c r="S9076"/>
      <c r="T9076"/>
      <c r="U9076"/>
      <c r="V9076"/>
      <c r="W9076"/>
      <c r="X9076"/>
      <c r="Y9076"/>
      <c r="Z9076"/>
      <c r="AA9076"/>
      <c r="AB9076"/>
      <c r="AC9076"/>
      <c r="AD9076"/>
      <c r="AE9076"/>
      <c r="AF9076"/>
      <c r="AG9076"/>
      <c r="AH9076"/>
      <c r="AI9076"/>
      <c r="AJ9076"/>
      <c r="AK9076"/>
      <c r="AL9076"/>
      <c r="AM9076"/>
      <c r="AN9076"/>
      <c r="AO9076"/>
      <c r="AP9076"/>
      <c r="AQ9076"/>
      <c r="AR9076"/>
      <c r="AS9076"/>
      <c r="AT9076"/>
      <c r="AU9076"/>
      <c r="AV9076"/>
      <c r="AW9076"/>
      <c r="AX9076"/>
      <c r="AY9076"/>
      <c r="AZ9076"/>
      <c r="BA9076"/>
      <c r="BB9076"/>
      <c r="BC9076"/>
      <c r="BD9076"/>
      <c r="BE9076"/>
      <c r="BF9076"/>
      <c r="BG9076"/>
      <c r="BH9076"/>
      <c r="BI9076"/>
      <c r="BJ9076"/>
      <c r="BK9076"/>
    </row>
    <row r="9077" spans="1:63" s="93" customFormat="1" ht="9" customHeight="1" x14ac:dyDescent="0.3">
      <c r="A9077" s="91"/>
      <c r="B9077" s="70"/>
      <c r="C9077" s="70"/>
      <c r="D9077" s="70"/>
      <c r="E9077" s="70"/>
      <c r="F9077" s="70"/>
      <c r="G9077" s="94"/>
      <c r="H9077" s="131"/>
      <c r="I9077" s="3"/>
      <c r="J9077"/>
      <c r="K9077"/>
      <c r="L9077"/>
      <c r="M9077"/>
      <c r="N9077"/>
      <c r="O9077"/>
      <c r="P9077"/>
      <c r="Q9077"/>
      <c r="R9077"/>
      <c r="S9077"/>
      <c r="T9077"/>
      <c r="U9077"/>
      <c r="V9077"/>
      <c r="W9077"/>
      <c r="X9077"/>
      <c r="Y9077"/>
      <c r="Z9077"/>
      <c r="AA9077"/>
      <c r="AB9077"/>
      <c r="AC9077"/>
      <c r="AD9077"/>
      <c r="AE9077"/>
      <c r="AF9077"/>
      <c r="AG9077"/>
      <c r="AH9077"/>
      <c r="AI9077"/>
      <c r="AJ9077"/>
      <c r="AK9077"/>
      <c r="AL9077"/>
      <c r="AM9077"/>
      <c r="AN9077"/>
      <c r="AO9077"/>
      <c r="AP9077"/>
      <c r="AQ9077"/>
      <c r="AR9077"/>
      <c r="AS9077"/>
      <c r="AT9077"/>
      <c r="AU9077"/>
      <c r="AV9077"/>
      <c r="AW9077"/>
      <c r="AX9077"/>
      <c r="AY9077"/>
      <c r="AZ9077"/>
      <c r="BA9077"/>
      <c r="BB9077"/>
      <c r="BC9077"/>
      <c r="BD9077"/>
      <c r="BE9077"/>
      <c r="BF9077"/>
      <c r="BG9077"/>
      <c r="BH9077"/>
      <c r="BI9077"/>
      <c r="BJ9077"/>
      <c r="BK9077"/>
    </row>
    <row r="9078" spans="1:63" s="93" customFormat="1" ht="9" customHeight="1" x14ac:dyDescent="0.3">
      <c r="A9078" s="91"/>
      <c r="B9078" s="70"/>
      <c r="C9078" s="70"/>
      <c r="D9078" s="70"/>
      <c r="E9078" s="70"/>
      <c r="F9078" s="70"/>
      <c r="G9078" s="94"/>
      <c r="H9078" s="131"/>
      <c r="I9078" s="3"/>
      <c r="J9078"/>
      <c r="K9078"/>
      <c r="L9078"/>
      <c r="M9078"/>
      <c r="N9078"/>
      <c r="O9078"/>
      <c r="P9078"/>
      <c r="Q9078"/>
      <c r="R9078"/>
      <c r="S9078"/>
      <c r="T9078"/>
      <c r="U9078"/>
      <c r="V9078"/>
      <c r="W9078"/>
      <c r="X9078"/>
      <c r="Y9078"/>
      <c r="Z9078"/>
      <c r="AA9078"/>
      <c r="AB9078"/>
      <c r="AC9078"/>
      <c r="AD9078"/>
      <c r="AE9078"/>
      <c r="AF9078"/>
      <c r="AG9078"/>
      <c r="AH9078"/>
      <c r="AI9078"/>
      <c r="AJ9078"/>
      <c r="AK9078"/>
      <c r="AL9078"/>
      <c r="AM9078"/>
      <c r="AN9078"/>
      <c r="AO9078"/>
      <c r="AP9078"/>
      <c r="AQ9078"/>
      <c r="AR9078"/>
      <c r="AS9078"/>
      <c r="AT9078"/>
      <c r="AU9078"/>
      <c r="AV9078"/>
      <c r="AW9078"/>
      <c r="AX9078"/>
      <c r="AY9078"/>
      <c r="AZ9078"/>
      <c r="BA9078"/>
      <c r="BB9078"/>
      <c r="BC9078"/>
      <c r="BD9078"/>
      <c r="BE9078"/>
      <c r="BF9078"/>
      <c r="BG9078"/>
      <c r="BH9078"/>
      <c r="BI9078"/>
      <c r="BJ9078"/>
      <c r="BK9078"/>
    </row>
    <row r="9079" spans="1:63" s="93" customFormat="1" ht="9" customHeight="1" x14ac:dyDescent="0.3">
      <c r="A9079" s="91"/>
      <c r="B9079" s="70"/>
      <c r="C9079" s="70"/>
      <c r="D9079" s="70"/>
      <c r="E9079" s="70"/>
      <c r="F9079" s="70"/>
      <c r="G9079" s="94"/>
      <c r="H9079" s="131"/>
      <c r="I9079" s="3"/>
      <c r="J9079"/>
      <c r="K9079"/>
      <c r="L9079"/>
      <c r="M9079"/>
      <c r="N9079"/>
      <c r="O9079"/>
      <c r="P9079"/>
      <c r="Q9079"/>
      <c r="R9079"/>
      <c r="S9079"/>
      <c r="T9079"/>
      <c r="U9079"/>
      <c r="V9079"/>
      <c r="W9079"/>
      <c r="X9079"/>
      <c r="Y9079"/>
      <c r="Z9079"/>
      <c r="AA9079"/>
      <c r="AB9079"/>
      <c r="AC9079"/>
      <c r="AD9079"/>
      <c r="AE9079"/>
      <c r="AF9079"/>
      <c r="AG9079"/>
      <c r="AH9079"/>
      <c r="AI9079"/>
      <c r="AJ9079"/>
      <c r="AK9079"/>
      <c r="AL9079"/>
      <c r="AM9079"/>
      <c r="AN9079"/>
      <c r="AO9079"/>
      <c r="AP9079"/>
      <c r="AQ9079"/>
      <c r="AR9079"/>
      <c r="AS9079"/>
      <c r="AT9079"/>
      <c r="AU9079"/>
      <c r="AV9079"/>
      <c r="AW9079"/>
      <c r="AX9079"/>
      <c r="AY9079"/>
      <c r="AZ9079"/>
      <c r="BA9079"/>
      <c r="BB9079"/>
      <c r="BC9079"/>
      <c r="BD9079"/>
      <c r="BE9079"/>
      <c r="BF9079"/>
      <c r="BG9079"/>
      <c r="BH9079"/>
      <c r="BI9079"/>
      <c r="BJ9079"/>
      <c r="BK9079"/>
    </row>
    <row r="9080" spans="1:63" s="93" customFormat="1" ht="9" customHeight="1" x14ac:dyDescent="0.3">
      <c r="A9080" s="91"/>
      <c r="B9080" s="70"/>
      <c r="C9080" s="70"/>
      <c r="D9080" s="70"/>
      <c r="E9080" s="70"/>
      <c r="F9080" s="70"/>
      <c r="G9080" s="94"/>
      <c r="H9080" s="131"/>
      <c r="I9080" s="3"/>
      <c r="J9080"/>
      <c r="K9080"/>
      <c r="L9080"/>
      <c r="M9080"/>
      <c r="N9080"/>
      <c r="O9080"/>
      <c r="P9080"/>
      <c r="Q9080"/>
      <c r="R9080"/>
      <c r="S9080"/>
      <c r="T9080"/>
      <c r="U9080"/>
      <c r="V9080"/>
      <c r="W9080"/>
      <c r="X9080"/>
      <c r="Y9080"/>
      <c r="Z9080"/>
      <c r="AA9080"/>
      <c r="AB9080"/>
      <c r="AC9080"/>
      <c r="AD9080"/>
      <c r="AE9080"/>
      <c r="AF9080"/>
      <c r="AG9080"/>
      <c r="AH9080"/>
      <c r="AI9080"/>
      <c r="AJ9080"/>
      <c r="AK9080"/>
      <c r="AL9080"/>
      <c r="AM9080"/>
      <c r="AN9080"/>
      <c r="AO9080"/>
      <c r="AP9080"/>
      <c r="AQ9080"/>
      <c r="AR9080"/>
      <c r="AS9080"/>
      <c r="AT9080"/>
      <c r="AU9080"/>
      <c r="AV9080"/>
      <c r="AW9080"/>
      <c r="AX9080"/>
      <c r="AY9080"/>
      <c r="AZ9080"/>
      <c r="BA9080"/>
      <c r="BB9080"/>
      <c r="BC9080"/>
      <c r="BD9080"/>
      <c r="BE9080"/>
      <c r="BF9080"/>
      <c r="BG9080"/>
      <c r="BH9080"/>
      <c r="BI9080"/>
      <c r="BJ9080"/>
      <c r="BK9080"/>
    </row>
    <row r="9081" spans="1:63" s="93" customFormat="1" ht="9" customHeight="1" x14ac:dyDescent="0.3">
      <c r="A9081" s="91"/>
      <c r="B9081" s="70"/>
      <c r="C9081" s="70"/>
      <c r="D9081" s="70"/>
      <c r="E9081" s="70"/>
      <c r="F9081" s="70"/>
      <c r="G9081" s="94"/>
      <c r="H9081" s="131"/>
      <c r="I9081" s="3"/>
      <c r="J9081"/>
      <c r="K9081"/>
      <c r="L9081"/>
      <c r="M9081"/>
      <c r="N9081"/>
      <c r="O9081"/>
      <c r="P9081"/>
      <c r="Q9081"/>
      <c r="R9081"/>
      <c r="S9081"/>
      <c r="T9081"/>
      <c r="U9081"/>
      <c r="V9081"/>
      <c r="W9081"/>
      <c r="X9081"/>
      <c r="Y9081"/>
      <c r="Z9081"/>
      <c r="AA9081"/>
      <c r="AB9081"/>
      <c r="AC9081"/>
      <c r="AD9081"/>
      <c r="AE9081"/>
      <c r="AF9081"/>
      <c r="AG9081"/>
      <c r="AH9081"/>
      <c r="AI9081"/>
      <c r="AJ9081"/>
      <c r="AK9081"/>
      <c r="AL9081"/>
      <c r="AM9081"/>
      <c r="AN9081"/>
      <c r="AO9081"/>
      <c r="AP9081"/>
      <c r="AQ9081"/>
      <c r="AR9081"/>
      <c r="AS9081"/>
      <c r="AT9081"/>
      <c r="AU9081"/>
      <c r="AV9081"/>
      <c r="AW9081"/>
      <c r="AX9081"/>
      <c r="AY9081"/>
      <c r="AZ9081"/>
      <c r="BA9081"/>
      <c r="BB9081"/>
      <c r="BC9081"/>
      <c r="BD9081"/>
      <c r="BE9081"/>
      <c r="BF9081"/>
      <c r="BG9081"/>
      <c r="BH9081"/>
      <c r="BI9081"/>
      <c r="BJ9081"/>
      <c r="BK9081"/>
    </row>
    <row r="9082" spans="1:63" s="93" customFormat="1" ht="9" customHeight="1" x14ac:dyDescent="0.3">
      <c r="A9082" s="91"/>
      <c r="B9082" s="70"/>
      <c r="C9082" s="70"/>
      <c r="D9082" s="70"/>
      <c r="E9082" s="70"/>
      <c r="F9082" s="70"/>
      <c r="G9082" s="94"/>
      <c r="H9082" s="131"/>
      <c r="I9082" s="3"/>
      <c r="J9082"/>
      <c r="K9082"/>
      <c r="L9082"/>
      <c r="M9082"/>
      <c r="N9082"/>
      <c r="O9082"/>
      <c r="P9082"/>
      <c r="Q9082"/>
      <c r="R9082"/>
      <c r="S9082"/>
      <c r="T9082"/>
      <c r="U9082"/>
      <c r="V9082"/>
      <c r="W9082"/>
      <c r="X9082"/>
      <c r="Y9082"/>
      <c r="Z9082"/>
      <c r="AA9082"/>
      <c r="AB9082"/>
      <c r="AC9082"/>
      <c r="AD9082"/>
      <c r="AE9082"/>
      <c r="AF9082"/>
      <c r="AG9082"/>
      <c r="AH9082"/>
      <c r="AI9082"/>
      <c r="AJ9082"/>
      <c r="AK9082"/>
      <c r="AL9082"/>
      <c r="AM9082"/>
      <c r="AN9082"/>
      <c r="AO9082"/>
      <c r="AP9082"/>
      <c r="AQ9082"/>
      <c r="AR9082"/>
      <c r="AS9082"/>
      <c r="AT9082"/>
      <c r="AU9082"/>
      <c r="AV9082"/>
      <c r="AW9082"/>
      <c r="AX9082"/>
      <c r="AY9082"/>
      <c r="AZ9082"/>
      <c r="BA9082"/>
      <c r="BB9082"/>
      <c r="BC9082"/>
      <c r="BD9082"/>
      <c r="BE9082"/>
      <c r="BF9082"/>
      <c r="BG9082"/>
      <c r="BH9082"/>
      <c r="BI9082"/>
      <c r="BJ9082"/>
      <c r="BK9082"/>
    </row>
    <row r="9083" spans="1:63" s="93" customFormat="1" ht="9" customHeight="1" x14ac:dyDescent="0.3">
      <c r="A9083" s="91"/>
      <c r="B9083" s="70"/>
      <c r="C9083" s="70"/>
      <c r="D9083" s="70"/>
      <c r="E9083" s="70"/>
      <c r="F9083" s="70"/>
      <c r="G9083" s="94"/>
      <c r="H9083" s="131"/>
      <c r="I9083" s="3"/>
      <c r="J9083"/>
      <c r="K9083"/>
      <c r="L9083"/>
      <c r="M9083"/>
      <c r="N9083"/>
      <c r="O9083"/>
      <c r="P9083"/>
      <c r="Q9083"/>
      <c r="R9083"/>
      <c r="S9083"/>
      <c r="T9083"/>
      <c r="U9083"/>
      <c r="V9083"/>
      <c r="W9083"/>
      <c r="X9083"/>
      <c r="Y9083"/>
      <c r="Z9083"/>
      <c r="AA9083"/>
      <c r="AB9083"/>
      <c r="AC9083"/>
      <c r="AD9083"/>
      <c r="AE9083"/>
      <c r="AF9083"/>
      <c r="AG9083"/>
      <c r="AH9083"/>
      <c r="AI9083"/>
      <c r="AJ9083"/>
      <c r="AK9083"/>
      <c r="AL9083"/>
      <c r="AM9083"/>
      <c r="AN9083"/>
      <c r="AO9083"/>
      <c r="AP9083"/>
      <c r="AQ9083"/>
      <c r="AR9083"/>
      <c r="AS9083"/>
      <c r="AT9083"/>
      <c r="AU9083"/>
      <c r="AV9083"/>
      <c r="AW9083"/>
      <c r="AX9083"/>
      <c r="AY9083"/>
      <c r="AZ9083"/>
      <c r="BA9083"/>
      <c r="BB9083"/>
      <c r="BC9083"/>
      <c r="BD9083"/>
      <c r="BE9083"/>
      <c r="BF9083"/>
      <c r="BG9083"/>
      <c r="BH9083"/>
      <c r="BI9083"/>
      <c r="BJ9083"/>
      <c r="BK9083"/>
    </row>
    <row r="9084" spans="1:63" s="93" customFormat="1" ht="9" customHeight="1" x14ac:dyDescent="0.3">
      <c r="A9084" s="91"/>
      <c r="B9084" s="70"/>
      <c r="C9084" s="70"/>
      <c r="D9084" s="70"/>
      <c r="E9084" s="70"/>
      <c r="F9084" s="70"/>
      <c r="G9084" s="94"/>
      <c r="H9084" s="131"/>
      <c r="I9084" s="3"/>
      <c r="J9084"/>
      <c r="K9084"/>
      <c r="L9084"/>
      <c r="M9084"/>
      <c r="N9084"/>
      <c r="O9084"/>
      <c r="P9084"/>
      <c r="Q9084"/>
      <c r="R9084"/>
      <c r="S9084"/>
      <c r="T9084"/>
      <c r="U9084"/>
      <c r="V9084"/>
      <c r="W9084"/>
      <c r="X9084"/>
      <c r="Y9084"/>
      <c r="Z9084"/>
      <c r="AA9084"/>
      <c r="AB9084"/>
      <c r="AC9084"/>
      <c r="AD9084"/>
      <c r="AE9084"/>
      <c r="AF9084"/>
      <c r="AG9084"/>
      <c r="AH9084"/>
      <c r="AI9084"/>
      <c r="AJ9084"/>
      <c r="AK9084"/>
      <c r="AL9084"/>
      <c r="AM9084"/>
      <c r="AN9084"/>
      <c r="AO9084"/>
      <c r="AP9084"/>
      <c r="AQ9084"/>
      <c r="AR9084"/>
      <c r="AS9084"/>
      <c r="AT9084"/>
      <c r="AU9084"/>
      <c r="AV9084"/>
      <c r="AW9084"/>
      <c r="AX9084"/>
      <c r="AY9084"/>
      <c r="AZ9084"/>
      <c r="BA9084"/>
      <c r="BB9084"/>
      <c r="BC9084"/>
      <c r="BD9084"/>
      <c r="BE9084"/>
      <c r="BF9084"/>
      <c r="BG9084"/>
      <c r="BH9084"/>
      <c r="BI9084"/>
      <c r="BJ9084"/>
      <c r="BK9084"/>
    </row>
    <row r="9085" spans="1:63" s="93" customFormat="1" ht="9" customHeight="1" x14ac:dyDescent="0.3">
      <c r="A9085" s="91"/>
      <c r="B9085" s="70"/>
      <c r="C9085" s="70"/>
      <c r="D9085" s="70"/>
      <c r="E9085" s="70"/>
      <c r="F9085" s="70"/>
      <c r="G9085" s="94"/>
      <c r="H9085" s="131"/>
      <c r="I9085" s="3"/>
      <c r="J9085"/>
      <c r="K9085"/>
      <c r="L9085"/>
      <c r="M9085"/>
      <c r="N9085"/>
      <c r="O9085"/>
      <c r="P9085"/>
      <c r="Q9085"/>
      <c r="R9085"/>
      <c r="S9085"/>
      <c r="T9085"/>
      <c r="U9085"/>
      <c r="V9085"/>
      <c r="W9085"/>
      <c r="X9085"/>
      <c r="Y9085"/>
      <c r="Z9085"/>
      <c r="AA9085"/>
      <c r="AB9085"/>
      <c r="AC9085"/>
      <c r="AD9085"/>
      <c r="AE9085"/>
      <c r="AF9085"/>
      <c r="AG9085"/>
      <c r="AH9085"/>
      <c r="AI9085"/>
      <c r="AJ9085"/>
      <c r="AK9085"/>
      <c r="AL9085"/>
      <c r="AM9085"/>
      <c r="AN9085"/>
      <c r="AO9085"/>
      <c r="AP9085"/>
      <c r="AQ9085"/>
      <c r="AR9085"/>
      <c r="AS9085"/>
      <c r="AT9085"/>
      <c r="AU9085"/>
      <c r="AV9085"/>
      <c r="AW9085"/>
      <c r="AX9085"/>
      <c r="AY9085"/>
      <c r="AZ9085"/>
      <c r="BA9085"/>
      <c r="BB9085"/>
      <c r="BC9085"/>
      <c r="BD9085"/>
      <c r="BE9085"/>
      <c r="BF9085"/>
      <c r="BG9085"/>
      <c r="BH9085"/>
      <c r="BI9085"/>
      <c r="BJ9085"/>
      <c r="BK9085"/>
    </row>
    <row r="9086" spans="1:63" s="93" customFormat="1" ht="9" customHeight="1" x14ac:dyDescent="0.3">
      <c r="A9086" s="91"/>
      <c r="B9086" s="70"/>
      <c r="C9086" s="70"/>
      <c r="D9086" s="70"/>
      <c r="E9086" s="70"/>
      <c r="F9086" s="70"/>
      <c r="G9086" s="94"/>
      <c r="H9086" s="131"/>
      <c r="I9086" s="3"/>
      <c r="J9086"/>
      <c r="K9086"/>
      <c r="L9086"/>
      <c r="M9086"/>
      <c r="N9086"/>
      <c r="O9086"/>
      <c r="P9086"/>
      <c r="Q9086"/>
      <c r="R9086"/>
      <c r="S9086"/>
      <c r="T9086"/>
      <c r="U9086"/>
      <c r="V9086"/>
      <c r="W9086"/>
      <c r="X9086"/>
      <c r="Y9086"/>
      <c r="Z9086"/>
      <c r="AA9086"/>
      <c r="AB9086"/>
      <c r="AC9086"/>
      <c r="AD9086"/>
      <c r="AE9086"/>
      <c r="AF9086"/>
      <c r="AG9086"/>
      <c r="AH9086"/>
      <c r="AI9086"/>
      <c r="AJ9086"/>
      <c r="AK9086"/>
      <c r="AL9086"/>
      <c r="AM9086"/>
      <c r="AN9086"/>
      <c r="AO9086"/>
      <c r="AP9086"/>
      <c r="AQ9086"/>
      <c r="AR9086"/>
      <c r="AS9086"/>
      <c r="AT9086"/>
      <c r="AU9086"/>
      <c r="AV9086"/>
      <c r="AW9086"/>
      <c r="AX9086"/>
      <c r="AY9086"/>
      <c r="AZ9086"/>
      <c r="BA9086"/>
      <c r="BB9086"/>
      <c r="BC9086"/>
      <c r="BD9086"/>
      <c r="BE9086"/>
      <c r="BF9086"/>
      <c r="BG9086"/>
      <c r="BH9086"/>
      <c r="BI9086"/>
      <c r="BJ9086"/>
      <c r="BK9086"/>
    </row>
    <row r="9087" spans="1:63" s="93" customFormat="1" ht="9" customHeight="1" x14ac:dyDescent="0.3">
      <c r="A9087" s="91"/>
      <c r="B9087" s="70"/>
      <c r="C9087" s="70"/>
      <c r="D9087" s="70"/>
      <c r="E9087" s="70"/>
      <c r="F9087" s="70"/>
      <c r="G9087" s="94"/>
      <c r="H9087" s="131"/>
      <c r="I9087" s="3"/>
      <c r="J9087"/>
      <c r="K9087"/>
      <c r="L9087"/>
      <c r="M9087"/>
      <c r="N9087"/>
      <c r="O9087"/>
      <c r="P9087"/>
      <c r="Q9087"/>
      <c r="R9087"/>
      <c r="S9087"/>
      <c r="T9087"/>
      <c r="U9087"/>
      <c r="V9087"/>
      <c r="W9087"/>
      <c r="X9087"/>
      <c r="Y9087"/>
      <c r="Z9087"/>
      <c r="AA9087"/>
      <c r="AB9087"/>
      <c r="AC9087"/>
      <c r="AD9087"/>
      <c r="AE9087"/>
      <c r="AF9087"/>
      <c r="AG9087"/>
      <c r="AH9087"/>
      <c r="AI9087"/>
      <c r="AJ9087"/>
      <c r="AK9087"/>
      <c r="AL9087"/>
      <c r="AM9087"/>
      <c r="AN9087"/>
      <c r="AO9087"/>
      <c r="AP9087"/>
      <c r="AQ9087"/>
      <c r="AR9087"/>
      <c r="AS9087"/>
      <c r="AT9087"/>
      <c r="AU9087"/>
      <c r="AV9087"/>
      <c r="AW9087"/>
      <c r="AX9087"/>
      <c r="AY9087"/>
      <c r="AZ9087"/>
      <c r="BA9087"/>
      <c r="BB9087"/>
      <c r="BC9087"/>
      <c r="BD9087"/>
      <c r="BE9087"/>
      <c r="BF9087"/>
      <c r="BG9087"/>
      <c r="BH9087"/>
      <c r="BI9087"/>
      <c r="BJ9087"/>
      <c r="BK9087"/>
    </row>
    <row r="9088" spans="1:63" s="93" customFormat="1" ht="9" customHeight="1" x14ac:dyDescent="0.3">
      <c r="A9088" s="91"/>
      <c r="B9088" s="70"/>
      <c r="C9088" s="70"/>
      <c r="D9088" s="70"/>
      <c r="E9088" s="70"/>
      <c r="F9088" s="70"/>
      <c r="G9088" s="94"/>
      <c r="H9088" s="131"/>
      <c r="I9088" s="3"/>
      <c r="J9088"/>
      <c r="K9088"/>
      <c r="L9088"/>
      <c r="M9088"/>
      <c r="N9088"/>
      <c r="O9088"/>
      <c r="P9088"/>
      <c r="Q9088"/>
      <c r="R9088"/>
      <c r="S9088"/>
      <c r="T9088"/>
      <c r="U9088"/>
      <c r="V9088"/>
      <c r="W9088"/>
      <c r="X9088"/>
      <c r="Y9088"/>
      <c r="Z9088"/>
      <c r="AA9088"/>
      <c r="AB9088"/>
      <c r="AC9088"/>
      <c r="AD9088"/>
      <c r="AE9088"/>
      <c r="AF9088"/>
      <c r="AG9088"/>
      <c r="AH9088"/>
      <c r="AI9088"/>
      <c r="AJ9088"/>
      <c r="AK9088"/>
      <c r="AL9088"/>
      <c r="AM9088"/>
      <c r="AN9088"/>
      <c r="AO9088"/>
      <c r="AP9088"/>
      <c r="AQ9088"/>
      <c r="AR9088"/>
      <c r="AS9088"/>
      <c r="AT9088"/>
      <c r="AU9088"/>
      <c r="AV9088"/>
      <c r="AW9088"/>
      <c r="AX9088"/>
      <c r="AY9088"/>
      <c r="AZ9088"/>
      <c r="BA9088"/>
      <c r="BB9088"/>
      <c r="BC9088"/>
      <c r="BD9088"/>
      <c r="BE9088"/>
      <c r="BF9088"/>
      <c r="BG9088"/>
      <c r="BH9088"/>
      <c r="BI9088"/>
      <c r="BJ9088"/>
      <c r="BK9088"/>
    </row>
    <row r="9089" spans="1:63" s="93" customFormat="1" ht="9" customHeight="1" x14ac:dyDescent="0.3">
      <c r="A9089" s="91"/>
      <c r="B9089" s="70"/>
      <c r="C9089" s="70"/>
      <c r="D9089" s="70"/>
      <c r="E9089" s="70"/>
      <c r="F9089" s="70"/>
      <c r="G9089" s="94"/>
      <c r="H9089" s="131"/>
      <c r="I9089" s="3"/>
      <c r="J9089"/>
      <c r="K9089"/>
      <c r="L9089"/>
      <c r="M9089"/>
      <c r="N9089"/>
      <c r="O9089"/>
      <c r="P9089"/>
      <c r="Q9089"/>
      <c r="R9089"/>
      <c r="S9089"/>
      <c r="T9089"/>
      <c r="U9089"/>
      <c r="V9089"/>
      <c r="W9089"/>
      <c r="X9089"/>
      <c r="Y9089"/>
      <c r="Z9089"/>
      <c r="AA9089"/>
      <c r="AB9089"/>
      <c r="AC9089"/>
      <c r="AD9089"/>
      <c r="AE9089"/>
      <c r="AF9089"/>
      <c r="AG9089"/>
      <c r="AH9089"/>
      <c r="AI9089"/>
      <c r="AJ9089"/>
      <c r="AK9089"/>
      <c r="AL9089"/>
      <c r="AM9089"/>
      <c r="AN9089"/>
      <c r="AO9089"/>
      <c r="AP9089"/>
      <c r="AQ9089"/>
      <c r="AR9089"/>
      <c r="AS9089"/>
      <c r="AT9089"/>
      <c r="AU9089"/>
      <c r="AV9089"/>
      <c r="AW9089"/>
      <c r="AX9089"/>
      <c r="AY9089"/>
      <c r="AZ9089"/>
      <c r="BA9089"/>
      <c r="BB9089"/>
      <c r="BC9089"/>
      <c r="BD9089"/>
      <c r="BE9089"/>
      <c r="BF9089"/>
      <c r="BG9089"/>
      <c r="BH9089"/>
      <c r="BI9089"/>
      <c r="BJ9089"/>
      <c r="BK9089"/>
    </row>
    <row r="9090" spans="1:63" s="93" customFormat="1" ht="9" customHeight="1" x14ac:dyDescent="0.3">
      <c r="A9090" s="91"/>
      <c r="B9090" s="70"/>
      <c r="C9090" s="70"/>
      <c r="D9090" s="70"/>
      <c r="E9090" s="70"/>
      <c r="F9090" s="70"/>
      <c r="G9090" s="94"/>
      <c r="H9090" s="131"/>
      <c r="I9090" s="3"/>
      <c r="J9090"/>
      <c r="K9090"/>
      <c r="L9090"/>
      <c r="M9090"/>
      <c r="N9090"/>
      <c r="O9090"/>
      <c r="P9090"/>
      <c r="Q9090"/>
      <c r="R9090"/>
      <c r="S9090"/>
      <c r="T9090"/>
      <c r="U9090"/>
      <c r="V9090"/>
      <c r="W9090"/>
      <c r="X9090"/>
      <c r="Y9090"/>
      <c r="Z9090"/>
      <c r="AA9090"/>
      <c r="AB9090"/>
      <c r="AC9090"/>
      <c r="AD9090"/>
      <c r="AE9090"/>
      <c r="AF9090"/>
      <c r="AG9090"/>
      <c r="AH9090"/>
      <c r="AI9090"/>
      <c r="AJ9090"/>
      <c r="AK9090"/>
      <c r="AL9090"/>
      <c r="AM9090"/>
      <c r="AN9090"/>
      <c r="AO9090"/>
      <c r="AP9090"/>
      <c r="AQ9090"/>
      <c r="AR9090"/>
      <c r="AS9090"/>
      <c r="AT9090"/>
      <c r="AU9090"/>
      <c r="AV9090"/>
      <c r="AW9090"/>
      <c r="AX9090"/>
      <c r="AY9090"/>
      <c r="AZ9090"/>
      <c r="BA9090"/>
      <c r="BB9090"/>
      <c r="BC9090"/>
      <c r="BD9090"/>
      <c r="BE9090"/>
      <c r="BF9090"/>
      <c r="BG9090"/>
      <c r="BH9090"/>
      <c r="BI9090"/>
      <c r="BJ9090"/>
      <c r="BK9090"/>
    </row>
    <row r="9091" spans="1:63" s="93" customFormat="1" ht="9" customHeight="1" x14ac:dyDescent="0.3">
      <c r="A9091" s="91"/>
      <c r="B9091" s="70"/>
      <c r="C9091" s="70"/>
      <c r="D9091" s="70"/>
      <c r="E9091" s="70"/>
      <c r="F9091" s="70"/>
      <c r="G9091" s="94"/>
      <c r="H9091" s="131"/>
      <c r="I9091" s="3"/>
      <c r="J9091"/>
      <c r="K9091"/>
      <c r="L9091"/>
      <c r="M9091"/>
      <c r="N9091"/>
      <c r="O9091"/>
      <c r="P9091"/>
      <c r="Q9091"/>
      <c r="R9091"/>
      <c r="S9091"/>
      <c r="T9091"/>
      <c r="U9091"/>
      <c r="V9091"/>
      <c r="W9091"/>
      <c r="X9091"/>
      <c r="Y9091"/>
      <c r="Z9091"/>
      <c r="AA9091"/>
      <c r="AB9091"/>
      <c r="AC9091"/>
      <c r="AD9091"/>
      <c r="AE9091"/>
      <c r="AF9091"/>
      <c r="AG9091"/>
      <c r="AH9091"/>
      <c r="AI9091"/>
      <c r="AJ9091"/>
      <c r="AK9091"/>
      <c r="AL9091"/>
      <c r="AM9091"/>
      <c r="AN9091"/>
      <c r="AO9091"/>
      <c r="AP9091"/>
      <c r="AQ9091"/>
      <c r="AR9091"/>
      <c r="AS9091"/>
      <c r="AT9091"/>
      <c r="AU9091"/>
      <c r="AV9091"/>
      <c r="AW9091"/>
      <c r="AX9091"/>
      <c r="AY9091"/>
      <c r="AZ9091"/>
      <c r="BA9091"/>
      <c r="BB9091"/>
      <c r="BC9091"/>
      <c r="BD9091"/>
      <c r="BE9091"/>
      <c r="BF9091"/>
      <c r="BG9091"/>
      <c r="BH9091"/>
      <c r="BI9091"/>
      <c r="BJ9091"/>
      <c r="BK9091"/>
    </row>
    <row r="9092" spans="1:63" s="93" customFormat="1" ht="9" customHeight="1" x14ac:dyDescent="0.3">
      <c r="A9092" s="91"/>
      <c r="B9092" s="70"/>
      <c r="C9092" s="70"/>
      <c r="D9092" s="70"/>
      <c r="E9092" s="70"/>
      <c r="F9092" s="70"/>
      <c r="G9092" s="94"/>
      <c r="H9092" s="131"/>
      <c r="I9092" s="3"/>
      <c r="J9092"/>
      <c r="K9092"/>
      <c r="L9092"/>
      <c r="M9092"/>
      <c r="N9092"/>
      <c r="O9092"/>
      <c r="P9092"/>
      <c r="Q9092"/>
      <c r="R9092"/>
      <c r="S9092"/>
      <c r="T9092"/>
      <c r="U9092"/>
      <c r="V9092"/>
      <c r="W9092"/>
      <c r="X9092"/>
      <c r="Y9092"/>
      <c r="Z9092"/>
      <c r="AA9092"/>
      <c r="AB9092"/>
      <c r="AC9092"/>
      <c r="AD9092"/>
      <c r="AE9092"/>
      <c r="AF9092"/>
      <c r="AG9092"/>
      <c r="AH9092"/>
      <c r="AI9092"/>
      <c r="AJ9092"/>
      <c r="AK9092"/>
      <c r="AL9092"/>
      <c r="AM9092"/>
      <c r="AN9092"/>
      <c r="AO9092"/>
      <c r="AP9092"/>
      <c r="AQ9092"/>
      <c r="AR9092"/>
      <c r="AS9092"/>
      <c r="AT9092"/>
      <c r="AU9092"/>
      <c r="AV9092"/>
      <c r="AW9092"/>
      <c r="AX9092"/>
      <c r="AY9092"/>
      <c r="AZ9092"/>
      <c r="BA9092"/>
      <c r="BB9092"/>
      <c r="BC9092"/>
      <c r="BD9092"/>
      <c r="BE9092"/>
      <c r="BF9092"/>
      <c r="BG9092"/>
      <c r="BH9092"/>
      <c r="BI9092"/>
      <c r="BJ9092"/>
      <c r="BK9092"/>
    </row>
    <row r="9093" spans="1:63" s="93" customFormat="1" ht="9" customHeight="1" x14ac:dyDescent="0.3">
      <c r="A9093" s="91"/>
      <c r="B9093" s="70"/>
      <c r="C9093" s="70"/>
      <c r="D9093" s="70"/>
      <c r="E9093" s="70"/>
      <c r="F9093" s="70"/>
      <c r="G9093" s="94"/>
      <c r="H9093" s="131"/>
      <c r="I9093" s="3"/>
      <c r="J9093"/>
      <c r="K9093"/>
      <c r="L9093"/>
      <c r="M9093"/>
      <c r="N9093"/>
      <c r="O9093"/>
      <c r="P9093"/>
      <c r="Q9093"/>
      <c r="R9093"/>
      <c r="S9093"/>
      <c r="T9093"/>
      <c r="U9093"/>
      <c r="V9093"/>
      <c r="W9093"/>
      <c r="X9093"/>
      <c r="Y9093"/>
      <c r="Z9093"/>
      <c r="AA9093"/>
      <c r="AB9093"/>
      <c r="AC9093"/>
      <c r="AD9093"/>
      <c r="AE9093"/>
      <c r="AF9093"/>
      <c r="AG9093"/>
      <c r="AH9093"/>
      <c r="AI9093"/>
      <c r="AJ9093"/>
      <c r="AK9093"/>
      <c r="AL9093"/>
      <c r="AM9093"/>
      <c r="AN9093"/>
      <c r="AO9093"/>
      <c r="AP9093"/>
      <c r="AQ9093"/>
      <c r="AR9093"/>
      <c r="AS9093"/>
      <c r="AT9093"/>
      <c r="AU9093"/>
      <c r="AV9093"/>
      <c r="AW9093"/>
      <c r="AX9093"/>
      <c r="AY9093"/>
      <c r="AZ9093"/>
      <c r="BA9093"/>
      <c r="BB9093"/>
      <c r="BC9093"/>
      <c r="BD9093"/>
      <c r="BE9093"/>
      <c r="BF9093"/>
      <c r="BG9093"/>
      <c r="BH9093"/>
      <c r="BI9093"/>
      <c r="BJ9093"/>
      <c r="BK9093"/>
    </row>
    <row r="9094" spans="1:63" s="93" customFormat="1" ht="9" customHeight="1" x14ac:dyDescent="0.3">
      <c r="A9094" s="91"/>
      <c r="B9094" s="70"/>
      <c r="C9094" s="70"/>
      <c r="D9094" s="70"/>
      <c r="E9094" s="70"/>
      <c r="F9094" s="70"/>
      <c r="G9094" s="94"/>
      <c r="H9094" s="131"/>
      <c r="I9094" s="3"/>
      <c r="J9094"/>
      <c r="K9094"/>
      <c r="L9094"/>
      <c r="M9094"/>
      <c r="N9094"/>
      <c r="O9094"/>
      <c r="P9094"/>
      <c r="Q9094"/>
      <c r="R9094"/>
      <c r="S9094"/>
      <c r="T9094"/>
      <c r="U9094"/>
      <c r="V9094"/>
      <c r="W9094"/>
      <c r="X9094"/>
      <c r="Y9094"/>
      <c r="Z9094"/>
      <c r="AA9094"/>
      <c r="AB9094"/>
      <c r="AC9094"/>
      <c r="AD9094"/>
      <c r="AE9094"/>
      <c r="AF9094"/>
      <c r="AG9094"/>
      <c r="AH9094"/>
      <c r="AI9094"/>
      <c r="AJ9094"/>
      <c r="AK9094"/>
      <c r="AL9094"/>
      <c r="AM9094"/>
      <c r="AN9094"/>
      <c r="AO9094"/>
      <c r="AP9094"/>
      <c r="AQ9094"/>
      <c r="AR9094"/>
      <c r="AS9094"/>
      <c r="AT9094"/>
      <c r="AU9094"/>
      <c r="AV9094"/>
      <c r="AW9094"/>
      <c r="AX9094"/>
      <c r="AY9094"/>
      <c r="AZ9094"/>
      <c r="BA9094"/>
      <c r="BB9094"/>
      <c r="BC9094"/>
      <c r="BD9094"/>
      <c r="BE9094"/>
      <c r="BF9094"/>
      <c r="BG9094"/>
      <c r="BH9094"/>
      <c r="BI9094"/>
      <c r="BJ9094"/>
      <c r="BK9094"/>
    </row>
    <row r="9095" spans="1:63" s="93" customFormat="1" ht="9" customHeight="1" x14ac:dyDescent="0.3">
      <c r="A9095" s="91"/>
      <c r="B9095" s="70"/>
      <c r="C9095" s="70"/>
      <c r="D9095" s="70"/>
      <c r="E9095" s="70"/>
      <c r="F9095" s="70"/>
      <c r="G9095" s="94"/>
      <c r="H9095" s="131"/>
      <c r="I9095" s="3"/>
      <c r="J9095"/>
      <c r="K9095"/>
      <c r="L9095"/>
      <c r="M9095"/>
      <c r="N9095"/>
      <c r="O9095"/>
      <c r="P9095"/>
      <c r="Q9095"/>
      <c r="R9095"/>
      <c r="S9095"/>
      <c r="T9095"/>
      <c r="U9095"/>
      <c r="V9095"/>
      <c r="W9095"/>
      <c r="X9095"/>
      <c r="Y9095"/>
      <c r="Z9095"/>
      <c r="AA9095"/>
      <c r="AB9095"/>
      <c r="AC9095"/>
      <c r="AD9095"/>
      <c r="AE9095"/>
      <c r="AF9095"/>
      <c r="AG9095"/>
      <c r="AH9095"/>
      <c r="AI9095"/>
      <c r="AJ9095"/>
      <c r="AK9095"/>
      <c r="AL9095"/>
      <c r="AM9095"/>
      <c r="AN9095"/>
      <c r="AO9095"/>
      <c r="AP9095"/>
      <c r="AQ9095"/>
      <c r="AR9095"/>
      <c r="AS9095"/>
      <c r="AT9095"/>
      <c r="AU9095"/>
      <c r="AV9095"/>
      <c r="AW9095"/>
      <c r="AX9095"/>
      <c r="AY9095"/>
      <c r="AZ9095"/>
      <c r="BA9095"/>
      <c r="BB9095"/>
      <c r="BC9095"/>
      <c r="BD9095"/>
      <c r="BE9095"/>
      <c r="BF9095"/>
      <c r="BG9095"/>
      <c r="BH9095"/>
      <c r="BI9095"/>
      <c r="BJ9095"/>
      <c r="BK9095"/>
    </row>
    <row r="9096" spans="1:63" s="93" customFormat="1" ht="9" customHeight="1" x14ac:dyDescent="0.3">
      <c r="A9096" s="91"/>
      <c r="B9096" s="70"/>
      <c r="C9096" s="70"/>
      <c r="D9096" s="70"/>
      <c r="E9096" s="70"/>
      <c r="F9096" s="70"/>
      <c r="G9096" s="94"/>
      <c r="H9096" s="131"/>
      <c r="I9096" s="3"/>
      <c r="J9096"/>
      <c r="K9096"/>
      <c r="L9096"/>
      <c r="M9096"/>
      <c r="N9096"/>
      <c r="O9096"/>
      <c r="P9096"/>
      <c r="Q9096"/>
      <c r="R9096"/>
      <c r="S9096"/>
      <c r="T9096"/>
      <c r="U9096"/>
      <c r="V9096"/>
      <c r="W9096"/>
      <c r="X9096"/>
      <c r="Y9096"/>
      <c r="Z9096"/>
      <c r="AA9096"/>
      <c r="AB9096"/>
      <c r="AC9096"/>
      <c r="AD9096"/>
      <c r="AE9096"/>
      <c r="AF9096"/>
      <c r="AG9096"/>
      <c r="AH9096"/>
      <c r="AI9096"/>
      <c r="AJ9096"/>
      <c r="AK9096"/>
      <c r="AL9096"/>
      <c r="AM9096"/>
      <c r="AN9096"/>
      <c r="AO9096"/>
      <c r="AP9096"/>
      <c r="AQ9096"/>
      <c r="AR9096"/>
      <c r="AS9096"/>
      <c r="AT9096"/>
      <c r="AU9096"/>
      <c r="AV9096"/>
      <c r="AW9096"/>
      <c r="AX9096"/>
      <c r="AY9096"/>
      <c r="AZ9096"/>
      <c r="BA9096"/>
      <c r="BB9096"/>
      <c r="BC9096"/>
      <c r="BD9096"/>
      <c r="BE9096"/>
      <c r="BF9096"/>
      <c r="BG9096"/>
      <c r="BH9096"/>
      <c r="BI9096"/>
      <c r="BJ9096"/>
      <c r="BK9096"/>
    </row>
    <row r="9097" spans="1:63" s="93" customFormat="1" ht="9" customHeight="1" x14ac:dyDescent="0.3">
      <c r="A9097" s="91"/>
      <c r="B9097" s="70"/>
      <c r="C9097" s="70"/>
      <c r="D9097" s="70"/>
      <c r="E9097" s="70"/>
      <c r="F9097" s="70"/>
      <c r="G9097" s="94"/>
      <c r="H9097" s="131"/>
      <c r="I9097" s="3"/>
      <c r="J9097"/>
      <c r="K9097"/>
      <c r="L9097"/>
      <c r="M9097"/>
      <c r="N9097"/>
      <c r="O9097"/>
      <c r="P9097"/>
      <c r="Q9097"/>
      <c r="R9097"/>
      <c r="S9097"/>
      <c r="T9097"/>
      <c r="U9097"/>
      <c r="V9097"/>
      <c r="W9097"/>
      <c r="X9097"/>
      <c r="Y9097"/>
      <c r="Z9097"/>
      <c r="AA9097"/>
      <c r="AB9097"/>
      <c r="AC9097"/>
      <c r="AD9097"/>
      <c r="AE9097"/>
      <c r="AF9097"/>
      <c r="AG9097"/>
      <c r="AH9097"/>
      <c r="AI9097"/>
      <c r="AJ9097"/>
      <c r="AK9097"/>
      <c r="AL9097"/>
      <c r="AM9097"/>
      <c r="AN9097"/>
      <c r="AO9097"/>
      <c r="AP9097"/>
      <c r="AQ9097"/>
      <c r="AR9097"/>
      <c r="AS9097"/>
      <c r="AT9097"/>
      <c r="AU9097"/>
      <c r="AV9097"/>
      <c r="AW9097"/>
      <c r="AX9097"/>
      <c r="AY9097"/>
      <c r="AZ9097"/>
      <c r="BA9097"/>
      <c r="BB9097"/>
      <c r="BC9097"/>
      <c r="BD9097"/>
      <c r="BE9097"/>
      <c r="BF9097"/>
      <c r="BG9097"/>
      <c r="BH9097"/>
      <c r="BI9097"/>
      <c r="BJ9097"/>
      <c r="BK9097"/>
    </row>
    <row r="9098" spans="1:63" s="93" customFormat="1" ht="9" customHeight="1" x14ac:dyDescent="0.3">
      <c r="A9098" s="91"/>
      <c r="B9098" s="70"/>
      <c r="C9098" s="70"/>
      <c r="D9098" s="70"/>
      <c r="E9098" s="70"/>
      <c r="F9098" s="70"/>
      <c r="G9098" s="94"/>
      <c r="H9098" s="131"/>
      <c r="I9098" s="3"/>
      <c r="J9098"/>
      <c r="K9098"/>
      <c r="L9098"/>
      <c r="M9098"/>
      <c r="N9098"/>
      <c r="O9098"/>
      <c r="P9098"/>
      <c r="Q9098"/>
      <c r="R9098"/>
      <c r="S9098"/>
      <c r="T9098"/>
      <c r="U9098"/>
      <c r="V9098"/>
      <c r="W9098"/>
      <c r="X9098"/>
      <c r="Y9098"/>
      <c r="Z9098"/>
      <c r="AA9098"/>
      <c r="AB9098"/>
      <c r="AC9098"/>
      <c r="AD9098"/>
      <c r="AE9098"/>
      <c r="AF9098"/>
      <c r="AG9098"/>
      <c r="AH9098"/>
      <c r="AI9098"/>
      <c r="AJ9098"/>
      <c r="AK9098"/>
      <c r="AL9098"/>
      <c r="AM9098"/>
      <c r="AN9098"/>
      <c r="AO9098"/>
      <c r="AP9098"/>
      <c r="AQ9098"/>
      <c r="AR9098"/>
      <c r="AS9098"/>
      <c r="AT9098"/>
      <c r="AU9098"/>
      <c r="AV9098"/>
      <c r="AW9098"/>
      <c r="AX9098"/>
      <c r="AY9098"/>
      <c r="AZ9098"/>
      <c r="BA9098"/>
      <c r="BB9098"/>
      <c r="BC9098"/>
      <c r="BD9098"/>
      <c r="BE9098"/>
      <c r="BF9098"/>
      <c r="BG9098"/>
      <c r="BH9098"/>
      <c r="BI9098"/>
      <c r="BJ9098"/>
      <c r="BK9098"/>
    </row>
    <row r="9099" spans="1:63" s="93" customFormat="1" ht="9" customHeight="1" x14ac:dyDescent="0.3">
      <c r="A9099" s="91"/>
      <c r="B9099" s="70"/>
      <c r="C9099" s="70"/>
      <c r="D9099" s="70"/>
      <c r="E9099" s="70"/>
      <c r="F9099" s="70"/>
      <c r="G9099" s="94"/>
      <c r="H9099" s="131"/>
      <c r="I9099" s="3"/>
      <c r="J9099"/>
      <c r="K9099"/>
      <c r="L9099"/>
      <c r="M9099"/>
      <c r="N9099"/>
      <c r="O9099"/>
      <c r="P9099"/>
      <c r="Q9099"/>
      <c r="R9099"/>
      <c r="S9099"/>
      <c r="T9099"/>
      <c r="U9099"/>
      <c r="V9099"/>
      <c r="W9099"/>
      <c r="X9099"/>
      <c r="Y9099"/>
      <c r="Z9099"/>
      <c r="AA9099"/>
      <c r="AB9099"/>
      <c r="AC9099"/>
      <c r="AD9099"/>
      <c r="AE9099"/>
      <c r="AF9099"/>
      <c r="AG9099"/>
      <c r="AH9099"/>
      <c r="AI9099"/>
      <c r="AJ9099"/>
      <c r="AK9099"/>
      <c r="AL9099"/>
      <c r="AM9099"/>
      <c r="AN9099"/>
      <c r="AO9099"/>
      <c r="AP9099"/>
      <c r="AQ9099"/>
      <c r="AR9099"/>
      <c r="AS9099"/>
      <c r="AT9099"/>
      <c r="AU9099"/>
      <c r="AV9099"/>
      <c r="AW9099"/>
      <c r="AX9099"/>
      <c r="AY9099"/>
      <c r="AZ9099"/>
      <c r="BA9099"/>
      <c r="BB9099"/>
      <c r="BC9099"/>
      <c r="BD9099"/>
      <c r="BE9099"/>
      <c r="BF9099"/>
      <c r="BG9099"/>
      <c r="BH9099"/>
      <c r="BI9099"/>
      <c r="BJ9099"/>
      <c r="BK9099"/>
    </row>
    <row r="9100" spans="1:63" s="93" customFormat="1" ht="9" customHeight="1" x14ac:dyDescent="0.3">
      <c r="A9100" s="91"/>
      <c r="B9100" s="70"/>
      <c r="C9100" s="70"/>
      <c r="D9100" s="70"/>
      <c r="E9100" s="70"/>
      <c r="F9100" s="70"/>
      <c r="G9100" s="94"/>
      <c r="H9100" s="131"/>
      <c r="I9100" s="3"/>
      <c r="J9100"/>
      <c r="K9100"/>
      <c r="L9100"/>
      <c r="M9100"/>
      <c r="N9100"/>
      <c r="O9100"/>
      <c r="P9100"/>
      <c r="Q9100"/>
      <c r="R9100"/>
      <c r="S9100"/>
      <c r="T9100"/>
      <c r="U9100"/>
      <c r="V9100"/>
      <c r="W9100"/>
      <c r="X9100"/>
      <c r="Y9100"/>
      <c r="Z9100"/>
      <c r="AA9100"/>
      <c r="AB9100"/>
      <c r="AC9100"/>
      <c r="AD9100"/>
      <c r="AE9100"/>
      <c r="AF9100"/>
      <c r="AG9100"/>
      <c r="AH9100"/>
      <c r="AI9100"/>
      <c r="AJ9100"/>
      <c r="AK9100"/>
      <c r="AL9100"/>
      <c r="AM9100"/>
      <c r="AN9100"/>
      <c r="AO9100"/>
      <c r="AP9100"/>
      <c r="AQ9100"/>
      <c r="AR9100"/>
      <c r="AS9100"/>
      <c r="AT9100"/>
      <c r="AU9100"/>
      <c r="AV9100"/>
      <c r="AW9100"/>
      <c r="AX9100"/>
      <c r="AY9100"/>
      <c r="AZ9100"/>
      <c r="BA9100"/>
      <c r="BB9100"/>
      <c r="BC9100"/>
      <c r="BD9100"/>
      <c r="BE9100"/>
      <c r="BF9100"/>
      <c r="BG9100"/>
      <c r="BH9100"/>
      <c r="BI9100"/>
      <c r="BJ9100"/>
      <c r="BK9100"/>
    </row>
    <row r="9101" spans="1:63" s="93" customFormat="1" ht="9" customHeight="1" x14ac:dyDescent="0.3">
      <c r="A9101" s="91"/>
      <c r="B9101" s="70"/>
      <c r="C9101" s="70"/>
      <c r="D9101" s="70"/>
      <c r="E9101" s="70"/>
      <c r="F9101" s="70"/>
      <c r="G9101" s="94"/>
      <c r="H9101" s="131"/>
      <c r="I9101" s="3"/>
      <c r="J9101"/>
      <c r="K9101"/>
      <c r="L9101"/>
      <c r="M9101"/>
      <c r="N9101"/>
      <c r="O9101"/>
      <c r="P9101"/>
      <c r="Q9101"/>
      <c r="R9101"/>
      <c r="S9101"/>
      <c r="T9101"/>
      <c r="U9101"/>
      <c r="V9101"/>
      <c r="W9101"/>
      <c r="X9101"/>
      <c r="Y9101"/>
      <c r="Z9101"/>
      <c r="AA9101"/>
      <c r="AB9101"/>
      <c r="AC9101"/>
      <c r="AD9101"/>
      <c r="AE9101"/>
      <c r="AF9101"/>
      <c r="AG9101"/>
      <c r="AH9101"/>
      <c r="AI9101"/>
      <c r="AJ9101"/>
      <c r="AK9101"/>
      <c r="AL9101"/>
      <c r="AM9101"/>
      <c r="AN9101"/>
      <c r="AO9101"/>
      <c r="AP9101"/>
      <c r="AQ9101"/>
      <c r="AR9101"/>
      <c r="AS9101"/>
      <c r="AT9101"/>
      <c r="AU9101"/>
      <c r="AV9101"/>
      <c r="AW9101"/>
      <c r="AX9101"/>
      <c r="AY9101"/>
      <c r="AZ9101"/>
      <c r="BA9101"/>
      <c r="BB9101"/>
      <c r="BC9101"/>
      <c r="BD9101"/>
      <c r="BE9101"/>
      <c r="BF9101"/>
      <c r="BG9101"/>
      <c r="BH9101"/>
      <c r="BI9101"/>
      <c r="BJ9101"/>
      <c r="BK9101"/>
    </row>
    <row r="9102" spans="1:63" s="93" customFormat="1" ht="9" customHeight="1" x14ac:dyDescent="0.3">
      <c r="A9102" s="91"/>
      <c r="B9102" s="70"/>
      <c r="C9102" s="70"/>
      <c r="D9102" s="70"/>
      <c r="E9102" s="70"/>
      <c r="F9102" s="70"/>
      <c r="G9102" s="94"/>
      <c r="H9102" s="131"/>
      <c r="I9102" s="3"/>
      <c r="J9102"/>
      <c r="K9102"/>
      <c r="L9102"/>
      <c r="M9102"/>
      <c r="N9102"/>
      <c r="O9102"/>
      <c r="P9102"/>
      <c r="Q9102"/>
      <c r="R9102"/>
      <c r="S9102"/>
      <c r="T9102"/>
      <c r="U9102"/>
      <c r="V9102"/>
      <c r="W9102"/>
      <c r="X9102"/>
      <c r="Y9102"/>
      <c r="Z9102"/>
      <c r="AA9102"/>
      <c r="AB9102"/>
      <c r="AC9102"/>
      <c r="AD9102"/>
      <c r="AE9102"/>
      <c r="AF9102"/>
      <c r="AG9102"/>
      <c r="AH9102"/>
      <c r="AI9102"/>
      <c r="AJ9102"/>
      <c r="AK9102"/>
      <c r="AL9102"/>
      <c r="AM9102"/>
      <c r="AN9102"/>
      <c r="AO9102"/>
      <c r="AP9102"/>
      <c r="AQ9102"/>
      <c r="AR9102"/>
      <c r="AS9102"/>
      <c r="AT9102"/>
      <c r="AU9102"/>
      <c r="AV9102"/>
      <c r="AW9102"/>
      <c r="AX9102"/>
      <c r="AY9102"/>
      <c r="AZ9102"/>
      <c r="BA9102"/>
      <c r="BB9102"/>
      <c r="BC9102"/>
      <c r="BD9102"/>
      <c r="BE9102"/>
      <c r="BF9102"/>
      <c r="BG9102"/>
      <c r="BH9102"/>
      <c r="BI9102"/>
      <c r="BJ9102"/>
      <c r="BK9102"/>
    </row>
    <row r="9103" spans="1:63" s="93" customFormat="1" ht="9" customHeight="1" x14ac:dyDescent="0.3">
      <c r="A9103" s="91"/>
      <c r="B9103" s="70"/>
      <c r="C9103" s="70"/>
      <c r="D9103" s="70"/>
      <c r="E9103" s="70"/>
      <c r="F9103" s="70"/>
      <c r="G9103" s="94"/>
      <c r="H9103" s="131"/>
      <c r="I9103" s="3"/>
      <c r="J9103"/>
      <c r="K9103"/>
      <c r="L9103"/>
      <c r="M9103"/>
      <c r="N9103"/>
      <c r="O9103"/>
      <c r="P9103"/>
      <c r="Q9103"/>
      <c r="R9103"/>
      <c r="S9103"/>
      <c r="T9103"/>
      <c r="U9103"/>
      <c r="V9103"/>
      <c r="W9103"/>
      <c r="X9103"/>
      <c r="Y9103"/>
      <c r="Z9103"/>
      <c r="AA9103"/>
      <c r="AB9103"/>
      <c r="AC9103"/>
      <c r="AD9103"/>
      <c r="AE9103"/>
      <c r="AF9103"/>
      <c r="AG9103"/>
      <c r="AH9103"/>
      <c r="AI9103"/>
      <c r="AJ9103"/>
      <c r="AK9103"/>
      <c r="AL9103"/>
      <c r="AM9103"/>
      <c r="AN9103"/>
      <c r="AO9103"/>
      <c r="AP9103"/>
      <c r="AQ9103"/>
      <c r="AR9103"/>
      <c r="AS9103"/>
      <c r="AT9103"/>
      <c r="AU9103"/>
      <c r="AV9103"/>
      <c r="AW9103"/>
      <c r="AX9103"/>
      <c r="AY9103"/>
      <c r="AZ9103"/>
      <c r="BA9103"/>
      <c r="BB9103"/>
      <c r="BC9103"/>
      <c r="BD9103"/>
      <c r="BE9103"/>
      <c r="BF9103"/>
      <c r="BG9103"/>
      <c r="BH9103"/>
      <c r="BI9103"/>
      <c r="BJ9103"/>
      <c r="BK9103"/>
    </row>
    <row r="9104" spans="1:63" s="93" customFormat="1" ht="9" customHeight="1" x14ac:dyDescent="0.3">
      <c r="A9104" s="91"/>
      <c r="B9104" s="70"/>
      <c r="C9104" s="70"/>
      <c r="D9104" s="70"/>
      <c r="E9104" s="70"/>
      <c r="F9104" s="70"/>
      <c r="G9104" s="94"/>
      <c r="H9104" s="131"/>
      <c r="I9104" s="3"/>
      <c r="J9104"/>
      <c r="K9104"/>
      <c r="L9104"/>
      <c r="M9104"/>
      <c r="N9104"/>
      <c r="O9104"/>
      <c r="P9104"/>
      <c r="Q9104"/>
      <c r="R9104"/>
      <c r="S9104"/>
      <c r="T9104"/>
      <c r="U9104"/>
      <c r="V9104"/>
      <c r="W9104"/>
      <c r="X9104"/>
      <c r="Y9104"/>
      <c r="Z9104"/>
      <c r="AA9104"/>
      <c r="AB9104"/>
      <c r="AC9104"/>
      <c r="AD9104"/>
      <c r="AE9104"/>
      <c r="AF9104"/>
      <c r="AG9104"/>
      <c r="AH9104"/>
      <c r="AI9104"/>
      <c r="AJ9104"/>
      <c r="AK9104"/>
      <c r="AL9104"/>
      <c r="AM9104"/>
      <c r="AN9104"/>
      <c r="AO9104"/>
      <c r="AP9104"/>
      <c r="AQ9104"/>
      <c r="AR9104"/>
      <c r="AS9104"/>
      <c r="AT9104"/>
      <c r="AU9104"/>
      <c r="AV9104"/>
      <c r="AW9104"/>
      <c r="AX9104"/>
      <c r="AY9104"/>
      <c r="AZ9104"/>
      <c r="BA9104"/>
      <c r="BB9104"/>
      <c r="BC9104"/>
      <c r="BD9104"/>
      <c r="BE9104"/>
      <c r="BF9104"/>
      <c r="BG9104"/>
      <c r="BH9104"/>
      <c r="BI9104"/>
      <c r="BJ9104"/>
      <c r="BK9104"/>
    </row>
    <row r="9105" spans="1:63" s="93" customFormat="1" ht="9" customHeight="1" x14ac:dyDescent="0.3">
      <c r="A9105" s="91"/>
      <c r="B9105" s="70"/>
      <c r="C9105" s="70"/>
      <c r="D9105" s="70"/>
      <c r="E9105" s="70"/>
      <c r="F9105" s="70"/>
      <c r="G9105" s="94"/>
      <c r="H9105" s="131"/>
      <c r="I9105" s="3"/>
      <c r="J9105"/>
      <c r="K9105"/>
      <c r="L9105"/>
      <c r="M9105"/>
      <c r="N9105"/>
      <c r="O9105"/>
      <c r="P9105"/>
      <c r="Q9105"/>
      <c r="R9105"/>
      <c r="S9105"/>
      <c r="T9105"/>
      <c r="U9105"/>
      <c r="V9105"/>
      <c r="W9105"/>
      <c r="X9105"/>
      <c r="Y9105"/>
      <c r="Z9105"/>
      <c r="AA9105"/>
      <c r="AB9105"/>
      <c r="AC9105"/>
      <c r="AD9105"/>
      <c r="AE9105"/>
      <c r="AF9105"/>
      <c r="AG9105"/>
      <c r="AH9105"/>
      <c r="AI9105"/>
      <c r="AJ9105"/>
      <c r="AK9105"/>
      <c r="AL9105"/>
      <c r="AM9105"/>
      <c r="AN9105"/>
      <c r="AO9105"/>
      <c r="AP9105"/>
      <c r="AQ9105"/>
      <c r="AR9105"/>
      <c r="AS9105"/>
      <c r="AT9105"/>
      <c r="AU9105"/>
      <c r="AV9105"/>
      <c r="AW9105"/>
      <c r="AX9105"/>
      <c r="AY9105"/>
      <c r="AZ9105"/>
      <c r="BA9105"/>
      <c r="BB9105"/>
      <c r="BC9105"/>
      <c r="BD9105"/>
      <c r="BE9105"/>
      <c r="BF9105"/>
      <c r="BG9105"/>
      <c r="BH9105"/>
      <c r="BI9105"/>
      <c r="BJ9105"/>
      <c r="BK9105"/>
    </row>
    <row r="9106" spans="1:63" s="93" customFormat="1" ht="9" customHeight="1" x14ac:dyDescent="0.3">
      <c r="A9106" s="91"/>
      <c r="B9106" s="70"/>
      <c r="C9106" s="70"/>
      <c r="D9106" s="70"/>
      <c r="E9106" s="70"/>
      <c r="F9106" s="70"/>
      <c r="G9106" s="94"/>
      <c r="H9106" s="131"/>
      <c r="I9106" s="3"/>
      <c r="J9106"/>
      <c r="K9106"/>
      <c r="L9106"/>
      <c r="M9106"/>
      <c r="N9106"/>
      <c r="O9106"/>
      <c r="P9106"/>
      <c r="Q9106"/>
      <c r="R9106"/>
      <c r="S9106"/>
      <c r="T9106"/>
      <c r="U9106"/>
      <c r="V9106"/>
      <c r="W9106"/>
      <c r="X9106"/>
      <c r="Y9106"/>
      <c r="Z9106"/>
      <c r="AA9106"/>
      <c r="AB9106"/>
      <c r="AC9106"/>
      <c r="AD9106"/>
      <c r="AE9106"/>
      <c r="AF9106"/>
      <c r="AG9106"/>
      <c r="AH9106"/>
      <c r="AI9106"/>
      <c r="AJ9106"/>
      <c r="AK9106"/>
      <c r="AL9106"/>
      <c r="AM9106"/>
      <c r="AN9106"/>
      <c r="AO9106"/>
      <c r="AP9106"/>
      <c r="AQ9106"/>
      <c r="AR9106"/>
      <c r="AS9106"/>
      <c r="AT9106"/>
      <c r="AU9106"/>
      <c r="AV9106"/>
      <c r="AW9106"/>
      <c r="AX9106"/>
      <c r="AY9106"/>
      <c r="AZ9106"/>
      <c r="BA9106"/>
      <c r="BB9106"/>
      <c r="BC9106"/>
      <c r="BD9106"/>
      <c r="BE9106"/>
      <c r="BF9106"/>
      <c r="BG9106"/>
      <c r="BH9106"/>
      <c r="BI9106"/>
      <c r="BJ9106"/>
      <c r="BK9106"/>
    </row>
    <row r="9107" spans="1:63" s="93" customFormat="1" ht="9" customHeight="1" x14ac:dyDescent="0.3">
      <c r="A9107" s="91"/>
      <c r="B9107" s="70"/>
      <c r="C9107" s="70"/>
      <c r="D9107" s="70"/>
      <c r="E9107" s="70"/>
      <c r="F9107" s="70"/>
      <c r="G9107" s="94"/>
      <c r="H9107" s="131"/>
      <c r="I9107" s="3"/>
      <c r="J9107"/>
      <c r="K9107"/>
      <c r="L9107"/>
      <c r="M9107"/>
      <c r="N9107"/>
      <c r="O9107"/>
      <c r="P9107"/>
      <c r="Q9107"/>
      <c r="R9107"/>
      <c r="S9107"/>
      <c r="T9107"/>
      <c r="U9107"/>
      <c r="V9107"/>
      <c r="W9107"/>
      <c r="X9107"/>
      <c r="Y9107"/>
      <c r="Z9107"/>
      <c r="AA9107"/>
      <c r="AB9107"/>
      <c r="AC9107"/>
      <c r="AD9107"/>
      <c r="AE9107"/>
      <c r="AF9107"/>
      <c r="AG9107"/>
      <c r="AH9107"/>
      <c r="AI9107"/>
      <c r="AJ9107"/>
      <c r="AK9107"/>
      <c r="AL9107"/>
      <c r="AM9107"/>
      <c r="AN9107"/>
      <c r="AO9107"/>
      <c r="AP9107"/>
      <c r="AQ9107"/>
      <c r="AR9107"/>
      <c r="AS9107"/>
      <c r="AT9107"/>
      <c r="AU9107"/>
      <c r="AV9107"/>
      <c r="AW9107"/>
      <c r="AX9107"/>
      <c r="AY9107"/>
      <c r="AZ9107"/>
      <c r="BA9107"/>
      <c r="BB9107"/>
      <c r="BC9107"/>
      <c r="BD9107"/>
      <c r="BE9107"/>
      <c r="BF9107"/>
      <c r="BG9107"/>
      <c r="BH9107"/>
      <c r="BI9107"/>
      <c r="BJ9107"/>
      <c r="BK9107"/>
    </row>
    <row r="9108" spans="1:63" s="93" customFormat="1" ht="9" customHeight="1" x14ac:dyDescent="0.3">
      <c r="A9108" s="91"/>
      <c r="B9108" s="70"/>
      <c r="C9108" s="70"/>
      <c r="D9108" s="70"/>
      <c r="E9108" s="70"/>
      <c r="F9108" s="70"/>
      <c r="G9108" s="94"/>
      <c r="H9108" s="131"/>
      <c r="I9108" s="3"/>
      <c r="J9108"/>
      <c r="K9108"/>
      <c r="L9108"/>
      <c r="M9108"/>
      <c r="N9108"/>
      <c r="O9108"/>
      <c r="P9108"/>
      <c r="Q9108"/>
      <c r="R9108"/>
      <c r="S9108"/>
      <c r="T9108"/>
      <c r="U9108"/>
      <c r="V9108"/>
      <c r="W9108"/>
      <c r="X9108"/>
      <c r="Y9108"/>
      <c r="Z9108"/>
      <c r="AA9108"/>
      <c r="AB9108"/>
      <c r="AC9108"/>
      <c r="AD9108"/>
      <c r="AE9108"/>
      <c r="AF9108"/>
      <c r="AG9108"/>
      <c r="AH9108"/>
      <c r="AI9108"/>
      <c r="AJ9108"/>
      <c r="AK9108"/>
      <c r="AL9108"/>
      <c r="AM9108"/>
      <c r="AN9108"/>
      <c r="AO9108"/>
      <c r="AP9108"/>
      <c r="AQ9108"/>
      <c r="AR9108"/>
      <c r="AS9108"/>
      <c r="AT9108"/>
      <c r="AU9108"/>
      <c r="AV9108"/>
      <c r="AW9108"/>
      <c r="AX9108"/>
      <c r="AY9108"/>
      <c r="AZ9108"/>
      <c r="BA9108"/>
      <c r="BB9108"/>
      <c r="BC9108"/>
      <c r="BD9108"/>
      <c r="BE9108"/>
      <c r="BF9108"/>
      <c r="BG9108"/>
      <c r="BH9108"/>
      <c r="BI9108"/>
      <c r="BJ9108"/>
      <c r="BK9108"/>
    </row>
    <row r="9109" spans="1:63" s="93" customFormat="1" ht="9" customHeight="1" x14ac:dyDescent="0.3">
      <c r="A9109" s="91"/>
      <c r="B9109" s="70"/>
      <c r="C9109" s="70"/>
      <c r="D9109" s="70"/>
      <c r="E9109" s="70"/>
      <c r="F9109" s="70"/>
      <c r="G9109" s="94"/>
      <c r="H9109" s="131"/>
      <c r="I9109" s="3"/>
      <c r="J9109"/>
      <c r="K9109"/>
      <c r="L9109"/>
      <c r="M9109"/>
      <c r="N9109"/>
      <c r="O9109"/>
      <c r="P9109"/>
      <c r="Q9109"/>
      <c r="R9109"/>
      <c r="S9109"/>
      <c r="T9109"/>
      <c r="U9109"/>
      <c r="V9109"/>
      <c r="W9109"/>
      <c r="X9109"/>
      <c r="Y9109"/>
      <c r="Z9109"/>
      <c r="AA9109"/>
      <c r="AB9109"/>
      <c r="AC9109"/>
      <c r="AD9109"/>
      <c r="AE9109"/>
      <c r="AF9109"/>
      <c r="AG9109"/>
      <c r="AH9109"/>
      <c r="AI9109"/>
      <c r="AJ9109"/>
      <c r="AK9109"/>
      <c r="AL9109"/>
      <c r="AM9109"/>
      <c r="AN9109"/>
      <c r="AO9109"/>
      <c r="AP9109"/>
      <c r="AQ9109"/>
      <c r="AR9109"/>
      <c r="AS9109"/>
      <c r="AT9109"/>
      <c r="AU9109"/>
      <c r="AV9109"/>
      <c r="AW9109"/>
      <c r="AX9109"/>
      <c r="AY9109"/>
      <c r="AZ9109"/>
      <c r="BA9109"/>
      <c r="BB9109"/>
      <c r="BC9109"/>
      <c r="BD9109"/>
      <c r="BE9109"/>
      <c r="BF9109"/>
      <c r="BG9109"/>
      <c r="BH9109"/>
      <c r="BI9109"/>
      <c r="BJ9109"/>
      <c r="BK9109"/>
    </row>
    <row r="9110" spans="1:63" s="93" customFormat="1" ht="9" customHeight="1" x14ac:dyDescent="0.3">
      <c r="A9110" s="91"/>
      <c r="B9110" s="70"/>
      <c r="C9110" s="70"/>
      <c r="D9110" s="70"/>
      <c r="E9110" s="70"/>
      <c r="F9110" s="70"/>
      <c r="G9110" s="94"/>
      <c r="H9110" s="131"/>
      <c r="I9110" s="3"/>
      <c r="J9110"/>
      <c r="K9110"/>
      <c r="L9110"/>
      <c r="M9110"/>
      <c r="N9110"/>
      <c r="O9110"/>
      <c r="P9110"/>
      <c r="Q9110"/>
      <c r="R9110"/>
      <c r="S9110"/>
      <c r="T9110"/>
      <c r="U9110"/>
      <c r="V9110"/>
      <c r="W9110"/>
      <c r="X9110"/>
      <c r="Y9110"/>
      <c r="Z9110"/>
      <c r="AA9110"/>
      <c r="AB9110"/>
      <c r="AC9110"/>
      <c r="AD9110"/>
      <c r="AE9110"/>
      <c r="AF9110"/>
      <c r="AG9110"/>
      <c r="AH9110"/>
      <c r="AI9110"/>
      <c r="AJ9110"/>
      <c r="AK9110"/>
      <c r="AL9110"/>
      <c r="AM9110"/>
      <c r="AN9110"/>
      <c r="AO9110"/>
      <c r="AP9110"/>
      <c r="AQ9110"/>
      <c r="AR9110"/>
      <c r="AS9110"/>
      <c r="AT9110"/>
      <c r="AU9110"/>
      <c r="AV9110"/>
      <c r="AW9110"/>
      <c r="AX9110"/>
      <c r="AY9110"/>
      <c r="AZ9110"/>
      <c r="BA9110"/>
      <c r="BB9110"/>
      <c r="BC9110"/>
      <c r="BD9110"/>
      <c r="BE9110"/>
      <c r="BF9110"/>
      <c r="BG9110"/>
      <c r="BH9110"/>
      <c r="BI9110"/>
      <c r="BJ9110"/>
      <c r="BK9110"/>
    </row>
    <row r="9111" spans="1:63" s="93" customFormat="1" ht="9" customHeight="1" x14ac:dyDescent="0.3">
      <c r="A9111" s="91"/>
      <c r="B9111" s="70"/>
      <c r="C9111" s="70"/>
      <c r="D9111" s="70"/>
      <c r="E9111" s="70"/>
      <c r="F9111" s="70"/>
      <c r="G9111" s="94"/>
      <c r="H9111" s="131"/>
      <c r="I9111" s="3"/>
      <c r="J9111"/>
      <c r="K9111"/>
      <c r="L9111"/>
      <c r="M9111"/>
      <c r="N9111"/>
      <c r="O9111"/>
      <c r="P9111"/>
      <c r="Q9111"/>
      <c r="R9111"/>
      <c r="S9111"/>
      <c r="T9111"/>
      <c r="U9111"/>
      <c r="V9111"/>
      <c r="W9111"/>
      <c r="X9111"/>
      <c r="Y9111"/>
      <c r="Z9111"/>
      <c r="AA9111"/>
      <c r="AB9111"/>
      <c r="AC9111"/>
      <c r="AD9111"/>
      <c r="AE9111"/>
      <c r="AF9111"/>
      <c r="AG9111"/>
      <c r="AH9111"/>
      <c r="AI9111"/>
      <c r="AJ9111"/>
      <c r="AK9111"/>
      <c r="AL9111"/>
      <c r="AM9111"/>
      <c r="AN9111"/>
      <c r="AO9111"/>
      <c r="AP9111"/>
      <c r="AQ9111"/>
      <c r="AR9111"/>
      <c r="AS9111"/>
      <c r="AT9111"/>
      <c r="AU9111"/>
      <c r="AV9111"/>
      <c r="AW9111"/>
      <c r="AX9111"/>
      <c r="AY9111"/>
      <c r="AZ9111"/>
      <c r="BA9111"/>
      <c r="BB9111"/>
      <c r="BC9111"/>
      <c r="BD9111"/>
      <c r="BE9111"/>
      <c r="BF9111"/>
      <c r="BG9111"/>
      <c r="BH9111"/>
      <c r="BI9111"/>
      <c r="BJ9111"/>
      <c r="BK9111"/>
    </row>
    <row r="9112" spans="1:63" s="93" customFormat="1" ht="9" customHeight="1" x14ac:dyDescent="0.3">
      <c r="A9112" s="91"/>
      <c r="B9112" s="70"/>
      <c r="C9112" s="70"/>
      <c r="D9112" s="70"/>
      <c r="E9112" s="70"/>
      <c r="F9112" s="70"/>
      <c r="G9112" s="94"/>
      <c r="H9112" s="131"/>
      <c r="I9112" s="3"/>
      <c r="J9112"/>
      <c r="K9112"/>
      <c r="L9112"/>
      <c r="M9112"/>
      <c r="N9112"/>
      <c r="O9112"/>
      <c r="P9112"/>
      <c r="Q9112"/>
      <c r="R9112"/>
      <c r="S9112"/>
      <c r="T9112"/>
      <c r="U9112"/>
      <c r="V9112"/>
      <c r="W9112"/>
      <c r="X9112"/>
      <c r="Y9112"/>
      <c r="Z9112"/>
      <c r="AA9112"/>
      <c r="AB9112"/>
      <c r="AC9112"/>
      <c r="AD9112"/>
      <c r="AE9112"/>
      <c r="AF9112"/>
      <c r="AG9112"/>
      <c r="AH9112"/>
      <c r="AI9112"/>
      <c r="AJ9112"/>
      <c r="AK9112"/>
      <c r="AL9112"/>
      <c r="AM9112"/>
      <c r="AN9112"/>
      <c r="AO9112"/>
      <c r="AP9112"/>
      <c r="AQ9112"/>
      <c r="AR9112"/>
      <c r="AS9112"/>
      <c r="AT9112"/>
      <c r="AU9112"/>
      <c r="AV9112"/>
      <c r="AW9112"/>
      <c r="AX9112"/>
      <c r="AY9112"/>
      <c r="AZ9112"/>
      <c r="BA9112"/>
      <c r="BB9112"/>
      <c r="BC9112"/>
      <c r="BD9112"/>
      <c r="BE9112"/>
      <c r="BF9112"/>
      <c r="BG9112"/>
      <c r="BH9112"/>
      <c r="BI9112"/>
      <c r="BJ9112"/>
      <c r="BK9112"/>
    </row>
    <row r="9113" spans="1:63" s="93" customFormat="1" ht="9" customHeight="1" x14ac:dyDescent="0.3">
      <c r="A9113" s="91"/>
      <c r="B9113" s="70"/>
      <c r="C9113" s="70"/>
      <c r="D9113" s="70"/>
      <c r="E9113" s="70"/>
      <c r="F9113" s="70"/>
      <c r="G9113" s="94"/>
      <c r="H9113" s="131"/>
      <c r="I9113" s="3"/>
      <c r="J9113"/>
      <c r="K9113"/>
      <c r="L9113"/>
      <c r="M9113"/>
      <c r="N9113"/>
      <c r="O9113"/>
      <c r="P9113"/>
      <c r="Q9113"/>
      <c r="R9113"/>
      <c r="S9113"/>
      <c r="T9113"/>
      <c r="U9113"/>
      <c r="V9113"/>
      <c r="W9113"/>
      <c r="X9113"/>
      <c r="Y9113"/>
      <c r="Z9113"/>
      <c r="AA9113"/>
      <c r="AB9113"/>
      <c r="AC9113"/>
      <c r="AD9113"/>
      <c r="AE9113"/>
      <c r="AF9113"/>
      <c r="AG9113"/>
      <c r="AH9113"/>
      <c r="AI9113"/>
      <c r="AJ9113"/>
      <c r="AK9113"/>
      <c r="AL9113"/>
      <c r="AM9113"/>
      <c r="AN9113"/>
      <c r="AO9113"/>
      <c r="AP9113"/>
      <c r="AQ9113"/>
      <c r="AR9113"/>
      <c r="AS9113"/>
      <c r="AT9113"/>
      <c r="AU9113"/>
      <c r="AV9113"/>
      <c r="AW9113"/>
      <c r="AX9113"/>
      <c r="AY9113"/>
      <c r="AZ9113"/>
      <c r="BA9113"/>
      <c r="BB9113"/>
      <c r="BC9113"/>
      <c r="BD9113"/>
      <c r="BE9113"/>
      <c r="BF9113"/>
      <c r="BG9113"/>
      <c r="BH9113"/>
      <c r="BI9113"/>
      <c r="BJ9113"/>
      <c r="BK9113"/>
    </row>
    <row r="9114" spans="1:63" s="93" customFormat="1" ht="9" customHeight="1" x14ac:dyDescent="0.3">
      <c r="A9114" s="91"/>
      <c r="B9114" s="70"/>
      <c r="C9114" s="70"/>
      <c r="D9114" s="70"/>
      <c r="E9114" s="70"/>
      <c r="F9114" s="70"/>
      <c r="G9114" s="94"/>
      <c r="H9114" s="131"/>
      <c r="I9114" s="3"/>
      <c r="J9114"/>
      <c r="K9114"/>
      <c r="L9114"/>
      <c r="M9114"/>
      <c r="N9114"/>
      <c r="O9114"/>
      <c r="P9114"/>
      <c r="Q9114"/>
      <c r="R9114"/>
      <c r="S9114"/>
      <c r="T9114"/>
      <c r="U9114"/>
      <c r="V9114"/>
      <c r="W9114"/>
      <c r="X9114"/>
      <c r="Y9114"/>
      <c r="Z9114"/>
      <c r="AA9114"/>
      <c r="AB9114"/>
      <c r="AC9114"/>
      <c r="AD9114"/>
      <c r="AE9114"/>
      <c r="AF9114"/>
      <c r="AG9114"/>
      <c r="AH9114"/>
      <c r="AI9114"/>
      <c r="AJ9114"/>
      <c r="AK9114"/>
      <c r="AL9114"/>
      <c r="AM9114"/>
      <c r="AN9114"/>
      <c r="AO9114"/>
      <c r="AP9114"/>
      <c r="AQ9114"/>
      <c r="AR9114"/>
      <c r="AS9114"/>
      <c r="AT9114"/>
      <c r="AU9114"/>
      <c r="AV9114"/>
      <c r="AW9114"/>
      <c r="AX9114"/>
      <c r="AY9114"/>
      <c r="AZ9114"/>
      <c r="BA9114"/>
      <c r="BB9114"/>
      <c r="BC9114"/>
      <c r="BD9114"/>
      <c r="BE9114"/>
      <c r="BF9114"/>
      <c r="BG9114"/>
      <c r="BH9114"/>
      <c r="BI9114"/>
      <c r="BJ9114"/>
      <c r="BK9114"/>
    </row>
    <row r="9115" spans="1:63" s="93" customFormat="1" ht="9" customHeight="1" x14ac:dyDescent="0.3">
      <c r="A9115" s="91"/>
      <c r="B9115" s="70"/>
      <c r="C9115" s="70"/>
      <c r="D9115" s="70"/>
      <c r="E9115" s="70"/>
      <c r="F9115" s="70"/>
      <c r="G9115" s="94"/>
      <c r="H9115" s="131"/>
      <c r="I9115" s="3"/>
      <c r="J9115"/>
      <c r="K9115"/>
      <c r="L9115"/>
      <c r="M9115"/>
      <c r="N9115"/>
      <c r="O9115"/>
      <c r="P9115"/>
      <c r="Q9115"/>
      <c r="R9115"/>
      <c r="S9115"/>
      <c r="T9115"/>
      <c r="U9115"/>
      <c r="V9115"/>
      <c r="W9115"/>
      <c r="X9115"/>
      <c r="Y9115"/>
      <c r="Z9115"/>
      <c r="AA9115"/>
      <c r="AB9115"/>
      <c r="AC9115"/>
      <c r="AD9115"/>
      <c r="AE9115"/>
      <c r="AF9115"/>
      <c r="AG9115"/>
      <c r="AH9115"/>
      <c r="AI9115"/>
      <c r="AJ9115"/>
      <c r="AK9115"/>
      <c r="AL9115"/>
      <c r="AM9115"/>
      <c r="AN9115"/>
      <c r="AO9115"/>
      <c r="AP9115"/>
      <c r="AQ9115"/>
      <c r="AR9115"/>
      <c r="AS9115"/>
      <c r="AT9115"/>
      <c r="AU9115"/>
      <c r="AV9115"/>
      <c r="AW9115"/>
      <c r="AX9115"/>
      <c r="AY9115"/>
      <c r="AZ9115"/>
      <c r="BA9115"/>
      <c r="BB9115"/>
      <c r="BC9115"/>
      <c r="BD9115"/>
      <c r="BE9115"/>
      <c r="BF9115"/>
      <c r="BG9115"/>
      <c r="BH9115"/>
      <c r="BI9115"/>
      <c r="BJ9115"/>
      <c r="BK9115"/>
    </row>
    <row r="9116" spans="1:63" s="93" customFormat="1" ht="9" customHeight="1" x14ac:dyDescent="0.3">
      <c r="A9116" s="91"/>
      <c r="B9116" s="70"/>
      <c r="C9116" s="70"/>
      <c r="D9116" s="70"/>
      <c r="E9116" s="70"/>
      <c r="F9116" s="70"/>
      <c r="G9116" s="94"/>
      <c r="H9116" s="131"/>
      <c r="I9116" s="3"/>
      <c r="J9116"/>
      <c r="K9116"/>
      <c r="L9116"/>
      <c r="M9116"/>
      <c r="N9116"/>
      <c r="O9116"/>
      <c r="P9116"/>
      <c r="Q9116"/>
      <c r="R9116"/>
      <c r="S9116"/>
      <c r="T9116"/>
      <c r="U9116"/>
      <c r="V9116"/>
      <c r="W9116"/>
      <c r="X9116"/>
      <c r="Y9116"/>
      <c r="Z9116"/>
      <c r="AA9116"/>
      <c r="AB9116"/>
      <c r="AC9116"/>
      <c r="AD9116"/>
      <c r="AE9116"/>
      <c r="AF9116"/>
      <c r="AG9116"/>
      <c r="AH9116"/>
      <c r="AI9116"/>
      <c r="AJ9116"/>
      <c r="AK9116"/>
      <c r="AL9116"/>
      <c r="AM9116"/>
      <c r="AN9116"/>
      <c r="AO9116"/>
      <c r="AP9116"/>
      <c r="AQ9116"/>
      <c r="AR9116"/>
      <c r="AS9116"/>
      <c r="AT9116"/>
      <c r="AU9116"/>
      <c r="AV9116"/>
      <c r="AW9116"/>
      <c r="AX9116"/>
      <c r="AY9116"/>
      <c r="AZ9116"/>
      <c r="BA9116"/>
      <c r="BB9116"/>
      <c r="BC9116"/>
      <c r="BD9116"/>
      <c r="BE9116"/>
      <c r="BF9116"/>
      <c r="BG9116"/>
      <c r="BH9116"/>
      <c r="BI9116"/>
      <c r="BJ9116"/>
      <c r="BK9116"/>
    </row>
    <row r="9117" spans="1:63" s="93" customFormat="1" ht="9" customHeight="1" x14ac:dyDescent="0.3">
      <c r="A9117" s="91"/>
      <c r="B9117" s="70"/>
      <c r="C9117" s="70"/>
      <c r="D9117" s="70"/>
      <c r="E9117" s="70"/>
      <c r="F9117" s="70"/>
      <c r="G9117" s="94"/>
      <c r="H9117" s="131"/>
      <c r="I9117" s="3"/>
      <c r="J9117"/>
      <c r="K9117"/>
      <c r="L9117"/>
      <c r="M9117"/>
      <c r="N9117"/>
      <c r="O9117"/>
      <c r="P9117"/>
      <c r="Q9117"/>
      <c r="R9117"/>
      <c r="S9117"/>
      <c r="T9117"/>
      <c r="U9117"/>
      <c r="V9117"/>
      <c r="W9117"/>
      <c r="X9117"/>
      <c r="Y9117"/>
      <c r="Z9117"/>
      <c r="AA9117"/>
      <c r="AB9117"/>
      <c r="AC9117"/>
      <c r="AD9117"/>
      <c r="AE9117"/>
      <c r="AF9117"/>
      <c r="AG9117"/>
      <c r="AH9117"/>
      <c r="AI9117"/>
      <c r="AJ9117"/>
      <c r="AK9117"/>
      <c r="AL9117"/>
      <c r="AM9117"/>
      <c r="AN9117"/>
      <c r="AO9117"/>
      <c r="AP9117"/>
      <c r="AQ9117"/>
      <c r="AR9117"/>
      <c r="AS9117"/>
      <c r="AT9117"/>
      <c r="AU9117"/>
      <c r="AV9117"/>
      <c r="AW9117"/>
      <c r="AX9117"/>
      <c r="AY9117"/>
      <c r="AZ9117"/>
      <c r="BA9117"/>
      <c r="BB9117"/>
      <c r="BC9117"/>
      <c r="BD9117"/>
      <c r="BE9117"/>
      <c r="BF9117"/>
      <c r="BG9117"/>
      <c r="BH9117"/>
      <c r="BI9117"/>
      <c r="BJ9117"/>
      <c r="BK9117"/>
    </row>
    <row r="9118" spans="1:63" s="93" customFormat="1" ht="9" customHeight="1" x14ac:dyDescent="0.3">
      <c r="A9118" s="91"/>
      <c r="B9118" s="70"/>
      <c r="C9118" s="70"/>
      <c r="D9118" s="70"/>
      <c r="E9118" s="70"/>
      <c r="F9118" s="70"/>
      <c r="G9118" s="94"/>
      <c r="H9118" s="131"/>
      <c r="I9118" s="3"/>
      <c r="J9118"/>
      <c r="K9118"/>
      <c r="L9118"/>
      <c r="M9118"/>
      <c r="N9118"/>
      <c r="O9118"/>
      <c r="P9118"/>
      <c r="Q9118"/>
      <c r="R9118"/>
      <c r="S9118"/>
      <c r="T9118"/>
      <c r="U9118"/>
      <c r="V9118"/>
      <c r="W9118"/>
      <c r="X9118"/>
      <c r="Y9118"/>
      <c r="Z9118"/>
      <c r="AA9118"/>
      <c r="AB9118"/>
      <c r="AC9118"/>
      <c r="AD9118"/>
      <c r="AE9118"/>
      <c r="AF9118"/>
      <c r="AG9118"/>
      <c r="AH9118"/>
      <c r="AI9118"/>
      <c r="AJ9118"/>
      <c r="AK9118"/>
      <c r="AL9118"/>
      <c r="AM9118"/>
      <c r="AN9118"/>
      <c r="AO9118"/>
      <c r="AP9118"/>
      <c r="AQ9118"/>
      <c r="AR9118"/>
      <c r="AS9118"/>
      <c r="AT9118"/>
      <c r="AU9118"/>
      <c r="AV9118"/>
      <c r="AW9118"/>
      <c r="AX9118"/>
      <c r="AY9118"/>
      <c r="AZ9118"/>
      <c r="BA9118"/>
      <c r="BB9118"/>
      <c r="BC9118"/>
      <c r="BD9118"/>
      <c r="BE9118"/>
      <c r="BF9118"/>
      <c r="BG9118"/>
      <c r="BH9118"/>
      <c r="BI9118"/>
      <c r="BJ9118"/>
      <c r="BK9118"/>
    </row>
    <row r="9119" spans="1:63" s="93" customFormat="1" ht="9" customHeight="1" x14ac:dyDescent="0.3">
      <c r="A9119" s="91"/>
      <c r="B9119" s="70"/>
      <c r="C9119" s="70"/>
      <c r="D9119" s="70"/>
      <c r="E9119" s="70"/>
      <c r="F9119" s="70"/>
      <c r="G9119" s="94"/>
      <c r="H9119" s="131"/>
      <c r="I9119" s="3"/>
      <c r="J9119"/>
      <c r="K9119"/>
      <c r="L9119"/>
      <c r="M9119"/>
      <c r="N9119"/>
      <c r="O9119"/>
      <c r="P9119"/>
      <c r="Q9119"/>
      <c r="R9119"/>
      <c r="S9119"/>
      <c r="T9119"/>
      <c r="U9119"/>
      <c r="V9119"/>
      <c r="W9119"/>
      <c r="X9119"/>
      <c r="Y9119"/>
      <c r="Z9119"/>
      <c r="AA9119"/>
      <c r="AB9119"/>
      <c r="AC9119"/>
      <c r="AD9119"/>
      <c r="AE9119"/>
      <c r="AF9119"/>
      <c r="AG9119"/>
      <c r="AH9119"/>
      <c r="AI9119"/>
      <c r="AJ9119"/>
      <c r="AK9119"/>
      <c r="AL9119"/>
      <c r="AM9119"/>
      <c r="AN9119"/>
      <c r="AO9119"/>
      <c r="AP9119"/>
      <c r="AQ9119"/>
      <c r="AR9119"/>
      <c r="AS9119"/>
      <c r="AT9119"/>
      <c r="AU9119"/>
      <c r="AV9119"/>
      <c r="AW9119"/>
      <c r="AX9119"/>
      <c r="AY9119"/>
      <c r="AZ9119"/>
      <c r="BA9119"/>
      <c r="BB9119"/>
      <c r="BC9119"/>
      <c r="BD9119"/>
      <c r="BE9119"/>
      <c r="BF9119"/>
      <c r="BG9119"/>
      <c r="BH9119"/>
      <c r="BI9119"/>
      <c r="BJ9119"/>
      <c r="BK9119"/>
    </row>
    <row r="9120" spans="1:63" s="93" customFormat="1" ht="9" customHeight="1" x14ac:dyDescent="0.3">
      <c r="A9120" s="91"/>
      <c r="B9120" s="70"/>
      <c r="C9120" s="70"/>
      <c r="D9120" s="70"/>
      <c r="E9120" s="70"/>
      <c r="F9120" s="70"/>
      <c r="G9120" s="94"/>
      <c r="H9120" s="131"/>
      <c r="I9120" s="3"/>
      <c r="J9120"/>
      <c r="K9120"/>
      <c r="L9120"/>
      <c r="M9120"/>
      <c r="N9120"/>
      <c r="O9120"/>
      <c r="P9120"/>
      <c r="Q9120"/>
      <c r="R9120"/>
      <c r="S9120"/>
      <c r="T9120"/>
      <c r="U9120"/>
      <c r="V9120"/>
      <c r="W9120"/>
      <c r="X9120"/>
      <c r="Y9120"/>
      <c r="Z9120"/>
      <c r="AA9120"/>
      <c r="AB9120"/>
      <c r="AC9120"/>
      <c r="AD9120"/>
      <c r="AE9120"/>
      <c r="AF9120"/>
      <c r="AG9120"/>
      <c r="AH9120"/>
      <c r="AI9120"/>
      <c r="AJ9120"/>
      <c r="AK9120"/>
      <c r="AL9120"/>
      <c r="AM9120"/>
      <c r="AN9120"/>
      <c r="AO9120"/>
      <c r="AP9120"/>
      <c r="AQ9120"/>
      <c r="AR9120"/>
      <c r="AS9120"/>
      <c r="AT9120"/>
      <c r="AU9120"/>
      <c r="AV9120"/>
      <c r="AW9120"/>
      <c r="AX9120"/>
      <c r="AY9120"/>
      <c r="AZ9120"/>
      <c r="BA9120"/>
      <c r="BB9120"/>
      <c r="BC9120"/>
      <c r="BD9120"/>
      <c r="BE9120"/>
      <c r="BF9120"/>
      <c r="BG9120"/>
      <c r="BH9120"/>
      <c r="BI9120"/>
      <c r="BJ9120"/>
      <c r="BK9120"/>
    </row>
    <row r="9121" spans="1:63" s="93" customFormat="1" ht="9" customHeight="1" x14ac:dyDescent="0.3">
      <c r="A9121" s="91"/>
      <c r="B9121" s="70"/>
      <c r="C9121" s="70"/>
      <c r="D9121" s="70"/>
      <c r="E9121" s="70"/>
      <c r="F9121" s="70"/>
      <c r="G9121" s="94"/>
      <c r="H9121" s="131"/>
      <c r="I9121" s="3"/>
      <c r="J9121"/>
      <c r="K9121"/>
      <c r="L9121"/>
      <c r="M9121"/>
      <c r="N9121"/>
      <c r="O9121"/>
      <c r="P9121"/>
      <c r="Q9121"/>
      <c r="R9121"/>
      <c r="S9121"/>
      <c r="T9121"/>
      <c r="U9121"/>
      <c r="V9121"/>
      <c r="W9121"/>
      <c r="X9121"/>
      <c r="Y9121"/>
      <c r="Z9121"/>
      <c r="AA9121"/>
      <c r="AB9121"/>
      <c r="AC9121"/>
      <c r="AD9121"/>
      <c r="AE9121"/>
      <c r="AF9121"/>
      <c r="AG9121"/>
      <c r="AH9121"/>
      <c r="AI9121"/>
      <c r="AJ9121"/>
      <c r="AK9121"/>
      <c r="AL9121"/>
      <c r="AM9121"/>
      <c r="AN9121"/>
      <c r="AO9121"/>
      <c r="AP9121"/>
      <c r="AQ9121"/>
      <c r="AR9121"/>
      <c r="AS9121"/>
      <c r="AT9121"/>
      <c r="AU9121"/>
      <c r="AV9121"/>
      <c r="AW9121"/>
      <c r="AX9121"/>
      <c r="AY9121"/>
      <c r="AZ9121"/>
      <c r="BA9121"/>
      <c r="BB9121"/>
      <c r="BC9121"/>
      <c r="BD9121"/>
      <c r="BE9121"/>
      <c r="BF9121"/>
      <c r="BG9121"/>
      <c r="BH9121"/>
      <c r="BI9121"/>
      <c r="BJ9121"/>
      <c r="BK9121"/>
    </row>
    <row r="9122" spans="1:63" s="93" customFormat="1" ht="9" customHeight="1" x14ac:dyDescent="0.3">
      <c r="A9122" s="91"/>
      <c r="B9122" s="70"/>
      <c r="C9122" s="70"/>
      <c r="D9122" s="70"/>
      <c r="E9122" s="70"/>
      <c r="F9122" s="70"/>
      <c r="G9122" s="94"/>
      <c r="H9122" s="131"/>
      <c r="I9122" s="3"/>
      <c r="J9122"/>
      <c r="K9122"/>
      <c r="L9122"/>
      <c r="M9122"/>
      <c r="N9122"/>
      <c r="O9122"/>
      <c r="P9122"/>
      <c r="Q9122"/>
      <c r="R9122"/>
      <c r="S9122"/>
      <c r="T9122"/>
      <c r="U9122"/>
      <c r="V9122"/>
      <c r="W9122"/>
      <c r="X9122"/>
      <c r="Y9122"/>
      <c r="Z9122"/>
      <c r="AA9122"/>
      <c r="AB9122"/>
      <c r="AC9122"/>
      <c r="AD9122"/>
      <c r="AE9122"/>
      <c r="AF9122"/>
      <c r="AG9122"/>
      <c r="AH9122"/>
      <c r="AI9122"/>
      <c r="AJ9122"/>
      <c r="AK9122"/>
      <c r="AL9122"/>
      <c r="AM9122"/>
      <c r="AN9122"/>
      <c r="AO9122"/>
      <c r="AP9122"/>
      <c r="AQ9122"/>
      <c r="AR9122"/>
      <c r="AS9122"/>
      <c r="AT9122"/>
      <c r="AU9122"/>
      <c r="AV9122"/>
      <c r="AW9122"/>
      <c r="AX9122"/>
      <c r="AY9122"/>
      <c r="AZ9122"/>
      <c r="BA9122"/>
      <c r="BB9122"/>
      <c r="BC9122"/>
      <c r="BD9122"/>
      <c r="BE9122"/>
      <c r="BF9122"/>
      <c r="BG9122"/>
      <c r="BH9122"/>
      <c r="BI9122"/>
      <c r="BJ9122"/>
      <c r="BK9122"/>
    </row>
    <row r="9123" spans="1:63" s="93" customFormat="1" ht="9" customHeight="1" x14ac:dyDescent="0.3">
      <c r="A9123" s="91"/>
      <c r="B9123" s="70"/>
      <c r="C9123" s="70"/>
      <c r="D9123" s="70"/>
      <c r="E9123" s="70"/>
      <c r="F9123" s="70"/>
      <c r="G9123" s="94"/>
      <c r="H9123" s="131"/>
      <c r="I9123" s="3"/>
      <c r="J9123"/>
      <c r="K9123"/>
      <c r="L9123"/>
      <c r="M9123"/>
      <c r="N9123"/>
      <c r="O9123"/>
      <c r="P9123"/>
      <c r="Q9123"/>
      <c r="R9123"/>
      <c r="S9123"/>
      <c r="T9123"/>
      <c r="U9123"/>
      <c r="V9123"/>
      <c r="W9123"/>
      <c r="X9123"/>
      <c r="Y9123"/>
      <c r="Z9123"/>
      <c r="AA9123"/>
      <c r="AB9123"/>
      <c r="AC9123"/>
      <c r="AD9123"/>
      <c r="AE9123"/>
      <c r="AF9123"/>
      <c r="AG9123"/>
      <c r="AH9123"/>
      <c r="AI9123"/>
      <c r="AJ9123"/>
      <c r="AK9123"/>
      <c r="AL9123"/>
      <c r="AM9123"/>
      <c r="AN9123"/>
      <c r="AO9123"/>
      <c r="AP9123"/>
      <c r="AQ9123"/>
      <c r="AR9123"/>
      <c r="AS9123"/>
      <c r="AT9123"/>
      <c r="AU9123"/>
      <c r="AV9123"/>
      <c r="AW9123"/>
      <c r="AX9123"/>
      <c r="AY9123"/>
      <c r="AZ9123"/>
      <c r="BA9123"/>
      <c r="BB9123"/>
      <c r="BC9123"/>
      <c r="BD9123"/>
      <c r="BE9123"/>
      <c r="BF9123"/>
      <c r="BG9123"/>
      <c r="BH9123"/>
      <c r="BI9123"/>
      <c r="BJ9123"/>
      <c r="BK9123"/>
    </row>
    <row r="9124" spans="1:63" s="93" customFormat="1" ht="9" customHeight="1" x14ac:dyDescent="0.3">
      <c r="A9124" s="91"/>
      <c r="B9124" s="70"/>
      <c r="C9124" s="70"/>
      <c r="D9124" s="70"/>
      <c r="E9124" s="70"/>
      <c r="F9124" s="70"/>
      <c r="G9124" s="94"/>
      <c r="H9124" s="131"/>
      <c r="I9124" s="3"/>
      <c r="J9124"/>
      <c r="K9124"/>
      <c r="L9124"/>
      <c r="M9124"/>
      <c r="N9124"/>
      <c r="O9124"/>
      <c r="P9124"/>
      <c r="Q9124"/>
      <c r="R9124"/>
      <c r="S9124"/>
      <c r="T9124"/>
      <c r="U9124"/>
      <c r="V9124"/>
      <c r="W9124"/>
      <c r="X9124"/>
      <c r="Y9124"/>
      <c r="Z9124"/>
      <c r="AA9124"/>
      <c r="AB9124"/>
      <c r="AC9124"/>
      <c r="AD9124"/>
      <c r="AE9124"/>
      <c r="AF9124"/>
      <c r="AG9124"/>
      <c r="AH9124"/>
      <c r="AI9124"/>
      <c r="AJ9124"/>
      <c r="AK9124"/>
      <c r="AL9124"/>
      <c r="AM9124"/>
      <c r="AN9124"/>
      <c r="AO9124"/>
      <c r="AP9124"/>
      <c r="AQ9124"/>
      <c r="AR9124"/>
      <c r="AS9124"/>
      <c r="AT9124"/>
      <c r="AU9124"/>
      <c r="AV9124"/>
      <c r="AW9124"/>
      <c r="AX9124"/>
      <c r="AY9124"/>
      <c r="AZ9124"/>
      <c r="BA9124"/>
      <c r="BB9124"/>
      <c r="BC9124"/>
      <c r="BD9124"/>
      <c r="BE9124"/>
      <c r="BF9124"/>
      <c r="BG9124"/>
      <c r="BH9124"/>
      <c r="BI9124"/>
      <c r="BJ9124"/>
      <c r="BK9124"/>
    </row>
    <row r="9125" spans="1:63" s="93" customFormat="1" ht="9" customHeight="1" x14ac:dyDescent="0.3">
      <c r="A9125" s="91"/>
      <c r="B9125" s="70"/>
      <c r="C9125" s="70"/>
      <c r="D9125" s="70"/>
      <c r="E9125" s="70"/>
      <c r="F9125" s="70"/>
      <c r="G9125" s="94"/>
      <c r="H9125" s="131"/>
      <c r="I9125" s="3"/>
      <c r="J9125"/>
      <c r="K9125"/>
      <c r="L9125"/>
      <c r="M9125"/>
      <c r="N9125"/>
      <c r="O9125"/>
      <c r="P9125"/>
      <c r="Q9125"/>
      <c r="R9125"/>
      <c r="S9125"/>
      <c r="T9125"/>
      <c r="U9125"/>
      <c r="V9125"/>
      <c r="W9125"/>
      <c r="X9125"/>
      <c r="Y9125"/>
      <c r="Z9125"/>
      <c r="AA9125"/>
      <c r="AB9125"/>
      <c r="AC9125"/>
      <c r="AD9125"/>
      <c r="AE9125"/>
      <c r="AF9125"/>
      <c r="AG9125"/>
      <c r="AH9125"/>
      <c r="AI9125"/>
      <c r="AJ9125"/>
      <c r="AK9125"/>
      <c r="AL9125"/>
      <c r="AM9125"/>
      <c r="AN9125"/>
      <c r="AO9125"/>
      <c r="AP9125"/>
      <c r="AQ9125"/>
      <c r="AR9125"/>
      <c r="AS9125"/>
      <c r="AT9125"/>
      <c r="AU9125"/>
      <c r="AV9125"/>
      <c r="AW9125"/>
      <c r="AX9125"/>
      <c r="AY9125"/>
      <c r="AZ9125"/>
      <c r="BA9125"/>
      <c r="BB9125"/>
      <c r="BC9125"/>
      <c r="BD9125"/>
      <c r="BE9125"/>
      <c r="BF9125"/>
      <c r="BG9125"/>
      <c r="BH9125"/>
      <c r="BI9125"/>
      <c r="BJ9125"/>
      <c r="BK9125"/>
    </row>
    <row r="9126" spans="1:63" s="93" customFormat="1" ht="9" customHeight="1" x14ac:dyDescent="0.3">
      <c r="A9126" s="91"/>
      <c r="B9126" s="70"/>
      <c r="C9126" s="70"/>
      <c r="D9126" s="70"/>
      <c r="E9126" s="70"/>
      <c r="F9126" s="70"/>
      <c r="G9126" s="94"/>
      <c r="H9126" s="131"/>
      <c r="I9126" s="3"/>
      <c r="J9126"/>
      <c r="K9126"/>
      <c r="L9126"/>
      <c r="M9126"/>
      <c r="N9126"/>
      <c r="O9126"/>
      <c r="P9126"/>
      <c r="Q9126"/>
      <c r="R9126"/>
      <c r="S9126"/>
      <c r="T9126"/>
      <c r="U9126"/>
      <c r="V9126"/>
      <c r="W9126"/>
      <c r="X9126"/>
      <c r="Y9126"/>
      <c r="Z9126"/>
      <c r="AA9126"/>
      <c r="AB9126"/>
      <c r="AC9126"/>
      <c r="AD9126"/>
      <c r="AE9126"/>
      <c r="AF9126"/>
      <c r="AG9126"/>
      <c r="AH9126"/>
      <c r="AI9126"/>
      <c r="AJ9126"/>
      <c r="AK9126"/>
      <c r="AL9126"/>
      <c r="AM9126"/>
      <c r="AN9126"/>
      <c r="AO9126"/>
      <c r="AP9126"/>
      <c r="AQ9126"/>
      <c r="AR9126"/>
      <c r="AS9126"/>
      <c r="AT9126"/>
      <c r="AU9126"/>
      <c r="AV9126"/>
      <c r="AW9126"/>
      <c r="AX9126"/>
      <c r="AY9126"/>
      <c r="AZ9126"/>
      <c r="BA9126"/>
      <c r="BB9126"/>
      <c r="BC9126"/>
      <c r="BD9126"/>
      <c r="BE9126"/>
      <c r="BF9126"/>
      <c r="BG9126"/>
      <c r="BH9126"/>
      <c r="BI9126"/>
      <c r="BJ9126"/>
      <c r="BK9126"/>
    </row>
    <row r="9127" spans="1:63" s="93" customFormat="1" ht="9" customHeight="1" x14ac:dyDescent="0.3">
      <c r="A9127" s="91"/>
      <c r="B9127" s="70"/>
      <c r="C9127" s="70"/>
      <c r="D9127" s="70"/>
      <c r="E9127" s="70"/>
      <c r="F9127" s="70"/>
      <c r="G9127" s="94"/>
      <c r="H9127" s="131"/>
      <c r="I9127" s="3"/>
      <c r="J9127"/>
      <c r="K9127"/>
      <c r="L9127"/>
      <c r="M9127"/>
      <c r="N9127"/>
      <c r="O9127"/>
      <c r="P9127"/>
      <c r="Q9127"/>
      <c r="R9127"/>
      <c r="S9127"/>
      <c r="T9127"/>
      <c r="U9127"/>
      <c r="V9127"/>
      <c r="W9127"/>
      <c r="X9127"/>
      <c r="Y9127"/>
      <c r="Z9127"/>
      <c r="AA9127"/>
      <c r="AB9127"/>
      <c r="AC9127"/>
      <c r="AD9127"/>
      <c r="AE9127"/>
      <c r="AF9127"/>
      <c r="AG9127"/>
      <c r="AH9127"/>
      <c r="AI9127"/>
      <c r="AJ9127"/>
      <c r="AK9127"/>
      <c r="AL9127"/>
      <c r="AM9127"/>
      <c r="AN9127"/>
      <c r="AO9127"/>
      <c r="AP9127"/>
      <c r="AQ9127"/>
      <c r="AR9127"/>
      <c r="AS9127"/>
      <c r="AT9127"/>
      <c r="AU9127"/>
      <c r="AV9127"/>
      <c r="AW9127"/>
      <c r="AX9127"/>
      <c r="AY9127"/>
      <c r="AZ9127"/>
      <c r="BA9127"/>
      <c r="BB9127"/>
      <c r="BC9127"/>
      <c r="BD9127"/>
      <c r="BE9127"/>
      <c r="BF9127"/>
      <c r="BG9127"/>
      <c r="BH9127"/>
      <c r="BI9127"/>
      <c r="BJ9127"/>
      <c r="BK9127"/>
    </row>
    <row r="9128" spans="1:63" s="93" customFormat="1" ht="9" customHeight="1" x14ac:dyDescent="0.3">
      <c r="A9128" s="91"/>
      <c r="B9128" s="70"/>
      <c r="C9128" s="70"/>
      <c r="D9128" s="70"/>
      <c r="E9128" s="70"/>
      <c r="F9128" s="70"/>
      <c r="G9128" s="94"/>
      <c r="H9128" s="131"/>
      <c r="I9128" s="3"/>
      <c r="J9128"/>
      <c r="K9128"/>
      <c r="L9128"/>
      <c r="M9128"/>
      <c r="N9128"/>
      <c r="O9128"/>
      <c r="P9128"/>
      <c r="Q9128"/>
      <c r="R9128"/>
      <c r="S9128"/>
      <c r="T9128"/>
      <c r="U9128"/>
      <c r="V9128"/>
      <c r="W9128"/>
      <c r="X9128"/>
      <c r="Y9128"/>
      <c r="Z9128"/>
      <c r="AA9128"/>
      <c r="AB9128"/>
      <c r="AC9128"/>
      <c r="AD9128"/>
      <c r="AE9128"/>
      <c r="AF9128"/>
      <c r="AG9128"/>
      <c r="AH9128"/>
      <c r="AI9128"/>
      <c r="AJ9128"/>
      <c r="AK9128"/>
      <c r="AL9128"/>
      <c r="AM9128"/>
      <c r="AN9128"/>
      <c r="AO9128"/>
      <c r="AP9128"/>
      <c r="AQ9128"/>
      <c r="AR9128"/>
      <c r="AS9128"/>
      <c r="AT9128"/>
      <c r="AU9128"/>
      <c r="AV9128"/>
      <c r="AW9128"/>
      <c r="AX9128"/>
      <c r="AY9128"/>
      <c r="AZ9128"/>
      <c r="BA9128"/>
      <c r="BB9128"/>
      <c r="BC9128"/>
      <c r="BD9128"/>
      <c r="BE9128"/>
      <c r="BF9128"/>
      <c r="BG9128"/>
      <c r="BH9128"/>
      <c r="BI9128"/>
      <c r="BJ9128"/>
      <c r="BK9128"/>
    </row>
    <row r="9129" spans="1:63" s="93" customFormat="1" ht="9" customHeight="1" x14ac:dyDescent="0.3">
      <c r="A9129" s="91"/>
      <c r="B9129" s="70"/>
      <c r="C9129" s="70"/>
      <c r="D9129" s="70"/>
      <c r="E9129" s="70"/>
      <c r="F9129" s="70"/>
      <c r="G9129" s="94"/>
      <c r="H9129" s="131"/>
      <c r="I9129" s="3"/>
      <c r="J9129"/>
      <c r="K9129"/>
      <c r="L9129"/>
      <c r="M9129"/>
      <c r="N9129"/>
      <c r="O9129"/>
      <c r="P9129"/>
      <c r="Q9129"/>
      <c r="R9129"/>
      <c r="S9129"/>
      <c r="T9129"/>
      <c r="U9129"/>
      <c r="V9129"/>
      <c r="W9129"/>
      <c r="X9129"/>
      <c r="Y9129"/>
      <c r="Z9129"/>
      <c r="AA9129"/>
      <c r="AB9129"/>
      <c r="AC9129"/>
      <c r="AD9129"/>
      <c r="AE9129"/>
      <c r="AF9129"/>
      <c r="AG9129"/>
      <c r="AH9129"/>
      <c r="AI9129"/>
      <c r="AJ9129"/>
      <c r="AK9129"/>
      <c r="AL9129"/>
      <c r="AM9129"/>
      <c r="AN9129"/>
      <c r="AO9129"/>
      <c r="AP9129"/>
      <c r="AQ9129"/>
      <c r="AR9129"/>
      <c r="AS9129"/>
      <c r="AT9129"/>
      <c r="AU9129"/>
      <c r="AV9129"/>
      <c r="AW9129"/>
      <c r="AX9129"/>
      <c r="AY9129"/>
      <c r="AZ9129"/>
      <c r="BA9129"/>
      <c r="BB9129"/>
      <c r="BC9129"/>
      <c r="BD9129"/>
      <c r="BE9129"/>
      <c r="BF9129"/>
      <c r="BG9129"/>
      <c r="BH9129"/>
      <c r="BI9129"/>
      <c r="BJ9129"/>
      <c r="BK9129"/>
    </row>
    <row r="9130" spans="1:63" s="93" customFormat="1" ht="9" customHeight="1" x14ac:dyDescent="0.3">
      <c r="A9130" s="91"/>
      <c r="B9130" s="70"/>
      <c r="C9130" s="70"/>
      <c r="D9130" s="70"/>
      <c r="E9130" s="70"/>
      <c r="F9130" s="70"/>
      <c r="G9130" s="94"/>
      <c r="H9130" s="131"/>
      <c r="I9130" s="3"/>
      <c r="J9130"/>
      <c r="K9130"/>
      <c r="L9130"/>
      <c r="M9130"/>
      <c r="N9130"/>
      <c r="O9130"/>
      <c r="P9130"/>
      <c r="Q9130"/>
      <c r="R9130"/>
      <c r="S9130"/>
      <c r="T9130"/>
      <c r="U9130"/>
      <c r="V9130"/>
      <c r="W9130"/>
      <c r="X9130"/>
      <c r="Y9130"/>
      <c r="Z9130"/>
      <c r="AA9130"/>
      <c r="AB9130"/>
      <c r="AC9130"/>
      <c r="AD9130"/>
      <c r="AE9130"/>
      <c r="AF9130"/>
      <c r="AG9130"/>
      <c r="AH9130"/>
      <c r="AI9130"/>
      <c r="AJ9130"/>
      <c r="AK9130"/>
      <c r="AL9130"/>
      <c r="AM9130"/>
      <c r="AN9130"/>
      <c r="AO9130"/>
      <c r="AP9130"/>
      <c r="AQ9130"/>
      <c r="AR9130"/>
      <c r="AS9130"/>
      <c r="AT9130"/>
      <c r="AU9130"/>
      <c r="AV9130"/>
      <c r="AW9130"/>
      <c r="AX9130"/>
      <c r="AY9130"/>
      <c r="AZ9130"/>
      <c r="BA9130"/>
      <c r="BB9130"/>
      <c r="BC9130"/>
      <c r="BD9130"/>
      <c r="BE9130"/>
      <c r="BF9130"/>
      <c r="BG9130"/>
      <c r="BH9130"/>
      <c r="BI9130"/>
      <c r="BJ9130"/>
      <c r="BK9130"/>
    </row>
    <row r="9131" spans="1:63" s="93" customFormat="1" ht="9" customHeight="1" x14ac:dyDescent="0.3">
      <c r="A9131" s="91"/>
      <c r="B9131" s="70"/>
      <c r="C9131" s="70"/>
      <c r="D9131" s="70"/>
      <c r="E9131" s="70"/>
      <c r="F9131" s="70"/>
      <c r="G9131" s="94"/>
      <c r="H9131" s="131"/>
      <c r="I9131" s="3"/>
      <c r="J9131"/>
      <c r="K9131"/>
      <c r="L9131"/>
      <c r="M9131"/>
      <c r="N9131"/>
      <c r="O9131"/>
      <c r="P9131"/>
      <c r="Q9131"/>
      <c r="R9131"/>
      <c r="S9131"/>
      <c r="T9131"/>
      <c r="U9131"/>
      <c r="V9131"/>
      <c r="W9131"/>
      <c r="X9131"/>
      <c r="Y9131"/>
      <c r="Z9131"/>
      <c r="AA9131"/>
      <c r="AB9131"/>
      <c r="AC9131"/>
      <c r="AD9131"/>
      <c r="AE9131"/>
      <c r="AF9131"/>
      <c r="AG9131"/>
      <c r="AH9131"/>
      <c r="AI9131"/>
      <c r="AJ9131"/>
      <c r="AK9131"/>
      <c r="AL9131"/>
      <c r="AM9131"/>
      <c r="AN9131"/>
      <c r="AO9131"/>
      <c r="AP9131"/>
      <c r="AQ9131"/>
      <c r="AR9131"/>
      <c r="AS9131"/>
      <c r="AT9131"/>
      <c r="AU9131"/>
      <c r="AV9131"/>
      <c r="AW9131"/>
      <c r="AX9131"/>
      <c r="AY9131"/>
      <c r="AZ9131"/>
      <c r="BA9131"/>
      <c r="BB9131"/>
      <c r="BC9131"/>
      <c r="BD9131"/>
      <c r="BE9131"/>
      <c r="BF9131"/>
      <c r="BG9131"/>
      <c r="BH9131"/>
      <c r="BI9131"/>
      <c r="BJ9131"/>
      <c r="BK9131"/>
    </row>
    <row r="9132" spans="1:63" s="93" customFormat="1" ht="9" customHeight="1" x14ac:dyDescent="0.3">
      <c r="A9132" s="91"/>
      <c r="B9132" s="70"/>
      <c r="C9132" s="70"/>
      <c r="D9132" s="70"/>
      <c r="E9132" s="70"/>
      <c r="F9132" s="70"/>
      <c r="G9132" s="94"/>
      <c r="H9132" s="131"/>
      <c r="I9132" s="3"/>
      <c r="J9132"/>
      <c r="K9132"/>
      <c r="L9132"/>
      <c r="M9132"/>
      <c r="N9132"/>
      <c r="O9132"/>
      <c r="P9132"/>
      <c r="Q9132"/>
      <c r="R9132"/>
      <c r="S9132"/>
      <c r="T9132"/>
      <c r="U9132"/>
      <c r="V9132"/>
      <c r="W9132"/>
      <c r="X9132"/>
      <c r="Y9132"/>
      <c r="Z9132"/>
      <c r="AA9132"/>
      <c r="AB9132"/>
      <c r="AC9132"/>
      <c r="AD9132"/>
      <c r="AE9132"/>
      <c r="AF9132"/>
      <c r="AG9132"/>
      <c r="AH9132"/>
      <c r="AI9132"/>
      <c r="AJ9132"/>
      <c r="AK9132"/>
      <c r="AL9132"/>
      <c r="AM9132"/>
      <c r="AN9132"/>
      <c r="AO9132"/>
      <c r="AP9132"/>
      <c r="AQ9132"/>
      <c r="AR9132"/>
      <c r="AS9132"/>
      <c r="AT9132"/>
      <c r="AU9132"/>
      <c r="AV9132"/>
      <c r="AW9132"/>
      <c r="AX9132"/>
      <c r="AY9132"/>
      <c r="AZ9132"/>
      <c r="BA9132"/>
      <c r="BB9132"/>
      <c r="BC9132"/>
      <c r="BD9132"/>
      <c r="BE9132"/>
      <c r="BF9132"/>
      <c r="BG9132"/>
      <c r="BH9132"/>
      <c r="BI9132"/>
      <c r="BJ9132"/>
      <c r="BK9132"/>
    </row>
    <row r="9133" spans="1:63" s="93" customFormat="1" ht="9" customHeight="1" x14ac:dyDescent="0.3">
      <c r="A9133" s="91"/>
      <c r="B9133" s="70"/>
      <c r="C9133" s="70"/>
      <c r="D9133" s="70"/>
      <c r="E9133" s="70"/>
      <c r="F9133" s="70"/>
      <c r="G9133" s="94"/>
      <c r="H9133" s="131"/>
      <c r="I9133" s="3"/>
      <c r="J9133"/>
      <c r="K9133"/>
      <c r="L9133"/>
      <c r="M9133"/>
      <c r="N9133"/>
      <c r="O9133"/>
      <c r="P9133"/>
      <c r="Q9133"/>
      <c r="R9133"/>
      <c r="S9133"/>
      <c r="T9133"/>
      <c r="U9133"/>
      <c r="V9133"/>
      <c r="W9133"/>
      <c r="X9133"/>
      <c r="Y9133"/>
      <c r="Z9133"/>
      <c r="AA9133"/>
      <c r="AB9133"/>
      <c r="AC9133"/>
      <c r="AD9133"/>
      <c r="AE9133"/>
      <c r="AF9133"/>
      <c r="AG9133"/>
      <c r="AH9133"/>
      <c r="AI9133"/>
      <c r="AJ9133"/>
      <c r="AK9133"/>
      <c r="AL9133"/>
      <c r="AM9133"/>
      <c r="AN9133"/>
      <c r="AO9133"/>
      <c r="AP9133"/>
      <c r="AQ9133"/>
      <c r="AR9133"/>
      <c r="AS9133"/>
      <c r="AT9133"/>
      <c r="AU9133"/>
      <c r="AV9133"/>
      <c r="AW9133"/>
      <c r="AX9133"/>
      <c r="AY9133"/>
      <c r="AZ9133"/>
      <c r="BA9133"/>
      <c r="BB9133"/>
      <c r="BC9133"/>
      <c r="BD9133"/>
      <c r="BE9133"/>
      <c r="BF9133"/>
      <c r="BG9133"/>
      <c r="BH9133"/>
      <c r="BI9133"/>
      <c r="BJ9133"/>
      <c r="BK9133"/>
    </row>
    <row r="9134" spans="1:63" s="93" customFormat="1" ht="9" customHeight="1" x14ac:dyDescent="0.3">
      <c r="A9134" s="91"/>
      <c r="B9134" s="70"/>
      <c r="C9134" s="70"/>
      <c r="D9134" s="70"/>
      <c r="E9134" s="70"/>
      <c r="F9134" s="70"/>
      <c r="G9134" s="94"/>
      <c r="H9134" s="131"/>
      <c r="I9134" s="3"/>
      <c r="J9134"/>
      <c r="K9134"/>
      <c r="L9134"/>
      <c r="M9134"/>
      <c r="N9134"/>
      <c r="O9134"/>
      <c r="P9134"/>
      <c r="Q9134"/>
      <c r="R9134"/>
      <c r="S9134"/>
      <c r="T9134"/>
      <c r="U9134"/>
      <c r="V9134"/>
      <c r="W9134"/>
      <c r="X9134"/>
      <c r="Y9134"/>
      <c r="Z9134"/>
      <c r="AA9134"/>
      <c r="AB9134"/>
      <c r="AC9134"/>
      <c r="AD9134"/>
      <c r="AE9134"/>
      <c r="AF9134"/>
      <c r="AG9134"/>
      <c r="AH9134"/>
      <c r="AI9134"/>
      <c r="AJ9134"/>
      <c r="AK9134"/>
      <c r="AL9134"/>
      <c r="AM9134"/>
      <c r="AN9134"/>
      <c r="AO9134"/>
      <c r="AP9134"/>
      <c r="AQ9134"/>
      <c r="AR9134"/>
      <c r="AS9134"/>
      <c r="AT9134"/>
      <c r="AU9134"/>
      <c r="AV9134"/>
      <c r="AW9134"/>
      <c r="AX9134"/>
      <c r="AY9134"/>
      <c r="AZ9134"/>
      <c r="BA9134"/>
      <c r="BB9134"/>
      <c r="BC9134"/>
      <c r="BD9134"/>
      <c r="BE9134"/>
      <c r="BF9134"/>
      <c r="BG9134"/>
      <c r="BH9134"/>
      <c r="BI9134"/>
      <c r="BJ9134"/>
      <c r="BK9134"/>
    </row>
    <row r="9135" spans="1:63" s="93" customFormat="1" ht="9" customHeight="1" x14ac:dyDescent="0.3">
      <c r="A9135" s="91"/>
      <c r="B9135" s="70"/>
      <c r="C9135" s="70"/>
      <c r="D9135" s="70"/>
      <c r="E9135" s="70"/>
      <c r="F9135" s="70"/>
      <c r="G9135" s="94"/>
      <c r="H9135" s="131"/>
      <c r="I9135" s="3"/>
      <c r="J9135"/>
      <c r="K9135"/>
      <c r="L9135"/>
      <c r="M9135"/>
      <c r="N9135"/>
      <c r="O9135"/>
      <c r="P9135"/>
      <c r="Q9135"/>
      <c r="R9135"/>
      <c r="S9135"/>
      <c r="T9135"/>
      <c r="U9135"/>
      <c r="V9135"/>
      <c r="W9135"/>
      <c r="X9135"/>
      <c r="Y9135"/>
      <c r="Z9135"/>
      <c r="AA9135"/>
      <c r="AB9135"/>
      <c r="AC9135"/>
      <c r="AD9135"/>
      <c r="AE9135"/>
      <c r="AF9135"/>
      <c r="AG9135"/>
      <c r="AH9135"/>
      <c r="AI9135"/>
      <c r="AJ9135"/>
      <c r="AK9135"/>
      <c r="AL9135"/>
      <c r="AM9135"/>
      <c r="AN9135"/>
      <c r="AO9135"/>
      <c r="AP9135"/>
      <c r="AQ9135"/>
      <c r="AR9135"/>
      <c r="AS9135"/>
      <c r="AT9135"/>
      <c r="AU9135"/>
      <c r="AV9135"/>
      <c r="AW9135"/>
      <c r="AX9135"/>
      <c r="AY9135"/>
      <c r="AZ9135"/>
      <c r="BA9135"/>
      <c r="BB9135"/>
      <c r="BC9135"/>
      <c r="BD9135"/>
      <c r="BE9135"/>
      <c r="BF9135"/>
      <c r="BG9135"/>
      <c r="BH9135"/>
      <c r="BI9135"/>
      <c r="BJ9135"/>
      <c r="BK9135"/>
    </row>
    <row r="9136" spans="1:63" s="93" customFormat="1" ht="9" customHeight="1" x14ac:dyDescent="0.3">
      <c r="A9136" s="91"/>
      <c r="B9136" s="70"/>
      <c r="C9136" s="70"/>
      <c r="D9136" s="70"/>
      <c r="E9136" s="70"/>
      <c r="F9136" s="70"/>
      <c r="G9136" s="94"/>
      <c r="H9136" s="131"/>
      <c r="I9136" s="3"/>
      <c r="J9136"/>
      <c r="K9136"/>
      <c r="L9136"/>
      <c r="M9136"/>
      <c r="N9136"/>
      <c r="O9136"/>
      <c r="P9136"/>
      <c r="Q9136"/>
      <c r="R9136"/>
      <c r="S9136"/>
      <c r="T9136"/>
      <c r="U9136"/>
      <c r="V9136"/>
      <c r="W9136"/>
      <c r="X9136"/>
      <c r="Y9136"/>
      <c r="Z9136"/>
      <c r="AA9136"/>
      <c r="AB9136"/>
      <c r="AC9136"/>
      <c r="AD9136"/>
      <c r="AE9136"/>
      <c r="AF9136"/>
      <c r="AG9136"/>
      <c r="AH9136"/>
      <c r="AI9136"/>
      <c r="AJ9136"/>
      <c r="AK9136"/>
      <c r="AL9136"/>
      <c r="AM9136"/>
      <c r="AN9136"/>
      <c r="AO9136"/>
      <c r="AP9136"/>
      <c r="AQ9136"/>
      <c r="AR9136"/>
      <c r="AS9136"/>
      <c r="AT9136"/>
      <c r="AU9136"/>
      <c r="AV9136"/>
      <c r="AW9136"/>
      <c r="AX9136"/>
      <c r="AY9136"/>
      <c r="AZ9136"/>
      <c r="BA9136"/>
      <c r="BB9136"/>
      <c r="BC9136"/>
      <c r="BD9136"/>
      <c r="BE9136"/>
      <c r="BF9136"/>
      <c r="BG9136"/>
      <c r="BH9136"/>
      <c r="BI9136"/>
      <c r="BJ9136"/>
      <c r="BK9136"/>
    </row>
    <row r="9137" spans="1:63" s="93" customFormat="1" ht="9" customHeight="1" x14ac:dyDescent="0.3">
      <c r="A9137" s="91"/>
      <c r="B9137" s="70"/>
      <c r="C9137" s="70"/>
      <c r="D9137" s="70"/>
      <c r="E9137" s="70"/>
      <c r="F9137" s="70"/>
      <c r="G9137" s="94"/>
      <c r="H9137" s="131"/>
      <c r="I9137" s="3"/>
      <c r="J9137"/>
      <c r="K9137"/>
      <c r="L9137"/>
      <c r="M9137"/>
      <c r="N9137"/>
      <c r="O9137"/>
      <c r="P9137"/>
      <c r="Q9137"/>
      <c r="R9137"/>
      <c r="S9137"/>
      <c r="T9137"/>
      <c r="U9137"/>
      <c r="V9137"/>
      <c r="W9137"/>
      <c r="X9137"/>
      <c r="Y9137"/>
      <c r="Z9137"/>
      <c r="AA9137"/>
      <c r="AB9137"/>
      <c r="AC9137"/>
      <c r="AD9137"/>
      <c r="AE9137"/>
      <c r="AF9137"/>
      <c r="AG9137"/>
      <c r="AH9137"/>
      <c r="AI9137"/>
      <c r="AJ9137"/>
      <c r="AK9137"/>
      <c r="AL9137"/>
      <c r="AM9137"/>
      <c r="AN9137"/>
      <c r="AO9137"/>
      <c r="AP9137"/>
      <c r="AQ9137"/>
      <c r="AR9137"/>
      <c r="AS9137"/>
      <c r="AT9137"/>
      <c r="AU9137"/>
      <c r="AV9137"/>
      <c r="AW9137"/>
      <c r="AX9137"/>
      <c r="AY9137"/>
      <c r="AZ9137"/>
      <c r="BA9137"/>
      <c r="BB9137"/>
      <c r="BC9137"/>
      <c r="BD9137"/>
      <c r="BE9137"/>
      <c r="BF9137"/>
      <c r="BG9137"/>
      <c r="BH9137"/>
      <c r="BI9137"/>
      <c r="BJ9137"/>
      <c r="BK9137"/>
    </row>
    <row r="9138" spans="1:63" s="93" customFormat="1" ht="9" customHeight="1" x14ac:dyDescent="0.3">
      <c r="A9138" s="91"/>
      <c r="B9138" s="70"/>
      <c r="C9138" s="70"/>
      <c r="D9138" s="70"/>
      <c r="E9138" s="70"/>
      <c r="F9138" s="70"/>
      <c r="G9138" s="94"/>
      <c r="H9138" s="131"/>
      <c r="I9138" s="3"/>
      <c r="J9138"/>
      <c r="K9138"/>
      <c r="L9138"/>
      <c r="M9138"/>
      <c r="N9138"/>
      <c r="O9138"/>
      <c r="P9138"/>
      <c r="Q9138"/>
      <c r="R9138"/>
      <c r="S9138"/>
      <c r="T9138"/>
      <c r="U9138"/>
      <c r="V9138"/>
      <c r="W9138"/>
      <c r="X9138"/>
      <c r="Y9138"/>
      <c r="Z9138"/>
      <c r="AA9138"/>
      <c r="AB9138"/>
      <c r="AC9138"/>
      <c r="AD9138"/>
      <c r="AE9138"/>
      <c r="AF9138"/>
      <c r="AG9138"/>
      <c r="AH9138"/>
      <c r="AI9138"/>
      <c r="AJ9138"/>
      <c r="AK9138"/>
      <c r="AL9138"/>
      <c r="AM9138"/>
      <c r="AN9138"/>
      <c r="AO9138"/>
      <c r="AP9138"/>
      <c r="AQ9138"/>
      <c r="AR9138"/>
      <c r="AS9138"/>
      <c r="AT9138"/>
      <c r="AU9138"/>
      <c r="AV9138"/>
      <c r="AW9138"/>
      <c r="AX9138"/>
      <c r="AY9138"/>
      <c r="AZ9138"/>
      <c r="BA9138"/>
      <c r="BB9138"/>
      <c r="BC9138"/>
      <c r="BD9138"/>
      <c r="BE9138"/>
      <c r="BF9138"/>
      <c r="BG9138"/>
      <c r="BH9138"/>
      <c r="BI9138"/>
      <c r="BJ9138"/>
      <c r="BK9138"/>
    </row>
    <row r="9139" spans="1:63" s="93" customFormat="1" ht="9" customHeight="1" x14ac:dyDescent="0.3">
      <c r="A9139" s="91"/>
      <c r="B9139" s="70"/>
      <c r="C9139" s="70"/>
      <c r="D9139" s="70"/>
      <c r="E9139" s="70"/>
      <c r="F9139" s="70"/>
      <c r="G9139" s="94"/>
      <c r="H9139" s="131"/>
      <c r="I9139" s="3"/>
      <c r="J9139"/>
      <c r="K9139"/>
      <c r="L9139"/>
      <c r="M9139"/>
      <c r="N9139"/>
      <c r="O9139"/>
      <c r="P9139"/>
      <c r="Q9139"/>
      <c r="R9139"/>
      <c r="S9139"/>
      <c r="T9139"/>
      <c r="U9139"/>
      <c r="V9139"/>
      <c r="W9139"/>
      <c r="X9139"/>
      <c r="Y9139"/>
      <c r="Z9139"/>
      <c r="AA9139"/>
      <c r="AB9139"/>
      <c r="AC9139"/>
      <c r="AD9139"/>
      <c r="AE9139"/>
      <c r="AF9139"/>
      <c r="AG9139"/>
      <c r="AH9139"/>
      <c r="AI9139"/>
      <c r="AJ9139"/>
      <c r="AK9139"/>
      <c r="AL9139"/>
      <c r="AM9139"/>
      <c r="AN9139"/>
      <c r="AO9139"/>
      <c r="AP9139"/>
      <c r="AQ9139"/>
      <c r="AR9139"/>
      <c r="AS9139"/>
      <c r="AT9139"/>
      <c r="AU9139"/>
      <c r="AV9139"/>
      <c r="AW9139"/>
      <c r="AX9139"/>
      <c r="AY9139"/>
      <c r="AZ9139"/>
      <c r="BA9139"/>
      <c r="BB9139"/>
      <c r="BC9139"/>
      <c r="BD9139"/>
      <c r="BE9139"/>
      <c r="BF9139"/>
      <c r="BG9139"/>
      <c r="BH9139"/>
      <c r="BI9139"/>
      <c r="BJ9139"/>
      <c r="BK9139"/>
    </row>
    <row r="9140" spans="1:63" s="93" customFormat="1" ht="9" customHeight="1" x14ac:dyDescent="0.3">
      <c r="A9140" s="91"/>
      <c r="B9140" s="70"/>
      <c r="C9140" s="70"/>
      <c r="D9140" s="70"/>
      <c r="E9140" s="70"/>
      <c r="F9140" s="70"/>
      <c r="G9140" s="94"/>
      <c r="H9140" s="131"/>
      <c r="I9140" s="3"/>
      <c r="J9140"/>
      <c r="K9140"/>
      <c r="L9140"/>
      <c r="M9140"/>
      <c r="N9140"/>
      <c r="O9140"/>
      <c r="P9140"/>
      <c r="Q9140"/>
      <c r="R9140"/>
      <c r="S9140"/>
      <c r="T9140"/>
      <c r="U9140"/>
      <c r="V9140"/>
      <c r="W9140"/>
      <c r="X9140"/>
      <c r="Y9140"/>
      <c r="Z9140"/>
      <c r="AA9140"/>
      <c r="AB9140"/>
      <c r="AC9140"/>
      <c r="AD9140"/>
      <c r="AE9140"/>
      <c r="AF9140"/>
      <c r="AG9140"/>
      <c r="AH9140"/>
      <c r="AI9140"/>
      <c r="AJ9140"/>
      <c r="AK9140"/>
      <c r="AL9140"/>
      <c r="AM9140"/>
      <c r="AN9140"/>
      <c r="AO9140"/>
      <c r="AP9140"/>
      <c r="AQ9140"/>
      <c r="AR9140"/>
      <c r="AS9140"/>
      <c r="AT9140"/>
      <c r="AU9140"/>
      <c r="AV9140"/>
      <c r="AW9140"/>
      <c r="AX9140"/>
      <c r="AY9140"/>
      <c r="AZ9140"/>
      <c r="BA9140"/>
      <c r="BB9140"/>
      <c r="BC9140"/>
      <c r="BD9140"/>
      <c r="BE9140"/>
      <c r="BF9140"/>
      <c r="BG9140"/>
      <c r="BH9140"/>
      <c r="BI9140"/>
      <c r="BJ9140"/>
      <c r="BK9140"/>
    </row>
    <row r="9141" spans="1:63" s="93" customFormat="1" ht="9" customHeight="1" x14ac:dyDescent="0.3">
      <c r="A9141" s="91"/>
      <c r="B9141" s="70"/>
      <c r="C9141" s="70"/>
      <c r="D9141" s="70"/>
      <c r="E9141" s="70"/>
      <c r="F9141" s="70"/>
      <c r="G9141" s="94"/>
      <c r="H9141" s="131"/>
      <c r="I9141" s="3"/>
      <c r="J9141"/>
      <c r="K9141"/>
      <c r="L9141"/>
      <c r="M9141"/>
      <c r="N9141"/>
      <c r="O9141"/>
      <c r="P9141"/>
      <c r="Q9141"/>
      <c r="R9141"/>
      <c r="S9141"/>
      <c r="T9141"/>
      <c r="U9141"/>
      <c r="V9141"/>
      <c r="W9141"/>
      <c r="X9141"/>
      <c r="Y9141"/>
      <c r="Z9141"/>
      <c r="AA9141"/>
      <c r="AB9141"/>
      <c r="AC9141"/>
      <c r="AD9141"/>
      <c r="AE9141"/>
      <c r="AF9141"/>
      <c r="AG9141"/>
      <c r="AH9141"/>
      <c r="AI9141"/>
      <c r="AJ9141"/>
      <c r="AK9141"/>
      <c r="AL9141"/>
      <c r="AM9141"/>
      <c r="AN9141"/>
      <c r="AO9141"/>
      <c r="AP9141"/>
      <c r="AQ9141"/>
      <c r="AR9141"/>
      <c r="AS9141"/>
      <c r="AT9141"/>
      <c r="AU9141"/>
      <c r="AV9141"/>
      <c r="AW9141"/>
      <c r="AX9141"/>
      <c r="AY9141"/>
      <c r="AZ9141"/>
      <c r="BA9141"/>
      <c r="BB9141"/>
      <c r="BC9141"/>
      <c r="BD9141"/>
      <c r="BE9141"/>
      <c r="BF9141"/>
      <c r="BG9141"/>
      <c r="BH9141"/>
      <c r="BI9141"/>
      <c r="BJ9141"/>
      <c r="BK9141"/>
    </row>
    <row r="9142" spans="1:63" s="93" customFormat="1" ht="9" customHeight="1" x14ac:dyDescent="0.3">
      <c r="A9142" s="91"/>
      <c r="B9142" s="70"/>
      <c r="C9142" s="70"/>
      <c r="D9142" s="70"/>
      <c r="E9142" s="70"/>
      <c r="F9142" s="70"/>
      <c r="G9142" s="94"/>
      <c r="H9142" s="131"/>
      <c r="I9142" s="3"/>
      <c r="J9142"/>
      <c r="K9142"/>
      <c r="L9142"/>
      <c r="M9142"/>
      <c r="N9142"/>
      <c r="O9142"/>
      <c r="P9142"/>
      <c r="Q9142"/>
      <c r="R9142"/>
      <c r="S9142"/>
      <c r="T9142"/>
      <c r="U9142"/>
      <c r="V9142"/>
      <c r="W9142"/>
      <c r="X9142"/>
      <c r="Y9142"/>
      <c r="Z9142"/>
      <c r="AA9142"/>
      <c r="AB9142"/>
      <c r="AC9142"/>
      <c r="AD9142"/>
      <c r="AE9142"/>
      <c r="AF9142"/>
      <c r="AG9142"/>
      <c r="AH9142"/>
      <c r="AI9142"/>
      <c r="AJ9142"/>
      <c r="AK9142"/>
      <c r="AL9142"/>
      <c r="AM9142"/>
      <c r="AN9142"/>
      <c r="AO9142"/>
      <c r="AP9142"/>
      <c r="AQ9142"/>
      <c r="AR9142"/>
      <c r="AS9142"/>
      <c r="AT9142"/>
      <c r="AU9142"/>
      <c r="AV9142"/>
      <c r="AW9142"/>
      <c r="AX9142"/>
      <c r="AY9142"/>
      <c r="AZ9142"/>
      <c r="BA9142"/>
      <c r="BB9142"/>
      <c r="BC9142"/>
      <c r="BD9142"/>
      <c r="BE9142"/>
      <c r="BF9142"/>
      <c r="BG9142"/>
      <c r="BH9142"/>
      <c r="BI9142"/>
      <c r="BJ9142"/>
      <c r="BK9142"/>
    </row>
    <row r="9143" spans="1:63" s="93" customFormat="1" ht="9" customHeight="1" x14ac:dyDescent="0.3">
      <c r="A9143" s="91"/>
      <c r="B9143" s="70"/>
      <c r="C9143" s="70"/>
      <c r="D9143" s="70"/>
      <c r="E9143" s="70"/>
      <c r="F9143" s="70"/>
      <c r="G9143" s="94"/>
      <c r="H9143" s="131"/>
      <c r="I9143" s="3"/>
      <c r="J9143"/>
      <c r="K9143"/>
      <c r="L9143"/>
      <c r="M9143"/>
      <c r="N9143"/>
      <c r="O9143"/>
      <c r="P9143"/>
      <c r="Q9143"/>
      <c r="R9143"/>
      <c r="S9143"/>
      <c r="T9143"/>
      <c r="U9143"/>
      <c r="V9143"/>
      <c r="W9143"/>
      <c r="X9143"/>
      <c r="Y9143"/>
      <c r="Z9143"/>
      <c r="AA9143"/>
      <c r="AB9143"/>
      <c r="AC9143"/>
      <c r="AD9143"/>
      <c r="AE9143"/>
      <c r="AF9143"/>
      <c r="AG9143"/>
      <c r="AH9143"/>
      <c r="AI9143"/>
      <c r="AJ9143"/>
      <c r="AK9143"/>
      <c r="AL9143"/>
      <c r="AM9143"/>
      <c r="AN9143"/>
      <c r="AO9143"/>
      <c r="AP9143"/>
      <c r="AQ9143"/>
      <c r="AR9143"/>
      <c r="AS9143"/>
      <c r="AT9143"/>
      <c r="AU9143"/>
      <c r="AV9143"/>
      <c r="AW9143"/>
      <c r="AX9143"/>
      <c r="AY9143"/>
      <c r="AZ9143"/>
      <c r="BA9143"/>
      <c r="BB9143"/>
      <c r="BC9143"/>
      <c r="BD9143"/>
      <c r="BE9143"/>
      <c r="BF9143"/>
      <c r="BG9143"/>
      <c r="BH9143"/>
      <c r="BI9143"/>
      <c r="BJ9143"/>
      <c r="BK9143"/>
    </row>
    <row r="9144" spans="1:63" s="93" customFormat="1" ht="9" customHeight="1" x14ac:dyDescent="0.3">
      <c r="A9144" s="91"/>
      <c r="B9144" s="70"/>
      <c r="C9144" s="70"/>
      <c r="D9144" s="70"/>
      <c r="E9144" s="70"/>
      <c r="F9144" s="70"/>
      <c r="G9144" s="94"/>
      <c r="H9144" s="131"/>
      <c r="I9144" s="3"/>
      <c r="J9144"/>
      <c r="K9144"/>
      <c r="L9144"/>
      <c r="M9144"/>
      <c r="N9144"/>
      <c r="O9144"/>
      <c r="P9144"/>
      <c r="Q9144"/>
      <c r="R9144"/>
      <c r="S9144"/>
      <c r="T9144"/>
      <c r="U9144"/>
      <c r="V9144"/>
      <c r="W9144"/>
      <c r="X9144"/>
      <c r="Y9144"/>
      <c r="Z9144"/>
      <c r="AA9144"/>
      <c r="AB9144"/>
      <c r="AC9144"/>
      <c r="AD9144"/>
      <c r="AE9144"/>
      <c r="AF9144"/>
      <c r="AG9144"/>
      <c r="AH9144"/>
      <c r="AI9144"/>
      <c r="AJ9144"/>
      <c r="AK9144"/>
      <c r="AL9144"/>
      <c r="AM9144"/>
      <c r="AN9144"/>
      <c r="AO9144"/>
      <c r="AP9144"/>
      <c r="AQ9144"/>
      <c r="AR9144"/>
      <c r="AS9144"/>
      <c r="AT9144"/>
      <c r="AU9144"/>
      <c r="AV9144"/>
      <c r="AW9144"/>
      <c r="AX9144"/>
      <c r="AY9144"/>
      <c r="AZ9144"/>
      <c r="BA9144"/>
      <c r="BB9144"/>
      <c r="BC9144"/>
      <c r="BD9144"/>
      <c r="BE9144"/>
      <c r="BF9144"/>
      <c r="BG9144"/>
      <c r="BH9144"/>
      <c r="BI9144"/>
      <c r="BJ9144"/>
      <c r="BK9144"/>
    </row>
    <row r="9145" spans="1:63" s="93" customFormat="1" ht="9" customHeight="1" x14ac:dyDescent="0.3">
      <c r="A9145" s="91"/>
      <c r="B9145" s="70"/>
      <c r="C9145" s="70"/>
      <c r="D9145" s="70"/>
      <c r="E9145" s="70"/>
      <c r="F9145" s="70"/>
      <c r="G9145" s="94"/>
      <c r="H9145" s="131"/>
      <c r="I9145" s="3"/>
      <c r="J9145"/>
      <c r="K9145"/>
      <c r="L9145"/>
      <c r="M9145"/>
      <c r="N9145"/>
      <c r="O9145"/>
      <c r="P9145"/>
      <c r="Q9145"/>
      <c r="R9145"/>
      <c r="S9145"/>
      <c r="T9145"/>
      <c r="U9145"/>
      <c r="V9145"/>
      <c r="W9145"/>
      <c r="X9145"/>
      <c r="Y9145"/>
      <c r="Z9145"/>
      <c r="AA9145"/>
      <c r="AB9145"/>
      <c r="AC9145"/>
      <c r="AD9145"/>
      <c r="AE9145"/>
      <c r="AF9145"/>
      <c r="AG9145"/>
      <c r="AH9145"/>
      <c r="AI9145"/>
      <c r="AJ9145"/>
      <c r="AK9145"/>
      <c r="AL9145"/>
      <c r="AM9145"/>
      <c r="AN9145"/>
      <c r="AO9145"/>
      <c r="AP9145"/>
      <c r="AQ9145"/>
      <c r="AR9145"/>
      <c r="AS9145"/>
      <c r="AT9145"/>
      <c r="AU9145"/>
      <c r="AV9145"/>
      <c r="AW9145"/>
      <c r="AX9145"/>
      <c r="AY9145"/>
      <c r="AZ9145"/>
      <c r="BA9145"/>
      <c r="BB9145"/>
      <c r="BC9145"/>
      <c r="BD9145"/>
      <c r="BE9145"/>
      <c r="BF9145"/>
      <c r="BG9145"/>
      <c r="BH9145"/>
      <c r="BI9145"/>
      <c r="BJ9145"/>
      <c r="BK9145"/>
    </row>
    <row r="9146" spans="1:63" s="93" customFormat="1" ht="9" customHeight="1" x14ac:dyDescent="0.3">
      <c r="A9146" s="91"/>
      <c r="B9146" s="70"/>
      <c r="C9146" s="70"/>
      <c r="D9146" s="70"/>
      <c r="E9146" s="70"/>
      <c r="F9146" s="70"/>
      <c r="G9146" s="94"/>
      <c r="H9146" s="131"/>
      <c r="I9146" s="3"/>
      <c r="J9146"/>
      <c r="K9146"/>
      <c r="L9146"/>
      <c r="M9146"/>
      <c r="N9146"/>
      <c r="O9146"/>
      <c r="P9146"/>
      <c r="Q9146"/>
      <c r="R9146"/>
      <c r="S9146"/>
      <c r="T9146"/>
      <c r="U9146"/>
      <c r="V9146"/>
      <c r="W9146"/>
      <c r="X9146"/>
      <c r="Y9146"/>
      <c r="Z9146"/>
      <c r="AA9146"/>
      <c r="AB9146"/>
      <c r="AC9146"/>
      <c r="AD9146"/>
      <c r="AE9146"/>
      <c r="AF9146"/>
      <c r="AG9146"/>
      <c r="AH9146"/>
      <c r="AI9146"/>
      <c r="AJ9146"/>
      <c r="AK9146"/>
      <c r="AL9146"/>
      <c r="AM9146"/>
      <c r="AN9146"/>
      <c r="AO9146"/>
      <c r="AP9146"/>
      <c r="AQ9146"/>
      <c r="AR9146"/>
      <c r="AS9146"/>
      <c r="AT9146"/>
      <c r="AU9146"/>
      <c r="AV9146"/>
      <c r="AW9146"/>
      <c r="AX9146"/>
      <c r="AY9146"/>
      <c r="AZ9146"/>
      <c r="BA9146"/>
      <c r="BB9146"/>
      <c r="BC9146"/>
      <c r="BD9146"/>
      <c r="BE9146"/>
      <c r="BF9146"/>
      <c r="BG9146"/>
      <c r="BH9146"/>
      <c r="BI9146"/>
      <c r="BJ9146"/>
      <c r="BK9146"/>
    </row>
    <row r="9147" spans="1:63" s="93" customFormat="1" ht="9" customHeight="1" x14ac:dyDescent="0.3">
      <c r="A9147" s="91"/>
      <c r="B9147" s="70"/>
      <c r="C9147" s="70"/>
      <c r="D9147" s="70"/>
      <c r="E9147" s="70"/>
      <c r="F9147" s="70"/>
      <c r="G9147" s="94"/>
      <c r="H9147" s="131"/>
      <c r="I9147" s="3"/>
      <c r="J9147"/>
      <c r="K9147"/>
      <c r="L9147"/>
      <c r="M9147"/>
      <c r="N9147"/>
      <c r="O9147"/>
      <c r="P9147"/>
      <c r="Q9147"/>
      <c r="R9147"/>
      <c r="S9147"/>
      <c r="T9147"/>
      <c r="U9147"/>
      <c r="V9147"/>
      <c r="W9147"/>
      <c r="X9147"/>
      <c r="Y9147"/>
      <c r="Z9147"/>
      <c r="AA9147"/>
      <c r="AB9147"/>
      <c r="AC9147"/>
      <c r="AD9147"/>
      <c r="AE9147"/>
      <c r="AF9147"/>
      <c r="AG9147"/>
      <c r="AH9147"/>
      <c r="AI9147"/>
      <c r="AJ9147"/>
      <c r="AK9147"/>
      <c r="AL9147"/>
      <c r="AM9147"/>
      <c r="AN9147"/>
      <c r="AO9147"/>
      <c r="AP9147"/>
      <c r="AQ9147"/>
      <c r="AR9147"/>
      <c r="AS9147"/>
      <c r="AT9147"/>
      <c r="AU9147"/>
      <c r="AV9147"/>
      <c r="AW9147"/>
      <c r="AX9147"/>
      <c r="AY9147"/>
      <c r="AZ9147"/>
      <c r="BA9147"/>
      <c r="BB9147"/>
      <c r="BC9147"/>
      <c r="BD9147"/>
      <c r="BE9147"/>
      <c r="BF9147"/>
      <c r="BG9147"/>
      <c r="BH9147"/>
      <c r="BI9147"/>
      <c r="BJ9147"/>
      <c r="BK9147"/>
    </row>
    <row r="9148" spans="1:63" s="93" customFormat="1" ht="9" customHeight="1" x14ac:dyDescent="0.3">
      <c r="A9148" s="91"/>
      <c r="B9148" s="70"/>
      <c r="C9148" s="70"/>
      <c r="D9148" s="70"/>
      <c r="E9148" s="70"/>
      <c r="F9148" s="70"/>
      <c r="G9148" s="94"/>
      <c r="H9148" s="131"/>
      <c r="I9148" s="3"/>
      <c r="J9148"/>
      <c r="K9148"/>
      <c r="L9148"/>
      <c r="M9148"/>
      <c r="N9148"/>
      <c r="O9148"/>
      <c r="P9148"/>
      <c r="Q9148"/>
      <c r="R9148"/>
      <c r="S9148"/>
      <c r="T9148"/>
      <c r="U9148"/>
      <c r="V9148"/>
      <c r="W9148"/>
      <c r="X9148"/>
      <c r="Y9148"/>
      <c r="Z9148"/>
      <c r="AA9148"/>
      <c r="AB9148"/>
      <c r="AC9148"/>
      <c r="AD9148"/>
      <c r="AE9148"/>
      <c r="AF9148"/>
      <c r="AG9148"/>
      <c r="AH9148"/>
      <c r="AI9148"/>
      <c r="AJ9148"/>
      <c r="AK9148"/>
      <c r="AL9148"/>
      <c r="AM9148"/>
      <c r="AN9148"/>
      <c r="AO9148"/>
      <c r="AP9148"/>
      <c r="AQ9148"/>
      <c r="AR9148"/>
      <c r="AS9148"/>
      <c r="AT9148"/>
      <c r="AU9148"/>
      <c r="AV9148"/>
      <c r="AW9148"/>
      <c r="AX9148"/>
      <c r="AY9148"/>
      <c r="AZ9148"/>
      <c r="BA9148"/>
      <c r="BB9148"/>
      <c r="BC9148"/>
      <c r="BD9148"/>
      <c r="BE9148"/>
      <c r="BF9148"/>
      <c r="BG9148"/>
      <c r="BH9148"/>
      <c r="BI9148"/>
      <c r="BJ9148"/>
      <c r="BK9148"/>
    </row>
    <row r="9149" spans="1:63" s="93" customFormat="1" ht="9" customHeight="1" x14ac:dyDescent="0.3">
      <c r="A9149" s="91"/>
      <c r="B9149" s="70"/>
      <c r="C9149" s="70"/>
      <c r="D9149" s="70"/>
      <c r="E9149" s="70"/>
      <c r="F9149" s="70"/>
      <c r="G9149" s="94"/>
      <c r="H9149" s="131"/>
      <c r="I9149" s="3"/>
      <c r="J9149"/>
      <c r="K9149"/>
      <c r="L9149"/>
      <c r="M9149"/>
      <c r="N9149"/>
      <c r="O9149"/>
      <c r="P9149"/>
      <c r="Q9149"/>
      <c r="R9149"/>
      <c r="S9149"/>
      <c r="T9149"/>
      <c r="U9149"/>
      <c r="V9149"/>
      <c r="W9149"/>
      <c r="X9149"/>
      <c r="Y9149"/>
      <c r="Z9149"/>
      <c r="AA9149"/>
      <c r="AB9149"/>
      <c r="AC9149"/>
      <c r="AD9149"/>
      <c r="AE9149"/>
      <c r="AF9149"/>
      <c r="AG9149"/>
      <c r="AH9149"/>
      <c r="AI9149"/>
      <c r="AJ9149"/>
      <c r="AK9149"/>
      <c r="AL9149"/>
      <c r="AM9149"/>
      <c r="AN9149"/>
      <c r="AO9149"/>
      <c r="AP9149"/>
      <c r="AQ9149"/>
      <c r="AR9149"/>
      <c r="AS9149"/>
      <c r="AT9149"/>
      <c r="AU9149"/>
      <c r="AV9149"/>
      <c r="AW9149"/>
      <c r="AX9149"/>
      <c r="AY9149"/>
      <c r="AZ9149"/>
      <c r="BA9149"/>
      <c r="BB9149"/>
      <c r="BC9149"/>
      <c r="BD9149"/>
      <c r="BE9149"/>
      <c r="BF9149"/>
      <c r="BG9149"/>
      <c r="BH9149"/>
      <c r="BI9149"/>
      <c r="BJ9149"/>
      <c r="BK9149"/>
    </row>
    <row r="9150" spans="1:63" s="93" customFormat="1" ht="9" customHeight="1" x14ac:dyDescent="0.3">
      <c r="A9150" s="91"/>
      <c r="B9150" s="70"/>
      <c r="C9150" s="70"/>
      <c r="D9150" s="70"/>
      <c r="E9150" s="70"/>
      <c r="F9150" s="70"/>
      <c r="G9150" s="94"/>
      <c r="H9150" s="131"/>
      <c r="I9150" s="3"/>
      <c r="J9150"/>
      <c r="K9150"/>
      <c r="L9150"/>
      <c r="M9150"/>
      <c r="N9150"/>
      <c r="O9150"/>
      <c r="P9150"/>
      <c r="Q9150"/>
      <c r="R9150"/>
      <c r="S9150"/>
      <c r="T9150"/>
      <c r="U9150"/>
      <c r="V9150"/>
      <c r="W9150"/>
      <c r="X9150"/>
      <c r="Y9150"/>
      <c r="Z9150"/>
      <c r="AA9150"/>
      <c r="AB9150"/>
      <c r="AC9150"/>
      <c r="AD9150"/>
      <c r="AE9150"/>
      <c r="AF9150"/>
      <c r="AG9150"/>
      <c r="AH9150"/>
      <c r="AI9150"/>
      <c r="AJ9150"/>
      <c r="AK9150"/>
      <c r="AL9150"/>
      <c r="AM9150"/>
      <c r="AN9150"/>
      <c r="AO9150"/>
      <c r="AP9150"/>
      <c r="AQ9150"/>
      <c r="AR9150"/>
      <c r="AS9150"/>
      <c r="AT9150"/>
      <c r="AU9150"/>
      <c r="AV9150"/>
      <c r="AW9150"/>
      <c r="AX9150"/>
      <c r="AY9150"/>
      <c r="AZ9150"/>
      <c r="BA9150"/>
      <c r="BB9150"/>
      <c r="BC9150"/>
      <c r="BD9150"/>
      <c r="BE9150"/>
      <c r="BF9150"/>
      <c r="BG9150"/>
      <c r="BH9150"/>
      <c r="BI9150"/>
      <c r="BJ9150"/>
      <c r="BK9150"/>
    </row>
    <row r="9151" spans="1:63" s="93" customFormat="1" ht="9" customHeight="1" x14ac:dyDescent="0.3">
      <c r="A9151" s="91"/>
      <c r="B9151" s="70"/>
      <c r="C9151" s="70"/>
      <c r="D9151" s="70"/>
      <c r="E9151" s="70"/>
      <c r="F9151" s="70"/>
      <c r="G9151" s="94"/>
      <c r="H9151" s="131"/>
      <c r="I9151" s="3"/>
      <c r="J9151"/>
      <c r="K9151"/>
      <c r="L9151"/>
      <c r="M9151"/>
      <c r="N9151"/>
      <c r="O9151"/>
      <c r="P9151"/>
      <c r="Q9151"/>
      <c r="R9151"/>
      <c r="S9151"/>
      <c r="T9151"/>
      <c r="U9151"/>
      <c r="V9151"/>
      <c r="W9151"/>
      <c r="X9151"/>
      <c r="Y9151"/>
      <c r="Z9151"/>
      <c r="AA9151"/>
      <c r="AB9151"/>
      <c r="AC9151"/>
      <c r="AD9151"/>
      <c r="AE9151"/>
      <c r="AF9151"/>
      <c r="AG9151"/>
      <c r="AH9151"/>
      <c r="AI9151"/>
      <c r="AJ9151"/>
      <c r="AK9151"/>
      <c r="AL9151"/>
      <c r="AM9151"/>
      <c r="AN9151"/>
      <c r="AO9151"/>
      <c r="AP9151"/>
      <c r="AQ9151"/>
      <c r="AR9151"/>
      <c r="AS9151"/>
      <c r="AT9151"/>
      <c r="AU9151"/>
      <c r="AV9151"/>
      <c r="AW9151"/>
      <c r="AX9151"/>
      <c r="AY9151"/>
      <c r="AZ9151"/>
      <c r="BA9151"/>
      <c r="BB9151"/>
      <c r="BC9151"/>
      <c r="BD9151"/>
      <c r="BE9151"/>
      <c r="BF9151"/>
      <c r="BG9151"/>
      <c r="BH9151"/>
      <c r="BI9151"/>
      <c r="BJ9151"/>
      <c r="BK9151"/>
    </row>
    <row r="9152" spans="1:63" s="93" customFormat="1" ht="9" customHeight="1" x14ac:dyDescent="0.3">
      <c r="A9152" s="91"/>
      <c r="B9152" s="70"/>
      <c r="C9152" s="70"/>
      <c r="D9152" s="70"/>
      <c r="E9152" s="70"/>
      <c r="F9152" s="70"/>
      <c r="G9152" s="94"/>
      <c r="H9152" s="131"/>
      <c r="I9152" s="3"/>
      <c r="J9152"/>
      <c r="K9152"/>
      <c r="L9152"/>
      <c r="M9152"/>
      <c r="N9152"/>
      <c r="O9152"/>
      <c r="P9152"/>
      <c r="Q9152"/>
      <c r="R9152"/>
      <c r="S9152"/>
      <c r="T9152"/>
      <c r="U9152"/>
      <c r="V9152"/>
      <c r="W9152"/>
      <c r="X9152"/>
      <c r="Y9152"/>
      <c r="Z9152"/>
      <c r="AA9152"/>
      <c r="AB9152"/>
      <c r="AC9152"/>
      <c r="AD9152"/>
      <c r="AE9152"/>
      <c r="AF9152"/>
      <c r="AG9152"/>
      <c r="AH9152"/>
      <c r="AI9152"/>
      <c r="AJ9152"/>
      <c r="AK9152"/>
      <c r="AL9152"/>
      <c r="AM9152"/>
      <c r="AN9152"/>
      <c r="AO9152"/>
      <c r="AP9152"/>
      <c r="AQ9152"/>
      <c r="AR9152"/>
      <c r="AS9152"/>
      <c r="AT9152"/>
      <c r="AU9152"/>
      <c r="AV9152"/>
      <c r="AW9152"/>
      <c r="AX9152"/>
      <c r="AY9152"/>
      <c r="AZ9152"/>
      <c r="BA9152"/>
      <c r="BB9152"/>
      <c r="BC9152"/>
      <c r="BD9152"/>
      <c r="BE9152"/>
      <c r="BF9152"/>
      <c r="BG9152"/>
      <c r="BH9152"/>
      <c r="BI9152"/>
      <c r="BJ9152"/>
      <c r="BK9152"/>
    </row>
    <row r="9153" spans="1:63" s="93" customFormat="1" ht="9" customHeight="1" x14ac:dyDescent="0.3">
      <c r="A9153" s="91"/>
      <c r="B9153" s="70"/>
      <c r="C9153" s="70"/>
      <c r="D9153" s="70"/>
      <c r="E9153" s="70"/>
      <c r="F9153" s="70"/>
      <c r="G9153" s="94"/>
      <c r="H9153" s="131"/>
      <c r="I9153" s="3"/>
      <c r="J9153"/>
      <c r="K9153"/>
      <c r="L9153"/>
      <c r="M9153"/>
      <c r="N9153"/>
      <c r="O9153"/>
      <c r="P9153"/>
      <c r="Q9153"/>
      <c r="R9153"/>
      <c r="S9153"/>
      <c r="T9153"/>
      <c r="U9153"/>
      <c r="V9153"/>
      <c r="W9153"/>
      <c r="X9153"/>
      <c r="Y9153"/>
      <c r="Z9153"/>
      <c r="AA9153"/>
      <c r="AB9153"/>
      <c r="AC9153"/>
      <c r="AD9153"/>
      <c r="AE9153"/>
      <c r="AF9153"/>
      <c r="AG9153"/>
      <c r="AH9153"/>
      <c r="AI9153"/>
      <c r="AJ9153"/>
      <c r="AK9153"/>
      <c r="AL9153"/>
      <c r="AM9153"/>
      <c r="AN9153"/>
      <c r="AO9153"/>
      <c r="AP9153"/>
      <c r="AQ9153"/>
      <c r="AR9153"/>
      <c r="AS9153"/>
      <c r="AT9153"/>
      <c r="AU9153"/>
      <c r="AV9153"/>
      <c r="AW9153"/>
      <c r="AX9153"/>
      <c r="AY9153"/>
      <c r="AZ9153"/>
      <c r="BA9153"/>
      <c r="BB9153"/>
      <c r="BC9153"/>
      <c r="BD9153"/>
      <c r="BE9153"/>
      <c r="BF9153"/>
      <c r="BG9153"/>
      <c r="BH9153"/>
      <c r="BI9153"/>
      <c r="BJ9153"/>
      <c r="BK9153"/>
    </row>
    <row r="9154" spans="1:63" s="93" customFormat="1" ht="9" customHeight="1" x14ac:dyDescent="0.3">
      <c r="A9154" s="91"/>
      <c r="B9154" s="70"/>
      <c r="C9154" s="70"/>
      <c r="D9154" s="70"/>
      <c r="E9154" s="70"/>
      <c r="F9154" s="70"/>
      <c r="G9154" s="94"/>
      <c r="H9154" s="131"/>
      <c r="I9154" s="3"/>
      <c r="J9154"/>
      <c r="K9154"/>
      <c r="L9154"/>
      <c r="M9154"/>
      <c r="N9154"/>
      <c r="O9154"/>
      <c r="P9154"/>
      <c r="Q9154"/>
      <c r="R9154"/>
      <c r="S9154"/>
      <c r="T9154"/>
      <c r="U9154"/>
      <c r="V9154"/>
      <c r="W9154"/>
      <c r="X9154"/>
      <c r="Y9154"/>
      <c r="Z9154"/>
      <c r="AA9154"/>
      <c r="AB9154"/>
      <c r="AC9154"/>
      <c r="AD9154"/>
      <c r="AE9154"/>
      <c r="AF9154"/>
      <c r="AG9154"/>
      <c r="AH9154"/>
      <c r="AI9154"/>
      <c r="AJ9154"/>
      <c r="AK9154"/>
      <c r="AL9154"/>
      <c r="AM9154"/>
      <c r="AN9154"/>
      <c r="AO9154"/>
      <c r="AP9154"/>
      <c r="AQ9154"/>
      <c r="AR9154"/>
      <c r="AS9154"/>
      <c r="AT9154"/>
      <c r="AU9154"/>
      <c r="AV9154"/>
      <c r="AW9154"/>
      <c r="AX9154"/>
      <c r="AY9154"/>
      <c r="AZ9154"/>
      <c r="BA9154"/>
      <c r="BB9154"/>
      <c r="BC9154"/>
      <c r="BD9154"/>
      <c r="BE9154"/>
      <c r="BF9154"/>
      <c r="BG9154"/>
      <c r="BH9154"/>
      <c r="BI9154"/>
      <c r="BJ9154"/>
      <c r="BK9154"/>
    </row>
    <row r="9155" spans="1:63" s="93" customFormat="1" ht="9" customHeight="1" x14ac:dyDescent="0.3">
      <c r="A9155" s="91"/>
      <c r="B9155" s="70"/>
      <c r="C9155" s="70"/>
      <c r="D9155" s="70"/>
      <c r="E9155" s="70"/>
      <c r="F9155" s="70"/>
      <c r="G9155" s="94"/>
      <c r="H9155" s="131"/>
      <c r="I9155" s="3"/>
      <c r="J9155"/>
      <c r="K9155"/>
      <c r="L9155"/>
      <c r="M9155"/>
      <c r="N9155"/>
      <c r="O9155"/>
      <c r="P9155"/>
      <c r="Q9155"/>
      <c r="R9155"/>
      <c r="S9155"/>
      <c r="T9155"/>
      <c r="U9155"/>
      <c r="V9155"/>
      <c r="W9155"/>
      <c r="X9155"/>
      <c r="Y9155"/>
      <c r="Z9155"/>
      <c r="AA9155"/>
      <c r="AB9155"/>
      <c r="AC9155"/>
      <c r="AD9155"/>
      <c r="AE9155"/>
      <c r="AF9155"/>
      <c r="AG9155"/>
      <c r="AH9155"/>
      <c r="AI9155"/>
      <c r="AJ9155"/>
      <c r="AK9155"/>
      <c r="AL9155"/>
      <c r="AM9155"/>
      <c r="AN9155"/>
      <c r="AO9155"/>
      <c r="AP9155"/>
      <c r="AQ9155"/>
      <c r="AR9155"/>
      <c r="AS9155"/>
      <c r="AT9155"/>
      <c r="AU9155"/>
      <c r="AV9155"/>
      <c r="AW9155"/>
      <c r="AX9155"/>
      <c r="AY9155"/>
      <c r="AZ9155"/>
      <c r="BA9155"/>
      <c r="BB9155"/>
      <c r="BC9155"/>
      <c r="BD9155"/>
      <c r="BE9155"/>
      <c r="BF9155"/>
      <c r="BG9155"/>
      <c r="BH9155"/>
      <c r="BI9155"/>
      <c r="BJ9155"/>
      <c r="BK9155"/>
    </row>
    <row r="9156" spans="1:63" s="93" customFormat="1" ht="9" customHeight="1" x14ac:dyDescent="0.3">
      <c r="A9156" s="91"/>
      <c r="B9156" s="70"/>
      <c r="C9156" s="70"/>
      <c r="D9156" s="70"/>
      <c r="E9156" s="70"/>
      <c r="F9156" s="70"/>
      <c r="G9156" s="94"/>
      <c r="H9156" s="131"/>
      <c r="I9156" s="3"/>
      <c r="J9156"/>
      <c r="K9156"/>
      <c r="L9156"/>
      <c r="M9156"/>
      <c r="N9156"/>
      <c r="O9156"/>
      <c r="P9156"/>
      <c r="Q9156"/>
      <c r="R9156"/>
      <c r="S9156"/>
      <c r="T9156"/>
      <c r="U9156"/>
      <c r="V9156"/>
      <c r="W9156"/>
      <c r="X9156"/>
      <c r="Y9156"/>
      <c r="Z9156"/>
      <c r="AA9156"/>
      <c r="AB9156"/>
      <c r="AC9156"/>
      <c r="AD9156"/>
      <c r="AE9156"/>
      <c r="AF9156"/>
      <c r="AG9156"/>
      <c r="AH9156"/>
      <c r="AI9156"/>
      <c r="AJ9156"/>
      <c r="AK9156"/>
      <c r="AL9156"/>
      <c r="AM9156"/>
      <c r="AN9156"/>
      <c r="AO9156"/>
      <c r="AP9156"/>
      <c r="AQ9156"/>
      <c r="AR9156"/>
      <c r="AS9156"/>
      <c r="AT9156"/>
      <c r="AU9156"/>
      <c r="AV9156"/>
      <c r="AW9156"/>
      <c r="AX9156"/>
      <c r="AY9156"/>
      <c r="AZ9156"/>
      <c r="BA9156"/>
      <c r="BB9156"/>
      <c r="BC9156"/>
      <c r="BD9156"/>
      <c r="BE9156"/>
      <c r="BF9156"/>
      <c r="BG9156"/>
      <c r="BH9156"/>
      <c r="BI9156"/>
      <c r="BJ9156"/>
      <c r="BK9156"/>
    </row>
    <row r="9157" spans="1:63" s="93" customFormat="1" ht="9" customHeight="1" x14ac:dyDescent="0.3">
      <c r="A9157" s="91"/>
      <c r="B9157" s="70"/>
      <c r="C9157" s="70"/>
      <c r="D9157" s="70"/>
      <c r="E9157" s="70"/>
      <c r="F9157" s="70"/>
      <c r="G9157" s="94"/>
      <c r="H9157" s="131"/>
      <c r="I9157" s="3"/>
      <c r="J9157"/>
      <c r="K9157"/>
      <c r="L9157"/>
      <c r="M9157"/>
      <c r="N9157"/>
      <c r="O9157"/>
      <c r="P9157"/>
      <c r="Q9157"/>
      <c r="R9157"/>
      <c r="S9157"/>
      <c r="T9157"/>
      <c r="U9157"/>
      <c r="V9157"/>
      <c r="W9157"/>
      <c r="X9157"/>
      <c r="Y9157"/>
      <c r="Z9157"/>
      <c r="AA9157"/>
      <c r="AB9157"/>
      <c r="AC9157"/>
      <c r="AD9157"/>
      <c r="AE9157"/>
      <c r="AF9157"/>
      <c r="AG9157"/>
      <c r="AH9157"/>
      <c r="AI9157"/>
      <c r="AJ9157"/>
      <c r="AK9157"/>
      <c r="AL9157"/>
      <c r="AM9157"/>
      <c r="AN9157"/>
      <c r="AO9157"/>
      <c r="AP9157"/>
      <c r="AQ9157"/>
      <c r="AR9157"/>
      <c r="AS9157"/>
      <c r="AT9157"/>
      <c r="AU9157"/>
      <c r="AV9157"/>
      <c r="AW9157"/>
      <c r="AX9157"/>
      <c r="AY9157"/>
      <c r="AZ9157"/>
      <c r="BA9157"/>
      <c r="BB9157"/>
      <c r="BC9157"/>
      <c r="BD9157"/>
      <c r="BE9157"/>
      <c r="BF9157"/>
      <c r="BG9157"/>
      <c r="BH9157"/>
      <c r="BI9157"/>
      <c r="BJ9157"/>
      <c r="BK9157"/>
    </row>
    <row r="9158" spans="1:63" s="93" customFormat="1" ht="9" customHeight="1" x14ac:dyDescent="0.3">
      <c r="A9158" s="91"/>
      <c r="B9158" s="70"/>
      <c r="C9158" s="70"/>
      <c r="D9158" s="70"/>
      <c r="E9158" s="70"/>
      <c r="F9158" s="70"/>
      <c r="G9158" s="94"/>
      <c r="H9158" s="131"/>
      <c r="I9158" s="3"/>
      <c r="J9158"/>
      <c r="K9158"/>
      <c r="L9158"/>
      <c r="M9158"/>
      <c r="N9158"/>
      <c r="O9158"/>
      <c r="P9158"/>
      <c r="Q9158"/>
      <c r="R9158"/>
      <c r="S9158"/>
      <c r="T9158"/>
      <c r="U9158"/>
      <c r="V9158"/>
      <c r="W9158"/>
      <c r="X9158"/>
      <c r="Y9158"/>
      <c r="Z9158"/>
      <c r="AA9158"/>
      <c r="AB9158"/>
      <c r="AC9158"/>
      <c r="AD9158"/>
      <c r="AE9158"/>
      <c r="AF9158"/>
      <c r="AG9158"/>
      <c r="AH9158"/>
      <c r="AI9158"/>
      <c r="AJ9158"/>
      <c r="AK9158"/>
      <c r="AL9158"/>
      <c r="AM9158"/>
      <c r="AN9158"/>
      <c r="AO9158"/>
      <c r="AP9158"/>
      <c r="AQ9158"/>
      <c r="AR9158"/>
      <c r="AS9158"/>
      <c r="AT9158"/>
      <c r="AU9158"/>
      <c r="AV9158"/>
      <c r="AW9158"/>
      <c r="AX9158"/>
      <c r="AY9158"/>
      <c r="AZ9158"/>
      <c r="BA9158"/>
      <c r="BB9158"/>
      <c r="BC9158"/>
      <c r="BD9158"/>
      <c r="BE9158"/>
      <c r="BF9158"/>
      <c r="BG9158"/>
      <c r="BH9158"/>
      <c r="BI9158"/>
      <c r="BJ9158"/>
      <c r="BK9158"/>
    </row>
    <row r="9159" spans="1:63" s="93" customFormat="1" ht="9" customHeight="1" x14ac:dyDescent="0.3">
      <c r="A9159" s="91"/>
      <c r="B9159" s="70"/>
      <c r="C9159" s="70"/>
      <c r="D9159" s="70"/>
      <c r="E9159" s="70"/>
      <c r="F9159" s="70"/>
      <c r="G9159" s="94"/>
      <c r="H9159" s="131"/>
      <c r="I9159" s="3"/>
      <c r="J9159"/>
      <c r="K9159"/>
      <c r="L9159"/>
      <c r="M9159"/>
      <c r="N9159"/>
      <c r="O9159"/>
      <c r="P9159"/>
      <c r="Q9159"/>
      <c r="R9159"/>
      <c r="S9159"/>
      <c r="T9159"/>
      <c r="U9159"/>
      <c r="V9159"/>
      <c r="W9159"/>
      <c r="X9159"/>
      <c r="Y9159"/>
      <c r="Z9159"/>
      <c r="AA9159"/>
      <c r="AB9159"/>
      <c r="AC9159"/>
      <c r="AD9159"/>
      <c r="AE9159"/>
      <c r="AF9159"/>
      <c r="AG9159"/>
      <c r="AH9159"/>
      <c r="AI9159"/>
      <c r="AJ9159"/>
      <c r="AK9159"/>
      <c r="AL9159"/>
      <c r="AM9159"/>
      <c r="AN9159"/>
      <c r="AO9159"/>
      <c r="AP9159"/>
      <c r="AQ9159"/>
      <c r="AR9159"/>
      <c r="AS9159"/>
      <c r="AT9159"/>
      <c r="AU9159"/>
      <c r="AV9159"/>
      <c r="AW9159"/>
      <c r="AX9159"/>
      <c r="AY9159"/>
      <c r="AZ9159"/>
      <c r="BA9159"/>
      <c r="BB9159"/>
      <c r="BC9159"/>
      <c r="BD9159"/>
      <c r="BE9159"/>
      <c r="BF9159"/>
      <c r="BG9159"/>
      <c r="BH9159"/>
      <c r="BI9159"/>
      <c r="BJ9159"/>
      <c r="BK9159"/>
    </row>
    <row r="9160" spans="1:63" s="93" customFormat="1" ht="9" customHeight="1" x14ac:dyDescent="0.3">
      <c r="A9160" s="91"/>
      <c r="B9160" s="70"/>
      <c r="C9160" s="70"/>
      <c r="D9160" s="70"/>
      <c r="E9160" s="70"/>
      <c r="F9160" s="70"/>
      <c r="G9160" s="94"/>
      <c r="H9160" s="131"/>
      <c r="I9160" s="3"/>
      <c r="J9160"/>
      <c r="K9160"/>
      <c r="L9160"/>
      <c r="M9160"/>
      <c r="N9160"/>
      <c r="O9160"/>
      <c r="P9160"/>
      <c r="Q9160"/>
      <c r="R9160"/>
      <c r="S9160"/>
      <c r="T9160"/>
      <c r="U9160"/>
      <c r="V9160"/>
      <c r="W9160"/>
      <c r="X9160"/>
      <c r="Y9160"/>
      <c r="Z9160"/>
      <c r="AA9160"/>
      <c r="AB9160"/>
      <c r="AC9160"/>
      <c r="AD9160"/>
      <c r="AE9160"/>
      <c r="AF9160"/>
      <c r="AG9160"/>
      <c r="AH9160"/>
      <c r="AI9160"/>
      <c r="AJ9160"/>
      <c r="AK9160"/>
      <c r="AL9160"/>
      <c r="AM9160"/>
      <c r="AN9160"/>
      <c r="AO9160"/>
      <c r="AP9160"/>
      <c r="AQ9160"/>
      <c r="AR9160"/>
      <c r="AS9160"/>
      <c r="AT9160"/>
      <c r="AU9160"/>
      <c r="AV9160"/>
      <c r="AW9160"/>
      <c r="AX9160"/>
      <c r="AY9160"/>
      <c r="AZ9160"/>
      <c r="BA9160"/>
      <c r="BB9160"/>
      <c r="BC9160"/>
      <c r="BD9160"/>
      <c r="BE9160"/>
      <c r="BF9160"/>
      <c r="BG9160"/>
      <c r="BH9160"/>
      <c r="BI9160"/>
      <c r="BJ9160"/>
      <c r="BK9160"/>
    </row>
    <row r="9161" spans="1:63" s="93" customFormat="1" ht="9" customHeight="1" x14ac:dyDescent="0.3">
      <c r="A9161" s="91"/>
      <c r="B9161" s="70"/>
      <c r="C9161" s="70"/>
      <c r="D9161" s="70"/>
      <c r="E9161" s="70"/>
      <c r="F9161" s="70"/>
      <c r="G9161" s="94"/>
      <c r="H9161" s="131"/>
      <c r="I9161" s="3"/>
      <c r="J9161"/>
      <c r="K9161"/>
      <c r="L9161"/>
      <c r="M9161"/>
      <c r="N9161"/>
      <c r="O9161"/>
      <c r="P9161"/>
      <c r="Q9161"/>
      <c r="R9161"/>
      <c r="S9161"/>
      <c r="T9161"/>
      <c r="U9161"/>
      <c r="V9161"/>
      <c r="W9161"/>
      <c r="X9161"/>
      <c r="Y9161"/>
      <c r="Z9161"/>
      <c r="AA9161"/>
      <c r="AB9161"/>
      <c r="AC9161"/>
      <c r="AD9161"/>
      <c r="AE9161"/>
      <c r="AF9161"/>
      <c r="AG9161"/>
      <c r="AH9161"/>
      <c r="AI9161"/>
      <c r="AJ9161"/>
      <c r="AK9161"/>
      <c r="AL9161"/>
      <c r="AM9161"/>
      <c r="AN9161"/>
      <c r="AO9161"/>
      <c r="AP9161"/>
      <c r="AQ9161"/>
      <c r="AR9161"/>
      <c r="AS9161"/>
      <c r="AT9161"/>
      <c r="AU9161"/>
      <c r="AV9161"/>
      <c r="AW9161"/>
      <c r="AX9161"/>
      <c r="AY9161"/>
      <c r="AZ9161"/>
      <c r="BA9161"/>
      <c r="BB9161"/>
      <c r="BC9161"/>
      <c r="BD9161"/>
      <c r="BE9161"/>
      <c r="BF9161"/>
      <c r="BG9161"/>
      <c r="BH9161"/>
      <c r="BI9161"/>
      <c r="BJ9161"/>
      <c r="BK9161"/>
    </row>
    <row r="9162" spans="1:63" s="93" customFormat="1" ht="9" customHeight="1" x14ac:dyDescent="0.3">
      <c r="A9162" s="91"/>
      <c r="B9162" s="70"/>
      <c r="C9162" s="70"/>
      <c r="D9162" s="70"/>
      <c r="E9162" s="70"/>
      <c r="F9162" s="70"/>
      <c r="G9162" s="94"/>
      <c r="H9162" s="131"/>
      <c r="I9162" s="3"/>
      <c r="J9162"/>
      <c r="K9162"/>
      <c r="L9162"/>
      <c r="M9162"/>
      <c r="N9162"/>
      <c r="O9162"/>
      <c r="P9162"/>
      <c r="Q9162"/>
      <c r="R9162"/>
      <c r="S9162"/>
      <c r="T9162"/>
      <c r="U9162"/>
      <c r="V9162"/>
      <c r="W9162"/>
      <c r="X9162"/>
      <c r="Y9162"/>
      <c r="Z9162"/>
      <c r="AA9162"/>
      <c r="AB9162"/>
      <c r="AC9162"/>
      <c r="AD9162"/>
      <c r="AE9162"/>
      <c r="AF9162"/>
      <c r="AG9162"/>
      <c r="AH9162"/>
      <c r="AI9162"/>
      <c r="AJ9162"/>
      <c r="AK9162"/>
      <c r="AL9162"/>
      <c r="AM9162"/>
      <c r="AN9162"/>
      <c r="AO9162"/>
      <c r="AP9162"/>
      <c r="AQ9162"/>
      <c r="AR9162"/>
      <c r="AS9162"/>
      <c r="AT9162"/>
      <c r="AU9162"/>
      <c r="AV9162"/>
      <c r="AW9162"/>
      <c r="AX9162"/>
      <c r="AY9162"/>
      <c r="AZ9162"/>
      <c r="BA9162"/>
      <c r="BB9162"/>
      <c r="BC9162"/>
      <c r="BD9162"/>
      <c r="BE9162"/>
      <c r="BF9162"/>
      <c r="BG9162"/>
      <c r="BH9162"/>
      <c r="BI9162"/>
      <c r="BJ9162"/>
      <c r="BK9162"/>
    </row>
    <row r="9163" spans="1:63" s="93" customFormat="1" ht="9" customHeight="1" x14ac:dyDescent="0.3">
      <c r="A9163" s="91"/>
      <c r="B9163" s="70"/>
      <c r="C9163" s="70"/>
      <c r="D9163" s="70"/>
      <c r="E9163" s="70"/>
      <c r="F9163" s="70"/>
      <c r="G9163" s="94"/>
      <c r="H9163" s="131"/>
      <c r="I9163" s="3"/>
      <c r="J9163"/>
      <c r="K9163"/>
      <c r="L9163"/>
      <c r="M9163"/>
      <c r="N9163"/>
      <c r="O9163"/>
      <c r="P9163"/>
      <c r="Q9163"/>
      <c r="R9163"/>
      <c r="S9163"/>
      <c r="T9163"/>
      <c r="U9163"/>
      <c r="V9163"/>
      <c r="W9163"/>
      <c r="X9163"/>
      <c r="Y9163"/>
      <c r="Z9163"/>
      <c r="AA9163"/>
      <c r="AB9163"/>
      <c r="AC9163"/>
      <c r="AD9163"/>
      <c r="AE9163"/>
      <c r="AF9163"/>
      <c r="AG9163"/>
      <c r="AH9163"/>
      <c r="AI9163"/>
      <c r="AJ9163"/>
      <c r="AK9163"/>
      <c r="AL9163"/>
      <c r="AM9163"/>
      <c r="AN9163"/>
      <c r="AO9163"/>
      <c r="AP9163"/>
      <c r="AQ9163"/>
      <c r="AR9163"/>
      <c r="AS9163"/>
      <c r="AT9163"/>
      <c r="AU9163"/>
      <c r="AV9163"/>
      <c r="AW9163"/>
      <c r="AX9163"/>
      <c r="AY9163"/>
      <c r="AZ9163"/>
      <c r="BA9163"/>
      <c r="BB9163"/>
      <c r="BC9163"/>
      <c r="BD9163"/>
      <c r="BE9163"/>
      <c r="BF9163"/>
      <c r="BG9163"/>
      <c r="BH9163"/>
      <c r="BI9163"/>
      <c r="BJ9163"/>
      <c r="BK9163"/>
    </row>
    <row r="9164" spans="1:63" s="93" customFormat="1" ht="9" customHeight="1" x14ac:dyDescent="0.3">
      <c r="A9164" s="91"/>
      <c r="B9164" s="70"/>
      <c r="C9164" s="70"/>
      <c r="D9164" s="70"/>
      <c r="E9164" s="70"/>
      <c r="F9164" s="70"/>
      <c r="G9164" s="94"/>
      <c r="H9164" s="131"/>
      <c r="I9164" s="3"/>
      <c r="J9164"/>
      <c r="K9164"/>
      <c r="L9164"/>
      <c r="M9164"/>
      <c r="N9164"/>
      <c r="O9164"/>
      <c r="P9164"/>
      <c r="Q9164"/>
      <c r="R9164"/>
      <c r="S9164"/>
      <c r="T9164"/>
      <c r="U9164"/>
      <c r="V9164"/>
      <c r="W9164"/>
      <c r="X9164"/>
      <c r="Y9164"/>
      <c r="Z9164"/>
      <c r="AA9164"/>
      <c r="AB9164"/>
      <c r="AC9164"/>
      <c r="AD9164"/>
      <c r="AE9164"/>
      <c r="AF9164"/>
      <c r="AG9164"/>
      <c r="AH9164"/>
      <c r="AI9164"/>
      <c r="AJ9164"/>
      <c r="AK9164"/>
      <c r="AL9164"/>
      <c r="AM9164"/>
      <c r="AN9164"/>
      <c r="AO9164"/>
      <c r="AP9164"/>
      <c r="AQ9164"/>
      <c r="AR9164"/>
      <c r="AS9164"/>
      <c r="AT9164"/>
      <c r="AU9164"/>
      <c r="AV9164"/>
      <c r="AW9164"/>
      <c r="AX9164"/>
      <c r="AY9164"/>
      <c r="AZ9164"/>
      <c r="BA9164"/>
      <c r="BB9164"/>
      <c r="BC9164"/>
      <c r="BD9164"/>
      <c r="BE9164"/>
      <c r="BF9164"/>
      <c r="BG9164"/>
      <c r="BH9164"/>
      <c r="BI9164"/>
      <c r="BJ9164"/>
      <c r="BK9164"/>
    </row>
    <row r="9165" spans="1:63" s="93" customFormat="1" ht="9" customHeight="1" x14ac:dyDescent="0.3">
      <c r="A9165" s="91"/>
      <c r="B9165" s="70"/>
      <c r="C9165" s="70"/>
      <c r="D9165" s="70"/>
      <c r="E9165" s="70"/>
      <c r="F9165" s="70"/>
      <c r="G9165" s="94"/>
      <c r="H9165" s="131"/>
      <c r="I9165" s="3"/>
      <c r="J9165"/>
      <c r="K9165"/>
      <c r="L9165"/>
      <c r="M9165"/>
      <c r="N9165"/>
      <c r="O9165"/>
      <c r="P9165"/>
      <c r="Q9165"/>
      <c r="R9165"/>
      <c r="S9165"/>
      <c r="T9165"/>
      <c r="U9165"/>
      <c r="V9165"/>
      <c r="W9165"/>
      <c r="X9165"/>
      <c r="Y9165"/>
      <c r="Z9165"/>
      <c r="AA9165"/>
      <c r="AB9165"/>
      <c r="AC9165"/>
      <c r="AD9165"/>
      <c r="AE9165"/>
      <c r="AF9165"/>
      <c r="AG9165"/>
      <c r="AH9165"/>
      <c r="AI9165"/>
      <c r="AJ9165"/>
      <c r="AK9165"/>
      <c r="AL9165"/>
      <c r="AM9165"/>
      <c r="AN9165"/>
      <c r="AO9165"/>
      <c r="AP9165"/>
      <c r="AQ9165"/>
      <c r="AR9165"/>
      <c r="AS9165"/>
      <c r="AT9165"/>
      <c r="AU9165"/>
      <c r="AV9165"/>
      <c r="AW9165"/>
      <c r="AX9165"/>
      <c r="AY9165"/>
      <c r="AZ9165"/>
      <c r="BA9165"/>
      <c r="BB9165"/>
      <c r="BC9165"/>
      <c r="BD9165"/>
      <c r="BE9165"/>
      <c r="BF9165"/>
      <c r="BG9165"/>
      <c r="BH9165"/>
      <c r="BI9165"/>
      <c r="BJ9165"/>
      <c r="BK9165"/>
    </row>
    <row r="9166" spans="1:63" s="93" customFormat="1" ht="9" customHeight="1" x14ac:dyDescent="0.3">
      <c r="A9166" s="91"/>
      <c r="B9166" s="70"/>
      <c r="C9166" s="70"/>
      <c r="D9166" s="70"/>
      <c r="E9166" s="70"/>
      <c r="F9166" s="70"/>
      <c r="G9166" s="94"/>
      <c r="H9166" s="131"/>
      <c r="I9166" s="3"/>
      <c r="J9166"/>
      <c r="K9166"/>
      <c r="L9166"/>
      <c r="M9166"/>
      <c r="N9166"/>
      <c r="O9166"/>
      <c r="P9166"/>
      <c r="Q9166"/>
      <c r="R9166"/>
      <c r="S9166"/>
      <c r="T9166"/>
      <c r="U9166"/>
      <c r="V9166"/>
      <c r="W9166"/>
      <c r="X9166"/>
      <c r="Y9166"/>
      <c r="Z9166"/>
      <c r="AA9166"/>
      <c r="AB9166"/>
      <c r="AC9166"/>
      <c r="AD9166"/>
      <c r="AE9166"/>
      <c r="AF9166"/>
      <c r="AG9166"/>
      <c r="AH9166"/>
      <c r="AI9166"/>
      <c r="AJ9166"/>
      <c r="AK9166"/>
      <c r="AL9166"/>
      <c r="AM9166"/>
      <c r="AN9166"/>
      <c r="AO9166"/>
      <c r="AP9166"/>
      <c r="AQ9166"/>
      <c r="AR9166"/>
      <c r="AS9166"/>
      <c r="AT9166"/>
      <c r="AU9166"/>
      <c r="AV9166"/>
      <c r="AW9166"/>
      <c r="AX9166"/>
      <c r="AY9166"/>
      <c r="AZ9166"/>
      <c r="BA9166"/>
      <c r="BB9166"/>
      <c r="BC9166"/>
      <c r="BD9166"/>
      <c r="BE9166"/>
      <c r="BF9166"/>
      <c r="BG9166"/>
      <c r="BH9166"/>
      <c r="BI9166"/>
      <c r="BJ9166"/>
      <c r="BK9166"/>
    </row>
    <row r="9167" spans="1:63" s="93" customFormat="1" ht="9" customHeight="1" x14ac:dyDescent="0.3">
      <c r="A9167" s="91"/>
      <c r="B9167" s="70"/>
      <c r="C9167" s="70"/>
      <c r="D9167" s="70"/>
      <c r="E9167" s="70"/>
      <c r="F9167" s="70"/>
      <c r="G9167" s="94"/>
      <c r="H9167" s="131"/>
      <c r="I9167" s="3"/>
      <c r="J9167"/>
      <c r="K9167"/>
      <c r="L9167"/>
      <c r="M9167"/>
      <c r="N9167"/>
      <c r="O9167"/>
      <c r="P9167"/>
      <c r="Q9167"/>
      <c r="R9167"/>
      <c r="S9167"/>
      <c r="T9167"/>
      <c r="U9167"/>
      <c r="V9167"/>
      <c r="W9167"/>
      <c r="X9167"/>
      <c r="Y9167"/>
      <c r="Z9167"/>
      <c r="AA9167"/>
      <c r="AB9167"/>
      <c r="AC9167"/>
      <c r="AD9167"/>
      <c r="AE9167"/>
      <c r="AF9167"/>
      <c r="AG9167"/>
      <c r="AH9167"/>
      <c r="AI9167"/>
      <c r="AJ9167"/>
      <c r="AK9167"/>
      <c r="AL9167"/>
      <c r="AM9167"/>
      <c r="AN9167"/>
      <c r="AO9167"/>
      <c r="AP9167"/>
      <c r="AQ9167"/>
      <c r="AR9167"/>
      <c r="AS9167"/>
      <c r="AT9167"/>
      <c r="AU9167"/>
      <c r="AV9167"/>
      <c r="AW9167"/>
      <c r="AX9167"/>
      <c r="AY9167"/>
      <c r="AZ9167"/>
      <c r="BA9167"/>
      <c r="BB9167"/>
      <c r="BC9167"/>
      <c r="BD9167"/>
      <c r="BE9167"/>
      <c r="BF9167"/>
      <c r="BG9167"/>
      <c r="BH9167"/>
      <c r="BI9167"/>
      <c r="BJ9167"/>
      <c r="BK9167"/>
    </row>
    <row r="9168" spans="1:63" s="93" customFormat="1" ht="9" customHeight="1" x14ac:dyDescent="0.3">
      <c r="A9168" s="91"/>
      <c r="B9168" s="70"/>
      <c r="C9168" s="70"/>
      <c r="D9168" s="70"/>
      <c r="E9168" s="70"/>
      <c r="F9168" s="70"/>
      <c r="G9168" s="94"/>
      <c r="H9168" s="131"/>
      <c r="I9168" s="3"/>
      <c r="J9168"/>
      <c r="K9168"/>
      <c r="L9168"/>
      <c r="M9168"/>
      <c r="N9168"/>
      <c r="O9168"/>
      <c r="P9168"/>
      <c r="Q9168"/>
      <c r="R9168"/>
      <c r="S9168"/>
      <c r="T9168"/>
      <c r="U9168"/>
      <c r="V9168"/>
      <c r="W9168"/>
      <c r="X9168"/>
      <c r="Y9168"/>
      <c r="Z9168"/>
      <c r="AA9168"/>
      <c r="AB9168"/>
      <c r="AC9168"/>
      <c r="AD9168"/>
      <c r="AE9168"/>
      <c r="AF9168"/>
      <c r="AG9168"/>
      <c r="AH9168"/>
      <c r="AI9168"/>
      <c r="AJ9168"/>
      <c r="AK9168"/>
      <c r="AL9168"/>
      <c r="AM9168"/>
      <c r="AN9168"/>
      <c r="AO9168"/>
      <c r="AP9168"/>
      <c r="AQ9168"/>
      <c r="AR9168"/>
      <c r="AS9168"/>
      <c r="AT9168"/>
      <c r="AU9168"/>
      <c r="AV9168"/>
      <c r="AW9168"/>
      <c r="AX9168"/>
      <c r="AY9168"/>
      <c r="AZ9168"/>
      <c r="BA9168"/>
      <c r="BB9168"/>
      <c r="BC9168"/>
      <c r="BD9168"/>
      <c r="BE9168"/>
      <c r="BF9168"/>
      <c r="BG9168"/>
      <c r="BH9168"/>
      <c r="BI9168"/>
      <c r="BJ9168"/>
      <c r="BK9168"/>
    </row>
    <row r="9169" spans="1:63" s="93" customFormat="1" ht="9" customHeight="1" x14ac:dyDescent="0.3">
      <c r="A9169" s="91"/>
      <c r="B9169" s="70"/>
      <c r="C9169" s="70"/>
      <c r="D9169" s="70"/>
      <c r="E9169" s="70"/>
      <c r="F9169" s="70"/>
      <c r="G9169" s="94"/>
      <c r="H9169" s="131"/>
      <c r="I9169" s="3"/>
      <c r="J9169"/>
      <c r="K9169"/>
      <c r="L9169"/>
      <c r="M9169"/>
      <c r="N9169"/>
      <c r="O9169"/>
      <c r="P9169"/>
      <c r="Q9169"/>
      <c r="R9169"/>
      <c r="S9169"/>
      <c r="T9169"/>
      <c r="U9169"/>
      <c r="V9169"/>
      <c r="W9169"/>
      <c r="X9169"/>
      <c r="Y9169"/>
      <c r="Z9169"/>
      <c r="AA9169"/>
      <c r="AB9169"/>
      <c r="AC9169"/>
      <c r="AD9169"/>
      <c r="AE9169"/>
      <c r="AF9169"/>
      <c r="AG9169"/>
      <c r="AH9169"/>
      <c r="AI9169"/>
      <c r="AJ9169"/>
      <c r="AK9169"/>
      <c r="AL9169"/>
      <c r="AM9169"/>
      <c r="AN9169"/>
      <c r="AO9169"/>
      <c r="AP9169"/>
      <c r="AQ9169"/>
      <c r="AR9169"/>
      <c r="AS9169"/>
      <c r="AT9169"/>
      <c r="AU9169"/>
      <c r="AV9169"/>
      <c r="AW9169"/>
      <c r="AX9169"/>
      <c r="AY9169"/>
      <c r="AZ9169"/>
      <c r="BA9169"/>
      <c r="BB9169"/>
      <c r="BC9169"/>
      <c r="BD9169"/>
      <c r="BE9169"/>
      <c r="BF9169"/>
      <c r="BG9169"/>
      <c r="BH9169"/>
      <c r="BI9169"/>
      <c r="BJ9169"/>
      <c r="BK9169"/>
    </row>
    <row r="9170" spans="1:63" s="93" customFormat="1" ht="9" customHeight="1" x14ac:dyDescent="0.3">
      <c r="A9170" s="91"/>
      <c r="B9170" s="70"/>
      <c r="C9170" s="70"/>
      <c r="D9170" s="70"/>
      <c r="E9170" s="70"/>
      <c r="F9170" s="70"/>
      <c r="G9170" s="94"/>
      <c r="H9170" s="131"/>
      <c r="I9170" s="3"/>
      <c r="J9170"/>
      <c r="K9170"/>
      <c r="L9170"/>
      <c r="M9170"/>
      <c r="N9170"/>
      <c r="O9170"/>
      <c r="P9170"/>
      <c r="Q9170"/>
      <c r="R9170"/>
      <c r="S9170"/>
      <c r="T9170"/>
      <c r="U9170"/>
      <c r="V9170"/>
      <c r="W9170"/>
      <c r="X9170"/>
      <c r="Y9170"/>
      <c r="Z9170"/>
      <c r="AA9170"/>
      <c r="AB9170"/>
      <c r="AC9170"/>
      <c r="AD9170"/>
      <c r="AE9170"/>
      <c r="AF9170"/>
      <c r="AG9170"/>
      <c r="AH9170"/>
      <c r="AI9170"/>
      <c r="AJ9170"/>
      <c r="AK9170"/>
      <c r="AL9170"/>
      <c r="AM9170"/>
      <c r="AN9170"/>
      <c r="AO9170"/>
      <c r="AP9170"/>
      <c r="AQ9170"/>
      <c r="AR9170"/>
      <c r="AS9170"/>
      <c r="AT9170"/>
      <c r="AU9170"/>
      <c r="AV9170"/>
      <c r="AW9170"/>
      <c r="AX9170"/>
      <c r="AY9170"/>
      <c r="AZ9170"/>
      <c r="BA9170"/>
      <c r="BB9170"/>
      <c r="BC9170"/>
      <c r="BD9170"/>
      <c r="BE9170"/>
      <c r="BF9170"/>
      <c r="BG9170"/>
      <c r="BH9170"/>
      <c r="BI9170"/>
      <c r="BJ9170"/>
      <c r="BK9170"/>
    </row>
    <row r="9171" spans="1:63" s="93" customFormat="1" ht="9" customHeight="1" x14ac:dyDescent="0.3">
      <c r="A9171" s="91"/>
      <c r="B9171" s="70"/>
      <c r="C9171" s="70"/>
      <c r="D9171" s="70"/>
      <c r="E9171" s="70"/>
      <c r="F9171" s="70"/>
      <c r="G9171" s="94"/>
      <c r="H9171" s="131"/>
      <c r="I9171" s="3"/>
      <c r="J9171"/>
      <c r="K9171"/>
      <c r="L9171"/>
      <c r="M9171"/>
      <c r="N9171"/>
      <c r="O9171"/>
      <c r="P9171"/>
      <c r="Q9171"/>
      <c r="R9171"/>
      <c r="S9171"/>
      <c r="T9171"/>
      <c r="U9171"/>
      <c r="V9171"/>
      <c r="W9171"/>
      <c r="X9171"/>
      <c r="Y9171"/>
      <c r="Z9171"/>
      <c r="AA9171"/>
      <c r="AB9171"/>
      <c r="AC9171"/>
      <c r="AD9171"/>
      <c r="AE9171"/>
      <c r="AF9171"/>
      <c r="AG9171"/>
      <c r="AH9171"/>
      <c r="AI9171"/>
      <c r="AJ9171"/>
      <c r="AK9171"/>
      <c r="AL9171"/>
      <c r="AM9171"/>
      <c r="AN9171"/>
      <c r="AO9171"/>
      <c r="AP9171"/>
      <c r="AQ9171"/>
      <c r="AR9171"/>
      <c r="AS9171"/>
      <c r="AT9171"/>
      <c r="AU9171"/>
      <c r="AV9171"/>
      <c r="AW9171"/>
      <c r="AX9171"/>
      <c r="AY9171"/>
      <c r="AZ9171"/>
      <c r="BA9171"/>
      <c r="BB9171"/>
      <c r="BC9171"/>
      <c r="BD9171"/>
      <c r="BE9171"/>
      <c r="BF9171"/>
      <c r="BG9171"/>
      <c r="BH9171"/>
      <c r="BI9171"/>
      <c r="BJ9171"/>
      <c r="BK9171"/>
    </row>
    <row r="9172" spans="1:63" s="93" customFormat="1" ht="9" customHeight="1" x14ac:dyDescent="0.3">
      <c r="A9172" s="91"/>
      <c r="B9172" s="70"/>
      <c r="C9172" s="70"/>
      <c r="D9172" s="70"/>
      <c r="E9172" s="70"/>
      <c r="F9172" s="70"/>
      <c r="G9172" s="94"/>
      <c r="H9172" s="131"/>
      <c r="I9172" s="3"/>
      <c r="J9172"/>
      <c r="K9172"/>
      <c r="L9172"/>
      <c r="M9172"/>
      <c r="N9172"/>
      <c r="O9172"/>
      <c r="P9172"/>
      <c r="Q9172"/>
      <c r="R9172"/>
      <c r="S9172"/>
      <c r="T9172"/>
      <c r="U9172"/>
      <c r="V9172"/>
      <c r="W9172"/>
      <c r="X9172"/>
      <c r="Y9172"/>
      <c r="Z9172"/>
      <c r="AA9172"/>
      <c r="AB9172"/>
      <c r="AC9172"/>
      <c r="AD9172"/>
      <c r="AE9172"/>
      <c r="AF9172"/>
      <c r="AG9172"/>
      <c r="AH9172"/>
      <c r="AI9172"/>
      <c r="AJ9172"/>
      <c r="AK9172"/>
      <c r="AL9172"/>
      <c r="AM9172"/>
      <c r="AN9172"/>
      <c r="AO9172"/>
      <c r="AP9172"/>
      <c r="AQ9172"/>
      <c r="AR9172"/>
      <c r="AS9172"/>
      <c r="AT9172"/>
      <c r="AU9172"/>
      <c r="AV9172"/>
      <c r="AW9172"/>
      <c r="AX9172"/>
      <c r="AY9172"/>
      <c r="AZ9172"/>
      <c r="BA9172"/>
      <c r="BB9172"/>
      <c r="BC9172"/>
      <c r="BD9172"/>
      <c r="BE9172"/>
      <c r="BF9172"/>
      <c r="BG9172"/>
      <c r="BH9172"/>
      <c r="BI9172"/>
      <c r="BJ9172"/>
      <c r="BK9172"/>
    </row>
    <row r="9173" spans="1:63" s="93" customFormat="1" ht="9" customHeight="1" x14ac:dyDescent="0.3">
      <c r="A9173" s="91"/>
      <c r="B9173" s="70"/>
      <c r="C9173" s="70"/>
      <c r="D9173" s="70"/>
      <c r="E9173" s="70"/>
      <c r="F9173" s="70"/>
      <c r="G9173" s="94"/>
      <c r="H9173" s="131"/>
      <c r="I9173" s="3"/>
      <c r="J9173"/>
      <c r="K9173"/>
      <c r="L9173"/>
      <c r="M9173"/>
      <c r="N9173"/>
      <c r="O9173"/>
      <c r="P9173"/>
      <c r="Q9173"/>
      <c r="R9173"/>
      <c r="S9173"/>
      <c r="T9173"/>
      <c r="U9173"/>
      <c r="V9173"/>
      <c r="W9173"/>
      <c r="X9173"/>
      <c r="Y9173"/>
      <c r="Z9173"/>
      <c r="AA9173"/>
      <c r="AB9173"/>
      <c r="AC9173"/>
      <c r="AD9173"/>
      <c r="AE9173"/>
      <c r="AF9173"/>
      <c r="AG9173"/>
      <c r="AH9173"/>
      <c r="AI9173"/>
      <c r="AJ9173"/>
      <c r="AK9173"/>
      <c r="AL9173"/>
      <c r="AM9173"/>
      <c r="AN9173"/>
      <c r="AO9173"/>
      <c r="AP9173"/>
      <c r="AQ9173"/>
      <c r="AR9173"/>
      <c r="AS9173"/>
      <c r="AT9173"/>
      <c r="AU9173"/>
      <c r="AV9173"/>
      <c r="AW9173"/>
      <c r="AX9173"/>
      <c r="AY9173"/>
      <c r="AZ9173"/>
      <c r="BA9173"/>
      <c r="BB9173"/>
      <c r="BC9173"/>
      <c r="BD9173"/>
      <c r="BE9173"/>
      <c r="BF9173"/>
      <c r="BG9173"/>
      <c r="BH9173"/>
      <c r="BI9173"/>
      <c r="BJ9173"/>
      <c r="BK9173"/>
    </row>
    <row r="9174" spans="1:63" s="93" customFormat="1" ht="9" customHeight="1" x14ac:dyDescent="0.3">
      <c r="A9174" s="91"/>
      <c r="B9174" s="70"/>
      <c r="C9174" s="70"/>
      <c r="D9174" s="70"/>
      <c r="E9174" s="70"/>
      <c r="F9174" s="70"/>
      <c r="G9174" s="94"/>
      <c r="H9174" s="131"/>
      <c r="I9174" s="3"/>
      <c r="J9174"/>
      <c r="K9174"/>
      <c r="L9174"/>
      <c r="M9174"/>
      <c r="N9174"/>
      <c r="O9174"/>
      <c r="P9174"/>
      <c r="Q9174"/>
      <c r="R9174"/>
      <c r="S9174"/>
      <c r="T9174"/>
      <c r="U9174"/>
      <c r="V9174"/>
      <c r="W9174"/>
      <c r="X9174"/>
      <c r="Y9174"/>
      <c r="Z9174"/>
      <c r="AA9174"/>
      <c r="AB9174"/>
      <c r="AC9174"/>
      <c r="AD9174"/>
      <c r="AE9174"/>
      <c r="AF9174"/>
      <c r="AG9174"/>
      <c r="AH9174"/>
      <c r="AI9174"/>
      <c r="AJ9174"/>
      <c r="AK9174"/>
      <c r="AL9174"/>
      <c r="AM9174"/>
      <c r="AN9174"/>
      <c r="AO9174"/>
      <c r="AP9174"/>
      <c r="AQ9174"/>
      <c r="AR9174"/>
      <c r="AS9174"/>
      <c r="AT9174"/>
      <c r="AU9174"/>
      <c r="AV9174"/>
      <c r="AW9174"/>
      <c r="AX9174"/>
      <c r="AY9174"/>
      <c r="AZ9174"/>
      <c r="BA9174"/>
      <c r="BB9174"/>
      <c r="BC9174"/>
      <c r="BD9174"/>
      <c r="BE9174"/>
      <c r="BF9174"/>
      <c r="BG9174"/>
      <c r="BH9174"/>
      <c r="BI9174"/>
      <c r="BJ9174"/>
      <c r="BK9174"/>
    </row>
    <row r="9175" spans="1:63" s="93" customFormat="1" ht="9" customHeight="1" x14ac:dyDescent="0.3">
      <c r="A9175" s="91"/>
      <c r="B9175" s="70"/>
      <c r="C9175" s="70"/>
      <c r="D9175" s="70"/>
      <c r="E9175" s="70"/>
      <c r="F9175" s="70"/>
      <c r="G9175" s="94"/>
      <c r="H9175" s="131"/>
      <c r="I9175" s="3"/>
      <c r="J9175"/>
      <c r="K9175"/>
      <c r="L9175"/>
      <c r="M9175"/>
      <c r="N9175"/>
      <c r="O9175"/>
      <c r="P9175"/>
      <c r="Q9175"/>
      <c r="R9175"/>
      <c r="S9175"/>
      <c r="T9175"/>
      <c r="U9175"/>
      <c r="V9175"/>
      <c r="W9175"/>
      <c r="X9175"/>
      <c r="Y9175"/>
      <c r="Z9175"/>
      <c r="AA9175"/>
      <c r="AB9175"/>
      <c r="AC9175"/>
      <c r="AD9175"/>
      <c r="AE9175"/>
      <c r="AF9175"/>
      <c r="AG9175"/>
      <c r="AH9175"/>
      <c r="AI9175"/>
      <c r="AJ9175"/>
      <c r="AK9175"/>
      <c r="AL9175"/>
      <c r="AM9175"/>
      <c r="AN9175"/>
      <c r="AO9175"/>
      <c r="AP9175"/>
      <c r="AQ9175"/>
      <c r="AR9175"/>
      <c r="AS9175"/>
      <c r="AT9175"/>
      <c r="AU9175"/>
      <c r="AV9175"/>
      <c r="AW9175"/>
      <c r="AX9175"/>
      <c r="AY9175"/>
      <c r="AZ9175"/>
      <c r="BA9175"/>
      <c r="BB9175"/>
      <c r="BC9175"/>
      <c r="BD9175"/>
      <c r="BE9175"/>
      <c r="BF9175"/>
      <c r="BG9175"/>
      <c r="BH9175"/>
      <c r="BI9175"/>
      <c r="BJ9175"/>
      <c r="BK9175"/>
    </row>
    <row r="9176" spans="1:63" s="93" customFormat="1" ht="9" customHeight="1" x14ac:dyDescent="0.3">
      <c r="A9176" s="91"/>
      <c r="B9176" s="70"/>
      <c r="C9176" s="70"/>
      <c r="D9176" s="70"/>
      <c r="E9176" s="70"/>
      <c r="F9176" s="70"/>
      <c r="G9176" s="94"/>
      <c r="H9176" s="131"/>
      <c r="I9176" s="3"/>
      <c r="J9176"/>
      <c r="K9176"/>
      <c r="L9176"/>
      <c r="M9176"/>
      <c r="N9176"/>
      <c r="O9176"/>
      <c r="P9176"/>
      <c r="Q9176"/>
      <c r="R9176"/>
      <c r="S9176"/>
      <c r="T9176"/>
      <c r="U9176"/>
      <c r="V9176"/>
      <c r="W9176"/>
      <c r="X9176"/>
      <c r="Y9176"/>
      <c r="Z9176"/>
      <c r="AA9176"/>
      <c r="AB9176"/>
      <c r="AC9176"/>
      <c r="AD9176"/>
      <c r="AE9176"/>
      <c r="AF9176"/>
      <c r="AG9176"/>
      <c r="AH9176"/>
      <c r="AI9176"/>
      <c r="AJ9176"/>
      <c r="AK9176"/>
      <c r="AL9176"/>
      <c r="AM9176"/>
      <c r="AN9176"/>
      <c r="AO9176"/>
      <c r="AP9176"/>
      <c r="AQ9176"/>
      <c r="AR9176"/>
      <c r="AS9176"/>
      <c r="AT9176"/>
      <c r="AU9176"/>
      <c r="AV9176"/>
      <c r="AW9176"/>
      <c r="AX9176"/>
      <c r="AY9176"/>
      <c r="AZ9176"/>
      <c r="BA9176"/>
      <c r="BB9176"/>
      <c r="BC9176"/>
      <c r="BD9176"/>
      <c r="BE9176"/>
      <c r="BF9176"/>
      <c r="BG9176"/>
      <c r="BH9176"/>
      <c r="BI9176"/>
      <c r="BJ9176"/>
      <c r="BK9176"/>
    </row>
    <row r="9177" spans="1:63" s="93" customFormat="1" ht="9" customHeight="1" x14ac:dyDescent="0.3">
      <c r="A9177" s="91"/>
      <c r="B9177" s="70"/>
      <c r="C9177" s="70"/>
      <c r="D9177" s="70"/>
      <c r="E9177" s="70"/>
      <c r="F9177" s="70"/>
      <c r="G9177" s="94"/>
      <c r="H9177" s="131"/>
      <c r="I9177" s="3"/>
      <c r="J9177"/>
      <c r="K9177"/>
      <c r="L9177"/>
      <c r="M9177"/>
      <c r="N9177"/>
      <c r="O9177"/>
      <c r="P9177"/>
      <c r="Q9177"/>
      <c r="R9177"/>
      <c r="S9177"/>
      <c r="T9177"/>
      <c r="U9177"/>
      <c r="V9177"/>
      <c r="W9177"/>
      <c r="X9177"/>
      <c r="Y9177"/>
      <c r="Z9177"/>
      <c r="AA9177"/>
      <c r="AB9177"/>
      <c r="AC9177"/>
      <c r="AD9177"/>
      <c r="AE9177"/>
      <c r="AF9177"/>
      <c r="AG9177"/>
      <c r="AH9177"/>
      <c r="AI9177"/>
      <c r="AJ9177"/>
      <c r="AK9177"/>
      <c r="AL9177"/>
      <c r="AM9177"/>
      <c r="AN9177"/>
      <c r="AO9177"/>
      <c r="AP9177"/>
      <c r="AQ9177"/>
      <c r="AR9177"/>
      <c r="AS9177"/>
      <c r="AT9177"/>
      <c r="AU9177"/>
      <c r="AV9177"/>
      <c r="AW9177"/>
      <c r="AX9177"/>
      <c r="AY9177"/>
      <c r="AZ9177"/>
      <c r="BA9177"/>
      <c r="BB9177"/>
      <c r="BC9177"/>
      <c r="BD9177"/>
      <c r="BE9177"/>
      <c r="BF9177"/>
      <c r="BG9177"/>
      <c r="BH9177"/>
      <c r="BI9177"/>
      <c r="BJ9177"/>
      <c r="BK9177"/>
    </row>
    <row r="9178" spans="1:63" s="93" customFormat="1" ht="9" customHeight="1" x14ac:dyDescent="0.3">
      <c r="A9178" s="91"/>
      <c r="B9178" s="70"/>
      <c r="C9178" s="70"/>
      <c r="D9178" s="70"/>
      <c r="E9178" s="70"/>
      <c r="F9178" s="70"/>
      <c r="G9178" s="94"/>
      <c r="H9178" s="131"/>
      <c r="I9178" s="3"/>
      <c r="J9178"/>
      <c r="K9178"/>
      <c r="L9178"/>
      <c r="M9178"/>
      <c r="N9178"/>
      <c r="O9178"/>
      <c r="P9178"/>
      <c r="Q9178"/>
      <c r="R9178"/>
      <c r="S9178"/>
      <c r="T9178"/>
      <c r="U9178"/>
      <c r="V9178"/>
      <c r="W9178"/>
      <c r="X9178"/>
      <c r="Y9178"/>
      <c r="Z9178"/>
      <c r="AA9178"/>
      <c r="AB9178"/>
      <c r="AC9178"/>
      <c r="AD9178"/>
      <c r="AE9178"/>
      <c r="AF9178"/>
      <c r="AG9178"/>
      <c r="AH9178"/>
      <c r="AI9178"/>
      <c r="AJ9178"/>
      <c r="AK9178"/>
      <c r="AL9178"/>
      <c r="AM9178"/>
      <c r="AN9178"/>
      <c r="AO9178"/>
      <c r="AP9178"/>
      <c r="AQ9178"/>
      <c r="AR9178"/>
      <c r="AS9178"/>
      <c r="AT9178"/>
      <c r="AU9178"/>
      <c r="AV9178"/>
      <c r="AW9178"/>
      <c r="AX9178"/>
      <c r="AY9178"/>
      <c r="AZ9178"/>
      <c r="BA9178"/>
      <c r="BB9178"/>
      <c r="BC9178"/>
      <c r="BD9178"/>
      <c r="BE9178"/>
      <c r="BF9178"/>
      <c r="BG9178"/>
      <c r="BH9178"/>
      <c r="BI9178"/>
      <c r="BJ9178"/>
      <c r="BK9178"/>
    </row>
    <row r="9179" spans="1:63" s="93" customFormat="1" ht="9" customHeight="1" x14ac:dyDescent="0.3">
      <c r="A9179" s="91"/>
      <c r="B9179" s="70"/>
      <c r="C9179" s="70"/>
      <c r="D9179" s="70"/>
      <c r="E9179" s="70"/>
      <c r="F9179" s="70"/>
      <c r="G9179" s="94"/>
      <c r="H9179" s="131"/>
      <c r="I9179" s="3"/>
      <c r="J9179"/>
      <c r="K9179"/>
      <c r="L9179"/>
      <c r="M9179"/>
      <c r="N9179"/>
      <c r="O9179"/>
      <c r="P9179"/>
      <c r="Q9179"/>
      <c r="R9179"/>
      <c r="S9179"/>
      <c r="T9179"/>
      <c r="U9179"/>
      <c r="V9179"/>
      <c r="W9179"/>
      <c r="X9179"/>
      <c r="Y9179"/>
      <c r="Z9179"/>
      <c r="AA9179"/>
      <c r="AB9179"/>
      <c r="AC9179"/>
      <c r="AD9179"/>
      <c r="AE9179"/>
      <c r="AF9179"/>
      <c r="AG9179"/>
      <c r="AH9179"/>
      <c r="AI9179"/>
      <c r="AJ9179"/>
      <c r="AK9179"/>
      <c r="AL9179"/>
      <c r="AM9179"/>
      <c r="AN9179"/>
      <c r="AO9179"/>
      <c r="AP9179"/>
      <c r="AQ9179"/>
      <c r="AR9179"/>
      <c r="AS9179"/>
      <c r="AT9179"/>
      <c r="AU9179"/>
      <c r="AV9179"/>
      <c r="AW9179"/>
      <c r="AX9179"/>
      <c r="AY9179"/>
      <c r="AZ9179"/>
      <c r="BA9179"/>
      <c r="BB9179"/>
      <c r="BC9179"/>
      <c r="BD9179"/>
      <c r="BE9179"/>
      <c r="BF9179"/>
      <c r="BG9179"/>
      <c r="BH9179"/>
      <c r="BI9179"/>
      <c r="BJ9179"/>
      <c r="BK9179"/>
    </row>
    <row r="9180" spans="1:63" s="93" customFormat="1" ht="9" customHeight="1" x14ac:dyDescent="0.3">
      <c r="A9180" s="91"/>
      <c r="B9180" s="70"/>
      <c r="C9180" s="70"/>
      <c r="D9180" s="70"/>
      <c r="E9180" s="70"/>
      <c r="F9180" s="70"/>
      <c r="G9180" s="94"/>
      <c r="H9180" s="131"/>
      <c r="I9180" s="3"/>
      <c r="J9180"/>
      <c r="K9180"/>
      <c r="L9180"/>
      <c r="M9180"/>
      <c r="N9180"/>
      <c r="O9180"/>
      <c r="P9180"/>
      <c r="Q9180"/>
      <c r="R9180"/>
      <c r="S9180"/>
      <c r="T9180"/>
      <c r="U9180"/>
      <c r="V9180"/>
      <c r="W9180"/>
      <c r="X9180"/>
      <c r="Y9180"/>
      <c r="Z9180"/>
      <c r="AA9180"/>
      <c r="AB9180"/>
      <c r="AC9180"/>
      <c r="AD9180"/>
      <c r="AE9180"/>
      <c r="AF9180"/>
      <c r="AG9180"/>
      <c r="AH9180"/>
      <c r="AI9180"/>
      <c r="AJ9180"/>
      <c r="AK9180"/>
      <c r="AL9180"/>
      <c r="AM9180"/>
      <c r="AN9180"/>
      <c r="AO9180"/>
      <c r="AP9180"/>
      <c r="AQ9180"/>
      <c r="AR9180"/>
      <c r="AS9180"/>
      <c r="AT9180"/>
      <c r="AU9180"/>
      <c r="AV9180"/>
      <c r="AW9180"/>
      <c r="AX9180"/>
      <c r="AY9180"/>
      <c r="AZ9180"/>
      <c r="BA9180"/>
      <c r="BB9180"/>
      <c r="BC9180"/>
      <c r="BD9180"/>
      <c r="BE9180"/>
      <c r="BF9180"/>
      <c r="BG9180"/>
      <c r="BH9180"/>
      <c r="BI9180"/>
      <c r="BJ9180"/>
      <c r="BK9180"/>
    </row>
    <row r="9181" spans="1:63" s="93" customFormat="1" ht="9" customHeight="1" x14ac:dyDescent="0.3">
      <c r="A9181" s="91"/>
      <c r="B9181" s="70"/>
      <c r="C9181" s="70"/>
      <c r="D9181" s="70"/>
      <c r="E9181" s="70"/>
      <c r="F9181" s="70"/>
      <c r="G9181" s="94"/>
      <c r="H9181" s="131"/>
      <c r="I9181" s="3"/>
      <c r="J9181"/>
      <c r="K9181"/>
      <c r="L9181"/>
      <c r="M9181"/>
      <c r="N9181"/>
      <c r="O9181"/>
      <c r="P9181"/>
      <c r="Q9181"/>
      <c r="R9181"/>
      <c r="S9181"/>
      <c r="T9181"/>
      <c r="U9181"/>
      <c r="V9181"/>
      <c r="W9181"/>
      <c r="X9181"/>
      <c r="Y9181"/>
      <c r="Z9181"/>
      <c r="AA9181"/>
      <c r="AB9181"/>
      <c r="AC9181"/>
      <c r="AD9181"/>
      <c r="AE9181"/>
      <c r="AF9181"/>
      <c r="AG9181"/>
      <c r="AH9181"/>
      <c r="AI9181"/>
      <c r="AJ9181"/>
      <c r="AK9181"/>
      <c r="AL9181"/>
      <c r="AM9181"/>
      <c r="AN9181"/>
      <c r="AO9181"/>
      <c r="AP9181"/>
      <c r="AQ9181"/>
      <c r="AR9181"/>
      <c r="AS9181"/>
      <c r="AT9181"/>
      <c r="AU9181"/>
      <c r="AV9181"/>
      <c r="AW9181"/>
      <c r="AX9181"/>
      <c r="AY9181"/>
      <c r="AZ9181"/>
      <c r="BA9181"/>
      <c r="BB9181"/>
      <c r="BC9181"/>
      <c r="BD9181"/>
      <c r="BE9181"/>
      <c r="BF9181"/>
      <c r="BG9181"/>
      <c r="BH9181"/>
      <c r="BI9181"/>
      <c r="BJ9181"/>
      <c r="BK9181"/>
    </row>
    <row r="9182" spans="1:63" s="93" customFormat="1" ht="9" customHeight="1" x14ac:dyDescent="0.3">
      <c r="A9182" s="91"/>
      <c r="B9182" s="70"/>
      <c r="C9182" s="70"/>
      <c r="D9182" s="70"/>
      <c r="E9182" s="70"/>
      <c r="F9182" s="70"/>
      <c r="G9182" s="94"/>
      <c r="H9182" s="131"/>
      <c r="I9182" s="3"/>
      <c r="J9182"/>
      <c r="K9182"/>
      <c r="L9182"/>
      <c r="M9182"/>
      <c r="N9182"/>
      <c r="O9182"/>
      <c r="P9182"/>
      <c r="Q9182"/>
      <c r="R9182"/>
      <c r="S9182"/>
      <c r="T9182"/>
      <c r="U9182"/>
      <c r="V9182"/>
      <c r="W9182"/>
      <c r="X9182"/>
      <c r="Y9182"/>
      <c r="Z9182"/>
      <c r="AA9182"/>
      <c r="AB9182"/>
      <c r="AC9182"/>
      <c r="AD9182"/>
      <c r="AE9182"/>
      <c r="AF9182"/>
      <c r="AG9182"/>
      <c r="AH9182"/>
      <c r="AI9182"/>
      <c r="AJ9182"/>
      <c r="AK9182"/>
      <c r="AL9182"/>
      <c r="AM9182"/>
      <c r="AN9182"/>
      <c r="AO9182"/>
      <c r="AP9182"/>
      <c r="AQ9182"/>
      <c r="AR9182"/>
      <c r="AS9182"/>
      <c r="AT9182"/>
      <c r="AU9182"/>
      <c r="AV9182"/>
      <c r="AW9182"/>
      <c r="AX9182"/>
      <c r="AY9182"/>
      <c r="AZ9182"/>
      <c r="BA9182"/>
      <c r="BB9182"/>
      <c r="BC9182"/>
      <c r="BD9182"/>
      <c r="BE9182"/>
      <c r="BF9182"/>
      <c r="BG9182"/>
      <c r="BH9182"/>
      <c r="BI9182"/>
      <c r="BJ9182"/>
      <c r="BK9182"/>
    </row>
    <row r="9183" spans="1:63" s="93" customFormat="1" ht="9" customHeight="1" x14ac:dyDescent="0.3">
      <c r="A9183" s="91"/>
      <c r="B9183" s="70"/>
      <c r="C9183" s="70"/>
      <c r="D9183" s="70"/>
      <c r="E9183" s="70"/>
      <c r="F9183" s="70"/>
      <c r="G9183" s="94"/>
      <c r="H9183" s="131"/>
      <c r="I9183" s="3"/>
      <c r="J9183"/>
      <c r="K9183"/>
      <c r="L9183"/>
      <c r="M9183"/>
      <c r="N9183"/>
      <c r="O9183"/>
      <c r="P9183"/>
      <c r="Q9183"/>
      <c r="R9183"/>
      <c r="S9183"/>
      <c r="T9183"/>
      <c r="U9183"/>
      <c r="V9183"/>
      <c r="W9183"/>
      <c r="X9183"/>
      <c r="Y9183"/>
      <c r="Z9183"/>
      <c r="AA9183"/>
      <c r="AB9183"/>
      <c r="AC9183"/>
      <c r="AD9183"/>
      <c r="AE9183"/>
      <c r="AF9183"/>
      <c r="AG9183"/>
      <c r="AH9183"/>
      <c r="AI9183"/>
      <c r="AJ9183"/>
      <c r="AK9183"/>
      <c r="AL9183"/>
      <c r="AM9183"/>
      <c r="AN9183"/>
      <c r="AO9183"/>
      <c r="AP9183"/>
      <c r="AQ9183"/>
      <c r="AR9183"/>
      <c r="AS9183"/>
      <c r="AT9183"/>
      <c r="AU9183"/>
      <c r="AV9183"/>
      <c r="AW9183"/>
      <c r="AX9183"/>
      <c r="AY9183"/>
      <c r="AZ9183"/>
      <c r="BA9183"/>
      <c r="BB9183"/>
      <c r="BC9183"/>
      <c r="BD9183"/>
      <c r="BE9183"/>
      <c r="BF9183"/>
      <c r="BG9183"/>
      <c r="BH9183"/>
      <c r="BI9183"/>
      <c r="BJ9183"/>
      <c r="BK9183"/>
    </row>
    <row r="9184" spans="1:63" s="93" customFormat="1" ht="9" customHeight="1" x14ac:dyDescent="0.3">
      <c r="A9184" s="91"/>
      <c r="B9184" s="70"/>
      <c r="C9184" s="70"/>
      <c r="D9184" s="70"/>
      <c r="E9184" s="70"/>
      <c r="F9184" s="70"/>
      <c r="G9184" s="94"/>
      <c r="H9184" s="131"/>
      <c r="I9184" s="3"/>
      <c r="J9184"/>
      <c r="K9184"/>
      <c r="L9184"/>
      <c r="M9184"/>
      <c r="N9184"/>
      <c r="O9184"/>
      <c r="P9184"/>
      <c r="Q9184"/>
      <c r="R9184"/>
      <c r="S9184"/>
      <c r="T9184"/>
      <c r="U9184"/>
      <c r="V9184"/>
      <c r="W9184"/>
      <c r="X9184"/>
      <c r="Y9184"/>
      <c r="Z9184"/>
      <c r="AA9184"/>
      <c r="AB9184"/>
      <c r="AC9184"/>
      <c r="AD9184"/>
      <c r="AE9184"/>
      <c r="AF9184"/>
      <c r="AG9184"/>
      <c r="AH9184"/>
      <c r="AI9184"/>
      <c r="AJ9184"/>
      <c r="AK9184"/>
      <c r="AL9184"/>
      <c r="AM9184"/>
      <c r="AN9184"/>
      <c r="AO9184"/>
      <c r="AP9184"/>
      <c r="AQ9184"/>
      <c r="AR9184"/>
      <c r="AS9184"/>
      <c r="AT9184"/>
      <c r="AU9184"/>
      <c r="AV9184"/>
      <c r="AW9184"/>
      <c r="AX9184"/>
      <c r="AY9184"/>
      <c r="AZ9184"/>
      <c r="BA9184"/>
      <c r="BB9184"/>
      <c r="BC9184"/>
      <c r="BD9184"/>
      <c r="BE9184"/>
      <c r="BF9184"/>
      <c r="BG9184"/>
      <c r="BH9184"/>
      <c r="BI9184"/>
      <c r="BJ9184"/>
      <c r="BK9184"/>
    </row>
    <row r="9185" spans="1:63" s="93" customFormat="1" ht="9" customHeight="1" x14ac:dyDescent="0.3">
      <c r="A9185" s="91"/>
      <c r="B9185" s="70"/>
      <c r="C9185" s="70"/>
      <c r="D9185" s="70"/>
      <c r="E9185" s="70"/>
      <c r="F9185" s="70"/>
      <c r="G9185" s="94"/>
      <c r="H9185" s="131"/>
      <c r="I9185" s="3"/>
      <c r="J9185"/>
      <c r="K9185"/>
      <c r="L9185"/>
      <c r="M9185"/>
      <c r="N9185"/>
      <c r="O9185"/>
      <c r="P9185"/>
      <c r="Q9185"/>
      <c r="R9185"/>
      <c r="S9185"/>
      <c r="T9185"/>
      <c r="U9185"/>
      <c r="V9185"/>
      <c r="W9185"/>
      <c r="X9185"/>
      <c r="Y9185"/>
      <c r="Z9185"/>
      <c r="AA9185"/>
      <c r="AB9185"/>
      <c r="AC9185"/>
      <c r="AD9185"/>
      <c r="AE9185"/>
      <c r="AF9185"/>
      <c r="AG9185"/>
      <c r="AH9185"/>
      <c r="AI9185"/>
      <c r="AJ9185"/>
      <c r="AK9185"/>
      <c r="AL9185"/>
      <c r="AM9185"/>
      <c r="AN9185"/>
      <c r="AO9185"/>
      <c r="AP9185"/>
      <c r="AQ9185"/>
      <c r="AR9185"/>
      <c r="AS9185"/>
      <c r="AT9185"/>
      <c r="AU9185"/>
      <c r="AV9185"/>
      <c r="AW9185"/>
      <c r="AX9185"/>
      <c r="AY9185"/>
      <c r="AZ9185"/>
      <c r="BA9185"/>
      <c r="BB9185"/>
      <c r="BC9185"/>
      <c r="BD9185"/>
      <c r="BE9185"/>
      <c r="BF9185"/>
      <c r="BG9185"/>
      <c r="BH9185"/>
      <c r="BI9185"/>
      <c r="BJ9185"/>
      <c r="BK9185"/>
    </row>
    <row r="9186" spans="1:63" s="93" customFormat="1" ht="9" customHeight="1" x14ac:dyDescent="0.3">
      <c r="A9186" s="91"/>
      <c r="B9186" s="70"/>
      <c r="C9186" s="70"/>
      <c r="D9186" s="70"/>
      <c r="E9186" s="70"/>
      <c r="F9186" s="70"/>
      <c r="G9186" s="94"/>
      <c r="H9186" s="131"/>
      <c r="I9186" s="3"/>
      <c r="J9186"/>
      <c r="K9186"/>
      <c r="L9186"/>
      <c r="M9186"/>
      <c r="N9186"/>
      <c r="O9186"/>
      <c r="P9186"/>
      <c r="Q9186"/>
      <c r="R9186"/>
      <c r="S9186"/>
      <c r="T9186"/>
      <c r="U9186"/>
      <c r="V9186"/>
      <c r="W9186"/>
      <c r="X9186"/>
      <c r="Y9186"/>
      <c r="Z9186"/>
      <c r="AA9186"/>
      <c r="AB9186"/>
      <c r="AC9186"/>
      <c r="AD9186"/>
      <c r="AE9186"/>
      <c r="AF9186"/>
      <c r="AG9186"/>
      <c r="AH9186"/>
      <c r="AI9186"/>
      <c r="AJ9186"/>
      <c r="AK9186"/>
      <c r="AL9186"/>
      <c r="AM9186"/>
      <c r="AN9186"/>
      <c r="AO9186"/>
      <c r="AP9186"/>
      <c r="AQ9186"/>
      <c r="AR9186"/>
      <c r="AS9186"/>
      <c r="AT9186"/>
      <c r="AU9186"/>
      <c r="AV9186"/>
      <c r="AW9186"/>
      <c r="AX9186"/>
      <c r="AY9186"/>
      <c r="AZ9186"/>
      <c r="BA9186"/>
      <c r="BB9186"/>
      <c r="BC9186"/>
      <c r="BD9186"/>
      <c r="BE9186"/>
      <c r="BF9186"/>
      <c r="BG9186"/>
      <c r="BH9186"/>
      <c r="BI9186"/>
      <c r="BJ9186"/>
      <c r="BK9186"/>
    </row>
    <row r="9187" spans="1:63" s="93" customFormat="1" ht="9" customHeight="1" x14ac:dyDescent="0.3">
      <c r="A9187" s="91"/>
      <c r="B9187" s="70"/>
      <c r="C9187" s="70"/>
      <c r="D9187" s="70"/>
      <c r="E9187" s="70"/>
      <c r="F9187" s="70"/>
      <c r="G9187" s="94"/>
      <c r="H9187" s="131"/>
      <c r="I9187" s="3"/>
      <c r="J9187"/>
      <c r="K9187"/>
      <c r="L9187"/>
      <c r="M9187"/>
      <c r="N9187"/>
      <c r="O9187"/>
      <c r="P9187"/>
      <c r="Q9187"/>
      <c r="R9187"/>
      <c r="S9187"/>
      <c r="T9187"/>
      <c r="U9187"/>
      <c r="V9187"/>
      <c r="W9187"/>
      <c r="X9187"/>
      <c r="Y9187"/>
      <c r="Z9187"/>
      <c r="AA9187"/>
      <c r="AB9187"/>
      <c r="AC9187"/>
      <c r="AD9187"/>
      <c r="AE9187"/>
      <c r="AF9187"/>
      <c r="AG9187"/>
      <c r="AH9187"/>
      <c r="AI9187"/>
      <c r="AJ9187"/>
      <c r="AK9187"/>
      <c r="AL9187"/>
      <c r="AM9187"/>
      <c r="AN9187"/>
      <c r="AO9187"/>
      <c r="AP9187"/>
      <c r="AQ9187"/>
      <c r="AR9187"/>
      <c r="AS9187"/>
      <c r="AT9187"/>
      <c r="AU9187"/>
      <c r="AV9187"/>
      <c r="AW9187"/>
      <c r="AX9187"/>
      <c r="AY9187"/>
      <c r="AZ9187"/>
      <c r="BA9187"/>
      <c r="BB9187"/>
      <c r="BC9187"/>
      <c r="BD9187"/>
      <c r="BE9187"/>
      <c r="BF9187"/>
      <c r="BG9187"/>
      <c r="BH9187"/>
      <c r="BI9187"/>
      <c r="BJ9187"/>
      <c r="BK9187"/>
    </row>
    <row r="9188" spans="1:63" s="93" customFormat="1" ht="9" customHeight="1" x14ac:dyDescent="0.3">
      <c r="A9188" s="91"/>
      <c r="B9188" s="70"/>
      <c r="C9188" s="70"/>
      <c r="D9188" s="70"/>
      <c r="E9188" s="70"/>
      <c r="F9188" s="70"/>
      <c r="G9188" s="94"/>
      <c r="H9188" s="131"/>
      <c r="I9188" s="3"/>
      <c r="J9188"/>
      <c r="K9188"/>
      <c r="L9188"/>
      <c r="M9188"/>
      <c r="N9188"/>
      <c r="O9188"/>
      <c r="P9188"/>
      <c r="Q9188"/>
      <c r="R9188"/>
      <c r="S9188"/>
      <c r="T9188"/>
      <c r="U9188"/>
      <c r="V9188"/>
      <c r="W9188"/>
      <c r="X9188"/>
      <c r="Y9188"/>
      <c r="Z9188"/>
      <c r="AA9188"/>
      <c r="AB9188"/>
      <c r="AC9188"/>
      <c r="AD9188"/>
      <c r="AE9188"/>
      <c r="AF9188"/>
      <c r="AG9188"/>
      <c r="AH9188"/>
      <c r="AI9188"/>
      <c r="AJ9188"/>
      <c r="AK9188"/>
      <c r="AL9188"/>
      <c r="AM9188"/>
      <c r="AN9188"/>
      <c r="AO9188"/>
      <c r="AP9188"/>
      <c r="AQ9188"/>
      <c r="AR9188"/>
      <c r="AS9188"/>
      <c r="AT9188"/>
      <c r="AU9188"/>
      <c r="AV9188"/>
      <c r="AW9188"/>
      <c r="AX9188"/>
      <c r="AY9188"/>
      <c r="AZ9188"/>
      <c r="BA9188"/>
      <c r="BB9188"/>
      <c r="BC9188"/>
      <c r="BD9188"/>
      <c r="BE9188"/>
      <c r="BF9188"/>
      <c r="BG9188"/>
      <c r="BH9188"/>
      <c r="BI9188"/>
      <c r="BJ9188"/>
      <c r="BK9188"/>
    </row>
    <row r="9189" spans="1:63" s="93" customFormat="1" ht="9" customHeight="1" x14ac:dyDescent="0.3">
      <c r="A9189" s="91"/>
      <c r="B9189" s="70"/>
      <c r="C9189" s="70"/>
      <c r="D9189" s="70"/>
      <c r="E9189" s="70"/>
      <c r="F9189" s="70"/>
      <c r="G9189" s="94"/>
      <c r="H9189" s="131"/>
      <c r="I9189" s="3"/>
      <c r="J9189"/>
      <c r="K9189"/>
      <c r="L9189"/>
      <c r="M9189"/>
      <c r="N9189"/>
      <c r="O9189"/>
      <c r="P9189"/>
      <c r="Q9189"/>
      <c r="R9189"/>
      <c r="S9189"/>
      <c r="T9189"/>
      <c r="U9189"/>
      <c r="V9189"/>
      <c r="W9189"/>
      <c r="X9189"/>
      <c r="Y9189"/>
      <c r="Z9189"/>
      <c r="AA9189"/>
      <c r="AB9189"/>
      <c r="AC9189"/>
      <c r="AD9189"/>
      <c r="AE9189"/>
      <c r="AF9189"/>
      <c r="AG9189"/>
      <c r="AH9189"/>
      <c r="AI9189"/>
      <c r="AJ9189"/>
      <c r="AK9189"/>
      <c r="AL9189"/>
      <c r="AM9189"/>
      <c r="AN9189"/>
      <c r="AO9189"/>
      <c r="AP9189"/>
      <c r="AQ9189"/>
      <c r="AR9189"/>
      <c r="AS9189"/>
      <c r="AT9189"/>
      <c r="AU9189"/>
      <c r="AV9189"/>
      <c r="AW9189"/>
      <c r="AX9189"/>
      <c r="AY9189"/>
      <c r="AZ9189"/>
      <c r="BA9189"/>
      <c r="BB9189"/>
      <c r="BC9189"/>
      <c r="BD9189"/>
      <c r="BE9189"/>
      <c r="BF9189"/>
      <c r="BG9189"/>
      <c r="BH9189"/>
      <c r="BI9189"/>
      <c r="BJ9189"/>
      <c r="BK9189"/>
    </row>
    <row r="9190" spans="1:63" s="93" customFormat="1" ht="9" customHeight="1" x14ac:dyDescent="0.3">
      <c r="A9190" s="91"/>
      <c r="B9190" s="70"/>
      <c r="C9190" s="70"/>
      <c r="D9190" s="70"/>
      <c r="E9190" s="70"/>
      <c r="F9190" s="70"/>
      <c r="G9190" s="94"/>
      <c r="H9190" s="131"/>
      <c r="I9190" s="3"/>
      <c r="J9190"/>
      <c r="K9190"/>
      <c r="L9190"/>
      <c r="M9190"/>
      <c r="N9190"/>
      <c r="O9190"/>
      <c r="P9190"/>
      <c r="Q9190"/>
      <c r="R9190"/>
      <c r="S9190"/>
      <c r="T9190"/>
      <c r="U9190"/>
      <c r="V9190"/>
      <c r="W9190"/>
      <c r="X9190"/>
      <c r="Y9190"/>
      <c r="Z9190"/>
      <c r="AA9190"/>
      <c r="AB9190"/>
      <c r="AC9190"/>
      <c r="AD9190"/>
      <c r="AE9190"/>
      <c r="AF9190"/>
      <c r="AG9190"/>
      <c r="AH9190"/>
      <c r="AI9190"/>
      <c r="AJ9190"/>
      <c r="AK9190"/>
      <c r="AL9190"/>
      <c r="AM9190"/>
      <c r="AN9190"/>
      <c r="AO9190"/>
      <c r="AP9190"/>
      <c r="AQ9190"/>
      <c r="AR9190"/>
      <c r="AS9190"/>
      <c r="AT9190"/>
      <c r="AU9190"/>
      <c r="AV9190"/>
      <c r="AW9190"/>
      <c r="AX9190"/>
      <c r="AY9190"/>
      <c r="AZ9190"/>
      <c r="BA9190"/>
      <c r="BB9190"/>
      <c r="BC9190"/>
      <c r="BD9190"/>
      <c r="BE9190"/>
      <c r="BF9190"/>
      <c r="BG9190"/>
      <c r="BH9190"/>
      <c r="BI9190"/>
      <c r="BJ9190"/>
      <c r="BK9190"/>
    </row>
    <row r="9191" spans="1:63" s="93" customFormat="1" ht="9" customHeight="1" x14ac:dyDescent="0.3">
      <c r="A9191" s="91"/>
      <c r="B9191" s="70"/>
      <c r="C9191" s="70"/>
      <c r="D9191" s="70"/>
      <c r="E9191" s="70"/>
      <c r="F9191" s="70"/>
      <c r="G9191" s="94"/>
      <c r="H9191" s="131"/>
      <c r="I9191" s="3"/>
      <c r="J9191"/>
      <c r="K9191"/>
      <c r="L9191"/>
      <c r="M9191"/>
      <c r="N9191"/>
      <c r="O9191"/>
      <c r="P9191"/>
      <c r="Q9191"/>
      <c r="R9191"/>
      <c r="S9191"/>
      <c r="T9191"/>
      <c r="U9191"/>
      <c r="V9191"/>
      <c r="W9191"/>
      <c r="X9191"/>
      <c r="Y9191"/>
      <c r="Z9191"/>
      <c r="AA9191"/>
      <c r="AB9191"/>
      <c r="AC9191"/>
      <c r="AD9191"/>
      <c r="AE9191"/>
      <c r="AF9191"/>
      <c r="AG9191"/>
      <c r="AH9191"/>
      <c r="AI9191"/>
      <c r="AJ9191"/>
      <c r="AK9191"/>
      <c r="AL9191"/>
      <c r="AM9191"/>
      <c r="AN9191"/>
      <c r="AO9191"/>
      <c r="AP9191"/>
      <c r="AQ9191"/>
      <c r="AR9191"/>
      <c r="AS9191"/>
      <c r="AT9191"/>
      <c r="AU9191"/>
      <c r="AV9191"/>
      <c r="AW9191"/>
      <c r="AX9191"/>
      <c r="AY9191"/>
      <c r="AZ9191"/>
      <c r="BA9191"/>
      <c r="BB9191"/>
      <c r="BC9191"/>
      <c r="BD9191"/>
      <c r="BE9191"/>
      <c r="BF9191"/>
      <c r="BG9191"/>
      <c r="BH9191"/>
      <c r="BI9191"/>
      <c r="BJ9191"/>
      <c r="BK9191"/>
    </row>
    <row r="9192" spans="1:63" s="93" customFormat="1" ht="9" customHeight="1" x14ac:dyDescent="0.3">
      <c r="A9192" s="91"/>
      <c r="B9192" s="70"/>
      <c r="C9192" s="70"/>
      <c r="D9192" s="70"/>
      <c r="E9192" s="70"/>
      <c r="F9192" s="70"/>
      <c r="G9192" s="94"/>
      <c r="H9192" s="131"/>
      <c r="I9192" s="3"/>
      <c r="J9192"/>
      <c r="K9192"/>
      <c r="L9192"/>
      <c r="M9192"/>
      <c r="N9192"/>
      <c r="O9192"/>
      <c r="P9192"/>
      <c r="Q9192"/>
      <c r="R9192"/>
      <c r="S9192"/>
      <c r="T9192"/>
      <c r="U9192"/>
      <c r="V9192"/>
      <c r="W9192"/>
      <c r="X9192"/>
      <c r="Y9192"/>
      <c r="Z9192"/>
      <c r="AA9192"/>
      <c r="AB9192"/>
      <c r="AC9192"/>
      <c r="AD9192"/>
      <c r="AE9192"/>
      <c r="AF9192"/>
      <c r="AG9192"/>
      <c r="AH9192"/>
      <c r="AI9192"/>
      <c r="AJ9192"/>
      <c r="AK9192"/>
      <c r="AL9192"/>
      <c r="AM9192"/>
      <c r="AN9192"/>
      <c r="AO9192"/>
      <c r="AP9192"/>
      <c r="AQ9192"/>
      <c r="AR9192"/>
      <c r="AS9192"/>
      <c r="AT9192"/>
      <c r="AU9192"/>
      <c r="AV9192"/>
      <c r="AW9192"/>
      <c r="AX9192"/>
      <c r="AY9192"/>
      <c r="AZ9192"/>
      <c r="BA9192"/>
      <c r="BB9192"/>
      <c r="BC9192"/>
      <c r="BD9192"/>
      <c r="BE9192"/>
      <c r="BF9192"/>
      <c r="BG9192"/>
      <c r="BH9192"/>
      <c r="BI9192"/>
      <c r="BJ9192"/>
      <c r="BK9192"/>
    </row>
    <row r="9193" spans="1:63" s="93" customFormat="1" ht="9" customHeight="1" x14ac:dyDescent="0.3">
      <c r="A9193" s="91"/>
      <c r="B9193" s="70"/>
      <c r="C9193" s="70"/>
      <c r="D9193" s="70"/>
      <c r="E9193" s="70"/>
      <c r="F9193" s="70"/>
      <c r="G9193" s="94"/>
      <c r="H9193" s="131"/>
      <c r="I9193" s="3"/>
      <c r="J9193"/>
      <c r="K9193"/>
      <c r="L9193"/>
      <c r="M9193"/>
      <c r="N9193"/>
      <c r="O9193"/>
      <c r="P9193"/>
      <c r="Q9193"/>
      <c r="R9193"/>
      <c r="S9193"/>
      <c r="T9193"/>
      <c r="U9193"/>
      <c r="V9193"/>
      <c r="W9193"/>
      <c r="X9193"/>
      <c r="Y9193"/>
      <c r="Z9193"/>
      <c r="AA9193"/>
      <c r="AB9193"/>
      <c r="AC9193"/>
      <c r="AD9193"/>
      <c r="AE9193"/>
      <c r="AF9193"/>
      <c r="AG9193"/>
      <c r="AH9193"/>
      <c r="AI9193"/>
      <c r="AJ9193"/>
      <c r="AK9193"/>
      <c r="AL9193"/>
      <c r="AM9193"/>
      <c r="AN9193"/>
      <c r="AO9193"/>
      <c r="AP9193"/>
      <c r="AQ9193"/>
      <c r="AR9193"/>
      <c r="AS9193"/>
      <c r="AT9193"/>
      <c r="AU9193"/>
      <c r="AV9193"/>
      <c r="AW9193"/>
      <c r="AX9193"/>
      <c r="AY9193"/>
      <c r="AZ9193"/>
      <c r="BA9193"/>
      <c r="BB9193"/>
      <c r="BC9193"/>
      <c r="BD9193"/>
      <c r="BE9193"/>
      <c r="BF9193"/>
      <c r="BG9193"/>
      <c r="BH9193"/>
      <c r="BI9193"/>
      <c r="BJ9193"/>
      <c r="BK9193"/>
    </row>
    <row r="9194" spans="1:63" s="93" customFormat="1" ht="9" customHeight="1" x14ac:dyDescent="0.3">
      <c r="A9194" s="91"/>
      <c r="B9194" s="70"/>
      <c r="C9194" s="70"/>
      <c r="D9194" s="70"/>
      <c r="E9194" s="70"/>
      <c r="F9194" s="70"/>
      <c r="G9194" s="94"/>
      <c r="H9194" s="131"/>
      <c r="I9194" s="3"/>
      <c r="J9194"/>
      <c r="K9194"/>
      <c r="L9194"/>
      <c r="M9194"/>
      <c r="N9194"/>
      <c r="O9194"/>
      <c r="P9194"/>
      <c r="Q9194"/>
      <c r="R9194"/>
      <c r="S9194"/>
      <c r="T9194"/>
      <c r="U9194"/>
      <c r="V9194"/>
      <c r="W9194"/>
      <c r="X9194"/>
      <c r="Y9194"/>
      <c r="Z9194"/>
      <c r="AA9194"/>
      <c r="AB9194"/>
      <c r="AC9194"/>
      <c r="AD9194"/>
      <c r="AE9194"/>
      <c r="AF9194"/>
      <c r="AG9194"/>
      <c r="AH9194"/>
      <c r="AI9194"/>
      <c r="AJ9194"/>
      <c r="AK9194"/>
      <c r="AL9194"/>
      <c r="AM9194"/>
      <c r="AN9194"/>
      <c r="AO9194"/>
      <c r="AP9194"/>
      <c r="AQ9194"/>
      <c r="AR9194"/>
      <c r="AS9194"/>
      <c r="AT9194"/>
      <c r="AU9194"/>
      <c r="AV9194"/>
      <c r="AW9194"/>
      <c r="AX9194"/>
      <c r="AY9194"/>
      <c r="AZ9194"/>
      <c r="BA9194"/>
      <c r="BB9194"/>
      <c r="BC9194"/>
      <c r="BD9194"/>
      <c r="BE9194"/>
      <c r="BF9194"/>
      <c r="BG9194"/>
      <c r="BH9194"/>
      <c r="BI9194"/>
      <c r="BJ9194"/>
      <c r="BK9194"/>
    </row>
    <row r="9195" spans="1:63" s="93" customFormat="1" ht="9" customHeight="1" x14ac:dyDescent="0.3">
      <c r="A9195" s="91"/>
      <c r="B9195" s="70"/>
      <c r="C9195" s="70"/>
      <c r="D9195" s="70"/>
      <c r="E9195" s="70"/>
      <c r="F9195" s="70"/>
      <c r="G9195" s="94"/>
      <c r="H9195" s="131"/>
      <c r="I9195" s="3"/>
      <c r="J9195"/>
      <c r="K9195"/>
      <c r="L9195"/>
      <c r="M9195"/>
      <c r="N9195"/>
      <c r="O9195"/>
      <c r="P9195"/>
      <c r="Q9195"/>
      <c r="R9195"/>
      <c r="S9195"/>
      <c r="T9195"/>
      <c r="U9195"/>
      <c r="V9195"/>
      <c r="W9195"/>
      <c r="X9195"/>
      <c r="Y9195"/>
      <c r="Z9195"/>
      <c r="AA9195"/>
      <c r="AB9195"/>
      <c r="AC9195"/>
      <c r="AD9195"/>
      <c r="AE9195"/>
      <c r="AF9195"/>
      <c r="AG9195"/>
      <c r="AH9195"/>
      <c r="AI9195"/>
      <c r="AJ9195"/>
      <c r="AK9195"/>
      <c r="AL9195"/>
      <c r="AM9195"/>
      <c r="AN9195"/>
      <c r="AO9195"/>
      <c r="AP9195"/>
      <c r="AQ9195"/>
      <c r="AR9195"/>
      <c r="AS9195"/>
      <c r="AT9195"/>
      <c r="AU9195"/>
      <c r="AV9195"/>
      <c r="AW9195"/>
      <c r="AX9195"/>
      <c r="AY9195"/>
      <c r="AZ9195"/>
      <c r="BA9195"/>
      <c r="BB9195"/>
      <c r="BC9195"/>
      <c r="BD9195"/>
      <c r="BE9195"/>
      <c r="BF9195"/>
      <c r="BG9195"/>
      <c r="BH9195"/>
      <c r="BI9195"/>
      <c r="BJ9195"/>
      <c r="BK9195"/>
    </row>
    <row r="9196" spans="1:63" s="93" customFormat="1" ht="9" customHeight="1" x14ac:dyDescent="0.3">
      <c r="A9196" s="91"/>
      <c r="B9196" s="70"/>
      <c r="C9196" s="70"/>
      <c r="D9196" s="70"/>
      <c r="E9196" s="70"/>
      <c r="F9196" s="70"/>
      <c r="G9196" s="94"/>
      <c r="H9196" s="131"/>
      <c r="I9196" s="3"/>
      <c r="J9196"/>
      <c r="K9196"/>
      <c r="L9196"/>
      <c r="M9196"/>
      <c r="N9196"/>
      <c r="O9196"/>
      <c r="P9196"/>
      <c r="Q9196"/>
      <c r="R9196"/>
      <c r="S9196"/>
      <c r="T9196"/>
      <c r="U9196"/>
      <c r="V9196"/>
      <c r="W9196"/>
      <c r="X9196"/>
      <c r="Y9196"/>
      <c r="Z9196"/>
      <c r="AA9196"/>
      <c r="AB9196"/>
      <c r="AC9196"/>
      <c r="AD9196"/>
      <c r="AE9196"/>
      <c r="AF9196"/>
      <c r="AG9196"/>
      <c r="AH9196"/>
      <c r="AI9196"/>
      <c r="AJ9196"/>
      <c r="AK9196"/>
      <c r="AL9196"/>
      <c r="AM9196"/>
      <c r="AN9196"/>
      <c r="AO9196"/>
      <c r="AP9196"/>
      <c r="AQ9196"/>
      <c r="AR9196"/>
      <c r="AS9196"/>
      <c r="AT9196"/>
      <c r="AU9196"/>
      <c r="AV9196"/>
      <c r="AW9196"/>
      <c r="AX9196"/>
      <c r="AY9196"/>
      <c r="AZ9196"/>
      <c r="BA9196"/>
      <c r="BB9196"/>
      <c r="BC9196"/>
      <c r="BD9196"/>
      <c r="BE9196"/>
      <c r="BF9196"/>
      <c r="BG9196"/>
      <c r="BH9196"/>
      <c r="BI9196"/>
      <c r="BJ9196"/>
      <c r="BK9196"/>
    </row>
    <row r="9197" spans="1:63" s="93" customFormat="1" ht="9" customHeight="1" x14ac:dyDescent="0.3">
      <c r="A9197" s="91"/>
      <c r="B9197" s="70"/>
      <c r="C9197" s="70"/>
      <c r="D9197" s="70"/>
      <c r="E9197" s="70"/>
      <c r="F9197" s="70"/>
      <c r="G9197" s="94"/>
      <c r="H9197" s="131"/>
      <c r="I9197" s="3"/>
      <c r="J9197"/>
      <c r="K9197"/>
      <c r="L9197"/>
      <c r="M9197"/>
      <c r="N9197"/>
      <c r="O9197"/>
      <c r="P9197"/>
      <c r="Q9197"/>
      <c r="R9197"/>
      <c r="S9197"/>
      <c r="T9197"/>
      <c r="U9197"/>
      <c r="V9197"/>
      <c r="W9197"/>
      <c r="X9197"/>
      <c r="Y9197"/>
      <c r="Z9197"/>
      <c r="AA9197"/>
      <c r="AB9197"/>
      <c r="AC9197"/>
      <c r="AD9197"/>
      <c r="AE9197"/>
      <c r="AF9197"/>
      <c r="AG9197"/>
      <c r="AH9197"/>
      <c r="AI9197"/>
      <c r="AJ9197"/>
      <c r="AK9197"/>
      <c r="AL9197"/>
      <c r="AM9197"/>
      <c r="AN9197"/>
      <c r="AO9197"/>
      <c r="AP9197"/>
      <c r="AQ9197"/>
      <c r="AR9197"/>
      <c r="AS9197"/>
      <c r="AT9197"/>
      <c r="AU9197"/>
      <c r="AV9197"/>
      <c r="AW9197"/>
      <c r="AX9197"/>
      <c r="AY9197"/>
      <c r="AZ9197"/>
      <c r="BA9197"/>
      <c r="BB9197"/>
      <c r="BC9197"/>
      <c r="BD9197"/>
      <c r="BE9197"/>
      <c r="BF9197"/>
      <c r="BG9197"/>
      <c r="BH9197"/>
      <c r="BI9197"/>
      <c r="BJ9197"/>
      <c r="BK9197"/>
    </row>
    <row r="9198" spans="1:63" s="93" customFormat="1" ht="9" customHeight="1" x14ac:dyDescent="0.3">
      <c r="A9198" s="91"/>
      <c r="B9198" s="70"/>
      <c r="C9198" s="70"/>
      <c r="D9198" s="70"/>
      <c r="E9198" s="70"/>
      <c r="F9198" s="70"/>
      <c r="G9198" s="94"/>
      <c r="H9198" s="131"/>
      <c r="I9198" s="3"/>
      <c r="J9198"/>
      <c r="K9198"/>
      <c r="L9198"/>
      <c r="M9198"/>
      <c r="N9198"/>
      <c r="O9198"/>
      <c r="P9198"/>
      <c r="Q9198"/>
      <c r="R9198"/>
      <c r="S9198"/>
      <c r="T9198"/>
      <c r="U9198"/>
      <c r="V9198"/>
      <c r="W9198"/>
      <c r="X9198"/>
      <c r="Y9198"/>
      <c r="Z9198"/>
      <c r="AA9198"/>
      <c r="AB9198"/>
      <c r="AC9198"/>
      <c r="AD9198"/>
      <c r="AE9198"/>
      <c r="AF9198"/>
      <c r="AG9198"/>
      <c r="AH9198"/>
      <c r="AI9198"/>
      <c r="AJ9198"/>
      <c r="AK9198"/>
      <c r="AL9198"/>
      <c r="AM9198"/>
      <c r="AN9198"/>
      <c r="AO9198"/>
      <c r="AP9198"/>
      <c r="AQ9198"/>
      <c r="AR9198"/>
      <c r="AS9198"/>
      <c r="AT9198"/>
      <c r="AU9198"/>
      <c r="AV9198"/>
      <c r="AW9198"/>
      <c r="AX9198"/>
      <c r="AY9198"/>
      <c r="AZ9198"/>
      <c r="BA9198"/>
      <c r="BB9198"/>
      <c r="BC9198"/>
      <c r="BD9198"/>
      <c r="BE9198"/>
      <c r="BF9198"/>
      <c r="BG9198"/>
      <c r="BH9198"/>
      <c r="BI9198"/>
      <c r="BJ9198"/>
      <c r="BK9198"/>
    </row>
    <row r="9199" spans="1:63" s="93" customFormat="1" ht="9" customHeight="1" x14ac:dyDescent="0.3">
      <c r="A9199" s="91"/>
      <c r="B9199" s="70"/>
      <c r="C9199" s="70"/>
      <c r="D9199" s="70"/>
      <c r="E9199" s="70"/>
      <c r="F9199" s="70"/>
      <c r="G9199" s="94"/>
      <c r="H9199" s="131"/>
      <c r="I9199" s="3"/>
      <c r="J9199"/>
      <c r="K9199"/>
      <c r="L9199"/>
      <c r="M9199"/>
      <c r="N9199"/>
      <c r="O9199"/>
      <c r="P9199"/>
      <c r="Q9199"/>
      <c r="R9199"/>
      <c r="S9199"/>
      <c r="T9199"/>
      <c r="U9199"/>
      <c r="V9199"/>
      <c r="W9199"/>
      <c r="X9199"/>
      <c r="Y9199"/>
      <c r="Z9199"/>
      <c r="AA9199"/>
      <c r="AB9199"/>
      <c r="AC9199"/>
      <c r="AD9199"/>
      <c r="AE9199"/>
      <c r="AF9199"/>
      <c r="AG9199"/>
      <c r="AH9199"/>
      <c r="AI9199"/>
      <c r="AJ9199"/>
      <c r="AK9199"/>
      <c r="AL9199"/>
      <c r="AM9199"/>
      <c r="AN9199"/>
      <c r="AO9199"/>
      <c r="AP9199"/>
      <c r="AQ9199"/>
      <c r="AR9199"/>
      <c r="AS9199"/>
      <c r="AT9199"/>
      <c r="AU9199"/>
      <c r="AV9199"/>
      <c r="AW9199"/>
      <c r="AX9199"/>
      <c r="AY9199"/>
      <c r="AZ9199"/>
      <c r="BA9199"/>
      <c r="BB9199"/>
      <c r="BC9199"/>
      <c r="BD9199"/>
      <c r="BE9199"/>
      <c r="BF9199"/>
      <c r="BG9199"/>
      <c r="BH9199"/>
      <c r="BI9199"/>
      <c r="BJ9199"/>
      <c r="BK9199"/>
    </row>
    <row r="9200" spans="1:63" s="93" customFormat="1" ht="9" customHeight="1" x14ac:dyDescent="0.3">
      <c r="A9200" s="91"/>
      <c r="B9200" s="70"/>
      <c r="C9200" s="70"/>
      <c r="D9200" s="70"/>
      <c r="E9200" s="70"/>
      <c r="F9200" s="70"/>
      <c r="G9200" s="94"/>
      <c r="H9200" s="131"/>
      <c r="I9200" s="3"/>
      <c r="J9200"/>
      <c r="K9200"/>
      <c r="L9200"/>
      <c r="M9200"/>
      <c r="N9200"/>
      <c r="O9200"/>
      <c r="P9200"/>
      <c r="Q9200"/>
      <c r="R9200"/>
      <c r="S9200"/>
      <c r="T9200"/>
      <c r="U9200"/>
      <c r="V9200"/>
      <c r="W9200"/>
      <c r="X9200"/>
      <c r="Y9200"/>
      <c r="Z9200"/>
      <c r="AA9200"/>
      <c r="AB9200"/>
      <c r="AC9200"/>
      <c r="AD9200"/>
      <c r="AE9200"/>
      <c r="AF9200"/>
      <c r="AG9200"/>
      <c r="AH9200"/>
      <c r="AI9200"/>
      <c r="AJ9200"/>
      <c r="AK9200"/>
      <c r="AL9200"/>
      <c r="AM9200"/>
      <c r="AN9200"/>
      <c r="AO9200"/>
      <c r="AP9200"/>
      <c r="AQ9200"/>
      <c r="AR9200"/>
      <c r="AS9200"/>
      <c r="AT9200"/>
      <c r="AU9200"/>
      <c r="AV9200"/>
      <c r="AW9200"/>
      <c r="AX9200"/>
      <c r="AY9200"/>
      <c r="AZ9200"/>
      <c r="BA9200"/>
      <c r="BB9200"/>
      <c r="BC9200"/>
      <c r="BD9200"/>
      <c r="BE9200"/>
      <c r="BF9200"/>
      <c r="BG9200"/>
      <c r="BH9200"/>
      <c r="BI9200"/>
      <c r="BJ9200"/>
      <c r="BK9200"/>
    </row>
    <row r="9201" spans="1:63" s="93" customFormat="1" ht="9" customHeight="1" x14ac:dyDescent="0.3">
      <c r="A9201" s="91"/>
      <c r="B9201" s="70"/>
      <c r="C9201" s="70"/>
      <c r="D9201" s="70"/>
      <c r="E9201" s="70"/>
      <c r="F9201" s="70"/>
      <c r="G9201" s="94"/>
      <c r="H9201" s="131"/>
      <c r="I9201" s="3"/>
      <c r="J9201"/>
      <c r="K9201"/>
      <c r="L9201"/>
      <c r="M9201"/>
      <c r="N9201"/>
      <c r="O9201"/>
      <c r="P9201"/>
      <c r="Q9201"/>
      <c r="R9201"/>
      <c r="S9201"/>
      <c r="T9201"/>
      <c r="U9201"/>
      <c r="V9201"/>
      <c r="W9201"/>
      <c r="X9201"/>
      <c r="Y9201"/>
      <c r="Z9201"/>
      <c r="AA9201"/>
      <c r="AB9201"/>
      <c r="AC9201"/>
      <c r="AD9201"/>
      <c r="AE9201"/>
      <c r="AF9201"/>
      <c r="AG9201"/>
      <c r="AH9201"/>
      <c r="AI9201"/>
      <c r="AJ9201"/>
      <c r="AK9201"/>
      <c r="AL9201"/>
      <c r="AM9201"/>
      <c r="AN9201"/>
      <c r="AO9201"/>
      <c r="AP9201"/>
      <c r="AQ9201"/>
      <c r="AR9201"/>
      <c r="AS9201"/>
      <c r="AT9201"/>
      <c r="AU9201"/>
      <c r="AV9201"/>
      <c r="AW9201"/>
      <c r="AX9201"/>
      <c r="AY9201"/>
      <c r="AZ9201"/>
      <c r="BA9201"/>
      <c r="BB9201"/>
      <c r="BC9201"/>
      <c r="BD9201"/>
      <c r="BE9201"/>
      <c r="BF9201"/>
      <c r="BG9201"/>
      <c r="BH9201"/>
      <c r="BI9201"/>
      <c r="BJ9201"/>
      <c r="BK9201"/>
    </row>
    <row r="9202" spans="1:63" s="93" customFormat="1" ht="9" customHeight="1" x14ac:dyDescent="0.3">
      <c r="A9202" s="91"/>
      <c r="B9202" s="70"/>
      <c r="C9202" s="70"/>
      <c r="D9202" s="70"/>
      <c r="E9202" s="70"/>
      <c r="F9202" s="70"/>
      <c r="G9202" s="94"/>
      <c r="H9202" s="131"/>
      <c r="I9202" s="3"/>
      <c r="J9202"/>
      <c r="K9202"/>
      <c r="L9202"/>
      <c r="M9202"/>
      <c r="N9202"/>
      <c r="O9202"/>
      <c r="P9202"/>
      <c r="Q9202"/>
      <c r="R9202"/>
      <c r="S9202"/>
      <c r="T9202"/>
      <c r="U9202"/>
      <c r="V9202"/>
      <c r="W9202"/>
      <c r="X9202"/>
      <c r="Y9202"/>
      <c r="Z9202"/>
      <c r="AA9202"/>
      <c r="AB9202"/>
      <c r="AC9202"/>
      <c r="AD9202"/>
      <c r="AE9202"/>
      <c r="AF9202"/>
      <c r="AG9202"/>
      <c r="AH9202"/>
      <c r="AI9202"/>
      <c r="AJ9202"/>
      <c r="AK9202"/>
      <c r="AL9202"/>
      <c r="AM9202"/>
      <c r="AN9202"/>
      <c r="AO9202"/>
      <c r="AP9202"/>
      <c r="AQ9202"/>
      <c r="AR9202"/>
      <c r="AS9202"/>
      <c r="AT9202"/>
      <c r="AU9202"/>
      <c r="AV9202"/>
      <c r="AW9202"/>
      <c r="AX9202"/>
      <c r="AY9202"/>
      <c r="AZ9202"/>
      <c r="BA9202"/>
      <c r="BB9202"/>
      <c r="BC9202"/>
      <c r="BD9202"/>
      <c r="BE9202"/>
      <c r="BF9202"/>
      <c r="BG9202"/>
      <c r="BH9202"/>
      <c r="BI9202"/>
      <c r="BJ9202"/>
      <c r="BK9202"/>
    </row>
    <row r="9203" spans="1:63" s="93" customFormat="1" ht="9" customHeight="1" x14ac:dyDescent="0.3">
      <c r="A9203" s="91"/>
      <c r="B9203" s="70"/>
      <c r="C9203" s="70"/>
      <c r="D9203" s="70"/>
      <c r="E9203" s="70"/>
      <c r="F9203" s="70"/>
      <c r="G9203" s="94"/>
      <c r="H9203" s="131"/>
      <c r="I9203" s="3"/>
      <c r="J9203"/>
      <c r="K9203"/>
      <c r="L9203"/>
      <c r="M9203"/>
      <c r="N9203"/>
      <c r="O9203"/>
      <c r="P9203"/>
      <c r="Q9203"/>
      <c r="R9203"/>
      <c r="S9203"/>
      <c r="T9203"/>
      <c r="U9203"/>
      <c r="V9203"/>
      <c r="W9203"/>
      <c r="X9203"/>
      <c r="Y9203"/>
      <c r="Z9203"/>
      <c r="AA9203"/>
      <c r="AB9203"/>
      <c r="AC9203"/>
      <c r="AD9203"/>
      <c r="AE9203"/>
      <c r="AF9203"/>
      <c r="AG9203"/>
      <c r="AH9203"/>
      <c r="AI9203"/>
      <c r="AJ9203"/>
      <c r="AK9203"/>
      <c r="AL9203"/>
      <c r="AM9203"/>
      <c r="AN9203"/>
      <c r="AO9203"/>
      <c r="AP9203"/>
      <c r="AQ9203"/>
      <c r="AR9203"/>
      <c r="AS9203"/>
      <c r="AT9203"/>
      <c r="AU9203"/>
      <c r="AV9203"/>
      <c r="AW9203"/>
      <c r="AX9203"/>
      <c r="AY9203"/>
      <c r="AZ9203"/>
      <c r="BA9203"/>
      <c r="BB9203"/>
      <c r="BC9203"/>
      <c r="BD9203"/>
      <c r="BE9203"/>
      <c r="BF9203"/>
      <c r="BG9203"/>
      <c r="BH9203"/>
      <c r="BI9203"/>
      <c r="BJ9203"/>
      <c r="BK9203"/>
    </row>
    <row r="9204" spans="1:63" s="93" customFormat="1" ht="9" customHeight="1" x14ac:dyDescent="0.3">
      <c r="A9204" s="91"/>
      <c r="B9204" s="70"/>
      <c r="C9204" s="70"/>
      <c r="D9204" s="70"/>
      <c r="E9204" s="70"/>
      <c r="F9204" s="70"/>
      <c r="G9204" s="94"/>
      <c r="H9204" s="131"/>
      <c r="I9204" s="3"/>
      <c r="J9204"/>
      <c r="K9204"/>
      <c r="L9204"/>
      <c r="M9204"/>
      <c r="N9204"/>
      <c r="O9204"/>
      <c r="P9204"/>
      <c r="Q9204"/>
      <c r="R9204"/>
      <c r="S9204"/>
      <c r="T9204"/>
      <c r="U9204"/>
      <c r="V9204"/>
      <c r="W9204"/>
      <c r="X9204"/>
      <c r="Y9204"/>
      <c r="Z9204"/>
      <c r="AA9204"/>
      <c r="AB9204"/>
      <c r="AC9204"/>
      <c r="AD9204"/>
      <c r="AE9204"/>
      <c r="AF9204"/>
      <c r="AG9204"/>
      <c r="AH9204"/>
      <c r="AI9204"/>
      <c r="AJ9204"/>
      <c r="AK9204"/>
      <c r="AL9204"/>
      <c r="AM9204"/>
      <c r="AN9204"/>
      <c r="AO9204"/>
      <c r="AP9204"/>
      <c r="AQ9204"/>
      <c r="AR9204"/>
      <c r="AS9204"/>
      <c r="AT9204"/>
      <c r="AU9204"/>
      <c r="AV9204"/>
      <c r="AW9204"/>
      <c r="AX9204"/>
      <c r="AY9204"/>
      <c r="AZ9204"/>
      <c r="BA9204"/>
      <c r="BB9204"/>
      <c r="BC9204"/>
      <c r="BD9204"/>
      <c r="BE9204"/>
      <c r="BF9204"/>
      <c r="BG9204"/>
      <c r="BH9204"/>
      <c r="BI9204"/>
      <c r="BJ9204"/>
      <c r="BK9204"/>
    </row>
    <row r="9205" spans="1:63" s="93" customFormat="1" ht="9" customHeight="1" x14ac:dyDescent="0.3">
      <c r="A9205" s="91"/>
      <c r="B9205" s="70"/>
      <c r="C9205" s="70"/>
      <c r="D9205" s="70"/>
      <c r="E9205" s="70"/>
      <c r="F9205" s="70"/>
      <c r="G9205" s="94"/>
      <c r="H9205" s="131"/>
      <c r="I9205" s="3"/>
      <c r="J9205"/>
      <c r="K9205"/>
      <c r="L9205"/>
      <c r="M9205"/>
      <c r="N9205"/>
      <c r="O9205"/>
      <c r="P9205"/>
      <c r="Q9205"/>
      <c r="R9205"/>
      <c r="S9205"/>
      <c r="T9205"/>
      <c r="U9205"/>
      <c r="V9205"/>
      <c r="W9205"/>
      <c r="X9205"/>
      <c r="Y9205"/>
      <c r="Z9205"/>
      <c r="AA9205"/>
      <c r="AB9205"/>
      <c r="AC9205"/>
      <c r="AD9205"/>
      <c r="AE9205"/>
      <c r="AF9205"/>
      <c r="AG9205"/>
      <c r="AH9205"/>
      <c r="AI9205"/>
      <c r="AJ9205"/>
      <c r="AK9205"/>
      <c r="AL9205"/>
      <c r="AM9205"/>
      <c r="AN9205"/>
      <c r="AO9205"/>
      <c r="AP9205"/>
      <c r="AQ9205"/>
      <c r="AR9205"/>
      <c r="AS9205"/>
      <c r="AT9205"/>
      <c r="AU9205"/>
      <c r="AV9205"/>
      <c r="AW9205"/>
      <c r="AX9205"/>
      <c r="AY9205"/>
      <c r="AZ9205"/>
      <c r="BA9205"/>
      <c r="BB9205"/>
      <c r="BC9205"/>
      <c r="BD9205"/>
      <c r="BE9205"/>
      <c r="BF9205"/>
      <c r="BG9205"/>
      <c r="BH9205"/>
      <c r="BI9205"/>
      <c r="BJ9205"/>
      <c r="BK9205"/>
    </row>
    <row r="9206" spans="1:63" s="93" customFormat="1" ht="9" customHeight="1" x14ac:dyDescent="0.3">
      <c r="A9206" s="91"/>
      <c r="B9206" s="70"/>
      <c r="C9206" s="70"/>
      <c r="D9206" s="70"/>
      <c r="E9206" s="70"/>
      <c r="F9206" s="70"/>
      <c r="G9206" s="94"/>
      <c r="H9206" s="131"/>
      <c r="I9206" s="3"/>
      <c r="J9206"/>
      <c r="K9206"/>
      <c r="L9206"/>
      <c r="M9206"/>
      <c r="N9206"/>
      <c r="O9206"/>
      <c r="P9206"/>
      <c r="Q9206"/>
      <c r="R9206"/>
      <c r="S9206"/>
      <c r="T9206"/>
      <c r="U9206"/>
      <c r="V9206"/>
      <c r="W9206"/>
      <c r="X9206"/>
      <c r="Y9206"/>
      <c r="Z9206"/>
      <c r="AA9206"/>
      <c r="AB9206"/>
      <c r="AC9206"/>
      <c r="AD9206"/>
      <c r="AE9206"/>
      <c r="AF9206"/>
      <c r="AG9206"/>
      <c r="AH9206"/>
      <c r="AI9206"/>
      <c r="AJ9206"/>
      <c r="AK9206"/>
      <c r="AL9206"/>
      <c r="AM9206"/>
      <c r="AN9206"/>
      <c r="AO9206"/>
      <c r="AP9206"/>
      <c r="AQ9206"/>
      <c r="AR9206"/>
      <c r="AS9206"/>
      <c r="AT9206"/>
      <c r="AU9206"/>
      <c r="AV9206"/>
      <c r="AW9206"/>
      <c r="AX9206"/>
      <c r="AY9206"/>
      <c r="AZ9206"/>
      <c r="BA9206"/>
      <c r="BB9206"/>
      <c r="BC9206"/>
      <c r="BD9206"/>
      <c r="BE9206"/>
      <c r="BF9206"/>
      <c r="BG9206"/>
      <c r="BH9206"/>
      <c r="BI9206"/>
      <c r="BJ9206"/>
      <c r="BK9206"/>
    </row>
    <row r="9207" spans="1:63" s="93" customFormat="1" ht="9" customHeight="1" x14ac:dyDescent="0.3">
      <c r="A9207" s="91"/>
      <c r="B9207" s="70"/>
      <c r="C9207" s="70"/>
      <c r="D9207" s="70"/>
      <c r="E9207" s="70"/>
      <c r="F9207" s="70"/>
      <c r="G9207" s="94"/>
      <c r="H9207" s="131"/>
      <c r="I9207" s="3"/>
      <c r="J9207"/>
      <c r="K9207"/>
      <c r="L9207"/>
      <c r="M9207"/>
      <c r="N9207"/>
      <c r="O9207"/>
      <c r="P9207"/>
      <c r="Q9207"/>
      <c r="R9207"/>
      <c r="S9207"/>
      <c r="T9207"/>
      <c r="U9207"/>
      <c r="V9207"/>
      <c r="W9207"/>
      <c r="X9207"/>
      <c r="Y9207"/>
      <c r="Z9207"/>
      <c r="AA9207"/>
      <c r="AB9207"/>
      <c r="AC9207"/>
      <c r="AD9207"/>
      <c r="AE9207"/>
      <c r="AF9207"/>
      <c r="AG9207"/>
      <c r="AH9207"/>
      <c r="AI9207"/>
      <c r="AJ9207"/>
      <c r="AK9207"/>
      <c r="AL9207"/>
      <c r="AM9207"/>
      <c r="AN9207"/>
      <c r="AO9207"/>
      <c r="AP9207"/>
      <c r="AQ9207"/>
      <c r="AR9207"/>
      <c r="AS9207"/>
      <c r="AT9207"/>
      <c r="AU9207"/>
      <c r="AV9207"/>
      <c r="AW9207"/>
      <c r="AX9207"/>
      <c r="AY9207"/>
      <c r="AZ9207"/>
      <c r="BA9207"/>
      <c r="BB9207"/>
      <c r="BC9207"/>
      <c r="BD9207"/>
      <c r="BE9207"/>
      <c r="BF9207"/>
      <c r="BG9207"/>
      <c r="BH9207"/>
      <c r="BI9207"/>
      <c r="BJ9207"/>
      <c r="BK9207"/>
    </row>
    <row r="9208" spans="1:63" s="93" customFormat="1" ht="9" customHeight="1" x14ac:dyDescent="0.3">
      <c r="A9208" s="91"/>
      <c r="B9208" s="70"/>
      <c r="C9208" s="70"/>
      <c r="D9208" s="70"/>
      <c r="E9208" s="70"/>
      <c r="F9208" s="70"/>
      <c r="G9208" s="94"/>
      <c r="H9208" s="131"/>
      <c r="I9208" s="3"/>
      <c r="J9208"/>
      <c r="K9208"/>
      <c r="L9208"/>
      <c r="M9208"/>
      <c r="N9208"/>
      <c r="O9208"/>
      <c r="P9208"/>
      <c r="Q9208"/>
      <c r="R9208"/>
      <c r="S9208"/>
      <c r="T9208"/>
      <c r="U9208"/>
      <c r="V9208"/>
      <c r="W9208"/>
      <c r="X9208"/>
      <c r="Y9208"/>
      <c r="Z9208"/>
      <c r="AA9208"/>
      <c r="AB9208"/>
      <c r="AC9208"/>
      <c r="AD9208"/>
      <c r="AE9208"/>
      <c r="AF9208"/>
      <c r="AG9208"/>
      <c r="AH9208"/>
      <c r="AI9208"/>
      <c r="AJ9208"/>
      <c r="AK9208"/>
      <c r="AL9208"/>
      <c r="AM9208"/>
      <c r="AN9208"/>
      <c r="AO9208"/>
      <c r="AP9208"/>
      <c r="AQ9208"/>
      <c r="AR9208"/>
      <c r="AS9208"/>
      <c r="AT9208"/>
      <c r="AU9208"/>
      <c r="AV9208"/>
      <c r="AW9208"/>
      <c r="AX9208"/>
      <c r="AY9208"/>
      <c r="AZ9208"/>
      <c r="BA9208"/>
      <c r="BB9208"/>
      <c r="BC9208"/>
      <c r="BD9208"/>
      <c r="BE9208"/>
      <c r="BF9208"/>
      <c r="BG9208"/>
      <c r="BH9208"/>
      <c r="BI9208"/>
      <c r="BJ9208"/>
      <c r="BK9208"/>
    </row>
    <row r="9209" spans="1:63" s="93" customFormat="1" ht="9" customHeight="1" x14ac:dyDescent="0.3">
      <c r="A9209" s="91"/>
      <c r="B9209" s="70"/>
      <c r="C9209" s="70"/>
      <c r="D9209" s="70"/>
      <c r="E9209" s="70"/>
      <c r="F9209" s="70"/>
      <c r="G9209" s="94"/>
      <c r="H9209" s="131"/>
      <c r="I9209" s="3"/>
      <c r="J9209"/>
      <c r="K9209"/>
      <c r="L9209"/>
      <c r="M9209"/>
      <c r="N9209"/>
      <c r="O9209"/>
      <c r="P9209"/>
      <c r="Q9209"/>
      <c r="R9209"/>
      <c r="S9209"/>
      <c r="T9209"/>
      <c r="U9209"/>
      <c r="V9209"/>
      <c r="W9209"/>
      <c r="X9209"/>
      <c r="Y9209"/>
      <c r="Z9209"/>
      <c r="AA9209"/>
      <c r="AB9209"/>
      <c r="AC9209"/>
      <c r="AD9209"/>
      <c r="AE9209"/>
      <c r="AF9209"/>
      <c r="AG9209"/>
      <c r="AH9209"/>
      <c r="AI9209"/>
      <c r="AJ9209"/>
      <c r="AK9209"/>
      <c r="AL9209"/>
      <c r="AM9209"/>
      <c r="AN9209"/>
      <c r="AO9209"/>
      <c r="AP9209"/>
      <c r="AQ9209"/>
      <c r="AR9209"/>
      <c r="AS9209"/>
      <c r="AT9209"/>
      <c r="AU9209"/>
      <c r="AV9209"/>
      <c r="AW9209"/>
      <c r="AX9209"/>
      <c r="AY9209"/>
      <c r="AZ9209"/>
      <c r="BA9209"/>
      <c r="BB9209"/>
      <c r="BC9209"/>
      <c r="BD9209"/>
      <c r="BE9209"/>
      <c r="BF9209"/>
      <c r="BG9209"/>
      <c r="BH9209"/>
      <c r="BI9209"/>
      <c r="BJ9209"/>
      <c r="BK9209"/>
    </row>
    <row r="9210" spans="1:63" s="93" customFormat="1" ht="9" customHeight="1" x14ac:dyDescent="0.3">
      <c r="A9210" s="91"/>
      <c r="B9210" s="70"/>
      <c r="C9210" s="70"/>
      <c r="D9210" s="70"/>
      <c r="E9210" s="70"/>
      <c r="F9210" s="70"/>
      <c r="G9210" s="94"/>
      <c r="H9210" s="131"/>
      <c r="I9210" s="3"/>
      <c r="J9210"/>
      <c r="K9210"/>
      <c r="L9210"/>
      <c r="M9210"/>
      <c r="N9210"/>
      <c r="O9210"/>
      <c r="P9210"/>
      <c r="Q9210"/>
      <c r="R9210"/>
      <c r="S9210"/>
      <c r="T9210"/>
      <c r="U9210"/>
      <c r="V9210"/>
      <c r="W9210"/>
      <c r="X9210"/>
      <c r="Y9210"/>
      <c r="Z9210"/>
      <c r="AA9210"/>
      <c r="AB9210"/>
      <c r="AC9210"/>
      <c r="AD9210"/>
      <c r="AE9210"/>
      <c r="AF9210"/>
      <c r="AG9210"/>
      <c r="AH9210"/>
      <c r="AI9210"/>
      <c r="AJ9210"/>
      <c r="AK9210"/>
      <c r="AL9210"/>
      <c r="AM9210"/>
      <c r="AN9210"/>
      <c r="AO9210"/>
      <c r="AP9210"/>
      <c r="AQ9210"/>
      <c r="AR9210"/>
      <c r="AS9210"/>
      <c r="AT9210"/>
      <c r="AU9210"/>
      <c r="AV9210"/>
      <c r="AW9210"/>
      <c r="AX9210"/>
      <c r="AY9210"/>
      <c r="AZ9210"/>
      <c r="BA9210"/>
      <c r="BB9210"/>
      <c r="BC9210"/>
      <c r="BD9210"/>
      <c r="BE9210"/>
      <c r="BF9210"/>
      <c r="BG9210"/>
      <c r="BH9210"/>
      <c r="BI9210"/>
      <c r="BJ9210"/>
      <c r="BK9210"/>
    </row>
    <row r="9211" spans="1:63" s="93" customFormat="1" ht="9" customHeight="1" x14ac:dyDescent="0.3">
      <c r="A9211" s="91"/>
      <c r="B9211" s="70"/>
      <c r="C9211" s="70"/>
      <c r="D9211" s="70"/>
      <c r="E9211" s="70"/>
      <c r="F9211" s="70"/>
      <c r="G9211" s="94"/>
      <c r="H9211" s="131"/>
      <c r="I9211" s="3"/>
      <c r="J9211"/>
      <c r="K9211"/>
      <c r="L9211"/>
      <c r="M9211"/>
      <c r="N9211"/>
      <c r="O9211"/>
      <c r="P9211"/>
      <c r="Q9211"/>
      <c r="R9211"/>
      <c r="S9211"/>
      <c r="T9211"/>
      <c r="U9211"/>
      <c r="V9211"/>
      <c r="W9211"/>
      <c r="X9211"/>
      <c r="Y9211"/>
      <c r="Z9211"/>
      <c r="AA9211"/>
      <c r="AB9211"/>
      <c r="AC9211"/>
      <c r="AD9211"/>
      <c r="AE9211"/>
      <c r="AF9211"/>
      <c r="AG9211"/>
      <c r="AH9211"/>
      <c r="AI9211"/>
      <c r="AJ9211"/>
      <c r="AK9211"/>
      <c r="AL9211"/>
      <c r="AM9211"/>
      <c r="AN9211"/>
      <c r="AO9211"/>
      <c r="AP9211"/>
      <c r="AQ9211"/>
      <c r="AR9211"/>
      <c r="AS9211"/>
      <c r="AT9211"/>
      <c r="AU9211"/>
      <c r="AV9211"/>
      <c r="AW9211"/>
      <c r="AX9211"/>
      <c r="AY9211"/>
      <c r="AZ9211"/>
      <c r="BA9211"/>
      <c r="BB9211"/>
      <c r="BC9211"/>
      <c r="BD9211"/>
      <c r="BE9211"/>
      <c r="BF9211"/>
      <c r="BG9211"/>
      <c r="BH9211"/>
      <c r="BI9211"/>
      <c r="BJ9211"/>
      <c r="BK9211"/>
    </row>
    <row r="9212" spans="1:63" s="93" customFormat="1" ht="9" customHeight="1" x14ac:dyDescent="0.3">
      <c r="A9212" s="91"/>
      <c r="B9212" s="70"/>
      <c r="C9212" s="70"/>
      <c r="D9212" s="70"/>
      <c r="E9212" s="70"/>
      <c r="F9212" s="70"/>
      <c r="G9212" s="94"/>
      <c r="H9212" s="131"/>
      <c r="I9212" s="3"/>
      <c r="J9212"/>
      <c r="K9212"/>
      <c r="L9212"/>
      <c r="M9212"/>
      <c r="N9212"/>
      <c r="O9212"/>
      <c r="P9212"/>
      <c r="Q9212"/>
      <c r="R9212"/>
      <c r="S9212"/>
      <c r="T9212"/>
      <c r="U9212"/>
      <c r="V9212"/>
      <c r="W9212"/>
      <c r="X9212"/>
      <c r="Y9212"/>
      <c r="Z9212"/>
      <c r="AA9212"/>
      <c r="AB9212"/>
      <c r="AC9212"/>
      <c r="AD9212"/>
      <c r="AE9212"/>
      <c r="AF9212"/>
      <c r="AG9212"/>
      <c r="AH9212"/>
      <c r="AI9212"/>
      <c r="AJ9212"/>
      <c r="AK9212"/>
      <c r="AL9212"/>
      <c r="AM9212"/>
      <c r="AN9212"/>
      <c r="AO9212"/>
      <c r="AP9212"/>
      <c r="AQ9212"/>
      <c r="AR9212"/>
      <c r="AS9212"/>
      <c r="AT9212"/>
      <c r="AU9212"/>
      <c r="AV9212"/>
      <c r="AW9212"/>
      <c r="AX9212"/>
      <c r="AY9212"/>
      <c r="AZ9212"/>
      <c r="BA9212"/>
      <c r="BB9212"/>
      <c r="BC9212"/>
      <c r="BD9212"/>
      <c r="BE9212"/>
      <c r="BF9212"/>
      <c r="BG9212"/>
      <c r="BH9212"/>
      <c r="BI9212"/>
      <c r="BJ9212"/>
      <c r="BK9212"/>
    </row>
    <row r="9213" spans="1:63" s="93" customFormat="1" ht="9" customHeight="1" x14ac:dyDescent="0.3">
      <c r="A9213" s="91"/>
      <c r="B9213" s="70"/>
      <c r="C9213" s="70"/>
      <c r="D9213" s="70"/>
      <c r="E9213" s="70"/>
      <c r="F9213" s="70"/>
      <c r="G9213" s="94"/>
      <c r="H9213" s="131"/>
      <c r="I9213" s="3"/>
      <c r="J9213"/>
      <c r="K9213"/>
      <c r="L9213"/>
      <c r="M9213"/>
      <c r="N9213"/>
      <c r="O9213"/>
      <c r="P9213"/>
      <c r="Q9213"/>
      <c r="R9213"/>
      <c r="S9213"/>
      <c r="T9213"/>
      <c r="U9213"/>
      <c r="V9213"/>
      <c r="W9213"/>
      <c r="X9213"/>
      <c r="Y9213"/>
      <c r="Z9213"/>
      <c r="AA9213"/>
      <c r="AB9213"/>
      <c r="AC9213"/>
      <c r="AD9213"/>
      <c r="AE9213"/>
      <c r="AF9213"/>
      <c r="AG9213"/>
      <c r="AH9213"/>
      <c r="AI9213"/>
      <c r="AJ9213"/>
      <c r="AK9213"/>
      <c r="AL9213"/>
      <c r="AM9213"/>
      <c r="AN9213"/>
      <c r="AO9213"/>
      <c r="AP9213"/>
      <c r="AQ9213"/>
      <c r="AR9213"/>
      <c r="AS9213"/>
      <c r="AT9213"/>
      <c r="AU9213"/>
      <c r="AV9213"/>
      <c r="AW9213"/>
      <c r="AX9213"/>
      <c r="AY9213"/>
      <c r="AZ9213"/>
      <c r="BA9213"/>
      <c r="BB9213"/>
      <c r="BC9213"/>
      <c r="BD9213"/>
      <c r="BE9213"/>
      <c r="BF9213"/>
      <c r="BG9213"/>
      <c r="BH9213"/>
      <c r="BI9213"/>
      <c r="BJ9213"/>
      <c r="BK9213"/>
    </row>
    <row r="9214" spans="1:63" s="93" customFormat="1" ht="9" customHeight="1" x14ac:dyDescent="0.3">
      <c r="A9214" s="91"/>
      <c r="B9214" s="70"/>
      <c r="C9214" s="70"/>
      <c r="D9214" s="70"/>
      <c r="E9214" s="70"/>
      <c r="F9214" s="70"/>
      <c r="G9214" s="94"/>
      <c r="H9214" s="131"/>
      <c r="I9214" s="3"/>
      <c r="J9214"/>
      <c r="K9214"/>
      <c r="L9214"/>
      <c r="M9214"/>
      <c r="N9214"/>
      <c r="O9214"/>
      <c r="P9214"/>
      <c r="Q9214"/>
      <c r="R9214"/>
      <c r="S9214"/>
      <c r="T9214"/>
      <c r="U9214"/>
      <c r="V9214"/>
      <c r="W9214"/>
      <c r="X9214"/>
      <c r="Y9214"/>
      <c r="Z9214"/>
      <c r="AA9214"/>
      <c r="AB9214"/>
      <c r="AC9214"/>
      <c r="AD9214"/>
      <c r="AE9214"/>
      <c r="AF9214"/>
      <c r="AG9214"/>
      <c r="AH9214"/>
      <c r="AI9214"/>
      <c r="AJ9214"/>
      <c r="AK9214"/>
      <c r="AL9214"/>
      <c r="AM9214"/>
      <c r="AN9214"/>
      <c r="AO9214"/>
      <c r="AP9214"/>
      <c r="AQ9214"/>
      <c r="AR9214"/>
      <c r="AS9214"/>
      <c r="AT9214"/>
      <c r="AU9214"/>
      <c r="AV9214"/>
      <c r="AW9214"/>
      <c r="AX9214"/>
      <c r="AY9214"/>
      <c r="AZ9214"/>
      <c r="BA9214"/>
      <c r="BB9214"/>
      <c r="BC9214"/>
      <c r="BD9214"/>
      <c r="BE9214"/>
      <c r="BF9214"/>
      <c r="BG9214"/>
      <c r="BH9214"/>
      <c r="BI9214"/>
      <c r="BJ9214"/>
      <c r="BK9214"/>
    </row>
    <row r="9215" spans="1:63" s="93" customFormat="1" ht="9" customHeight="1" x14ac:dyDescent="0.3">
      <c r="A9215" s="91"/>
      <c r="B9215" s="70"/>
      <c r="C9215" s="70"/>
      <c r="D9215" s="70"/>
      <c r="E9215" s="70"/>
      <c r="F9215" s="70"/>
      <c r="G9215" s="94"/>
      <c r="H9215" s="131"/>
      <c r="I9215" s="3"/>
      <c r="J9215"/>
      <c r="K9215"/>
      <c r="L9215"/>
      <c r="M9215"/>
      <c r="N9215"/>
      <c r="O9215"/>
      <c r="P9215"/>
      <c r="Q9215"/>
      <c r="R9215"/>
      <c r="S9215"/>
      <c r="T9215"/>
      <c r="U9215"/>
      <c r="V9215"/>
      <c r="W9215"/>
      <c r="X9215"/>
      <c r="Y9215"/>
      <c r="Z9215"/>
      <c r="AA9215"/>
      <c r="AB9215"/>
      <c r="AC9215"/>
      <c r="AD9215"/>
      <c r="AE9215"/>
      <c r="AF9215"/>
      <c r="AG9215"/>
      <c r="AH9215"/>
      <c r="AI9215"/>
      <c r="AJ9215"/>
      <c r="AK9215"/>
      <c r="AL9215"/>
      <c r="AM9215"/>
      <c r="AN9215"/>
      <c r="AO9215"/>
      <c r="AP9215"/>
      <c r="AQ9215"/>
      <c r="AR9215"/>
      <c r="AS9215"/>
      <c r="AT9215"/>
      <c r="AU9215"/>
      <c r="AV9215"/>
      <c r="AW9215"/>
      <c r="AX9215"/>
      <c r="AY9215"/>
      <c r="AZ9215"/>
      <c r="BA9215"/>
      <c r="BB9215"/>
      <c r="BC9215"/>
      <c r="BD9215"/>
      <c r="BE9215"/>
      <c r="BF9215"/>
      <c r="BG9215"/>
      <c r="BH9215"/>
      <c r="BI9215"/>
      <c r="BJ9215"/>
      <c r="BK9215"/>
    </row>
    <row r="9216" spans="1:63" s="93" customFormat="1" ht="9" customHeight="1" x14ac:dyDescent="0.3">
      <c r="A9216" s="91"/>
      <c r="B9216" s="70"/>
      <c r="C9216" s="70"/>
      <c r="D9216" s="70"/>
      <c r="E9216" s="70"/>
      <c r="F9216" s="70"/>
      <c r="G9216" s="94"/>
      <c r="H9216" s="131"/>
      <c r="I9216" s="3"/>
      <c r="J9216"/>
      <c r="K9216"/>
      <c r="L9216"/>
      <c r="M9216"/>
      <c r="N9216"/>
      <c r="O9216"/>
      <c r="P9216"/>
      <c r="Q9216"/>
      <c r="R9216"/>
      <c r="S9216"/>
      <c r="T9216"/>
      <c r="U9216"/>
      <c r="V9216"/>
      <c r="W9216"/>
      <c r="X9216"/>
      <c r="Y9216"/>
      <c r="Z9216"/>
      <c r="AA9216"/>
      <c r="AB9216"/>
      <c r="AC9216"/>
      <c r="AD9216"/>
      <c r="AE9216"/>
      <c r="AF9216"/>
      <c r="AG9216"/>
      <c r="AH9216"/>
      <c r="AI9216"/>
      <c r="AJ9216"/>
      <c r="AK9216"/>
      <c r="AL9216"/>
      <c r="AM9216"/>
      <c r="AN9216"/>
      <c r="AO9216"/>
      <c r="AP9216"/>
      <c r="AQ9216"/>
      <c r="AR9216"/>
      <c r="AS9216"/>
      <c r="AT9216"/>
      <c r="AU9216"/>
      <c r="AV9216"/>
      <c r="AW9216"/>
      <c r="AX9216"/>
      <c r="AY9216"/>
      <c r="AZ9216"/>
      <c r="BA9216"/>
      <c r="BB9216"/>
      <c r="BC9216"/>
      <c r="BD9216"/>
      <c r="BE9216"/>
      <c r="BF9216"/>
      <c r="BG9216"/>
      <c r="BH9216"/>
      <c r="BI9216"/>
      <c r="BJ9216"/>
      <c r="BK9216"/>
    </row>
    <row r="9217" spans="1:63" s="93" customFormat="1" ht="9" customHeight="1" x14ac:dyDescent="0.3">
      <c r="A9217" s="91"/>
      <c r="B9217" s="70"/>
      <c r="C9217" s="70"/>
      <c r="D9217" s="70"/>
      <c r="E9217" s="70"/>
      <c r="F9217" s="70"/>
      <c r="G9217" s="94"/>
      <c r="H9217" s="131"/>
      <c r="I9217" s="3"/>
      <c r="J9217"/>
      <c r="K9217"/>
      <c r="L9217"/>
      <c r="M9217"/>
      <c r="N9217"/>
      <c r="O9217"/>
      <c r="P9217"/>
      <c r="Q9217"/>
      <c r="R9217"/>
      <c r="S9217"/>
      <c r="T9217"/>
      <c r="U9217"/>
      <c r="V9217"/>
      <c r="W9217"/>
      <c r="X9217"/>
      <c r="Y9217"/>
      <c r="Z9217"/>
      <c r="AA9217"/>
      <c r="AB9217"/>
      <c r="AC9217"/>
      <c r="AD9217"/>
      <c r="AE9217"/>
      <c r="AF9217"/>
      <c r="AG9217"/>
      <c r="AH9217"/>
      <c r="AI9217"/>
      <c r="AJ9217"/>
      <c r="AK9217"/>
      <c r="AL9217"/>
      <c r="AM9217"/>
      <c r="AN9217"/>
      <c r="AO9217"/>
      <c r="AP9217"/>
      <c r="AQ9217"/>
      <c r="AR9217"/>
      <c r="AS9217"/>
      <c r="AT9217"/>
      <c r="AU9217"/>
      <c r="AV9217"/>
      <c r="AW9217"/>
      <c r="AX9217"/>
      <c r="AY9217"/>
      <c r="AZ9217"/>
      <c r="BA9217"/>
      <c r="BB9217"/>
      <c r="BC9217"/>
      <c r="BD9217"/>
      <c r="BE9217"/>
      <c r="BF9217"/>
      <c r="BG9217"/>
      <c r="BH9217"/>
      <c r="BI9217"/>
      <c r="BJ9217"/>
      <c r="BK9217"/>
    </row>
    <row r="9218" spans="1:63" s="93" customFormat="1" ht="9" customHeight="1" x14ac:dyDescent="0.3">
      <c r="A9218" s="91"/>
      <c r="B9218" s="70"/>
      <c r="C9218" s="70"/>
      <c r="D9218" s="70"/>
      <c r="E9218" s="70"/>
      <c r="F9218" s="70"/>
      <c r="G9218" s="94"/>
      <c r="H9218" s="131"/>
      <c r="I9218" s="3"/>
      <c r="J9218"/>
      <c r="K9218"/>
      <c r="L9218"/>
      <c r="M9218"/>
      <c r="N9218"/>
      <c r="O9218"/>
      <c r="P9218"/>
      <c r="Q9218"/>
      <c r="R9218"/>
      <c r="S9218"/>
      <c r="T9218"/>
      <c r="U9218"/>
      <c r="V9218"/>
      <c r="W9218"/>
      <c r="X9218"/>
      <c r="Y9218"/>
      <c r="Z9218"/>
      <c r="AA9218"/>
      <c r="AB9218"/>
      <c r="AC9218"/>
      <c r="AD9218"/>
      <c r="AE9218"/>
      <c r="AF9218"/>
      <c r="AG9218"/>
      <c r="AH9218"/>
      <c r="AI9218"/>
      <c r="AJ9218"/>
      <c r="AK9218"/>
      <c r="AL9218"/>
      <c r="AM9218"/>
      <c r="AN9218"/>
      <c r="AO9218"/>
      <c r="AP9218"/>
      <c r="AQ9218"/>
      <c r="AR9218"/>
      <c r="AS9218"/>
      <c r="AT9218"/>
      <c r="AU9218"/>
      <c r="AV9218"/>
      <c r="AW9218"/>
      <c r="AX9218"/>
      <c r="AY9218"/>
      <c r="AZ9218"/>
      <c r="BA9218"/>
      <c r="BB9218"/>
      <c r="BC9218"/>
      <c r="BD9218"/>
      <c r="BE9218"/>
      <c r="BF9218"/>
      <c r="BG9218"/>
      <c r="BH9218"/>
      <c r="BI9218"/>
      <c r="BJ9218"/>
      <c r="BK9218"/>
    </row>
    <row r="9219" spans="1:63" s="93" customFormat="1" ht="9" customHeight="1" x14ac:dyDescent="0.3">
      <c r="A9219" s="91"/>
      <c r="B9219" s="70"/>
      <c r="C9219" s="70"/>
      <c r="D9219" s="70"/>
      <c r="E9219" s="70"/>
      <c r="F9219" s="70"/>
      <c r="G9219" s="94"/>
      <c r="H9219" s="131"/>
      <c r="I9219" s="3"/>
      <c r="J9219"/>
      <c r="K9219"/>
      <c r="L9219"/>
      <c r="M9219"/>
      <c r="N9219"/>
      <c r="O9219"/>
      <c r="P9219"/>
      <c r="Q9219"/>
      <c r="R9219"/>
      <c r="S9219"/>
      <c r="T9219"/>
      <c r="U9219"/>
      <c r="V9219"/>
      <c r="W9219"/>
      <c r="X9219"/>
      <c r="Y9219"/>
      <c r="Z9219"/>
      <c r="AA9219"/>
      <c r="AB9219"/>
      <c r="AC9219"/>
      <c r="AD9219"/>
      <c r="AE9219"/>
      <c r="AF9219"/>
      <c r="AG9219"/>
      <c r="AH9219"/>
      <c r="AI9219"/>
      <c r="AJ9219"/>
      <c r="AK9219"/>
      <c r="AL9219"/>
      <c r="AM9219"/>
      <c r="AN9219"/>
      <c r="AO9219"/>
      <c r="AP9219"/>
      <c r="AQ9219"/>
      <c r="AR9219"/>
      <c r="AS9219"/>
      <c r="AT9219"/>
      <c r="AU9219"/>
      <c r="AV9219"/>
      <c r="AW9219"/>
      <c r="AX9219"/>
      <c r="AY9219"/>
      <c r="AZ9219"/>
      <c r="BA9219"/>
      <c r="BB9219"/>
      <c r="BC9219"/>
      <c r="BD9219"/>
      <c r="BE9219"/>
      <c r="BF9219"/>
      <c r="BG9219"/>
      <c r="BH9219"/>
      <c r="BI9219"/>
      <c r="BJ9219"/>
      <c r="BK9219"/>
    </row>
    <row r="9220" spans="1:63" s="93" customFormat="1" ht="9" customHeight="1" x14ac:dyDescent="0.3">
      <c r="A9220" s="91"/>
      <c r="B9220" s="70"/>
      <c r="C9220" s="70"/>
      <c r="D9220" s="70"/>
      <c r="E9220" s="70"/>
      <c r="F9220" s="70"/>
      <c r="G9220" s="94"/>
      <c r="H9220" s="131"/>
      <c r="I9220" s="3"/>
      <c r="J9220"/>
      <c r="K9220"/>
      <c r="L9220"/>
      <c r="M9220"/>
      <c r="N9220"/>
      <c r="O9220"/>
      <c r="P9220"/>
      <c r="Q9220"/>
      <c r="R9220"/>
      <c r="S9220"/>
      <c r="T9220"/>
      <c r="U9220"/>
      <c r="V9220"/>
      <c r="W9220"/>
      <c r="X9220"/>
      <c r="Y9220"/>
      <c r="Z9220"/>
      <c r="AA9220"/>
      <c r="AB9220"/>
      <c r="AC9220"/>
      <c r="AD9220"/>
      <c r="AE9220"/>
      <c r="AF9220"/>
      <c r="AG9220"/>
      <c r="AH9220"/>
      <c r="AI9220"/>
      <c r="AJ9220"/>
      <c r="AK9220"/>
      <c r="AL9220"/>
      <c r="AM9220"/>
      <c r="AN9220"/>
      <c r="AO9220"/>
      <c r="AP9220"/>
      <c r="AQ9220"/>
      <c r="AR9220"/>
      <c r="AS9220"/>
      <c r="AT9220"/>
      <c r="AU9220"/>
      <c r="AV9220"/>
      <c r="AW9220"/>
      <c r="AX9220"/>
      <c r="AY9220"/>
      <c r="AZ9220"/>
      <c r="BA9220"/>
      <c r="BB9220"/>
      <c r="BC9220"/>
      <c r="BD9220"/>
      <c r="BE9220"/>
      <c r="BF9220"/>
      <c r="BG9220"/>
      <c r="BH9220"/>
      <c r="BI9220"/>
      <c r="BJ9220"/>
      <c r="BK9220"/>
    </row>
    <row r="9221" spans="1:63" s="93" customFormat="1" ht="9" customHeight="1" x14ac:dyDescent="0.3">
      <c r="A9221" s="91"/>
      <c r="B9221" s="70"/>
      <c r="C9221" s="70"/>
      <c r="D9221" s="70"/>
      <c r="E9221" s="70"/>
      <c r="F9221" s="70"/>
      <c r="G9221" s="94"/>
      <c r="H9221" s="131"/>
      <c r="I9221" s="3"/>
      <c r="J9221"/>
      <c r="K9221"/>
      <c r="L9221"/>
      <c r="M9221"/>
      <c r="N9221"/>
      <c r="O9221"/>
      <c r="P9221"/>
      <c r="Q9221"/>
      <c r="R9221"/>
      <c r="S9221"/>
      <c r="T9221"/>
      <c r="U9221"/>
      <c r="V9221"/>
      <c r="W9221"/>
      <c r="X9221"/>
      <c r="Y9221"/>
      <c r="Z9221"/>
      <c r="AA9221"/>
      <c r="AB9221"/>
      <c r="AC9221"/>
      <c r="AD9221"/>
      <c r="AE9221"/>
      <c r="AF9221"/>
      <c r="AG9221"/>
      <c r="AH9221"/>
      <c r="AI9221"/>
      <c r="AJ9221"/>
      <c r="AK9221"/>
      <c r="AL9221"/>
      <c r="AM9221"/>
      <c r="AN9221"/>
      <c r="AO9221"/>
      <c r="AP9221"/>
      <c r="AQ9221"/>
      <c r="AR9221"/>
      <c r="AS9221"/>
      <c r="AT9221"/>
      <c r="AU9221"/>
      <c r="AV9221"/>
      <c r="AW9221"/>
      <c r="AX9221"/>
      <c r="AY9221"/>
      <c r="AZ9221"/>
      <c r="BA9221"/>
      <c r="BB9221"/>
      <c r="BC9221"/>
      <c r="BD9221"/>
      <c r="BE9221"/>
      <c r="BF9221"/>
      <c r="BG9221"/>
      <c r="BH9221"/>
      <c r="BI9221"/>
      <c r="BJ9221"/>
      <c r="BK9221"/>
    </row>
    <row r="9222" spans="1:63" s="93" customFormat="1" ht="9" customHeight="1" x14ac:dyDescent="0.3">
      <c r="A9222" s="91"/>
      <c r="B9222" s="70"/>
      <c r="C9222" s="70"/>
      <c r="D9222" s="70"/>
      <c r="E9222" s="70"/>
      <c r="F9222" s="70"/>
      <c r="G9222" s="94"/>
      <c r="H9222" s="131"/>
      <c r="I9222" s="3"/>
      <c r="J9222"/>
      <c r="K9222"/>
      <c r="L9222"/>
      <c r="M9222"/>
      <c r="N9222"/>
      <c r="O9222"/>
      <c r="P9222"/>
      <c r="Q9222"/>
      <c r="R9222"/>
      <c r="S9222"/>
      <c r="T9222"/>
      <c r="U9222"/>
      <c r="V9222"/>
      <c r="W9222"/>
      <c r="X9222"/>
      <c r="Y9222"/>
      <c r="Z9222"/>
      <c r="AA9222"/>
      <c r="AB9222"/>
      <c r="AC9222"/>
      <c r="AD9222"/>
      <c r="AE9222"/>
      <c r="AF9222"/>
      <c r="AG9222"/>
      <c r="AH9222"/>
      <c r="AI9222"/>
      <c r="AJ9222"/>
      <c r="AK9222"/>
      <c r="AL9222"/>
      <c r="AM9222"/>
      <c r="AN9222"/>
      <c r="AO9222"/>
      <c r="AP9222"/>
      <c r="AQ9222"/>
      <c r="AR9222"/>
      <c r="AS9222"/>
      <c r="AT9222"/>
      <c r="AU9222"/>
      <c r="AV9222"/>
      <c r="AW9222"/>
      <c r="AX9222"/>
      <c r="AY9222"/>
      <c r="AZ9222"/>
      <c r="BA9222"/>
      <c r="BB9222"/>
      <c r="BC9222"/>
      <c r="BD9222"/>
      <c r="BE9222"/>
      <c r="BF9222"/>
      <c r="BG9222"/>
      <c r="BH9222"/>
      <c r="BI9222"/>
      <c r="BJ9222"/>
      <c r="BK9222"/>
    </row>
    <row r="9223" spans="1:63" s="93" customFormat="1" ht="9" customHeight="1" x14ac:dyDescent="0.3">
      <c r="A9223" s="91"/>
      <c r="B9223" s="70"/>
      <c r="C9223" s="70"/>
      <c r="D9223" s="70"/>
      <c r="E9223" s="70"/>
      <c r="F9223" s="70"/>
      <c r="G9223" s="94"/>
      <c r="H9223" s="131"/>
      <c r="I9223" s="3"/>
      <c r="J9223"/>
      <c r="K9223"/>
      <c r="L9223"/>
      <c r="M9223"/>
      <c r="N9223"/>
      <c r="O9223"/>
      <c r="P9223"/>
      <c r="Q9223"/>
      <c r="R9223"/>
      <c r="S9223"/>
      <c r="T9223"/>
      <c r="U9223"/>
      <c r="V9223"/>
      <c r="W9223"/>
      <c r="X9223"/>
      <c r="Y9223"/>
      <c r="Z9223"/>
      <c r="AA9223"/>
      <c r="AB9223"/>
      <c r="AC9223"/>
      <c r="AD9223"/>
      <c r="AE9223"/>
      <c r="AF9223"/>
      <c r="AG9223"/>
      <c r="AH9223"/>
      <c r="AI9223"/>
      <c r="AJ9223"/>
      <c r="AK9223"/>
      <c r="AL9223"/>
      <c r="AM9223"/>
      <c r="AN9223"/>
      <c r="AO9223"/>
      <c r="AP9223"/>
      <c r="AQ9223"/>
      <c r="AR9223"/>
      <c r="AS9223"/>
      <c r="AT9223"/>
      <c r="AU9223"/>
      <c r="AV9223"/>
      <c r="AW9223"/>
      <c r="AX9223"/>
      <c r="AY9223"/>
      <c r="AZ9223"/>
      <c r="BA9223"/>
      <c r="BB9223"/>
      <c r="BC9223"/>
      <c r="BD9223"/>
      <c r="BE9223"/>
      <c r="BF9223"/>
      <c r="BG9223"/>
      <c r="BH9223"/>
      <c r="BI9223"/>
      <c r="BJ9223"/>
      <c r="BK9223"/>
    </row>
    <row r="9224" spans="1:63" s="93" customFormat="1" ht="9" customHeight="1" x14ac:dyDescent="0.3">
      <c r="A9224" s="91"/>
      <c r="B9224" s="70"/>
      <c r="C9224" s="70"/>
      <c r="D9224" s="70"/>
      <c r="E9224" s="70"/>
      <c r="F9224" s="70"/>
      <c r="G9224" s="94"/>
      <c r="H9224" s="131"/>
      <c r="I9224" s="3"/>
      <c r="J9224"/>
      <c r="K9224"/>
      <c r="L9224"/>
      <c r="M9224"/>
      <c r="N9224"/>
      <c r="O9224"/>
      <c r="P9224"/>
      <c r="Q9224"/>
      <c r="R9224"/>
      <c r="S9224"/>
      <c r="T9224"/>
      <c r="U9224"/>
      <c r="V9224"/>
      <c r="W9224"/>
      <c r="X9224"/>
      <c r="Y9224"/>
      <c r="Z9224"/>
      <c r="AA9224"/>
      <c r="AB9224"/>
      <c r="AC9224"/>
      <c r="AD9224"/>
      <c r="AE9224"/>
      <c r="AF9224"/>
      <c r="AG9224"/>
      <c r="AH9224"/>
      <c r="AI9224"/>
      <c r="AJ9224"/>
      <c r="AK9224"/>
      <c r="AL9224"/>
      <c r="AM9224"/>
      <c r="AN9224"/>
      <c r="AO9224"/>
      <c r="AP9224"/>
      <c r="AQ9224"/>
      <c r="AR9224"/>
      <c r="AS9224"/>
      <c r="AT9224"/>
      <c r="AU9224"/>
      <c r="AV9224"/>
      <c r="AW9224"/>
      <c r="AX9224"/>
      <c r="AY9224"/>
      <c r="AZ9224"/>
      <c r="BA9224"/>
      <c r="BB9224"/>
      <c r="BC9224"/>
      <c r="BD9224"/>
      <c r="BE9224"/>
      <c r="BF9224"/>
      <c r="BG9224"/>
      <c r="BH9224"/>
      <c r="BI9224"/>
      <c r="BJ9224"/>
      <c r="BK9224"/>
    </row>
    <row r="9225" spans="1:63" s="93" customFormat="1" ht="9" customHeight="1" x14ac:dyDescent="0.3">
      <c r="A9225" s="91"/>
      <c r="B9225" s="70"/>
      <c r="C9225" s="70"/>
      <c r="D9225" s="70"/>
      <c r="E9225" s="70"/>
      <c r="F9225" s="70"/>
      <c r="G9225" s="94"/>
      <c r="H9225" s="131"/>
      <c r="I9225" s="3"/>
      <c r="J9225"/>
      <c r="K9225"/>
      <c r="L9225"/>
      <c r="M9225"/>
      <c r="N9225"/>
      <c r="O9225"/>
      <c r="P9225"/>
      <c r="Q9225"/>
      <c r="R9225"/>
      <c r="S9225"/>
      <c r="T9225"/>
      <c r="U9225"/>
      <c r="V9225"/>
      <c r="W9225"/>
      <c r="X9225"/>
      <c r="Y9225"/>
      <c r="Z9225"/>
      <c r="AA9225"/>
      <c r="AB9225"/>
      <c r="AC9225"/>
      <c r="AD9225"/>
      <c r="AE9225"/>
      <c r="AF9225"/>
      <c r="AG9225"/>
      <c r="AH9225"/>
      <c r="AI9225"/>
      <c r="AJ9225"/>
      <c r="AK9225"/>
      <c r="AL9225"/>
      <c r="AM9225"/>
      <c r="AN9225"/>
      <c r="AO9225"/>
      <c r="AP9225"/>
      <c r="AQ9225"/>
      <c r="AR9225"/>
      <c r="AS9225"/>
      <c r="AT9225"/>
      <c r="AU9225"/>
      <c r="AV9225"/>
      <c r="AW9225"/>
      <c r="AX9225"/>
      <c r="AY9225"/>
      <c r="AZ9225"/>
      <c r="BA9225"/>
      <c r="BB9225"/>
      <c r="BC9225"/>
      <c r="BD9225"/>
      <c r="BE9225"/>
      <c r="BF9225"/>
      <c r="BG9225"/>
      <c r="BH9225"/>
      <c r="BI9225"/>
      <c r="BJ9225"/>
      <c r="BK9225"/>
    </row>
    <row r="9226" spans="1:63" s="93" customFormat="1" ht="9" customHeight="1" x14ac:dyDescent="0.3">
      <c r="A9226" s="91"/>
      <c r="B9226" s="70"/>
      <c r="C9226" s="70"/>
      <c r="D9226" s="70"/>
      <c r="E9226" s="70"/>
      <c r="F9226" s="70"/>
      <c r="G9226" s="94"/>
      <c r="H9226" s="131"/>
      <c r="I9226" s="3"/>
      <c r="J9226"/>
      <c r="K9226"/>
      <c r="L9226"/>
      <c r="M9226"/>
      <c r="N9226"/>
      <c r="O9226"/>
      <c r="P9226"/>
      <c r="Q9226"/>
      <c r="R9226"/>
      <c r="S9226"/>
      <c r="T9226"/>
      <c r="U9226"/>
      <c r="V9226"/>
      <c r="W9226"/>
      <c r="X9226"/>
      <c r="Y9226"/>
      <c r="Z9226"/>
      <c r="AA9226"/>
      <c r="AB9226"/>
      <c r="AC9226"/>
      <c r="AD9226"/>
      <c r="AE9226"/>
      <c r="AF9226"/>
      <c r="AG9226"/>
      <c r="AH9226"/>
      <c r="AI9226"/>
      <c r="AJ9226"/>
      <c r="AK9226"/>
      <c r="AL9226"/>
      <c r="AM9226"/>
      <c r="AN9226"/>
      <c r="AO9226"/>
      <c r="AP9226"/>
      <c r="AQ9226"/>
      <c r="AR9226"/>
      <c r="AS9226"/>
      <c r="AT9226"/>
      <c r="AU9226"/>
      <c r="AV9226"/>
      <c r="AW9226"/>
      <c r="AX9226"/>
      <c r="AY9226"/>
      <c r="AZ9226"/>
      <c r="BA9226"/>
      <c r="BB9226"/>
      <c r="BC9226"/>
      <c r="BD9226"/>
      <c r="BE9226"/>
      <c r="BF9226"/>
      <c r="BG9226"/>
      <c r="BH9226"/>
      <c r="BI9226"/>
      <c r="BJ9226"/>
      <c r="BK9226"/>
    </row>
    <row r="9227" spans="1:63" s="93" customFormat="1" ht="9" customHeight="1" x14ac:dyDescent="0.3">
      <c r="A9227" s="91"/>
      <c r="B9227" s="70"/>
      <c r="C9227" s="70"/>
      <c r="D9227" s="70"/>
      <c r="E9227" s="70"/>
      <c r="F9227" s="70"/>
      <c r="G9227" s="94"/>
      <c r="H9227" s="131"/>
      <c r="I9227" s="3"/>
      <c r="J9227"/>
      <c r="K9227"/>
      <c r="L9227"/>
      <c r="M9227"/>
      <c r="N9227"/>
      <c r="O9227"/>
      <c r="P9227"/>
      <c r="Q9227"/>
      <c r="R9227"/>
      <c r="S9227"/>
      <c r="T9227"/>
      <c r="U9227"/>
      <c r="V9227"/>
      <c r="W9227"/>
      <c r="X9227"/>
      <c r="Y9227"/>
      <c r="Z9227"/>
      <c r="AA9227"/>
      <c r="AB9227"/>
      <c r="AC9227"/>
      <c r="AD9227"/>
      <c r="AE9227"/>
      <c r="AF9227"/>
      <c r="AG9227"/>
      <c r="AH9227"/>
      <c r="AI9227"/>
      <c r="AJ9227"/>
      <c r="AK9227"/>
      <c r="AL9227"/>
      <c r="AM9227"/>
      <c r="AN9227"/>
      <c r="AO9227"/>
      <c r="AP9227"/>
      <c r="AQ9227"/>
      <c r="AR9227"/>
      <c r="AS9227"/>
      <c r="AT9227"/>
      <c r="AU9227"/>
      <c r="AV9227"/>
      <c r="AW9227"/>
      <c r="AX9227"/>
      <c r="AY9227"/>
      <c r="AZ9227"/>
      <c r="BA9227"/>
      <c r="BB9227"/>
      <c r="BC9227"/>
      <c r="BD9227"/>
      <c r="BE9227"/>
      <c r="BF9227"/>
      <c r="BG9227"/>
      <c r="BH9227"/>
      <c r="BI9227"/>
      <c r="BJ9227"/>
      <c r="BK9227"/>
    </row>
    <row r="9228" spans="1:63" s="93" customFormat="1" ht="9" customHeight="1" x14ac:dyDescent="0.3">
      <c r="A9228" s="91"/>
      <c r="B9228" s="70"/>
      <c r="C9228" s="70"/>
      <c r="D9228" s="70"/>
      <c r="E9228" s="70"/>
      <c r="F9228" s="70"/>
      <c r="G9228" s="94"/>
      <c r="H9228" s="131"/>
      <c r="I9228" s="3"/>
      <c r="J9228"/>
      <c r="K9228"/>
      <c r="L9228"/>
      <c r="M9228"/>
      <c r="N9228"/>
      <c r="O9228"/>
      <c r="P9228"/>
      <c r="Q9228"/>
      <c r="R9228"/>
      <c r="S9228"/>
      <c r="T9228"/>
      <c r="U9228"/>
      <c r="V9228"/>
      <c r="W9228"/>
      <c r="X9228"/>
      <c r="Y9228"/>
      <c r="Z9228"/>
      <c r="AA9228"/>
      <c r="AB9228"/>
      <c r="AC9228"/>
      <c r="AD9228"/>
      <c r="AE9228"/>
      <c r="AF9228"/>
      <c r="AG9228"/>
      <c r="AH9228"/>
      <c r="AI9228"/>
      <c r="AJ9228"/>
      <c r="AK9228"/>
      <c r="AL9228"/>
      <c r="AM9228"/>
      <c r="AN9228"/>
      <c r="AO9228"/>
      <c r="AP9228"/>
      <c r="AQ9228"/>
      <c r="AR9228"/>
      <c r="AS9228"/>
      <c r="AT9228"/>
      <c r="AU9228"/>
      <c r="AV9228"/>
      <c r="AW9228"/>
      <c r="AX9228"/>
      <c r="AY9228"/>
      <c r="AZ9228"/>
      <c r="BA9228"/>
      <c r="BB9228"/>
      <c r="BC9228"/>
      <c r="BD9228"/>
      <c r="BE9228"/>
      <c r="BF9228"/>
      <c r="BG9228"/>
      <c r="BH9228"/>
      <c r="BI9228"/>
      <c r="BJ9228"/>
      <c r="BK9228"/>
    </row>
    <row r="9229" spans="1:63" s="93" customFormat="1" ht="9" customHeight="1" x14ac:dyDescent="0.3">
      <c r="A9229" s="91"/>
      <c r="B9229" s="70"/>
      <c r="C9229" s="70"/>
      <c r="D9229" s="70"/>
      <c r="E9229" s="70"/>
      <c r="F9229" s="70"/>
      <c r="G9229" s="94"/>
      <c r="H9229" s="131"/>
      <c r="I9229" s="3"/>
      <c r="J9229"/>
      <c r="K9229"/>
      <c r="L9229"/>
      <c r="M9229"/>
      <c r="N9229"/>
      <c r="O9229"/>
      <c r="P9229"/>
      <c r="Q9229"/>
      <c r="R9229"/>
      <c r="S9229"/>
      <c r="T9229"/>
      <c r="U9229"/>
      <c r="V9229"/>
      <c r="W9229"/>
      <c r="X9229"/>
      <c r="Y9229"/>
      <c r="Z9229"/>
      <c r="AA9229"/>
      <c r="AB9229"/>
      <c r="AC9229"/>
      <c r="AD9229"/>
      <c r="AE9229"/>
      <c r="AF9229"/>
      <c r="AG9229"/>
      <c r="AH9229"/>
      <c r="AI9229"/>
      <c r="AJ9229"/>
      <c r="AK9229"/>
      <c r="AL9229"/>
      <c r="AM9229"/>
      <c r="AN9229"/>
      <c r="AO9229"/>
      <c r="AP9229"/>
      <c r="AQ9229"/>
      <c r="AR9229"/>
      <c r="AS9229"/>
      <c r="AT9229"/>
      <c r="AU9229"/>
      <c r="AV9229"/>
      <c r="AW9229"/>
      <c r="AX9229"/>
      <c r="AY9229"/>
      <c r="AZ9229"/>
      <c r="BA9229"/>
      <c r="BB9229"/>
      <c r="BC9229"/>
      <c r="BD9229"/>
      <c r="BE9229"/>
      <c r="BF9229"/>
      <c r="BG9229"/>
      <c r="BH9229"/>
      <c r="BI9229"/>
      <c r="BJ9229"/>
      <c r="BK9229"/>
    </row>
    <row r="9230" spans="1:63" s="93" customFormat="1" ht="9" customHeight="1" x14ac:dyDescent="0.3">
      <c r="A9230" s="91"/>
      <c r="B9230" s="70"/>
      <c r="C9230" s="70"/>
      <c r="D9230" s="70"/>
      <c r="E9230" s="70"/>
      <c r="F9230" s="70"/>
      <c r="G9230" s="94"/>
      <c r="H9230" s="131"/>
      <c r="I9230" s="3"/>
      <c r="J9230"/>
      <c r="K9230"/>
      <c r="L9230"/>
      <c r="M9230"/>
      <c r="N9230"/>
      <c r="O9230"/>
      <c r="P9230"/>
      <c r="Q9230"/>
      <c r="R9230"/>
      <c r="S9230"/>
      <c r="T9230"/>
      <c r="U9230"/>
      <c r="V9230"/>
      <c r="W9230"/>
      <c r="X9230"/>
      <c r="Y9230"/>
      <c r="Z9230"/>
      <c r="AA9230"/>
      <c r="AB9230"/>
      <c r="AC9230"/>
      <c r="AD9230"/>
      <c r="AE9230"/>
      <c r="AF9230"/>
      <c r="AG9230"/>
      <c r="AH9230"/>
      <c r="AI9230"/>
      <c r="AJ9230"/>
      <c r="AK9230"/>
      <c r="AL9230"/>
      <c r="AM9230"/>
      <c r="AN9230"/>
      <c r="AO9230"/>
      <c r="AP9230"/>
      <c r="AQ9230"/>
      <c r="AR9230"/>
      <c r="AS9230"/>
      <c r="AT9230"/>
      <c r="AU9230"/>
      <c r="AV9230"/>
      <c r="AW9230"/>
      <c r="AX9230"/>
      <c r="AY9230"/>
      <c r="AZ9230"/>
      <c r="BA9230"/>
      <c r="BB9230"/>
      <c r="BC9230"/>
      <c r="BD9230"/>
      <c r="BE9230"/>
      <c r="BF9230"/>
      <c r="BG9230"/>
      <c r="BH9230"/>
      <c r="BI9230"/>
      <c r="BJ9230"/>
      <c r="BK9230"/>
    </row>
    <row r="9231" spans="1:63" s="93" customFormat="1" ht="9" customHeight="1" x14ac:dyDescent="0.3">
      <c r="A9231" s="91"/>
      <c r="B9231" s="70"/>
      <c r="C9231" s="70"/>
      <c r="D9231" s="70"/>
      <c r="E9231" s="70"/>
      <c r="F9231" s="70"/>
      <c r="G9231" s="94"/>
      <c r="H9231" s="131"/>
      <c r="I9231" s="3"/>
      <c r="J9231"/>
      <c r="K9231"/>
      <c r="L9231"/>
      <c r="M9231"/>
      <c r="N9231"/>
      <c r="O9231"/>
      <c r="P9231"/>
      <c r="Q9231"/>
      <c r="R9231"/>
      <c r="S9231"/>
      <c r="T9231"/>
      <c r="U9231"/>
      <c r="V9231"/>
      <c r="W9231"/>
      <c r="X9231"/>
      <c r="Y9231"/>
      <c r="Z9231"/>
      <c r="AA9231"/>
      <c r="AB9231"/>
      <c r="AC9231"/>
      <c r="AD9231"/>
      <c r="AE9231"/>
      <c r="AF9231"/>
      <c r="AG9231"/>
      <c r="AH9231"/>
      <c r="AI9231"/>
      <c r="AJ9231"/>
      <c r="AK9231"/>
      <c r="AL9231"/>
      <c r="AM9231"/>
      <c r="AN9231"/>
      <c r="AO9231"/>
      <c r="AP9231"/>
      <c r="AQ9231"/>
      <c r="AR9231"/>
      <c r="AS9231"/>
      <c r="AT9231"/>
      <c r="AU9231"/>
      <c r="AV9231"/>
      <c r="AW9231"/>
      <c r="AX9231"/>
      <c r="AY9231"/>
      <c r="AZ9231"/>
      <c r="BA9231"/>
      <c r="BB9231"/>
      <c r="BC9231"/>
      <c r="BD9231"/>
      <c r="BE9231"/>
      <c r="BF9231"/>
      <c r="BG9231"/>
      <c r="BH9231"/>
      <c r="BI9231"/>
      <c r="BJ9231"/>
      <c r="BK9231"/>
    </row>
    <row r="9232" spans="1:63" s="93" customFormat="1" ht="9" customHeight="1" x14ac:dyDescent="0.3">
      <c r="A9232" s="91"/>
      <c r="B9232" s="70"/>
      <c r="C9232" s="70"/>
      <c r="D9232" s="70"/>
      <c r="E9232" s="70"/>
      <c r="F9232" s="70"/>
      <c r="G9232" s="94"/>
      <c r="H9232" s="131"/>
      <c r="I9232" s="3"/>
      <c r="J9232"/>
      <c r="K9232"/>
      <c r="L9232"/>
      <c r="M9232"/>
      <c r="N9232"/>
      <c r="O9232"/>
      <c r="P9232"/>
      <c r="Q9232"/>
      <c r="R9232"/>
      <c r="S9232"/>
      <c r="T9232"/>
      <c r="U9232"/>
      <c r="V9232"/>
      <c r="W9232"/>
      <c r="X9232"/>
      <c r="Y9232"/>
      <c r="Z9232"/>
      <c r="AA9232"/>
      <c r="AB9232"/>
      <c r="AC9232"/>
      <c r="AD9232"/>
      <c r="AE9232"/>
      <c r="AF9232"/>
      <c r="AG9232"/>
      <c r="AH9232"/>
      <c r="AI9232"/>
      <c r="AJ9232"/>
      <c r="AK9232"/>
      <c r="AL9232"/>
      <c r="AM9232"/>
      <c r="AN9232"/>
      <c r="AO9232"/>
      <c r="AP9232"/>
      <c r="AQ9232"/>
      <c r="AR9232"/>
      <c r="AS9232"/>
      <c r="AT9232"/>
      <c r="AU9232"/>
      <c r="AV9232"/>
      <c r="AW9232"/>
      <c r="AX9232"/>
      <c r="AY9232"/>
      <c r="AZ9232"/>
      <c r="BA9232"/>
      <c r="BB9232"/>
      <c r="BC9232"/>
      <c r="BD9232"/>
      <c r="BE9232"/>
      <c r="BF9232"/>
      <c r="BG9232"/>
      <c r="BH9232"/>
      <c r="BI9232"/>
      <c r="BJ9232"/>
      <c r="BK9232"/>
    </row>
    <row r="9233" spans="1:63" s="93" customFormat="1" ht="9" customHeight="1" x14ac:dyDescent="0.3">
      <c r="A9233" s="91"/>
      <c r="B9233" s="70"/>
      <c r="C9233" s="70"/>
      <c r="D9233" s="70"/>
      <c r="E9233" s="70"/>
      <c r="F9233" s="70"/>
      <c r="G9233" s="94"/>
      <c r="H9233" s="131"/>
      <c r="I9233" s="3"/>
      <c r="J9233"/>
      <c r="K9233"/>
      <c r="L9233"/>
      <c r="M9233"/>
      <c r="N9233"/>
      <c r="O9233"/>
      <c r="P9233"/>
      <c r="Q9233"/>
      <c r="R9233"/>
      <c r="S9233"/>
      <c r="T9233"/>
      <c r="U9233"/>
      <c r="V9233"/>
      <c r="W9233"/>
      <c r="X9233"/>
      <c r="Y9233"/>
      <c r="Z9233"/>
      <c r="AA9233"/>
      <c r="AB9233"/>
      <c r="AC9233"/>
      <c r="AD9233"/>
      <c r="AE9233"/>
      <c r="AF9233"/>
      <c r="AG9233"/>
      <c r="AH9233"/>
      <c r="AI9233"/>
      <c r="AJ9233"/>
      <c r="AK9233"/>
      <c r="AL9233"/>
      <c r="AM9233"/>
      <c r="AN9233"/>
      <c r="AO9233"/>
      <c r="AP9233"/>
      <c r="AQ9233"/>
      <c r="AR9233"/>
      <c r="AS9233"/>
      <c r="AT9233"/>
      <c r="AU9233"/>
      <c r="AV9233"/>
      <c r="AW9233"/>
      <c r="AX9233"/>
      <c r="AY9233"/>
      <c r="AZ9233"/>
      <c r="BA9233"/>
      <c r="BB9233"/>
      <c r="BC9233"/>
      <c r="BD9233"/>
      <c r="BE9233"/>
      <c r="BF9233"/>
      <c r="BG9233"/>
      <c r="BH9233"/>
      <c r="BI9233"/>
      <c r="BJ9233"/>
      <c r="BK9233"/>
    </row>
    <row r="9234" spans="1:63" s="93" customFormat="1" ht="9" customHeight="1" x14ac:dyDescent="0.3">
      <c r="A9234" s="91"/>
      <c r="B9234" s="70"/>
      <c r="C9234" s="70"/>
      <c r="D9234" s="70"/>
      <c r="E9234" s="70"/>
      <c r="F9234" s="70"/>
      <c r="G9234" s="94"/>
      <c r="H9234" s="131"/>
      <c r="I9234" s="3"/>
      <c r="J9234"/>
      <c r="K9234"/>
      <c r="L9234"/>
      <c r="M9234"/>
      <c r="N9234"/>
      <c r="O9234"/>
      <c r="P9234"/>
      <c r="Q9234"/>
      <c r="R9234"/>
      <c r="S9234"/>
      <c r="T9234"/>
      <c r="U9234"/>
      <c r="V9234"/>
      <c r="W9234"/>
      <c r="X9234"/>
      <c r="Y9234"/>
      <c r="Z9234"/>
      <c r="AA9234"/>
      <c r="AB9234"/>
      <c r="AC9234"/>
      <c r="AD9234"/>
      <c r="AE9234"/>
      <c r="AF9234"/>
      <c r="AG9234"/>
      <c r="AH9234"/>
      <c r="AI9234"/>
      <c r="AJ9234"/>
      <c r="AK9234"/>
      <c r="AL9234"/>
      <c r="AM9234"/>
      <c r="AN9234"/>
      <c r="AO9234"/>
      <c r="AP9234"/>
      <c r="AQ9234"/>
      <c r="AR9234"/>
      <c r="AS9234"/>
      <c r="AT9234"/>
      <c r="AU9234"/>
      <c r="AV9234"/>
      <c r="AW9234"/>
      <c r="AX9234"/>
      <c r="AY9234"/>
      <c r="AZ9234"/>
      <c r="BA9234"/>
      <c r="BB9234"/>
      <c r="BC9234"/>
      <c r="BD9234"/>
      <c r="BE9234"/>
      <c r="BF9234"/>
      <c r="BG9234"/>
      <c r="BH9234"/>
      <c r="BI9234"/>
      <c r="BJ9234"/>
      <c r="BK9234"/>
    </row>
    <row r="9235" spans="1:63" s="93" customFormat="1" ht="9" customHeight="1" x14ac:dyDescent="0.3">
      <c r="A9235" s="91"/>
      <c r="B9235" s="70"/>
      <c r="C9235" s="70"/>
      <c r="D9235" s="70"/>
      <c r="E9235" s="70"/>
      <c r="F9235" s="70"/>
      <c r="G9235" s="94"/>
      <c r="H9235" s="131"/>
      <c r="I9235" s="3"/>
      <c r="J9235"/>
      <c r="K9235"/>
      <c r="L9235"/>
      <c r="M9235"/>
      <c r="N9235"/>
      <c r="O9235"/>
      <c r="P9235"/>
      <c r="Q9235"/>
      <c r="R9235"/>
      <c r="S9235"/>
      <c r="T9235"/>
      <c r="U9235"/>
      <c r="V9235"/>
      <c r="W9235"/>
      <c r="X9235"/>
      <c r="Y9235"/>
      <c r="Z9235"/>
      <c r="AA9235"/>
      <c r="AB9235"/>
      <c r="AC9235"/>
      <c r="AD9235"/>
      <c r="AE9235"/>
      <c r="AF9235"/>
      <c r="AG9235"/>
      <c r="AH9235"/>
      <c r="AI9235"/>
      <c r="AJ9235"/>
      <c r="AK9235"/>
      <c r="AL9235"/>
      <c r="AM9235"/>
      <c r="AN9235"/>
      <c r="AO9235"/>
      <c r="AP9235"/>
      <c r="AQ9235"/>
      <c r="AR9235"/>
      <c r="AS9235"/>
      <c r="AT9235"/>
      <c r="AU9235"/>
      <c r="AV9235"/>
      <c r="AW9235"/>
      <c r="AX9235"/>
      <c r="AY9235"/>
      <c r="AZ9235"/>
      <c r="BA9235"/>
      <c r="BB9235"/>
      <c r="BC9235"/>
      <c r="BD9235"/>
      <c r="BE9235"/>
      <c r="BF9235"/>
      <c r="BG9235"/>
      <c r="BH9235"/>
      <c r="BI9235"/>
      <c r="BJ9235"/>
      <c r="BK9235"/>
    </row>
    <row r="9236" spans="1:63" s="93" customFormat="1" ht="9" customHeight="1" x14ac:dyDescent="0.3">
      <c r="A9236" s="91"/>
      <c r="B9236" s="70"/>
      <c r="C9236" s="70"/>
      <c r="D9236" s="70"/>
      <c r="E9236" s="70"/>
      <c r="F9236" s="70"/>
      <c r="G9236" s="94"/>
      <c r="H9236" s="131"/>
      <c r="I9236" s="3"/>
      <c r="J9236"/>
      <c r="K9236"/>
      <c r="L9236"/>
      <c r="M9236"/>
      <c r="N9236"/>
      <c r="O9236"/>
      <c r="P9236"/>
      <c r="Q9236"/>
      <c r="R9236"/>
      <c r="S9236"/>
      <c r="T9236"/>
      <c r="U9236"/>
      <c r="V9236"/>
      <c r="W9236"/>
      <c r="X9236"/>
      <c r="Y9236"/>
      <c r="Z9236"/>
      <c r="AA9236"/>
      <c r="AB9236"/>
      <c r="AC9236"/>
      <c r="AD9236"/>
      <c r="AE9236"/>
      <c r="AF9236"/>
      <c r="AG9236"/>
      <c r="AH9236"/>
      <c r="AI9236"/>
      <c r="AJ9236"/>
      <c r="AK9236"/>
      <c r="AL9236"/>
      <c r="AM9236"/>
      <c r="AN9236"/>
      <c r="AO9236"/>
      <c r="AP9236"/>
      <c r="AQ9236"/>
      <c r="AR9236"/>
      <c r="AS9236"/>
      <c r="AT9236"/>
      <c r="AU9236"/>
      <c r="AV9236"/>
      <c r="AW9236"/>
      <c r="AX9236"/>
      <c r="AY9236"/>
      <c r="AZ9236"/>
      <c r="BA9236"/>
      <c r="BB9236"/>
      <c r="BC9236"/>
      <c r="BD9236"/>
      <c r="BE9236"/>
      <c r="BF9236"/>
      <c r="BG9236"/>
      <c r="BH9236"/>
      <c r="BI9236"/>
      <c r="BJ9236"/>
      <c r="BK9236"/>
    </row>
    <row r="9237" spans="1:63" s="93" customFormat="1" ht="9" customHeight="1" x14ac:dyDescent="0.3">
      <c r="A9237" s="91"/>
      <c r="B9237" s="70"/>
      <c r="C9237" s="70"/>
      <c r="D9237" s="70"/>
      <c r="E9237" s="70"/>
      <c r="F9237" s="70"/>
      <c r="G9237" s="94"/>
      <c r="H9237" s="131"/>
      <c r="I9237" s="3"/>
      <c r="J9237"/>
      <c r="K9237"/>
      <c r="L9237"/>
      <c r="M9237"/>
      <c r="N9237"/>
      <c r="O9237"/>
      <c r="P9237"/>
      <c r="Q9237"/>
      <c r="R9237"/>
      <c r="S9237"/>
      <c r="T9237"/>
      <c r="U9237"/>
      <c r="V9237"/>
      <c r="W9237"/>
      <c r="X9237"/>
      <c r="Y9237"/>
      <c r="Z9237"/>
      <c r="AA9237"/>
      <c r="AB9237"/>
      <c r="AC9237"/>
      <c r="AD9237"/>
      <c r="AE9237"/>
      <c r="AF9237"/>
      <c r="AG9237"/>
      <c r="AH9237"/>
      <c r="AI9237"/>
      <c r="AJ9237"/>
      <c r="AK9237"/>
      <c r="AL9237"/>
      <c r="AM9237"/>
      <c r="AN9237"/>
      <c r="AO9237"/>
      <c r="AP9237"/>
      <c r="AQ9237"/>
      <c r="AR9237"/>
      <c r="AS9237"/>
      <c r="AT9237"/>
      <c r="AU9237"/>
      <c r="AV9237"/>
      <c r="AW9237"/>
      <c r="AX9237"/>
      <c r="AY9237"/>
      <c r="AZ9237"/>
      <c r="BA9237"/>
      <c r="BB9237"/>
      <c r="BC9237"/>
      <c r="BD9237"/>
      <c r="BE9237"/>
      <c r="BF9237"/>
      <c r="BG9237"/>
      <c r="BH9237"/>
      <c r="BI9237"/>
      <c r="BJ9237"/>
      <c r="BK9237"/>
    </row>
    <row r="9238" spans="1:63" s="93" customFormat="1" ht="9" customHeight="1" x14ac:dyDescent="0.3">
      <c r="A9238" s="91"/>
      <c r="B9238" s="70"/>
      <c r="C9238" s="70"/>
      <c r="D9238" s="70"/>
      <c r="E9238" s="70"/>
      <c r="F9238" s="70"/>
      <c r="G9238" s="94"/>
      <c r="H9238" s="131"/>
      <c r="I9238" s="3"/>
      <c r="J9238"/>
      <c r="K9238"/>
      <c r="L9238"/>
      <c r="M9238"/>
      <c r="N9238"/>
      <c r="O9238"/>
      <c r="P9238"/>
      <c r="Q9238"/>
      <c r="R9238"/>
      <c r="S9238"/>
      <c r="T9238"/>
      <c r="U9238"/>
      <c r="V9238"/>
      <c r="W9238"/>
      <c r="X9238"/>
      <c r="Y9238"/>
      <c r="Z9238"/>
      <c r="AA9238"/>
      <c r="AB9238"/>
      <c r="AC9238"/>
      <c r="AD9238"/>
      <c r="AE9238"/>
      <c r="AF9238"/>
      <c r="AG9238"/>
      <c r="AH9238"/>
      <c r="AI9238"/>
      <c r="AJ9238"/>
      <c r="AK9238"/>
      <c r="AL9238"/>
      <c r="AM9238"/>
      <c r="AN9238"/>
      <c r="AO9238"/>
      <c r="AP9238"/>
      <c r="AQ9238"/>
      <c r="AR9238"/>
      <c r="AS9238"/>
      <c r="AT9238"/>
      <c r="AU9238"/>
      <c r="AV9238"/>
      <c r="AW9238"/>
      <c r="AX9238"/>
      <c r="AY9238"/>
      <c r="AZ9238"/>
      <c r="BA9238"/>
      <c r="BB9238"/>
      <c r="BC9238"/>
      <c r="BD9238"/>
      <c r="BE9238"/>
      <c r="BF9238"/>
      <c r="BG9238"/>
      <c r="BH9238"/>
      <c r="BI9238"/>
      <c r="BJ9238"/>
      <c r="BK9238"/>
    </row>
    <row r="9239" spans="1:63" s="93" customFormat="1" ht="9" customHeight="1" x14ac:dyDescent="0.3">
      <c r="A9239" s="91"/>
      <c r="B9239" s="70"/>
      <c r="C9239" s="70"/>
      <c r="D9239" s="70"/>
      <c r="E9239" s="70"/>
      <c r="F9239" s="70"/>
      <c r="G9239" s="94"/>
      <c r="H9239" s="131"/>
      <c r="I9239" s="3"/>
      <c r="J9239"/>
      <c r="K9239"/>
      <c r="L9239"/>
      <c r="M9239"/>
      <c r="N9239"/>
      <c r="O9239"/>
      <c r="P9239"/>
      <c r="Q9239"/>
      <c r="R9239"/>
      <c r="S9239"/>
      <c r="T9239"/>
      <c r="U9239"/>
      <c r="V9239"/>
      <c r="W9239"/>
      <c r="X9239"/>
      <c r="Y9239"/>
      <c r="Z9239"/>
      <c r="AA9239"/>
      <c r="AB9239"/>
      <c r="AC9239"/>
      <c r="AD9239"/>
      <c r="AE9239"/>
      <c r="AF9239"/>
      <c r="AG9239"/>
      <c r="AH9239"/>
      <c r="AI9239"/>
      <c r="AJ9239"/>
      <c r="AK9239"/>
      <c r="AL9239"/>
      <c r="AM9239"/>
      <c r="AN9239"/>
      <c r="AO9239"/>
      <c r="AP9239"/>
      <c r="AQ9239"/>
      <c r="AR9239"/>
      <c r="AS9239"/>
      <c r="AT9239"/>
      <c r="AU9239"/>
      <c r="AV9239"/>
      <c r="AW9239"/>
      <c r="AX9239"/>
      <c r="AY9239"/>
      <c r="AZ9239"/>
      <c r="BA9239"/>
      <c r="BB9239"/>
      <c r="BC9239"/>
      <c r="BD9239"/>
      <c r="BE9239"/>
      <c r="BF9239"/>
      <c r="BG9239"/>
      <c r="BH9239"/>
      <c r="BI9239"/>
      <c r="BJ9239"/>
      <c r="BK9239"/>
    </row>
    <row r="9240" spans="1:63" s="93" customFormat="1" ht="9" customHeight="1" x14ac:dyDescent="0.3">
      <c r="A9240" s="91"/>
      <c r="B9240" s="70"/>
      <c r="C9240" s="70"/>
      <c r="D9240" s="70"/>
      <c r="E9240" s="70"/>
      <c r="F9240" s="70"/>
      <c r="G9240" s="94"/>
      <c r="H9240" s="131"/>
      <c r="I9240" s="3"/>
      <c r="J9240"/>
      <c r="K9240"/>
      <c r="L9240"/>
      <c r="M9240"/>
      <c r="N9240"/>
      <c r="O9240"/>
      <c r="P9240"/>
      <c r="Q9240"/>
      <c r="R9240"/>
      <c r="S9240"/>
      <c r="T9240"/>
      <c r="U9240"/>
      <c r="V9240"/>
      <c r="W9240"/>
      <c r="X9240"/>
      <c r="Y9240"/>
      <c r="Z9240"/>
      <c r="AA9240"/>
      <c r="AB9240"/>
      <c r="AC9240"/>
      <c r="AD9240"/>
      <c r="AE9240"/>
      <c r="AF9240"/>
      <c r="AG9240"/>
      <c r="AH9240"/>
      <c r="AI9240"/>
      <c r="AJ9240"/>
      <c r="AK9240"/>
      <c r="AL9240"/>
      <c r="AM9240"/>
      <c r="AN9240"/>
      <c r="AO9240"/>
      <c r="AP9240"/>
      <c r="AQ9240"/>
      <c r="AR9240"/>
      <c r="AS9240"/>
      <c r="AT9240"/>
      <c r="AU9240"/>
      <c r="AV9240"/>
      <c r="AW9240"/>
      <c r="AX9240"/>
      <c r="AY9240"/>
      <c r="AZ9240"/>
      <c r="BA9240"/>
      <c r="BB9240"/>
      <c r="BC9240"/>
      <c r="BD9240"/>
      <c r="BE9240"/>
      <c r="BF9240"/>
      <c r="BG9240"/>
      <c r="BH9240"/>
      <c r="BI9240"/>
      <c r="BJ9240"/>
      <c r="BK9240"/>
    </row>
    <row r="9241" spans="1:63" s="93" customFormat="1" ht="9" customHeight="1" x14ac:dyDescent="0.3">
      <c r="A9241" s="91"/>
      <c r="B9241" s="70"/>
      <c r="C9241" s="70"/>
      <c r="D9241" s="70"/>
      <c r="E9241" s="70"/>
      <c r="F9241" s="70"/>
      <c r="G9241" s="94"/>
      <c r="H9241" s="131"/>
      <c r="I9241" s="3"/>
      <c r="J9241"/>
      <c r="K9241"/>
      <c r="L9241"/>
      <c r="M9241"/>
      <c r="N9241"/>
      <c r="O9241"/>
      <c r="P9241"/>
      <c r="Q9241"/>
      <c r="R9241"/>
      <c r="S9241"/>
      <c r="T9241"/>
      <c r="U9241"/>
      <c r="V9241"/>
      <c r="W9241"/>
      <c r="X9241"/>
      <c r="Y9241"/>
      <c r="Z9241"/>
      <c r="AA9241"/>
      <c r="AB9241"/>
      <c r="AC9241"/>
      <c r="AD9241"/>
      <c r="AE9241"/>
      <c r="AF9241"/>
      <c r="AG9241"/>
      <c r="AH9241"/>
      <c r="AI9241"/>
      <c r="AJ9241"/>
      <c r="AK9241"/>
      <c r="AL9241"/>
      <c r="AM9241"/>
      <c r="AN9241"/>
      <c r="AO9241"/>
      <c r="AP9241"/>
      <c r="AQ9241"/>
      <c r="AR9241"/>
      <c r="AS9241"/>
      <c r="AT9241"/>
      <c r="AU9241"/>
      <c r="AV9241"/>
      <c r="AW9241"/>
      <c r="AX9241"/>
      <c r="AY9241"/>
      <c r="AZ9241"/>
      <c r="BA9241"/>
      <c r="BB9241"/>
      <c r="BC9241"/>
      <c r="BD9241"/>
      <c r="BE9241"/>
      <c r="BF9241"/>
      <c r="BG9241"/>
      <c r="BH9241"/>
      <c r="BI9241"/>
      <c r="BJ9241"/>
      <c r="BK9241"/>
    </row>
    <row r="9242" spans="1:63" s="93" customFormat="1" ht="9" customHeight="1" x14ac:dyDescent="0.3">
      <c r="A9242" s="91"/>
      <c r="B9242" s="70"/>
      <c r="C9242" s="70"/>
      <c r="D9242" s="70"/>
      <c r="E9242" s="70"/>
      <c r="F9242" s="70"/>
      <c r="G9242" s="94"/>
      <c r="H9242" s="131"/>
      <c r="I9242" s="3"/>
      <c r="J9242"/>
      <c r="K9242"/>
      <c r="L9242"/>
      <c r="M9242"/>
      <c r="N9242"/>
      <c r="O9242"/>
      <c r="P9242"/>
      <c r="Q9242"/>
      <c r="R9242"/>
      <c r="S9242"/>
      <c r="T9242"/>
      <c r="U9242"/>
      <c r="V9242"/>
      <c r="W9242"/>
      <c r="X9242"/>
      <c r="Y9242"/>
      <c r="Z9242"/>
      <c r="AA9242"/>
      <c r="AB9242"/>
      <c r="AC9242"/>
      <c r="AD9242"/>
      <c r="AE9242"/>
      <c r="AF9242"/>
      <c r="AG9242"/>
      <c r="AH9242"/>
      <c r="AI9242"/>
      <c r="AJ9242"/>
      <c r="AK9242"/>
      <c r="AL9242"/>
      <c r="AM9242"/>
      <c r="AN9242"/>
      <c r="AO9242"/>
      <c r="AP9242"/>
      <c r="AQ9242"/>
      <c r="AR9242"/>
      <c r="AS9242"/>
      <c r="AT9242"/>
      <c r="AU9242"/>
      <c r="AV9242"/>
      <c r="AW9242"/>
      <c r="AX9242"/>
      <c r="AY9242"/>
      <c r="AZ9242"/>
      <c r="BA9242"/>
      <c r="BB9242"/>
      <c r="BC9242"/>
      <c r="BD9242"/>
      <c r="BE9242"/>
      <c r="BF9242"/>
      <c r="BG9242"/>
      <c r="BH9242"/>
      <c r="BI9242"/>
      <c r="BJ9242"/>
      <c r="BK9242"/>
    </row>
    <row r="9243" spans="1:63" s="93" customFormat="1" ht="9" customHeight="1" x14ac:dyDescent="0.3">
      <c r="A9243" s="91"/>
      <c r="B9243" s="70"/>
      <c r="C9243" s="70"/>
      <c r="D9243" s="70"/>
      <c r="E9243" s="70"/>
      <c r="F9243" s="70"/>
      <c r="G9243" s="94"/>
      <c r="H9243" s="131"/>
      <c r="I9243" s="3"/>
      <c r="J9243"/>
      <c r="K9243"/>
      <c r="L9243"/>
      <c r="M9243"/>
      <c r="N9243"/>
      <c r="O9243"/>
      <c r="P9243"/>
      <c r="Q9243"/>
      <c r="R9243"/>
      <c r="S9243"/>
      <c r="T9243"/>
      <c r="U9243"/>
      <c r="V9243"/>
      <c r="W9243"/>
      <c r="X9243"/>
      <c r="Y9243"/>
      <c r="Z9243"/>
      <c r="AA9243"/>
      <c r="AB9243"/>
      <c r="AC9243"/>
      <c r="AD9243"/>
      <c r="AE9243"/>
      <c r="AF9243"/>
      <c r="AG9243"/>
      <c r="AH9243"/>
      <c r="AI9243"/>
      <c r="AJ9243"/>
      <c r="AK9243"/>
      <c r="AL9243"/>
      <c r="AM9243"/>
      <c r="AN9243"/>
      <c r="AO9243"/>
      <c r="AP9243"/>
      <c r="AQ9243"/>
      <c r="AR9243"/>
      <c r="AS9243"/>
      <c r="AT9243"/>
      <c r="AU9243"/>
      <c r="AV9243"/>
      <c r="AW9243"/>
      <c r="AX9243"/>
      <c r="AY9243"/>
      <c r="AZ9243"/>
      <c r="BA9243"/>
      <c r="BB9243"/>
      <c r="BC9243"/>
      <c r="BD9243"/>
      <c r="BE9243"/>
      <c r="BF9243"/>
      <c r="BG9243"/>
      <c r="BH9243"/>
      <c r="BI9243"/>
      <c r="BJ9243"/>
      <c r="BK9243"/>
    </row>
    <row r="9244" spans="1:63" s="93" customFormat="1" ht="9" customHeight="1" x14ac:dyDescent="0.3">
      <c r="A9244" s="91"/>
      <c r="B9244" s="70"/>
      <c r="C9244" s="70"/>
      <c r="D9244" s="70"/>
      <c r="E9244" s="70"/>
      <c r="F9244" s="70"/>
      <c r="G9244" s="94"/>
      <c r="H9244" s="131"/>
      <c r="I9244" s="3"/>
      <c r="J9244"/>
      <c r="K9244"/>
      <c r="L9244"/>
      <c r="M9244"/>
      <c r="N9244"/>
      <c r="O9244"/>
      <c r="P9244"/>
      <c r="Q9244"/>
      <c r="R9244"/>
      <c r="S9244"/>
      <c r="T9244"/>
      <c r="U9244"/>
      <c r="V9244"/>
      <c r="W9244"/>
      <c r="X9244"/>
      <c r="Y9244"/>
      <c r="Z9244"/>
      <c r="AA9244"/>
      <c r="AB9244"/>
      <c r="AC9244"/>
      <c r="AD9244"/>
      <c r="AE9244"/>
      <c r="AF9244"/>
      <c r="AG9244"/>
      <c r="AH9244"/>
      <c r="AI9244"/>
      <c r="AJ9244"/>
      <c r="AK9244"/>
      <c r="AL9244"/>
      <c r="AM9244"/>
      <c r="AN9244"/>
      <c r="AO9244"/>
      <c r="AP9244"/>
      <c r="AQ9244"/>
      <c r="AR9244"/>
      <c r="AS9244"/>
      <c r="AT9244"/>
      <c r="AU9244"/>
      <c r="AV9244"/>
      <c r="AW9244"/>
      <c r="AX9244"/>
      <c r="AY9244"/>
      <c r="AZ9244"/>
      <c r="BA9244"/>
      <c r="BB9244"/>
      <c r="BC9244"/>
      <c r="BD9244"/>
      <c r="BE9244"/>
      <c r="BF9244"/>
      <c r="BG9244"/>
      <c r="BH9244"/>
      <c r="BI9244"/>
      <c r="BJ9244"/>
      <c r="BK9244"/>
    </row>
    <row r="9245" spans="1:63" s="93" customFormat="1" ht="9" customHeight="1" x14ac:dyDescent="0.3">
      <c r="A9245" s="91"/>
      <c r="B9245" s="70"/>
      <c r="C9245" s="70"/>
      <c r="D9245" s="70"/>
      <c r="E9245" s="70"/>
      <c r="F9245" s="70"/>
      <c r="G9245" s="94"/>
      <c r="H9245" s="131"/>
      <c r="I9245" s="3"/>
      <c r="J9245"/>
      <c r="K9245"/>
      <c r="L9245"/>
      <c r="M9245"/>
      <c r="N9245"/>
      <c r="O9245"/>
      <c r="P9245"/>
      <c r="Q9245"/>
      <c r="R9245"/>
      <c r="S9245"/>
      <c r="T9245"/>
      <c r="U9245"/>
      <c r="V9245"/>
      <c r="W9245"/>
      <c r="X9245"/>
      <c r="Y9245"/>
      <c r="Z9245"/>
      <c r="AA9245"/>
      <c r="AB9245"/>
      <c r="AC9245"/>
      <c r="AD9245"/>
      <c r="AE9245"/>
      <c r="AF9245"/>
      <c r="AG9245"/>
      <c r="AH9245"/>
      <c r="AI9245"/>
      <c r="AJ9245"/>
      <c r="AK9245"/>
      <c r="AL9245"/>
      <c r="AM9245"/>
      <c r="AN9245"/>
      <c r="AO9245"/>
      <c r="AP9245"/>
      <c r="AQ9245"/>
      <c r="AR9245"/>
      <c r="AS9245"/>
      <c r="AT9245"/>
      <c r="AU9245"/>
      <c r="AV9245"/>
      <c r="AW9245"/>
      <c r="AX9245"/>
      <c r="AY9245"/>
      <c r="AZ9245"/>
      <c r="BA9245"/>
      <c r="BB9245"/>
      <c r="BC9245"/>
      <c r="BD9245"/>
      <c r="BE9245"/>
      <c r="BF9245"/>
      <c r="BG9245"/>
      <c r="BH9245"/>
      <c r="BI9245"/>
      <c r="BJ9245"/>
      <c r="BK9245"/>
    </row>
    <row r="9246" spans="1:63" s="93" customFormat="1" ht="9" customHeight="1" x14ac:dyDescent="0.3">
      <c r="A9246" s="91"/>
      <c r="B9246" s="70"/>
      <c r="C9246" s="70"/>
      <c r="D9246" s="70"/>
      <c r="E9246" s="70"/>
      <c r="F9246" s="70"/>
      <c r="G9246" s="94"/>
      <c r="H9246" s="131"/>
      <c r="I9246" s="3"/>
      <c r="J9246"/>
      <c r="K9246"/>
      <c r="L9246"/>
      <c r="M9246"/>
      <c r="N9246"/>
      <c r="O9246"/>
      <c r="P9246"/>
      <c r="Q9246"/>
      <c r="R9246"/>
      <c r="S9246"/>
      <c r="T9246"/>
      <c r="U9246"/>
      <c r="V9246"/>
      <c r="W9246"/>
      <c r="X9246"/>
      <c r="Y9246"/>
      <c r="Z9246"/>
      <c r="AA9246"/>
      <c r="AB9246"/>
      <c r="AC9246"/>
      <c r="AD9246"/>
      <c r="AE9246"/>
      <c r="AF9246"/>
      <c r="AG9246"/>
      <c r="AH9246"/>
      <c r="AI9246"/>
      <c r="AJ9246"/>
      <c r="AK9246"/>
      <c r="AL9246"/>
      <c r="AM9246"/>
      <c r="AN9246"/>
      <c r="AO9246"/>
      <c r="AP9246"/>
      <c r="AQ9246"/>
      <c r="AR9246"/>
      <c r="AS9246"/>
      <c r="AT9246"/>
      <c r="AU9246"/>
      <c r="AV9246"/>
      <c r="AW9246"/>
      <c r="AX9246"/>
      <c r="AY9246"/>
      <c r="AZ9246"/>
      <c r="BA9246"/>
      <c r="BB9246"/>
      <c r="BC9246"/>
      <c r="BD9246"/>
      <c r="BE9246"/>
      <c r="BF9246"/>
      <c r="BG9246"/>
      <c r="BH9246"/>
      <c r="BI9246"/>
      <c r="BJ9246"/>
      <c r="BK9246"/>
    </row>
    <row r="9247" spans="1:63" s="93" customFormat="1" ht="9" customHeight="1" x14ac:dyDescent="0.3">
      <c r="A9247" s="91"/>
      <c r="B9247" s="70"/>
      <c r="C9247" s="70"/>
      <c r="D9247" s="70"/>
      <c r="E9247" s="70"/>
      <c r="F9247" s="70"/>
      <c r="G9247" s="94"/>
      <c r="H9247" s="131"/>
      <c r="I9247" s="3"/>
      <c r="J9247"/>
      <c r="K9247"/>
      <c r="L9247"/>
      <c r="M9247"/>
      <c r="N9247"/>
      <c r="O9247"/>
      <c r="P9247"/>
      <c r="Q9247"/>
      <c r="R9247"/>
      <c r="S9247"/>
      <c r="T9247"/>
      <c r="U9247"/>
      <c r="V9247"/>
      <c r="W9247"/>
      <c r="X9247"/>
      <c r="Y9247"/>
      <c r="Z9247"/>
      <c r="AA9247"/>
      <c r="AB9247"/>
      <c r="AC9247"/>
      <c r="AD9247"/>
      <c r="AE9247"/>
      <c r="AF9247"/>
      <c r="AG9247"/>
      <c r="AH9247"/>
      <c r="AI9247"/>
      <c r="AJ9247"/>
      <c r="AK9247"/>
      <c r="AL9247"/>
      <c r="AM9247"/>
      <c r="AN9247"/>
      <c r="AO9247"/>
      <c r="AP9247"/>
      <c r="AQ9247"/>
      <c r="AR9247"/>
      <c r="AS9247"/>
      <c r="AT9247"/>
      <c r="AU9247"/>
      <c r="AV9247"/>
      <c r="AW9247"/>
      <c r="AX9247"/>
      <c r="AY9247"/>
      <c r="AZ9247"/>
      <c r="BA9247"/>
      <c r="BB9247"/>
      <c r="BC9247"/>
      <c r="BD9247"/>
      <c r="BE9247"/>
      <c r="BF9247"/>
      <c r="BG9247"/>
      <c r="BH9247"/>
      <c r="BI9247"/>
      <c r="BJ9247"/>
      <c r="BK9247"/>
    </row>
    <row r="9248" spans="1:63" s="93" customFormat="1" ht="9" customHeight="1" x14ac:dyDescent="0.3">
      <c r="A9248" s="91"/>
      <c r="B9248" s="70"/>
      <c r="C9248" s="70"/>
      <c r="D9248" s="70"/>
      <c r="E9248" s="70"/>
      <c r="F9248" s="70"/>
      <c r="G9248" s="94"/>
      <c r="H9248" s="131"/>
      <c r="I9248" s="3"/>
      <c r="J9248"/>
      <c r="K9248"/>
      <c r="L9248"/>
      <c r="M9248"/>
      <c r="N9248"/>
      <c r="O9248"/>
      <c r="P9248"/>
      <c r="Q9248"/>
      <c r="R9248"/>
      <c r="S9248"/>
      <c r="T9248"/>
      <c r="U9248"/>
      <c r="V9248"/>
      <c r="W9248"/>
      <c r="X9248"/>
      <c r="Y9248"/>
      <c r="Z9248"/>
      <c r="AA9248"/>
      <c r="AB9248"/>
      <c r="AC9248"/>
      <c r="AD9248"/>
      <c r="AE9248"/>
      <c r="AF9248"/>
      <c r="AG9248"/>
      <c r="AH9248"/>
      <c r="AI9248"/>
      <c r="AJ9248"/>
      <c r="AK9248"/>
      <c r="AL9248"/>
      <c r="AM9248"/>
      <c r="AN9248"/>
      <c r="AO9248"/>
      <c r="AP9248"/>
      <c r="AQ9248"/>
      <c r="AR9248"/>
      <c r="AS9248"/>
      <c r="AT9248"/>
      <c r="AU9248"/>
      <c r="AV9248"/>
      <c r="AW9248"/>
      <c r="AX9248"/>
      <c r="AY9248"/>
      <c r="AZ9248"/>
      <c r="BA9248"/>
      <c r="BB9248"/>
      <c r="BC9248"/>
      <c r="BD9248"/>
      <c r="BE9248"/>
      <c r="BF9248"/>
      <c r="BG9248"/>
      <c r="BH9248"/>
      <c r="BI9248"/>
      <c r="BJ9248"/>
      <c r="BK9248"/>
    </row>
    <row r="9249" spans="1:63" s="93" customFormat="1" ht="9" customHeight="1" x14ac:dyDescent="0.3">
      <c r="A9249" s="91"/>
      <c r="B9249" s="70"/>
      <c r="C9249" s="70"/>
      <c r="D9249" s="70"/>
      <c r="E9249" s="70"/>
      <c r="F9249" s="70"/>
      <c r="G9249" s="94"/>
      <c r="H9249" s="131"/>
      <c r="I9249" s="3"/>
      <c r="J9249"/>
      <c r="K9249"/>
      <c r="L9249"/>
      <c r="M9249"/>
      <c r="N9249"/>
      <c r="O9249"/>
      <c r="P9249"/>
      <c r="Q9249"/>
      <c r="R9249"/>
      <c r="S9249"/>
      <c r="T9249"/>
      <c r="U9249"/>
      <c r="V9249"/>
      <c r="W9249"/>
      <c r="X9249"/>
      <c r="Y9249"/>
      <c r="Z9249"/>
      <c r="AA9249"/>
      <c r="AB9249"/>
      <c r="AC9249"/>
      <c r="AD9249"/>
      <c r="AE9249"/>
      <c r="AF9249"/>
      <c r="AG9249"/>
      <c r="AH9249"/>
      <c r="AI9249"/>
      <c r="AJ9249"/>
      <c r="AK9249"/>
      <c r="AL9249"/>
      <c r="AM9249"/>
      <c r="AN9249"/>
      <c r="AO9249"/>
      <c r="AP9249"/>
      <c r="AQ9249"/>
      <c r="AR9249"/>
      <c r="AS9249"/>
      <c r="AT9249"/>
      <c r="AU9249"/>
      <c r="AV9249"/>
      <c r="AW9249"/>
      <c r="AX9249"/>
      <c r="AY9249"/>
      <c r="AZ9249"/>
      <c r="BA9249"/>
      <c r="BB9249"/>
      <c r="BC9249"/>
      <c r="BD9249"/>
      <c r="BE9249"/>
      <c r="BF9249"/>
      <c r="BG9249"/>
      <c r="BH9249"/>
      <c r="BI9249"/>
      <c r="BJ9249"/>
      <c r="BK9249"/>
    </row>
    <row r="9250" spans="1:63" s="93" customFormat="1" ht="9" customHeight="1" x14ac:dyDescent="0.3">
      <c r="A9250" s="91"/>
      <c r="B9250" s="70"/>
      <c r="C9250" s="70"/>
      <c r="D9250" s="70"/>
      <c r="E9250" s="70"/>
      <c r="F9250" s="70"/>
      <c r="G9250" s="94"/>
      <c r="H9250" s="131"/>
      <c r="I9250" s="3"/>
      <c r="J9250"/>
      <c r="K9250"/>
      <c r="L9250"/>
      <c r="M9250"/>
      <c r="N9250"/>
      <c r="O9250"/>
      <c r="P9250"/>
      <c r="Q9250"/>
      <c r="R9250"/>
      <c r="S9250"/>
      <c r="T9250"/>
      <c r="U9250"/>
      <c r="V9250"/>
      <c r="W9250"/>
      <c r="X9250"/>
      <c r="Y9250"/>
      <c r="Z9250"/>
      <c r="AA9250"/>
      <c r="AB9250"/>
      <c r="AC9250"/>
      <c r="AD9250"/>
      <c r="AE9250"/>
      <c r="AF9250"/>
      <c r="AG9250"/>
      <c r="AH9250"/>
      <c r="AI9250"/>
      <c r="AJ9250"/>
      <c r="AK9250"/>
      <c r="AL9250"/>
      <c r="AM9250"/>
      <c r="AN9250"/>
      <c r="AO9250"/>
      <c r="AP9250"/>
      <c r="AQ9250"/>
      <c r="AR9250"/>
      <c r="AS9250"/>
      <c r="AT9250"/>
      <c r="AU9250"/>
      <c r="AV9250"/>
      <c r="AW9250"/>
      <c r="AX9250"/>
      <c r="AY9250"/>
      <c r="AZ9250"/>
      <c r="BA9250"/>
      <c r="BB9250"/>
      <c r="BC9250"/>
      <c r="BD9250"/>
      <c r="BE9250"/>
      <c r="BF9250"/>
      <c r="BG9250"/>
      <c r="BH9250"/>
      <c r="BI9250"/>
      <c r="BJ9250"/>
      <c r="BK9250"/>
    </row>
    <row r="9251" spans="1:63" s="93" customFormat="1" ht="9" customHeight="1" x14ac:dyDescent="0.3">
      <c r="A9251" s="91"/>
      <c r="B9251" s="70"/>
      <c r="C9251" s="70"/>
      <c r="D9251" s="70"/>
      <c r="E9251" s="70"/>
      <c r="F9251" s="70"/>
      <c r="G9251" s="94"/>
      <c r="H9251" s="131"/>
      <c r="I9251" s="3"/>
      <c r="J9251"/>
      <c r="K9251"/>
      <c r="L9251"/>
      <c r="M9251"/>
      <c r="N9251"/>
      <c r="O9251"/>
      <c r="P9251"/>
      <c r="Q9251"/>
      <c r="R9251"/>
      <c r="S9251"/>
      <c r="T9251"/>
      <c r="U9251"/>
      <c r="V9251"/>
      <c r="W9251"/>
      <c r="X9251"/>
      <c r="Y9251"/>
      <c r="Z9251"/>
      <c r="AA9251"/>
      <c r="AB9251"/>
      <c r="AC9251"/>
      <c r="AD9251"/>
      <c r="AE9251"/>
      <c r="AF9251"/>
      <c r="AG9251"/>
      <c r="AH9251"/>
      <c r="AI9251"/>
      <c r="AJ9251"/>
      <c r="AK9251"/>
      <c r="AL9251"/>
      <c r="AM9251"/>
      <c r="AN9251"/>
      <c r="AO9251"/>
      <c r="AP9251"/>
      <c r="AQ9251"/>
      <c r="AR9251"/>
      <c r="AS9251"/>
      <c r="AT9251"/>
      <c r="AU9251"/>
      <c r="AV9251"/>
      <c r="AW9251"/>
      <c r="AX9251"/>
      <c r="AY9251"/>
      <c r="AZ9251"/>
      <c r="BA9251"/>
      <c r="BB9251"/>
      <c r="BC9251"/>
      <c r="BD9251"/>
      <c r="BE9251"/>
      <c r="BF9251"/>
      <c r="BG9251"/>
      <c r="BH9251"/>
      <c r="BI9251"/>
      <c r="BJ9251"/>
      <c r="BK9251"/>
    </row>
    <row r="9252" spans="1:63" s="93" customFormat="1" ht="9" customHeight="1" x14ac:dyDescent="0.3">
      <c r="A9252" s="91"/>
      <c r="B9252" s="70"/>
      <c r="C9252" s="70"/>
      <c r="D9252" s="70"/>
      <c r="E9252" s="70"/>
      <c r="F9252" s="70"/>
      <c r="G9252" s="94"/>
      <c r="H9252" s="131"/>
      <c r="I9252" s="3"/>
      <c r="J9252"/>
      <c r="K9252"/>
      <c r="L9252"/>
      <c r="M9252"/>
      <c r="N9252"/>
      <c r="O9252"/>
      <c r="P9252"/>
      <c r="Q9252"/>
      <c r="R9252"/>
      <c r="S9252"/>
      <c r="T9252"/>
      <c r="U9252"/>
      <c r="V9252"/>
      <c r="W9252"/>
      <c r="X9252"/>
      <c r="Y9252"/>
      <c r="Z9252"/>
      <c r="AA9252"/>
      <c r="AB9252"/>
      <c r="AC9252"/>
      <c r="AD9252"/>
      <c r="AE9252"/>
      <c r="AF9252"/>
      <c r="AG9252"/>
      <c r="AH9252"/>
      <c r="AI9252"/>
      <c r="AJ9252"/>
      <c r="AK9252"/>
      <c r="AL9252"/>
      <c r="AM9252"/>
      <c r="AN9252"/>
      <c r="AO9252"/>
      <c r="AP9252"/>
      <c r="AQ9252"/>
      <c r="AR9252"/>
      <c r="AS9252"/>
      <c r="AT9252"/>
      <c r="AU9252"/>
      <c r="AV9252"/>
      <c r="AW9252"/>
      <c r="AX9252"/>
      <c r="AY9252"/>
      <c r="AZ9252"/>
      <c r="BA9252"/>
      <c r="BB9252"/>
      <c r="BC9252"/>
      <c r="BD9252"/>
      <c r="BE9252"/>
      <c r="BF9252"/>
      <c r="BG9252"/>
      <c r="BH9252"/>
      <c r="BI9252"/>
      <c r="BJ9252"/>
      <c r="BK9252"/>
    </row>
    <row r="9253" spans="1:63" s="93" customFormat="1" ht="9" customHeight="1" x14ac:dyDescent="0.3">
      <c r="A9253" s="91"/>
      <c r="B9253" s="70"/>
      <c r="C9253" s="70"/>
      <c r="D9253" s="70"/>
      <c r="E9253" s="70"/>
      <c r="F9253" s="70"/>
      <c r="G9253" s="94"/>
      <c r="H9253" s="131"/>
      <c r="I9253" s="3"/>
      <c r="J9253"/>
      <c r="K9253"/>
      <c r="L9253"/>
      <c r="M9253"/>
      <c r="N9253"/>
      <c r="O9253"/>
      <c r="P9253"/>
      <c r="Q9253"/>
      <c r="R9253"/>
      <c r="S9253"/>
      <c r="T9253"/>
      <c r="U9253"/>
      <c r="V9253"/>
      <c r="W9253"/>
      <c r="X9253"/>
      <c r="Y9253"/>
      <c r="Z9253"/>
      <c r="AA9253"/>
      <c r="AB9253"/>
      <c r="AC9253"/>
      <c r="AD9253"/>
      <c r="AE9253"/>
      <c r="AF9253"/>
      <c r="AG9253"/>
      <c r="AH9253"/>
      <c r="AI9253"/>
      <c r="AJ9253"/>
      <c r="AK9253"/>
      <c r="AL9253"/>
      <c r="AM9253"/>
      <c r="AN9253"/>
      <c r="AO9253"/>
      <c r="AP9253"/>
      <c r="AQ9253"/>
      <c r="AR9253"/>
      <c r="AS9253"/>
      <c r="AT9253"/>
      <c r="AU9253"/>
      <c r="AV9253"/>
      <c r="AW9253"/>
      <c r="AX9253"/>
      <c r="AY9253"/>
      <c r="AZ9253"/>
      <c r="BA9253"/>
      <c r="BB9253"/>
      <c r="BC9253"/>
      <c r="BD9253"/>
      <c r="BE9253"/>
      <c r="BF9253"/>
      <c r="BG9253"/>
      <c r="BH9253"/>
      <c r="BI9253"/>
      <c r="BJ9253"/>
      <c r="BK9253"/>
    </row>
    <row r="9254" spans="1:63" s="93" customFormat="1" ht="9" customHeight="1" x14ac:dyDescent="0.3">
      <c r="A9254" s="91"/>
      <c r="B9254" s="70"/>
      <c r="C9254" s="70"/>
      <c r="D9254" s="70"/>
      <c r="E9254" s="70"/>
      <c r="F9254" s="70"/>
      <c r="G9254" s="94"/>
      <c r="H9254" s="131"/>
      <c r="I9254" s="3"/>
      <c r="J9254"/>
      <c r="K9254"/>
      <c r="L9254"/>
      <c r="M9254"/>
      <c r="N9254"/>
      <c r="O9254"/>
      <c r="P9254"/>
      <c r="Q9254"/>
      <c r="R9254"/>
      <c r="S9254"/>
      <c r="T9254"/>
      <c r="U9254"/>
      <c r="V9254"/>
      <c r="W9254"/>
      <c r="X9254"/>
      <c r="Y9254"/>
      <c r="Z9254"/>
      <c r="AA9254"/>
      <c r="AB9254"/>
      <c r="AC9254"/>
      <c r="AD9254"/>
      <c r="AE9254"/>
      <c r="AF9254"/>
      <c r="AG9254"/>
      <c r="AH9254"/>
      <c r="AI9254"/>
      <c r="AJ9254"/>
      <c r="AK9254"/>
      <c r="AL9254"/>
      <c r="AM9254"/>
      <c r="AN9254"/>
      <c r="AO9254"/>
      <c r="AP9254"/>
      <c r="AQ9254"/>
      <c r="AR9254"/>
      <c r="AS9254"/>
      <c r="AT9254"/>
      <c r="AU9254"/>
      <c r="AV9254"/>
      <c r="AW9254"/>
      <c r="AX9254"/>
      <c r="AY9254"/>
      <c r="AZ9254"/>
      <c r="BA9254"/>
      <c r="BB9254"/>
      <c r="BC9254"/>
      <c r="BD9254"/>
      <c r="BE9254"/>
      <c r="BF9254"/>
      <c r="BG9254"/>
      <c r="BH9254"/>
      <c r="BI9254"/>
      <c r="BJ9254"/>
      <c r="BK9254"/>
    </row>
    <row r="9255" spans="1:63" s="93" customFormat="1" ht="9" customHeight="1" x14ac:dyDescent="0.3">
      <c r="A9255" s="91"/>
      <c r="B9255" s="70"/>
      <c r="C9255" s="70"/>
      <c r="D9255" s="70"/>
      <c r="E9255" s="70"/>
      <c r="F9255" s="70"/>
      <c r="G9255" s="94"/>
      <c r="H9255" s="131"/>
      <c r="I9255" s="3"/>
      <c r="J9255"/>
      <c r="K9255"/>
      <c r="L9255"/>
      <c r="M9255"/>
      <c r="N9255"/>
      <c r="O9255"/>
      <c r="P9255"/>
      <c r="Q9255"/>
      <c r="R9255"/>
      <c r="S9255"/>
      <c r="T9255"/>
      <c r="U9255"/>
      <c r="V9255"/>
      <c r="W9255"/>
      <c r="X9255"/>
      <c r="Y9255"/>
      <c r="Z9255"/>
      <c r="AA9255"/>
      <c r="AB9255"/>
      <c r="AC9255"/>
      <c r="AD9255"/>
      <c r="AE9255"/>
      <c r="AF9255"/>
      <c r="AG9255"/>
      <c r="AH9255"/>
      <c r="AI9255"/>
      <c r="AJ9255"/>
      <c r="AK9255"/>
      <c r="AL9255"/>
      <c r="AM9255"/>
      <c r="AN9255"/>
      <c r="AO9255"/>
      <c r="AP9255"/>
      <c r="AQ9255"/>
      <c r="AR9255"/>
      <c r="AS9255"/>
      <c r="AT9255"/>
      <c r="AU9255"/>
      <c r="AV9255"/>
      <c r="AW9255"/>
      <c r="AX9255"/>
      <c r="AY9255"/>
      <c r="AZ9255"/>
      <c r="BA9255"/>
      <c r="BB9255"/>
      <c r="BC9255"/>
      <c r="BD9255"/>
      <c r="BE9255"/>
      <c r="BF9255"/>
      <c r="BG9255"/>
      <c r="BH9255"/>
      <c r="BI9255"/>
      <c r="BJ9255"/>
      <c r="BK9255"/>
    </row>
    <row r="9256" spans="1:63" s="93" customFormat="1" ht="9" customHeight="1" x14ac:dyDescent="0.3">
      <c r="A9256" s="91"/>
      <c r="B9256" s="70"/>
      <c r="C9256" s="70"/>
      <c r="D9256" s="70"/>
      <c r="E9256" s="70"/>
      <c r="F9256" s="70"/>
      <c r="G9256" s="94"/>
      <c r="H9256" s="131"/>
      <c r="I9256" s="3"/>
      <c r="J9256"/>
      <c r="K9256"/>
      <c r="L9256"/>
      <c r="M9256"/>
      <c r="N9256"/>
      <c r="O9256"/>
      <c r="P9256"/>
      <c r="Q9256"/>
      <c r="R9256"/>
      <c r="S9256"/>
      <c r="T9256"/>
      <c r="U9256"/>
      <c r="V9256"/>
      <c r="W9256"/>
      <c r="X9256"/>
      <c r="Y9256"/>
      <c r="Z9256"/>
      <c r="AA9256"/>
      <c r="AB9256"/>
      <c r="AC9256"/>
      <c r="AD9256"/>
      <c r="AE9256"/>
      <c r="AF9256"/>
      <c r="AG9256"/>
      <c r="AH9256"/>
      <c r="AI9256"/>
      <c r="AJ9256"/>
      <c r="AK9256"/>
      <c r="AL9256"/>
      <c r="AM9256"/>
      <c r="AN9256"/>
      <c r="AO9256"/>
      <c r="AP9256"/>
      <c r="AQ9256"/>
      <c r="AR9256"/>
      <c r="AS9256"/>
      <c r="AT9256"/>
      <c r="AU9256"/>
      <c r="AV9256"/>
      <c r="AW9256"/>
      <c r="AX9256"/>
      <c r="AY9256"/>
      <c r="AZ9256"/>
      <c r="BA9256"/>
      <c r="BB9256"/>
      <c r="BC9256"/>
      <c r="BD9256"/>
      <c r="BE9256"/>
      <c r="BF9256"/>
      <c r="BG9256"/>
      <c r="BH9256"/>
      <c r="BI9256"/>
      <c r="BJ9256"/>
      <c r="BK9256"/>
    </row>
    <row r="9257" spans="1:63" s="93" customFormat="1" ht="9" customHeight="1" x14ac:dyDescent="0.3">
      <c r="A9257" s="91"/>
      <c r="B9257" s="70"/>
      <c r="C9257" s="70"/>
      <c r="D9257" s="70"/>
      <c r="E9257" s="70"/>
      <c r="F9257" s="70"/>
      <c r="G9257" s="94"/>
      <c r="H9257" s="131"/>
      <c r="I9257" s="3"/>
      <c r="J9257"/>
      <c r="K9257"/>
      <c r="L9257"/>
      <c r="M9257"/>
      <c r="N9257"/>
      <c r="O9257"/>
      <c r="P9257"/>
      <c r="Q9257"/>
      <c r="R9257"/>
      <c r="S9257"/>
      <c r="T9257"/>
      <c r="U9257"/>
      <c r="V9257"/>
      <c r="W9257"/>
      <c r="X9257"/>
      <c r="Y9257"/>
      <c r="Z9257"/>
      <c r="AA9257"/>
      <c r="AB9257"/>
      <c r="AC9257"/>
      <c r="AD9257"/>
      <c r="AE9257"/>
      <c r="AF9257"/>
      <c r="AG9257"/>
      <c r="AH9257"/>
      <c r="AI9257"/>
      <c r="AJ9257"/>
      <c r="AK9257"/>
      <c r="AL9257"/>
      <c r="AM9257"/>
      <c r="AN9257"/>
      <c r="AO9257"/>
      <c r="AP9257"/>
      <c r="AQ9257"/>
      <c r="AR9257"/>
      <c r="AS9257"/>
      <c r="AT9257"/>
      <c r="AU9257"/>
      <c r="AV9257"/>
      <c r="AW9257"/>
      <c r="AX9257"/>
      <c r="AY9257"/>
      <c r="AZ9257"/>
      <c r="BA9257"/>
      <c r="BB9257"/>
      <c r="BC9257"/>
      <c r="BD9257"/>
      <c r="BE9257"/>
      <c r="BF9257"/>
      <c r="BG9257"/>
      <c r="BH9257"/>
      <c r="BI9257"/>
      <c r="BJ9257"/>
      <c r="BK9257"/>
    </row>
    <row r="9258" spans="1:63" s="93" customFormat="1" ht="9" customHeight="1" x14ac:dyDescent="0.3">
      <c r="A9258" s="91"/>
      <c r="B9258" s="70"/>
      <c r="C9258" s="70"/>
      <c r="D9258" s="70"/>
      <c r="E9258" s="70"/>
      <c r="F9258" s="70"/>
      <c r="G9258" s="94"/>
      <c r="H9258" s="131"/>
      <c r="I9258" s="3"/>
      <c r="J9258"/>
      <c r="K9258"/>
      <c r="L9258"/>
      <c r="M9258"/>
      <c r="N9258"/>
      <c r="O9258"/>
      <c r="P9258"/>
      <c r="Q9258"/>
      <c r="R9258"/>
      <c r="S9258"/>
      <c r="T9258"/>
      <c r="U9258"/>
      <c r="V9258"/>
      <c r="W9258"/>
      <c r="X9258"/>
      <c r="Y9258"/>
      <c r="Z9258"/>
      <c r="AA9258"/>
      <c r="AB9258"/>
      <c r="AC9258"/>
      <c r="AD9258"/>
      <c r="AE9258"/>
      <c r="AF9258"/>
      <c r="AG9258"/>
      <c r="AH9258"/>
      <c r="AI9258"/>
      <c r="AJ9258"/>
      <c r="AK9258"/>
      <c r="AL9258"/>
      <c r="AM9258"/>
      <c r="AN9258"/>
      <c r="AO9258"/>
      <c r="AP9258"/>
      <c r="AQ9258"/>
      <c r="AR9258"/>
      <c r="AS9258"/>
      <c r="AT9258"/>
      <c r="AU9258"/>
      <c r="AV9258"/>
      <c r="AW9258"/>
      <c r="AX9258"/>
      <c r="AY9258"/>
      <c r="AZ9258"/>
      <c r="BA9258"/>
      <c r="BB9258"/>
      <c r="BC9258"/>
      <c r="BD9258"/>
      <c r="BE9258"/>
      <c r="BF9258"/>
      <c r="BG9258"/>
      <c r="BH9258"/>
      <c r="BI9258"/>
      <c r="BJ9258"/>
      <c r="BK9258"/>
    </row>
    <row r="9259" spans="1:63" s="93" customFormat="1" ht="9" customHeight="1" x14ac:dyDescent="0.3">
      <c r="A9259" s="91"/>
      <c r="B9259" s="70"/>
      <c r="C9259" s="70"/>
      <c r="D9259" s="70"/>
      <c r="E9259" s="70"/>
      <c r="F9259" s="70"/>
      <c r="G9259" s="94"/>
      <c r="H9259" s="131"/>
      <c r="I9259" s="3"/>
      <c r="J9259"/>
      <c r="K9259"/>
      <c r="L9259"/>
      <c r="M9259"/>
      <c r="N9259"/>
      <c r="O9259"/>
      <c r="P9259"/>
      <c r="Q9259"/>
      <c r="R9259"/>
      <c r="S9259"/>
      <c r="T9259"/>
      <c r="U9259"/>
      <c r="V9259"/>
      <c r="W9259"/>
      <c r="X9259"/>
      <c r="Y9259"/>
      <c r="Z9259"/>
      <c r="AA9259"/>
      <c r="AB9259"/>
      <c r="AC9259"/>
      <c r="AD9259"/>
      <c r="AE9259"/>
      <c r="AF9259"/>
      <c r="AG9259"/>
      <c r="AH9259"/>
      <c r="AI9259"/>
      <c r="AJ9259"/>
      <c r="AK9259"/>
      <c r="AL9259"/>
      <c r="AM9259"/>
      <c r="AN9259"/>
      <c r="AO9259"/>
      <c r="AP9259"/>
      <c r="AQ9259"/>
      <c r="AR9259"/>
      <c r="AS9259"/>
      <c r="AT9259"/>
      <c r="AU9259"/>
      <c r="AV9259"/>
      <c r="AW9259"/>
      <c r="AX9259"/>
      <c r="AY9259"/>
      <c r="AZ9259"/>
      <c r="BA9259"/>
      <c r="BB9259"/>
      <c r="BC9259"/>
      <c r="BD9259"/>
      <c r="BE9259"/>
      <c r="BF9259"/>
      <c r="BG9259"/>
      <c r="BH9259"/>
      <c r="BI9259"/>
      <c r="BJ9259"/>
      <c r="BK9259"/>
    </row>
    <row r="9260" spans="1:63" s="93" customFormat="1" ht="9" customHeight="1" x14ac:dyDescent="0.3">
      <c r="A9260" s="91"/>
      <c r="B9260" s="70"/>
      <c r="C9260" s="70"/>
      <c r="D9260" s="70"/>
      <c r="E9260" s="70"/>
      <c r="F9260" s="70"/>
      <c r="G9260" s="94"/>
      <c r="H9260" s="131"/>
      <c r="I9260" s="3"/>
      <c r="J9260"/>
      <c r="K9260"/>
      <c r="L9260"/>
      <c r="M9260"/>
      <c r="N9260"/>
      <c r="O9260"/>
      <c r="P9260"/>
      <c r="Q9260"/>
      <c r="R9260"/>
      <c r="S9260"/>
      <c r="T9260"/>
      <c r="U9260"/>
      <c r="V9260"/>
      <c r="W9260"/>
      <c r="X9260"/>
      <c r="Y9260"/>
      <c r="Z9260"/>
      <c r="AA9260"/>
      <c r="AB9260"/>
      <c r="AC9260"/>
      <c r="AD9260"/>
      <c r="AE9260"/>
      <c r="AF9260"/>
      <c r="AG9260"/>
      <c r="AH9260"/>
      <c r="AI9260"/>
      <c r="AJ9260"/>
      <c r="AK9260"/>
      <c r="AL9260"/>
      <c r="AM9260"/>
      <c r="AN9260"/>
      <c r="AO9260"/>
      <c r="AP9260"/>
      <c r="AQ9260"/>
      <c r="AR9260"/>
      <c r="AS9260"/>
      <c r="AT9260"/>
      <c r="AU9260"/>
      <c r="AV9260"/>
      <c r="AW9260"/>
      <c r="AX9260"/>
      <c r="AY9260"/>
      <c r="AZ9260"/>
      <c r="BA9260"/>
      <c r="BB9260"/>
      <c r="BC9260"/>
      <c r="BD9260"/>
      <c r="BE9260"/>
      <c r="BF9260"/>
      <c r="BG9260"/>
      <c r="BH9260"/>
      <c r="BI9260"/>
      <c r="BJ9260"/>
      <c r="BK9260"/>
    </row>
    <row r="9261" spans="1:63" s="93" customFormat="1" ht="9" customHeight="1" x14ac:dyDescent="0.3">
      <c r="A9261" s="91"/>
      <c r="B9261" s="70"/>
      <c r="C9261" s="70"/>
      <c r="D9261" s="70"/>
      <c r="E9261" s="70"/>
      <c r="F9261" s="70"/>
      <c r="G9261" s="94"/>
      <c r="H9261" s="131"/>
      <c r="I9261" s="3"/>
      <c r="J9261"/>
      <c r="K9261"/>
      <c r="L9261"/>
      <c r="M9261"/>
      <c r="N9261"/>
      <c r="O9261"/>
      <c r="P9261"/>
      <c r="Q9261"/>
      <c r="R9261"/>
      <c r="S9261"/>
      <c r="T9261"/>
      <c r="U9261"/>
      <c r="V9261"/>
      <c r="W9261"/>
      <c r="X9261"/>
      <c r="Y9261"/>
      <c r="Z9261"/>
      <c r="AA9261"/>
      <c r="AB9261"/>
      <c r="AC9261"/>
      <c r="AD9261"/>
      <c r="AE9261"/>
      <c r="AF9261"/>
      <c r="AG9261"/>
      <c r="AH9261"/>
      <c r="AI9261"/>
      <c r="AJ9261"/>
      <c r="AK9261"/>
      <c r="AL9261"/>
      <c r="AM9261"/>
      <c r="AN9261"/>
      <c r="AO9261"/>
      <c r="AP9261"/>
      <c r="AQ9261"/>
      <c r="AR9261"/>
      <c r="AS9261"/>
      <c r="AT9261"/>
      <c r="AU9261"/>
      <c r="AV9261"/>
      <c r="AW9261"/>
      <c r="AX9261"/>
      <c r="AY9261"/>
      <c r="AZ9261"/>
      <c r="BA9261"/>
      <c r="BB9261"/>
      <c r="BC9261"/>
      <c r="BD9261"/>
      <c r="BE9261"/>
      <c r="BF9261"/>
      <c r="BG9261"/>
      <c r="BH9261"/>
      <c r="BI9261"/>
      <c r="BJ9261"/>
      <c r="BK9261"/>
    </row>
    <row r="9262" spans="1:63" s="93" customFormat="1" ht="9" customHeight="1" x14ac:dyDescent="0.3">
      <c r="A9262" s="91"/>
      <c r="B9262" s="70"/>
      <c r="C9262" s="70"/>
      <c r="D9262" s="70"/>
      <c r="E9262" s="70"/>
      <c r="F9262" s="70"/>
      <c r="G9262" s="94"/>
      <c r="H9262" s="131"/>
      <c r="I9262" s="3"/>
      <c r="J9262"/>
      <c r="K9262"/>
      <c r="L9262"/>
      <c r="M9262"/>
      <c r="N9262"/>
      <c r="O9262"/>
      <c r="P9262"/>
      <c r="Q9262"/>
      <c r="R9262"/>
      <c r="S9262"/>
      <c r="T9262"/>
      <c r="U9262"/>
      <c r="V9262"/>
      <c r="W9262"/>
      <c r="X9262"/>
      <c r="Y9262"/>
      <c r="Z9262"/>
      <c r="AA9262"/>
      <c r="AB9262"/>
      <c r="AC9262"/>
      <c r="AD9262"/>
      <c r="AE9262"/>
      <c r="AF9262"/>
      <c r="AG9262"/>
      <c r="AH9262"/>
      <c r="AI9262"/>
      <c r="AJ9262"/>
      <c r="AK9262"/>
      <c r="AL9262"/>
      <c r="AM9262"/>
      <c r="AN9262"/>
      <c r="AO9262"/>
      <c r="AP9262"/>
      <c r="AQ9262"/>
      <c r="AR9262"/>
      <c r="AS9262"/>
      <c r="AT9262"/>
      <c r="AU9262"/>
      <c r="AV9262"/>
      <c r="AW9262"/>
      <c r="AX9262"/>
      <c r="AY9262"/>
      <c r="AZ9262"/>
      <c r="BA9262"/>
      <c r="BB9262"/>
      <c r="BC9262"/>
      <c r="BD9262"/>
      <c r="BE9262"/>
      <c r="BF9262"/>
      <c r="BG9262"/>
      <c r="BH9262"/>
      <c r="BI9262"/>
      <c r="BJ9262"/>
      <c r="BK9262"/>
    </row>
    <row r="9263" spans="1:63" s="93" customFormat="1" ht="9" customHeight="1" x14ac:dyDescent="0.3">
      <c r="A9263" s="91"/>
      <c r="B9263" s="70"/>
      <c r="C9263" s="70"/>
      <c r="D9263" s="70"/>
      <c r="E9263" s="70"/>
      <c r="F9263" s="70"/>
      <c r="G9263" s="94"/>
      <c r="H9263" s="131"/>
      <c r="I9263" s="3"/>
      <c r="J9263"/>
      <c r="K9263"/>
      <c r="L9263"/>
      <c r="M9263"/>
      <c r="N9263"/>
      <c r="O9263"/>
      <c r="P9263"/>
      <c r="Q9263"/>
      <c r="R9263"/>
      <c r="S9263"/>
      <c r="T9263"/>
      <c r="U9263"/>
      <c r="V9263"/>
      <c r="W9263"/>
      <c r="X9263"/>
      <c r="Y9263"/>
      <c r="Z9263"/>
      <c r="AA9263"/>
      <c r="AB9263"/>
      <c r="AC9263"/>
      <c r="AD9263"/>
      <c r="AE9263"/>
      <c r="AF9263"/>
      <c r="AG9263"/>
      <c r="AH9263"/>
      <c r="AI9263"/>
      <c r="AJ9263"/>
      <c r="AK9263"/>
      <c r="AL9263"/>
      <c r="AM9263"/>
      <c r="AN9263"/>
      <c r="AO9263"/>
      <c r="AP9263"/>
      <c r="AQ9263"/>
      <c r="AR9263"/>
      <c r="AS9263"/>
      <c r="AT9263"/>
      <c r="AU9263"/>
      <c r="AV9263"/>
      <c r="AW9263"/>
      <c r="AX9263"/>
      <c r="AY9263"/>
      <c r="AZ9263"/>
      <c r="BA9263"/>
      <c r="BB9263"/>
      <c r="BC9263"/>
      <c r="BD9263"/>
      <c r="BE9263"/>
      <c r="BF9263"/>
      <c r="BG9263"/>
      <c r="BH9263"/>
      <c r="BI9263"/>
      <c r="BJ9263"/>
      <c r="BK9263"/>
    </row>
    <row r="9264" spans="1:63" s="93" customFormat="1" ht="9" customHeight="1" x14ac:dyDescent="0.3">
      <c r="A9264" s="91"/>
      <c r="B9264" s="70"/>
      <c r="C9264" s="70"/>
      <c r="D9264" s="70"/>
      <c r="E9264" s="70"/>
      <c r="F9264" s="70"/>
      <c r="G9264" s="94"/>
      <c r="H9264" s="131"/>
      <c r="I9264" s="3"/>
      <c r="J9264"/>
      <c r="K9264"/>
      <c r="L9264"/>
      <c r="M9264"/>
      <c r="N9264"/>
      <c r="O9264"/>
      <c r="P9264"/>
      <c r="Q9264"/>
      <c r="R9264"/>
      <c r="S9264"/>
      <c r="T9264"/>
      <c r="U9264"/>
      <c r="V9264"/>
      <c r="W9264"/>
      <c r="X9264"/>
      <c r="Y9264"/>
      <c r="Z9264"/>
      <c r="AA9264"/>
      <c r="AB9264"/>
      <c r="AC9264"/>
      <c r="AD9264"/>
      <c r="AE9264"/>
      <c r="AF9264"/>
      <c r="AG9264"/>
      <c r="AH9264"/>
      <c r="AI9264"/>
      <c r="AJ9264"/>
      <c r="AK9264"/>
      <c r="AL9264"/>
      <c r="AM9264"/>
      <c r="AN9264"/>
      <c r="AO9264"/>
      <c r="AP9264"/>
      <c r="AQ9264"/>
      <c r="AR9264"/>
      <c r="AS9264"/>
      <c r="AT9264"/>
      <c r="AU9264"/>
      <c r="AV9264"/>
      <c r="AW9264"/>
      <c r="AX9264"/>
      <c r="AY9264"/>
      <c r="AZ9264"/>
      <c r="BA9264"/>
      <c r="BB9264"/>
      <c r="BC9264"/>
      <c r="BD9264"/>
      <c r="BE9264"/>
      <c r="BF9264"/>
      <c r="BG9264"/>
      <c r="BH9264"/>
      <c r="BI9264"/>
      <c r="BJ9264"/>
      <c r="BK9264"/>
    </row>
    <row r="9265" spans="1:63" s="93" customFormat="1" ht="9" customHeight="1" x14ac:dyDescent="0.3">
      <c r="A9265" s="91"/>
      <c r="B9265" s="70"/>
      <c r="C9265" s="70"/>
      <c r="D9265" s="70"/>
      <c r="E9265" s="70"/>
      <c r="F9265" s="70"/>
      <c r="G9265" s="94"/>
      <c r="H9265" s="131"/>
      <c r="I9265" s="3"/>
      <c r="J9265"/>
      <c r="K9265"/>
      <c r="L9265"/>
      <c r="M9265"/>
      <c r="N9265"/>
      <c r="O9265"/>
      <c r="P9265"/>
      <c r="Q9265"/>
      <c r="R9265"/>
      <c r="S9265"/>
      <c r="T9265"/>
      <c r="U9265"/>
      <c r="V9265"/>
      <c r="W9265"/>
      <c r="X9265"/>
      <c r="Y9265"/>
      <c r="Z9265"/>
      <c r="AA9265"/>
      <c r="AB9265"/>
      <c r="AC9265"/>
      <c r="AD9265"/>
      <c r="AE9265"/>
      <c r="AF9265"/>
      <c r="AG9265"/>
      <c r="AH9265"/>
      <c r="AI9265"/>
      <c r="AJ9265"/>
      <c r="AK9265"/>
      <c r="AL9265"/>
      <c r="AM9265"/>
      <c r="AN9265"/>
      <c r="AO9265"/>
      <c r="AP9265"/>
      <c r="AQ9265"/>
      <c r="AR9265"/>
      <c r="AS9265"/>
      <c r="AT9265"/>
      <c r="AU9265"/>
      <c r="AV9265"/>
      <c r="AW9265"/>
      <c r="AX9265"/>
      <c r="AY9265"/>
      <c r="AZ9265"/>
      <c r="BA9265"/>
      <c r="BB9265"/>
      <c r="BC9265"/>
      <c r="BD9265"/>
      <c r="BE9265"/>
      <c r="BF9265"/>
      <c r="BG9265"/>
      <c r="BH9265"/>
      <c r="BI9265"/>
      <c r="BJ9265"/>
      <c r="BK9265"/>
    </row>
    <row r="9266" spans="1:63" s="93" customFormat="1" ht="9" customHeight="1" x14ac:dyDescent="0.3">
      <c r="A9266" s="91"/>
      <c r="B9266" s="70"/>
      <c r="C9266" s="70"/>
      <c r="D9266" s="70"/>
      <c r="E9266" s="70"/>
      <c r="F9266" s="70"/>
      <c r="G9266" s="94"/>
      <c r="H9266" s="131"/>
      <c r="I9266" s="3"/>
      <c r="J9266"/>
      <c r="K9266"/>
      <c r="L9266"/>
      <c r="M9266"/>
      <c r="N9266"/>
      <c r="O9266"/>
      <c r="P9266"/>
      <c r="Q9266"/>
      <c r="R9266"/>
      <c r="S9266"/>
      <c r="T9266"/>
      <c r="U9266"/>
      <c r="V9266"/>
      <c r="W9266"/>
      <c r="X9266"/>
      <c r="Y9266"/>
      <c r="Z9266"/>
      <c r="AA9266"/>
      <c r="AB9266"/>
      <c r="AC9266"/>
      <c r="AD9266"/>
      <c r="AE9266"/>
      <c r="AF9266"/>
      <c r="AG9266"/>
      <c r="AH9266"/>
      <c r="AI9266"/>
      <c r="AJ9266"/>
      <c r="AK9266"/>
      <c r="AL9266"/>
      <c r="AM9266"/>
      <c r="AN9266"/>
      <c r="AO9266"/>
      <c r="AP9266"/>
      <c r="AQ9266"/>
      <c r="AR9266"/>
      <c r="AS9266"/>
      <c r="AT9266"/>
      <c r="AU9266"/>
      <c r="AV9266"/>
      <c r="AW9266"/>
      <c r="AX9266"/>
      <c r="AY9266"/>
      <c r="AZ9266"/>
      <c r="BA9266"/>
      <c r="BB9266"/>
      <c r="BC9266"/>
      <c r="BD9266"/>
      <c r="BE9266"/>
      <c r="BF9266"/>
      <c r="BG9266"/>
      <c r="BH9266"/>
      <c r="BI9266"/>
      <c r="BJ9266"/>
      <c r="BK9266"/>
    </row>
    <row r="9267" spans="1:63" s="93" customFormat="1" ht="9" customHeight="1" x14ac:dyDescent="0.3">
      <c r="A9267" s="91"/>
      <c r="B9267" s="70"/>
      <c r="C9267" s="70"/>
      <c r="D9267" s="70"/>
      <c r="E9267" s="70"/>
      <c r="F9267" s="70"/>
      <c r="G9267" s="94"/>
      <c r="H9267" s="131"/>
      <c r="I9267" s="3"/>
      <c r="J9267"/>
      <c r="K9267"/>
      <c r="L9267"/>
      <c r="M9267"/>
      <c r="N9267"/>
      <c r="O9267"/>
      <c r="P9267"/>
      <c r="Q9267"/>
      <c r="R9267"/>
      <c r="S9267"/>
      <c r="T9267"/>
      <c r="U9267"/>
      <c r="V9267"/>
      <c r="W9267"/>
      <c r="X9267"/>
      <c r="Y9267"/>
      <c r="Z9267"/>
      <c r="AA9267"/>
      <c r="AB9267"/>
      <c r="AC9267"/>
      <c r="AD9267"/>
      <c r="AE9267"/>
      <c r="AF9267"/>
      <c r="AG9267"/>
      <c r="AH9267"/>
      <c r="AI9267"/>
      <c r="AJ9267"/>
      <c r="AK9267"/>
      <c r="AL9267"/>
      <c r="AM9267"/>
      <c r="AN9267"/>
      <c r="AO9267"/>
      <c r="AP9267"/>
      <c r="AQ9267"/>
      <c r="AR9267"/>
      <c r="AS9267"/>
      <c r="AT9267"/>
      <c r="AU9267"/>
      <c r="AV9267"/>
      <c r="AW9267"/>
      <c r="AX9267"/>
      <c r="AY9267"/>
      <c r="AZ9267"/>
      <c r="BA9267"/>
      <c r="BB9267"/>
      <c r="BC9267"/>
      <c r="BD9267"/>
      <c r="BE9267"/>
      <c r="BF9267"/>
      <c r="BG9267"/>
      <c r="BH9267"/>
      <c r="BI9267"/>
      <c r="BJ9267"/>
      <c r="BK9267"/>
    </row>
    <row r="9268" spans="1:63" s="93" customFormat="1" ht="9" customHeight="1" x14ac:dyDescent="0.3">
      <c r="A9268" s="91"/>
      <c r="B9268" s="70"/>
      <c r="C9268" s="70"/>
      <c r="D9268" s="70"/>
      <c r="E9268" s="70"/>
      <c r="F9268" s="70"/>
      <c r="G9268" s="94"/>
      <c r="H9268" s="131"/>
      <c r="I9268" s="3"/>
      <c r="J9268"/>
      <c r="K9268"/>
      <c r="L9268"/>
      <c r="M9268"/>
      <c r="N9268"/>
      <c r="O9268"/>
      <c r="P9268"/>
      <c r="Q9268"/>
      <c r="R9268"/>
      <c r="S9268"/>
      <c r="T9268"/>
      <c r="U9268"/>
      <c r="V9268"/>
      <c r="W9268"/>
      <c r="X9268"/>
      <c r="Y9268"/>
      <c r="Z9268"/>
      <c r="AA9268"/>
      <c r="AB9268"/>
      <c r="AC9268"/>
      <c r="AD9268"/>
      <c r="AE9268"/>
      <c r="AF9268"/>
      <c r="AG9268"/>
      <c r="AH9268"/>
      <c r="AI9268"/>
      <c r="AJ9268"/>
      <c r="AK9268"/>
      <c r="AL9268"/>
      <c r="AM9268"/>
      <c r="AN9268"/>
      <c r="AO9268"/>
      <c r="AP9268"/>
      <c r="AQ9268"/>
      <c r="AR9268"/>
      <c r="AS9268"/>
      <c r="AT9268"/>
      <c r="AU9268"/>
      <c r="AV9268"/>
      <c r="AW9268"/>
      <c r="AX9268"/>
      <c r="AY9268"/>
      <c r="AZ9268"/>
      <c r="BA9268"/>
      <c r="BB9268"/>
      <c r="BC9268"/>
      <c r="BD9268"/>
      <c r="BE9268"/>
      <c r="BF9268"/>
      <c r="BG9268"/>
      <c r="BH9268"/>
      <c r="BI9268"/>
      <c r="BJ9268"/>
      <c r="BK9268"/>
    </row>
    <row r="9269" spans="1:63" s="93" customFormat="1" ht="9" customHeight="1" x14ac:dyDescent="0.3">
      <c r="A9269" s="91"/>
      <c r="B9269" s="70"/>
      <c r="C9269" s="70"/>
      <c r="D9269" s="70"/>
      <c r="E9269" s="70"/>
      <c r="F9269" s="70"/>
      <c r="G9269" s="94"/>
      <c r="H9269" s="131"/>
      <c r="I9269" s="3"/>
      <c r="J9269"/>
      <c r="K9269"/>
      <c r="L9269"/>
      <c r="M9269"/>
      <c r="N9269"/>
      <c r="O9269"/>
      <c r="P9269"/>
      <c r="Q9269"/>
      <c r="R9269"/>
      <c r="S9269"/>
      <c r="T9269"/>
      <c r="U9269"/>
      <c r="V9269"/>
      <c r="W9269"/>
      <c r="X9269"/>
      <c r="Y9269"/>
      <c r="Z9269"/>
      <c r="AA9269"/>
      <c r="AB9269"/>
      <c r="AC9269"/>
      <c r="AD9269"/>
      <c r="AE9269"/>
      <c r="AF9269"/>
      <c r="AG9269"/>
      <c r="AH9269"/>
      <c r="AI9269"/>
      <c r="AJ9269"/>
      <c r="AK9269"/>
      <c r="AL9269"/>
      <c r="AM9269"/>
      <c r="AN9269"/>
      <c r="AO9269"/>
      <c r="AP9269"/>
      <c r="AQ9269"/>
      <c r="AR9269"/>
      <c r="AS9269"/>
      <c r="AT9269"/>
      <c r="AU9269"/>
      <c r="AV9269"/>
      <c r="AW9269"/>
      <c r="AX9269"/>
      <c r="AY9269"/>
      <c r="AZ9269"/>
      <c r="BA9269"/>
      <c r="BB9269"/>
      <c r="BC9269"/>
      <c r="BD9269"/>
      <c r="BE9269"/>
      <c r="BF9269"/>
      <c r="BG9269"/>
      <c r="BH9269"/>
      <c r="BI9269"/>
      <c r="BJ9269"/>
      <c r="BK9269"/>
    </row>
    <row r="9270" spans="1:63" s="93" customFormat="1" ht="9" customHeight="1" x14ac:dyDescent="0.3">
      <c r="A9270" s="91"/>
      <c r="B9270" s="70"/>
      <c r="C9270" s="70"/>
      <c r="D9270" s="70"/>
      <c r="E9270" s="70"/>
      <c r="F9270" s="70"/>
      <c r="G9270" s="94"/>
      <c r="H9270" s="131"/>
      <c r="I9270" s="3"/>
      <c r="J9270"/>
      <c r="K9270"/>
      <c r="L9270"/>
      <c r="M9270"/>
      <c r="N9270"/>
      <c r="O9270"/>
      <c r="P9270"/>
      <c r="Q9270"/>
      <c r="R9270"/>
      <c r="S9270"/>
      <c r="T9270"/>
      <c r="U9270"/>
      <c r="V9270"/>
      <c r="W9270"/>
      <c r="X9270"/>
      <c r="Y9270"/>
      <c r="Z9270"/>
      <c r="AA9270"/>
      <c r="AB9270"/>
      <c r="AC9270"/>
      <c r="AD9270"/>
      <c r="AE9270"/>
      <c r="AF9270"/>
      <c r="AG9270"/>
      <c r="AH9270"/>
      <c r="AI9270"/>
      <c r="AJ9270"/>
      <c r="AK9270"/>
      <c r="AL9270"/>
      <c r="AM9270"/>
      <c r="AN9270"/>
      <c r="AO9270"/>
      <c r="AP9270"/>
      <c r="AQ9270"/>
      <c r="AR9270"/>
      <c r="AS9270"/>
      <c r="AT9270"/>
      <c r="AU9270"/>
      <c r="AV9270"/>
      <c r="AW9270"/>
      <c r="AX9270"/>
      <c r="AY9270"/>
      <c r="AZ9270"/>
      <c r="BA9270"/>
      <c r="BB9270"/>
      <c r="BC9270"/>
      <c r="BD9270"/>
      <c r="BE9270"/>
      <c r="BF9270"/>
      <c r="BG9270"/>
      <c r="BH9270"/>
      <c r="BI9270"/>
      <c r="BJ9270"/>
      <c r="BK9270"/>
    </row>
    <row r="9271" spans="1:63" s="93" customFormat="1" ht="9" customHeight="1" x14ac:dyDescent="0.3">
      <c r="A9271" s="91"/>
      <c r="B9271" s="70"/>
      <c r="C9271" s="70"/>
      <c r="D9271" s="70"/>
      <c r="E9271" s="70"/>
      <c r="F9271" s="70"/>
      <c r="G9271" s="94"/>
      <c r="H9271" s="131"/>
      <c r="I9271" s="3"/>
      <c r="J9271"/>
      <c r="K9271"/>
      <c r="L9271"/>
      <c r="M9271"/>
      <c r="N9271"/>
      <c r="O9271"/>
      <c r="P9271"/>
      <c r="Q9271"/>
      <c r="R9271"/>
      <c r="S9271"/>
      <c r="T9271"/>
      <c r="U9271"/>
      <c r="V9271"/>
      <c r="W9271"/>
      <c r="X9271"/>
      <c r="Y9271"/>
      <c r="Z9271"/>
      <c r="AA9271"/>
      <c r="AB9271"/>
      <c r="AC9271"/>
      <c r="AD9271"/>
      <c r="AE9271"/>
      <c r="AF9271"/>
      <c r="AG9271"/>
      <c r="AH9271"/>
      <c r="AI9271"/>
      <c r="AJ9271"/>
      <c r="AK9271"/>
      <c r="AL9271"/>
      <c r="AM9271"/>
      <c r="AN9271"/>
      <c r="AO9271"/>
      <c r="AP9271"/>
      <c r="AQ9271"/>
      <c r="AR9271"/>
      <c r="AS9271"/>
      <c r="AT9271"/>
      <c r="AU9271"/>
      <c r="AV9271"/>
      <c r="AW9271"/>
      <c r="AX9271"/>
      <c r="AY9271"/>
      <c r="AZ9271"/>
      <c r="BA9271"/>
      <c r="BB9271"/>
      <c r="BC9271"/>
      <c r="BD9271"/>
      <c r="BE9271"/>
      <c r="BF9271"/>
      <c r="BG9271"/>
      <c r="BH9271"/>
      <c r="BI9271"/>
      <c r="BJ9271"/>
      <c r="BK9271"/>
    </row>
    <row r="9272" spans="1:63" s="93" customFormat="1" ht="9" customHeight="1" x14ac:dyDescent="0.3">
      <c r="A9272" s="91"/>
      <c r="B9272" s="70"/>
      <c r="C9272" s="70"/>
      <c r="D9272" s="70"/>
      <c r="E9272" s="70"/>
      <c r="F9272" s="70"/>
      <c r="G9272" s="94"/>
      <c r="H9272" s="131"/>
      <c r="I9272" s="3"/>
      <c r="J9272"/>
      <c r="K9272"/>
      <c r="L9272"/>
      <c r="M9272"/>
      <c r="N9272"/>
      <c r="O9272"/>
      <c r="P9272"/>
      <c r="Q9272"/>
      <c r="R9272"/>
      <c r="S9272"/>
      <c r="T9272"/>
      <c r="U9272"/>
      <c r="V9272"/>
      <c r="W9272"/>
      <c r="X9272"/>
      <c r="Y9272"/>
      <c r="Z9272"/>
      <c r="AA9272"/>
      <c r="AB9272"/>
      <c r="AC9272"/>
      <c r="AD9272"/>
      <c r="AE9272"/>
      <c r="AF9272"/>
      <c r="AG9272"/>
      <c r="AH9272"/>
      <c r="AI9272"/>
      <c r="AJ9272"/>
      <c r="AK9272"/>
      <c r="AL9272"/>
      <c r="AM9272"/>
      <c r="AN9272"/>
      <c r="AO9272"/>
      <c r="AP9272"/>
      <c r="AQ9272"/>
      <c r="AR9272"/>
      <c r="AS9272"/>
      <c r="AT9272"/>
      <c r="AU9272"/>
      <c r="AV9272"/>
      <c r="AW9272"/>
      <c r="AX9272"/>
      <c r="AY9272"/>
      <c r="AZ9272"/>
      <c r="BA9272"/>
      <c r="BB9272"/>
      <c r="BC9272"/>
      <c r="BD9272"/>
      <c r="BE9272"/>
      <c r="BF9272"/>
      <c r="BG9272"/>
      <c r="BH9272"/>
      <c r="BI9272"/>
      <c r="BJ9272"/>
      <c r="BK9272"/>
    </row>
    <row r="9273" spans="1:63" s="93" customFormat="1" ht="9" customHeight="1" x14ac:dyDescent="0.3">
      <c r="A9273" s="91"/>
      <c r="B9273" s="70"/>
      <c r="C9273" s="70"/>
      <c r="D9273" s="70"/>
      <c r="E9273" s="70"/>
      <c r="F9273" s="70"/>
      <c r="G9273" s="94"/>
      <c r="H9273" s="131"/>
      <c r="I9273" s="3"/>
      <c r="J9273"/>
      <c r="K9273"/>
      <c r="L9273"/>
      <c r="M9273"/>
      <c r="N9273"/>
      <c r="O9273"/>
      <c r="P9273"/>
      <c r="Q9273"/>
      <c r="R9273"/>
      <c r="S9273"/>
      <c r="T9273"/>
      <c r="U9273"/>
      <c r="V9273"/>
      <c r="W9273"/>
      <c r="X9273"/>
      <c r="Y9273"/>
      <c r="Z9273"/>
      <c r="AA9273"/>
      <c r="AB9273"/>
      <c r="AC9273"/>
      <c r="AD9273"/>
      <c r="AE9273"/>
      <c r="AF9273"/>
      <c r="AG9273"/>
      <c r="AH9273"/>
      <c r="AI9273"/>
      <c r="AJ9273"/>
      <c r="AK9273"/>
      <c r="AL9273"/>
      <c r="AM9273"/>
      <c r="AN9273"/>
      <c r="AO9273"/>
      <c r="AP9273"/>
      <c r="AQ9273"/>
      <c r="AR9273"/>
      <c r="AS9273"/>
      <c r="AT9273"/>
      <c r="AU9273"/>
      <c r="AV9273"/>
      <c r="AW9273"/>
      <c r="AX9273"/>
      <c r="AY9273"/>
      <c r="AZ9273"/>
      <c r="BA9273"/>
      <c r="BB9273"/>
      <c r="BC9273"/>
      <c r="BD9273"/>
      <c r="BE9273"/>
      <c r="BF9273"/>
      <c r="BG9273"/>
      <c r="BH9273"/>
      <c r="BI9273"/>
      <c r="BJ9273"/>
      <c r="BK9273"/>
    </row>
    <row r="9274" spans="1:63" s="93" customFormat="1" ht="9" customHeight="1" x14ac:dyDescent="0.3">
      <c r="A9274" s="91"/>
      <c r="B9274" s="70"/>
      <c r="C9274" s="70"/>
      <c r="D9274" s="70"/>
      <c r="E9274" s="70"/>
      <c r="F9274" s="70"/>
      <c r="G9274" s="94"/>
      <c r="H9274" s="131"/>
      <c r="I9274" s="3"/>
      <c r="J9274"/>
      <c r="K9274"/>
      <c r="L9274"/>
      <c r="M9274"/>
      <c r="N9274"/>
      <c r="O9274"/>
      <c r="P9274"/>
      <c r="Q9274"/>
      <c r="R9274"/>
      <c r="S9274"/>
      <c r="T9274"/>
      <c r="U9274"/>
      <c r="V9274"/>
      <c r="W9274"/>
      <c r="X9274"/>
      <c r="Y9274"/>
      <c r="Z9274"/>
      <c r="AA9274"/>
      <c r="AB9274"/>
      <c r="AC9274"/>
      <c r="AD9274"/>
      <c r="AE9274"/>
      <c r="AF9274"/>
      <c r="AG9274"/>
      <c r="AH9274"/>
      <c r="AI9274"/>
      <c r="AJ9274"/>
      <c r="AK9274"/>
      <c r="AL9274"/>
      <c r="AM9274"/>
      <c r="AN9274"/>
      <c r="AO9274"/>
      <c r="AP9274"/>
      <c r="AQ9274"/>
      <c r="AR9274"/>
      <c r="AS9274"/>
      <c r="AT9274"/>
      <c r="AU9274"/>
      <c r="AV9274"/>
      <c r="AW9274"/>
      <c r="AX9274"/>
      <c r="AY9274"/>
      <c r="AZ9274"/>
      <c r="BA9274"/>
      <c r="BB9274"/>
      <c r="BC9274"/>
      <c r="BD9274"/>
      <c r="BE9274"/>
      <c r="BF9274"/>
      <c r="BG9274"/>
      <c r="BH9274"/>
      <c r="BI9274"/>
      <c r="BJ9274"/>
      <c r="BK9274"/>
    </row>
    <row r="9275" spans="1:63" s="93" customFormat="1" ht="9" customHeight="1" x14ac:dyDescent="0.3">
      <c r="A9275" s="91"/>
      <c r="B9275" s="70"/>
      <c r="C9275" s="70"/>
      <c r="D9275" s="70"/>
      <c r="E9275" s="70"/>
      <c r="F9275" s="70"/>
      <c r="G9275" s="94"/>
      <c r="H9275" s="131"/>
      <c r="I9275" s="3"/>
      <c r="J9275"/>
      <c r="K9275"/>
      <c r="L9275"/>
      <c r="M9275"/>
      <c r="N9275"/>
      <c r="O9275"/>
      <c r="P9275"/>
      <c r="Q9275"/>
      <c r="R9275"/>
      <c r="S9275"/>
      <c r="T9275"/>
      <c r="U9275"/>
      <c r="V9275"/>
      <c r="W9275"/>
      <c r="X9275"/>
      <c r="Y9275"/>
      <c r="Z9275"/>
      <c r="AA9275"/>
      <c r="AB9275"/>
      <c r="AC9275"/>
      <c r="AD9275"/>
      <c r="AE9275"/>
      <c r="AF9275"/>
      <c r="AG9275"/>
      <c r="AH9275"/>
      <c r="AI9275"/>
      <c r="AJ9275"/>
      <c r="AK9275"/>
      <c r="AL9275"/>
      <c r="AM9275"/>
      <c r="AN9275"/>
      <c r="AO9275"/>
      <c r="AP9275"/>
      <c r="AQ9275"/>
      <c r="AR9275"/>
      <c r="AS9275"/>
      <c r="AT9275"/>
      <c r="AU9275"/>
      <c r="AV9275"/>
      <c r="AW9275"/>
      <c r="AX9275"/>
      <c r="AY9275"/>
      <c r="AZ9275"/>
      <c r="BA9275"/>
      <c r="BB9275"/>
      <c r="BC9275"/>
      <c r="BD9275"/>
      <c r="BE9275"/>
      <c r="BF9275"/>
      <c r="BG9275"/>
      <c r="BH9275"/>
      <c r="BI9275"/>
      <c r="BJ9275"/>
      <c r="BK9275"/>
    </row>
    <row r="9276" spans="1:63" s="93" customFormat="1" ht="9" customHeight="1" x14ac:dyDescent="0.3">
      <c r="A9276" s="91"/>
      <c r="B9276" s="70"/>
      <c r="C9276" s="70"/>
      <c r="D9276" s="70"/>
      <c r="E9276" s="70"/>
      <c r="F9276" s="70"/>
      <c r="G9276" s="94"/>
      <c r="H9276" s="131"/>
      <c r="I9276" s="3"/>
      <c r="J9276"/>
      <c r="K9276"/>
      <c r="L9276"/>
      <c r="M9276"/>
      <c r="N9276"/>
      <c r="O9276"/>
      <c r="P9276"/>
      <c r="Q9276"/>
      <c r="R9276"/>
      <c r="S9276"/>
      <c r="T9276"/>
      <c r="U9276"/>
      <c r="V9276"/>
      <c r="W9276"/>
      <c r="X9276"/>
      <c r="Y9276"/>
      <c r="Z9276"/>
      <c r="AA9276"/>
      <c r="AB9276"/>
      <c r="AC9276"/>
      <c r="AD9276"/>
      <c r="AE9276"/>
      <c r="AF9276"/>
      <c r="AG9276"/>
      <c r="AH9276"/>
      <c r="AI9276"/>
      <c r="AJ9276"/>
      <c r="AK9276"/>
      <c r="AL9276"/>
      <c r="AM9276"/>
      <c r="AN9276"/>
      <c r="AO9276"/>
      <c r="AP9276"/>
      <c r="AQ9276"/>
      <c r="AR9276"/>
      <c r="AS9276"/>
      <c r="AT9276"/>
      <c r="AU9276"/>
      <c r="AV9276"/>
      <c r="AW9276"/>
      <c r="AX9276"/>
      <c r="AY9276"/>
      <c r="AZ9276"/>
      <c r="BA9276"/>
      <c r="BB9276"/>
      <c r="BC9276"/>
      <c r="BD9276"/>
      <c r="BE9276"/>
      <c r="BF9276"/>
      <c r="BG9276"/>
      <c r="BH9276"/>
      <c r="BI9276"/>
      <c r="BJ9276"/>
      <c r="BK9276"/>
    </row>
    <row r="9277" spans="1:63" s="93" customFormat="1" ht="9" customHeight="1" x14ac:dyDescent="0.3">
      <c r="A9277" s="91"/>
      <c r="B9277" s="70"/>
      <c r="C9277" s="70"/>
      <c r="D9277" s="70"/>
      <c r="E9277" s="70"/>
      <c r="F9277" s="70"/>
      <c r="G9277" s="94"/>
      <c r="H9277" s="131"/>
      <c r="I9277" s="3"/>
      <c r="J9277"/>
      <c r="K9277"/>
      <c r="L9277"/>
      <c r="M9277"/>
      <c r="N9277"/>
      <c r="O9277"/>
      <c r="P9277"/>
      <c r="Q9277"/>
      <c r="R9277"/>
      <c r="S9277"/>
      <c r="T9277"/>
      <c r="U9277"/>
      <c r="V9277"/>
      <c r="W9277"/>
      <c r="X9277"/>
      <c r="Y9277"/>
      <c r="Z9277"/>
      <c r="AA9277"/>
      <c r="AB9277"/>
      <c r="AC9277"/>
      <c r="AD9277"/>
      <c r="AE9277"/>
      <c r="AF9277"/>
      <c r="AG9277"/>
      <c r="AH9277"/>
      <c r="AI9277"/>
      <c r="AJ9277"/>
      <c r="AK9277"/>
      <c r="AL9277"/>
      <c r="AM9277"/>
      <c r="AN9277"/>
      <c r="AO9277"/>
      <c r="AP9277"/>
      <c r="AQ9277"/>
      <c r="AR9277"/>
      <c r="AS9277"/>
      <c r="AT9277"/>
      <c r="AU9277"/>
      <c r="AV9277"/>
      <c r="AW9277"/>
      <c r="AX9277"/>
      <c r="AY9277"/>
      <c r="AZ9277"/>
      <c r="BA9277"/>
      <c r="BB9277"/>
      <c r="BC9277"/>
      <c r="BD9277"/>
      <c r="BE9277"/>
      <c r="BF9277"/>
      <c r="BG9277"/>
      <c r="BH9277"/>
      <c r="BI9277"/>
      <c r="BJ9277"/>
      <c r="BK9277"/>
    </row>
    <row r="9278" spans="1:63" s="93" customFormat="1" ht="9" customHeight="1" x14ac:dyDescent="0.3">
      <c r="A9278" s="91"/>
      <c r="B9278" s="70"/>
      <c r="C9278" s="70"/>
      <c r="D9278" s="70"/>
      <c r="E9278" s="70"/>
      <c r="F9278" s="70"/>
      <c r="G9278" s="94"/>
      <c r="H9278" s="131"/>
      <c r="I9278" s="3"/>
      <c r="J9278"/>
      <c r="K9278"/>
      <c r="L9278"/>
      <c r="M9278"/>
      <c r="N9278"/>
      <c r="O9278"/>
      <c r="P9278"/>
      <c r="Q9278"/>
      <c r="R9278"/>
      <c r="S9278"/>
      <c r="T9278"/>
      <c r="U9278"/>
      <c r="V9278"/>
      <c r="W9278"/>
      <c r="X9278"/>
      <c r="Y9278"/>
      <c r="Z9278"/>
      <c r="AA9278"/>
      <c r="AB9278"/>
      <c r="AC9278"/>
      <c r="AD9278"/>
      <c r="AE9278"/>
      <c r="AF9278"/>
      <c r="AG9278"/>
      <c r="AH9278"/>
      <c r="AI9278"/>
      <c r="AJ9278"/>
      <c r="AK9278"/>
      <c r="AL9278"/>
      <c r="AM9278"/>
      <c r="AN9278"/>
      <c r="AO9278"/>
      <c r="AP9278"/>
      <c r="AQ9278"/>
      <c r="AR9278"/>
      <c r="AS9278"/>
      <c r="AT9278"/>
      <c r="AU9278"/>
      <c r="AV9278"/>
      <c r="AW9278"/>
      <c r="AX9278"/>
      <c r="AY9278"/>
      <c r="AZ9278"/>
      <c r="BA9278"/>
      <c r="BB9278"/>
      <c r="BC9278"/>
      <c r="BD9278"/>
      <c r="BE9278"/>
      <c r="BF9278"/>
      <c r="BG9278"/>
      <c r="BH9278"/>
      <c r="BI9278"/>
      <c r="BJ9278"/>
      <c r="BK9278"/>
    </row>
    <row r="9279" spans="1:63" s="93" customFormat="1" ht="9" customHeight="1" x14ac:dyDescent="0.3">
      <c r="A9279" s="91"/>
      <c r="B9279" s="70"/>
      <c r="C9279" s="70"/>
      <c r="D9279" s="70"/>
      <c r="E9279" s="70"/>
      <c r="F9279" s="70"/>
      <c r="G9279" s="94"/>
      <c r="H9279" s="131"/>
      <c r="I9279" s="3"/>
      <c r="J9279"/>
      <c r="K9279"/>
      <c r="L9279"/>
      <c r="M9279"/>
      <c r="N9279"/>
      <c r="O9279"/>
      <c r="P9279"/>
      <c r="Q9279"/>
      <c r="R9279"/>
      <c r="S9279"/>
      <c r="T9279"/>
      <c r="U9279"/>
      <c r="V9279"/>
      <c r="W9279"/>
      <c r="X9279"/>
      <c r="Y9279"/>
      <c r="Z9279"/>
      <c r="AA9279"/>
      <c r="AB9279"/>
      <c r="AC9279"/>
      <c r="AD9279"/>
      <c r="AE9279"/>
      <c r="AF9279"/>
      <c r="AG9279"/>
      <c r="AH9279"/>
      <c r="AI9279"/>
      <c r="AJ9279"/>
      <c r="AK9279"/>
      <c r="AL9279"/>
      <c r="AM9279"/>
      <c r="AN9279"/>
      <c r="AO9279"/>
      <c r="AP9279"/>
      <c r="AQ9279"/>
      <c r="AR9279"/>
      <c r="AS9279"/>
      <c r="AT9279"/>
      <c r="AU9279"/>
      <c r="AV9279"/>
      <c r="AW9279"/>
      <c r="AX9279"/>
      <c r="AY9279"/>
      <c r="AZ9279"/>
      <c r="BA9279"/>
      <c r="BB9279"/>
      <c r="BC9279"/>
      <c r="BD9279"/>
      <c r="BE9279"/>
      <c r="BF9279"/>
      <c r="BG9279"/>
      <c r="BH9279"/>
      <c r="BI9279"/>
      <c r="BJ9279"/>
      <c r="BK9279"/>
    </row>
    <row r="9280" spans="1:63" s="93" customFormat="1" ht="9" customHeight="1" x14ac:dyDescent="0.3">
      <c r="A9280" s="91"/>
      <c r="B9280" s="70"/>
      <c r="C9280" s="70"/>
      <c r="D9280" s="70"/>
      <c r="E9280" s="70"/>
      <c r="F9280" s="70"/>
      <c r="G9280" s="94"/>
      <c r="H9280" s="131"/>
      <c r="I9280" s="3"/>
      <c r="J9280"/>
      <c r="K9280"/>
      <c r="L9280"/>
      <c r="M9280"/>
      <c r="N9280"/>
      <c r="O9280"/>
      <c r="P9280"/>
      <c r="Q9280"/>
      <c r="R9280"/>
      <c r="S9280"/>
      <c r="T9280"/>
      <c r="U9280"/>
      <c r="V9280"/>
      <c r="W9280"/>
      <c r="X9280"/>
      <c r="Y9280"/>
      <c r="Z9280"/>
      <c r="AA9280"/>
      <c r="AB9280"/>
      <c r="AC9280"/>
      <c r="AD9280"/>
      <c r="AE9280"/>
      <c r="AF9280"/>
      <c r="AG9280"/>
      <c r="AH9280"/>
      <c r="AI9280"/>
      <c r="AJ9280"/>
      <c r="AK9280"/>
      <c r="AL9280"/>
      <c r="AM9280"/>
      <c r="AN9280"/>
      <c r="AO9280"/>
      <c r="AP9280"/>
      <c r="AQ9280"/>
      <c r="AR9280"/>
      <c r="AS9280"/>
      <c r="AT9280"/>
      <c r="AU9280"/>
      <c r="AV9280"/>
      <c r="AW9280"/>
      <c r="AX9280"/>
      <c r="AY9280"/>
      <c r="AZ9280"/>
      <c r="BA9280"/>
      <c r="BB9280"/>
      <c r="BC9280"/>
      <c r="BD9280"/>
      <c r="BE9280"/>
      <c r="BF9280"/>
      <c r="BG9280"/>
      <c r="BH9280"/>
      <c r="BI9280"/>
      <c r="BJ9280"/>
      <c r="BK9280"/>
    </row>
    <row r="9281" spans="1:63" s="93" customFormat="1" ht="9" customHeight="1" x14ac:dyDescent="0.3">
      <c r="A9281" s="91"/>
      <c r="B9281" s="70"/>
      <c r="C9281" s="70"/>
      <c r="D9281" s="70"/>
      <c r="E9281" s="70"/>
      <c r="F9281" s="70"/>
      <c r="G9281" s="94"/>
      <c r="H9281" s="131"/>
      <c r="I9281" s="3"/>
      <c r="J9281"/>
      <c r="K9281"/>
      <c r="L9281"/>
      <c r="M9281"/>
      <c r="N9281"/>
      <c r="O9281"/>
      <c r="P9281"/>
      <c r="Q9281"/>
      <c r="R9281"/>
      <c r="S9281"/>
      <c r="T9281"/>
      <c r="U9281"/>
      <c r="V9281"/>
      <c r="W9281"/>
      <c r="X9281"/>
      <c r="Y9281"/>
      <c r="Z9281"/>
      <c r="AA9281"/>
      <c r="AB9281"/>
      <c r="AC9281"/>
      <c r="AD9281"/>
      <c r="AE9281"/>
      <c r="AF9281"/>
      <c r="AG9281"/>
      <c r="AH9281"/>
      <c r="AI9281"/>
      <c r="AJ9281"/>
      <c r="AK9281"/>
      <c r="AL9281"/>
      <c r="AM9281"/>
      <c r="AN9281"/>
      <c r="AO9281"/>
      <c r="AP9281"/>
      <c r="AQ9281"/>
      <c r="AR9281"/>
      <c r="AS9281"/>
      <c r="AT9281"/>
      <c r="AU9281"/>
      <c r="AV9281"/>
      <c r="AW9281"/>
      <c r="AX9281"/>
      <c r="AY9281"/>
      <c r="AZ9281"/>
      <c r="BA9281"/>
      <c r="BB9281"/>
      <c r="BC9281"/>
      <c r="BD9281"/>
      <c r="BE9281"/>
      <c r="BF9281"/>
      <c r="BG9281"/>
      <c r="BH9281"/>
      <c r="BI9281"/>
      <c r="BJ9281"/>
      <c r="BK9281"/>
    </row>
    <row r="9282" spans="1:63" s="93" customFormat="1" ht="9" customHeight="1" x14ac:dyDescent="0.3">
      <c r="A9282" s="91"/>
      <c r="B9282" s="70"/>
      <c r="C9282" s="70"/>
      <c r="D9282" s="70"/>
      <c r="E9282" s="70"/>
      <c r="F9282" s="70"/>
      <c r="G9282" s="94"/>
      <c r="H9282" s="131"/>
      <c r="I9282" s="3"/>
      <c r="J9282"/>
      <c r="K9282"/>
      <c r="L9282"/>
      <c r="M9282"/>
      <c r="N9282"/>
      <c r="O9282"/>
      <c r="P9282"/>
      <c r="Q9282"/>
      <c r="R9282"/>
      <c r="S9282"/>
      <c r="T9282"/>
      <c r="U9282"/>
      <c r="V9282"/>
      <c r="W9282"/>
      <c r="X9282"/>
      <c r="Y9282"/>
      <c r="Z9282"/>
      <c r="AA9282"/>
      <c r="AB9282"/>
      <c r="AC9282"/>
      <c r="AD9282"/>
      <c r="AE9282"/>
      <c r="AF9282"/>
      <c r="AG9282"/>
      <c r="AH9282"/>
      <c r="AI9282"/>
      <c r="AJ9282"/>
      <c r="AK9282"/>
      <c r="AL9282"/>
      <c r="AM9282"/>
      <c r="AN9282"/>
      <c r="AO9282"/>
      <c r="AP9282"/>
      <c r="AQ9282"/>
      <c r="AR9282"/>
      <c r="AS9282"/>
      <c r="AT9282"/>
      <c r="AU9282"/>
      <c r="AV9282"/>
      <c r="AW9282"/>
      <c r="AX9282"/>
      <c r="AY9282"/>
      <c r="AZ9282"/>
      <c r="BA9282"/>
      <c r="BB9282"/>
      <c r="BC9282"/>
      <c r="BD9282"/>
      <c r="BE9282"/>
      <c r="BF9282"/>
      <c r="BG9282"/>
      <c r="BH9282"/>
      <c r="BI9282"/>
      <c r="BJ9282"/>
      <c r="BK9282"/>
    </row>
    <row r="9283" spans="1:63" s="93" customFormat="1" ht="9" customHeight="1" x14ac:dyDescent="0.3">
      <c r="A9283" s="91"/>
      <c r="B9283" s="70"/>
      <c r="C9283" s="70"/>
      <c r="D9283" s="70"/>
      <c r="E9283" s="70"/>
      <c r="F9283" s="70"/>
      <c r="G9283" s="94"/>
      <c r="H9283" s="131"/>
      <c r="I9283" s="3"/>
      <c r="J9283"/>
      <c r="K9283"/>
      <c r="L9283"/>
      <c r="M9283"/>
      <c r="N9283"/>
      <c r="O9283"/>
      <c r="P9283"/>
      <c r="Q9283"/>
      <c r="R9283"/>
      <c r="S9283"/>
      <c r="T9283"/>
      <c r="U9283"/>
      <c r="V9283"/>
      <c r="W9283"/>
      <c r="X9283"/>
      <c r="Y9283"/>
      <c r="Z9283"/>
      <c r="AA9283"/>
      <c r="AB9283"/>
      <c r="AC9283"/>
      <c r="AD9283"/>
      <c r="AE9283"/>
      <c r="AF9283"/>
      <c r="AG9283"/>
      <c r="AH9283"/>
      <c r="AI9283"/>
      <c r="AJ9283"/>
      <c r="AK9283"/>
      <c r="AL9283"/>
      <c r="AM9283"/>
      <c r="AN9283"/>
      <c r="AO9283"/>
      <c r="AP9283"/>
      <c r="AQ9283"/>
      <c r="AR9283"/>
      <c r="AS9283"/>
      <c r="AT9283"/>
      <c r="AU9283"/>
      <c r="AV9283"/>
      <c r="AW9283"/>
      <c r="AX9283"/>
      <c r="AY9283"/>
      <c r="AZ9283"/>
      <c r="BA9283"/>
      <c r="BB9283"/>
      <c r="BC9283"/>
      <c r="BD9283"/>
      <c r="BE9283"/>
      <c r="BF9283"/>
      <c r="BG9283"/>
      <c r="BH9283"/>
      <c r="BI9283"/>
      <c r="BJ9283"/>
      <c r="BK9283"/>
    </row>
    <row r="9284" spans="1:63" s="93" customFormat="1" ht="9" customHeight="1" x14ac:dyDescent="0.3">
      <c r="A9284" s="91"/>
      <c r="B9284" s="70"/>
      <c r="C9284" s="70"/>
      <c r="D9284" s="70"/>
      <c r="E9284" s="70"/>
      <c r="F9284" s="70"/>
      <c r="G9284" s="94"/>
      <c r="H9284" s="131"/>
      <c r="I9284" s="3"/>
      <c r="J9284"/>
      <c r="K9284"/>
      <c r="L9284"/>
      <c r="M9284"/>
      <c r="N9284"/>
      <c r="O9284"/>
      <c r="P9284"/>
      <c r="Q9284"/>
      <c r="R9284"/>
      <c r="S9284"/>
      <c r="T9284"/>
      <c r="U9284"/>
      <c r="V9284"/>
      <c r="W9284"/>
      <c r="X9284"/>
      <c r="Y9284"/>
      <c r="Z9284"/>
      <c r="AA9284"/>
      <c r="AB9284"/>
      <c r="AC9284"/>
      <c r="AD9284"/>
      <c r="AE9284"/>
      <c r="AF9284"/>
      <c r="AG9284"/>
      <c r="AH9284"/>
      <c r="AI9284"/>
      <c r="AJ9284"/>
      <c r="AK9284"/>
      <c r="AL9284"/>
      <c r="AM9284"/>
      <c r="AN9284"/>
      <c r="AO9284"/>
      <c r="AP9284"/>
      <c r="AQ9284"/>
      <c r="AR9284"/>
      <c r="AS9284"/>
      <c r="AT9284"/>
      <c r="AU9284"/>
      <c r="AV9284"/>
      <c r="AW9284"/>
      <c r="AX9284"/>
      <c r="AY9284"/>
      <c r="AZ9284"/>
      <c r="BA9284"/>
      <c r="BB9284"/>
      <c r="BC9284"/>
      <c r="BD9284"/>
      <c r="BE9284"/>
      <c r="BF9284"/>
      <c r="BG9284"/>
      <c r="BH9284"/>
      <c r="BI9284"/>
      <c r="BJ9284"/>
      <c r="BK9284"/>
    </row>
    <row r="9285" spans="1:63" s="93" customFormat="1" ht="9" customHeight="1" x14ac:dyDescent="0.3">
      <c r="A9285" s="91"/>
      <c r="B9285" s="70"/>
      <c r="C9285" s="70"/>
      <c r="D9285" s="70"/>
      <c r="E9285" s="70"/>
      <c r="F9285" s="70"/>
      <c r="G9285" s="94"/>
      <c r="H9285" s="131"/>
      <c r="I9285" s="3"/>
      <c r="J9285"/>
      <c r="K9285"/>
      <c r="L9285"/>
      <c r="M9285"/>
      <c r="N9285"/>
      <c r="O9285"/>
      <c r="P9285"/>
      <c r="Q9285"/>
      <c r="R9285"/>
      <c r="S9285"/>
      <c r="T9285"/>
      <c r="U9285"/>
      <c r="V9285"/>
      <c r="W9285"/>
      <c r="X9285"/>
      <c r="Y9285"/>
      <c r="Z9285"/>
      <c r="AA9285"/>
      <c r="AB9285"/>
      <c r="AC9285"/>
      <c r="AD9285"/>
      <c r="AE9285"/>
      <c r="AF9285"/>
      <c r="AG9285"/>
      <c r="AH9285"/>
      <c r="AI9285"/>
      <c r="AJ9285"/>
      <c r="AK9285"/>
      <c r="AL9285"/>
      <c r="AM9285"/>
      <c r="AN9285"/>
      <c r="AO9285"/>
      <c r="AP9285"/>
      <c r="AQ9285"/>
      <c r="AR9285"/>
      <c r="AS9285"/>
      <c r="AT9285"/>
      <c r="AU9285"/>
      <c r="AV9285"/>
      <c r="AW9285"/>
      <c r="AX9285"/>
      <c r="AY9285"/>
      <c r="AZ9285"/>
      <c r="BA9285"/>
      <c r="BB9285"/>
      <c r="BC9285"/>
      <c r="BD9285"/>
      <c r="BE9285"/>
      <c r="BF9285"/>
      <c r="BG9285"/>
      <c r="BH9285"/>
      <c r="BI9285"/>
      <c r="BJ9285"/>
      <c r="BK9285"/>
    </row>
    <row r="9286" spans="1:63" s="93" customFormat="1" ht="9" customHeight="1" x14ac:dyDescent="0.3">
      <c r="A9286" s="91"/>
      <c r="B9286" s="70"/>
      <c r="C9286" s="70"/>
      <c r="D9286" s="70"/>
      <c r="E9286" s="70"/>
      <c r="F9286" s="70"/>
      <c r="G9286" s="94"/>
      <c r="H9286" s="131"/>
      <c r="I9286" s="3"/>
      <c r="J9286"/>
      <c r="K9286"/>
      <c r="L9286"/>
      <c r="M9286"/>
      <c r="N9286"/>
      <c r="O9286"/>
      <c r="P9286"/>
      <c r="Q9286"/>
      <c r="R9286"/>
      <c r="S9286"/>
      <c r="T9286"/>
      <c r="U9286"/>
      <c r="V9286"/>
      <c r="W9286"/>
      <c r="X9286"/>
      <c r="Y9286"/>
      <c r="Z9286"/>
      <c r="AA9286"/>
      <c r="AB9286"/>
      <c r="AC9286"/>
      <c r="AD9286"/>
      <c r="AE9286"/>
      <c r="AF9286"/>
      <c r="AG9286"/>
      <c r="AH9286"/>
      <c r="AI9286"/>
      <c r="AJ9286"/>
      <c r="AK9286"/>
      <c r="AL9286"/>
      <c r="AM9286"/>
      <c r="AN9286"/>
      <c r="AO9286"/>
      <c r="AP9286"/>
      <c r="AQ9286"/>
      <c r="AR9286"/>
      <c r="AS9286"/>
      <c r="AT9286"/>
      <c r="AU9286"/>
      <c r="AV9286"/>
      <c r="AW9286"/>
      <c r="AX9286"/>
      <c r="AY9286"/>
      <c r="AZ9286"/>
      <c r="BA9286"/>
      <c r="BB9286"/>
      <c r="BC9286"/>
      <c r="BD9286"/>
      <c r="BE9286"/>
      <c r="BF9286"/>
      <c r="BG9286"/>
      <c r="BH9286"/>
      <c r="BI9286"/>
      <c r="BJ9286"/>
      <c r="BK9286"/>
    </row>
    <row r="9287" spans="1:63" s="93" customFormat="1" ht="9" customHeight="1" x14ac:dyDescent="0.3">
      <c r="A9287" s="91"/>
      <c r="B9287" s="70"/>
      <c r="C9287" s="70"/>
      <c r="D9287" s="70"/>
      <c r="E9287" s="70"/>
      <c r="F9287" s="70"/>
      <c r="G9287" s="94"/>
      <c r="H9287" s="131"/>
      <c r="I9287" s="3"/>
      <c r="J9287"/>
      <c r="K9287"/>
      <c r="L9287"/>
      <c r="M9287"/>
      <c r="N9287"/>
      <c r="O9287"/>
      <c r="P9287"/>
      <c r="Q9287"/>
      <c r="R9287"/>
      <c r="S9287"/>
      <c r="T9287"/>
      <c r="U9287"/>
      <c r="V9287"/>
      <c r="W9287"/>
      <c r="X9287"/>
      <c r="Y9287"/>
      <c r="Z9287"/>
      <c r="AA9287"/>
      <c r="AB9287"/>
      <c r="AC9287"/>
      <c r="AD9287"/>
      <c r="AE9287"/>
      <c r="AF9287"/>
      <c r="AG9287"/>
      <c r="AH9287"/>
      <c r="AI9287"/>
      <c r="AJ9287"/>
      <c r="AK9287"/>
      <c r="AL9287"/>
      <c r="AM9287"/>
      <c r="AN9287"/>
      <c r="AO9287"/>
      <c r="AP9287"/>
      <c r="AQ9287"/>
      <c r="AR9287"/>
      <c r="AS9287"/>
      <c r="AT9287"/>
      <c r="AU9287"/>
      <c r="AV9287"/>
      <c r="AW9287"/>
      <c r="AX9287"/>
      <c r="AY9287"/>
      <c r="AZ9287"/>
      <c r="BA9287"/>
      <c r="BB9287"/>
      <c r="BC9287"/>
      <c r="BD9287"/>
      <c r="BE9287"/>
      <c r="BF9287"/>
      <c r="BG9287"/>
      <c r="BH9287"/>
      <c r="BI9287"/>
      <c r="BJ9287"/>
      <c r="BK9287"/>
    </row>
    <row r="9288" spans="1:63" s="93" customFormat="1" ht="9" customHeight="1" x14ac:dyDescent="0.3">
      <c r="A9288" s="91"/>
      <c r="B9288" s="70"/>
      <c r="C9288" s="70"/>
      <c r="D9288" s="70"/>
      <c r="E9288" s="70"/>
      <c r="F9288" s="70"/>
      <c r="G9288" s="94"/>
      <c r="H9288" s="131"/>
      <c r="I9288" s="3"/>
      <c r="J9288"/>
      <c r="K9288"/>
      <c r="L9288"/>
      <c r="M9288"/>
      <c r="N9288"/>
      <c r="O9288"/>
      <c r="P9288"/>
      <c r="Q9288"/>
      <c r="R9288"/>
      <c r="S9288"/>
      <c r="T9288"/>
      <c r="U9288"/>
      <c r="V9288"/>
      <c r="W9288"/>
      <c r="X9288"/>
      <c r="Y9288"/>
      <c r="Z9288"/>
      <c r="AA9288"/>
      <c r="AB9288"/>
      <c r="AC9288"/>
      <c r="AD9288"/>
      <c r="AE9288"/>
      <c r="AF9288"/>
      <c r="AG9288"/>
      <c r="AH9288"/>
      <c r="AI9288"/>
      <c r="AJ9288"/>
      <c r="AK9288"/>
      <c r="AL9288"/>
      <c r="AM9288"/>
      <c r="AN9288"/>
      <c r="AO9288"/>
      <c r="AP9288"/>
      <c r="AQ9288"/>
      <c r="AR9288"/>
      <c r="AS9288"/>
      <c r="AT9288"/>
      <c r="AU9288"/>
      <c r="AV9288"/>
      <c r="AW9288"/>
      <c r="AX9288"/>
      <c r="AY9288"/>
      <c r="AZ9288"/>
      <c r="BA9288"/>
      <c r="BB9288"/>
      <c r="BC9288"/>
      <c r="BD9288"/>
      <c r="BE9288"/>
      <c r="BF9288"/>
      <c r="BG9288"/>
      <c r="BH9288"/>
      <c r="BI9288"/>
      <c r="BJ9288"/>
      <c r="BK9288"/>
    </row>
    <row r="9289" spans="1:63" s="93" customFormat="1" ht="9" customHeight="1" x14ac:dyDescent="0.3">
      <c r="A9289" s="91"/>
      <c r="B9289" s="70"/>
      <c r="C9289" s="70"/>
      <c r="D9289" s="70"/>
      <c r="E9289" s="70"/>
      <c r="F9289" s="70"/>
      <c r="G9289" s="94"/>
      <c r="H9289" s="131"/>
      <c r="I9289" s="3"/>
      <c r="J9289"/>
      <c r="K9289"/>
      <c r="L9289"/>
      <c r="M9289"/>
      <c r="N9289"/>
      <c r="O9289"/>
      <c r="P9289"/>
      <c r="Q9289"/>
      <c r="R9289"/>
      <c r="S9289"/>
      <c r="T9289"/>
      <c r="U9289"/>
      <c r="V9289"/>
      <c r="W9289"/>
      <c r="X9289"/>
      <c r="Y9289"/>
      <c r="Z9289"/>
      <c r="AA9289"/>
      <c r="AB9289"/>
      <c r="AC9289"/>
      <c r="AD9289"/>
      <c r="AE9289"/>
      <c r="AF9289"/>
      <c r="AG9289"/>
      <c r="AH9289"/>
      <c r="AI9289"/>
      <c r="AJ9289"/>
      <c r="AK9289"/>
      <c r="AL9289"/>
      <c r="AM9289"/>
      <c r="AN9289"/>
      <c r="AO9289"/>
      <c r="AP9289"/>
      <c r="AQ9289"/>
      <c r="AR9289"/>
      <c r="AS9289"/>
      <c r="AT9289"/>
      <c r="AU9289"/>
      <c r="AV9289"/>
      <c r="AW9289"/>
      <c r="AX9289"/>
      <c r="AY9289"/>
      <c r="AZ9289"/>
      <c r="BA9289"/>
      <c r="BB9289"/>
      <c r="BC9289"/>
      <c r="BD9289"/>
      <c r="BE9289"/>
      <c r="BF9289"/>
      <c r="BG9289"/>
      <c r="BH9289"/>
      <c r="BI9289"/>
      <c r="BJ9289"/>
      <c r="BK9289"/>
    </row>
    <row r="9290" spans="1:63" s="93" customFormat="1" ht="9" customHeight="1" x14ac:dyDescent="0.3">
      <c r="A9290" s="91"/>
      <c r="B9290" s="70"/>
      <c r="C9290" s="70"/>
      <c r="D9290" s="70"/>
      <c r="E9290" s="70"/>
      <c r="F9290" s="70"/>
      <c r="G9290" s="94"/>
      <c r="H9290" s="131"/>
      <c r="I9290" s="3"/>
      <c r="J9290"/>
      <c r="K9290"/>
      <c r="L9290"/>
      <c r="M9290"/>
      <c r="N9290"/>
      <c r="O9290"/>
      <c r="P9290"/>
      <c r="Q9290"/>
      <c r="R9290"/>
      <c r="S9290"/>
      <c r="T9290"/>
      <c r="U9290"/>
      <c r="V9290"/>
      <c r="W9290"/>
      <c r="X9290"/>
      <c r="Y9290"/>
      <c r="Z9290"/>
      <c r="AA9290"/>
      <c r="AB9290"/>
      <c r="AC9290"/>
      <c r="AD9290"/>
      <c r="AE9290"/>
      <c r="AF9290"/>
      <c r="AG9290"/>
      <c r="AH9290"/>
      <c r="AI9290"/>
      <c r="AJ9290"/>
      <c r="AK9290"/>
      <c r="AL9290"/>
      <c r="AM9290"/>
      <c r="AN9290"/>
      <c r="AO9290"/>
      <c r="AP9290"/>
      <c r="AQ9290"/>
      <c r="AR9290"/>
      <c r="AS9290"/>
      <c r="AT9290"/>
      <c r="AU9290"/>
      <c r="AV9290"/>
      <c r="AW9290"/>
      <c r="AX9290"/>
      <c r="AY9290"/>
      <c r="AZ9290"/>
      <c r="BA9290"/>
      <c r="BB9290"/>
      <c r="BC9290"/>
      <c r="BD9290"/>
      <c r="BE9290"/>
      <c r="BF9290"/>
      <c r="BG9290"/>
      <c r="BH9290"/>
      <c r="BI9290"/>
      <c r="BJ9290"/>
      <c r="BK9290"/>
    </row>
    <row r="9291" spans="1:63" s="93" customFormat="1" ht="9" customHeight="1" x14ac:dyDescent="0.3">
      <c r="A9291" s="91"/>
      <c r="B9291" s="70"/>
      <c r="C9291" s="70"/>
      <c r="D9291" s="70"/>
      <c r="E9291" s="70"/>
      <c r="F9291" s="70"/>
      <c r="G9291" s="94"/>
      <c r="H9291" s="131"/>
      <c r="I9291" s="3"/>
      <c r="J9291"/>
      <c r="K9291"/>
      <c r="L9291"/>
      <c r="M9291"/>
      <c r="N9291"/>
      <c r="O9291"/>
      <c r="P9291"/>
      <c r="Q9291"/>
      <c r="R9291"/>
      <c r="S9291"/>
      <c r="T9291"/>
      <c r="U9291"/>
      <c r="V9291"/>
      <c r="W9291"/>
      <c r="X9291"/>
      <c r="Y9291"/>
      <c r="Z9291"/>
      <c r="AA9291"/>
      <c r="AB9291"/>
      <c r="AC9291"/>
      <c r="AD9291"/>
      <c r="AE9291"/>
      <c r="AF9291"/>
      <c r="AG9291"/>
      <c r="AH9291"/>
      <c r="AI9291"/>
      <c r="AJ9291"/>
      <c r="AK9291"/>
      <c r="AL9291"/>
      <c r="AM9291"/>
      <c r="AN9291"/>
      <c r="AO9291"/>
      <c r="AP9291"/>
      <c r="AQ9291"/>
      <c r="AR9291"/>
      <c r="AS9291"/>
      <c r="AT9291"/>
      <c r="AU9291"/>
      <c r="AV9291"/>
      <c r="AW9291"/>
      <c r="AX9291"/>
      <c r="AY9291"/>
      <c r="AZ9291"/>
      <c r="BA9291"/>
      <c r="BB9291"/>
      <c r="BC9291"/>
      <c r="BD9291"/>
      <c r="BE9291"/>
      <c r="BF9291"/>
      <c r="BG9291"/>
      <c r="BH9291"/>
      <c r="BI9291"/>
      <c r="BJ9291"/>
      <c r="BK9291"/>
    </row>
    <row r="9292" spans="1:63" s="93" customFormat="1" ht="9" customHeight="1" x14ac:dyDescent="0.3">
      <c r="A9292" s="91"/>
      <c r="B9292" s="70"/>
      <c r="C9292" s="70"/>
      <c r="D9292" s="70"/>
      <c r="E9292" s="70"/>
      <c r="F9292" s="70"/>
      <c r="G9292" s="94"/>
      <c r="H9292" s="131"/>
      <c r="I9292" s="3"/>
      <c r="J9292"/>
      <c r="K9292"/>
      <c r="L9292"/>
      <c r="M9292"/>
      <c r="N9292"/>
      <c r="O9292"/>
      <c r="P9292"/>
      <c r="Q9292"/>
      <c r="R9292"/>
      <c r="S9292"/>
      <c r="T9292"/>
      <c r="U9292"/>
      <c r="V9292"/>
      <c r="W9292"/>
      <c r="X9292"/>
      <c r="Y9292"/>
      <c r="Z9292"/>
      <c r="AA9292"/>
      <c r="AB9292"/>
      <c r="AC9292"/>
      <c r="AD9292"/>
      <c r="AE9292"/>
      <c r="AF9292"/>
      <c r="AG9292"/>
      <c r="AH9292"/>
      <c r="AI9292"/>
      <c r="AJ9292"/>
      <c r="AK9292"/>
      <c r="AL9292"/>
      <c r="AM9292"/>
      <c r="AN9292"/>
      <c r="AO9292"/>
      <c r="AP9292"/>
      <c r="AQ9292"/>
      <c r="AR9292"/>
      <c r="AS9292"/>
      <c r="AT9292"/>
      <c r="AU9292"/>
      <c r="AV9292"/>
      <c r="AW9292"/>
      <c r="AX9292"/>
      <c r="AY9292"/>
      <c r="AZ9292"/>
      <c r="BA9292"/>
      <c r="BB9292"/>
      <c r="BC9292"/>
      <c r="BD9292"/>
      <c r="BE9292"/>
      <c r="BF9292"/>
      <c r="BG9292"/>
      <c r="BH9292"/>
      <c r="BI9292"/>
      <c r="BJ9292"/>
      <c r="BK9292"/>
    </row>
    <row r="9293" spans="1:63" s="93" customFormat="1" ht="9" customHeight="1" x14ac:dyDescent="0.3">
      <c r="A9293" s="91"/>
      <c r="B9293" s="70"/>
      <c r="C9293" s="70"/>
      <c r="D9293" s="70"/>
      <c r="E9293" s="70"/>
      <c r="F9293" s="70"/>
      <c r="G9293" s="94"/>
      <c r="H9293" s="131"/>
      <c r="I9293" s="3"/>
      <c r="J9293"/>
      <c r="K9293"/>
      <c r="L9293"/>
      <c r="M9293"/>
      <c r="N9293"/>
      <c r="O9293"/>
      <c r="P9293"/>
      <c r="Q9293"/>
      <c r="R9293"/>
      <c r="S9293"/>
      <c r="T9293"/>
      <c r="U9293"/>
      <c r="V9293"/>
      <c r="W9293"/>
      <c r="X9293"/>
      <c r="Y9293"/>
      <c r="Z9293"/>
      <c r="AA9293"/>
      <c r="AB9293"/>
      <c r="AC9293"/>
      <c r="AD9293"/>
      <c r="AE9293"/>
      <c r="AF9293"/>
      <c r="AG9293"/>
      <c r="AH9293"/>
      <c r="AI9293"/>
      <c r="AJ9293"/>
      <c r="AK9293"/>
      <c r="AL9293"/>
      <c r="AM9293"/>
      <c r="AN9293"/>
      <c r="AO9293"/>
      <c r="AP9293"/>
      <c r="AQ9293"/>
      <c r="AR9293"/>
      <c r="AS9293"/>
      <c r="AT9293"/>
      <c r="AU9293"/>
      <c r="AV9293"/>
      <c r="AW9293"/>
      <c r="AX9293"/>
      <c r="AY9293"/>
      <c r="AZ9293"/>
      <c r="BA9293"/>
      <c r="BB9293"/>
      <c r="BC9293"/>
      <c r="BD9293"/>
      <c r="BE9293"/>
      <c r="BF9293"/>
      <c r="BG9293"/>
      <c r="BH9293"/>
      <c r="BI9293"/>
      <c r="BJ9293"/>
      <c r="BK9293"/>
    </row>
    <row r="9294" spans="1:63" s="93" customFormat="1" ht="9" customHeight="1" x14ac:dyDescent="0.3">
      <c r="A9294" s="91"/>
      <c r="B9294" s="70"/>
      <c r="C9294" s="70"/>
      <c r="D9294" s="70"/>
      <c r="E9294" s="70"/>
      <c r="F9294" s="70"/>
      <c r="G9294" s="94"/>
      <c r="H9294" s="131"/>
      <c r="I9294" s="3"/>
      <c r="J9294"/>
      <c r="K9294"/>
      <c r="L9294"/>
      <c r="M9294"/>
      <c r="N9294"/>
      <c r="O9294"/>
      <c r="P9294"/>
      <c r="Q9294"/>
      <c r="R9294"/>
      <c r="S9294"/>
      <c r="T9294"/>
      <c r="U9294"/>
      <c r="V9294"/>
      <c r="W9294"/>
      <c r="X9294"/>
      <c r="Y9294"/>
      <c r="Z9294"/>
      <c r="AA9294"/>
      <c r="AB9294"/>
      <c r="AC9294"/>
      <c r="AD9294"/>
      <c r="AE9294"/>
      <c r="AF9294"/>
      <c r="AG9294"/>
      <c r="AH9294"/>
      <c r="AI9294"/>
      <c r="AJ9294"/>
      <c r="AK9294"/>
      <c r="AL9294"/>
      <c r="AM9294"/>
      <c r="AN9294"/>
      <c r="AO9294"/>
      <c r="AP9294"/>
      <c r="AQ9294"/>
      <c r="AR9294"/>
      <c r="AS9294"/>
      <c r="AT9294"/>
      <c r="AU9294"/>
      <c r="AV9294"/>
      <c r="AW9294"/>
      <c r="AX9294"/>
      <c r="AY9294"/>
      <c r="AZ9294"/>
      <c r="BA9294"/>
      <c r="BB9294"/>
      <c r="BC9294"/>
      <c r="BD9294"/>
      <c r="BE9294"/>
      <c r="BF9294"/>
      <c r="BG9294"/>
      <c r="BH9294"/>
      <c r="BI9294"/>
      <c r="BJ9294"/>
      <c r="BK9294"/>
    </row>
    <row r="9295" spans="1:63" s="93" customFormat="1" ht="9" customHeight="1" x14ac:dyDescent="0.3">
      <c r="A9295" s="91"/>
      <c r="B9295" s="70"/>
      <c r="C9295" s="70"/>
      <c r="D9295" s="70"/>
      <c r="E9295" s="70"/>
      <c r="F9295" s="70"/>
      <c r="G9295" s="94"/>
      <c r="H9295" s="131"/>
      <c r="I9295" s="3"/>
      <c r="J9295"/>
      <c r="K9295"/>
      <c r="L9295"/>
      <c r="M9295"/>
      <c r="N9295"/>
      <c r="O9295"/>
      <c r="P9295"/>
      <c r="Q9295"/>
      <c r="R9295"/>
      <c r="S9295"/>
      <c r="T9295"/>
      <c r="U9295"/>
      <c r="V9295"/>
      <c r="W9295"/>
      <c r="X9295"/>
      <c r="Y9295"/>
      <c r="Z9295"/>
      <c r="AA9295"/>
      <c r="AB9295"/>
      <c r="AC9295"/>
      <c r="AD9295"/>
      <c r="AE9295"/>
      <c r="AF9295"/>
      <c r="AG9295"/>
      <c r="AH9295"/>
      <c r="AI9295"/>
      <c r="AJ9295"/>
      <c r="AK9295"/>
      <c r="AL9295"/>
      <c r="AM9295"/>
      <c r="AN9295"/>
      <c r="AO9295"/>
      <c r="AP9295"/>
      <c r="AQ9295"/>
      <c r="AR9295"/>
      <c r="AS9295"/>
      <c r="AT9295"/>
      <c r="AU9295"/>
      <c r="AV9295"/>
      <c r="AW9295"/>
      <c r="AX9295"/>
      <c r="AY9295"/>
      <c r="AZ9295"/>
      <c r="BA9295"/>
      <c r="BB9295"/>
      <c r="BC9295"/>
      <c r="BD9295"/>
      <c r="BE9295"/>
      <c r="BF9295"/>
      <c r="BG9295"/>
      <c r="BH9295"/>
      <c r="BI9295"/>
      <c r="BJ9295"/>
      <c r="BK9295"/>
    </row>
    <row r="9296" spans="1:63" s="93" customFormat="1" ht="9" customHeight="1" x14ac:dyDescent="0.3">
      <c r="A9296" s="91"/>
      <c r="B9296" s="70"/>
      <c r="C9296" s="70"/>
      <c r="D9296" s="70"/>
      <c r="E9296" s="70"/>
      <c r="F9296" s="70"/>
      <c r="G9296" s="94"/>
      <c r="H9296" s="131"/>
      <c r="I9296" s="3"/>
      <c r="J9296"/>
      <c r="K9296"/>
      <c r="L9296"/>
      <c r="M9296"/>
      <c r="N9296"/>
      <c r="O9296"/>
      <c r="P9296"/>
      <c r="Q9296"/>
      <c r="R9296"/>
      <c r="S9296"/>
      <c r="T9296"/>
      <c r="U9296"/>
      <c r="V9296"/>
      <c r="W9296"/>
      <c r="X9296"/>
      <c r="Y9296"/>
      <c r="Z9296"/>
      <c r="AA9296"/>
      <c r="AB9296"/>
      <c r="AC9296"/>
      <c r="AD9296"/>
      <c r="AE9296"/>
      <c r="AF9296"/>
      <c r="AG9296"/>
      <c r="AH9296"/>
      <c r="AI9296"/>
      <c r="AJ9296"/>
      <c r="AK9296"/>
      <c r="AL9296"/>
      <c r="AM9296"/>
      <c r="AN9296"/>
      <c r="AO9296"/>
      <c r="AP9296"/>
      <c r="AQ9296"/>
      <c r="AR9296"/>
      <c r="AS9296"/>
      <c r="AT9296"/>
      <c r="AU9296"/>
      <c r="AV9296"/>
      <c r="AW9296"/>
      <c r="AX9296"/>
      <c r="AY9296"/>
      <c r="AZ9296"/>
      <c r="BA9296"/>
      <c r="BB9296"/>
      <c r="BC9296"/>
      <c r="BD9296"/>
      <c r="BE9296"/>
      <c r="BF9296"/>
      <c r="BG9296"/>
      <c r="BH9296"/>
      <c r="BI9296"/>
      <c r="BJ9296"/>
      <c r="BK9296"/>
    </row>
    <row r="9297" spans="1:63" s="93" customFormat="1" ht="9" customHeight="1" x14ac:dyDescent="0.3">
      <c r="A9297" s="91"/>
      <c r="B9297" s="70"/>
      <c r="C9297" s="70"/>
      <c r="D9297" s="70"/>
      <c r="E9297" s="70"/>
      <c r="F9297" s="70"/>
      <c r="G9297" s="94"/>
      <c r="H9297" s="131"/>
      <c r="I9297" s="3"/>
      <c r="J9297"/>
      <c r="K9297"/>
      <c r="L9297"/>
      <c r="M9297"/>
      <c r="N9297"/>
      <c r="O9297"/>
      <c r="P9297"/>
      <c r="Q9297"/>
      <c r="R9297"/>
      <c r="S9297"/>
      <c r="T9297"/>
      <c r="U9297"/>
      <c r="V9297"/>
      <c r="W9297"/>
      <c r="X9297"/>
      <c r="Y9297"/>
      <c r="Z9297"/>
      <c r="AA9297"/>
      <c r="AB9297"/>
      <c r="AC9297"/>
      <c r="AD9297"/>
      <c r="AE9297"/>
      <c r="AF9297"/>
      <c r="AG9297"/>
      <c r="AH9297"/>
      <c r="AI9297"/>
      <c r="AJ9297"/>
      <c r="AK9297"/>
      <c r="AL9297"/>
      <c r="AM9297"/>
      <c r="AN9297"/>
      <c r="AO9297"/>
      <c r="AP9297"/>
      <c r="AQ9297"/>
      <c r="AR9297"/>
      <c r="AS9297"/>
      <c r="AT9297"/>
      <c r="AU9297"/>
      <c r="AV9297"/>
      <c r="AW9297"/>
      <c r="AX9297"/>
      <c r="AY9297"/>
      <c r="AZ9297"/>
      <c r="BA9297"/>
      <c r="BB9297"/>
      <c r="BC9297"/>
      <c r="BD9297"/>
      <c r="BE9297"/>
      <c r="BF9297"/>
      <c r="BG9297"/>
      <c r="BH9297"/>
      <c r="BI9297"/>
      <c r="BJ9297"/>
      <c r="BK9297"/>
    </row>
    <row r="9298" spans="1:63" s="93" customFormat="1" ht="9" customHeight="1" x14ac:dyDescent="0.3">
      <c r="A9298" s="91"/>
      <c r="B9298" s="70"/>
      <c r="C9298" s="70"/>
      <c r="D9298" s="70"/>
      <c r="E9298" s="70"/>
      <c r="F9298" s="70"/>
      <c r="G9298" s="94"/>
      <c r="H9298" s="131"/>
      <c r="I9298" s="3"/>
      <c r="J9298"/>
      <c r="K9298"/>
      <c r="L9298"/>
      <c r="M9298"/>
      <c r="N9298"/>
      <c r="O9298"/>
      <c r="P9298"/>
      <c r="Q9298"/>
      <c r="R9298"/>
      <c r="S9298"/>
      <c r="T9298"/>
      <c r="U9298"/>
      <c r="V9298"/>
      <c r="W9298"/>
      <c r="X9298"/>
      <c r="Y9298"/>
      <c r="Z9298"/>
      <c r="AA9298"/>
      <c r="AB9298"/>
      <c r="AC9298"/>
      <c r="AD9298"/>
      <c r="AE9298"/>
      <c r="AF9298"/>
      <c r="AG9298"/>
      <c r="AH9298"/>
      <c r="AI9298"/>
      <c r="AJ9298"/>
      <c r="AK9298"/>
      <c r="AL9298"/>
      <c r="AM9298"/>
      <c r="AN9298"/>
      <c r="AO9298"/>
      <c r="AP9298"/>
      <c r="AQ9298"/>
      <c r="AR9298"/>
      <c r="AS9298"/>
      <c r="AT9298"/>
      <c r="AU9298"/>
      <c r="AV9298"/>
      <c r="AW9298"/>
      <c r="AX9298"/>
      <c r="AY9298"/>
      <c r="AZ9298"/>
      <c r="BA9298"/>
      <c r="BB9298"/>
      <c r="BC9298"/>
      <c r="BD9298"/>
      <c r="BE9298"/>
      <c r="BF9298"/>
      <c r="BG9298"/>
      <c r="BH9298"/>
      <c r="BI9298"/>
      <c r="BJ9298"/>
      <c r="BK9298"/>
    </row>
    <row r="9299" spans="1:63" s="93" customFormat="1" ht="9" customHeight="1" x14ac:dyDescent="0.3">
      <c r="A9299" s="91"/>
      <c r="B9299" s="70"/>
      <c r="C9299" s="70"/>
      <c r="D9299" s="70"/>
      <c r="E9299" s="70"/>
      <c r="F9299" s="70"/>
      <c r="G9299" s="94"/>
      <c r="H9299" s="131"/>
      <c r="I9299" s="3"/>
      <c r="J9299"/>
      <c r="K9299"/>
      <c r="L9299"/>
      <c r="M9299"/>
      <c r="N9299"/>
      <c r="O9299"/>
      <c r="P9299"/>
      <c r="Q9299"/>
      <c r="R9299"/>
      <c r="S9299"/>
      <c r="T9299"/>
      <c r="U9299"/>
      <c r="V9299"/>
      <c r="W9299"/>
      <c r="X9299"/>
      <c r="Y9299"/>
      <c r="Z9299"/>
      <c r="AA9299"/>
      <c r="AB9299"/>
      <c r="AC9299"/>
      <c r="AD9299"/>
      <c r="AE9299"/>
      <c r="AF9299"/>
      <c r="AG9299"/>
      <c r="AH9299"/>
      <c r="AI9299"/>
      <c r="AJ9299"/>
      <c r="AK9299"/>
      <c r="AL9299"/>
      <c r="AM9299"/>
      <c r="AN9299"/>
      <c r="AO9299"/>
      <c r="AP9299"/>
      <c r="AQ9299"/>
      <c r="AR9299"/>
      <c r="AS9299"/>
      <c r="AT9299"/>
      <c r="AU9299"/>
      <c r="AV9299"/>
      <c r="AW9299"/>
      <c r="AX9299"/>
      <c r="AY9299"/>
      <c r="AZ9299"/>
      <c r="BA9299"/>
      <c r="BB9299"/>
      <c r="BC9299"/>
      <c r="BD9299"/>
      <c r="BE9299"/>
      <c r="BF9299"/>
      <c r="BG9299"/>
      <c r="BH9299"/>
      <c r="BI9299"/>
      <c r="BJ9299"/>
      <c r="BK9299"/>
    </row>
    <row r="9300" spans="1:63" s="93" customFormat="1" ht="9" customHeight="1" x14ac:dyDescent="0.3">
      <c r="A9300" s="91"/>
      <c r="B9300" s="70"/>
      <c r="C9300" s="70"/>
      <c r="D9300" s="70"/>
      <c r="E9300" s="70"/>
      <c r="F9300" s="70"/>
      <c r="G9300" s="94"/>
      <c r="H9300" s="131"/>
      <c r="I9300" s="3"/>
      <c r="J9300"/>
      <c r="K9300"/>
      <c r="L9300"/>
      <c r="M9300"/>
      <c r="N9300"/>
      <c r="O9300"/>
      <c r="P9300"/>
      <c r="Q9300"/>
      <c r="R9300"/>
      <c r="S9300"/>
      <c r="T9300"/>
      <c r="U9300"/>
      <c r="V9300"/>
      <c r="W9300"/>
      <c r="X9300"/>
      <c r="Y9300"/>
      <c r="Z9300"/>
      <c r="AA9300"/>
      <c r="AB9300"/>
      <c r="AC9300"/>
      <c r="AD9300"/>
      <c r="AE9300"/>
      <c r="AF9300"/>
      <c r="AG9300"/>
      <c r="AH9300"/>
      <c r="AI9300"/>
      <c r="AJ9300"/>
      <c r="AK9300"/>
      <c r="AL9300"/>
      <c r="AM9300"/>
      <c r="AN9300"/>
      <c r="AO9300"/>
      <c r="AP9300"/>
      <c r="AQ9300"/>
      <c r="AR9300"/>
      <c r="AS9300"/>
      <c r="AT9300"/>
      <c r="AU9300"/>
      <c r="AV9300"/>
      <c r="AW9300"/>
      <c r="AX9300"/>
      <c r="AY9300"/>
      <c r="AZ9300"/>
      <c r="BA9300"/>
      <c r="BB9300"/>
      <c r="BC9300"/>
      <c r="BD9300"/>
      <c r="BE9300"/>
      <c r="BF9300"/>
      <c r="BG9300"/>
      <c r="BH9300"/>
      <c r="BI9300"/>
      <c r="BJ9300"/>
      <c r="BK9300"/>
    </row>
    <row r="9301" spans="1:63" s="93" customFormat="1" ht="9" customHeight="1" x14ac:dyDescent="0.3">
      <c r="A9301" s="91"/>
      <c r="B9301" s="70"/>
      <c r="C9301" s="70"/>
      <c r="D9301" s="70"/>
      <c r="E9301" s="70"/>
      <c r="F9301" s="70"/>
      <c r="G9301" s="94"/>
      <c r="H9301" s="131"/>
      <c r="I9301" s="3"/>
      <c r="J9301"/>
      <c r="K9301"/>
      <c r="L9301"/>
      <c r="M9301"/>
      <c r="N9301"/>
      <c r="O9301"/>
      <c r="P9301"/>
      <c r="Q9301"/>
      <c r="R9301"/>
      <c r="S9301"/>
      <c r="T9301"/>
      <c r="U9301"/>
      <c r="V9301"/>
      <c r="W9301"/>
      <c r="X9301"/>
      <c r="Y9301"/>
      <c r="Z9301"/>
      <c r="AA9301"/>
      <c r="AB9301"/>
      <c r="AC9301"/>
      <c r="AD9301"/>
      <c r="AE9301"/>
      <c r="AF9301"/>
      <c r="AG9301"/>
      <c r="AH9301"/>
      <c r="AI9301"/>
      <c r="AJ9301"/>
      <c r="AK9301"/>
      <c r="AL9301"/>
      <c r="AM9301"/>
      <c r="AN9301"/>
      <c r="AO9301"/>
      <c r="AP9301"/>
      <c r="AQ9301"/>
      <c r="AR9301"/>
      <c r="AS9301"/>
      <c r="AT9301"/>
      <c r="AU9301"/>
      <c r="AV9301"/>
      <c r="AW9301"/>
      <c r="AX9301"/>
      <c r="AY9301"/>
      <c r="AZ9301"/>
      <c r="BA9301"/>
      <c r="BB9301"/>
      <c r="BC9301"/>
      <c r="BD9301"/>
      <c r="BE9301"/>
      <c r="BF9301"/>
      <c r="BG9301"/>
      <c r="BH9301"/>
      <c r="BI9301"/>
      <c r="BJ9301"/>
      <c r="BK9301"/>
    </row>
    <row r="9302" spans="1:63" s="93" customFormat="1" ht="9" customHeight="1" x14ac:dyDescent="0.3">
      <c r="A9302" s="91"/>
      <c r="B9302" s="70"/>
      <c r="C9302" s="70"/>
      <c r="D9302" s="70"/>
      <c r="E9302" s="70"/>
      <c r="F9302" s="70"/>
      <c r="G9302" s="94"/>
      <c r="H9302" s="131"/>
      <c r="I9302" s="3"/>
      <c r="J9302"/>
      <c r="K9302"/>
      <c r="L9302"/>
      <c r="M9302"/>
      <c r="N9302"/>
      <c r="O9302"/>
      <c r="P9302"/>
      <c r="Q9302"/>
      <c r="R9302"/>
      <c r="S9302"/>
      <c r="T9302"/>
      <c r="U9302"/>
      <c r="V9302"/>
      <c r="W9302"/>
      <c r="X9302"/>
      <c r="Y9302"/>
      <c r="Z9302"/>
      <c r="AA9302"/>
      <c r="AB9302"/>
      <c r="AC9302"/>
      <c r="AD9302"/>
      <c r="AE9302"/>
      <c r="AF9302"/>
      <c r="AG9302"/>
      <c r="AH9302"/>
      <c r="AI9302"/>
      <c r="AJ9302"/>
      <c r="AK9302"/>
      <c r="AL9302"/>
      <c r="AM9302"/>
      <c r="AN9302"/>
      <c r="AO9302"/>
      <c r="AP9302"/>
      <c r="AQ9302"/>
      <c r="AR9302"/>
      <c r="AS9302"/>
      <c r="AT9302"/>
      <c r="AU9302"/>
      <c r="AV9302"/>
      <c r="AW9302"/>
      <c r="AX9302"/>
      <c r="AY9302"/>
      <c r="AZ9302"/>
      <c r="BA9302"/>
      <c r="BB9302"/>
      <c r="BC9302"/>
      <c r="BD9302"/>
      <c r="BE9302"/>
      <c r="BF9302"/>
      <c r="BG9302"/>
      <c r="BH9302"/>
      <c r="BI9302"/>
      <c r="BJ9302"/>
      <c r="BK9302"/>
    </row>
    <row r="9303" spans="1:63" s="93" customFormat="1" ht="9" customHeight="1" x14ac:dyDescent="0.3">
      <c r="A9303" s="91"/>
      <c r="B9303" s="70"/>
      <c r="C9303" s="70"/>
      <c r="D9303" s="70"/>
      <c r="E9303" s="70"/>
      <c r="F9303" s="70"/>
      <c r="G9303" s="94"/>
      <c r="H9303" s="131"/>
      <c r="I9303" s="3"/>
      <c r="J9303"/>
      <c r="K9303"/>
      <c r="L9303"/>
      <c r="M9303"/>
      <c r="N9303"/>
      <c r="O9303"/>
      <c r="P9303"/>
      <c r="Q9303"/>
      <c r="R9303"/>
      <c r="S9303"/>
      <c r="T9303"/>
      <c r="U9303"/>
      <c r="V9303"/>
      <c r="W9303"/>
      <c r="X9303"/>
      <c r="Y9303"/>
      <c r="Z9303"/>
      <c r="AA9303"/>
      <c r="AB9303"/>
      <c r="AC9303"/>
      <c r="AD9303"/>
      <c r="AE9303"/>
      <c r="AF9303"/>
      <c r="AG9303"/>
      <c r="AH9303"/>
      <c r="AI9303"/>
      <c r="AJ9303"/>
      <c r="AK9303"/>
      <c r="AL9303"/>
      <c r="AM9303"/>
      <c r="AN9303"/>
      <c r="AO9303"/>
      <c r="AP9303"/>
      <c r="AQ9303"/>
      <c r="AR9303"/>
      <c r="AS9303"/>
      <c r="AT9303"/>
      <c r="AU9303"/>
      <c r="AV9303"/>
      <c r="AW9303"/>
      <c r="AX9303"/>
      <c r="AY9303"/>
      <c r="AZ9303"/>
      <c r="BA9303"/>
      <c r="BB9303"/>
      <c r="BC9303"/>
      <c r="BD9303"/>
      <c r="BE9303"/>
      <c r="BF9303"/>
      <c r="BG9303"/>
      <c r="BH9303"/>
      <c r="BI9303"/>
      <c r="BJ9303"/>
      <c r="BK9303"/>
    </row>
    <row r="9304" spans="1:63" s="93" customFormat="1" ht="9" customHeight="1" x14ac:dyDescent="0.3">
      <c r="A9304" s="91"/>
      <c r="B9304" s="70"/>
      <c r="C9304" s="70"/>
      <c r="D9304" s="70"/>
      <c r="E9304" s="70"/>
      <c r="F9304" s="70"/>
      <c r="G9304" s="94"/>
      <c r="H9304" s="131"/>
      <c r="I9304" s="3"/>
      <c r="J9304"/>
      <c r="K9304"/>
      <c r="L9304"/>
      <c r="M9304"/>
      <c r="N9304"/>
      <c r="O9304"/>
      <c r="P9304"/>
      <c r="Q9304"/>
      <c r="R9304"/>
      <c r="S9304"/>
      <c r="T9304"/>
      <c r="U9304"/>
      <c r="V9304"/>
      <c r="W9304"/>
      <c r="X9304"/>
      <c r="Y9304"/>
      <c r="Z9304"/>
      <c r="AA9304"/>
      <c r="AB9304"/>
      <c r="AC9304"/>
      <c r="AD9304"/>
      <c r="AE9304"/>
      <c r="AF9304"/>
      <c r="AG9304"/>
      <c r="AH9304"/>
      <c r="AI9304"/>
      <c r="AJ9304"/>
      <c r="AK9304"/>
      <c r="AL9304"/>
      <c r="AM9304"/>
      <c r="AN9304"/>
      <c r="AO9304"/>
      <c r="AP9304"/>
      <c r="AQ9304"/>
      <c r="AR9304"/>
      <c r="AS9304"/>
      <c r="AT9304"/>
      <c r="AU9304"/>
      <c r="AV9304"/>
      <c r="AW9304"/>
      <c r="AX9304"/>
      <c r="AY9304"/>
      <c r="AZ9304"/>
      <c r="BA9304"/>
      <c r="BB9304"/>
      <c r="BC9304"/>
      <c r="BD9304"/>
      <c r="BE9304"/>
      <c r="BF9304"/>
      <c r="BG9304"/>
      <c r="BH9304"/>
      <c r="BI9304"/>
      <c r="BJ9304"/>
      <c r="BK9304"/>
    </row>
    <row r="9305" spans="1:63" s="93" customFormat="1" ht="9" customHeight="1" x14ac:dyDescent="0.3">
      <c r="A9305" s="91"/>
      <c r="B9305" s="70"/>
      <c r="C9305" s="70"/>
      <c r="D9305" s="70"/>
      <c r="E9305" s="70"/>
      <c r="F9305" s="70"/>
      <c r="G9305" s="94"/>
      <c r="H9305" s="131"/>
      <c r="I9305" s="3"/>
      <c r="J9305"/>
      <c r="K9305"/>
      <c r="L9305"/>
      <c r="M9305"/>
      <c r="N9305"/>
      <c r="O9305"/>
      <c r="P9305"/>
      <c r="Q9305"/>
      <c r="R9305"/>
      <c r="S9305"/>
      <c r="T9305"/>
      <c r="U9305"/>
      <c r="V9305"/>
      <c r="W9305"/>
      <c r="X9305"/>
      <c r="Y9305"/>
      <c r="Z9305"/>
      <c r="AA9305"/>
      <c r="AB9305"/>
      <c r="AC9305"/>
      <c r="AD9305"/>
      <c r="AE9305"/>
      <c r="AF9305"/>
      <c r="AG9305"/>
      <c r="AH9305"/>
      <c r="AI9305"/>
      <c r="AJ9305"/>
      <c r="AK9305"/>
      <c r="AL9305"/>
      <c r="AM9305"/>
      <c r="AN9305"/>
      <c r="AO9305"/>
      <c r="AP9305"/>
      <c r="AQ9305"/>
      <c r="AR9305"/>
      <c r="AS9305"/>
      <c r="AT9305"/>
      <c r="AU9305"/>
      <c r="AV9305"/>
      <c r="AW9305"/>
      <c r="AX9305"/>
      <c r="AY9305"/>
      <c r="AZ9305"/>
      <c r="BA9305"/>
      <c r="BB9305"/>
      <c r="BC9305"/>
      <c r="BD9305"/>
      <c r="BE9305"/>
      <c r="BF9305"/>
      <c r="BG9305"/>
      <c r="BH9305"/>
      <c r="BI9305"/>
      <c r="BJ9305"/>
      <c r="BK9305"/>
    </row>
    <row r="9306" spans="1:63" s="93" customFormat="1" ht="9" customHeight="1" x14ac:dyDescent="0.3">
      <c r="A9306" s="91"/>
      <c r="B9306" s="70"/>
      <c r="C9306" s="70"/>
      <c r="D9306" s="70"/>
      <c r="E9306" s="70"/>
      <c r="F9306" s="70"/>
      <c r="G9306" s="94"/>
      <c r="H9306" s="131"/>
      <c r="I9306" s="3"/>
      <c r="J9306"/>
      <c r="K9306"/>
      <c r="L9306"/>
      <c r="M9306"/>
      <c r="N9306"/>
      <c r="O9306"/>
      <c r="P9306"/>
      <c r="Q9306"/>
      <c r="R9306"/>
      <c r="S9306"/>
      <c r="T9306"/>
      <c r="U9306"/>
      <c r="V9306"/>
      <c r="W9306"/>
      <c r="X9306"/>
      <c r="Y9306"/>
      <c r="Z9306"/>
      <c r="AA9306"/>
      <c r="AB9306"/>
      <c r="AC9306"/>
      <c r="AD9306"/>
      <c r="AE9306"/>
      <c r="AF9306"/>
      <c r="AG9306"/>
      <c r="AH9306"/>
      <c r="AI9306"/>
      <c r="AJ9306"/>
      <c r="AK9306"/>
      <c r="AL9306"/>
      <c r="AM9306"/>
      <c r="AN9306"/>
      <c r="AO9306"/>
      <c r="AP9306"/>
      <c r="AQ9306"/>
      <c r="AR9306"/>
      <c r="AS9306"/>
      <c r="AT9306"/>
      <c r="AU9306"/>
      <c r="AV9306"/>
      <c r="AW9306"/>
      <c r="AX9306"/>
      <c r="AY9306"/>
      <c r="AZ9306"/>
      <c r="BA9306"/>
      <c r="BB9306"/>
      <c r="BC9306"/>
      <c r="BD9306"/>
      <c r="BE9306"/>
      <c r="BF9306"/>
      <c r="BG9306"/>
      <c r="BH9306"/>
      <c r="BI9306"/>
      <c r="BJ9306"/>
      <c r="BK9306"/>
    </row>
    <row r="9307" spans="1:63" s="93" customFormat="1" ht="9" customHeight="1" x14ac:dyDescent="0.3">
      <c r="A9307" s="91"/>
      <c r="B9307" s="70"/>
      <c r="C9307" s="70"/>
      <c r="D9307" s="70"/>
      <c r="E9307" s="70"/>
      <c r="F9307" s="70"/>
      <c r="G9307" s="94"/>
      <c r="H9307" s="131"/>
      <c r="I9307" s="3"/>
      <c r="J9307"/>
      <c r="K9307"/>
      <c r="L9307"/>
      <c r="M9307"/>
      <c r="N9307"/>
      <c r="O9307"/>
      <c r="P9307"/>
      <c r="Q9307"/>
      <c r="R9307"/>
      <c r="S9307"/>
      <c r="T9307"/>
      <c r="U9307"/>
      <c r="V9307"/>
      <c r="W9307"/>
      <c r="X9307"/>
      <c r="Y9307"/>
      <c r="Z9307"/>
      <c r="AA9307"/>
      <c r="AB9307"/>
      <c r="AC9307"/>
      <c r="AD9307"/>
      <c r="AE9307"/>
      <c r="AF9307"/>
      <c r="AG9307"/>
      <c r="AH9307"/>
      <c r="AI9307"/>
      <c r="AJ9307"/>
      <c r="AK9307"/>
      <c r="AL9307"/>
      <c r="AM9307"/>
      <c r="AN9307"/>
      <c r="AO9307"/>
      <c r="AP9307"/>
      <c r="AQ9307"/>
      <c r="AR9307"/>
      <c r="AS9307"/>
      <c r="AT9307"/>
      <c r="AU9307"/>
      <c r="AV9307"/>
      <c r="AW9307"/>
      <c r="AX9307"/>
      <c r="AY9307"/>
      <c r="AZ9307"/>
      <c r="BA9307"/>
      <c r="BB9307"/>
      <c r="BC9307"/>
      <c r="BD9307"/>
      <c r="BE9307"/>
      <c r="BF9307"/>
      <c r="BG9307"/>
      <c r="BH9307"/>
      <c r="BI9307"/>
      <c r="BJ9307"/>
      <c r="BK9307"/>
    </row>
    <row r="9308" spans="1:63" s="93" customFormat="1" ht="9" customHeight="1" x14ac:dyDescent="0.3">
      <c r="A9308" s="91"/>
      <c r="B9308" s="70"/>
      <c r="C9308" s="70"/>
      <c r="D9308" s="70"/>
      <c r="E9308" s="70"/>
      <c r="F9308" s="70"/>
      <c r="G9308" s="94"/>
      <c r="H9308" s="131"/>
      <c r="I9308" s="3"/>
      <c r="J9308"/>
      <c r="K9308"/>
      <c r="L9308"/>
      <c r="M9308"/>
      <c r="N9308"/>
      <c r="O9308"/>
      <c r="P9308"/>
      <c r="Q9308"/>
      <c r="R9308"/>
      <c r="S9308"/>
      <c r="T9308"/>
      <c r="U9308"/>
      <c r="V9308"/>
      <c r="W9308"/>
      <c r="X9308"/>
      <c r="Y9308"/>
      <c r="Z9308"/>
      <c r="AA9308"/>
      <c r="AB9308"/>
      <c r="AC9308"/>
      <c r="AD9308"/>
      <c r="AE9308"/>
      <c r="AF9308"/>
      <c r="AG9308"/>
      <c r="AH9308"/>
      <c r="AI9308"/>
      <c r="AJ9308"/>
      <c r="AK9308"/>
      <c r="AL9308"/>
      <c r="AM9308"/>
      <c r="AN9308"/>
      <c r="AO9308"/>
      <c r="AP9308"/>
      <c r="AQ9308"/>
      <c r="AR9308"/>
      <c r="AS9308"/>
      <c r="AT9308"/>
      <c r="AU9308"/>
      <c r="AV9308"/>
      <c r="AW9308"/>
      <c r="AX9308"/>
      <c r="AY9308"/>
      <c r="AZ9308"/>
      <c r="BA9308"/>
      <c r="BB9308"/>
      <c r="BC9308"/>
      <c r="BD9308"/>
      <c r="BE9308"/>
      <c r="BF9308"/>
      <c r="BG9308"/>
      <c r="BH9308"/>
      <c r="BI9308"/>
      <c r="BJ9308"/>
      <c r="BK9308"/>
    </row>
    <row r="9309" spans="1:63" s="93" customFormat="1" ht="9" customHeight="1" x14ac:dyDescent="0.3">
      <c r="A9309" s="91"/>
      <c r="B9309" s="70"/>
      <c r="C9309" s="70"/>
      <c r="D9309" s="70"/>
      <c r="E9309" s="70"/>
      <c r="F9309" s="70"/>
      <c r="G9309" s="94"/>
      <c r="H9309" s="131"/>
      <c r="I9309" s="3"/>
      <c r="J9309"/>
      <c r="K9309"/>
      <c r="L9309"/>
      <c r="M9309"/>
      <c r="N9309"/>
      <c r="O9309"/>
      <c r="P9309"/>
      <c r="Q9309"/>
      <c r="R9309"/>
      <c r="S9309"/>
      <c r="T9309"/>
      <c r="U9309"/>
      <c r="V9309"/>
      <c r="W9309"/>
      <c r="X9309"/>
      <c r="Y9309"/>
      <c r="Z9309"/>
      <c r="AA9309"/>
      <c r="AB9309"/>
      <c r="AC9309"/>
      <c r="AD9309"/>
      <c r="AE9309"/>
      <c r="AF9309"/>
      <c r="AG9309"/>
      <c r="AH9309"/>
      <c r="AI9309"/>
      <c r="AJ9309"/>
      <c r="AK9309"/>
      <c r="AL9309"/>
      <c r="AM9309"/>
      <c r="AN9309"/>
      <c r="AO9309"/>
      <c r="AP9309"/>
      <c r="AQ9309"/>
      <c r="AR9309"/>
      <c r="AS9309"/>
      <c r="AT9309"/>
      <c r="AU9309"/>
      <c r="AV9309"/>
      <c r="AW9309"/>
      <c r="AX9309"/>
      <c r="AY9309"/>
      <c r="AZ9309"/>
      <c r="BA9309"/>
      <c r="BB9309"/>
      <c r="BC9309"/>
      <c r="BD9309"/>
      <c r="BE9309"/>
      <c r="BF9309"/>
      <c r="BG9309"/>
      <c r="BH9309"/>
      <c r="BI9309"/>
      <c r="BJ9309"/>
      <c r="BK9309"/>
    </row>
    <row r="9310" spans="1:63" s="93" customFormat="1" ht="9" customHeight="1" x14ac:dyDescent="0.3">
      <c r="A9310" s="91"/>
      <c r="B9310" s="70"/>
      <c r="C9310" s="70"/>
      <c r="D9310" s="70"/>
      <c r="E9310" s="70"/>
      <c r="F9310" s="70"/>
      <c r="G9310" s="94"/>
      <c r="H9310" s="131"/>
      <c r="I9310" s="3"/>
      <c r="J9310"/>
      <c r="K9310"/>
      <c r="L9310"/>
      <c r="M9310"/>
      <c r="N9310"/>
      <c r="O9310"/>
      <c r="P9310"/>
      <c r="Q9310"/>
      <c r="R9310"/>
      <c r="S9310"/>
      <c r="T9310"/>
      <c r="U9310"/>
      <c r="V9310"/>
      <c r="W9310"/>
      <c r="X9310"/>
      <c r="Y9310"/>
      <c r="Z9310"/>
      <c r="AA9310"/>
      <c r="AB9310"/>
      <c r="AC9310"/>
      <c r="AD9310"/>
      <c r="AE9310"/>
      <c r="AF9310"/>
      <c r="AG9310"/>
      <c r="AH9310"/>
      <c r="AI9310"/>
      <c r="AJ9310"/>
      <c r="AK9310"/>
      <c r="AL9310"/>
      <c r="AM9310"/>
      <c r="AN9310"/>
      <c r="AO9310"/>
      <c r="AP9310"/>
      <c r="AQ9310"/>
      <c r="AR9310"/>
      <c r="AS9310"/>
      <c r="AT9310"/>
      <c r="AU9310"/>
      <c r="AV9310"/>
      <c r="AW9310"/>
      <c r="AX9310"/>
      <c r="AY9310"/>
      <c r="AZ9310"/>
      <c r="BA9310"/>
      <c r="BB9310"/>
      <c r="BC9310"/>
      <c r="BD9310"/>
      <c r="BE9310"/>
      <c r="BF9310"/>
      <c r="BG9310"/>
      <c r="BH9310"/>
      <c r="BI9310"/>
      <c r="BJ9310"/>
      <c r="BK9310"/>
    </row>
    <row r="9311" spans="1:63" s="93" customFormat="1" ht="9" customHeight="1" x14ac:dyDescent="0.3">
      <c r="A9311" s="91"/>
      <c r="B9311" s="70"/>
      <c r="C9311" s="70"/>
      <c r="D9311" s="70"/>
      <c r="E9311" s="70"/>
      <c r="F9311" s="70"/>
      <c r="G9311" s="94"/>
      <c r="H9311" s="131"/>
      <c r="I9311" s="3"/>
      <c r="J9311"/>
      <c r="K9311"/>
      <c r="L9311"/>
      <c r="M9311"/>
      <c r="N9311"/>
      <c r="O9311"/>
      <c r="P9311"/>
      <c r="Q9311"/>
      <c r="R9311"/>
      <c r="S9311"/>
      <c r="T9311"/>
      <c r="U9311"/>
      <c r="V9311"/>
      <c r="W9311"/>
      <c r="X9311"/>
      <c r="Y9311"/>
      <c r="Z9311"/>
      <c r="AA9311"/>
      <c r="AB9311"/>
      <c r="AC9311"/>
      <c r="AD9311"/>
      <c r="AE9311"/>
      <c r="AF9311"/>
      <c r="AG9311"/>
      <c r="AH9311"/>
      <c r="AI9311"/>
      <c r="AJ9311"/>
      <c r="AK9311"/>
      <c r="AL9311"/>
      <c r="AM9311"/>
      <c r="AN9311"/>
      <c r="AO9311"/>
      <c r="AP9311"/>
      <c r="AQ9311"/>
      <c r="AR9311"/>
      <c r="AS9311"/>
      <c r="AT9311"/>
      <c r="AU9311"/>
      <c r="AV9311"/>
      <c r="AW9311"/>
      <c r="AX9311"/>
      <c r="AY9311"/>
      <c r="AZ9311"/>
      <c r="BA9311"/>
      <c r="BB9311"/>
      <c r="BC9311"/>
      <c r="BD9311"/>
      <c r="BE9311"/>
      <c r="BF9311"/>
      <c r="BG9311"/>
      <c r="BH9311"/>
      <c r="BI9311"/>
      <c r="BJ9311"/>
      <c r="BK9311"/>
    </row>
    <row r="9312" spans="1:63" s="93" customFormat="1" ht="9" customHeight="1" x14ac:dyDescent="0.3">
      <c r="A9312" s="91"/>
      <c r="B9312" s="70"/>
      <c r="C9312" s="70"/>
      <c r="D9312" s="70"/>
      <c r="E9312" s="70"/>
      <c r="F9312" s="70"/>
      <c r="G9312" s="94"/>
      <c r="H9312" s="131"/>
      <c r="I9312" s="3"/>
      <c r="J9312"/>
      <c r="K9312"/>
      <c r="L9312"/>
      <c r="M9312"/>
      <c r="N9312"/>
      <c r="O9312"/>
      <c r="P9312"/>
      <c r="Q9312"/>
      <c r="R9312"/>
      <c r="S9312"/>
      <c r="T9312"/>
      <c r="U9312"/>
      <c r="V9312"/>
      <c r="W9312"/>
      <c r="X9312"/>
      <c r="Y9312"/>
      <c r="Z9312"/>
      <c r="AA9312"/>
      <c r="AB9312"/>
      <c r="AC9312"/>
      <c r="AD9312"/>
      <c r="AE9312"/>
      <c r="AF9312"/>
      <c r="AG9312"/>
      <c r="AH9312"/>
      <c r="AI9312"/>
      <c r="AJ9312"/>
      <c r="AK9312"/>
      <c r="AL9312"/>
      <c r="AM9312"/>
      <c r="AN9312"/>
      <c r="AO9312"/>
      <c r="AP9312"/>
      <c r="AQ9312"/>
      <c r="AR9312"/>
      <c r="AS9312"/>
      <c r="AT9312"/>
      <c r="AU9312"/>
      <c r="AV9312"/>
      <c r="AW9312"/>
      <c r="AX9312"/>
      <c r="AY9312"/>
      <c r="AZ9312"/>
      <c r="BA9312"/>
      <c r="BB9312"/>
      <c r="BC9312"/>
      <c r="BD9312"/>
      <c r="BE9312"/>
      <c r="BF9312"/>
      <c r="BG9312"/>
      <c r="BH9312"/>
      <c r="BI9312"/>
      <c r="BJ9312"/>
      <c r="BK9312"/>
    </row>
    <row r="9313" spans="1:63" s="93" customFormat="1" ht="9" customHeight="1" x14ac:dyDescent="0.3">
      <c r="A9313" s="91"/>
      <c r="B9313" s="70"/>
      <c r="C9313" s="70"/>
      <c r="D9313" s="70"/>
      <c r="E9313" s="70"/>
      <c r="F9313" s="70"/>
      <c r="G9313" s="94"/>
      <c r="H9313" s="131"/>
      <c r="I9313" s="3"/>
      <c r="J9313"/>
      <c r="K9313"/>
      <c r="L9313"/>
      <c r="M9313"/>
      <c r="N9313"/>
      <c r="O9313"/>
      <c r="P9313"/>
      <c r="Q9313"/>
      <c r="R9313"/>
      <c r="S9313"/>
      <c r="T9313"/>
      <c r="U9313"/>
      <c r="V9313"/>
      <c r="W9313"/>
      <c r="X9313"/>
      <c r="Y9313"/>
      <c r="Z9313"/>
      <c r="AA9313"/>
      <c r="AB9313"/>
      <c r="AC9313"/>
      <c r="AD9313"/>
      <c r="AE9313"/>
      <c r="AF9313"/>
      <c r="AG9313"/>
      <c r="AH9313"/>
      <c r="AI9313"/>
      <c r="AJ9313"/>
      <c r="AK9313"/>
      <c r="AL9313"/>
      <c r="AM9313"/>
      <c r="AN9313"/>
      <c r="AO9313"/>
      <c r="AP9313"/>
      <c r="AQ9313"/>
      <c r="AR9313"/>
      <c r="AS9313"/>
      <c r="AT9313"/>
      <c r="AU9313"/>
      <c r="AV9313"/>
      <c r="AW9313"/>
      <c r="AX9313"/>
      <c r="AY9313"/>
      <c r="AZ9313"/>
      <c r="BA9313"/>
      <c r="BB9313"/>
      <c r="BC9313"/>
      <c r="BD9313"/>
      <c r="BE9313"/>
      <c r="BF9313"/>
      <c r="BG9313"/>
      <c r="BH9313"/>
      <c r="BI9313"/>
      <c r="BJ9313"/>
      <c r="BK9313"/>
    </row>
    <row r="9314" spans="1:63" s="93" customFormat="1" ht="9" customHeight="1" x14ac:dyDescent="0.3">
      <c r="A9314" s="91"/>
      <c r="B9314" s="70"/>
      <c r="C9314" s="70"/>
      <c r="D9314" s="70"/>
      <c r="E9314" s="70"/>
      <c r="F9314" s="70"/>
      <c r="G9314" s="94"/>
      <c r="H9314" s="131"/>
      <c r="I9314" s="3"/>
      <c r="J9314"/>
      <c r="K9314"/>
      <c r="L9314"/>
      <c r="M9314"/>
      <c r="N9314"/>
      <c r="O9314"/>
      <c r="P9314"/>
      <c r="Q9314"/>
      <c r="R9314"/>
      <c r="S9314"/>
      <c r="T9314"/>
      <c r="U9314"/>
      <c r="V9314"/>
      <c r="W9314"/>
      <c r="X9314"/>
      <c r="Y9314"/>
      <c r="Z9314"/>
      <c r="AA9314"/>
      <c r="AB9314"/>
      <c r="AC9314"/>
      <c r="AD9314"/>
      <c r="AE9314"/>
      <c r="AF9314"/>
      <c r="AG9314"/>
      <c r="AH9314"/>
      <c r="AI9314"/>
      <c r="AJ9314"/>
      <c r="AK9314"/>
      <c r="AL9314"/>
      <c r="AM9314"/>
      <c r="AN9314"/>
      <c r="AO9314"/>
      <c r="AP9314"/>
      <c r="AQ9314"/>
      <c r="AR9314"/>
      <c r="AS9314"/>
      <c r="AT9314"/>
      <c r="AU9314"/>
      <c r="AV9314"/>
      <c r="AW9314"/>
      <c r="AX9314"/>
      <c r="AY9314"/>
      <c r="AZ9314"/>
      <c r="BA9314"/>
      <c r="BB9314"/>
      <c r="BC9314"/>
      <c r="BD9314"/>
      <c r="BE9314"/>
      <c r="BF9314"/>
      <c r="BG9314"/>
      <c r="BH9314"/>
      <c r="BI9314"/>
      <c r="BJ9314"/>
      <c r="BK9314"/>
    </row>
    <row r="9315" spans="1:63" s="93" customFormat="1" ht="9" customHeight="1" x14ac:dyDescent="0.3">
      <c r="A9315" s="91"/>
      <c r="B9315" s="70"/>
      <c r="C9315" s="70"/>
      <c r="D9315" s="70"/>
      <c r="E9315" s="70"/>
      <c r="F9315" s="70"/>
      <c r="G9315" s="94"/>
      <c r="H9315" s="131"/>
      <c r="I9315" s="3"/>
      <c r="J9315"/>
      <c r="K9315"/>
      <c r="L9315"/>
      <c r="M9315"/>
      <c r="N9315"/>
      <c r="O9315"/>
      <c r="P9315"/>
      <c r="Q9315"/>
      <c r="R9315"/>
      <c r="S9315"/>
      <c r="T9315"/>
      <c r="U9315"/>
      <c r="V9315"/>
      <c r="W9315"/>
      <c r="X9315"/>
      <c r="Y9315"/>
      <c r="Z9315"/>
      <c r="AA9315"/>
      <c r="AB9315"/>
      <c r="AC9315"/>
      <c r="AD9315"/>
      <c r="AE9315"/>
      <c r="AF9315"/>
      <c r="AG9315"/>
      <c r="AH9315"/>
      <c r="AI9315"/>
      <c r="AJ9315"/>
      <c r="AK9315"/>
      <c r="AL9315"/>
      <c r="AM9315"/>
      <c r="AN9315"/>
      <c r="AO9315"/>
      <c r="AP9315"/>
      <c r="AQ9315"/>
      <c r="AR9315"/>
      <c r="AS9315"/>
      <c r="AT9315"/>
      <c r="AU9315"/>
      <c r="AV9315"/>
      <c r="AW9315"/>
      <c r="AX9315"/>
      <c r="AY9315"/>
      <c r="AZ9315"/>
      <c r="BA9315"/>
      <c r="BB9315"/>
      <c r="BC9315"/>
      <c r="BD9315"/>
      <c r="BE9315"/>
      <c r="BF9315"/>
      <c r="BG9315"/>
      <c r="BH9315"/>
      <c r="BI9315"/>
      <c r="BJ9315"/>
      <c r="BK9315"/>
    </row>
    <row r="9316" spans="1:63" s="93" customFormat="1" ht="9" customHeight="1" x14ac:dyDescent="0.3">
      <c r="A9316" s="91"/>
      <c r="B9316" s="70"/>
      <c r="C9316" s="70"/>
      <c r="D9316" s="70"/>
      <c r="E9316" s="70"/>
      <c r="F9316" s="70"/>
      <c r="G9316" s="94"/>
      <c r="H9316" s="131"/>
      <c r="I9316" s="3"/>
      <c r="J9316"/>
      <c r="K9316"/>
      <c r="L9316"/>
      <c r="M9316"/>
      <c r="N9316"/>
      <c r="O9316"/>
      <c r="P9316"/>
      <c r="Q9316"/>
      <c r="R9316"/>
      <c r="S9316"/>
      <c r="T9316"/>
      <c r="U9316"/>
      <c r="V9316"/>
      <c r="W9316"/>
      <c r="X9316"/>
      <c r="Y9316"/>
      <c r="Z9316"/>
      <c r="AA9316"/>
      <c r="AB9316"/>
      <c r="AC9316"/>
      <c r="AD9316"/>
      <c r="AE9316"/>
      <c r="AF9316"/>
      <c r="AG9316"/>
      <c r="AH9316"/>
      <c r="AI9316"/>
      <c r="AJ9316"/>
      <c r="AK9316"/>
      <c r="AL9316"/>
      <c r="AM9316"/>
      <c r="AN9316"/>
      <c r="AO9316"/>
      <c r="AP9316"/>
      <c r="AQ9316"/>
      <c r="AR9316"/>
      <c r="AS9316"/>
      <c r="AT9316"/>
      <c r="AU9316"/>
      <c r="AV9316"/>
      <c r="AW9316"/>
      <c r="AX9316"/>
      <c r="AY9316"/>
      <c r="AZ9316"/>
      <c r="BA9316"/>
      <c r="BB9316"/>
      <c r="BC9316"/>
      <c r="BD9316"/>
      <c r="BE9316"/>
      <c r="BF9316"/>
      <c r="BG9316"/>
      <c r="BH9316"/>
      <c r="BI9316"/>
      <c r="BJ9316"/>
      <c r="BK9316"/>
    </row>
    <row r="9317" spans="1:63" s="93" customFormat="1" ht="9" customHeight="1" x14ac:dyDescent="0.3">
      <c r="A9317" s="91"/>
      <c r="B9317" s="70"/>
      <c r="C9317" s="70"/>
      <c r="D9317" s="70"/>
      <c r="E9317" s="70"/>
      <c r="F9317" s="70"/>
      <c r="G9317" s="94"/>
      <c r="H9317" s="131"/>
      <c r="I9317" s="3"/>
      <c r="J9317"/>
      <c r="K9317"/>
      <c r="L9317"/>
      <c r="M9317"/>
      <c r="N9317"/>
      <c r="O9317"/>
      <c r="P9317"/>
      <c r="Q9317"/>
      <c r="R9317"/>
      <c r="S9317"/>
      <c r="T9317"/>
      <c r="U9317"/>
      <c r="V9317"/>
      <c r="W9317"/>
      <c r="X9317"/>
      <c r="Y9317"/>
      <c r="Z9317"/>
      <c r="AA9317"/>
      <c r="AB9317"/>
      <c r="AC9317"/>
      <c r="AD9317"/>
      <c r="AE9317"/>
      <c r="AF9317"/>
      <c r="AG9317"/>
      <c r="AH9317"/>
      <c r="AI9317"/>
      <c r="AJ9317"/>
      <c r="AK9317"/>
      <c r="AL9317"/>
      <c r="AM9317"/>
      <c r="AN9317"/>
      <c r="AO9317"/>
      <c r="AP9317"/>
      <c r="AQ9317"/>
      <c r="AR9317"/>
      <c r="AS9317"/>
      <c r="AT9317"/>
      <c r="AU9317"/>
      <c r="AV9317"/>
      <c r="AW9317"/>
      <c r="AX9317"/>
      <c r="AY9317"/>
      <c r="AZ9317"/>
      <c r="BA9317"/>
      <c r="BB9317"/>
      <c r="BC9317"/>
      <c r="BD9317"/>
      <c r="BE9317"/>
      <c r="BF9317"/>
      <c r="BG9317"/>
      <c r="BH9317"/>
      <c r="BI9317"/>
      <c r="BJ9317"/>
      <c r="BK9317"/>
    </row>
    <row r="9318" spans="1:63" s="93" customFormat="1" ht="9" customHeight="1" x14ac:dyDescent="0.3">
      <c r="A9318" s="91"/>
      <c r="B9318" s="70"/>
      <c r="C9318" s="70"/>
      <c r="D9318" s="70"/>
      <c r="E9318" s="70"/>
      <c r="F9318" s="70"/>
      <c r="G9318" s="94"/>
      <c r="H9318" s="131"/>
      <c r="I9318" s="3"/>
      <c r="J9318"/>
      <c r="K9318"/>
      <c r="L9318"/>
      <c r="M9318"/>
      <c r="N9318"/>
      <c r="O9318"/>
      <c r="P9318"/>
      <c r="Q9318"/>
      <c r="R9318"/>
      <c r="S9318"/>
      <c r="T9318"/>
      <c r="U9318"/>
      <c r="V9318"/>
      <c r="W9318"/>
      <c r="X9318"/>
      <c r="Y9318"/>
      <c r="Z9318"/>
      <c r="AA9318"/>
      <c r="AB9318"/>
      <c r="AC9318"/>
      <c r="AD9318"/>
      <c r="AE9318"/>
      <c r="AF9318"/>
      <c r="AG9318"/>
      <c r="AH9318"/>
      <c r="AI9318"/>
      <c r="AJ9318"/>
      <c r="AK9318"/>
      <c r="AL9318"/>
      <c r="AM9318"/>
      <c r="AN9318"/>
      <c r="AO9318"/>
      <c r="AP9318"/>
      <c r="AQ9318"/>
      <c r="AR9318"/>
      <c r="AS9318"/>
      <c r="AT9318"/>
      <c r="AU9318"/>
      <c r="AV9318"/>
      <c r="AW9318"/>
      <c r="AX9318"/>
      <c r="AY9318"/>
      <c r="AZ9318"/>
      <c r="BA9318"/>
      <c r="BB9318"/>
      <c r="BC9318"/>
      <c r="BD9318"/>
      <c r="BE9318"/>
      <c r="BF9318"/>
      <c r="BG9318"/>
      <c r="BH9318"/>
      <c r="BI9318"/>
      <c r="BJ9318"/>
      <c r="BK9318"/>
    </row>
    <row r="9319" spans="1:63" s="93" customFormat="1" ht="9" customHeight="1" x14ac:dyDescent="0.3">
      <c r="A9319" s="91"/>
      <c r="B9319" s="70"/>
      <c r="C9319" s="70"/>
      <c r="D9319" s="70"/>
      <c r="E9319" s="70"/>
      <c r="F9319" s="70"/>
      <c r="G9319" s="94"/>
      <c r="H9319" s="131"/>
      <c r="I9319" s="3"/>
      <c r="J9319"/>
      <c r="K9319"/>
      <c r="L9319"/>
      <c r="M9319"/>
      <c r="N9319"/>
      <c r="O9319"/>
      <c r="P9319"/>
      <c r="Q9319"/>
      <c r="R9319"/>
      <c r="S9319"/>
      <c r="T9319"/>
      <c r="U9319"/>
      <c r="V9319"/>
      <c r="W9319"/>
      <c r="X9319"/>
      <c r="Y9319"/>
      <c r="Z9319"/>
      <c r="AA9319"/>
      <c r="AB9319"/>
      <c r="AC9319"/>
      <c r="AD9319"/>
      <c r="AE9319"/>
      <c r="AF9319"/>
      <c r="AG9319"/>
      <c r="AH9319"/>
      <c r="AI9319"/>
      <c r="AJ9319"/>
      <c r="AK9319"/>
      <c r="AL9319"/>
      <c r="AM9319"/>
      <c r="AN9319"/>
      <c r="AO9319"/>
      <c r="AP9319"/>
      <c r="AQ9319"/>
      <c r="AR9319"/>
      <c r="AS9319"/>
      <c r="AT9319"/>
      <c r="AU9319"/>
      <c r="AV9319"/>
      <c r="AW9319"/>
      <c r="AX9319"/>
      <c r="AY9319"/>
      <c r="AZ9319"/>
      <c r="BA9319"/>
      <c r="BB9319"/>
      <c r="BC9319"/>
      <c r="BD9319"/>
      <c r="BE9319"/>
      <c r="BF9319"/>
      <c r="BG9319"/>
      <c r="BH9319"/>
      <c r="BI9319"/>
      <c r="BJ9319"/>
      <c r="BK9319"/>
    </row>
    <row r="9320" spans="1:63" s="93" customFormat="1" ht="9" customHeight="1" x14ac:dyDescent="0.3">
      <c r="A9320" s="91"/>
      <c r="B9320" s="70"/>
      <c r="C9320" s="70"/>
      <c r="D9320" s="70"/>
      <c r="E9320" s="70"/>
      <c r="F9320" s="70"/>
      <c r="G9320" s="94"/>
      <c r="H9320" s="131"/>
      <c r="I9320" s="3"/>
      <c r="J9320"/>
      <c r="K9320"/>
      <c r="L9320"/>
      <c r="M9320"/>
      <c r="N9320"/>
      <c r="O9320"/>
      <c r="P9320"/>
      <c r="Q9320"/>
      <c r="R9320"/>
      <c r="S9320"/>
      <c r="T9320"/>
      <c r="U9320"/>
      <c r="V9320"/>
      <c r="W9320"/>
      <c r="X9320"/>
      <c r="Y9320"/>
      <c r="Z9320"/>
      <c r="AA9320"/>
      <c r="AB9320"/>
      <c r="AC9320"/>
      <c r="AD9320"/>
      <c r="AE9320"/>
      <c r="AF9320"/>
      <c r="AG9320"/>
      <c r="AH9320"/>
      <c r="AI9320"/>
      <c r="AJ9320"/>
      <c r="AK9320"/>
      <c r="AL9320"/>
      <c r="AM9320"/>
      <c r="AN9320"/>
      <c r="AO9320"/>
      <c r="AP9320"/>
      <c r="AQ9320"/>
      <c r="AR9320"/>
      <c r="AS9320"/>
      <c r="AT9320"/>
      <c r="AU9320"/>
      <c r="AV9320"/>
      <c r="AW9320"/>
      <c r="AX9320"/>
      <c r="AY9320"/>
      <c r="AZ9320"/>
      <c r="BA9320"/>
      <c r="BB9320"/>
      <c r="BC9320"/>
      <c r="BD9320"/>
      <c r="BE9320"/>
      <c r="BF9320"/>
      <c r="BG9320"/>
      <c r="BH9320"/>
      <c r="BI9320"/>
      <c r="BJ9320"/>
      <c r="BK9320"/>
    </row>
    <row r="9321" spans="1:63" s="93" customFormat="1" ht="9" customHeight="1" x14ac:dyDescent="0.3">
      <c r="A9321" s="91"/>
      <c r="B9321" s="70"/>
      <c r="C9321" s="70"/>
      <c r="D9321" s="70"/>
      <c r="E9321" s="70"/>
      <c r="F9321" s="70"/>
      <c r="G9321" s="94"/>
      <c r="H9321" s="131"/>
      <c r="I9321" s="3"/>
      <c r="J9321"/>
      <c r="K9321"/>
      <c r="L9321"/>
      <c r="M9321"/>
      <c r="N9321"/>
      <c r="O9321"/>
      <c r="P9321"/>
      <c r="Q9321"/>
      <c r="R9321"/>
      <c r="S9321"/>
      <c r="T9321"/>
      <c r="U9321"/>
      <c r="V9321"/>
      <c r="W9321"/>
      <c r="X9321"/>
      <c r="Y9321"/>
      <c r="Z9321"/>
      <c r="AA9321"/>
      <c r="AB9321"/>
      <c r="AC9321"/>
      <c r="AD9321"/>
      <c r="AE9321"/>
      <c r="AF9321"/>
      <c r="AG9321"/>
      <c r="AH9321"/>
      <c r="AI9321"/>
      <c r="AJ9321"/>
      <c r="AK9321"/>
      <c r="AL9321"/>
      <c r="AM9321"/>
      <c r="AN9321"/>
      <c r="AO9321"/>
      <c r="AP9321"/>
      <c r="AQ9321"/>
      <c r="AR9321"/>
      <c r="AS9321"/>
      <c r="AT9321"/>
      <c r="AU9321"/>
      <c r="AV9321"/>
      <c r="AW9321"/>
      <c r="AX9321"/>
      <c r="AY9321"/>
      <c r="AZ9321"/>
      <c r="BA9321"/>
      <c r="BB9321"/>
      <c r="BC9321"/>
      <c r="BD9321"/>
      <c r="BE9321"/>
      <c r="BF9321"/>
      <c r="BG9321"/>
      <c r="BH9321"/>
      <c r="BI9321"/>
      <c r="BJ9321"/>
      <c r="BK9321"/>
    </row>
    <row r="9322" spans="1:63" s="93" customFormat="1" ht="9" customHeight="1" x14ac:dyDescent="0.3">
      <c r="A9322" s="91"/>
      <c r="B9322" s="70"/>
      <c r="C9322" s="70"/>
      <c r="D9322" s="70"/>
      <c r="E9322" s="70"/>
      <c r="F9322" s="70"/>
      <c r="G9322" s="94"/>
      <c r="H9322" s="131"/>
      <c r="I9322" s="3"/>
      <c r="J9322"/>
      <c r="K9322"/>
      <c r="L9322"/>
      <c r="M9322"/>
      <c r="N9322"/>
      <c r="O9322"/>
      <c r="P9322"/>
      <c r="Q9322"/>
      <c r="R9322"/>
      <c r="S9322"/>
      <c r="T9322"/>
      <c r="U9322"/>
      <c r="V9322"/>
      <c r="W9322"/>
      <c r="X9322"/>
      <c r="Y9322"/>
      <c r="Z9322"/>
      <c r="AA9322"/>
      <c r="AB9322"/>
      <c r="AC9322"/>
      <c r="AD9322"/>
      <c r="AE9322"/>
      <c r="AF9322"/>
      <c r="AG9322"/>
      <c r="AH9322"/>
      <c r="AI9322"/>
      <c r="AJ9322"/>
      <c r="AK9322"/>
      <c r="AL9322"/>
      <c r="AM9322"/>
      <c r="AN9322"/>
      <c r="AO9322"/>
      <c r="AP9322"/>
      <c r="AQ9322"/>
      <c r="AR9322"/>
      <c r="AS9322"/>
      <c r="AT9322"/>
      <c r="AU9322"/>
      <c r="AV9322"/>
      <c r="AW9322"/>
      <c r="AX9322"/>
      <c r="AY9322"/>
      <c r="AZ9322"/>
      <c r="BA9322"/>
      <c r="BB9322"/>
      <c r="BC9322"/>
      <c r="BD9322"/>
      <c r="BE9322"/>
      <c r="BF9322"/>
      <c r="BG9322"/>
      <c r="BH9322"/>
      <c r="BI9322"/>
      <c r="BJ9322"/>
      <c r="BK9322"/>
    </row>
    <row r="9323" spans="1:63" s="93" customFormat="1" ht="9" customHeight="1" x14ac:dyDescent="0.3">
      <c r="A9323" s="91"/>
      <c r="B9323" s="70"/>
      <c r="C9323" s="70"/>
      <c r="D9323" s="70"/>
      <c r="E9323" s="70"/>
      <c r="F9323" s="70"/>
      <c r="G9323" s="94"/>
      <c r="H9323" s="131"/>
      <c r="I9323" s="3"/>
      <c r="J9323"/>
      <c r="K9323"/>
      <c r="L9323"/>
      <c r="M9323"/>
      <c r="N9323"/>
      <c r="O9323"/>
      <c r="P9323"/>
      <c r="Q9323"/>
      <c r="R9323"/>
      <c r="S9323"/>
      <c r="T9323"/>
      <c r="U9323"/>
      <c r="V9323"/>
      <c r="W9323"/>
      <c r="X9323"/>
      <c r="Y9323"/>
      <c r="Z9323"/>
      <c r="AA9323"/>
      <c r="AB9323"/>
      <c r="AC9323"/>
      <c r="AD9323"/>
      <c r="AE9323"/>
      <c r="AF9323"/>
      <c r="AG9323"/>
      <c r="AH9323"/>
      <c r="AI9323"/>
      <c r="AJ9323"/>
      <c r="AK9323"/>
      <c r="AL9323"/>
      <c r="AM9323"/>
      <c r="AN9323"/>
      <c r="AO9323"/>
      <c r="AP9323"/>
      <c r="AQ9323"/>
      <c r="AR9323"/>
      <c r="AS9323"/>
      <c r="AT9323"/>
      <c r="AU9323"/>
      <c r="AV9323"/>
      <c r="AW9323"/>
      <c r="AX9323"/>
      <c r="AY9323"/>
      <c r="AZ9323"/>
      <c r="BA9323"/>
      <c r="BB9323"/>
      <c r="BC9323"/>
      <c r="BD9323"/>
      <c r="BE9323"/>
      <c r="BF9323"/>
      <c r="BG9323"/>
      <c r="BH9323"/>
      <c r="BI9323"/>
      <c r="BJ9323"/>
      <c r="BK9323"/>
    </row>
    <row r="9324" spans="1:63" s="93" customFormat="1" ht="9" customHeight="1" x14ac:dyDescent="0.3">
      <c r="A9324" s="91"/>
      <c r="B9324" s="70"/>
      <c r="C9324" s="70"/>
      <c r="D9324" s="70"/>
      <c r="E9324" s="70"/>
      <c r="F9324" s="70"/>
      <c r="G9324" s="94"/>
      <c r="H9324" s="131"/>
      <c r="I9324" s="3"/>
      <c r="J9324"/>
      <c r="K9324"/>
      <c r="L9324"/>
      <c r="M9324"/>
      <c r="N9324"/>
      <c r="O9324"/>
      <c r="P9324"/>
      <c r="Q9324"/>
      <c r="R9324"/>
      <c r="S9324"/>
      <c r="T9324"/>
      <c r="U9324"/>
      <c r="V9324"/>
      <c r="W9324"/>
      <c r="X9324"/>
      <c r="Y9324"/>
      <c r="Z9324"/>
      <c r="AA9324"/>
      <c r="AB9324"/>
      <c r="AC9324"/>
      <c r="AD9324"/>
      <c r="AE9324"/>
      <c r="AF9324"/>
      <c r="AG9324"/>
      <c r="AH9324"/>
      <c r="AI9324"/>
      <c r="AJ9324"/>
      <c r="AK9324"/>
      <c r="AL9324"/>
      <c r="AM9324"/>
      <c r="AN9324"/>
      <c r="AO9324"/>
      <c r="AP9324"/>
      <c r="AQ9324"/>
      <c r="AR9324"/>
      <c r="AS9324"/>
      <c r="AT9324"/>
      <c r="AU9324"/>
      <c r="AV9324"/>
      <c r="AW9324"/>
      <c r="AX9324"/>
      <c r="AY9324"/>
      <c r="AZ9324"/>
      <c r="BA9324"/>
      <c r="BB9324"/>
      <c r="BC9324"/>
      <c r="BD9324"/>
      <c r="BE9324"/>
      <c r="BF9324"/>
      <c r="BG9324"/>
      <c r="BH9324"/>
      <c r="BI9324"/>
      <c r="BJ9324"/>
      <c r="BK9324"/>
    </row>
    <row r="9325" spans="1:63" s="93" customFormat="1" ht="9" customHeight="1" x14ac:dyDescent="0.3">
      <c r="A9325" s="91"/>
      <c r="B9325" s="70"/>
      <c r="C9325" s="70"/>
      <c r="D9325" s="70"/>
      <c r="E9325" s="70"/>
      <c r="F9325" s="70"/>
      <c r="G9325" s="94"/>
      <c r="H9325" s="131"/>
      <c r="I9325" s="3"/>
      <c r="J9325"/>
      <c r="K9325"/>
      <c r="L9325"/>
      <c r="M9325"/>
      <c r="N9325"/>
      <c r="O9325"/>
      <c r="P9325"/>
      <c r="Q9325"/>
      <c r="R9325"/>
      <c r="S9325"/>
      <c r="T9325"/>
      <c r="U9325"/>
      <c r="V9325"/>
      <c r="W9325"/>
      <c r="X9325"/>
      <c r="Y9325"/>
      <c r="Z9325"/>
      <c r="AA9325"/>
      <c r="AB9325"/>
      <c r="AC9325"/>
      <c r="AD9325"/>
      <c r="AE9325"/>
      <c r="AF9325"/>
      <c r="AG9325"/>
      <c r="AH9325"/>
      <c r="AI9325"/>
      <c r="AJ9325"/>
      <c r="AK9325"/>
      <c r="AL9325"/>
      <c r="AM9325"/>
      <c r="AN9325"/>
      <c r="AO9325"/>
      <c r="AP9325"/>
      <c r="AQ9325"/>
      <c r="AR9325"/>
      <c r="AS9325"/>
      <c r="AT9325"/>
      <c r="AU9325"/>
      <c r="AV9325"/>
      <c r="AW9325"/>
      <c r="AX9325"/>
      <c r="AY9325"/>
      <c r="AZ9325"/>
      <c r="BA9325"/>
      <c r="BB9325"/>
      <c r="BC9325"/>
      <c r="BD9325"/>
      <c r="BE9325"/>
      <c r="BF9325"/>
      <c r="BG9325"/>
      <c r="BH9325"/>
      <c r="BI9325"/>
      <c r="BJ9325"/>
      <c r="BK9325"/>
    </row>
    <row r="9326" spans="1:63" s="93" customFormat="1" ht="9" customHeight="1" x14ac:dyDescent="0.3">
      <c r="A9326" s="91"/>
      <c r="B9326" s="70"/>
      <c r="C9326" s="70"/>
      <c r="D9326" s="70"/>
      <c r="E9326" s="70"/>
      <c r="F9326" s="70"/>
      <c r="G9326" s="94"/>
      <c r="H9326" s="131"/>
      <c r="I9326" s="3"/>
      <c r="J9326"/>
      <c r="K9326"/>
      <c r="L9326"/>
      <c r="M9326"/>
      <c r="N9326"/>
      <c r="O9326"/>
      <c r="P9326"/>
      <c r="Q9326"/>
      <c r="R9326"/>
      <c r="S9326"/>
      <c r="T9326"/>
      <c r="U9326"/>
      <c r="V9326"/>
      <c r="W9326"/>
      <c r="X9326"/>
      <c r="Y9326"/>
      <c r="Z9326"/>
      <c r="AA9326"/>
      <c r="AB9326"/>
      <c r="AC9326"/>
      <c r="AD9326"/>
      <c r="AE9326"/>
      <c r="AF9326"/>
      <c r="AG9326"/>
      <c r="AH9326"/>
      <c r="AI9326"/>
      <c r="AJ9326"/>
      <c r="AK9326"/>
      <c r="AL9326"/>
      <c r="AM9326"/>
      <c r="AN9326"/>
      <c r="AO9326"/>
      <c r="AP9326"/>
      <c r="AQ9326"/>
      <c r="AR9326"/>
      <c r="AS9326"/>
      <c r="AT9326"/>
      <c r="AU9326"/>
      <c r="AV9326"/>
      <c r="AW9326"/>
      <c r="AX9326"/>
      <c r="AY9326"/>
      <c r="AZ9326"/>
      <c r="BA9326"/>
      <c r="BB9326"/>
      <c r="BC9326"/>
      <c r="BD9326"/>
      <c r="BE9326"/>
      <c r="BF9326"/>
      <c r="BG9326"/>
      <c r="BH9326"/>
      <c r="BI9326"/>
      <c r="BJ9326"/>
      <c r="BK9326"/>
    </row>
    <row r="9327" spans="1:63" s="93" customFormat="1" ht="9" customHeight="1" x14ac:dyDescent="0.3">
      <c r="A9327" s="91"/>
      <c r="B9327" s="70"/>
      <c r="C9327" s="70"/>
      <c r="D9327" s="70"/>
      <c r="E9327" s="70"/>
      <c r="F9327" s="70"/>
      <c r="G9327" s="94"/>
      <c r="H9327" s="131"/>
      <c r="I9327" s="3"/>
      <c r="J9327"/>
      <c r="K9327"/>
      <c r="L9327"/>
      <c r="M9327"/>
      <c r="N9327"/>
      <c r="O9327"/>
      <c r="P9327"/>
      <c r="Q9327"/>
      <c r="R9327"/>
      <c r="S9327"/>
      <c r="T9327"/>
      <c r="U9327"/>
      <c r="V9327"/>
      <c r="W9327"/>
      <c r="X9327"/>
      <c r="Y9327"/>
      <c r="Z9327"/>
      <c r="AA9327"/>
      <c r="AB9327"/>
      <c r="AC9327"/>
      <c r="AD9327"/>
      <c r="AE9327"/>
      <c r="AF9327"/>
      <c r="AG9327"/>
      <c r="AH9327"/>
      <c r="AI9327"/>
      <c r="AJ9327"/>
      <c r="AK9327"/>
      <c r="AL9327"/>
      <c r="AM9327"/>
      <c r="AN9327"/>
      <c r="AO9327"/>
      <c r="AP9327"/>
      <c r="AQ9327"/>
      <c r="AR9327"/>
      <c r="AS9327"/>
      <c r="AT9327"/>
      <c r="AU9327"/>
      <c r="AV9327"/>
      <c r="AW9327"/>
      <c r="AX9327"/>
      <c r="AY9327"/>
      <c r="AZ9327"/>
      <c r="BA9327"/>
      <c r="BB9327"/>
      <c r="BC9327"/>
      <c r="BD9327"/>
      <c r="BE9327"/>
      <c r="BF9327"/>
      <c r="BG9327"/>
      <c r="BH9327"/>
      <c r="BI9327"/>
      <c r="BJ9327"/>
      <c r="BK9327"/>
    </row>
    <row r="9328" spans="1:63" s="93" customFormat="1" ht="9" customHeight="1" x14ac:dyDescent="0.3">
      <c r="A9328" s="91"/>
      <c r="B9328" s="70"/>
      <c r="C9328" s="70"/>
      <c r="D9328" s="70"/>
      <c r="E9328" s="70"/>
      <c r="F9328" s="70"/>
      <c r="G9328" s="94"/>
      <c r="H9328" s="131"/>
      <c r="I9328" s="3"/>
      <c r="J9328"/>
      <c r="K9328"/>
      <c r="L9328"/>
      <c r="M9328"/>
      <c r="N9328"/>
      <c r="O9328"/>
      <c r="P9328"/>
      <c r="Q9328"/>
      <c r="R9328"/>
      <c r="S9328"/>
      <c r="T9328"/>
      <c r="U9328"/>
      <c r="V9328"/>
      <c r="W9328"/>
      <c r="X9328"/>
      <c r="Y9328"/>
      <c r="Z9328"/>
      <c r="AA9328"/>
      <c r="AB9328"/>
      <c r="AC9328"/>
      <c r="AD9328"/>
      <c r="AE9328"/>
      <c r="AF9328"/>
      <c r="AG9328"/>
      <c r="AH9328"/>
      <c r="AI9328"/>
      <c r="AJ9328"/>
      <c r="AK9328"/>
      <c r="AL9328"/>
      <c r="AM9328"/>
      <c r="AN9328"/>
      <c r="AO9328"/>
      <c r="AP9328"/>
      <c r="AQ9328"/>
      <c r="AR9328"/>
      <c r="AS9328"/>
      <c r="AT9328"/>
      <c r="AU9328"/>
      <c r="AV9328"/>
      <c r="AW9328"/>
      <c r="AX9328"/>
      <c r="AY9328"/>
      <c r="AZ9328"/>
      <c r="BA9328"/>
      <c r="BB9328"/>
      <c r="BC9328"/>
      <c r="BD9328"/>
      <c r="BE9328"/>
      <c r="BF9328"/>
      <c r="BG9328"/>
      <c r="BH9328"/>
      <c r="BI9328"/>
      <c r="BJ9328"/>
      <c r="BK9328"/>
    </row>
    <row r="9329" spans="1:63" s="93" customFormat="1" ht="9" customHeight="1" x14ac:dyDescent="0.3">
      <c r="A9329" s="91"/>
      <c r="B9329" s="70"/>
      <c r="C9329" s="70"/>
      <c r="D9329" s="70"/>
      <c r="E9329" s="70"/>
      <c r="F9329" s="70"/>
      <c r="G9329" s="94"/>
      <c r="H9329" s="131"/>
      <c r="I9329" s="3"/>
      <c r="J9329"/>
      <c r="K9329"/>
      <c r="L9329"/>
      <c r="M9329"/>
      <c r="N9329"/>
      <c r="O9329"/>
      <c r="P9329"/>
      <c r="Q9329"/>
      <c r="R9329"/>
      <c r="S9329"/>
      <c r="T9329"/>
      <c r="U9329"/>
      <c r="V9329"/>
      <c r="W9329"/>
      <c r="X9329"/>
      <c r="Y9329"/>
      <c r="Z9329"/>
      <c r="AA9329"/>
      <c r="AB9329"/>
      <c r="AC9329"/>
      <c r="AD9329"/>
      <c r="AE9329"/>
      <c r="AF9329"/>
      <c r="AG9329"/>
      <c r="AH9329"/>
      <c r="AI9329"/>
      <c r="AJ9329"/>
      <c r="AK9329"/>
      <c r="AL9329"/>
      <c r="AM9329"/>
      <c r="AN9329"/>
      <c r="AO9329"/>
      <c r="AP9329"/>
      <c r="AQ9329"/>
      <c r="AR9329"/>
      <c r="AS9329"/>
      <c r="AT9329"/>
      <c r="AU9329"/>
      <c r="AV9329"/>
      <c r="AW9329"/>
      <c r="AX9329"/>
      <c r="AY9329"/>
      <c r="AZ9329"/>
      <c r="BA9329"/>
      <c r="BB9329"/>
      <c r="BC9329"/>
      <c r="BD9329"/>
      <c r="BE9329"/>
      <c r="BF9329"/>
      <c r="BG9329"/>
      <c r="BH9329"/>
      <c r="BI9329"/>
      <c r="BJ9329"/>
      <c r="BK9329"/>
    </row>
    <row r="9330" spans="1:63" s="93" customFormat="1" ht="9" customHeight="1" x14ac:dyDescent="0.3">
      <c r="A9330" s="91"/>
      <c r="B9330" s="70"/>
      <c r="C9330" s="70"/>
      <c r="D9330" s="70"/>
      <c r="E9330" s="70"/>
      <c r="F9330" s="70"/>
      <c r="G9330" s="94"/>
      <c r="H9330" s="131"/>
      <c r="I9330" s="3"/>
      <c r="J9330"/>
      <c r="K9330"/>
      <c r="L9330"/>
      <c r="M9330"/>
      <c r="N9330"/>
      <c r="O9330"/>
      <c r="P9330"/>
      <c r="Q9330"/>
      <c r="R9330"/>
      <c r="S9330"/>
      <c r="T9330"/>
      <c r="U9330"/>
      <c r="V9330"/>
      <c r="W9330"/>
      <c r="X9330"/>
      <c r="Y9330"/>
      <c r="Z9330"/>
      <c r="AA9330"/>
      <c r="AB9330"/>
      <c r="AC9330"/>
      <c r="AD9330"/>
      <c r="AE9330"/>
      <c r="AF9330"/>
      <c r="AG9330"/>
      <c r="AH9330"/>
      <c r="AI9330"/>
      <c r="AJ9330"/>
      <c r="AK9330"/>
      <c r="AL9330"/>
      <c r="AM9330"/>
      <c r="AN9330"/>
      <c r="AO9330"/>
      <c r="AP9330"/>
      <c r="AQ9330"/>
      <c r="AR9330"/>
      <c r="AS9330"/>
      <c r="AT9330"/>
      <c r="AU9330"/>
      <c r="AV9330"/>
      <c r="AW9330"/>
      <c r="AX9330"/>
      <c r="AY9330"/>
      <c r="AZ9330"/>
      <c r="BA9330"/>
      <c r="BB9330"/>
      <c r="BC9330"/>
      <c r="BD9330"/>
      <c r="BE9330"/>
      <c r="BF9330"/>
      <c r="BG9330"/>
      <c r="BH9330"/>
      <c r="BI9330"/>
      <c r="BJ9330"/>
      <c r="BK9330"/>
    </row>
    <row r="9331" spans="1:63" s="93" customFormat="1" ht="9" customHeight="1" x14ac:dyDescent="0.3">
      <c r="A9331" s="91"/>
      <c r="B9331" s="70"/>
      <c r="C9331" s="70"/>
      <c r="D9331" s="70"/>
      <c r="E9331" s="70"/>
      <c r="F9331" s="70"/>
      <c r="G9331" s="94"/>
      <c r="H9331" s="131"/>
      <c r="I9331" s="3"/>
      <c r="J9331"/>
      <c r="K9331"/>
      <c r="L9331"/>
      <c r="M9331"/>
      <c r="N9331"/>
      <c r="O9331"/>
      <c r="P9331"/>
      <c r="Q9331"/>
      <c r="R9331"/>
      <c r="S9331"/>
      <c r="T9331"/>
      <c r="U9331"/>
      <c r="V9331"/>
      <c r="W9331"/>
      <c r="X9331"/>
      <c r="Y9331"/>
      <c r="Z9331"/>
      <c r="AA9331"/>
      <c r="AB9331"/>
      <c r="AC9331"/>
      <c r="AD9331"/>
      <c r="AE9331"/>
      <c r="AF9331"/>
      <c r="AG9331"/>
      <c r="AH9331"/>
      <c r="AI9331"/>
      <c r="AJ9331"/>
      <c r="AK9331"/>
      <c r="AL9331"/>
      <c r="AM9331"/>
      <c r="AN9331"/>
      <c r="AO9331"/>
      <c r="AP9331"/>
      <c r="AQ9331"/>
      <c r="AR9331"/>
      <c r="AS9331"/>
      <c r="AT9331"/>
      <c r="AU9331"/>
      <c r="AV9331"/>
      <c r="AW9331"/>
      <c r="AX9331"/>
      <c r="AY9331"/>
      <c r="AZ9331"/>
      <c r="BA9331"/>
      <c r="BB9331"/>
      <c r="BC9331"/>
      <c r="BD9331"/>
      <c r="BE9331"/>
      <c r="BF9331"/>
      <c r="BG9331"/>
      <c r="BH9331"/>
      <c r="BI9331"/>
      <c r="BJ9331"/>
      <c r="BK9331"/>
    </row>
    <row r="9332" spans="1:63" s="93" customFormat="1" ht="9" customHeight="1" x14ac:dyDescent="0.3">
      <c r="A9332" s="91"/>
      <c r="B9332" s="70"/>
      <c r="C9332" s="70"/>
      <c r="D9332" s="70"/>
      <c r="E9332" s="70"/>
      <c r="F9332" s="70"/>
      <c r="G9332" s="94"/>
      <c r="H9332" s="131"/>
      <c r="I9332" s="3"/>
      <c r="J9332"/>
      <c r="K9332"/>
      <c r="L9332"/>
      <c r="M9332"/>
      <c r="N9332"/>
      <c r="O9332"/>
      <c r="P9332"/>
      <c r="Q9332"/>
      <c r="R9332"/>
      <c r="S9332"/>
      <c r="T9332"/>
      <c r="U9332"/>
      <c r="V9332"/>
      <c r="W9332"/>
      <c r="X9332"/>
      <c r="Y9332"/>
      <c r="Z9332"/>
      <c r="AA9332"/>
      <c r="AB9332"/>
      <c r="AC9332"/>
      <c r="AD9332"/>
      <c r="AE9332"/>
      <c r="AF9332"/>
      <c r="AG9332"/>
      <c r="AH9332"/>
      <c r="AI9332"/>
      <c r="AJ9332"/>
      <c r="AK9332"/>
      <c r="AL9332"/>
      <c r="AM9332"/>
      <c r="AN9332"/>
      <c r="AO9332"/>
      <c r="AP9332"/>
      <c r="AQ9332"/>
      <c r="AR9332"/>
      <c r="AS9332"/>
      <c r="AT9332"/>
      <c r="AU9332"/>
      <c r="AV9332"/>
      <c r="AW9332"/>
      <c r="AX9332"/>
      <c r="AY9332"/>
      <c r="AZ9332"/>
      <c r="BA9332"/>
      <c r="BB9332"/>
      <c r="BC9332"/>
      <c r="BD9332"/>
      <c r="BE9332"/>
      <c r="BF9332"/>
      <c r="BG9332"/>
      <c r="BH9332"/>
      <c r="BI9332"/>
      <c r="BJ9332"/>
      <c r="BK9332"/>
    </row>
    <row r="9333" spans="1:63" s="93" customFormat="1" ht="9" customHeight="1" x14ac:dyDescent="0.3">
      <c r="A9333" s="91"/>
      <c r="B9333" s="70"/>
      <c r="C9333" s="70"/>
      <c r="D9333" s="70"/>
      <c r="E9333" s="70"/>
      <c r="F9333" s="70"/>
      <c r="G9333" s="94"/>
      <c r="H9333" s="131"/>
      <c r="I9333" s="3"/>
      <c r="J9333"/>
      <c r="K9333"/>
      <c r="L9333"/>
      <c r="M9333"/>
      <c r="N9333"/>
      <c r="O9333"/>
      <c r="P9333"/>
      <c r="Q9333"/>
      <c r="R9333"/>
      <c r="S9333"/>
      <c r="T9333"/>
      <c r="U9333"/>
      <c r="V9333"/>
      <c r="W9333"/>
      <c r="X9333"/>
      <c r="Y9333"/>
      <c r="Z9333"/>
      <c r="AA9333"/>
      <c r="AB9333"/>
      <c r="AC9333"/>
      <c r="AD9333"/>
      <c r="AE9333"/>
      <c r="AF9333"/>
      <c r="AG9333"/>
      <c r="AH9333"/>
      <c r="AI9333"/>
      <c r="AJ9333"/>
      <c r="AK9333"/>
      <c r="AL9333"/>
      <c r="AM9333"/>
      <c r="AN9333"/>
      <c r="AO9333"/>
      <c r="AP9333"/>
      <c r="AQ9333"/>
      <c r="AR9333"/>
      <c r="AS9333"/>
      <c r="AT9333"/>
      <c r="AU9333"/>
      <c r="AV9333"/>
      <c r="AW9333"/>
      <c r="AX9333"/>
      <c r="AY9333"/>
      <c r="AZ9333"/>
      <c r="BA9333"/>
      <c r="BB9333"/>
      <c r="BC9333"/>
      <c r="BD9333"/>
      <c r="BE9333"/>
      <c r="BF9333"/>
      <c r="BG9333"/>
      <c r="BH9333"/>
      <c r="BI9333"/>
      <c r="BJ9333"/>
      <c r="BK9333"/>
    </row>
    <row r="9334" spans="1:63" s="93" customFormat="1" ht="9" customHeight="1" x14ac:dyDescent="0.3">
      <c r="A9334" s="91"/>
      <c r="B9334" s="70"/>
      <c r="C9334" s="70"/>
      <c r="D9334" s="70"/>
      <c r="E9334" s="70"/>
      <c r="F9334" s="70"/>
      <c r="G9334" s="94"/>
      <c r="H9334" s="131"/>
      <c r="I9334" s="3"/>
      <c r="J9334"/>
      <c r="K9334"/>
      <c r="L9334"/>
      <c r="M9334"/>
      <c r="N9334"/>
      <c r="O9334"/>
      <c r="P9334"/>
      <c r="Q9334"/>
      <c r="R9334"/>
      <c r="S9334"/>
      <c r="T9334"/>
      <c r="U9334"/>
      <c r="V9334"/>
      <c r="W9334"/>
      <c r="X9334"/>
      <c r="Y9334"/>
      <c r="Z9334"/>
      <c r="AA9334"/>
      <c r="AB9334"/>
      <c r="AC9334"/>
      <c r="AD9334"/>
      <c r="AE9334"/>
      <c r="AF9334"/>
      <c r="AG9334"/>
      <c r="AH9334"/>
      <c r="AI9334"/>
      <c r="AJ9334"/>
      <c r="AK9334"/>
      <c r="AL9334"/>
      <c r="AM9334"/>
      <c r="AN9334"/>
      <c r="AO9334"/>
      <c r="AP9334"/>
      <c r="AQ9334"/>
      <c r="AR9334"/>
      <c r="AS9334"/>
      <c r="AT9334"/>
      <c r="AU9334"/>
      <c r="AV9334"/>
      <c r="AW9334"/>
      <c r="AX9334"/>
      <c r="AY9334"/>
      <c r="AZ9334"/>
      <c r="BA9334"/>
      <c r="BB9334"/>
      <c r="BC9334"/>
      <c r="BD9334"/>
      <c r="BE9334"/>
      <c r="BF9334"/>
      <c r="BG9334"/>
      <c r="BH9334"/>
      <c r="BI9334"/>
      <c r="BJ9334"/>
      <c r="BK9334"/>
    </row>
    <row r="9335" spans="1:63" s="93" customFormat="1" ht="9" customHeight="1" x14ac:dyDescent="0.3">
      <c r="A9335" s="91"/>
      <c r="B9335" s="70"/>
      <c r="C9335" s="70"/>
      <c r="D9335" s="70"/>
      <c r="E9335" s="70"/>
      <c r="F9335" s="70"/>
      <c r="G9335" s="94"/>
      <c r="H9335" s="131"/>
      <c r="I9335" s="3"/>
      <c r="J9335"/>
      <c r="K9335"/>
      <c r="L9335"/>
      <c r="M9335"/>
      <c r="N9335"/>
      <c r="O9335"/>
      <c r="P9335"/>
      <c r="Q9335"/>
      <c r="R9335"/>
      <c r="S9335"/>
      <c r="T9335"/>
      <c r="U9335"/>
      <c r="V9335"/>
      <c r="W9335"/>
      <c r="X9335"/>
      <c r="Y9335"/>
      <c r="Z9335"/>
      <c r="AA9335"/>
      <c r="AB9335"/>
      <c r="AC9335"/>
      <c r="AD9335"/>
      <c r="AE9335"/>
      <c r="AF9335"/>
      <c r="AG9335"/>
      <c r="AH9335"/>
      <c r="AI9335"/>
      <c r="AJ9335"/>
      <c r="AK9335"/>
      <c r="AL9335"/>
      <c r="AM9335"/>
      <c r="AN9335"/>
      <c r="AO9335"/>
      <c r="AP9335"/>
      <c r="AQ9335"/>
      <c r="AR9335"/>
      <c r="AS9335"/>
      <c r="AT9335"/>
      <c r="AU9335"/>
      <c r="AV9335"/>
      <c r="AW9335"/>
      <c r="AX9335"/>
      <c r="AY9335"/>
      <c r="AZ9335"/>
      <c r="BA9335"/>
      <c r="BB9335"/>
      <c r="BC9335"/>
      <c r="BD9335"/>
      <c r="BE9335"/>
      <c r="BF9335"/>
      <c r="BG9335"/>
      <c r="BH9335"/>
      <c r="BI9335"/>
      <c r="BJ9335"/>
      <c r="BK9335"/>
    </row>
    <row r="9336" spans="1:63" s="93" customFormat="1" ht="9" customHeight="1" x14ac:dyDescent="0.3">
      <c r="A9336" s="91"/>
      <c r="B9336" s="70"/>
      <c r="C9336" s="70"/>
      <c r="D9336" s="70"/>
      <c r="E9336" s="70"/>
      <c r="F9336" s="70"/>
      <c r="G9336" s="94"/>
      <c r="H9336" s="131"/>
      <c r="I9336" s="3"/>
      <c r="J9336"/>
      <c r="K9336"/>
      <c r="L9336"/>
      <c r="M9336"/>
      <c r="N9336"/>
      <c r="O9336"/>
      <c r="P9336"/>
      <c r="Q9336"/>
      <c r="R9336"/>
      <c r="S9336"/>
      <c r="T9336"/>
      <c r="U9336"/>
      <c r="V9336"/>
      <c r="W9336"/>
      <c r="X9336"/>
      <c r="Y9336"/>
      <c r="Z9336"/>
      <c r="AA9336"/>
      <c r="AB9336"/>
      <c r="AC9336"/>
      <c r="AD9336"/>
      <c r="AE9336"/>
      <c r="AF9336"/>
      <c r="AG9336"/>
      <c r="AH9336"/>
      <c r="AI9336"/>
      <c r="AJ9336"/>
      <c r="AK9336"/>
      <c r="AL9336"/>
      <c r="AM9336"/>
      <c r="AN9336"/>
      <c r="AO9336"/>
      <c r="AP9336"/>
      <c r="AQ9336"/>
      <c r="AR9336"/>
      <c r="AS9336"/>
      <c r="AT9336"/>
      <c r="AU9336"/>
      <c r="AV9336"/>
      <c r="AW9336"/>
      <c r="AX9336"/>
      <c r="AY9336"/>
      <c r="AZ9336"/>
      <c r="BA9336"/>
      <c r="BB9336"/>
      <c r="BC9336"/>
      <c r="BD9336"/>
      <c r="BE9336"/>
      <c r="BF9336"/>
      <c r="BG9336"/>
      <c r="BH9336"/>
      <c r="BI9336"/>
      <c r="BJ9336"/>
      <c r="BK9336"/>
    </row>
    <row r="9337" spans="1:63" s="93" customFormat="1" ht="9" customHeight="1" x14ac:dyDescent="0.3">
      <c r="A9337" s="91"/>
      <c r="B9337" s="70"/>
      <c r="C9337" s="70"/>
      <c r="D9337" s="70"/>
      <c r="E9337" s="70"/>
      <c r="F9337" s="70"/>
      <c r="G9337" s="94"/>
      <c r="H9337" s="131"/>
      <c r="I9337" s="3"/>
      <c r="J9337"/>
      <c r="K9337"/>
      <c r="L9337"/>
      <c r="M9337"/>
      <c r="N9337"/>
      <c r="O9337"/>
      <c r="P9337"/>
      <c r="Q9337"/>
      <c r="R9337"/>
      <c r="S9337"/>
      <c r="T9337"/>
      <c r="U9337"/>
      <c r="V9337"/>
      <c r="W9337"/>
      <c r="X9337"/>
      <c r="Y9337"/>
      <c r="Z9337"/>
      <c r="AA9337"/>
      <c r="AB9337"/>
      <c r="AC9337"/>
      <c r="AD9337"/>
      <c r="AE9337"/>
      <c r="AF9337"/>
      <c r="AG9337"/>
      <c r="AH9337"/>
      <c r="AI9337"/>
      <c r="AJ9337"/>
      <c r="AK9337"/>
      <c r="AL9337"/>
      <c r="AM9337"/>
      <c r="AN9337"/>
      <c r="AO9337"/>
      <c r="AP9337"/>
      <c r="AQ9337"/>
      <c r="AR9337"/>
      <c r="AS9337"/>
      <c r="AT9337"/>
      <c r="AU9337"/>
      <c r="AV9337"/>
      <c r="AW9337"/>
      <c r="AX9337"/>
      <c r="AY9337"/>
      <c r="AZ9337"/>
      <c r="BA9337"/>
      <c r="BB9337"/>
      <c r="BC9337"/>
      <c r="BD9337"/>
      <c r="BE9337"/>
      <c r="BF9337"/>
      <c r="BG9337"/>
      <c r="BH9337"/>
      <c r="BI9337"/>
      <c r="BJ9337"/>
      <c r="BK9337"/>
    </row>
    <row r="9338" spans="1:63" s="93" customFormat="1" ht="9" customHeight="1" x14ac:dyDescent="0.3">
      <c r="A9338" s="91"/>
      <c r="B9338" s="70"/>
      <c r="C9338" s="70"/>
      <c r="D9338" s="70"/>
      <c r="E9338" s="70"/>
      <c r="F9338" s="70"/>
      <c r="G9338" s="94"/>
      <c r="H9338" s="131"/>
      <c r="I9338" s="3"/>
      <c r="J9338"/>
      <c r="K9338"/>
      <c r="L9338"/>
      <c r="M9338"/>
      <c r="N9338"/>
      <c r="O9338"/>
      <c r="P9338"/>
      <c r="Q9338"/>
      <c r="R9338"/>
      <c r="S9338"/>
      <c r="T9338"/>
      <c r="U9338"/>
      <c r="V9338"/>
      <c r="W9338"/>
      <c r="X9338"/>
      <c r="Y9338"/>
      <c r="Z9338"/>
      <c r="AA9338"/>
      <c r="AB9338"/>
      <c r="AC9338"/>
      <c r="AD9338"/>
      <c r="AE9338"/>
      <c r="AF9338"/>
      <c r="AG9338"/>
      <c r="AH9338"/>
      <c r="AI9338"/>
      <c r="AJ9338"/>
      <c r="AK9338"/>
      <c r="AL9338"/>
      <c r="AM9338"/>
      <c r="AN9338"/>
      <c r="AO9338"/>
      <c r="AP9338"/>
      <c r="AQ9338"/>
      <c r="AR9338"/>
      <c r="AS9338"/>
      <c r="AT9338"/>
      <c r="AU9338"/>
      <c r="AV9338"/>
      <c r="AW9338"/>
      <c r="AX9338"/>
      <c r="AY9338"/>
      <c r="AZ9338"/>
      <c r="BA9338"/>
      <c r="BB9338"/>
      <c r="BC9338"/>
      <c r="BD9338"/>
      <c r="BE9338"/>
      <c r="BF9338"/>
      <c r="BG9338"/>
      <c r="BH9338"/>
      <c r="BI9338"/>
      <c r="BJ9338"/>
      <c r="BK9338"/>
    </row>
    <row r="9339" spans="1:63" s="93" customFormat="1" ht="9" customHeight="1" x14ac:dyDescent="0.3">
      <c r="A9339" s="91"/>
      <c r="B9339" s="70"/>
      <c r="C9339" s="70"/>
      <c r="D9339" s="70"/>
      <c r="E9339" s="70"/>
      <c r="F9339" s="70"/>
      <c r="G9339" s="94"/>
      <c r="H9339" s="131"/>
      <c r="I9339" s="3"/>
      <c r="J9339"/>
      <c r="K9339"/>
      <c r="L9339"/>
      <c r="M9339"/>
      <c r="N9339"/>
      <c r="O9339"/>
      <c r="P9339"/>
      <c r="Q9339"/>
      <c r="R9339"/>
      <c r="S9339"/>
      <c r="T9339"/>
      <c r="U9339"/>
      <c r="V9339"/>
      <c r="W9339"/>
      <c r="X9339"/>
      <c r="Y9339"/>
      <c r="Z9339"/>
      <c r="AA9339"/>
      <c r="AB9339"/>
      <c r="AC9339"/>
      <c r="AD9339"/>
      <c r="AE9339"/>
      <c r="AF9339"/>
      <c r="AG9339"/>
      <c r="AH9339"/>
      <c r="AI9339"/>
      <c r="AJ9339"/>
      <c r="AK9339"/>
      <c r="AL9339"/>
      <c r="AM9339"/>
      <c r="AN9339"/>
      <c r="AO9339"/>
      <c r="AP9339"/>
      <c r="AQ9339"/>
      <c r="AR9339"/>
      <c r="AS9339"/>
      <c r="AT9339"/>
      <c r="AU9339"/>
      <c r="AV9339"/>
      <c r="AW9339"/>
      <c r="AX9339"/>
      <c r="AY9339"/>
      <c r="AZ9339"/>
      <c r="BA9339"/>
      <c r="BB9339"/>
      <c r="BC9339"/>
      <c r="BD9339"/>
      <c r="BE9339"/>
      <c r="BF9339"/>
      <c r="BG9339"/>
      <c r="BH9339"/>
      <c r="BI9339"/>
      <c r="BJ9339"/>
      <c r="BK9339"/>
    </row>
    <row r="9340" spans="1:63" s="93" customFormat="1" ht="9" customHeight="1" x14ac:dyDescent="0.3">
      <c r="A9340" s="91"/>
      <c r="B9340" s="70"/>
      <c r="C9340" s="70"/>
      <c r="D9340" s="70"/>
      <c r="E9340" s="70"/>
      <c r="F9340" s="70"/>
      <c r="G9340" s="94"/>
      <c r="H9340" s="131"/>
      <c r="I9340" s="3"/>
      <c r="J9340"/>
      <c r="K9340"/>
      <c r="L9340"/>
      <c r="M9340"/>
      <c r="N9340"/>
      <c r="O9340"/>
      <c r="P9340"/>
      <c r="Q9340"/>
      <c r="R9340"/>
      <c r="S9340"/>
      <c r="T9340"/>
      <c r="U9340"/>
      <c r="V9340"/>
      <c r="W9340"/>
      <c r="X9340"/>
      <c r="Y9340"/>
      <c r="Z9340"/>
      <c r="AA9340"/>
      <c r="AB9340"/>
      <c r="AC9340"/>
      <c r="AD9340"/>
      <c r="AE9340"/>
      <c r="AF9340"/>
      <c r="AG9340"/>
      <c r="AH9340"/>
      <c r="AI9340"/>
      <c r="AJ9340"/>
      <c r="AK9340"/>
      <c r="AL9340"/>
      <c r="AM9340"/>
      <c r="AN9340"/>
      <c r="AO9340"/>
      <c r="AP9340"/>
      <c r="AQ9340"/>
      <c r="AR9340"/>
      <c r="AS9340"/>
      <c r="AT9340"/>
      <c r="AU9340"/>
      <c r="AV9340"/>
      <c r="AW9340"/>
      <c r="AX9340"/>
      <c r="AY9340"/>
      <c r="AZ9340"/>
      <c r="BA9340"/>
      <c r="BB9340"/>
      <c r="BC9340"/>
      <c r="BD9340"/>
      <c r="BE9340"/>
      <c r="BF9340"/>
      <c r="BG9340"/>
      <c r="BH9340"/>
      <c r="BI9340"/>
      <c r="BJ9340"/>
      <c r="BK9340"/>
    </row>
    <row r="9341" spans="1:63" s="93" customFormat="1" ht="9" customHeight="1" x14ac:dyDescent="0.3">
      <c r="A9341" s="91"/>
      <c r="B9341" s="70"/>
      <c r="C9341" s="70"/>
      <c r="D9341" s="70"/>
      <c r="E9341" s="70"/>
      <c r="F9341" s="70"/>
      <c r="G9341" s="94"/>
      <c r="H9341" s="131"/>
      <c r="I9341" s="3"/>
      <c r="J9341"/>
      <c r="K9341"/>
      <c r="L9341"/>
      <c r="M9341"/>
      <c r="N9341"/>
      <c r="O9341"/>
      <c r="P9341"/>
      <c r="Q9341"/>
      <c r="R9341"/>
      <c r="S9341"/>
      <c r="T9341"/>
      <c r="U9341"/>
      <c r="V9341"/>
      <c r="W9341"/>
      <c r="X9341"/>
      <c r="Y9341"/>
      <c r="Z9341"/>
      <c r="AA9341"/>
      <c r="AB9341"/>
      <c r="AC9341"/>
      <c r="AD9341"/>
      <c r="AE9341"/>
      <c r="AF9341"/>
      <c r="AG9341"/>
      <c r="AH9341"/>
      <c r="AI9341"/>
      <c r="AJ9341"/>
      <c r="AK9341"/>
      <c r="AL9341"/>
      <c r="AM9341"/>
      <c r="AN9341"/>
      <c r="AO9341"/>
      <c r="AP9341"/>
      <c r="AQ9341"/>
      <c r="AR9341"/>
      <c r="AS9341"/>
      <c r="AT9341"/>
      <c r="AU9341"/>
      <c r="AV9341"/>
      <c r="AW9341"/>
      <c r="AX9341"/>
      <c r="AY9341"/>
      <c r="AZ9341"/>
      <c r="BA9341"/>
      <c r="BB9341"/>
      <c r="BC9341"/>
      <c r="BD9341"/>
      <c r="BE9341"/>
      <c r="BF9341"/>
      <c r="BG9341"/>
      <c r="BH9341"/>
      <c r="BI9341"/>
      <c r="BJ9341"/>
      <c r="BK9341"/>
    </row>
    <row r="9342" spans="1:63" s="93" customFormat="1" ht="9" customHeight="1" x14ac:dyDescent="0.3">
      <c r="A9342" s="91"/>
      <c r="B9342" s="70"/>
      <c r="C9342" s="70"/>
      <c r="D9342" s="70"/>
      <c r="E9342" s="70"/>
      <c r="F9342" s="70"/>
      <c r="G9342" s="94"/>
      <c r="H9342" s="131"/>
      <c r="I9342" s="3"/>
      <c r="J9342"/>
      <c r="K9342"/>
      <c r="L9342"/>
      <c r="M9342"/>
      <c r="N9342"/>
      <c r="O9342"/>
      <c r="P9342"/>
      <c r="Q9342"/>
      <c r="R9342"/>
      <c r="S9342"/>
      <c r="T9342"/>
      <c r="U9342"/>
      <c r="V9342"/>
      <c r="W9342"/>
      <c r="X9342"/>
      <c r="Y9342"/>
      <c r="Z9342"/>
      <c r="AA9342"/>
      <c r="AB9342"/>
      <c r="AC9342"/>
      <c r="AD9342"/>
      <c r="AE9342"/>
      <c r="AF9342"/>
      <c r="AG9342"/>
      <c r="AH9342"/>
      <c r="AI9342"/>
      <c r="AJ9342"/>
      <c r="AK9342"/>
      <c r="AL9342"/>
      <c r="AM9342"/>
      <c r="AN9342"/>
      <c r="AO9342"/>
      <c r="AP9342"/>
      <c r="AQ9342"/>
      <c r="AR9342"/>
      <c r="AS9342"/>
      <c r="AT9342"/>
      <c r="AU9342"/>
      <c r="AV9342"/>
      <c r="AW9342"/>
      <c r="AX9342"/>
      <c r="AY9342"/>
      <c r="AZ9342"/>
      <c r="BA9342"/>
      <c r="BB9342"/>
      <c r="BC9342"/>
      <c r="BD9342"/>
      <c r="BE9342"/>
      <c r="BF9342"/>
      <c r="BG9342"/>
      <c r="BH9342"/>
      <c r="BI9342"/>
      <c r="BJ9342"/>
      <c r="BK9342"/>
    </row>
    <row r="9343" spans="1:63" s="93" customFormat="1" ht="9" customHeight="1" x14ac:dyDescent="0.3">
      <c r="A9343" s="91"/>
      <c r="B9343" s="70"/>
      <c r="C9343" s="70"/>
      <c r="D9343" s="70"/>
      <c r="E9343" s="70"/>
      <c r="F9343" s="70"/>
      <c r="G9343" s="94"/>
      <c r="H9343" s="131"/>
      <c r="I9343" s="3"/>
      <c r="J9343"/>
      <c r="K9343"/>
      <c r="L9343"/>
      <c r="M9343"/>
      <c r="N9343"/>
      <c r="O9343"/>
      <c r="P9343"/>
      <c r="Q9343"/>
      <c r="R9343"/>
      <c r="S9343"/>
      <c r="T9343"/>
      <c r="U9343"/>
      <c r="V9343"/>
      <c r="W9343"/>
      <c r="X9343"/>
      <c r="Y9343"/>
      <c r="Z9343"/>
      <c r="AA9343"/>
      <c r="AB9343"/>
      <c r="AC9343"/>
      <c r="AD9343"/>
      <c r="AE9343"/>
      <c r="AF9343"/>
      <c r="AG9343"/>
      <c r="AH9343"/>
      <c r="AI9343"/>
      <c r="AJ9343"/>
      <c r="AK9343"/>
      <c r="AL9343"/>
      <c r="AM9343"/>
      <c r="AN9343"/>
      <c r="AO9343"/>
      <c r="AP9343"/>
      <c r="AQ9343"/>
      <c r="AR9343"/>
      <c r="AS9343"/>
      <c r="AT9343"/>
      <c r="AU9343"/>
      <c r="AV9343"/>
      <c r="AW9343"/>
      <c r="AX9343"/>
      <c r="AY9343"/>
      <c r="AZ9343"/>
      <c r="BA9343"/>
      <c r="BB9343"/>
      <c r="BC9343"/>
      <c r="BD9343"/>
      <c r="BE9343"/>
      <c r="BF9343"/>
      <c r="BG9343"/>
      <c r="BH9343"/>
      <c r="BI9343"/>
      <c r="BJ9343"/>
      <c r="BK9343"/>
    </row>
    <row r="9344" spans="1:63" s="93" customFormat="1" ht="9" customHeight="1" x14ac:dyDescent="0.3">
      <c r="A9344" s="91"/>
      <c r="B9344" s="70"/>
      <c r="C9344" s="70"/>
      <c r="D9344" s="70"/>
      <c r="E9344" s="70"/>
      <c r="F9344" s="70"/>
      <c r="G9344" s="94"/>
      <c r="H9344" s="131"/>
      <c r="I9344" s="3"/>
      <c r="J9344"/>
      <c r="K9344"/>
      <c r="L9344"/>
      <c r="M9344"/>
      <c r="N9344"/>
      <c r="O9344"/>
      <c r="P9344"/>
      <c r="Q9344"/>
      <c r="R9344"/>
      <c r="S9344"/>
      <c r="T9344"/>
      <c r="U9344"/>
      <c r="V9344"/>
      <c r="W9344"/>
      <c r="X9344"/>
      <c r="Y9344"/>
      <c r="Z9344"/>
      <c r="AA9344"/>
      <c r="AB9344"/>
      <c r="AC9344"/>
      <c r="AD9344"/>
      <c r="AE9344"/>
      <c r="AF9344"/>
      <c r="AG9344"/>
      <c r="AH9344"/>
      <c r="AI9344"/>
      <c r="AJ9344"/>
      <c r="AK9344"/>
      <c r="AL9344"/>
      <c r="AM9344"/>
      <c r="AN9344"/>
      <c r="AO9344"/>
      <c r="AP9344"/>
      <c r="AQ9344"/>
      <c r="AR9344"/>
      <c r="AS9344"/>
      <c r="AT9344"/>
      <c r="AU9344"/>
      <c r="AV9344"/>
      <c r="AW9344"/>
      <c r="AX9344"/>
      <c r="AY9344"/>
      <c r="AZ9344"/>
      <c r="BA9344"/>
      <c r="BB9344"/>
      <c r="BC9344"/>
      <c r="BD9344"/>
      <c r="BE9344"/>
      <c r="BF9344"/>
      <c r="BG9344"/>
      <c r="BH9344"/>
      <c r="BI9344"/>
      <c r="BJ9344"/>
      <c r="BK9344"/>
    </row>
    <row r="9345" spans="1:63" s="93" customFormat="1" ht="9" customHeight="1" x14ac:dyDescent="0.3">
      <c r="A9345" s="91"/>
      <c r="B9345" s="70"/>
      <c r="C9345" s="70"/>
      <c r="D9345" s="70"/>
      <c r="E9345" s="70"/>
      <c r="F9345" s="70"/>
      <c r="G9345" s="94"/>
      <c r="H9345" s="131"/>
      <c r="I9345" s="3"/>
      <c r="J9345"/>
      <c r="K9345"/>
      <c r="L9345"/>
      <c r="M9345"/>
      <c r="N9345"/>
      <c r="O9345"/>
      <c r="P9345"/>
      <c r="Q9345"/>
      <c r="R9345"/>
      <c r="S9345"/>
      <c r="T9345"/>
      <c r="U9345"/>
      <c r="V9345"/>
      <c r="W9345"/>
      <c r="X9345"/>
      <c r="Y9345"/>
      <c r="Z9345"/>
      <c r="AA9345"/>
      <c r="AB9345"/>
      <c r="AC9345"/>
      <c r="AD9345"/>
      <c r="AE9345"/>
      <c r="AF9345"/>
      <c r="AG9345"/>
      <c r="AH9345"/>
      <c r="AI9345"/>
      <c r="AJ9345"/>
      <c r="AK9345"/>
      <c r="AL9345"/>
      <c r="AM9345"/>
      <c r="AN9345"/>
      <c r="AO9345"/>
      <c r="AP9345"/>
      <c r="AQ9345"/>
      <c r="AR9345"/>
      <c r="AS9345"/>
      <c r="AT9345"/>
      <c r="AU9345"/>
      <c r="AV9345"/>
      <c r="AW9345"/>
      <c r="AX9345"/>
      <c r="AY9345"/>
      <c r="AZ9345"/>
      <c r="BA9345"/>
      <c r="BB9345"/>
      <c r="BC9345"/>
      <c r="BD9345"/>
      <c r="BE9345"/>
      <c r="BF9345"/>
      <c r="BG9345"/>
      <c r="BH9345"/>
      <c r="BI9345"/>
      <c r="BJ9345"/>
      <c r="BK9345"/>
    </row>
    <row r="9346" spans="1:63" s="93" customFormat="1" ht="9" customHeight="1" x14ac:dyDescent="0.3">
      <c r="A9346" s="91"/>
      <c r="B9346" s="70"/>
      <c r="C9346" s="70"/>
      <c r="D9346" s="70"/>
      <c r="E9346" s="70"/>
      <c r="F9346" s="70"/>
      <c r="G9346" s="94"/>
      <c r="H9346" s="131"/>
      <c r="I9346" s="3"/>
      <c r="J9346"/>
      <c r="K9346"/>
      <c r="L9346"/>
      <c r="M9346"/>
      <c r="N9346"/>
      <c r="O9346"/>
      <c r="P9346"/>
      <c r="Q9346"/>
      <c r="R9346"/>
      <c r="S9346"/>
      <c r="T9346"/>
      <c r="U9346"/>
      <c r="V9346"/>
      <c r="W9346"/>
      <c r="X9346"/>
      <c r="Y9346"/>
      <c r="Z9346"/>
      <c r="AA9346"/>
      <c r="AB9346"/>
      <c r="AC9346"/>
      <c r="AD9346"/>
      <c r="AE9346"/>
      <c r="AF9346"/>
      <c r="AG9346"/>
      <c r="AH9346"/>
      <c r="AI9346"/>
      <c r="AJ9346"/>
      <c r="AK9346"/>
      <c r="AL9346"/>
      <c r="AM9346"/>
      <c r="AN9346"/>
      <c r="AO9346"/>
      <c r="AP9346"/>
      <c r="AQ9346"/>
      <c r="AR9346"/>
      <c r="AS9346"/>
      <c r="AT9346"/>
      <c r="AU9346"/>
      <c r="AV9346"/>
      <c r="AW9346"/>
      <c r="AX9346"/>
      <c r="AY9346"/>
      <c r="AZ9346"/>
      <c r="BA9346"/>
      <c r="BB9346"/>
      <c r="BC9346"/>
      <c r="BD9346"/>
      <c r="BE9346"/>
      <c r="BF9346"/>
      <c r="BG9346"/>
      <c r="BH9346"/>
      <c r="BI9346"/>
      <c r="BJ9346"/>
      <c r="BK9346"/>
    </row>
    <row r="9347" spans="1:63" s="93" customFormat="1" ht="9" customHeight="1" x14ac:dyDescent="0.3">
      <c r="A9347" s="91"/>
      <c r="B9347" s="70"/>
      <c r="C9347" s="70"/>
      <c r="D9347" s="70"/>
      <c r="E9347" s="70"/>
      <c r="F9347" s="70"/>
      <c r="G9347" s="94"/>
      <c r="H9347" s="131"/>
      <c r="I9347" s="3"/>
      <c r="J9347"/>
      <c r="K9347"/>
      <c r="L9347"/>
      <c r="M9347"/>
      <c r="N9347"/>
      <c r="O9347"/>
      <c r="P9347"/>
      <c r="Q9347"/>
      <c r="R9347"/>
      <c r="S9347"/>
      <c r="T9347"/>
      <c r="U9347"/>
      <c r="V9347"/>
      <c r="W9347"/>
      <c r="X9347"/>
      <c r="Y9347"/>
      <c r="Z9347"/>
      <c r="AA9347"/>
      <c r="AB9347"/>
      <c r="AC9347"/>
      <c r="AD9347"/>
      <c r="AE9347"/>
      <c r="AF9347"/>
      <c r="AG9347"/>
      <c r="AH9347"/>
      <c r="AI9347"/>
      <c r="AJ9347"/>
      <c r="AK9347"/>
      <c r="AL9347"/>
      <c r="AM9347"/>
      <c r="AN9347"/>
      <c r="AO9347"/>
      <c r="AP9347"/>
      <c r="AQ9347"/>
      <c r="AR9347"/>
      <c r="AS9347"/>
      <c r="AT9347"/>
      <c r="AU9347"/>
      <c r="AV9347"/>
      <c r="AW9347"/>
      <c r="AX9347"/>
      <c r="AY9347"/>
      <c r="AZ9347"/>
      <c r="BA9347"/>
      <c r="BB9347"/>
      <c r="BC9347"/>
      <c r="BD9347"/>
      <c r="BE9347"/>
      <c r="BF9347"/>
      <c r="BG9347"/>
      <c r="BH9347"/>
      <c r="BI9347"/>
      <c r="BJ9347"/>
      <c r="BK9347"/>
    </row>
    <row r="9348" spans="1:63" s="93" customFormat="1" ht="9" customHeight="1" x14ac:dyDescent="0.3">
      <c r="A9348" s="91"/>
      <c r="B9348" s="70"/>
      <c r="C9348" s="70"/>
      <c r="D9348" s="70"/>
      <c r="E9348" s="70"/>
      <c r="F9348" s="70"/>
      <c r="G9348" s="94"/>
      <c r="H9348" s="131"/>
      <c r="I9348" s="3"/>
      <c r="J9348"/>
      <c r="K9348"/>
      <c r="L9348"/>
      <c r="M9348"/>
      <c r="N9348"/>
      <c r="O9348"/>
      <c r="P9348"/>
      <c r="Q9348"/>
      <c r="R9348"/>
      <c r="S9348"/>
      <c r="T9348"/>
      <c r="U9348"/>
      <c r="V9348"/>
      <c r="W9348"/>
      <c r="X9348"/>
      <c r="Y9348"/>
      <c r="Z9348"/>
      <c r="AA9348"/>
      <c r="AB9348"/>
      <c r="AC9348"/>
      <c r="AD9348"/>
      <c r="AE9348"/>
      <c r="AF9348"/>
      <c r="AG9348"/>
      <c r="AH9348"/>
      <c r="AI9348"/>
      <c r="AJ9348"/>
      <c r="AK9348"/>
      <c r="AL9348"/>
      <c r="AM9348"/>
      <c r="AN9348"/>
      <c r="AO9348"/>
      <c r="AP9348"/>
      <c r="AQ9348"/>
      <c r="AR9348"/>
      <c r="AS9348"/>
      <c r="AT9348"/>
      <c r="AU9348"/>
      <c r="AV9348"/>
      <c r="AW9348"/>
      <c r="AX9348"/>
      <c r="AY9348"/>
      <c r="AZ9348"/>
      <c r="BA9348"/>
      <c r="BB9348"/>
      <c r="BC9348"/>
      <c r="BD9348"/>
      <c r="BE9348"/>
      <c r="BF9348"/>
      <c r="BG9348"/>
      <c r="BH9348"/>
      <c r="BI9348"/>
      <c r="BJ9348"/>
      <c r="BK9348"/>
    </row>
    <row r="9349" spans="1:63" s="93" customFormat="1" ht="9" customHeight="1" x14ac:dyDescent="0.3">
      <c r="A9349" s="91"/>
      <c r="B9349" s="70"/>
      <c r="C9349" s="70"/>
      <c r="D9349" s="70"/>
      <c r="E9349" s="70"/>
      <c r="F9349" s="70"/>
      <c r="G9349" s="94"/>
      <c r="H9349" s="131"/>
      <c r="I9349" s="3"/>
      <c r="J9349"/>
      <c r="K9349"/>
      <c r="L9349"/>
      <c r="M9349"/>
      <c r="N9349"/>
      <c r="O9349"/>
      <c r="P9349"/>
      <c r="Q9349"/>
      <c r="R9349"/>
      <c r="S9349"/>
      <c r="T9349"/>
      <c r="U9349"/>
      <c r="V9349"/>
      <c r="W9349"/>
      <c r="X9349"/>
      <c r="Y9349"/>
      <c r="Z9349"/>
      <c r="AA9349"/>
      <c r="AB9349"/>
      <c r="AC9349"/>
      <c r="AD9349"/>
      <c r="AE9349"/>
      <c r="AF9349"/>
      <c r="AG9349"/>
      <c r="AH9349"/>
      <c r="AI9349"/>
      <c r="AJ9349"/>
      <c r="AK9349"/>
      <c r="AL9349"/>
      <c r="AM9349"/>
      <c r="AN9349"/>
      <c r="AO9349"/>
      <c r="AP9349"/>
      <c r="AQ9349"/>
      <c r="AR9349"/>
      <c r="AS9349"/>
      <c r="AT9349"/>
      <c r="AU9349"/>
      <c r="AV9349"/>
      <c r="AW9349"/>
      <c r="AX9349"/>
      <c r="AY9349"/>
      <c r="AZ9349"/>
      <c r="BA9349"/>
      <c r="BB9349"/>
      <c r="BC9349"/>
      <c r="BD9349"/>
      <c r="BE9349"/>
      <c r="BF9349"/>
      <c r="BG9349"/>
      <c r="BH9349"/>
      <c r="BI9349"/>
      <c r="BJ9349"/>
      <c r="BK9349"/>
    </row>
    <row r="9350" spans="1:63" s="93" customFormat="1" ht="9" customHeight="1" x14ac:dyDescent="0.3">
      <c r="A9350" s="91"/>
      <c r="B9350" s="70"/>
      <c r="C9350" s="70"/>
      <c r="D9350" s="70"/>
      <c r="E9350" s="70"/>
      <c r="F9350" s="70"/>
      <c r="G9350" s="94"/>
      <c r="H9350" s="131"/>
      <c r="I9350" s="3"/>
      <c r="J9350"/>
      <c r="K9350"/>
      <c r="L9350"/>
      <c r="M9350"/>
      <c r="N9350"/>
      <c r="O9350"/>
      <c r="P9350"/>
      <c r="Q9350"/>
      <c r="R9350"/>
      <c r="S9350"/>
      <c r="T9350"/>
      <c r="U9350"/>
      <c r="V9350"/>
      <c r="W9350"/>
      <c r="X9350"/>
      <c r="Y9350"/>
      <c r="Z9350"/>
      <c r="AA9350"/>
      <c r="AB9350"/>
      <c r="AC9350"/>
      <c r="AD9350"/>
      <c r="AE9350"/>
      <c r="AF9350"/>
      <c r="AG9350"/>
      <c r="AH9350"/>
      <c r="AI9350"/>
      <c r="AJ9350"/>
      <c r="AK9350"/>
      <c r="AL9350"/>
      <c r="AM9350"/>
      <c r="AN9350"/>
      <c r="AO9350"/>
      <c r="AP9350"/>
      <c r="AQ9350"/>
      <c r="AR9350"/>
      <c r="AS9350"/>
      <c r="AT9350"/>
      <c r="AU9350"/>
      <c r="AV9350"/>
      <c r="AW9350"/>
      <c r="AX9350"/>
      <c r="AY9350"/>
      <c r="AZ9350"/>
      <c r="BA9350"/>
      <c r="BB9350"/>
      <c r="BC9350"/>
      <c r="BD9350"/>
      <c r="BE9350"/>
      <c r="BF9350"/>
      <c r="BG9350"/>
      <c r="BH9350"/>
      <c r="BI9350"/>
      <c r="BJ9350"/>
      <c r="BK9350"/>
    </row>
    <row r="9351" spans="1:63" s="93" customFormat="1" ht="9" customHeight="1" x14ac:dyDescent="0.3">
      <c r="A9351" s="91"/>
      <c r="B9351" s="70"/>
      <c r="C9351" s="70"/>
      <c r="D9351" s="70"/>
      <c r="E9351" s="70"/>
      <c r="F9351" s="70"/>
      <c r="G9351" s="94"/>
      <c r="H9351" s="131"/>
      <c r="I9351" s="3"/>
      <c r="J9351"/>
      <c r="K9351"/>
      <c r="L9351"/>
      <c r="M9351"/>
      <c r="N9351"/>
      <c r="O9351"/>
      <c r="P9351"/>
      <c r="Q9351"/>
      <c r="R9351"/>
      <c r="S9351"/>
      <c r="T9351"/>
      <c r="U9351"/>
      <c r="V9351"/>
      <c r="W9351"/>
      <c r="X9351"/>
      <c r="Y9351"/>
      <c r="Z9351"/>
      <c r="AA9351"/>
      <c r="AB9351"/>
      <c r="AC9351"/>
      <c r="AD9351"/>
      <c r="AE9351"/>
      <c r="AF9351"/>
      <c r="AG9351"/>
      <c r="AH9351"/>
      <c r="AI9351"/>
      <c r="AJ9351"/>
      <c r="AK9351"/>
      <c r="AL9351"/>
      <c r="AM9351"/>
      <c r="AN9351"/>
      <c r="AO9351"/>
      <c r="AP9351"/>
      <c r="AQ9351"/>
      <c r="AR9351"/>
      <c r="AS9351"/>
      <c r="AT9351"/>
      <c r="AU9351"/>
      <c r="AV9351"/>
      <c r="AW9351"/>
      <c r="AX9351"/>
      <c r="AY9351"/>
      <c r="AZ9351"/>
      <c r="BA9351"/>
      <c r="BB9351"/>
      <c r="BC9351"/>
      <c r="BD9351"/>
      <c r="BE9351"/>
      <c r="BF9351"/>
      <c r="BG9351"/>
      <c r="BH9351"/>
      <c r="BI9351"/>
      <c r="BJ9351"/>
      <c r="BK9351"/>
    </row>
    <row r="9352" spans="1:63" s="93" customFormat="1" ht="9" customHeight="1" x14ac:dyDescent="0.3">
      <c r="A9352" s="91"/>
      <c r="B9352" s="70"/>
      <c r="C9352" s="70"/>
      <c r="D9352" s="70"/>
      <c r="E9352" s="70"/>
      <c r="F9352" s="70"/>
      <c r="G9352" s="94"/>
      <c r="H9352" s="131"/>
      <c r="I9352" s="3"/>
      <c r="J9352"/>
      <c r="K9352"/>
      <c r="L9352"/>
      <c r="M9352"/>
      <c r="N9352"/>
      <c r="O9352"/>
      <c r="P9352"/>
      <c r="Q9352"/>
      <c r="R9352"/>
      <c r="S9352"/>
      <c r="T9352"/>
      <c r="U9352"/>
      <c r="V9352"/>
      <c r="W9352"/>
      <c r="X9352"/>
      <c r="Y9352"/>
      <c r="Z9352"/>
      <c r="AA9352"/>
      <c r="AB9352"/>
      <c r="AC9352"/>
      <c r="AD9352"/>
      <c r="AE9352"/>
      <c r="AF9352"/>
      <c r="AG9352"/>
      <c r="AH9352"/>
      <c r="AI9352"/>
      <c r="AJ9352"/>
      <c r="AK9352"/>
      <c r="AL9352"/>
      <c r="AM9352"/>
      <c r="AN9352"/>
      <c r="AO9352"/>
      <c r="AP9352"/>
      <c r="AQ9352"/>
      <c r="AR9352"/>
      <c r="AS9352"/>
      <c r="AT9352"/>
      <c r="AU9352"/>
      <c r="AV9352"/>
      <c r="AW9352"/>
      <c r="AX9352"/>
      <c r="AY9352"/>
      <c r="AZ9352"/>
      <c r="BA9352"/>
      <c r="BB9352"/>
      <c r="BC9352"/>
      <c r="BD9352"/>
      <c r="BE9352"/>
      <c r="BF9352"/>
      <c r="BG9352"/>
      <c r="BH9352"/>
      <c r="BI9352"/>
      <c r="BJ9352"/>
      <c r="BK9352"/>
    </row>
    <row r="9353" spans="1:63" s="93" customFormat="1" ht="9" customHeight="1" x14ac:dyDescent="0.3">
      <c r="A9353" s="91"/>
      <c r="B9353" s="70"/>
      <c r="C9353" s="70"/>
      <c r="D9353" s="70"/>
      <c r="E9353" s="70"/>
      <c r="F9353" s="70"/>
      <c r="G9353" s="94"/>
      <c r="H9353" s="131"/>
      <c r="I9353" s="3"/>
      <c r="J9353"/>
      <c r="K9353"/>
      <c r="L9353"/>
      <c r="M9353"/>
      <c r="N9353"/>
      <c r="O9353"/>
      <c r="P9353"/>
      <c r="Q9353"/>
      <c r="R9353"/>
      <c r="S9353"/>
      <c r="T9353"/>
      <c r="U9353"/>
      <c r="V9353"/>
      <c r="W9353"/>
      <c r="X9353"/>
      <c r="Y9353"/>
      <c r="Z9353"/>
      <c r="AA9353"/>
      <c r="AB9353"/>
      <c r="AC9353"/>
      <c r="AD9353"/>
      <c r="AE9353"/>
      <c r="AF9353"/>
      <c r="AG9353"/>
      <c r="AH9353"/>
      <c r="AI9353"/>
      <c r="AJ9353"/>
      <c r="AK9353"/>
      <c r="AL9353"/>
      <c r="AM9353"/>
      <c r="AN9353"/>
      <c r="AO9353"/>
      <c r="AP9353"/>
      <c r="AQ9353"/>
      <c r="AR9353"/>
      <c r="AS9353"/>
      <c r="AT9353"/>
      <c r="AU9353"/>
      <c r="AV9353"/>
      <c r="AW9353"/>
      <c r="AX9353"/>
      <c r="AY9353"/>
      <c r="AZ9353"/>
      <c r="BA9353"/>
      <c r="BB9353"/>
      <c r="BC9353"/>
      <c r="BD9353"/>
      <c r="BE9353"/>
      <c r="BF9353"/>
      <c r="BG9353"/>
      <c r="BH9353"/>
      <c r="BI9353"/>
      <c r="BJ9353"/>
      <c r="BK9353"/>
    </row>
    <row r="9354" spans="1:63" s="93" customFormat="1" ht="9" customHeight="1" x14ac:dyDescent="0.3">
      <c r="A9354" s="91"/>
      <c r="B9354" s="70"/>
      <c r="C9354" s="70"/>
      <c r="D9354" s="70"/>
      <c r="E9354" s="70"/>
      <c r="F9354" s="70"/>
      <c r="G9354" s="94"/>
      <c r="H9354" s="131"/>
      <c r="I9354" s="3"/>
      <c r="J9354"/>
      <c r="K9354"/>
      <c r="L9354"/>
      <c r="M9354"/>
      <c r="N9354"/>
      <c r="O9354"/>
      <c r="P9354"/>
      <c r="Q9354"/>
      <c r="R9354"/>
      <c r="S9354"/>
      <c r="T9354"/>
      <c r="U9354"/>
      <c r="V9354"/>
      <c r="W9354"/>
      <c r="X9354"/>
      <c r="Y9354"/>
      <c r="Z9354"/>
      <c r="AA9354"/>
      <c r="AB9354"/>
      <c r="AC9354"/>
      <c r="AD9354"/>
      <c r="AE9354"/>
      <c r="AF9354"/>
      <c r="AG9354"/>
      <c r="AH9354"/>
      <c r="AI9354"/>
      <c r="AJ9354"/>
      <c r="AK9354"/>
      <c r="AL9354"/>
      <c r="AM9354"/>
      <c r="AN9354"/>
      <c r="AO9354"/>
      <c r="AP9354"/>
      <c r="AQ9354"/>
      <c r="AR9354"/>
      <c r="AS9354"/>
      <c r="AT9354"/>
      <c r="AU9354"/>
      <c r="AV9354"/>
      <c r="AW9354"/>
      <c r="AX9354"/>
      <c r="AY9354"/>
      <c r="AZ9354"/>
      <c r="BA9354"/>
      <c r="BB9354"/>
      <c r="BC9354"/>
      <c r="BD9354"/>
      <c r="BE9354"/>
      <c r="BF9354"/>
      <c r="BG9354"/>
      <c r="BH9354"/>
      <c r="BI9354"/>
      <c r="BJ9354"/>
      <c r="BK9354"/>
    </row>
    <row r="9355" spans="1:63" s="93" customFormat="1" ht="9" customHeight="1" x14ac:dyDescent="0.3">
      <c r="A9355" s="91"/>
      <c r="B9355" s="70"/>
      <c r="C9355" s="70"/>
      <c r="D9355" s="70"/>
      <c r="E9355" s="70"/>
      <c r="F9355" s="70"/>
      <c r="G9355" s="94"/>
      <c r="H9355" s="131"/>
      <c r="I9355" s="3"/>
      <c r="J9355"/>
      <c r="K9355"/>
      <c r="L9355"/>
      <c r="M9355"/>
      <c r="N9355"/>
      <c r="O9355"/>
      <c r="P9355"/>
      <c r="Q9355"/>
      <c r="R9355"/>
      <c r="S9355"/>
      <c r="T9355"/>
      <c r="U9355"/>
      <c r="V9355"/>
      <c r="W9355"/>
      <c r="X9355"/>
      <c r="Y9355"/>
      <c r="Z9355"/>
      <c r="AA9355"/>
      <c r="AB9355"/>
      <c r="AC9355"/>
      <c r="AD9355"/>
      <c r="AE9355"/>
      <c r="AF9355"/>
      <c r="AG9355"/>
      <c r="AH9355"/>
      <c r="AI9355"/>
      <c r="AJ9355"/>
      <c r="AK9355"/>
      <c r="AL9355"/>
      <c r="AM9355"/>
      <c r="AN9355"/>
      <c r="AO9355"/>
      <c r="AP9355"/>
      <c r="AQ9355"/>
      <c r="AR9355"/>
      <c r="AS9355"/>
      <c r="AT9355"/>
      <c r="AU9355"/>
      <c r="AV9355"/>
      <c r="AW9355"/>
      <c r="AX9355"/>
      <c r="AY9355"/>
      <c r="AZ9355"/>
      <c r="BA9355"/>
      <c r="BB9355"/>
      <c r="BC9355"/>
      <c r="BD9355"/>
      <c r="BE9355"/>
      <c r="BF9355"/>
      <c r="BG9355"/>
      <c r="BH9355"/>
      <c r="BI9355"/>
      <c r="BJ9355"/>
      <c r="BK9355"/>
    </row>
    <row r="9356" spans="1:63" s="93" customFormat="1" ht="9" customHeight="1" x14ac:dyDescent="0.3">
      <c r="A9356" s="91"/>
      <c r="B9356" s="70"/>
      <c r="C9356" s="70"/>
      <c r="D9356" s="70"/>
      <c r="E9356" s="70"/>
      <c r="F9356" s="70"/>
      <c r="G9356" s="94"/>
      <c r="H9356" s="131"/>
      <c r="I9356" s="3"/>
      <c r="J9356"/>
      <c r="K9356"/>
      <c r="L9356"/>
      <c r="M9356"/>
      <c r="N9356"/>
      <c r="O9356"/>
      <c r="P9356"/>
      <c r="Q9356"/>
      <c r="R9356"/>
      <c r="S9356"/>
      <c r="T9356"/>
      <c r="U9356"/>
      <c r="V9356"/>
      <c r="W9356"/>
      <c r="X9356"/>
      <c r="Y9356"/>
      <c r="Z9356"/>
      <c r="AA9356"/>
      <c r="AB9356"/>
      <c r="AC9356"/>
      <c r="AD9356"/>
      <c r="AE9356"/>
      <c r="AF9356"/>
      <c r="AG9356"/>
      <c r="AH9356"/>
      <c r="AI9356"/>
      <c r="AJ9356"/>
      <c r="AK9356"/>
      <c r="AL9356"/>
      <c r="AM9356"/>
      <c r="AN9356"/>
      <c r="AO9356"/>
      <c r="AP9356"/>
      <c r="AQ9356"/>
      <c r="AR9356"/>
      <c r="AS9356"/>
      <c r="AT9356"/>
      <c r="AU9356"/>
      <c r="AV9356"/>
      <c r="AW9356"/>
      <c r="AX9356"/>
      <c r="AY9356"/>
      <c r="AZ9356"/>
      <c r="BA9356"/>
      <c r="BB9356"/>
      <c r="BC9356"/>
      <c r="BD9356"/>
      <c r="BE9356"/>
      <c r="BF9356"/>
      <c r="BG9356"/>
      <c r="BH9356"/>
      <c r="BI9356"/>
      <c r="BJ9356"/>
      <c r="BK9356"/>
    </row>
    <row r="9357" spans="1:63" s="93" customFormat="1" ht="9" customHeight="1" x14ac:dyDescent="0.3">
      <c r="A9357" s="91"/>
      <c r="B9357" s="70"/>
      <c r="C9357" s="70"/>
      <c r="D9357" s="70"/>
      <c r="E9357" s="70"/>
      <c r="F9357" s="70"/>
      <c r="G9357" s="94"/>
      <c r="H9357" s="131"/>
      <c r="I9357" s="3"/>
      <c r="J9357"/>
      <c r="K9357"/>
      <c r="L9357"/>
      <c r="M9357"/>
      <c r="N9357"/>
      <c r="O9357"/>
      <c r="P9357"/>
      <c r="Q9357"/>
      <c r="R9357"/>
      <c r="S9357"/>
      <c r="T9357"/>
      <c r="U9357"/>
      <c r="V9357"/>
      <c r="W9357"/>
      <c r="X9357"/>
      <c r="Y9357"/>
      <c r="Z9357"/>
      <c r="AA9357"/>
      <c r="AB9357"/>
      <c r="AC9357"/>
      <c r="AD9357"/>
      <c r="AE9357"/>
      <c r="AF9357"/>
      <c r="AG9357"/>
      <c r="AH9357"/>
      <c r="AI9357"/>
      <c r="AJ9357"/>
      <c r="AK9357"/>
      <c r="AL9357"/>
      <c r="AM9357"/>
      <c r="AN9357"/>
      <c r="AO9357"/>
      <c r="AP9357"/>
      <c r="AQ9357"/>
      <c r="AR9357"/>
      <c r="AS9357"/>
      <c r="AT9357"/>
      <c r="AU9357"/>
      <c r="AV9357"/>
      <c r="AW9357"/>
      <c r="AX9357"/>
      <c r="AY9357"/>
      <c r="AZ9357"/>
      <c r="BA9357"/>
      <c r="BB9357"/>
      <c r="BC9357"/>
      <c r="BD9357"/>
      <c r="BE9357"/>
      <c r="BF9357"/>
      <c r="BG9357"/>
      <c r="BH9357"/>
      <c r="BI9357"/>
      <c r="BJ9357"/>
      <c r="BK9357"/>
    </row>
    <row r="9358" spans="1:63" s="93" customFormat="1" ht="9" customHeight="1" x14ac:dyDescent="0.3">
      <c r="A9358" s="91"/>
      <c r="B9358" s="70"/>
      <c r="C9358" s="70"/>
      <c r="D9358" s="70"/>
      <c r="E9358" s="70"/>
      <c r="F9358" s="70"/>
      <c r="G9358" s="94"/>
      <c r="H9358" s="131"/>
      <c r="I9358" s="3"/>
      <c r="J9358"/>
      <c r="K9358"/>
      <c r="L9358"/>
      <c r="M9358"/>
      <c r="N9358"/>
      <c r="O9358"/>
      <c r="P9358"/>
      <c r="Q9358"/>
      <c r="R9358"/>
      <c r="S9358"/>
      <c r="T9358"/>
      <c r="U9358"/>
      <c r="V9358"/>
      <c r="W9358"/>
      <c r="X9358"/>
      <c r="Y9358"/>
      <c r="Z9358"/>
      <c r="AA9358"/>
      <c r="AB9358"/>
      <c r="AC9358"/>
      <c r="AD9358"/>
      <c r="AE9358"/>
      <c r="AF9358"/>
      <c r="AG9358"/>
      <c r="AH9358"/>
      <c r="AI9358"/>
      <c r="AJ9358"/>
      <c r="AK9358"/>
      <c r="AL9358"/>
      <c r="AM9358"/>
      <c r="AN9358"/>
      <c r="AO9358"/>
      <c r="AP9358"/>
      <c r="AQ9358"/>
      <c r="AR9358"/>
      <c r="AS9358"/>
      <c r="AT9358"/>
      <c r="AU9358"/>
      <c r="AV9358"/>
      <c r="AW9358"/>
      <c r="AX9358"/>
      <c r="AY9358"/>
      <c r="AZ9358"/>
      <c r="BA9358"/>
      <c r="BB9358"/>
      <c r="BC9358"/>
      <c r="BD9358"/>
      <c r="BE9358"/>
      <c r="BF9358"/>
      <c r="BG9358"/>
      <c r="BH9358"/>
      <c r="BI9358"/>
      <c r="BJ9358"/>
      <c r="BK9358"/>
    </row>
    <row r="9359" spans="1:63" s="93" customFormat="1" ht="9" customHeight="1" x14ac:dyDescent="0.3">
      <c r="A9359" s="91"/>
      <c r="B9359" s="70"/>
      <c r="C9359" s="70"/>
      <c r="D9359" s="70"/>
      <c r="E9359" s="70"/>
      <c r="F9359" s="70"/>
      <c r="G9359" s="94"/>
      <c r="H9359" s="131"/>
      <c r="I9359" s="3"/>
      <c r="J9359"/>
      <c r="K9359"/>
      <c r="L9359"/>
      <c r="M9359"/>
      <c r="N9359"/>
      <c r="O9359"/>
      <c r="P9359"/>
      <c r="Q9359"/>
      <c r="R9359"/>
      <c r="S9359"/>
      <c r="T9359"/>
      <c r="U9359"/>
      <c r="V9359"/>
      <c r="W9359"/>
      <c r="X9359"/>
      <c r="Y9359"/>
      <c r="Z9359"/>
      <c r="AA9359"/>
      <c r="AB9359"/>
      <c r="AC9359"/>
      <c r="AD9359"/>
      <c r="AE9359"/>
      <c r="AF9359"/>
      <c r="AG9359"/>
      <c r="AH9359"/>
      <c r="AI9359"/>
      <c r="AJ9359"/>
      <c r="AK9359"/>
      <c r="AL9359"/>
      <c r="AM9359"/>
      <c r="AN9359"/>
      <c r="AO9359"/>
      <c r="AP9359"/>
      <c r="AQ9359"/>
      <c r="AR9359"/>
      <c r="AS9359"/>
      <c r="AT9359"/>
      <c r="AU9359"/>
      <c r="AV9359"/>
      <c r="AW9359"/>
      <c r="AX9359"/>
      <c r="AY9359"/>
      <c r="AZ9359"/>
      <c r="BA9359"/>
      <c r="BB9359"/>
      <c r="BC9359"/>
      <c r="BD9359"/>
      <c r="BE9359"/>
      <c r="BF9359"/>
      <c r="BG9359"/>
      <c r="BH9359"/>
      <c r="BI9359"/>
      <c r="BJ9359"/>
      <c r="BK9359"/>
    </row>
    <row r="9360" spans="1:63" s="93" customFormat="1" ht="9" customHeight="1" x14ac:dyDescent="0.3">
      <c r="A9360" s="91"/>
      <c r="B9360" s="70"/>
      <c r="C9360" s="70"/>
      <c r="D9360" s="70"/>
      <c r="E9360" s="70"/>
      <c r="F9360" s="70"/>
      <c r="G9360" s="94"/>
      <c r="H9360" s="131"/>
      <c r="I9360" s="3"/>
      <c r="J9360"/>
      <c r="K9360"/>
      <c r="L9360"/>
      <c r="M9360"/>
      <c r="N9360"/>
      <c r="O9360"/>
      <c r="P9360"/>
      <c r="Q9360"/>
      <c r="R9360"/>
      <c r="S9360"/>
      <c r="T9360"/>
      <c r="U9360"/>
      <c r="V9360"/>
      <c r="W9360"/>
      <c r="X9360"/>
      <c r="Y9360"/>
      <c r="Z9360"/>
      <c r="AA9360"/>
      <c r="AB9360"/>
      <c r="AC9360"/>
      <c r="AD9360"/>
      <c r="AE9360"/>
      <c r="AF9360"/>
      <c r="AG9360"/>
      <c r="AH9360"/>
      <c r="AI9360"/>
      <c r="AJ9360"/>
      <c r="AK9360"/>
      <c r="AL9360"/>
      <c r="AM9360"/>
      <c r="AN9360"/>
      <c r="AO9360"/>
      <c r="AP9360"/>
      <c r="AQ9360"/>
      <c r="AR9360"/>
      <c r="AS9360"/>
      <c r="AT9360"/>
      <c r="AU9360"/>
      <c r="AV9360"/>
      <c r="AW9360"/>
      <c r="AX9360"/>
      <c r="AY9360"/>
      <c r="AZ9360"/>
      <c r="BA9360"/>
      <c r="BB9360"/>
      <c r="BC9360"/>
      <c r="BD9360"/>
      <c r="BE9360"/>
      <c r="BF9360"/>
      <c r="BG9360"/>
      <c r="BH9360"/>
      <c r="BI9360"/>
      <c r="BJ9360"/>
      <c r="BK9360"/>
    </row>
    <row r="9361" spans="1:63" s="93" customFormat="1" ht="9" customHeight="1" x14ac:dyDescent="0.3">
      <c r="A9361" s="91"/>
      <c r="B9361" s="70"/>
      <c r="C9361" s="70"/>
      <c r="D9361" s="70"/>
      <c r="E9361" s="70"/>
      <c r="F9361" s="70"/>
      <c r="G9361" s="94"/>
      <c r="H9361" s="131"/>
      <c r="I9361" s="3"/>
      <c r="J9361"/>
      <c r="K9361"/>
      <c r="L9361"/>
      <c r="M9361"/>
      <c r="N9361"/>
      <c r="O9361"/>
      <c r="P9361"/>
      <c r="Q9361"/>
      <c r="R9361"/>
      <c r="S9361"/>
      <c r="T9361"/>
      <c r="U9361"/>
      <c r="V9361"/>
      <c r="W9361"/>
      <c r="X9361"/>
      <c r="Y9361"/>
      <c r="Z9361"/>
      <c r="AA9361"/>
      <c r="AB9361"/>
      <c r="AC9361"/>
      <c r="AD9361"/>
      <c r="AE9361"/>
      <c r="AF9361"/>
      <c r="AG9361"/>
      <c r="AH9361"/>
      <c r="AI9361"/>
      <c r="AJ9361"/>
      <c r="AK9361"/>
      <c r="AL9361"/>
      <c r="AM9361"/>
      <c r="AN9361"/>
      <c r="AO9361"/>
      <c r="AP9361"/>
      <c r="AQ9361"/>
      <c r="AR9361"/>
      <c r="AS9361"/>
      <c r="AT9361"/>
      <c r="AU9361"/>
      <c r="AV9361"/>
      <c r="AW9361"/>
      <c r="AX9361"/>
      <c r="AY9361"/>
      <c r="AZ9361"/>
      <c r="BA9361"/>
      <c r="BB9361"/>
      <c r="BC9361"/>
      <c r="BD9361"/>
      <c r="BE9361"/>
      <c r="BF9361"/>
      <c r="BG9361"/>
      <c r="BH9361"/>
      <c r="BI9361"/>
      <c r="BJ9361"/>
      <c r="BK9361"/>
    </row>
    <row r="9362" spans="1:63" s="93" customFormat="1" ht="9" customHeight="1" x14ac:dyDescent="0.3">
      <c r="A9362" s="91"/>
      <c r="B9362" s="70"/>
      <c r="C9362" s="70"/>
      <c r="D9362" s="70"/>
      <c r="E9362" s="70"/>
      <c r="F9362" s="70"/>
      <c r="G9362" s="94"/>
      <c r="H9362" s="131"/>
      <c r="I9362" s="3"/>
      <c r="J9362"/>
      <c r="K9362"/>
      <c r="L9362"/>
      <c r="M9362"/>
      <c r="N9362"/>
      <c r="O9362"/>
      <c r="P9362"/>
      <c r="Q9362"/>
      <c r="R9362"/>
      <c r="S9362"/>
      <c r="T9362"/>
      <c r="U9362"/>
      <c r="V9362"/>
      <c r="W9362"/>
      <c r="X9362"/>
      <c r="Y9362"/>
      <c r="Z9362"/>
      <c r="AA9362"/>
      <c r="AB9362"/>
      <c r="AC9362"/>
      <c r="AD9362"/>
      <c r="AE9362"/>
      <c r="AF9362"/>
      <c r="AG9362"/>
      <c r="AH9362"/>
      <c r="AI9362"/>
      <c r="AJ9362"/>
      <c r="AK9362"/>
      <c r="AL9362"/>
      <c r="AM9362"/>
      <c r="AN9362"/>
      <c r="AO9362"/>
      <c r="AP9362"/>
      <c r="AQ9362"/>
      <c r="AR9362"/>
      <c r="AS9362"/>
      <c r="AT9362"/>
      <c r="AU9362"/>
      <c r="AV9362"/>
      <c r="AW9362"/>
      <c r="AX9362"/>
      <c r="AY9362"/>
      <c r="AZ9362"/>
      <c r="BA9362"/>
      <c r="BB9362"/>
      <c r="BC9362"/>
      <c r="BD9362"/>
      <c r="BE9362"/>
      <c r="BF9362"/>
      <c r="BG9362"/>
      <c r="BH9362"/>
      <c r="BI9362"/>
      <c r="BJ9362"/>
      <c r="BK9362"/>
    </row>
    <row r="9363" spans="1:63" s="93" customFormat="1" ht="9" customHeight="1" x14ac:dyDescent="0.3">
      <c r="A9363" s="91"/>
      <c r="B9363" s="70"/>
      <c r="C9363" s="70"/>
      <c r="D9363" s="70"/>
      <c r="E9363" s="70"/>
      <c r="F9363" s="70"/>
      <c r="G9363" s="94"/>
      <c r="H9363" s="131"/>
      <c r="I9363" s="3"/>
      <c r="J9363"/>
      <c r="K9363"/>
      <c r="L9363"/>
      <c r="M9363"/>
      <c r="N9363"/>
      <c r="O9363"/>
      <c r="P9363"/>
      <c r="Q9363"/>
      <c r="R9363"/>
      <c r="S9363"/>
      <c r="T9363"/>
      <c r="U9363"/>
      <c r="V9363"/>
      <c r="W9363"/>
      <c r="X9363"/>
      <c r="Y9363"/>
      <c r="Z9363"/>
      <c r="AA9363"/>
      <c r="AB9363"/>
      <c r="AC9363"/>
      <c r="AD9363"/>
      <c r="AE9363"/>
      <c r="AF9363"/>
      <c r="AG9363"/>
      <c r="AH9363"/>
      <c r="AI9363"/>
      <c r="AJ9363"/>
      <c r="AK9363"/>
      <c r="AL9363"/>
      <c r="AM9363"/>
      <c r="AN9363"/>
      <c r="AO9363"/>
      <c r="AP9363"/>
      <c r="AQ9363"/>
      <c r="AR9363"/>
      <c r="AS9363"/>
      <c r="AT9363"/>
      <c r="AU9363"/>
      <c r="AV9363"/>
      <c r="AW9363"/>
      <c r="AX9363"/>
      <c r="AY9363"/>
      <c r="AZ9363"/>
      <c r="BA9363"/>
      <c r="BB9363"/>
      <c r="BC9363"/>
      <c r="BD9363"/>
      <c r="BE9363"/>
      <c r="BF9363"/>
      <c r="BG9363"/>
      <c r="BH9363"/>
      <c r="BI9363"/>
      <c r="BJ9363"/>
      <c r="BK9363"/>
    </row>
    <row r="9364" spans="1:63" s="93" customFormat="1" ht="9" customHeight="1" x14ac:dyDescent="0.3">
      <c r="A9364" s="91"/>
      <c r="B9364" s="70"/>
      <c r="C9364" s="70"/>
      <c r="D9364" s="70"/>
      <c r="E9364" s="70"/>
      <c r="F9364" s="70"/>
      <c r="G9364" s="94"/>
      <c r="H9364" s="131"/>
      <c r="I9364" s="3"/>
      <c r="J9364"/>
      <c r="K9364"/>
      <c r="L9364"/>
      <c r="M9364"/>
      <c r="N9364"/>
      <c r="O9364"/>
      <c r="P9364"/>
      <c r="Q9364"/>
      <c r="R9364"/>
      <c r="S9364"/>
      <c r="T9364"/>
      <c r="U9364"/>
      <c r="V9364"/>
      <c r="W9364"/>
      <c r="X9364"/>
      <c r="Y9364"/>
      <c r="Z9364"/>
      <c r="AA9364"/>
      <c r="AB9364"/>
      <c r="AC9364"/>
      <c r="AD9364"/>
      <c r="AE9364"/>
      <c r="AF9364"/>
      <c r="AG9364"/>
      <c r="AH9364"/>
      <c r="AI9364"/>
      <c r="AJ9364"/>
      <c r="AK9364"/>
      <c r="AL9364"/>
      <c r="AM9364"/>
      <c r="AN9364"/>
      <c r="AO9364"/>
      <c r="AP9364"/>
      <c r="AQ9364"/>
      <c r="AR9364"/>
      <c r="AS9364"/>
      <c r="AT9364"/>
      <c r="AU9364"/>
      <c r="AV9364"/>
      <c r="AW9364"/>
      <c r="AX9364"/>
      <c r="AY9364"/>
      <c r="AZ9364"/>
      <c r="BA9364"/>
      <c r="BB9364"/>
      <c r="BC9364"/>
      <c r="BD9364"/>
      <c r="BE9364"/>
      <c r="BF9364"/>
      <c r="BG9364"/>
      <c r="BH9364"/>
      <c r="BI9364"/>
      <c r="BJ9364"/>
      <c r="BK9364"/>
    </row>
    <row r="9365" spans="1:63" s="93" customFormat="1" ht="9" customHeight="1" x14ac:dyDescent="0.3">
      <c r="A9365" s="91"/>
      <c r="B9365" s="70"/>
      <c r="C9365" s="70"/>
      <c r="D9365" s="70"/>
      <c r="E9365" s="70"/>
      <c r="F9365" s="70"/>
      <c r="G9365" s="94"/>
      <c r="H9365" s="131"/>
      <c r="I9365" s="3"/>
      <c r="J9365"/>
      <c r="K9365"/>
      <c r="L9365"/>
      <c r="M9365"/>
      <c r="N9365"/>
      <c r="O9365"/>
      <c r="P9365"/>
      <c r="Q9365"/>
      <c r="R9365"/>
      <c r="S9365"/>
      <c r="T9365"/>
      <c r="U9365"/>
      <c r="V9365"/>
      <c r="W9365"/>
      <c r="X9365"/>
      <c r="Y9365"/>
      <c r="Z9365"/>
      <c r="AA9365"/>
      <c r="AB9365"/>
      <c r="AC9365"/>
      <c r="AD9365"/>
      <c r="AE9365"/>
      <c r="AF9365"/>
      <c r="AG9365"/>
      <c r="AH9365"/>
      <c r="AI9365"/>
      <c r="AJ9365"/>
      <c r="AK9365"/>
      <c r="AL9365"/>
      <c r="AM9365"/>
      <c r="AN9365"/>
      <c r="AO9365"/>
      <c r="AP9365"/>
      <c r="AQ9365"/>
      <c r="AR9365"/>
      <c r="AS9365"/>
      <c r="AT9365"/>
      <c r="AU9365"/>
      <c r="AV9365"/>
      <c r="AW9365"/>
      <c r="AX9365"/>
      <c r="AY9365"/>
      <c r="AZ9365"/>
      <c r="BA9365"/>
      <c r="BB9365"/>
      <c r="BC9365"/>
      <c r="BD9365"/>
      <c r="BE9365"/>
      <c r="BF9365"/>
      <c r="BG9365"/>
      <c r="BH9365"/>
      <c r="BI9365"/>
      <c r="BJ9365"/>
      <c r="BK9365"/>
    </row>
    <row r="9366" spans="1:63" s="93" customFormat="1" ht="9" customHeight="1" x14ac:dyDescent="0.3">
      <c r="A9366" s="91"/>
      <c r="B9366" s="70"/>
      <c r="C9366" s="70"/>
      <c r="D9366" s="70"/>
      <c r="E9366" s="70"/>
      <c r="F9366" s="70"/>
      <c r="G9366" s="94"/>
      <c r="H9366" s="131"/>
      <c r="I9366" s="3"/>
      <c r="J9366"/>
      <c r="K9366"/>
      <c r="L9366"/>
      <c r="M9366"/>
      <c r="N9366"/>
      <c r="O9366"/>
      <c r="P9366"/>
      <c r="Q9366"/>
      <c r="R9366"/>
      <c r="S9366"/>
      <c r="T9366"/>
      <c r="U9366"/>
      <c r="V9366"/>
      <c r="W9366"/>
      <c r="X9366"/>
      <c r="Y9366"/>
      <c r="Z9366"/>
      <c r="AA9366"/>
      <c r="AB9366"/>
      <c r="AC9366"/>
      <c r="AD9366"/>
      <c r="AE9366"/>
      <c r="AF9366"/>
      <c r="AG9366"/>
      <c r="AH9366"/>
      <c r="AI9366"/>
      <c r="AJ9366"/>
      <c r="AK9366"/>
      <c r="AL9366"/>
      <c r="AM9366"/>
      <c r="AN9366"/>
      <c r="AO9366"/>
      <c r="AP9366"/>
      <c r="AQ9366"/>
      <c r="AR9366"/>
      <c r="AS9366"/>
      <c r="AT9366"/>
      <c r="AU9366"/>
      <c r="AV9366"/>
      <c r="AW9366"/>
      <c r="AX9366"/>
      <c r="AY9366"/>
      <c r="AZ9366"/>
      <c r="BA9366"/>
      <c r="BB9366"/>
      <c r="BC9366"/>
      <c r="BD9366"/>
      <c r="BE9366"/>
      <c r="BF9366"/>
      <c r="BG9366"/>
      <c r="BH9366"/>
      <c r="BI9366"/>
      <c r="BJ9366"/>
      <c r="BK9366"/>
    </row>
    <row r="9367" spans="1:63" s="93" customFormat="1" ht="9" customHeight="1" x14ac:dyDescent="0.3">
      <c r="A9367" s="91"/>
      <c r="B9367" s="70"/>
      <c r="C9367" s="70"/>
      <c r="D9367" s="70"/>
      <c r="E9367" s="70"/>
      <c r="F9367" s="70"/>
      <c r="G9367" s="94"/>
      <c r="H9367" s="131"/>
      <c r="I9367" s="3"/>
      <c r="J9367"/>
      <c r="K9367"/>
      <c r="L9367"/>
      <c r="M9367"/>
      <c r="N9367"/>
      <c r="O9367"/>
      <c r="P9367"/>
      <c r="Q9367"/>
      <c r="R9367"/>
      <c r="S9367"/>
      <c r="T9367"/>
      <c r="U9367"/>
      <c r="V9367"/>
      <c r="W9367"/>
      <c r="X9367"/>
      <c r="Y9367"/>
      <c r="Z9367"/>
      <c r="AA9367"/>
      <c r="AB9367"/>
      <c r="AC9367"/>
      <c r="AD9367"/>
      <c r="AE9367"/>
      <c r="AF9367"/>
      <c r="AG9367"/>
      <c r="AH9367"/>
      <c r="AI9367"/>
      <c r="AJ9367"/>
      <c r="AK9367"/>
      <c r="AL9367"/>
      <c r="AM9367"/>
      <c r="AN9367"/>
      <c r="AO9367"/>
      <c r="AP9367"/>
      <c r="AQ9367"/>
      <c r="AR9367"/>
      <c r="AS9367"/>
      <c r="AT9367"/>
      <c r="AU9367"/>
      <c r="AV9367"/>
      <c r="AW9367"/>
      <c r="AX9367"/>
      <c r="AY9367"/>
      <c r="AZ9367"/>
      <c r="BA9367"/>
      <c r="BB9367"/>
      <c r="BC9367"/>
      <c r="BD9367"/>
      <c r="BE9367"/>
      <c r="BF9367"/>
      <c r="BG9367"/>
      <c r="BH9367"/>
      <c r="BI9367"/>
      <c r="BJ9367"/>
      <c r="BK9367"/>
    </row>
    <row r="9368" spans="1:63" s="93" customFormat="1" ht="9" customHeight="1" x14ac:dyDescent="0.3">
      <c r="A9368" s="91"/>
      <c r="B9368" s="70"/>
      <c r="C9368" s="70"/>
      <c r="D9368" s="70"/>
      <c r="E9368" s="70"/>
      <c r="F9368" s="70"/>
      <c r="G9368" s="94"/>
      <c r="H9368" s="131"/>
      <c r="I9368" s="3"/>
      <c r="J9368"/>
      <c r="K9368"/>
      <c r="L9368"/>
      <c r="M9368"/>
      <c r="N9368"/>
      <c r="O9368"/>
      <c r="P9368"/>
      <c r="Q9368"/>
      <c r="R9368"/>
      <c r="S9368"/>
      <c r="T9368"/>
      <c r="U9368"/>
      <c r="V9368"/>
      <c r="W9368"/>
      <c r="X9368"/>
      <c r="Y9368"/>
      <c r="Z9368"/>
      <c r="AA9368"/>
      <c r="AB9368"/>
      <c r="AC9368"/>
      <c r="AD9368"/>
      <c r="AE9368"/>
      <c r="AF9368"/>
      <c r="AG9368"/>
      <c r="AH9368"/>
      <c r="AI9368"/>
      <c r="AJ9368"/>
      <c r="AK9368"/>
      <c r="AL9368"/>
      <c r="AM9368"/>
      <c r="AN9368"/>
      <c r="AO9368"/>
      <c r="AP9368"/>
      <c r="AQ9368"/>
      <c r="AR9368"/>
      <c r="AS9368"/>
      <c r="AT9368"/>
      <c r="AU9368"/>
      <c r="AV9368"/>
      <c r="AW9368"/>
      <c r="AX9368"/>
      <c r="AY9368"/>
      <c r="AZ9368"/>
      <c r="BA9368"/>
      <c r="BB9368"/>
      <c r="BC9368"/>
      <c r="BD9368"/>
      <c r="BE9368"/>
      <c r="BF9368"/>
      <c r="BG9368"/>
      <c r="BH9368"/>
      <c r="BI9368"/>
      <c r="BJ9368"/>
      <c r="BK9368"/>
    </row>
    <row r="9369" spans="1:63" s="93" customFormat="1" ht="9" customHeight="1" x14ac:dyDescent="0.3">
      <c r="A9369" s="91"/>
      <c r="B9369" s="70"/>
      <c r="C9369" s="70"/>
      <c r="D9369" s="70"/>
      <c r="E9369" s="70"/>
      <c r="F9369" s="70"/>
      <c r="G9369" s="94"/>
      <c r="H9369" s="131"/>
      <c r="I9369" s="3"/>
      <c r="J9369"/>
      <c r="K9369"/>
      <c r="L9369"/>
      <c r="M9369"/>
      <c r="N9369"/>
      <c r="O9369"/>
      <c r="P9369"/>
      <c r="Q9369"/>
      <c r="R9369"/>
      <c r="S9369"/>
      <c r="T9369"/>
      <c r="U9369"/>
      <c r="V9369"/>
      <c r="W9369"/>
      <c r="X9369"/>
      <c r="Y9369"/>
      <c r="Z9369"/>
      <c r="AA9369"/>
      <c r="AB9369"/>
      <c r="AC9369"/>
      <c r="AD9369"/>
      <c r="AE9369"/>
      <c r="AF9369"/>
      <c r="AG9369"/>
      <c r="AH9369"/>
      <c r="AI9369"/>
      <c r="AJ9369"/>
      <c r="AK9369"/>
      <c r="AL9369"/>
      <c r="AM9369"/>
      <c r="AN9369"/>
      <c r="AO9369"/>
      <c r="AP9369"/>
      <c r="AQ9369"/>
      <c r="AR9369"/>
      <c r="AS9369"/>
      <c r="AT9369"/>
      <c r="AU9369"/>
      <c r="AV9369"/>
      <c r="AW9369"/>
      <c r="AX9369"/>
      <c r="AY9369"/>
      <c r="AZ9369"/>
      <c r="BA9369"/>
      <c r="BB9369"/>
      <c r="BC9369"/>
      <c r="BD9369"/>
      <c r="BE9369"/>
      <c r="BF9369"/>
      <c r="BG9369"/>
      <c r="BH9369"/>
      <c r="BI9369"/>
      <c r="BJ9369"/>
      <c r="BK9369"/>
    </row>
    <row r="9370" spans="1:63" s="93" customFormat="1" ht="9" customHeight="1" x14ac:dyDescent="0.3">
      <c r="A9370" s="91"/>
      <c r="B9370" s="70"/>
      <c r="C9370" s="70"/>
      <c r="D9370" s="70"/>
      <c r="E9370" s="70"/>
      <c r="F9370" s="70"/>
      <c r="G9370" s="94"/>
      <c r="H9370" s="131"/>
      <c r="I9370" s="3"/>
      <c r="J9370"/>
      <c r="K9370"/>
      <c r="L9370"/>
      <c r="M9370"/>
      <c r="N9370"/>
      <c r="O9370"/>
      <c r="P9370"/>
      <c r="Q9370"/>
      <c r="R9370"/>
      <c r="S9370"/>
      <c r="T9370"/>
      <c r="U9370"/>
      <c r="V9370"/>
      <c r="W9370"/>
      <c r="X9370"/>
      <c r="Y9370"/>
      <c r="Z9370"/>
      <c r="AA9370"/>
      <c r="AB9370"/>
      <c r="AC9370"/>
      <c r="AD9370"/>
      <c r="AE9370"/>
      <c r="AF9370"/>
      <c r="AG9370"/>
      <c r="AH9370"/>
      <c r="AI9370"/>
      <c r="AJ9370"/>
      <c r="AK9370"/>
      <c r="AL9370"/>
      <c r="AM9370"/>
      <c r="AN9370"/>
      <c r="AO9370"/>
      <c r="AP9370"/>
      <c r="AQ9370"/>
      <c r="AR9370"/>
      <c r="AS9370"/>
      <c r="AT9370"/>
      <c r="AU9370"/>
      <c r="AV9370"/>
      <c r="AW9370"/>
      <c r="AX9370"/>
      <c r="AY9370"/>
      <c r="AZ9370"/>
      <c r="BA9370"/>
      <c r="BB9370"/>
      <c r="BC9370"/>
      <c r="BD9370"/>
      <c r="BE9370"/>
      <c r="BF9370"/>
      <c r="BG9370"/>
      <c r="BH9370"/>
      <c r="BI9370"/>
      <c r="BJ9370"/>
      <c r="BK9370"/>
    </row>
    <row r="9371" spans="1:63" s="93" customFormat="1" ht="9" customHeight="1" x14ac:dyDescent="0.3">
      <c r="A9371" s="91"/>
      <c r="B9371" s="70"/>
      <c r="C9371" s="70"/>
      <c r="D9371" s="70"/>
      <c r="E9371" s="70"/>
      <c r="F9371" s="70"/>
      <c r="G9371" s="94"/>
      <c r="H9371" s="131"/>
      <c r="I9371" s="3"/>
      <c r="J9371"/>
      <c r="K9371"/>
      <c r="L9371"/>
      <c r="M9371"/>
      <c r="N9371"/>
      <c r="O9371"/>
      <c r="P9371"/>
      <c r="Q9371"/>
      <c r="R9371"/>
      <c r="S9371"/>
      <c r="T9371"/>
      <c r="U9371"/>
      <c r="V9371"/>
      <c r="W9371"/>
      <c r="X9371"/>
      <c r="Y9371"/>
      <c r="Z9371"/>
      <c r="AA9371"/>
      <c r="AB9371"/>
      <c r="AC9371"/>
      <c r="AD9371"/>
      <c r="AE9371"/>
      <c r="AF9371"/>
      <c r="AG9371"/>
      <c r="AH9371"/>
      <c r="AI9371"/>
      <c r="AJ9371"/>
      <c r="AK9371"/>
      <c r="AL9371"/>
      <c r="AM9371"/>
      <c r="AN9371"/>
      <c r="AO9371"/>
      <c r="AP9371"/>
      <c r="AQ9371"/>
      <c r="AR9371"/>
      <c r="AS9371"/>
      <c r="AT9371"/>
      <c r="AU9371"/>
      <c r="AV9371"/>
      <c r="AW9371"/>
      <c r="AX9371"/>
      <c r="AY9371"/>
      <c r="AZ9371"/>
      <c r="BA9371"/>
      <c r="BB9371"/>
      <c r="BC9371"/>
      <c r="BD9371"/>
      <c r="BE9371"/>
      <c r="BF9371"/>
      <c r="BG9371"/>
      <c r="BH9371"/>
      <c r="BI9371"/>
      <c r="BJ9371"/>
      <c r="BK9371"/>
    </row>
    <row r="9372" spans="1:63" s="93" customFormat="1" ht="9" customHeight="1" x14ac:dyDescent="0.3">
      <c r="A9372" s="91"/>
      <c r="B9372" s="70"/>
      <c r="C9372" s="70"/>
      <c r="D9372" s="70"/>
      <c r="E9372" s="70"/>
      <c r="F9372" s="70"/>
      <c r="G9372" s="94"/>
      <c r="H9372" s="131"/>
      <c r="I9372" s="3"/>
      <c r="J9372"/>
      <c r="K9372"/>
      <c r="L9372"/>
      <c r="M9372"/>
      <c r="N9372"/>
      <c r="O9372"/>
      <c r="P9372"/>
      <c r="Q9372"/>
      <c r="R9372"/>
      <c r="S9372"/>
      <c r="T9372"/>
      <c r="U9372"/>
      <c r="V9372"/>
      <c r="W9372"/>
      <c r="X9372"/>
      <c r="Y9372"/>
      <c r="Z9372"/>
      <c r="AA9372"/>
      <c r="AB9372"/>
      <c r="AC9372"/>
      <c r="AD9372"/>
      <c r="AE9372"/>
      <c r="AF9372"/>
      <c r="AG9372"/>
      <c r="AH9372"/>
      <c r="AI9372"/>
      <c r="AJ9372"/>
      <c r="AK9372"/>
      <c r="AL9372"/>
      <c r="AM9372"/>
      <c r="AN9372"/>
      <c r="AO9372"/>
      <c r="AP9372"/>
      <c r="AQ9372"/>
      <c r="AR9372"/>
      <c r="AS9372"/>
      <c r="AT9372"/>
      <c r="AU9372"/>
      <c r="AV9372"/>
      <c r="AW9372"/>
      <c r="AX9372"/>
      <c r="AY9372"/>
      <c r="AZ9372"/>
      <c r="BA9372"/>
      <c r="BB9372"/>
      <c r="BC9372"/>
      <c r="BD9372"/>
      <c r="BE9372"/>
      <c r="BF9372"/>
      <c r="BG9372"/>
      <c r="BH9372"/>
      <c r="BI9372"/>
      <c r="BJ9372"/>
      <c r="BK9372"/>
    </row>
    <row r="9373" spans="1:63" s="93" customFormat="1" ht="9" customHeight="1" x14ac:dyDescent="0.3">
      <c r="A9373" s="91"/>
      <c r="B9373" s="70"/>
      <c r="C9373" s="70"/>
      <c r="D9373" s="70"/>
      <c r="E9373" s="70"/>
      <c r="F9373" s="70"/>
      <c r="G9373" s="94"/>
      <c r="H9373" s="131"/>
      <c r="I9373" s="3"/>
      <c r="J9373"/>
      <c r="K9373"/>
      <c r="L9373"/>
      <c r="M9373"/>
      <c r="N9373"/>
      <c r="O9373"/>
      <c r="P9373"/>
      <c r="Q9373"/>
      <c r="R9373"/>
      <c r="S9373"/>
      <c r="T9373"/>
      <c r="U9373"/>
      <c r="V9373"/>
      <c r="W9373"/>
      <c r="X9373"/>
      <c r="Y9373"/>
      <c r="Z9373"/>
      <c r="AA9373"/>
      <c r="AB9373"/>
      <c r="AC9373"/>
      <c r="AD9373"/>
      <c r="AE9373"/>
      <c r="AF9373"/>
      <c r="AG9373"/>
      <c r="AH9373"/>
      <c r="AI9373"/>
      <c r="AJ9373"/>
      <c r="AK9373"/>
      <c r="AL9373"/>
      <c r="AM9373"/>
      <c r="AN9373"/>
      <c r="AO9373"/>
      <c r="AP9373"/>
      <c r="AQ9373"/>
      <c r="AR9373"/>
      <c r="AS9373"/>
      <c r="AT9373"/>
      <c r="AU9373"/>
      <c r="AV9373"/>
      <c r="AW9373"/>
      <c r="AX9373"/>
      <c r="AY9373"/>
      <c r="AZ9373"/>
      <c r="BA9373"/>
      <c r="BB9373"/>
      <c r="BC9373"/>
      <c r="BD9373"/>
      <c r="BE9373"/>
      <c r="BF9373"/>
      <c r="BG9373"/>
      <c r="BH9373"/>
      <c r="BI9373"/>
      <c r="BJ9373"/>
      <c r="BK9373"/>
    </row>
    <row r="9374" spans="1:63" s="93" customFormat="1" ht="9" customHeight="1" x14ac:dyDescent="0.3">
      <c r="A9374" s="91"/>
      <c r="B9374" s="70"/>
      <c r="C9374" s="70"/>
      <c r="D9374" s="70"/>
      <c r="E9374" s="70"/>
      <c r="F9374" s="70"/>
      <c r="G9374" s="94"/>
      <c r="H9374" s="131"/>
      <c r="I9374" s="3"/>
      <c r="J9374"/>
      <c r="K9374"/>
      <c r="L9374"/>
      <c r="M9374"/>
      <c r="N9374"/>
      <c r="O9374"/>
      <c r="P9374"/>
      <c r="Q9374"/>
      <c r="R9374"/>
      <c r="S9374"/>
      <c r="T9374"/>
      <c r="U9374"/>
      <c r="V9374"/>
      <c r="W9374"/>
      <c r="X9374"/>
      <c r="Y9374"/>
      <c r="Z9374"/>
      <c r="AA9374"/>
      <c r="AB9374"/>
      <c r="AC9374"/>
      <c r="AD9374"/>
      <c r="AE9374"/>
      <c r="AF9374"/>
      <c r="AG9374"/>
      <c r="AH9374"/>
      <c r="AI9374"/>
      <c r="AJ9374"/>
      <c r="AK9374"/>
      <c r="AL9374"/>
      <c r="AM9374"/>
      <c r="AN9374"/>
      <c r="AO9374"/>
      <c r="AP9374"/>
      <c r="AQ9374"/>
      <c r="AR9374"/>
      <c r="AS9374"/>
      <c r="AT9374"/>
      <c r="AU9374"/>
      <c r="AV9374"/>
      <c r="AW9374"/>
      <c r="AX9374"/>
      <c r="AY9374"/>
      <c r="AZ9374"/>
      <c r="BA9374"/>
      <c r="BB9374"/>
      <c r="BC9374"/>
      <c r="BD9374"/>
      <c r="BE9374"/>
      <c r="BF9374"/>
      <c r="BG9374"/>
      <c r="BH9374"/>
      <c r="BI9374"/>
      <c r="BJ9374"/>
      <c r="BK9374"/>
    </row>
    <row r="9375" spans="1:63" s="93" customFormat="1" ht="9" customHeight="1" x14ac:dyDescent="0.3">
      <c r="A9375" s="91"/>
      <c r="B9375" s="70"/>
      <c r="C9375" s="70"/>
      <c r="D9375" s="70"/>
      <c r="E9375" s="70"/>
      <c r="F9375" s="70"/>
      <c r="G9375" s="94"/>
      <c r="H9375" s="131"/>
      <c r="I9375" s="3"/>
      <c r="J9375"/>
      <c r="K9375"/>
      <c r="L9375"/>
      <c r="M9375"/>
      <c r="N9375"/>
      <c r="O9375"/>
      <c r="P9375"/>
      <c r="Q9375"/>
      <c r="R9375"/>
      <c r="S9375"/>
      <c r="T9375"/>
      <c r="U9375"/>
      <c r="V9375"/>
      <c r="W9375"/>
      <c r="X9375"/>
      <c r="Y9375"/>
      <c r="Z9375"/>
      <c r="AA9375"/>
      <c r="AB9375"/>
      <c r="AC9375"/>
      <c r="AD9375"/>
      <c r="AE9375"/>
      <c r="AF9375"/>
      <c r="AG9375"/>
      <c r="AH9375"/>
      <c r="AI9375"/>
      <c r="AJ9375"/>
      <c r="AK9375"/>
      <c r="AL9375"/>
      <c r="AM9375"/>
      <c r="AN9375"/>
      <c r="AO9375"/>
      <c r="AP9375"/>
      <c r="AQ9375"/>
      <c r="AR9375"/>
      <c r="AS9375"/>
      <c r="AT9375"/>
      <c r="AU9375"/>
      <c r="AV9375"/>
      <c r="AW9375"/>
      <c r="AX9375"/>
      <c r="AY9375"/>
      <c r="AZ9375"/>
      <c r="BA9375"/>
      <c r="BB9375"/>
      <c r="BC9375"/>
      <c r="BD9375"/>
      <c r="BE9375"/>
      <c r="BF9375"/>
      <c r="BG9375"/>
      <c r="BH9375"/>
      <c r="BI9375"/>
      <c r="BJ9375"/>
      <c r="BK9375"/>
    </row>
    <row r="9376" spans="1:63" s="93" customFormat="1" ht="9" customHeight="1" x14ac:dyDescent="0.3">
      <c r="A9376" s="91"/>
      <c r="B9376" s="70"/>
      <c r="C9376" s="70"/>
      <c r="D9376" s="70"/>
      <c r="E9376" s="70"/>
      <c r="F9376" s="70"/>
      <c r="G9376" s="94"/>
      <c r="H9376" s="131"/>
      <c r="I9376" s="3"/>
      <c r="J9376"/>
      <c r="K9376"/>
      <c r="L9376"/>
      <c r="M9376"/>
      <c r="N9376"/>
      <c r="O9376"/>
      <c r="P9376"/>
      <c r="Q9376"/>
      <c r="R9376"/>
      <c r="S9376"/>
      <c r="T9376"/>
      <c r="U9376"/>
      <c r="V9376"/>
      <c r="W9376"/>
      <c r="X9376"/>
      <c r="Y9376"/>
      <c r="Z9376"/>
      <c r="AA9376"/>
      <c r="AB9376"/>
      <c r="AC9376"/>
      <c r="AD9376"/>
      <c r="AE9376"/>
      <c r="AF9376"/>
      <c r="AG9376"/>
      <c r="AH9376"/>
      <c r="AI9376"/>
      <c r="AJ9376"/>
      <c r="AK9376"/>
      <c r="AL9376"/>
      <c r="AM9376"/>
      <c r="AN9376"/>
      <c r="AO9376"/>
      <c r="AP9376"/>
      <c r="AQ9376"/>
      <c r="AR9376"/>
      <c r="AS9376"/>
      <c r="AT9376"/>
      <c r="AU9376"/>
      <c r="AV9376"/>
      <c r="AW9376"/>
      <c r="AX9376"/>
      <c r="AY9376"/>
      <c r="AZ9376"/>
      <c r="BA9376"/>
      <c r="BB9376"/>
      <c r="BC9376"/>
      <c r="BD9376"/>
      <c r="BE9376"/>
      <c r="BF9376"/>
      <c r="BG9376"/>
      <c r="BH9376"/>
      <c r="BI9376"/>
      <c r="BJ9376"/>
      <c r="BK9376"/>
    </row>
    <row r="9377" spans="1:63" s="93" customFormat="1" ht="9" customHeight="1" x14ac:dyDescent="0.3">
      <c r="A9377" s="91"/>
      <c r="B9377" s="70"/>
      <c r="C9377" s="70"/>
      <c r="D9377" s="70"/>
      <c r="E9377" s="70"/>
      <c r="F9377" s="70"/>
      <c r="G9377" s="94"/>
      <c r="H9377" s="131"/>
      <c r="I9377" s="3"/>
      <c r="J9377"/>
      <c r="K9377"/>
      <c r="L9377"/>
      <c r="M9377"/>
      <c r="N9377"/>
      <c r="O9377"/>
      <c r="P9377"/>
      <c r="Q9377"/>
      <c r="R9377"/>
      <c r="S9377"/>
      <c r="T9377"/>
      <c r="U9377"/>
      <c r="V9377"/>
      <c r="W9377"/>
      <c r="X9377"/>
      <c r="Y9377"/>
      <c r="Z9377"/>
      <c r="AA9377"/>
      <c r="AB9377"/>
      <c r="AC9377"/>
      <c r="AD9377"/>
      <c r="AE9377"/>
      <c r="AF9377"/>
      <c r="AG9377"/>
      <c r="AH9377"/>
      <c r="AI9377"/>
      <c r="AJ9377"/>
      <c r="AK9377"/>
      <c r="AL9377"/>
      <c r="AM9377"/>
      <c r="AN9377"/>
      <c r="AO9377"/>
      <c r="AP9377"/>
      <c r="AQ9377"/>
      <c r="AR9377"/>
      <c r="AS9377"/>
      <c r="AT9377"/>
      <c r="AU9377"/>
      <c r="AV9377"/>
      <c r="AW9377"/>
      <c r="AX9377"/>
      <c r="AY9377"/>
      <c r="AZ9377"/>
      <c r="BA9377"/>
      <c r="BB9377"/>
      <c r="BC9377"/>
      <c r="BD9377"/>
      <c r="BE9377"/>
      <c r="BF9377"/>
      <c r="BG9377"/>
      <c r="BH9377"/>
      <c r="BI9377"/>
      <c r="BJ9377"/>
      <c r="BK9377"/>
    </row>
    <row r="9378" spans="1:63" s="93" customFormat="1" ht="9" customHeight="1" x14ac:dyDescent="0.3">
      <c r="A9378" s="91"/>
      <c r="B9378" s="70"/>
      <c r="C9378" s="70"/>
      <c r="D9378" s="70"/>
      <c r="E9378" s="70"/>
      <c r="F9378" s="70"/>
      <c r="G9378" s="94"/>
      <c r="H9378" s="131"/>
      <c r="I9378" s="3"/>
      <c r="J9378"/>
      <c r="K9378"/>
      <c r="L9378"/>
      <c r="M9378"/>
      <c r="N9378"/>
      <c r="O9378"/>
      <c r="P9378"/>
      <c r="Q9378"/>
      <c r="R9378"/>
      <c r="S9378"/>
      <c r="T9378"/>
      <c r="U9378"/>
      <c r="V9378"/>
      <c r="W9378"/>
      <c r="X9378"/>
      <c r="Y9378"/>
      <c r="Z9378"/>
      <c r="AA9378"/>
      <c r="AB9378"/>
      <c r="AC9378"/>
      <c r="AD9378"/>
      <c r="AE9378"/>
      <c r="AF9378"/>
      <c r="AG9378"/>
      <c r="AH9378"/>
      <c r="AI9378"/>
      <c r="AJ9378"/>
      <c r="AK9378"/>
      <c r="AL9378"/>
      <c r="AM9378"/>
      <c r="AN9378"/>
      <c r="AO9378"/>
      <c r="AP9378"/>
      <c r="AQ9378"/>
      <c r="AR9378"/>
      <c r="AS9378"/>
      <c r="AT9378"/>
      <c r="AU9378"/>
      <c r="AV9378"/>
      <c r="AW9378"/>
      <c r="AX9378"/>
      <c r="AY9378"/>
      <c r="AZ9378"/>
      <c r="BA9378"/>
      <c r="BB9378"/>
      <c r="BC9378"/>
      <c r="BD9378"/>
      <c r="BE9378"/>
      <c r="BF9378"/>
      <c r="BG9378"/>
      <c r="BH9378"/>
      <c r="BI9378"/>
      <c r="BJ9378"/>
      <c r="BK9378"/>
    </row>
    <row r="9379" spans="1:63" s="93" customFormat="1" ht="9" customHeight="1" x14ac:dyDescent="0.3">
      <c r="A9379" s="91"/>
      <c r="B9379" s="70"/>
      <c r="C9379" s="70"/>
      <c r="D9379" s="70"/>
      <c r="E9379" s="70"/>
      <c r="F9379" s="70"/>
      <c r="G9379" s="94"/>
      <c r="H9379" s="131"/>
      <c r="I9379" s="3"/>
      <c r="J9379"/>
      <c r="K9379"/>
      <c r="L9379"/>
      <c r="M9379"/>
      <c r="N9379"/>
      <c r="O9379"/>
      <c r="P9379"/>
      <c r="Q9379"/>
      <c r="R9379"/>
      <c r="S9379"/>
      <c r="T9379"/>
      <c r="U9379"/>
      <c r="V9379"/>
      <c r="W9379"/>
      <c r="X9379"/>
      <c r="Y9379"/>
      <c r="Z9379"/>
      <c r="AA9379"/>
      <c r="AB9379"/>
      <c r="AC9379"/>
      <c r="AD9379"/>
      <c r="AE9379"/>
      <c r="AF9379"/>
      <c r="AG9379"/>
      <c r="AH9379"/>
      <c r="AI9379"/>
      <c r="AJ9379"/>
      <c r="AK9379"/>
      <c r="AL9379"/>
      <c r="AM9379"/>
      <c r="AN9379"/>
      <c r="AO9379"/>
      <c r="AP9379"/>
      <c r="AQ9379"/>
      <c r="AR9379"/>
      <c r="AS9379"/>
      <c r="AT9379"/>
      <c r="AU9379"/>
      <c r="AV9379"/>
      <c r="AW9379"/>
      <c r="AX9379"/>
      <c r="AY9379"/>
      <c r="AZ9379"/>
      <c r="BA9379"/>
      <c r="BB9379"/>
      <c r="BC9379"/>
      <c r="BD9379"/>
      <c r="BE9379"/>
      <c r="BF9379"/>
      <c r="BG9379"/>
      <c r="BH9379"/>
      <c r="BI9379"/>
      <c r="BJ9379"/>
      <c r="BK9379"/>
    </row>
    <row r="9380" spans="1:63" s="93" customFormat="1" ht="9" customHeight="1" x14ac:dyDescent="0.3">
      <c r="A9380" s="91"/>
      <c r="B9380" s="70"/>
      <c r="C9380" s="70"/>
      <c r="D9380" s="70"/>
      <c r="E9380" s="70"/>
      <c r="F9380" s="70"/>
      <c r="G9380" s="94"/>
      <c r="H9380" s="131"/>
      <c r="I9380" s="3"/>
      <c r="J9380"/>
      <c r="K9380"/>
      <c r="L9380"/>
      <c r="M9380"/>
      <c r="N9380"/>
      <c r="O9380"/>
      <c r="P9380"/>
      <c r="Q9380"/>
      <c r="R9380"/>
      <c r="S9380"/>
      <c r="T9380"/>
      <c r="U9380"/>
      <c r="V9380"/>
      <c r="W9380"/>
      <c r="X9380"/>
      <c r="Y9380"/>
      <c r="Z9380"/>
      <c r="AA9380"/>
      <c r="AB9380"/>
      <c r="AC9380"/>
      <c r="AD9380"/>
      <c r="AE9380"/>
      <c r="AF9380"/>
      <c r="AG9380"/>
      <c r="AH9380"/>
      <c r="AI9380"/>
      <c r="AJ9380"/>
      <c r="AK9380"/>
      <c r="AL9380"/>
      <c r="AM9380"/>
      <c r="AN9380"/>
      <c r="AO9380"/>
      <c r="AP9380"/>
      <c r="AQ9380"/>
      <c r="AR9380"/>
      <c r="AS9380"/>
      <c r="AT9380"/>
      <c r="AU9380"/>
      <c r="AV9380"/>
      <c r="AW9380"/>
      <c r="AX9380"/>
      <c r="AY9380"/>
      <c r="AZ9380"/>
      <c r="BA9380"/>
      <c r="BB9380"/>
      <c r="BC9380"/>
      <c r="BD9380"/>
      <c r="BE9380"/>
      <c r="BF9380"/>
      <c r="BG9380"/>
      <c r="BH9380"/>
      <c r="BI9380"/>
      <c r="BJ9380"/>
      <c r="BK9380"/>
    </row>
    <row r="9381" spans="1:63" s="93" customFormat="1" ht="9" customHeight="1" x14ac:dyDescent="0.3">
      <c r="A9381" s="91"/>
      <c r="B9381" s="70"/>
      <c r="C9381" s="70"/>
      <c r="D9381" s="70"/>
      <c r="E9381" s="70"/>
      <c r="F9381" s="70"/>
      <c r="G9381" s="94"/>
      <c r="H9381" s="131"/>
      <c r="I9381" s="3"/>
      <c r="J9381"/>
      <c r="K9381"/>
      <c r="L9381"/>
      <c r="M9381"/>
      <c r="N9381"/>
      <c r="O9381"/>
      <c r="P9381"/>
      <c r="Q9381"/>
      <c r="R9381"/>
      <c r="S9381"/>
      <c r="T9381"/>
      <c r="U9381"/>
      <c r="V9381"/>
      <c r="W9381"/>
      <c r="X9381"/>
      <c r="Y9381"/>
      <c r="Z9381"/>
      <c r="AA9381"/>
      <c r="AB9381"/>
      <c r="AC9381"/>
      <c r="AD9381"/>
      <c r="AE9381"/>
      <c r="AF9381"/>
      <c r="AG9381"/>
      <c r="AH9381"/>
      <c r="AI9381"/>
      <c r="AJ9381"/>
      <c r="AK9381"/>
      <c r="AL9381"/>
      <c r="AM9381"/>
      <c r="AN9381"/>
      <c r="AO9381"/>
      <c r="AP9381"/>
      <c r="AQ9381"/>
      <c r="AR9381"/>
      <c r="AS9381"/>
      <c r="AT9381"/>
      <c r="AU9381"/>
      <c r="AV9381"/>
      <c r="AW9381"/>
      <c r="AX9381"/>
      <c r="AY9381"/>
      <c r="AZ9381"/>
      <c r="BA9381"/>
      <c r="BB9381"/>
      <c r="BC9381"/>
      <c r="BD9381"/>
      <c r="BE9381"/>
      <c r="BF9381"/>
      <c r="BG9381"/>
      <c r="BH9381"/>
      <c r="BI9381"/>
      <c r="BJ9381"/>
      <c r="BK9381"/>
    </row>
    <row r="9382" spans="1:63" s="93" customFormat="1" ht="9" customHeight="1" x14ac:dyDescent="0.3">
      <c r="A9382" s="91"/>
      <c r="B9382" s="70"/>
      <c r="C9382" s="70"/>
      <c r="D9382" s="70"/>
      <c r="E9382" s="70"/>
      <c r="F9382" s="70"/>
      <c r="G9382" s="94"/>
      <c r="H9382" s="131"/>
      <c r="I9382" s="3"/>
      <c r="J9382"/>
      <c r="K9382"/>
      <c r="L9382"/>
      <c r="M9382"/>
      <c r="N9382"/>
      <c r="O9382"/>
      <c r="P9382"/>
      <c r="Q9382"/>
      <c r="R9382"/>
      <c r="S9382"/>
      <c r="T9382"/>
      <c r="U9382"/>
      <c r="V9382"/>
      <c r="W9382"/>
      <c r="X9382"/>
      <c r="Y9382"/>
      <c r="Z9382"/>
      <c r="AA9382"/>
      <c r="AB9382"/>
      <c r="AC9382"/>
      <c r="AD9382"/>
      <c r="AE9382"/>
      <c r="AF9382"/>
      <c r="AG9382"/>
      <c r="AH9382"/>
      <c r="AI9382"/>
      <c r="AJ9382"/>
      <c r="AK9382"/>
      <c r="AL9382"/>
      <c r="AM9382"/>
      <c r="AN9382"/>
      <c r="AO9382"/>
      <c r="AP9382"/>
      <c r="AQ9382"/>
      <c r="AR9382"/>
      <c r="AS9382"/>
      <c r="AT9382"/>
      <c r="AU9382"/>
      <c r="AV9382"/>
      <c r="AW9382"/>
      <c r="AX9382"/>
      <c r="AY9382"/>
      <c r="AZ9382"/>
      <c r="BA9382"/>
      <c r="BB9382"/>
      <c r="BC9382"/>
      <c r="BD9382"/>
      <c r="BE9382"/>
      <c r="BF9382"/>
      <c r="BG9382"/>
      <c r="BH9382"/>
      <c r="BI9382"/>
      <c r="BJ9382"/>
      <c r="BK9382"/>
    </row>
    <row r="9383" spans="1:63" s="93" customFormat="1" ht="9" customHeight="1" x14ac:dyDescent="0.3">
      <c r="A9383" s="91"/>
      <c r="B9383" s="70"/>
      <c r="C9383" s="70"/>
      <c r="D9383" s="70"/>
      <c r="E9383" s="70"/>
      <c r="F9383" s="70"/>
      <c r="G9383" s="94"/>
      <c r="H9383" s="131"/>
      <c r="I9383" s="3"/>
      <c r="J9383"/>
      <c r="K9383"/>
      <c r="L9383"/>
      <c r="M9383"/>
      <c r="N9383"/>
      <c r="O9383"/>
      <c r="P9383"/>
      <c r="Q9383"/>
      <c r="R9383"/>
      <c r="S9383"/>
      <c r="T9383"/>
      <c r="U9383"/>
      <c r="V9383"/>
      <c r="W9383"/>
      <c r="X9383"/>
      <c r="Y9383"/>
      <c r="Z9383"/>
      <c r="AA9383"/>
      <c r="AB9383"/>
      <c r="AC9383"/>
      <c r="AD9383"/>
      <c r="AE9383"/>
      <c r="AF9383"/>
      <c r="AG9383"/>
      <c r="AH9383"/>
      <c r="AI9383"/>
      <c r="AJ9383"/>
      <c r="AK9383"/>
      <c r="AL9383"/>
      <c r="AM9383"/>
      <c r="AN9383"/>
      <c r="AO9383"/>
      <c r="AP9383"/>
      <c r="AQ9383"/>
      <c r="AR9383"/>
      <c r="AS9383"/>
      <c r="AT9383"/>
      <c r="AU9383"/>
      <c r="AV9383"/>
      <c r="AW9383"/>
      <c r="AX9383"/>
      <c r="AY9383"/>
      <c r="AZ9383"/>
      <c r="BA9383"/>
      <c r="BB9383"/>
      <c r="BC9383"/>
      <c r="BD9383"/>
      <c r="BE9383"/>
      <c r="BF9383"/>
      <c r="BG9383"/>
      <c r="BH9383"/>
      <c r="BI9383"/>
      <c r="BJ9383"/>
      <c r="BK9383"/>
    </row>
    <row r="9384" spans="1:63" s="93" customFormat="1" ht="9" customHeight="1" x14ac:dyDescent="0.3">
      <c r="A9384" s="91"/>
      <c r="B9384" s="70"/>
      <c r="C9384" s="70"/>
      <c r="D9384" s="70"/>
      <c r="E9384" s="70"/>
      <c r="F9384" s="70"/>
      <c r="G9384" s="94"/>
      <c r="H9384" s="131"/>
      <c r="I9384" s="3"/>
      <c r="J9384"/>
      <c r="K9384"/>
      <c r="L9384"/>
      <c r="M9384"/>
      <c r="N9384"/>
      <c r="O9384"/>
      <c r="P9384"/>
      <c r="Q9384"/>
      <c r="R9384"/>
      <c r="S9384"/>
      <c r="T9384"/>
      <c r="U9384"/>
      <c r="V9384"/>
      <c r="W9384"/>
      <c r="X9384"/>
      <c r="Y9384"/>
      <c r="Z9384"/>
      <c r="AA9384"/>
      <c r="AB9384"/>
      <c r="AC9384"/>
      <c r="AD9384"/>
      <c r="AE9384"/>
      <c r="AF9384"/>
      <c r="AG9384"/>
      <c r="AH9384"/>
      <c r="AI9384"/>
      <c r="AJ9384"/>
      <c r="AK9384"/>
      <c r="AL9384"/>
      <c r="AM9384"/>
      <c r="AN9384"/>
      <c r="AO9384"/>
      <c r="AP9384"/>
      <c r="AQ9384"/>
      <c r="AR9384"/>
      <c r="AS9384"/>
      <c r="AT9384"/>
      <c r="AU9384"/>
      <c r="AV9384"/>
      <c r="AW9384"/>
      <c r="AX9384"/>
      <c r="AY9384"/>
      <c r="AZ9384"/>
      <c r="BA9384"/>
      <c r="BB9384"/>
      <c r="BC9384"/>
      <c r="BD9384"/>
      <c r="BE9384"/>
      <c r="BF9384"/>
      <c r="BG9384"/>
      <c r="BH9384"/>
      <c r="BI9384"/>
      <c r="BJ9384"/>
      <c r="BK9384"/>
    </row>
    <row r="9385" spans="1:63" s="93" customFormat="1" ht="9" customHeight="1" x14ac:dyDescent="0.3">
      <c r="A9385" s="91"/>
      <c r="B9385" s="70"/>
      <c r="C9385" s="70"/>
      <c r="D9385" s="70"/>
      <c r="E9385" s="70"/>
      <c r="F9385" s="70"/>
      <c r="G9385" s="94"/>
      <c r="H9385" s="131"/>
      <c r="I9385" s="3"/>
      <c r="J9385"/>
      <c r="K9385"/>
      <c r="L9385"/>
      <c r="M9385"/>
      <c r="N9385"/>
      <c r="O9385"/>
      <c r="P9385"/>
      <c r="Q9385"/>
      <c r="R9385"/>
      <c r="S9385"/>
      <c r="T9385"/>
      <c r="U9385"/>
      <c r="V9385"/>
      <c r="W9385"/>
      <c r="X9385"/>
      <c r="Y9385"/>
      <c r="Z9385"/>
      <c r="AA9385"/>
      <c r="AB9385"/>
      <c r="AC9385"/>
      <c r="AD9385"/>
      <c r="AE9385"/>
      <c r="AF9385"/>
      <c r="AG9385"/>
      <c r="AH9385"/>
      <c r="AI9385"/>
      <c r="AJ9385"/>
      <c r="AK9385"/>
      <c r="AL9385"/>
      <c r="AM9385"/>
      <c r="AN9385"/>
      <c r="AO9385"/>
      <c r="AP9385"/>
      <c r="AQ9385"/>
      <c r="AR9385"/>
      <c r="AS9385"/>
      <c r="AT9385"/>
      <c r="AU9385"/>
      <c r="AV9385"/>
      <c r="AW9385"/>
      <c r="AX9385"/>
      <c r="AY9385"/>
      <c r="AZ9385"/>
      <c r="BA9385"/>
      <c r="BB9385"/>
      <c r="BC9385"/>
      <c r="BD9385"/>
      <c r="BE9385"/>
      <c r="BF9385"/>
      <c r="BG9385"/>
      <c r="BH9385"/>
      <c r="BI9385"/>
      <c r="BJ9385"/>
      <c r="BK9385"/>
    </row>
    <row r="9386" spans="1:63" s="93" customFormat="1" ht="9" customHeight="1" x14ac:dyDescent="0.3">
      <c r="A9386" s="91"/>
      <c r="B9386" s="70"/>
      <c r="C9386" s="70"/>
      <c r="D9386" s="70"/>
      <c r="E9386" s="70"/>
      <c r="F9386" s="70"/>
      <c r="G9386" s="94"/>
      <c r="H9386" s="131"/>
      <c r="I9386" s="3"/>
      <c r="J9386"/>
      <c r="K9386"/>
      <c r="L9386"/>
      <c r="M9386"/>
      <c r="N9386"/>
      <c r="O9386"/>
      <c r="P9386"/>
      <c r="Q9386"/>
      <c r="R9386"/>
      <c r="S9386"/>
      <c r="T9386"/>
      <c r="U9386"/>
      <c r="V9386"/>
      <c r="W9386"/>
      <c r="X9386"/>
      <c r="Y9386"/>
      <c r="Z9386"/>
      <c r="AA9386"/>
      <c r="AB9386"/>
      <c r="AC9386"/>
      <c r="AD9386"/>
      <c r="AE9386"/>
      <c r="AF9386"/>
      <c r="AG9386"/>
      <c r="AH9386"/>
      <c r="AI9386"/>
      <c r="AJ9386"/>
      <c r="AK9386"/>
      <c r="AL9386"/>
      <c r="AM9386"/>
      <c r="AN9386"/>
      <c r="AO9386"/>
      <c r="AP9386"/>
      <c r="AQ9386"/>
      <c r="AR9386"/>
      <c r="AS9386"/>
      <c r="AT9386"/>
      <c r="AU9386"/>
      <c r="AV9386"/>
      <c r="AW9386"/>
      <c r="AX9386"/>
      <c r="AY9386"/>
      <c r="AZ9386"/>
      <c r="BA9386"/>
      <c r="BB9386"/>
      <c r="BC9386"/>
      <c r="BD9386"/>
      <c r="BE9386"/>
      <c r="BF9386"/>
      <c r="BG9386"/>
      <c r="BH9386"/>
      <c r="BI9386"/>
      <c r="BJ9386"/>
      <c r="BK9386"/>
    </row>
    <row r="9387" spans="1:63" s="93" customFormat="1" ht="9" customHeight="1" x14ac:dyDescent="0.3">
      <c r="A9387" s="91"/>
      <c r="B9387" s="70"/>
      <c r="C9387" s="70"/>
      <c r="D9387" s="70"/>
      <c r="E9387" s="70"/>
      <c r="F9387" s="70"/>
      <c r="G9387" s="94"/>
      <c r="H9387" s="131"/>
      <c r="I9387" s="3"/>
      <c r="J9387"/>
      <c r="K9387"/>
      <c r="L9387"/>
      <c r="M9387"/>
      <c r="N9387"/>
      <c r="O9387"/>
      <c r="P9387"/>
      <c r="Q9387"/>
      <c r="R9387"/>
      <c r="S9387"/>
      <c r="T9387"/>
      <c r="U9387"/>
      <c r="V9387"/>
      <c r="W9387"/>
      <c r="X9387"/>
      <c r="Y9387"/>
      <c r="Z9387"/>
      <c r="AA9387"/>
      <c r="AB9387"/>
      <c r="AC9387"/>
      <c r="AD9387"/>
      <c r="AE9387"/>
      <c r="AF9387"/>
      <c r="AG9387"/>
      <c r="AH9387"/>
      <c r="AI9387"/>
      <c r="AJ9387"/>
      <c r="AK9387"/>
      <c r="AL9387"/>
      <c r="AM9387"/>
      <c r="AN9387"/>
      <c r="AO9387"/>
      <c r="AP9387"/>
      <c r="AQ9387"/>
      <c r="AR9387"/>
      <c r="AS9387"/>
      <c r="AT9387"/>
      <c r="AU9387"/>
      <c r="AV9387"/>
      <c r="AW9387"/>
      <c r="AX9387"/>
      <c r="AY9387"/>
      <c r="AZ9387"/>
      <c r="BA9387"/>
      <c r="BB9387"/>
      <c r="BC9387"/>
      <c r="BD9387"/>
      <c r="BE9387"/>
      <c r="BF9387"/>
      <c r="BG9387"/>
      <c r="BH9387"/>
      <c r="BI9387"/>
      <c r="BJ9387"/>
      <c r="BK9387"/>
    </row>
    <row r="9388" spans="1:63" s="93" customFormat="1" ht="9" customHeight="1" x14ac:dyDescent="0.3">
      <c r="A9388" s="91"/>
      <c r="B9388" s="70"/>
      <c r="C9388" s="70"/>
      <c r="D9388" s="70"/>
      <c r="E9388" s="70"/>
      <c r="F9388" s="70"/>
      <c r="G9388" s="94"/>
      <c r="H9388" s="131"/>
      <c r="I9388" s="3"/>
      <c r="J9388"/>
      <c r="K9388"/>
      <c r="L9388"/>
      <c r="M9388"/>
      <c r="N9388"/>
      <c r="O9388"/>
      <c r="P9388"/>
      <c r="Q9388"/>
      <c r="R9388"/>
      <c r="S9388"/>
      <c r="T9388"/>
      <c r="U9388"/>
      <c r="V9388"/>
      <c r="W9388"/>
      <c r="X9388"/>
      <c r="Y9388"/>
      <c r="Z9388"/>
      <c r="AA9388"/>
      <c r="AB9388"/>
      <c r="AC9388"/>
      <c r="AD9388"/>
      <c r="AE9388"/>
      <c r="AF9388"/>
      <c r="AG9388"/>
      <c r="AH9388"/>
      <c r="AI9388"/>
      <c r="AJ9388"/>
      <c r="AK9388"/>
      <c r="AL9388"/>
      <c r="AM9388"/>
      <c r="AN9388"/>
      <c r="AO9388"/>
      <c r="AP9388"/>
      <c r="AQ9388"/>
      <c r="AR9388"/>
      <c r="AS9388"/>
      <c r="AT9388"/>
      <c r="AU9388"/>
      <c r="AV9388"/>
      <c r="AW9388"/>
      <c r="AX9388"/>
      <c r="AY9388"/>
      <c r="AZ9388"/>
      <c r="BA9388"/>
      <c r="BB9388"/>
      <c r="BC9388"/>
      <c r="BD9388"/>
      <c r="BE9388"/>
      <c r="BF9388"/>
      <c r="BG9388"/>
      <c r="BH9388"/>
      <c r="BI9388"/>
      <c r="BJ9388"/>
      <c r="BK9388"/>
    </row>
    <row r="9389" spans="1:63" s="93" customFormat="1" ht="9" customHeight="1" x14ac:dyDescent="0.3">
      <c r="A9389" s="91"/>
      <c r="B9389" s="70"/>
      <c r="C9389" s="70"/>
      <c r="D9389" s="70"/>
      <c r="E9389" s="70"/>
      <c r="F9389" s="70"/>
      <c r="G9389" s="94"/>
      <c r="H9389" s="131"/>
      <c r="I9389" s="3"/>
      <c r="J9389"/>
      <c r="K9389"/>
      <c r="L9389"/>
      <c r="M9389"/>
      <c r="N9389"/>
      <c r="O9389"/>
      <c r="P9389"/>
      <c r="Q9389"/>
      <c r="R9389"/>
      <c r="S9389"/>
      <c r="T9389"/>
      <c r="U9389"/>
      <c r="V9389"/>
      <c r="W9389"/>
      <c r="X9389"/>
      <c r="Y9389"/>
      <c r="Z9389"/>
      <c r="AA9389"/>
      <c r="AB9389"/>
      <c r="AC9389"/>
      <c r="AD9389"/>
      <c r="AE9389"/>
      <c r="AF9389"/>
      <c r="AG9389"/>
      <c r="AH9389"/>
      <c r="AI9389"/>
      <c r="AJ9389"/>
      <c r="AK9389"/>
      <c r="AL9389"/>
      <c r="AM9389"/>
      <c r="AN9389"/>
      <c r="AO9389"/>
      <c r="AP9389"/>
      <c r="AQ9389"/>
      <c r="AR9389"/>
      <c r="AS9389"/>
      <c r="AT9389"/>
      <c r="AU9389"/>
      <c r="AV9389"/>
      <c r="AW9389"/>
      <c r="AX9389"/>
      <c r="AY9389"/>
      <c r="AZ9389"/>
      <c r="BA9389"/>
      <c r="BB9389"/>
      <c r="BC9389"/>
      <c r="BD9389"/>
      <c r="BE9389"/>
      <c r="BF9389"/>
      <c r="BG9389"/>
      <c r="BH9389"/>
      <c r="BI9389"/>
      <c r="BJ9389"/>
      <c r="BK9389"/>
    </row>
    <row r="9390" spans="1:63" s="93" customFormat="1" ht="9" customHeight="1" x14ac:dyDescent="0.3">
      <c r="A9390" s="91"/>
      <c r="B9390" s="70"/>
      <c r="C9390" s="70"/>
      <c r="D9390" s="70"/>
      <c r="E9390" s="70"/>
      <c r="F9390" s="70"/>
      <c r="G9390" s="94"/>
      <c r="H9390" s="131"/>
      <c r="I9390" s="3"/>
      <c r="J9390"/>
      <c r="K9390"/>
      <c r="L9390"/>
      <c r="M9390"/>
      <c r="N9390"/>
      <c r="O9390"/>
      <c r="P9390"/>
      <c r="Q9390"/>
      <c r="R9390"/>
      <c r="S9390"/>
      <c r="T9390"/>
      <c r="U9390"/>
      <c r="V9390"/>
      <c r="W9390"/>
      <c r="X9390"/>
      <c r="Y9390"/>
      <c r="Z9390"/>
      <c r="AA9390"/>
      <c r="AB9390"/>
      <c r="AC9390"/>
      <c r="AD9390"/>
      <c r="AE9390"/>
      <c r="AF9390"/>
      <c r="AG9390"/>
      <c r="AH9390"/>
      <c r="AI9390"/>
      <c r="AJ9390"/>
      <c r="AK9390"/>
      <c r="AL9390"/>
      <c r="AM9390"/>
      <c r="AN9390"/>
      <c r="AO9390"/>
      <c r="AP9390"/>
      <c r="AQ9390"/>
      <c r="AR9390"/>
      <c r="AS9390"/>
      <c r="AT9390"/>
      <c r="AU9390"/>
      <c r="AV9390"/>
      <c r="AW9390"/>
      <c r="AX9390"/>
      <c r="AY9390"/>
      <c r="AZ9390"/>
      <c r="BA9390"/>
      <c r="BB9390"/>
      <c r="BC9390"/>
      <c r="BD9390"/>
      <c r="BE9390"/>
      <c r="BF9390"/>
      <c r="BG9390"/>
      <c r="BH9390"/>
      <c r="BI9390"/>
      <c r="BJ9390"/>
      <c r="BK9390"/>
    </row>
    <row r="9391" spans="1:63" s="93" customFormat="1" ht="9" customHeight="1" x14ac:dyDescent="0.3">
      <c r="A9391" s="91"/>
      <c r="B9391" s="70"/>
      <c r="C9391" s="70"/>
      <c r="D9391" s="70"/>
      <c r="E9391" s="70"/>
      <c r="F9391" s="70"/>
      <c r="G9391" s="94"/>
      <c r="H9391" s="131"/>
      <c r="I9391" s="3"/>
      <c r="J9391"/>
      <c r="K9391"/>
      <c r="L9391"/>
      <c r="M9391"/>
      <c r="N9391"/>
      <c r="O9391"/>
      <c r="P9391"/>
      <c r="Q9391"/>
      <c r="R9391"/>
      <c r="S9391"/>
      <c r="T9391"/>
      <c r="U9391"/>
      <c r="V9391"/>
      <c r="W9391"/>
      <c r="X9391"/>
      <c r="Y9391"/>
      <c r="Z9391"/>
      <c r="AA9391"/>
      <c r="AB9391"/>
      <c r="AC9391"/>
      <c r="AD9391"/>
      <c r="AE9391"/>
      <c r="AF9391"/>
      <c r="AG9391"/>
      <c r="AH9391"/>
      <c r="AI9391"/>
      <c r="AJ9391"/>
      <c r="AK9391"/>
      <c r="AL9391"/>
      <c r="AM9391"/>
      <c r="AN9391"/>
      <c r="AO9391"/>
      <c r="AP9391"/>
      <c r="AQ9391"/>
      <c r="AR9391"/>
      <c r="AS9391"/>
      <c r="AT9391"/>
      <c r="AU9391"/>
      <c r="AV9391"/>
      <c r="AW9391"/>
      <c r="AX9391"/>
      <c r="AY9391"/>
      <c r="AZ9391"/>
      <c r="BA9391"/>
      <c r="BB9391"/>
      <c r="BC9391"/>
      <c r="BD9391"/>
      <c r="BE9391"/>
      <c r="BF9391"/>
      <c r="BG9391"/>
      <c r="BH9391"/>
      <c r="BI9391"/>
      <c r="BJ9391"/>
      <c r="BK9391"/>
    </row>
    <row r="9392" spans="1:63" s="93" customFormat="1" ht="9" customHeight="1" x14ac:dyDescent="0.3">
      <c r="A9392" s="91"/>
      <c r="B9392" s="70"/>
      <c r="C9392" s="70"/>
      <c r="D9392" s="70"/>
      <c r="E9392" s="70"/>
      <c r="F9392" s="70"/>
      <c r="G9392" s="94"/>
      <c r="H9392" s="131"/>
      <c r="I9392" s="3"/>
      <c r="J9392"/>
      <c r="K9392"/>
      <c r="L9392"/>
      <c r="M9392"/>
      <c r="N9392"/>
      <c r="O9392"/>
      <c r="P9392"/>
      <c r="Q9392"/>
      <c r="R9392"/>
      <c r="S9392"/>
      <c r="T9392"/>
      <c r="U9392"/>
      <c r="V9392"/>
      <c r="W9392"/>
      <c r="X9392"/>
      <c r="Y9392"/>
      <c r="Z9392"/>
      <c r="AA9392"/>
      <c r="AB9392"/>
      <c r="AC9392"/>
      <c r="AD9392"/>
      <c r="AE9392"/>
      <c r="AF9392"/>
      <c r="AG9392"/>
      <c r="AH9392"/>
      <c r="AI9392"/>
      <c r="AJ9392"/>
      <c r="AK9392"/>
      <c r="AL9392"/>
      <c r="AM9392"/>
      <c r="AN9392"/>
      <c r="AO9392"/>
      <c r="AP9392"/>
      <c r="AQ9392"/>
      <c r="AR9392"/>
      <c r="AS9392"/>
      <c r="AT9392"/>
      <c r="AU9392"/>
      <c r="AV9392"/>
      <c r="AW9392"/>
      <c r="AX9392"/>
      <c r="AY9392"/>
      <c r="AZ9392"/>
      <c r="BA9392"/>
      <c r="BB9392"/>
      <c r="BC9392"/>
      <c r="BD9392"/>
      <c r="BE9392"/>
      <c r="BF9392"/>
      <c r="BG9392"/>
      <c r="BH9392"/>
      <c r="BI9392"/>
      <c r="BJ9392"/>
      <c r="BK9392"/>
    </row>
    <row r="9393" spans="1:63" s="93" customFormat="1" ht="9" customHeight="1" x14ac:dyDescent="0.3">
      <c r="A9393" s="91"/>
      <c r="B9393" s="70"/>
      <c r="C9393" s="70"/>
      <c r="D9393" s="70"/>
      <c r="E9393" s="70"/>
      <c r="F9393" s="70"/>
      <c r="G9393" s="94"/>
      <c r="H9393" s="131"/>
      <c r="I9393" s="3"/>
      <c r="J9393"/>
      <c r="K9393"/>
      <c r="L9393"/>
      <c r="M9393"/>
      <c r="N9393"/>
      <c r="O9393"/>
      <c r="P9393"/>
      <c r="Q9393"/>
      <c r="R9393"/>
      <c r="S9393"/>
      <c r="T9393"/>
      <c r="U9393"/>
      <c r="V9393"/>
      <c r="W9393"/>
      <c r="X9393"/>
      <c r="Y9393"/>
      <c r="Z9393"/>
      <c r="AA9393"/>
      <c r="AB9393"/>
      <c r="AC9393"/>
      <c r="AD9393"/>
      <c r="AE9393"/>
      <c r="AF9393"/>
      <c r="AG9393"/>
      <c r="AH9393"/>
      <c r="AI9393"/>
      <c r="AJ9393"/>
      <c r="AK9393"/>
      <c r="AL9393"/>
      <c r="AM9393"/>
      <c r="AN9393"/>
      <c r="AO9393"/>
      <c r="AP9393"/>
      <c r="AQ9393"/>
      <c r="AR9393"/>
      <c r="AS9393"/>
      <c r="AT9393"/>
      <c r="AU9393"/>
      <c r="AV9393"/>
      <c r="AW9393"/>
      <c r="AX9393"/>
      <c r="AY9393"/>
      <c r="AZ9393"/>
      <c r="BA9393"/>
      <c r="BB9393"/>
      <c r="BC9393"/>
      <c r="BD9393"/>
      <c r="BE9393"/>
      <c r="BF9393"/>
      <c r="BG9393"/>
      <c r="BH9393"/>
      <c r="BI9393"/>
      <c r="BJ9393"/>
      <c r="BK9393"/>
    </row>
    <row r="9394" spans="1:63" s="93" customFormat="1" ht="9" customHeight="1" x14ac:dyDescent="0.3">
      <c r="A9394" s="91"/>
      <c r="B9394" s="70"/>
      <c r="C9394" s="70"/>
      <c r="D9394" s="70"/>
      <c r="E9394" s="70"/>
      <c r="F9394" s="70"/>
      <c r="G9394" s="94"/>
      <c r="H9394" s="131"/>
      <c r="I9394" s="3"/>
      <c r="J9394"/>
      <c r="K9394"/>
      <c r="L9394"/>
      <c r="M9394"/>
      <c r="N9394"/>
      <c r="O9394"/>
      <c r="P9394"/>
      <c r="Q9394"/>
      <c r="R9394"/>
      <c r="S9394"/>
      <c r="T9394"/>
      <c r="U9394"/>
      <c r="V9394"/>
      <c r="W9394"/>
      <c r="X9394"/>
      <c r="Y9394"/>
      <c r="Z9394"/>
      <c r="AA9394"/>
      <c r="AB9394"/>
      <c r="AC9394"/>
      <c r="AD9394"/>
      <c r="AE9394"/>
      <c r="AF9394"/>
      <c r="AG9394"/>
      <c r="AH9394"/>
      <c r="AI9394"/>
      <c r="AJ9394"/>
      <c r="AK9394"/>
      <c r="AL9394"/>
      <c r="AM9394"/>
      <c r="AN9394"/>
      <c r="AO9394"/>
      <c r="AP9394"/>
      <c r="AQ9394"/>
      <c r="AR9394"/>
      <c r="AS9394"/>
      <c r="AT9394"/>
      <c r="AU9394"/>
      <c r="AV9394"/>
      <c r="AW9394"/>
      <c r="AX9394"/>
      <c r="AY9394"/>
      <c r="AZ9394"/>
      <c r="BA9394"/>
      <c r="BB9394"/>
      <c r="BC9394"/>
      <c r="BD9394"/>
      <c r="BE9394"/>
      <c r="BF9394"/>
      <c r="BG9394"/>
      <c r="BH9394"/>
      <c r="BI9394"/>
      <c r="BJ9394"/>
      <c r="BK9394"/>
    </row>
    <row r="9395" spans="1:63" s="93" customFormat="1" ht="9" customHeight="1" x14ac:dyDescent="0.3">
      <c r="A9395" s="91"/>
      <c r="B9395" s="70"/>
      <c r="C9395" s="70"/>
      <c r="D9395" s="70"/>
      <c r="E9395" s="70"/>
      <c r="F9395" s="70"/>
      <c r="G9395" s="94"/>
      <c r="H9395" s="131"/>
      <c r="I9395" s="3"/>
      <c r="J9395"/>
      <c r="K9395"/>
      <c r="L9395"/>
      <c r="M9395"/>
      <c r="N9395"/>
      <c r="O9395"/>
      <c r="P9395"/>
      <c r="Q9395"/>
      <c r="R9395"/>
      <c r="S9395"/>
      <c r="T9395"/>
      <c r="U9395"/>
      <c r="V9395"/>
      <c r="W9395"/>
      <c r="X9395"/>
      <c r="Y9395"/>
      <c r="Z9395"/>
      <c r="AA9395"/>
      <c r="AB9395"/>
      <c r="AC9395"/>
      <c r="AD9395"/>
      <c r="AE9395"/>
      <c r="AF9395"/>
      <c r="AG9395"/>
      <c r="AH9395"/>
      <c r="AI9395"/>
      <c r="AJ9395"/>
      <c r="AK9395"/>
      <c r="AL9395"/>
      <c r="AM9395"/>
      <c r="AN9395"/>
      <c r="AO9395"/>
      <c r="AP9395"/>
      <c r="AQ9395"/>
      <c r="AR9395"/>
      <c r="AS9395"/>
      <c r="AT9395"/>
      <c r="AU9395"/>
      <c r="AV9395"/>
      <c r="AW9395"/>
      <c r="AX9395"/>
      <c r="AY9395"/>
      <c r="AZ9395"/>
      <c r="BA9395"/>
      <c r="BB9395"/>
      <c r="BC9395"/>
      <c r="BD9395"/>
      <c r="BE9395"/>
      <c r="BF9395"/>
      <c r="BG9395"/>
      <c r="BH9395"/>
      <c r="BI9395"/>
      <c r="BJ9395"/>
      <c r="BK9395"/>
    </row>
    <row r="9396" spans="1:63" s="93" customFormat="1" ht="9" customHeight="1" x14ac:dyDescent="0.3">
      <c r="A9396" s="91"/>
      <c r="B9396" s="70"/>
      <c r="C9396" s="70"/>
      <c r="D9396" s="70"/>
      <c r="E9396" s="70"/>
      <c r="F9396" s="70"/>
      <c r="G9396" s="94"/>
      <c r="H9396" s="131"/>
      <c r="I9396" s="3"/>
      <c r="J9396"/>
      <c r="K9396"/>
      <c r="L9396"/>
      <c r="M9396"/>
      <c r="N9396"/>
      <c r="O9396"/>
      <c r="P9396"/>
      <c r="Q9396"/>
      <c r="R9396"/>
      <c r="S9396"/>
      <c r="T9396"/>
      <c r="U9396"/>
      <c r="V9396"/>
      <c r="W9396"/>
      <c r="X9396"/>
      <c r="Y9396"/>
      <c r="Z9396"/>
      <c r="AA9396"/>
      <c r="AB9396"/>
      <c r="AC9396"/>
      <c r="AD9396"/>
      <c r="AE9396"/>
      <c r="AF9396"/>
      <c r="AG9396"/>
      <c r="AH9396"/>
      <c r="AI9396"/>
      <c r="AJ9396"/>
      <c r="AK9396"/>
      <c r="AL9396"/>
      <c r="AM9396"/>
      <c r="AN9396"/>
      <c r="AO9396"/>
      <c r="AP9396"/>
      <c r="AQ9396"/>
      <c r="AR9396"/>
      <c r="AS9396"/>
      <c r="AT9396"/>
      <c r="AU9396"/>
      <c r="AV9396"/>
      <c r="AW9396"/>
      <c r="AX9396"/>
      <c r="AY9396"/>
      <c r="AZ9396"/>
      <c r="BA9396"/>
      <c r="BB9396"/>
      <c r="BC9396"/>
      <c r="BD9396"/>
      <c r="BE9396"/>
      <c r="BF9396"/>
      <c r="BG9396"/>
      <c r="BH9396"/>
      <c r="BI9396"/>
      <c r="BJ9396"/>
      <c r="BK9396"/>
    </row>
    <row r="9397" spans="1:63" s="93" customFormat="1" ht="9" customHeight="1" x14ac:dyDescent="0.3">
      <c r="A9397" s="91"/>
      <c r="B9397" s="70"/>
      <c r="C9397" s="70"/>
      <c r="D9397" s="70"/>
      <c r="E9397" s="70"/>
      <c r="F9397" s="70"/>
      <c r="G9397" s="94"/>
      <c r="H9397" s="131"/>
      <c r="I9397" s="3"/>
      <c r="J9397"/>
      <c r="K9397"/>
      <c r="L9397"/>
      <c r="M9397"/>
      <c r="N9397"/>
      <c r="O9397"/>
      <c r="P9397"/>
      <c r="Q9397"/>
      <c r="R9397"/>
      <c r="S9397"/>
      <c r="T9397"/>
      <c r="U9397"/>
      <c r="V9397"/>
      <c r="W9397"/>
      <c r="X9397"/>
      <c r="Y9397"/>
      <c r="Z9397"/>
      <c r="AA9397"/>
      <c r="AB9397"/>
      <c r="AC9397"/>
      <c r="AD9397"/>
      <c r="AE9397"/>
      <c r="AF9397"/>
      <c r="AG9397"/>
      <c r="AH9397"/>
      <c r="AI9397"/>
      <c r="AJ9397"/>
      <c r="AK9397"/>
      <c r="AL9397"/>
      <c r="AM9397"/>
      <c r="AN9397"/>
      <c r="AO9397"/>
      <c r="AP9397"/>
      <c r="AQ9397"/>
      <c r="AR9397"/>
      <c r="AS9397"/>
      <c r="AT9397"/>
      <c r="AU9397"/>
      <c r="AV9397"/>
      <c r="AW9397"/>
      <c r="AX9397"/>
      <c r="AY9397"/>
      <c r="AZ9397"/>
      <c r="BA9397"/>
      <c r="BB9397"/>
      <c r="BC9397"/>
      <c r="BD9397"/>
      <c r="BE9397"/>
      <c r="BF9397"/>
      <c r="BG9397"/>
      <c r="BH9397"/>
      <c r="BI9397"/>
      <c r="BJ9397"/>
      <c r="BK9397"/>
    </row>
    <row r="9398" spans="1:63" s="93" customFormat="1" ht="9" customHeight="1" x14ac:dyDescent="0.3">
      <c r="A9398" s="91"/>
      <c r="B9398" s="70"/>
      <c r="C9398" s="70"/>
      <c r="D9398" s="70"/>
      <c r="E9398" s="70"/>
      <c r="F9398" s="70"/>
      <c r="G9398" s="94"/>
      <c r="H9398" s="131"/>
      <c r="I9398" s="3"/>
      <c r="J9398"/>
      <c r="K9398"/>
      <c r="L9398"/>
      <c r="M9398"/>
      <c r="N9398"/>
      <c r="O9398"/>
      <c r="P9398"/>
      <c r="Q9398"/>
      <c r="R9398"/>
      <c r="S9398"/>
      <c r="T9398"/>
      <c r="U9398"/>
      <c r="V9398"/>
      <c r="W9398"/>
      <c r="X9398"/>
      <c r="Y9398"/>
      <c r="Z9398"/>
      <c r="AA9398"/>
      <c r="AB9398"/>
      <c r="AC9398"/>
      <c r="AD9398"/>
      <c r="AE9398"/>
      <c r="AF9398"/>
      <c r="AG9398"/>
      <c r="AH9398"/>
      <c r="AI9398"/>
      <c r="AJ9398"/>
      <c r="AK9398"/>
      <c r="AL9398"/>
      <c r="AM9398"/>
      <c r="AN9398"/>
      <c r="AO9398"/>
      <c r="AP9398"/>
      <c r="AQ9398"/>
      <c r="AR9398"/>
      <c r="AS9398"/>
      <c r="AT9398"/>
      <c r="AU9398"/>
      <c r="AV9398"/>
      <c r="AW9398"/>
      <c r="AX9398"/>
      <c r="AY9398"/>
      <c r="AZ9398"/>
      <c r="BA9398"/>
      <c r="BB9398"/>
      <c r="BC9398"/>
      <c r="BD9398"/>
      <c r="BE9398"/>
      <c r="BF9398"/>
      <c r="BG9398"/>
      <c r="BH9398"/>
      <c r="BI9398"/>
      <c r="BJ9398"/>
      <c r="BK9398"/>
    </row>
    <row r="9399" spans="1:63" s="93" customFormat="1" ht="9" customHeight="1" x14ac:dyDescent="0.3">
      <c r="A9399" s="91"/>
      <c r="B9399" s="70"/>
      <c r="C9399" s="70"/>
      <c r="D9399" s="70"/>
      <c r="E9399" s="70"/>
      <c r="F9399" s="70"/>
      <c r="G9399" s="94"/>
      <c r="H9399" s="131"/>
      <c r="I9399" s="3"/>
      <c r="J9399"/>
      <c r="K9399"/>
      <c r="L9399"/>
      <c r="M9399"/>
      <c r="N9399"/>
      <c r="O9399"/>
      <c r="P9399"/>
      <c r="Q9399"/>
      <c r="R9399"/>
      <c r="S9399"/>
      <c r="T9399"/>
      <c r="U9399"/>
      <c r="V9399"/>
      <c r="W9399"/>
      <c r="X9399"/>
      <c r="Y9399"/>
      <c r="Z9399"/>
      <c r="AA9399"/>
      <c r="AB9399"/>
      <c r="AC9399"/>
      <c r="AD9399"/>
      <c r="AE9399"/>
      <c r="AF9399"/>
      <c r="AG9399"/>
      <c r="AH9399"/>
      <c r="AI9399"/>
      <c r="AJ9399"/>
      <c r="AK9399"/>
      <c r="AL9399"/>
      <c r="AM9399"/>
      <c r="AN9399"/>
      <c r="AO9399"/>
      <c r="AP9399"/>
      <c r="AQ9399"/>
      <c r="AR9399"/>
      <c r="AS9399"/>
      <c r="AT9399"/>
      <c r="AU9399"/>
      <c r="AV9399"/>
      <c r="AW9399"/>
      <c r="AX9399"/>
      <c r="AY9399"/>
      <c r="AZ9399"/>
      <c r="BA9399"/>
      <c r="BB9399"/>
      <c r="BC9399"/>
      <c r="BD9399"/>
      <c r="BE9399"/>
      <c r="BF9399"/>
      <c r="BG9399"/>
      <c r="BH9399"/>
      <c r="BI9399"/>
      <c r="BJ9399"/>
      <c r="BK9399"/>
    </row>
    <row r="9400" spans="1:63" s="93" customFormat="1" ht="9" customHeight="1" x14ac:dyDescent="0.3">
      <c r="A9400" s="91"/>
      <c r="B9400" s="70"/>
      <c r="C9400" s="70"/>
      <c r="D9400" s="70"/>
      <c r="E9400" s="70"/>
      <c r="F9400" s="70"/>
      <c r="G9400" s="94"/>
      <c r="H9400" s="131"/>
      <c r="I9400" s="3"/>
      <c r="J9400"/>
      <c r="K9400"/>
      <c r="L9400"/>
      <c r="M9400"/>
      <c r="N9400"/>
      <c r="O9400"/>
      <c r="P9400"/>
      <c r="Q9400"/>
      <c r="R9400"/>
      <c r="S9400"/>
      <c r="T9400"/>
      <c r="U9400"/>
      <c r="V9400"/>
      <c r="W9400"/>
      <c r="X9400"/>
      <c r="Y9400"/>
      <c r="Z9400"/>
      <c r="AA9400"/>
      <c r="AB9400"/>
      <c r="AC9400"/>
      <c r="AD9400"/>
      <c r="AE9400"/>
      <c r="AF9400"/>
      <c r="AG9400"/>
      <c r="AH9400"/>
      <c r="AI9400"/>
      <c r="AJ9400"/>
      <c r="AK9400"/>
      <c r="AL9400"/>
      <c r="AM9400"/>
      <c r="AN9400"/>
      <c r="AO9400"/>
      <c r="AP9400"/>
      <c r="AQ9400"/>
      <c r="AR9400"/>
      <c r="AS9400"/>
      <c r="AT9400"/>
      <c r="AU9400"/>
      <c r="AV9400"/>
      <c r="AW9400"/>
      <c r="AX9400"/>
      <c r="AY9400"/>
      <c r="AZ9400"/>
      <c r="BA9400"/>
      <c r="BB9400"/>
      <c r="BC9400"/>
      <c r="BD9400"/>
      <c r="BE9400"/>
      <c r="BF9400"/>
      <c r="BG9400"/>
      <c r="BH9400"/>
      <c r="BI9400"/>
      <c r="BJ9400"/>
      <c r="BK9400"/>
    </row>
    <row r="9401" spans="1:63" s="93" customFormat="1" ht="9" customHeight="1" x14ac:dyDescent="0.3">
      <c r="A9401" s="91"/>
      <c r="B9401" s="70"/>
      <c r="C9401" s="70"/>
      <c r="D9401" s="70"/>
      <c r="E9401" s="70"/>
      <c r="F9401" s="70"/>
      <c r="G9401" s="94"/>
      <c r="H9401" s="131"/>
      <c r="I9401" s="3"/>
      <c r="J9401"/>
      <c r="K9401"/>
      <c r="L9401"/>
      <c r="M9401"/>
      <c r="N9401"/>
      <c r="O9401"/>
      <c r="P9401"/>
      <c r="Q9401"/>
      <c r="R9401"/>
      <c r="S9401"/>
      <c r="T9401"/>
      <c r="U9401"/>
      <c r="V9401"/>
      <c r="W9401"/>
      <c r="X9401"/>
      <c r="Y9401"/>
      <c r="Z9401"/>
      <c r="AA9401"/>
      <c r="AB9401"/>
      <c r="AC9401"/>
      <c r="AD9401"/>
      <c r="AE9401"/>
      <c r="AF9401"/>
      <c r="AG9401"/>
      <c r="AH9401"/>
      <c r="AI9401"/>
      <c r="AJ9401"/>
      <c r="AK9401"/>
      <c r="AL9401"/>
      <c r="AM9401"/>
      <c r="AN9401"/>
      <c r="AO9401"/>
      <c r="AP9401"/>
      <c r="AQ9401"/>
      <c r="AR9401"/>
      <c r="AS9401"/>
      <c r="AT9401"/>
      <c r="AU9401"/>
      <c r="AV9401"/>
      <c r="AW9401"/>
      <c r="AX9401"/>
      <c r="AY9401"/>
      <c r="AZ9401"/>
      <c r="BA9401"/>
      <c r="BB9401"/>
      <c r="BC9401"/>
      <c r="BD9401"/>
      <c r="BE9401"/>
      <c r="BF9401"/>
      <c r="BG9401"/>
      <c r="BH9401"/>
      <c r="BI9401"/>
      <c r="BJ9401"/>
      <c r="BK9401"/>
    </row>
    <row r="9402" spans="1:63" s="93" customFormat="1" ht="9" customHeight="1" x14ac:dyDescent="0.3">
      <c r="A9402" s="91"/>
      <c r="B9402" s="70"/>
      <c r="C9402" s="70"/>
      <c r="D9402" s="70"/>
      <c r="E9402" s="70"/>
      <c r="F9402" s="70"/>
      <c r="G9402" s="94"/>
      <c r="H9402" s="131"/>
      <c r="I9402" s="3"/>
      <c r="J9402"/>
      <c r="K9402"/>
      <c r="L9402"/>
      <c r="M9402"/>
      <c r="N9402"/>
      <c r="O9402"/>
      <c r="P9402"/>
      <c r="Q9402"/>
      <c r="R9402"/>
      <c r="S9402"/>
      <c r="T9402"/>
      <c r="U9402"/>
      <c r="V9402"/>
      <c r="W9402"/>
      <c r="X9402"/>
      <c r="Y9402"/>
      <c r="Z9402"/>
      <c r="AA9402"/>
      <c r="AB9402"/>
      <c r="AC9402"/>
      <c r="AD9402"/>
      <c r="AE9402"/>
      <c r="AF9402"/>
      <c r="AG9402"/>
      <c r="AH9402"/>
      <c r="AI9402"/>
      <c r="AJ9402"/>
      <c r="AK9402"/>
      <c r="AL9402"/>
      <c r="AM9402"/>
      <c r="AN9402"/>
      <c r="AO9402"/>
      <c r="AP9402"/>
      <c r="AQ9402"/>
      <c r="AR9402"/>
      <c r="AS9402"/>
      <c r="AT9402"/>
      <c r="AU9402"/>
      <c r="AV9402"/>
      <c r="AW9402"/>
      <c r="AX9402"/>
      <c r="AY9402"/>
      <c r="AZ9402"/>
      <c r="BA9402"/>
      <c r="BB9402"/>
      <c r="BC9402"/>
      <c r="BD9402"/>
      <c r="BE9402"/>
      <c r="BF9402"/>
      <c r="BG9402"/>
      <c r="BH9402"/>
      <c r="BI9402"/>
      <c r="BJ9402"/>
      <c r="BK9402"/>
    </row>
    <row r="9403" spans="1:63" s="93" customFormat="1" ht="9" customHeight="1" x14ac:dyDescent="0.3">
      <c r="A9403" s="91"/>
      <c r="B9403" s="70"/>
      <c r="C9403" s="70"/>
      <c r="D9403" s="70"/>
      <c r="E9403" s="70"/>
      <c r="F9403" s="70"/>
      <c r="G9403" s="94"/>
      <c r="H9403" s="131"/>
      <c r="I9403" s="3"/>
      <c r="J9403"/>
      <c r="K9403"/>
      <c r="L9403"/>
      <c r="M9403"/>
      <c r="N9403"/>
      <c r="O9403"/>
      <c r="P9403"/>
      <c r="Q9403"/>
      <c r="R9403"/>
      <c r="S9403"/>
      <c r="T9403"/>
      <c r="U9403"/>
      <c r="V9403"/>
      <c r="W9403"/>
      <c r="X9403"/>
      <c r="Y9403"/>
      <c r="Z9403"/>
      <c r="AA9403"/>
      <c r="AB9403"/>
      <c r="AC9403"/>
      <c r="AD9403"/>
      <c r="AE9403"/>
      <c r="AF9403"/>
      <c r="AG9403"/>
      <c r="AH9403"/>
      <c r="AI9403"/>
      <c r="AJ9403"/>
      <c r="AK9403"/>
      <c r="AL9403"/>
      <c r="AM9403"/>
      <c r="AN9403"/>
      <c r="AO9403"/>
      <c r="AP9403"/>
      <c r="AQ9403"/>
      <c r="AR9403"/>
      <c r="AS9403"/>
      <c r="AT9403"/>
      <c r="AU9403"/>
      <c r="AV9403"/>
      <c r="AW9403"/>
      <c r="AX9403"/>
      <c r="AY9403"/>
      <c r="AZ9403"/>
      <c r="BA9403"/>
      <c r="BB9403"/>
      <c r="BC9403"/>
      <c r="BD9403"/>
      <c r="BE9403"/>
      <c r="BF9403"/>
      <c r="BG9403"/>
      <c r="BH9403"/>
      <c r="BI9403"/>
      <c r="BJ9403"/>
      <c r="BK9403"/>
    </row>
    <row r="9404" spans="1:63" s="93" customFormat="1" ht="9" customHeight="1" x14ac:dyDescent="0.3">
      <c r="A9404" s="91"/>
      <c r="B9404" s="70"/>
      <c r="C9404" s="70"/>
      <c r="D9404" s="70"/>
      <c r="E9404" s="70"/>
      <c r="F9404" s="70"/>
      <c r="G9404" s="94"/>
      <c r="H9404" s="131"/>
      <c r="I9404" s="3"/>
      <c r="J9404"/>
      <c r="K9404"/>
      <c r="L9404"/>
      <c r="M9404"/>
      <c r="N9404"/>
      <c r="O9404"/>
      <c r="P9404"/>
      <c r="Q9404"/>
      <c r="R9404"/>
      <c r="S9404"/>
      <c r="T9404"/>
      <c r="U9404"/>
      <c r="V9404"/>
      <c r="W9404"/>
      <c r="X9404"/>
      <c r="Y9404"/>
      <c r="Z9404"/>
      <c r="AA9404"/>
      <c r="AB9404"/>
      <c r="AC9404"/>
      <c r="AD9404"/>
      <c r="AE9404"/>
      <c r="AF9404"/>
      <c r="AG9404"/>
      <c r="AH9404"/>
      <c r="AI9404"/>
      <c r="AJ9404"/>
      <c r="AK9404"/>
      <c r="AL9404"/>
      <c r="AM9404"/>
      <c r="AN9404"/>
      <c r="AO9404"/>
      <c r="AP9404"/>
      <c r="AQ9404"/>
      <c r="AR9404"/>
      <c r="AS9404"/>
      <c r="AT9404"/>
      <c r="AU9404"/>
      <c r="AV9404"/>
      <c r="AW9404"/>
      <c r="AX9404"/>
      <c r="AY9404"/>
      <c r="AZ9404"/>
      <c r="BA9404"/>
      <c r="BB9404"/>
      <c r="BC9404"/>
      <c r="BD9404"/>
      <c r="BE9404"/>
      <c r="BF9404"/>
      <c r="BG9404"/>
      <c r="BH9404"/>
      <c r="BI9404"/>
      <c r="BJ9404"/>
      <c r="BK9404"/>
    </row>
    <row r="9405" spans="1:63" s="93" customFormat="1" ht="9" customHeight="1" x14ac:dyDescent="0.3">
      <c r="A9405" s="91"/>
      <c r="B9405" s="70"/>
      <c r="C9405" s="70"/>
      <c r="D9405" s="70"/>
      <c r="E9405" s="70"/>
      <c r="F9405" s="70"/>
      <c r="G9405" s="94"/>
      <c r="H9405" s="131"/>
      <c r="I9405" s="3"/>
      <c r="J9405"/>
      <c r="K9405"/>
      <c r="L9405"/>
      <c r="M9405"/>
      <c r="N9405"/>
      <c r="O9405"/>
      <c r="P9405"/>
      <c r="Q9405"/>
      <c r="R9405"/>
      <c r="S9405"/>
      <c r="T9405"/>
      <c r="U9405"/>
      <c r="V9405"/>
      <c r="W9405"/>
      <c r="X9405"/>
      <c r="Y9405"/>
      <c r="Z9405"/>
      <c r="AA9405"/>
      <c r="AB9405"/>
      <c r="AC9405"/>
      <c r="AD9405"/>
      <c r="AE9405"/>
      <c r="AF9405"/>
      <c r="AG9405"/>
      <c r="AH9405"/>
      <c r="AI9405"/>
      <c r="AJ9405"/>
      <c r="AK9405"/>
      <c r="AL9405"/>
      <c r="AM9405"/>
      <c r="AN9405"/>
      <c r="AO9405"/>
      <c r="AP9405"/>
      <c r="AQ9405"/>
      <c r="AR9405"/>
      <c r="AS9405"/>
      <c r="AT9405"/>
      <c r="AU9405"/>
      <c r="AV9405"/>
      <c r="AW9405"/>
      <c r="AX9405"/>
      <c r="AY9405"/>
      <c r="AZ9405"/>
      <c r="BA9405"/>
      <c r="BB9405"/>
      <c r="BC9405"/>
      <c r="BD9405"/>
      <c r="BE9405"/>
      <c r="BF9405"/>
      <c r="BG9405"/>
      <c r="BH9405"/>
      <c r="BI9405"/>
      <c r="BJ9405"/>
      <c r="BK9405"/>
    </row>
    <row r="9406" spans="1:63" s="93" customFormat="1" ht="9" customHeight="1" x14ac:dyDescent="0.3">
      <c r="A9406" s="91"/>
      <c r="B9406" s="70"/>
      <c r="C9406" s="70"/>
      <c r="D9406" s="70"/>
      <c r="E9406" s="70"/>
      <c r="F9406" s="70"/>
      <c r="G9406" s="94"/>
      <c r="H9406" s="131"/>
      <c r="I9406" s="3"/>
      <c r="J9406"/>
      <c r="K9406"/>
      <c r="L9406"/>
      <c r="M9406"/>
      <c r="N9406"/>
      <c r="O9406"/>
      <c r="P9406"/>
      <c r="Q9406"/>
      <c r="R9406"/>
      <c r="S9406"/>
      <c r="T9406"/>
      <c r="U9406"/>
      <c r="V9406"/>
      <c r="W9406"/>
      <c r="X9406"/>
      <c r="Y9406"/>
      <c r="Z9406"/>
      <c r="AA9406"/>
      <c r="AB9406"/>
      <c r="AC9406"/>
      <c r="AD9406"/>
      <c r="AE9406"/>
      <c r="AF9406"/>
      <c r="AG9406"/>
      <c r="AH9406"/>
      <c r="AI9406"/>
      <c r="AJ9406"/>
      <c r="AK9406"/>
      <c r="AL9406"/>
      <c r="AM9406"/>
      <c r="AN9406"/>
      <c r="AO9406"/>
      <c r="AP9406"/>
      <c r="AQ9406"/>
      <c r="AR9406"/>
      <c r="AS9406"/>
      <c r="AT9406"/>
      <c r="AU9406"/>
      <c r="AV9406"/>
      <c r="AW9406"/>
      <c r="AX9406"/>
      <c r="AY9406"/>
      <c r="AZ9406"/>
      <c r="BA9406"/>
      <c r="BB9406"/>
      <c r="BC9406"/>
      <c r="BD9406"/>
      <c r="BE9406"/>
      <c r="BF9406"/>
      <c r="BG9406"/>
      <c r="BH9406"/>
      <c r="BI9406"/>
      <c r="BJ9406"/>
      <c r="BK9406"/>
    </row>
    <row r="9407" spans="1:63" s="93" customFormat="1" ht="9" customHeight="1" x14ac:dyDescent="0.3">
      <c r="A9407" s="91"/>
      <c r="B9407" s="70"/>
      <c r="C9407" s="70"/>
      <c r="D9407" s="70"/>
      <c r="E9407" s="70"/>
      <c r="F9407" s="70"/>
      <c r="G9407" s="94"/>
      <c r="H9407" s="131"/>
      <c r="I9407" s="3"/>
      <c r="J9407"/>
      <c r="K9407"/>
      <c r="L9407"/>
      <c r="M9407"/>
      <c r="N9407"/>
      <c r="O9407"/>
      <c r="P9407"/>
      <c r="Q9407"/>
      <c r="R9407"/>
      <c r="S9407"/>
      <c r="T9407"/>
      <c r="U9407"/>
      <c r="V9407"/>
      <c r="W9407"/>
      <c r="X9407"/>
      <c r="Y9407"/>
      <c r="Z9407"/>
      <c r="AA9407"/>
      <c r="AB9407"/>
      <c r="AC9407"/>
      <c r="AD9407"/>
      <c r="AE9407"/>
      <c r="AF9407"/>
      <c r="AG9407"/>
      <c r="AH9407"/>
      <c r="AI9407"/>
      <c r="AJ9407"/>
      <c r="AK9407"/>
      <c r="AL9407"/>
      <c r="AM9407"/>
      <c r="AN9407"/>
      <c r="AO9407"/>
      <c r="AP9407"/>
      <c r="AQ9407"/>
      <c r="AR9407"/>
      <c r="AS9407"/>
      <c r="AT9407"/>
      <c r="AU9407"/>
      <c r="AV9407"/>
      <c r="AW9407"/>
      <c r="AX9407"/>
      <c r="AY9407"/>
      <c r="AZ9407"/>
      <c r="BA9407"/>
      <c r="BB9407"/>
      <c r="BC9407"/>
      <c r="BD9407"/>
      <c r="BE9407"/>
      <c r="BF9407"/>
      <c r="BG9407"/>
      <c r="BH9407"/>
      <c r="BI9407"/>
      <c r="BJ9407"/>
      <c r="BK9407"/>
    </row>
    <row r="9408" spans="1:63" s="93" customFormat="1" ht="9" customHeight="1" x14ac:dyDescent="0.3">
      <c r="A9408" s="91"/>
      <c r="B9408" s="70"/>
      <c r="C9408" s="70"/>
      <c r="D9408" s="70"/>
      <c r="E9408" s="70"/>
      <c r="F9408" s="70"/>
      <c r="G9408" s="94"/>
      <c r="H9408" s="131"/>
      <c r="I9408" s="3"/>
      <c r="J9408"/>
      <c r="K9408"/>
      <c r="L9408"/>
      <c r="M9408"/>
      <c r="N9408"/>
      <c r="O9408"/>
      <c r="P9408"/>
      <c r="Q9408"/>
      <c r="R9408"/>
      <c r="S9408"/>
      <c r="T9408"/>
      <c r="U9408"/>
      <c r="V9408"/>
      <c r="W9408"/>
      <c r="X9408"/>
      <c r="Y9408"/>
      <c r="Z9408"/>
      <c r="AA9408"/>
      <c r="AB9408"/>
      <c r="AC9408"/>
      <c r="AD9408"/>
      <c r="AE9408"/>
      <c r="AF9408"/>
      <c r="AG9408"/>
      <c r="AH9408"/>
      <c r="AI9408"/>
      <c r="AJ9408"/>
      <c r="AK9408"/>
      <c r="AL9408"/>
      <c r="AM9408"/>
      <c r="AN9408"/>
      <c r="AO9408"/>
      <c r="AP9408"/>
      <c r="AQ9408"/>
      <c r="AR9408"/>
      <c r="AS9408"/>
      <c r="AT9408"/>
      <c r="AU9408"/>
      <c r="AV9408"/>
      <c r="AW9408"/>
      <c r="AX9408"/>
      <c r="AY9408"/>
      <c r="AZ9408"/>
      <c r="BA9408"/>
      <c r="BB9408"/>
      <c r="BC9408"/>
      <c r="BD9408"/>
      <c r="BE9408"/>
      <c r="BF9408"/>
      <c r="BG9408"/>
      <c r="BH9408"/>
      <c r="BI9408"/>
      <c r="BJ9408"/>
      <c r="BK9408"/>
    </row>
    <row r="9409" spans="1:63" s="93" customFormat="1" ht="9" customHeight="1" x14ac:dyDescent="0.3">
      <c r="A9409" s="91"/>
      <c r="B9409" s="70"/>
      <c r="C9409" s="70"/>
      <c r="D9409" s="70"/>
      <c r="E9409" s="70"/>
      <c r="F9409" s="70"/>
      <c r="G9409" s="94"/>
      <c r="H9409" s="131"/>
      <c r="I9409" s="3"/>
      <c r="J9409"/>
      <c r="K9409"/>
      <c r="L9409"/>
      <c r="M9409"/>
      <c r="N9409"/>
      <c r="O9409"/>
      <c r="P9409"/>
      <c r="Q9409"/>
      <c r="R9409"/>
      <c r="S9409"/>
      <c r="T9409"/>
      <c r="U9409"/>
      <c r="V9409"/>
      <c r="W9409"/>
      <c r="X9409"/>
      <c r="Y9409"/>
      <c r="Z9409"/>
      <c r="AA9409"/>
      <c r="AB9409"/>
      <c r="AC9409"/>
      <c r="AD9409"/>
      <c r="AE9409"/>
      <c r="AF9409"/>
      <c r="AG9409"/>
      <c r="AH9409"/>
      <c r="AI9409"/>
      <c r="AJ9409"/>
      <c r="AK9409"/>
      <c r="AL9409"/>
      <c r="AM9409"/>
      <c r="AN9409"/>
      <c r="AO9409"/>
      <c r="AP9409"/>
      <c r="AQ9409"/>
      <c r="AR9409"/>
      <c r="AS9409"/>
      <c r="AT9409"/>
      <c r="AU9409"/>
      <c r="AV9409"/>
      <c r="AW9409"/>
      <c r="AX9409"/>
      <c r="AY9409"/>
      <c r="AZ9409"/>
      <c r="BA9409"/>
      <c r="BB9409"/>
      <c r="BC9409"/>
      <c r="BD9409"/>
      <c r="BE9409"/>
      <c r="BF9409"/>
      <c r="BG9409"/>
      <c r="BH9409"/>
      <c r="BI9409"/>
      <c r="BJ9409"/>
      <c r="BK9409"/>
    </row>
    <row r="9410" spans="1:63" s="93" customFormat="1" ht="9" customHeight="1" x14ac:dyDescent="0.3">
      <c r="A9410" s="91"/>
      <c r="B9410" s="70"/>
      <c r="C9410" s="70"/>
      <c r="D9410" s="70"/>
      <c r="E9410" s="70"/>
      <c r="F9410" s="70"/>
      <c r="G9410" s="94"/>
      <c r="H9410" s="131"/>
      <c r="I9410" s="3"/>
      <c r="J9410"/>
      <c r="K9410"/>
      <c r="L9410"/>
      <c r="M9410"/>
      <c r="N9410"/>
      <c r="O9410"/>
      <c r="P9410"/>
      <c r="Q9410"/>
      <c r="R9410"/>
      <c r="S9410"/>
      <c r="T9410"/>
      <c r="U9410"/>
      <c r="V9410"/>
      <c r="W9410"/>
      <c r="X9410"/>
      <c r="Y9410"/>
      <c r="Z9410"/>
      <c r="AA9410"/>
      <c r="AB9410"/>
      <c r="AC9410"/>
      <c r="AD9410"/>
      <c r="AE9410"/>
      <c r="AF9410"/>
      <c r="AG9410"/>
      <c r="AH9410"/>
      <c r="AI9410"/>
      <c r="AJ9410"/>
      <c r="AK9410"/>
      <c r="AL9410"/>
      <c r="AM9410"/>
      <c r="AN9410"/>
      <c r="AO9410"/>
      <c r="AP9410"/>
      <c r="AQ9410"/>
      <c r="AR9410"/>
      <c r="AS9410"/>
      <c r="AT9410"/>
      <c r="AU9410"/>
      <c r="AV9410"/>
      <c r="AW9410"/>
      <c r="AX9410"/>
      <c r="AY9410"/>
      <c r="AZ9410"/>
      <c r="BA9410"/>
      <c r="BB9410"/>
      <c r="BC9410"/>
      <c r="BD9410"/>
      <c r="BE9410"/>
      <c r="BF9410"/>
      <c r="BG9410"/>
      <c r="BH9410"/>
      <c r="BI9410"/>
      <c r="BJ9410"/>
      <c r="BK9410"/>
    </row>
    <row r="9411" spans="1:63" s="93" customFormat="1" ht="9" customHeight="1" x14ac:dyDescent="0.3">
      <c r="A9411" s="91"/>
      <c r="B9411" s="70"/>
      <c r="C9411" s="70"/>
      <c r="D9411" s="70"/>
      <c r="E9411" s="70"/>
      <c r="F9411" s="70"/>
      <c r="G9411" s="94"/>
      <c r="H9411" s="131"/>
      <c r="I9411" s="3"/>
      <c r="J9411"/>
      <c r="K9411"/>
      <c r="L9411"/>
      <c r="M9411"/>
      <c r="N9411"/>
      <c r="O9411"/>
      <c r="P9411"/>
      <c r="Q9411"/>
      <c r="R9411"/>
      <c r="S9411"/>
      <c r="T9411"/>
      <c r="U9411"/>
      <c r="V9411"/>
      <c r="W9411"/>
      <c r="X9411"/>
      <c r="Y9411"/>
      <c r="Z9411"/>
      <c r="AA9411"/>
      <c r="AB9411"/>
      <c r="AC9411"/>
      <c r="AD9411"/>
      <c r="AE9411"/>
      <c r="AF9411"/>
      <c r="AG9411"/>
      <c r="AH9411"/>
      <c r="AI9411"/>
      <c r="AJ9411"/>
      <c r="AK9411"/>
      <c r="AL9411"/>
      <c r="AM9411"/>
      <c r="AN9411"/>
      <c r="AO9411"/>
      <c r="AP9411"/>
      <c r="AQ9411"/>
      <c r="AR9411"/>
      <c r="AS9411"/>
      <c r="AT9411"/>
      <c r="AU9411"/>
      <c r="AV9411"/>
      <c r="AW9411"/>
      <c r="AX9411"/>
      <c r="AY9411"/>
      <c r="AZ9411"/>
      <c r="BA9411"/>
      <c r="BB9411"/>
      <c r="BC9411"/>
      <c r="BD9411"/>
      <c r="BE9411"/>
      <c r="BF9411"/>
      <c r="BG9411"/>
      <c r="BH9411"/>
      <c r="BI9411"/>
      <c r="BJ9411"/>
      <c r="BK9411"/>
    </row>
    <row r="9412" spans="1:63" s="93" customFormat="1" ht="9" customHeight="1" x14ac:dyDescent="0.3">
      <c r="A9412" s="91"/>
      <c r="B9412" s="70"/>
      <c r="C9412" s="70"/>
      <c r="D9412" s="70"/>
      <c r="E9412" s="70"/>
      <c r="F9412" s="70"/>
      <c r="G9412" s="94"/>
      <c r="H9412" s="131"/>
      <c r="I9412" s="3"/>
      <c r="J9412"/>
      <c r="K9412"/>
      <c r="L9412"/>
      <c r="M9412"/>
      <c r="N9412"/>
      <c r="O9412"/>
      <c r="P9412"/>
      <c r="Q9412"/>
      <c r="R9412"/>
      <c r="S9412"/>
      <c r="T9412"/>
      <c r="U9412"/>
      <c r="V9412"/>
      <c r="W9412"/>
      <c r="X9412"/>
      <c r="Y9412"/>
      <c r="Z9412"/>
      <c r="AA9412"/>
      <c r="AB9412"/>
      <c r="AC9412"/>
      <c r="AD9412"/>
      <c r="AE9412"/>
      <c r="AF9412"/>
      <c r="AG9412"/>
      <c r="AH9412"/>
      <c r="AI9412"/>
      <c r="AJ9412"/>
      <c r="AK9412"/>
      <c r="AL9412"/>
      <c r="AM9412"/>
      <c r="AN9412"/>
      <c r="AO9412"/>
      <c r="AP9412"/>
      <c r="AQ9412"/>
      <c r="AR9412"/>
      <c r="AS9412"/>
      <c r="AT9412"/>
      <c r="AU9412"/>
      <c r="AV9412"/>
      <c r="AW9412"/>
      <c r="AX9412"/>
      <c r="AY9412"/>
      <c r="AZ9412"/>
      <c r="BA9412"/>
      <c r="BB9412"/>
      <c r="BC9412"/>
      <c r="BD9412"/>
      <c r="BE9412"/>
      <c r="BF9412"/>
      <c r="BG9412"/>
      <c r="BH9412"/>
      <c r="BI9412"/>
      <c r="BJ9412"/>
      <c r="BK9412"/>
    </row>
    <row r="9413" spans="1:63" s="93" customFormat="1" ht="9" customHeight="1" x14ac:dyDescent="0.3">
      <c r="A9413" s="91"/>
      <c r="B9413" s="70"/>
      <c r="C9413" s="70"/>
      <c r="D9413" s="70"/>
      <c r="E9413" s="70"/>
      <c r="F9413" s="70"/>
      <c r="G9413" s="94"/>
      <c r="H9413" s="131"/>
      <c r="I9413" s="3"/>
      <c r="J9413"/>
      <c r="K9413"/>
      <c r="L9413"/>
      <c r="M9413"/>
      <c r="N9413"/>
      <c r="O9413"/>
      <c r="P9413"/>
      <c r="Q9413"/>
      <c r="R9413"/>
      <c r="S9413"/>
      <c r="T9413"/>
      <c r="U9413"/>
      <c r="V9413"/>
      <c r="W9413"/>
      <c r="X9413"/>
      <c r="Y9413"/>
      <c r="Z9413"/>
      <c r="AA9413"/>
      <c r="AB9413"/>
      <c r="AC9413"/>
      <c r="AD9413"/>
      <c r="AE9413"/>
      <c r="AF9413"/>
      <c r="AG9413"/>
      <c r="AH9413"/>
      <c r="AI9413"/>
      <c r="AJ9413"/>
      <c r="AK9413"/>
      <c r="AL9413"/>
      <c r="AM9413"/>
      <c r="AN9413"/>
      <c r="AO9413"/>
      <c r="AP9413"/>
      <c r="AQ9413"/>
      <c r="AR9413"/>
      <c r="AS9413"/>
      <c r="AT9413"/>
      <c r="AU9413"/>
      <c r="AV9413"/>
      <c r="AW9413"/>
      <c r="AX9413"/>
      <c r="AY9413"/>
      <c r="AZ9413"/>
      <c r="BA9413"/>
      <c r="BB9413"/>
      <c r="BC9413"/>
      <c r="BD9413"/>
      <c r="BE9413"/>
      <c r="BF9413"/>
      <c r="BG9413"/>
      <c r="BH9413"/>
      <c r="BI9413"/>
      <c r="BJ9413"/>
      <c r="BK9413"/>
    </row>
    <row r="9414" spans="1:63" s="93" customFormat="1" ht="9" customHeight="1" x14ac:dyDescent="0.3">
      <c r="A9414" s="91"/>
      <c r="B9414" s="70"/>
      <c r="C9414" s="70"/>
      <c r="D9414" s="70"/>
      <c r="E9414" s="70"/>
      <c r="F9414" s="70"/>
      <c r="G9414" s="94"/>
      <c r="H9414" s="131"/>
      <c r="I9414" s="3"/>
      <c r="J9414"/>
      <c r="K9414"/>
      <c r="L9414"/>
      <c r="M9414"/>
      <c r="N9414"/>
      <c r="O9414"/>
      <c r="P9414"/>
      <c r="Q9414"/>
      <c r="R9414"/>
      <c r="S9414"/>
      <c r="T9414"/>
      <c r="U9414"/>
      <c r="V9414"/>
      <c r="W9414"/>
      <c r="X9414"/>
      <c r="Y9414"/>
      <c r="Z9414"/>
      <c r="AA9414"/>
      <c r="AB9414"/>
      <c r="AC9414"/>
      <c r="AD9414"/>
      <c r="AE9414"/>
      <c r="AF9414"/>
      <c r="AG9414"/>
      <c r="AH9414"/>
      <c r="AI9414"/>
      <c r="AJ9414"/>
      <c r="AK9414"/>
      <c r="AL9414"/>
      <c r="AM9414"/>
      <c r="AN9414"/>
      <c r="AO9414"/>
      <c r="AP9414"/>
      <c r="AQ9414"/>
      <c r="AR9414"/>
      <c r="AS9414"/>
      <c r="AT9414"/>
      <c r="AU9414"/>
      <c r="AV9414"/>
      <c r="AW9414"/>
      <c r="AX9414"/>
      <c r="AY9414"/>
      <c r="AZ9414"/>
      <c r="BA9414"/>
      <c r="BB9414"/>
      <c r="BC9414"/>
      <c r="BD9414"/>
      <c r="BE9414"/>
      <c r="BF9414"/>
      <c r="BG9414"/>
      <c r="BH9414"/>
      <c r="BI9414"/>
      <c r="BJ9414"/>
      <c r="BK9414"/>
    </row>
    <row r="9415" spans="1:63" s="93" customFormat="1" ht="9" customHeight="1" x14ac:dyDescent="0.3">
      <c r="A9415" s="91"/>
      <c r="B9415" s="70"/>
      <c r="C9415" s="70"/>
      <c r="D9415" s="70"/>
      <c r="E9415" s="70"/>
      <c r="F9415" s="70"/>
      <c r="G9415" s="94"/>
      <c r="H9415" s="131"/>
      <c r="I9415" s="3"/>
      <c r="J9415"/>
      <c r="K9415"/>
      <c r="L9415"/>
      <c r="M9415"/>
      <c r="N9415"/>
      <c r="O9415"/>
      <c r="P9415"/>
      <c r="Q9415"/>
      <c r="R9415"/>
      <c r="S9415"/>
      <c r="T9415"/>
      <c r="U9415"/>
      <c r="V9415"/>
      <c r="W9415"/>
      <c r="X9415"/>
      <c r="Y9415"/>
      <c r="Z9415"/>
      <c r="AA9415"/>
      <c r="AB9415"/>
      <c r="AC9415"/>
      <c r="AD9415"/>
      <c r="AE9415"/>
      <c r="AF9415"/>
      <c r="AG9415"/>
      <c r="AH9415"/>
      <c r="AI9415"/>
      <c r="AJ9415"/>
      <c r="AK9415"/>
      <c r="AL9415"/>
      <c r="AM9415"/>
      <c r="AN9415"/>
      <c r="AO9415"/>
      <c r="AP9415"/>
      <c r="AQ9415"/>
      <c r="AR9415"/>
      <c r="AS9415"/>
      <c r="AT9415"/>
      <c r="AU9415"/>
      <c r="AV9415"/>
      <c r="AW9415"/>
      <c r="AX9415"/>
      <c r="AY9415"/>
      <c r="AZ9415"/>
      <c r="BA9415"/>
      <c r="BB9415"/>
      <c r="BC9415"/>
      <c r="BD9415"/>
      <c r="BE9415"/>
      <c r="BF9415"/>
      <c r="BG9415"/>
      <c r="BH9415"/>
      <c r="BI9415"/>
      <c r="BJ9415"/>
      <c r="BK9415"/>
    </row>
    <row r="9416" spans="1:63" s="93" customFormat="1" ht="9" customHeight="1" x14ac:dyDescent="0.3">
      <c r="A9416" s="91"/>
      <c r="B9416" s="70"/>
      <c r="C9416" s="70"/>
      <c r="D9416" s="70"/>
      <c r="E9416" s="70"/>
      <c r="F9416" s="70"/>
      <c r="G9416" s="94"/>
      <c r="H9416" s="131"/>
      <c r="I9416" s="3"/>
      <c r="J9416"/>
      <c r="K9416"/>
      <c r="L9416"/>
      <c r="M9416"/>
      <c r="N9416"/>
      <c r="O9416"/>
      <c r="P9416"/>
      <c r="Q9416"/>
      <c r="R9416"/>
      <c r="S9416"/>
      <c r="T9416"/>
      <c r="U9416"/>
      <c r="V9416"/>
      <c r="W9416"/>
      <c r="X9416"/>
      <c r="Y9416"/>
      <c r="Z9416"/>
      <c r="AA9416"/>
      <c r="AB9416"/>
      <c r="AC9416"/>
      <c r="AD9416"/>
      <c r="AE9416"/>
      <c r="AF9416"/>
      <c r="AG9416"/>
      <c r="AH9416"/>
      <c r="AI9416"/>
      <c r="AJ9416"/>
      <c r="AK9416"/>
      <c r="AL9416"/>
      <c r="AM9416"/>
      <c r="AN9416"/>
      <c r="AO9416"/>
      <c r="AP9416"/>
      <c r="AQ9416"/>
      <c r="AR9416"/>
      <c r="AS9416"/>
      <c r="AT9416"/>
      <c r="AU9416"/>
      <c r="AV9416"/>
      <c r="AW9416"/>
      <c r="AX9416"/>
      <c r="AY9416"/>
      <c r="AZ9416"/>
      <c r="BA9416"/>
      <c r="BB9416"/>
      <c r="BC9416"/>
      <c r="BD9416"/>
      <c r="BE9416"/>
      <c r="BF9416"/>
      <c r="BG9416"/>
      <c r="BH9416"/>
      <c r="BI9416"/>
      <c r="BJ9416"/>
      <c r="BK9416"/>
    </row>
    <row r="9417" spans="1:63" s="93" customFormat="1" ht="9" customHeight="1" x14ac:dyDescent="0.3">
      <c r="A9417" s="91"/>
      <c r="B9417" s="70"/>
      <c r="C9417" s="70"/>
      <c r="D9417" s="70"/>
      <c r="E9417" s="70"/>
      <c r="F9417" s="70"/>
      <c r="G9417" s="94"/>
      <c r="H9417" s="131"/>
      <c r="I9417" s="3"/>
      <c r="J9417"/>
      <c r="K9417"/>
      <c r="L9417"/>
      <c r="M9417"/>
      <c r="N9417"/>
      <c r="O9417"/>
      <c r="P9417"/>
      <c r="Q9417"/>
      <c r="R9417"/>
      <c r="S9417"/>
      <c r="T9417"/>
      <c r="U9417"/>
      <c r="V9417"/>
      <c r="W9417"/>
      <c r="X9417"/>
      <c r="Y9417"/>
      <c r="Z9417"/>
      <c r="AA9417"/>
      <c r="AB9417"/>
      <c r="AC9417"/>
      <c r="AD9417"/>
      <c r="AE9417"/>
      <c r="AF9417"/>
      <c r="AG9417"/>
      <c r="AH9417"/>
      <c r="AI9417"/>
      <c r="AJ9417"/>
      <c r="AK9417"/>
      <c r="AL9417"/>
      <c r="AM9417"/>
      <c r="AN9417"/>
      <c r="AO9417"/>
      <c r="AP9417"/>
      <c r="AQ9417"/>
      <c r="AR9417"/>
      <c r="AS9417"/>
      <c r="AT9417"/>
      <c r="AU9417"/>
      <c r="AV9417"/>
      <c r="AW9417"/>
      <c r="AX9417"/>
      <c r="AY9417"/>
      <c r="AZ9417"/>
      <c r="BA9417"/>
      <c r="BB9417"/>
      <c r="BC9417"/>
      <c r="BD9417"/>
      <c r="BE9417"/>
      <c r="BF9417"/>
      <c r="BG9417"/>
      <c r="BH9417"/>
      <c r="BI9417"/>
      <c r="BJ9417"/>
      <c r="BK9417"/>
    </row>
    <row r="9418" spans="1:63" s="93" customFormat="1" ht="9" customHeight="1" x14ac:dyDescent="0.3">
      <c r="A9418" s="91"/>
      <c r="B9418" s="70"/>
      <c r="C9418" s="70"/>
      <c r="D9418" s="70"/>
      <c r="E9418" s="70"/>
      <c r="F9418" s="70"/>
      <c r="G9418" s="94"/>
      <c r="H9418" s="131"/>
      <c r="I9418" s="3"/>
      <c r="J9418"/>
      <c r="K9418"/>
      <c r="L9418"/>
      <c r="M9418"/>
      <c r="N9418"/>
      <c r="O9418"/>
      <c r="P9418"/>
      <c r="Q9418"/>
      <c r="R9418"/>
      <c r="S9418"/>
      <c r="T9418"/>
      <c r="U9418"/>
      <c r="V9418"/>
      <c r="W9418"/>
      <c r="X9418"/>
      <c r="Y9418"/>
      <c r="Z9418"/>
      <c r="AA9418"/>
      <c r="AB9418"/>
      <c r="AC9418"/>
      <c r="AD9418"/>
      <c r="AE9418"/>
      <c r="AF9418"/>
      <c r="AG9418"/>
      <c r="AH9418"/>
      <c r="AI9418"/>
      <c r="AJ9418"/>
      <c r="AK9418"/>
      <c r="AL9418"/>
      <c r="AM9418"/>
      <c r="AN9418"/>
      <c r="AO9418"/>
      <c r="AP9418"/>
      <c r="AQ9418"/>
      <c r="AR9418"/>
      <c r="AS9418"/>
      <c r="AT9418"/>
      <c r="AU9418"/>
      <c r="AV9418"/>
      <c r="AW9418"/>
      <c r="AX9418"/>
      <c r="AY9418"/>
      <c r="AZ9418"/>
      <c r="BA9418"/>
      <c r="BB9418"/>
      <c r="BC9418"/>
      <c r="BD9418"/>
      <c r="BE9418"/>
      <c r="BF9418"/>
      <c r="BG9418"/>
      <c r="BH9418"/>
      <c r="BI9418"/>
      <c r="BJ9418"/>
      <c r="BK9418"/>
    </row>
    <row r="9419" spans="1:63" s="93" customFormat="1" ht="9" customHeight="1" x14ac:dyDescent="0.3">
      <c r="A9419" s="91"/>
      <c r="B9419" s="70"/>
      <c r="C9419" s="70"/>
      <c r="D9419" s="70"/>
      <c r="E9419" s="70"/>
      <c r="F9419" s="70"/>
      <c r="G9419" s="94"/>
      <c r="H9419" s="131"/>
      <c r="I9419" s="3"/>
      <c r="J9419"/>
      <c r="K9419"/>
      <c r="L9419"/>
      <c r="M9419"/>
      <c r="N9419"/>
      <c r="O9419"/>
      <c r="P9419"/>
      <c r="Q9419"/>
      <c r="R9419"/>
      <c r="S9419"/>
      <c r="T9419"/>
      <c r="U9419"/>
      <c r="V9419"/>
      <c r="W9419"/>
      <c r="X9419"/>
      <c r="Y9419"/>
      <c r="Z9419"/>
      <c r="AA9419"/>
      <c r="AB9419"/>
      <c r="AC9419"/>
      <c r="AD9419"/>
      <c r="AE9419"/>
      <c r="AF9419"/>
      <c r="AG9419"/>
      <c r="AH9419"/>
      <c r="AI9419"/>
      <c r="AJ9419"/>
      <c r="AK9419"/>
      <c r="AL9419"/>
      <c r="AM9419"/>
      <c r="AN9419"/>
      <c r="AO9419"/>
      <c r="AP9419"/>
      <c r="AQ9419"/>
      <c r="AR9419"/>
      <c r="AS9419"/>
      <c r="AT9419"/>
      <c r="AU9419"/>
      <c r="AV9419"/>
      <c r="AW9419"/>
      <c r="AX9419"/>
      <c r="AY9419"/>
      <c r="AZ9419"/>
      <c r="BA9419"/>
      <c r="BB9419"/>
      <c r="BC9419"/>
      <c r="BD9419"/>
      <c r="BE9419"/>
      <c r="BF9419"/>
      <c r="BG9419"/>
      <c r="BH9419"/>
      <c r="BI9419"/>
      <c r="BJ9419"/>
      <c r="BK9419"/>
    </row>
    <row r="9420" spans="1:63" s="93" customFormat="1" ht="9" customHeight="1" x14ac:dyDescent="0.3">
      <c r="A9420" s="91"/>
      <c r="B9420" s="70"/>
      <c r="C9420" s="70"/>
      <c r="D9420" s="70"/>
      <c r="E9420" s="70"/>
      <c r="F9420" s="70"/>
      <c r="G9420" s="94"/>
      <c r="H9420" s="131"/>
      <c r="I9420" s="3"/>
      <c r="J9420"/>
      <c r="K9420"/>
      <c r="L9420"/>
      <c r="M9420"/>
      <c r="N9420"/>
      <c r="O9420"/>
      <c r="P9420"/>
      <c r="Q9420"/>
      <c r="R9420"/>
      <c r="S9420"/>
      <c r="T9420"/>
      <c r="U9420"/>
      <c r="V9420"/>
      <c r="W9420"/>
      <c r="X9420"/>
      <c r="Y9420"/>
      <c r="Z9420"/>
      <c r="AA9420"/>
      <c r="AB9420"/>
      <c r="AC9420"/>
      <c r="AD9420"/>
      <c r="AE9420"/>
      <c r="AF9420"/>
      <c r="AG9420"/>
      <c r="AH9420"/>
      <c r="AI9420"/>
      <c r="AJ9420"/>
      <c r="AK9420"/>
      <c r="AL9420"/>
      <c r="AM9420"/>
      <c r="AN9420"/>
      <c r="AO9420"/>
      <c r="AP9420"/>
      <c r="AQ9420"/>
      <c r="AR9420"/>
      <c r="AS9420"/>
      <c r="AT9420"/>
      <c r="AU9420"/>
      <c r="AV9420"/>
      <c r="AW9420"/>
      <c r="AX9420"/>
      <c r="AY9420"/>
      <c r="AZ9420"/>
      <c r="BA9420"/>
      <c r="BB9420"/>
      <c r="BC9420"/>
      <c r="BD9420"/>
      <c r="BE9420"/>
      <c r="BF9420"/>
      <c r="BG9420"/>
      <c r="BH9420"/>
      <c r="BI9420"/>
      <c r="BJ9420"/>
      <c r="BK9420"/>
    </row>
    <row r="9421" spans="1:63" s="93" customFormat="1" ht="9" customHeight="1" x14ac:dyDescent="0.3">
      <c r="A9421" s="91"/>
      <c r="B9421" s="70"/>
      <c r="C9421" s="70"/>
      <c r="D9421" s="70"/>
      <c r="E9421" s="70"/>
      <c r="F9421" s="70"/>
      <c r="G9421" s="94"/>
      <c r="H9421" s="131"/>
      <c r="I9421" s="3"/>
      <c r="J9421"/>
      <c r="K9421"/>
      <c r="L9421"/>
      <c r="M9421"/>
      <c r="N9421"/>
      <c r="O9421"/>
      <c r="P9421"/>
      <c r="Q9421"/>
      <c r="R9421"/>
      <c r="S9421"/>
      <c r="T9421"/>
      <c r="U9421"/>
      <c r="V9421"/>
      <c r="W9421"/>
      <c r="X9421"/>
      <c r="Y9421"/>
      <c r="Z9421"/>
      <c r="AA9421"/>
      <c r="AB9421"/>
      <c r="AC9421"/>
      <c r="AD9421"/>
      <c r="AE9421"/>
      <c r="AF9421"/>
      <c r="AG9421"/>
      <c r="AH9421"/>
      <c r="AI9421"/>
      <c r="AJ9421"/>
      <c r="AK9421"/>
      <c r="AL9421"/>
      <c r="AM9421"/>
      <c r="AN9421"/>
      <c r="AO9421"/>
      <c r="AP9421"/>
      <c r="AQ9421"/>
      <c r="AR9421"/>
      <c r="AS9421"/>
      <c r="AT9421"/>
      <c r="AU9421"/>
      <c r="AV9421"/>
      <c r="AW9421"/>
      <c r="AX9421"/>
      <c r="AY9421"/>
      <c r="AZ9421"/>
      <c r="BA9421"/>
      <c r="BB9421"/>
      <c r="BC9421"/>
      <c r="BD9421"/>
      <c r="BE9421"/>
      <c r="BF9421"/>
      <c r="BG9421"/>
      <c r="BH9421"/>
      <c r="BI9421"/>
      <c r="BJ9421"/>
      <c r="BK9421"/>
    </row>
    <row r="9422" spans="1:63" s="93" customFormat="1" ht="9" customHeight="1" x14ac:dyDescent="0.3">
      <c r="A9422" s="91"/>
      <c r="B9422" s="70"/>
      <c r="C9422" s="70"/>
      <c r="D9422" s="70"/>
      <c r="E9422" s="70"/>
      <c r="F9422" s="70"/>
      <c r="G9422" s="94"/>
      <c r="H9422" s="131"/>
      <c r="I9422" s="3"/>
      <c r="J9422"/>
      <c r="K9422"/>
      <c r="L9422"/>
      <c r="M9422"/>
      <c r="N9422"/>
      <c r="O9422"/>
      <c r="P9422"/>
      <c r="Q9422"/>
      <c r="R9422"/>
      <c r="S9422"/>
      <c r="T9422"/>
      <c r="U9422"/>
      <c r="V9422"/>
      <c r="W9422"/>
      <c r="X9422"/>
      <c r="Y9422"/>
      <c r="Z9422"/>
      <c r="AA9422"/>
      <c r="AB9422"/>
      <c r="AC9422"/>
      <c r="AD9422"/>
      <c r="AE9422"/>
      <c r="AF9422"/>
      <c r="AG9422"/>
      <c r="AH9422"/>
      <c r="AI9422"/>
      <c r="AJ9422"/>
      <c r="AK9422"/>
      <c r="AL9422"/>
      <c r="AM9422"/>
      <c r="AN9422"/>
      <c r="AO9422"/>
      <c r="AP9422"/>
      <c r="AQ9422"/>
      <c r="AR9422"/>
      <c r="AS9422"/>
      <c r="AT9422"/>
      <c r="AU9422"/>
      <c r="AV9422"/>
      <c r="AW9422"/>
      <c r="AX9422"/>
      <c r="AY9422"/>
      <c r="AZ9422"/>
      <c r="BA9422"/>
      <c r="BB9422"/>
      <c r="BC9422"/>
      <c r="BD9422"/>
      <c r="BE9422"/>
      <c r="BF9422"/>
      <c r="BG9422"/>
      <c r="BH9422"/>
      <c r="BI9422"/>
      <c r="BJ9422"/>
      <c r="BK9422"/>
    </row>
    <row r="9423" spans="1:63" s="93" customFormat="1" ht="9" customHeight="1" x14ac:dyDescent="0.3">
      <c r="A9423" s="91"/>
      <c r="B9423" s="70"/>
      <c r="C9423" s="70"/>
      <c r="D9423" s="70"/>
      <c r="E9423" s="70"/>
      <c r="F9423" s="70"/>
      <c r="G9423" s="94"/>
      <c r="H9423" s="131"/>
      <c r="I9423" s="3"/>
      <c r="J9423"/>
      <c r="K9423"/>
      <c r="L9423"/>
      <c r="M9423"/>
      <c r="N9423"/>
      <c r="O9423"/>
      <c r="P9423"/>
      <c r="Q9423"/>
      <c r="R9423"/>
      <c r="S9423"/>
      <c r="T9423"/>
      <c r="U9423"/>
      <c r="V9423"/>
      <c r="W9423"/>
      <c r="X9423"/>
      <c r="Y9423"/>
      <c r="Z9423"/>
      <c r="AA9423"/>
      <c r="AB9423"/>
      <c r="AC9423"/>
      <c r="AD9423"/>
      <c r="AE9423"/>
      <c r="AF9423"/>
      <c r="AG9423"/>
      <c r="AH9423"/>
      <c r="AI9423"/>
      <c r="AJ9423"/>
      <c r="AK9423"/>
      <c r="AL9423"/>
      <c r="AM9423"/>
      <c r="AN9423"/>
      <c r="AO9423"/>
      <c r="AP9423"/>
      <c r="AQ9423"/>
      <c r="AR9423"/>
      <c r="AS9423"/>
      <c r="AT9423"/>
      <c r="AU9423"/>
      <c r="AV9423"/>
      <c r="AW9423"/>
      <c r="AX9423"/>
      <c r="AY9423"/>
      <c r="AZ9423"/>
      <c r="BA9423"/>
      <c r="BB9423"/>
      <c r="BC9423"/>
      <c r="BD9423"/>
      <c r="BE9423"/>
      <c r="BF9423"/>
      <c r="BG9423"/>
      <c r="BH9423"/>
      <c r="BI9423"/>
      <c r="BJ9423"/>
      <c r="BK9423"/>
    </row>
    <row r="9424" spans="1:63" s="93" customFormat="1" ht="9" customHeight="1" x14ac:dyDescent="0.3">
      <c r="A9424" s="91"/>
      <c r="B9424" s="70"/>
      <c r="C9424" s="70"/>
      <c r="D9424" s="70"/>
      <c r="E9424" s="70"/>
      <c r="F9424" s="70"/>
      <c r="G9424" s="94"/>
      <c r="H9424" s="131"/>
      <c r="I9424" s="3"/>
      <c r="J9424"/>
      <c r="K9424"/>
      <c r="L9424"/>
      <c r="M9424"/>
      <c r="N9424"/>
      <c r="O9424"/>
      <c r="P9424"/>
      <c r="Q9424"/>
      <c r="R9424"/>
      <c r="S9424"/>
      <c r="T9424"/>
      <c r="U9424"/>
      <c r="V9424"/>
      <c r="W9424"/>
      <c r="X9424"/>
      <c r="Y9424"/>
      <c r="Z9424"/>
      <c r="AA9424"/>
      <c r="AB9424"/>
      <c r="AC9424"/>
      <c r="AD9424"/>
      <c r="AE9424"/>
      <c r="AF9424"/>
      <c r="AG9424"/>
      <c r="AH9424"/>
      <c r="AI9424"/>
      <c r="AJ9424"/>
      <c r="AK9424"/>
      <c r="AL9424"/>
      <c r="AM9424"/>
      <c r="AN9424"/>
      <c r="AO9424"/>
      <c r="AP9424"/>
      <c r="AQ9424"/>
      <c r="AR9424"/>
      <c r="AS9424"/>
      <c r="AT9424"/>
      <c r="AU9424"/>
      <c r="AV9424"/>
      <c r="AW9424"/>
      <c r="AX9424"/>
      <c r="AY9424"/>
      <c r="AZ9424"/>
      <c r="BA9424"/>
      <c r="BB9424"/>
      <c r="BC9424"/>
      <c r="BD9424"/>
      <c r="BE9424"/>
      <c r="BF9424"/>
      <c r="BG9424"/>
      <c r="BH9424"/>
      <c r="BI9424"/>
      <c r="BJ9424"/>
      <c r="BK9424"/>
    </row>
  </sheetData>
  <autoFilter ref="J395:K395" xr:uid="{17EAC4C1-F78C-4E1E-8FC6-EBB9DDE119F9}">
    <sortState xmlns:xlrd2="http://schemas.microsoft.com/office/spreadsheetml/2017/richdata2" ref="J396:K440">
      <sortCondition descending="1" ref="K395"/>
    </sortState>
  </autoFilter>
  <phoneticPr fontId="3" type="noConversion"/>
  <conditionalFormatting sqref="B4:G9946">
    <cfRule type="expression" dxfId="850" priority="428">
      <formula>COUNTIF($L$1:$AQ$1,B4)&gt;0</formula>
    </cfRule>
  </conditionalFormatting>
  <conditionalFormatting sqref="B4:G1048576 K395:K417 L396:L407 L413 W407:AI414 N407:U414 K4:U392 W364:AU392 L395:AM395 AB396:AM402 N396:N406 P396:U406 W396:Y406 M396:M440 AB403:AI406 AJ403:AM434 AA435:AM436 AA441:AM441 K441:M450 AA442:AU446 Z447:AU450 X451:AU451 K451:U1048576 W452:AU1048576 BL4:XFD1048576 W4:BK363 AV364:BK377 AV427:BK1048576">
    <cfRule type="cellIs" dxfId="849" priority="447" operator="greaterThan">
      <formula>0</formula>
    </cfRule>
  </conditionalFormatting>
  <conditionalFormatting sqref="B4:G1048576">
    <cfRule type="cellIs" dxfId="848" priority="448" operator="between">
      <formula>37</formula>
      <formula>38</formula>
    </cfRule>
    <cfRule type="cellIs" dxfId="847" priority="449" operator="between">
      <formula>30</formula>
      <formula>34</formula>
    </cfRule>
    <cfRule type="cellIs" dxfId="846" priority="450" operator="between">
      <formula>23</formula>
      <formula>27</formula>
    </cfRule>
    <cfRule type="cellIs" dxfId="845" priority="451" operator="between">
      <formula>16</formula>
      <formula>20</formula>
    </cfRule>
    <cfRule type="cellIs" dxfId="844" priority="452" operator="between">
      <formula>9</formula>
      <formula>13</formula>
    </cfRule>
    <cfRule type="cellIs" dxfId="843" priority="453" operator="between">
      <formula>1</formula>
      <formula>45</formula>
    </cfRule>
    <cfRule type="cellIs" dxfId="842" priority="454" operator="equal">
      <formula>45</formula>
    </cfRule>
    <cfRule type="cellIs" dxfId="841" priority="455" operator="equal">
      <formula>42</formula>
    </cfRule>
    <cfRule type="cellIs" dxfId="840" priority="456" operator="between">
      <formula>35</formula>
      <formula>36</formula>
    </cfRule>
    <cfRule type="cellIs" dxfId="839" priority="457" operator="between">
      <formula>30</formula>
      <formula>31</formula>
    </cfRule>
    <cfRule type="cellIs" dxfId="838" priority="458" operator="equal">
      <formula>28</formula>
    </cfRule>
    <cfRule type="cellIs" dxfId="837" priority="459" operator="between">
      <formula>21</formula>
      <formula>26</formula>
    </cfRule>
    <cfRule type="cellIs" dxfId="836" priority="460" operator="equal">
      <formula>18</formula>
    </cfRule>
    <cfRule type="cellIs" dxfId="835" priority="461" operator="between">
      <formula>10</formula>
      <formula>15</formula>
    </cfRule>
    <cfRule type="cellIs" dxfId="834" priority="462" operator="between">
      <formula>6</formula>
      <formula>8</formula>
    </cfRule>
    <cfRule type="cellIs" dxfId="833" priority="463" operator="between">
      <formula>2</formula>
      <formula>4</formula>
    </cfRule>
    <cfRule type="cellIs" dxfId="832" priority="464" operator="between">
      <formula>1</formula>
      <formula>45</formula>
    </cfRule>
    <cfRule type="cellIs" dxfId="831" priority="465" operator="equal">
      <formula>22</formula>
    </cfRule>
    <cfRule type="cellIs" dxfId="830" priority="466" operator="equal">
      <formula>7</formula>
    </cfRule>
    <cfRule type="cellIs" dxfId="829" priority="467" operator="between">
      <formula>29</formula>
      <formula>31</formula>
    </cfRule>
    <cfRule type="cellIs" dxfId="828" priority="468" operator="between">
      <formula>18</formula>
      <formula>26</formula>
    </cfRule>
    <cfRule type="cellIs" dxfId="827" priority="469" operator="between">
      <formula>13</formula>
      <formula>14</formula>
    </cfRule>
    <cfRule type="cellIs" dxfId="826" priority="470" operator="equal">
      <formula>36</formula>
    </cfRule>
    <cfRule type="cellIs" dxfId="825" priority="471" operator="between">
      <formula>32</formula>
      <formula>45</formula>
    </cfRule>
    <cfRule type="cellIs" dxfId="824" priority="472" operator="between">
      <formula>27</formula>
      <formula>28</formula>
    </cfRule>
    <cfRule type="cellIs" dxfId="823" priority="473" operator="between">
      <formula>1</formula>
      <formula>45</formula>
    </cfRule>
    <cfRule type="cellIs" dxfId="822" priority="474" operator="equal">
      <formula>26</formula>
    </cfRule>
    <cfRule type="cellIs" dxfId="821" priority="475" operator="equal">
      <formula>14</formula>
    </cfRule>
    <cfRule type="cellIs" dxfId="820" priority="476" operator="equal">
      <formula>1</formula>
    </cfRule>
    <cfRule type="cellIs" dxfId="819" priority="477" operator="equal">
      <formula>41</formula>
    </cfRule>
    <cfRule type="cellIs" dxfId="818" priority="478" operator="between">
      <formula>1</formula>
      <formula>14</formula>
    </cfRule>
    <cfRule type="cellIs" dxfId="817" priority="479" operator="between">
      <formula>1</formula>
      <formula>14</formula>
    </cfRule>
    <cfRule type="cellIs" dxfId="816" priority="480" operator="equal">
      <formula>45</formula>
    </cfRule>
    <cfRule type="cellIs" dxfId="815" priority="481" operator="equal">
      <formula>44</formula>
    </cfRule>
    <cfRule type="cellIs" dxfId="814" priority="482" operator="equal">
      <formula>42</formula>
    </cfRule>
    <cfRule type="cellIs" dxfId="813" priority="483" operator="equal">
      <formula>36</formula>
    </cfRule>
    <cfRule type="cellIs" dxfId="812" priority="484" operator="equal">
      <formula>30</formula>
    </cfRule>
    <cfRule type="cellIs" dxfId="811" priority="485" operator="equal">
      <formula>25</formula>
    </cfRule>
    <cfRule type="cellIs" dxfId="810" priority="486" operator="equal">
      <formula>22</formula>
    </cfRule>
    <cfRule type="cellIs" dxfId="809" priority="487" operator="equal">
      <formula>16</formula>
    </cfRule>
    <cfRule type="cellIs" dxfId="808" priority="488" operator="equal">
      <formula>6</formula>
    </cfRule>
    <cfRule type="cellIs" dxfId="807" priority="489" operator="equal">
      <formula>5</formula>
    </cfRule>
    <cfRule type="cellIs" dxfId="806" priority="490" operator="equal">
      <formula>39</formula>
    </cfRule>
    <cfRule type="cellIs" dxfId="805" priority="491" operator="equal">
      <formula>37</formula>
    </cfRule>
    <cfRule type="cellIs" dxfId="804" priority="492" operator="equal">
      <formula>33</formula>
    </cfRule>
    <cfRule type="cellIs" dxfId="803" priority="493" operator="equal">
      <formula>24</formula>
    </cfRule>
    <cfRule type="cellIs" dxfId="802" priority="494" operator="equal">
      <formula>21</formula>
    </cfRule>
    <cfRule type="cellIs" dxfId="801" priority="495" operator="equal">
      <formula>20</formula>
    </cfRule>
    <cfRule type="cellIs" dxfId="800" priority="496" operator="equal">
      <formula>18</formula>
    </cfRule>
    <cfRule type="cellIs" dxfId="799" priority="497" operator="equal">
      <formula>12</formula>
    </cfRule>
    <cfRule type="cellIs" dxfId="798" priority="498" operator="equal">
      <formula>2</formula>
    </cfRule>
    <cfRule type="cellIs" dxfId="797" priority="499" operator="equal">
      <formula>1</formula>
    </cfRule>
    <cfRule type="cellIs" dxfId="796" priority="500" operator="equal">
      <formula>44</formula>
    </cfRule>
    <cfRule type="cellIs" dxfId="795" priority="501" operator="equal">
      <formula>33</formula>
    </cfRule>
    <cfRule type="cellIs" dxfId="794" priority="502" operator="equal">
      <formula>40</formula>
    </cfRule>
    <cfRule type="cellIs" dxfId="793" priority="503" operator="equal">
      <formula>38</formula>
    </cfRule>
    <cfRule type="cellIs" dxfId="792" priority="504" operator="equal">
      <formula>36</formula>
    </cfRule>
    <cfRule type="cellIs" dxfId="791" priority="505" operator="equal">
      <formula>34</formula>
    </cfRule>
    <cfRule type="cellIs" dxfId="790" priority="506" operator="equal">
      <formula>33</formula>
    </cfRule>
    <cfRule type="cellIs" dxfId="789" priority="507" operator="equal">
      <formula>26</formula>
    </cfRule>
    <cfRule type="cellIs" dxfId="788" priority="508" operator="equal">
      <formula>20</formula>
    </cfRule>
    <cfRule type="cellIs" dxfId="787" priority="509" operator="equal">
      <formula>8</formula>
    </cfRule>
    <cfRule type="cellIs" dxfId="786" priority="510" operator="equal">
      <formula>7</formula>
    </cfRule>
    <cfRule type="cellIs" dxfId="785" priority="511" operator="equal">
      <formula>6</formula>
    </cfRule>
    <cfRule type="cellIs" dxfId="784" priority="512" operator="equal">
      <formula>2</formula>
    </cfRule>
    <cfRule type="cellIs" dxfId="783" priority="513" operator="equal">
      <formula>36</formula>
    </cfRule>
    <cfRule type="cellIs" dxfId="782" priority="514" operator="equal">
      <formula>33</formula>
    </cfRule>
    <cfRule type="cellIs" dxfId="781" priority="515" operator="equal">
      <formula>7</formula>
    </cfRule>
    <cfRule type="cellIs" dxfId="780" priority="516" operator="equal">
      <formula>6</formula>
    </cfRule>
    <cfRule type="cellIs" dxfId="779" priority="517" operator="equal">
      <formula>2</formula>
    </cfRule>
    <cfRule type="cellIs" dxfId="778" priority="518" operator="equal">
      <formula>32</formula>
    </cfRule>
    <cfRule type="cellIs" dxfId="777" priority="519" operator="equal">
      <formula>31</formula>
    </cfRule>
    <cfRule type="cellIs" dxfId="776" priority="520" operator="equal">
      <formula>28</formula>
    </cfRule>
    <cfRule type="cellIs" dxfId="775" priority="521" operator="equal">
      <formula>27</formula>
    </cfRule>
    <cfRule type="cellIs" dxfId="774" priority="522" operator="equal">
      <formula>19</formula>
    </cfRule>
    <cfRule type="cellIs" dxfId="773" priority="523" operator="equal">
      <formula>3</formula>
    </cfRule>
    <cfRule type="cellIs" dxfId="772" priority="524" operator="equal">
      <formula>5</formula>
    </cfRule>
    <cfRule type="cellIs" dxfId="771" priority="525" operator="equal">
      <formula>3</formula>
    </cfRule>
    <cfRule type="cellIs" dxfId="770" priority="526" operator="equal">
      <formula>44</formula>
    </cfRule>
    <cfRule type="cellIs" dxfId="769" priority="527" operator="equal">
      <formula>41</formula>
    </cfRule>
    <cfRule type="cellIs" dxfId="768" priority="528" operator="equal">
      <formula>39</formula>
    </cfRule>
    <cfRule type="cellIs" dxfId="767" priority="529" operator="equal">
      <formula>37</formula>
    </cfRule>
    <cfRule type="cellIs" dxfId="766" priority="530" operator="equal">
      <formula>30</formula>
    </cfRule>
    <cfRule type="cellIs" dxfId="765" priority="531" operator="equal">
      <formula>29</formula>
    </cfRule>
    <cfRule type="cellIs" dxfId="764" priority="532" operator="equal">
      <formula>23</formula>
    </cfRule>
    <cfRule type="cellIs" dxfId="763" priority="533" operator="equal">
      <formula>22</formula>
    </cfRule>
    <cfRule type="cellIs" dxfId="762" priority="534" operator="equal">
      <formula>18</formula>
    </cfRule>
    <cfRule type="cellIs" dxfId="761" priority="535" operator="equal">
      <formula>15</formula>
    </cfRule>
    <cfRule type="cellIs" dxfId="760" priority="536" operator="equal">
      <formula>14</formula>
    </cfRule>
    <cfRule type="cellIs" dxfId="759" priority="537" operator="equal">
      <formula>12</formula>
    </cfRule>
    <cfRule type="cellIs" dxfId="758" priority="538" operator="equal">
      <formula>11</formula>
    </cfRule>
    <cfRule type="cellIs" dxfId="757" priority="539" operator="equal">
      <formula>11</formula>
    </cfRule>
    <cfRule type="cellIs" dxfId="756" priority="540" operator="equal">
      <formula>45</formula>
    </cfRule>
    <cfRule type="cellIs" dxfId="755" priority="541" operator="equal">
      <formula>43</formula>
    </cfRule>
    <cfRule type="cellIs" dxfId="754" priority="542" operator="equal">
      <formula>42</formula>
    </cfRule>
    <cfRule type="cellIs" dxfId="753" priority="543" operator="equal">
      <formula>24</formula>
    </cfRule>
    <cfRule type="cellIs" dxfId="752" priority="544" operator="equal">
      <formula>43</formula>
    </cfRule>
    <cfRule type="cellIs" dxfId="751" priority="545" operator="equal">
      <formula>42</formula>
    </cfRule>
    <cfRule type="cellIs" dxfId="750" priority="546" operator="equal">
      <formula>24</formula>
    </cfRule>
    <cfRule type="cellIs" dxfId="749" priority="547" operator="equal">
      <formula>21</formula>
    </cfRule>
    <cfRule type="cellIs" dxfId="748" priority="548" operator="equal">
      <formula>17</formula>
    </cfRule>
    <cfRule type="cellIs" dxfId="747" priority="549" operator="equal">
      <formula>16</formula>
    </cfRule>
    <cfRule type="cellIs" dxfId="746" priority="550" operator="equal">
      <formula>13</formula>
    </cfRule>
    <cfRule type="cellIs" dxfId="745" priority="551" operator="equal">
      <formula>10</formula>
    </cfRule>
    <cfRule type="cellIs" dxfId="744" priority="552" operator="equal">
      <formula>9</formula>
    </cfRule>
    <cfRule type="cellIs" dxfId="743" priority="553" operator="equal">
      <formula>4</formula>
    </cfRule>
    <cfRule type="cellIs" dxfId="742" priority="554" operator="equal">
      <formula>1</formula>
    </cfRule>
    <cfRule type="cellIs" dxfId="741" priority="555" operator="equal">
      <formula>1</formula>
    </cfRule>
    <cfRule type="cellIs" dxfId="740" priority="556" operator="equal">
      <formula>24</formula>
    </cfRule>
    <cfRule type="cellIs" dxfId="739" priority="557" operator="equal">
      <formula>45</formula>
    </cfRule>
    <cfRule type="cellIs" dxfId="738" priority="558" operator="equal">
      <formula>45</formula>
    </cfRule>
    <cfRule type="cellIs" dxfId="737" priority="559" operator="equal">
      <formula>45</formula>
    </cfRule>
    <cfRule type="cellIs" dxfId="736" priority="560" operator="equal">
      <formula>37</formula>
    </cfRule>
    <cfRule type="cellIs" dxfId="735" priority="561" operator="equal">
      <formula>31</formula>
    </cfRule>
    <cfRule type="cellIs" dxfId="734" priority="562" operator="equal">
      <formula>26</formula>
    </cfRule>
    <cfRule type="cellIs" dxfId="733" priority="563" operator="equal">
      <formula>24</formula>
    </cfRule>
    <cfRule type="cellIs" dxfId="732" priority="564" operator="equal">
      <formula>19</formula>
    </cfRule>
    <cfRule type="cellIs" dxfId="731" priority="565" operator="equal">
      <formula>16</formula>
    </cfRule>
    <cfRule type="cellIs" dxfId="730" priority="566" operator="equal">
      <formula>11</formula>
    </cfRule>
    <cfRule type="cellIs" dxfId="729" priority="567" operator="equal">
      <formula>7</formula>
    </cfRule>
    <cfRule type="cellIs" dxfId="728" priority="568" operator="equal">
      <formula>44</formula>
    </cfRule>
    <cfRule type="cellIs" dxfId="727" priority="569" operator="equal">
      <formula>42</formula>
    </cfRule>
    <cfRule type="cellIs" dxfId="726" priority="570" operator="equal">
      <formula>36</formula>
    </cfRule>
    <cfRule type="cellIs" dxfId="725" priority="571" operator="equal">
      <formula>30</formula>
    </cfRule>
    <cfRule type="cellIs" dxfId="724" priority="572" operator="equal">
      <formula>21</formula>
    </cfRule>
    <cfRule type="cellIs" dxfId="723" priority="573" operator="equal">
      <formula>15</formula>
    </cfRule>
    <cfRule type="cellIs" dxfId="722" priority="574" operator="equal">
      <formula>8</formula>
    </cfRule>
    <cfRule type="cellIs" dxfId="721" priority="575" operator="equal">
      <formula>6</formula>
    </cfRule>
    <cfRule type="cellIs" dxfId="720" priority="576" operator="equal">
      <formula>5</formula>
    </cfRule>
    <cfRule type="cellIs" dxfId="719" priority="577" operator="equal">
      <formula>41</formula>
    </cfRule>
    <cfRule type="cellIs" dxfId="718" priority="578" operator="equal">
      <formula>35</formula>
    </cfRule>
    <cfRule type="cellIs" dxfId="717" priority="579" operator="equal">
      <formula>32</formula>
    </cfRule>
    <cfRule type="cellIs" dxfId="716" priority="580" operator="equal">
      <formula>29</formula>
    </cfRule>
    <cfRule type="cellIs" dxfId="715" priority="581" operator="equal">
      <formula>28</formula>
    </cfRule>
    <cfRule type="cellIs" dxfId="714" priority="582" operator="equal">
      <formula>25</formula>
    </cfRule>
    <cfRule type="cellIs" dxfId="713" priority="583" operator="equal">
      <formula>23</formula>
    </cfRule>
    <cfRule type="cellIs" dxfId="712" priority="584" operator="equal">
      <formula>22</formula>
    </cfRule>
    <cfRule type="cellIs" dxfId="711" priority="585" operator="equal">
      <formula>9</formula>
    </cfRule>
    <cfRule type="cellIs" dxfId="710" priority="586" operator="equal">
      <formula>44</formula>
    </cfRule>
    <cfRule type="cellIs" dxfId="709" priority="587" operator="equal">
      <formula>42</formula>
    </cfRule>
    <cfRule type="cellIs" dxfId="708" priority="588" operator="equal">
      <formula>36</formula>
    </cfRule>
    <cfRule type="cellIs" dxfId="707" priority="589" operator="equal">
      <formula>30</formula>
    </cfRule>
    <cfRule type="cellIs" dxfId="706" priority="590" operator="equal">
      <formula>21</formula>
    </cfRule>
    <cfRule type="cellIs" dxfId="705" priority="591" operator="equal">
      <formula>15</formula>
    </cfRule>
    <cfRule type="cellIs" dxfId="704" priority="592" operator="equal">
      <formula>8</formula>
    </cfRule>
    <cfRule type="cellIs" dxfId="703" priority="593" operator="equal">
      <formula>6</formula>
    </cfRule>
    <cfRule type="cellIs" dxfId="702" priority="594" operator="equal">
      <formula>5</formula>
    </cfRule>
    <cfRule type="cellIs" dxfId="701" priority="595" operator="equal">
      <formula>45</formula>
    </cfRule>
    <cfRule type="cellIs" dxfId="700" priority="596" operator="equal">
      <formula>37</formula>
    </cfRule>
    <cfRule type="cellIs" dxfId="699" priority="597" operator="equal">
      <formula>31</formula>
    </cfRule>
    <cfRule type="cellIs" dxfId="698" priority="598" operator="equal">
      <formula>26</formula>
    </cfRule>
    <cfRule type="cellIs" dxfId="697" priority="599" operator="equal">
      <formula>24</formula>
    </cfRule>
    <cfRule type="cellIs" dxfId="696" priority="600" operator="equal">
      <formula>19</formula>
    </cfRule>
    <cfRule type="cellIs" dxfId="695" priority="601" operator="equal">
      <formula>16</formula>
    </cfRule>
    <cfRule type="cellIs" dxfId="694" priority="602" operator="equal">
      <formula>11</formula>
    </cfRule>
    <cfRule type="cellIs" dxfId="693" priority="603" operator="equal">
      <formula>7</formula>
    </cfRule>
    <cfRule type="cellIs" dxfId="692" priority="604" operator="equal">
      <formula>40</formula>
    </cfRule>
    <cfRule type="cellIs" dxfId="691" priority="605" operator="equal">
      <formula>39</formula>
    </cfRule>
    <cfRule type="cellIs" dxfId="690" priority="606" operator="equal">
      <formula>38</formula>
    </cfRule>
    <cfRule type="cellIs" dxfId="689" priority="607" operator="equal">
      <formula>20</formula>
    </cfRule>
    <cfRule type="cellIs" dxfId="688" priority="608" operator="equal">
      <formula>33</formula>
    </cfRule>
    <cfRule type="cellIs" dxfId="687" priority="609" operator="equal">
      <formula>27</formula>
    </cfRule>
    <cfRule type="cellIs" dxfId="686" priority="610" operator="equal">
      <formula>12</formula>
    </cfRule>
    <cfRule type="cellIs" dxfId="685" priority="611" operator="equal">
      <formula>18</formula>
    </cfRule>
    <cfRule type="cellIs" dxfId="684" priority="612" operator="equal">
      <formula>18</formula>
    </cfRule>
    <cfRule type="cellIs" dxfId="683" priority="613" operator="equal">
      <formula>14</formula>
    </cfRule>
    <cfRule type="cellIs" dxfId="682" priority="614" operator="equal">
      <formula>10</formula>
    </cfRule>
    <cfRule type="cellIs" dxfId="681" priority="615" operator="equal">
      <formula>3</formula>
    </cfRule>
    <cfRule type="cellIs" dxfId="680" priority="616" operator="equal">
      <formula>2</formula>
    </cfRule>
    <cfRule type="cellIs" dxfId="679" priority="617" operator="equal">
      <formula>43</formula>
    </cfRule>
    <cfRule type="cellIs" dxfId="678" priority="618" operator="equal">
      <formula>34</formula>
    </cfRule>
    <cfRule type="cellIs" dxfId="677" priority="619" operator="equal">
      <formula>34</formula>
    </cfRule>
    <cfRule type="cellIs" dxfId="676" priority="620" operator="equal">
      <formula>33</formula>
    </cfRule>
    <cfRule type="cellIs" dxfId="675" priority="621" operator="equal">
      <formula>4</formula>
    </cfRule>
    <cfRule type="cellIs" dxfId="674" priority="622" operator="equal">
      <formula>27</formula>
    </cfRule>
    <cfRule type="cellIs" dxfId="673" priority="623" operator="equal">
      <formula>12</formula>
    </cfRule>
    <cfRule type="cellIs" dxfId="672" priority="624" operator="equal">
      <formula>12</formula>
    </cfRule>
    <cfRule type="cellIs" dxfId="671" priority="625" operator="equal">
      <formula>1</formula>
    </cfRule>
    <cfRule type="cellIs" dxfId="670" priority="626" operator="equal">
      <formula>18</formula>
    </cfRule>
    <cfRule type="cellIs" dxfId="669" priority="627" operator="equal">
      <formula>10</formula>
    </cfRule>
    <cfRule type="cellIs" dxfId="668" priority="628" operator="equal">
      <formula>15</formula>
    </cfRule>
    <cfRule type="cellIs" dxfId="667" priority="629" operator="equal">
      <formula>15</formula>
    </cfRule>
    <cfRule type="cellIs" dxfId="666" priority="630" operator="equal">
      <formula>15</formula>
    </cfRule>
    <cfRule type="cellIs" dxfId="665" priority="631" operator="equal">
      <formula>15</formula>
    </cfRule>
    <cfRule type="cellIs" dxfId="664" priority="632" operator="equal">
      <formula>15</formula>
    </cfRule>
    <cfRule type="cellIs" dxfId="663" priority="633" operator="equal">
      <formula>15</formula>
    </cfRule>
    <cfRule type="cellIs" dxfId="662" priority="634" operator="equal">
      <formula>22</formula>
    </cfRule>
    <cfRule type="cellIs" dxfId="661" priority="635" operator="equal">
      <formula>40</formula>
    </cfRule>
    <cfRule type="cellIs" dxfId="660" priority="636" operator="equal">
      <formula>38</formula>
    </cfRule>
    <cfRule type="cellIs" dxfId="659" priority="637" operator="equal">
      <formula>43</formula>
    </cfRule>
    <cfRule type="cellIs" dxfId="658" priority="638" operator="equal">
      <formula>40</formula>
    </cfRule>
    <cfRule type="cellIs" dxfId="657" priority="639" operator="equal">
      <formula>39</formula>
    </cfRule>
    <cfRule type="cellIs" dxfId="656" priority="640" operator="equal">
      <formula>38</formula>
    </cfRule>
    <cfRule type="cellIs" dxfId="655" priority="641" operator="equal">
      <formula>34</formula>
    </cfRule>
    <cfRule type="cellIs" dxfId="654" priority="642" operator="equal">
      <formula>33</formula>
    </cfRule>
    <cfRule type="cellIs" dxfId="653" priority="643" operator="equal">
      <formula>27</formula>
    </cfRule>
    <cfRule type="cellIs" dxfId="652" priority="644" operator="equal">
      <formula>20</formula>
    </cfRule>
    <cfRule type="cellIs" dxfId="651" priority="645" operator="equal">
      <formula>18</formula>
    </cfRule>
    <cfRule type="cellIs" dxfId="650" priority="646" operator="equal">
      <formula>17</formula>
    </cfRule>
    <cfRule type="cellIs" dxfId="649" priority="647" operator="equal">
      <formula>13</formula>
    </cfRule>
    <cfRule type="cellIs" dxfId="648" priority="648" operator="equal">
      <formula>12</formula>
    </cfRule>
    <cfRule type="cellIs" dxfId="647" priority="649" operator="equal">
      <formula>12</formula>
    </cfRule>
    <cfRule type="cellIs" dxfId="646" priority="650" operator="equal">
      <formula>10</formula>
    </cfRule>
    <cfRule type="cellIs" dxfId="645" priority="651" operator="equal">
      <formula>4</formula>
    </cfRule>
    <cfRule type="cellIs" dxfId="644" priority="652" operator="equal">
      <formula>1</formula>
    </cfRule>
    <cfRule type="cellIs" dxfId="643" priority="653" operator="equal">
      <formula>45</formula>
    </cfRule>
    <cfRule type="cellIs" dxfId="642" priority="654" operator="equal">
      <formula>37</formula>
    </cfRule>
    <cfRule type="cellIs" dxfId="641" priority="655" operator="equal">
      <formula>31</formula>
    </cfRule>
    <cfRule type="cellIs" dxfId="640" priority="656" operator="equal">
      <formula>26</formula>
    </cfRule>
    <cfRule type="cellIs" dxfId="639" priority="657" operator="equal">
      <formula>24</formula>
    </cfRule>
    <cfRule type="cellIs" dxfId="638" priority="658" operator="equal">
      <formula>21</formula>
    </cfRule>
    <cfRule type="cellIs" dxfId="637" priority="659" operator="equal">
      <formula>19</formula>
    </cfRule>
    <cfRule type="cellIs" dxfId="636" priority="660" operator="equal">
      <formula>16</formula>
    </cfRule>
    <cfRule type="cellIs" dxfId="635" priority="661" operator="equal">
      <formula>14</formula>
    </cfRule>
    <cfRule type="cellIs" dxfId="634" priority="662" operator="equal">
      <formula>11</formula>
    </cfRule>
    <cfRule type="cellIs" dxfId="633" priority="663" operator="equal">
      <formula>7</formula>
    </cfRule>
    <cfRule type="cellIs" dxfId="632" priority="664" operator="equal">
      <formula>5</formula>
    </cfRule>
    <cfRule type="cellIs" dxfId="631" priority="665" operator="equal">
      <formula>3</formula>
    </cfRule>
    <cfRule type="cellIs" dxfId="630" priority="666" operator="equal">
      <formula>2</formula>
    </cfRule>
    <cfRule type="cellIs" dxfId="629" priority="667" operator="equal">
      <formula>6</formula>
    </cfRule>
    <cfRule type="cellIs" dxfId="628" priority="668" operator="equal">
      <formula>6</formula>
    </cfRule>
    <cfRule type="cellIs" dxfId="627" priority="669" operator="equal">
      <formula>2</formula>
    </cfRule>
    <cfRule type="cellIs" dxfId="626" priority="670" operator="equal">
      <formula>2</formula>
    </cfRule>
    <cfRule type="cellIs" dxfId="625" priority="671" operator="equal">
      <formula>40</formula>
    </cfRule>
    <cfRule type="cellIs" dxfId="624" priority="672" operator="equal">
      <formula>45</formula>
    </cfRule>
    <cfRule type="cellIs" dxfId="623" priority="673" operator="equal">
      <formula>42</formula>
    </cfRule>
    <cfRule type="cellIs" dxfId="622" priority="674" operator="equal">
      <formula>39</formula>
    </cfRule>
    <cfRule type="cellIs" dxfId="621" priority="675" operator="equal">
      <formula>36</formula>
    </cfRule>
    <cfRule type="cellIs" dxfId="620" priority="676" operator="equal">
      <formula>33</formula>
    </cfRule>
    <cfRule type="cellIs" dxfId="619" priority="677" operator="equal">
      <formula>30</formula>
    </cfRule>
    <cfRule type="cellIs" dxfId="618" priority="678" operator="equal">
      <formula>27</formula>
    </cfRule>
    <cfRule type="cellIs" dxfId="617" priority="679" operator="equal">
      <formula>24</formula>
    </cfRule>
    <cfRule type="cellIs" dxfId="616" priority="680" operator="equal">
      <formula>21</formula>
    </cfRule>
    <cfRule type="cellIs" dxfId="615" priority="681" operator="equal">
      <formula>18</formula>
    </cfRule>
    <cfRule type="cellIs" dxfId="614" priority="682" operator="equal">
      <formula>21</formula>
    </cfRule>
    <cfRule type="cellIs" dxfId="613" priority="683" operator="equal">
      <formula>18</formula>
    </cfRule>
    <cfRule type="cellIs" dxfId="612" priority="684" operator="equal">
      <formula>12</formula>
    </cfRule>
    <cfRule type="cellIs" dxfId="611" priority="685" operator="equal">
      <formula>12</formula>
    </cfRule>
    <cfRule type="cellIs" dxfId="610" priority="686" operator="equal">
      <formula>6</formula>
    </cfRule>
    <cfRule type="cellIs" dxfId="609" priority="687" operator="equal">
      <formula>15</formula>
    </cfRule>
    <cfRule type="cellIs" dxfId="608" priority="688" operator="equal">
      <formula>12</formula>
    </cfRule>
    <cfRule type="cellIs" dxfId="607" priority="689" operator="equal">
      <formula>9</formula>
    </cfRule>
    <cfRule type="cellIs" dxfId="606" priority="690" operator="equal">
      <formula>6</formula>
    </cfRule>
    <cfRule type="cellIs" dxfId="605" priority="691" operator="equal">
      <formula>15</formula>
    </cfRule>
    <cfRule type="cellIs" dxfId="604" priority="692" operator="equal">
      <formula>15</formula>
    </cfRule>
    <cfRule type="cellIs" dxfId="603" priority="693" operator="equal">
      <formula>15</formula>
    </cfRule>
    <cfRule type="cellIs" dxfId="602" priority="694" operator="equal">
      <formula>15</formula>
    </cfRule>
    <cfRule type="cellIs" dxfId="601" priority="695" operator="equal">
      <formula>45</formula>
    </cfRule>
    <cfRule type="cellIs" dxfId="600" priority="696" operator="equal">
      <formula>42</formula>
    </cfRule>
    <cfRule type="cellIs" dxfId="599" priority="697" operator="equal">
      <formula>39</formula>
    </cfRule>
    <cfRule type="cellIs" dxfId="598" priority="698" operator="equal">
      <formula>36</formula>
    </cfRule>
    <cfRule type="cellIs" dxfId="597" priority="699" operator="equal">
      <formula>33</formula>
    </cfRule>
    <cfRule type="cellIs" dxfId="596" priority="700" operator="equal">
      <formula>30</formula>
    </cfRule>
    <cfRule type="cellIs" dxfId="595" priority="701" operator="equal">
      <formula>27</formula>
    </cfRule>
    <cfRule type="cellIs" dxfId="594" priority="702" operator="equal">
      <formula>24</formula>
    </cfRule>
    <cfRule type="cellIs" dxfId="593" priority="703" operator="equal">
      <formula>21</formula>
    </cfRule>
    <cfRule type="cellIs" dxfId="592" priority="704" operator="equal">
      <formula>18</formula>
    </cfRule>
    <cfRule type="cellIs" dxfId="591" priority="705" operator="equal">
      <formula>15</formula>
    </cfRule>
    <cfRule type="cellIs" dxfId="590" priority="706" operator="equal">
      <formula>12</formula>
    </cfRule>
    <cfRule type="cellIs" dxfId="589" priority="707" operator="equal">
      <formula>9</formula>
    </cfRule>
    <cfRule type="cellIs" dxfId="588" priority="708" operator="equal">
      <formula>6</formula>
    </cfRule>
    <cfRule type="cellIs" dxfId="587" priority="709" operator="equal">
      <formula>43</formula>
    </cfRule>
    <cfRule type="cellIs" dxfId="586" priority="710" operator="equal">
      <formula>41</formula>
    </cfRule>
    <cfRule type="cellIs" dxfId="585" priority="711" operator="equal">
      <formula>37</formula>
    </cfRule>
    <cfRule type="cellIs" dxfId="584" priority="712" operator="equal">
      <formula>31</formula>
    </cfRule>
    <cfRule type="cellIs" dxfId="583" priority="713" operator="equal">
      <formula>29</formula>
    </cfRule>
    <cfRule type="cellIs" dxfId="582" priority="714" operator="equal">
      <formula>23</formula>
    </cfRule>
    <cfRule type="cellIs" dxfId="581" priority="715" operator="equal">
      <formula>19</formula>
    </cfRule>
    <cfRule type="cellIs" dxfId="580" priority="716" operator="equal">
      <formula>17</formula>
    </cfRule>
    <cfRule type="cellIs" dxfId="579" priority="717" operator="equal">
      <formula>13</formula>
    </cfRule>
    <cfRule type="cellIs" dxfId="578" priority="718" operator="equal">
      <formula>11</formula>
    </cfRule>
    <cfRule type="cellIs" dxfId="577" priority="719" operator="equal">
      <formula>7</formula>
    </cfRule>
    <cfRule type="cellIs" dxfId="576" priority="720" operator="equal">
      <formula>5</formula>
    </cfRule>
    <cfRule type="cellIs" dxfId="575" priority="721" operator="equal">
      <formula>5</formula>
    </cfRule>
    <cfRule type="cellIs" dxfId="574" priority="722" operator="equal">
      <formula>3</formula>
    </cfRule>
    <cfRule type="cellIs" dxfId="573" priority="723" operator="equal">
      <formula>2</formula>
    </cfRule>
    <cfRule type="cellIs" dxfId="572" priority="724" operator="equal">
      <formula>44</formula>
    </cfRule>
    <cfRule type="cellIs" dxfId="571" priority="725" operator="equal">
      <formula>40</formula>
    </cfRule>
    <cfRule type="cellIs" dxfId="570" priority="726" operator="equal">
      <formula>38</formula>
    </cfRule>
    <cfRule type="cellIs" dxfId="569" priority="727" operator="equal">
      <formula>35</formula>
    </cfRule>
    <cfRule type="cellIs" dxfId="568" priority="728" operator="equal">
      <formula>34</formula>
    </cfRule>
    <cfRule type="cellIs" dxfId="567" priority="729" operator="equal">
      <formula>32</formula>
    </cfRule>
    <cfRule type="cellIs" dxfId="566" priority="730" operator="equal">
      <formula>28</formula>
    </cfRule>
    <cfRule type="cellIs" dxfId="565" priority="731" operator="equal">
      <formula>26</formula>
    </cfRule>
    <cfRule type="cellIs" dxfId="564" priority="732" operator="equal">
      <formula>25</formula>
    </cfRule>
    <cfRule type="cellIs" dxfId="563" priority="733" operator="equal">
      <formula>20</formula>
    </cfRule>
    <cfRule type="cellIs" dxfId="562" priority="734" operator="equal">
      <formula>16</formula>
    </cfRule>
    <cfRule type="cellIs" dxfId="561" priority="735" operator="equal">
      <formula>14</formula>
    </cfRule>
    <cfRule type="cellIs" dxfId="560" priority="736" operator="equal">
      <formula>10</formula>
    </cfRule>
    <cfRule type="cellIs" dxfId="559" priority="737" operator="equal">
      <formula>8</formula>
    </cfRule>
    <cfRule type="cellIs" dxfId="558" priority="738" operator="equal">
      <formula>4</formula>
    </cfRule>
    <cfRule type="cellIs" dxfId="557" priority="739" operator="equal">
      <formula>1</formula>
    </cfRule>
    <cfRule type="cellIs" dxfId="556" priority="740" operator="equal">
      <formula>1</formula>
    </cfRule>
    <cfRule type="cellIs" dxfId="555" priority="741" operator="equal">
      <formula>45</formula>
    </cfRule>
    <cfRule type="cellIs" dxfId="554" priority="742" operator="equal">
      <formula>40</formula>
    </cfRule>
    <cfRule type="cellIs" dxfId="553" priority="743" operator="equal">
      <formula>37</formula>
    </cfRule>
    <cfRule type="cellIs" dxfId="552" priority="744" operator="equal">
      <formula>31</formula>
    </cfRule>
    <cfRule type="cellIs" dxfId="551" priority="745" operator="equal">
      <formula>26</formula>
    </cfRule>
    <cfRule type="cellIs" dxfId="550" priority="746" operator="equal">
      <formula>24</formula>
    </cfRule>
    <cfRule type="cellIs" dxfId="549" priority="747" operator="equal">
      <formula>21</formula>
    </cfRule>
    <cfRule type="cellIs" dxfId="548" priority="748" operator="equal">
      <formula>19</formula>
    </cfRule>
    <cfRule type="cellIs" dxfId="547" priority="749" operator="equal">
      <formula>16</formula>
    </cfRule>
    <cfRule type="cellIs" dxfId="546" priority="750" operator="equal">
      <formula>11</formula>
    </cfRule>
    <cfRule type="cellIs" dxfId="545" priority="751" operator="equal">
      <formula>7</formula>
    </cfRule>
    <cfRule type="cellIs" dxfId="544" priority="752" operator="equal">
      <formula>5</formula>
    </cfRule>
    <cfRule type="cellIs" dxfId="543" priority="753" operator="equal">
      <formula>6</formula>
    </cfRule>
    <cfRule type="cellIs" dxfId="542" priority="754" operator="equal">
      <formula>3</formula>
    </cfRule>
    <cfRule type="cellIs" dxfId="541" priority="755" operator="equal">
      <formula>2</formula>
    </cfRule>
    <cfRule type="cellIs" dxfId="540" priority="756" operator="equal">
      <formula>44</formula>
    </cfRule>
    <cfRule type="cellIs" dxfId="539" priority="757" operator="equal">
      <formula>42</formula>
    </cfRule>
    <cfRule type="cellIs" dxfId="538" priority="758" operator="equal">
      <formula>41</formula>
    </cfRule>
    <cfRule type="cellIs" dxfId="537" priority="759" operator="equal">
      <formula>36</formula>
    </cfRule>
    <cfRule type="cellIs" dxfId="536" priority="760" operator="equal">
      <formula>35</formula>
    </cfRule>
    <cfRule type="cellIs" dxfId="535" priority="761" operator="equal">
      <formula>32</formula>
    </cfRule>
    <cfRule type="cellIs" dxfId="534" priority="762" operator="equal">
      <formula>30</formula>
    </cfRule>
    <cfRule type="cellIs" dxfId="533" priority="763" operator="equal">
      <formula>29</formula>
    </cfRule>
    <cfRule type="cellIs" dxfId="532" priority="764" operator="equal">
      <formula>28</formula>
    </cfRule>
    <cfRule type="cellIs" dxfId="531" priority="765" operator="equal">
      <formula>28</formula>
    </cfRule>
    <cfRule type="cellIs" dxfId="530" priority="766" operator="equal">
      <formula>25</formula>
    </cfRule>
    <cfRule type="cellIs" dxfId="529" priority="767" operator="equal">
      <formula>23</formula>
    </cfRule>
    <cfRule type="cellIs" dxfId="528" priority="768" operator="equal">
      <formula>22</formula>
    </cfRule>
    <cfRule type="cellIs" dxfId="527" priority="769" operator="equal">
      <formula>15</formula>
    </cfRule>
    <cfRule type="cellIs" dxfId="526" priority="770" operator="equal">
      <formula>9</formula>
    </cfRule>
    <cfRule type="cellIs" dxfId="525" priority="771" operator="equal">
      <formula>8</formula>
    </cfRule>
    <cfRule type="cellIs" dxfId="524" priority="772" operator="equal">
      <formula>8</formula>
    </cfRule>
    <cfRule type="cellIs" dxfId="523" priority="773" operator="equal">
      <formula>43</formula>
    </cfRule>
    <cfRule type="cellIs" dxfId="522" priority="774" operator="equal">
      <formula>39</formula>
    </cfRule>
    <cfRule type="cellIs" dxfId="521" priority="775" operator="equal">
      <formula>38</formula>
    </cfRule>
    <cfRule type="cellIs" dxfId="520" priority="776" operator="equal">
      <formula>34</formula>
    </cfRule>
    <cfRule type="cellIs" dxfId="519" priority="777" operator="equal">
      <formula>33</formula>
    </cfRule>
    <cfRule type="cellIs" dxfId="518" priority="778" operator="equal">
      <formula>27</formula>
    </cfRule>
    <cfRule type="cellIs" dxfId="517" priority="779" operator="equal">
      <formula>20</formula>
    </cfRule>
    <cfRule type="cellIs" dxfId="516" priority="780" operator="equal">
      <formula>18</formula>
    </cfRule>
    <cfRule type="cellIs" dxfId="515" priority="781" operator="equal">
      <formula>17</formula>
    </cfRule>
    <cfRule type="cellIs" dxfId="514" priority="782" operator="equal">
      <formula>14</formula>
    </cfRule>
    <cfRule type="cellIs" dxfId="513" priority="783" operator="equal">
      <formula>13</formula>
    </cfRule>
    <cfRule type="cellIs" dxfId="512" priority="784" operator="equal">
      <formula>12</formula>
    </cfRule>
    <cfRule type="cellIs" dxfId="511" priority="785" operator="equal">
      <formula>10</formula>
    </cfRule>
    <cfRule type="cellIs" dxfId="510" priority="786" operator="equal">
      <formula>4</formula>
    </cfRule>
    <cfRule type="cellIs" dxfId="509" priority="787" operator="equal">
      <formula>1</formula>
    </cfRule>
    <cfRule type="cellIs" dxfId="508" priority="788" operator="equal">
      <formula>44</formula>
    </cfRule>
    <cfRule type="cellIs" dxfId="507" priority="789" operator="equal">
      <formula>45</formula>
    </cfRule>
    <cfRule type="cellIs" dxfId="506" priority="790" operator="equal">
      <formula>39</formula>
    </cfRule>
    <cfRule type="cellIs" dxfId="505" priority="791" operator="equal">
      <formula>35</formula>
    </cfRule>
    <cfRule type="cellIs" dxfId="504" priority="792" operator="equal">
      <formula>31</formula>
    </cfRule>
    <cfRule type="cellIs" dxfId="503" priority="793" operator="equal">
      <formula>28</formula>
    </cfRule>
    <cfRule type="cellIs" dxfId="502" priority="794" operator="equal">
      <formula>24</formula>
    </cfRule>
    <cfRule type="cellIs" dxfId="501" priority="795" operator="equal">
      <formula>21</formula>
    </cfRule>
    <cfRule type="cellIs" dxfId="500" priority="796" operator="equal">
      <formula>15</formula>
    </cfRule>
    <cfRule type="cellIs" dxfId="499" priority="797" operator="equal">
      <formula>9</formula>
    </cfRule>
    <cfRule type="cellIs" dxfId="498" priority="798" operator="equal">
      <formula>1</formula>
    </cfRule>
    <cfRule type="cellIs" dxfId="497" priority="799" operator="equal">
      <formula>2</formula>
    </cfRule>
    <cfRule type="cellIs" dxfId="496" priority="800" operator="equal">
      <formula>1</formula>
    </cfRule>
    <cfRule type="cellIs" dxfId="495" priority="801" operator="equal">
      <formula>43</formula>
    </cfRule>
    <cfRule type="cellIs" dxfId="494" priority="802" operator="equal">
      <formula>40</formula>
    </cfRule>
    <cfRule type="cellIs" dxfId="493" priority="803" operator="equal">
      <formula>36</formula>
    </cfRule>
    <cfRule type="cellIs" dxfId="492" priority="804" operator="equal">
      <formula>30</formula>
    </cfRule>
    <cfRule type="cellIs" dxfId="491" priority="805" operator="equal">
      <formula>26</formula>
    </cfRule>
    <cfRule type="cellIs" dxfId="490" priority="806" operator="equal">
      <formula>22</formula>
    </cfRule>
    <cfRule type="cellIs" dxfId="489" priority="807" operator="equal">
      <formula>16</formula>
    </cfRule>
    <cfRule type="cellIs" dxfId="488" priority="808" operator="equal">
      <formula>14</formula>
    </cfRule>
    <cfRule type="cellIs" dxfId="487" priority="809" operator="equal">
      <formula>11</formula>
    </cfRule>
    <cfRule type="cellIs" dxfId="486" priority="810" operator="equal">
      <formula>6</formula>
    </cfRule>
    <cfRule type="cellIs" dxfId="485" priority="811" operator="equal">
      <formula>5</formula>
    </cfRule>
    <cfRule type="cellIs" dxfId="484" priority="812" operator="equal">
      <formula>4</formula>
    </cfRule>
    <cfRule type="cellIs" dxfId="483" priority="813" operator="equal">
      <formula>3</formula>
    </cfRule>
    <cfRule type="cellIs" dxfId="482" priority="814" operator="equal">
      <formula>44</formula>
    </cfRule>
    <cfRule type="cellIs" dxfId="481" priority="815" operator="equal">
      <formula>43</formula>
    </cfRule>
    <cfRule type="cellIs" dxfId="480" priority="816" operator="equal">
      <formula>41</formula>
    </cfRule>
    <cfRule type="cellIs" dxfId="479" priority="817" operator="equal">
      <formula>40</formula>
    </cfRule>
    <cfRule type="cellIs" dxfId="478" priority="818" operator="equal">
      <formula>37</formula>
    </cfRule>
    <cfRule type="cellIs" dxfId="477" priority="819" operator="equal">
      <formula>36</formula>
    </cfRule>
    <cfRule type="cellIs" dxfId="476" priority="820" operator="equal">
      <formula>30</formula>
    </cfRule>
    <cfRule type="cellIs" dxfId="475" priority="821" operator="equal">
      <formula>29</formula>
    </cfRule>
    <cfRule type="cellIs" dxfId="474" priority="822" operator="equal">
      <formula>26</formula>
    </cfRule>
    <cfRule type="cellIs" dxfId="473" priority="823" operator="equal">
      <formula>23</formula>
    </cfRule>
    <cfRule type="cellIs" dxfId="472" priority="824" operator="equal">
      <formula>22</formula>
    </cfRule>
    <cfRule type="cellIs" dxfId="471" priority="825" operator="equal">
      <formula>20</formula>
    </cfRule>
    <cfRule type="cellIs" dxfId="470" priority="826" operator="equal">
      <formula>18</formula>
    </cfRule>
    <cfRule type="cellIs" dxfId="469" priority="827" operator="equal">
      <formula>16</formula>
    </cfRule>
    <cfRule type="cellIs" dxfId="468" priority="828" operator="equal">
      <formula>14</formula>
    </cfRule>
    <cfRule type="cellIs" dxfId="467" priority="829" operator="equal">
      <formula>12</formula>
    </cfRule>
    <cfRule type="cellIs" dxfId="466" priority="830" operator="equal">
      <formula>11</formula>
    </cfRule>
    <cfRule type="cellIs" dxfId="465" priority="831" operator="equal">
      <formula>8</formula>
    </cfRule>
    <cfRule type="cellIs" dxfId="464" priority="832" operator="equal">
      <formula>7</formula>
    </cfRule>
    <cfRule type="cellIs" dxfId="463" priority="833" operator="equal">
      <formula>6</formula>
    </cfRule>
    <cfRule type="cellIs" dxfId="462" priority="834" operator="equal">
      <formula>4</formula>
    </cfRule>
    <cfRule type="cellIs" dxfId="461" priority="835" operator="equal">
      <formula>3</formula>
    </cfRule>
    <cfRule type="cellIs" dxfId="460" priority="836" operator="equal">
      <formula>3</formula>
    </cfRule>
    <cfRule type="cellIs" dxfId="459" priority="837" operator="equal">
      <formula>45</formula>
    </cfRule>
    <cfRule type="cellIs" dxfId="458" priority="838" operator="equal">
      <formula>42</formula>
    </cfRule>
    <cfRule type="cellIs" dxfId="457" priority="839" operator="equal">
      <formula>39</formula>
    </cfRule>
    <cfRule type="cellIs" dxfId="456" priority="840" operator="equal">
      <formula>31</formula>
    </cfRule>
    <cfRule type="cellIs" dxfId="455" priority="841" operator="equal">
      <formula>28</formula>
    </cfRule>
    <cfRule type="cellIs" dxfId="454" priority="842" operator="equal">
      <formula>27</formula>
    </cfRule>
    <cfRule type="cellIs" dxfId="453" priority="843" operator="equal">
      <formula>25</formula>
    </cfRule>
    <cfRule type="cellIs" dxfId="452" priority="844" operator="equal">
      <formula>24</formula>
    </cfRule>
    <cfRule type="cellIs" dxfId="451" priority="845" operator="equal">
      <formula>21</formula>
    </cfRule>
    <cfRule type="cellIs" dxfId="450" priority="846" operator="equal">
      <formula>17</formula>
    </cfRule>
    <cfRule type="cellIs" dxfId="449" priority="847" operator="equal">
      <formula>15</formula>
    </cfRule>
    <cfRule type="cellIs" dxfId="448" priority="848" operator="equal">
      <formula>13</formula>
    </cfRule>
    <cfRule type="cellIs" dxfId="447" priority="849" operator="equal">
      <formula>10</formula>
    </cfRule>
    <cfRule type="cellIs" dxfId="446" priority="850" operator="equal">
      <formula>9</formula>
    </cfRule>
    <cfRule type="cellIs" dxfId="445" priority="851" operator="equal">
      <formula>1</formula>
    </cfRule>
  </conditionalFormatting>
  <conditionalFormatting sqref="I3:I1048576">
    <cfRule type="cellIs" dxfId="444" priority="441" operator="between">
      <formula>1</formula>
      <formula>2</formula>
    </cfRule>
    <cfRule type="cellIs" dxfId="443" priority="442" operator="equal">
      <formula>3</formula>
    </cfRule>
    <cfRule type="cellIs" dxfId="442" priority="443" operator="equal">
      <formula>0</formula>
    </cfRule>
  </conditionalFormatting>
  <conditionalFormatting sqref="J3">
    <cfRule type="cellIs" dxfId="441" priority="429" operator="equal">
      <formula>31</formula>
    </cfRule>
    <cfRule type="cellIs" dxfId="440" priority="430" operator="equal">
      <formula>16</formula>
    </cfRule>
    <cfRule type="cellIs" dxfId="439" priority="431" operator="equal">
      <formula>17</formula>
    </cfRule>
    <cfRule type="cellIs" dxfId="438" priority="432" operator="equal">
      <formula>36</formula>
    </cfRule>
    <cfRule type="cellIs" dxfId="437" priority="433" operator="between">
      <formula>43</formula>
      <formula>45</formula>
    </cfRule>
    <cfRule type="cellIs" dxfId="436" priority="434" operator="between">
      <formula>33</formula>
      <formula>37</formula>
    </cfRule>
    <cfRule type="cellIs" dxfId="435" priority="435" operator="between">
      <formula>23</formula>
      <formula>27</formula>
    </cfRule>
    <cfRule type="cellIs" dxfId="434" priority="436" operator="between">
      <formula>13</formula>
      <formula>17</formula>
    </cfRule>
    <cfRule type="cellIs" dxfId="433" priority="437" operator="between">
      <formula>3</formula>
      <formula>7</formula>
    </cfRule>
  </conditionalFormatting>
  <conditionalFormatting sqref="J4:J395 AV378:BK426 K393:AU394 AN395:AU441 J441:J1048576">
    <cfRule type="cellIs" dxfId="432" priority="444" operator="equal">
      <formula>0</formula>
    </cfRule>
    <cfRule type="cellIs" dxfId="431" priority="445" operator="greaterThan">
      <formula>2</formula>
    </cfRule>
    <cfRule type="cellIs" dxfId="430" priority="446" operator="between">
      <formula>1</formula>
      <formula>2</formula>
    </cfRule>
  </conditionalFormatting>
  <conditionalFormatting sqref="J396:J440">
    <cfRule type="expression" dxfId="429" priority="8">
      <formula>AND(J396&lt;&gt;"", COUNTIF($L$1:$V$1, J396)&gt;0)</formula>
    </cfRule>
  </conditionalFormatting>
  <conditionalFormatting sqref="K1">
    <cfRule type="cellIs" dxfId="428" priority="5" operator="greaterThan">
      <formula>0</formula>
    </cfRule>
  </conditionalFormatting>
  <conditionalFormatting sqref="K2:K3">
    <cfRule type="cellIs" dxfId="427" priority="440" operator="equal">
      <formula>0</formula>
    </cfRule>
  </conditionalFormatting>
  <conditionalFormatting sqref="K396:K412">
    <cfRule type="cellIs" dxfId="426" priority="2" operator="equal">
      <formula>60</formula>
    </cfRule>
  </conditionalFormatting>
  <conditionalFormatting sqref="K396:K440">
    <cfRule type="cellIs" dxfId="425" priority="1" operator="between">
      <formula>60</formula>
      <formula>61</formula>
    </cfRule>
    <cfRule type="cellIs" dxfId="424" priority="4" operator="equal">
      <formula>60</formula>
    </cfRule>
    <cfRule type="cellIs" dxfId="423" priority="6" operator="lessThan">
      <formula>54</formula>
    </cfRule>
    <cfRule type="cellIs" dxfId="422" priority="7" operator="equal">
      <formula>59</formula>
    </cfRule>
    <cfRule type="cellIs" dxfId="421" priority="17" operator="equal">
      <formula>58</formula>
    </cfRule>
    <cfRule type="cellIs" dxfId="420" priority="424" operator="greaterThan">
      <formula>57</formula>
    </cfRule>
    <cfRule type="cellIs" dxfId="419" priority="425" operator="lessThan">
      <formula>52</formula>
    </cfRule>
  </conditionalFormatting>
  <conditionalFormatting sqref="K426:K440">
    <cfRule type="cellIs" dxfId="418" priority="3" operator="lessThan">
      <formula>56</formula>
    </cfRule>
  </conditionalFormatting>
  <conditionalFormatting sqref="L396:L440">
    <cfRule type="cellIs" dxfId="417" priority="19" operator="greaterThan">
      <formula>0</formula>
    </cfRule>
    <cfRule type="cellIs" dxfId="416" priority="21" operator="greaterThan">
      <formula>0</formula>
    </cfRule>
    <cfRule type="cellIs" dxfId="415" priority="22" operator="equal">
      <formula>45</formula>
    </cfRule>
    <cfRule type="cellIs" dxfId="414" priority="23" operator="equal">
      <formula>42</formula>
    </cfRule>
    <cfRule type="cellIs" dxfId="413" priority="24" operator="between">
      <formula>35</formula>
      <formula>36</formula>
    </cfRule>
    <cfRule type="cellIs" dxfId="412" priority="25" operator="between">
      <formula>30</formula>
      <formula>31</formula>
    </cfRule>
    <cfRule type="cellIs" dxfId="411" priority="26" operator="equal">
      <formula>28</formula>
    </cfRule>
    <cfRule type="cellIs" dxfId="410" priority="27" operator="between">
      <formula>21</formula>
      <formula>26</formula>
    </cfRule>
    <cfRule type="cellIs" dxfId="409" priority="28" operator="equal">
      <formula>18</formula>
    </cfRule>
    <cfRule type="cellIs" dxfId="408" priority="29" operator="between">
      <formula>10</formula>
      <formula>15</formula>
    </cfRule>
    <cfRule type="cellIs" dxfId="407" priority="30" operator="between">
      <formula>6</formula>
      <formula>8</formula>
    </cfRule>
    <cfRule type="cellIs" dxfId="406" priority="31" operator="between">
      <formula>2</formula>
      <formula>4</formula>
    </cfRule>
    <cfRule type="cellIs" dxfId="405" priority="32" operator="equal">
      <formula>22</formula>
    </cfRule>
    <cfRule type="cellIs" dxfId="404" priority="33" operator="equal">
      <formula>1</formula>
    </cfRule>
    <cfRule type="cellIs" dxfId="403" priority="34" operator="between">
      <formula>1</formula>
      <formula>45</formula>
    </cfRule>
    <cfRule type="cellIs" dxfId="402" priority="35" operator="equal">
      <formula>7</formula>
    </cfRule>
    <cfRule type="cellIs" dxfId="401" priority="36" operator="between">
      <formula>29</formula>
      <formula>31</formula>
    </cfRule>
    <cfRule type="cellIs" dxfId="400" priority="37" operator="between">
      <formula>18</formula>
      <formula>26</formula>
    </cfRule>
    <cfRule type="cellIs" dxfId="399" priority="38" operator="between">
      <formula>13</formula>
      <formula>14</formula>
    </cfRule>
    <cfRule type="cellIs" dxfId="398" priority="39" operator="equal">
      <formula>36</formula>
    </cfRule>
    <cfRule type="cellIs" dxfId="397" priority="40" operator="between">
      <formula>32</formula>
      <formula>45</formula>
    </cfRule>
    <cfRule type="cellIs" dxfId="396" priority="41" operator="between">
      <formula>27</formula>
      <formula>28</formula>
    </cfRule>
    <cfRule type="cellIs" dxfId="395" priority="42" operator="between">
      <formula>1</formula>
      <formula>45</formula>
    </cfRule>
    <cfRule type="cellIs" dxfId="394" priority="43" operator="equal">
      <formula>26</formula>
    </cfRule>
    <cfRule type="cellIs" dxfId="393" priority="44" operator="equal">
      <formula>14</formula>
    </cfRule>
    <cfRule type="cellIs" dxfId="392" priority="45" operator="equal">
      <formula>1</formula>
    </cfRule>
    <cfRule type="cellIs" dxfId="391" priority="46" operator="equal">
      <formula>41</formula>
    </cfRule>
    <cfRule type="cellIs" dxfId="390" priority="47" operator="between">
      <formula>1</formula>
      <formula>14</formula>
    </cfRule>
    <cfRule type="cellIs" dxfId="389" priority="48" operator="between">
      <formula>1</formula>
      <formula>14</formula>
    </cfRule>
    <cfRule type="cellIs" dxfId="388" priority="49" operator="equal">
      <formula>45</formula>
    </cfRule>
    <cfRule type="cellIs" dxfId="387" priority="50" operator="equal">
      <formula>44</formula>
    </cfRule>
    <cfRule type="cellIs" dxfId="386" priority="51" operator="equal">
      <formula>42</formula>
    </cfRule>
    <cfRule type="cellIs" dxfId="385" priority="52" operator="equal">
      <formula>36</formula>
    </cfRule>
    <cfRule type="cellIs" dxfId="384" priority="53" operator="equal">
      <formula>30</formula>
    </cfRule>
    <cfRule type="cellIs" dxfId="383" priority="54" operator="equal">
      <formula>25</formula>
    </cfRule>
    <cfRule type="cellIs" dxfId="382" priority="55" operator="equal">
      <formula>22</formula>
    </cfRule>
    <cfRule type="cellIs" dxfId="381" priority="56" operator="equal">
      <formula>16</formula>
    </cfRule>
    <cfRule type="cellIs" dxfId="380" priority="57" operator="equal">
      <formula>6</formula>
    </cfRule>
    <cfRule type="cellIs" dxfId="379" priority="58" operator="equal">
      <formula>5</formula>
    </cfRule>
    <cfRule type="cellIs" dxfId="378" priority="59" operator="equal">
      <formula>39</formula>
    </cfRule>
    <cfRule type="cellIs" dxfId="377" priority="60" operator="equal">
      <formula>37</formula>
    </cfRule>
    <cfRule type="cellIs" dxfId="376" priority="61" operator="equal">
      <formula>33</formula>
    </cfRule>
    <cfRule type="cellIs" dxfId="375" priority="62" operator="equal">
      <formula>24</formula>
    </cfRule>
    <cfRule type="cellIs" dxfId="374" priority="63" operator="equal">
      <formula>21</formula>
    </cfRule>
    <cfRule type="cellIs" dxfId="373" priority="64" operator="equal">
      <formula>20</formula>
    </cfRule>
    <cfRule type="cellIs" dxfId="372" priority="65" operator="equal">
      <formula>18</formula>
    </cfRule>
    <cfRule type="cellIs" dxfId="371" priority="66" operator="equal">
      <formula>12</formula>
    </cfRule>
    <cfRule type="cellIs" dxfId="370" priority="67" operator="equal">
      <formula>2</formula>
    </cfRule>
    <cfRule type="cellIs" dxfId="369" priority="68" operator="equal">
      <formula>1</formula>
    </cfRule>
    <cfRule type="cellIs" dxfId="368" priority="69" operator="equal">
      <formula>44</formula>
    </cfRule>
    <cfRule type="cellIs" dxfId="367" priority="70" operator="equal">
      <formula>33</formula>
    </cfRule>
    <cfRule type="cellIs" dxfId="366" priority="71" operator="equal">
      <formula>40</formula>
    </cfRule>
    <cfRule type="cellIs" dxfId="365" priority="72" operator="equal">
      <formula>38</formula>
    </cfRule>
    <cfRule type="cellIs" dxfId="364" priority="73" operator="equal">
      <formula>36</formula>
    </cfRule>
    <cfRule type="cellIs" dxfId="363" priority="74" operator="equal">
      <formula>34</formula>
    </cfRule>
    <cfRule type="cellIs" dxfId="362" priority="75" operator="equal">
      <formula>33</formula>
    </cfRule>
    <cfRule type="cellIs" dxfId="361" priority="76" operator="equal">
      <formula>26</formula>
    </cfRule>
    <cfRule type="cellIs" dxfId="360" priority="77" operator="equal">
      <formula>20</formula>
    </cfRule>
    <cfRule type="cellIs" dxfId="359" priority="78" operator="equal">
      <formula>8</formula>
    </cfRule>
    <cfRule type="cellIs" dxfId="358" priority="79" operator="equal">
      <formula>7</formula>
    </cfRule>
    <cfRule type="cellIs" dxfId="357" priority="80" operator="equal">
      <formula>6</formula>
    </cfRule>
    <cfRule type="cellIs" dxfId="356" priority="81" operator="equal">
      <formula>2</formula>
    </cfRule>
    <cfRule type="cellIs" dxfId="355" priority="82" operator="equal">
      <formula>36</formula>
    </cfRule>
    <cfRule type="cellIs" dxfId="354" priority="83" operator="equal">
      <formula>33</formula>
    </cfRule>
    <cfRule type="cellIs" dxfId="353" priority="84" operator="equal">
      <formula>7</formula>
    </cfRule>
    <cfRule type="cellIs" dxfId="352" priority="85" operator="equal">
      <formula>6</formula>
    </cfRule>
    <cfRule type="cellIs" dxfId="351" priority="86" operator="equal">
      <formula>2</formula>
    </cfRule>
    <cfRule type="cellIs" dxfId="350" priority="87" operator="equal">
      <formula>32</formula>
    </cfRule>
    <cfRule type="cellIs" dxfId="349" priority="88" operator="equal">
      <formula>31</formula>
    </cfRule>
    <cfRule type="cellIs" dxfId="348" priority="89" operator="equal">
      <formula>28</formula>
    </cfRule>
    <cfRule type="cellIs" dxfId="347" priority="90" operator="equal">
      <formula>27</formula>
    </cfRule>
    <cfRule type="cellIs" dxfId="346" priority="91" operator="equal">
      <formula>19</formula>
    </cfRule>
    <cfRule type="cellIs" dxfId="345" priority="92" operator="equal">
      <formula>3</formula>
    </cfRule>
    <cfRule type="cellIs" dxfId="344" priority="93" operator="equal">
      <formula>5</formula>
    </cfRule>
    <cfRule type="cellIs" dxfId="343" priority="94" operator="equal">
      <formula>3</formula>
    </cfRule>
    <cfRule type="cellIs" dxfId="342" priority="95" operator="equal">
      <formula>44</formula>
    </cfRule>
    <cfRule type="cellIs" dxfId="341" priority="96" operator="equal">
      <formula>41</formula>
    </cfRule>
    <cfRule type="cellIs" dxfId="340" priority="97" operator="equal">
      <formula>39</formula>
    </cfRule>
    <cfRule type="cellIs" dxfId="339" priority="98" operator="equal">
      <formula>37</formula>
    </cfRule>
    <cfRule type="cellIs" dxfId="338" priority="99" operator="equal">
      <formula>30</formula>
    </cfRule>
    <cfRule type="cellIs" dxfId="337" priority="100" operator="equal">
      <formula>29</formula>
    </cfRule>
    <cfRule type="cellIs" dxfId="336" priority="101" operator="equal">
      <formula>23</formula>
    </cfRule>
    <cfRule type="cellIs" dxfId="335" priority="102" operator="equal">
      <formula>22</formula>
    </cfRule>
    <cfRule type="cellIs" dxfId="334" priority="103" operator="equal">
      <formula>18</formula>
    </cfRule>
    <cfRule type="cellIs" dxfId="333" priority="104" operator="equal">
      <formula>15</formula>
    </cfRule>
    <cfRule type="cellIs" dxfId="332" priority="105" operator="equal">
      <formula>14</formula>
    </cfRule>
    <cfRule type="cellIs" dxfId="331" priority="106" operator="equal">
      <formula>12</formula>
    </cfRule>
    <cfRule type="cellIs" dxfId="330" priority="107" operator="equal">
      <formula>11</formula>
    </cfRule>
    <cfRule type="cellIs" dxfId="329" priority="108" operator="equal">
      <formula>11</formula>
    </cfRule>
    <cfRule type="cellIs" dxfId="328" priority="109" operator="equal">
      <formula>45</formula>
    </cfRule>
    <cfRule type="cellIs" dxfId="327" priority="110" operator="equal">
      <formula>43</formula>
    </cfRule>
    <cfRule type="cellIs" dxfId="326" priority="111" operator="equal">
      <formula>42</formula>
    </cfRule>
    <cfRule type="cellIs" dxfId="325" priority="112" operator="equal">
      <formula>24</formula>
    </cfRule>
    <cfRule type="cellIs" dxfId="324" priority="113" operator="equal">
      <formula>43</formula>
    </cfRule>
    <cfRule type="cellIs" dxfId="323" priority="114" operator="equal">
      <formula>42</formula>
    </cfRule>
    <cfRule type="cellIs" dxfId="322" priority="115" operator="equal">
      <formula>24</formula>
    </cfRule>
    <cfRule type="cellIs" dxfId="321" priority="116" operator="equal">
      <formula>21</formula>
    </cfRule>
    <cfRule type="cellIs" dxfId="320" priority="117" operator="equal">
      <formula>17</formula>
    </cfRule>
    <cfRule type="cellIs" dxfId="319" priority="118" operator="equal">
      <formula>16</formula>
    </cfRule>
    <cfRule type="cellIs" dxfId="318" priority="119" operator="equal">
      <formula>13</formula>
    </cfRule>
    <cfRule type="cellIs" dxfId="317" priority="120" operator="equal">
      <formula>10</formula>
    </cfRule>
    <cfRule type="cellIs" dxfId="316" priority="121" operator="equal">
      <formula>9</formula>
    </cfRule>
    <cfRule type="cellIs" dxfId="315" priority="122" operator="equal">
      <formula>4</formula>
    </cfRule>
    <cfRule type="cellIs" dxfId="314" priority="123" operator="equal">
      <formula>1</formula>
    </cfRule>
    <cfRule type="cellIs" dxfId="313" priority="124" operator="equal">
      <formula>1</formula>
    </cfRule>
    <cfRule type="cellIs" dxfId="312" priority="125" operator="equal">
      <formula>24</formula>
    </cfRule>
    <cfRule type="cellIs" dxfId="311" priority="126" operator="equal">
      <formula>45</formula>
    </cfRule>
    <cfRule type="cellIs" dxfId="310" priority="127" operator="equal">
      <formula>45</formula>
    </cfRule>
    <cfRule type="cellIs" dxfId="309" priority="128" operator="equal">
      <formula>45</formula>
    </cfRule>
    <cfRule type="cellIs" dxfId="308" priority="129" operator="equal">
      <formula>37</formula>
    </cfRule>
    <cfRule type="cellIs" dxfId="307" priority="130" operator="equal">
      <formula>31</formula>
    </cfRule>
    <cfRule type="cellIs" dxfId="306" priority="131" operator="equal">
      <formula>26</formula>
    </cfRule>
    <cfRule type="cellIs" dxfId="305" priority="132" operator="equal">
      <formula>24</formula>
    </cfRule>
    <cfRule type="cellIs" dxfId="304" priority="133" operator="equal">
      <formula>19</formula>
    </cfRule>
    <cfRule type="cellIs" dxfId="303" priority="134" operator="equal">
      <formula>16</formula>
    </cfRule>
    <cfRule type="cellIs" dxfId="302" priority="135" operator="equal">
      <formula>11</formula>
    </cfRule>
    <cfRule type="cellIs" dxfId="301" priority="136" operator="equal">
      <formula>7</formula>
    </cfRule>
    <cfRule type="cellIs" dxfId="300" priority="137" operator="equal">
      <formula>44</formula>
    </cfRule>
    <cfRule type="cellIs" dxfId="299" priority="138" operator="equal">
      <formula>42</formula>
    </cfRule>
    <cfRule type="cellIs" dxfId="298" priority="139" operator="equal">
      <formula>36</formula>
    </cfRule>
    <cfRule type="cellIs" dxfId="297" priority="140" operator="equal">
      <formula>30</formula>
    </cfRule>
    <cfRule type="cellIs" dxfId="296" priority="141" operator="equal">
      <formula>21</formula>
    </cfRule>
    <cfRule type="cellIs" dxfId="295" priority="142" operator="equal">
      <formula>15</formula>
    </cfRule>
    <cfRule type="cellIs" dxfId="294" priority="143" operator="equal">
      <formula>8</formula>
    </cfRule>
    <cfRule type="cellIs" dxfId="293" priority="144" operator="equal">
      <formula>6</formula>
    </cfRule>
    <cfRule type="cellIs" dxfId="292" priority="145" operator="equal">
      <formula>5</formula>
    </cfRule>
    <cfRule type="cellIs" dxfId="291" priority="146" operator="equal">
      <formula>41</formula>
    </cfRule>
    <cfRule type="cellIs" dxfId="290" priority="147" operator="equal">
      <formula>35</formula>
    </cfRule>
    <cfRule type="cellIs" dxfId="289" priority="148" operator="equal">
      <formula>32</formula>
    </cfRule>
    <cfRule type="cellIs" dxfId="288" priority="149" operator="equal">
      <formula>29</formula>
    </cfRule>
    <cfRule type="cellIs" dxfId="287" priority="150" operator="equal">
      <formula>28</formula>
    </cfRule>
    <cfRule type="cellIs" dxfId="286" priority="151" operator="equal">
      <formula>25</formula>
    </cfRule>
    <cfRule type="cellIs" dxfId="285" priority="152" operator="equal">
      <formula>23</formula>
    </cfRule>
    <cfRule type="cellIs" dxfId="284" priority="153" operator="equal">
      <formula>22</formula>
    </cfRule>
    <cfRule type="cellIs" dxfId="283" priority="154" operator="equal">
      <formula>9</formula>
    </cfRule>
    <cfRule type="cellIs" dxfId="282" priority="155" operator="equal">
      <formula>44</formula>
    </cfRule>
    <cfRule type="cellIs" dxfId="281" priority="156" operator="equal">
      <formula>42</formula>
    </cfRule>
    <cfRule type="cellIs" dxfId="280" priority="157" operator="equal">
      <formula>36</formula>
    </cfRule>
    <cfRule type="cellIs" dxfId="279" priority="158" operator="equal">
      <formula>30</formula>
    </cfRule>
    <cfRule type="cellIs" dxfId="278" priority="159" operator="equal">
      <formula>21</formula>
    </cfRule>
    <cfRule type="cellIs" dxfId="277" priority="160" operator="equal">
      <formula>15</formula>
    </cfRule>
    <cfRule type="cellIs" dxfId="276" priority="161" operator="equal">
      <formula>8</formula>
    </cfRule>
    <cfRule type="cellIs" dxfId="275" priority="162" operator="equal">
      <formula>6</formula>
    </cfRule>
    <cfRule type="cellIs" dxfId="274" priority="163" operator="equal">
      <formula>5</formula>
    </cfRule>
    <cfRule type="cellIs" dxfId="273" priority="164" operator="equal">
      <formula>45</formula>
    </cfRule>
    <cfRule type="cellIs" dxfId="272" priority="165" operator="equal">
      <formula>37</formula>
    </cfRule>
    <cfRule type="cellIs" dxfId="271" priority="166" operator="equal">
      <formula>31</formula>
    </cfRule>
    <cfRule type="cellIs" dxfId="270" priority="167" operator="equal">
      <formula>26</formula>
    </cfRule>
    <cfRule type="cellIs" dxfId="269" priority="168" operator="equal">
      <formula>24</formula>
    </cfRule>
    <cfRule type="cellIs" dxfId="268" priority="169" operator="equal">
      <formula>19</formula>
    </cfRule>
    <cfRule type="cellIs" dxfId="267" priority="170" operator="equal">
      <formula>16</formula>
    </cfRule>
    <cfRule type="cellIs" dxfId="266" priority="171" operator="equal">
      <formula>11</formula>
    </cfRule>
    <cfRule type="cellIs" dxfId="265" priority="172" operator="equal">
      <formula>7</formula>
    </cfRule>
    <cfRule type="cellIs" dxfId="264" priority="173" operator="equal">
      <formula>40</formula>
    </cfRule>
    <cfRule type="cellIs" dxfId="263" priority="174" operator="equal">
      <formula>39</formula>
    </cfRule>
    <cfRule type="cellIs" dxfId="262" priority="175" operator="equal">
      <formula>38</formula>
    </cfRule>
    <cfRule type="cellIs" dxfId="261" priority="176" operator="equal">
      <formula>20</formula>
    </cfRule>
    <cfRule type="cellIs" dxfId="260" priority="177" operator="equal">
      <formula>33</formula>
    </cfRule>
    <cfRule type="cellIs" dxfId="259" priority="178" operator="equal">
      <formula>27</formula>
    </cfRule>
    <cfRule type="cellIs" dxfId="258" priority="179" operator="equal">
      <formula>12</formula>
    </cfRule>
    <cfRule type="cellIs" dxfId="257" priority="180" operator="equal">
      <formula>18</formula>
    </cfRule>
    <cfRule type="cellIs" dxfId="256" priority="181" operator="equal">
      <formula>18</formula>
    </cfRule>
    <cfRule type="cellIs" dxfId="255" priority="182" operator="equal">
      <formula>14</formula>
    </cfRule>
    <cfRule type="cellIs" dxfId="254" priority="183" operator="equal">
      <formula>10</formula>
    </cfRule>
    <cfRule type="cellIs" dxfId="253" priority="184" operator="equal">
      <formula>3</formula>
    </cfRule>
    <cfRule type="cellIs" dxfId="252" priority="185" operator="equal">
      <formula>2</formula>
    </cfRule>
    <cfRule type="cellIs" dxfId="251" priority="186" operator="equal">
      <formula>43</formula>
    </cfRule>
    <cfRule type="cellIs" dxfId="250" priority="187" operator="equal">
      <formula>34</formula>
    </cfRule>
    <cfRule type="cellIs" dxfId="249" priority="188" operator="equal">
      <formula>34</formula>
    </cfRule>
    <cfRule type="cellIs" dxfId="248" priority="189" operator="equal">
      <formula>33</formula>
    </cfRule>
    <cfRule type="cellIs" dxfId="247" priority="190" operator="equal">
      <formula>4</formula>
    </cfRule>
    <cfRule type="cellIs" dxfId="246" priority="191" operator="equal">
      <formula>27</formula>
    </cfRule>
    <cfRule type="cellIs" dxfId="245" priority="192" operator="equal">
      <formula>12</formula>
    </cfRule>
    <cfRule type="cellIs" dxfId="244" priority="193" operator="equal">
      <formula>12</formula>
    </cfRule>
    <cfRule type="cellIs" dxfId="243" priority="194" operator="equal">
      <formula>1</formula>
    </cfRule>
    <cfRule type="cellIs" dxfId="242" priority="195" operator="equal">
      <formula>18</formula>
    </cfRule>
    <cfRule type="cellIs" dxfId="241" priority="196" operator="equal">
      <formula>10</formula>
    </cfRule>
    <cfRule type="cellIs" dxfId="240" priority="197" operator="equal">
      <formula>15</formula>
    </cfRule>
    <cfRule type="cellIs" dxfId="239" priority="198" operator="equal">
      <formula>15</formula>
    </cfRule>
    <cfRule type="cellIs" dxfId="238" priority="199" operator="equal">
      <formula>15</formula>
    </cfRule>
    <cfRule type="cellIs" dxfId="237" priority="200" operator="equal">
      <formula>15</formula>
    </cfRule>
    <cfRule type="cellIs" dxfId="236" priority="201" operator="equal">
      <formula>15</formula>
    </cfRule>
    <cfRule type="cellIs" dxfId="235" priority="202" operator="equal">
      <formula>15</formula>
    </cfRule>
    <cfRule type="cellIs" dxfId="234" priority="203" operator="equal">
      <formula>22</formula>
    </cfRule>
    <cfRule type="cellIs" dxfId="233" priority="204" operator="equal">
      <formula>40</formula>
    </cfRule>
    <cfRule type="cellIs" dxfId="232" priority="205" operator="equal">
      <formula>38</formula>
    </cfRule>
    <cfRule type="cellIs" dxfId="231" priority="206" operator="equal">
      <formula>43</formula>
    </cfRule>
    <cfRule type="cellIs" dxfId="230" priority="207" operator="equal">
      <formula>40</formula>
    </cfRule>
    <cfRule type="cellIs" dxfId="229" priority="208" operator="equal">
      <formula>39</formula>
    </cfRule>
    <cfRule type="cellIs" dxfId="228" priority="209" operator="equal">
      <formula>38</formula>
    </cfRule>
    <cfRule type="cellIs" dxfId="227" priority="210" operator="equal">
      <formula>34</formula>
    </cfRule>
    <cfRule type="cellIs" dxfId="226" priority="211" operator="equal">
      <formula>33</formula>
    </cfRule>
    <cfRule type="cellIs" dxfId="225" priority="212" operator="equal">
      <formula>27</formula>
    </cfRule>
    <cfRule type="cellIs" dxfId="224" priority="213" operator="equal">
      <formula>20</formula>
    </cfRule>
    <cfRule type="cellIs" dxfId="223" priority="214" operator="equal">
      <formula>18</formula>
    </cfRule>
    <cfRule type="cellIs" dxfId="222" priority="215" operator="equal">
      <formula>17</formula>
    </cfRule>
    <cfRule type="cellIs" dxfId="221" priority="216" operator="equal">
      <formula>13</formula>
    </cfRule>
    <cfRule type="cellIs" dxfId="220" priority="217" operator="equal">
      <formula>12</formula>
    </cfRule>
    <cfRule type="cellIs" dxfId="219" priority="218" operator="equal">
      <formula>12</formula>
    </cfRule>
    <cfRule type="cellIs" dxfId="218" priority="219" operator="equal">
      <formula>10</formula>
    </cfRule>
    <cfRule type="cellIs" dxfId="217" priority="220" operator="equal">
      <formula>4</formula>
    </cfRule>
    <cfRule type="cellIs" dxfId="216" priority="221" operator="equal">
      <formula>1</formula>
    </cfRule>
    <cfRule type="cellIs" dxfId="215" priority="222" operator="equal">
      <formula>45</formula>
    </cfRule>
    <cfRule type="cellIs" dxfId="214" priority="223" operator="equal">
      <formula>37</formula>
    </cfRule>
    <cfRule type="cellIs" dxfId="213" priority="224" operator="equal">
      <formula>31</formula>
    </cfRule>
    <cfRule type="cellIs" dxfId="212" priority="225" operator="equal">
      <formula>26</formula>
    </cfRule>
    <cfRule type="cellIs" dxfId="211" priority="226" operator="equal">
      <formula>24</formula>
    </cfRule>
    <cfRule type="cellIs" dxfId="210" priority="227" operator="equal">
      <formula>21</formula>
    </cfRule>
    <cfRule type="cellIs" dxfId="209" priority="228" operator="equal">
      <formula>19</formula>
    </cfRule>
    <cfRule type="cellIs" dxfId="208" priority="229" operator="equal">
      <formula>16</formula>
    </cfRule>
    <cfRule type="cellIs" dxfId="207" priority="230" operator="equal">
      <formula>14</formula>
    </cfRule>
    <cfRule type="cellIs" dxfId="206" priority="231" operator="equal">
      <formula>11</formula>
    </cfRule>
    <cfRule type="cellIs" dxfId="205" priority="232" operator="equal">
      <formula>7</formula>
    </cfRule>
    <cfRule type="cellIs" dxfId="204" priority="233" operator="equal">
      <formula>5</formula>
    </cfRule>
    <cfRule type="cellIs" dxfId="203" priority="234" operator="equal">
      <formula>3</formula>
    </cfRule>
    <cfRule type="cellIs" dxfId="202" priority="235" operator="equal">
      <formula>2</formula>
    </cfRule>
    <cfRule type="cellIs" dxfId="201" priority="236" operator="equal">
      <formula>6</formula>
    </cfRule>
    <cfRule type="cellIs" dxfId="200" priority="237" operator="equal">
      <formula>6</formula>
    </cfRule>
    <cfRule type="cellIs" dxfId="199" priority="238" operator="equal">
      <formula>2</formula>
    </cfRule>
    <cfRule type="cellIs" dxfId="198" priority="239" operator="equal">
      <formula>2</formula>
    </cfRule>
    <cfRule type="cellIs" dxfId="197" priority="240" operator="equal">
      <formula>40</formula>
    </cfRule>
    <cfRule type="cellIs" dxfId="196" priority="241" operator="equal">
      <formula>45</formula>
    </cfRule>
    <cfRule type="cellIs" dxfId="195" priority="242" operator="equal">
      <formula>42</formula>
    </cfRule>
    <cfRule type="cellIs" dxfId="194" priority="243" operator="equal">
      <formula>39</formula>
    </cfRule>
    <cfRule type="cellIs" dxfId="193" priority="244" operator="equal">
      <formula>36</formula>
    </cfRule>
    <cfRule type="cellIs" dxfId="192" priority="245" operator="equal">
      <formula>33</formula>
    </cfRule>
    <cfRule type="cellIs" dxfId="191" priority="246" operator="equal">
      <formula>30</formula>
    </cfRule>
    <cfRule type="cellIs" dxfId="190" priority="247" operator="equal">
      <formula>27</formula>
    </cfRule>
    <cfRule type="cellIs" dxfId="189" priority="248" operator="equal">
      <formula>24</formula>
    </cfRule>
    <cfRule type="cellIs" dxfId="188" priority="249" operator="equal">
      <formula>21</formula>
    </cfRule>
    <cfRule type="cellIs" dxfId="187" priority="250" operator="equal">
      <formula>18</formula>
    </cfRule>
    <cfRule type="cellIs" dxfId="186" priority="251" operator="equal">
      <formula>21</formula>
    </cfRule>
    <cfRule type="cellIs" dxfId="185" priority="252" operator="equal">
      <formula>18</formula>
    </cfRule>
    <cfRule type="cellIs" dxfId="184" priority="253" operator="equal">
      <formula>12</formula>
    </cfRule>
    <cfRule type="cellIs" dxfId="183" priority="254" operator="equal">
      <formula>12</formula>
    </cfRule>
    <cfRule type="cellIs" dxfId="182" priority="255" operator="equal">
      <formula>6</formula>
    </cfRule>
    <cfRule type="cellIs" dxfId="181" priority="256" operator="equal">
      <formula>15</formula>
    </cfRule>
    <cfRule type="cellIs" dxfId="180" priority="257" operator="equal">
      <formula>12</formula>
    </cfRule>
    <cfRule type="cellIs" dxfId="179" priority="258" operator="equal">
      <formula>9</formula>
    </cfRule>
    <cfRule type="cellIs" dxfId="178" priority="259" operator="equal">
      <formula>6</formula>
    </cfRule>
    <cfRule type="cellIs" dxfId="177" priority="260" operator="equal">
      <formula>15</formula>
    </cfRule>
    <cfRule type="cellIs" dxfId="176" priority="261" operator="equal">
      <formula>15</formula>
    </cfRule>
    <cfRule type="cellIs" dxfId="175" priority="262" operator="equal">
      <formula>15</formula>
    </cfRule>
    <cfRule type="cellIs" dxfId="174" priority="263" operator="equal">
      <formula>15</formula>
    </cfRule>
    <cfRule type="cellIs" dxfId="173" priority="264" operator="equal">
      <formula>45</formula>
    </cfRule>
    <cfRule type="cellIs" dxfId="172" priority="265" operator="equal">
      <formula>42</formula>
    </cfRule>
    <cfRule type="cellIs" dxfId="171" priority="266" operator="equal">
      <formula>39</formula>
    </cfRule>
    <cfRule type="cellIs" dxfId="170" priority="267" operator="equal">
      <formula>36</formula>
    </cfRule>
    <cfRule type="cellIs" dxfId="169" priority="268" operator="equal">
      <formula>33</formula>
    </cfRule>
    <cfRule type="cellIs" dxfId="168" priority="269" operator="equal">
      <formula>30</formula>
    </cfRule>
    <cfRule type="cellIs" dxfId="167" priority="270" operator="equal">
      <formula>27</formula>
    </cfRule>
    <cfRule type="cellIs" dxfId="166" priority="271" operator="equal">
      <formula>24</formula>
    </cfRule>
    <cfRule type="cellIs" dxfId="165" priority="272" operator="equal">
      <formula>21</formula>
    </cfRule>
    <cfRule type="cellIs" dxfId="164" priority="273" operator="equal">
      <formula>18</formula>
    </cfRule>
    <cfRule type="cellIs" dxfId="163" priority="274" operator="equal">
      <formula>15</formula>
    </cfRule>
    <cfRule type="cellIs" dxfId="162" priority="275" operator="equal">
      <formula>12</formula>
    </cfRule>
    <cfRule type="cellIs" dxfId="161" priority="276" operator="equal">
      <formula>9</formula>
    </cfRule>
    <cfRule type="cellIs" dxfId="160" priority="277" operator="equal">
      <formula>6</formula>
    </cfRule>
    <cfRule type="cellIs" dxfId="159" priority="278" operator="equal">
      <formula>43</formula>
    </cfRule>
    <cfRule type="cellIs" dxfId="158" priority="279" operator="equal">
      <formula>41</formula>
    </cfRule>
    <cfRule type="cellIs" dxfId="157" priority="280" operator="equal">
      <formula>37</formula>
    </cfRule>
    <cfRule type="cellIs" dxfId="156" priority="281" operator="equal">
      <formula>31</formula>
    </cfRule>
    <cfRule type="cellIs" dxfId="155" priority="282" operator="equal">
      <formula>29</formula>
    </cfRule>
    <cfRule type="cellIs" dxfId="154" priority="283" operator="equal">
      <formula>23</formula>
    </cfRule>
    <cfRule type="cellIs" dxfId="153" priority="284" operator="equal">
      <formula>19</formula>
    </cfRule>
    <cfRule type="cellIs" dxfId="152" priority="285" operator="equal">
      <formula>17</formula>
    </cfRule>
    <cfRule type="cellIs" dxfId="151" priority="286" operator="equal">
      <formula>13</formula>
    </cfRule>
    <cfRule type="cellIs" dxfId="150" priority="287" operator="equal">
      <formula>11</formula>
    </cfRule>
    <cfRule type="cellIs" dxfId="149" priority="288" operator="equal">
      <formula>7</formula>
    </cfRule>
    <cfRule type="cellIs" dxfId="148" priority="289" operator="equal">
      <formula>5</formula>
    </cfRule>
    <cfRule type="cellIs" dxfId="147" priority="290" operator="equal">
      <formula>5</formula>
    </cfRule>
    <cfRule type="cellIs" dxfId="146" priority="291" operator="equal">
      <formula>3</formula>
    </cfRule>
    <cfRule type="cellIs" dxfId="145" priority="292" operator="equal">
      <formula>2</formula>
    </cfRule>
    <cfRule type="cellIs" dxfId="144" priority="293" operator="equal">
      <formula>44</formula>
    </cfRule>
    <cfRule type="cellIs" dxfId="143" priority="294" operator="equal">
      <formula>40</formula>
    </cfRule>
    <cfRule type="cellIs" dxfId="142" priority="295" operator="equal">
      <formula>38</formula>
    </cfRule>
    <cfRule type="cellIs" dxfId="141" priority="296" operator="equal">
      <formula>35</formula>
    </cfRule>
    <cfRule type="cellIs" dxfId="140" priority="297" operator="equal">
      <formula>34</formula>
    </cfRule>
    <cfRule type="cellIs" dxfId="139" priority="298" operator="equal">
      <formula>32</formula>
    </cfRule>
    <cfRule type="cellIs" dxfId="138" priority="299" operator="equal">
      <formula>28</formula>
    </cfRule>
    <cfRule type="cellIs" dxfId="137" priority="300" operator="equal">
      <formula>26</formula>
    </cfRule>
    <cfRule type="cellIs" dxfId="136" priority="301" operator="equal">
      <formula>25</formula>
    </cfRule>
    <cfRule type="cellIs" dxfId="135" priority="302" operator="equal">
      <formula>20</formula>
    </cfRule>
    <cfRule type="cellIs" dxfId="134" priority="303" operator="equal">
      <formula>16</formula>
    </cfRule>
    <cfRule type="cellIs" dxfId="133" priority="304" operator="equal">
      <formula>14</formula>
    </cfRule>
    <cfRule type="cellIs" dxfId="132" priority="305" operator="equal">
      <formula>10</formula>
    </cfRule>
    <cfRule type="cellIs" dxfId="131" priority="306" operator="equal">
      <formula>8</formula>
    </cfRule>
    <cfRule type="cellIs" dxfId="130" priority="307" operator="equal">
      <formula>4</formula>
    </cfRule>
    <cfRule type="cellIs" dxfId="129" priority="308" operator="equal">
      <formula>1</formula>
    </cfRule>
    <cfRule type="cellIs" dxfId="128" priority="309" operator="equal">
      <formula>1</formula>
    </cfRule>
    <cfRule type="cellIs" dxfId="127" priority="310" operator="equal">
      <formula>45</formula>
    </cfRule>
    <cfRule type="cellIs" dxfId="126" priority="311" operator="equal">
      <formula>40</formula>
    </cfRule>
    <cfRule type="cellIs" dxfId="125" priority="312" operator="equal">
      <formula>37</formula>
    </cfRule>
    <cfRule type="cellIs" dxfId="124" priority="313" operator="equal">
      <formula>31</formula>
    </cfRule>
    <cfRule type="cellIs" dxfId="123" priority="314" operator="equal">
      <formula>26</formula>
    </cfRule>
    <cfRule type="cellIs" dxfId="122" priority="315" operator="equal">
      <formula>24</formula>
    </cfRule>
    <cfRule type="cellIs" dxfId="121" priority="316" operator="equal">
      <formula>21</formula>
    </cfRule>
    <cfRule type="cellIs" dxfId="120" priority="317" operator="equal">
      <formula>19</formula>
    </cfRule>
    <cfRule type="cellIs" dxfId="119" priority="318" operator="equal">
      <formula>16</formula>
    </cfRule>
    <cfRule type="cellIs" dxfId="118" priority="319" operator="equal">
      <formula>11</formula>
    </cfRule>
    <cfRule type="cellIs" dxfId="117" priority="320" operator="equal">
      <formula>7</formula>
    </cfRule>
    <cfRule type="cellIs" dxfId="116" priority="321" operator="equal">
      <formula>5</formula>
    </cfRule>
    <cfRule type="cellIs" dxfId="115" priority="322" operator="equal">
      <formula>6</formula>
    </cfRule>
    <cfRule type="cellIs" dxfId="114" priority="323" operator="equal">
      <formula>3</formula>
    </cfRule>
    <cfRule type="cellIs" dxfId="113" priority="324" operator="equal">
      <formula>2</formula>
    </cfRule>
    <cfRule type="cellIs" dxfId="112" priority="325" operator="equal">
      <formula>44</formula>
    </cfRule>
    <cfRule type="cellIs" dxfId="111" priority="326" operator="equal">
      <formula>42</formula>
    </cfRule>
    <cfRule type="cellIs" dxfId="110" priority="327" operator="equal">
      <formula>41</formula>
    </cfRule>
    <cfRule type="cellIs" dxfId="109" priority="328" operator="equal">
      <formula>36</formula>
    </cfRule>
    <cfRule type="cellIs" dxfId="108" priority="329" operator="equal">
      <formula>35</formula>
    </cfRule>
    <cfRule type="cellIs" dxfId="107" priority="330" operator="equal">
      <formula>32</formula>
    </cfRule>
    <cfRule type="cellIs" dxfId="106" priority="331" operator="equal">
      <formula>30</formula>
    </cfRule>
    <cfRule type="cellIs" dxfId="105" priority="332" operator="equal">
      <formula>29</formula>
    </cfRule>
    <cfRule type="cellIs" dxfId="104" priority="333" operator="equal">
      <formula>28</formula>
    </cfRule>
    <cfRule type="cellIs" dxfId="103" priority="334" operator="equal">
      <formula>28</formula>
    </cfRule>
    <cfRule type="cellIs" dxfId="102" priority="335" operator="equal">
      <formula>25</formula>
    </cfRule>
    <cfRule type="cellIs" dxfId="101" priority="336" operator="equal">
      <formula>23</formula>
    </cfRule>
    <cfRule type="cellIs" dxfId="100" priority="337" operator="equal">
      <formula>22</formula>
    </cfRule>
    <cfRule type="cellIs" dxfId="99" priority="338" operator="equal">
      <formula>15</formula>
    </cfRule>
    <cfRule type="cellIs" dxfId="98" priority="339" operator="equal">
      <formula>9</formula>
    </cfRule>
    <cfRule type="cellIs" dxfId="97" priority="340" operator="equal">
      <formula>8</formula>
    </cfRule>
    <cfRule type="cellIs" dxfId="96" priority="341" operator="equal">
      <formula>8</formula>
    </cfRule>
    <cfRule type="cellIs" dxfId="95" priority="342" operator="equal">
      <formula>43</formula>
    </cfRule>
    <cfRule type="cellIs" dxfId="94" priority="343" operator="equal">
      <formula>39</formula>
    </cfRule>
    <cfRule type="cellIs" dxfId="93" priority="344" operator="equal">
      <formula>38</formula>
    </cfRule>
    <cfRule type="cellIs" dxfId="92" priority="345" operator="equal">
      <formula>34</formula>
    </cfRule>
    <cfRule type="cellIs" dxfId="91" priority="346" operator="equal">
      <formula>33</formula>
    </cfRule>
    <cfRule type="cellIs" dxfId="90" priority="347" operator="equal">
      <formula>27</formula>
    </cfRule>
    <cfRule type="cellIs" dxfId="89" priority="348" operator="equal">
      <formula>20</formula>
    </cfRule>
    <cfRule type="cellIs" dxfId="88" priority="349" operator="equal">
      <formula>18</formula>
    </cfRule>
    <cfRule type="cellIs" dxfId="87" priority="350" operator="equal">
      <formula>17</formula>
    </cfRule>
    <cfRule type="cellIs" dxfId="86" priority="351" operator="equal">
      <formula>14</formula>
    </cfRule>
    <cfRule type="cellIs" dxfId="85" priority="352" operator="equal">
      <formula>13</formula>
    </cfRule>
    <cfRule type="cellIs" dxfId="84" priority="353" operator="equal">
      <formula>12</formula>
    </cfRule>
    <cfRule type="cellIs" dxfId="83" priority="354" operator="equal">
      <formula>10</formula>
    </cfRule>
    <cfRule type="cellIs" dxfId="82" priority="355" operator="equal">
      <formula>4</formula>
    </cfRule>
    <cfRule type="cellIs" dxfId="81" priority="356" operator="equal">
      <formula>1</formula>
    </cfRule>
    <cfRule type="cellIs" dxfId="80" priority="357" operator="equal">
      <formula>44</formula>
    </cfRule>
    <cfRule type="cellIs" dxfId="79" priority="358" operator="equal">
      <formula>45</formula>
    </cfRule>
    <cfRule type="cellIs" dxfId="78" priority="359" operator="equal">
      <formula>39</formula>
    </cfRule>
    <cfRule type="cellIs" dxfId="77" priority="360" operator="equal">
      <formula>35</formula>
    </cfRule>
    <cfRule type="cellIs" dxfId="76" priority="361" operator="equal">
      <formula>31</formula>
    </cfRule>
    <cfRule type="cellIs" dxfId="75" priority="362" operator="equal">
      <formula>28</formula>
    </cfRule>
    <cfRule type="cellIs" dxfId="74" priority="363" operator="equal">
      <formula>24</formula>
    </cfRule>
    <cfRule type="cellIs" dxfId="73" priority="364" operator="equal">
      <formula>21</formula>
    </cfRule>
    <cfRule type="cellIs" dxfId="72" priority="365" operator="equal">
      <formula>15</formula>
    </cfRule>
    <cfRule type="cellIs" dxfId="71" priority="366" operator="equal">
      <formula>9</formula>
    </cfRule>
    <cfRule type="cellIs" dxfId="70" priority="367" operator="equal">
      <formula>1</formula>
    </cfRule>
    <cfRule type="cellIs" dxfId="69" priority="368" operator="equal">
      <formula>2</formula>
    </cfRule>
    <cfRule type="cellIs" dxfId="68" priority="369" operator="equal">
      <formula>1</formula>
    </cfRule>
    <cfRule type="cellIs" dxfId="67" priority="370" operator="equal">
      <formula>43</formula>
    </cfRule>
    <cfRule type="cellIs" dxfId="66" priority="371" operator="equal">
      <formula>40</formula>
    </cfRule>
    <cfRule type="cellIs" dxfId="65" priority="372" operator="equal">
      <formula>36</formula>
    </cfRule>
    <cfRule type="cellIs" dxfId="64" priority="373" operator="equal">
      <formula>30</formula>
    </cfRule>
    <cfRule type="cellIs" dxfId="63" priority="374" operator="equal">
      <formula>26</formula>
    </cfRule>
    <cfRule type="cellIs" dxfId="62" priority="375" operator="equal">
      <formula>22</formula>
    </cfRule>
    <cfRule type="cellIs" dxfId="61" priority="376" operator="equal">
      <formula>16</formula>
    </cfRule>
    <cfRule type="cellIs" dxfId="60" priority="377" operator="equal">
      <formula>14</formula>
    </cfRule>
    <cfRule type="cellIs" dxfId="59" priority="378" operator="equal">
      <formula>11</formula>
    </cfRule>
    <cfRule type="cellIs" dxfId="58" priority="379" operator="equal">
      <formula>6</formula>
    </cfRule>
    <cfRule type="cellIs" dxfId="57" priority="380" operator="equal">
      <formula>5</formula>
    </cfRule>
    <cfRule type="cellIs" dxfId="56" priority="381" operator="equal">
      <formula>4</formula>
    </cfRule>
    <cfRule type="cellIs" dxfId="55" priority="382" operator="equal">
      <formula>3</formula>
    </cfRule>
    <cfRule type="cellIs" dxfId="54" priority="383" operator="equal">
      <formula>44</formula>
    </cfRule>
    <cfRule type="cellIs" dxfId="53" priority="384" operator="equal">
      <formula>43</formula>
    </cfRule>
    <cfRule type="cellIs" dxfId="52" priority="385" operator="equal">
      <formula>41</formula>
    </cfRule>
    <cfRule type="cellIs" dxfId="51" priority="386" operator="equal">
      <formula>40</formula>
    </cfRule>
    <cfRule type="cellIs" dxfId="50" priority="387" operator="equal">
      <formula>37</formula>
    </cfRule>
    <cfRule type="cellIs" dxfId="49" priority="388" operator="equal">
      <formula>36</formula>
    </cfRule>
    <cfRule type="cellIs" dxfId="48" priority="389" operator="equal">
      <formula>30</formula>
    </cfRule>
    <cfRule type="cellIs" dxfId="47" priority="390" operator="equal">
      <formula>29</formula>
    </cfRule>
    <cfRule type="cellIs" dxfId="46" priority="391" operator="equal">
      <formula>26</formula>
    </cfRule>
    <cfRule type="cellIs" dxfId="45" priority="392" operator="equal">
      <formula>23</formula>
    </cfRule>
    <cfRule type="cellIs" dxfId="44" priority="393" operator="equal">
      <formula>22</formula>
    </cfRule>
    <cfRule type="cellIs" dxfId="43" priority="394" operator="equal">
      <formula>20</formula>
    </cfRule>
    <cfRule type="cellIs" dxfId="42" priority="395" operator="equal">
      <formula>18</formula>
    </cfRule>
    <cfRule type="cellIs" dxfId="41" priority="396" operator="equal">
      <formula>16</formula>
    </cfRule>
    <cfRule type="cellIs" dxfId="40" priority="397" operator="equal">
      <formula>14</formula>
    </cfRule>
    <cfRule type="cellIs" dxfId="39" priority="398" operator="equal">
      <formula>12</formula>
    </cfRule>
    <cfRule type="cellIs" dxfId="38" priority="399" operator="equal">
      <formula>11</formula>
    </cfRule>
    <cfRule type="cellIs" dxfId="37" priority="400" operator="equal">
      <formula>8</formula>
    </cfRule>
    <cfRule type="cellIs" dxfId="36" priority="401" operator="equal">
      <formula>7</formula>
    </cfRule>
    <cfRule type="cellIs" dxfId="35" priority="402" operator="equal">
      <formula>6</formula>
    </cfRule>
    <cfRule type="cellIs" dxfId="34" priority="403" operator="equal">
      <formula>4</formula>
    </cfRule>
    <cfRule type="cellIs" dxfId="33" priority="404" operator="equal">
      <formula>3</formula>
    </cfRule>
    <cfRule type="cellIs" dxfId="32" priority="405" operator="equal">
      <formula>3</formula>
    </cfRule>
    <cfRule type="cellIs" dxfId="31" priority="406" operator="equal">
      <formula>45</formula>
    </cfRule>
    <cfRule type="cellIs" dxfId="30" priority="407" operator="equal">
      <formula>42</formula>
    </cfRule>
    <cfRule type="cellIs" dxfId="29" priority="408" operator="equal">
      <formula>39</formula>
    </cfRule>
    <cfRule type="cellIs" dxfId="28" priority="409" operator="equal">
      <formula>31</formula>
    </cfRule>
    <cfRule type="cellIs" dxfId="27" priority="410" operator="equal">
      <formula>28</formula>
    </cfRule>
    <cfRule type="cellIs" dxfId="26" priority="411" operator="equal">
      <formula>27</formula>
    </cfRule>
    <cfRule type="cellIs" dxfId="25" priority="412" operator="equal">
      <formula>25</formula>
    </cfRule>
    <cfRule type="cellIs" dxfId="24" priority="413" operator="equal">
      <formula>24</formula>
    </cfRule>
    <cfRule type="cellIs" dxfId="23" priority="414" operator="equal">
      <formula>21</formula>
    </cfRule>
    <cfRule type="cellIs" dxfId="22" priority="415" operator="equal">
      <formula>17</formula>
    </cfRule>
    <cfRule type="cellIs" dxfId="21" priority="416" operator="equal">
      <formula>15</formula>
    </cfRule>
    <cfRule type="cellIs" dxfId="20" priority="417" operator="equal">
      <formula>13</formula>
    </cfRule>
    <cfRule type="cellIs" dxfId="19" priority="418" operator="equal">
      <formula>10</formula>
    </cfRule>
    <cfRule type="cellIs" dxfId="18" priority="419" operator="equal">
      <formula>9</formula>
    </cfRule>
    <cfRule type="cellIs" dxfId="17" priority="420" operator="equal">
      <formula>1</formula>
    </cfRule>
    <cfRule type="cellIs" dxfId="16" priority="421" operator="equal">
      <formula>0</formula>
    </cfRule>
  </conditionalFormatting>
  <conditionalFormatting sqref="L408:L412 L414:L440">
    <cfRule type="cellIs" dxfId="15" priority="20" operator="greaterThan">
      <formula>0</formula>
    </cfRule>
  </conditionalFormatting>
  <conditionalFormatting sqref="L3:BD3">
    <cfRule type="cellIs" dxfId="14" priority="18" operator="between">
      <formula>52</formula>
      <formula>57</formula>
    </cfRule>
    <cfRule type="cellIs" dxfId="13" priority="422" operator="greaterThan">
      <formula>57</formula>
    </cfRule>
    <cfRule type="cellIs" dxfId="12" priority="423" operator="lessThan">
      <formula>52</formula>
    </cfRule>
    <cfRule type="cellIs" dxfId="11" priority="426" operator="greaterThan">
      <formula>20</formula>
    </cfRule>
    <cfRule type="cellIs" dxfId="10" priority="427" operator="between">
      <formula>1</formula>
      <formula>10</formula>
    </cfRule>
    <cfRule type="cellIs" dxfId="9" priority="438" operator="equal">
      <formula>0</formula>
    </cfRule>
    <cfRule type="cellIs" dxfId="8" priority="439" operator="greaterThan">
      <formula>140</formula>
    </cfRule>
  </conditionalFormatting>
  <conditionalFormatting sqref="O409:P446 R409:T446 V409:Z446">
    <cfRule type="cellIs" dxfId="7" priority="15" operator="equal">
      <formula>0</formula>
    </cfRule>
  </conditionalFormatting>
  <conditionalFormatting sqref="O409:P446">
    <cfRule type="cellIs" dxfId="6" priority="9" operator="equal">
      <formula>5</formula>
    </cfRule>
    <cfRule type="cellIs" dxfId="5" priority="10" operator="equal">
      <formula>6</formula>
    </cfRule>
  </conditionalFormatting>
  <conditionalFormatting sqref="R409:T446">
    <cfRule type="cellIs" dxfId="4" priority="11" operator="greaterThan">
      <formula>4</formula>
    </cfRule>
    <cfRule type="cellIs" dxfId="3" priority="12" operator="equal">
      <formula>4</formula>
    </cfRule>
  </conditionalFormatting>
  <conditionalFormatting sqref="V409:Z446">
    <cfRule type="cellIs" dxfId="2" priority="13" operator="equal">
      <formula>3</formula>
    </cfRule>
    <cfRule type="cellIs" dxfId="1" priority="14" operator="greaterThan">
      <formula>3</formula>
    </cfRule>
  </conditionalFormatting>
  <conditionalFormatting sqref="Z410:Z427 W414:Y427 V425:V427 V428:Z446 AA419:AI434">
    <cfRule type="cellIs" dxfId="0" priority="16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홀짝 소자배 기본</vt:lpstr>
      <vt:lpstr>최근 상중하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2026-07-04T06:49:04Z</dcterms:created>
  <dcterms:modified xsi:type="dcterms:W3CDTF">2026-07-04T07:10:05Z</dcterms:modified>
</cp:coreProperties>
</file>